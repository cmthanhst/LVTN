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olieusap" sheetId="1" r:id="rId5"/>
    <sheet state="visible" name="Solieu" sheetId="2" r:id="rId6"/>
    <sheet state="visible" name="Locsolieu" sheetId="3" r:id="rId7"/>
    <sheet state="visible" name="Tinh thep" sheetId="4" r:id="rId8"/>
  </sheets>
  <definedNames/>
  <calcPr/>
  <extLst>
    <ext uri="GoogleSheetsCustomDataVersion1">
      <go:sheetsCustomData xmlns:go="http://customooxmlschemas.google.com/" r:id="rId9" roundtripDataSignature="AMtx7mjXME5az2nokOyZYv17CNc9Xgsx2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J1">
      <text>
        <t xml:space="preserve">======
ID#AAAAM6E_sCQ
NGUYEN TIEN THU    (2021-06-24 06:46:04)
Tác giả: Hồ Ngọc Tri Tân - BM.KTXD - ĐHCT
- Save as lại file này trước khi sử dụng.
- Không được xoá bảng này trước khi paste số liệu mới vào. Nếu xoá đi, bảng "Tính thép" sẽ không chạy. 
- Sau khi paste số liệu mới vào, xoá đi những hàng số liệu cũ còn lại để tránh nhầm lẫn.
- Bảng tính này đọc được số liệu của Sap v9 trở đi, để xuất số liệu đúng yêu cầu, ta làm như sau: 
   + Trong Sap, sau khi chạy chương trình, ta chọn tất cả cột, vào Display/ Show Tables/ trong bảng hiện ra chọn Element Output/ Frame Output/ Table: 
Element Forces - Frames, trong hộp Select Load Patterns chọn Clear All, trong hộp Select Load Cases chọn các trường hợp tổ hợp. Click OK!
   + Bảng giá trị nội lực hiện ra, vào menu File/ Export Current Table/ to Excel , copy toàn bộ bảng tính và paste qua bảng tính này.
- Số liệu Sap xuất qua phải đúng định dạng này về vị trí của cột, hàng,…
   + Cột có từ A - J.
   + Số liệu bắt đầu từ hàng thứ 4
   + Không được xoá bớt những cột số liệu không dùng đến (làm sai địa chỉ cột) - chẳng hạn cột V2, V3 và T là lực cắt và moment xoắn, không dùng đến.
   + Số liệu Sap xuất ra chỉ cần các trường hợp tổ hợp, không cần các trường hợp tải thành phần và BAO, nếu có trường hợp BAO, số liệu sẽ sai !
- Số mặt cắt của tất cả các phần tử cột phải giống nhau (cùng là 3 hoặc 4, hoặc...).
- Đơn vị nội lực xuất ra phải là Kgf-m hoặc Tonf-m, nếu số liệu nhiều nên dùng đơn vị là kgf-m để tránh có số liệu trùng.
- Sau khi chồng số liệu mới vào, bảng hướng dẫn này sẽ mất đi, có thể xem lại ở sheet "Locsolieu"</t>
      </text>
    </comment>
  </commentList>
  <extLst>
    <ext uri="GoogleSheetsCustomDataVersion1">
      <go:sheetsCustomData xmlns:go="http://customooxmlschemas.google.com/" r:id="rId1" roundtripDataSignature="AMtx7miUQJevP8KQUEIkUtdBZG+Kv3/ffA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1000">
      <text>
        <t xml:space="preserve">======
ID#AAAAM6E_sCY
Author    (2021-06-24 06:46:04)
Hồ Ngọc Tri Tân
BM. KTXD
K. Công Nghệ
Đại học Cần Thơ
ĐT: 0918.555.220</t>
      </text>
    </comment>
    <comment authorId="0" ref="A1">
      <text>
        <t xml:space="preserve">======
ID#AAAAM6E_sCU
Author    (2021-06-24 06:46:04)
Hồ Ngọc Tri Tân
BM. KTXD
K. Công Nghệ
Đại học Cần Thơ
ĐT: 0918.555.220</t>
      </text>
    </comment>
  </commentList>
  <extLst>
    <ext uri="GoogleSheetsCustomDataVersion1">
      <go:sheetsCustomData xmlns:go="http://customooxmlschemas.google.com/" r:id="rId1" roundtripDataSignature="AMtx7mhdm1/jwrelErkQjSoKV7MMdGgyFw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G1">
      <text>
        <t xml:space="preserve">======
ID#AAAAM6E_sC0
NGUYEN TIEN THU    (2021-06-24 06:46:04)
Author: Hồ Ngọc Tri Tân - BM.KTXD - K.CN - ĐHCT
- Save as lại file này trước khi sử dụng.
- Không được xoá bảng này trước khi paste số liệu mới vào. Nếu xoá đi, bảng "Tính thép" sẽ không chạy. 
- Sau khi paste số liệu mới vào, xoá đi những hàng số liệu cũ còn lại, để tránh nhầm với số liệu cũ, có thể không cần xoá hết.
- Bảng tính này đọc được số liệu của Sap v9 trở đi, để xuất số liệu đúng yêu cầu, ta làm như sau: 
   + Trong Sap, sau khi chạy chương trình, ta chọn tất cả cột, vào Display/Show Tables/ trong bảng hiện ra chọn Element Output/ Frame Output/ Table: 
Element Forces - Frames, trong hộp Select Load Patterns chọn Clear All, trong hộp Select Load Cases chọn các trường hợp tổ hợp. Click OK!
   + Bảng giá trị nội lực hiện ra, vào menu File/ Export Current Table/ to Excel , copy toàn bộ bảng tính và paste qua bảng tính này.
- Số liệu Sap xuất qua phải đúng định dạng này về vị trí của cột, hàng,…
   + Cột có từ A - J.
   + Số liệu bắt đầu từ hàng thứ 4
   + Không được xoá bớt những cột số liệu không dùng đến (làm sai địa chỉ cột)-chẳng hạn cột V2, V3 và T là lực cắt và moment xoắn, không dùng đến.
   + Số liệu Sap xuất ra chỉ cần các trường hợp tổ hợp, không cần các trường hợp tải thành phần và BAO, nếu có trường hợp BAO, số liệu sẽ sai !
- Số mặt cắt của tất cả các phần tử cột phải giống nhau (cùng là 3 hoặc 4, hoặc...).
- Đơn vị nội lực xuất ra phải là Kgf-m hoặc Tonf-m, nếu số liệu nhiều nên dùng đơn vị là kgf-m để tránh có số liệu trùng.</t>
      </text>
    </comment>
  </commentList>
  <extLst>
    <ext uri="GoogleSheetsCustomDataVersion1">
      <go:sheetsCustomData xmlns:go="http://customooxmlschemas.google.com/" r:id="rId1" roundtripDataSignature="AMtx7mjpBVh8D8U7jVvIyBuBolAEC3fspw=="/>
    </ext>
  </extLst>
</comments>
</file>

<file path=xl/comments4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T10">
      <text>
        <t xml:space="preserve">======
ID#AAAAM6E_sC8
TriTan    (2021-06-24 06:46:04)
Nếu hiện lên dấu !!! là đơn vị sử dụng không phải Kg hoặc Tấn</t>
      </text>
    </comment>
    <comment authorId="0" ref="Y8">
      <text>
        <t xml:space="preserve">======
ID#AAAAM6E_sC4
A satisfied Microsoft Office user    (2021-06-24 06:46:04)
khoang cach tu diem dat luc doc lech tam den trong tam cua cot thep chiu keo</t>
      </text>
    </comment>
    <comment authorId="0" ref="K10">
      <text>
        <t xml:space="preserve">======
ID#AAAAM6E_sCw
TriTân    (2021-06-24 06:46:04)
Nếu hiện dấu !!! có nghĩa là sai đơn vị chiều dài, đơn vị chiều dài của nội lực phải là m</t>
      </text>
    </comment>
    <comment authorId="0" ref="C2">
      <text>
        <t xml:space="preserve">======
ID#AAAAM6E_sCs
user    (2021-06-24 06:46:04)
Nhập vào đây cấp độ bền BT (B12.5 - B25) và nhóm thép (CII, CIII, AII, AIII), chương trình tự tra Rb, Rs, aR và xR</t>
      </text>
    </comment>
    <comment authorId="0" ref="H2">
      <text>
        <t xml:space="preserve">======
ID#AAAAM6E_sCo
TriTan    (2021-06-24 06:46:04)
Nếu B&gt;25 và thép khác CII, CIII, AII, AIII thì cần tra bảng nhập trực tiếp giá trị xR và aR vào 2 ô này.</t>
      </text>
    </comment>
    <comment authorId="0" ref="AJ1">
      <text>
        <t xml:space="preserve">======
ID#AAAAM6E_sCk
TriTan    (2021-06-24 06:46:04)
- Đơn vị của nội lực phải là Kgf-m hoặc Ton-m, nếu số liệu nhiều nên dùng đơn vị là kgf-m để tránh có số liệu trùng. Nếu sai đơn vị sẽ hiện lên dòng cảnh báo, phải lấy file gốc chạy lại !
- Nếu chương trình không chạy:
  + Với Office 2003: vào Tools&gt; Options, click vào hộp Calculation chọn Automatic và Iteration.
  + Với Office 2007: vào nút biểu tượng MS Office (góc trên bên trái), chọn Excel Options&gt; Formulas&gt;Calcullation Options, click chọn 2 mục Automatic và Enable Iterative Caculation.</t>
      </text>
    </comment>
    <comment authorId="0" ref="E2">
      <text>
        <t xml:space="preserve">======
ID#AAAAM6E_sCg
TriTan    (2021-06-24 06:46:04)
- Nếu ô này là dấu "!!!" tức là cấp độ bền B &gt;25.
- Nếu B&gt;25 và thép khác CII, CIII, AII, AIII thì cần tra bảng nhập trực tiếp giá trị Rb và Rs vào 2 ô này.</t>
      </text>
    </comment>
    <comment authorId="0" ref="X8">
      <text>
        <t xml:space="preserve">======
ID#AAAAM6E_sCc
A satisfied Microsoft Office user    (2021-06-24 06:46:04)
khoang cach tu diem dat luc doc lech tam den trong tam cua cot thep chiu keo</t>
      </text>
    </comment>
  </commentList>
  <extLst>
    <ext uri="GoogleSheetsCustomDataVersion1">
      <go:sheetsCustomData xmlns:go="http://customooxmlschemas.google.com/" r:id="rId1" roundtripDataSignature="AMtx7mjaexUrhKyEt7XckLXTLBw+iPAuMA=="/>
    </ext>
  </extLst>
</comments>
</file>

<file path=xl/sharedStrings.xml><?xml version="1.0" encoding="utf-8"?>
<sst xmlns="http://schemas.openxmlformats.org/spreadsheetml/2006/main" count="9843" uniqueCount="438">
  <si>
    <t>TABLE:  Element Forces - Frames</t>
  </si>
  <si>
    <t>Frame</t>
  </si>
  <si>
    <t>Station</t>
  </si>
  <si>
    <t>OutputCase</t>
  </si>
  <si>
    <t>CaseType</t>
  </si>
  <si>
    <t>P</t>
  </si>
  <si>
    <t>V2</t>
  </si>
  <si>
    <t>V3</t>
  </si>
  <si>
    <t>T</t>
  </si>
  <si>
    <t>M2</t>
  </si>
  <si>
    <t>M3</t>
  </si>
  <si>
    <t>FrameElem</t>
  </si>
  <si>
    <t>ElemStation</t>
  </si>
  <si>
    <t>Text</t>
  </si>
  <si>
    <t>m</t>
  </si>
  <si>
    <t>Tonf</t>
  </si>
  <si>
    <t>Tonf-m</t>
  </si>
  <si>
    <t>8</t>
  </si>
  <si>
    <t>DEAD1</t>
  </si>
  <si>
    <t>LinStatic</t>
  </si>
  <si>
    <t>8-1</t>
  </si>
  <si>
    <t>9</t>
  </si>
  <si>
    <t>9-1</t>
  </si>
  <si>
    <t>10</t>
  </si>
  <si>
    <t>10-1</t>
  </si>
  <si>
    <t>140</t>
  </si>
  <si>
    <t>140-1</t>
  </si>
  <si>
    <t>141</t>
  </si>
  <si>
    <t>141-1</t>
  </si>
  <si>
    <t>142</t>
  </si>
  <si>
    <t>142-1</t>
  </si>
  <si>
    <t>143</t>
  </si>
  <si>
    <t>143-1</t>
  </si>
  <si>
    <t>144</t>
  </si>
  <si>
    <t>144-1</t>
  </si>
  <si>
    <t>145</t>
  </si>
  <si>
    <t>145-1</t>
  </si>
  <si>
    <t>146</t>
  </si>
  <si>
    <t>146-1</t>
  </si>
  <si>
    <t>147</t>
  </si>
  <si>
    <t>147-1</t>
  </si>
  <si>
    <t>148</t>
  </si>
  <si>
    <t>148-1</t>
  </si>
  <si>
    <t>149</t>
  </si>
  <si>
    <t>149-1</t>
  </si>
  <si>
    <t>150</t>
  </si>
  <si>
    <t>150-1</t>
  </si>
  <si>
    <t>151</t>
  </si>
  <si>
    <t>151-1</t>
  </si>
  <si>
    <t>152</t>
  </si>
  <si>
    <t>152-1</t>
  </si>
  <si>
    <t>153</t>
  </si>
  <si>
    <t>153-1</t>
  </si>
  <si>
    <t>154</t>
  </si>
  <si>
    <t>154-1</t>
  </si>
  <si>
    <t>155</t>
  </si>
  <si>
    <t>155-1</t>
  </si>
  <si>
    <t>156</t>
  </si>
  <si>
    <t>156-1</t>
  </si>
  <si>
    <t>157</t>
  </si>
  <si>
    <t>157-1</t>
  </si>
  <si>
    <t>158</t>
  </si>
  <si>
    <t>158-1</t>
  </si>
  <si>
    <t>159</t>
  </si>
  <si>
    <t>159-1</t>
  </si>
  <si>
    <t>160</t>
  </si>
  <si>
    <t>160-1</t>
  </si>
  <si>
    <t>161</t>
  </si>
  <si>
    <t>161-1</t>
  </si>
  <si>
    <t>162</t>
  </si>
  <si>
    <t>162-1</t>
  </si>
  <si>
    <t>163</t>
  </si>
  <si>
    <t>163-1</t>
  </si>
  <si>
    <t>164</t>
  </si>
  <si>
    <t>164-1</t>
  </si>
  <si>
    <t>165</t>
  </si>
  <si>
    <t>165-1</t>
  </si>
  <si>
    <t>166</t>
  </si>
  <si>
    <t>166-1</t>
  </si>
  <si>
    <t>167</t>
  </si>
  <si>
    <t>167-1</t>
  </si>
  <si>
    <t>168</t>
  </si>
  <si>
    <t>168-1</t>
  </si>
  <si>
    <t>169</t>
  </si>
  <si>
    <t>169-1</t>
  </si>
  <si>
    <t>170</t>
  </si>
  <si>
    <t>170-1</t>
  </si>
  <si>
    <t>171</t>
  </si>
  <si>
    <t>171-1</t>
  </si>
  <si>
    <t>172</t>
  </si>
  <si>
    <t>172-1</t>
  </si>
  <si>
    <t>173</t>
  </si>
  <si>
    <t>173-1</t>
  </si>
  <si>
    <t>174</t>
  </si>
  <si>
    <t>174-1</t>
  </si>
  <si>
    <t>175</t>
  </si>
  <si>
    <t>175-1</t>
  </si>
  <si>
    <t>176</t>
  </si>
  <si>
    <t>176-1</t>
  </si>
  <si>
    <t>177</t>
  </si>
  <si>
    <t>177-1</t>
  </si>
  <si>
    <t>178</t>
  </si>
  <si>
    <t>178-1</t>
  </si>
  <si>
    <t>179</t>
  </si>
  <si>
    <t>179-1</t>
  </si>
  <si>
    <t>180</t>
  </si>
  <si>
    <t>180-1</t>
  </si>
  <si>
    <t>181</t>
  </si>
  <si>
    <t>181-1</t>
  </si>
  <si>
    <t>182</t>
  </si>
  <si>
    <t>182-1</t>
  </si>
  <si>
    <t>183</t>
  </si>
  <si>
    <t>183-1</t>
  </si>
  <si>
    <t>184</t>
  </si>
  <si>
    <t>184-1</t>
  </si>
  <si>
    <t>185</t>
  </si>
  <si>
    <t>185-1</t>
  </si>
  <si>
    <t>186</t>
  </si>
  <si>
    <t>186-1</t>
  </si>
  <si>
    <t>187</t>
  </si>
  <si>
    <t>187-1</t>
  </si>
  <si>
    <t>188</t>
  </si>
  <si>
    <t>188-1</t>
  </si>
  <si>
    <t>189</t>
  </si>
  <si>
    <t>189-1</t>
  </si>
  <si>
    <t>190</t>
  </si>
  <si>
    <t>190-1</t>
  </si>
  <si>
    <t>191</t>
  </si>
  <si>
    <t>191-1</t>
  </si>
  <si>
    <t>192</t>
  </si>
  <si>
    <t>192-1</t>
  </si>
  <si>
    <t>193</t>
  </si>
  <si>
    <t>193-1</t>
  </si>
  <si>
    <t>194</t>
  </si>
  <si>
    <t>194-1</t>
  </si>
  <si>
    <t>195</t>
  </si>
  <si>
    <t>195-1</t>
  </si>
  <si>
    <t>196</t>
  </si>
  <si>
    <t>196-1</t>
  </si>
  <si>
    <t>197</t>
  </si>
  <si>
    <t>197-1</t>
  </si>
  <si>
    <t>198</t>
  </si>
  <si>
    <t>198-1</t>
  </si>
  <si>
    <t>199</t>
  </si>
  <si>
    <t>199-1</t>
  </si>
  <si>
    <t>200</t>
  </si>
  <si>
    <t>200-1</t>
  </si>
  <si>
    <t>201</t>
  </si>
  <si>
    <t>201-1</t>
  </si>
  <si>
    <t>202</t>
  </si>
  <si>
    <t>202-1</t>
  </si>
  <si>
    <t>203</t>
  </si>
  <si>
    <t>203-1</t>
  </si>
  <si>
    <t>204</t>
  </si>
  <si>
    <t>204-1</t>
  </si>
  <si>
    <t>205</t>
  </si>
  <si>
    <t>205-1</t>
  </si>
  <si>
    <t>206</t>
  </si>
  <si>
    <t>206-1</t>
  </si>
  <si>
    <t>207</t>
  </si>
  <si>
    <t>207-1</t>
  </si>
  <si>
    <t>208</t>
  </si>
  <si>
    <t>208-1</t>
  </si>
  <si>
    <t>209</t>
  </si>
  <si>
    <t>209-1</t>
  </si>
  <si>
    <t>210</t>
  </si>
  <si>
    <t>210-1</t>
  </si>
  <si>
    <t>211</t>
  </si>
  <si>
    <t>211-1</t>
  </si>
  <si>
    <t>212</t>
  </si>
  <si>
    <t>212-1</t>
  </si>
  <si>
    <t>213</t>
  </si>
  <si>
    <t>213-1</t>
  </si>
  <si>
    <t>214</t>
  </si>
  <si>
    <t>214-1</t>
  </si>
  <si>
    <t>215</t>
  </si>
  <si>
    <t>215-1</t>
  </si>
  <si>
    <t>216</t>
  </si>
  <si>
    <t>216-1</t>
  </si>
  <si>
    <t>217</t>
  </si>
  <si>
    <t>217-1</t>
  </si>
  <si>
    <t>218</t>
  </si>
  <si>
    <t>218-1</t>
  </si>
  <si>
    <t>219</t>
  </si>
  <si>
    <t>219-1</t>
  </si>
  <si>
    <t>220</t>
  </si>
  <si>
    <t>220-1</t>
  </si>
  <si>
    <t>221</t>
  </si>
  <si>
    <t>221-1</t>
  </si>
  <si>
    <t>222</t>
  </si>
  <si>
    <t>222-1</t>
  </si>
  <si>
    <t>223</t>
  </si>
  <si>
    <t>223-1</t>
  </si>
  <si>
    <t>224</t>
  </si>
  <si>
    <t>224-1</t>
  </si>
  <si>
    <t>225</t>
  </si>
  <si>
    <t>225-1</t>
  </si>
  <si>
    <t>226</t>
  </si>
  <si>
    <t>226-1</t>
  </si>
  <si>
    <t>227</t>
  </si>
  <si>
    <t>227-1</t>
  </si>
  <si>
    <t>228</t>
  </si>
  <si>
    <t>228-1</t>
  </si>
  <si>
    <t>229</t>
  </si>
  <si>
    <t>229-1</t>
  </si>
  <si>
    <t>230</t>
  </si>
  <si>
    <t>230-1</t>
  </si>
  <si>
    <t>231</t>
  </si>
  <si>
    <t>231-1</t>
  </si>
  <si>
    <t>232</t>
  </si>
  <si>
    <t>232-1</t>
  </si>
  <si>
    <t>233</t>
  </si>
  <si>
    <t>233-1</t>
  </si>
  <si>
    <t>234</t>
  </si>
  <si>
    <t>234-1</t>
  </si>
  <si>
    <t>235</t>
  </si>
  <si>
    <t>235-1</t>
  </si>
  <si>
    <t>236</t>
  </si>
  <si>
    <t>236-1</t>
  </si>
  <si>
    <t>237</t>
  </si>
  <si>
    <t>237-1</t>
  </si>
  <si>
    <t>238</t>
  </si>
  <si>
    <t>238-1</t>
  </si>
  <si>
    <t>239</t>
  </si>
  <si>
    <t>239-1</t>
  </si>
  <si>
    <t>240</t>
  </si>
  <si>
    <t>240-1</t>
  </si>
  <si>
    <t>241</t>
  </si>
  <si>
    <t>241-1</t>
  </si>
  <si>
    <t>242</t>
  </si>
  <si>
    <t>242-1</t>
  </si>
  <si>
    <t>243</t>
  </si>
  <si>
    <t>243-1</t>
  </si>
  <si>
    <t>244</t>
  </si>
  <si>
    <t>244-1</t>
  </si>
  <si>
    <t>271</t>
  </si>
  <si>
    <t>271-1</t>
  </si>
  <si>
    <t>276</t>
  </si>
  <si>
    <t>276-1</t>
  </si>
  <si>
    <t>277</t>
  </si>
  <si>
    <t>277-1</t>
  </si>
  <si>
    <t>278</t>
  </si>
  <si>
    <t>278-1</t>
  </si>
  <si>
    <t>279</t>
  </si>
  <si>
    <t>279-1</t>
  </si>
  <si>
    <t>280</t>
  </si>
  <si>
    <t>280-1</t>
  </si>
  <si>
    <t>282</t>
  </si>
  <si>
    <t>282-1</t>
  </si>
  <si>
    <t>344</t>
  </si>
  <si>
    <t>344-1</t>
  </si>
  <si>
    <t>344-7</t>
  </si>
  <si>
    <t>352</t>
  </si>
  <si>
    <t>352-1</t>
  </si>
  <si>
    <t>402</t>
  </si>
  <si>
    <t>402-1</t>
  </si>
  <si>
    <t>404</t>
  </si>
  <si>
    <t>404-1</t>
  </si>
  <si>
    <t>405</t>
  </si>
  <si>
    <t>405-1</t>
  </si>
  <si>
    <t>406</t>
  </si>
  <si>
    <t>406-1</t>
  </si>
  <si>
    <t>407</t>
  </si>
  <si>
    <t>407-1</t>
  </si>
  <si>
    <t>408</t>
  </si>
  <si>
    <t>408-1</t>
  </si>
  <si>
    <t>409</t>
  </si>
  <si>
    <t>409-1</t>
  </si>
  <si>
    <t>410</t>
  </si>
  <si>
    <t>410-1</t>
  </si>
  <si>
    <t>411</t>
  </si>
  <si>
    <t>411-1</t>
  </si>
  <si>
    <t>412</t>
  </si>
  <si>
    <t>412-1</t>
  </si>
  <si>
    <t>413</t>
  </si>
  <si>
    <t>413-1</t>
  </si>
  <si>
    <t>414</t>
  </si>
  <si>
    <t>414-1</t>
  </si>
  <si>
    <t>415</t>
  </si>
  <si>
    <t>415-1</t>
  </si>
  <si>
    <t>416</t>
  </si>
  <si>
    <t>416-1</t>
  </si>
  <si>
    <t>417</t>
  </si>
  <si>
    <t>417-1</t>
  </si>
  <si>
    <t>419</t>
  </si>
  <si>
    <t>419-1</t>
  </si>
  <si>
    <t>420</t>
  </si>
  <si>
    <t>420-1</t>
  </si>
  <si>
    <t>421</t>
  </si>
  <si>
    <t>421-1</t>
  </si>
  <si>
    <t>434</t>
  </si>
  <si>
    <t>434-1</t>
  </si>
  <si>
    <t>437</t>
  </si>
  <si>
    <t>437-1</t>
  </si>
  <si>
    <t>439</t>
  </si>
  <si>
    <t>439-1</t>
  </si>
  <si>
    <t>440</t>
  </si>
  <si>
    <t>440-1</t>
  </si>
  <si>
    <t>442</t>
  </si>
  <si>
    <t>442-1</t>
  </si>
  <si>
    <t>443</t>
  </si>
  <si>
    <t>443-1</t>
  </si>
  <si>
    <t>447</t>
  </si>
  <si>
    <t>447-1</t>
  </si>
  <si>
    <t>447-2</t>
  </si>
  <si>
    <t>448</t>
  </si>
  <si>
    <t>448-1</t>
  </si>
  <si>
    <t>450</t>
  </si>
  <si>
    <t>450-1</t>
  </si>
  <si>
    <t>451</t>
  </si>
  <si>
    <t>451-1</t>
  </si>
  <si>
    <t>452</t>
  </si>
  <si>
    <t>452-1</t>
  </si>
  <si>
    <t>453</t>
  </si>
  <si>
    <t>453-1</t>
  </si>
  <si>
    <t>454</t>
  </si>
  <si>
    <t>454-1</t>
  </si>
  <si>
    <t>455</t>
  </si>
  <si>
    <t>455-1</t>
  </si>
  <si>
    <t>456</t>
  </si>
  <si>
    <t>456-1</t>
  </si>
  <si>
    <t>457</t>
  </si>
  <si>
    <t>457-1</t>
  </si>
  <si>
    <t>458</t>
  </si>
  <si>
    <t>458-1</t>
  </si>
  <si>
    <t>459</t>
  </si>
  <si>
    <t>459-1</t>
  </si>
  <si>
    <t>461</t>
  </si>
  <si>
    <t>461-1</t>
  </si>
  <si>
    <t>462</t>
  </si>
  <si>
    <t>462-1</t>
  </si>
  <si>
    <t>463</t>
  </si>
  <si>
    <t>463-1</t>
  </si>
  <si>
    <t>464</t>
  </si>
  <si>
    <t>464-1</t>
  </si>
  <si>
    <t>465</t>
  </si>
  <si>
    <t>465-1</t>
  </si>
  <si>
    <t>466</t>
  </si>
  <si>
    <t>466-1</t>
  </si>
  <si>
    <t>467</t>
  </si>
  <si>
    <t>467-1</t>
  </si>
  <si>
    <t>468</t>
  </si>
  <si>
    <t>468-1</t>
  </si>
  <si>
    <t>469</t>
  </si>
  <si>
    <t>469-1</t>
  </si>
  <si>
    <t>470</t>
  </si>
  <si>
    <t>470-1</t>
  </si>
  <si>
    <t>487</t>
  </si>
  <si>
    <t>487-1</t>
  </si>
  <si>
    <t>488</t>
  </si>
  <si>
    <t>488-1</t>
  </si>
  <si>
    <t>489</t>
  </si>
  <si>
    <t>489-1</t>
  </si>
  <si>
    <t>490</t>
  </si>
  <si>
    <t>490-1</t>
  </si>
  <si>
    <t>Cũ</t>
  </si>
  <si>
    <t>COMB7</t>
  </si>
  <si>
    <t>Combination</t>
  </si>
  <si>
    <t>COMB1</t>
  </si>
  <si>
    <t>COMB2</t>
  </si>
  <si>
    <t>COMB3</t>
  </si>
  <si>
    <t>COMB4</t>
  </si>
  <si>
    <t>COMB5</t>
  </si>
  <si>
    <t>COMB6</t>
  </si>
  <si>
    <t>Bảng số liệu này là trị tuyệt đối của sheet "Solieusap" - không dùng đến bảng này!</t>
  </si>
  <si>
    <t>BẢNG SỐ LIỆU NỘI LỰC CỘT</t>
  </si>
  <si>
    <t>Tên</t>
  </si>
  <si>
    <t xml:space="preserve"> Phương 3 - 3 (phương cạnh h)</t>
  </si>
  <si>
    <t>phần</t>
  </si>
  <si>
    <t>N-max</t>
  </si>
  <si>
    <t>M3-tư</t>
  </si>
  <si>
    <t>M3-max</t>
  </si>
  <si>
    <t>N - tư</t>
  </si>
  <si>
    <t>tử</t>
  </si>
  <si>
    <t>BẢNG TÍNH THÉP CỘT</t>
  </si>
  <si>
    <r>
      <rPr>
        <rFont val="Times New Roman"/>
        <color theme="1"/>
        <sz val="12.0"/>
      </rPr>
      <t xml:space="preserve">- Cấp độ bền BT: </t>
    </r>
    <r>
      <rPr>
        <rFont val="Times New Roman"/>
        <b/>
        <color rgb="FFFF0000"/>
        <sz val="12.0"/>
      </rPr>
      <t>B</t>
    </r>
  </si>
  <si>
    <r>
      <rPr>
        <rFont val="Times New Roman"/>
        <color theme="1"/>
        <sz val="12.0"/>
      </rPr>
      <t xml:space="preserve">   R</t>
    </r>
    <r>
      <rPr>
        <rFont val="Times New Roman"/>
        <color theme="1"/>
        <sz val="12.0"/>
        <vertAlign val="subscript"/>
      </rPr>
      <t>b</t>
    </r>
    <r>
      <rPr>
        <rFont val="Times New Roman"/>
        <color theme="1"/>
        <sz val="12.0"/>
      </rPr>
      <t xml:space="preserve">= </t>
    </r>
  </si>
  <si>
    <t>MPa</t>
  </si>
  <si>
    <r>
      <rPr>
        <rFont val="Noto Sans Symbols"/>
        <color theme="1"/>
        <sz val="12.0"/>
      </rPr>
      <t>x</t>
    </r>
    <r>
      <rPr>
        <rFont val="Times New Roman"/>
        <color theme="1"/>
        <sz val="12.0"/>
        <vertAlign val="subscript"/>
      </rPr>
      <t>R</t>
    </r>
    <r>
      <rPr>
        <rFont val="Times New Roman"/>
        <color theme="1"/>
        <sz val="12.0"/>
      </rPr>
      <t xml:space="preserve"> =</t>
    </r>
  </si>
  <si>
    <t>- Nhóm thép</t>
  </si>
  <si>
    <t>AII</t>
  </si>
  <si>
    <r>
      <rPr>
        <rFont val="Times New Roman"/>
        <color theme="1"/>
        <sz val="11.0"/>
      </rPr>
      <t>R</t>
    </r>
    <r>
      <rPr>
        <rFont val="Times New Roman"/>
        <color theme="1"/>
        <sz val="11.0"/>
        <vertAlign val="subscript"/>
      </rPr>
      <t>s</t>
    </r>
    <r>
      <rPr>
        <rFont val="Times New Roman"/>
        <color theme="1"/>
        <sz val="11.0"/>
      </rPr>
      <t>= R</t>
    </r>
    <r>
      <rPr>
        <rFont val="Times New Roman"/>
        <color theme="1"/>
        <sz val="11.0"/>
        <vertAlign val="subscript"/>
      </rPr>
      <t>sc</t>
    </r>
    <r>
      <rPr>
        <rFont val="Times New Roman"/>
        <color theme="1"/>
        <sz val="11.0"/>
      </rPr>
      <t>=</t>
    </r>
  </si>
  <si>
    <r>
      <rPr>
        <rFont val="Noto Sans Symbols"/>
        <color theme="1"/>
        <sz val="11.0"/>
      </rPr>
      <t xml:space="preserve">    a </t>
    </r>
    <r>
      <rPr>
        <rFont val="Times New Roman"/>
        <color theme="1"/>
        <sz val="11.0"/>
      </rPr>
      <t>=      E</t>
    </r>
    <r>
      <rPr>
        <rFont val="Times New Roman"/>
        <color theme="1"/>
        <sz val="11.0"/>
        <vertAlign val="subscript"/>
      </rPr>
      <t>s</t>
    </r>
    <r>
      <rPr>
        <rFont val="Times New Roman"/>
        <color theme="1"/>
        <sz val="11.0"/>
      </rPr>
      <t>/E</t>
    </r>
    <r>
      <rPr>
        <rFont val="Times New Roman"/>
        <color theme="1"/>
        <sz val="11.0"/>
        <vertAlign val="subscript"/>
      </rPr>
      <t>b</t>
    </r>
    <r>
      <rPr>
        <rFont val="Times New Roman"/>
        <color theme="1"/>
        <sz val="11.0"/>
      </rPr>
      <t>=</t>
    </r>
  </si>
  <si>
    <t>- Hệ số moment</t>
  </si>
  <si>
    <r>
      <rPr>
        <rFont val="Times New Roman"/>
        <color theme="1"/>
        <sz val="12.0"/>
      </rPr>
      <t>E</t>
    </r>
    <r>
      <rPr>
        <rFont val="Times New Roman"/>
        <color theme="1"/>
        <sz val="12.0"/>
        <vertAlign val="subscript"/>
      </rPr>
      <t>b</t>
    </r>
    <r>
      <rPr>
        <rFont val="Times New Roman"/>
        <color theme="1"/>
        <sz val="12.0"/>
      </rPr>
      <t>=</t>
    </r>
  </si>
  <si>
    <t>không cần đến !!!</t>
  </si>
  <si>
    <t>Không xét tr.hợp x&lt;2a'</t>
  </si>
  <si>
    <r>
      <rPr>
        <rFont val="Times New Roman"/>
        <color theme="1"/>
        <sz val="12.0"/>
      </rPr>
      <t>E</t>
    </r>
    <r>
      <rPr>
        <rFont val="Times New Roman"/>
        <color theme="1"/>
        <sz val="12.0"/>
        <vertAlign val="subscript"/>
      </rPr>
      <t>s</t>
    </r>
    <r>
      <rPr>
        <rFont val="Times New Roman"/>
        <color theme="1"/>
        <sz val="12.0"/>
      </rPr>
      <t>=</t>
    </r>
  </si>
  <si>
    <t>Tên phần 
tử</t>
  </si>
  <si>
    <t>Giá trị 2 cặp nội lực</t>
  </si>
  <si>
    <t>Ch.cao cột       H</t>
  </si>
  <si>
    <t>b</t>
  </si>
  <si>
    <t>h</t>
  </si>
  <si>
    <r>
      <rPr>
        <rFont val="Times New Roman"/>
        <color theme="1"/>
        <sz val="12.0"/>
      </rPr>
      <t>Lớp b.vệ a=a'</t>
    </r>
    <r>
      <rPr>
        <rFont val="Times New Roman"/>
        <color theme="1"/>
        <sz val="11.0"/>
      </rPr>
      <t xml:space="preserve"> </t>
    </r>
  </si>
  <si>
    <r>
      <rPr>
        <rFont val="Times New Roman"/>
        <color theme="1"/>
        <sz val="12.0"/>
      </rPr>
      <t>h</t>
    </r>
    <r>
      <rPr>
        <rFont val="Times New Roman"/>
        <color theme="1"/>
        <sz val="12.0"/>
        <vertAlign val="subscript"/>
      </rPr>
      <t>o</t>
    </r>
    <r>
      <rPr>
        <rFont val="Times New Roman"/>
        <color theme="1"/>
        <sz val="11.0"/>
      </rPr>
      <t xml:space="preserve">   </t>
    </r>
  </si>
  <si>
    <r>
      <rPr>
        <rFont val="Times New Roman"/>
        <color theme="1"/>
        <sz val="12.0"/>
      </rPr>
      <t>e</t>
    </r>
    <r>
      <rPr>
        <rFont val="Times New Roman"/>
        <color theme="1"/>
        <sz val="11.0"/>
        <vertAlign val="subscript"/>
      </rPr>
      <t>ox1</t>
    </r>
  </si>
  <si>
    <r>
      <rPr>
        <rFont val="Times New Roman"/>
        <color theme="1"/>
        <sz val="12.0"/>
      </rPr>
      <t>e</t>
    </r>
    <r>
      <rPr>
        <rFont val="Times New Roman"/>
        <color theme="1"/>
        <sz val="11.0"/>
        <vertAlign val="subscript"/>
      </rPr>
      <t>ox2</t>
    </r>
  </si>
  <si>
    <r>
      <rPr>
        <rFont val="Times New Roman"/>
        <color theme="1"/>
        <sz val="12.0"/>
      </rPr>
      <t>I</t>
    </r>
    <r>
      <rPr>
        <rFont val="Times New Roman"/>
        <color theme="1"/>
        <sz val="12.0"/>
        <vertAlign val="subscript"/>
      </rPr>
      <t>s-x1</t>
    </r>
  </si>
  <si>
    <r>
      <rPr>
        <rFont val="Times New Roman"/>
        <color theme="1"/>
        <sz val="12.0"/>
      </rPr>
      <t>I</t>
    </r>
    <r>
      <rPr>
        <rFont val="Times New Roman"/>
        <color theme="1"/>
        <sz val="12.0"/>
        <vertAlign val="subscript"/>
      </rPr>
      <t>s-x2</t>
    </r>
  </si>
  <si>
    <r>
      <rPr>
        <rFont val="Times New Roman"/>
        <color theme="1"/>
        <sz val="12.0"/>
      </rPr>
      <t>I</t>
    </r>
    <r>
      <rPr>
        <rFont val="Times New Roman"/>
        <color theme="1"/>
        <sz val="12.0"/>
        <vertAlign val="subscript"/>
      </rPr>
      <t>b-x</t>
    </r>
  </si>
  <si>
    <t>S    phương x1</t>
  </si>
  <si>
    <t>S    phương x2</t>
  </si>
  <si>
    <r>
      <rPr>
        <rFont val="Times New Roman"/>
        <color theme="1"/>
        <sz val="11.0"/>
      </rPr>
      <t>N</t>
    </r>
    <r>
      <rPr>
        <rFont val="Times New Roman"/>
        <color theme="1"/>
        <sz val="11.0"/>
        <vertAlign val="subscript"/>
      </rPr>
      <t>cr</t>
    </r>
    <r>
      <rPr>
        <rFont val="Times New Roman"/>
        <color theme="1"/>
        <sz val="11.0"/>
      </rPr>
      <t xml:space="preserve">   phương x1      </t>
    </r>
    <r>
      <rPr>
        <rFont val="Times New Roman"/>
        <i/>
        <color theme="1"/>
        <sz val="11.0"/>
      </rPr>
      <t>(Tonf)</t>
    </r>
  </si>
  <si>
    <r>
      <rPr>
        <rFont val="Times New Roman"/>
        <color theme="1"/>
        <sz val="11.0"/>
      </rPr>
      <t>N</t>
    </r>
    <r>
      <rPr>
        <rFont val="Times New Roman"/>
        <color theme="1"/>
        <sz val="11.0"/>
        <vertAlign val="subscript"/>
      </rPr>
      <t>cr</t>
    </r>
    <r>
      <rPr>
        <rFont val="Times New Roman"/>
        <color theme="1"/>
        <sz val="11.0"/>
      </rPr>
      <t xml:space="preserve">   phương x2      </t>
    </r>
    <r>
      <rPr>
        <rFont val="Times New Roman"/>
        <i/>
        <color theme="1"/>
        <sz val="11.0"/>
      </rPr>
      <t>(Tonf)</t>
    </r>
  </si>
  <si>
    <r>
      <rPr>
        <rFont val="Noto Sans Symbols"/>
        <color theme="1"/>
        <sz val="11.0"/>
      </rPr>
      <t>h</t>
    </r>
    <r>
      <rPr>
        <rFont val="Times New Roman"/>
        <color theme="1"/>
        <sz val="11.0"/>
      </rPr>
      <t xml:space="preserve">     phương x1</t>
    </r>
  </si>
  <si>
    <r>
      <rPr>
        <rFont val="Noto Sans Symbols"/>
        <color theme="1"/>
        <sz val="11.0"/>
      </rPr>
      <t>h</t>
    </r>
    <r>
      <rPr>
        <rFont val="Times New Roman"/>
        <color theme="1"/>
        <sz val="11.0"/>
      </rPr>
      <t xml:space="preserve">     phương x2</t>
    </r>
  </si>
  <si>
    <t>e'  phương x1</t>
  </si>
  <si>
    <t>e'   phương x2</t>
  </si>
  <si>
    <t>e    phương x1</t>
  </si>
  <si>
    <t>e    phương x2</t>
  </si>
  <si>
    <t>x  phương x1</t>
  </si>
  <si>
    <t>x  phương x2</t>
  </si>
  <si>
    <t>x'  phương x1</t>
  </si>
  <si>
    <t>x'  phương x2</t>
  </si>
  <si>
    <r>
      <rPr>
        <rFont val="Times New Roman"/>
        <color theme="1"/>
        <sz val="11.0"/>
      </rPr>
      <t>A</t>
    </r>
    <r>
      <rPr>
        <rFont val="Times New Roman"/>
        <color theme="1"/>
        <sz val="11.0"/>
        <vertAlign val="subscript"/>
      </rPr>
      <t>s</t>
    </r>
    <r>
      <rPr>
        <rFont val="Times New Roman"/>
        <color theme="1"/>
        <sz val="11.0"/>
      </rPr>
      <t xml:space="preserve"> (cm</t>
    </r>
    <r>
      <rPr>
        <rFont val="Times New Roman"/>
        <color theme="1"/>
        <sz val="11.0"/>
        <vertAlign val="superscript"/>
      </rPr>
      <t>2</t>
    </r>
    <r>
      <rPr>
        <rFont val="Times New Roman"/>
        <color theme="1"/>
        <sz val="11.0"/>
      </rPr>
      <t xml:space="preserve">) cạnh h       </t>
    </r>
  </si>
  <si>
    <t>Phương cạnh h</t>
  </si>
  <si>
    <t>Tính và chọn thép (bố trí dọc cạnh b)</t>
  </si>
  <si>
    <t>Cặp nội lực 1</t>
  </si>
  <si>
    <t>Cặp nội lực 2</t>
  </si>
  <si>
    <t>Cặp 1</t>
  </si>
  <si>
    <t>Cặp 2</t>
  </si>
  <si>
    <r>
      <rPr>
        <rFont val="Times New Roman"/>
        <color theme="1"/>
        <sz val="11.0"/>
      </rPr>
      <t>A</t>
    </r>
    <r>
      <rPr>
        <rFont val="Times New Roman"/>
        <color theme="1"/>
        <sz val="11.0"/>
        <vertAlign val="subscript"/>
      </rPr>
      <t>s</t>
    </r>
    <r>
      <rPr>
        <rFont val="Times New Roman"/>
        <color theme="1"/>
        <sz val="11.0"/>
      </rPr>
      <t>=A</t>
    </r>
    <r>
      <rPr>
        <rFont val="Times New Roman"/>
        <color theme="1"/>
        <sz val="11.0"/>
        <vertAlign val="subscript"/>
      </rPr>
      <t>s'</t>
    </r>
  </si>
  <si>
    <t>chọn thép</t>
  </si>
  <si>
    <r>
      <rPr>
        <rFont val="Times New Roman"/>
        <color theme="1"/>
        <sz val="11.0"/>
      </rPr>
      <t>A</t>
    </r>
    <r>
      <rPr>
        <rFont val="Times New Roman"/>
        <color theme="1"/>
        <sz val="11.0"/>
        <vertAlign val="subscript"/>
      </rPr>
      <t>s chon</t>
    </r>
  </si>
  <si>
    <r>
      <rPr>
        <rFont val="Noto Sans Symbols"/>
        <color theme="1"/>
        <sz val="11.0"/>
      </rPr>
      <t>m</t>
    </r>
    <r>
      <rPr>
        <rFont val="Times New Roman"/>
        <color theme="1"/>
        <sz val="10.0"/>
        <vertAlign val="subscript"/>
      </rPr>
      <t>chọn</t>
    </r>
  </si>
  <si>
    <t>cm</t>
  </si>
  <si>
    <r>
      <rPr>
        <rFont val="Times New Roman"/>
        <i/>
        <color theme="1"/>
        <sz val="12.0"/>
      </rPr>
      <t>cm</t>
    </r>
    <r>
      <rPr>
        <rFont val="Times New Roman"/>
        <i/>
        <color theme="1"/>
        <sz val="12.0"/>
        <vertAlign val="superscript"/>
      </rPr>
      <t>4</t>
    </r>
  </si>
  <si>
    <r>
      <rPr>
        <rFont val="Times New Roman"/>
        <i/>
        <color theme="1"/>
        <sz val="12.0"/>
      </rPr>
      <t>cm</t>
    </r>
    <r>
      <rPr>
        <rFont val="Times New Roman"/>
        <i/>
        <color theme="1"/>
        <sz val="12.0"/>
        <vertAlign val="superscript"/>
      </rPr>
      <t>4</t>
    </r>
  </si>
  <si>
    <r>
      <rPr>
        <rFont val="Times New Roman"/>
        <i/>
        <color theme="1"/>
        <sz val="12.0"/>
      </rPr>
      <t>cm</t>
    </r>
    <r>
      <rPr>
        <rFont val="Times New Roman"/>
        <i/>
        <color theme="1"/>
        <sz val="12.0"/>
        <vertAlign val="superscript"/>
      </rPr>
      <t>4</t>
    </r>
  </si>
  <si>
    <r>
      <rPr>
        <rFont val="Noto Sans Symbols"/>
        <color theme="1"/>
        <sz val="11.0"/>
      </rPr>
      <t>m</t>
    </r>
    <r>
      <rPr>
        <rFont val="Times New Roman"/>
        <color theme="1"/>
        <sz val="11.0"/>
        <vertAlign val="subscript"/>
      </rPr>
      <t>tt</t>
    </r>
    <r>
      <rPr>
        <rFont val="Times New Roman"/>
        <color theme="1"/>
        <sz val="11.0"/>
      </rPr>
      <t xml:space="preserve"> (%)</t>
    </r>
  </si>
  <si>
    <r>
      <rPr>
        <rFont val="Noto Sans Symbols"/>
        <color theme="1"/>
        <sz val="11.0"/>
      </rPr>
      <t>m</t>
    </r>
    <r>
      <rPr>
        <rFont val="Times New Roman"/>
        <color theme="1"/>
        <sz val="11.0"/>
        <vertAlign val="subscript"/>
      </rPr>
      <t>gt</t>
    </r>
    <r>
      <rPr>
        <rFont val="Times New Roman"/>
        <color theme="1"/>
        <sz val="11.0"/>
      </rPr>
      <t xml:space="preserve"> (%)</t>
    </r>
  </si>
  <si>
    <r>
      <rPr>
        <rFont val="Noto Sans Symbols"/>
        <color theme="1"/>
        <sz val="11.0"/>
      </rPr>
      <t>m</t>
    </r>
    <r>
      <rPr>
        <rFont val="Times New Roman"/>
        <color theme="1"/>
        <sz val="11.0"/>
        <vertAlign val="subscript"/>
      </rPr>
      <t>tt</t>
    </r>
    <r>
      <rPr>
        <rFont val="Times New Roman"/>
        <color theme="1"/>
        <sz val="11.0"/>
      </rPr>
      <t xml:space="preserve"> (%)</t>
    </r>
  </si>
  <si>
    <r>
      <rPr>
        <rFont val="Noto Sans Symbols"/>
        <color theme="1"/>
        <sz val="11.0"/>
      </rPr>
      <t>m</t>
    </r>
    <r>
      <rPr>
        <rFont val="Times New Roman"/>
        <color theme="1"/>
        <sz val="11.0"/>
        <vertAlign val="subscript"/>
      </rPr>
      <t>gt</t>
    </r>
    <r>
      <rPr>
        <rFont val="Times New Roman"/>
        <color theme="1"/>
        <sz val="11.0"/>
      </rPr>
      <t xml:space="preserve"> (%)</t>
    </r>
  </si>
  <si>
    <r>
      <rPr>
        <rFont val="Times New Roman"/>
        <color theme="1"/>
        <sz val="11.0"/>
      </rPr>
      <t>cm</t>
    </r>
    <r>
      <rPr>
        <rFont val="Times New Roman"/>
        <color theme="1"/>
        <sz val="11.0"/>
        <vertAlign val="superscript"/>
      </rPr>
      <t>2</t>
    </r>
  </si>
  <si>
    <t>n</t>
  </si>
  <si>
    <t>f</t>
  </si>
  <si>
    <r>
      <rPr>
        <rFont val="Times New Roman"/>
        <color theme="1"/>
        <sz val="11.0"/>
      </rPr>
      <t>cm</t>
    </r>
    <r>
      <rPr>
        <rFont val="Times New Roman"/>
        <color theme="1"/>
        <sz val="11.0"/>
        <vertAlign val="superscript"/>
      </rPr>
      <t>2</t>
    </r>
  </si>
  <si>
    <t>(%)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</si>
</sst>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00"/>
  </numFmts>
  <fonts count="35">
    <font>
      <sz val="10.0"/>
      <color rgb="FF000000"/>
      <name val="Arial"/>
    </font>
    <font>
      <b/>
      <sz val="10.0"/>
      <color theme="1"/>
      <name val="Arial"/>
    </font>
    <font>
      <sz val="10.0"/>
      <color theme="1"/>
      <name val="Arial"/>
    </font>
    <font>
      <sz val="11.0"/>
      <color theme="1"/>
      <name val="Calibri"/>
    </font>
    <font>
      <sz val="9.0"/>
      <color theme="1"/>
      <name val="Arial"/>
    </font>
    <font>
      <b/>
      <sz val="10.0"/>
      <color rgb="FFFF0000"/>
      <name val="Arial"/>
    </font>
    <font>
      <b/>
      <sz val="14.0"/>
      <color theme="1"/>
      <name val="Arial"/>
    </font>
    <font/>
    <font>
      <b/>
      <sz val="9.0"/>
      <color theme="1"/>
      <name val="Arial"/>
    </font>
    <font>
      <i/>
      <sz val="9.0"/>
      <color theme="1"/>
      <name val="Arial"/>
    </font>
    <font>
      <b/>
      <sz val="9.0"/>
      <color rgb="FFFF0000"/>
      <name val="Arial"/>
    </font>
    <font>
      <b/>
      <sz val="16.0"/>
      <color theme="1"/>
      <name val="Arial"/>
    </font>
    <font>
      <sz val="8.0"/>
      <color theme="1"/>
      <name val="Times New Roman"/>
    </font>
    <font>
      <sz val="20.0"/>
      <color theme="1"/>
      <name val="Times New Roman"/>
    </font>
    <font>
      <b/>
      <i/>
      <sz val="20.0"/>
      <color theme="1"/>
      <name val="Times New Roman"/>
    </font>
    <font>
      <b/>
      <i/>
      <sz val="14.0"/>
      <color theme="1"/>
      <name val="Times New Roman"/>
    </font>
    <font>
      <sz val="14.0"/>
      <color theme="1"/>
      <name val="Times New Roman"/>
    </font>
    <font>
      <b/>
      <i/>
      <sz val="18.0"/>
      <color theme="1"/>
      <name val="Times New Roman"/>
    </font>
    <font>
      <sz val="12.0"/>
      <color theme="1"/>
      <name val="Times New Roman"/>
    </font>
    <font>
      <b/>
      <sz val="12.0"/>
      <color rgb="FFFF0000"/>
      <name val="Times New Roman"/>
    </font>
    <font>
      <sz val="12.0"/>
      <color theme="1"/>
      <name val="Noto Sans Symbols"/>
    </font>
    <font>
      <sz val="11.0"/>
      <color theme="1"/>
      <name val="Times New Roman"/>
    </font>
    <font>
      <b/>
      <i/>
      <sz val="8.0"/>
      <color theme="1"/>
      <name val="Times New Roman"/>
    </font>
    <font>
      <b/>
      <i/>
      <sz val="10.0"/>
      <color theme="1"/>
      <name val="Times New Roman"/>
    </font>
    <font>
      <sz val="12.0"/>
      <color rgb="FFFF0000"/>
      <name val="Times New Roman"/>
    </font>
    <font>
      <sz val="11.0"/>
      <color theme="1"/>
      <name val="Noto Sans Symbols"/>
    </font>
    <font>
      <sz val="9.0"/>
      <color theme="1"/>
      <name val="Times New Roman"/>
    </font>
    <font>
      <i/>
      <sz val="9.0"/>
      <color rgb="FFFF0000"/>
      <name val="Arial"/>
    </font>
    <font>
      <sz val="9.0"/>
      <color rgb="FFFF0000"/>
      <name val="Arial"/>
    </font>
    <font>
      <b/>
      <sz val="11.0"/>
      <color rgb="FFFF0000"/>
      <name val="Times New Roman"/>
    </font>
    <font>
      <b/>
      <sz val="10.0"/>
      <color theme="1"/>
      <name val="Times New Roman"/>
    </font>
    <font>
      <sz val="10.0"/>
      <color theme="1"/>
      <name val="Times New Roman"/>
    </font>
    <font>
      <b/>
      <i/>
      <sz val="12.0"/>
      <color theme="1"/>
      <name val="Times New Roman"/>
    </font>
    <font>
      <i/>
      <sz val="11.0"/>
      <color theme="1"/>
      <name val="Times New Roman"/>
    </font>
    <font>
      <i/>
      <sz val="12.0"/>
      <color theme="1"/>
      <name val="Times New Roman"/>
    </font>
  </fonts>
  <fills count="10">
    <fill>
      <patternFill patternType="none"/>
    </fill>
    <fill>
      <patternFill patternType="lightGray"/>
    </fill>
    <fill>
      <patternFill patternType="solid">
        <fgColor rgb="FF33CCCC"/>
        <bgColor rgb="FF33CCCC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00CCFF"/>
        <bgColor rgb="FF00CCFF"/>
      </patternFill>
    </fill>
    <fill>
      <patternFill patternType="solid">
        <fgColor rgb="FF339966"/>
        <bgColor rgb="FF339966"/>
      </patternFill>
    </fill>
    <fill>
      <patternFill patternType="solid">
        <fgColor rgb="FFCCFFCC"/>
        <bgColor rgb="FFCCFFCC"/>
      </patternFill>
    </fill>
    <fill>
      <patternFill patternType="solid">
        <fgColor rgb="FF99CCFF"/>
        <bgColor rgb="FF99CCFF"/>
      </patternFill>
    </fill>
    <fill>
      <patternFill patternType="solid">
        <fgColor rgb="FFC0C0C0"/>
        <bgColor rgb="FFC0C0C0"/>
      </patternFill>
    </fill>
  </fills>
  <borders count="57">
    <border/>
    <border>
      <left/>
      <right/>
      <top/>
      <bottom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/>
      <right/>
      <top style="medium">
        <color rgb="FF000000"/>
      </top>
      <bottom/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/>
      <top/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</border>
    <border>
      <top style="medium">
        <color rgb="FF000000"/>
      </top>
      <bottom style="dotted">
        <color rgb="FF000000"/>
      </bottom>
    </border>
    <border>
      <left style="thin">
        <color rgb="FF000000"/>
      </left>
      <right/>
      <top style="medium">
        <color rgb="FF000000"/>
      </top>
      <bottom style="dotted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dotted">
        <color rgb="FF000000"/>
      </top>
      <bottom style="dotted">
        <color rgb="FF000000"/>
      </bottom>
    </border>
    <border>
      <left style="thin">
        <color rgb="FF000000"/>
      </left>
      <right/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</border>
    <border>
      <left/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left style="medium">
        <color rgb="FF000000"/>
      </left>
      <right/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medium">
        <color rgb="FF000000"/>
      </right>
      <bottom/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top style="medium">
        <color rgb="FF000000"/>
      </top>
      <bottom/>
    </border>
    <border>
      <right style="thin">
        <color rgb="FF000000"/>
      </right>
      <top style="medium">
        <color rgb="FF000000"/>
      </top>
      <bottom/>
    </border>
    <border>
      <left style="medium">
        <color rgb="FF000000"/>
      </left>
      <right/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dotted">
        <color rgb="FF000000"/>
      </bottom>
    </border>
    <border>
      <left/>
      <right style="thin">
        <color rgb="FF000000"/>
      </right>
      <top/>
      <bottom style="dotted">
        <color rgb="FF000000"/>
      </bottom>
    </border>
    <border>
      <left style="thin">
        <color rgb="FF000000"/>
      </left>
      <right style="thin">
        <color rgb="FF000000"/>
      </right>
      <top/>
      <bottom style="dotted">
        <color rgb="FF000000"/>
      </bottom>
    </border>
    <border>
      <left style="thin">
        <color rgb="FF000000"/>
      </left>
      <right style="double">
        <color rgb="FF000000"/>
      </right>
      <top/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bottom style="dotted">
        <color rgb="FF000000"/>
      </bottom>
    </border>
    <border>
      <left style="double">
        <color rgb="FF000000"/>
      </left>
      <right style="thin">
        <color rgb="FF000000"/>
      </right>
      <top/>
      <bottom style="dotted">
        <color rgb="FF000000"/>
      </bottom>
    </border>
    <border>
      <left style="thin">
        <color rgb="FF000000"/>
      </left>
      <right style="double">
        <color rgb="FF000000"/>
      </right>
      <top style="medium">
        <color rgb="FF000000"/>
      </top>
      <bottom style="dotted">
        <color rgb="FF000000"/>
      </bottom>
    </border>
    <border>
      <left style="thin">
        <color rgb="FF000000"/>
      </left>
      <bottom style="dotted">
        <color rgb="FF000000"/>
      </bottom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/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double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6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1" fillId="2" fontId="2" numFmtId="0" xfId="0" applyAlignment="1" applyBorder="1" applyFont="1">
      <alignment shrinkToFit="0" vertical="bottom" wrapText="0"/>
    </xf>
    <xf borderId="2" fillId="3" fontId="1" numFmtId="0" xfId="0" applyAlignment="1" applyBorder="1" applyFill="1" applyFont="1">
      <alignment horizontal="center" shrinkToFit="0" vertical="bottom" wrapText="0"/>
    </xf>
    <xf borderId="2" fillId="3" fontId="2" numFmtId="0" xfId="0" applyAlignment="1" applyBorder="1" applyFont="1">
      <alignment horizontal="center" shrinkToFit="0" vertical="bottom" wrapText="0"/>
    </xf>
    <xf borderId="0" fillId="0" fontId="3" numFmtId="49" xfId="0" applyAlignment="1" applyFont="1" applyNumberFormat="1">
      <alignment shrinkToFit="0" vertical="bottom" wrapText="0"/>
    </xf>
    <xf borderId="0" fillId="0" fontId="3" numFmtId="0" xfId="0" applyFont="1"/>
    <xf borderId="0" fillId="0" fontId="4" numFmtId="0" xfId="0" applyAlignment="1" applyFont="1">
      <alignment shrinkToFit="0" vertical="center" wrapText="0"/>
    </xf>
    <xf borderId="0" fillId="0" fontId="4" numFmtId="0" xfId="0" applyAlignment="1" applyFont="1">
      <alignment horizontal="center" shrinkToFit="0" vertical="center" wrapText="0"/>
    </xf>
    <xf borderId="1" fillId="2" fontId="5" numFmtId="0" xfId="0" applyAlignment="1" applyBorder="1" applyFont="1">
      <alignment horizontal="left" shrinkToFit="0" vertical="center" wrapText="0"/>
    </xf>
    <xf borderId="1" fillId="2" fontId="2" numFmtId="0" xfId="0" applyAlignment="1" applyBorder="1" applyFont="1">
      <alignment horizontal="center" shrinkToFit="0" vertical="center" wrapText="0"/>
    </xf>
    <xf borderId="1" fillId="2" fontId="2" numFmtId="0" xfId="0" applyAlignment="1" applyBorder="1" applyFont="1">
      <alignment shrinkToFit="0" vertical="center" wrapText="0"/>
    </xf>
    <xf borderId="2" fillId="3" fontId="1" numFmtId="0" xfId="0" applyAlignment="1" applyBorder="1" applyFont="1">
      <alignment horizontal="center" shrinkToFit="0" vertical="center" wrapText="0"/>
    </xf>
    <xf borderId="2" fillId="3" fontId="2" numFmtId="0" xfId="0" applyAlignment="1" applyBorder="1" applyFont="1">
      <alignment horizontal="center" shrinkToFit="0" vertical="center" wrapText="0"/>
    </xf>
    <xf borderId="0" fillId="0" fontId="2" numFmtId="49" xfId="0" applyAlignment="1" applyFont="1" applyNumberFormat="1">
      <alignment horizontal="center" shrinkToFit="0" vertical="center" wrapText="0"/>
    </xf>
    <xf borderId="0" fillId="0" fontId="2" numFmtId="0" xfId="0" applyAlignment="1" applyFont="1">
      <alignment horizontal="center" shrinkToFit="0" vertical="center" wrapText="0"/>
    </xf>
    <xf borderId="0" fillId="0" fontId="2" numFmtId="0" xfId="0" applyAlignment="1" applyFont="1">
      <alignment shrinkToFit="0" vertical="center" wrapText="0"/>
    </xf>
    <xf borderId="3" fillId="0" fontId="6" numFmtId="0" xfId="0" applyAlignment="1" applyBorder="1" applyFont="1">
      <alignment horizontal="center" shrinkToFit="0" vertical="center" wrapText="0"/>
    </xf>
    <xf borderId="3" fillId="0" fontId="7" numFmtId="0" xfId="0" applyBorder="1" applyFont="1"/>
    <xf borderId="1" fillId="4" fontId="4" numFmtId="0" xfId="0" applyAlignment="1" applyBorder="1" applyFill="1" applyFont="1">
      <alignment shrinkToFit="0" vertical="center" wrapText="0"/>
    </xf>
    <xf borderId="4" fillId="5" fontId="8" numFmtId="0" xfId="0" applyAlignment="1" applyBorder="1" applyFill="1" applyFont="1">
      <alignment horizontal="center" shrinkToFit="0" vertical="center" wrapText="0"/>
    </xf>
    <xf borderId="5" fillId="6" fontId="8" numFmtId="0" xfId="0" applyAlignment="1" applyBorder="1" applyFill="1" applyFont="1">
      <alignment horizontal="center" shrinkToFit="0" vertical="center" wrapText="0"/>
    </xf>
    <xf borderId="6" fillId="5" fontId="8" numFmtId="0" xfId="0" applyAlignment="1" applyBorder="1" applyFont="1">
      <alignment horizontal="center" shrinkToFit="0" vertical="center" wrapText="0"/>
    </xf>
    <xf borderId="7" fillId="0" fontId="7" numFmtId="0" xfId="0" applyBorder="1" applyFont="1"/>
    <xf borderId="8" fillId="0" fontId="7" numFmtId="0" xfId="0" applyBorder="1" applyFont="1"/>
    <xf borderId="9" fillId="5" fontId="8" numFmtId="0" xfId="0" applyAlignment="1" applyBorder="1" applyFont="1">
      <alignment horizontal="center" shrinkToFit="0" vertical="center" wrapText="0"/>
    </xf>
    <xf borderId="1" fillId="6" fontId="4" numFmtId="0" xfId="0" applyAlignment="1" applyBorder="1" applyFont="1">
      <alignment horizontal="center" shrinkToFit="0" vertical="center" wrapText="0"/>
    </xf>
    <xf borderId="10" fillId="7" fontId="8" numFmtId="0" xfId="0" applyAlignment="1" applyBorder="1" applyFill="1" applyFont="1">
      <alignment horizontal="center" shrinkToFit="0" vertical="center" wrapText="0"/>
    </xf>
    <xf borderId="10" fillId="8" fontId="8" numFmtId="0" xfId="0" applyAlignment="1" applyBorder="1" applyFill="1" applyFont="1">
      <alignment horizontal="center" shrinkToFit="0" vertical="center" wrapText="0"/>
    </xf>
    <xf borderId="11" fillId="8" fontId="8" numFmtId="0" xfId="0" applyAlignment="1" applyBorder="1" applyFont="1">
      <alignment horizontal="center" shrinkToFit="0" vertical="center" wrapText="0"/>
    </xf>
    <xf borderId="12" fillId="5" fontId="8" numFmtId="0" xfId="0" applyAlignment="1" applyBorder="1" applyFont="1">
      <alignment horizontal="center" shrinkToFit="0" vertical="center" wrapText="0"/>
    </xf>
    <xf borderId="13" fillId="6" fontId="4" numFmtId="0" xfId="0" applyAlignment="1" applyBorder="1" applyFont="1">
      <alignment horizontal="center" shrinkToFit="0" vertical="center" wrapText="0"/>
    </xf>
    <xf borderId="14" fillId="7" fontId="9" numFmtId="0" xfId="0" applyAlignment="1" applyBorder="1" applyFont="1">
      <alignment horizontal="center" shrinkToFit="0" vertical="center" wrapText="0"/>
    </xf>
    <xf borderId="14" fillId="8" fontId="9" numFmtId="0" xfId="0" applyAlignment="1" applyBorder="1" applyFont="1">
      <alignment horizontal="center" shrinkToFit="0" vertical="center" wrapText="0"/>
    </xf>
    <xf borderId="15" fillId="8" fontId="9" numFmtId="0" xfId="0" applyAlignment="1" applyBorder="1" applyFont="1">
      <alignment horizontal="center" shrinkToFit="0" vertical="center" wrapText="0"/>
    </xf>
    <xf borderId="16" fillId="0" fontId="8" numFmtId="49" xfId="0" applyAlignment="1" applyBorder="1" applyFont="1" applyNumberFormat="1">
      <alignment horizontal="center" shrinkToFit="0" vertical="center" wrapText="0"/>
    </xf>
    <xf borderId="17" fillId="0" fontId="10" numFmtId="0" xfId="0" applyAlignment="1" applyBorder="1" applyFont="1">
      <alignment horizontal="center" shrinkToFit="0" vertical="center" wrapText="0"/>
    </xf>
    <xf borderId="16" fillId="7" fontId="4" numFmtId="2" xfId="0" applyAlignment="1" applyBorder="1" applyFont="1" applyNumberFormat="1">
      <alignment shrinkToFit="0" vertical="center" wrapText="0"/>
    </xf>
    <xf borderId="18" fillId="7" fontId="4" numFmtId="2" xfId="0" applyAlignment="1" applyBorder="1" applyFont="1" applyNumberFormat="1">
      <alignment shrinkToFit="0" vertical="center" wrapText="0"/>
    </xf>
    <xf borderId="18" fillId="8" fontId="4" numFmtId="2" xfId="0" applyAlignment="1" applyBorder="1" applyFont="1" applyNumberFormat="1">
      <alignment shrinkToFit="0" vertical="center" wrapText="0"/>
    </xf>
    <xf borderId="16" fillId="8" fontId="4" numFmtId="2" xfId="0" applyAlignment="1" applyBorder="1" applyFont="1" applyNumberFormat="1">
      <alignment shrinkToFit="0" vertical="center" wrapText="0"/>
    </xf>
    <xf borderId="19" fillId="0" fontId="4" numFmtId="0" xfId="0" applyAlignment="1" applyBorder="1" applyFont="1">
      <alignment shrinkToFit="0" vertical="center" wrapText="0"/>
    </xf>
    <xf borderId="20" fillId="0" fontId="8" numFmtId="49" xfId="0" applyAlignment="1" applyBorder="1" applyFont="1" applyNumberFormat="1">
      <alignment horizontal="center" shrinkToFit="0" vertical="center" wrapText="0"/>
    </xf>
    <xf borderId="21" fillId="0" fontId="4" numFmtId="0" xfId="0" applyAlignment="1" applyBorder="1" applyFont="1">
      <alignment horizontal="center" shrinkToFit="0" vertical="center" wrapText="0"/>
    </xf>
    <xf borderId="20" fillId="7" fontId="4" numFmtId="2" xfId="0" applyAlignment="1" applyBorder="1" applyFont="1" applyNumberFormat="1">
      <alignment shrinkToFit="0" vertical="center" wrapText="0"/>
    </xf>
    <xf borderId="22" fillId="7" fontId="4" numFmtId="2" xfId="0" applyAlignment="1" applyBorder="1" applyFont="1" applyNumberFormat="1">
      <alignment shrinkToFit="0" vertical="center" wrapText="0"/>
    </xf>
    <xf borderId="22" fillId="8" fontId="4" numFmtId="2" xfId="0" applyAlignment="1" applyBorder="1" applyFont="1" applyNumberFormat="1">
      <alignment shrinkToFit="0" vertical="center" wrapText="0"/>
    </xf>
    <xf borderId="20" fillId="8" fontId="4" numFmtId="2" xfId="0" applyAlignment="1" applyBorder="1" applyFont="1" applyNumberFormat="1">
      <alignment shrinkToFit="0" vertical="center" wrapText="0"/>
    </xf>
    <xf borderId="0" fillId="0" fontId="11" numFmtId="0" xfId="0" applyAlignment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2" numFmtId="0" xfId="0" applyAlignment="1" applyFont="1">
      <alignment horizontal="center" shrinkToFit="0" vertical="bottom" wrapText="0"/>
    </xf>
    <xf borderId="0" fillId="0" fontId="13" numFmtId="0" xfId="0" applyAlignment="1" applyFont="1">
      <alignment horizontal="center"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horizontal="center" shrinkToFit="0" vertical="bottom" wrapText="0"/>
    </xf>
    <xf borderId="0" fillId="0" fontId="16" numFmtId="0" xfId="0" applyAlignment="1" applyFont="1">
      <alignment horizontal="center" shrinkToFit="0" vertical="bottom" wrapText="0"/>
    </xf>
    <xf borderId="0" fillId="0" fontId="12" numFmtId="2" xfId="0" applyAlignment="1" applyFont="1" applyNumberFormat="1">
      <alignment horizontal="center" shrinkToFit="0" vertical="bottom" wrapText="0"/>
    </xf>
    <xf borderId="0" fillId="0" fontId="17" numFmtId="0" xfId="0" applyAlignment="1" applyFont="1">
      <alignment shrinkToFit="0" vertical="bottom" wrapText="0"/>
    </xf>
    <xf borderId="0" fillId="0" fontId="14" numFmtId="0" xfId="0" applyAlignment="1" applyFont="1">
      <alignment horizontal="center" shrinkToFit="0" vertical="bottom" wrapText="0"/>
    </xf>
    <xf borderId="0" fillId="0" fontId="18" numFmtId="2" xfId="0" applyAlignment="1" applyFont="1" applyNumberFormat="1">
      <alignment horizontal="center" shrinkToFit="0" vertical="bottom" wrapText="0"/>
    </xf>
    <xf borderId="0" fillId="0" fontId="18" numFmtId="0" xfId="0" applyAlignment="1" applyFont="1">
      <alignment shrinkToFit="0" vertical="center" wrapText="0"/>
    </xf>
    <xf borderId="1" fillId="9" fontId="19" numFmtId="164" xfId="0" applyAlignment="1" applyBorder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right" shrinkToFit="0" vertical="center" wrapText="0"/>
    </xf>
    <xf borderId="1" fillId="9" fontId="18" numFmtId="164" xfId="0" applyAlignment="1" applyBorder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0" fontId="20" numFmtId="0" xfId="0" applyAlignment="1" applyFont="1">
      <alignment horizontal="right" shrinkToFit="0" vertical="center" wrapText="0"/>
    </xf>
    <xf borderId="1" fillId="9" fontId="21" numFmtId="165" xfId="0" applyAlignment="1" applyBorder="1" applyFont="1" applyNumberFormat="1">
      <alignment horizontal="center" shrinkToFit="0" vertical="center" wrapText="0"/>
    </xf>
    <xf borderId="0" fillId="0" fontId="18" numFmtId="0" xfId="0" applyAlignment="1" applyFont="1">
      <alignment horizontal="center" shrinkToFit="0" vertical="bottom" wrapText="0"/>
    </xf>
    <xf borderId="0" fillId="0" fontId="22" numFmtId="0" xfId="0" applyAlignment="1" applyFont="1">
      <alignment horizontal="center" shrinkToFit="0" vertical="bottom" wrapText="0"/>
    </xf>
    <xf borderId="0" fillId="0" fontId="23" numFmtId="0" xfId="0" applyAlignment="1" applyFont="1">
      <alignment horizontal="center" shrinkToFit="0" vertical="bottom" wrapText="0"/>
    </xf>
    <xf borderId="0" fillId="0" fontId="12" numFmtId="0" xfId="0" applyAlignment="1" applyFont="1">
      <alignment horizontal="center" shrinkToFit="0" vertical="center" wrapText="0"/>
    </xf>
    <xf borderId="1" fillId="9" fontId="24" numFmtId="0" xfId="0" applyAlignment="1" applyBorder="1" applyFont="1">
      <alignment horizontal="center" shrinkToFit="0" vertical="center" wrapText="0"/>
    </xf>
    <xf borderId="0" fillId="0" fontId="21" numFmtId="0" xfId="0" applyAlignment="1" applyFont="1">
      <alignment horizontal="right" shrinkToFit="0" vertical="center" wrapText="0"/>
    </xf>
    <xf borderId="1" fillId="9" fontId="18" numFmtId="0" xfId="0" applyAlignment="1" applyBorder="1" applyFont="1">
      <alignment horizontal="center" shrinkToFit="0" vertical="center" wrapText="0"/>
    </xf>
    <xf borderId="0" fillId="0" fontId="25" numFmtId="0" xfId="0" applyAlignment="1" applyFont="1">
      <alignment horizontal="center" shrinkToFit="0" vertical="center" wrapText="1"/>
    </xf>
    <xf borderId="0" fillId="0" fontId="21" numFmtId="165" xfId="0" applyAlignment="1" applyFont="1" applyNumberFormat="1">
      <alignment horizontal="center" shrinkToFit="0" vertical="center" wrapText="0"/>
    </xf>
    <xf borderId="0" fillId="0" fontId="22" numFmtId="0" xfId="0" applyAlignment="1" applyFont="1">
      <alignment horizontal="center" shrinkToFit="0" vertical="center" wrapText="0"/>
    </xf>
    <xf borderId="0" fillId="0" fontId="23" numFmtId="0" xfId="0" applyAlignment="1" applyFont="1">
      <alignment horizontal="center" shrinkToFit="0" vertical="center" wrapText="0"/>
    </xf>
    <xf borderId="0" fillId="0" fontId="22" numFmtId="0" xfId="0" applyAlignment="1" applyFont="1">
      <alignment horizontal="left" shrinkToFit="0" vertical="center" wrapText="0"/>
    </xf>
    <xf borderId="0" fillId="0" fontId="12" numFmtId="165" xfId="0" applyAlignment="1" applyFont="1" applyNumberFormat="1">
      <alignment horizontal="center" shrinkToFit="0" vertical="center" wrapText="0"/>
    </xf>
    <xf borderId="0" fillId="0" fontId="26" numFmtId="2" xfId="0" applyAlignment="1" applyFont="1" applyNumberFormat="1">
      <alignment horizontal="center" shrinkToFit="0" vertical="center" wrapText="0"/>
    </xf>
    <xf borderId="0" fillId="0" fontId="26" numFmtId="0" xfId="0" applyAlignment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0" fontId="18" numFmtId="165" xfId="0" applyAlignment="1" applyFont="1" applyNumberFormat="1">
      <alignment horizontal="right" shrinkToFit="0" vertical="center" wrapText="0"/>
    </xf>
    <xf borderId="1" fillId="9" fontId="18" numFmtId="1" xfId="0" applyAlignment="1" applyBorder="1" applyFont="1" applyNumberFormat="1">
      <alignment horizontal="center" shrinkToFit="0" vertical="center" wrapText="0"/>
    </xf>
    <xf borderId="0" fillId="0" fontId="18" numFmtId="165" xfId="0" applyAlignment="1" applyFont="1" applyNumberFormat="1">
      <alignment horizontal="left" shrinkToFit="0" vertical="center" wrapText="0"/>
    </xf>
    <xf borderId="1" fillId="9" fontId="21" numFmtId="2" xfId="0" applyAlignment="1" applyBorder="1" applyFont="1" applyNumberFormat="1">
      <alignment horizontal="center" shrinkToFit="0" vertical="center" wrapText="0"/>
    </xf>
    <xf borderId="0" fillId="0" fontId="27" numFmtId="0" xfId="0" applyAlignment="1" applyFont="1">
      <alignment horizontal="center" shrinkToFit="0" vertical="center" wrapText="0"/>
    </xf>
    <xf borderId="0" fillId="0" fontId="12" numFmtId="2" xfId="0" applyAlignment="1" applyFont="1" applyNumberFormat="1">
      <alignment horizontal="center" shrinkToFit="0" vertical="center" wrapText="0"/>
    </xf>
    <xf borderId="0" fillId="0" fontId="28" numFmtId="0" xfId="0" applyAlignment="1" applyFont="1">
      <alignment horizontal="center" shrinkToFit="0" vertical="center" wrapText="0"/>
    </xf>
    <xf borderId="0" fillId="0" fontId="18" numFmtId="0" xfId="0" applyAlignment="1" applyFont="1">
      <alignment horizontal="center" shrinkToFit="0" vertical="center" wrapText="0"/>
    </xf>
    <xf borderId="0" fillId="0" fontId="18" numFmtId="165" xfId="0" applyAlignment="1" applyFont="1" applyNumberFormat="1">
      <alignment horizontal="center" shrinkToFit="0" vertical="center" wrapText="0"/>
    </xf>
    <xf borderId="0" fillId="0" fontId="4" numFmtId="2" xfId="0" applyAlignment="1" applyFont="1" applyNumberFormat="1">
      <alignment horizontal="center" shrinkToFit="0" vertical="center" wrapText="0"/>
    </xf>
    <xf borderId="0" fillId="0" fontId="29" numFmtId="0" xfId="0" applyAlignment="1" applyFont="1">
      <alignment shrinkToFit="0" vertical="center" wrapText="0"/>
    </xf>
    <xf borderId="0" fillId="0" fontId="19" numFmtId="0" xfId="0" applyAlignment="1" applyFont="1">
      <alignment shrinkToFit="0" vertical="center" wrapText="0"/>
    </xf>
    <xf borderId="0" fillId="0" fontId="30" numFmtId="0" xfId="0" applyAlignment="1" applyFont="1">
      <alignment horizontal="center" shrinkToFit="0" vertical="bottom" wrapText="0"/>
    </xf>
    <xf borderId="0" fillId="0" fontId="31" numFmtId="0" xfId="0" applyAlignment="1" applyFont="1">
      <alignment horizontal="center" shrinkToFit="0" vertical="bottom" wrapText="0"/>
    </xf>
    <xf borderId="0" fillId="0" fontId="31" numFmtId="2" xfId="0" applyAlignment="1" applyFont="1" applyNumberFormat="1">
      <alignment horizontal="center" shrinkToFit="0" vertical="bottom" wrapText="0"/>
    </xf>
    <xf borderId="0" fillId="0" fontId="32" numFmtId="2" xfId="0" applyAlignment="1" applyFont="1" applyNumberFormat="1">
      <alignment horizontal="center" shrinkToFit="0" vertical="bottom" wrapText="0"/>
    </xf>
    <xf borderId="23" fillId="8" fontId="21" numFmtId="0" xfId="0" applyAlignment="1" applyBorder="1" applyFont="1">
      <alignment horizontal="center" shrinkToFit="0" vertical="center" wrapText="1"/>
    </xf>
    <xf borderId="24" fillId="8" fontId="21" numFmtId="0" xfId="0" applyAlignment="1" applyBorder="1" applyFont="1">
      <alignment horizontal="center" shrinkToFit="0" vertical="center" wrapText="1"/>
    </xf>
    <xf borderId="25" fillId="0" fontId="7" numFmtId="0" xfId="0" applyBorder="1" applyFont="1"/>
    <xf borderId="26" fillId="0" fontId="7" numFmtId="0" xfId="0" applyBorder="1" applyFont="1"/>
    <xf borderId="27" fillId="8" fontId="21" numFmtId="0" xfId="0" applyAlignment="1" applyBorder="1" applyFont="1">
      <alignment horizontal="center" shrinkToFit="0" vertical="center" wrapText="1"/>
    </xf>
    <xf borderId="27" fillId="8" fontId="18" numFmtId="0" xfId="0" applyAlignment="1" applyBorder="1" applyFont="1">
      <alignment horizontal="center" shrinkToFit="0" vertical="center" wrapText="1"/>
    </xf>
    <xf borderId="27" fillId="8" fontId="18" numFmtId="0" xfId="0" applyAlignment="1" applyBorder="1" applyFont="1">
      <alignment horizontal="center" shrinkToFit="1" vertical="center" wrapText="0"/>
    </xf>
    <xf borderId="27" fillId="8" fontId="18" numFmtId="1" xfId="0" applyAlignment="1" applyBorder="1" applyFont="1" applyNumberFormat="1">
      <alignment horizontal="center" shrinkToFit="0" vertical="center" wrapText="1"/>
    </xf>
    <xf borderId="27" fillId="8" fontId="25" numFmtId="0" xfId="0" applyAlignment="1" applyBorder="1" applyFont="1">
      <alignment horizontal="center" shrinkToFit="0" vertical="center" wrapText="1"/>
    </xf>
    <xf borderId="28" fillId="8" fontId="21" numFmtId="0" xfId="0" applyAlignment="1" applyBorder="1" applyFont="1">
      <alignment horizontal="center" shrinkToFit="0" vertical="center" wrapText="1"/>
    </xf>
    <xf borderId="29" fillId="0" fontId="7" numFmtId="0" xfId="0" applyBorder="1" applyFont="1"/>
    <xf borderId="30" fillId="0" fontId="7" numFmtId="0" xfId="0" applyBorder="1" applyFont="1"/>
    <xf borderId="31" fillId="0" fontId="31" numFmtId="0" xfId="0" applyAlignment="1" applyBorder="1" applyFont="1">
      <alignment horizontal="center" shrinkToFit="0" vertical="bottom" wrapText="0"/>
    </xf>
    <xf borderId="32" fillId="0" fontId="7" numFmtId="0" xfId="0" applyBorder="1" applyFont="1"/>
    <xf borderId="33" fillId="8" fontId="21" numFmtId="0" xfId="0" applyAlignment="1" applyBorder="1" applyFont="1">
      <alignment horizontal="center" shrinkToFit="0" vertical="center" wrapText="1"/>
    </xf>
    <xf borderId="34" fillId="0" fontId="7" numFmtId="0" xfId="0" applyBorder="1" applyFont="1"/>
    <xf borderId="35" fillId="0" fontId="7" numFmtId="0" xfId="0" applyBorder="1" applyFont="1"/>
    <xf borderId="36" fillId="8" fontId="21" numFmtId="0" xfId="0" applyAlignment="1" applyBorder="1" applyFont="1">
      <alignment horizontal="center" shrinkToFit="0" vertical="center" wrapText="1"/>
    </xf>
    <xf borderId="37" fillId="0" fontId="7" numFmtId="0" xfId="0" applyBorder="1" applyFont="1"/>
    <xf borderId="33" fillId="8" fontId="25" numFmtId="0" xfId="0" applyAlignment="1" applyBorder="1" applyFont="1">
      <alignment horizontal="center" shrinkToFit="0" vertical="center" wrapText="1"/>
    </xf>
    <xf borderId="31" fillId="0" fontId="30" numFmtId="1" xfId="0" applyAlignment="1" applyBorder="1" applyFont="1" applyNumberFormat="1">
      <alignment horizontal="center" shrinkToFit="0" vertical="center" wrapText="0"/>
    </xf>
    <xf borderId="0" fillId="0" fontId="30" numFmtId="2" xfId="0" applyAlignment="1" applyFont="1" applyNumberFormat="1">
      <alignment horizontal="center" shrinkToFit="0" vertical="center" wrapText="1"/>
    </xf>
    <xf borderId="38" fillId="0" fontId="7" numFmtId="0" xfId="0" applyBorder="1" applyFont="1"/>
    <xf borderId="39" fillId="8" fontId="33" numFmtId="0" xfId="0" applyAlignment="1" applyBorder="1" applyFont="1">
      <alignment horizontal="center" shrinkToFit="0" vertical="center" wrapText="1"/>
    </xf>
    <xf borderId="39" fillId="8" fontId="34" numFmtId="0" xfId="0" applyAlignment="1" applyBorder="1" applyFont="1">
      <alignment horizontal="center" shrinkToFit="0" vertical="center" wrapText="1"/>
    </xf>
    <xf borderId="39" fillId="8" fontId="34" numFmtId="0" xfId="0" applyAlignment="1" applyBorder="1" applyFont="1">
      <alignment horizontal="center" shrinkToFit="1" vertical="center" wrapText="0"/>
    </xf>
    <xf borderId="40" fillId="8" fontId="34" numFmtId="0" xfId="0" applyAlignment="1" applyBorder="1" applyFont="1">
      <alignment horizontal="center" shrinkToFit="1" vertical="center" wrapText="0"/>
    </xf>
    <xf borderId="41" fillId="0" fontId="7" numFmtId="0" xfId="0" applyBorder="1" applyFont="1"/>
    <xf borderId="42" fillId="8" fontId="25" numFmtId="0" xfId="0" applyAlignment="1" applyBorder="1" applyFont="1">
      <alignment horizontal="center" shrinkToFit="0" vertical="center" wrapText="1"/>
    </xf>
    <xf borderId="39" fillId="8" fontId="21" numFmtId="0" xfId="0" applyAlignment="1" applyBorder="1" applyFont="1">
      <alignment horizontal="center" shrinkToFit="0" vertical="center" wrapText="1"/>
    </xf>
    <xf borderId="43" fillId="8" fontId="21" numFmtId="0" xfId="0" applyAlignment="1" applyBorder="1" applyFont="1">
      <alignment horizontal="center" shrinkToFit="0" vertical="center" wrapText="1"/>
    </xf>
    <xf borderId="44" fillId="8" fontId="21" numFmtId="0" xfId="0" applyAlignment="1" applyBorder="1" applyFont="1">
      <alignment horizontal="center" shrinkToFit="0" vertical="center" wrapText="1"/>
    </xf>
    <xf borderId="45" fillId="9" fontId="4" numFmtId="49" xfId="0" applyAlignment="1" applyBorder="1" applyFont="1" applyNumberFormat="1">
      <alignment horizontal="center" shrinkToFit="0" vertical="center" wrapText="0"/>
    </xf>
    <xf borderId="46" fillId="7" fontId="4" numFmtId="2" xfId="0" applyAlignment="1" applyBorder="1" applyFont="1" applyNumberFormat="1">
      <alignment shrinkToFit="0" vertical="center" wrapText="0"/>
    </xf>
    <xf borderId="47" fillId="7" fontId="4" numFmtId="2" xfId="0" applyAlignment="1" applyBorder="1" applyFont="1" applyNumberFormat="1">
      <alignment shrinkToFit="0" vertical="center" wrapText="0"/>
    </xf>
    <xf borderId="47" fillId="8" fontId="4" numFmtId="2" xfId="0" applyAlignment="1" applyBorder="1" applyFont="1" applyNumberFormat="1">
      <alignment shrinkToFit="0" vertical="center" wrapText="0"/>
    </xf>
    <xf borderId="48" fillId="8" fontId="4" numFmtId="2" xfId="0" applyAlignment="1" applyBorder="1" applyFont="1" applyNumberFormat="1">
      <alignment shrinkToFit="0" vertical="center" wrapText="0"/>
    </xf>
    <xf borderId="49" fillId="0" fontId="4" numFmtId="0" xfId="0" applyAlignment="1" applyBorder="1" applyFont="1">
      <alignment horizontal="center" shrinkToFit="0" vertical="center" wrapText="0"/>
    </xf>
    <xf borderId="50" fillId="0" fontId="4" numFmtId="0" xfId="0" applyAlignment="1" applyBorder="1" applyFont="1">
      <alignment horizontal="center" shrinkToFit="0" vertical="center" wrapText="0"/>
    </xf>
    <xf borderId="47" fillId="9" fontId="4" numFmtId="164" xfId="0" applyAlignment="1" applyBorder="1" applyFont="1" applyNumberFormat="1">
      <alignment horizontal="center" shrinkToFit="0" vertical="center" wrapText="0"/>
    </xf>
    <xf borderId="47" fillId="9" fontId="4" numFmtId="1" xfId="0" applyAlignment="1" applyBorder="1" applyFont="1" applyNumberFormat="1">
      <alignment horizontal="center" shrinkToFit="0" vertical="center" wrapText="0"/>
    </xf>
    <xf borderId="47" fillId="9" fontId="4" numFmtId="1" xfId="0" applyAlignment="1" applyBorder="1" applyFont="1" applyNumberFormat="1">
      <alignment horizontal="right" shrinkToFit="0" vertical="center" wrapText="0"/>
    </xf>
    <xf borderId="47" fillId="9" fontId="4" numFmtId="165" xfId="0" applyAlignment="1" applyBorder="1" applyFont="1" applyNumberFormat="1">
      <alignment horizontal="right" shrinkToFit="0" vertical="center" wrapText="0"/>
    </xf>
    <xf borderId="47" fillId="9" fontId="4" numFmtId="165" xfId="0" applyAlignment="1" applyBorder="1" applyFont="1" applyNumberFormat="1">
      <alignment horizontal="center" shrinkToFit="0" vertical="center" wrapText="0"/>
    </xf>
    <xf borderId="47" fillId="9" fontId="4" numFmtId="2" xfId="0" applyAlignment="1" applyBorder="1" applyFont="1" applyNumberFormat="1">
      <alignment horizontal="center" shrinkToFit="0" vertical="center" wrapText="0"/>
    </xf>
    <xf borderId="51" fillId="9" fontId="4" numFmtId="2" xfId="0" applyAlignment="1" applyBorder="1" applyFont="1" applyNumberFormat="1">
      <alignment horizontal="center" shrinkToFit="0" vertical="center" wrapText="0"/>
    </xf>
    <xf borderId="52" fillId="0" fontId="4" numFmtId="2" xfId="0" applyAlignment="1" applyBorder="1" applyFont="1" applyNumberFormat="1">
      <alignment horizontal="center" shrinkToFit="0" vertical="center" wrapText="0"/>
    </xf>
    <xf borderId="46" fillId="9" fontId="4" numFmtId="2" xfId="0" applyAlignment="1" applyBorder="1" applyFont="1" applyNumberFormat="1">
      <alignment horizontal="center" shrinkToFit="0" vertical="center" wrapText="0"/>
    </xf>
    <xf borderId="53" fillId="0" fontId="4" numFmtId="2" xfId="0" applyAlignment="1" applyBorder="1" applyFont="1" applyNumberFormat="1">
      <alignment horizontal="center" shrinkToFit="0" vertical="center" wrapText="0"/>
    </xf>
    <xf borderId="20" fillId="9" fontId="4" numFmtId="2" xfId="0" applyAlignment="1" applyBorder="1" applyFont="1" applyNumberFormat="1">
      <alignment horizontal="center" shrinkToFit="0" vertical="center" wrapText="0"/>
    </xf>
    <xf borderId="16" fillId="0" fontId="4" numFmtId="1" xfId="0" applyAlignment="1" applyBorder="1" applyFont="1" applyNumberFormat="1">
      <alignment horizontal="center" shrinkToFit="0" vertical="center" wrapText="0"/>
    </xf>
    <xf borderId="16" fillId="9" fontId="4" numFmtId="2" xfId="0" applyAlignment="1" applyBorder="1" applyFont="1" applyNumberFormat="1">
      <alignment horizontal="center" shrinkToFit="0" vertical="center" wrapText="0"/>
    </xf>
    <xf borderId="31" fillId="0" fontId="4" numFmtId="1" xfId="0" applyAlignment="1" applyBorder="1" applyFont="1" applyNumberFormat="1">
      <alignment shrinkToFit="0" vertical="center" wrapText="0"/>
    </xf>
    <xf borderId="54" fillId="9" fontId="4" numFmtId="49" xfId="0" applyAlignment="1" applyBorder="1" applyFont="1" applyNumberFormat="1">
      <alignment horizontal="center" shrinkToFit="0" vertical="center" wrapText="0"/>
    </xf>
    <xf borderId="55" fillId="7" fontId="4" numFmtId="2" xfId="0" applyAlignment="1" applyBorder="1" applyFont="1" applyNumberFormat="1">
      <alignment horizontal="right" shrinkToFit="0" vertical="center" wrapText="0"/>
    </xf>
    <xf borderId="56" fillId="8" fontId="4" numFmtId="2" xfId="0" applyAlignment="1" applyBorder="1" applyFont="1" applyNumberFormat="1">
      <alignment horizontal="right" shrinkToFit="0" vertical="center" wrapText="0"/>
    </xf>
    <xf borderId="56" fillId="0" fontId="4" numFmtId="2" xfId="0" applyAlignment="1" applyBorder="1" applyFont="1" applyNumberFormat="1">
      <alignment horizontal="center" shrinkToFit="0" vertical="center" wrapText="0"/>
    </xf>
    <xf borderId="20" fillId="0" fontId="4" numFmtId="1" xfId="0" applyAlignment="1" applyBorder="1" applyFont="1" applyNumberFormat="1">
      <alignment horizontal="center" shrinkToFit="0" vertical="center" wrapText="0"/>
    </xf>
    <xf borderId="31" fillId="0" fontId="4" numFmtId="0" xfId="0" applyAlignment="1" applyBorder="1" applyFont="1">
      <alignment horizontal="center" shrinkToFit="0" vertical="center" wrapText="0"/>
    </xf>
    <xf borderId="0" fillId="0" fontId="4" numFmtId="0" xfId="0" applyAlignment="1" applyFont="1">
      <alignment horizontal="center" shrinkToFit="0" vertical="bottom" wrapText="0"/>
    </xf>
    <xf borderId="0" fillId="0" fontId="4" numFmtId="2" xfId="0" applyAlignment="1" applyFont="1" applyNumberFormat="1">
      <alignment horizontal="center" shrinkToFit="0" vertical="bottom" wrapText="0"/>
    </xf>
    <xf borderId="0" fillId="0" fontId="31" numFmtId="1" xfId="0" applyAlignment="1" applyFont="1" applyNumberFormat="1">
      <alignment horizontal="center" shrinkToFit="0" vertical="bottom" wrapText="0"/>
    </xf>
    <xf borderId="0" fillId="0" fontId="30" numFmtId="1" xfId="0" applyAlignment="1" applyFont="1" applyNumberFormat="1">
      <alignment horizontal="center"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.0"/>
    <col customWidth="1" min="2" max="2" width="7.43"/>
    <col customWidth="1" min="3" max="3" width="14.43"/>
    <col customWidth="1" min="4" max="4" width="11.29"/>
    <col customWidth="1" min="5" max="5" width="9.57"/>
    <col customWidth="1" min="6" max="6" width="8.57"/>
    <col customWidth="1" min="7" max="7" width="7.57"/>
    <col customWidth="1" min="8" max="8" width="10.57"/>
    <col customWidth="1" min="9" max="10" width="8.57"/>
    <col customWidth="1" min="11" max="12" width="9.14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ht="13.5" customHeight="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</row>
    <row r="3" ht="13.5" customHeight="1">
      <c r="A3" s="4" t="s">
        <v>13</v>
      </c>
      <c r="B3" s="4" t="s">
        <v>14</v>
      </c>
      <c r="C3" s="4" t="s">
        <v>13</v>
      </c>
      <c r="D3" s="4" t="s">
        <v>13</v>
      </c>
      <c r="E3" s="4" t="s">
        <v>15</v>
      </c>
      <c r="F3" s="4" t="s">
        <v>15</v>
      </c>
      <c r="G3" s="4" t="s">
        <v>15</v>
      </c>
      <c r="H3" s="4" t="s">
        <v>16</v>
      </c>
      <c r="I3" s="4" t="s">
        <v>16</v>
      </c>
      <c r="J3" s="4" t="s">
        <v>16</v>
      </c>
      <c r="K3" s="4" t="s">
        <v>13</v>
      </c>
      <c r="L3" s="4" t="s">
        <v>14</v>
      </c>
    </row>
    <row r="4" ht="13.5" customHeight="1">
      <c r="A4" s="5" t="s">
        <v>17</v>
      </c>
      <c r="B4" s="6">
        <v>0.0</v>
      </c>
      <c r="C4" s="5" t="s">
        <v>18</v>
      </c>
      <c r="D4" s="5" t="s">
        <v>19</v>
      </c>
      <c r="E4" s="6">
        <v>-14.2145</v>
      </c>
      <c r="F4" s="6">
        <v>-0.0735</v>
      </c>
      <c r="G4" s="6">
        <v>0.1697</v>
      </c>
      <c r="H4" s="6">
        <v>9.1E-4</v>
      </c>
      <c r="I4" s="6">
        <v>0.25052</v>
      </c>
      <c r="J4" s="6">
        <v>-0.05993</v>
      </c>
      <c r="K4" s="5" t="s">
        <v>20</v>
      </c>
      <c r="L4" s="6">
        <v>0.0</v>
      </c>
    </row>
    <row r="5" ht="13.5" customHeight="1">
      <c r="A5" s="5" t="s">
        <v>17</v>
      </c>
      <c r="B5" s="6">
        <v>1.35</v>
      </c>
      <c r="C5" s="5" t="s">
        <v>18</v>
      </c>
      <c r="D5" s="5" t="s">
        <v>19</v>
      </c>
      <c r="E5" s="6">
        <v>-14.066</v>
      </c>
      <c r="F5" s="6">
        <v>-0.0735</v>
      </c>
      <c r="G5" s="6">
        <v>0.1697</v>
      </c>
      <c r="H5" s="6">
        <v>9.1E-4</v>
      </c>
      <c r="I5" s="6">
        <v>0.02136</v>
      </c>
      <c r="J5" s="6">
        <v>0.03923</v>
      </c>
      <c r="K5" s="5" t="s">
        <v>20</v>
      </c>
      <c r="L5" s="6">
        <v>1.35</v>
      </c>
    </row>
    <row r="6" ht="13.5" customHeight="1">
      <c r="A6" s="5" t="s">
        <v>17</v>
      </c>
      <c r="B6" s="6">
        <v>2.7</v>
      </c>
      <c r="C6" s="5" t="s">
        <v>18</v>
      </c>
      <c r="D6" s="5" t="s">
        <v>19</v>
      </c>
      <c r="E6" s="6">
        <v>-13.9175</v>
      </c>
      <c r="F6" s="6">
        <v>-0.0735</v>
      </c>
      <c r="G6" s="6">
        <v>0.1697</v>
      </c>
      <c r="H6" s="6">
        <v>9.1E-4</v>
      </c>
      <c r="I6" s="6">
        <v>-0.20781</v>
      </c>
      <c r="J6" s="6">
        <v>0.13839</v>
      </c>
      <c r="K6" s="5" t="s">
        <v>20</v>
      </c>
      <c r="L6" s="6">
        <v>2.7</v>
      </c>
    </row>
    <row r="7" ht="13.5" customHeight="1">
      <c r="A7" s="5" t="s">
        <v>21</v>
      </c>
      <c r="B7" s="6">
        <v>0.0</v>
      </c>
      <c r="C7" s="5" t="s">
        <v>18</v>
      </c>
      <c r="D7" s="5" t="s">
        <v>19</v>
      </c>
      <c r="E7" s="6">
        <v>-11.4545</v>
      </c>
      <c r="F7" s="6">
        <v>-0.1018</v>
      </c>
      <c r="G7" s="6">
        <v>-0.0452</v>
      </c>
      <c r="H7" s="6">
        <v>-6.7E-4</v>
      </c>
      <c r="I7" s="6">
        <v>-0.0864</v>
      </c>
      <c r="J7" s="6">
        <v>-0.18376</v>
      </c>
      <c r="K7" s="5" t="s">
        <v>22</v>
      </c>
      <c r="L7" s="6">
        <v>0.0</v>
      </c>
    </row>
    <row r="8" ht="13.5" customHeight="1">
      <c r="A8" s="5" t="s">
        <v>21</v>
      </c>
      <c r="B8" s="6">
        <v>1.8</v>
      </c>
      <c r="C8" s="5" t="s">
        <v>18</v>
      </c>
      <c r="D8" s="5" t="s">
        <v>19</v>
      </c>
      <c r="E8" s="6">
        <v>-11.2565</v>
      </c>
      <c r="F8" s="6">
        <v>-0.1018</v>
      </c>
      <c r="G8" s="6">
        <v>-0.0452</v>
      </c>
      <c r="H8" s="6">
        <v>-6.7E-4</v>
      </c>
      <c r="I8" s="6">
        <v>-0.0051</v>
      </c>
      <c r="J8" s="6">
        <v>-5.3E-4</v>
      </c>
      <c r="K8" s="5" t="s">
        <v>22</v>
      </c>
      <c r="L8" s="6">
        <v>1.8</v>
      </c>
    </row>
    <row r="9" ht="13.5" customHeight="1">
      <c r="A9" s="5" t="s">
        <v>21</v>
      </c>
      <c r="B9" s="6">
        <v>3.6</v>
      </c>
      <c r="C9" s="5" t="s">
        <v>18</v>
      </c>
      <c r="D9" s="5" t="s">
        <v>19</v>
      </c>
      <c r="E9" s="6">
        <v>-11.0585</v>
      </c>
      <c r="F9" s="6">
        <v>-0.1018</v>
      </c>
      <c r="G9" s="6">
        <v>-0.0452</v>
      </c>
      <c r="H9" s="6">
        <v>-6.7E-4</v>
      </c>
      <c r="I9" s="6">
        <v>0.0762</v>
      </c>
      <c r="J9" s="6">
        <v>0.18269</v>
      </c>
      <c r="K9" s="5" t="s">
        <v>22</v>
      </c>
      <c r="L9" s="6">
        <v>3.6</v>
      </c>
    </row>
    <row r="10" ht="13.5" customHeight="1">
      <c r="A10" s="5" t="s">
        <v>23</v>
      </c>
      <c r="B10" s="6">
        <v>0.0</v>
      </c>
      <c r="C10" s="5" t="s">
        <v>18</v>
      </c>
      <c r="D10" s="5" t="s">
        <v>19</v>
      </c>
      <c r="E10" s="6">
        <v>-8.5072</v>
      </c>
      <c r="F10" s="6">
        <v>-0.0838</v>
      </c>
      <c r="G10" s="6">
        <v>0.0071</v>
      </c>
      <c r="H10" s="6">
        <v>-0.00168</v>
      </c>
      <c r="I10" s="6">
        <v>0.00387</v>
      </c>
      <c r="J10" s="6">
        <v>-0.16818</v>
      </c>
      <c r="K10" s="5" t="s">
        <v>24</v>
      </c>
      <c r="L10" s="6">
        <v>0.0</v>
      </c>
    </row>
    <row r="11" ht="13.5" customHeight="1">
      <c r="A11" s="5" t="s">
        <v>23</v>
      </c>
      <c r="B11" s="6">
        <v>1.8</v>
      </c>
      <c r="C11" s="5" t="s">
        <v>18</v>
      </c>
      <c r="D11" s="5" t="s">
        <v>19</v>
      </c>
      <c r="E11" s="6">
        <v>-8.3092</v>
      </c>
      <c r="F11" s="6">
        <v>-0.0838</v>
      </c>
      <c r="G11" s="6">
        <v>0.0071</v>
      </c>
      <c r="H11" s="6">
        <v>-0.00168</v>
      </c>
      <c r="I11" s="6">
        <v>-0.00899</v>
      </c>
      <c r="J11" s="6">
        <v>-0.01732</v>
      </c>
      <c r="K11" s="5" t="s">
        <v>24</v>
      </c>
      <c r="L11" s="6">
        <v>1.8</v>
      </c>
    </row>
    <row r="12" ht="13.5" customHeight="1">
      <c r="A12" s="5" t="s">
        <v>23</v>
      </c>
      <c r="B12" s="6">
        <v>3.6</v>
      </c>
      <c r="C12" s="5" t="s">
        <v>18</v>
      </c>
      <c r="D12" s="5" t="s">
        <v>19</v>
      </c>
      <c r="E12" s="6">
        <v>-8.1112</v>
      </c>
      <c r="F12" s="6">
        <v>-0.0838</v>
      </c>
      <c r="G12" s="6">
        <v>0.0071</v>
      </c>
      <c r="H12" s="6">
        <v>-0.00168</v>
      </c>
      <c r="I12" s="6">
        <v>-0.02185</v>
      </c>
      <c r="J12" s="6">
        <v>0.13355</v>
      </c>
      <c r="K12" s="5" t="s">
        <v>24</v>
      </c>
      <c r="L12" s="6">
        <v>3.6</v>
      </c>
    </row>
    <row r="13" ht="13.5" customHeight="1">
      <c r="A13" s="5" t="s">
        <v>25</v>
      </c>
      <c r="B13" s="6">
        <v>0.0</v>
      </c>
      <c r="C13" s="5" t="s">
        <v>18</v>
      </c>
      <c r="D13" s="5" t="s">
        <v>19</v>
      </c>
      <c r="E13" s="6">
        <v>-12.7038</v>
      </c>
      <c r="F13" s="6">
        <v>0.0978</v>
      </c>
      <c r="G13" s="6">
        <v>0.1609</v>
      </c>
      <c r="H13" s="6">
        <v>4.3E-4</v>
      </c>
      <c r="I13" s="6">
        <v>0.24683</v>
      </c>
      <c r="J13" s="6">
        <v>0.093</v>
      </c>
      <c r="K13" s="5" t="s">
        <v>26</v>
      </c>
      <c r="L13" s="6">
        <v>0.0</v>
      </c>
    </row>
    <row r="14" ht="13.5" customHeight="1">
      <c r="A14" s="5" t="s">
        <v>25</v>
      </c>
      <c r="B14" s="6">
        <v>1.35</v>
      </c>
      <c r="C14" s="5" t="s">
        <v>18</v>
      </c>
      <c r="D14" s="5" t="s">
        <v>19</v>
      </c>
      <c r="E14" s="6">
        <v>-12.5553</v>
      </c>
      <c r="F14" s="6">
        <v>0.0978</v>
      </c>
      <c r="G14" s="6">
        <v>0.1609</v>
      </c>
      <c r="H14" s="6">
        <v>4.3E-4</v>
      </c>
      <c r="I14" s="6">
        <v>0.02957</v>
      </c>
      <c r="J14" s="6">
        <v>-0.03899</v>
      </c>
      <c r="K14" s="5" t="s">
        <v>26</v>
      </c>
      <c r="L14" s="6">
        <v>1.35</v>
      </c>
    </row>
    <row r="15" ht="13.5" customHeight="1">
      <c r="A15" s="5" t="s">
        <v>25</v>
      </c>
      <c r="B15" s="6">
        <v>2.7</v>
      </c>
      <c r="C15" s="5" t="s">
        <v>18</v>
      </c>
      <c r="D15" s="5" t="s">
        <v>19</v>
      </c>
      <c r="E15" s="6">
        <v>-12.4068</v>
      </c>
      <c r="F15" s="6">
        <v>0.0978</v>
      </c>
      <c r="G15" s="6">
        <v>0.1609</v>
      </c>
      <c r="H15" s="6">
        <v>4.3E-4</v>
      </c>
      <c r="I15" s="6">
        <v>-0.18768</v>
      </c>
      <c r="J15" s="6">
        <v>-0.17097</v>
      </c>
      <c r="K15" s="5" t="s">
        <v>26</v>
      </c>
      <c r="L15" s="6">
        <v>2.7</v>
      </c>
    </row>
    <row r="16" ht="13.5" customHeight="1">
      <c r="A16" s="5" t="s">
        <v>27</v>
      </c>
      <c r="B16" s="6">
        <v>0.0</v>
      </c>
      <c r="C16" s="5" t="s">
        <v>18</v>
      </c>
      <c r="D16" s="5" t="s">
        <v>19</v>
      </c>
      <c r="E16" s="6">
        <v>-9.864</v>
      </c>
      <c r="F16" s="6">
        <v>0.0965</v>
      </c>
      <c r="G16" s="6">
        <v>-0.0788</v>
      </c>
      <c r="H16" s="6">
        <v>-4.1E-4</v>
      </c>
      <c r="I16" s="6">
        <v>-0.14137</v>
      </c>
      <c r="J16" s="6">
        <v>0.17042</v>
      </c>
      <c r="K16" s="5" t="s">
        <v>28</v>
      </c>
      <c r="L16" s="6">
        <v>0.0</v>
      </c>
    </row>
    <row r="17" ht="13.5" customHeight="1">
      <c r="A17" s="5" t="s">
        <v>27</v>
      </c>
      <c r="B17" s="6">
        <v>1.8</v>
      </c>
      <c r="C17" s="5" t="s">
        <v>18</v>
      </c>
      <c r="D17" s="5" t="s">
        <v>19</v>
      </c>
      <c r="E17" s="6">
        <v>-9.666</v>
      </c>
      <c r="F17" s="6">
        <v>0.0965</v>
      </c>
      <c r="G17" s="6">
        <v>-0.0788</v>
      </c>
      <c r="H17" s="6">
        <v>-4.1E-4</v>
      </c>
      <c r="I17" s="6">
        <v>4.0E-4</v>
      </c>
      <c r="J17" s="6">
        <v>-0.00331</v>
      </c>
      <c r="K17" s="5" t="s">
        <v>28</v>
      </c>
      <c r="L17" s="6">
        <v>1.8</v>
      </c>
    </row>
    <row r="18" ht="13.5" customHeight="1">
      <c r="A18" s="5" t="s">
        <v>27</v>
      </c>
      <c r="B18" s="6">
        <v>3.6</v>
      </c>
      <c r="C18" s="5" t="s">
        <v>18</v>
      </c>
      <c r="D18" s="5" t="s">
        <v>19</v>
      </c>
      <c r="E18" s="6">
        <v>-9.468</v>
      </c>
      <c r="F18" s="6">
        <v>0.0965</v>
      </c>
      <c r="G18" s="6">
        <v>-0.0788</v>
      </c>
      <c r="H18" s="6">
        <v>-4.1E-4</v>
      </c>
      <c r="I18" s="6">
        <v>0.14217</v>
      </c>
      <c r="J18" s="6">
        <v>-0.17704</v>
      </c>
      <c r="K18" s="5" t="s">
        <v>28</v>
      </c>
      <c r="L18" s="6">
        <v>3.6</v>
      </c>
    </row>
    <row r="19" ht="13.5" customHeight="1">
      <c r="A19" s="5" t="s">
        <v>29</v>
      </c>
      <c r="B19" s="6">
        <v>0.0</v>
      </c>
      <c r="C19" s="5" t="s">
        <v>18</v>
      </c>
      <c r="D19" s="5" t="s">
        <v>19</v>
      </c>
      <c r="E19" s="6">
        <v>-6.7312</v>
      </c>
      <c r="F19" s="6">
        <v>0.0587</v>
      </c>
      <c r="G19" s="6">
        <v>-0.0962</v>
      </c>
      <c r="H19" s="6">
        <v>-0.01121</v>
      </c>
      <c r="I19" s="6">
        <v>-0.17799</v>
      </c>
      <c r="J19" s="6">
        <v>0.12657</v>
      </c>
      <c r="K19" s="5" t="s">
        <v>30</v>
      </c>
      <c r="L19" s="6">
        <v>0.0</v>
      </c>
    </row>
    <row r="20" ht="13.5" customHeight="1">
      <c r="A20" s="5" t="s">
        <v>29</v>
      </c>
      <c r="B20" s="6">
        <v>1.8</v>
      </c>
      <c r="C20" s="5" t="s">
        <v>18</v>
      </c>
      <c r="D20" s="5" t="s">
        <v>19</v>
      </c>
      <c r="E20" s="6">
        <v>-6.5332</v>
      </c>
      <c r="F20" s="6">
        <v>0.0587</v>
      </c>
      <c r="G20" s="6">
        <v>-0.0962</v>
      </c>
      <c r="H20" s="6">
        <v>-0.01121</v>
      </c>
      <c r="I20" s="6">
        <v>-0.0048</v>
      </c>
      <c r="J20" s="6">
        <v>0.0209</v>
      </c>
      <c r="K20" s="5" t="s">
        <v>30</v>
      </c>
      <c r="L20" s="6">
        <v>1.8</v>
      </c>
    </row>
    <row r="21" ht="13.5" customHeight="1">
      <c r="A21" s="5" t="s">
        <v>29</v>
      </c>
      <c r="B21" s="6">
        <v>3.6</v>
      </c>
      <c r="C21" s="5" t="s">
        <v>18</v>
      </c>
      <c r="D21" s="5" t="s">
        <v>19</v>
      </c>
      <c r="E21" s="6">
        <v>-6.3352</v>
      </c>
      <c r="F21" s="6">
        <v>0.0587</v>
      </c>
      <c r="G21" s="6">
        <v>-0.0962</v>
      </c>
      <c r="H21" s="6">
        <v>-0.01121</v>
      </c>
      <c r="I21" s="6">
        <v>0.16838</v>
      </c>
      <c r="J21" s="6">
        <v>-0.08478</v>
      </c>
      <c r="K21" s="5" t="s">
        <v>30</v>
      </c>
      <c r="L21" s="6">
        <v>3.6</v>
      </c>
    </row>
    <row r="22" ht="13.5" customHeight="1">
      <c r="A22" s="5" t="s">
        <v>31</v>
      </c>
      <c r="B22" s="6">
        <v>0.0</v>
      </c>
      <c r="C22" s="5" t="s">
        <v>18</v>
      </c>
      <c r="D22" s="5" t="s">
        <v>19</v>
      </c>
      <c r="E22" s="6">
        <v>-11.8632</v>
      </c>
      <c r="F22" s="6">
        <v>-0.0976</v>
      </c>
      <c r="G22" s="6">
        <v>0.1592</v>
      </c>
      <c r="H22" s="6">
        <v>-4.1E-4</v>
      </c>
      <c r="I22" s="6">
        <v>0.24548</v>
      </c>
      <c r="J22" s="6">
        <v>-0.0927</v>
      </c>
      <c r="K22" s="5" t="s">
        <v>32</v>
      </c>
      <c r="L22" s="6">
        <v>0.0</v>
      </c>
    </row>
    <row r="23" ht="13.5" customHeight="1">
      <c r="A23" s="5" t="s">
        <v>31</v>
      </c>
      <c r="B23" s="6">
        <v>1.35</v>
      </c>
      <c r="C23" s="5" t="s">
        <v>18</v>
      </c>
      <c r="D23" s="5" t="s">
        <v>19</v>
      </c>
      <c r="E23" s="6">
        <v>-11.7147</v>
      </c>
      <c r="F23" s="6">
        <v>-0.0976</v>
      </c>
      <c r="G23" s="6">
        <v>0.1592</v>
      </c>
      <c r="H23" s="6">
        <v>-4.1E-4</v>
      </c>
      <c r="I23" s="6">
        <v>0.03059</v>
      </c>
      <c r="J23" s="6">
        <v>0.03905</v>
      </c>
      <c r="K23" s="5" t="s">
        <v>32</v>
      </c>
      <c r="L23" s="6">
        <v>1.35</v>
      </c>
    </row>
    <row r="24" ht="13.5" customHeight="1">
      <c r="A24" s="5" t="s">
        <v>31</v>
      </c>
      <c r="B24" s="6">
        <v>2.7</v>
      </c>
      <c r="C24" s="5" t="s">
        <v>18</v>
      </c>
      <c r="D24" s="5" t="s">
        <v>19</v>
      </c>
      <c r="E24" s="6">
        <v>-11.5662</v>
      </c>
      <c r="F24" s="6">
        <v>-0.0976</v>
      </c>
      <c r="G24" s="6">
        <v>0.1592</v>
      </c>
      <c r="H24" s="6">
        <v>-4.1E-4</v>
      </c>
      <c r="I24" s="6">
        <v>-0.1843</v>
      </c>
      <c r="J24" s="6">
        <v>0.17079</v>
      </c>
      <c r="K24" s="5" t="s">
        <v>32</v>
      </c>
      <c r="L24" s="6">
        <v>2.7</v>
      </c>
    </row>
    <row r="25" ht="13.5" customHeight="1">
      <c r="A25" s="5" t="s">
        <v>33</v>
      </c>
      <c r="B25" s="6">
        <v>0.0</v>
      </c>
      <c r="C25" s="5" t="s">
        <v>18</v>
      </c>
      <c r="D25" s="5" t="s">
        <v>19</v>
      </c>
      <c r="E25" s="6">
        <v>-9.0172</v>
      </c>
      <c r="F25" s="6">
        <v>-0.0971</v>
      </c>
      <c r="G25" s="6">
        <v>-0.0836</v>
      </c>
      <c r="H25" s="6">
        <v>4.9E-4</v>
      </c>
      <c r="I25" s="6">
        <v>-0.14787</v>
      </c>
      <c r="J25" s="6">
        <v>-0.17048</v>
      </c>
      <c r="K25" s="5" t="s">
        <v>34</v>
      </c>
      <c r="L25" s="6">
        <v>0.0</v>
      </c>
    </row>
    <row r="26" ht="13.5" customHeight="1">
      <c r="A26" s="5" t="s">
        <v>33</v>
      </c>
      <c r="B26" s="6">
        <v>1.8</v>
      </c>
      <c r="C26" s="5" t="s">
        <v>18</v>
      </c>
      <c r="D26" s="5" t="s">
        <v>19</v>
      </c>
      <c r="E26" s="6">
        <v>-8.8192</v>
      </c>
      <c r="F26" s="6">
        <v>-0.0971</v>
      </c>
      <c r="G26" s="6">
        <v>-0.0836</v>
      </c>
      <c r="H26" s="6">
        <v>4.9E-4</v>
      </c>
      <c r="I26" s="6">
        <v>0.00259</v>
      </c>
      <c r="J26" s="6">
        <v>0.00425</v>
      </c>
      <c r="K26" s="5" t="s">
        <v>34</v>
      </c>
      <c r="L26" s="6">
        <v>1.8</v>
      </c>
    </row>
    <row r="27" ht="13.5" customHeight="1">
      <c r="A27" s="5" t="s">
        <v>33</v>
      </c>
      <c r="B27" s="6">
        <v>3.6</v>
      </c>
      <c r="C27" s="5" t="s">
        <v>18</v>
      </c>
      <c r="D27" s="5" t="s">
        <v>19</v>
      </c>
      <c r="E27" s="6">
        <v>-8.6212</v>
      </c>
      <c r="F27" s="6">
        <v>-0.0971</v>
      </c>
      <c r="G27" s="6">
        <v>-0.0836</v>
      </c>
      <c r="H27" s="6">
        <v>4.9E-4</v>
      </c>
      <c r="I27" s="6">
        <v>0.15306</v>
      </c>
      <c r="J27" s="6">
        <v>0.17898</v>
      </c>
      <c r="K27" s="5" t="s">
        <v>34</v>
      </c>
      <c r="L27" s="6">
        <v>3.6</v>
      </c>
    </row>
    <row r="28" ht="13.5" customHeight="1">
      <c r="A28" s="5" t="s">
        <v>35</v>
      </c>
      <c r="B28" s="6">
        <v>0.0</v>
      </c>
      <c r="C28" s="5" t="s">
        <v>18</v>
      </c>
      <c r="D28" s="5" t="s">
        <v>19</v>
      </c>
      <c r="E28" s="6">
        <v>-5.8861</v>
      </c>
      <c r="F28" s="6">
        <v>-0.0443</v>
      </c>
      <c r="G28" s="6">
        <v>-0.0831</v>
      </c>
      <c r="H28" s="6">
        <v>0.00464</v>
      </c>
      <c r="I28" s="6">
        <v>-0.15738</v>
      </c>
      <c r="J28" s="6">
        <v>-0.10912</v>
      </c>
      <c r="K28" s="5" t="s">
        <v>36</v>
      </c>
      <c r="L28" s="6">
        <v>0.0</v>
      </c>
    </row>
    <row r="29" ht="13.5" customHeight="1">
      <c r="A29" s="5" t="s">
        <v>35</v>
      </c>
      <c r="B29" s="6">
        <v>1.8</v>
      </c>
      <c r="C29" s="5" t="s">
        <v>18</v>
      </c>
      <c r="D29" s="5" t="s">
        <v>19</v>
      </c>
      <c r="E29" s="6">
        <v>-5.6881</v>
      </c>
      <c r="F29" s="6">
        <v>-0.0443</v>
      </c>
      <c r="G29" s="6">
        <v>-0.0831</v>
      </c>
      <c r="H29" s="6">
        <v>0.00464</v>
      </c>
      <c r="I29" s="6">
        <v>-0.00787</v>
      </c>
      <c r="J29" s="6">
        <v>-0.0293</v>
      </c>
      <c r="K29" s="5" t="s">
        <v>36</v>
      </c>
      <c r="L29" s="6">
        <v>1.8</v>
      </c>
    </row>
    <row r="30" ht="13.5" customHeight="1">
      <c r="A30" s="5" t="s">
        <v>35</v>
      </c>
      <c r="B30" s="6">
        <v>3.6</v>
      </c>
      <c r="C30" s="5" t="s">
        <v>18</v>
      </c>
      <c r="D30" s="5" t="s">
        <v>19</v>
      </c>
      <c r="E30" s="6">
        <v>-5.4901</v>
      </c>
      <c r="F30" s="6">
        <v>-0.0443</v>
      </c>
      <c r="G30" s="6">
        <v>-0.0831</v>
      </c>
      <c r="H30" s="6">
        <v>0.00464</v>
      </c>
      <c r="I30" s="6">
        <v>0.14164</v>
      </c>
      <c r="J30" s="6">
        <v>0.05051</v>
      </c>
      <c r="K30" s="5" t="s">
        <v>36</v>
      </c>
      <c r="L30" s="6">
        <v>3.6</v>
      </c>
    </row>
    <row r="31" ht="13.5" customHeight="1">
      <c r="A31" s="5" t="s">
        <v>37</v>
      </c>
      <c r="B31" s="6">
        <v>0.0</v>
      </c>
      <c r="C31" s="5" t="s">
        <v>18</v>
      </c>
      <c r="D31" s="5" t="s">
        <v>19</v>
      </c>
      <c r="E31" s="6">
        <v>-13.4491</v>
      </c>
      <c r="F31" s="6">
        <v>0.0734</v>
      </c>
      <c r="G31" s="6">
        <v>0.1665</v>
      </c>
      <c r="H31" s="6">
        <v>-8.9E-4</v>
      </c>
      <c r="I31" s="6">
        <v>0.24797</v>
      </c>
      <c r="J31" s="6">
        <v>0.06001</v>
      </c>
      <c r="K31" s="5" t="s">
        <v>38</v>
      </c>
      <c r="L31" s="6">
        <v>0.0</v>
      </c>
    </row>
    <row r="32" ht="13.5" customHeight="1">
      <c r="A32" s="5" t="s">
        <v>37</v>
      </c>
      <c r="B32" s="6">
        <v>1.35</v>
      </c>
      <c r="C32" s="5" t="s">
        <v>18</v>
      </c>
      <c r="D32" s="5" t="s">
        <v>19</v>
      </c>
      <c r="E32" s="6">
        <v>-13.3006</v>
      </c>
      <c r="F32" s="6">
        <v>0.0734</v>
      </c>
      <c r="G32" s="6">
        <v>0.1665</v>
      </c>
      <c r="H32" s="6">
        <v>-8.9E-4</v>
      </c>
      <c r="I32" s="6">
        <v>0.02318</v>
      </c>
      <c r="J32" s="6">
        <v>-0.03906</v>
      </c>
      <c r="K32" s="5" t="s">
        <v>38</v>
      </c>
      <c r="L32" s="6">
        <v>1.35</v>
      </c>
    </row>
    <row r="33" ht="13.5" customHeight="1">
      <c r="A33" s="5" t="s">
        <v>37</v>
      </c>
      <c r="B33" s="6">
        <v>2.7</v>
      </c>
      <c r="C33" s="5" t="s">
        <v>18</v>
      </c>
      <c r="D33" s="5" t="s">
        <v>19</v>
      </c>
      <c r="E33" s="6">
        <v>-13.1521</v>
      </c>
      <c r="F33" s="6">
        <v>0.0734</v>
      </c>
      <c r="G33" s="6">
        <v>0.1665</v>
      </c>
      <c r="H33" s="6">
        <v>-8.9E-4</v>
      </c>
      <c r="I33" s="6">
        <v>-0.20162</v>
      </c>
      <c r="J33" s="6">
        <v>-0.13813</v>
      </c>
      <c r="K33" s="5" t="s">
        <v>38</v>
      </c>
      <c r="L33" s="6">
        <v>2.7</v>
      </c>
    </row>
    <row r="34" ht="13.5" customHeight="1">
      <c r="A34" s="5" t="s">
        <v>39</v>
      </c>
      <c r="B34" s="6">
        <v>0.0</v>
      </c>
      <c r="C34" s="5" t="s">
        <v>18</v>
      </c>
      <c r="D34" s="5" t="s">
        <v>19</v>
      </c>
      <c r="E34" s="6">
        <v>-10.6756</v>
      </c>
      <c r="F34" s="6">
        <v>0.1027</v>
      </c>
      <c r="G34" s="6">
        <v>-0.052</v>
      </c>
      <c r="H34" s="6">
        <v>7.6E-4</v>
      </c>
      <c r="I34" s="6">
        <v>-0.0961</v>
      </c>
      <c r="J34" s="6">
        <v>0.18527</v>
      </c>
      <c r="K34" s="5" t="s">
        <v>40</v>
      </c>
      <c r="L34" s="6">
        <v>0.0</v>
      </c>
    </row>
    <row r="35" ht="13.5" customHeight="1">
      <c r="A35" s="5" t="s">
        <v>39</v>
      </c>
      <c r="B35" s="6">
        <v>1.8</v>
      </c>
      <c r="C35" s="5" t="s">
        <v>18</v>
      </c>
      <c r="D35" s="5" t="s">
        <v>19</v>
      </c>
      <c r="E35" s="6">
        <v>-10.4776</v>
      </c>
      <c r="F35" s="6">
        <v>0.1027</v>
      </c>
      <c r="G35" s="6">
        <v>-0.052</v>
      </c>
      <c r="H35" s="6">
        <v>7.6E-4</v>
      </c>
      <c r="I35" s="6">
        <v>-0.00248</v>
      </c>
      <c r="J35" s="6">
        <v>4.2E-4</v>
      </c>
      <c r="K35" s="5" t="s">
        <v>40</v>
      </c>
      <c r="L35" s="6">
        <v>1.8</v>
      </c>
    </row>
    <row r="36" ht="13.5" customHeight="1">
      <c r="A36" s="5" t="s">
        <v>39</v>
      </c>
      <c r="B36" s="6">
        <v>3.6</v>
      </c>
      <c r="C36" s="5" t="s">
        <v>18</v>
      </c>
      <c r="D36" s="5" t="s">
        <v>19</v>
      </c>
      <c r="E36" s="6">
        <v>-10.2796</v>
      </c>
      <c r="F36" s="6">
        <v>0.1027</v>
      </c>
      <c r="G36" s="6">
        <v>-0.052</v>
      </c>
      <c r="H36" s="6">
        <v>7.6E-4</v>
      </c>
      <c r="I36" s="6">
        <v>0.09114</v>
      </c>
      <c r="J36" s="6">
        <v>-0.18443</v>
      </c>
      <c r="K36" s="5" t="s">
        <v>40</v>
      </c>
      <c r="L36" s="6">
        <v>3.6</v>
      </c>
    </row>
    <row r="37" ht="13.5" customHeight="1">
      <c r="A37" s="5" t="s">
        <v>41</v>
      </c>
      <c r="B37" s="6">
        <v>0.0</v>
      </c>
      <c r="C37" s="5" t="s">
        <v>18</v>
      </c>
      <c r="D37" s="5" t="s">
        <v>19</v>
      </c>
      <c r="E37" s="6">
        <v>-7.691</v>
      </c>
      <c r="F37" s="6">
        <v>0.0823</v>
      </c>
      <c r="G37" s="6">
        <v>7.255E-5</v>
      </c>
      <c r="H37" s="6">
        <v>0.00123</v>
      </c>
      <c r="I37" s="6">
        <v>-0.01208</v>
      </c>
      <c r="J37" s="6">
        <v>0.16833</v>
      </c>
      <c r="K37" s="5" t="s">
        <v>42</v>
      </c>
      <c r="L37" s="6">
        <v>0.0</v>
      </c>
    </row>
    <row r="38" ht="13.5" customHeight="1">
      <c r="A38" s="5" t="s">
        <v>41</v>
      </c>
      <c r="B38" s="6">
        <v>1.8</v>
      </c>
      <c r="C38" s="5" t="s">
        <v>18</v>
      </c>
      <c r="D38" s="5" t="s">
        <v>19</v>
      </c>
      <c r="E38" s="6">
        <v>-7.493</v>
      </c>
      <c r="F38" s="6">
        <v>0.0823</v>
      </c>
      <c r="G38" s="6">
        <v>7.255E-5</v>
      </c>
      <c r="H38" s="6">
        <v>0.00123</v>
      </c>
      <c r="I38" s="6">
        <v>-0.01221</v>
      </c>
      <c r="J38" s="6">
        <v>0.02022</v>
      </c>
      <c r="K38" s="5" t="s">
        <v>42</v>
      </c>
      <c r="L38" s="6">
        <v>1.8</v>
      </c>
    </row>
    <row r="39" ht="13.5" customHeight="1">
      <c r="A39" s="5" t="s">
        <v>41</v>
      </c>
      <c r="B39" s="6">
        <v>3.6</v>
      </c>
      <c r="C39" s="5" t="s">
        <v>18</v>
      </c>
      <c r="D39" s="5" t="s">
        <v>19</v>
      </c>
      <c r="E39" s="6">
        <v>-7.295</v>
      </c>
      <c r="F39" s="6">
        <v>0.0823</v>
      </c>
      <c r="G39" s="6">
        <v>7.255E-5</v>
      </c>
      <c r="H39" s="6">
        <v>0.00123</v>
      </c>
      <c r="I39" s="6">
        <v>-0.01235</v>
      </c>
      <c r="J39" s="6">
        <v>-0.12789</v>
      </c>
      <c r="K39" s="5" t="s">
        <v>42</v>
      </c>
      <c r="L39" s="6">
        <v>3.6</v>
      </c>
    </row>
    <row r="40" ht="13.5" customHeight="1">
      <c r="A40" s="5" t="s">
        <v>43</v>
      </c>
      <c r="B40" s="6">
        <v>0.0</v>
      </c>
      <c r="C40" s="5" t="s">
        <v>18</v>
      </c>
      <c r="D40" s="5" t="s">
        <v>19</v>
      </c>
      <c r="E40" s="6">
        <v>-17.0102</v>
      </c>
      <c r="F40" s="6">
        <v>-0.0791</v>
      </c>
      <c r="G40" s="6">
        <v>0.2093</v>
      </c>
      <c r="H40" s="6">
        <v>3.6E-4</v>
      </c>
      <c r="I40" s="6">
        <v>0.28588</v>
      </c>
      <c r="J40" s="6">
        <v>-0.0676</v>
      </c>
      <c r="K40" s="5" t="s">
        <v>44</v>
      </c>
      <c r="L40" s="6">
        <v>0.0</v>
      </c>
    </row>
    <row r="41" ht="13.5" customHeight="1">
      <c r="A41" s="5" t="s">
        <v>43</v>
      </c>
      <c r="B41" s="6">
        <v>1.35</v>
      </c>
      <c r="C41" s="5" t="s">
        <v>18</v>
      </c>
      <c r="D41" s="5" t="s">
        <v>19</v>
      </c>
      <c r="E41" s="6">
        <v>-16.8617</v>
      </c>
      <c r="F41" s="6">
        <v>-0.0791</v>
      </c>
      <c r="G41" s="6">
        <v>0.2093</v>
      </c>
      <c r="H41" s="6">
        <v>3.6E-4</v>
      </c>
      <c r="I41" s="6">
        <v>0.00336</v>
      </c>
      <c r="J41" s="6">
        <v>0.03912</v>
      </c>
      <c r="K41" s="5" t="s">
        <v>44</v>
      </c>
      <c r="L41" s="6">
        <v>1.35</v>
      </c>
    </row>
    <row r="42" ht="13.5" customHeight="1">
      <c r="A42" s="5" t="s">
        <v>43</v>
      </c>
      <c r="B42" s="6">
        <v>2.7</v>
      </c>
      <c r="C42" s="5" t="s">
        <v>18</v>
      </c>
      <c r="D42" s="5" t="s">
        <v>19</v>
      </c>
      <c r="E42" s="6">
        <v>-16.7132</v>
      </c>
      <c r="F42" s="6">
        <v>-0.0791</v>
      </c>
      <c r="G42" s="6">
        <v>0.2093</v>
      </c>
      <c r="H42" s="6">
        <v>3.6E-4</v>
      </c>
      <c r="I42" s="6">
        <v>-0.27916</v>
      </c>
      <c r="J42" s="6">
        <v>0.14584</v>
      </c>
      <c r="K42" s="5" t="s">
        <v>44</v>
      </c>
      <c r="L42" s="6">
        <v>2.7</v>
      </c>
    </row>
    <row r="43" ht="13.5" customHeight="1">
      <c r="A43" s="5" t="s">
        <v>45</v>
      </c>
      <c r="B43" s="6">
        <v>0.0</v>
      </c>
      <c r="C43" s="5" t="s">
        <v>18</v>
      </c>
      <c r="D43" s="5" t="s">
        <v>19</v>
      </c>
      <c r="E43" s="6">
        <v>-11.9388</v>
      </c>
      <c r="F43" s="6">
        <v>-0.1051</v>
      </c>
      <c r="G43" s="6">
        <v>-0.0068</v>
      </c>
      <c r="H43" s="6">
        <v>-3.1E-4</v>
      </c>
      <c r="I43" s="6">
        <v>-0.01362</v>
      </c>
      <c r="J43" s="6">
        <v>-0.186</v>
      </c>
      <c r="K43" s="5" t="s">
        <v>46</v>
      </c>
      <c r="L43" s="6">
        <v>0.0</v>
      </c>
    </row>
    <row r="44" ht="13.5" customHeight="1">
      <c r="A44" s="5" t="s">
        <v>45</v>
      </c>
      <c r="B44" s="6">
        <v>1.8</v>
      </c>
      <c r="C44" s="5" t="s">
        <v>18</v>
      </c>
      <c r="D44" s="5" t="s">
        <v>19</v>
      </c>
      <c r="E44" s="6">
        <v>-11.7408</v>
      </c>
      <c r="F44" s="6">
        <v>-0.1051</v>
      </c>
      <c r="G44" s="6">
        <v>-0.0068</v>
      </c>
      <c r="H44" s="6">
        <v>-3.1E-4</v>
      </c>
      <c r="I44" s="6">
        <v>-0.00141</v>
      </c>
      <c r="J44" s="6">
        <v>0.0032</v>
      </c>
      <c r="K44" s="5" t="s">
        <v>46</v>
      </c>
      <c r="L44" s="6">
        <v>1.8</v>
      </c>
    </row>
    <row r="45" ht="13.5" customHeight="1">
      <c r="A45" s="5" t="s">
        <v>45</v>
      </c>
      <c r="B45" s="6">
        <v>3.6</v>
      </c>
      <c r="C45" s="5" t="s">
        <v>18</v>
      </c>
      <c r="D45" s="5" t="s">
        <v>19</v>
      </c>
      <c r="E45" s="6">
        <v>-11.5428</v>
      </c>
      <c r="F45" s="6">
        <v>-0.1051</v>
      </c>
      <c r="G45" s="6">
        <v>-0.0068</v>
      </c>
      <c r="H45" s="6">
        <v>-3.1E-4</v>
      </c>
      <c r="I45" s="6">
        <v>0.01079</v>
      </c>
      <c r="J45" s="6">
        <v>0.19241</v>
      </c>
      <c r="K45" s="5" t="s">
        <v>46</v>
      </c>
      <c r="L45" s="6">
        <v>3.6</v>
      </c>
    </row>
    <row r="46" ht="13.5" customHeight="1">
      <c r="A46" s="5" t="s">
        <v>47</v>
      </c>
      <c r="B46" s="6">
        <v>0.0</v>
      </c>
      <c r="C46" s="5" t="s">
        <v>18</v>
      </c>
      <c r="D46" s="5" t="s">
        <v>19</v>
      </c>
      <c r="E46" s="6">
        <v>-6.7431</v>
      </c>
      <c r="F46" s="6">
        <v>-0.1352</v>
      </c>
      <c r="G46" s="6">
        <v>0.0255</v>
      </c>
      <c r="H46" s="6">
        <v>0.00155</v>
      </c>
      <c r="I46" s="6">
        <v>0.05018</v>
      </c>
      <c r="J46" s="6">
        <v>-0.23107</v>
      </c>
      <c r="K46" s="5" t="s">
        <v>48</v>
      </c>
      <c r="L46" s="6">
        <v>0.0</v>
      </c>
    </row>
    <row r="47" ht="13.5" customHeight="1">
      <c r="A47" s="5" t="s">
        <v>47</v>
      </c>
      <c r="B47" s="6">
        <v>1.8</v>
      </c>
      <c r="C47" s="5" t="s">
        <v>18</v>
      </c>
      <c r="D47" s="5" t="s">
        <v>19</v>
      </c>
      <c r="E47" s="6">
        <v>-6.5451</v>
      </c>
      <c r="F47" s="6">
        <v>-0.1352</v>
      </c>
      <c r="G47" s="6">
        <v>0.0255</v>
      </c>
      <c r="H47" s="6">
        <v>0.00155</v>
      </c>
      <c r="I47" s="6">
        <v>0.00427</v>
      </c>
      <c r="J47" s="6">
        <v>0.01237</v>
      </c>
      <c r="K47" s="5" t="s">
        <v>48</v>
      </c>
      <c r="L47" s="6">
        <v>1.8</v>
      </c>
    </row>
    <row r="48" ht="13.5" customHeight="1">
      <c r="A48" s="5" t="s">
        <v>47</v>
      </c>
      <c r="B48" s="6">
        <v>3.6</v>
      </c>
      <c r="C48" s="5" t="s">
        <v>18</v>
      </c>
      <c r="D48" s="5" t="s">
        <v>19</v>
      </c>
      <c r="E48" s="6">
        <v>-6.3471</v>
      </c>
      <c r="F48" s="6">
        <v>-0.1352</v>
      </c>
      <c r="G48" s="6">
        <v>0.0255</v>
      </c>
      <c r="H48" s="6">
        <v>0.00155</v>
      </c>
      <c r="I48" s="6">
        <v>-0.04163</v>
      </c>
      <c r="J48" s="6">
        <v>0.25582</v>
      </c>
      <c r="K48" s="5" t="s">
        <v>48</v>
      </c>
      <c r="L48" s="6">
        <v>3.6</v>
      </c>
    </row>
    <row r="49" ht="13.5" customHeight="1">
      <c r="A49" s="5" t="s">
        <v>49</v>
      </c>
      <c r="B49" s="6">
        <v>0.0</v>
      </c>
      <c r="C49" s="5" t="s">
        <v>18</v>
      </c>
      <c r="D49" s="5" t="s">
        <v>19</v>
      </c>
      <c r="E49" s="6">
        <v>-26.6881</v>
      </c>
      <c r="F49" s="6">
        <v>0.0719</v>
      </c>
      <c r="G49" s="6">
        <v>0.2179</v>
      </c>
      <c r="H49" s="6">
        <v>9.4E-4</v>
      </c>
      <c r="I49" s="6">
        <v>0.29781</v>
      </c>
      <c r="J49" s="6">
        <v>0.06697</v>
      </c>
      <c r="K49" s="5" t="s">
        <v>50</v>
      </c>
      <c r="L49" s="6">
        <v>0.0</v>
      </c>
    </row>
    <row r="50" ht="13.5" customHeight="1">
      <c r="A50" s="5" t="s">
        <v>49</v>
      </c>
      <c r="B50" s="6">
        <v>1.35</v>
      </c>
      <c r="C50" s="5" t="s">
        <v>18</v>
      </c>
      <c r="D50" s="5" t="s">
        <v>19</v>
      </c>
      <c r="E50" s="6">
        <v>-26.5396</v>
      </c>
      <c r="F50" s="6">
        <v>0.0719</v>
      </c>
      <c r="G50" s="6">
        <v>0.2179</v>
      </c>
      <c r="H50" s="6">
        <v>9.4E-4</v>
      </c>
      <c r="I50" s="6">
        <v>0.00365</v>
      </c>
      <c r="J50" s="6">
        <v>-0.03004</v>
      </c>
      <c r="K50" s="5" t="s">
        <v>50</v>
      </c>
      <c r="L50" s="6">
        <v>1.35</v>
      </c>
    </row>
    <row r="51" ht="13.5" customHeight="1">
      <c r="A51" s="5" t="s">
        <v>49</v>
      </c>
      <c r="B51" s="6">
        <v>2.7</v>
      </c>
      <c r="C51" s="5" t="s">
        <v>18</v>
      </c>
      <c r="D51" s="5" t="s">
        <v>19</v>
      </c>
      <c r="E51" s="6">
        <v>-26.3911</v>
      </c>
      <c r="F51" s="6">
        <v>0.0719</v>
      </c>
      <c r="G51" s="6">
        <v>0.2179</v>
      </c>
      <c r="H51" s="6">
        <v>9.4E-4</v>
      </c>
      <c r="I51" s="6">
        <v>-0.29051</v>
      </c>
      <c r="J51" s="6">
        <v>-0.12706</v>
      </c>
      <c r="K51" s="5" t="s">
        <v>50</v>
      </c>
      <c r="L51" s="6">
        <v>2.7</v>
      </c>
    </row>
    <row r="52" ht="13.5" customHeight="1">
      <c r="A52" s="5" t="s">
        <v>51</v>
      </c>
      <c r="B52" s="6">
        <v>0.0</v>
      </c>
      <c r="C52" s="5" t="s">
        <v>18</v>
      </c>
      <c r="D52" s="5" t="s">
        <v>19</v>
      </c>
      <c r="E52" s="6">
        <v>-20.9526</v>
      </c>
      <c r="F52" s="6">
        <v>0.0787</v>
      </c>
      <c r="G52" s="6">
        <v>-0.008</v>
      </c>
      <c r="H52" s="6">
        <v>-7.0E-4</v>
      </c>
      <c r="I52" s="6">
        <v>-0.01801</v>
      </c>
      <c r="J52" s="6">
        <v>0.13743</v>
      </c>
      <c r="K52" s="5" t="s">
        <v>52</v>
      </c>
      <c r="L52" s="6">
        <v>0.0</v>
      </c>
    </row>
    <row r="53" ht="13.5" customHeight="1">
      <c r="A53" s="5" t="s">
        <v>51</v>
      </c>
      <c r="B53" s="6">
        <v>1.8</v>
      </c>
      <c r="C53" s="5" t="s">
        <v>18</v>
      </c>
      <c r="D53" s="5" t="s">
        <v>19</v>
      </c>
      <c r="E53" s="6">
        <v>-20.7546</v>
      </c>
      <c r="F53" s="6">
        <v>0.0787</v>
      </c>
      <c r="G53" s="6">
        <v>-0.008</v>
      </c>
      <c r="H53" s="6">
        <v>-7.0E-4</v>
      </c>
      <c r="I53" s="6">
        <v>-0.0036</v>
      </c>
      <c r="J53" s="6">
        <v>-0.00414</v>
      </c>
      <c r="K53" s="5" t="s">
        <v>52</v>
      </c>
      <c r="L53" s="6">
        <v>1.8</v>
      </c>
    </row>
    <row r="54" ht="13.5" customHeight="1">
      <c r="A54" s="5" t="s">
        <v>51</v>
      </c>
      <c r="B54" s="6">
        <v>3.6</v>
      </c>
      <c r="C54" s="5" t="s">
        <v>18</v>
      </c>
      <c r="D54" s="5" t="s">
        <v>19</v>
      </c>
      <c r="E54" s="6">
        <v>-20.5566</v>
      </c>
      <c r="F54" s="6">
        <v>0.0787</v>
      </c>
      <c r="G54" s="6">
        <v>-0.008</v>
      </c>
      <c r="H54" s="6">
        <v>-7.0E-4</v>
      </c>
      <c r="I54" s="6">
        <v>0.01082</v>
      </c>
      <c r="J54" s="6">
        <v>-0.14572</v>
      </c>
      <c r="K54" s="5" t="s">
        <v>52</v>
      </c>
      <c r="L54" s="6">
        <v>3.6</v>
      </c>
    </row>
    <row r="55" ht="13.5" customHeight="1">
      <c r="A55" s="5" t="s">
        <v>53</v>
      </c>
      <c r="B55" s="6">
        <v>0.0</v>
      </c>
      <c r="C55" s="5" t="s">
        <v>18</v>
      </c>
      <c r="D55" s="5" t="s">
        <v>19</v>
      </c>
      <c r="E55" s="6">
        <v>-15.5201</v>
      </c>
      <c r="F55" s="6">
        <v>0.1019</v>
      </c>
      <c r="G55" s="6">
        <v>-0.0527</v>
      </c>
      <c r="H55" s="6">
        <v>-0.00883</v>
      </c>
      <c r="I55" s="6">
        <v>-0.07695</v>
      </c>
      <c r="J55" s="6">
        <v>0.18115</v>
      </c>
      <c r="K55" s="5" t="s">
        <v>54</v>
      </c>
      <c r="L55" s="6">
        <v>0.0</v>
      </c>
    </row>
    <row r="56" ht="13.5" customHeight="1">
      <c r="A56" s="5" t="s">
        <v>53</v>
      </c>
      <c r="B56" s="6">
        <v>1.8</v>
      </c>
      <c r="C56" s="5" t="s">
        <v>18</v>
      </c>
      <c r="D56" s="5" t="s">
        <v>19</v>
      </c>
      <c r="E56" s="6">
        <v>-15.3221</v>
      </c>
      <c r="F56" s="6">
        <v>0.1019</v>
      </c>
      <c r="G56" s="6">
        <v>-0.0527</v>
      </c>
      <c r="H56" s="6">
        <v>-0.00883</v>
      </c>
      <c r="I56" s="6">
        <v>0.01786</v>
      </c>
      <c r="J56" s="6">
        <v>-0.00233</v>
      </c>
      <c r="K56" s="5" t="s">
        <v>54</v>
      </c>
      <c r="L56" s="6">
        <v>1.8</v>
      </c>
    </row>
    <row r="57" ht="13.5" customHeight="1">
      <c r="A57" s="5" t="s">
        <v>53</v>
      </c>
      <c r="B57" s="6">
        <v>3.6</v>
      </c>
      <c r="C57" s="5" t="s">
        <v>18</v>
      </c>
      <c r="D57" s="5" t="s">
        <v>19</v>
      </c>
      <c r="E57" s="6">
        <v>-15.1241</v>
      </c>
      <c r="F57" s="6">
        <v>0.1019</v>
      </c>
      <c r="G57" s="6">
        <v>-0.0527</v>
      </c>
      <c r="H57" s="6">
        <v>-0.00883</v>
      </c>
      <c r="I57" s="6">
        <v>0.11267</v>
      </c>
      <c r="J57" s="6">
        <v>-0.18581</v>
      </c>
      <c r="K57" s="5" t="s">
        <v>54</v>
      </c>
      <c r="L57" s="6">
        <v>3.6</v>
      </c>
    </row>
    <row r="58" ht="13.5" customHeight="1">
      <c r="A58" s="5" t="s">
        <v>55</v>
      </c>
      <c r="B58" s="6">
        <v>0.0</v>
      </c>
      <c r="C58" s="5" t="s">
        <v>18</v>
      </c>
      <c r="D58" s="5" t="s">
        <v>19</v>
      </c>
      <c r="E58" s="6">
        <v>-13.6967</v>
      </c>
      <c r="F58" s="6">
        <v>-0.0544</v>
      </c>
      <c r="G58" s="6">
        <v>0.2222</v>
      </c>
      <c r="H58" s="6">
        <v>3.0E-4</v>
      </c>
      <c r="I58" s="6">
        <v>0.30377</v>
      </c>
      <c r="J58" s="6">
        <v>-0.04615</v>
      </c>
      <c r="K58" s="5" t="s">
        <v>56</v>
      </c>
      <c r="L58" s="6">
        <v>0.0</v>
      </c>
    </row>
    <row r="59" ht="13.5" customHeight="1">
      <c r="A59" s="5" t="s">
        <v>55</v>
      </c>
      <c r="B59" s="6">
        <v>1.35</v>
      </c>
      <c r="C59" s="5" t="s">
        <v>18</v>
      </c>
      <c r="D59" s="5" t="s">
        <v>19</v>
      </c>
      <c r="E59" s="6">
        <v>-13.5482</v>
      </c>
      <c r="F59" s="6">
        <v>-0.0544</v>
      </c>
      <c r="G59" s="6">
        <v>0.2222</v>
      </c>
      <c r="H59" s="6">
        <v>3.0E-4</v>
      </c>
      <c r="I59" s="6">
        <v>0.00382</v>
      </c>
      <c r="J59" s="6">
        <v>0.02731</v>
      </c>
      <c r="K59" s="5" t="s">
        <v>56</v>
      </c>
      <c r="L59" s="6">
        <v>1.35</v>
      </c>
    </row>
    <row r="60" ht="13.5" customHeight="1">
      <c r="A60" s="5" t="s">
        <v>55</v>
      </c>
      <c r="B60" s="6">
        <v>2.7</v>
      </c>
      <c r="C60" s="5" t="s">
        <v>18</v>
      </c>
      <c r="D60" s="5" t="s">
        <v>19</v>
      </c>
      <c r="E60" s="6">
        <v>-13.3997</v>
      </c>
      <c r="F60" s="6">
        <v>-0.0544</v>
      </c>
      <c r="G60" s="6">
        <v>0.2222</v>
      </c>
      <c r="H60" s="6">
        <v>3.0E-4</v>
      </c>
      <c r="I60" s="6">
        <v>-0.29612</v>
      </c>
      <c r="J60" s="6">
        <v>0.10077</v>
      </c>
      <c r="K60" s="5" t="s">
        <v>56</v>
      </c>
      <c r="L60" s="6">
        <v>2.7</v>
      </c>
    </row>
    <row r="61" ht="13.5" customHeight="1">
      <c r="A61" s="5" t="s">
        <v>57</v>
      </c>
      <c r="B61" s="6">
        <v>0.0</v>
      </c>
      <c r="C61" s="5" t="s">
        <v>18</v>
      </c>
      <c r="D61" s="5" t="s">
        <v>19</v>
      </c>
      <c r="E61" s="6">
        <v>-8.9456</v>
      </c>
      <c r="F61" s="6">
        <v>-0.0456</v>
      </c>
      <c r="G61" s="6">
        <v>-0.0164</v>
      </c>
      <c r="H61" s="6">
        <v>-2.2E-4</v>
      </c>
      <c r="I61" s="6">
        <v>-0.02944</v>
      </c>
      <c r="J61" s="6">
        <v>-0.09674</v>
      </c>
      <c r="K61" s="5" t="s">
        <v>58</v>
      </c>
      <c r="L61" s="6">
        <v>0.0</v>
      </c>
    </row>
    <row r="62" ht="13.5" customHeight="1">
      <c r="A62" s="5" t="s">
        <v>57</v>
      </c>
      <c r="B62" s="6">
        <v>1.8</v>
      </c>
      <c r="C62" s="5" t="s">
        <v>18</v>
      </c>
      <c r="D62" s="5" t="s">
        <v>19</v>
      </c>
      <c r="E62" s="6">
        <v>-8.7476</v>
      </c>
      <c r="F62" s="6">
        <v>-0.0456</v>
      </c>
      <c r="G62" s="6">
        <v>-0.0164</v>
      </c>
      <c r="H62" s="6">
        <v>-2.2E-4</v>
      </c>
      <c r="I62" s="6">
        <v>-4.05E-6</v>
      </c>
      <c r="J62" s="6">
        <v>-0.01468</v>
      </c>
      <c r="K62" s="5" t="s">
        <v>58</v>
      </c>
      <c r="L62" s="6">
        <v>1.8</v>
      </c>
    </row>
    <row r="63" ht="13.5" customHeight="1">
      <c r="A63" s="5" t="s">
        <v>57</v>
      </c>
      <c r="B63" s="6">
        <v>3.6</v>
      </c>
      <c r="C63" s="5" t="s">
        <v>18</v>
      </c>
      <c r="D63" s="5" t="s">
        <v>19</v>
      </c>
      <c r="E63" s="6">
        <v>-8.5496</v>
      </c>
      <c r="F63" s="6">
        <v>-0.0456</v>
      </c>
      <c r="G63" s="6">
        <v>-0.0164</v>
      </c>
      <c r="H63" s="6">
        <v>-2.2E-4</v>
      </c>
      <c r="I63" s="6">
        <v>0.02943</v>
      </c>
      <c r="J63" s="6">
        <v>0.06739</v>
      </c>
      <c r="K63" s="5" t="s">
        <v>58</v>
      </c>
      <c r="L63" s="6">
        <v>3.6</v>
      </c>
    </row>
    <row r="64" ht="13.5" customHeight="1">
      <c r="A64" s="5" t="s">
        <v>59</v>
      </c>
      <c r="B64" s="6">
        <v>0.0</v>
      </c>
      <c r="C64" s="5" t="s">
        <v>18</v>
      </c>
      <c r="D64" s="5" t="s">
        <v>19</v>
      </c>
      <c r="E64" s="6">
        <v>-4.1984</v>
      </c>
      <c r="F64" s="6">
        <v>0.0197</v>
      </c>
      <c r="G64" s="6">
        <v>-0.0493</v>
      </c>
      <c r="H64" s="6">
        <v>0.00361</v>
      </c>
      <c r="I64" s="6">
        <v>-0.0791</v>
      </c>
      <c r="J64" s="6">
        <v>0.01828</v>
      </c>
      <c r="K64" s="5" t="s">
        <v>60</v>
      </c>
      <c r="L64" s="6">
        <v>0.0</v>
      </c>
    </row>
    <row r="65" ht="13.5" customHeight="1">
      <c r="A65" s="5" t="s">
        <v>59</v>
      </c>
      <c r="B65" s="6">
        <v>1.8</v>
      </c>
      <c r="C65" s="5" t="s">
        <v>18</v>
      </c>
      <c r="D65" s="5" t="s">
        <v>19</v>
      </c>
      <c r="E65" s="6">
        <v>-4.0004</v>
      </c>
      <c r="F65" s="6">
        <v>0.0197</v>
      </c>
      <c r="G65" s="6">
        <v>-0.0493</v>
      </c>
      <c r="H65" s="6">
        <v>0.00361</v>
      </c>
      <c r="I65" s="6">
        <v>0.00962</v>
      </c>
      <c r="J65" s="6">
        <v>-0.01717</v>
      </c>
      <c r="K65" s="5" t="s">
        <v>60</v>
      </c>
      <c r="L65" s="6">
        <v>1.8</v>
      </c>
    </row>
    <row r="66" ht="13.5" customHeight="1">
      <c r="A66" s="5" t="s">
        <v>59</v>
      </c>
      <c r="B66" s="6">
        <v>3.6</v>
      </c>
      <c r="C66" s="5" t="s">
        <v>18</v>
      </c>
      <c r="D66" s="5" t="s">
        <v>19</v>
      </c>
      <c r="E66" s="6">
        <v>-3.8024</v>
      </c>
      <c r="F66" s="6">
        <v>0.0197</v>
      </c>
      <c r="G66" s="6">
        <v>-0.0493</v>
      </c>
      <c r="H66" s="6">
        <v>0.00361</v>
      </c>
      <c r="I66" s="6">
        <v>0.09833</v>
      </c>
      <c r="J66" s="6">
        <v>-0.05263</v>
      </c>
      <c r="K66" s="5" t="s">
        <v>60</v>
      </c>
      <c r="L66" s="6">
        <v>3.6</v>
      </c>
    </row>
    <row r="67" ht="13.5" customHeight="1">
      <c r="A67" s="5" t="s">
        <v>61</v>
      </c>
      <c r="B67" s="6">
        <v>0.0</v>
      </c>
      <c r="C67" s="5" t="s">
        <v>18</v>
      </c>
      <c r="D67" s="5" t="s">
        <v>19</v>
      </c>
      <c r="E67" s="6">
        <v>-20.9269</v>
      </c>
      <c r="F67" s="6">
        <v>0.0725</v>
      </c>
      <c r="G67" s="6">
        <v>0.6877</v>
      </c>
      <c r="H67" s="6">
        <v>9.4E-4</v>
      </c>
      <c r="I67" s="6">
        <v>0.72394</v>
      </c>
      <c r="J67" s="6">
        <v>0.06557</v>
      </c>
      <c r="K67" s="5" t="s">
        <v>62</v>
      </c>
      <c r="L67" s="6">
        <v>0.0</v>
      </c>
    </row>
    <row r="68" ht="13.5" customHeight="1">
      <c r="A68" s="5" t="s">
        <v>61</v>
      </c>
      <c r="B68" s="6">
        <v>1.35</v>
      </c>
      <c r="C68" s="5" t="s">
        <v>18</v>
      </c>
      <c r="D68" s="5" t="s">
        <v>19</v>
      </c>
      <c r="E68" s="6">
        <v>-20.7784</v>
      </c>
      <c r="F68" s="6">
        <v>0.0725</v>
      </c>
      <c r="G68" s="6">
        <v>0.6877</v>
      </c>
      <c r="H68" s="6">
        <v>9.4E-4</v>
      </c>
      <c r="I68" s="6">
        <v>-0.2045</v>
      </c>
      <c r="J68" s="6">
        <v>-0.0323</v>
      </c>
      <c r="K68" s="5" t="s">
        <v>62</v>
      </c>
      <c r="L68" s="6">
        <v>1.35</v>
      </c>
    </row>
    <row r="69" ht="13.5" customHeight="1">
      <c r="A69" s="5" t="s">
        <v>61</v>
      </c>
      <c r="B69" s="6">
        <v>2.7</v>
      </c>
      <c r="C69" s="5" t="s">
        <v>18</v>
      </c>
      <c r="D69" s="5" t="s">
        <v>19</v>
      </c>
      <c r="E69" s="6">
        <v>-20.6299</v>
      </c>
      <c r="F69" s="6">
        <v>0.0725</v>
      </c>
      <c r="G69" s="6">
        <v>0.6877</v>
      </c>
      <c r="H69" s="6">
        <v>9.4E-4</v>
      </c>
      <c r="I69" s="6">
        <v>-1.13294</v>
      </c>
      <c r="J69" s="6">
        <v>-0.13017</v>
      </c>
      <c r="K69" s="5" t="s">
        <v>62</v>
      </c>
      <c r="L69" s="6">
        <v>2.7</v>
      </c>
    </row>
    <row r="70" ht="13.5" customHeight="1">
      <c r="A70" s="5" t="s">
        <v>63</v>
      </c>
      <c r="B70" s="6">
        <v>0.0</v>
      </c>
      <c r="C70" s="5" t="s">
        <v>18</v>
      </c>
      <c r="D70" s="5" t="s">
        <v>19</v>
      </c>
      <c r="E70" s="6">
        <v>-11.6606</v>
      </c>
      <c r="F70" s="6">
        <v>0.072</v>
      </c>
      <c r="G70" s="6">
        <v>0.3489</v>
      </c>
      <c r="H70" s="6">
        <v>-6.5E-4</v>
      </c>
      <c r="I70" s="6">
        <v>0.71691</v>
      </c>
      <c r="J70" s="6">
        <v>0.13417</v>
      </c>
      <c r="K70" s="5" t="s">
        <v>64</v>
      </c>
      <c r="L70" s="6">
        <v>0.0</v>
      </c>
    </row>
    <row r="71" ht="13.5" customHeight="1">
      <c r="A71" s="5" t="s">
        <v>63</v>
      </c>
      <c r="B71" s="6">
        <v>1.8</v>
      </c>
      <c r="C71" s="5" t="s">
        <v>18</v>
      </c>
      <c r="D71" s="5" t="s">
        <v>19</v>
      </c>
      <c r="E71" s="6">
        <v>-11.4626</v>
      </c>
      <c r="F71" s="6">
        <v>0.072</v>
      </c>
      <c r="G71" s="6">
        <v>0.3489</v>
      </c>
      <c r="H71" s="6">
        <v>-6.5E-4</v>
      </c>
      <c r="I71" s="6">
        <v>0.08894</v>
      </c>
      <c r="J71" s="6">
        <v>0.00456</v>
      </c>
      <c r="K71" s="5" t="s">
        <v>64</v>
      </c>
      <c r="L71" s="6">
        <v>1.8</v>
      </c>
    </row>
    <row r="72" ht="13.5" customHeight="1">
      <c r="A72" s="5" t="s">
        <v>63</v>
      </c>
      <c r="B72" s="6">
        <v>3.6</v>
      </c>
      <c r="C72" s="5" t="s">
        <v>18</v>
      </c>
      <c r="D72" s="5" t="s">
        <v>19</v>
      </c>
      <c r="E72" s="6">
        <v>-11.2646</v>
      </c>
      <c r="F72" s="6">
        <v>0.072</v>
      </c>
      <c r="G72" s="6">
        <v>0.3489</v>
      </c>
      <c r="H72" s="6">
        <v>-6.5E-4</v>
      </c>
      <c r="I72" s="6">
        <v>-0.53903</v>
      </c>
      <c r="J72" s="6">
        <v>-0.12505</v>
      </c>
      <c r="K72" s="5" t="s">
        <v>64</v>
      </c>
      <c r="L72" s="6">
        <v>3.6</v>
      </c>
    </row>
    <row r="73" ht="13.5" customHeight="1">
      <c r="A73" s="5" t="s">
        <v>65</v>
      </c>
      <c r="B73" s="6">
        <v>0.0</v>
      </c>
      <c r="C73" s="5" t="s">
        <v>18</v>
      </c>
      <c r="D73" s="5" t="s">
        <v>19</v>
      </c>
      <c r="E73" s="6">
        <v>-3.1071</v>
      </c>
      <c r="F73" s="6">
        <v>0.0452</v>
      </c>
      <c r="G73" s="6">
        <v>0.0625</v>
      </c>
      <c r="H73" s="6">
        <v>0.00146</v>
      </c>
      <c r="I73" s="6">
        <v>0.18503</v>
      </c>
      <c r="J73" s="6">
        <v>0.10031</v>
      </c>
      <c r="K73" s="5" t="s">
        <v>66</v>
      </c>
      <c r="L73" s="6">
        <v>0.0</v>
      </c>
    </row>
    <row r="74" ht="13.5" customHeight="1">
      <c r="A74" s="5" t="s">
        <v>65</v>
      </c>
      <c r="B74" s="6">
        <v>1.8</v>
      </c>
      <c r="C74" s="5" t="s">
        <v>18</v>
      </c>
      <c r="D74" s="5" t="s">
        <v>19</v>
      </c>
      <c r="E74" s="6">
        <v>-2.9091</v>
      </c>
      <c r="F74" s="6">
        <v>0.0452</v>
      </c>
      <c r="G74" s="6">
        <v>0.0625</v>
      </c>
      <c r="H74" s="6">
        <v>0.00146</v>
      </c>
      <c r="I74" s="6">
        <v>0.07255</v>
      </c>
      <c r="J74" s="6">
        <v>0.01898</v>
      </c>
      <c r="K74" s="5" t="s">
        <v>66</v>
      </c>
      <c r="L74" s="6">
        <v>1.8</v>
      </c>
    </row>
    <row r="75" ht="13.5" customHeight="1">
      <c r="A75" s="5" t="s">
        <v>65</v>
      </c>
      <c r="B75" s="6">
        <v>3.6</v>
      </c>
      <c r="C75" s="5" t="s">
        <v>18</v>
      </c>
      <c r="D75" s="5" t="s">
        <v>19</v>
      </c>
      <c r="E75" s="6">
        <v>-2.7111</v>
      </c>
      <c r="F75" s="6">
        <v>0.0452</v>
      </c>
      <c r="G75" s="6">
        <v>0.0625</v>
      </c>
      <c r="H75" s="6">
        <v>0.00146</v>
      </c>
      <c r="I75" s="6">
        <v>-0.03994</v>
      </c>
      <c r="J75" s="6">
        <v>-0.06235</v>
      </c>
      <c r="K75" s="5" t="s">
        <v>66</v>
      </c>
      <c r="L75" s="6">
        <v>3.6</v>
      </c>
    </row>
    <row r="76" ht="13.5" customHeight="1">
      <c r="A76" s="5" t="s">
        <v>67</v>
      </c>
      <c r="B76" s="6">
        <v>0.0</v>
      </c>
      <c r="C76" s="5" t="s">
        <v>18</v>
      </c>
      <c r="D76" s="5" t="s">
        <v>19</v>
      </c>
      <c r="E76" s="6">
        <v>-20.9329</v>
      </c>
      <c r="F76" s="6">
        <v>-0.0723</v>
      </c>
      <c r="G76" s="6">
        <v>0.6879</v>
      </c>
      <c r="H76" s="6">
        <v>-9.2E-4</v>
      </c>
      <c r="I76" s="6">
        <v>0.7241</v>
      </c>
      <c r="J76" s="6">
        <v>-0.06538</v>
      </c>
      <c r="K76" s="5" t="s">
        <v>68</v>
      </c>
      <c r="L76" s="6">
        <v>0.0</v>
      </c>
    </row>
    <row r="77" ht="13.5" customHeight="1">
      <c r="A77" s="5" t="s">
        <v>67</v>
      </c>
      <c r="B77" s="6">
        <v>1.35</v>
      </c>
      <c r="C77" s="5" t="s">
        <v>18</v>
      </c>
      <c r="D77" s="5" t="s">
        <v>19</v>
      </c>
      <c r="E77" s="6">
        <v>-20.7844</v>
      </c>
      <c r="F77" s="6">
        <v>-0.0723</v>
      </c>
      <c r="G77" s="6">
        <v>0.6879</v>
      </c>
      <c r="H77" s="6">
        <v>-9.2E-4</v>
      </c>
      <c r="I77" s="6">
        <v>-0.20453</v>
      </c>
      <c r="J77" s="6">
        <v>0.03228</v>
      </c>
      <c r="K77" s="5" t="s">
        <v>68</v>
      </c>
      <c r="L77" s="6">
        <v>1.35</v>
      </c>
    </row>
    <row r="78" ht="13.5" customHeight="1">
      <c r="A78" s="5" t="s">
        <v>67</v>
      </c>
      <c r="B78" s="6">
        <v>2.7</v>
      </c>
      <c r="C78" s="5" t="s">
        <v>18</v>
      </c>
      <c r="D78" s="5" t="s">
        <v>19</v>
      </c>
      <c r="E78" s="6">
        <v>-20.6359</v>
      </c>
      <c r="F78" s="6">
        <v>-0.0723</v>
      </c>
      <c r="G78" s="6">
        <v>0.6879</v>
      </c>
      <c r="H78" s="6">
        <v>-9.2E-4</v>
      </c>
      <c r="I78" s="6">
        <v>-1.13316</v>
      </c>
      <c r="J78" s="6">
        <v>0.12995</v>
      </c>
      <c r="K78" s="5" t="s">
        <v>68</v>
      </c>
      <c r="L78" s="6">
        <v>2.7</v>
      </c>
    </row>
    <row r="79" ht="13.5" customHeight="1">
      <c r="A79" s="5" t="s">
        <v>69</v>
      </c>
      <c r="B79" s="6">
        <v>0.0</v>
      </c>
      <c r="C79" s="5" t="s">
        <v>18</v>
      </c>
      <c r="D79" s="5" t="s">
        <v>19</v>
      </c>
      <c r="E79" s="6">
        <v>-11.6669</v>
      </c>
      <c r="F79" s="6">
        <v>-0.0722</v>
      </c>
      <c r="G79" s="6">
        <v>0.3491</v>
      </c>
      <c r="H79" s="6">
        <v>7.5E-4</v>
      </c>
      <c r="I79" s="6">
        <v>0.7174</v>
      </c>
      <c r="J79" s="6">
        <v>-0.13395</v>
      </c>
      <c r="K79" s="5" t="s">
        <v>70</v>
      </c>
      <c r="L79" s="6">
        <v>0.0</v>
      </c>
    </row>
    <row r="80" ht="13.5" customHeight="1">
      <c r="A80" s="5" t="s">
        <v>69</v>
      </c>
      <c r="B80" s="6">
        <v>1.8</v>
      </c>
      <c r="C80" s="5" t="s">
        <v>18</v>
      </c>
      <c r="D80" s="5" t="s">
        <v>19</v>
      </c>
      <c r="E80" s="6">
        <v>-11.4689</v>
      </c>
      <c r="F80" s="6">
        <v>-0.0722</v>
      </c>
      <c r="G80" s="6">
        <v>0.3491</v>
      </c>
      <c r="H80" s="6">
        <v>7.5E-4</v>
      </c>
      <c r="I80" s="6">
        <v>0.08899</v>
      </c>
      <c r="J80" s="6">
        <v>-0.00402</v>
      </c>
      <c r="K80" s="5" t="s">
        <v>70</v>
      </c>
      <c r="L80" s="6">
        <v>1.8</v>
      </c>
    </row>
    <row r="81" ht="13.5" customHeight="1">
      <c r="A81" s="5" t="s">
        <v>69</v>
      </c>
      <c r="B81" s="6">
        <v>3.6</v>
      </c>
      <c r="C81" s="5" t="s">
        <v>18</v>
      </c>
      <c r="D81" s="5" t="s">
        <v>19</v>
      </c>
      <c r="E81" s="6">
        <v>-11.2709</v>
      </c>
      <c r="F81" s="6">
        <v>-0.0722</v>
      </c>
      <c r="G81" s="6">
        <v>0.3491</v>
      </c>
      <c r="H81" s="6">
        <v>7.5E-4</v>
      </c>
      <c r="I81" s="6">
        <v>-0.53942</v>
      </c>
      <c r="J81" s="6">
        <v>0.12592</v>
      </c>
      <c r="K81" s="5" t="s">
        <v>70</v>
      </c>
      <c r="L81" s="6">
        <v>3.6</v>
      </c>
    </row>
    <row r="82" ht="13.5" customHeight="1">
      <c r="A82" s="5" t="s">
        <v>71</v>
      </c>
      <c r="B82" s="6">
        <v>0.0</v>
      </c>
      <c r="C82" s="5" t="s">
        <v>18</v>
      </c>
      <c r="D82" s="5" t="s">
        <v>19</v>
      </c>
      <c r="E82" s="6">
        <v>-3.1133</v>
      </c>
      <c r="F82" s="6">
        <v>-0.0235</v>
      </c>
      <c r="G82" s="6">
        <v>0.0637</v>
      </c>
      <c r="H82" s="6">
        <v>0.00245</v>
      </c>
      <c r="I82" s="6">
        <v>0.18722</v>
      </c>
      <c r="J82" s="6">
        <v>-0.06093</v>
      </c>
      <c r="K82" s="5" t="s">
        <v>72</v>
      </c>
      <c r="L82" s="6">
        <v>0.0</v>
      </c>
    </row>
    <row r="83" ht="13.5" customHeight="1">
      <c r="A83" s="5" t="s">
        <v>71</v>
      </c>
      <c r="B83" s="6">
        <v>1.8</v>
      </c>
      <c r="C83" s="5" t="s">
        <v>18</v>
      </c>
      <c r="D83" s="5" t="s">
        <v>19</v>
      </c>
      <c r="E83" s="6">
        <v>-2.9153</v>
      </c>
      <c r="F83" s="6">
        <v>-0.0235</v>
      </c>
      <c r="G83" s="6">
        <v>0.0637</v>
      </c>
      <c r="H83" s="6">
        <v>0.00245</v>
      </c>
      <c r="I83" s="6">
        <v>0.07259</v>
      </c>
      <c r="J83" s="6">
        <v>-0.01858</v>
      </c>
      <c r="K83" s="5" t="s">
        <v>72</v>
      </c>
      <c r="L83" s="6">
        <v>1.8</v>
      </c>
    </row>
    <row r="84" ht="13.5" customHeight="1">
      <c r="A84" s="5" t="s">
        <v>71</v>
      </c>
      <c r="B84" s="6">
        <v>3.6</v>
      </c>
      <c r="C84" s="5" t="s">
        <v>18</v>
      </c>
      <c r="D84" s="5" t="s">
        <v>19</v>
      </c>
      <c r="E84" s="6">
        <v>-2.7173</v>
      </c>
      <c r="F84" s="6">
        <v>-0.0235</v>
      </c>
      <c r="G84" s="6">
        <v>0.0637</v>
      </c>
      <c r="H84" s="6">
        <v>0.00245</v>
      </c>
      <c r="I84" s="6">
        <v>-0.04203</v>
      </c>
      <c r="J84" s="6">
        <v>0.02376</v>
      </c>
      <c r="K84" s="5" t="s">
        <v>72</v>
      </c>
      <c r="L84" s="6">
        <v>3.6</v>
      </c>
    </row>
    <row r="85" ht="13.5" customHeight="1">
      <c r="A85" s="5" t="s">
        <v>73</v>
      </c>
      <c r="B85" s="6">
        <v>0.0</v>
      </c>
      <c r="C85" s="5" t="s">
        <v>18</v>
      </c>
      <c r="D85" s="5" t="s">
        <v>19</v>
      </c>
      <c r="E85" s="6">
        <v>-13.672</v>
      </c>
      <c r="F85" s="6">
        <v>0.0541</v>
      </c>
      <c r="G85" s="6">
        <v>0.2224</v>
      </c>
      <c r="H85" s="6">
        <v>-2.8E-4</v>
      </c>
      <c r="I85" s="6">
        <v>0.30415</v>
      </c>
      <c r="J85" s="6">
        <v>0.04594</v>
      </c>
      <c r="K85" s="5" t="s">
        <v>74</v>
      </c>
      <c r="L85" s="6">
        <v>0.0</v>
      </c>
    </row>
    <row r="86" ht="13.5" customHeight="1">
      <c r="A86" s="5" t="s">
        <v>73</v>
      </c>
      <c r="B86" s="6">
        <v>1.35</v>
      </c>
      <c r="C86" s="5" t="s">
        <v>18</v>
      </c>
      <c r="D86" s="5" t="s">
        <v>19</v>
      </c>
      <c r="E86" s="6">
        <v>-13.5235</v>
      </c>
      <c r="F86" s="6">
        <v>0.0541</v>
      </c>
      <c r="G86" s="6">
        <v>0.2224</v>
      </c>
      <c r="H86" s="6">
        <v>-2.8E-4</v>
      </c>
      <c r="I86" s="6">
        <v>0.00386</v>
      </c>
      <c r="J86" s="6">
        <v>-0.02711</v>
      </c>
      <c r="K86" s="5" t="s">
        <v>74</v>
      </c>
      <c r="L86" s="6">
        <v>1.35</v>
      </c>
    </row>
    <row r="87" ht="13.5" customHeight="1">
      <c r="A87" s="5" t="s">
        <v>73</v>
      </c>
      <c r="B87" s="6">
        <v>2.7</v>
      </c>
      <c r="C87" s="5" t="s">
        <v>18</v>
      </c>
      <c r="D87" s="5" t="s">
        <v>19</v>
      </c>
      <c r="E87" s="6">
        <v>-13.375</v>
      </c>
      <c r="F87" s="6">
        <v>0.0541</v>
      </c>
      <c r="G87" s="6">
        <v>0.2224</v>
      </c>
      <c r="H87" s="6">
        <v>-2.8E-4</v>
      </c>
      <c r="I87" s="6">
        <v>-0.29643</v>
      </c>
      <c r="J87" s="6">
        <v>-0.10016</v>
      </c>
      <c r="K87" s="5" t="s">
        <v>74</v>
      </c>
      <c r="L87" s="6">
        <v>2.7</v>
      </c>
    </row>
    <row r="88" ht="13.5" customHeight="1">
      <c r="A88" s="5" t="s">
        <v>75</v>
      </c>
      <c r="B88" s="6">
        <v>0.0</v>
      </c>
      <c r="C88" s="5" t="s">
        <v>18</v>
      </c>
      <c r="D88" s="5" t="s">
        <v>19</v>
      </c>
      <c r="E88" s="6">
        <v>-8.9174</v>
      </c>
      <c r="F88" s="6">
        <v>0.0442</v>
      </c>
      <c r="G88" s="6">
        <v>-0.0162</v>
      </c>
      <c r="H88" s="6">
        <v>3.2E-4</v>
      </c>
      <c r="I88" s="6">
        <v>-0.0288</v>
      </c>
      <c r="J88" s="6">
        <v>0.09522</v>
      </c>
      <c r="K88" s="5" t="s">
        <v>76</v>
      </c>
      <c r="L88" s="6">
        <v>0.0</v>
      </c>
    </row>
    <row r="89" ht="13.5" customHeight="1">
      <c r="A89" s="5" t="s">
        <v>75</v>
      </c>
      <c r="B89" s="6">
        <v>1.8</v>
      </c>
      <c r="C89" s="5" t="s">
        <v>18</v>
      </c>
      <c r="D89" s="5" t="s">
        <v>19</v>
      </c>
      <c r="E89" s="6">
        <v>-8.7194</v>
      </c>
      <c r="F89" s="6">
        <v>0.0442</v>
      </c>
      <c r="G89" s="6">
        <v>-0.0162</v>
      </c>
      <c r="H89" s="6">
        <v>3.2E-4</v>
      </c>
      <c r="I89" s="6">
        <v>4.5E-4</v>
      </c>
      <c r="J89" s="6">
        <v>0.01563</v>
      </c>
      <c r="K89" s="5" t="s">
        <v>76</v>
      </c>
      <c r="L89" s="6">
        <v>1.8</v>
      </c>
    </row>
    <row r="90" ht="13.5" customHeight="1">
      <c r="A90" s="5" t="s">
        <v>75</v>
      </c>
      <c r="B90" s="6">
        <v>3.6</v>
      </c>
      <c r="C90" s="5" t="s">
        <v>18</v>
      </c>
      <c r="D90" s="5" t="s">
        <v>19</v>
      </c>
      <c r="E90" s="6">
        <v>-8.5214</v>
      </c>
      <c r="F90" s="6">
        <v>0.0442</v>
      </c>
      <c r="G90" s="6">
        <v>-0.0162</v>
      </c>
      <c r="H90" s="6">
        <v>3.2E-4</v>
      </c>
      <c r="I90" s="6">
        <v>0.0297</v>
      </c>
      <c r="J90" s="6">
        <v>-0.06396</v>
      </c>
      <c r="K90" s="5" t="s">
        <v>76</v>
      </c>
      <c r="L90" s="6">
        <v>3.6</v>
      </c>
    </row>
    <row r="91" ht="13.5" customHeight="1">
      <c r="A91" s="5" t="s">
        <v>77</v>
      </c>
      <c r="B91" s="6">
        <v>0.0</v>
      </c>
      <c r="C91" s="5" t="s">
        <v>18</v>
      </c>
      <c r="D91" s="5" t="s">
        <v>19</v>
      </c>
      <c r="E91" s="6">
        <v>-4.172</v>
      </c>
      <c r="F91" s="6">
        <v>0.0014</v>
      </c>
      <c r="G91" s="6">
        <v>-0.0408</v>
      </c>
      <c r="H91" s="6">
        <v>4.7E-4</v>
      </c>
      <c r="I91" s="6">
        <v>-0.06429</v>
      </c>
      <c r="J91" s="6">
        <v>0.01939</v>
      </c>
      <c r="K91" s="5" t="s">
        <v>78</v>
      </c>
      <c r="L91" s="6">
        <v>0.0</v>
      </c>
    </row>
    <row r="92" ht="13.5" customHeight="1">
      <c r="A92" s="5" t="s">
        <v>77</v>
      </c>
      <c r="B92" s="6">
        <v>1.8</v>
      </c>
      <c r="C92" s="5" t="s">
        <v>18</v>
      </c>
      <c r="D92" s="5" t="s">
        <v>19</v>
      </c>
      <c r="E92" s="6">
        <v>-3.974</v>
      </c>
      <c r="F92" s="6">
        <v>0.0014</v>
      </c>
      <c r="G92" s="6">
        <v>-0.0408</v>
      </c>
      <c r="H92" s="6">
        <v>4.7E-4</v>
      </c>
      <c r="I92" s="6">
        <v>0.00917</v>
      </c>
      <c r="J92" s="6">
        <v>0.01691</v>
      </c>
      <c r="K92" s="5" t="s">
        <v>78</v>
      </c>
      <c r="L92" s="6">
        <v>1.8</v>
      </c>
    </row>
    <row r="93" ht="13.5" customHeight="1">
      <c r="A93" s="5" t="s">
        <v>77</v>
      </c>
      <c r="B93" s="6">
        <v>3.6</v>
      </c>
      <c r="C93" s="5" t="s">
        <v>18</v>
      </c>
      <c r="D93" s="5" t="s">
        <v>19</v>
      </c>
      <c r="E93" s="6">
        <v>-3.776</v>
      </c>
      <c r="F93" s="6">
        <v>0.0014</v>
      </c>
      <c r="G93" s="6">
        <v>-0.0408</v>
      </c>
      <c r="H93" s="6">
        <v>4.7E-4</v>
      </c>
      <c r="I93" s="6">
        <v>0.08262</v>
      </c>
      <c r="J93" s="6">
        <v>0.01444</v>
      </c>
      <c r="K93" s="5" t="s">
        <v>78</v>
      </c>
      <c r="L93" s="6">
        <v>3.6</v>
      </c>
    </row>
    <row r="94" ht="13.5" customHeight="1">
      <c r="A94" s="5" t="s">
        <v>79</v>
      </c>
      <c r="B94" s="6">
        <v>0.0</v>
      </c>
      <c r="C94" s="5" t="s">
        <v>18</v>
      </c>
      <c r="D94" s="5" t="s">
        <v>19</v>
      </c>
      <c r="E94" s="6">
        <v>-27.0752</v>
      </c>
      <c r="F94" s="6">
        <v>-0.0728</v>
      </c>
      <c r="G94" s="6">
        <v>0.218</v>
      </c>
      <c r="H94" s="6">
        <v>-9.2E-4</v>
      </c>
      <c r="I94" s="6">
        <v>0.29812</v>
      </c>
      <c r="J94" s="6">
        <v>-0.06773</v>
      </c>
      <c r="K94" s="5" t="s">
        <v>80</v>
      </c>
      <c r="L94" s="6">
        <v>0.0</v>
      </c>
    </row>
    <row r="95" ht="13.5" customHeight="1">
      <c r="A95" s="5" t="s">
        <v>79</v>
      </c>
      <c r="B95" s="6">
        <v>1.35</v>
      </c>
      <c r="C95" s="5" t="s">
        <v>18</v>
      </c>
      <c r="D95" s="5" t="s">
        <v>19</v>
      </c>
      <c r="E95" s="6">
        <v>-26.9267</v>
      </c>
      <c r="F95" s="6">
        <v>-0.0728</v>
      </c>
      <c r="G95" s="6">
        <v>0.218</v>
      </c>
      <c r="H95" s="6">
        <v>-9.2E-4</v>
      </c>
      <c r="I95" s="6">
        <v>0.00381</v>
      </c>
      <c r="J95" s="6">
        <v>0.03052</v>
      </c>
      <c r="K95" s="5" t="s">
        <v>80</v>
      </c>
      <c r="L95" s="6">
        <v>1.35</v>
      </c>
    </row>
    <row r="96" ht="13.5" customHeight="1">
      <c r="A96" s="5" t="s">
        <v>79</v>
      </c>
      <c r="B96" s="6">
        <v>2.7</v>
      </c>
      <c r="C96" s="5" t="s">
        <v>18</v>
      </c>
      <c r="D96" s="5" t="s">
        <v>19</v>
      </c>
      <c r="E96" s="6">
        <v>-26.7782</v>
      </c>
      <c r="F96" s="6">
        <v>-0.0728</v>
      </c>
      <c r="G96" s="6">
        <v>0.218</v>
      </c>
      <c r="H96" s="6">
        <v>-9.2E-4</v>
      </c>
      <c r="I96" s="6">
        <v>-0.29049</v>
      </c>
      <c r="J96" s="6">
        <v>0.12877</v>
      </c>
      <c r="K96" s="5" t="s">
        <v>80</v>
      </c>
      <c r="L96" s="6">
        <v>2.7</v>
      </c>
    </row>
    <row r="97" ht="13.5" customHeight="1">
      <c r="A97" s="5" t="s">
        <v>81</v>
      </c>
      <c r="B97" s="6">
        <v>0.0</v>
      </c>
      <c r="C97" s="5" t="s">
        <v>18</v>
      </c>
      <c r="D97" s="5" t="s">
        <v>19</v>
      </c>
      <c r="E97" s="6">
        <v>-21.3555</v>
      </c>
      <c r="F97" s="6">
        <v>-0.0801</v>
      </c>
      <c r="G97" s="6">
        <v>-0.008</v>
      </c>
      <c r="H97" s="6">
        <v>8.0E-4</v>
      </c>
      <c r="I97" s="6">
        <v>-0.01748</v>
      </c>
      <c r="J97" s="6">
        <v>-0.13948</v>
      </c>
      <c r="K97" s="5" t="s">
        <v>82</v>
      </c>
      <c r="L97" s="6">
        <v>0.0</v>
      </c>
    </row>
    <row r="98" ht="13.5" customHeight="1">
      <c r="A98" s="5" t="s">
        <v>81</v>
      </c>
      <c r="B98" s="6">
        <v>1.8</v>
      </c>
      <c r="C98" s="5" t="s">
        <v>18</v>
      </c>
      <c r="D98" s="5" t="s">
        <v>19</v>
      </c>
      <c r="E98" s="6">
        <v>-21.1575</v>
      </c>
      <c r="F98" s="6">
        <v>-0.0801</v>
      </c>
      <c r="G98" s="6">
        <v>-0.008</v>
      </c>
      <c r="H98" s="6">
        <v>8.0E-4</v>
      </c>
      <c r="I98" s="6">
        <v>-0.00304</v>
      </c>
      <c r="J98" s="6">
        <v>0.00472</v>
      </c>
      <c r="K98" s="5" t="s">
        <v>82</v>
      </c>
      <c r="L98" s="6">
        <v>1.8</v>
      </c>
    </row>
    <row r="99" ht="13.5" customHeight="1">
      <c r="A99" s="5" t="s">
        <v>81</v>
      </c>
      <c r="B99" s="6">
        <v>3.6</v>
      </c>
      <c r="C99" s="5" t="s">
        <v>18</v>
      </c>
      <c r="D99" s="5" t="s">
        <v>19</v>
      </c>
      <c r="E99" s="6">
        <v>-20.9595</v>
      </c>
      <c r="F99" s="6">
        <v>-0.0801</v>
      </c>
      <c r="G99" s="6">
        <v>-0.008</v>
      </c>
      <c r="H99" s="6">
        <v>8.0E-4</v>
      </c>
      <c r="I99" s="6">
        <v>0.0114</v>
      </c>
      <c r="J99" s="6">
        <v>0.14893</v>
      </c>
      <c r="K99" s="5" t="s">
        <v>82</v>
      </c>
      <c r="L99" s="6">
        <v>3.6</v>
      </c>
    </row>
    <row r="100" ht="13.5" customHeight="1">
      <c r="A100" s="5" t="s">
        <v>83</v>
      </c>
      <c r="B100" s="6">
        <v>0.0</v>
      </c>
      <c r="C100" s="5" t="s">
        <v>18</v>
      </c>
      <c r="D100" s="5" t="s">
        <v>19</v>
      </c>
      <c r="E100" s="6">
        <v>-15.9545</v>
      </c>
      <c r="F100" s="6">
        <v>-0.0865</v>
      </c>
      <c r="G100" s="6">
        <v>-0.0299</v>
      </c>
      <c r="H100" s="6">
        <v>0.0122</v>
      </c>
      <c r="I100" s="6">
        <v>-0.04192</v>
      </c>
      <c r="J100" s="6">
        <v>-0.14979</v>
      </c>
      <c r="K100" s="5" t="s">
        <v>84</v>
      </c>
      <c r="L100" s="6">
        <v>0.0</v>
      </c>
    </row>
    <row r="101" ht="13.5" customHeight="1">
      <c r="A101" s="5" t="s">
        <v>83</v>
      </c>
      <c r="B101" s="6">
        <v>1.8</v>
      </c>
      <c r="C101" s="5" t="s">
        <v>18</v>
      </c>
      <c r="D101" s="5" t="s">
        <v>19</v>
      </c>
      <c r="E101" s="6">
        <v>-15.7565</v>
      </c>
      <c r="F101" s="6">
        <v>-0.0865</v>
      </c>
      <c r="G101" s="6">
        <v>-0.0299</v>
      </c>
      <c r="H101" s="6">
        <v>0.0122</v>
      </c>
      <c r="I101" s="6">
        <v>0.01193</v>
      </c>
      <c r="J101" s="6">
        <v>0.00594</v>
      </c>
      <c r="K101" s="5" t="s">
        <v>84</v>
      </c>
      <c r="L101" s="6">
        <v>1.8</v>
      </c>
    </row>
    <row r="102" ht="13.5" customHeight="1">
      <c r="A102" s="5" t="s">
        <v>83</v>
      </c>
      <c r="B102" s="6">
        <v>3.6</v>
      </c>
      <c r="C102" s="5" t="s">
        <v>18</v>
      </c>
      <c r="D102" s="5" t="s">
        <v>19</v>
      </c>
      <c r="E102" s="6">
        <v>-15.5585</v>
      </c>
      <c r="F102" s="6">
        <v>-0.0865</v>
      </c>
      <c r="G102" s="6">
        <v>-0.0299</v>
      </c>
      <c r="H102" s="6">
        <v>0.0122</v>
      </c>
      <c r="I102" s="6">
        <v>0.06577</v>
      </c>
      <c r="J102" s="6">
        <v>0.16167</v>
      </c>
      <c r="K102" s="5" t="s">
        <v>84</v>
      </c>
      <c r="L102" s="6">
        <v>3.6</v>
      </c>
    </row>
    <row r="103" ht="13.5" customHeight="1">
      <c r="A103" s="5" t="s">
        <v>85</v>
      </c>
      <c r="B103" s="6">
        <v>0.0</v>
      </c>
      <c r="C103" s="5" t="s">
        <v>18</v>
      </c>
      <c r="D103" s="5" t="s">
        <v>19</v>
      </c>
      <c r="E103" s="6">
        <v>-18.3864</v>
      </c>
      <c r="F103" s="6">
        <v>0.0789</v>
      </c>
      <c r="G103" s="6">
        <v>0.2102</v>
      </c>
      <c r="H103" s="6">
        <v>-3.4E-4</v>
      </c>
      <c r="I103" s="6">
        <v>0.28707</v>
      </c>
      <c r="J103" s="6">
        <v>0.06748</v>
      </c>
      <c r="K103" s="5" t="s">
        <v>86</v>
      </c>
      <c r="L103" s="6">
        <v>0.0</v>
      </c>
    </row>
    <row r="104" ht="13.5" customHeight="1">
      <c r="A104" s="5" t="s">
        <v>85</v>
      </c>
      <c r="B104" s="6">
        <v>1.35</v>
      </c>
      <c r="C104" s="5" t="s">
        <v>18</v>
      </c>
      <c r="D104" s="5" t="s">
        <v>19</v>
      </c>
      <c r="E104" s="6">
        <v>-18.2379</v>
      </c>
      <c r="F104" s="6">
        <v>0.0789</v>
      </c>
      <c r="G104" s="6">
        <v>0.2102</v>
      </c>
      <c r="H104" s="6">
        <v>-3.4E-4</v>
      </c>
      <c r="I104" s="6">
        <v>0.00327</v>
      </c>
      <c r="J104" s="6">
        <v>-0.03897</v>
      </c>
      <c r="K104" s="5" t="s">
        <v>86</v>
      </c>
      <c r="L104" s="6">
        <v>1.35</v>
      </c>
    </row>
    <row r="105" ht="13.5" customHeight="1">
      <c r="A105" s="5" t="s">
        <v>85</v>
      </c>
      <c r="B105" s="6">
        <v>2.7</v>
      </c>
      <c r="C105" s="5" t="s">
        <v>18</v>
      </c>
      <c r="D105" s="5" t="s">
        <v>19</v>
      </c>
      <c r="E105" s="6">
        <v>-18.0894</v>
      </c>
      <c r="F105" s="6">
        <v>0.0789</v>
      </c>
      <c r="G105" s="6">
        <v>0.2102</v>
      </c>
      <c r="H105" s="6">
        <v>-3.4E-4</v>
      </c>
      <c r="I105" s="6">
        <v>-0.28053</v>
      </c>
      <c r="J105" s="6">
        <v>-0.14543</v>
      </c>
      <c r="K105" s="5" t="s">
        <v>86</v>
      </c>
      <c r="L105" s="6">
        <v>2.7</v>
      </c>
    </row>
    <row r="106" ht="13.5" customHeight="1">
      <c r="A106" s="5" t="s">
        <v>87</v>
      </c>
      <c r="B106" s="6">
        <v>0.0</v>
      </c>
      <c r="C106" s="5" t="s">
        <v>18</v>
      </c>
      <c r="D106" s="5" t="s">
        <v>19</v>
      </c>
      <c r="E106" s="6">
        <v>-13.3514</v>
      </c>
      <c r="F106" s="6">
        <v>0.0999</v>
      </c>
      <c r="G106" s="6">
        <v>-0.0024</v>
      </c>
      <c r="H106" s="6">
        <v>3.9E-4</v>
      </c>
      <c r="I106" s="6">
        <v>-0.00702</v>
      </c>
      <c r="J106" s="6">
        <v>0.17995</v>
      </c>
      <c r="K106" s="5" t="s">
        <v>88</v>
      </c>
      <c r="L106" s="6">
        <v>0.0</v>
      </c>
    </row>
    <row r="107" ht="13.5" customHeight="1">
      <c r="A107" s="5" t="s">
        <v>87</v>
      </c>
      <c r="B107" s="6">
        <v>1.8</v>
      </c>
      <c r="C107" s="5" t="s">
        <v>18</v>
      </c>
      <c r="D107" s="5" t="s">
        <v>19</v>
      </c>
      <c r="E107" s="6">
        <v>-13.1534</v>
      </c>
      <c r="F107" s="6">
        <v>0.0999</v>
      </c>
      <c r="G107" s="6">
        <v>-0.0024</v>
      </c>
      <c r="H107" s="6">
        <v>3.9E-4</v>
      </c>
      <c r="I107" s="6">
        <v>-0.00273</v>
      </c>
      <c r="J107" s="6">
        <v>1.6E-4</v>
      </c>
      <c r="K107" s="5" t="s">
        <v>88</v>
      </c>
      <c r="L107" s="6">
        <v>1.8</v>
      </c>
    </row>
    <row r="108" ht="13.5" customHeight="1">
      <c r="A108" s="5" t="s">
        <v>87</v>
      </c>
      <c r="B108" s="6">
        <v>3.6</v>
      </c>
      <c r="C108" s="5" t="s">
        <v>18</v>
      </c>
      <c r="D108" s="5" t="s">
        <v>19</v>
      </c>
      <c r="E108" s="6">
        <v>-12.9554</v>
      </c>
      <c r="F108" s="6">
        <v>0.0999</v>
      </c>
      <c r="G108" s="6">
        <v>-0.0024</v>
      </c>
      <c r="H108" s="6">
        <v>3.9E-4</v>
      </c>
      <c r="I108" s="6">
        <v>0.00157</v>
      </c>
      <c r="J108" s="6">
        <v>-0.17963</v>
      </c>
      <c r="K108" s="5" t="s">
        <v>88</v>
      </c>
      <c r="L108" s="6">
        <v>3.6</v>
      </c>
    </row>
    <row r="109" ht="13.5" customHeight="1">
      <c r="A109" s="5" t="s">
        <v>89</v>
      </c>
      <c r="B109" s="6">
        <v>0.0</v>
      </c>
      <c r="C109" s="5" t="s">
        <v>18</v>
      </c>
      <c r="D109" s="5" t="s">
        <v>19</v>
      </c>
      <c r="E109" s="6">
        <v>-8.2179</v>
      </c>
      <c r="F109" s="6">
        <v>0.1826</v>
      </c>
      <c r="G109" s="6">
        <v>-8.321E-4</v>
      </c>
      <c r="H109" s="6">
        <v>-0.00482</v>
      </c>
      <c r="I109" s="6">
        <v>0.01007</v>
      </c>
      <c r="J109" s="6">
        <v>0.29836</v>
      </c>
      <c r="K109" s="5" t="s">
        <v>90</v>
      </c>
      <c r="L109" s="6">
        <v>0.0</v>
      </c>
    </row>
    <row r="110" ht="13.5" customHeight="1">
      <c r="A110" s="5" t="s">
        <v>89</v>
      </c>
      <c r="B110" s="6">
        <v>1.8</v>
      </c>
      <c r="C110" s="5" t="s">
        <v>18</v>
      </c>
      <c r="D110" s="5" t="s">
        <v>19</v>
      </c>
      <c r="E110" s="6">
        <v>-8.0199</v>
      </c>
      <c r="F110" s="6">
        <v>0.1826</v>
      </c>
      <c r="G110" s="6">
        <v>-8.321E-4</v>
      </c>
      <c r="H110" s="6">
        <v>-0.00482</v>
      </c>
      <c r="I110" s="6">
        <v>0.01157</v>
      </c>
      <c r="J110" s="6">
        <v>-0.03024</v>
      </c>
      <c r="K110" s="5" t="s">
        <v>90</v>
      </c>
      <c r="L110" s="6">
        <v>1.8</v>
      </c>
    </row>
    <row r="111" ht="13.5" customHeight="1">
      <c r="A111" s="5" t="s">
        <v>89</v>
      </c>
      <c r="B111" s="6">
        <v>3.6</v>
      </c>
      <c r="C111" s="5" t="s">
        <v>18</v>
      </c>
      <c r="D111" s="5" t="s">
        <v>19</v>
      </c>
      <c r="E111" s="6">
        <v>-7.8219</v>
      </c>
      <c r="F111" s="6">
        <v>0.1826</v>
      </c>
      <c r="G111" s="6">
        <v>-8.321E-4</v>
      </c>
      <c r="H111" s="6">
        <v>-0.00482</v>
      </c>
      <c r="I111" s="6">
        <v>0.01307</v>
      </c>
      <c r="J111" s="6">
        <v>-0.35884</v>
      </c>
      <c r="K111" s="5" t="s">
        <v>90</v>
      </c>
      <c r="L111" s="6">
        <v>3.6</v>
      </c>
    </row>
    <row r="112" ht="13.5" customHeight="1">
      <c r="A112" s="5" t="s">
        <v>91</v>
      </c>
      <c r="B112" s="6">
        <v>0.0</v>
      </c>
      <c r="C112" s="5" t="s">
        <v>18</v>
      </c>
      <c r="D112" s="5" t="s">
        <v>19</v>
      </c>
      <c r="E112" s="6">
        <v>-16.0129</v>
      </c>
      <c r="F112" s="6">
        <v>-0.0762</v>
      </c>
      <c r="G112" s="6">
        <v>0.2228</v>
      </c>
      <c r="H112" s="6">
        <v>9.3E-4</v>
      </c>
      <c r="I112" s="6">
        <v>0.29808</v>
      </c>
      <c r="J112" s="6">
        <v>-0.06757</v>
      </c>
      <c r="K112" s="5" t="s">
        <v>92</v>
      </c>
      <c r="L112" s="6">
        <v>0.0</v>
      </c>
    </row>
    <row r="113" ht="13.5" customHeight="1">
      <c r="A113" s="5" t="s">
        <v>91</v>
      </c>
      <c r="B113" s="6">
        <v>1.35</v>
      </c>
      <c r="C113" s="5" t="s">
        <v>18</v>
      </c>
      <c r="D113" s="5" t="s">
        <v>19</v>
      </c>
      <c r="E113" s="6">
        <v>-15.8644</v>
      </c>
      <c r="F113" s="6">
        <v>-0.0762</v>
      </c>
      <c r="G113" s="6">
        <v>0.2228</v>
      </c>
      <c r="H113" s="6">
        <v>9.3E-4</v>
      </c>
      <c r="I113" s="6">
        <v>-0.00274</v>
      </c>
      <c r="J113" s="6">
        <v>0.03527</v>
      </c>
      <c r="K113" s="5" t="s">
        <v>92</v>
      </c>
      <c r="L113" s="6">
        <v>1.35</v>
      </c>
    </row>
    <row r="114" ht="13.5" customHeight="1">
      <c r="A114" s="5" t="s">
        <v>91</v>
      </c>
      <c r="B114" s="6">
        <v>2.7</v>
      </c>
      <c r="C114" s="5" t="s">
        <v>18</v>
      </c>
      <c r="D114" s="5" t="s">
        <v>19</v>
      </c>
      <c r="E114" s="6">
        <v>-15.7159</v>
      </c>
      <c r="F114" s="6">
        <v>-0.0762</v>
      </c>
      <c r="G114" s="6">
        <v>0.2228</v>
      </c>
      <c r="H114" s="6">
        <v>9.3E-4</v>
      </c>
      <c r="I114" s="6">
        <v>-0.30356</v>
      </c>
      <c r="J114" s="6">
        <v>0.13812</v>
      </c>
      <c r="K114" s="5" t="s">
        <v>92</v>
      </c>
      <c r="L114" s="6">
        <v>2.7</v>
      </c>
    </row>
    <row r="115" ht="13.5" customHeight="1">
      <c r="A115" s="5" t="s">
        <v>93</v>
      </c>
      <c r="B115" s="6">
        <v>0.0</v>
      </c>
      <c r="C115" s="5" t="s">
        <v>18</v>
      </c>
      <c r="D115" s="5" t="s">
        <v>19</v>
      </c>
      <c r="E115" s="6">
        <v>-12.3388</v>
      </c>
      <c r="F115" s="6">
        <v>-0.0755</v>
      </c>
      <c r="G115" s="6">
        <v>0.0119</v>
      </c>
      <c r="H115" s="6">
        <v>-6.9E-4</v>
      </c>
      <c r="I115" s="6">
        <v>0.01777</v>
      </c>
      <c r="J115" s="6">
        <v>-0.14345</v>
      </c>
      <c r="K115" s="5" t="s">
        <v>94</v>
      </c>
      <c r="L115" s="6">
        <v>0.0</v>
      </c>
    </row>
    <row r="116" ht="13.5" customHeight="1">
      <c r="A116" s="5" t="s">
        <v>93</v>
      </c>
      <c r="B116" s="6">
        <v>1.8</v>
      </c>
      <c r="C116" s="5" t="s">
        <v>18</v>
      </c>
      <c r="D116" s="5" t="s">
        <v>19</v>
      </c>
      <c r="E116" s="6">
        <v>-12.1408</v>
      </c>
      <c r="F116" s="6">
        <v>-0.0755</v>
      </c>
      <c r="G116" s="6">
        <v>0.0119</v>
      </c>
      <c r="H116" s="6">
        <v>-6.9E-4</v>
      </c>
      <c r="I116" s="6">
        <v>-0.00365</v>
      </c>
      <c r="J116" s="6">
        <v>-0.0075</v>
      </c>
      <c r="K116" s="5" t="s">
        <v>94</v>
      </c>
      <c r="L116" s="6">
        <v>1.8</v>
      </c>
    </row>
    <row r="117" ht="13.5" customHeight="1">
      <c r="A117" s="5" t="s">
        <v>93</v>
      </c>
      <c r="B117" s="6">
        <v>3.6</v>
      </c>
      <c r="C117" s="5" t="s">
        <v>18</v>
      </c>
      <c r="D117" s="5" t="s">
        <v>19</v>
      </c>
      <c r="E117" s="6">
        <v>-11.9428</v>
      </c>
      <c r="F117" s="6">
        <v>-0.0755</v>
      </c>
      <c r="G117" s="6">
        <v>0.0119</v>
      </c>
      <c r="H117" s="6">
        <v>-6.9E-4</v>
      </c>
      <c r="I117" s="6">
        <v>-0.02507</v>
      </c>
      <c r="J117" s="6">
        <v>0.12846</v>
      </c>
      <c r="K117" s="5" t="s">
        <v>94</v>
      </c>
      <c r="L117" s="6">
        <v>3.6</v>
      </c>
    </row>
    <row r="118" ht="13.5" customHeight="1">
      <c r="A118" s="5" t="s">
        <v>95</v>
      </c>
      <c r="B118" s="6">
        <v>0.0</v>
      </c>
      <c r="C118" s="5" t="s">
        <v>18</v>
      </c>
      <c r="D118" s="5" t="s">
        <v>19</v>
      </c>
      <c r="E118" s="6">
        <v>-8.5626</v>
      </c>
      <c r="F118" s="6">
        <v>-0.2079</v>
      </c>
      <c r="G118" s="6">
        <v>0.0662</v>
      </c>
      <c r="H118" s="6">
        <v>4.7E-4</v>
      </c>
      <c r="I118" s="6">
        <v>0.11491</v>
      </c>
      <c r="J118" s="6">
        <v>-0.33247</v>
      </c>
      <c r="K118" s="5" t="s">
        <v>96</v>
      </c>
      <c r="L118" s="6">
        <v>0.0</v>
      </c>
    </row>
    <row r="119" ht="13.5" customHeight="1">
      <c r="A119" s="5" t="s">
        <v>95</v>
      </c>
      <c r="B119" s="6">
        <v>1.8</v>
      </c>
      <c r="C119" s="5" t="s">
        <v>18</v>
      </c>
      <c r="D119" s="5" t="s">
        <v>19</v>
      </c>
      <c r="E119" s="6">
        <v>-8.3646</v>
      </c>
      <c r="F119" s="6">
        <v>-0.2079</v>
      </c>
      <c r="G119" s="6">
        <v>0.0662</v>
      </c>
      <c r="H119" s="6">
        <v>4.7E-4</v>
      </c>
      <c r="I119" s="6">
        <v>-0.00423</v>
      </c>
      <c r="J119" s="6">
        <v>0.04181</v>
      </c>
      <c r="K119" s="5" t="s">
        <v>96</v>
      </c>
      <c r="L119" s="6">
        <v>1.8</v>
      </c>
    </row>
    <row r="120" ht="13.5" customHeight="1">
      <c r="A120" s="5" t="s">
        <v>95</v>
      </c>
      <c r="B120" s="6">
        <v>3.6</v>
      </c>
      <c r="C120" s="5" t="s">
        <v>18</v>
      </c>
      <c r="D120" s="5" t="s">
        <v>19</v>
      </c>
      <c r="E120" s="6">
        <v>-8.1666</v>
      </c>
      <c r="F120" s="6">
        <v>-0.2079</v>
      </c>
      <c r="G120" s="6">
        <v>0.0662</v>
      </c>
      <c r="H120" s="6">
        <v>4.7E-4</v>
      </c>
      <c r="I120" s="6">
        <v>-0.12337</v>
      </c>
      <c r="J120" s="6">
        <v>0.41609</v>
      </c>
      <c r="K120" s="5" t="s">
        <v>96</v>
      </c>
      <c r="L120" s="6">
        <v>3.6</v>
      </c>
    </row>
    <row r="121" ht="13.5" customHeight="1">
      <c r="A121" s="5" t="s">
        <v>97</v>
      </c>
      <c r="B121" s="6">
        <v>0.0</v>
      </c>
      <c r="C121" s="5" t="s">
        <v>18</v>
      </c>
      <c r="D121" s="5" t="s">
        <v>19</v>
      </c>
      <c r="E121" s="6">
        <v>-18.0624</v>
      </c>
      <c r="F121" s="6">
        <v>0.0459</v>
      </c>
      <c r="G121" s="6">
        <v>0.2365</v>
      </c>
      <c r="H121" s="6">
        <v>3.1E-4</v>
      </c>
      <c r="I121" s="6">
        <v>0.31451</v>
      </c>
      <c r="J121" s="6">
        <v>0.04128</v>
      </c>
      <c r="K121" s="5" t="s">
        <v>98</v>
      </c>
      <c r="L121" s="6">
        <v>0.0</v>
      </c>
    </row>
    <row r="122" ht="13.5" customHeight="1">
      <c r="A122" s="5" t="s">
        <v>97</v>
      </c>
      <c r="B122" s="6">
        <v>1.35</v>
      </c>
      <c r="C122" s="5" t="s">
        <v>18</v>
      </c>
      <c r="D122" s="5" t="s">
        <v>19</v>
      </c>
      <c r="E122" s="6">
        <v>-17.9139</v>
      </c>
      <c r="F122" s="6">
        <v>0.0459</v>
      </c>
      <c r="G122" s="6">
        <v>0.2365</v>
      </c>
      <c r="H122" s="6">
        <v>3.1E-4</v>
      </c>
      <c r="I122" s="6">
        <v>-0.00474</v>
      </c>
      <c r="J122" s="6">
        <v>-0.02062</v>
      </c>
      <c r="K122" s="5" t="s">
        <v>98</v>
      </c>
      <c r="L122" s="6">
        <v>1.35</v>
      </c>
    </row>
    <row r="123" ht="13.5" customHeight="1">
      <c r="A123" s="5" t="s">
        <v>97</v>
      </c>
      <c r="B123" s="6">
        <v>2.7</v>
      </c>
      <c r="C123" s="5" t="s">
        <v>18</v>
      </c>
      <c r="D123" s="5" t="s">
        <v>19</v>
      </c>
      <c r="E123" s="6">
        <v>-17.7654</v>
      </c>
      <c r="F123" s="6">
        <v>0.0459</v>
      </c>
      <c r="G123" s="6">
        <v>0.2365</v>
      </c>
      <c r="H123" s="6">
        <v>3.1E-4</v>
      </c>
      <c r="I123" s="6">
        <v>-0.324</v>
      </c>
      <c r="J123" s="6">
        <v>-0.08252</v>
      </c>
      <c r="K123" s="5" t="s">
        <v>98</v>
      </c>
      <c r="L123" s="6">
        <v>2.7</v>
      </c>
    </row>
    <row r="124" ht="13.5" customHeight="1">
      <c r="A124" s="5" t="s">
        <v>99</v>
      </c>
      <c r="B124" s="6">
        <v>0.0</v>
      </c>
      <c r="C124" s="5" t="s">
        <v>18</v>
      </c>
      <c r="D124" s="5" t="s">
        <v>19</v>
      </c>
      <c r="E124" s="6">
        <v>-12.6207</v>
      </c>
      <c r="F124" s="6">
        <v>0.0552</v>
      </c>
      <c r="G124" s="6">
        <v>0.0198</v>
      </c>
      <c r="H124" s="6">
        <v>-2.5E-4</v>
      </c>
      <c r="I124" s="6">
        <v>0.02776</v>
      </c>
      <c r="J124" s="6">
        <v>0.09671</v>
      </c>
      <c r="K124" s="5" t="s">
        <v>100</v>
      </c>
      <c r="L124" s="6">
        <v>0.0</v>
      </c>
    </row>
    <row r="125" ht="13.5" customHeight="1">
      <c r="A125" s="5" t="s">
        <v>99</v>
      </c>
      <c r="B125" s="6">
        <v>1.8</v>
      </c>
      <c r="C125" s="5" t="s">
        <v>18</v>
      </c>
      <c r="D125" s="5" t="s">
        <v>19</v>
      </c>
      <c r="E125" s="6">
        <v>-12.4227</v>
      </c>
      <c r="F125" s="6">
        <v>0.0552</v>
      </c>
      <c r="G125" s="6">
        <v>0.0198</v>
      </c>
      <c r="H125" s="6">
        <v>-2.5E-4</v>
      </c>
      <c r="I125" s="6">
        <v>-0.0079</v>
      </c>
      <c r="J125" s="6">
        <v>-0.00272</v>
      </c>
      <c r="K125" s="5" t="s">
        <v>100</v>
      </c>
      <c r="L125" s="6">
        <v>1.8</v>
      </c>
    </row>
    <row r="126" ht="13.5" customHeight="1">
      <c r="A126" s="5" t="s">
        <v>99</v>
      </c>
      <c r="B126" s="6">
        <v>3.6</v>
      </c>
      <c r="C126" s="5" t="s">
        <v>18</v>
      </c>
      <c r="D126" s="5" t="s">
        <v>19</v>
      </c>
      <c r="E126" s="6">
        <v>-12.2247</v>
      </c>
      <c r="F126" s="6">
        <v>0.0552</v>
      </c>
      <c r="G126" s="6">
        <v>0.0198</v>
      </c>
      <c r="H126" s="6">
        <v>-2.5E-4</v>
      </c>
      <c r="I126" s="6">
        <v>-0.04357</v>
      </c>
      <c r="J126" s="6">
        <v>-0.10215</v>
      </c>
      <c r="K126" s="5" t="s">
        <v>100</v>
      </c>
      <c r="L126" s="6">
        <v>3.6</v>
      </c>
    </row>
    <row r="127" ht="13.5" customHeight="1">
      <c r="A127" s="5" t="s">
        <v>101</v>
      </c>
      <c r="B127" s="6">
        <v>0.0</v>
      </c>
      <c r="C127" s="5" t="s">
        <v>18</v>
      </c>
      <c r="D127" s="5" t="s">
        <v>19</v>
      </c>
      <c r="E127" s="6">
        <v>-6.9281</v>
      </c>
      <c r="F127" s="6">
        <v>0.0266</v>
      </c>
      <c r="G127" s="6">
        <v>-0.0352</v>
      </c>
      <c r="H127" s="6">
        <v>-0.00183</v>
      </c>
      <c r="I127" s="6">
        <v>-0.02364</v>
      </c>
      <c r="J127" s="6">
        <v>0.03646</v>
      </c>
      <c r="K127" s="5" t="s">
        <v>102</v>
      </c>
      <c r="L127" s="6">
        <v>0.0</v>
      </c>
    </row>
    <row r="128" ht="13.5" customHeight="1">
      <c r="A128" s="5" t="s">
        <v>101</v>
      </c>
      <c r="B128" s="6">
        <v>1.8</v>
      </c>
      <c r="C128" s="5" t="s">
        <v>18</v>
      </c>
      <c r="D128" s="5" t="s">
        <v>19</v>
      </c>
      <c r="E128" s="6">
        <v>-6.7301</v>
      </c>
      <c r="F128" s="6">
        <v>0.0266</v>
      </c>
      <c r="G128" s="6">
        <v>-0.0352</v>
      </c>
      <c r="H128" s="6">
        <v>-0.00183</v>
      </c>
      <c r="I128" s="6">
        <v>0.03979</v>
      </c>
      <c r="J128" s="6">
        <v>-0.01148</v>
      </c>
      <c r="K128" s="5" t="s">
        <v>102</v>
      </c>
      <c r="L128" s="6">
        <v>1.8</v>
      </c>
    </row>
    <row r="129" ht="13.5" customHeight="1">
      <c r="A129" s="5" t="s">
        <v>101</v>
      </c>
      <c r="B129" s="6">
        <v>3.6</v>
      </c>
      <c r="C129" s="5" t="s">
        <v>18</v>
      </c>
      <c r="D129" s="5" t="s">
        <v>19</v>
      </c>
      <c r="E129" s="6">
        <v>-6.5321</v>
      </c>
      <c r="F129" s="6">
        <v>0.0266</v>
      </c>
      <c r="G129" s="6">
        <v>-0.0352</v>
      </c>
      <c r="H129" s="6">
        <v>-0.00183</v>
      </c>
      <c r="I129" s="6">
        <v>0.10322</v>
      </c>
      <c r="J129" s="6">
        <v>-0.05942</v>
      </c>
      <c r="K129" s="5" t="s">
        <v>102</v>
      </c>
      <c r="L129" s="6">
        <v>3.6</v>
      </c>
    </row>
    <row r="130" ht="13.5" customHeight="1">
      <c r="A130" s="5" t="s">
        <v>103</v>
      </c>
      <c r="B130" s="6">
        <v>0.0</v>
      </c>
      <c r="C130" s="5" t="s">
        <v>18</v>
      </c>
      <c r="D130" s="5" t="s">
        <v>19</v>
      </c>
      <c r="E130" s="6">
        <v>-13.3998</v>
      </c>
      <c r="F130" s="6">
        <v>-0.0203</v>
      </c>
      <c r="G130" s="6">
        <v>0.2304</v>
      </c>
      <c r="H130" s="6">
        <v>0.001</v>
      </c>
      <c r="I130" s="6">
        <v>0.31138</v>
      </c>
      <c r="J130" s="6">
        <v>-0.01793</v>
      </c>
      <c r="K130" s="5" t="s">
        <v>104</v>
      </c>
      <c r="L130" s="6">
        <v>0.0</v>
      </c>
    </row>
    <row r="131" ht="13.5" customHeight="1">
      <c r="A131" s="5" t="s">
        <v>103</v>
      </c>
      <c r="B131" s="6">
        <v>1.35</v>
      </c>
      <c r="C131" s="5" t="s">
        <v>18</v>
      </c>
      <c r="D131" s="5" t="s">
        <v>19</v>
      </c>
      <c r="E131" s="6">
        <v>-13.2513</v>
      </c>
      <c r="F131" s="6">
        <v>-0.0203</v>
      </c>
      <c r="G131" s="6">
        <v>0.2304</v>
      </c>
      <c r="H131" s="6">
        <v>0.001</v>
      </c>
      <c r="I131" s="6">
        <v>3.6E-4</v>
      </c>
      <c r="J131" s="6">
        <v>0.00944</v>
      </c>
      <c r="K131" s="5" t="s">
        <v>104</v>
      </c>
      <c r="L131" s="6">
        <v>1.35</v>
      </c>
    </row>
    <row r="132" ht="13.5" customHeight="1">
      <c r="A132" s="5" t="s">
        <v>103</v>
      </c>
      <c r="B132" s="6">
        <v>2.7</v>
      </c>
      <c r="C132" s="5" t="s">
        <v>18</v>
      </c>
      <c r="D132" s="5" t="s">
        <v>19</v>
      </c>
      <c r="E132" s="6">
        <v>-13.1028</v>
      </c>
      <c r="F132" s="6">
        <v>-0.0203</v>
      </c>
      <c r="G132" s="6">
        <v>0.2304</v>
      </c>
      <c r="H132" s="6">
        <v>0.001</v>
      </c>
      <c r="I132" s="6">
        <v>-0.31067</v>
      </c>
      <c r="J132" s="6">
        <v>0.0368</v>
      </c>
      <c r="K132" s="5" t="s">
        <v>104</v>
      </c>
      <c r="L132" s="6">
        <v>2.7</v>
      </c>
    </row>
    <row r="133" ht="13.5" customHeight="1">
      <c r="A133" s="5" t="s">
        <v>105</v>
      </c>
      <c r="B133" s="6">
        <v>0.0</v>
      </c>
      <c r="C133" s="5" t="s">
        <v>18</v>
      </c>
      <c r="D133" s="5" t="s">
        <v>19</v>
      </c>
      <c r="E133" s="6">
        <v>-8.484</v>
      </c>
      <c r="F133" s="6">
        <v>-0.0158</v>
      </c>
      <c r="G133" s="6">
        <v>-6.031E-4</v>
      </c>
      <c r="H133" s="6">
        <v>-7.3E-4</v>
      </c>
      <c r="I133" s="6">
        <v>-0.0056</v>
      </c>
      <c r="J133" s="6">
        <v>-0.03318</v>
      </c>
      <c r="K133" s="5" t="s">
        <v>106</v>
      </c>
      <c r="L133" s="6">
        <v>0.0</v>
      </c>
    </row>
    <row r="134" ht="13.5" customHeight="1">
      <c r="A134" s="5" t="s">
        <v>105</v>
      </c>
      <c r="B134" s="6">
        <v>1.8</v>
      </c>
      <c r="C134" s="5" t="s">
        <v>18</v>
      </c>
      <c r="D134" s="5" t="s">
        <v>19</v>
      </c>
      <c r="E134" s="6">
        <v>-8.286</v>
      </c>
      <c r="F134" s="6">
        <v>-0.0158</v>
      </c>
      <c r="G134" s="6">
        <v>-6.031E-4</v>
      </c>
      <c r="H134" s="6">
        <v>-7.3E-4</v>
      </c>
      <c r="I134" s="6">
        <v>-0.00451</v>
      </c>
      <c r="J134" s="6">
        <v>-0.00467</v>
      </c>
      <c r="K134" s="5" t="s">
        <v>106</v>
      </c>
      <c r="L134" s="6">
        <v>1.8</v>
      </c>
    </row>
    <row r="135" ht="13.5" customHeight="1">
      <c r="A135" s="5" t="s">
        <v>105</v>
      </c>
      <c r="B135" s="6">
        <v>3.6</v>
      </c>
      <c r="C135" s="5" t="s">
        <v>18</v>
      </c>
      <c r="D135" s="5" t="s">
        <v>19</v>
      </c>
      <c r="E135" s="6">
        <v>-8.088</v>
      </c>
      <c r="F135" s="6">
        <v>-0.0158</v>
      </c>
      <c r="G135" s="6">
        <v>-6.031E-4</v>
      </c>
      <c r="H135" s="6">
        <v>-7.3E-4</v>
      </c>
      <c r="I135" s="6">
        <v>-0.00343</v>
      </c>
      <c r="J135" s="6">
        <v>0.02383</v>
      </c>
      <c r="K135" s="5" t="s">
        <v>106</v>
      </c>
      <c r="L135" s="6">
        <v>3.6</v>
      </c>
    </row>
    <row r="136" ht="13.5" customHeight="1">
      <c r="A136" s="5" t="s">
        <v>107</v>
      </c>
      <c r="B136" s="6">
        <v>0.0</v>
      </c>
      <c r="C136" s="5" t="s">
        <v>18</v>
      </c>
      <c r="D136" s="5" t="s">
        <v>19</v>
      </c>
      <c r="E136" s="6">
        <v>-3.1421</v>
      </c>
      <c r="F136" s="6">
        <v>-0.0538</v>
      </c>
      <c r="G136" s="6">
        <v>-0.0228</v>
      </c>
      <c r="H136" s="6">
        <v>-0.00108</v>
      </c>
      <c r="I136" s="6">
        <v>-0.03039</v>
      </c>
      <c r="J136" s="6">
        <v>-0.09385</v>
      </c>
      <c r="K136" s="5" t="s">
        <v>108</v>
      </c>
      <c r="L136" s="6">
        <v>0.0</v>
      </c>
    </row>
    <row r="137" ht="13.5" customHeight="1">
      <c r="A137" s="5" t="s">
        <v>107</v>
      </c>
      <c r="B137" s="6">
        <v>1.8</v>
      </c>
      <c r="C137" s="5" t="s">
        <v>18</v>
      </c>
      <c r="D137" s="5" t="s">
        <v>19</v>
      </c>
      <c r="E137" s="6">
        <v>-2.9441</v>
      </c>
      <c r="F137" s="6">
        <v>-0.0538</v>
      </c>
      <c r="G137" s="6">
        <v>-0.0228</v>
      </c>
      <c r="H137" s="6">
        <v>-0.00108</v>
      </c>
      <c r="I137" s="6">
        <v>0.01063</v>
      </c>
      <c r="J137" s="6">
        <v>0.00298</v>
      </c>
      <c r="K137" s="5" t="s">
        <v>108</v>
      </c>
      <c r="L137" s="6">
        <v>1.8</v>
      </c>
    </row>
    <row r="138" ht="13.5" customHeight="1">
      <c r="A138" s="5" t="s">
        <v>107</v>
      </c>
      <c r="B138" s="6">
        <v>3.6</v>
      </c>
      <c r="C138" s="5" t="s">
        <v>18</v>
      </c>
      <c r="D138" s="5" t="s">
        <v>19</v>
      </c>
      <c r="E138" s="6">
        <v>-2.7461</v>
      </c>
      <c r="F138" s="6">
        <v>-0.0538</v>
      </c>
      <c r="G138" s="6">
        <v>-0.0228</v>
      </c>
      <c r="H138" s="6">
        <v>-0.00108</v>
      </c>
      <c r="I138" s="6">
        <v>0.05165</v>
      </c>
      <c r="J138" s="6">
        <v>0.09982</v>
      </c>
      <c r="K138" s="5" t="s">
        <v>108</v>
      </c>
      <c r="L138" s="6">
        <v>3.6</v>
      </c>
    </row>
    <row r="139" ht="13.5" customHeight="1">
      <c r="A139" s="5" t="s">
        <v>109</v>
      </c>
      <c r="B139" s="6">
        <v>0.0</v>
      </c>
      <c r="C139" s="5" t="s">
        <v>18</v>
      </c>
      <c r="D139" s="5" t="s">
        <v>19</v>
      </c>
      <c r="E139" s="6">
        <v>-12.6124</v>
      </c>
      <c r="F139" s="6">
        <v>0.0207</v>
      </c>
      <c r="G139" s="6">
        <v>0.1676</v>
      </c>
      <c r="H139" s="6">
        <v>-2.6E-4</v>
      </c>
      <c r="I139" s="6">
        <v>0.25866</v>
      </c>
      <c r="J139" s="6">
        <v>0.01841</v>
      </c>
      <c r="K139" s="5" t="s">
        <v>110</v>
      </c>
      <c r="L139" s="6">
        <v>0.0</v>
      </c>
    </row>
    <row r="140" ht="13.5" customHeight="1">
      <c r="A140" s="5" t="s">
        <v>109</v>
      </c>
      <c r="B140" s="6">
        <v>1.35</v>
      </c>
      <c r="C140" s="5" t="s">
        <v>18</v>
      </c>
      <c r="D140" s="5" t="s">
        <v>19</v>
      </c>
      <c r="E140" s="6">
        <v>-12.4639</v>
      </c>
      <c r="F140" s="6">
        <v>0.0207</v>
      </c>
      <c r="G140" s="6">
        <v>0.1676</v>
      </c>
      <c r="H140" s="6">
        <v>-2.6E-4</v>
      </c>
      <c r="I140" s="6">
        <v>0.03236</v>
      </c>
      <c r="J140" s="6">
        <v>-0.0095</v>
      </c>
      <c r="K140" s="5" t="s">
        <v>110</v>
      </c>
      <c r="L140" s="6">
        <v>1.35</v>
      </c>
    </row>
    <row r="141" ht="13.5" customHeight="1">
      <c r="A141" s="5" t="s">
        <v>109</v>
      </c>
      <c r="B141" s="6">
        <v>2.7</v>
      </c>
      <c r="C141" s="5" t="s">
        <v>18</v>
      </c>
      <c r="D141" s="5" t="s">
        <v>19</v>
      </c>
      <c r="E141" s="6">
        <v>-12.3154</v>
      </c>
      <c r="F141" s="6">
        <v>0.0207</v>
      </c>
      <c r="G141" s="6">
        <v>0.1676</v>
      </c>
      <c r="H141" s="6">
        <v>-2.6E-4</v>
      </c>
      <c r="I141" s="6">
        <v>-0.19395</v>
      </c>
      <c r="J141" s="6">
        <v>-0.03741</v>
      </c>
      <c r="K141" s="5" t="s">
        <v>110</v>
      </c>
      <c r="L141" s="6">
        <v>2.7</v>
      </c>
    </row>
    <row r="142" ht="13.5" customHeight="1">
      <c r="A142" s="5" t="s">
        <v>111</v>
      </c>
      <c r="B142" s="6">
        <v>0.0</v>
      </c>
      <c r="C142" s="5" t="s">
        <v>18</v>
      </c>
      <c r="D142" s="5" t="s">
        <v>19</v>
      </c>
      <c r="E142" s="6">
        <v>-8.8593</v>
      </c>
      <c r="F142" s="6">
        <v>0.022</v>
      </c>
      <c r="G142" s="6">
        <v>-0.0585</v>
      </c>
      <c r="H142" s="6">
        <v>2.2E-4</v>
      </c>
      <c r="I142" s="6">
        <v>-0.12453</v>
      </c>
      <c r="J142" s="6">
        <v>0.04065</v>
      </c>
      <c r="K142" s="5" t="s">
        <v>112</v>
      </c>
      <c r="L142" s="6">
        <v>0.0</v>
      </c>
    </row>
    <row r="143" ht="13.5" customHeight="1">
      <c r="A143" s="5" t="s">
        <v>111</v>
      </c>
      <c r="B143" s="6">
        <v>1.8</v>
      </c>
      <c r="C143" s="5" t="s">
        <v>18</v>
      </c>
      <c r="D143" s="5" t="s">
        <v>19</v>
      </c>
      <c r="E143" s="6">
        <v>-8.6613</v>
      </c>
      <c r="F143" s="6">
        <v>0.022</v>
      </c>
      <c r="G143" s="6">
        <v>-0.0585</v>
      </c>
      <c r="H143" s="6">
        <v>2.2E-4</v>
      </c>
      <c r="I143" s="6">
        <v>-0.01924</v>
      </c>
      <c r="J143" s="6">
        <v>9.7E-4</v>
      </c>
      <c r="K143" s="5" t="s">
        <v>112</v>
      </c>
      <c r="L143" s="6">
        <v>1.8</v>
      </c>
    </row>
    <row r="144" ht="13.5" customHeight="1">
      <c r="A144" s="5" t="s">
        <v>111</v>
      </c>
      <c r="B144" s="6">
        <v>3.6</v>
      </c>
      <c r="C144" s="5" t="s">
        <v>18</v>
      </c>
      <c r="D144" s="5" t="s">
        <v>19</v>
      </c>
      <c r="E144" s="6">
        <v>-8.4633</v>
      </c>
      <c r="F144" s="6">
        <v>0.022</v>
      </c>
      <c r="G144" s="6">
        <v>-0.0585</v>
      </c>
      <c r="H144" s="6">
        <v>2.2E-4</v>
      </c>
      <c r="I144" s="6">
        <v>0.08605</v>
      </c>
      <c r="J144" s="6">
        <v>-0.03871</v>
      </c>
      <c r="K144" s="5" t="s">
        <v>112</v>
      </c>
      <c r="L144" s="6">
        <v>3.6</v>
      </c>
    </row>
    <row r="145" ht="13.5" customHeight="1">
      <c r="A145" s="5" t="s">
        <v>113</v>
      </c>
      <c r="B145" s="6">
        <v>0.0</v>
      </c>
      <c r="C145" s="5" t="s">
        <v>18</v>
      </c>
      <c r="D145" s="5" t="s">
        <v>19</v>
      </c>
      <c r="E145" s="6">
        <v>-3.5786</v>
      </c>
      <c r="F145" s="6">
        <v>0.0032</v>
      </c>
      <c r="G145" s="6">
        <v>-0.0467</v>
      </c>
      <c r="H145" s="6">
        <v>-3.7E-4</v>
      </c>
      <c r="I145" s="6">
        <v>-0.0822</v>
      </c>
      <c r="J145" s="6">
        <v>0.00371</v>
      </c>
      <c r="K145" s="5" t="s">
        <v>114</v>
      </c>
      <c r="L145" s="6">
        <v>0.0</v>
      </c>
    </row>
    <row r="146" ht="13.5" customHeight="1">
      <c r="A146" s="5" t="s">
        <v>113</v>
      </c>
      <c r="B146" s="6">
        <v>1.8</v>
      </c>
      <c r="C146" s="5" t="s">
        <v>18</v>
      </c>
      <c r="D146" s="5" t="s">
        <v>19</v>
      </c>
      <c r="E146" s="6">
        <v>-3.3806</v>
      </c>
      <c r="F146" s="6">
        <v>0.0032</v>
      </c>
      <c r="G146" s="6">
        <v>-0.0467</v>
      </c>
      <c r="H146" s="6">
        <v>-3.7E-4</v>
      </c>
      <c r="I146" s="6">
        <v>0.00179</v>
      </c>
      <c r="J146" s="6">
        <v>-0.00197</v>
      </c>
      <c r="K146" s="5" t="s">
        <v>114</v>
      </c>
      <c r="L146" s="6">
        <v>1.8</v>
      </c>
    </row>
    <row r="147" ht="13.5" customHeight="1">
      <c r="A147" s="5" t="s">
        <v>113</v>
      </c>
      <c r="B147" s="6">
        <v>3.6</v>
      </c>
      <c r="C147" s="5" t="s">
        <v>18</v>
      </c>
      <c r="D147" s="5" t="s">
        <v>19</v>
      </c>
      <c r="E147" s="6">
        <v>-3.1826</v>
      </c>
      <c r="F147" s="6">
        <v>0.0032</v>
      </c>
      <c r="G147" s="6">
        <v>-0.0467</v>
      </c>
      <c r="H147" s="6">
        <v>-3.7E-4</v>
      </c>
      <c r="I147" s="6">
        <v>0.08579</v>
      </c>
      <c r="J147" s="6">
        <v>-0.00764</v>
      </c>
      <c r="K147" s="5" t="s">
        <v>114</v>
      </c>
      <c r="L147" s="6">
        <v>3.6</v>
      </c>
    </row>
    <row r="148" ht="13.5" customHeight="1">
      <c r="A148" s="5" t="s">
        <v>115</v>
      </c>
      <c r="B148" s="6">
        <v>0.0</v>
      </c>
      <c r="C148" s="5" t="s">
        <v>18</v>
      </c>
      <c r="D148" s="5" t="s">
        <v>19</v>
      </c>
      <c r="E148" s="6">
        <v>-12.6118</v>
      </c>
      <c r="F148" s="6">
        <v>-0.0208</v>
      </c>
      <c r="G148" s="6">
        <v>0.1677</v>
      </c>
      <c r="H148" s="6">
        <v>2.8E-4</v>
      </c>
      <c r="I148" s="6">
        <v>0.25875</v>
      </c>
      <c r="J148" s="6">
        <v>-0.01855</v>
      </c>
      <c r="K148" s="5" t="s">
        <v>116</v>
      </c>
      <c r="L148" s="6">
        <v>0.0</v>
      </c>
    </row>
    <row r="149" ht="13.5" customHeight="1">
      <c r="A149" s="5" t="s">
        <v>115</v>
      </c>
      <c r="B149" s="6">
        <v>1.35</v>
      </c>
      <c r="C149" s="5" t="s">
        <v>18</v>
      </c>
      <c r="D149" s="5" t="s">
        <v>19</v>
      </c>
      <c r="E149" s="6">
        <v>-12.4633</v>
      </c>
      <c r="F149" s="6">
        <v>-0.0208</v>
      </c>
      <c r="G149" s="6">
        <v>0.1677</v>
      </c>
      <c r="H149" s="6">
        <v>2.8E-4</v>
      </c>
      <c r="I149" s="6">
        <v>0.03237</v>
      </c>
      <c r="J149" s="6">
        <v>0.00953</v>
      </c>
      <c r="K149" s="5" t="s">
        <v>116</v>
      </c>
      <c r="L149" s="6">
        <v>1.35</v>
      </c>
    </row>
    <row r="150" ht="13.5" customHeight="1">
      <c r="A150" s="5" t="s">
        <v>115</v>
      </c>
      <c r="B150" s="6">
        <v>2.7</v>
      </c>
      <c r="C150" s="5" t="s">
        <v>18</v>
      </c>
      <c r="D150" s="5" t="s">
        <v>19</v>
      </c>
      <c r="E150" s="6">
        <v>-12.3148</v>
      </c>
      <c r="F150" s="6">
        <v>-0.0208</v>
      </c>
      <c r="G150" s="6">
        <v>0.1677</v>
      </c>
      <c r="H150" s="6">
        <v>2.8E-4</v>
      </c>
      <c r="I150" s="6">
        <v>-0.19401</v>
      </c>
      <c r="J150" s="6">
        <v>0.03762</v>
      </c>
      <c r="K150" s="5" t="s">
        <v>116</v>
      </c>
      <c r="L150" s="6">
        <v>2.7</v>
      </c>
    </row>
    <row r="151" ht="13.5" customHeight="1">
      <c r="A151" s="5" t="s">
        <v>117</v>
      </c>
      <c r="B151" s="6">
        <v>0.0</v>
      </c>
      <c r="C151" s="5" t="s">
        <v>18</v>
      </c>
      <c r="D151" s="5" t="s">
        <v>19</v>
      </c>
      <c r="E151" s="6">
        <v>-8.8583</v>
      </c>
      <c r="F151" s="6">
        <v>-0.0209</v>
      </c>
      <c r="G151" s="6">
        <v>-0.0583</v>
      </c>
      <c r="H151" s="6">
        <v>-1.2E-4</v>
      </c>
      <c r="I151" s="6">
        <v>-0.12415</v>
      </c>
      <c r="J151" s="6">
        <v>-0.03917</v>
      </c>
      <c r="K151" s="5" t="s">
        <v>118</v>
      </c>
      <c r="L151" s="6">
        <v>0.0</v>
      </c>
    </row>
    <row r="152" ht="13.5" customHeight="1">
      <c r="A152" s="5" t="s">
        <v>117</v>
      </c>
      <c r="B152" s="6">
        <v>1.8</v>
      </c>
      <c r="C152" s="5" t="s">
        <v>18</v>
      </c>
      <c r="D152" s="5" t="s">
        <v>19</v>
      </c>
      <c r="E152" s="6">
        <v>-8.6603</v>
      </c>
      <c r="F152" s="6">
        <v>-0.0209</v>
      </c>
      <c r="G152" s="6">
        <v>-0.0583</v>
      </c>
      <c r="H152" s="6">
        <v>-1.2E-4</v>
      </c>
      <c r="I152" s="6">
        <v>-0.01923</v>
      </c>
      <c r="J152" s="6">
        <v>-0.00163</v>
      </c>
      <c r="K152" s="5" t="s">
        <v>118</v>
      </c>
      <c r="L152" s="6">
        <v>1.8</v>
      </c>
    </row>
    <row r="153" ht="13.5" customHeight="1">
      <c r="A153" s="5" t="s">
        <v>117</v>
      </c>
      <c r="B153" s="6">
        <v>3.6</v>
      </c>
      <c r="C153" s="5" t="s">
        <v>18</v>
      </c>
      <c r="D153" s="5" t="s">
        <v>19</v>
      </c>
      <c r="E153" s="6">
        <v>-8.4623</v>
      </c>
      <c r="F153" s="6">
        <v>-0.0209</v>
      </c>
      <c r="G153" s="6">
        <v>-0.0583</v>
      </c>
      <c r="H153" s="6">
        <v>-1.2E-4</v>
      </c>
      <c r="I153" s="6">
        <v>0.08569</v>
      </c>
      <c r="J153" s="6">
        <v>0.0359</v>
      </c>
      <c r="K153" s="5" t="s">
        <v>118</v>
      </c>
      <c r="L153" s="6">
        <v>3.6</v>
      </c>
    </row>
    <row r="154" ht="13.5" customHeight="1">
      <c r="A154" s="5" t="s">
        <v>119</v>
      </c>
      <c r="B154" s="6">
        <v>0.0</v>
      </c>
      <c r="C154" s="5" t="s">
        <v>18</v>
      </c>
      <c r="D154" s="5" t="s">
        <v>19</v>
      </c>
      <c r="E154" s="6">
        <v>-3.5819</v>
      </c>
      <c r="F154" s="6">
        <v>-0.0282</v>
      </c>
      <c r="G154" s="6">
        <v>-0.0455</v>
      </c>
      <c r="H154" s="6">
        <v>3.0E-4</v>
      </c>
      <c r="I154" s="6">
        <v>-0.08002</v>
      </c>
      <c r="J154" s="6">
        <v>-0.04826</v>
      </c>
      <c r="K154" s="5" t="s">
        <v>120</v>
      </c>
      <c r="L154" s="6">
        <v>0.0</v>
      </c>
    </row>
    <row r="155" ht="13.5" customHeight="1">
      <c r="A155" s="5" t="s">
        <v>119</v>
      </c>
      <c r="B155" s="6">
        <v>1.8</v>
      </c>
      <c r="C155" s="5" t="s">
        <v>18</v>
      </c>
      <c r="D155" s="5" t="s">
        <v>19</v>
      </c>
      <c r="E155" s="6">
        <v>-3.3839</v>
      </c>
      <c r="F155" s="6">
        <v>-0.0282</v>
      </c>
      <c r="G155" s="6">
        <v>-0.0455</v>
      </c>
      <c r="H155" s="6">
        <v>3.0E-4</v>
      </c>
      <c r="I155" s="6">
        <v>0.00185</v>
      </c>
      <c r="J155" s="6">
        <v>0.00256</v>
      </c>
      <c r="K155" s="5" t="s">
        <v>120</v>
      </c>
      <c r="L155" s="6">
        <v>1.8</v>
      </c>
    </row>
    <row r="156" ht="13.5" customHeight="1">
      <c r="A156" s="5" t="s">
        <v>119</v>
      </c>
      <c r="B156" s="6">
        <v>3.6</v>
      </c>
      <c r="C156" s="5" t="s">
        <v>18</v>
      </c>
      <c r="D156" s="5" t="s">
        <v>19</v>
      </c>
      <c r="E156" s="6">
        <v>-3.1859</v>
      </c>
      <c r="F156" s="6">
        <v>-0.0282</v>
      </c>
      <c r="G156" s="6">
        <v>-0.0455</v>
      </c>
      <c r="H156" s="6">
        <v>3.0E-4</v>
      </c>
      <c r="I156" s="6">
        <v>0.08372</v>
      </c>
      <c r="J156" s="6">
        <v>0.05338</v>
      </c>
      <c r="K156" s="5" t="s">
        <v>120</v>
      </c>
      <c r="L156" s="6">
        <v>3.6</v>
      </c>
    </row>
    <row r="157" ht="13.5" customHeight="1">
      <c r="A157" s="5" t="s">
        <v>121</v>
      </c>
      <c r="B157" s="6">
        <v>0.0</v>
      </c>
      <c r="C157" s="5" t="s">
        <v>18</v>
      </c>
      <c r="D157" s="5" t="s">
        <v>19</v>
      </c>
      <c r="E157" s="6">
        <v>-13.3969</v>
      </c>
      <c r="F157" s="6">
        <v>0.0203</v>
      </c>
      <c r="G157" s="6">
        <v>0.2307</v>
      </c>
      <c r="H157" s="6">
        <v>-9.8E-4</v>
      </c>
      <c r="I157" s="6">
        <v>0.3118</v>
      </c>
      <c r="J157" s="6">
        <v>0.01793</v>
      </c>
      <c r="K157" s="5" t="s">
        <v>122</v>
      </c>
      <c r="L157" s="6">
        <v>0.0</v>
      </c>
    </row>
    <row r="158" ht="13.5" customHeight="1">
      <c r="A158" s="5" t="s">
        <v>121</v>
      </c>
      <c r="B158" s="6">
        <v>1.35</v>
      </c>
      <c r="C158" s="5" t="s">
        <v>18</v>
      </c>
      <c r="D158" s="5" t="s">
        <v>19</v>
      </c>
      <c r="E158" s="6">
        <v>-13.2484</v>
      </c>
      <c r="F158" s="6">
        <v>0.0203</v>
      </c>
      <c r="G158" s="6">
        <v>0.2307</v>
      </c>
      <c r="H158" s="6">
        <v>-9.8E-4</v>
      </c>
      <c r="I158" s="6">
        <v>3.8E-4</v>
      </c>
      <c r="J158" s="6">
        <v>-0.00948</v>
      </c>
      <c r="K158" s="5" t="s">
        <v>122</v>
      </c>
      <c r="L158" s="6">
        <v>1.35</v>
      </c>
    </row>
    <row r="159" ht="13.5" customHeight="1">
      <c r="A159" s="5" t="s">
        <v>121</v>
      </c>
      <c r="B159" s="6">
        <v>2.7</v>
      </c>
      <c r="C159" s="5" t="s">
        <v>18</v>
      </c>
      <c r="D159" s="5" t="s">
        <v>19</v>
      </c>
      <c r="E159" s="6">
        <v>-13.0999</v>
      </c>
      <c r="F159" s="6">
        <v>0.0203</v>
      </c>
      <c r="G159" s="6">
        <v>0.2307</v>
      </c>
      <c r="H159" s="6">
        <v>-9.8E-4</v>
      </c>
      <c r="I159" s="6">
        <v>-0.31104</v>
      </c>
      <c r="J159" s="6">
        <v>-0.03689</v>
      </c>
      <c r="K159" s="5" t="s">
        <v>122</v>
      </c>
      <c r="L159" s="6">
        <v>2.7</v>
      </c>
    </row>
    <row r="160" ht="13.5" customHeight="1">
      <c r="A160" s="5" t="s">
        <v>123</v>
      </c>
      <c r="B160" s="6">
        <v>0.0</v>
      </c>
      <c r="C160" s="5" t="s">
        <v>18</v>
      </c>
      <c r="D160" s="5" t="s">
        <v>19</v>
      </c>
      <c r="E160" s="6">
        <v>-8.4827</v>
      </c>
      <c r="F160" s="6">
        <v>0.0174</v>
      </c>
      <c r="G160" s="6">
        <v>1.291E-4</v>
      </c>
      <c r="H160" s="6">
        <v>8.3E-4</v>
      </c>
      <c r="I160" s="6">
        <v>-0.00418</v>
      </c>
      <c r="J160" s="6">
        <v>0.0352</v>
      </c>
      <c r="K160" s="5" t="s">
        <v>124</v>
      </c>
      <c r="L160" s="6">
        <v>0.0</v>
      </c>
    </row>
    <row r="161" ht="13.5" customHeight="1">
      <c r="A161" s="5" t="s">
        <v>123</v>
      </c>
      <c r="B161" s="6">
        <v>1.8</v>
      </c>
      <c r="C161" s="5" t="s">
        <v>18</v>
      </c>
      <c r="D161" s="5" t="s">
        <v>19</v>
      </c>
      <c r="E161" s="6">
        <v>-8.2847</v>
      </c>
      <c r="F161" s="6">
        <v>0.0174</v>
      </c>
      <c r="G161" s="6">
        <v>1.291E-4</v>
      </c>
      <c r="H161" s="6">
        <v>8.3E-4</v>
      </c>
      <c r="I161" s="6">
        <v>-0.00442</v>
      </c>
      <c r="J161" s="6">
        <v>0.0039</v>
      </c>
      <c r="K161" s="5" t="s">
        <v>124</v>
      </c>
      <c r="L161" s="6">
        <v>1.8</v>
      </c>
    </row>
    <row r="162" ht="13.5" customHeight="1">
      <c r="A162" s="5" t="s">
        <v>123</v>
      </c>
      <c r="B162" s="6">
        <v>3.6</v>
      </c>
      <c r="C162" s="5" t="s">
        <v>18</v>
      </c>
      <c r="D162" s="5" t="s">
        <v>19</v>
      </c>
      <c r="E162" s="6">
        <v>-8.0867</v>
      </c>
      <c r="F162" s="6">
        <v>0.0174</v>
      </c>
      <c r="G162" s="6">
        <v>1.291E-4</v>
      </c>
      <c r="H162" s="6">
        <v>8.3E-4</v>
      </c>
      <c r="I162" s="6">
        <v>-0.00465</v>
      </c>
      <c r="J162" s="6">
        <v>-0.0274</v>
      </c>
      <c r="K162" s="5" t="s">
        <v>124</v>
      </c>
      <c r="L162" s="6">
        <v>3.6</v>
      </c>
    </row>
    <row r="163" ht="13.5" customHeight="1">
      <c r="A163" s="5" t="s">
        <v>125</v>
      </c>
      <c r="B163" s="6">
        <v>0.0</v>
      </c>
      <c r="C163" s="5" t="s">
        <v>18</v>
      </c>
      <c r="D163" s="5" t="s">
        <v>19</v>
      </c>
      <c r="E163" s="6">
        <v>-3.1378</v>
      </c>
      <c r="F163" s="6">
        <v>0.0281</v>
      </c>
      <c r="G163" s="6">
        <v>-0.0138</v>
      </c>
      <c r="H163" s="6">
        <v>0.00119</v>
      </c>
      <c r="I163" s="6">
        <v>-0.01426</v>
      </c>
      <c r="J163" s="6">
        <v>0.0486</v>
      </c>
      <c r="K163" s="5" t="s">
        <v>126</v>
      </c>
      <c r="L163" s="6">
        <v>0.0</v>
      </c>
    </row>
    <row r="164" ht="13.5" customHeight="1">
      <c r="A164" s="5" t="s">
        <v>125</v>
      </c>
      <c r="B164" s="6">
        <v>1.8</v>
      </c>
      <c r="C164" s="5" t="s">
        <v>18</v>
      </c>
      <c r="D164" s="5" t="s">
        <v>19</v>
      </c>
      <c r="E164" s="6">
        <v>-2.9398</v>
      </c>
      <c r="F164" s="6">
        <v>0.0281</v>
      </c>
      <c r="G164" s="6">
        <v>-0.0138</v>
      </c>
      <c r="H164" s="6">
        <v>0.00119</v>
      </c>
      <c r="I164" s="6">
        <v>0.01066</v>
      </c>
      <c r="J164" s="6">
        <v>-0.00206</v>
      </c>
      <c r="K164" s="5" t="s">
        <v>126</v>
      </c>
      <c r="L164" s="6">
        <v>1.8</v>
      </c>
    </row>
    <row r="165" ht="13.5" customHeight="1">
      <c r="A165" s="5" t="s">
        <v>125</v>
      </c>
      <c r="B165" s="6">
        <v>3.6</v>
      </c>
      <c r="C165" s="5" t="s">
        <v>18</v>
      </c>
      <c r="D165" s="5" t="s">
        <v>19</v>
      </c>
      <c r="E165" s="6">
        <v>-2.7418</v>
      </c>
      <c r="F165" s="6">
        <v>0.0281</v>
      </c>
      <c r="G165" s="6">
        <v>-0.0138</v>
      </c>
      <c r="H165" s="6">
        <v>0.00119</v>
      </c>
      <c r="I165" s="6">
        <v>0.03558</v>
      </c>
      <c r="J165" s="6">
        <v>-0.05273</v>
      </c>
      <c r="K165" s="5" t="s">
        <v>126</v>
      </c>
      <c r="L165" s="6">
        <v>3.6</v>
      </c>
    </row>
    <row r="166" ht="13.5" customHeight="1">
      <c r="A166" s="5" t="s">
        <v>127</v>
      </c>
      <c r="B166" s="6">
        <v>0.0</v>
      </c>
      <c r="C166" s="5" t="s">
        <v>18</v>
      </c>
      <c r="D166" s="5" t="s">
        <v>19</v>
      </c>
      <c r="E166" s="6">
        <v>-17.9089</v>
      </c>
      <c r="F166" s="6">
        <v>-0.0455</v>
      </c>
      <c r="G166" s="6">
        <v>0.2374</v>
      </c>
      <c r="H166" s="6">
        <v>-2.9E-4</v>
      </c>
      <c r="I166" s="6">
        <v>0.31557</v>
      </c>
      <c r="J166" s="6">
        <v>-0.04099</v>
      </c>
      <c r="K166" s="5" t="s">
        <v>128</v>
      </c>
      <c r="L166" s="6">
        <v>0.0</v>
      </c>
    </row>
    <row r="167" ht="13.5" customHeight="1">
      <c r="A167" s="5" t="s">
        <v>127</v>
      </c>
      <c r="B167" s="6">
        <v>1.35</v>
      </c>
      <c r="C167" s="5" t="s">
        <v>18</v>
      </c>
      <c r="D167" s="5" t="s">
        <v>19</v>
      </c>
      <c r="E167" s="6">
        <v>-17.7604</v>
      </c>
      <c r="F167" s="6">
        <v>-0.0455</v>
      </c>
      <c r="G167" s="6">
        <v>0.2374</v>
      </c>
      <c r="H167" s="6">
        <v>-2.9E-4</v>
      </c>
      <c r="I167" s="6">
        <v>-0.00495</v>
      </c>
      <c r="J167" s="6">
        <v>0.02043</v>
      </c>
      <c r="K167" s="5" t="s">
        <v>128</v>
      </c>
      <c r="L167" s="6">
        <v>1.35</v>
      </c>
    </row>
    <row r="168" ht="13.5" customHeight="1">
      <c r="A168" s="5" t="s">
        <v>127</v>
      </c>
      <c r="B168" s="6">
        <v>2.7</v>
      </c>
      <c r="C168" s="5" t="s">
        <v>18</v>
      </c>
      <c r="D168" s="5" t="s">
        <v>19</v>
      </c>
      <c r="E168" s="6">
        <v>-17.6119</v>
      </c>
      <c r="F168" s="6">
        <v>-0.0455</v>
      </c>
      <c r="G168" s="6">
        <v>0.2374</v>
      </c>
      <c r="H168" s="6">
        <v>-2.9E-4</v>
      </c>
      <c r="I168" s="6">
        <v>-0.32547</v>
      </c>
      <c r="J168" s="6">
        <v>0.08185</v>
      </c>
      <c r="K168" s="5" t="s">
        <v>128</v>
      </c>
      <c r="L168" s="6">
        <v>2.7</v>
      </c>
    </row>
    <row r="169" ht="13.5" customHeight="1">
      <c r="A169" s="5" t="s">
        <v>129</v>
      </c>
      <c r="B169" s="6">
        <v>0.0</v>
      </c>
      <c r="C169" s="5" t="s">
        <v>18</v>
      </c>
      <c r="D169" s="5" t="s">
        <v>19</v>
      </c>
      <c r="E169" s="6">
        <v>-12.4537</v>
      </c>
      <c r="F169" s="6">
        <v>-0.0538</v>
      </c>
      <c r="G169" s="6">
        <v>0.0216</v>
      </c>
      <c r="H169" s="6">
        <v>3.3E-4</v>
      </c>
      <c r="I169" s="6">
        <v>0.03105</v>
      </c>
      <c r="J169" s="6">
        <v>-0.09463</v>
      </c>
      <c r="K169" s="5" t="s">
        <v>130</v>
      </c>
      <c r="L169" s="6">
        <v>0.0</v>
      </c>
    </row>
    <row r="170" ht="13.5" customHeight="1">
      <c r="A170" s="5" t="s">
        <v>129</v>
      </c>
      <c r="B170" s="6">
        <v>1.8</v>
      </c>
      <c r="C170" s="5" t="s">
        <v>18</v>
      </c>
      <c r="D170" s="5" t="s">
        <v>19</v>
      </c>
      <c r="E170" s="6">
        <v>-12.2557</v>
      </c>
      <c r="F170" s="6">
        <v>-0.0538</v>
      </c>
      <c r="G170" s="6">
        <v>0.0216</v>
      </c>
      <c r="H170" s="6">
        <v>3.3E-4</v>
      </c>
      <c r="I170" s="6">
        <v>-0.0079</v>
      </c>
      <c r="J170" s="6">
        <v>0.00225</v>
      </c>
      <c r="K170" s="5" t="s">
        <v>130</v>
      </c>
      <c r="L170" s="6">
        <v>1.8</v>
      </c>
    </row>
    <row r="171" ht="13.5" customHeight="1">
      <c r="A171" s="5" t="s">
        <v>129</v>
      </c>
      <c r="B171" s="6">
        <v>3.6</v>
      </c>
      <c r="C171" s="5" t="s">
        <v>18</v>
      </c>
      <c r="D171" s="5" t="s">
        <v>19</v>
      </c>
      <c r="E171" s="6">
        <v>-12.0577</v>
      </c>
      <c r="F171" s="6">
        <v>-0.0538</v>
      </c>
      <c r="G171" s="6">
        <v>0.0216</v>
      </c>
      <c r="H171" s="6">
        <v>3.3E-4</v>
      </c>
      <c r="I171" s="6">
        <v>-0.04685</v>
      </c>
      <c r="J171" s="6">
        <v>0.09914</v>
      </c>
      <c r="K171" s="5" t="s">
        <v>130</v>
      </c>
      <c r="L171" s="6">
        <v>3.6</v>
      </c>
    </row>
    <row r="172" ht="13.5" customHeight="1">
      <c r="A172" s="5" t="s">
        <v>131</v>
      </c>
      <c r="B172" s="6">
        <v>0.0</v>
      </c>
      <c r="C172" s="5" t="s">
        <v>18</v>
      </c>
      <c r="D172" s="5" t="s">
        <v>19</v>
      </c>
      <c r="E172" s="6">
        <v>-6.7331</v>
      </c>
      <c r="F172" s="6">
        <v>-0.0494</v>
      </c>
      <c r="G172" s="6">
        <v>-0.0203</v>
      </c>
      <c r="H172" s="6">
        <v>9.4E-4</v>
      </c>
      <c r="I172" s="6">
        <v>0.00274</v>
      </c>
      <c r="J172" s="6">
        <v>-0.07909</v>
      </c>
      <c r="K172" s="5" t="s">
        <v>132</v>
      </c>
      <c r="L172" s="6">
        <v>0.0</v>
      </c>
    </row>
    <row r="173" ht="13.5" customHeight="1">
      <c r="A173" s="5" t="s">
        <v>131</v>
      </c>
      <c r="B173" s="6">
        <v>1.8</v>
      </c>
      <c r="C173" s="5" t="s">
        <v>18</v>
      </c>
      <c r="D173" s="5" t="s">
        <v>19</v>
      </c>
      <c r="E173" s="6">
        <v>-6.5351</v>
      </c>
      <c r="F173" s="6">
        <v>-0.0494</v>
      </c>
      <c r="G173" s="6">
        <v>-0.0203</v>
      </c>
      <c r="H173" s="6">
        <v>9.4E-4</v>
      </c>
      <c r="I173" s="6">
        <v>0.03934</v>
      </c>
      <c r="J173" s="6">
        <v>0.00989</v>
      </c>
      <c r="K173" s="5" t="s">
        <v>132</v>
      </c>
      <c r="L173" s="6">
        <v>1.8</v>
      </c>
    </row>
    <row r="174" ht="13.5" customHeight="1">
      <c r="A174" s="5" t="s">
        <v>131</v>
      </c>
      <c r="B174" s="6">
        <v>3.6</v>
      </c>
      <c r="C174" s="5" t="s">
        <v>18</v>
      </c>
      <c r="D174" s="5" t="s">
        <v>19</v>
      </c>
      <c r="E174" s="6">
        <v>-6.3371</v>
      </c>
      <c r="F174" s="6">
        <v>-0.0494</v>
      </c>
      <c r="G174" s="6">
        <v>-0.0203</v>
      </c>
      <c r="H174" s="6">
        <v>9.4E-4</v>
      </c>
      <c r="I174" s="6">
        <v>0.07594</v>
      </c>
      <c r="J174" s="6">
        <v>0.09888</v>
      </c>
      <c r="K174" s="5" t="s">
        <v>132</v>
      </c>
      <c r="L174" s="6">
        <v>3.6</v>
      </c>
    </row>
    <row r="175" ht="13.5" customHeight="1">
      <c r="A175" s="5" t="s">
        <v>133</v>
      </c>
      <c r="B175" s="6">
        <v>0.0</v>
      </c>
      <c r="C175" s="5" t="s">
        <v>18</v>
      </c>
      <c r="D175" s="5" t="s">
        <v>19</v>
      </c>
      <c r="E175" s="6">
        <v>-15.3773</v>
      </c>
      <c r="F175" s="6">
        <v>0.0759</v>
      </c>
      <c r="G175" s="6">
        <v>0.2239</v>
      </c>
      <c r="H175" s="6">
        <v>-9.1E-4</v>
      </c>
      <c r="I175" s="6">
        <v>0.2994</v>
      </c>
      <c r="J175" s="6">
        <v>0.0673</v>
      </c>
      <c r="K175" s="5" t="s">
        <v>134</v>
      </c>
      <c r="L175" s="6">
        <v>0.0</v>
      </c>
    </row>
    <row r="176" ht="13.5" customHeight="1">
      <c r="A176" s="5" t="s">
        <v>133</v>
      </c>
      <c r="B176" s="6">
        <v>1.35</v>
      </c>
      <c r="C176" s="5" t="s">
        <v>18</v>
      </c>
      <c r="D176" s="5" t="s">
        <v>19</v>
      </c>
      <c r="E176" s="6">
        <v>-15.2288</v>
      </c>
      <c r="F176" s="6">
        <v>0.0759</v>
      </c>
      <c r="G176" s="6">
        <v>0.2239</v>
      </c>
      <c r="H176" s="6">
        <v>-9.1E-4</v>
      </c>
      <c r="I176" s="6">
        <v>-0.00289</v>
      </c>
      <c r="J176" s="6">
        <v>-0.03517</v>
      </c>
      <c r="K176" s="5" t="s">
        <v>134</v>
      </c>
      <c r="L176" s="6">
        <v>1.35</v>
      </c>
    </row>
    <row r="177" ht="13.5" customHeight="1">
      <c r="A177" s="5" t="s">
        <v>133</v>
      </c>
      <c r="B177" s="6">
        <v>2.7</v>
      </c>
      <c r="C177" s="5" t="s">
        <v>18</v>
      </c>
      <c r="D177" s="5" t="s">
        <v>19</v>
      </c>
      <c r="E177" s="6">
        <v>-15.0803</v>
      </c>
      <c r="F177" s="6">
        <v>0.0759</v>
      </c>
      <c r="G177" s="6">
        <v>0.2239</v>
      </c>
      <c r="H177" s="6">
        <v>-9.1E-4</v>
      </c>
      <c r="I177" s="6">
        <v>-0.30519</v>
      </c>
      <c r="J177" s="6">
        <v>-0.13763</v>
      </c>
      <c r="K177" s="5" t="s">
        <v>134</v>
      </c>
      <c r="L177" s="6">
        <v>2.7</v>
      </c>
    </row>
    <row r="178" ht="13.5" customHeight="1">
      <c r="A178" s="5" t="s">
        <v>135</v>
      </c>
      <c r="B178" s="6">
        <v>0.0</v>
      </c>
      <c r="C178" s="5" t="s">
        <v>18</v>
      </c>
      <c r="D178" s="5" t="s">
        <v>19</v>
      </c>
      <c r="E178" s="6">
        <v>-11.6553</v>
      </c>
      <c r="F178" s="6">
        <v>0.0803</v>
      </c>
      <c r="G178" s="6">
        <v>0.0151</v>
      </c>
      <c r="H178" s="6">
        <v>8.0E-4</v>
      </c>
      <c r="I178" s="6">
        <v>0.02298</v>
      </c>
      <c r="J178" s="6">
        <v>0.14912</v>
      </c>
      <c r="K178" s="5" t="s">
        <v>136</v>
      </c>
      <c r="L178" s="6">
        <v>0.0</v>
      </c>
    </row>
    <row r="179" ht="13.5" customHeight="1">
      <c r="A179" s="5" t="s">
        <v>135</v>
      </c>
      <c r="B179" s="6">
        <v>1.8</v>
      </c>
      <c r="C179" s="5" t="s">
        <v>18</v>
      </c>
      <c r="D179" s="5" t="s">
        <v>19</v>
      </c>
      <c r="E179" s="6">
        <v>-11.4573</v>
      </c>
      <c r="F179" s="6">
        <v>0.0803</v>
      </c>
      <c r="G179" s="6">
        <v>0.0151</v>
      </c>
      <c r="H179" s="6">
        <v>8.0E-4</v>
      </c>
      <c r="I179" s="6">
        <v>-0.00411</v>
      </c>
      <c r="J179" s="6">
        <v>0.00453</v>
      </c>
      <c r="K179" s="5" t="s">
        <v>136</v>
      </c>
      <c r="L179" s="6">
        <v>1.8</v>
      </c>
    </row>
    <row r="180" ht="13.5" customHeight="1">
      <c r="A180" s="5" t="s">
        <v>135</v>
      </c>
      <c r="B180" s="6">
        <v>3.6</v>
      </c>
      <c r="C180" s="5" t="s">
        <v>18</v>
      </c>
      <c r="D180" s="5" t="s">
        <v>19</v>
      </c>
      <c r="E180" s="6">
        <v>-11.2593</v>
      </c>
      <c r="F180" s="6">
        <v>0.0803</v>
      </c>
      <c r="G180" s="6">
        <v>0.0151</v>
      </c>
      <c r="H180" s="6">
        <v>8.0E-4</v>
      </c>
      <c r="I180" s="6">
        <v>-0.03121</v>
      </c>
      <c r="J180" s="6">
        <v>-0.14006</v>
      </c>
      <c r="K180" s="5" t="s">
        <v>136</v>
      </c>
      <c r="L180" s="6">
        <v>3.6</v>
      </c>
    </row>
    <row r="181" ht="13.5" customHeight="1">
      <c r="A181" s="5" t="s">
        <v>137</v>
      </c>
      <c r="B181" s="6">
        <v>0.0</v>
      </c>
      <c r="C181" s="5" t="s">
        <v>18</v>
      </c>
      <c r="D181" s="5" t="s">
        <v>19</v>
      </c>
      <c r="E181" s="6">
        <v>-7.7639</v>
      </c>
      <c r="F181" s="6">
        <v>0.1653</v>
      </c>
      <c r="G181" s="6">
        <v>0.0444</v>
      </c>
      <c r="H181" s="6">
        <v>-0.0028</v>
      </c>
      <c r="I181" s="6">
        <v>0.07807</v>
      </c>
      <c r="J181" s="6">
        <v>0.26956</v>
      </c>
      <c r="K181" s="5" t="s">
        <v>138</v>
      </c>
      <c r="L181" s="6">
        <v>0.0</v>
      </c>
    </row>
    <row r="182" ht="13.5" customHeight="1">
      <c r="A182" s="5" t="s">
        <v>137</v>
      </c>
      <c r="B182" s="6">
        <v>1.8</v>
      </c>
      <c r="C182" s="5" t="s">
        <v>18</v>
      </c>
      <c r="D182" s="5" t="s">
        <v>19</v>
      </c>
      <c r="E182" s="6">
        <v>-7.5659</v>
      </c>
      <c r="F182" s="6">
        <v>0.1653</v>
      </c>
      <c r="G182" s="6">
        <v>0.0444</v>
      </c>
      <c r="H182" s="6">
        <v>-0.0028</v>
      </c>
      <c r="I182" s="6">
        <v>-0.0018</v>
      </c>
      <c r="J182" s="6">
        <v>-0.02803</v>
      </c>
      <c r="K182" s="5" t="s">
        <v>138</v>
      </c>
      <c r="L182" s="6">
        <v>1.8</v>
      </c>
    </row>
    <row r="183" ht="13.5" customHeight="1">
      <c r="A183" s="5" t="s">
        <v>137</v>
      </c>
      <c r="B183" s="6">
        <v>3.6</v>
      </c>
      <c r="C183" s="5" t="s">
        <v>18</v>
      </c>
      <c r="D183" s="5" t="s">
        <v>19</v>
      </c>
      <c r="E183" s="6">
        <v>-7.3679</v>
      </c>
      <c r="F183" s="6">
        <v>0.1653</v>
      </c>
      <c r="G183" s="6">
        <v>0.0444</v>
      </c>
      <c r="H183" s="6">
        <v>-0.0028</v>
      </c>
      <c r="I183" s="6">
        <v>-0.08166</v>
      </c>
      <c r="J183" s="6">
        <v>-0.32561</v>
      </c>
      <c r="K183" s="5" t="s">
        <v>138</v>
      </c>
      <c r="L183" s="6">
        <v>3.6</v>
      </c>
    </row>
    <row r="184" ht="13.5" customHeight="1">
      <c r="A184" s="5" t="s">
        <v>139</v>
      </c>
      <c r="B184" s="6">
        <v>0.0</v>
      </c>
      <c r="C184" s="5" t="s">
        <v>18</v>
      </c>
      <c r="D184" s="5" t="s">
        <v>19</v>
      </c>
      <c r="E184" s="6">
        <v>-15.5252</v>
      </c>
      <c r="F184" s="6">
        <v>-0.0769</v>
      </c>
      <c r="G184" s="6">
        <v>0.195</v>
      </c>
      <c r="H184" s="6">
        <v>3.5E-4</v>
      </c>
      <c r="I184" s="6">
        <v>0.27322</v>
      </c>
      <c r="J184" s="6">
        <v>-0.06943</v>
      </c>
      <c r="K184" s="5" t="s">
        <v>140</v>
      </c>
      <c r="L184" s="6">
        <v>0.0</v>
      </c>
    </row>
    <row r="185" ht="13.5" customHeight="1">
      <c r="A185" s="5" t="s">
        <v>139</v>
      </c>
      <c r="B185" s="6">
        <v>1.35</v>
      </c>
      <c r="C185" s="5" t="s">
        <v>18</v>
      </c>
      <c r="D185" s="5" t="s">
        <v>19</v>
      </c>
      <c r="E185" s="6">
        <v>-15.3767</v>
      </c>
      <c r="F185" s="6">
        <v>-0.0769</v>
      </c>
      <c r="G185" s="6">
        <v>0.195</v>
      </c>
      <c r="H185" s="6">
        <v>3.5E-4</v>
      </c>
      <c r="I185" s="6">
        <v>0.01001</v>
      </c>
      <c r="J185" s="6">
        <v>0.03437</v>
      </c>
      <c r="K185" s="5" t="s">
        <v>140</v>
      </c>
      <c r="L185" s="6">
        <v>1.35</v>
      </c>
    </row>
    <row r="186" ht="13.5" customHeight="1">
      <c r="A186" s="5" t="s">
        <v>139</v>
      </c>
      <c r="B186" s="6">
        <v>2.7</v>
      </c>
      <c r="C186" s="5" t="s">
        <v>18</v>
      </c>
      <c r="D186" s="5" t="s">
        <v>19</v>
      </c>
      <c r="E186" s="6">
        <v>-15.2282</v>
      </c>
      <c r="F186" s="6">
        <v>-0.0769</v>
      </c>
      <c r="G186" s="6">
        <v>0.195</v>
      </c>
      <c r="H186" s="6">
        <v>3.5E-4</v>
      </c>
      <c r="I186" s="6">
        <v>-0.2532</v>
      </c>
      <c r="J186" s="6">
        <v>0.13816</v>
      </c>
      <c r="K186" s="5" t="s">
        <v>140</v>
      </c>
      <c r="L186" s="6">
        <v>2.7</v>
      </c>
    </row>
    <row r="187" ht="13.5" customHeight="1">
      <c r="A187" s="5" t="s">
        <v>141</v>
      </c>
      <c r="B187" s="6">
        <v>0.0</v>
      </c>
      <c r="C187" s="5" t="s">
        <v>18</v>
      </c>
      <c r="D187" s="5" t="s">
        <v>19</v>
      </c>
      <c r="E187" s="6">
        <v>-11.4052</v>
      </c>
      <c r="F187" s="6">
        <v>-0.0749</v>
      </c>
      <c r="G187" s="6">
        <v>-0.027</v>
      </c>
      <c r="H187" s="6">
        <v>-3.0E-4</v>
      </c>
      <c r="I187" s="6">
        <v>-0.04786</v>
      </c>
      <c r="J187" s="6">
        <v>-0.1406</v>
      </c>
      <c r="K187" s="5" t="s">
        <v>142</v>
      </c>
      <c r="L187" s="6">
        <v>0.0</v>
      </c>
    </row>
    <row r="188" ht="13.5" customHeight="1">
      <c r="A188" s="5" t="s">
        <v>141</v>
      </c>
      <c r="B188" s="6">
        <v>1.8</v>
      </c>
      <c r="C188" s="5" t="s">
        <v>18</v>
      </c>
      <c r="D188" s="5" t="s">
        <v>19</v>
      </c>
      <c r="E188" s="6">
        <v>-11.2072</v>
      </c>
      <c r="F188" s="6">
        <v>-0.0749</v>
      </c>
      <c r="G188" s="6">
        <v>-0.027</v>
      </c>
      <c r="H188" s="6">
        <v>-3.0E-4</v>
      </c>
      <c r="I188" s="6">
        <v>7.8E-4</v>
      </c>
      <c r="J188" s="6">
        <v>-0.00584</v>
      </c>
      <c r="K188" s="5" t="s">
        <v>142</v>
      </c>
      <c r="L188" s="6">
        <v>1.8</v>
      </c>
    </row>
    <row r="189" ht="13.5" customHeight="1">
      <c r="A189" s="5" t="s">
        <v>141</v>
      </c>
      <c r="B189" s="6">
        <v>3.6</v>
      </c>
      <c r="C189" s="5" t="s">
        <v>18</v>
      </c>
      <c r="D189" s="5" t="s">
        <v>19</v>
      </c>
      <c r="E189" s="6">
        <v>-11.0092</v>
      </c>
      <c r="F189" s="6">
        <v>-0.0749</v>
      </c>
      <c r="G189" s="6">
        <v>-0.027</v>
      </c>
      <c r="H189" s="6">
        <v>-3.0E-4</v>
      </c>
      <c r="I189" s="6">
        <v>0.04942</v>
      </c>
      <c r="J189" s="6">
        <v>0.12893</v>
      </c>
      <c r="K189" s="5" t="s">
        <v>142</v>
      </c>
      <c r="L189" s="6">
        <v>3.6</v>
      </c>
    </row>
    <row r="190" ht="13.5" customHeight="1">
      <c r="A190" s="5" t="s">
        <v>143</v>
      </c>
      <c r="B190" s="6">
        <v>0.0</v>
      </c>
      <c r="C190" s="5" t="s">
        <v>18</v>
      </c>
      <c r="D190" s="5" t="s">
        <v>19</v>
      </c>
      <c r="E190" s="6">
        <v>-7.0134</v>
      </c>
      <c r="F190" s="6">
        <v>-0.1703</v>
      </c>
      <c r="G190" s="6">
        <v>0.0123</v>
      </c>
      <c r="H190" s="6">
        <v>-0.00868</v>
      </c>
      <c r="I190" s="6">
        <v>0.02213</v>
      </c>
      <c r="J190" s="6">
        <v>-0.27572</v>
      </c>
      <c r="K190" s="5" t="s">
        <v>144</v>
      </c>
      <c r="L190" s="6">
        <v>0.0</v>
      </c>
    </row>
    <row r="191" ht="13.5" customHeight="1">
      <c r="A191" s="5" t="s">
        <v>143</v>
      </c>
      <c r="B191" s="6">
        <v>1.8</v>
      </c>
      <c r="C191" s="5" t="s">
        <v>18</v>
      </c>
      <c r="D191" s="5" t="s">
        <v>19</v>
      </c>
      <c r="E191" s="6">
        <v>-6.8154</v>
      </c>
      <c r="F191" s="6">
        <v>-0.1703</v>
      </c>
      <c r="G191" s="6">
        <v>0.0123</v>
      </c>
      <c r="H191" s="6">
        <v>-0.00868</v>
      </c>
      <c r="I191" s="6">
        <v>-4.96E-6</v>
      </c>
      <c r="J191" s="6">
        <v>0.03081</v>
      </c>
      <c r="K191" s="5" t="s">
        <v>144</v>
      </c>
      <c r="L191" s="6">
        <v>1.8</v>
      </c>
    </row>
    <row r="192" ht="13.5" customHeight="1">
      <c r="A192" s="5" t="s">
        <v>143</v>
      </c>
      <c r="B192" s="6">
        <v>3.6</v>
      </c>
      <c r="C192" s="5" t="s">
        <v>18</v>
      </c>
      <c r="D192" s="5" t="s">
        <v>19</v>
      </c>
      <c r="E192" s="6">
        <v>-6.6174</v>
      </c>
      <c r="F192" s="6">
        <v>-0.1703</v>
      </c>
      <c r="G192" s="6">
        <v>0.0123</v>
      </c>
      <c r="H192" s="6">
        <v>-0.00868</v>
      </c>
      <c r="I192" s="6">
        <v>-0.02214</v>
      </c>
      <c r="J192" s="6">
        <v>0.33733</v>
      </c>
      <c r="K192" s="5" t="s">
        <v>144</v>
      </c>
      <c r="L192" s="6">
        <v>3.6</v>
      </c>
    </row>
    <row r="193" ht="13.5" customHeight="1">
      <c r="A193" s="5" t="s">
        <v>145</v>
      </c>
      <c r="B193" s="6">
        <v>0.0</v>
      </c>
      <c r="C193" s="5" t="s">
        <v>18</v>
      </c>
      <c r="D193" s="5" t="s">
        <v>19</v>
      </c>
      <c r="E193" s="6">
        <v>-17.5754</v>
      </c>
      <c r="F193" s="6">
        <v>0.0417</v>
      </c>
      <c r="G193" s="6">
        <v>0.2101</v>
      </c>
      <c r="H193" s="6">
        <v>9.3E-4</v>
      </c>
      <c r="I193" s="6">
        <v>0.29104</v>
      </c>
      <c r="J193" s="6">
        <v>0.03651</v>
      </c>
      <c r="K193" s="5" t="s">
        <v>146</v>
      </c>
      <c r="L193" s="6">
        <v>0.0</v>
      </c>
    </row>
    <row r="194" ht="13.5" customHeight="1">
      <c r="A194" s="5" t="s">
        <v>145</v>
      </c>
      <c r="B194" s="6">
        <v>1.35</v>
      </c>
      <c r="C194" s="5" t="s">
        <v>18</v>
      </c>
      <c r="D194" s="5" t="s">
        <v>19</v>
      </c>
      <c r="E194" s="6">
        <v>-17.4269</v>
      </c>
      <c r="F194" s="6">
        <v>0.0417</v>
      </c>
      <c r="G194" s="6">
        <v>0.2101</v>
      </c>
      <c r="H194" s="6">
        <v>9.3E-4</v>
      </c>
      <c r="I194" s="6">
        <v>0.00734</v>
      </c>
      <c r="J194" s="6">
        <v>-0.01982</v>
      </c>
      <c r="K194" s="5" t="s">
        <v>146</v>
      </c>
      <c r="L194" s="6">
        <v>1.35</v>
      </c>
    </row>
    <row r="195" ht="13.5" customHeight="1">
      <c r="A195" s="5" t="s">
        <v>145</v>
      </c>
      <c r="B195" s="6">
        <v>2.7</v>
      </c>
      <c r="C195" s="5" t="s">
        <v>18</v>
      </c>
      <c r="D195" s="5" t="s">
        <v>19</v>
      </c>
      <c r="E195" s="6">
        <v>-17.2784</v>
      </c>
      <c r="F195" s="6">
        <v>0.0417</v>
      </c>
      <c r="G195" s="6">
        <v>0.2101</v>
      </c>
      <c r="H195" s="6">
        <v>9.3E-4</v>
      </c>
      <c r="I195" s="6">
        <v>-0.27636</v>
      </c>
      <c r="J195" s="6">
        <v>-0.07615</v>
      </c>
      <c r="K195" s="5" t="s">
        <v>146</v>
      </c>
      <c r="L195" s="6">
        <v>2.7</v>
      </c>
    </row>
    <row r="196" ht="13.5" customHeight="1">
      <c r="A196" s="5" t="s">
        <v>147</v>
      </c>
      <c r="B196" s="6">
        <v>0.0</v>
      </c>
      <c r="C196" s="5" t="s">
        <v>18</v>
      </c>
      <c r="D196" s="5" t="s">
        <v>19</v>
      </c>
      <c r="E196" s="6">
        <v>-11.9753</v>
      </c>
      <c r="F196" s="6">
        <v>0.0534</v>
      </c>
      <c r="G196" s="6">
        <v>-0.024</v>
      </c>
      <c r="H196" s="6">
        <v>-6.9E-4</v>
      </c>
      <c r="I196" s="6">
        <v>-0.04277</v>
      </c>
      <c r="J196" s="6">
        <v>0.0939</v>
      </c>
      <c r="K196" s="5" t="s">
        <v>148</v>
      </c>
      <c r="L196" s="6">
        <v>0.0</v>
      </c>
    </row>
    <row r="197" ht="13.5" customHeight="1">
      <c r="A197" s="5" t="s">
        <v>147</v>
      </c>
      <c r="B197" s="6">
        <v>1.8</v>
      </c>
      <c r="C197" s="5" t="s">
        <v>18</v>
      </c>
      <c r="D197" s="5" t="s">
        <v>19</v>
      </c>
      <c r="E197" s="6">
        <v>-11.7773</v>
      </c>
      <c r="F197" s="6">
        <v>0.0534</v>
      </c>
      <c r="G197" s="6">
        <v>-0.024</v>
      </c>
      <c r="H197" s="6">
        <v>-6.9E-4</v>
      </c>
      <c r="I197" s="6">
        <v>5.0E-4</v>
      </c>
      <c r="J197" s="6">
        <v>-0.00219</v>
      </c>
      <c r="K197" s="5" t="s">
        <v>148</v>
      </c>
      <c r="L197" s="6">
        <v>1.8</v>
      </c>
    </row>
    <row r="198" ht="13.5" customHeight="1">
      <c r="A198" s="5" t="s">
        <v>147</v>
      </c>
      <c r="B198" s="6">
        <v>3.6</v>
      </c>
      <c r="C198" s="5" t="s">
        <v>18</v>
      </c>
      <c r="D198" s="5" t="s">
        <v>19</v>
      </c>
      <c r="E198" s="6">
        <v>-11.5793</v>
      </c>
      <c r="F198" s="6">
        <v>0.0534</v>
      </c>
      <c r="G198" s="6">
        <v>-0.024</v>
      </c>
      <c r="H198" s="6">
        <v>-6.9E-4</v>
      </c>
      <c r="I198" s="6">
        <v>0.04377</v>
      </c>
      <c r="J198" s="6">
        <v>-0.09828</v>
      </c>
      <c r="K198" s="5" t="s">
        <v>148</v>
      </c>
      <c r="L198" s="6">
        <v>3.6</v>
      </c>
    </row>
    <row r="199" ht="13.5" customHeight="1">
      <c r="A199" s="5" t="s">
        <v>149</v>
      </c>
      <c r="B199" s="6">
        <v>0.0</v>
      </c>
      <c r="C199" s="5" t="s">
        <v>18</v>
      </c>
      <c r="D199" s="5" t="s">
        <v>19</v>
      </c>
      <c r="E199" s="6">
        <v>-6.4629</v>
      </c>
      <c r="F199" s="6">
        <v>0.0365</v>
      </c>
      <c r="G199" s="6">
        <v>0.0556</v>
      </c>
      <c r="H199" s="6">
        <v>-0.00646</v>
      </c>
      <c r="I199" s="6">
        <v>0.0556</v>
      </c>
      <c r="J199" s="6">
        <v>0.05593</v>
      </c>
      <c r="K199" s="5" t="s">
        <v>150</v>
      </c>
      <c r="L199" s="6">
        <v>0.0</v>
      </c>
    </row>
    <row r="200" ht="13.5" customHeight="1">
      <c r="A200" s="5" t="s">
        <v>149</v>
      </c>
      <c r="B200" s="6">
        <v>1.8</v>
      </c>
      <c r="C200" s="5" t="s">
        <v>18</v>
      </c>
      <c r="D200" s="5" t="s">
        <v>19</v>
      </c>
      <c r="E200" s="6">
        <v>-6.2649</v>
      </c>
      <c r="F200" s="6">
        <v>0.0365</v>
      </c>
      <c r="G200" s="6">
        <v>0.0556</v>
      </c>
      <c r="H200" s="6">
        <v>-0.00646</v>
      </c>
      <c r="I200" s="6">
        <v>-0.04454</v>
      </c>
      <c r="J200" s="6">
        <v>-0.00983</v>
      </c>
      <c r="K200" s="5" t="s">
        <v>150</v>
      </c>
      <c r="L200" s="6">
        <v>1.8</v>
      </c>
    </row>
    <row r="201" ht="13.5" customHeight="1">
      <c r="A201" s="5" t="s">
        <v>149</v>
      </c>
      <c r="B201" s="6">
        <v>3.6</v>
      </c>
      <c r="C201" s="5" t="s">
        <v>18</v>
      </c>
      <c r="D201" s="5" t="s">
        <v>19</v>
      </c>
      <c r="E201" s="6">
        <v>-6.0669</v>
      </c>
      <c r="F201" s="6">
        <v>0.0365</v>
      </c>
      <c r="G201" s="6">
        <v>0.0556</v>
      </c>
      <c r="H201" s="6">
        <v>-0.00646</v>
      </c>
      <c r="I201" s="6">
        <v>-0.14468</v>
      </c>
      <c r="J201" s="6">
        <v>-0.07559</v>
      </c>
      <c r="K201" s="5" t="s">
        <v>150</v>
      </c>
      <c r="L201" s="6">
        <v>3.6</v>
      </c>
    </row>
    <row r="202" ht="13.5" customHeight="1">
      <c r="A202" s="5" t="s">
        <v>151</v>
      </c>
      <c r="B202" s="6">
        <v>0.0</v>
      </c>
      <c r="C202" s="5" t="s">
        <v>18</v>
      </c>
      <c r="D202" s="5" t="s">
        <v>19</v>
      </c>
      <c r="E202" s="6">
        <v>-13.7317</v>
      </c>
      <c r="F202" s="6">
        <v>-0.0245</v>
      </c>
      <c r="G202" s="6">
        <v>0.2167</v>
      </c>
      <c r="H202" s="6">
        <v>2.0E-4</v>
      </c>
      <c r="I202" s="6">
        <v>0.29919</v>
      </c>
      <c r="J202" s="6">
        <v>-0.02259</v>
      </c>
      <c r="K202" s="5" t="s">
        <v>152</v>
      </c>
      <c r="L202" s="6">
        <v>0.0</v>
      </c>
    </row>
    <row r="203" ht="13.5" customHeight="1">
      <c r="A203" s="5" t="s">
        <v>151</v>
      </c>
      <c r="B203" s="6">
        <v>1.35</v>
      </c>
      <c r="C203" s="5" t="s">
        <v>18</v>
      </c>
      <c r="D203" s="5" t="s">
        <v>19</v>
      </c>
      <c r="E203" s="6">
        <v>-13.5832</v>
      </c>
      <c r="F203" s="6">
        <v>-0.0245</v>
      </c>
      <c r="G203" s="6">
        <v>0.2167</v>
      </c>
      <c r="H203" s="6">
        <v>2.0E-4</v>
      </c>
      <c r="I203" s="6">
        <v>0.00658</v>
      </c>
      <c r="J203" s="6">
        <v>0.01055</v>
      </c>
      <c r="K203" s="5" t="s">
        <v>152</v>
      </c>
      <c r="L203" s="6">
        <v>1.35</v>
      </c>
    </row>
    <row r="204" ht="13.5" customHeight="1">
      <c r="A204" s="5" t="s">
        <v>151</v>
      </c>
      <c r="B204" s="6">
        <v>2.7</v>
      </c>
      <c r="C204" s="5" t="s">
        <v>18</v>
      </c>
      <c r="D204" s="5" t="s">
        <v>19</v>
      </c>
      <c r="E204" s="6">
        <v>-13.4347</v>
      </c>
      <c r="F204" s="6">
        <v>-0.0245</v>
      </c>
      <c r="G204" s="6">
        <v>0.2167</v>
      </c>
      <c r="H204" s="6">
        <v>2.0E-4</v>
      </c>
      <c r="I204" s="6">
        <v>-0.28602</v>
      </c>
      <c r="J204" s="6">
        <v>0.04369</v>
      </c>
      <c r="K204" s="5" t="s">
        <v>152</v>
      </c>
      <c r="L204" s="6">
        <v>2.7</v>
      </c>
    </row>
    <row r="205" ht="13.5" customHeight="1">
      <c r="A205" s="5" t="s">
        <v>153</v>
      </c>
      <c r="B205" s="6">
        <v>0.0</v>
      </c>
      <c r="C205" s="5" t="s">
        <v>18</v>
      </c>
      <c r="D205" s="5" t="s">
        <v>19</v>
      </c>
      <c r="E205" s="6">
        <v>-8.3813</v>
      </c>
      <c r="F205" s="6">
        <v>-0.0193</v>
      </c>
      <c r="G205" s="6">
        <v>-0.0218</v>
      </c>
      <c r="H205" s="6">
        <v>-1.6E-4</v>
      </c>
      <c r="I205" s="6">
        <v>-0.04024</v>
      </c>
      <c r="J205" s="6">
        <v>-0.0385</v>
      </c>
      <c r="K205" s="5" t="s">
        <v>154</v>
      </c>
      <c r="L205" s="6">
        <v>0.0</v>
      </c>
    </row>
    <row r="206" ht="13.5" customHeight="1">
      <c r="A206" s="5" t="s">
        <v>153</v>
      </c>
      <c r="B206" s="6">
        <v>1.8</v>
      </c>
      <c r="C206" s="5" t="s">
        <v>18</v>
      </c>
      <c r="D206" s="5" t="s">
        <v>19</v>
      </c>
      <c r="E206" s="6">
        <v>-8.1833</v>
      </c>
      <c r="F206" s="6">
        <v>-0.0193</v>
      </c>
      <c r="G206" s="6">
        <v>-0.0218</v>
      </c>
      <c r="H206" s="6">
        <v>-1.6E-4</v>
      </c>
      <c r="I206" s="6">
        <v>-0.00101</v>
      </c>
      <c r="J206" s="6">
        <v>-0.00382</v>
      </c>
      <c r="K206" s="5" t="s">
        <v>154</v>
      </c>
      <c r="L206" s="6">
        <v>1.8</v>
      </c>
    </row>
    <row r="207" ht="13.5" customHeight="1">
      <c r="A207" s="5" t="s">
        <v>153</v>
      </c>
      <c r="B207" s="6">
        <v>3.6</v>
      </c>
      <c r="C207" s="5" t="s">
        <v>18</v>
      </c>
      <c r="D207" s="5" t="s">
        <v>19</v>
      </c>
      <c r="E207" s="6">
        <v>-7.9853</v>
      </c>
      <c r="F207" s="6">
        <v>-0.0193</v>
      </c>
      <c r="G207" s="6">
        <v>-0.0218</v>
      </c>
      <c r="H207" s="6">
        <v>-1.6E-4</v>
      </c>
      <c r="I207" s="6">
        <v>0.03822</v>
      </c>
      <c r="J207" s="6">
        <v>0.03086</v>
      </c>
      <c r="K207" s="5" t="s">
        <v>154</v>
      </c>
      <c r="L207" s="6">
        <v>3.6</v>
      </c>
    </row>
    <row r="208" ht="13.5" customHeight="1">
      <c r="A208" s="5" t="s">
        <v>155</v>
      </c>
      <c r="B208" s="6">
        <v>0.0</v>
      </c>
      <c r="C208" s="5" t="s">
        <v>18</v>
      </c>
      <c r="D208" s="5" t="s">
        <v>19</v>
      </c>
      <c r="E208" s="6">
        <v>-3.0368</v>
      </c>
      <c r="F208" s="6">
        <v>-0.0461</v>
      </c>
      <c r="G208" s="6">
        <v>-0.0096</v>
      </c>
      <c r="H208" s="6">
        <v>-0.00542</v>
      </c>
      <c r="I208" s="6">
        <v>-0.02962</v>
      </c>
      <c r="J208" s="6">
        <v>-0.07991</v>
      </c>
      <c r="K208" s="5" t="s">
        <v>156</v>
      </c>
      <c r="L208" s="6">
        <v>0.0</v>
      </c>
    </row>
    <row r="209" ht="13.5" customHeight="1">
      <c r="A209" s="5" t="s">
        <v>155</v>
      </c>
      <c r="B209" s="6">
        <v>1.8</v>
      </c>
      <c r="C209" s="5" t="s">
        <v>18</v>
      </c>
      <c r="D209" s="5" t="s">
        <v>19</v>
      </c>
      <c r="E209" s="6">
        <v>-2.8388</v>
      </c>
      <c r="F209" s="6">
        <v>-0.0461</v>
      </c>
      <c r="G209" s="6">
        <v>-0.0096</v>
      </c>
      <c r="H209" s="6">
        <v>-0.00542</v>
      </c>
      <c r="I209" s="6">
        <v>-0.01229</v>
      </c>
      <c r="J209" s="6">
        <v>0.00315</v>
      </c>
      <c r="K209" s="5" t="s">
        <v>156</v>
      </c>
      <c r="L209" s="6">
        <v>1.8</v>
      </c>
    </row>
    <row r="210" ht="13.5" customHeight="1">
      <c r="A210" s="5" t="s">
        <v>155</v>
      </c>
      <c r="B210" s="6">
        <v>3.6</v>
      </c>
      <c r="C210" s="5" t="s">
        <v>18</v>
      </c>
      <c r="D210" s="5" t="s">
        <v>19</v>
      </c>
      <c r="E210" s="6">
        <v>-2.6408</v>
      </c>
      <c r="F210" s="6">
        <v>-0.0461</v>
      </c>
      <c r="G210" s="6">
        <v>-0.0096</v>
      </c>
      <c r="H210" s="6">
        <v>-0.00542</v>
      </c>
      <c r="I210" s="6">
        <v>0.00503</v>
      </c>
      <c r="J210" s="6">
        <v>0.08622</v>
      </c>
      <c r="K210" s="5" t="s">
        <v>156</v>
      </c>
      <c r="L210" s="6">
        <v>3.6</v>
      </c>
    </row>
    <row r="211" ht="13.5" customHeight="1">
      <c r="A211" s="5" t="s">
        <v>157</v>
      </c>
      <c r="B211" s="6">
        <v>0.0</v>
      </c>
      <c r="C211" s="5" t="s">
        <v>18</v>
      </c>
      <c r="D211" s="5" t="s">
        <v>19</v>
      </c>
      <c r="E211" s="6">
        <v>-15.3661</v>
      </c>
      <c r="F211" s="6">
        <v>0.0188</v>
      </c>
      <c r="G211" s="6">
        <v>0.2369</v>
      </c>
      <c r="H211" s="6">
        <v>6.0E-4</v>
      </c>
      <c r="I211" s="6">
        <v>0.32018</v>
      </c>
      <c r="J211" s="6">
        <v>0.01655</v>
      </c>
      <c r="K211" s="5" t="s">
        <v>158</v>
      </c>
      <c r="L211" s="6">
        <v>0.0</v>
      </c>
    </row>
    <row r="212" ht="13.5" customHeight="1">
      <c r="A212" s="5" t="s">
        <v>157</v>
      </c>
      <c r="B212" s="6">
        <v>1.35</v>
      </c>
      <c r="C212" s="5" t="s">
        <v>18</v>
      </c>
      <c r="D212" s="5" t="s">
        <v>19</v>
      </c>
      <c r="E212" s="6">
        <v>-15.2176</v>
      </c>
      <c r="F212" s="6">
        <v>0.0188</v>
      </c>
      <c r="G212" s="6">
        <v>0.2369</v>
      </c>
      <c r="H212" s="6">
        <v>6.0E-4</v>
      </c>
      <c r="I212" s="6">
        <v>4.2E-4</v>
      </c>
      <c r="J212" s="6">
        <v>-0.00883</v>
      </c>
      <c r="K212" s="5" t="s">
        <v>158</v>
      </c>
      <c r="L212" s="6">
        <v>1.35</v>
      </c>
    </row>
    <row r="213" ht="13.5" customHeight="1">
      <c r="A213" s="5" t="s">
        <v>157</v>
      </c>
      <c r="B213" s="6">
        <v>2.7</v>
      </c>
      <c r="C213" s="5" t="s">
        <v>18</v>
      </c>
      <c r="D213" s="5" t="s">
        <v>19</v>
      </c>
      <c r="E213" s="6">
        <v>-15.0691</v>
      </c>
      <c r="F213" s="6">
        <v>0.0188</v>
      </c>
      <c r="G213" s="6">
        <v>0.2369</v>
      </c>
      <c r="H213" s="6">
        <v>6.0E-4</v>
      </c>
      <c r="I213" s="6">
        <v>-0.31933</v>
      </c>
      <c r="J213" s="6">
        <v>-0.03421</v>
      </c>
      <c r="K213" s="5" t="s">
        <v>158</v>
      </c>
      <c r="L213" s="6">
        <v>2.7</v>
      </c>
    </row>
    <row r="214" ht="13.5" customHeight="1">
      <c r="A214" s="5" t="s">
        <v>159</v>
      </c>
      <c r="B214" s="6">
        <v>0.0</v>
      </c>
      <c r="C214" s="5" t="s">
        <v>18</v>
      </c>
      <c r="D214" s="5" t="s">
        <v>19</v>
      </c>
      <c r="E214" s="6">
        <v>-8.9845</v>
      </c>
      <c r="F214" s="6">
        <v>0.0205</v>
      </c>
      <c r="G214" s="6">
        <v>-0.0164</v>
      </c>
      <c r="H214" s="6">
        <v>-4.0E-4</v>
      </c>
      <c r="I214" s="6">
        <v>-0.02615</v>
      </c>
      <c r="J214" s="6">
        <v>0.03779</v>
      </c>
      <c r="K214" s="5" t="s">
        <v>160</v>
      </c>
      <c r="L214" s="6">
        <v>0.0</v>
      </c>
    </row>
    <row r="215" ht="13.5" customHeight="1">
      <c r="A215" s="5" t="s">
        <v>159</v>
      </c>
      <c r="B215" s="6">
        <v>1.8</v>
      </c>
      <c r="C215" s="5" t="s">
        <v>18</v>
      </c>
      <c r="D215" s="5" t="s">
        <v>19</v>
      </c>
      <c r="E215" s="6">
        <v>-8.7865</v>
      </c>
      <c r="F215" s="6">
        <v>0.0205</v>
      </c>
      <c r="G215" s="6">
        <v>-0.0164</v>
      </c>
      <c r="H215" s="6">
        <v>-4.0E-4</v>
      </c>
      <c r="I215" s="6">
        <v>0.00333</v>
      </c>
      <c r="J215" s="6">
        <v>9.5E-4</v>
      </c>
      <c r="K215" s="5" t="s">
        <v>160</v>
      </c>
      <c r="L215" s="6">
        <v>1.8</v>
      </c>
    </row>
    <row r="216" ht="13.5" customHeight="1">
      <c r="A216" s="5" t="s">
        <v>159</v>
      </c>
      <c r="B216" s="6">
        <v>3.6</v>
      </c>
      <c r="C216" s="5" t="s">
        <v>18</v>
      </c>
      <c r="D216" s="5" t="s">
        <v>19</v>
      </c>
      <c r="E216" s="6">
        <v>-8.5885</v>
      </c>
      <c r="F216" s="6">
        <v>0.0205</v>
      </c>
      <c r="G216" s="6">
        <v>-0.0164</v>
      </c>
      <c r="H216" s="6">
        <v>-4.0E-4</v>
      </c>
      <c r="I216" s="6">
        <v>0.0328</v>
      </c>
      <c r="J216" s="6">
        <v>-0.03589</v>
      </c>
      <c r="K216" s="5" t="s">
        <v>160</v>
      </c>
      <c r="L216" s="6">
        <v>3.6</v>
      </c>
    </row>
    <row r="217" ht="13.5" customHeight="1">
      <c r="A217" s="5" t="s">
        <v>161</v>
      </c>
      <c r="B217" s="6">
        <v>0.0</v>
      </c>
      <c r="C217" s="5" t="s">
        <v>18</v>
      </c>
      <c r="D217" s="5" t="s">
        <v>19</v>
      </c>
      <c r="E217" s="6">
        <v>-3.1205</v>
      </c>
      <c r="F217" s="6">
        <v>0.0107</v>
      </c>
      <c r="G217" s="6">
        <v>-0.0201</v>
      </c>
      <c r="H217" s="6">
        <v>-0.00259</v>
      </c>
      <c r="I217" s="6">
        <v>-0.04664</v>
      </c>
      <c r="J217" s="6">
        <v>0.01706</v>
      </c>
      <c r="K217" s="5" t="s">
        <v>162</v>
      </c>
      <c r="L217" s="6">
        <v>0.0</v>
      </c>
    </row>
    <row r="218" ht="13.5" customHeight="1">
      <c r="A218" s="5" t="s">
        <v>161</v>
      </c>
      <c r="B218" s="6">
        <v>1.8</v>
      </c>
      <c r="C218" s="5" t="s">
        <v>18</v>
      </c>
      <c r="D218" s="5" t="s">
        <v>19</v>
      </c>
      <c r="E218" s="6">
        <v>-2.9225</v>
      </c>
      <c r="F218" s="6">
        <v>0.0107</v>
      </c>
      <c r="G218" s="6">
        <v>-0.0201</v>
      </c>
      <c r="H218" s="6">
        <v>-0.00259</v>
      </c>
      <c r="I218" s="6">
        <v>-0.01051</v>
      </c>
      <c r="J218" s="6">
        <v>-0.00224</v>
      </c>
      <c r="K218" s="5" t="s">
        <v>162</v>
      </c>
      <c r="L218" s="6">
        <v>1.8</v>
      </c>
    </row>
    <row r="219" ht="13.5" customHeight="1">
      <c r="A219" s="5" t="s">
        <v>161</v>
      </c>
      <c r="B219" s="6">
        <v>3.6</v>
      </c>
      <c r="C219" s="5" t="s">
        <v>18</v>
      </c>
      <c r="D219" s="5" t="s">
        <v>19</v>
      </c>
      <c r="E219" s="6">
        <v>-2.7245</v>
      </c>
      <c r="F219" s="6">
        <v>0.0107</v>
      </c>
      <c r="G219" s="6">
        <v>-0.0201</v>
      </c>
      <c r="H219" s="6">
        <v>-0.00259</v>
      </c>
      <c r="I219" s="6">
        <v>0.02562</v>
      </c>
      <c r="J219" s="6">
        <v>-0.02153</v>
      </c>
      <c r="K219" s="5" t="s">
        <v>162</v>
      </c>
      <c r="L219" s="6">
        <v>3.6</v>
      </c>
    </row>
    <row r="220" ht="13.5" customHeight="1">
      <c r="A220" s="5" t="s">
        <v>163</v>
      </c>
      <c r="B220" s="6">
        <v>0.0</v>
      </c>
      <c r="C220" s="5" t="s">
        <v>18</v>
      </c>
      <c r="D220" s="5" t="s">
        <v>19</v>
      </c>
      <c r="E220" s="6">
        <v>-15.3725</v>
      </c>
      <c r="F220" s="6">
        <v>-0.019</v>
      </c>
      <c r="G220" s="6">
        <v>0.2369</v>
      </c>
      <c r="H220" s="6">
        <v>-5.8E-4</v>
      </c>
      <c r="I220" s="6">
        <v>0.32027</v>
      </c>
      <c r="J220" s="6">
        <v>-0.0168</v>
      </c>
      <c r="K220" s="5" t="s">
        <v>164</v>
      </c>
      <c r="L220" s="6">
        <v>0.0</v>
      </c>
    </row>
    <row r="221" ht="13.5" customHeight="1">
      <c r="A221" s="5" t="s">
        <v>163</v>
      </c>
      <c r="B221" s="6">
        <v>1.35</v>
      </c>
      <c r="C221" s="5" t="s">
        <v>18</v>
      </c>
      <c r="D221" s="5" t="s">
        <v>19</v>
      </c>
      <c r="E221" s="6">
        <v>-15.224</v>
      </c>
      <c r="F221" s="6">
        <v>-0.019</v>
      </c>
      <c r="G221" s="6">
        <v>0.2369</v>
      </c>
      <c r="H221" s="6">
        <v>-5.8E-4</v>
      </c>
      <c r="I221" s="6">
        <v>4.4E-4</v>
      </c>
      <c r="J221" s="6">
        <v>0.00886</v>
      </c>
      <c r="K221" s="5" t="s">
        <v>164</v>
      </c>
      <c r="L221" s="6">
        <v>1.35</v>
      </c>
    </row>
    <row r="222" ht="13.5" customHeight="1">
      <c r="A222" s="5" t="s">
        <v>163</v>
      </c>
      <c r="B222" s="6">
        <v>2.7</v>
      </c>
      <c r="C222" s="5" t="s">
        <v>18</v>
      </c>
      <c r="D222" s="5" t="s">
        <v>19</v>
      </c>
      <c r="E222" s="6">
        <v>-15.0755</v>
      </c>
      <c r="F222" s="6">
        <v>-0.019</v>
      </c>
      <c r="G222" s="6">
        <v>0.2369</v>
      </c>
      <c r="H222" s="6">
        <v>-5.8E-4</v>
      </c>
      <c r="I222" s="6">
        <v>-0.31939</v>
      </c>
      <c r="J222" s="6">
        <v>0.03451</v>
      </c>
      <c r="K222" s="5" t="s">
        <v>164</v>
      </c>
      <c r="L222" s="6">
        <v>2.7</v>
      </c>
    </row>
    <row r="223" ht="13.5" customHeight="1">
      <c r="A223" s="5" t="s">
        <v>165</v>
      </c>
      <c r="B223" s="6">
        <v>0.0</v>
      </c>
      <c r="C223" s="5" t="s">
        <v>18</v>
      </c>
      <c r="D223" s="5" t="s">
        <v>19</v>
      </c>
      <c r="E223" s="6">
        <v>-8.9903</v>
      </c>
      <c r="F223" s="6">
        <v>-0.0201</v>
      </c>
      <c r="G223" s="6">
        <v>-0.0162</v>
      </c>
      <c r="H223" s="6">
        <v>4.9E-4</v>
      </c>
      <c r="I223" s="6">
        <v>-0.02579</v>
      </c>
      <c r="J223" s="6">
        <v>-0.03743</v>
      </c>
      <c r="K223" s="5" t="s">
        <v>166</v>
      </c>
      <c r="L223" s="6">
        <v>0.0</v>
      </c>
    </row>
    <row r="224" ht="13.5" customHeight="1">
      <c r="A224" s="5" t="s">
        <v>165</v>
      </c>
      <c r="B224" s="6">
        <v>1.8</v>
      </c>
      <c r="C224" s="5" t="s">
        <v>18</v>
      </c>
      <c r="D224" s="5" t="s">
        <v>19</v>
      </c>
      <c r="E224" s="6">
        <v>-8.7923</v>
      </c>
      <c r="F224" s="6">
        <v>-0.0201</v>
      </c>
      <c r="G224" s="6">
        <v>-0.0162</v>
      </c>
      <c r="H224" s="6">
        <v>4.9E-4</v>
      </c>
      <c r="I224" s="6">
        <v>0.00334</v>
      </c>
      <c r="J224" s="6">
        <v>-0.00126</v>
      </c>
      <c r="K224" s="5" t="s">
        <v>166</v>
      </c>
      <c r="L224" s="6">
        <v>1.8</v>
      </c>
    </row>
    <row r="225" ht="13.5" customHeight="1">
      <c r="A225" s="5" t="s">
        <v>165</v>
      </c>
      <c r="B225" s="6">
        <v>3.6</v>
      </c>
      <c r="C225" s="5" t="s">
        <v>18</v>
      </c>
      <c r="D225" s="5" t="s">
        <v>19</v>
      </c>
      <c r="E225" s="6">
        <v>-8.5943</v>
      </c>
      <c r="F225" s="6">
        <v>-0.0201</v>
      </c>
      <c r="G225" s="6">
        <v>-0.0162</v>
      </c>
      <c r="H225" s="6">
        <v>4.9E-4</v>
      </c>
      <c r="I225" s="6">
        <v>0.03248</v>
      </c>
      <c r="J225" s="6">
        <v>0.03492</v>
      </c>
      <c r="K225" s="5" t="s">
        <v>166</v>
      </c>
      <c r="L225" s="6">
        <v>3.6</v>
      </c>
    </row>
    <row r="226" ht="13.5" customHeight="1">
      <c r="A226" s="5" t="s">
        <v>167</v>
      </c>
      <c r="B226" s="6">
        <v>0.0</v>
      </c>
      <c r="C226" s="5" t="s">
        <v>18</v>
      </c>
      <c r="D226" s="5" t="s">
        <v>19</v>
      </c>
      <c r="E226" s="6">
        <v>-3.1275</v>
      </c>
      <c r="F226" s="6">
        <v>-0.0229</v>
      </c>
      <c r="G226" s="6">
        <v>-0.0188</v>
      </c>
      <c r="H226" s="6">
        <v>-9.8E-4</v>
      </c>
      <c r="I226" s="6">
        <v>-0.04438</v>
      </c>
      <c r="J226" s="6">
        <v>-0.03826</v>
      </c>
      <c r="K226" s="5" t="s">
        <v>168</v>
      </c>
      <c r="L226" s="6">
        <v>0.0</v>
      </c>
    </row>
    <row r="227" ht="13.5" customHeight="1">
      <c r="A227" s="5" t="s">
        <v>167</v>
      </c>
      <c r="B227" s="6">
        <v>1.8</v>
      </c>
      <c r="C227" s="5" t="s">
        <v>18</v>
      </c>
      <c r="D227" s="5" t="s">
        <v>19</v>
      </c>
      <c r="E227" s="6">
        <v>-2.9295</v>
      </c>
      <c r="F227" s="6">
        <v>-0.0229</v>
      </c>
      <c r="G227" s="6">
        <v>-0.0188</v>
      </c>
      <c r="H227" s="6">
        <v>-9.8E-4</v>
      </c>
      <c r="I227" s="6">
        <v>-0.01053</v>
      </c>
      <c r="J227" s="6">
        <v>0.00291</v>
      </c>
      <c r="K227" s="5" t="s">
        <v>168</v>
      </c>
      <c r="L227" s="6">
        <v>1.8</v>
      </c>
    </row>
    <row r="228" ht="13.5" customHeight="1">
      <c r="A228" s="5" t="s">
        <v>167</v>
      </c>
      <c r="B228" s="6">
        <v>3.6</v>
      </c>
      <c r="C228" s="5" t="s">
        <v>18</v>
      </c>
      <c r="D228" s="5" t="s">
        <v>19</v>
      </c>
      <c r="E228" s="6">
        <v>-2.7315</v>
      </c>
      <c r="F228" s="6">
        <v>-0.0229</v>
      </c>
      <c r="G228" s="6">
        <v>-0.0188</v>
      </c>
      <c r="H228" s="6">
        <v>-9.8E-4</v>
      </c>
      <c r="I228" s="6">
        <v>0.02332</v>
      </c>
      <c r="J228" s="6">
        <v>0.04407</v>
      </c>
      <c r="K228" s="5" t="s">
        <v>168</v>
      </c>
      <c r="L228" s="6">
        <v>3.6</v>
      </c>
    </row>
    <row r="229" ht="13.5" customHeight="1">
      <c r="A229" s="5" t="s">
        <v>169</v>
      </c>
      <c r="B229" s="6">
        <v>0.0</v>
      </c>
      <c r="C229" s="5" t="s">
        <v>18</v>
      </c>
      <c r="D229" s="5" t="s">
        <v>19</v>
      </c>
      <c r="E229" s="6">
        <v>-13.7305</v>
      </c>
      <c r="F229" s="6">
        <v>0.0246</v>
      </c>
      <c r="G229" s="6">
        <v>0.2171</v>
      </c>
      <c r="H229" s="6">
        <v>-1.8E-4</v>
      </c>
      <c r="I229" s="6">
        <v>0.29963</v>
      </c>
      <c r="J229" s="6">
        <v>0.02259</v>
      </c>
      <c r="K229" s="5" t="s">
        <v>170</v>
      </c>
      <c r="L229" s="6">
        <v>0.0</v>
      </c>
    </row>
    <row r="230" ht="13.5" customHeight="1">
      <c r="A230" s="5" t="s">
        <v>169</v>
      </c>
      <c r="B230" s="6">
        <v>1.35</v>
      </c>
      <c r="C230" s="5" t="s">
        <v>18</v>
      </c>
      <c r="D230" s="5" t="s">
        <v>19</v>
      </c>
      <c r="E230" s="6">
        <v>-13.582</v>
      </c>
      <c r="F230" s="6">
        <v>0.0246</v>
      </c>
      <c r="G230" s="6">
        <v>0.2171</v>
      </c>
      <c r="H230" s="6">
        <v>-1.8E-4</v>
      </c>
      <c r="I230" s="6">
        <v>0.00659</v>
      </c>
      <c r="J230" s="6">
        <v>-0.01066</v>
      </c>
      <c r="K230" s="5" t="s">
        <v>170</v>
      </c>
      <c r="L230" s="6">
        <v>1.35</v>
      </c>
    </row>
    <row r="231" ht="13.5" customHeight="1">
      <c r="A231" s="5" t="s">
        <v>169</v>
      </c>
      <c r="B231" s="6">
        <v>2.7</v>
      </c>
      <c r="C231" s="5" t="s">
        <v>18</v>
      </c>
      <c r="D231" s="5" t="s">
        <v>19</v>
      </c>
      <c r="E231" s="6">
        <v>-13.4335</v>
      </c>
      <c r="F231" s="6">
        <v>0.0246</v>
      </c>
      <c r="G231" s="6">
        <v>0.2171</v>
      </c>
      <c r="H231" s="6">
        <v>-1.8E-4</v>
      </c>
      <c r="I231" s="6">
        <v>-0.28644</v>
      </c>
      <c r="J231" s="6">
        <v>-0.04391</v>
      </c>
      <c r="K231" s="5" t="s">
        <v>170</v>
      </c>
      <c r="L231" s="6">
        <v>2.7</v>
      </c>
    </row>
    <row r="232" ht="13.5" customHeight="1">
      <c r="A232" s="5" t="s">
        <v>171</v>
      </c>
      <c r="B232" s="6">
        <v>0.0</v>
      </c>
      <c r="C232" s="5" t="s">
        <v>18</v>
      </c>
      <c r="D232" s="5" t="s">
        <v>19</v>
      </c>
      <c r="E232" s="6">
        <v>-8.382</v>
      </c>
      <c r="F232" s="6">
        <v>0.0203</v>
      </c>
      <c r="G232" s="6">
        <v>-0.021</v>
      </c>
      <c r="H232" s="6">
        <v>2.5E-4</v>
      </c>
      <c r="I232" s="6">
        <v>-0.03875</v>
      </c>
      <c r="J232" s="6">
        <v>0.03983</v>
      </c>
      <c r="K232" s="5" t="s">
        <v>172</v>
      </c>
      <c r="L232" s="6">
        <v>0.0</v>
      </c>
    </row>
    <row r="233" ht="13.5" customHeight="1">
      <c r="A233" s="5" t="s">
        <v>171</v>
      </c>
      <c r="B233" s="6">
        <v>1.8</v>
      </c>
      <c r="C233" s="5" t="s">
        <v>18</v>
      </c>
      <c r="D233" s="5" t="s">
        <v>19</v>
      </c>
      <c r="E233" s="6">
        <v>-8.184</v>
      </c>
      <c r="F233" s="6">
        <v>0.0203</v>
      </c>
      <c r="G233" s="6">
        <v>-0.021</v>
      </c>
      <c r="H233" s="6">
        <v>2.5E-4</v>
      </c>
      <c r="I233" s="6">
        <v>-9.3E-4</v>
      </c>
      <c r="J233" s="6">
        <v>0.00333</v>
      </c>
      <c r="K233" s="5" t="s">
        <v>172</v>
      </c>
      <c r="L233" s="6">
        <v>1.8</v>
      </c>
    </row>
    <row r="234" ht="13.5" customHeight="1">
      <c r="A234" s="5" t="s">
        <v>171</v>
      </c>
      <c r="B234" s="6">
        <v>3.6</v>
      </c>
      <c r="C234" s="5" t="s">
        <v>18</v>
      </c>
      <c r="D234" s="5" t="s">
        <v>19</v>
      </c>
      <c r="E234" s="6">
        <v>-7.986</v>
      </c>
      <c r="F234" s="6">
        <v>0.0203</v>
      </c>
      <c r="G234" s="6">
        <v>-0.021</v>
      </c>
      <c r="H234" s="6">
        <v>2.5E-4</v>
      </c>
      <c r="I234" s="6">
        <v>0.03688</v>
      </c>
      <c r="J234" s="6">
        <v>-0.03317</v>
      </c>
      <c r="K234" s="5" t="s">
        <v>172</v>
      </c>
      <c r="L234" s="6">
        <v>3.6</v>
      </c>
    </row>
    <row r="235" ht="13.5" customHeight="1">
      <c r="A235" s="5" t="s">
        <v>173</v>
      </c>
      <c r="B235" s="6">
        <v>0.0</v>
      </c>
      <c r="C235" s="5" t="s">
        <v>18</v>
      </c>
      <c r="D235" s="5" t="s">
        <v>19</v>
      </c>
      <c r="E235" s="6">
        <v>-3.039</v>
      </c>
      <c r="F235" s="6">
        <v>0.0346</v>
      </c>
      <c r="G235" s="6">
        <v>-8.736E-4</v>
      </c>
      <c r="H235" s="6">
        <v>0.00228</v>
      </c>
      <c r="I235" s="6">
        <v>-0.01366</v>
      </c>
      <c r="J235" s="6">
        <v>0.06005</v>
      </c>
      <c r="K235" s="5" t="s">
        <v>174</v>
      </c>
      <c r="L235" s="6">
        <v>0.0</v>
      </c>
    </row>
    <row r="236" ht="13.5" customHeight="1">
      <c r="A236" s="5" t="s">
        <v>173</v>
      </c>
      <c r="B236" s="6">
        <v>1.8</v>
      </c>
      <c r="C236" s="5" t="s">
        <v>18</v>
      </c>
      <c r="D236" s="5" t="s">
        <v>19</v>
      </c>
      <c r="E236" s="6">
        <v>-2.841</v>
      </c>
      <c r="F236" s="6">
        <v>0.0346</v>
      </c>
      <c r="G236" s="6">
        <v>-8.736E-4</v>
      </c>
      <c r="H236" s="6">
        <v>0.00228</v>
      </c>
      <c r="I236" s="6">
        <v>-0.01209</v>
      </c>
      <c r="J236" s="6">
        <v>-0.0022</v>
      </c>
      <c r="K236" s="5" t="s">
        <v>174</v>
      </c>
      <c r="L236" s="6">
        <v>1.8</v>
      </c>
    </row>
    <row r="237" ht="13.5" customHeight="1">
      <c r="A237" s="5" t="s">
        <v>173</v>
      </c>
      <c r="B237" s="6">
        <v>3.6</v>
      </c>
      <c r="C237" s="5" t="s">
        <v>18</v>
      </c>
      <c r="D237" s="5" t="s">
        <v>19</v>
      </c>
      <c r="E237" s="6">
        <v>-2.643</v>
      </c>
      <c r="F237" s="6">
        <v>0.0346</v>
      </c>
      <c r="G237" s="6">
        <v>-8.736E-4</v>
      </c>
      <c r="H237" s="6">
        <v>0.00228</v>
      </c>
      <c r="I237" s="6">
        <v>-0.01051</v>
      </c>
      <c r="J237" s="6">
        <v>-0.06446</v>
      </c>
      <c r="K237" s="5" t="s">
        <v>174</v>
      </c>
      <c r="L237" s="6">
        <v>3.6</v>
      </c>
    </row>
    <row r="238" ht="13.5" customHeight="1">
      <c r="A238" s="5" t="s">
        <v>175</v>
      </c>
      <c r="B238" s="6">
        <v>0.0</v>
      </c>
      <c r="C238" s="5" t="s">
        <v>18</v>
      </c>
      <c r="D238" s="5" t="s">
        <v>19</v>
      </c>
      <c r="E238" s="6">
        <v>-17.4091</v>
      </c>
      <c r="F238" s="6">
        <v>-0.0416</v>
      </c>
      <c r="G238" s="6">
        <v>0.2106</v>
      </c>
      <c r="H238" s="6">
        <v>-9.1E-4</v>
      </c>
      <c r="I238" s="6">
        <v>0.29162</v>
      </c>
      <c r="J238" s="6">
        <v>-0.03644</v>
      </c>
      <c r="K238" s="5" t="s">
        <v>176</v>
      </c>
      <c r="L238" s="6">
        <v>0.0</v>
      </c>
    </row>
    <row r="239" ht="13.5" customHeight="1">
      <c r="A239" s="5" t="s">
        <v>175</v>
      </c>
      <c r="B239" s="6">
        <v>1.35</v>
      </c>
      <c r="C239" s="5" t="s">
        <v>18</v>
      </c>
      <c r="D239" s="5" t="s">
        <v>19</v>
      </c>
      <c r="E239" s="6">
        <v>-17.2606</v>
      </c>
      <c r="F239" s="6">
        <v>-0.0416</v>
      </c>
      <c r="G239" s="6">
        <v>0.2106</v>
      </c>
      <c r="H239" s="6">
        <v>-9.1E-4</v>
      </c>
      <c r="I239" s="6">
        <v>0.00737</v>
      </c>
      <c r="J239" s="6">
        <v>0.01968</v>
      </c>
      <c r="K239" s="5" t="s">
        <v>176</v>
      </c>
      <c r="L239" s="6">
        <v>1.35</v>
      </c>
    </row>
    <row r="240" ht="13.5" customHeight="1">
      <c r="A240" s="5" t="s">
        <v>175</v>
      </c>
      <c r="B240" s="6">
        <v>2.7</v>
      </c>
      <c r="C240" s="5" t="s">
        <v>18</v>
      </c>
      <c r="D240" s="5" t="s">
        <v>19</v>
      </c>
      <c r="E240" s="6">
        <v>-17.1121</v>
      </c>
      <c r="F240" s="6">
        <v>-0.0416</v>
      </c>
      <c r="G240" s="6">
        <v>0.2106</v>
      </c>
      <c r="H240" s="6">
        <v>-9.1E-4</v>
      </c>
      <c r="I240" s="6">
        <v>-0.27687</v>
      </c>
      <c r="J240" s="6">
        <v>0.0758</v>
      </c>
      <c r="K240" s="5" t="s">
        <v>176</v>
      </c>
      <c r="L240" s="6">
        <v>2.7</v>
      </c>
    </row>
    <row r="241" ht="13.5" customHeight="1">
      <c r="A241" s="5" t="s">
        <v>177</v>
      </c>
      <c r="B241" s="6">
        <v>0.0</v>
      </c>
      <c r="C241" s="5" t="s">
        <v>18</v>
      </c>
      <c r="D241" s="5" t="s">
        <v>19</v>
      </c>
      <c r="E241" s="6">
        <v>-11.8158</v>
      </c>
      <c r="F241" s="6">
        <v>-0.0529</v>
      </c>
      <c r="G241" s="6">
        <v>-0.0231</v>
      </c>
      <c r="H241" s="6">
        <v>7.9E-4</v>
      </c>
      <c r="I241" s="6">
        <v>-0.04086</v>
      </c>
      <c r="J241" s="6">
        <v>-0.09317</v>
      </c>
      <c r="K241" s="5" t="s">
        <v>178</v>
      </c>
      <c r="L241" s="6">
        <v>0.0</v>
      </c>
    </row>
    <row r="242" ht="13.5" customHeight="1">
      <c r="A242" s="5" t="s">
        <v>177</v>
      </c>
      <c r="B242" s="6">
        <v>1.8</v>
      </c>
      <c r="C242" s="5" t="s">
        <v>18</v>
      </c>
      <c r="D242" s="5" t="s">
        <v>19</v>
      </c>
      <c r="E242" s="6">
        <v>-11.6178</v>
      </c>
      <c r="F242" s="6">
        <v>-0.0529</v>
      </c>
      <c r="G242" s="6">
        <v>-0.0231</v>
      </c>
      <c r="H242" s="6">
        <v>7.9E-4</v>
      </c>
      <c r="I242" s="6">
        <v>6.5E-4</v>
      </c>
      <c r="J242" s="6">
        <v>0.00208</v>
      </c>
      <c r="K242" s="5" t="s">
        <v>178</v>
      </c>
      <c r="L242" s="6">
        <v>1.8</v>
      </c>
    </row>
    <row r="243" ht="13.5" customHeight="1">
      <c r="A243" s="5" t="s">
        <v>177</v>
      </c>
      <c r="B243" s="6">
        <v>3.6</v>
      </c>
      <c r="C243" s="5" t="s">
        <v>18</v>
      </c>
      <c r="D243" s="5" t="s">
        <v>19</v>
      </c>
      <c r="E243" s="6">
        <v>-11.4198</v>
      </c>
      <c r="F243" s="6">
        <v>-0.0529</v>
      </c>
      <c r="G243" s="6">
        <v>-0.0231</v>
      </c>
      <c r="H243" s="6">
        <v>7.9E-4</v>
      </c>
      <c r="I243" s="6">
        <v>0.04217</v>
      </c>
      <c r="J243" s="6">
        <v>0.09733</v>
      </c>
      <c r="K243" s="5" t="s">
        <v>178</v>
      </c>
      <c r="L243" s="6">
        <v>3.6</v>
      </c>
    </row>
    <row r="244" ht="13.5" customHeight="1">
      <c r="A244" s="5" t="s">
        <v>179</v>
      </c>
      <c r="B244" s="6">
        <v>0.0</v>
      </c>
      <c r="C244" s="5" t="s">
        <v>18</v>
      </c>
      <c r="D244" s="5" t="s">
        <v>19</v>
      </c>
      <c r="E244" s="6">
        <v>-6.3159</v>
      </c>
      <c r="F244" s="6">
        <v>-0.0456</v>
      </c>
      <c r="G244" s="6">
        <v>0.0658</v>
      </c>
      <c r="H244" s="6">
        <v>0.00249</v>
      </c>
      <c r="I244" s="6">
        <v>0.07524</v>
      </c>
      <c r="J244" s="6">
        <v>-0.07349</v>
      </c>
      <c r="K244" s="5" t="s">
        <v>180</v>
      </c>
      <c r="L244" s="6">
        <v>0.0</v>
      </c>
    </row>
    <row r="245" ht="13.5" customHeight="1">
      <c r="A245" s="5" t="s">
        <v>179</v>
      </c>
      <c r="B245" s="6">
        <v>1.8</v>
      </c>
      <c r="C245" s="5" t="s">
        <v>18</v>
      </c>
      <c r="D245" s="5" t="s">
        <v>19</v>
      </c>
      <c r="E245" s="6">
        <v>-6.1179</v>
      </c>
      <c r="F245" s="6">
        <v>-0.0456</v>
      </c>
      <c r="G245" s="6">
        <v>0.0658</v>
      </c>
      <c r="H245" s="6">
        <v>0.00249</v>
      </c>
      <c r="I245" s="6">
        <v>-0.04326</v>
      </c>
      <c r="J245" s="6">
        <v>0.00864</v>
      </c>
      <c r="K245" s="5" t="s">
        <v>180</v>
      </c>
      <c r="L245" s="6">
        <v>1.8</v>
      </c>
    </row>
    <row r="246" ht="13.5" customHeight="1">
      <c r="A246" s="5" t="s">
        <v>179</v>
      </c>
      <c r="B246" s="6">
        <v>3.6</v>
      </c>
      <c r="C246" s="5" t="s">
        <v>18</v>
      </c>
      <c r="D246" s="5" t="s">
        <v>19</v>
      </c>
      <c r="E246" s="6">
        <v>-5.9199</v>
      </c>
      <c r="F246" s="6">
        <v>-0.0456</v>
      </c>
      <c r="G246" s="6">
        <v>0.0658</v>
      </c>
      <c r="H246" s="6">
        <v>0.00249</v>
      </c>
      <c r="I246" s="6">
        <v>-0.16176</v>
      </c>
      <c r="J246" s="6">
        <v>0.09078</v>
      </c>
      <c r="K246" s="5" t="s">
        <v>180</v>
      </c>
      <c r="L246" s="6">
        <v>3.6</v>
      </c>
    </row>
    <row r="247" ht="13.5" customHeight="1">
      <c r="A247" s="5" t="s">
        <v>181</v>
      </c>
      <c r="B247" s="6">
        <v>0.0</v>
      </c>
      <c r="C247" s="5" t="s">
        <v>18</v>
      </c>
      <c r="D247" s="5" t="s">
        <v>19</v>
      </c>
      <c r="E247" s="6">
        <v>-15.4306</v>
      </c>
      <c r="F247" s="6">
        <v>0.0762</v>
      </c>
      <c r="G247" s="6">
        <v>0.1935</v>
      </c>
      <c r="H247" s="6">
        <v>-3.3E-4</v>
      </c>
      <c r="I247" s="6">
        <v>0.27227</v>
      </c>
      <c r="J247" s="6">
        <v>0.06879</v>
      </c>
      <c r="K247" s="5" t="s">
        <v>182</v>
      </c>
      <c r="L247" s="6">
        <v>0.0</v>
      </c>
    </row>
    <row r="248" ht="13.5" customHeight="1">
      <c r="A248" s="5" t="s">
        <v>181</v>
      </c>
      <c r="B248" s="6">
        <v>1.35</v>
      </c>
      <c r="C248" s="5" t="s">
        <v>18</v>
      </c>
      <c r="D248" s="5" t="s">
        <v>19</v>
      </c>
      <c r="E248" s="6">
        <v>-15.2821</v>
      </c>
      <c r="F248" s="6">
        <v>0.0762</v>
      </c>
      <c r="G248" s="6">
        <v>0.1935</v>
      </c>
      <c r="H248" s="6">
        <v>-3.3E-4</v>
      </c>
      <c r="I248" s="6">
        <v>0.01102</v>
      </c>
      <c r="J248" s="6">
        <v>-0.03414</v>
      </c>
      <c r="K248" s="5" t="s">
        <v>182</v>
      </c>
      <c r="L248" s="6">
        <v>1.35</v>
      </c>
    </row>
    <row r="249" ht="13.5" customHeight="1">
      <c r="A249" s="5" t="s">
        <v>181</v>
      </c>
      <c r="B249" s="6">
        <v>2.7</v>
      </c>
      <c r="C249" s="5" t="s">
        <v>18</v>
      </c>
      <c r="D249" s="5" t="s">
        <v>19</v>
      </c>
      <c r="E249" s="6">
        <v>-15.1336</v>
      </c>
      <c r="F249" s="6">
        <v>0.0762</v>
      </c>
      <c r="G249" s="6">
        <v>0.1935</v>
      </c>
      <c r="H249" s="6">
        <v>-3.3E-4</v>
      </c>
      <c r="I249" s="6">
        <v>-0.25023</v>
      </c>
      <c r="J249" s="6">
        <v>-0.13706</v>
      </c>
      <c r="K249" s="5" t="s">
        <v>182</v>
      </c>
      <c r="L249" s="6">
        <v>2.7</v>
      </c>
    </row>
    <row r="250" ht="13.5" customHeight="1">
      <c r="A250" s="5" t="s">
        <v>183</v>
      </c>
      <c r="B250" s="6">
        <v>0.0</v>
      </c>
      <c r="C250" s="5" t="s">
        <v>18</v>
      </c>
      <c r="D250" s="5" t="s">
        <v>19</v>
      </c>
      <c r="E250" s="6">
        <v>-11.3373</v>
      </c>
      <c r="F250" s="6">
        <v>0.077</v>
      </c>
      <c r="G250" s="6">
        <v>-0.0287</v>
      </c>
      <c r="H250" s="6">
        <v>3.7E-4</v>
      </c>
      <c r="I250" s="6">
        <v>-0.05015</v>
      </c>
      <c r="J250" s="6">
        <v>0.14278</v>
      </c>
      <c r="K250" s="5" t="s">
        <v>184</v>
      </c>
      <c r="L250" s="6">
        <v>0.0</v>
      </c>
    </row>
    <row r="251" ht="13.5" customHeight="1">
      <c r="A251" s="5" t="s">
        <v>183</v>
      </c>
      <c r="B251" s="6">
        <v>1.8</v>
      </c>
      <c r="C251" s="5" t="s">
        <v>18</v>
      </c>
      <c r="D251" s="5" t="s">
        <v>19</v>
      </c>
      <c r="E251" s="6">
        <v>-11.1393</v>
      </c>
      <c r="F251" s="6">
        <v>0.077</v>
      </c>
      <c r="G251" s="6">
        <v>-0.0287</v>
      </c>
      <c r="H251" s="6">
        <v>3.7E-4</v>
      </c>
      <c r="I251" s="6">
        <v>0.00148</v>
      </c>
      <c r="J251" s="6">
        <v>0.00415</v>
      </c>
      <c r="K251" s="5" t="s">
        <v>184</v>
      </c>
      <c r="L251" s="6">
        <v>1.8</v>
      </c>
    </row>
    <row r="252" ht="13.5" customHeight="1">
      <c r="A252" s="5" t="s">
        <v>183</v>
      </c>
      <c r="B252" s="6">
        <v>3.6</v>
      </c>
      <c r="C252" s="5" t="s">
        <v>18</v>
      </c>
      <c r="D252" s="5" t="s">
        <v>19</v>
      </c>
      <c r="E252" s="6">
        <v>-10.9413</v>
      </c>
      <c r="F252" s="6">
        <v>0.077</v>
      </c>
      <c r="G252" s="6">
        <v>-0.0287</v>
      </c>
      <c r="H252" s="6">
        <v>3.7E-4</v>
      </c>
      <c r="I252" s="6">
        <v>0.05311</v>
      </c>
      <c r="J252" s="6">
        <v>-0.13448</v>
      </c>
      <c r="K252" s="5" t="s">
        <v>184</v>
      </c>
      <c r="L252" s="6">
        <v>3.6</v>
      </c>
    </row>
    <row r="253" ht="13.5" customHeight="1">
      <c r="A253" s="5" t="s">
        <v>185</v>
      </c>
      <c r="B253" s="6">
        <v>0.0</v>
      </c>
      <c r="C253" s="5" t="s">
        <v>18</v>
      </c>
      <c r="D253" s="5" t="s">
        <v>19</v>
      </c>
      <c r="E253" s="6">
        <v>-7.0425</v>
      </c>
      <c r="F253" s="6">
        <v>0.144</v>
      </c>
      <c r="G253" s="6">
        <v>-0.0132</v>
      </c>
      <c r="H253" s="6">
        <v>0.00258</v>
      </c>
      <c r="I253" s="6">
        <v>-0.02032</v>
      </c>
      <c r="J253" s="6">
        <v>0.24038</v>
      </c>
      <c r="K253" s="5" t="s">
        <v>186</v>
      </c>
      <c r="L253" s="6">
        <v>0.0</v>
      </c>
    </row>
    <row r="254" ht="13.5" customHeight="1">
      <c r="A254" s="5" t="s">
        <v>185</v>
      </c>
      <c r="B254" s="6">
        <v>1.8</v>
      </c>
      <c r="C254" s="5" t="s">
        <v>18</v>
      </c>
      <c r="D254" s="5" t="s">
        <v>19</v>
      </c>
      <c r="E254" s="6">
        <v>-6.8445</v>
      </c>
      <c r="F254" s="6">
        <v>0.144</v>
      </c>
      <c r="G254" s="6">
        <v>-0.0132</v>
      </c>
      <c r="H254" s="6">
        <v>0.00258</v>
      </c>
      <c r="I254" s="6">
        <v>0.00351</v>
      </c>
      <c r="J254" s="6">
        <v>-0.01874</v>
      </c>
      <c r="K254" s="5" t="s">
        <v>186</v>
      </c>
      <c r="L254" s="6">
        <v>1.8</v>
      </c>
    </row>
    <row r="255" ht="13.5" customHeight="1">
      <c r="A255" s="5" t="s">
        <v>185</v>
      </c>
      <c r="B255" s="6">
        <v>3.6</v>
      </c>
      <c r="C255" s="5" t="s">
        <v>18</v>
      </c>
      <c r="D255" s="5" t="s">
        <v>19</v>
      </c>
      <c r="E255" s="6">
        <v>-6.6465</v>
      </c>
      <c r="F255" s="6">
        <v>0.144</v>
      </c>
      <c r="G255" s="6">
        <v>-0.0132</v>
      </c>
      <c r="H255" s="6">
        <v>0.00258</v>
      </c>
      <c r="I255" s="6">
        <v>0.02734</v>
      </c>
      <c r="J255" s="6">
        <v>-0.27786</v>
      </c>
      <c r="K255" s="5" t="s">
        <v>186</v>
      </c>
      <c r="L255" s="6">
        <v>3.6</v>
      </c>
    </row>
    <row r="256" ht="13.5" customHeight="1">
      <c r="A256" s="5" t="s">
        <v>187</v>
      </c>
      <c r="B256" s="6">
        <v>0.0</v>
      </c>
      <c r="C256" s="5" t="s">
        <v>18</v>
      </c>
      <c r="D256" s="5" t="s">
        <v>19</v>
      </c>
      <c r="E256" s="6">
        <v>-24.8386</v>
      </c>
      <c r="F256" s="6">
        <v>-0.0774</v>
      </c>
      <c r="G256" s="6">
        <v>0.2042</v>
      </c>
      <c r="H256" s="6">
        <v>9.8E-4</v>
      </c>
      <c r="I256" s="6">
        <v>0.28139</v>
      </c>
      <c r="J256" s="6">
        <v>-0.0725</v>
      </c>
      <c r="K256" s="5" t="s">
        <v>188</v>
      </c>
      <c r="L256" s="6">
        <v>0.0</v>
      </c>
    </row>
    <row r="257" ht="13.5" customHeight="1">
      <c r="A257" s="5" t="s">
        <v>187</v>
      </c>
      <c r="B257" s="6">
        <v>1.35</v>
      </c>
      <c r="C257" s="5" t="s">
        <v>18</v>
      </c>
      <c r="D257" s="5" t="s">
        <v>19</v>
      </c>
      <c r="E257" s="6">
        <v>-24.6901</v>
      </c>
      <c r="F257" s="6">
        <v>-0.0774</v>
      </c>
      <c r="G257" s="6">
        <v>0.2042</v>
      </c>
      <c r="H257" s="6">
        <v>9.8E-4</v>
      </c>
      <c r="I257" s="6">
        <v>0.00578</v>
      </c>
      <c r="J257" s="6">
        <v>0.03196</v>
      </c>
      <c r="K257" s="5" t="s">
        <v>188</v>
      </c>
      <c r="L257" s="6">
        <v>1.35</v>
      </c>
    </row>
    <row r="258" ht="13.5" customHeight="1">
      <c r="A258" s="5" t="s">
        <v>187</v>
      </c>
      <c r="B258" s="6">
        <v>2.7</v>
      </c>
      <c r="C258" s="5" t="s">
        <v>18</v>
      </c>
      <c r="D258" s="5" t="s">
        <v>19</v>
      </c>
      <c r="E258" s="6">
        <v>-24.5416</v>
      </c>
      <c r="F258" s="6">
        <v>-0.0774</v>
      </c>
      <c r="G258" s="6">
        <v>0.2042</v>
      </c>
      <c r="H258" s="6">
        <v>9.8E-4</v>
      </c>
      <c r="I258" s="6">
        <v>-0.26982</v>
      </c>
      <c r="J258" s="6">
        <v>0.13642</v>
      </c>
      <c r="K258" s="5" t="s">
        <v>188</v>
      </c>
      <c r="L258" s="6">
        <v>2.7</v>
      </c>
    </row>
    <row r="259" ht="13.5" customHeight="1">
      <c r="A259" s="5" t="s">
        <v>189</v>
      </c>
      <c r="B259" s="6">
        <v>0.0</v>
      </c>
      <c r="C259" s="5" t="s">
        <v>18</v>
      </c>
      <c r="D259" s="5" t="s">
        <v>19</v>
      </c>
      <c r="E259" s="6">
        <v>-21.9747</v>
      </c>
      <c r="F259" s="6">
        <v>-0.0733</v>
      </c>
      <c r="G259" s="6">
        <v>-0.0177</v>
      </c>
      <c r="H259" s="6">
        <v>-7.4E-4</v>
      </c>
      <c r="I259" s="6">
        <v>-0.03042</v>
      </c>
      <c r="J259" s="6">
        <v>-0.13357</v>
      </c>
      <c r="K259" s="5" t="s">
        <v>190</v>
      </c>
      <c r="L259" s="6">
        <v>0.0</v>
      </c>
    </row>
    <row r="260" ht="13.5" customHeight="1">
      <c r="A260" s="5" t="s">
        <v>189</v>
      </c>
      <c r="B260" s="6">
        <v>1.8</v>
      </c>
      <c r="C260" s="5" t="s">
        <v>18</v>
      </c>
      <c r="D260" s="5" t="s">
        <v>19</v>
      </c>
      <c r="E260" s="6">
        <v>-21.7767</v>
      </c>
      <c r="F260" s="6">
        <v>-0.0733</v>
      </c>
      <c r="G260" s="6">
        <v>-0.0177</v>
      </c>
      <c r="H260" s="6">
        <v>-7.4E-4</v>
      </c>
      <c r="I260" s="6">
        <v>0.00151</v>
      </c>
      <c r="J260" s="6">
        <v>-0.00163</v>
      </c>
      <c r="K260" s="5" t="s">
        <v>190</v>
      </c>
      <c r="L260" s="6">
        <v>1.8</v>
      </c>
    </row>
    <row r="261" ht="13.5" customHeight="1">
      <c r="A261" s="5" t="s">
        <v>189</v>
      </c>
      <c r="B261" s="6">
        <v>3.6</v>
      </c>
      <c r="C261" s="5" t="s">
        <v>18</v>
      </c>
      <c r="D261" s="5" t="s">
        <v>19</v>
      </c>
      <c r="E261" s="6">
        <v>-21.5787</v>
      </c>
      <c r="F261" s="6">
        <v>-0.0733</v>
      </c>
      <c r="G261" s="6">
        <v>-0.0177</v>
      </c>
      <c r="H261" s="6">
        <v>-7.4E-4</v>
      </c>
      <c r="I261" s="6">
        <v>0.03345</v>
      </c>
      <c r="J261" s="6">
        <v>0.1303</v>
      </c>
      <c r="K261" s="5" t="s">
        <v>190</v>
      </c>
      <c r="L261" s="6">
        <v>3.6</v>
      </c>
    </row>
    <row r="262" ht="13.5" customHeight="1">
      <c r="A262" s="5" t="s">
        <v>191</v>
      </c>
      <c r="B262" s="6">
        <v>0.0</v>
      </c>
      <c r="C262" s="5" t="s">
        <v>18</v>
      </c>
      <c r="D262" s="5" t="s">
        <v>19</v>
      </c>
      <c r="E262" s="6">
        <v>-19.1697</v>
      </c>
      <c r="F262" s="6">
        <v>-0.0405</v>
      </c>
      <c r="G262" s="6">
        <v>-0.0105</v>
      </c>
      <c r="H262" s="6">
        <v>-0.00627</v>
      </c>
      <c r="I262" s="6">
        <v>-0.00353</v>
      </c>
      <c r="J262" s="6">
        <v>-0.08878</v>
      </c>
      <c r="K262" s="5" t="s">
        <v>192</v>
      </c>
      <c r="L262" s="6">
        <v>0.0</v>
      </c>
    </row>
    <row r="263" ht="13.5" customHeight="1">
      <c r="A263" s="5" t="s">
        <v>191</v>
      </c>
      <c r="B263" s="6">
        <v>1.8</v>
      </c>
      <c r="C263" s="5" t="s">
        <v>18</v>
      </c>
      <c r="D263" s="5" t="s">
        <v>19</v>
      </c>
      <c r="E263" s="6">
        <v>-18.9717</v>
      </c>
      <c r="F263" s="6">
        <v>-0.0405</v>
      </c>
      <c r="G263" s="6">
        <v>-0.0105</v>
      </c>
      <c r="H263" s="6">
        <v>-0.00627</v>
      </c>
      <c r="I263" s="6">
        <v>0.0154</v>
      </c>
      <c r="J263" s="6">
        <v>-0.01589</v>
      </c>
      <c r="K263" s="5" t="s">
        <v>192</v>
      </c>
      <c r="L263" s="6">
        <v>1.8</v>
      </c>
    </row>
    <row r="264" ht="13.5" customHeight="1">
      <c r="A264" s="5" t="s">
        <v>191</v>
      </c>
      <c r="B264" s="6">
        <v>3.6</v>
      </c>
      <c r="C264" s="5" t="s">
        <v>18</v>
      </c>
      <c r="D264" s="5" t="s">
        <v>19</v>
      </c>
      <c r="E264" s="6">
        <v>-18.7737</v>
      </c>
      <c r="F264" s="6">
        <v>-0.0405</v>
      </c>
      <c r="G264" s="6">
        <v>-0.0105</v>
      </c>
      <c r="H264" s="6">
        <v>-0.00627</v>
      </c>
      <c r="I264" s="6">
        <v>0.03432</v>
      </c>
      <c r="J264" s="6">
        <v>0.057</v>
      </c>
      <c r="K264" s="5" t="s">
        <v>192</v>
      </c>
      <c r="L264" s="6">
        <v>3.6</v>
      </c>
    </row>
    <row r="265" ht="13.5" customHeight="1">
      <c r="A265" s="5" t="s">
        <v>193</v>
      </c>
      <c r="B265" s="6">
        <v>0.0</v>
      </c>
      <c r="C265" s="5" t="s">
        <v>18</v>
      </c>
      <c r="D265" s="5" t="s">
        <v>19</v>
      </c>
      <c r="E265" s="6">
        <v>-17.6682</v>
      </c>
      <c r="F265" s="6">
        <v>0.0448</v>
      </c>
      <c r="G265" s="6">
        <v>0.2274</v>
      </c>
      <c r="H265" s="6">
        <v>2.9E-4</v>
      </c>
      <c r="I265" s="6">
        <v>0.30647</v>
      </c>
      <c r="J265" s="6">
        <v>0.03689</v>
      </c>
      <c r="K265" s="5" t="s">
        <v>194</v>
      </c>
      <c r="L265" s="6">
        <v>0.0</v>
      </c>
    </row>
    <row r="266" ht="13.5" customHeight="1">
      <c r="A266" s="5" t="s">
        <v>193</v>
      </c>
      <c r="B266" s="6">
        <v>1.35</v>
      </c>
      <c r="C266" s="5" t="s">
        <v>18</v>
      </c>
      <c r="D266" s="5" t="s">
        <v>19</v>
      </c>
      <c r="E266" s="6">
        <v>-17.5197</v>
      </c>
      <c r="F266" s="6">
        <v>0.0448</v>
      </c>
      <c r="G266" s="6">
        <v>0.2274</v>
      </c>
      <c r="H266" s="6">
        <v>2.9E-4</v>
      </c>
      <c r="I266" s="6">
        <v>-5.8E-4</v>
      </c>
      <c r="J266" s="6">
        <v>-0.02357</v>
      </c>
      <c r="K266" s="5" t="s">
        <v>194</v>
      </c>
      <c r="L266" s="6">
        <v>1.35</v>
      </c>
    </row>
    <row r="267" ht="13.5" customHeight="1">
      <c r="A267" s="5" t="s">
        <v>193</v>
      </c>
      <c r="B267" s="6">
        <v>2.7</v>
      </c>
      <c r="C267" s="5" t="s">
        <v>18</v>
      </c>
      <c r="D267" s="5" t="s">
        <v>19</v>
      </c>
      <c r="E267" s="6">
        <v>-17.3712</v>
      </c>
      <c r="F267" s="6">
        <v>0.0448</v>
      </c>
      <c r="G267" s="6">
        <v>0.2274</v>
      </c>
      <c r="H267" s="6">
        <v>2.9E-4</v>
      </c>
      <c r="I267" s="6">
        <v>-0.30764</v>
      </c>
      <c r="J267" s="6">
        <v>-0.08403</v>
      </c>
      <c r="K267" s="5" t="s">
        <v>194</v>
      </c>
      <c r="L267" s="6">
        <v>2.7</v>
      </c>
    </row>
    <row r="268" ht="13.5" customHeight="1">
      <c r="A268" s="5" t="s">
        <v>195</v>
      </c>
      <c r="B268" s="6">
        <v>0.0</v>
      </c>
      <c r="C268" s="5" t="s">
        <v>18</v>
      </c>
      <c r="D268" s="5" t="s">
        <v>19</v>
      </c>
      <c r="E268" s="6">
        <v>-13.5422</v>
      </c>
      <c r="F268" s="6">
        <v>0.0686</v>
      </c>
      <c r="G268" s="6">
        <v>0.0053</v>
      </c>
      <c r="H268" s="6">
        <v>-2.4E-4</v>
      </c>
      <c r="I268" s="6">
        <v>0.00421</v>
      </c>
      <c r="J268" s="6">
        <v>0.11898</v>
      </c>
      <c r="K268" s="5" t="s">
        <v>196</v>
      </c>
      <c r="L268" s="6">
        <v>0.0</v>
      </c>
    </row>
    <row r="269" ht="13.5" customHeight="1">
      <c r="A269" s="5" t="s">
        <v>195</v>
      </c>
      <c r="B269" s="6">
        <v>1.8</v>
      </c>
      <c r="C269" s="5" t="s">
        <v>18</v>
      </c>
      <c r="D269" s="5" t="s">
        <v>19</v>
      </c>
      <c r="E269" s="6">
        <v>-13.3442</v>
      </c>
      <c r="F269" s="6">
        <v>0.0686</v>
      </c>
      <c r="G269" s="6">
        <v>0.0053</v>
      </c>
      <c r="H269" s="6">
        <v>-2.4E-4</v>
      </c>
      <c r="I269" s="6">
        <v>-0.00537</v>
      </c>
      <c r="J269" s="6">
        <v>-0.00441</v>
      </c>
      <c r="K269" s="5" t="s">
        <v>196</v>
      </c>
      <c r="L269" s="6">
        <v>1.8</v>
      </c>
    </row>
    <row r="270" ht="13.5" customHeight="1">
      <c r="A270" s="5" t="s">
        <v>195</v>
      </c>
      <c r="B270" s="6">
        <v>3.6</v>
      </c>
      <c r="C270" s="5" t="s">
        <v>18</v>
      </c>
      <c r="D270" s="5" t="s">
        <v>19</v>
      </c>
      <c r="E270" s="6">
        <v>-13.1462</v>
      </c>
      <c r="F270" s="6">
        <v>0.0686</v>
      </c>
      <c r="G270" s="6">
        <v>0.0053</v>
      </c>
      <c r="H270" s="6">
        <v>-2.4E-4</v>
      </c>
      <c r="I270" s="6">
        <v>-0.01495</v>
      </c>
      <c r="J270" s="6">
        <v>-0.12781</v>
      </c>
      <c r="K270" s="5" t="s">
        <v>196</v>
      </c>
      <c r="L270" s="6">
        <v>3.6</v>
      </c>
    </row>
    <row r="271" ht="13.5" customHeight="1">
      <c r="A271" s="5" t="s">
        <v>197</v>
      </c>
      <c r="B271" s="6">
        <v>0.0</v>
      </c>
      <c r="C271" s="5" t="s">
        <v>18</v>
      </c>
      <c r="D271" s="5" t="s">
        <v>19</v>
      </c>
      <c r="E271" s="6">
        <v>-9.4684</v>
      </c>
      <c r="F271" s="6">
        <v>0.1153</v>
      </c>
      <c r="G271" s="6">
        <v>0.0435</v>
      </c>
      <c r="H271" s="6">
        <v>-0.00405</v>
      </c>
      <c r="I271" s="6">
        <v>0.07594</v>
      </c>
      <c r="J271" s="6">
        <v>0.19716</v>
      </c>
      <c r="K271" s="5" t="s">
        <v>198</v>
      </c>
      <c r="L271" s="6">
        <v>0.0</v>
      </c>
    </row>
    <row r="272" ht="13.5" customHeight="1">
      <c r="A272" s="5" t="s">
        <v>197</v>
      </c>
      <c r="B272" s="6">
        <v>1.8</v>
      </c>
      <c r="C272" s="5" t="s">
        <v>18</v>
      </c>
      <c r="D272" s="5" t="s">
        <v>19</v>
      </c>
      <c r="E272" s="6">
        <v>-9.2704</v>
      </c>
      <c r="F272" s="6">
        <v>0.1153</v>
      </c>
      <c r="G272" s="6">
        <v>0.0435</v>
      </c>
      <c r="H272" s="6">
        <v>-0.00405</v>
      </c>
      <c r="I272" s="6">
        <v>-0.00234</v>
      </c>
      <c r="J272" s="6">
        <v>-0.01043</v>
      </c>
      <c r="K272" s="5" t="s">
        <v>198</v>
      </c>
      <c r="L272" s="6">
        <v>1.8</v>
      </c>
    </row>
    <row r="273" ht="13.5" customHeight="1">
      <c r="A273" s="5" t="s">
        <v>197</v>
      </c>
      <c r="B273" s="6">
        <v>3.6</v>
      </c>
      <c r="C273" s="5" t="s">
        <v>18</v>
      </c>
      <c r="D273" s="5" t="s">
        <v>19</v>
      </c>
      <c r="E273" s="6">
        <v>-9.0724</v>
      </c>
      <c r="F273" s="6">
        <v>0.1153</v>
      </c>
      <c r="G273" s="6">
        <v>0.0435</v>
      </c>
      <c r="H273" s="6">
        <v>-0.00405</v>
      </c>
      <c r="I273" s="6">
        <v>-0.08061</v>
      </c>
      <c r="J273" s="6">
        <v>-0.21802</v>
      </c>
      <c r="K273" s="5" t="s">
        <v>198</v>
      </c>
      <c r="L273" s="6">
        <v>3.6</v>
      </c>
    </row>
    <row r="274" ht="13.5" customHeight="1">
      <c r="A274" s="5" t="s">
        <v>199</v>
      </c>
      <c r="B274" s="6">
        <v>0.0</v>
      </c>
      <c r="C274" s="5" t="s">
        <v>18</v>
      </c>
      <c r="D274" s="5" t="s">
        <v>19</v>
      </c>
      <c r="E274" s="6">
        <v>-11.5923</v>
      </c>
      <c r="F274" s="6">
        <v>-0.0275</v>
      </c>
      <c r="G274" s="6">
        <v>0.2356</v>
      </c>
      <c r="H274" s="6">
        <v>9.0E-4</v>
      </c>
      <c r="I274" s="6">
        <v>0.31589</v>
      </c>
      <c r="J274" s="6">
        <v>-0.02723</v>
      </c>
      <c r="K274" s="5" t="s">
        <v>200</v>
      </c>
      <c r="L274" s="6">
        <v>0.0</v>
      </c>
    </row>
    <row r="275" ht="13.5" customHeight="1">
      <c r="A275" s="5" t="s">
        <v>199</v>
      </c>
      <c r="B275" s="6">
        <v>1.35</v>
      </c>
      <c r="C275" s="5" t="s">
        <v>18</v>
      </c>
      <c r="D275" s="5" t="s">
        <v>19</v>
      </c>
      <c r="E275" s="6">
        <v>-11.4438</v>
      </c>
      <c r="F275" s="6">
        <v>-0.0275</v>
      </c>
      <c r="G275" s="6">
        <v>0.2356</v>
      </c>
      <c r="H275" s="6">
        <v>9.0E-4</v>
      </c>
      <c r="I275" s="6">
        <v>-0.00216</v>
      </c>
      <c r="J275" s="6">
        <v>0.00996</v>
      </c>
      <c r="K275" s="5" t="s">
        <v>200</v>
      </c>
      <c r="L275" s="6">
        <v>1.35</v>
      </c>
    </row>
    <row r="276" ht="13.5" customHeight="1">
      <c r="A276" s="5" t="s">
        <v>199</v>
      </c>
      <c r="B276" s="6">
        <v>2.7</v>
      </c>
      <c r="C276" s="5" t="s">
        <v>18</v>
      </c>
      <c r="D276" s="5" t="s">
        <v>19</v>
      </c>
      <c r="E276" s="6">
        <v>-11.2953</v>
      </c>
      <c r="F276" s="6">
        <v>-0.0275</v>
      </c>
      <c r="G276" s="6">
        <v>0.2356</v>
      </c>
      <c r="H276" s="6">
        <v>9.0E-4</v>
      </c>
      <c r="I276" s="6">
        <v>-0.32022</v>
      </c>
      <c r="J276" s="6">
        <v>0.04714</v>
      </c>
      <c r="K276" s="5" t="s">
        <v>200</v>
      </c>
      <c r="L276" s="6">
        <v>2.7</v>
      </c>
    </row>
    <row r="277" ht="13.5" customHeight="1">
      <c r="A277" s="5" t="s">
        <v>201</v>
      </c>
      <c r="B277" s="6">
        <v>0.0</v>
      </c>
      <c r="C277" s="5" t="s">
        <v>18</v>
      </c>
      <c r="D277" s="5" t="s">
        <v>19</v>
      </c>
      <c r="E277" s="6">
        <v>-7.6927</v>
      </c>
      <c r="F277" s="6">
        <v>-0.0164</v>
      </c>
      <c r="G277" s="6">
        <v>0.0136</v>
      </c>
      <c r="H277" s="6">
        <v>-6.6E-4</v>
      </c>
      <c r="I277" s="6">
        <v>0.01521</v>
      </c>
      <c r="J277" s="6">
        <v>-0.03304</v>
      </c>
      <c r="K277" s="5" t="s">
        <v>202</v>
      </c>
      <c r="L277" s="6">
        <v>0.0</v>
      </c>
    </row>
    <row r="278" ht="13.5" customHeight="1">
      <c r="A278" s="5" t="s">
        <v>201</v>
      </c>
      <c r="B278" s="6">
        <v>1.8</v>
      </c>
      <c r="C278" s="5" t="s">
        <v>18</v>
      </c>
      <c r="D278" s="5" t="s">
        <v>19</v>
      </c>
      <c r="E278" s="6">
        <v>-7.4947</v>
      </c>
      <c r="F278" s="6">
        <v>-0.0164</v>
      </c>
      <c r="G278" s="6">
        <v>0.0136</v>
      </c>
      <c r="H278" s="6">
        <v>-6.6E-4</v>
      </c>
      <c r="I278" s="6">
        <v>-0.00921</v>
      </c>
      <c r="J278" s="6">
        <v>-0.00361</v>
      </c>
      <c r="K278" s="5" t="s">
        <v>202</v>
      </c>
      <c r="L278" s="6">
        <v>1.8</v>
      </c>
    </row>
    <row r="279" ht="13.5" customHeight="1">
      <c r="A279" s="5" t="s">
        <v>201</v>
      </c>
      <c r="B279" s="6">
        <v>3.6</v>
      </c>
      <c r="C279" s="5" t="s">
        <v>18</v>
      </c>
      <c r="D279" s="5" t="s">
        <v>19</v>
      </c>
      <c r="E279" s="6">
        <v>-7.2967</v>
      </c>
      <c r="F279" s="6">
        <v>-0.0164</v>
      </c>
      <c r="G279" s="6">
        <v>0.0136</v>
      </c>
      <c r="H279" s="6">
        <v>-6.6E-4</v>
      </c>
      <c r="I279" s="6">
        <v>-0.03362</v>
      </c>
      <c r="J279" s="6">
        <v>0.02583</v>
      </c>
      <c r="K279" s="5" t="s">
        <v>202</v>
      </c>
      <c r="L279" s="6">
        <v>3.6</v>
      </c>
    </row>
    <row r="280" ht="13.5" customHeight="1">
      <c r="A280" s="5" t="s">
        <v>203</v>
      </c>
      <c r="B280" s="6">
        <v>0.0</v>
      </c>
      <c r="C280" s="5" t="s">
        <v>18</v>
      </c>
      <c r="D280" s="5" t="s">
        <v>19</v>
      </c>
      <c r="E280" s="6">
        <v>-3.7036</v>
      </c>
      <c r="F280" s="6">
        <v>0.0078</v>
      </c>
      <c r="G280" s="6">
        <v>0.0271</v>
      </c>
      <c r="H280" s="6">
        <v>-0.00718</v>
      </c>
      <c r="I280" s="6">
        <v>0.04648</v>
      </c>
      <c r="J280" s="6">
        <v>0.0139</v>
      </c>
      <c r="K280" s="5" t="s">
        <v>204</v>
      </c>
      <c r="L280" s="6">
        <v>0.0</v>
      </c>
    </row>
    <row r="281" ht="13.5" customHeight="1">
      <c r="A281" s="5" t="s">
        <v>203</v>
      </c>
      <c r="B281" s="6">
        <v>1.8</v>
      </c>
      <c r="C281" s="5" t="s">
        <v>18</v>
      </c>
      <c r="D281" s="5" t="s">
        <v>19</v>
      </c>
      <c r="E281" s="6">
        <v>-3.5056</v>
      </c>
      <c r="F281" s="6">
        <v>0.0078</v>
      </c>
      <c r="G281" s="6">
        <v>0.0271</v>
      </c>
      <c r="H281" s="6">
        <v>-0.00718</v>
      </c>
      <c r="I281" s="6">
        <v>-0.00225</v>
      </c>
      <c r="J281" s="6">
        <v>-1.4E-4</v>
      </c>
      <c r="K281" s="5" t="s">
        <v>204</v>
      </c>
      <c r="L281" s="6">
        <v>1.8</v>
      </c>
    </row>
    <row r="282" ht="13.5" customHeight="1">
      <c r="A282" s="5" t="s">
        <v>203</v>
      </c>
      <c r="B282" s="6">
        <v>3.6</v>
      </c>
      <c r="C282" s="5" t="s">
        <v>18</v>
      </c>
      <c r="D282" s="5" t="s">
        <v>19</v>
      </c>
      <c r="E282" s="6">
        <v>-3.3076</v>
      </c>
      <c r="F282" s="6">
        <v>0.0078</v>
      </c>
      <c r="G282" s="6">
        <v>0.0271</v>
      </c>
      <c r="H282" s="6">
        <v>-0.00718</v>
      </c>
      <c r="I282" s="6">
        <v>-0.05097</v>
      </c>
      <c r="J282" s="6">
        <v>-0.01419</v>
      </c>
      <c r="K282" s="5" t="s">
        <v>204</v>
      </c>
      <c r="L282" s="6">
        <v>3.6</v>
      </c>
    </row>
    <row r="283" ht="13.5" customHeight="1">
      <c r="A283" s="5" t="s">
        <v>205</v>
      </c>
      <c r="B283" s="6">
        <v>0.0</v>
      </c>
      <c r="C283" s="5" t="s">
        <v>18</v>
      </c>
      <c r="D283" s="5" t="s">
        <v>19</v>
      </c>
      <c r="E283" s="6">
        <v>-11.8089</v>
      </c>
      <c r="F283" s="6">
        <v>0.0191</v>
      </c>
      <c r="G283" s="6">
        <v>0.2396</v>
      </c>
      <c r="H283" s="6">
        <v>-1.5E-4</v>
      </c>
      <c r="I283" s="6">
        <v>0.32223</v>
      </c>
      <c r="J283" s="6">
        <v>0.01616</v>
      </c>
      <c r="K283" s="5" t="s">
        <v>206</v>
      </c>
      <c r="L283" s="6">
        <v>0.0</v>
      </c>
    </row>
    <row r="284" ht="13.5" customHeight="1">
      <c r="A284" s="5" t="s">
        <v>205</v>
      </c>
      <c r="B284" s="6">
        <v>1.35</v>
      </c>
      <c r="C284" s="5" t="s">
        <v>18</v>
      </c>
      <c r="D284" s="5" t="s">
        <v>19</v>
      </c>
      <c r="E284" s="6">
        <v>-11.6604</v>
      </c>
      <c r="F284" s="6">
        <v>0.0191</v>
      </c>
      <c r="G284" s="6">
        <v>0.2396</v>
      </c>
      <c r="H284" s="6">
        <v>-1.5E-4</v>
      </c>
      <c r="I284" s="6">
        <v>-0.00119</v>
      </c>
      <c r="J284" s="6">
        <v>-0.00966</v>
      </c>
      <c r="K284" s="5" t="s">
        <v>206</v>
      </c>
      <c r="L284" s="6">
        <v>1.35</v>
      </c>
    </row>
    <row r="285" ht="13.5" customHeight="1">
      <c r="A285" s="5" t="s">
        <v>205</v>
      </c>
      <c r="B285" s="6">
        <v>2.7</v>
      </c>
      <c r="C285" s="5" t="s">
        <v>18</v>
      </c>
      <c r="D285" s="5" t="s">
        <v>19</v>
      </c>
      <c r="E285" s="6">
        <v>-11.5119</v>
      </c>
      <c r="F285" s="6">
        <v>0.0191</v>
      </c>
      <c r="G285" s="6">
        <v>0.2396</v>
      </c>
      <c r="H285" s="6">
        <v>-1.5E-4</v>
      </c>
      <c r="I285" s="6">
        <v>-0.32461</v>
      </c>
      <c r="J285" s="6">
        <v>-0.03549</v>
      </c>
      <c r="K285" s="5" t="s">
        <v>206</v>
      </c>
      <c r="L285" s="6">
        <v>2.7</v>
      </c>
    </row>
    <row r="286" ht="13.5" customHeight="1">
      <c r="A286" s="5" t="s">
        <v>207</v>
      </c>
      <c r="B286" s="6">
        <v>0.0</v>
      </c>
      <c r="C286" s="5" t="s">
        <v>18</v>
      </c>
      <c r="D286" s="5" t="s">
        <v>19</v>
      </c>
      <c r="E286" s="6">
        <v>-7.5536</v>
      </c>
      <c r="F286" s="6">
        <v>0.022</v>
      </c>
      <c r="G286" s="6">
        <v>0.013</v>
      </c>
      <c r="H286" s="6">
        <v>1.4E-4</v>
      </c>
      <c r="I286" s="6">
        <v>0.0116</v>
      </c>
      <c r="J286" s="6">
        <v>0.0411</v>
      </c>
      <c r="K286" s="5" t="s">
        <v>208</v>
      </c>
      <c r="L286" s="6">
        <v>0.0</v>
      </c>
    </row>
    <row r="287" ht="13.5" customHeight="1">
      <c r="A287" s="5" t="s">
        <v>207</v>
      </c>
      <c r="B287" s="6">
        <v>1.8</v>
      </c>
      <c r="C287" s="5" t="s">
        <v>18</v>
      </c>
      <c r="D287" s="5" t="s">
        <v>19</v>
      </c>
      <c r="E287" s="6">
        <v>-7.3556</v>
      </c>
      <c r="F287" s="6">
        <v>0.022</v>
      </c>
      <c r="G287" s="6">
        <v>0.013</v>
      </c>
      <c r="H287" s="6">
        <v>1.4E-4</v>
      </c>
      <c r="I287" s="6">
        <v>-0.0118</v>
      </c>
      <c r="J287" s="6">
        <v>0.00154</v>
      </c>
      <c r="K287" s="5" t="s">
        <v>208</v>
      </c>
      <c r="L287" s="6">
        <v>1.8</v>
      </c>
    </row>
    <row r="288" ht="13.5" customHeight="1">
      <c r="A288" s="5" t="s">
        <v>207</v>
      </c>
      <c r="B288" s="6">
        <v>3.6</v>
      </c>
      <c r="C288" s="5" t="s">
        <v>18</v>
      </c>
      <c r="D288" s="5" t="s">
        <v>19</v>
      </c>
      <c r="E288" s="6">
        <v>-7.1576</v>
      </c>
      <c r="F288" s="6">
        <v>0.022</v>
      </c>
      <c r="G288" s="6">
        <v>0.013</v>
      </c>
      <c r="H288" s="6">
        <v>1.4E-4</v>
      </c>
      <c r="I288" s="6">
        <v>-0.03521</v>
      </c>
      <c r="J288" s="6">
        <v>-0.03802</v>
      </c>
      <c r="K288" s="5" t="s">
        <v>208</v>
      </c>
      <c r="L288" s="6">
        <v>3.6</v>
      </c>
    </row>
    <row r="289" ht="13.5" customHeight="1">
      <c r="A289" s="5" t="s">
        <v>209</v>
      </c>
      <c r="B289" s="6">
        <v>0.0</v>
      </c>
      <c r="C289" s="5" t="s">
        <v>18</v>
      </c>
      <c r="D289" s="5" t="s">
        <v>19</v>
      </c>
      <c r="E289" s="6">
        <v>-3.2834</v>
      </c>
      <c r="F289" s="6">
        <v>0.0338</v>
      </c>
      <c r="G289" s="6">
        <v>0.0268</v>
      </c>
      <c r="H289" s="6">
        <v>-1.9E-4</v>
      </c>
      <c r="I289" s="6">
        <v>0.04414</v>
      </c>
      <c r="J289" s="6">
        <v>0.05885</v>
      </c>
      <c r="K289" s="5" t="s">
        <v>210</v>
      </c>
      <c r="L289" s="6">
        <v>0.0</v>
      </c>
    </row>
    <row r="290" ht="13.5" customHeight="1">
      <c r="A290" s="5" t="s">
        <v>209</v>
      </c>
      <c r="B290" s="6">
        <v>1.8</v>
      </c>
      <c r="C290" s="5" t="s">
        <v>18</v>
      </c>
      <c r="D290" s="5" t="s">
        <v>19</v>
      </c>
      <c r="E290" s="6">
        <v>-3.0854</v>
      </c>
      <c r="F290" s="6">
        <v>0.0338</v>
      </c>
      <c r="G290" s="6">
        <v>0.0268</v>
      </c>
      <c r="H290" s="6">
        <v>-1.9E-4</v>
      </c>
      <c r="I290" s="6">
        <v>-0.00417</v>
      </c>
      <c r="J290" s="6">
        <v>-0.00202</v>
      </c>
      <c r="K290" s="5" t="s">
        <v>210</v>
      </c>
      <c r="L290" s="6">
        <v>1.8</v>
      </c>
    </row>
    <row r="291" ht="13.5" customHeight="1">
      <c r="A291" s="5" t="s">
        <v>209</v>
      </c>
      <c r="B291" s="6">
        <v>3.6</v>
      </c>
      <c r="C291" s="5" t="s">
        <v>18</v>
      </c>
      <c r="D291" s="5" t="s">
        <v>19</v>
      </c>
      <c r="E291" s="6">
        <v>-2.8874</v>
      </c>
      <c r="F291" s="6">
        <v>0.0338</v>
      </c>
      <c r="G291" s="6">
        <v>0.0268</v>
      </c>
      <c r="H291" s="6">
        <v>-1.9E-4</v>
      </c>
      <c r="I291" s="6">
        <v>-0.05248</v>
      </c>
      <c r="J291" s="6">
        <v>-0.06289</v>
      </c>
      <c r="K291" s="5" t="s">
        <v>210</v>
      </c>
      <c r="L291" s="6">
        <v>3.6</v>
      </c>
    </row>
    <row r="292" ht="13.5" customHeight="1">
      <c r="A292" s="5" t="s">
        <v>211</v>
      </c>
      <c r="B292" s="6">
        <v>0.0</v>
      </c>
      <c r="C292" s="5" t="s">
        <v>18</v>
      </c>
      <c r="D292" s="5" t="s">
        <v>19</v>
      </c>
      <c r="E292" s="6">
        <v>-11.8292</v>
      </c>
      <c r="F292" s="6">
        <v>-0.0194</v>
      </c>
      <c r="G292" s="6">
        <v>0.2396</v>
      </c>
      <c r="H292" s="6">
        <v>1.7E-4</v>
      </c>
      <c r="I292" s="6">
        <v>0.32231</v>
      </c>
      <c r="J292" s="6">
        <v>-0.0166</v>
      </c>
      <c r="K292" s="5" t="s">
        <v>212</v>
      </c>
      <c r="L292" s="6">
        <v>0.0</v>
      </c>
    </row>
    <row r="293" ht="13.5" customHeight="1">
      <c r="A293" s="5" t="s">
        <v>211</v>
      </c>
      <c r="B293" s="6">
        <v>1.35</v>
      </c>
      <c r="C293" s="5" t="s">
        <v>18</v>
      </c>
      <c r="D293" s="5" t="s">
        <v>19</v>
      </c>
      <c r="E293" s="6">
        <v>-11.6807</v>
      </c>
      <c r="F293" s="6">
        <v>-0.0194</v>
      </c>
      <c r="G293" s="6">
        <v>0.2396</v>
      </c>
      <c r="H293" s="6">
        <v>1.7E-4</v>
      </c>
      <c r="I293" s="6">
        <v>-0.00117</v>
      </c>
      <c r="J293" s="6">
        <v>0.00966</v>
      </c>
      <c r="K293" s="5" t="s">
        <v>212</v>
      </c>
      <c r="L293" s="6">
        <v>1.35</v>
      </c>
    </row>
    <row r="294" ht="13.5" customHeight="1">
      <c r="A294" s="5" t="s">
        <v>211</v>
      </c>
      <c r="B294" s="6">
        <v>2.7</v>
      </c>
      <c r="C294" s="5" t="s">
        <v>18</v>
      </c>
      <c r="D294" s="5" t="s">
        <v>19</v>
      </c>
      <c r="E294" s="6">
        <v>-11.5322</v>
      </c>
      <c r="F294" s="6">
        <v>-0.0194</v>
      </c>
      <c r="G294" s="6">
        <v>0.2396</v>
      </c>
      <c r="H294" s="6">
        <v>1.7E-4</v>
      </c>
      <c r="I294" s="6">
        <v>-0.32466</v>
      </c>
      <c r="J294" s="6">
        <v>0.03591</v>
      </c>
      <c r="K294" s="5" t="s">
        <v>212</v>
      </c>
      <c r="L294" s="6">
        <v>2.7</v>
      </c>
    </row>
    <row r="295" ht="13.5" customHeight="1">
      <c r="A295" s="5" t="s">
        <v>213</v>
      </c>
      <c r="B295" s="6">
        <v>0.0</v>
      </c>
      <c r="C295" s="5" t="s">
        <v>18</v>
      </c>
      <c r="D295" s="5" t="s">
        <v>19</v>
      </c>
      <c r="E295" s="6">
        <v>-7.5734</v>
      </c>
      <c r="F295" s="6">
        <v>-0.0234</v>
      </c>
      <c r="G295" s="6">
        <v>0.0131</v>
      </c>
      <c r="H295" s="6">
        <v>-4.536E-5</v>
      </c>
      <c r="I295" s="6">
        <v>0.01187</v>
      </c>
      <c r="J295" s="6">
        <v>-0.04311</v>
      </c>
      <c r="K295" s="5" t="s">
        <v>214</v>
      </c>
      <c r="L295" s="6">
        <v>0.0</v>
      </c>
    </row>
    <row r="296" ht="13.5" customHeight="1">
      <c r="A296" s="5" t="s">
        <v>213</v>
      </c>
      <c r="B296" s="6">
        <v>1.8</v>
      </c>
      <c r="C296" s="5" t="s">
        <v>18</v>
      </c>
      <c r="D296" s="5" t="s">
        <v>19</v>
      </c>
      <c r="E296" s="6">
        <v>-7.3754</v>
      </c>
      <c r="F296" s="6">
        <v>-0.0234</v>
      </c>
      <c r="G296" s="6">
        <v>0.0131</v>
      </c>
      <c r="H296" s="6">
        <v>-4.536E-5</v>
      </c>
      <c r="I296" s="6">
        <v>-0.01175</v>
      </c>
      <c r="J296" s="6">
        <v>-0.00101</v>
      </c>
      <c r="K296" s="5" t="s">
        <v>214</v>
      </c>
      <c r="L296" s="6">
        <v>1.8</v>
      </c>
    </row>
    <row r="297" ht="13.5" customHeight="1">
      <c r="A297" s="5" t="s">
        <v>213</v>
      </c>
      <c r="B297" s="6">
        <v>3.6</v>
      </c>
      <c r="C297" s="5" t="s">
        <v>18</v>
      </c>
      <c r="D297" s="5" t="s">
        <v>19</v>
      </c>
      <c r="E297" s="6">
        <v>-7.1774</v>
      </c>
      <c r="F297" s="6">
        <v>-0.0234</v>
      </c>
      <c r="G297" s="6">
        <v>0.0131</v>
      </c>
      <c r="H297" s="6">
        <v>-4.536E-5</v>
      </c>
      <c r="I297" s="6">
        <v>-0.03538</v>
      </c>
      <c r="J297" s="6">
        <v>0.04108</v>
      </c>
      <c r="K297" s="5" t="s">
        <v>214</v>
      </c>
      <c r="L297" s="6">
        <v>3.6</v>
      </c>
    </row>
    <row r="298" ht="13.5" customHeight="1">
      <c r="A298" s="5" t="s">
        <v>215</v>
      </c>
      <c r="B298" s="6">
        <v>0.0</v>
      </c>
      <c r="C298" s="5" t="s">
        <v>18</v>
      </c>
      <c r="D298" s="5" t="s">
        <v>19</v>
      </c>
      <c r="E298" s="6">
        <v>-3.2969</v>
      </c>
      <c r="F298" s="6">
        <v>-0.0189</v>
      </c>
      <c r="G298" s="6">
        <v>0.0279</v>
      </c>
      <c r="H298" s="6">
        <v>-9.4E-4</v>
      </c>
      <c r="I298" s="6">
        <v>0.04608</v>
      </c>
      <c r="J298" s="6">
        <v>-0.03174</v>
      </c>
      <c r="K298" s="5" t="s">
        <v>216</v>
      </c>
      <c r="L298" s="6">
        <v>0.0</v>
      </c>
    </row>
    <row r="299" ht="13.5" customHeight="1">
      <c r="A299" s="5" t="s">
        <v>215</v>
      </c>
      <c r="B299" s="6">
        <v>1.8</v>
      </c>
      <c r="C299" s="5" t="s">
        <v>18</v>
      </c>
      <c r="D299" s="5" t="s">
        <v>19</v>
      </c>
      <c r="E299" s="6">
        <v>-3.0989</v>
      </c>
      <c r="F299" s="6">
        <v>-0.0189</v>
      </c>
      <c r="G299" s="6">
        <v>0.0279</v>
      </c>
      <c r="H299" s="6">
        <v>-9.4E-4</v>
      </c>
      <c r="I299" s="6">
        <v>-0.00414</v>
      </c>
      <c r="J299" s="6">
        <v>0.00223</v>
      </c>
      <c r="K299" s="5" t="s">
        <v>216</v>
      </c>
      <c r="L299" s="6">
        <v>1.8</v>
      </c>
    </row>
    <row r="300" ht="13.5" customHeight="1">
      <c r="A300" s="5" t="s">
        <v>215</v>
      </c>
      <c r="B300" s="6">
        <v>3.6</v>
      </c>
      <c r="C300" s="5" t="s">
        <v>18</v>
      </c>
      <c r="D300" s="5" t="s">
        <v>19</v>
      </c>
      <c r="E300" s="6">
        <v>-2.9009</v>
      </c>
      <c r="F300" s="6">
        <v>-0.0189</v>
      </c>
      <c r="G300" s="6">
        <v>0.0279</v>
      </c>
      <c r="H300" s="6">
        <v>-9.4E-4</v>
      </c>
      <c r="I300" s="6">
        <v>-0.05435</v>
      </c>
      <c r="J300" s="6">
        <v>0.0362</v>
      </c>
      <c r="K300" s="5" t="s">
        <v>216</v>
      </c>
      <c r="L300" s="6">
        <v>3.6</v>
      </c>
    </row>
    <row r="301" ht="13.5" customHeight="1">
      <c r="A301" s="5" t="s">
        <v>217</v>
      </c>
      <c r="B301" s="6">
        <v>0.0</v>
      </c>
      <c r="C301" s="5" t="s">
        <v>18</v>
      </c>
      <c r="D301" s="5" t="s">
        <v>19</v>
      </c>
      <c r="E301" s="6">
        <v>-11.552</v>
      </c>
      <c r="F301" s="6">
        <v>0.0279</v>
      </c>
      <c r="G301" s="6">
        <v>0.2359</v>
      </c>
      <c r="H301" s="6">
        <v>-8.8E-4</v>
      </c>
      <c r="I301" s="6">
        <v>0.31635</v>
      </c>
      <c r="J301" s="6">
        <v>0.02743</v>
      </c>
      <c r="K301" s="5" t="s">
        <v>218</v>
      </c>
      <c r="L301" s="6">
        <v>0.0</v>
      </c>
    </row>
    <row r="302" ht="13.5" customHeight="1">
      <c r="A302" s="5" t="s">
        <v>217</v>
      </c>
      <c r="B302" s="6">
        <v>1.35</v>
      </c>
      <c r="C302" s="5" t="s">
        <v>18</v>
      </c>
      <c r="D302" s="5" t="s">
        <v>19</v>
      </c>
      <c r="E302" s="6">
        <v>-11.4035</v>
      </c>
      <c r="F302" s="6">
        <v>0.0279</v>
      </c>
      <c r="G302" s="6">
        <v>0.2359</v>
      </c>
      <c r="H302" s="6">
        <v>-8.8E-4</v>
      </c>
      <c r="I302" s="6">
        <v>-0.00216</v>
      </c>
      <c r="J302" s="6">
        <v>-0.01029</v>
      </c>
      <c r="K302" s="5" t="s">
        <v>218</v>
      </c>
      <c r="L302" s="6">
        <v>1.35</v>
      </c>
    </row>
    <row r="303" ht="13.5" customHeight="1">
      <c r="A303" s="5" t="s">
        <v>217</v>
      </c>
      <c r="B303" s="6">
        <v>2.7</v>
      </c>
      <c r="C303" s="5" t="s">
        <v>18</v>
      </c>
      <c r="D303" s="5" t="s">
        <v>19</v>
      </c>
      <c r="E303" s="6">
        <v>-11.255</v>
      </c>
      <c r="F303" s="6">
        <v>0.0279</v>
      </c>
      <c r="G303" s="6">
        <v>0.2359</v>
      </c>
      <c r="H303" s="6">
        <v>-8.8E-4</v>
      </c>
      <c r="I303" s="6">
        <v>-0.32067</v>
      </c>
      <c r="J303" s="6">
        <v>-0.04801</v>
      </c>
      <c r="K303" s="5" t="s">
        <v>218</v>
      </c>
      <c r="L303" s="6">
        <v>2.7</v>
      </c>
    </row>
    <row r="304" ht="13.5" customHeight="1">
      <c r="A304" s="5" t="s">
        <v>219</v>
      </c>
      <c r="B304" s="6">
        <v>0.0</v>
      </c>
      <c r="C304" s="5" t="s">
        <v>18</v>
      </c>
      <c r="D304" s="5" t="s">
        <v>19</v>
      </c>
      <c r="E304" s="6">
        <v>-7.657</v>
      </c>
      <c r="F304" s="6">
        <v>0.0165</v>
      </c>
      <c r="G304" s="6">
        <v>0.0138</v>
      </c>
      <c r="H304" s="6">
        <v>7.6E-4</v>
      </c>
      <c r="I304" s="6">
        <v>0.01612</v>
      </c>
      <c r="J304" s="6">
        <v>0.03338</v>
      </c>
      <c r="K304" s="5" t="s">
        <v>220</v>
      </c>
      <c r="L304" s="6">
        <v>0.0</v>
      </c>
    </row>
    <row r="305" ht="13.5" customHeight="1">
      <c r="A305" s="5" t="s">
        <v>219</v>
      </c>
      <c r="B305" s="6">
        <v>1.8</v>
      </c>
      <c r="C305" s="5" t="s">
        <v>18</v>
      </c>
      <c r="D305" s="5" t="s">
        <v>19</v>
      </c>
      <c r="E305" s="6">
        <v>-7.459</v>
      </c>
      <c r="F305" s="6">
        <v>0.0165</v>
      </c>
      <c r="G305" s="6">
        <v>0.0138</v>
      </c>
      <c r="H305" s="6">
        <v>7.6E-4</v>
      </c>
      <c r="I305" s="6">
        <v>-0.00881</v>
      </c>
      <c r="J305" s="6">
        <v>0.0037</v>
      </c>
      <c r="K305" s="5" t="s">
        <v>220</v>
      </c>
      <c r="L305" s="6">
        <v>1.8</v>
      </c>
    </row>
    <row r="306" ht="13.5" customHeight="1">
      <c r="A306" s="5" t="s">
        <v>219</v>
      </c>
      <c r="B306" s="6">
        <v>3.6</v>
      </c>
      <c r="C306" s="5" t="s">
        <v>18</v>
      </c>
      <c r="D306" s="5" t="s">
        <v>19</v>
      </c>
      <c r="E306" s="6">
        <v>-7.261</v>
      </c>
      <c r="F306" s="6">
        <v>0.0165</v>
      </c>
      <c r="G306" s="6">
        <v>0.0138</v>
      </c>
      <c r="H306" s="6">
        <v>7.6E-4</v>
      </c>
      <c r="I306" s="6">
        <v>-0.03374</v>
      </c>
      <c r="J306" s="6">
        <v>-0.02599</v>
      </c>
      <c r="K306" s="5" t="s">
        <v>220</v>
      </c>
      <c r="L306" s="6">
        <v>3.6</v>
      </c>
    </row>
    <row r="307" ht="13.5" customHeight="1">
      <c r="A307" s="5" t="s">
        <v>221</v>
      </c>
      <c r="B307" s="6">
        <v>0.0</v>
      </c>
      <c r="C307" s="5" t="s">
        <v>18</v>
      </c>
      <c r="D307" s="5" t="s">
        <v>19</v>
      </c>
      <c r="E307" s="6">
        <v>-3.6816</v>
      </c>
      <c r="F307" s="6">
        <v>0.0102</v>
      </c>
      <c r="G307" s="6">
        <v>0.0355</v>
      </c>
      <c r="H307" s="6">
        <v>0.0064</v>
      </c>
      <c r="I307" s="6">
        <v>0.06145</v>
      </c>
      <c r="J307" s="6">
        <v>0.01827</v>
      </c>
      <c r="K307" s="5" t="s">
        <v>222</v>
      </c>
      <c r="L307" s="6">
        <v>0.0</v>
      </c>
    </row>
    <row r="308" ht="13.5" customHeight="1">
      <c r="A308" s="5" t="s">
        <v>221</v>
      </c>
      <c r="B308" s="6">
        <v>1.8</v>
      </c>
      <c r="C308" s="5" t="s">
        <v>18</v>
      </c>
      <c r="D308" s="5" t="s">
        <v>19</v>
      </c>
      <c r="E308" s="6">
        <v>-3.4836</v>
      </c>
      <c r="F308" s="6">
        <v>0.0102</v>
      </c>
      <c r="G308" s="6">
        <v>0.0355</v>
      </c>
      <c r="H308" s="6">
        <v>0.0064</v>
      </c>
      <c r="I308" s="6">
        <v>-0.00247</v>
      </c>
      <c r="J308" s="6">
        <v>-8.109E-5</v>
      </c>
      <c r="K308" s="5" t="s">
        <v>222</v>
      </c>
      <c r="L308" s="6">
        <v>1.8</v>
      </c>
    </row>
    <row r="309" ht="13.5" customHeight="1">
      <c r="A309" s="5" t="s">
        <v>221</v>
      </c>
      <c r="B309" s="6">
        <v>3.6</v>
      </c>
      <c r="C309" s="5" t="s">
        <v>18</v>
      </c>
      <c r="D309" s="5" t="s">
        <v>19</v>
      </c>
      <c r="E309" s="6">
        <v>-3.2856</v>
      </c>
      <c r="F309" s="6">
        <v>0.0102</v>
      </c>
      <c r="G309" s="6">
        <v>0.0355</v>
      </c>
      <c r="H309" s="6">
        <v>0.0064</v>
      </c>
      <c r="I309" s="6">
        <v>-0.0664</v>
      </c>
      <c r="J309" s="6">
        <v>-0.01843</v>
      </c>
      <c r="K309" s="5" t="s">
        <v>222</v>
      </c>
      <c r="L309" s="6">
        <v>3.6</v>
      </c>
    </row>
    <row r="310" ht="13.5" customHeight="1">
      <c r="A310" s="5" t="s">
        <v>223</v>
      </c>
      <c r="B310" s="6">
        <v>0.0</v>
      </c>
      <c r="C310" s="5" t="s">
        <v>18</v>
      </c>
      <c r="D310" s="5" t="s">
        <v>19</v>
      </c>
      <c r="E310" s="6">
        <v>-17.2583</v>
      </c>
      <c r="F310" s="6">
        <v>-0.0449</v>
      </c>
      <c r="G310" s="6">
        <v>0.2282</v>
      </c>
      <c r="H310" s="6">
        <v>-2.7E-4</v>
      </c>
      <c r="I310" s="6">
        <v>0.30737</v>
      </c>
      <c r="J310" s="6">
        <v>-0.03711</v>
      </c>
      <c r="K310" s="5" t="s">
        <v>224</v>
      </c>
      <c r="L310" s="6">
        <v>0.0</v>
      </c>
    </row>
    <row r="311" ht="13.5" customHeight="1">
      <c r="A311" s="5" t="s">
        <v>223</v>
      </c>
      <c r="B311" s="6">
        <v>1.35</v>
      </c>
      <c r="C311" s="5" t="s">
        <v>18</v>
      </c>
      <c r="D311" s="5" t="s">
        <v>19</v>
      </c>
      <c r="E311" s="6">
        <v>-17.1098</v>
      </c>
      <c r="F311" s="6">
        <v>-0.0449</v>
      </c>
      <c r="G311" s="6">
        <v>0.2282</v>
      </c>
      <c r="H311" s="6">
        <v>-2.7E-4</v>
      </c>
      <c r="I311" s="6">
        <v>-7.2E-4</v>
      </c>
      <c r="J311" s="6">
        <v>0.02346</v>
      </c>
      <c r="K311" s="5" t="s">
        <v>224</v>
      </c>
      <c r="L311" s="6">
        <v>1.35</v>
      </c>
    </row>
    <row r="312" ht="13.5" customHeight="1">
      <c r="A312" s="5" t="s">
        <v>223</v>
      </c>
      <c r="B312" s="6">
        <v>2.7</v>
      </c>
      <c r="C312" s="5" t="s">
        <v>18</v>
      </c>
      <c r="D312" s="5" t="s">
        <v>19</v>
      </c>
      <c r="E312" s="6">
        <v>-16.9613</v>
      </c>
      <c r="F312" s="6">
        <v>-0.0449</v>
      </c>
      <c r="G312" s="6">
        <v>0.2282</v>
      </c>
      <c r="H312" s="6">
        <v>-2.7E-4</v>
      </c>
      <c r="I312" s="6">
        <v>-0.30881</v>
      </c>
      <c r="J312" s="6">
        <v>0.08402</v>
      </c>
      <c r="K312" s="5" t="s">
        <v>224</v>
      </c>
      <c r="L312" s="6">
        <v>2.7</v>
      </c>
    </row>
    <row r="313" ht="13.5" customHeight="1">
      <c r="A313" s="5" t="s">
        <v>225</v>
      </c>
      <c r="B313" s="6">
        <v>0.0</v>
      </c>
      <c r="C313" s="5" t="s">
        <v>18</v>
      </c>
      <c r="D313" s="5" t="s">
        <v>19</v>
      </c>
      <c r="E313" s="6">
        <v>-13.1228</v>
      </c>
      <c r="F313" s="6">
        <v>-0.0693</v>
      </c>
      <c r="G313" s="6">
        <v>0.0064</v>
      </c>
      <c r="H313" s="6">
        <v>3.2E-4</v>
      </c>
      <c r="I313" s="6">
        <v>0.00654</v>
      </c>
      <c r="J313" s="6">
        <v>-0.11997</v>
      </c>
      <c r="K313" s="5" t="s">
        <v>226</v>
      </c>
      <c r="L313" s="6">
        <v>0.0</v>
      </c>
    </row>
    <row r="314" ht="13.5" customHeight="1">
      <c r="A314" s="5" t="s">
        <v>225</v>
      </c>
      <c r="B314" s="6">
        <v>1.8</v>
      </c>
      <c r="C314" s="5" t="s">
        <v>18</v>
      </c>
      <c r="D314" s="5" t="s">
        <v>19</v>
      </c>
      <c r="E314" s="6">
        <v>-12.9248</v>
      </c>
      <c r="F314" s="6">
        <v>-0.0693</v>
      </c>
      <c r="G314" s="6">
        <v>0.0064</v>
      </c>
      <c r="H314" s="6">
        <v>3.2E-4</v>
      </c>
      <c r="I314" s="6">
        <v>-0.00505</v>
      </c>
      <c r="J314" s="6">
        <v>0.00469</v>
      </c>
      <c r="K314" s="5" t="s">
        <v>226</v>
      </c>
      <c r="L314" s="6">
        <v>1.8</v>
      </c>
    </row>
    <row r="315" ht="13.5" customHeight="1">
      <c r="A315" s="5" t="s">
        <v>225</v>
      </c>
      <c r="B315" s="6">
        <v>3.6</v>
      </c>
      <c r="C315" s="5" t="s">
        <v>18</v>
      </c>
      <c r="D315" s="5" t="s">
        <v>19</v>
      </c>
      <c r="E315" s="6">
        <v>-12.7268</v>
      </c>
      <c r="F315" s="6">
        <v>-0.0693</v>
      </c>
      <c r="G315" s="6">
        <v>0.0064</v>
      </c>
      <c r="H315" s="6">
        <v>3.2E-4</v>
      </c>
      <c r="I315" s="6">
        <v>-0.01664</v>
      </c>
      <c r="J315" s="6">
        <v>0.12935</v>
      </c>
      <c r="K315" s="5" t="s">
        <v>226</v>
      </c>
      <c r="L315" s="6">
        <v>3.6</v>
      </c>
    </row>
    <row r="316" ht="13.5" customHeight="1">
      <c r="A316" s="5" t="s">
        <v>227</v>
      </c>
      <c r="B316" s="6">
        <v>0.0</v>
      </c>
      <c r="C316" s="5" t="s">
        <v>18</v>
      </c>
      <c r="D316" s="5" t="s">
        <v>19</v>
      </c>
      <c r="E316" s="6">
        <v>-9.0138</v>
      </c>
      <c r="F316" s="6">
        <v>-0.0986</v>
      </c>
      <c r="G316" s="6">
        <v>0.0557</v>
      </c>
      <c r="H316" s="6">
        <v>0.00275</v>
      </c>
      <c r="I316" s="6">
        <v>0.09712</v>
      </c>
      <c r="J316" s="6">
        <v>-0.16717</v>
      </c>
      <c r="K316" s="5" t="s">
        <v>228</v>
      </c>
      <c r="L316" s="6">
        <v>0.0</v>
      </c>
    </row>
    <row r="317" ht="13.5" customHeight="1">
      <c r="A317" s="5" t="s">
        <v>227</v>
      </c>
      <c r="B317" s="6">
        <v>1.8</v>
      </c>
      <c r="C317" s="5" t="s">
        <v>18</v>
      </c>
      <c r="D317" s="5" t="s">
        <v>19</v>
      </c>
      <c r="E317" s="6">
        <v>-8.8158</v>
      </c>
      <c r="F317" s="6">
        <v>-0.0986</v>
      </c>
      <c r="G317" s="6">
        <v>0.0557</v>
      </c>
      <c r="H317" s="6">
        <v>0.00275</v>
      </c>
      <c r="I317" s="6">
        <v>-0.00319</v>
      </c>
      <c r="J317" s="6">
        <v>0.01034</v>
      </c>
      <c r="K317" s="5" t="s">
        <v>228</v>
      </c>
      <c r="L317" s="6">
        <v>1.8</v>
      </c>
    </row>
    <row r="318" ht="13.5" customHeight="1">
      <c r="A318" s="5" t="s">
        <v>227</v>
      </c>
      <c r="B318" s="6">
        <v>3.6</v>
      </c>
      <c r="C318" s="5" t="s">
        <v>18</v>
      </c>
      <c r="D318" s="5" t="s">
        <v>19</v>
      </c>
      <c r="E318" s="6">
        <v>-8.6178</v>
      </c>
      <c r="F318" s="6">
        <v>-0.0986</v>
      </c>
      <c r="G318" s="6">
        <v>0.0557</v>
      </c>
      <c r="H318" s="6">
        <v>0.00275</v>
      </c>
      <c r="I318" s="6">
        <v>-0.10351</v>
      </c>
      <c r="J318" s="6">
        <v>0.18784</v>
      </c>
      <c r="K318" s="5" t="s">
        <v>228</v>
      </c>
      <c r="L318" s="6">
        <v>3.6</v>
      </c>
    </row>
    <row r="319" ht="13.5" customHeight="1">
      <c r="A319" s="5" t="s">
        <v>229</v>
      </c>
      <c r="B319" s="6">
        <v>0.0</v>
      </c>
      <c r="C319" s="5" t="s">
        <v>18</v>
      </c>
      <c r="D319" s="5" t="s">
        <v>19</v>
      </c>
      <c r="E319" s="6">
        <v>-25.351</v>
      </c>
      <c r="F319" s="6">
        <v>0.0765</v>
      </c>
      <c r="G319" s="6">
        <v>0.2042</v>
      </c>
      <c r="H319" s="6">
        <v>-9.6E-4</v>
      </c>
      <c r="I319" s="6">
        <v>0.28182</v>
      </c>
      <c r="J319" s="6">
        <v>0.07154</v>
      </c>
      <c r="K319" s="5" t="s">
        <v>230</v>
      </c>
      <c r="L319" s="6">
        <v>0.0</v>
      </c>
    </row>
    <row r="320" ht="13.5" customHeight="1">
      <c r="A320" s="5" t="s">
        <v>229</v>
      </c>
      <c r="B320" s="6">
        <v>1.35</v>
      </c>
      <c r="C320" s="5" t="s">
        <v>18</v>
      </c>
      <c r="D320" s="5" t="s">
        <v>19</v>
      </c>
      <c r="E320" s="6">
        <v>-25.2025</v>
      </c>
      <c r="F320" s="6">
        <v>0.0765</v>
      </c>
      <c r="G320" s="6">
        <v>0.2042</v>
      </c>
      <c r="H320" s="6">
        <v>-9.6E-4</v>
      </c>
      <c r="I320" s="6">
        <v>0.00609</v>
      </c>
      <c r="J320" s="6">
        <v>-0.0317</v>
      </c>
      <c r="K320" s="5" t="s">
        <v>230</v>
      </c>
      <c r="L320" s="6">
        <v>1.35</v>
      </c>
    </row>
    <row r="321" ht="13.5" customHeight="1">
      <c r="A321" s="5" t="s">
        <v>229</v>
      </c>
      <c r="B321" s="6">
        <v>2.7</v>
      </c>
      <c r="C321" s="5" t="s">
        <v>18</v>
      </c>
      <c r="D321" s="5" t="s">
        <v>19</v>
      </c>
      <c r="E321" s="6">
        <v>-25.054</v>
      </c>
      <c r="F321" s="6">
        <v>0.0765</v>
      </c>
      <c r="G321" s="6">
        <v>0.2042</v>
      </c>
      <c r="H321" s="6">
        <v>-9.6E-4</v>
      </c>
      <c r="I321" s="6">
        <v>-0.26964</v>
      </c>
      <c r="J321" s="6">
        <v>-0.13494</v>
      </c>
      <c r="K321" s="5" t="s">
        <v>230</v>
      </c>
      <c r="L321" s="6">
        <v>2.7</v>
      </c>
    </row>
    <row r="322" ht="13.5" customHeight="1">
      <c r="A322" s="5" t="s">
        <v>231</v>
      </c>
      <c r="B322" s="6">
        <v>0.0</v>
      </c>
      <c r="C322" s="5" t="s">
        <v>18</v>
      </c>
      <c r="D322" s="5" t="s">
        <v>19</v>
      </c>
      <c r="E322" s="6">
        <v>-22.4878</v>
      </c>
      <c r="F322" s="6">
        <v>0.0699</v>
      </c>
      <c r="G322" s="6">
        <v>-0.0171</v>
      </c>
      <c r="H322" s="6">
        <v>8.4E-4</v>
      </c>
      <c r="I322" s="6">
        <v>-0.02886</v>
      </c>
      <c r="J322" s="6">
        <v>0.12881</v>
      </c>
      <c r="K322" s="5" t="s">
        <v>232</v>
      </c>
      <c r="L322" s="6">
        <v>0.0</v>
      </c>
    </row>
    <row r="323" ht="13.5" customHeight="1">
      <c r="A323" s="5" t="s">
        <v>231</v>
      </c>
      <c r="B323" s="6">
        <v>1.8</v>
      </c>
      <c r="C323" s="5" t="s">
        <v>18</v>
      </c>
      <c r="D323" s="5" t="s">
        <v>19</v>
      </c>
      <c r="E323" s="6">
        <v>-22.2898</v>
      </c>
      <c r="F323" s="6">
        <v>0.0699</v>
      </c>
      <c r="G323" s="6">
        <v>-0.0171</v>
      </c>
      <c r="H323" s="6">
        <v>8.4E-4</v>
      </c>
      <c r="I323" s="6">
        <v>0.00185</v>
      </c>
      <c r="J323" s="6">
        <v>0.00298</v>
      </c>
      <c r="K323" s="5" t="s">
        <v>232</v>
      </c>
      <c r="L323" s="6">
        <v>1.8</v>
      </c>
    </row>
    <row r="324" ht="13.5" customHeight="1">
      <c r="A324" s="5" t="s">
        <v>231</v>
      </c>
      <c r="B324" s="6">
        <v>3.6</v>
      </c>
      <c r="C324" s="5" t="s">
        <v>18</v>
      </c>
      <c r="D324" s="5" t="s">
        <v>19</v>
      </c>
      <c r="E324" s="6">
        <v>-22.0918</v>
      </c>
      <c r="F324" s="6">
        <v>0.0699</v>
      </c>
      <c r="G324" s="6">
        <v>-0.0171</v>
      </c>
      <c r="H324" s="6">
        <v>8.4E-4</v>
      </c>
      <c r="I324" s="6">
        <v>0.03257</v>
      </c>
      <c r="J324" s="6">
        <v>-0.12285</v>
      </c>
      <c r="K324" s="5" t="s">
        <v>232</v>
      </c>
      <c r="L324" s="6">
        <v>3.6</v>
      </c>
    </row>
    <row r="325" ht="13.5" customHeight="1">
      <c r="A325" s="5" t="s">
        <v>233</v>
      </c>
      <c r="B325" s="6">
        <v>0.0</v>
      </c>
      <c r="C325" s="5" t="s">
        <v>18</v>
      </c>
      <c r="D325" s="5" t="s">
        <v>19</v>
      </c>
      <c r="E325" s="6">
        <v>-19.6805</v>
      </c>
      <c r="F325" s="6">
        <v>0.0478</v>
      </c>
      <c r="G325" s="6">
        <v>-0.0095</v>
      </c>
      <c r="H325" s="6">
        <v>0.00465</v>
      </c>
      <c r="I325" s="6">
        <v>-0.00183</v>
      </c>
      <c r="J325" s="6">
        <v>0.10407</v>
      </c>
      <c r="K325" s="5" t="s">
        <v>234</v>
      </c>
      <c r="L325" s="6">
        <v>0.0</v>
      </c>
    </row>
    <row r="326" ht="13.5" customHeight="1">
      <c r="A326" s="5" t="s">
        <v>233</v>
      </c>
      <c r="B326" s="6">
        <v>1.8</v>
      </c>
      <c r="C326" s="5" t="s">
        <v>18</v>
      </c>
      <c r="D326" s="5" t="s">
        <v>19</v>
      </c>
      <c r="E326" s="6">
        <v>-19.4825</v>
      </c>
      <c r="F326" s="6">
        <v>0.0478</v>
      </c>
      <c r="G326" s="6">
        <v>-0.0095</v>
      </c>
      <c r="H326" s="6">
        <v>0.00465</v>
      </c>
      <c r="I326" s="6">
        <v>0.01521</v>
      </c>
      <c r="J326" s="6">
        <v>0.01797</v>
      </c>
      <c r="K326" s="5" t="s">
        <v>234</v>
      </c>
      <c r="L326" s="6">
        <v>1.8</v>
      </c>
    </row>
    <row r="327" ht="13.5" customHeight="1">
      <c r="A327" s="5" t="s">
        <v>233</v>
      </c>
      <c r="B327" s="6">
        <v>3.6</v>
      </c>
      <c r="C327" s="5" t="s">
        <v>18</v>
      </c>
      <c r="D327" s="5" t="s">
        <v>19</v>
      </c>
      <c r="E327" s="6">
        <v>-19.2845</v>
      </c>
      <c r="F327" s="6">
        <v>0.0478</v>
      </c>
      <c r="G327" s="6">
        <v>-0.0095</v>
      </c>
      <c r="H327" s="6">
        <v>0.00465</v>
      </c>
      <c r="I327" s="6">
        <v>0.03226</v>
      </c>
      <c r="J327" s="6">
        <v>-0.06813</v>
      </c>
      <c r="K327" s="5" t="s">
        <v>234</v>
      </c>
      <c r="L327" s="6">
        <v>3.6</v>
      </c>
    </row>
    <row r="328" ht="13.5" customHeight="1">
      <c r="A328" s="5" t="s">
        <v>235</v>
      </c>
      <c r="B328" s="6">
        <v>0.0</v>
      </c>
      <c r="C328" s="5" t="s">
        <v>18</v>
      </c>
      <c r="D328" s="5" t="s">
        <v>19</v>
      </c>
      <c r="E328" s="6">
        <v>-6.0732</v>
      </c>
      <c r="F328" s="6">
        <v>-0.3675</v>
      </c>
      <c r="G328" s="6">
        <v>0.0088</v>
      </c>
      <c r="H328" s="6">
        <v>-0.08551</v>
      </c>
      <c r="I328" s="6">
        <v>0.0311</v>
      </c>
      <c r="J328" s="6">
        <v>-0.26319</v>
      </c>
      <c r="K328" s="5" t="s">
        <v>236</v>
      </c>
      <c r="L328" s="6">
        <v>0.0</v>
      </c>
    </row>
    <row r="329" ht="13.5" customHeight="1">
      <c r="A329" s="5" t="s">
        <v>235</v>
      </c>
      <c r="B329" s="6">
        <v>0.5</v>
      </c>
      <c r="C329" s="5" t="s">
        <v>18</v>
      </c>
      <c r="D329" s="5" t="s">
        <v>19</v>
      </c>
      <c r="E329" s="6">
        <v>-6.0732</v>
      </c>
      <c r="F329" s="6">
        <v>-0.2713</v>
      </c>
      <c r="G329" s="6">
        <v>0.0088</v>
      </c>
      <c r="H329" s="6">
        <v>-0.08551</v>
      </c>
      <c r="I329" s="6">
        <v>0.02669</v>
      </c>
      <c r="J329" s="6">
        <v>-0.1035</v>
      </c>
      <c r="K329" s="5" t="s">
        <v>236</v>
      </c>
      <c r="L329" s="6">
        <v>0.5</v>
      </c>
    </row>
    <row r="330" ht="13.5" customHeight="1">
      <c r="A330" s="5" t="s">
        <v>235</v>
      </c>
      <c r="B330" s="6">
        <v>1.0</v>
      </c>
      <c r="C330" s="5" t="s">
        <v>18</v>
      </c>
      <c r="D330" s="5" t="s">
        <v>19</v>
      </c>
      <c r="E330" s="6">
        <v>-6.0732</v>
      </c>
      <c r="F330" s="6">
        <v>-0.175</v>
      </c>
      <c r="G330" s="6">
        <v>0.0088</v>
      </c>
      <c r="H330" s="6">
        <v>-0.08551</v>
      </c>
      <c r="I330" s="6">
        <v>0.02227</v>
      </c>
      <c r="J330" s="6">
        <v>0.00806</v>
      </c>
      <c r="K330" s="5" t="s">
        <v>236</v>
      </c>
      <c r="L330" s="6">
        <v>1.0</v>
      </c>
    </row>
    <row r="331" ht="13.5" customHeight="1">
      <c r="A331" s="5" t="s">
        <v>235</v>
      </c>
      <c r="B331" s="6">
        <v>1.5</v>
      </c>
      <c r="C331" s="5" t="s">
        <v>18</v>
      </c>
      <c r="D331" s="5" t="s">
        <v>19</v>
      </c>
      <c r="E331" s="6">
        <v>-6.0732</v>
      </c>
      <c r="F331" s="6">
        <v>-0.0788</v>
      </c>
      <c r="G331" s="6">
        <v>0.0088</v>
      </c>
      <c r="H331" s="6">
        <v>-0.08551</v>
      </c>
      <c r="I331" s="6">
        <v>0.01786</v>
      </c>
      <c r="J331" s="6">
        <v>0.0715</v>
      </c>
      <c r="K331" s="5" t="s">
        <v>236</v>
      </c>
      <c r="L331" s="6">
        <v>1.5</v>
      </c>
    </row>
    <row r="332" ht="13.5" customHeight="1">
      <c r="A332" s="5" t="s">
        <v>235</v>
      </c>
      <c r="B332" s="6">
        <v>2.0</v>
      </c>
      <c r="C332" s="5" t="s">
        <v>18</v>
      </c>
      <c r="D332" s="5" t="s">
        <v>19</v>
      </c>
      <c r="E332" s="6">
        <v>-6.0732</v>
      </c>
      <c r="F332" s="6">
        <v>0.0175</v>
      </c>
      <c r="G332" s="6">
        <v>0.0088</v>
      </c>
      <c r="H332" s="6">
        <v>-0.08551</v>
      </c>
      <c r="I332" s="6">
        <v>0.01344</v>
      </c>
      <c r="J332" s="6">
        <v>0.08682</v>
      </c>
      <c r="K332" s="5" t="s">
        <v>236</v>
      </c>
      <c r="L332" s="6">
        <v>2.0</v>
      </c>
    </row>
    <row r="333" ht="13.5" customHeight="1">
      <c r="A333" s="5" t="s">
        <v>235</v>
      </c>
      <c r="B333" s="6">
        <v>2.5</v>
      </c>
      <c r="C333" s="5" t="s">
        <v>18</v>
      </c>
      <c r="D333" s="5" t="s">
        <v>19</v>
      </c>
      <c r="E333" s="6">
        <v>-6.0732</v>
      </c>
      <c r="F333" s="6">
        <v>0.1137</v>
      </c>
      <c r="G333" s="6">
        <v>0.0088</v>
      </c>
      <c r="H333" s="6">
        <v>-0.08551</v>
      </c>
      <c r="I333" s="6">
        <v>0.00903</v>
      </c>
      <c r="J333" s="6">
        <v>0.05401</v>
      </c>
      <c r="K333" s="5" t="s">
        <v>236</v>
      </c>
      <c r="L333" s="6">
        <v>2.5</v>
      </c>
    </row>
    <row r="334" ht="13.5" customHeight="1">
      <c r="A334" s="5" t="s">
        <v>235</v>
      </c>
      <c r="B334" s="6">
        <v>3.0</v>
      </c>
      <c r="C334" s="5" t="s">
        <v>18</v>
      </c>
      <c r="D334" s="5" t="s">
        <v>19</v>
      </c>
      <c r="E334" s="6">
        <v>-6.0732</v>
      </c>
      <c r="F334" s="6">
        <v>0.21</v>
      </c>
      <c r="G334" s="6">
        <v>0.0088</v>
      </c>
      <c r="H334" s="6">
        <v>-0.08551</v>
      </c>
      <c r="I334" s="6">
        <v>0.00461</v>
      </c>
      <c r="J334" s="6">
        <v>-0.02692</v>
      </c>
      <c r="K334" s="5" t="s">
        <v>236</v>
      </c>
      <c r="L334" s="6">
        <v>3.0</v>
      </c>
    </row>
    <row r="335" ht="13.5" customHeight="1">
      <c r="A335" s="5" t="s">
        <v>235</v>
      </c>
      <c r="B335" s="6">
        <v>3.5</v>
      </c>
      <c r="C335" s="5" t="s">
        <v>18</v>
      </c>
      <c r="D335" s="5" t="s">
        <v>19</v>
      </c>
      <c r="E335" s="6">
        <v>-6.0732</v>
      </c>
      <c r="F335" s="6">
        <v>0.3062</v>
      </c>
      <c r="G335" s="6">
        <v>0.0088</v>
      </c>
      <c r="H335" s="6">
        <v>-0.08551</v>
      </c>
      <c r="I335" s="6">
        <v>2.0E-4</v>
      </c>
      <c r="J335" s="6">
        <v>-0.15598</v>
      </c>
      <c r="K335" s="5" t="s">
        <v>236</v>
      </c>
      <c r="L335" s="6">
        <v>3.5</v>
      </c>
    </row>
    <row r="336" ht="13.5" customHeight="1">
      <c r="A336" s="5" t="s">
        <v>235</v>
      </c>
      <c r="B336" s="6">
        <v>4.0</v>
      </c>
      <c r="C336" s="5" t="s">
        <v>18</v>
      </c>
      <c r="D336" s="5" t="s">
        <v>19</v>
      </c>
      <c r="E336" s="6">
        <v>-6.0732</v>
      </c>
      <c r="F336" s="6">
        <v>0.4025</v>
      </c>
      <c r="G336" s="6">
        <v>0.0088</v>
      </c>
      <c r="H336" s="6">
        <v>-0.08551</v>
      </c>
      <c r="I336" s="6">
        <v>-0.00422</v>
      </c>
      <c r="J336" s="6">
        <v>-0.33317</v>
      </c>
      <c r="K336" s="5" t="s">
        <v>236</v>
      </c>
      <c r="L336" s="6">
        <v>4.0</v>
      </c>
    </row>
    <row r="337" ht="13.5" customHeight="1">
      <c r="A337" s="5" t="s">
        <v>237</v>
      </c>
      <c r="B337" s="6">
        <v>0.0</v>
      </c>
      <c r="C337" s="5" t="s">
        <v>18</v>
      </c>
      <c r="D337" s="5" t="s">
        <v>19</v>
      </c>
      <c r="E337" s="6">
        <v>-3.2602</v>
      </c>
      <c r="F337" s="6">
        <v>-0.227</v>
      </c>
      <c r="G337" s="6">
        <v>-0.0517</v>
      </c>
      <c r="H337" s="6">
        <v>-0.00929</v>
      </c>
      <c r="I337" s="6">
        <v>-0.08841</v>
      </c>
      <c r="J337" s="6">
        <v>-0.28791</v>
      </c>
      <c r="K337" s="5" t="s">
        <v>238</v>
      </c>
      <c r="L337" s="6">
        <v>0.0</v>
      </c>
    </row>
    <row r="338" ht="13.5" customHeight="1">
      <c r="A338" s="5" t="s">
        <v>237</v>
      </c>
      <c r="B338" s="6">
        <v>0.5</v>
      </c>
      <c r="C338" s="5" t="s">
        <v>18</v>
      </c>
      <c r="D338" s="5" t="s">
        <v>19</v>
      </c>
      <c r="E338" s="6">
        <v>-3.2602</v>
      </c>
      <c r="F338" s="6">
        <v>-0.1308</v>
      </c>
      <c r="G338" s="6">
        <v>-0.0517</v>
      </c>
      <c r="H338" s="6">
        <v>-0.00929</v>
      </c>
      <c r="I338" s="6">
        <v>-0.06254</v>
      </c>
      <c r="J338" s="6">
        <v>-0.19847</v>
      </c>
      <c r="K338" s="5" t="s">
        <v>238</v>
      </c>
      <c r="L338" s="6">
        <v>0.5</v>
      </c>
    </row>
    <row r="339" ht="13.5" customHeight="1">
      <c r="A339" s="5" t="s">
        <v>237</v>
      </c>
      <c r="B339" s="6">
        <v>1.0</v>
      </c>
      <c r="C339" s="5" t="s">
        <v>18</v>
      </c>
      <c r="D339" s="5" t="s">
        <v>19</v>
      </c>
      <c r="E339" s="6">
        <v>-3.2602</v>
      </c>
      <c r="F339" s="6">
        <v>-0.0345</v>
      </c>
      <c r="G339" s="6">
        <v>-0.0517</v>
      </c>
      <c r="H339" s="6">
        <v>-0.00929</v>
      </c>
      <c r="I339" s="6">
        <v>-0.03667</v>
      </c>
      <c r="J339" s="6">
        <v>-0.15716</v>
      </c>
      <c r="K339" s="5" t="s">
        <v>238</v>
      </c>
      <c r="L339" s="6">
        <v>1.0</v>
      </c>
    </row>
    <row r="340" ht="13.5" customHeight="1">
      <c r="A340" s="5" t="s">
        <v>237</v>
      </c>
      <c r="B340" s="6">
        <v>1.5</v>
      </c>
      <c r="C340" s="5" t="s">
        <v>18</v>
      </c>
      <c r="D340" s="5" t="s">
        <v>19</v>
      </c>
      <c r="E340" s="6">
        <v>-3.2602</v>
      </c>
      <c r="F340" s="6">
        <v>0.0617</v>
      </c>
      <c r="G340" s="6">
        <v>-0.0517</v>
      </c>
      <c r="H340" s="6">
        <v>-0.00929</v>
      </c>
      <c r="I340" s="6">
        <v>-0.01081</v>
      </c>
      <c r="J340" s="6">
        <v>-0.16397</v>
      </c>
      <c r="K340" s="5" t="s">
        <v>238</v>
      </c>
      <c r="L340" s="6">
        <v>1.5</v>
      </c>
    </row>
    <row r="341" ht="13.5" customHeight="1">
      <c r="A341" s="5" t="s">
        <v>237</v>
      </c>
      <c r="B341" s="6">
        <v>2.0</v>
      </c>
      <c r="C341" s="5" t="s">
        <v>18</v>
      </c>
      <c r="D341" s="5" t="s">
        <v>19</v>
      </c>
      <c r="E341" s="6">
        <v>-3.2602</v>
      </c>
      <c r="F341" s="6">
        <v>0.158</v>
      </c>
      <c r="G341" s="6">
        <v>-0.0517</v>
      </c>
      <c r="H341" s="6">
        <v>-0.00929</v>
      </c>
      <c r="I341" s="6">
        <v>0.01506</v>
      </c>
      <c r="J341" s="6">
        <v>-0.2189</v>
      </c>
      <c r="K341" s="5" t="s">
        <v>238</v>
      </c>
      <c r="L341" s="6">
        <v>2.0</v>
      </c>
    </row>
    <row r="342" ht="13.5" customHeight="1">
      <c r="A342" s="5" t="s">
        <v>237</v>
      </c>
      <c r="B342" s="6">
        <v>2.5</v>
      </c>
      <c r="C342" s="5" t="s">
        <v>18</v>
      </c>
      <c r="D342" s="5" t="s">
        <v>19</v>
      </c>
      <c r="E342" s="6">
        <v>-3.2602</v>
      </c>
      <c r="F342" s="6">
        <v>0.2542</v>
      </c>
      <c r="G342" s="6">
        <v>-0.0517</v>
      </c>
      <c r="H342" s="6">
        <v>-0.00929</v>
      </c>
      <c r="I342" s="6">
        <v>0.04093</v>
      </c>
      <c r="J342" s="6">
        <v>-0.32196</v>
      </c>
      <c r="K342" s="5" t="s">
        <v>238</v>
      </c>
      <c r="L342" s="6">
        <v>2.5</v>
      </c>
    </row>
    <row r="343" ht="13.5" customHeight="1">
      <c r="A343" s="5" t="s">
        <v>237</v>
      </c>
      <c r="B343" s="6">
        <v>3.0</v>
      </c>
      <c r="C343" s="5" t="s">
        <v>18</v>
      </c>
      <c r="D343" s="5" t="s">
        <v>19</v>
      </c>
      <c r="E343" s="6">
        <v>-3.2602</v>
      </c>
      <c r="F343" s="6">
        <v>0.3505</v>
      </c>
      <c r="G343" s="6">
        <v>-0.0517</v>
      </c>
      <c r="H343" s="6">
        <v>-0.00929</v>
      </c>
      <c r="I343" s="6">
        <v>0.0668</v>
      </c>
      <c r="J343" s="6">
        <v>-0.47315</v>
      </c>
      <c r="K343" s="5" t="s">
        <v>238</v>
      </c>
      <c r="L343" s="6">
        <v>3.0</v>
      </c>
    </row>
    <row r="344" ht="13.5" customHeight="1">
      <c r="A344" s="5" t="s">
        <v>239</v>
      </c>
      <c r="B344" s="6">
        <v>0.0</v>
      </c>
      <c r="C344" s="5" t="s">
        <v>18</v>
      </c>
      <c r="D344" s="5" t="s">
        <v>19</v>
      </c>
      <c r="E344" s="6">
        <v>-3.2881</v>
      </c>
      <c r="F344" s="6">
        <v>-0.5447</v>
      </c>
      <c r="G344" s="6">
        <v>9.373E-4</v>
      </c>
      <c r="H344" s="6">
        <v>-0.00474</v>
      </c>
      <c r="I344" s="6">
        <v>0.01454</v>
      </c>
      <c r="J344" s="6">
        <v>-0.48324</v>
      </c>
      <c r="K344" s="5" t="s">
        <v>240</v>
      </c>
      <c r="L344" s="6">
        <v>0.0</v>
      </c>
    </row>
    <row r="345" ht="13.5" customHeight="1">
      <c r="A345" s="5" t="s">
        <v>239</v>
      </c>
      <c r="B345" s="6">
        <v>0.5</v>
      </c>
      <c r="C345" s="5" t="s">
        <v>18</v>
      </c>
      <c r="D345" s="5" t="s">
        <v>19</v>
      </c>
      <c r="E345" s="6">
        <v>-3.2881</v>
      </c>
      <c r="F345" s="6">
        <v>-0.4484</v>
      </c>
      <c r="G345" s="6">
        <v>9.373E-4</v>
      </c>
      <c r="H345" s="6">
        <v>-0.00474</v>
      </c>
      <c r="I345" s="6">
        <v>0.01407</v>
      </c>
      <c r="J345" s="6">
        <v>-0.23497</v>
      </c>
      <c r="K345" s="5" t="s">
        <v>240</v>
      </c>
      <c r="L345" s="6">
        <v>0.5</v>
      </c>
    </row>
    <row r="346" ht="13.5" customHeight="1">
      <c r="A346" s="5" t="s">
        <v>239</v>
      </c>
      <c r="B346" s="6">
        <v>1.0</v>
      </c>
      <c r="C346" s="5" t="s">
        <v>18</v>
      </c>
      <c r="D346" s="5" t="s">
        <v>19</v>
      </c>
      <c r="E346" s="6">
        <v>-3.2881</v>
      </c>
      <c r="F346" s="6">
        <v>-0.3522</v>
      </c>
      <c r="G346" s="6">
        <v>9.373E-4</v>
      </c>
      <c r="H346" s="6">
        <v>-0.00474</v>
      </c>
      <c r="I346" s="6">
        <v>0.0136</v>
      </c>
      <c r="J346" s="6">
        <v>-0.03483</v>
      </c>
      <c r="K346" s="5" t="s">
        <v>240</v>
      </c>
      <c r="L346" s="6">
        <v>1.0</v>
      </c>
    </row>
    <row r="347" ht="13.5" customHeight="1">
      <c r="A347" s="5" t="s">
        <v>239</v>
      </c>
      <c r="B347" s="6">
        <v>1.5</v>
      </c>
      <c r="C347" s="5" t="s">
        <v>18</v>
      </c>
      <c r="D347" s="5" t="s">
        <v>19</v>
      </c>
      <c r="E347" s="6">
        <v>-3.2881</v>
      </c>
      <c r="F347" s="6">
        <v>-0.2559</v>
      </c>
      <c r="G347" s="6">
        <v>9.373E-4</v>
      </c>
      <c r="H347" s="6">
        <v>-0.00474</v>
      </c>
      <c r="I347" s="6">
        <v>0.01313</v>
      </c>
      <c r="J347" s="6">
        <v>0.11719</v>
      </c>
      <c r="K347" s="5" t="s">
        <v>240</v>
      </c>
      <c r="L347" s="6">
        <v>1.5</v>
      </c>
    </row>
    <row r="348" ht="13.5" customHeight="1">
      <c r="A348" s="5" t="s">
        <v>239</v>
      </c>
      <c r="B348" s="6">
        <v>2.0</v>
      </c>
      <c r="C348" s="5" t="s">
        <v>18</v>
      </c>
      <c r="D348" s="5" t="s">
        <v>19</v>
      </c>
      <c r="E348" s="6">
        <v>-3.2881</v>
      </c>
      <c r="F348" s="6">
        <v>-0.1597</v>
      </c>
      <c r="G348" s="6">
        <v>9.373E-4</v>
      </c>
      <c r="H348" s="6">
        <v>-0.00474</v>
      </c>
      <c r="I348" s="6">
        <v>0.01266</v>
      </c>
      <c r="J348" s="6">
        <v>0.22108</v>
      </c>
      <c r="K348" s="5" t="s">
        <v>240</v>
      </c>
      <c r="L348" s="6">
        <v>2.0</v>
      </c>
    </row>
    <row r="349" ht="13.5" customHeight="1">
      <c r="A349" s="5" t="s">
        <v>239</v>
      </c>
      <c r="B349" s="6">
        <v>2.5</v>
      </c>
      <c r="C349" s="5" t="s">
        <v>18</v>
      </c>
      <c r="D349" s="5" t="s">
        <v>19</v>
      </c>
      <c r="E349" s="6">
        <v>-3.2881</v>
      </c>
      <c r="F349" s="6">
        <v>-0.0634</v>
      </c>
      <c r="G349" s="6">
        <v>9.373E-4</v>
      </c>
      <c r="H349" s="6">
        <v>-0.00474</v>
      </c>
      <c r="I349" s="6">
        <v>0.01219</v>
      </c>
      <c r="J349" s="6">
        <v>0.27685</v>
      </c>
      <c r="K349" s="5" t="s">
        <v>240</v>
      </c>
      <c r="L349" s="6">
        <v>2.5</v>
      </c>
    </row>
    <row r="350" ht="13.5" customHeight="1">
      <c r="A350" s="5" t="s">
        <v>239</v>
      </c>
      <c r="B350" s="6">
        <v>3.0</v>
      </c>
      <c r="C350" s="5" t="s">
        <v>18</v>
      </c>
      <c r="D350" s="5" t="s">
        <v>19</v>
      </c>
      <c r="E350" s="6">
        <v>-3.2881</v>
      </c>
      <c r="F350" s="6">
        <v>0.0328</v>
      </c>
      <c r="G350" s="6">
        <v>9.373E-4</v>
      </c>
      <c r="H350" s="6">
        <v>-0.00474</v>
      </c>
      <c r="I350" s="6">
        <v>0.01172</v>
      </c>
      <c r="J350" s="6">
        <v>0.28449</v>
      </c>
      <c r="K350" s="5" t="s">
        <v>240</v>
      </c>
      <c r="L350" s="6">
        <v>3.0</v>
      </c>
    </row>
    <row r="351" ht="13.5" customHeight="1">
      <c r="A351" s="5" t="s">
        <v>239</v>
      </c>
      <c r="B351" s="6">
        <v>3.5</v>
      </c>
      <c r="C351" s="5" t="s">
        <v>18</v>
      </c>
      <c r="D351" s="5" t="s">
        <v>19</v>
      </c>
      <c r="E351" s="6">
        <v>-3.2881</v>
      </c>
      <c r="F351" s="6">
        <v>0.1291</v>
      </c>
      <c r="G351" s="6">
        <v>9.373E-4</v>
      </c>
      <c r="H351" s="6">
        <v>-0.00474</v>
      </c>
      <c r="I351" s="6">
        <v>0.01126</v>
      </c>
      <c r="J351" s="6">
        <v>0.24401</v>
      </c>
      <c r="K351" s="5" t="s">
        <v>240</v>
      </c>
      <c r="L351" s="6">
        <v>3.5</v>
      </c>
    </row>
    <row r="352" ht="13.5" customHeight="1">
      <c r="A352" s="5" t="s">
        <v>239</v>
      </c>
      <c r="B352" s="6">
        <v>4.0</v>
      </c>
      <c r="C352" s="5" t="s">
        <v>18</v>
      </c>
      <c r="D352" s="5" t="s">
        <v>19</v>
      </c>
      <c r="E352" s="6">
        <v>-3.2881</v>
      </c>
      <c r="F352" s="6">
        <v>0.2253</v>
      </c>
      <c r="G352" s="6">
        <v>9.373E-4</v>
      </c>
      <c r="H352" s="6">
        <v>-0.00474</v>
      </c>
      <c r="I352" s="6">
        <v>0.01079</v>
      </c>
      <c r="J352" s="6">
        <v>0.1554</v>
      </c>
      <c r="K352" s="5" t="s">
        <v>240</v>
      </c>
      <c r="L352" s="6">
        <v>4.0</v>
      </c>
    </row>
    <row r="353" ht="13.5" customHeight="1">
      <c r="A353" s="5" t="s">
        <v>239</v>
      </c>
      <c r="B353" s="6">
        <v>4.5</v>
      </c>
      <c r="C353" s="5" t="s">
        <v>18</v>
      </c>
      <c r="D353" s="5" t="s">
        <v>19</v>
      </c>
      <c r="E353" s="6">
        <v>-3.2881</v>
      </c>
      <c r="F353" s="6">
        <v>0.3216</v>
      </c>
      <c r="G353" s="6">
        <v>9.373E-4</v>
      </c>
      <c r="H353" s="6">
        <v>-0.00474</v>
      </c>
      <c r="I353" s="6">
        <v>0.01032</v>
      </c>
      <c r="J353" s="6">
        <v>0.01867</v>
      </c>
      <c r="K353" s="5" t="s">
        <v>240</v>
      </c>
      <c r="L353" s="6">
        <v>4.5</v>
      </c>
    </row>
    <row r="354" ht="13.5" customHeight="1">
      <c r="A354" s="5" t="s">
        <v>239</v>
      </c>
      <c r="B354" s="6">
        <v>5.0</v>
      </c>
      <c r="C354" s="5" t="s">
        <v>18</v>
      </c>
      <c r="D354" s="5" t="s">
        <v>19</v>
      </c>
      <c r="E354" s="6">
        <v>-3.2881</v>
      </c>
      <c r="F354" s="6">
        <v>0.4178</v>
      </c>
      <c r="G354" s="6">
        <v>9.373E-4</v>
      </c>
      <c r="H354" s="6">
        <v>-0.00474</v>
      </c>
      <c r="I354" s="6">
        <v>0.00985</v>
      </c>
      <c r="J354" s="6">
        <v>-0.16618</v>
      </c>
      <c r="K354" s="5" t="s">
        <v>240</v>
      </c>
      <c r="L354" s="6">
        <v>5.0</v>
      </c>
    </row>
    <row r="355" ht="13.5" customHeight="1">
      <c r="A355" s="5" t="s">
        <v>239</v>
      </c>
      <c r="B355" s="6">
        <v>5.5</v>
      </c>
      <c r="C355" s="5" t="s">
        <v>18</v>
      </c>
      <c r="D355" s="5" t="s">
        <v>19</v>
      </c>
      <c r="E355" s="6">
        <v>-3.2881</v>
      </c>
      <c r="F355" s="6">
        <v>0.5141</v>
      </c>
      <c r="G355" s="6">
        <v>9.373E-4</v>
      </c>
      <c r="H355" s="6">
        <v>-0.00474</v>
      </c>
      <c r="I355" s="6">
        <v>0.00938</v>
      </c>
      <c r="J355" s="6">
        <v>-0.39917</v>
      </c>
      <c r="K355" s="5" t="s">
        <v>240</v>
      </c>
      <c r="L355" s="6">
        <v>5.5</v>
      </c>
    </row>
    <row r="356" ht="13.5" customHeight="1">
      <c r="A356" s="5" t="s">
        <v>241</v>
      </c>
      <c r="B356" s="6">
        <v>0.0</v>
      </c>
      <c r="C356" s="5" t="s">
        <v>18</v>
      </c>
      <c r="D356" s="5" t="s">
        <v>19</v>
      </c>
      <c r="E356" s="6">
        <v>-3.2833</v>
      </c>
      <c r="F356" s="6">
        <v>-0.3896</v>
      </c>
      <c r="G356" s="6">
        <v>-0.0055</v>
      </c>
      <c r="H356" s="6">
        <v>-1.7E-4</v>
      </c>
      <c r="I356" s="6">
        <v>-0.01252</v>
      </c>
      <c r="J356" s="6">
        <v>-0.34392</v>
      </c>
      <c r="K356" s="5" t="s">
        <v>242</v>
      </c>
      <c r="L356" s="6">
        <v>0.0</v>
      </c>
    </row>
    <row r="357" ht="13.5" customHeight="1">
      <c r="A357" s="5" t="s">
        <v>241</v>
      </c>
      <c r="B357" s="6">
        <v>0.5</v>
      </c>
      <c r="C357" s="5" t="s">
        <v>18</v>
      </c>
      <c r="D357" s="5" t="s">
        <v>19</v>
      </c>
      <c r="E357" s="6">
        <v>-3.2833</v>
      </c>
      <c r="F357" s="6">
        <v>-0.2933</v>
      </c>
      <c r="G357" s="6">
        <v>-0.0055</v>
      </c>
      <c r="H357" s="6">
        <v>-1.7E-4</v>
      </c>
      <c r="I357" s="6">
        <v>-0.00978</v>
      </c>
      <c r="J357" s="6">
        <v>-0.17319</v>
      </c>
      <c r="K357" s="5" t="s">
        <v>242</v>
      </c>
      <c r="L357" s="6">
        <v>0.5</v>
      </c>
    </row>
    <row r="358" ht="13.5" customHeight="1">
      <c r="A358" s="5" t="s">
        <v>241</v>
      </c>
      <c r="B358" s="6">
        <v>1.0</v>
      </c>
      <c r="C358" s="5" t="s">
        <v>18</v>
      </c>
      <c r="D358" s="5" t="s">
        <v>19</v>
      </c>
      <c r="E358" s="6">
        <v>-3.2833</v>
      </c>
      <c r="F358" s="6">
        <v>-0.1971</v>
      </c>
      <c r="G358" s="6">
        <v>-0.0055</v>
      </c>
      <c r="H358" s="6">
        <v>-1.7E-4</v>
      </c>
      <c r="I358" s="6">
        <v>-0.00704</v>
      </c>
      <c r="J358" s="6">
        <v>-0.05058</v>
      </c>
      <c r="K358" s="5" t="s">
        <v>242</v>
      </c>
      <c r="L358" s="6">
        <v>1.0</v>
      </c>
    </row>
    <row r="359" ht="13.5" customHeight="1">
      <c r="A359" s="5" t="s">
        <v>241</v>
      </c>
      <c r="B359" s="6">
        <v>1.5</v>
      </c>
      <c r="C359" s="5" t="s">
        <v>18</v>
      </c>
      <c r="D359" s="5" t="s">
        <v>19</v>
      </c>
      <c r="E359" s="6">
        <v>-3.2833</v>
      </c>
      <c r="F359" s="6">
        <v>-0.1008</v>
      </c>
      <c r="G359" s="6">
        <v>-0.0055</v>
      </c>
      <c r="H359" s="6">
        <v>-1.7E-4</v>
      </c>
      <c r="I359" s="6">
        <v>-0.0043</v>
      </c>
      <c r="J359" s="6">
        <v>0.0239</v>
      </c>
      <c r="K359" s="5" t="s">
        <v>242</v>
      </c>
      <c r="L359" s="6">
        <v>1.5</v>
      </c>
    </row>
    <row r="360" ht="13.5" customHeight="1">
      <c r="A360" s="5" t="s">
        <v>241</v>
      </c>
      <c r="B360" s="6">
        <v>2.0</v>
      </c>
      <c r="C360" s="5" t="s">
        <v>18</v>
      </c>
      <c r="D360" s="5" t="s">
        <v>19</v>
      </c>
      <c r="E360" s="6">
        <v>-3.2833</v>
      </c>
      <c r="F360" s="6">
        <v>-0.0046</v>
      </c>
      <c r="G360" s="6">
        <v>-0.0055</v>
      </c>
      <c r="H360" s="6">
        <v>-1.7E-4</v>
      </c>
      <c r="I360" s="6">
        <v>-0.00156</v>
      </c>
      <c r="J360" s="6">
        <v>0.05026</v>
      </c>
      <c r="K360" s="5" t="s">
        <v>242</v>
      </c>
      <c r="L360" s="6">
        <v>2.0</v>
      </c>
    </row>
    <row r="361" ht="13.5" customHeight="1">
      <c r="A361" s="5" t="s">
        <v>241</v>
      </c>
      <c r="B361" s="6">
        <v>2.5</v>
      </c>
      <c r="C361" s="5" t="s">
        <v>18</v>
      </c>
      <c r="D361" s="5" t="s">
        <v>19</v>
      </c>
      <c r="E361" s="6">
        <v>-3.2833</v>
      </c>
      <c r="F361" s="6">
        <v>0.0917</v>
      </c>
      <c r="G361" s="6">
        <v>-0.0055</v>
      </c>
      <c r="H361" s="6">
        <v>-1.7E-4</v>
      </c>
      <c r="I361" s="6">
        <v>0.00118</v>
      </c>
      <c r="J361" s="6">
        <v>0.02849</v>
      </c>
      <c r="K361" s="5" t="s">
        <v>242</v>
      </c>
      <c r="L361" s="6">
        <v>2.5</v>
      </c>
    </row>
    <row r="362" ht="13.5" customHeight="1">
      <c r="A362" s="5" t="s">
        <v>241</v>
      </c>
      <c r="B362" s="6">
        <v>3.0</v>
      </c>
      <c r="C362" s="5" t="s">
        <v>18</v>
      </c>
      <c r="D362" s="5" t="s">
        <v>19</v>
      </c>
      <c r="E362" s="6">
        <v>-3.2833</v>
      </c>
      <c r="F362" s="6">
        <v>0.1879</v>
      </c>
      <c r="G362" s="6">
        <v>-0.0055</v>
      </c>
      <c r="H362" s="6">
        <v>-1.7E-4</v>
      </c>
      <c r="I362" s="6">
        <v>0.00392</v>
      </c>
      <c r="J362" s="6">
        <v>-0.0414</v>
      </c>
      <c r="K362" s="5" t="s">
        <v>242</v>
      </c>
      <c r="L362" s="6">
        <v>3.0</v>
      </c>
    </row>
    <row r="363" ht="13.5" customHeight="1">
      <c r="A363" s="5" t="s">
        <v>241</v>
      </c>
      <c r="B363" s="6">
        <v>3.5</v>
      </c>
      <c r="C363" s="5" t="s">
        <v>18</v>
      </c>
      <c r="D363" s="5" t="s">
        <v>19</v>
      </c>
      <c r="E363" s="6">
        <v>-3.2833</v>
      </c>
      <c r="F363" s="6">
        <v>0.2842</v>
      </c>
      <c r="G363" s="6">
        <v>-0.0055</v>
      </c>
      <c r="H363" s="6">
        <v>-1.7E-4</v>
      </c>
      <c r="I363" s="6">
        <v>0.00666</v>
      </c>
      <c r="J363" s="6">
        <v>-0.15942</v>
      </c>
      <c r="K363" s="5" t="s">
        <v>242</v>
      </c>
      <c r="L363" s="6">
        <v>3.5</v>
      </c>
    </row>
    <row r="364" ht="13.5" customHeight="1">
      <c r="A364" s="5" t="s">
        <v>241</v>
      </c>
      <c r="B364" s="6">
        <v>4.0</v>
      </c>
      <c r="C364" s="5" t="s">
        <v>18</v>
      </c>
      <c r="D364" s="5" t="s">
        <v>19</v>
      </c>
      <c r="E364" s="6">
        <v>-3.2833</v>
      </c>
      <c r="F364" s="6">
        <v>0.3804</v>
      </c>
      <c r="G364" s="6">
        <v>-0.0055</v>
      </c>
      <c r="H364" s="6">
        <v>-1.7E-4</v>
      </c>
      <c r="I364" s="6">
        <v>0.0094</v>
      </c>
      <c r="J364" s="6">
        <v>-0.32556</v>
      </c>
      <c r="K364" s="5" t="s">
        <v>242</v>
      </c>
      <c r="L364" s="6">
        <v>4.0</v>
      </c>
    </row>
    <row r="365" ht="13.5" customHeight="1">
      <c r="A365" s="5" t="s">
        <v>243</v>
      </c>
      <c r="B365" s="6">
        <v>0.0</v>
      </c>
      <c r="C365" s="5" t="s">
        <v>18</v>
      </c>
      <c r="D365" s="5" t="s">
        <v>19</v>
      </c>
      <c r="E365" s="6">
        <v>-3.3231</v>
      </c>
      <c r="F365" s="6">
        <v>-0.516</v>
      </c>
      <c r="G365" s="6">
        <v>-0.0083</v>
      </c>
      <c r="H365" s="6">
        <v>0.00466</v>
      </c>
      <c r="I365" s="6">
        <v>-0.01143</v>
      </c>
      <c r="J365" s="6">
        <v>-0.40837</v>
      </c>
      <c r="K365" s="5" t="s">
        <v>244</v>
      </c>
      <c r="L365" s="6">
        <v>0.0</v>
      </c>
    </row>
    <row r="366" ht="13.5" customHeight="1">
      <c r="A366" s="5" t="s">
        <v>243</v>
      </c>
      <c r="B366" s="6">
        <v>0.5</v>
      </c>
      <c r="C366" s="5" t="s">
        <v>18</v>
      </c>
      <c r="D366" s="5" t="s">
        <v>19</v>
      </c>
      <c r="E366" s="6">
        <v>-3.3231</v>
      </c>
      <c r="F366" s="6">
        <v>-0.4198</v>
      </c>
      <c r="G366" s="6">
        <v>-0.0083</v>
      </c>
      <c r="H366" s="6">
        <v>0.00466</v>
      </c>
      <c r="I366" s="6">
        <v>-0.00728</v>
      </c>
      <c r="J366" s="6">
        <v>-0.17443</v>
      </c>
      <c r="K366" s="5" t="s">
        <v>244</v>
      </c>
      <c r="L366" s="6">
        <v>0.5</v>
      </c>
    </row>
    <row r="367" ht="13.5" customHeight="1">
      <c r="A367" s="5" t="s">
        <v>243</v>
      </c>
      <c r="B367" s="6">
        <v>1.0</v>
      </c>
      <c r="C367" s="5" t="s">
        <v>18</v>
      </c>
      <c r="D367" s="5" t="s">
        <v>19</v>
      </c>
      <c r="E367" s="6">
        <v>-3.3231</v>
      </c>
      <c r="F367" s="6">
        <v>-0.3235</v>
      </c>
      <c r="G367" s="6">
        <v>-0.0083</v>
      </c>
      <c r="H367" s="6">
        <v>0.00466</v>
      </c>
      <c r="I367" s="6">
        <v>-0.00313</v>
      </c>
      <c r="J367" s="6">
        <v>0.01139</v>
      </c>
      <c r="K367" s="5" t="s">
        <v>244</v>
      </c>
      <c r="L367" s="6">
        <v>1.0</v>
      </c>
    </row>
    <row r="368" ht="13.5" customHeight="1">
      <c r="A368" s="5" t="s">
        <v>243</v>
      </c>
      <c r="B368" s="6">
        <v>1.5</v>
      </c>
      <c r="C368" s="5" t="s">
        <v>18</v>
      </c>
      <c r="D368" s="5" t="s">
        <v>19</v>
      </c>
      <c r="E368" s="6">
        <v>-3.3231</v>
      </c>
      <c r="F368" s="6">
        <v>-0.2273</v>
      </c>
      <c r="G368" s="6">
        <v>-0.0083</v>
      </c>
      <c r="H368" s="6">
        <v>0.00466</v>
      </c>
      <c r="I368" s="6">
        <v>0.00102</v>
      </c>
      <c r="J368" s="6">
        <v>0.14908</v>
      </c>
      <c r="K368" s="5" t="s">
        <v>244</v>
      </c>
      <c r="L368" s="6">
        <v>1.5</v>
      </c>
    </row>
    <row r="369" ht="13.5" customHeight="1">
      <c r="A369" s="5" t="s">
        <v>243</v>
      </c>
      <c r="B369" s="6">
        <v>2.0</v>
      </c>
      <c r="C369" s="5" t="s">
        <v>18</v>
      </c>
      <c r="D369" s="5" t="s">
        <v>19</v>
      </c>
      <c r="E369" s="6">
        <v>-3.3231</v>
      </c>
      <c r="F369" s="6">
        <v>-0.131</v>
      </c>
      <c r="G369" s="6">
        <v>-0.0083</v>
      </c>
      <c r="H369" s="6">
        <v>0.00466</v>
      </c>
      <c r="I369" s="6">
        <v>0.00517</v>
      </c>
      <c r="J369" s="6">
        <v>0.23865</v>
      </c>
      <c r="K369" s="5" t="s">
        <v>244</v>
      </c>
      <c r="L369" s="6">
        <v>2.0</v>
      </c>
    </row>
    <row r="370" ht="13.5" customHeight="1">
      <c r="A370" s="5" t="s">
        <v>243</v>
      </c>
      <c r="B370" s="6">
        <v>2.5</v>
      </c>
      <c r="C370" s="5" t="s">
        <v>18</v>
      </c>
      <c r="D370" s="5" t="s">
        <v>19</v>
      </c>
      <c r="E370" s="6">
        <v>-3.3231</v>
      </c>
      <c r="F370" s="6">
        <v>-0.0348</v>
      </c>
      <c r="G370" s="6">
        <v>-0.0083</v>
      </c>
      <c r="H370" s="6">
        <v>0.00466</v>
      </c>
      <c r="I370" s="6">
        <v>0.00931</v>
      </c>
      <c r="J370" s="6">
        <v>0.2801</v>
      </c>
      <c r="K370" s="5" t="s">
        <v>244</v>
      </c>
      <c r="L370" s="6">
        <v>2.5</v>
      </c>
    </row>
    <row r="371" ht="13.5" customHeight="1">
      <c r="A371" s="5" t="s">
        <v>243</v>
      </c>
      <c r="B371" s="6">
        <v>3.0</v>
      </c>
      <c r="C371" s="5" t="s">
        <v>18</v>
      </c>
      <c r="D371" s="5" t="s">
        <v>19</v>
      </c>
      <c r="E371" s="6">
        <v>-3.3231</v>
      </c>
      <c r="F371" s="6">
        <v>0.0615</v>
      </c>
      <c r="G371" s="6">
        <v>-0.0083</v>
      </c>
      <c r="H371" s="6">
        <v>0.00466</v>
      </c>
      <c r="I371" s="6">
        <v>0.01346</v>
      </c>
      <c r="J371" s="6">
        <v>0.27342</v>
      </c>
      <c r="K371" s="5" t="s">
        <v>244</v>
      </c>
      <c r="L371" s="6">
        <v>3.0</v>
      </c>
    </row>
    <row r="372" ht="13.5" customHeight="1">
      <c r="A372" s="5" t="s">
        <v>243</v>
      </c>
      <c r="B372" s="6">
        <v>3.5</v>
      </c>
      <c r="C372" s="5" t="s">
        <v>18</v>
      </c>
      <c r="D372" s="5" t="s">
        <v>19</v>
      </c>
      <c r="E372" s="6">
        <v>-3.3231</v>
      </c>
      <c r="F372" s="6">
        <v>0.1577</v>
      </c>
      <c r="G372" s="6">
        <v>-0.0083</v>
      </c>
      <c r="H372" s="6">
        <v>0.00466</v>
      </c>
      <c r="I372" s="6">
        <v>0.01761</v>
      </c>
      <c r="J372" s="6">
        <v>0.21861</v>
      </c>
      <c r="K372" s="5" t="s">
        <v>244</v>
      </c>
      <c r="L372" s="6">
        <v>3.5</v>
      </c>
    </row>
    <row r="373" ht="13.5" customHeight="1">
      <c r="A373" s="5" t="s">
        <v>243</v>
      </c>
      <c r="B373" s="6">
        <v>4.0</v>
      </c>
      <c r="C373" s="5" t="s">
        <v>18</v>
      </c>
      <c r="D373" s="5" t="s">
        <v>19</v>
      </c>
      <c r="E373" s="6">
        <v>-3.3231</v>
      </c>
      <c r="F373" s="6">
        <v>0.254</v>
      </c>
      <c r="G373" s="6">
        <v>-0.0083</v>
      </c>
      <c r="H373" s="6">
        <v>0.00466</v>
      </c>
      <c r="I373" s="6">
        <v>0.02176</v>
      </c>
      <c r="J373" s="6">
        <v>0.11568</v>
      </c>
      <c r="K373" s="5" t="s">
        <v>244</v>
      </c>
      <c r="L373" s="6">
        <v>4.0</v>
      </c>
    </row>
    <row r="374" ht="13.5" customHeight="1">
      <c r="A374" s="5" t="s">
        <v>243</v>
      </c>
      <c r="B374" s="6">
        <v>4.5</v>
      </c>
      <c r="C374" s="5" t="s">
        <v>18</v>
      </c>
      <c r="D374" s="5" t="s">
        <v>19</v>
      </c>
      <c r="E374" s="6">
        <v>-3.3231</v>
      </c>
      <c r="F374" s="6">
        <v>0.3502</v>
      </c>
      <c r="G374" s="6">
        <v>-0.0083</v>
      </c>
      <c r="H374" s="6">
        <v>0.00466</v>
      </c>
      <c r="I374" s="6">
        <v>0.02591</v>
      </c>
      <c r="J374" s="6">
        <v>-0.03537</v>
      </c>
      <c r="K374" s="5" t="s">
        <v>244</v>
      </c>
      <c r="L374" s="6">
        <v>4.5</v>
      </c>
    </row>
    <row r="375" ht="13.5" customHeight="1">
      <c r="A375" s="5" t="s">
        <v>243</v>
      </c>
      <c r="B375" s="6">
        <v>5.0</v>
      </c>
      <c r="C375" s="5" t="s">
        <v>18</v>
      </c>
      <c r="D375" s="5" t="s">
        <v>19</v>
      </c>
      <c r="E375" s="6">
        <v>-3.3231</v>
      </c>
      <c r="F375" s="6">
        <v>0.4465</v>
      </c>
      <c r="G375" s="6">
        <v>-0.0083</v>
      </c>
      <c r="H375" s="6">
        <v>0.00466</v>
      </c>
      <c r="I375" s="6">
        <v>0.03005</v>
      </c>
      <c r="J375" s="6">
        <v>-0.23455</v>
      </c>
      <c r="K375" s="5" t="s">
        <v>244</v>
      </c>
      <c r="L375" s="6">
        <v>5.0</v>
      </c>
    </row>
    <row r="376" ht="13.5" customHeight="1">
      <c r="A376" s="5" t="s">
        <v>243</v>
      </c>
      <c r="B376" s="6">
        <v>5.5</v>
      </c>
      <c r="C376" s="5" t="s">
        <v>18</v>
      </c>
      <c r="D376" s="5" t="s">
        <v>19</v>
      </c>
      <c r="E376" s="6">
        <v>-3.3231</v>
      </c>
      <c r="F376" s="6">
        <v>0.5427</v>
      </c>
      <c r="G376" s="6">
        <v>-0.0083</v>
      </c>
      <c r="H376" s="6">
        <v>0.00466</v>
      </c>
      <c r="I376" s="6">
        <v>0.0342</v>
      </c>
      <c r="J376" s="6">
        <v>-0.48186</v>
      </c>
      <c r="K376" s="5" t="s">
        <v>244</v>
      </c>
      <c r="L376" s="6">
        <v>5.5</v>
      </c>
    </row>
    <row r="377" ht="13.5" customHeight="1">
      <c r="A377" s="5" t="s">
        <v>245</v>
      </c>
      <c r="B377" s="6">
        <v>0.0</v>
      </c>
      <c r="C377" s="5" t="s">
        <v>18</v>
      </c>
      <c r="D377" s="5" t="s">
        <v>19</v>
      </c>
      <c r="E377" s="6">
        <v>-3.334</v>
      </c>
      <c r="F377" s="6">
        <v>-0.377</v>
      </c>
      <c r="G377" s="6">
        <v>0.0329</v>
      </c>
      <c r="H377" s="6">
        <v>0.01111</v>
      </c>
      <c r="I377" s="6">
        <v>0.04013</v>
      </c>
      <c r="J377" s="6">
        <v>-0.50977</v>
      </c>
      <c r="K377" s="5" t="s">
        <v>246</v>
      </c>
      <c r="L377" s="6">
        <v>0.0</v>
      </c>
    </row>
    <row r="378" ht="13.5" customHeight="1">
      <c r="A378" s="5" t="s">
        <v>245</v>
      </c>
      <c r="B378" s="6">
        <v>0.5</v>
      </c>
      <c r="C378" s="5" t="s">
        <v>18</v>
      </c>
      <c r="D378" s="5" t="s">
        <v>19</v>
      </c>
      <c r="E378" s="6">
        <v>-3.334</v>
      </c>
      <c r="F378" s="6">
        <v>-0.2807</v>
      </c>
      <c r="G378" s="6">
        <v>0.0329</v>
      </c>
      <c r="H378" s="6">
        <v>0.01111</v>
      </c>
      <c r="I378" s="6">
        <v>0.02368</v>
      </c>
      <c r="J378" s="6">
        <v>-0.34535</v>
      </c>
      <c r="K378" s="5" t="s">
        <v>246</v>
      </c>
      <c r="L378" s="6">
        <v>0.5</v>
      </c>
    </row>
    <row r="379" ht="13.5" customHeight="1">
      <c r="A379" s="5" t="s">
        <v>245</v>
      </c>
      <c r="B379" s="6">
        <v>1.0</v>
      </c>
      <c r="C379" s="5" t="s">
        <v>18</v>
      </c>
      <c r="D379" s="5" t="s">
        <v>19</v>
      </c>
      <c r="E379" s="6">
        <v>-3.334</v>
      </c>
      <c r="F379" s="6">
        <v>-0.1845</v>
      </c>
      <c r="G379" s="6">
        <v>0.0329</v>
      </c>
      <c r="H379" s="6">
        <v>0.01111</v>
      </c>
      <c r="I379" s="6">
        <v>0.00723</v>
      </c>
      <c r="J379" s="6">
        <v>-0.22905</v>
      </c>
      <c r="K379" s="5" t="s">
        <v>246</v>
      </c>
      <c r="L379" s="6">
        <v>1.0</v>
      </c>
    </row>
    <row r="380" ht="13.5" customHeight="1">
      <c r="A380" s="5" t="s">
        <v>245</v>
      </c>
      <c r="B380" s="6">
        <v>1.5</v>
      </c>
      <c r="C380" s="5" t="s">
        <v>18</v>
      </c>
      <c r="D380" s="5" t="s">
        <v>19</v>
      </c>
      <c r="E380" s="6">
        <v>-3.334</v>
      </c>
      <c r="F380" s="6">
        <v>-0.0882</v>
      </c>
      <c r="G380" s="6">
        <v>0.0329</v>
      </c>
      <c r="H380" s="6">
        <v>0.01111</v>
      </c>
      <c r="I380" s="6">
        <v>-0.00922</v>
      </c>
      <c r="J380" s="6">
        <v>-0.16087</v>
      </c>
      <c r="K380" s="5" t="s">
        <v>246</v>
      </c>
      <c r="L380" s="6">
        <v>1.5</v>
      </c>
    </row>
    <row r="381" ht="13.5" customHeight="1">
      <c r="A381" s="5" t="s">
        <v>245</v>
      </c>
      <c r="B381" s="6">
        <v>2.0</v>
      </c>
      <c r="C381" s="5" t="s">
        <v>18</v>
      </c>
      <c r="D381" s="5" t="s">
        <v>19</v>
      </c>
      <c r="E381" s="6">
        <v>-3.334</v>
      </c>
      <c r="F381" s="6">
        <v>0.008</v>
      </c>
      <c r="G381" s="6">
        <v>0.0329</v>
      </c>
      <c r="H381" s="6">
        <v>0.01111</v>
      </c>
      <c r="I381" s="6">
        <v>-0.02567</v>
      </c>
      <c r="J381" s="6">
        <v>-0.14082</v>
      </c>
      <c r="K381" s="5" t="s">
        <v>246</v>
      </c>
      <c r="L381" s="6">
        <v>2.0</v>
      </c>
    </row>
    <row r="382" ht="13.5" customHeight="1">
      <c r="A382" s="5" t="s">
        <v>245</v>
      </c>
      <c r="B382" s="6">
        <v>2.5</v>
      </c>
      <c r="C382" s="5" t="s">
        <v>18</v>
      </c>
      <c r="D382" s="5" t="s">
        <v>19</v>
      </c>
      <c r="E382" s="6">
        <v>-3.334</v>
      </c>
      <c r="F382" s="6">
        <v>0.1043</v>
      </c>
      <c r="G382" s="6">
        <v>0.0329</v>
      </c>
      <c r="H382" s="6">
        <v>0.01111</v>
      </c>
      <c r="I382" s="6">
        <v>-0.04212</v>
      </c>
      <c r="J382" s="6">
        <v>-0.1689</v>
      </c>
      <c r="K382" s="5" t="s">
        <v>246</v>
      </c>
      <c r="L382" s="6">
        <v>2.5</v>
      </c>
    </row>
    <row r="383" ht="13.5" customHeight="1">
      <c r="A383" s="5" t="s">
        <v>245</v>
      </c>
      <c r="B383" s="6">
        <v>3.0</v>
      </c>
      <c r="C383" s="5" t="s">
        <v>18</v>
      </c>
      <c r="D383" s="5" t="s">
        <v>19</v>
      </c>
      <c r="E383" s="6">
        <v>-3.334</v>
      </c>
      <c r="F383" s="6">
        <v>0.2005</v>
      </c>
      <c r="G383" s="6">
        <v>0.0329</v>
      </c>
      <c r="H383" s="6">
        <v>0.01111</v>
      </c>
      <c r="I383" s="6">
        <v>-0.05857</v>
      </c>
      <c r="J383" s="6">
        <v>-0.2451</v>
      </c>
      <c r="K383" s="5" t="s">
        <v>246</v>
      </c>
      <c r="L383" s="6">
        <v>3.0</v>
      </c>
    </row>
    <row r="384" ht="13.5" customHeight="1">
      <c r="A384" s="5" t="s">
        <v>247</v>
      </c>
      <c r="B384" s="6">
        <v>0.0</v>
      </c>
      <c r="C384" s="5" t="s">
        <v>18</v>
      </c>
      <c r="D384" s="5" t="s">
        <v>19</v>
      </c>
      <c r="E384" s="6">
        <v>-2.7872</v>
      </c>
      <c r="F384" s="6">
        <v>-0.2435</v>
      </c>
      <c r="G384" s="6">
        <v>0.0276</v>
      </c>
      <c r="H384" s="6">
        <v>-0.07479</v>
      </c>
      <c r="I384" s="6">
        <v>0.06063</v>
      </c>
      <c r="J384" s="6">
        <v>-0.0362</v>
      </c>
      <c r="K384" s="5" t="s">
        <v>248</v>
      </c>
      <c r="L384" s="6">
        <v>0.0</v>
      </c>
    </row>
    <row r="385" ht="13.5" customHeight="1">
      <c r="A385" s="5" t="s">
        <v>247</v>
      </c>
      <c r="B385" s="6">
        <v>0.5</v>
      </c>
      <c r="C385" s="5" t="s">
        <v>18</v>
      </c>
      <c r="D385" s="5" t="s">
        <v>19</v>
      </c>
      <c r="E385" s="6">
        <v>-2.7872</v>
      </c>
      <c r="F385" s="6">
        <v>-0.1472</v>
      </c>
      <c r="G385" s="6">
        <v>0.0276</v>
      </c>
      <c r="H385" s="6">
        <v>-0.07479</v>
      </c>
      <c r="I385" s="6">
        <v>0.04684</v>
      </c>
      <c r="J385" s="6">
        <v>0.06149</v>
      </c>
      <c r="K385" s="5" t="s">
        <v>248</v>
      </c>
      <c r="L385" s="6">
        <v>0.5</v>
      </c>
    </row>
    <row r="386" ht="13.5" customHeight="1">
      <c r="A386" s="5" t="s">
        <v>247</v>
      </c>
      <c r="B386" s="6">
        <v>1.0</v>
      </c>
      <c r="C386" s="5" t="s">
        <v>18</v>
      </c>
      <c r="D386" s="5" t="s">
        <v>19</v>
      </c>
      <c r="E386" s="6">
        <v>-2.7872</v>
      </c>
      <c r="F386" s="6">
        <v>-0.051</v>
      </c>
      <c r="G386" s="6">
        <v>0.0276</v>
      </c>
      <c r="H386" s="6">
        <v>-0.07479</v>
      </c>
      <c r="I386" s="6">
        <v>0.03305</v>
      </c>
      <c r="J386" s="6">
        <v>0.11105</v>
      </c>
      <c r="K386" s="5" t="s">
        <v>248</v>
      </c>
      <c r="L386" s="6">
        <v>1.0</v>
      </c>
    </row>
    <row r="387" ht="13.5" customHeight="1">
      <c r="A387" s="5" t="s">
        <v>247</v>
      </c>
      <c r="B387" s="6">
        <v>1.5</v>
      </c>
      <c r="C387" s="5" t="s">
        <v>18</v>
      </c>
      <c r="D387" s="5" t="s">
        <v>19</v>
      </c>
      <c r="E387" s="6">
        <v>-2.7872</v>
      </c>
      <c r="F387" s="6">
        <v>0.0453</v>
      </c>
      <c r="G387" s="6">
        <v>0.0276</v>
      </c>
      <c r="H387" s="6">
        <v>-0.07479</v>
      </c>
      <c r="I387" s="6">
        <v>0.01926</v>
      </c>
      <c r="J387" s="6">
        <v>0.11248</v>
      </c>
      <c r="K387" s="5" t="s">
        <v>248</v>
      </c>
      <c r="L387" s="6">
        <v>1.5</v>
      </c>
    </row>
    <row r="388" ht="13.5" customHeight="1">
      <c r="A388" s="5" t="s">
        <v>247</v>
      </c>
      <c r="B388" s="6">
        <v>2.0</v>
      </c>
      <c r="C388" s="5" t="s">
        <v>18</v>
      </c>
      <c r="D388" s="5" t="s">
        <v>19</v>
      </c>
      <c r="E388" s="6">
        <v>-2.7872</v>
      </c>
      <c r="F388" s="6">
        <v>0.1415</v>
      </c>
      <c r="G388" s="6">
        <v>0.0276</v>
      </c>
      <c r="H388" s="6">
        <v>-0.07479</v>
      </c>
      <c r="I388" s="6">
        <v>0.00547</v>
      </c>
      <c r="J388" s="6">
        <v>0.06579</v>
      </c>
      <c r="K388" s="5" t="s">
        <v>248</v>
      </c>
      <c r="L388" s="6">
        <v>2.0</v>
      </c>
    </row>
    <row r="389" ht="13.5" customHeight="1">
      <c r="A389" s="5" t="s">
        <v>247</v>
      </c>
      <c r="B389" s="6">
        <v>2.5</v>
      </c>
      <c r="C389" s="5" t="s">
        <v>18</v>
      </c>
      <c r="D389" s="5" t="s">
        <v>19</v>
      </c>
      <c r="E389" s="6">
        <v>-2.7872</v>
      </c>
      <c r="F389" s="6">
        <v>0.2378</v>
      </c>
      <c r="G389" s="6">
        <v>0.0276</v>
      </c>
      <c r="H389" s="6">
        <v>-0.07479</v>
      </c>
      <c r="I389" s="6">
        <v>-0.00832</v>
      </c>
      <c r="J389" s="6">
        <v>-0.02903</v>
      </c>
      <c r="K389" s="5" t="s">
        <v>248</v>
      </c>
      <c r="L389" s="6">
        <v>2.5</v>
      </c>
    </row>
    <row r="390" ht="13.5" customHeight="1">
      <c r="A390" s="5" t="s">
        <v>247</v>
      </c>
      <c r="B390" s="6">
        <v>3.0</v>
      </c>
      <c r="C390" s="5" t="s">
        <v>18</v>
      </c>
      <c r="D390" s="5" t="s">
        <v>19</v>
      </c>
      <c r="E390" s="6">
        <v>-2.7872</v>
      </c>
      <c r="F390" s="6">
        <v>0.334</v>
      </c>
      <c r="G390" s="6">
        <v>0.0276</v>
      </c>
      <c r="H390" s="6">
        <v>-0.07479</v>
      </c>
      <c r="I390" s="6">
        <v>-0.02212</v>
      </c>
      <c r="J390" s="6">
        <v>-0.17197</v>
      </c>
      <c r="K390" s="5" t="s">
        <v>248</v>
      </c>
      <c r="L390" s="6">
        <v>3.0</v>
      </c>
    </row>
    <row r="391" ht="13.5" customHeight="1">
      <c r="A391" s="5" t="s">
        <v>247</v>
      </c>
      <c r="B391" s="6">
        <v>3.5</v>
      </c>
      <c r="C391" s="5" t="s">
        <v>18</v>
      </c>
      <c r="D391" s="5" t="s">
        <v>19</v>
      </c>
      <c r="E391" s="6">
        <v>-2.7872</v>
      </c>
      <c r="F391" s="6">
        <v>0.4303</v>
      </c>
      <c r="G391" s="6">
        <v>0.0276</v>
      </c>
      <c r="H391" s="6">
        <v>-0.07479</v>
      </c>
      <c r="I391" s="6">
        <v>-0.03591</v>
      </c>
      <c r="J391" s="6">
        <v>-0.36303</v>
      </c>
      <c r="K391" s="5" t="s">
        <v>248</v>
      </c>
      <c r="L391" s="6">
        <v>3.5</v>
      </c>
    </row>
    <row r="392" ht="13.5" customHeight="1">
      <c r="A392" s="5" t="s">
        <v>247</v>
      </c>
      <c r="B392" s="6">
        <v>4.0</v>
      </c>
      <c r="C392" s="5" t="s">
        <v>18</v>
      </c>
      <c r="D392" s="5" t="s">
        <v>19</v>
      </c>
      <c r="E392" s="6">
        <v>-2.7872</v>
      </c>
      <c r="F392" s="6">
        <v>0.5265</v>
      </c>
      <c r="G392" s="6">
        <v>0.0276</v>
      </c>
      <c r="H392" s="6">
        <v>-0.07479</v>
      </c>
      <c r="I392" s="6">
        <v>-0.0497</v>
      </c>
      <c r="J392" s="6">
        <v>-0.60223</v>
      </c>
      <c r="K392" s="5" t="s">
        <v>248</v>
      </c>
      <c r="L392" s="6">
        <v>4.0</v>
      </c>
    </row>
    <row r="393" ht="13.5" customHeight="1">
      <c r="A393" s="5" t="s">
        <v>249</v>
      </c>
      <c r="B393" s="6">
        <v>0.0</v>
      </c>
      <c r="C393" s="5" t="s">
        <v>18</v>
      </c>
      <c r="D393" s="5" t="s">
        <v>19</v>
      </c>
      <c r="E393" s="6">
        <v>-1.4114</v>
      </c>
      <c r="F393" s="6">
        <v>3.523</v>
      </c>
      <c r="G393" s="6">
        <v>1.7892</v>
      </c>
      <c r="H393" s="6">
        <v>-0.06653</v>
      </c>
      <c r="I393" s="6">
        <v>1.08531</v>
      </c>
      <c r="J393" s="6">
        <v>2.40628</v>
      </c>
      <c r="K393" s="5" t="s">
        <v>250</v>
      </c>
      <c r="L393" s="6">
        <v>0.0</v>
      </c>
    </row>
    <row r="394" ht="13.5" customHeight="1">
      <c r="A394" s="5" t="s">
        <v>249</v>
      </c>
      <c r="B394" s="6">
        <v>0.5</v>
      </c>
      <c r="C394" s="5" t="s">
        <v>18</v>
      </c>
      <c r="D394" s="5" t="s">
        <v>19</v>
      </c>
      <c r="E394" s="6">
        <v>-1.4114</v>
      </c>
      <c r="F394" s="6">
        <v>3.6193</v>
      </c>
      <c r="G394" s="6">
        <v>1.7892</v>
      </c>
      <c r="H394" s="6">
        <v>-0.06653</v>
      </c>
      <c r="I394" s="6">
        <v>0.19073</v>
      </c>
      <c r="J394" s="6">
        <v>0.62071</v>
      </c>
      <c r="K394" s="5" t="s">
        <v>250</v>
      </c>
      <c r="L394" s="6">
        <v>0.5</v>
      </c>
    </row>
    <row r="395" ht="13.5" customHeight="1">
      <c r="A395" s="5" t="s">
        <v>249</v>
      </c>
      <c r="B395" s="6">
        <v>1.0</v>
      </c>
      <c r="C395" s="5" t="s">
        <v>18</v>
      </c>
      <c r="D395" s="5" t="s">
        <v>19</v>
      </c>
      <c r="E395" s="6">
        <v>-1.4114</v>
      </c>
      <c r="F395" s="6">
        <v>3.7155</v>
      </c>
      <c r="G395" s="6">
        <v>1.7892</v>
      </c>
      <c r="H395" s="6">
        <v>-0.06653</v>
      </c>
      <c r="I395" s="6">
        <v>-0.70386</v>
      </c>
      <c r="J395" s="6">
        <v>-1.21299</v>
      </c>
      <c r="K395" s="5" t="s">
        <v>250</v>
      </c>
      <c r="L395" s="6">
        <v>1.0</v>
      </c>
    </row>
    <row r="396" ht="13.5" customHeight="1">
      <c r="A396" s="5" t="s">
        <v>249</v>
      </c>
      <c r="B396" s="6">
        <v>22.0</v>
      </c>
      <c r="C396" s="5" t="s">
        <v>18</v>
      </c>
      <c r="D396" s="5" t="s">
        <v>19</v>
      </c>
      <c r="E396" s="6">
        <v>-1.3417</v>
      </c>
      <c r="F396" s="6">
        <v>-3.3681</v>
      </c>
      <c r="G396" s="6">
        <v>-1.7138</v>
      </c>
      <c r="H396" s="6">
        <v>0.07659</v>
      </c>
      <c r="I396" s="6">
        <v>-0.67355</v>
      </c>
      <c r="J396" s="6">
        <v>-1.08921</v>
      </c>
      <c r="K396" s="5" t="s">
        <v>251</v>
      </c>
      <c r="L396" s="6">
        <v>0.0</v>
      </c>
    </row>
    <row r="397" ht="13.5" customHeight="1">
      <c r="A397" s="5" t="s">
        <v>249</v>
      </c>
      <c r="B397" s="6">
        <v>22.5</v>
      </c>
      <c r="C397" s="5" t="s">
        <v>18</v>
      </c>
      <c r="D397" s="5" t="s">
        <v>19</v>
      </c>
      <c r="E397" s="6">
        <v>-1.3417</v>
      </c>
      <c r="F397" s="6">
        <v>-3.2718</v>
      </c>
      <c r="G397" s="6">
        <v>-1.7138</v>
      </c>
      <c r="H397" s="6">
        <v>0.07659</v>
      </c>
      <c r="I397" s="6">
        <v>0.18336</v>
      </c>
      <c r="J397" s="6">
        <v>0.57076</v>
      </c>
      <c r="K397" s="5" t="s">
        <v>251</v>
      </c>
      <c r="L397" s="6">
        <v>0.5</v>
      </c>
    </row>
    <row r="398" ht="13.5" customHeight="1">
      <c r="A398" s="5" t="s">
        <v>249</v>
      </c>
      <c r="B398" s="6">
        <v>23.0</v>
      </c>
      <c r="C398" s="5" t="s">
        <v>18</v>
      </c>
      <c r="D398" s="5" t="s">
        <v>19</v>
      </c>
      <c r="E398" s="6">
        <v>-1.3417</v>
      </c>
      <c r="F398" s="6">
        <v>-3.1756</v>
      </c>
      <c r="G398" s="6">
        <v>-1.7138</v>
      </c>
      <c r="H398" s="6">
        <v>0.07659</v>
      </c>
      <c r="I398" s="6">
        <v>1.04027</v>
      </c>
      <c r="J398" s="6">
        <v>2.1826</v>
      </c>
      <c r="K398" s="5" t="s">
        <v>251</v>
      </c>
      <c r="L398" s="6">
        <v>1.0</v>
      </c>
    </row>
    <row r="399" ht="13.5" customHeight="1">
      <c r="A399" s="5" t="s">
        <v>252</v>
      </c>
      <c r="B399" s="6">
        <v>0.0</v>
      </c>
      <c r="C399" s="5" t="s">
        <v>18</v>
      </c>
      <c r="D399" s="5" t="s">
        <v>19</v>
      </c>
      <c r="E399" s="6">
        <v>-2.189</v>
      </c>
      <c r="F399" s="6">
        <v>-0.6319</v>
      </c>
      <c r="G399" s="6">
        <v>-0.0483</v>
      </c>
      <c r="H399" s="6">
        <v>-0.00651</v>
      </c>
      <c r="I399" s="6">
        <v>-0.08316</v>
      </c>
      <c r="J399" s="6">
        <v>-0.65241</v>
      </c>
      <c r="K399" s="5" t="s">
        <v>253</v>
      </c>
      <c r="L399" s="6">
        <v>0.0</v>
      </c>
    </row>
    <row r="400" ht="13.5" customHeight="1">
      <c r="A400" s="5" t="s">
        <v>252</v>
      </c>
      <c r="B400" s="6">
        <v>0.5</v>
      </c>
      <c r="C400" s="5" t="s">
        <v>18</v>
      </c>
      <c r="D400" s="5" t="s">
        <v>19</v>
      </c>
      <c r="E400" s="6">
        <v>-2.189</v>
      </c>
      <c r="F400" s="6">
        <v>-0.5357</v>
      </c>
      <c r="G400" s="6">
        <v>-0.0483</v>
      </c>
      <c r="H400" s="6">
        <v>-0.00651</v>
      </c>
      <c r="I400" s="6">
        <v>-0.05902</v>
      </c>
      <c r="J400" s="6">
        <v>-0.36051</v>
      </c>
      <c r="K400" s="5" t="s">
        <v>253</v>
      </c>
      <c r="L400" s="6">
        <v>0.5</v>
      </c>
    </row>
    <row r="401" ht="13.5" customHeight="1">
      <c r="A401" s="5" t="s">
        <v>252</v>
      </c>
      <c r="B401" s="6">
        <v>1.0</v>
      </c>
      <c r="C401" s="5" t="s">
        <v>18</v>
      </c>
      <c r="D401" s="5" t="s">
        <v>19</v>
      </c>
      <c r="E401" s="6">
        <v>-2.189</v>
      </c>
      <c r="F401" s="6">
        <v>-0.4394</v>
      </c>
      <c r="G401" s="6">
        <v>-0.0483</v>
      </c>
      <c r="H401" s="6">
        <v>-0.00651</v>
      </c>
      <c r="I401" s="6">
        <v>-0.03487</v>
      </c>
      <c r="J401" s="6">
        <v>-0.11674</v>
      </c>
      <c r="K401" s="5" t="s">
        <v>253</v>
      </c>
      <c r="L401" s="6">
        <v>1.0</v>
      </c>
    </row>
    <row r="402" ht="13.5" customHeight="1">
      <c r="A402" s="5" t="s">
        <v>252</v>
      </c>
      <c r="B402" s="6">
        <v>1.5</v>
      </c>
      <c r="C402" s="5" t="s">
        <v>18</v>
      </c>
      <c r="D402" s="5" t="s">
        <v>19</v>
      </c>
      <c r="E402" s="6">
        <v>-2.189</v>
      </c>
      <c r="F402" s="6">
        <v>-0.3432</v>
      </c>
      <c r="G402" s="6">
        <v>-0.0483</v>
      </c>
      <c r="H402" s="6">
        <v>-0.00651</v>
      </c>
      <c r="I402" s="6">
        <v>-0.01073</v>
      </c>
      <c r="J402" s="6">
        <v>0.07891</v>
      </c>
      <c r="K402" s="5" t="s">
        <v>253</v>
      </c>
      <c r="L402" s="6">
        <v>1.5</v>
      </c>
    </row>
    <row r="403" ht="13.5" customHeight="1">
      <c r="A403" s="5" t="s">
        <v>252</v>
      </c>
      <c r="B403" s="6">
        <v>2.0</v>
      </c>
      <c r="C403" s="5" t="s">
        <v>18</v>
      </c>
      <c r="D403" s="5" t="s">
        <v>19</v>
      </c>
      <c r="E403" s="6">
        <v>-2.189</v>
      </c>
      <c r="F403" s="6">
        <v>-0.2469</v>
      </c>
      <c r="G403" s="6">
        <v>-0.0483</v>
      </c>
      <c r="H403" s="6">
        <v>-0.00651</v>
      </c>
      <c r="I403" s="6">
        <v>0.01341</v>
      </c>
      <c r="J403" s="6">
        <v>0.22643</v>
      </c>
      <c r="K403" s="5" t="s">
        <v>253</v>
      </c>
      <c r="L403" s="6">
        <v>2.0</v>
      </c>
    </row>
    <row r="404" ht="13.5" customHeight="1">
      <c r="A404" s="5" t="s">
        <v>252</v>
      </c>
      <c r="B404" s="6">
        <v>2.5</v>
      </c>
      <c r="C404" s="5" t="s">
        <v>18</v>
      </c>
      <c r="D404" s="5" t="s">
        <v>19</v>
      </c>
      <c r="E404" s="6">
        <v>-2.189</v>
      </c>
      <c r="F404" s="6">
        <v>-0.1507</v>
      </c>
      <c r="G404" s="6">
        <v>-0.0483</v>
      </c>
      <c r="H404" s="6">
        <v>-0.00651</v>
      </c>
      <c r="I404" s="6">
        <v>0.03755</v>
      </c>
      <c r="J404" s="6">
        <v>0.32583</v>
      </c>
      <c r="K404" s="5" t="s">
        <v>253</v>
      </c>
      <c r="L404" s="6">
        <v>2.5</v>
      </c>
    </row>
    <row r="405" ht="13.5" customHeight="1">
      <c r="A405" s="5" t="s">
        <v>252</v>
      </c>
      <c r="B405" s="6">
        <v>3.0</v>
      </c>
      <c r="C405" s="5" t="s">
        <v>18</v>
      </c>
      <c r="D405" s="5" t="s">
        <v>19</v>
      </c>
      <c r="E405" s="6">
        <v>-2.189</v>
      </c>
      <c r="F405" s="6">
        <v>-0.0544</v>
      </c>
      <c r="G405" s="6">
        <v>-0.0483</v>
      </c>
      <c r="H405" s="6">
        <v>-0.00651</v>
      </c>
      <c r="I405" s="6">
        <v>0.06169</v>
      </c>
      <c r="J405" s="6">
        <v>0.3771</v>
      </c>
      <c r="K405" s="5" t="s">
        <v>253</v>
      </c>
      <c r="L405" s="6">
        <v>3.0</v>
      </c>
    </row>
    <row r="406" ht="13.5" customHeight="1">
      <c r="A406" s="5" t="s">
        <v>252</v>
      </c>
      <c r="B406" s="6">
        <v>3.5</v>
      </c>
      <c r="C406" s="5" t="s">
        <v>18</v>
      </c>
      <c r="D406" s="5" t="s">
        <v>19</v>
      </c>
      <c r="E406" s="6">
        <v>-2.189</v>
      </c>
      <c r="F406" s="6">
        <v>0.0418</v>
      </c>
      <c r="G406" s="6">
        <v>-0.0483</v>
      </c>
      <c r="H406" s="6">
        <v>-0.00651</v>
      </c>
      <c r="I406" s="6">
        <v>0.08583</v>
      </c>
      <c r="J406" s="6">
        <v>0.38025</v>
      </c>
      <c r="K406" s="5" t="s">
        <v>253</v>
      </c>
      <c r="L406" s="6">
        <v>3.5</v>
      </c>
    </row>
    <row r="407" ht="13.5" customHeight="1">
      <c r="A407" s="5" t="s">
        <v>252</v>
      </c>
      <c r="B407" s="6">
        <v>4.0</v>
      </c>
      <c r="C407" s="5" t="s">
        <v>18</v>
      </c>
      <c r="D407" s="5" t="s">
        <v>19</v>
      </c>
      <c r="E407" s="6">
        <v>-2.189</v>
      </c>
      <c r="F407" s="6">
        <v>0.1381</v>
      </c>
      <c r="G407" s="6">
        <v>-0.0483</v>
      </c>
      <c r="H407" s="6">
        <v>-0.00651</v>
      </c>
      <c r="I407" s="6">
        <v>0.10997</v>
      </c>
      <c r="J407" s="6">
        <v>0.33527</v>
      </c>
      <c r="K407" s="5" t="s">
        <v>253</v>
      </c>
      <c r="L407" s="6">
        <v>4.0</v>
      </c>
    </row>
    <row r="408" ht="13.5" customHeight="1">
      <c r="A408" s="5" t="s">
        <v>254</v>
      </c>
      <c r="B408" s="6">
        <v>0.0</v>
      </c>
      <c r="C408" s="5" t="s">
        <v>18</v>
      </c>
      <c r="D408" s="5" t="s">
        <v>19</v>
      </c>
      <c r="E408" s="6">
        <v>-2.9136</v>
      </c>
      <c r="F408" s="6">
        <v>0.3777</v>
      </c>
      <c r="G408" s="6">
        <v>-0.0425</v>
      </c>
      <c r="H408" s="6">
        <v>0.04721</v>
      </c>
      <c r="I408" s="6">
        <v>-0.10838</v>
      </c>
      <c r="J408" s="6">
        <v>0.80987</v>
      </c>
      <c r="K408" s="5" t="s">
        <v>255</v>
      </c>
      <c r="L408" s="6">
        <v>0.0</v>
      </c>
    </row>
    <row r="409" ht="13.5" customHeight="1">
      <c r="A409" s="5" t="s">
        <v>254</v>
      </c>
      <c r="B409" s="6">
        <v>0.5</v>
      </c>
      <c r="C409" s="5" t="s">
        <v>18</v>
      </c>
      <c r="D409" s="5" t="s">
        <v>19</v>
      </c>
      <c r="E409" s="6">
        <v>-2.9136</v>
      </c>
      <c r="F409" s="6">
        <v>0.4739</v>
      </c>
      <c r="G409" s="6">
        <v>-0.0425</v>
      </c>
      <c r="H409" s="6">
        <v>0.04721</v>
      </c>
      <c r="I409" s="6">
        <v>-0.08711</v>
      </c>
      <c r="J409" s="6">
        <v>0.59696</v>
      </c>
      <c r="K409" s="5" t="s">
        <v>255</v>
      </c>
      <c r="L409" s="6">
        <v>0.5</v>
      </c>
    </row>
    <row r="410" ht="13.5" customHeight="1">
      <c r="A410" s="5" t="s">
        <v>254</v>
      </c>
      <c r="B410" s="6">
        <v>1.0</v>
      </c>
      <c r="C410" s="5" t="s">
        <v>18</v>
      </c>
      <c r="D410" s="5" t="s">
        <v>19</v>
      </c>
      <c r="E410" s="6">
        <v>-2.9136</v>
      </c>
      <c r="F410" s="6">
        <v>0.5702</v>
      </c>
      <c r="G410" s="6">
        <v>-0.0425</v>
      </c>
      <c r="H410" s="6">
        <v>0.04721</v>
      </c>
      <c r="I410" s="6">
        <v>-0.06585</v>
      </c>
      <c r="J410" s="6">
        <v>0.33594</v>
      </c>
      <c r="K410" s="5" t="s">
        <v>255</v>
      </c>
      <c r="L410" s="6">
        <v>1.0</v>
      </c>
    </row>
    <row r="411" ht="13.5" customHeight="1">
      <c r="A411" s="5" t="s">
        <v>254</v>
      </c>
      <c r="B411" s="6">
        <v>1.5</v>
      </c>
      <c r="C411" s="5" t="s">
        <v>18</v>
      </c>
      <c r="D411" s="5" t="s">
        <v>19</v>
      </c>
      <c r="E411" s="6">
        <v>-2.9136</v>
      </c>
      <c r="F411" s="6">
        <v>0.6664</v>
      </c>
      <c r="G411" s="6">
        <v>-0.0425</v>
      </c>
      <c r="H411" s="6">
        <v>0.04721</v>
      </c>
      <c r="I411" s="6">
        <v>-0.04459</v>
      </c>
      <c r="J411" s="6">
        <v>0.02678</v>
      </c>
      <c r="K411" s="5" t="s">
        <v>255</v>
      </c>
      <c r="L411" s="6">
        <v>1.5</v>
      </c>
    </row>
    <row r="412" ht="13.5" customHeight="1">
      <c r="A412" s="5" t="s">
        <v>254</v>
      </c>
      <c r="B412" s="6">
        <v>2.0</v>
      </c>
      <c r="C412" s="5" t="s">
        <v>18</v>
      </c>
      <c r="D412" s="5" t="s">
        <v>19</v>
      </c>
      <c r="E412" s="6">
        <v>-2.9136</v>
      </c>
      <c r="F412" s="6">
        <v>0.7627</v>
      </c>
      <c r="G412" s="6">
        <v>-0.0425</v>
      </c>
      <c r="H412" s="6">
        <v>0.04721</v>
      </c>
      <c r="I412" s="6">
        <v>-0.02332</v>
      </c>
      <c r="J412" s="6">
        <v>-0.3305</v>
      </c>
      <c r="K412" s="5" t="s">
        <v>255</v>
      </c>
      <c r="L412" s="6">
        <v>2.0</v>
      </c>
    </row>
    <row r="413" ht="13.5" customHeight="1">
      <c r="A413" s="5" t="s">
        <v>256</v>
      </c>
      <c r="B413" s="6">
        <v>0.0</v>
      </c>
      <c r="C413" s="5" t="s">
        <v>18</v>
      </c>
      <c r="D413" s="5" t="s">
        <v>19</v>
      </c>
      <c r="E413" s="6">
        <v>-2.8359</v>
      </c>
      <c r="F413" s="6">
        <v>0.6294</v>
      </c>
      <c r="G413" s="6">
        <v>0.0379</v>
      </c>
      <c r="H413" s="6">
        <v>-0.06609</v>
      </c>
      <c r="I413" s="6">
        <v>0.11546</v>
      </c>
      <c r="J413" s="6">
        <v>1.05274</v>
      </c>
      <c r="K413" s="5" t="s">
        <v>257</v>
      </c>
      <c r="L413" s="6">
        <v>0.0</v>
      </c>
    </row>
    <row r="414" ht="13.5" customHeight="1">
      <c r="A414" s="5" t="s">
        <v>256</v>
      </c>
      <c r="B414" s="6">
        <v>0.5</v>
      </c>
      <c r="C414" s="5" t="s">
        <v>18</v>
      </c>
      <c r="D414" s="5" t="s">
        <v>19</v>
      </c>
      <c r="E414" s="6">
        <v>-2.8359</v>
      </c>
      <c r="F414" s="6">
        <v>0.7256</v>
      </c>
      <c r="G414" s="6">
        <v>0.0379</v>
      </c>
      <c r="H414" s="6">
        <v>-0.06609</v>
      </c>
      <c r="I414" s="6">
        <v>0.0965</v>
      </c>
      <c r="J414" s="6">
        <v>0.71399</v>
      </c>
      <c r="K414" s="5" t="s">
        <v>257</v>
      </c>
      <c r="L414" s="6">
        <v>0.5</v>
      </c>
    </row>
    <row r="415" ht="13.5" customHeight="1">
      <c r="A415" s="5" t="s">
        <v>256</v>
      </c>
      <c r="B415" s="6">
        <v>1.0</v>
      </c>
      <c r="C415" s="5" t="s">
        <v>18</v>
      </c>
      <c r="D415" s="5" t="s">
        <v>19</v>
      </c>
      <c r="E415" s="6">
        <v>-2.8359</v>
      </c>
      <c r="F415" s="6">
        <v>0.8219</v>
      </c>
      <c r="G415" s="6">
        <v>0.0379</v>
      </c>
      <c r="H415" s="6">
        <v>-0.06609</v>
      </c>
      <c r="I415" s="6">
        <v>0.07754</v>
      </c>
      <c r="J415" s="6">
        <v>0.32712</v>
      </c>
      <c r="K415" s="5" t="s">
        <v>257</v>
      </c>
      <c r="L415" s="6">
        <v>1.0</v>
      </c>
    </row>
    <row r="416" ht="13.5" customHeight="1">
      <c r="A416" s="5" t="s">
        <v>256</v>
      </c>
      <c r="B416" s="6">
        <v>1.5</v>
      </c>
      <c r="C416" s="5" t="s">
        <v>18</v>
      </c>
      <c r="D416" s="5" t="s">
        <v>19</v>
      </c>
      <c r="E416" s="6">
        <v>-2.8359</v>
      </c>
      <c r="F416" s="6">
        <v>0.9181</v>
      </c>
      <c r="G416" s="6">
        <v>0.0379</v>
      </c>
      <c r="H416" s="6">
        <v>-0.06609</v>
      </c>
      <c r="I416" s="6">
        <v>0.05857</v>
      </c>
      <c r="J416" s="6">
        <v>-0.10789</v>
      </c>
      <c r="K416" s="5" t="s">
        <v>257</v>
      </c>
      <c r="L416" s="6">
        <v>1.5</v>
      </c>
    </row>
    <row r="417" ht="13.5" customHeight="1">
      <c r="A417" s="5" t="s">
        <v>256</v>
      </c>
      <c r="B417" s="6">
        <v>2.0</v>
      </c>
      <c r="C417" s="5" t="s">
        <v>18</v>
      </c>
      <c r="D417" s="5" t="s">
        <v>19</v>
      </c>
      <c r="E417" s="6">
        <v>-2.8359</v>
      </c>
      <c r="F417" s="6">
        <v>1.0144</v>
      </c>
      <c r="G417" s="6">
        <v>0.0379</v>
      </c>
      <c r="H417" s="6">
        <v>-0.06609</v>
      </c>
      <c r="I417" s="6">
        <v>0.03961</v>
      </c>
      <c r="J417" s="6">
        <v>-0.59101</v>
      </c>
      <c r="K417" s="5" t="s">
        <v>257</v>
      </c>
      <c r="L417" s="6">
        <v>2.0</v>
      </c>
    </row>
    <row r="418" ht="13.5" customHeight="1">
      <c r="A418" s="5" t="s">
        <v>258</v>
      </c>
      <c r="B418" s="6">
        <v>0.0</v>
      </c>
      <c r="C418" s="5" t="s">
        <v>18</v>
      </c>
      <c r="D418" s="5" t="s">
        <v>19</v>
      </c>
      <c r="E418" s="6">
        <v>-5.2867</v>
      </c>
      <c r="F418" s="6">
        <v>-0.3565</v>
      </c>
      <c r="G418" s="6">
        <v>-0.013</v>
      </c>
      <c r="H418" s="6">
        <v>0.02815</v>
      </c>
      <c r="I418" s="6">
        <v>-0.02847</v>
      </c>
      <c r="J418" s="6">
        <v>-0.43851</v>
      </c>
      <c r="K418" s="5" t="s">
        <v>259</v>
      </c>
      <c r="L418" s="6">
        <v>0.0</v>
      </c>
    </row>
    <row r="419" ht="13.5" customHeight="1">
      <c r="A419" s="5" t="s">
        <v>258</v>
      </c>
      <c r="B419" s="6">
        <v>0.5</v>
      </c>
      <c r="C419" s="5" t="s">
        <v>18</v>
      </c>
      <c r="D419" s="5" t="s">
        <v>19</v>
      </c>
      <c r="E419" s="6">
        <v>-5.2867</v>
      </c>
      <c r="F419" s="6">
        <v>-0.2602</v>
      </c>
      <c r="G419" s="6">
        <v>-0.013</v>
      </c>
      <c r="H419" s="6">
        <v>0.02815</v>
      </c>
      <c r="I419" s="6">
        <v>-0.02197</v>
      </c>
      <c r="J419" s="6">
        <v>-0.28433</v>
      </c>
      <c r="K419" s="5" t="s">
        <v>259</v>
      </c>
      <c r="L419" s="6">
        <v>0.5</v>
      </c>
    </row>
    <row r="420" ht="13.5" customHeight="1">
      <c r="A420" s="5" t="s">
        <v>258</v>
      </c>
      <c r="B420" s="6">
        <v>1.0</v>
      </c>
      <c r="C420" s="5" t="s">
        <v>18</v>
      </c>
      <c r="D420" s="5" t="s">
        <v>19</v>
      </c>
      <c r="E420" s="6">
        <v>-5.2867</v>
      </c>
      <c r="F420" s="6">
        <v>-0.164</v>
      </c>
      <c r="G420" s="6">
        <v>-0.013</v>
      </c>
      <c r="H420" s="6">
        <v>0.02815</v>
      </c>
      <c r="I420" s="6">
        <v>-0.01547</v>
      </c>
      <c r="J420" s="6">
        <v>-0.17828</v>
      </c>
      <c r="K420" s="5" t="s">
        <v>259</v>
      </c>
      <c r="L420" s="6">
        <v>1.0</v>
      </c>
    </row>
    <row r="421" ht="13.5" customHeight="1">
      <c r="A421" s="5" t="s">
        <v>258</v>
      </c>
      <c r="B421" s="6">
        <v>1.5</v>
      </c>
      <c r="C421" s="5" t="s">
        <v>18</v>
      </c>
      <c r="D421" s="5" t="s">
        <v>19</v>
      </c>
      <c r="E421" s="6">
        <v>-5.2867</v>
      </c>
      <c r="F421" s="6">
        <v>-0.0677</v>
      </c>
      <c r="G421" s="6">
        <v>-0.013</v>
      </c>
      <c r="H421" s="6">
        <v>0.02815</v>
      </c>
      <c r="I421" s="6">
        <v>-0.00898</v>
      </c>
      <c r="J421" s="6">
        <v>-0.12036</v>
      </c>
      <c r="K421" s="5" t="s">
        <v>259</v>
      </c>
      <c r="L421" s="6">
        <v>1.5</v>
      </c>
    </row>
    <row r="422" ht="13.5" customHeight="1">
      <c r="A422" s="5" t="s">
        <v>258</v>
      </c>
      <c r="B422" s="6">
        <v>2.0</v>
      </c>
      <c r="C422" s="5" t="s">
        <v>18</v>
      </c>
      <c r="D422" s="5" t="s">
        <v>19</v>
      </c>
      <c r="E422" s="6">
        <v>-5.2867</v>
      </c>
      <c r="F422" s="6">
        <v>0.0285</v>
      </c>
      <c r="G422" s="6">
        <v>-0.013</v>
      </c>
      <c r="H422" s="6">
        <v>0.02815</v>
      </c>
      <c r="I422" s="6">
        <v>-0.00248</v>
      </c>
      <c r="J422" s="6">
        <v>-0.11056</v>
      </c>
      <c r="K422" s="5" t="s">
        <v>259</v>
      </c>
      <c r="L422" s="6">
        <v>2.0</v>
      </c>
    </row>
    <row r="423" ht="13.5" customHeight="1">
      <c r="A423" s="5" t="s">
        <v>260</v>
      </c>
      <c r="B423" s="6">
        <v>0.0</v>
      </c>
      <c r="C423" s="5" t="s">
        <v>18</v>
      </c>
      <c r="D423" s="5" t="s">
        <v>19</v>
      </c>
      <c r="E423" s="6">
        <v>-1.636</v>
      </c>
      <c r="F423" s="6">
        <v>0.0377</v>
      </c>
      <c r="G423" s="6">
        <v>-0.0753</v>
      </c>
      <c r="H423" s="6">
        <v>-0.09822</v>
      </c>
      <c r="I423" s="6">
        <v>-0.04423</v>
      </c>
      <c r="J423" s="6">
        <v>0.07896</v>
      </c>
      <c r="K423" s="5" t="s">
        <v>261</v>
      </c>
      <c r="L423" s="6">
        <v>0.0</v>
      </c>
    </row>
    <row r="424" ht="13.5" customHeight="1">
      <c r="A424" s="5" t="s">
        <v>260</v>
      </c>
      <c r="B424" s="6">
        <v>0.5</v>
      </c>
      <c r="C424" s="5" t="s">
        <v>18</v>
      </c>
      <c r="D424" s="5" t="s">
        <v>19</v>
      </c>
      <c r="E424" s="6">
        <v>-1.636</v>
      </c>
      <c r="F424" s="6">
        <v>0.1339</v>
      </c>
      <c r="G424" s="6">
        <v>-0.0753</v>
      </c>
      <c r="H424" s="6">
        <v>-0.09822</v>
      </c>
      <c r="I424" s="6">
        <v>-0.00657</v>
      </c>
      <c r="J424" s="6">
        <v>0.03607</v>
      </c>
      <c r="K424" s="5" t="s">
        <v>261</v>
      </c>
      <c r="L424" s="6">
        <v>0.5</v>
      </c>
    </row>
    <row r="425" ht="13.5" customHeight="1">
      <c r="A425" s="5" t="s">
        <v>260</v>
      </c>
      <c r="B425" s="6">
        <v>1.0</v>
      </c>
      <c r="C425" s="5" t="s">
        <v>18</v>
      </c>
      <c r="D425" s="5" t="s">
        <v>19</v>
      </c>
      <c r="E425" s="6">
        <v>-1.636</v>
      </c>
      <c r="F425" s="6">
        <v>0.2302</v>
      </c>
      <c r="G425" s="6">
        <v>-0.0753</v>
      </c>
      <c r="H425" s="6">
        <v>-0.09822</v>
      </c>
      <c r="I425" s="6">
        <v>0.03108</v>
      </c>
      <c r="J425" s="6">
        <v>-0.05495</v>
      </c>
      <c r="K425" s="5" t="s">
        <v>261</v>
      </c>
      <c r="L425" s="6">
        <v>1.0</v>
      </c>
    </row>
    <row r="426" ht="13.5" customHeight="1">
      <c r="A426" s="5" t="s">
        <v>260</v>
      </c>
      <c r="B426" s="6">
        <v>1.5</v>
      </c>
      <c r="C426" s="5" t="s">
        <v>18</v>
      </c>
      <c r="D426" s="5" t="s">
        <v>19</v>
      </c>
      <c r="E426" s="6">
        <v>-1.636</v>
      </c>
      <c r="F426" s="6">
        <v>0.3264</v>
      </c>
      <c r="G426" s="6">
        <v>-0.0753</v>
      </c>
      <c r="H426" s="6">
        <v>-0.09822</v>
      </c>
      <c r="I426" s="6">
        <v>0.06874</v>
      </c>
      <c r="J426" s="6">
        <v>-0.19409</v>
      </c>
      <c r="K426" s="5" t="s">
        <v>261</v>
      </c>
      <c r="L426" s="6">
        <v>1.5</v>
      </c>
    </row>
    <row r="427" ht="13.5" customHeight="1">
      <c r="A427" s="5" t="s">
        <v>260</v>
      </c>
      <c r="B427" s="6">
        <v>2.0</v>
      </c>
      <c r="C427" s="5" t="s">
        <v>18</v>
      </c>
      <c r="D427" s="5" t="s">
        <v>19</v>
      </c>
      <c r="E427" s="6">
        <v>-1.636</v>
      </c>
      <c r="F427" s="6">
        <v>0.4227</v>
      </c>
      <c r="G427" s="6">
        <v>-0.0753</v>
      </c>
      <c r="H427" s="6">
        <v>-0.09822</v>
      </c>
      <c r="I427" s="6">
        <v>0.10639</v>
      </c>
      <c r="J427" s="6">
        <v>-0.38135</v>
      </c>
      <c r="K427" s="5" t="s">
        <v>261</v>
      </c>
      <c r="L427" s="6">
        <v>2.0</v>
      </c>
    </row>
    <row r="428" ht="13.5" customHeight="1">
      <c r="A428" s="5" t="s">
        <v>262</v>
      </c>
      <c r="B428" s="6">
        <v>0.0</v>
      </c>
      <c r="C428" s="5" t="s">
        <v>18</v>
      </c>
      <c r="D428" s="5" t="s">
        <v>19</v>
      </c>
      <c r="E428" s="6">
        <v>-1.6278</v>
      </c>
      <c r="F428" s="6">
        <v>-0.611</v>
      </c>
      <c r="G428" s="6">
        <v>-0.0119</v>
      </c>
      <c r="H428" s="6">
        <v>0.1461</v>
      </c>
      <c r="I428" s="6">
        <v>0.03381</v>
      </c>
      <c r="J428" s="6">
        <v>-0.50749</v>
      </c>
      <c r="K428" s="5" t="s">
        <v>263</v>
      </c>
      <c r="L428" s="6">
        <v>0.0</v>
      </c>
    </row>
    <row r="429" ht="13.5" customHeight="1">
      <c r="A429" s="5" t="s">
        <v>262</v>
      </c>
      <c r="B429" s="6">
        <v>0.5</v>
      </c>
      <c r="C429" s="5" t="s">
        <v>18</v>
      </c>
      <c r="D429" s="5" t="s">
        <v>19</v>
      </c>
      <c r="E429" s="6">
        <v>-1.6278</v>
      </c>
      <c r="F429" s="6">
        <v>-0.5147</v>
      </c>
      <c r="G429" s="6">
        <v>-0.0119</v>
      </c>
      <c r="H429" s="6">
        <v>0.1461</v>
      </c>
      <c r="I429" s="6">
        <v>0.03974</v>
      </c>
      <c r="J429" s="6">
        <v>-0.22606</v>
      </c>
      <c r="K429" s="5" t="s">
        <v>263</v>
      </c>
      <c r="L429" s="6">
        <v>0.5</v>
      </c>
    </row>
    <row r="430" ht="13.5" customHeight="1">
      <c r="A430" s="5" t="s">
        <v>262</v>
      </c>
      <c r="B430" s="6">
        <v>1.0</v>
      </c>
      <c r="C430" s="5" t="s">
        <v>18</v>
      </c>
      <c r="D430" s="5" t="s">
        <v>19</v>
      </c>
      <c r="E430" s="6">
        <v>-1.6278</v>
      </c>
      <c r="F430" s="6">
        <v>-0.4185</v>
      </c>
      <c r="G430" s="6">
        <v>-0.0119</v>
      </c>
      <c r="H430" s="6">
        <v>0.1461</v>
      </c>
      <c r="I430" s="6">
        <v>0.04568</v>
      </c>
      <c r="J430" s="6">
        <v>0.00723</v>
      </c>
      <c r="K430" s="5" t="s">
        <v>263</v>
      </c>
      <c r="L430" s="6">
        <v>1.0</v>
      </c>
    </row>
    <row r="431" ht="13.5" customHeight="1">
      <c r="A431" s="5" t="s">
        <v>262</v>
      </c>
      <c r="B431" s="6">
        <v>1.5</v>
      </c>
      <c r="C431" s="5" t="s">
        <v>18</v>
      </c>
      <c r="D431" s="5" t="s">
        <v>19</v>
      </c>
      <c r="E431" s="6">
        <v>-1.6278</v>
      </c>
      <c r="F431" s="6">
        <v>-0.3222</v>
      </c>
      <c r="G431" s="6">
        <v>-0.0119</v>
      </c>
      <c r="H431" s="6">
        <v>0.1461</v>
      </c>
      <c r="I431" s="6">
        <v>0.05162</v>
      </c>
      <c r="J431" s="6">
        <v>0.19241</v>
      </c>
      <c r="K431" s="5" t="s">
        <v>263</v>
      </c>
      <c r="L431" s="6">
        <v>1.5</v>
      </c>
    </row>
    <row r="432" ht="13.5" customHeight="1">
      <c r="A432" s="5" t="s">
        <v>262</v>
      </c>
      <c r="B432" s="6">
        <v>2.0</v>
      </c>
      <c r="C432" s="5" t="s">
        <v>18</v>
      </c>
      <c r="D432" s="5" t="s">
        <v>19</v>
      </c>
      <c r="E432" s="6">
        <v>-1.6278</v>
      </c>
      <c r="F432" s="6">
        <v>-0.226</v>
      </c>
      <c r="G432" s="6">
        <v>-0.0119</v>
      </c>
      <c r="H432" s="6">
        <v>0.1461</v>
      </c>
      <c r="I432" s="6">
        <v>0.05756</v>
      </c>
      <c r="J432" s="6">
        <v>0.32945</v>
      </c>
      <c r="K432" s="5" t="s">
        <v>263</v>
      </c>
      <c r="L432" s="6">
        <v>2.0</v>
      </c>
    </row>
    <row r="433" ht="13.5" customHeight="1">
      <c r="A433" s="5" t="s">
        <v>264</v>
      </c>
      <c r="B433" s="6">
        <v>0.0</v>
      </c>
      <c r="C433" s="5" t="s">
        <v>18</v>
      </c>
      <c r="D433" s="5" t="s">
        <v>19</v>
      </c>
      <c r="E433" s="6">
        <v>-2.2859</v>
      </c>
      <c r="F433" s="6">
        <v>-0.1355</v>
      </c>
      <c r="G433" s="6">
        <v>0.0115</v>
      </c>
      <c r="H433" s="6">
        <v>-0.03035</v>
      </c>
      <c r="I433" s="6">
        <v>-0.01076</v>
      </c>
      <c r="J433" s="6">
        <v>-0.04562</v>
      </c>
      <c r="K433" s="5" t="s">
        <v>265</v>
      </c>
      <c r="L433" s="6">
        <v>0.0</v>
      </c>
    </row>
    <row r="434" ht="13.5" customHeight="1">
      <c r="A434" s="5" t="s">
        <v>264</v>
      </c>
      <c r="B434" s="6">
        <v>0.5</v>
      </c>
      <c r="C434" s="5" t="s">
        <v>18</v>
      </c>
      <c r="D434" s="5" t="s">
        <v>19</v>
      </c>
      <c r="E434" s="6">
        <v>-2.2859</v>
      </c>
      <c r="F434" s="6">
        <v>-0.0393</v>
      </c>
      <c r="G434" s="6">
        <v>0.0115</v>
      </c>
      <c r="H434" s="6">
        <v>-0.03035</v>
      </c>
      <c r="I434" s="6">
        <v>-0.01653</v>
      </c>
      <c r="J434" s="6">
        <v>-0.00192</v>
      </c>
      <c r="K434" s="5" t="s">
        <v>265</v>
      </c>
      <c r="L434" s="6">
        <v>0.5</v>
      </c>
    </row>
    <row r="435" ht="13.5" customHeight="1">
      <c r="A435" s="5" t="s">
        <v>264</v>
      </c>
      <c r="B435" s="6">
        <v>1.0</v>
      </c>
      <c r="C435" s="5" t="s">
        <v>18</v>
      </c>
      <c r="D435" s="5" t="s">
        <v>19</v>
      </c>
      <c r="E435" s="6">
        <v>-2.2859</v>
      </c>
      <c r="F435" s="6">
        <v>0.057</v>
      </c>
      <c r="G435" s="6">
        <v>0.0115</v>
      </c>
      <c r="H435" s="6">
        <v>-0.03035</v>
      </c>
      <c r="I435" s="6">
        <v>-0.0223</v>
      </c>
      <c r="J435" s="6">
        <v>-0.00634</v>
      </c>
      <c r="K435" s="5" t="s">
        <v>265</v>
      </c>
      <c r="L435" s="6">
        <v>1.0</v>
      </c>
    </row>
    <row r="436" ht="13.5" customHeight="1">
      <c r="A436" s="5" t="s">
        <v>264</v>
      </c>
      <c r="B436" s="6">
        <v>1.5</v>
      </c>
      <c r="C436" s="5" t="s">
        <v>18</v>
      </c>
      <c r="D436" s="5" t="s">
        <v>19</v>
      </c>
      <c r="E436" s="6">
        <v>-2.2859</v>
      </c>
      <c r="F436" s="6">
        <v>0.1532</v>
      </c>
      <c r="G436" s="6">
        <v>0.0115</v>
      </c>
      <c r="H436" s="6">
        <v>-0.03035</v>
      </c>
      <c r="I436" s="6">
        <v>-0.02806</v>
      </c>
      <c r="J436" s="6">
        <v>-0.05888</v>
      </c>
      <c r="K436" s="5" t="s">
        <v>265</v>
      </c>
      <c r="L436" s="6">
        <v>1.5</v>
      </c>
    </row>
    <row r="437" ht="13.5" customHeight="1">
      <c r="A437" s="5" t="s">
        <v>264</v>
      </c>
      <c r="B437" s="6">
        <v>2.0</v>
      </c>
      <c r="C437" s="5" t="s">
        <v>18</v>
      </c>
      <c r="D437" s="5" t="s">
        <v>19</v>
      </c>
      <c r="E437" s="6">
        <v>-2.2859</v>
      </c>
      <c r="F437" s="6">
        <v>0.2495</v>
      </c>
      <c r="G437" s="6">
        <v>0.0115</v>
      </c>
      <c r="H437" s="6">
        <v>-0.03035</v>
      </c>
      <c r="I437" s="6">
        <v>-0.03383</v>
      </c>
      <c r="J437" s="6">
        <v>-0.15955</v>
      </c>
      <c r="K437" s="5" t="s">
        <v>265</v>
      </c>
      <c r="L437" s="6">
        <v>2.0</v>
      </c>
    </row>
    <row r="438" ht="13.5" customHeight="1">
      <c r="A438" s="5" t="s">
        <v>266</v>
      </c>
      <c r="B438" s="6">
        <v>0.0</v>
      </c>
      <c r="C438" s="5" t="s">
        <v>18</v>
      </c>
      <c r="D438" s="5" t="s">
        <v>19</v>
      </c>
      <c r="E438" s="6">
        <v>-2.2887</v>
      </c>
      <c r="F438" s="6">
        <v>-0.2907</v>
      </c>
      <c r="G438" s="6">
        <v>-0.0565</v>
      </c>
      <c r="H438" s="6">
        <v>0.05941</v>
      </c>
      <c r="I438" s="6">
        <v>-0.04497</v>
      </c>
      <c r="J438" s="6">
        <v>-0.18486</v>
      </c>
      <c r="K438" s="5" t="s">
        <v>267</v>
      </c>
      <c r="L438" s="6">
        <v>0.0</v>
      </c>
    </row>
    <row r="439" ht="13.5" customHeight="1">
      <c r="A439" s="5" t="s">
        <v>266</v>
      </c>
      <c r="B439" s="6">
        <v>0.5</v>
      </c>
      <c r="C439" s="5" t="s">
        <v>18</v>
      </c>
      <c r="D439" s="5" t="s">
        <v>19</v>
      </c>
      <c r="E439" s="6">
        <v>-2.2887</v>
      </c>
      <c r="F439" s="6">
        <v>-0.1945</v>
      </c>
      <c r="G439" s="6">
        <v>-0.0565</v>
      </c>
      <c r="H439" s="6">
        <v>0.05941</v>
      </c>
      <c r="I439" s="6">
        <v>-0.0167</v>
      </c>
      <c r="J439" s="6">
        <v>-0.06357</v>
      </c>
      <c r="K439" s="5" t="s">
        <v>267</v>
      </c>
      <c r="L439" s="6">
        <v>0.5</v>
      </c>
    </row>
    <row r="440" ht="13.5" customHeight="1">
      <c r="A440" s="5" t="s">
        <v>266</v>
      </c>
      <c r="B440" s="6">
        <v>1.0</v>
      </c>
      <c r="C440" s="5" t="s">
        <v>18</v>
      </c>
      <c r="D440" s="5" t="s">
        <v>19</v>
      </c>
      <c r="E440" s="6">
        <v>-2.2887</v>
      </c>
      <c r="F440" s="6">
        <v>-0.0982</v>
      </c>
      <c r="G440" s="6">
        <v>-0.0565</v>
      </c>
      <c r="H440" s="6">
        <v>0.05941</v>
      </c>
      <c r="I440" s="6">
        <v>0.01158</v>
      </c>
      <c r="J440" s="6">
        <v>0.00961</v>
      </c>
      <c r="K440" s="5" t="s">
        <v>267</v>
      </c>
      <c r="L440" s="6">
        <v>1.0</v>
      </c>
    </row>
    <row r="441" ht="13.5" customHeight="1">
      <c r="A441" s="5" t="s">
        <v>266</v>
      </c>
      <c r="B441" s="6">
        <v>1.5</v>
      </c>
      <c r="C441" s="5" t="s">
        <v>18</v>
      </c>
      <c r="D441" s="5" t="s">
        <v>19</v>
      </c>
      <c r="E441" s="6">
        <v>-2.2887</v>
      </c>
      <c r="F441" s="6">
        <v>-0.002</v>
      </c>
      <c r="G441" s="6">
        <v>-0.0565</v>
      </c>
      <c r="H441" s="6">
        <v>0.05941</v>
      </c>
      <c r="I441" s="6">
        <v>0.03985</v>
      </c>
      <c r="J441" s="6">
        <v>0.03465</v>
      </c>
      <c r="K441" s="5" t="s">
        <v>267</v>
      </c>
      <c r="L441" s="6">
        <v>1.5</v>
      </c>
    </row>
    <row r="442" ht="13.5" customHeight="1">
      <c r="A442" s="5" t="s">
        <v>266</v>
      </c>
      <c r="B442" s="6">
        <v>2.0</v>
      </c>
      <c r="C442" s="5" t="s">
        <v>18</v>
      </c>
      <c r="D442" s="5" t="s">
        <v>19</v>
      </c>
      <c r="E442" s="6">
        <v>-2.2887</v>
      </c>
      <c r="F442" s="6">
        <v>0.0943</v>
      </c>
      <c r="G442" s="6">
        <v>-0.0565</v>
      </c>
      <c r="H442" s="6">
        <v>0.05941</v>
      </c>
      <c r="I442" s="6">
        <v>0.06812</v>
      </c>
      <c r="J442" s="6">
        <v>0.01157</v>
      </c>
      <c r="K442" s="5" t="s">
        <v>267</v>
      </c>
      <c r="L442" s="6">
        <v>2.0</v>
      </c>
    </row>
    <row r="443" ht="13.5" customHeight="1">
      <c r="A443" s="5" t="s">
        <v>268</v>
      </c>
      <c r="B443" s="6">
        <v>0.0</v>
      </c>
      <c r="C443" s="5" t="s">
        <v>18</v>
      </c>
      <c r="D443" s="5" t="s">
        <v>19</v>
      </c>
      <c r="E443" s="6">
        <v>-2.0975</v>
      </c>
      <c r="F443" s="6">
        <v>-0.1044</v>
      </c>
      <c r="G443" s="6">
        <v>0.0183</v>
      </c>
      <c r="H443" s="6">
        <v>-0.03513</v>
      </c>
      <c r="I443" s="6">
        <v>0.0233</v>
      </c>
      <c r="J443" s="6">
        <v>-0.01763</v>
      </c>
      <c r="K443" s="5" t="s">
        <v>269</v>
      </c>
      <c r="L443" s="6">
        <v>0.0</v>
      </c>
    </row>
    <row r="444" ht="13.5" customHeight="1">
      <c r="A444" s="5" t="s">
        <v>268</v>
      </c>
      <c r="B444" s="6">
        <v>0.5</v>
      </c>
      <c r="C444" s="5" t="s">
        <v>18</v>
      </c>
      <c r="D444" s="5" t="s">
        <v>19</v>
      </c>
      <c r="E444" s="6">
        <v>-2.0975</v>
      </c>
      <c r="F444" s="6">
        <v>-0.0081</v>
      </c>
      <c r="G444" s="6">
        <v>0.0183</v>
      </c>
      <c r="H444" s="6">
        <v>-0.03513</v>
      </c>
      <c r="I444" s="6">
        <v>0.01415</v>
      </c>
      <c r="J444" s="6">
        <v>0.01049</v>
      </c>
      <c r="K444" s="5" t="s">
        <v>269</v>
      </c>
      <c r="L444" s="6">
        <v>0.5</v>
      </c>
    </row>
    <row r="445" ht="13.5" customHeight="1">
      <c r="A445" s="5" t="s">
        <v>268</v>
      </c>
      <c r="B445" s="6">
        <v>1.0</v>
      </c>
      <c r="C445" s="5" t="s">
        <v>18</v>
      </c>
      <c r="D445" s="5" t="s">
        <v>19</v>
      </c>
      <c r="E445" s="6">
        <v>-2.0975</v>
      </c>
      <c r="F445" s="6">
        <v>0.0881</v>
      </c>
      <c r="G445" s="6">
        <v>0.0183</v>
      </c>
      <c r="H445" s="6">
        <v>-0.03513</v>
      </c>
      <c r="I445" s="6">
        <v>0.005</v>
      </c>
      <c r="J445" s="6">
        <v>-0.00951</v>
      </c>
      <c r="K445" s="5" t="s">
        <v>269</v>
      </c>
      <c r="L445" s="6">
        <v>1.0</v>
      </c>
    </row>
    <row r="446" ht="13.5" customHeight="1">
      <c r="A446" s="5" t="s">
        <v>268</v>
      </c>
      <c r="B446" s="6">
        <v>1.5</v>
      </c>
      <c r="C446" s="5" t="s">
        <v>18</v>
      </c>
      <c r="D446" s="5" t="s">
        <v>19</v>
      </c>
      <c r="E446" s="6">
        <v>-2.0975</v>
      </c>
      <c r="F446" s="6">
        <v>0.1844</v>
      </c>
      <c r="G446" s="6">
        <v>0.0183</v>
      </c>
      <c r="H446" s="6">
        <v>-0.03513</v>
      </c>
      <c r="I446" s="6">
        <v>-0.00415</v>
      </c>
      <c r="J446" s="6">
        <v>-0.07763</v>
      </c>
      <c r="K446" s="5" t="s">
        <v>269</v>
      </c>
      <c r="L446" s="6">
        <v>1.5</v>
      </c>
    </row>
    <row r="447" ht="13.5" customHeight="1">
      <c r="A447" s="5" t="s">
        <v>268</v>
      </c>
      <c r="B447" s="6">
        <v>2.0</v>
      </c>
      <c r="C447" s="5" t="s">
        <v>18</v>
      </c>
      <c r="D447" s="5" t="s">
        <v>19</v>
      </c>
      <c r="E447" s="6">
        <v>-2.0975</v>
      </c>
      <c r="F447" s="6">
        <v>0.2806</v>
      </c>
      <c r="G447" s="6">
        <v>0.0183</v>
      </c>
      <c r="H447" s="6">
        <v>-0.03513</v>
      </c>
      <c r="I447" s="6">
        <v>-0.01331</v>
      </c>
      <c r="J447" s="6">
        <v>-0.19388</v>
      </c>
      <c r="K447" s="5" t="s">
        <v>269</v>
      </c>
      <c r="L447" s="6">
        <v>2.0</v>
      </c>
    </row>
    <row r="448" ht="13.5" customHeight="1">
      <c r="A448" s="5" t="s">
        <v>270</v>
      </c>
      <c r="B448" s="6">
        <v>0.0</v>
      </c>
      <c r="C448" s="5" t="s">
        <v>18</v>
      </c>
      <c r="D448" s="5" t="s">
        <v>19</v>
      </c>
      <c r="E448" s="6">
        <v>-2.0634</v>
      </c>
      <c r="F448" s="6">
        <v>-0.2721</v>
      </c>
      <c r="G448" s="6">
        <v>-0.0258</v>
      </c>
      <c r="H448" s="6">
        <v>0.02905</v>
      </c>
      <c r="I448" s="6">
        <v>-0.02141</v>
      </c>
      <c r="J448" s="6">
        <v>-0.17706</v>
      </c>
      <c r="K448" s="5" t="s">
        <v>271</v>
      </c>
      <c r="L448" s="6">
        <v>0.0</v>
      </c>
    </row>
    <row r="449" ht="13.5" customHeight="1">
      <c r="A449" s="5" t="s">
        <v>270</v>
      </c>
      <c r="B449" s="6">
        <v>0.5</v>
      </c>
      <c r="C449" s="5" t="s">
        <v>18</v>
      </c>
      <c r="D449" s="5" t="s">
        <v>19</v>
      </c>
      <c r="E449" s="6">
        <v>-2.0634</v>
      </c>
      <c r="F449" s="6">
        <v>-0.1758</v>
      </c>
      <c r="G449" s="6">
        <v>-0.0258</v>
      </c>
      <c r="H449" s="6">
        <v>0.02905</v>
      </c>
      <c r="I449" s="6">
        <v>-0.00851</v>
      </c>
      <c r="J449" s="6">
        <v>-0.06507</v>
      </c>
      <c r="K449" s="5" t="s">
        <v>271</v>
      </c>
      <c r="L449" s="6">
        <v>0.5</v>
      </c>
    </row>
    <row r="450" ht="13.5" customHeight="1">
      <c r="A450" s="5" t="s">
        <v>270</v>
      </c>
      <c r="B450" s="6">
        <v>1.0</v>
      </c>
      <c r="C450" s="5" t="s">
        <v>18</v>
      </c>
      <c r="D450" s="5" t="s">
        <v>19</v>
      </c>
      <c r="E450" s="6">
        <v>-2.0634</v>
      </c>
      <c r="F450" s="6">
        <v>-0.0796</v>
      </c>
      <c r="G450" s="6">
        <v>-0.0258</v>
      </c>
      <c r="H450" s="6">
        <v>0.02905</v>
      </c>
      <c r="I450" s="6">
        <v>0.00439</v>
      </c>
      <c r="J450" s="6">
        <v>-0.00121</v>
      </c>
      <c r="K450" s="5" t="s">
        <v>271</v>
      </c>
      <c r="L450" s="6">
        <v>1.0</v>
      </c>
    </row>
    <row r="451" ht="13.5" customHeight="1">
      <c r="A451" s="5" t="s">
        <v>270</v>
      </c>
      <c r="B451" s="6">
        <v>1.5</v>
      </c>
      <c r="C451" s="5" t="s">
        <v>18</v>
      </c>
      <c r="D451" s="5" t="s">
        <v>19</v>
      </c>
      <c r="E451" s="6">
        <v>-2.0634</v>
      </c>
      <c r="F451" s="6">
        <v>0.0167</v>
      </c>
      <c r="G451" s="6">
        <v>-0.0258</v>
      </c>
      <c r="H451" s="6">
        <v>0.02905</v>
      </c>
      <c r="I451" s="6">
        <v>0.0173</v>
      </c>
      <c r="J451" s="6">
        <v>0.01452</v>
      </c>
      <c r="K451" s="5" t="s">
        <v>271</v>
      </c>
      <c r="L451" s="6">
        <v>1.5</v>
      </c>
    </row>
    <row r="452" ht="13.5" customHeight="1">
      <c r="A452" s="5" t="s">
        <v>270</v>
      </c>
      <c r="B452" s="6">
        <v>2.0</v>
      </c>
      <c r="C452" s="5" t="s">
        <v>18</v>
      </c>
      <c r="D452" s="5" t="s">
        <v>19</v>
      </c>
      <c r="E452" s="6">
        <v>-2.0634</v>
      </c>
      <c r="F452" s="6">
        <v>0.1129</v>
      </c>
      <c r="G452" s="6">
        <v>-0.0258</v>
      </c>
      <c r="H452" s="6">
        <v>0.02905</v>
      </c>
      <c r="I452" s="6">
        <v>0.0302</v>
      </c>
      <c r="J452" s="6">
        <v>-0.01787</v>
      </c>
      <c r="K452" s="5" t="s">
        <v>271</v>
      </c>
      <c r="L452" s="6">
        <v>2.0</v>
      </c>
    </row>
    <row r="453" ht="13.5" customHeight="1">
      <c r="A453" s="5" t="s">
        <v>272</v>
      </c>
      <c r="B453" s="6">
        <v>0.0</v>
      </c>
      <c r="C453" s="5" t="s">
        <v>18</v>
      </c>
      <c r="D453" s="5" t="s">
        <v>19</v>
      </c>
      <c r="E453" s="6">
        <v>-2.1076</v>
      </c>
      <c r="F453" s="6">
        <v>-0.1044</v>
      </c>
      <c r="G453" s="6">
        <v>0.0113</v>
      </c>
      <c r="H453" s="6">
        <v>0.0093</v>
      </c>
      <c r="I453" s="6">
        <v>0.00386</v>
      </c>
      <c r="J453" s="6">
        <v>-0.01799</v>
      </c>
      <c r="K453" s="5" t="s">
        <v>273</v>
      </c>
      <c r="L453" s="6">
        <v>0.0</v>
      </c>
    </row>
    <row r="454" ht="13.5" customHeight="1">
      <c r="A454" s="5" t="s">
        <v>272</v>
      </c>
      <c r="B454" s="6">
        <v>0.5</v>
      </c>
      <c r="C454" s="5" t="s">
        <v>18</v>
      </c>
      <c r="D454" s="5" t="s">
        <v>19</v>
      </c>
      <c r="E454" s="6">
        <v>-2.1076</v>
      </c>
      <c r="F454" s="6">
        <v>-0.0081</v>
      </c>
      <c r="G454" s="6">
        <v>0.0113</v>
      </c>
      <c r="H454" s="6">
        <v>0.0093</v>
      </c>
      <c r="I454" s="6">
        <v>-0.00181</v>
      </c>
      <c r="J454" s="6">
        <v>0.01015</v>
      </c>
      <c r="K454" s="5" t="s">
        <v>273</v>
      </c>
      <c r="L454" s="6">
        <v>0.5</v>
      </c>
    </row>
    <row r="455" ht="13.5" customHeight="1">
      <c r="A455" s="5" t="s">
        <v>272</v>
      </c>
      <c r="B455" s="6">
        <v>1.0</v>
      </c>
      <c r="C455" s="5" t="s">
        <v>18</v>
      </c>
      <c r="D455" s="5" t="s">
        <v>19</v>
      </c>
      <c r="E455" s="6">
        <v>-2.1076</v>
      </c>
      <c r="F455" s="6">
        <v>0.0881</v>
      </c>
      <c r="G455" s="6">
        <v>0.0113</v>
      </c>
      <c r="H455" s="6">
        <v>0.0093</v>
      </c>
      <c r="I455" s="6">
        <v>-0.00747</v>
      </c>
      <c r="J455" s="6">
        <v>-0.00985</v>
      </c>
      <c r="K455" s="5" t="s">
        <v>273</v>
      </c>
      <c r="L455" s="6">
        <v>1.0</v>
      </c>
    </row>
    <row r="456" ht="13.5" customHeight="1">
      <c r="A456" s="5" t="s">
        <v>272</v>
      </c>
      <c r="B456" s="6">
        <v>1.5</v>
      </c>
      <c r="C456" s="5" t="s">
        <v>18</v>
      </c>
      <c r="D456" s="5" t="s">
        <v>19</v>
      </c>
      <c r="E456" s="6">
        <v>-2.1076</v>
      </c>
      <c r="F456" s="6">
        <v>0.1844</v>
      </c>
      <c r="G456" s="6">
        <v>0.0113</v>
      </c>
      <c r="H456" s="6">
        <v>0.0093</v>
      </c>
      <c r="I456" s="6">
        <v>-0.01314</v>
      </c>
      <c r="J456" s="6">
        <v>-0.07796</v>
      </c>
      <c r="K456" s="5" t="s">
        <v>273</v>
      </c>
      <c r="L456" s="6">
        <v>1.5</v>
      </c>
    </row>
    <row r="457" ht="13.5" customHeight="1">
      <c r="A457" s="5" t="s">
        <v>272</v>
      </c>
      <c r="B457" s="6">
        <v>2.0</v>
      </c>
      <c r="C457" s="5" t="s">
        <v>18</v>
      </c>
      <c r="D457" s="5" t="s">
        <v>19</v>
      </c>
      <c r="E457" s="6">
        <v>-2.1076</v>
      </c>
      <c r="F457" s="6">
        <v>0.2806</v>
      </c>
      <c r="G457" s="6">
        <v>0.0113</v>
      </c>
      <c r="H457" s="6">
        <v>0.0093</v>
      </c>
      <c r="I457" s="6">
        <v>-0.0188</v>
      </c>
      <c r="J457" s="6">
        <v>-0.1942</v>
      </c>
      <c r="K457" s="5" t="s">
        <v>273</v>
      </c>
      <c r="L457" s="6">
        <v>2.0</v>
      </c>
    </row>
    <row r="458" ht="13.5" customHeight="1">
      <c r="A458" s="5" t="s">
        <v>274</v>
      </c>
      <c r="B458" s="6">
        <v>0.0</v>
      </c>
      <c r="C458" s="5" t="s">
        <v>18</v>
      </c>
      <c r="D458" s="5" t="s">
        <v>19</v>
      </c>
      <c r="E458" s="6">
        <v>-2.0739</v>
      </c>
      <c r="F458" s="6">
        <v>-0.2733</v>
      </c>
      <c r="G458" s="6">
        <v>-0.0108</v>
      </c>
      <c r="H458" s="6">
        <v>-0.00377</v>
      </c>
      <c r="I458" s="6">
        <v>-0.02092</v>
      </c>
      <c r="J458" s="6">
        <v>-0.17821</v>
      </c>
      <c r="K458" s="5" t="s">
        <v>275</v>
      </c>
      <c r="L458" s="6">
        <v>0.0</v>
      </c>
    </row>
    <row r="459" ht="13.5" customHeight="1">
      <c r="A459" s="5" t="s">
        <v>274</v>
      </c>
      <c r="B459" s="6">
        <v>0.5</v>
      </c>
      <c r="C459" s="5" t="s">
        <v>18</v>
      </c>
      <c r="D459" s="5" t="s">
        <v>19</v>
      </c>
      <c r="E459" s="6">
        <v>-2.0739</v>
      </c>
      <c r="F459" s="6">
        <v>-0.1771</v>
      </c>
      <c r="G459" s="6">
        <v>-0.0108</v>
      </c>
      <c r="H459" s="6">
        <v>-0.00377</v>
      </c>
      <c r="I459" s="6">
        <v>-0.0155</v>
      </c>
      <c r="J459" s="6">
        <v>-0.06562</v>
      </c>
      <c r="K459" s="5" t="s">
        <v>275</v>
      </c>
      <c r="L459" s="6">
        <v>0.5</v>
      </c>
    </row>
    <row r="460" ht="13.5" customHeight="1">
      <c r="A460" s="5" t="s">
        <v>274</v>
      </c>
      <c r="B460" s="6">
        <v>1.0</v>
      </c>
      <c r="C460" s="5" t="s">
        <v>18</v>
      </c>
      <c r="D460" s="5" t="s">
        <v>19</v>
      </c>
      <c r="E460" s="6">
        <v>-2.0739</v>
      </c>
      <c r="F460" s="6">
        <v>-0.0808</v>
      </c>
      <c r="G460" s="6">
        <v>-0.0108</v>
      </c>
      <c r="H460" s="6">
        <v>-0.00377</v>
      </c>
      <c r="I460" s="6">
        <v>-0.01008</v>
      </c>
      <c r="J460" s="6">
        <v>-0.00115</v>
      </c>
      <c r="K460" s="5" t="s">
        <v>275</v>
      </c>
      <c r="L460" s="6">
        <v>1.0</v>
      </c>
    </row>
    <row r="461" ht="13.5" customHeight="1">
      <c r="A461" s="5" t="s">
        <v>274</v>
      </c>
      <c r="B461" s="6">
        <v>1.5</v>
      </c>
      <c r="C461" s="5" t="s">
        <v>18</v>
      </c>
      <c r="D461" s="5" t="s">
        <v>19</v>
      </c>
      <c r="E461" s="6">
        <v>-2.0739</v>
      </c>
      <c r="F461" s="6">
        <v>0.0154</v>
      </c>
      <c r="G461" s="6">
        <v>-0.0108</v>
      </c>
      <c r="H461" s="6">
        <v>-0.00377</v>
      </c>
      <c r="I461" s="6">
        <v>-0.00466</v>
      </c>
      <c r="J461" s="6">
        <v>0.01519</v>
      </c>
      <c r="K461" s="5" t="s">
        <v>275</v>
      </c>
      <c r="L461" s="6">
        <v>1.5</v>
      </c>
    </row>
    <row r="462" ht="13.5" customHeight="1">
      <c r="A462" s="5" t="s">
        <v>274</v>
      </c>
      <c r="B462" s="6">
        <v>2.0</v>
      </c>
      <c r="C462" s="5" t="s">
        <v>18</v>
      </c>
      <c r="D462" s="5" t="s">
        <v>19</v>
      </c>
      <c r="E462" s="6">
        <v>-2.0739</v>
      </c>
      <c r="F462" s="6">
        <v>0.1117</v>
      </c>
      <c r="G462" s="6">
        <v>-0.0108</v>
      </c>
      <c r="H462" s="6">
        <v>-0.00377</v>
      </c>
      <c r="I462" s="6">
        <v>7.6E-4</v>
      </c>
      <c r="J462" s="6">
        <v>-0.0166</v>
      </c>
      <c r="K462" s="5" t="s">
        <v>275</v>
      </c>
      <c r="L462" s="6">
        <v>2.0</v>
      </c>
    </row>
    <row r="463" ht="13.5" customHeight="1">
      <c r="A463" s="5" t="s">
        <v>276</v>
      </c>
      <c r="B463" s="6">
        <v>0.0</v>
      </c>
      <c r="C463" s="5" t="s">
        <v>18</v>
      </c>
      <c r="D463" s="5" t="s">
        <v>19</v>
      </c>
      <c r="E463" s="6">
        <v>-2.2587</v>
      </c>
      <c r="F463" s="6">
        <v>-0.1358</v>
      </c>
      <c r="G463" s="6">
        <v>0.0182</v>
      </c>
      <c r="H463" s="6">
        <v>0.00314</v>
      </c>
      <c r="I463" s="6">
        <v>0.03827</v>
      </c>
      <c r="J463" s="6">
        <v>-0.0445</v>
      </c>
      <c r="K463" s="5" t="s">
        <v>277</v>
      </c>
      <c r="L463" s="6">
        <v>0.0</v>
      </c>
    </row>
    <row r="464" ht="13.5" customHeight="1">
      <c r="A464" s="5" t="s">
        <v>276</v>
      </c>
      <c r="B464" s="6">
        <v>0.5</v>
      </c>
      <c r="C464" s="5" t="s">
        <v>18</v>
      </c>
      <c r="D464" s="5" t="s">
        <v>19</v>
      </c>
      <c r="E464" s="6">
        <v>-2.2587</v>
      </c>
      <c r="F464" s="6">
        <v>-0.0396</v>
      </c>
      <c r="G464" s="6">
        <v>0.0182</v>
      </c>
      <c r="H464" s="6">
        <v>0.00314</v>
      </c>
      <c r="I464" s="6">
        <v>0.02914</v>
      </c>
      <c r="J464" s="6">
        <v>-6.7E-4</v>
      </c>
      <c r="K464" s="5" t="s">
        <v>277</v>
      </c>
      <c r="L464" s="6">
        <v>0.5</v>
      </c>
    </row>
    <row r="465" ht="13.5" customHeight="1">
      <c r="A465" s="5" t="s">
        <v>276</v>
      </c>
      <c r="B465" s="6">
        <v>1.0</v>
      </c>
      <c r="C465" s="5" t="s">
        <v>18</v>
      </c>
      <c r="D465" s="5" t="s">
        <v>19</v>
      </c>
      <c r="E465" s="6">
        <v>-2.2587</v>
      </c>
      <c r="F465" s="6">
        <v>0.0567</v>
      </c>
      <c r="G465" s="6">
        <v>0.0182</v>
      </c>
      <c r="H465" s="6">
        <v>0.00314</v>
      </c>
      <c r="I465" s="6">
        <v>0.02002</v>
      </c>
      <c r="J465" s="6">
        <v>-0.00495</v>
      </c>
      <c r="K465" s="5" t="s">
        <v>277</v>
      </c>
      <c r="L465" s="6">
        <v>1.0</v>
      </c>
    </row>
    <row r="466" ht="13.5" customHeight="1">
      <c r="A466" s="5" t="s">
        <v>276</v>
      </c>
      <c r="B466" s="6">
        <v>1.5</v>
      </c>
      <c r="C466" s="5" t="s">
        <v>18</v>
      </c>
      <c r="D466" s="5" t="s">
        <v>19</v>
      </c>
      <c r="E466" s="6">
        <v>-2.2587</v>
      </c>
      <c r="F466" s="6">
        <v>0.1529</v>
      </c>
      <c r="G466" s="6">
        <v>0.0182</v>
      </c>
      <c r="H466" s="6">
        <v>0.00314</v>
      </c>
      <c r="I466" s="6">
        <v>0.01089</v>
      </c>
      <c r="J466" s="6">
        <v>-0.05737</v>
      </c>
      <c r="K466" s="5" t="s">
        <v>277</v>
      </c>
      <c r="L466" s="6">
        <v>1.5</v>
      </c>
    </row>
    <row r="467" ht="13.5" customHeight="1">
      <c r="A467" s="5" t="s">
        <v>276</v>
      </c>
      <c r="B467" s="6">
        <v>2.0</v>
      </c>
      <c r="C467" s="5" t="s">
        <v>18</v>
      </c>
      <c r="D467" s="5" t="s">
        <v>19</v>
      </c>
      <c r="E467" s="6">
        <v>-2.2587</v>
      </c>
      <c r="F467" s="6">
        <v>0.2492</v>
      </c>
      <c r="G467" s="6">
        <v>0.0182</v>
      </c>
      <c r="H467" s="6">
        <v>0.00314</v>
      </c>
      <c r="I467" s="6">
        <v>0.00177</v>
      </c>
      <c r="J467" s="6">
        <v>-0.1579</v>
      </c>
      <c r="K467" s="5" t="s">
        <v>277</v>
      </c>
      <c r="L467" s="6">
        <v>2.0</v>
      </c>
    </row>
    <row r="468" ht="13.5" customHeight="1">
      <c r="A468" s="5" t="s">
        <v>278</v>
      </c>
      <c r="B468" s="6">
        <v>0.0</v>
      </c>
      <c r="C468" s="5" t="s">
        <v>18</v>
      </c>
      <c r="D468" s="5" t="s">
        <v>19</v>
      </c>
      <c r="E468" s="6">
        <v>-2.2611</v>
      </c>
      <c r="F468" s="6">
        <v>-0.2875</v>
      </c>
      <c r="G468" s="6">
        <v>0.0182</v>
      </c>
      <c r="H468" s="6">
        <v>-0.03252</v>
      </c>
      <c r="I468" s="6">
        <v>0.0019</v>
      </c>
      <c r="J468" s="6">
        <v>-0.18169</v>
      </c>
      <c r="K468" s="5" t="s">
        <v>279</v>
      </c>
      <c r="L468" s="6">
        <v>0.0</v>
      </c>
    </row>
    <row r="469" ht="13.5" customHeight="1">
      <c r="A469" s="5" t="s">
        <v>278</v>
      </c>
      <c r="B469" s="6">
        <v>0.5</v>
      </c>
      <c r="C469" s="5" t="s">
        <v>18</v>
      </c>
      <c r="D469" s="5" t="s">
        <v>19</v>
      </c>
      <c r="E469" s="6">
        <v>-2.2611</v>
      </c>
      <c r="F469" s="6">
        <v>-0.1912</v>
      </c>
      <c r="G469" s="6">
        <v>0.0182</v>
      </c>
      <c r="H469" s="6">
        <v>-0.03252</v>
      </c>
      <c r="I469" s="6">
        <v>-0.00718</v>
      </c>
      <c r="J469" s="6">
        <v>-0.06201</v>
      </c>
      <c r="K469" s="5" t="s">
        <v>279</v>
      </c>
      <c r="L469" s="6">
        <v>0.5</v>
      </c>
    </row>
    <row r="470" ht="13.5" customHeight="1">
      <c r="A470" s="5" t="s">
        <v>278</v>
      </c>
      <c r="B470" s="6">
        <v>1.0</v>
      </c>
      <c r="C470" s="5" t="s">
        <v>18</v>
      </c>
      <c r="D470" s="5" t="s">
        <v>19</v>
      </c>
      <c r="E470" s="6">
        <v>-2.2611</v>
      </c>
      <c r="F470" s="6">
        <v>-0.095</v>
      </c>
      <c r="G470" s="6">
        <v>0.0182</v>
      </c>
      <c r="H470" s="6">
        <v>-0.03252</v>
      </c>
      <c r="I470" s="6">
        <v>-0.01626</v>
      </c>
      <c r="J470" s="6">
        <v>0.00955</v>
      </c>
      <c r="K470" s="5" t="s">
        <v>279</v>
      </c>
      <c r="L470" s="6">
        <v>1.0</v>
      </c>
    </row>
    <row r="471" ht="13.5" customHeight="1">
      <c r="A471" s="5" t="s">
        <v>278</v>
      </c>
      <c r="B471" s="6">
        <v>1.5</v>
      </c>
      <c r="C471" s="5" t="s">
        <v>18</v>
      </c>
      <c r="D471" s="5" t="s">
        <v>19</v>
      </c>
      <c r="E471" s="6">
        <v>-2.2611</v>
      </c>
      <c r="F471" s="6">
        <v>0.0013</v>
      </c>
      <c r="G471" s="6">
        <v>0.0182</v>
      </c>
      <c r="H471" s="6">
        <v>-0.03252</v>
      </c>
      <c r="I471" s="6">
        <v>-0.02535</v>
      </c>
      <c r="J471" s="6">
        <v>0.03298</v>
      </c>
      <c r="K471" s="5" t="s">
        <v>279</v>
      </c>
      <c r="L471" s="6">
        <v>1.5</v>
      </c>
    </row>
    <row r="472" ht="13.5" customHeight="1">
      <c r="A472" s="5" t="s">
        <v>278</v>
      </c>
      <c r="B472" s="6">
        <v>2.0</v>
      </c>
      <c r="C472" s="5" t="s">
        <v>18</v>
      </c>
      <c r="D472" s="5" t="s">
        <v>19</v>
      </c>
      <c r="E472" s="6">
        <v>-2.2611</v>
      </c>
      <c r="F472" s="6">
        <v>0.0975</v>
      </c>
      <c r="G472" s="6">
        <v>0.0182</v>
      </c>
      <c r="H472" s="6">
        <v>-0.03252</v>
      </c>
      <c r="I472" s="6">
        <v>-0.03443</v>
      </c>
      <c r="J472" s="6">
        <v>0.00828</v>
      </c>
      <c r="K472" s="5" t="s">
        <v>279</v>
      </c>
      <c r="L472" s="6">
        <v>2.0</v>
      </c>
    </row>
    <row r="473" ht="13.5" customHeight="1">
      <c r="A473" s="5" t="s">
        <v>280</v>
      </c>
      <c r="B473" s="6">
        <v>0.0</v>
      </c>
      <c r="C473" s="5" t="s">
        <v>18</v>
      </c>
      <c r="D473" s="5" t="s">
        <v>19</v>
      </c>
      <c r="E473" s="6">
        <v>-1.6937</v>
      </c>
      <c r="F473" s="6">
        <v>0.04</v>
      </c>
      <c r="G473" s="6">
        <v>0.0971</v>
      </c>
      <c r="H473" s="6">
        <v>0.06773</v>
      </c>
      <c r="I473" s="6">
        <v>0.0656</v>
      </c>
      <c r="J473" s="6">
        <v>0.07745</v>
      </c>
      <c r="K473" s="5" t="s">
        <v>281</v>
      </c>
      <c r="L473" s="6">
        <v>0.0</v>
      </c>
    </row>
    <row r="474" ht="13.5" customHeight="1">
      <c r="A474" s="5" t="s">
        <v>280</v>
      </c>
      <c r="B474" s="6">
        <v>0.5</v>
      </c>
      <c r="C474" s="5" t="s">
        <v>18</v>
      </c>
      <c r="D474" s="5" t="s">
        <v>19</v>
      </c>
      <c r="E474" s="6">
        <v>-1.6937</v>
      </c>
      <c r="F474" s="6">
        <v>0.1363</v>
      </c>
      <c r="G474" s="6">
        <v>0.0971</v>
      </c>
      <c r="H474" s="6">
        <v>0.06773</v>
      </c>
      <c r="I474" s="6">
        <v>0.01707</v>
      </c>
      <c r="J474" s="6">
        <v>0.03337</v>
      </c>
      <c r="K474" s="5" t="s">
        <v>281</v>
      </c>
      <c r="L474" s="6">
        <v>0.5</v>
      </c>
    </row>
    <row r="475" ht="13.5" customHeight="1">
      <c r="A475" s="5" t="s">
        <v>280</v>
      </c>
      <c r="B475" s="6">
        <v>1.0</v>
      </c>
      <c r="C475" s="5" t="s">
        <v>18</v>
      </c>
      <c r="D475" s="5" t="s">
        <v>19</v>
      </c>
      <c r="E475" s="6">
        <v>-1.6937</v>
      </c>
      <c r="F475" s="6">
        <v>0.2325</v>
      </c>
      <c r="G475" s="6">
        <v>0.0971</v>
      </c>
      <c r="H475" s="6">
        <v>0.06773</v>
      </c>
      <c r="I475" s="6">
        <v>-0.03146</v>
      </c>
      <c r="J475" s="6">
        <v>-0.05884</v>
      </c>
      <c r="K475" s="5" t="s">
        <v>281</v>
      </c>
      <c r="L475" s="6">
        <v>1.0</v>
      </c>
    </row>
    <row r="476" ht="13.5" customHeight="1">
      <c r="A476" s="5" t="s">
        <v>280</v>
      </c>
      <c r="B476" s="6">
        <v>1.5</v>
      </c>
      <c r="C476" s="5" t="s">
        <v>18</v>
      </c>
      <c r="D476" s="5" t="s">
        <v>19</v>
      </c>
      <c r="E476" s="6">
        <v>-1.6937</v>
      </c>
      <c r="F476" s="6">
        <v>0.3288</v>
      </c>
      <c r="G476" s="6">
        <v>0.0971</v>
      </c>
      <c r="H476" s="6">
        <v>0.06773</v>
      </c>
      <c r="I476" s="6">
        <v>-0.08</v>
      </c>
      <c r="J476" s="6">
        <v>-0.19917</v>
      </c>
      <c r="K476" s="5" t="s">
        <v>281</v>
      </c>
      <c r="L476" s="6">
        <v>1.5</v>
      </c>
    </row>
    <row r="477" ht="13.5" customHeight="1">
      <c r="A477" s="5" t="s">
        <v>280</v>
      </c>
      <c r="B477" s="6">
        <v>2.0</v>
      </c>
      <c r="C477" s="5" t="s">
        <v>18</v>
      </c>
      <c r="D477" s="5" t="s">
        <v>19</v>
      </c>
      <c r="E477" s="6">
        <v>-1.6937</v>
      </c>
      <c r="F477" s="6">
        <v>0.425</v>
      </c>
      <c r="G477" s="6">
        <v>0.0971</v>
      </c>
      <c r="H477" s="6">
        <v>0.06773</v>
      </c>
      <c r="I477" s="6">
        <v>-0.12853</v>
      </c>
      <c r="J477" s="6">
        <v>-0.38763</v>
      </c>
      <c r="K477" s="5" t="s">
        <v>281</v>
      </c>
      <c r="L477" s="6">
        <v>2.0</v>
      </c>
    </row>
    <row r="478" ht="13.5" customHeight="1">
      <c r="A478" s="5" t="s">
        <v>282</v>
      </c>
      <c r="B478" s="6">
        <v>0.0</v>
      </c>
      <c r="C478" s="5" t="s">
        <v>18</v>
      </c>
      <c r="D478" s="5" t="s">
        <v>19</v>
      </c>
      <c r="E478" s="6">
        <v>-1.6745</v>
      </c>
      <c r="F478" s="6">
        <v>-0.6061</v>
      </c>
      <c r="G478" s="6">
        <v>-0.0196</v>
      </c>
      <c r="H478" s="6">
        <v>-0.11797</v>
      </c>
      <c r="I478" s="6">
        <v>-0.06968</v>
      </c>
      <c r="J478" s="6">
        <v>-0.50471</v>
      </c>
      <c r="K478" s="5" t="s">
        <v>283</v>
      </c>
      <c r="L478" s="6">
        <v>0.0</v>
      </c>
    </row>
    <row r="479" ht="13.5" customHeight="1">
      <c r="A479" s="5" t="s">
        <v>282</v>
      </c>
      <c r="B479" s="6">
        <v>0.5</v>
      </c>
      <c r="C479" s="5" t="s">
        <v>18</v>
      </c>
      <c r="D479" s="5" t="s">
        <v>19</v>
      </c>
      <c r="E479" s="6">
        <v>-1.6745</v>
      </c>
      <c r="F479" s="6">
        <v>-0.5098</v>
      </c>
      <c r="G479" s="6">
        <v>-0.0196</v>
      </c>
      <c r="H479" s="6">
        <v>-0.11797</v>
      </c>
      <c r="I479" s="6">
        <v>-0.05988</v>
      </c>
      <c r="J479" s="6">
        <v>-0.22575</v>
      </c>
      <c r="K479" s="5" t="s">
        <v>283</v>
      </c>
      <c r="L479" s="6">
        <v>0.5</v>
      </c>
    </row>
    <row r="480" ht="13.5" customHeight="1">
      <c r="A480" s="5" t="s">
        <v>282</v>
      </c>
      <c r="B480" s="6">
        <v>1.0</v>
      </c>
      <c r="C480" s="5" t="s">
        <v>18</v>
      </c>
      <c r="D480" s="5" t="s">
        <v>19</v>
      </c>
      <c r="E480" s="6">
        <v>-1.6745</v>
      </c>
      <c r="F480" s="6">
        <v>-0.4136</v>
      </c>
      <c r="G480" s="6">
        <v>-0.0196</v>
      </c>
      <c r="H480" s="6">
        <v>-0.11797</v>
      </c>
      <c r="I480" s="6">
        <v>-0.05007</v>
      </c>
      <c r="J480" s="6">
        <v>0.0051</v>
      </c>
      <c r="K480" s="5" t="s">
        <v>283</v>
      </c>
      <c r="L480" s="6">
        <v>1.0</v>
      </c>
    </row>
    <row r="481" ht="13.5" customHeight="1">
      <c r="A481" s="5" t="s">
        <v>282</v>
      </c>
      <c r="B481" s="6">
        <v>1.5</v>
      </c>
      <c r="C481" s="5" t="s">
        <v>18</v>
      </c>
      <c r="D481" s="5" t="s">
        <v>19</v>
      </c>
      <c r="E481" s="6">
        <v>-1.6745</v>
      </c>
      <c r="F481" s="6">
        <v>-0.3173</v>
      </c>
      <c r="G481" s="6">
        <v>-0.0196</v>
      </c>
      <c r="H481" s="6">
        <v>-0.11797</v>
      </c>
      <c r="I481" s="6">
        <v>-0.04026</v>
      </c>
      <c r="J481" s="6">
        <v>0.18781</v>
      </c>
      <c r="K481" s="5" t="s">
        <v>283</v>
      </c>
      <c r="L481" s="6">
        <v>1.5</v>
      </c>
    </row>
    <row r="482" ht="13.5" customHeight="1">
      <c r="A482" s="5" t="s">
        <v>282</v>
      </c>
      <c r="B482" s="6">
        <v>2.0</v>
      </c>
      <c r="C482" s="5" t="s">
        <v>18</v>
      </c>
      <c r="D482" s="5" t="s">
        <v>19</v>
      </c>
      <c r="E482" s="6">
        <v>-1.6745</v>
      </c>
      <c r="F482" s="6">
        <v>-0.2211</v>
      </c>
      <c r="G482" s="6">
        <v>-0.0196</v>
      </c>
      <c r="H482" s="6">
        <v>-0.11797</v>
      </c>
      <c r="I482" s="6">
        <v>-0.03045</v>
      </c>
      <c r="J482" s="6">
        <v>0.3224</v>
      </c>
      <c r="K482" s="5" t="s">
        <v>283</v>
      </c>
      <c r="L482" s="6">
        <v>2.0</v>
      </c>
    </row>
    <row r="483" ht="13.5" customHeight="1">
      <c r="A483" s="5" t="s">
        <v>284</v>
      </c>
      <c r="B483" s="6">
        <v>0.0</v>
      </c>
      <c r="C483" s="5" t="s">
        <v>18</v>
      </c>
      <c r="D483" s="5" t="s">
        <v>19</v>
      </c>
      <c r="E483" s="6">
        <v>-2.7008</v>
      </c>
      <c r="F483" s="6">
        <v>-0.2989</v>
      </c>
      <c r="G483" s="6">
        <v>0.0128</v>
      </c>
      <c r="H483" s="6">
        <v>-0.01338</v>
      </c>
      <c r="I483" s="6">
        <v>0.02498</v>
      </c>
      <c r="J483" s="6">
        <v>-0.13252</v>
      </c>
      <c r="K483" s="5" t="s">
        <v>285</v>
      </c>
      <c r="L483" s="6">
        <v>0.0</v>
      </c>
    </row>
    <row r="484" ht="13.5" customHeight="1">
      <c r="A484" s="5" t="s">
        <v>284</v>
      </c>
      <c r="B484" s="6">
        <v>1.89011</v>
      </c>
      <c r="C484" s="5" t="s">
        <v>18</v>
      </c>
      <c r="D484" s="5" t="s">
        <v>19</v>
      </c>
      <c r="E484" s="6">
        <v>-2.9222</v>
      </c>
      <c r="F484" s="6">
        <v>-0.0102</v>
      </c>
      <c r="G484" s="6">
        <v>0.0128</v>
      </c>
      <c r="H484" s="6">
        <v>-0.01338</v>
      </c>
      <c r="I484" s="6">
        <v>7.6E-4</v>
      </c>
      <c r="J484" s="6">
        <v>0.15956</v>
      </c>
      <c r="K484" s="5" t="s">
        <v>285</v>
      </c>
      <c r="L484" s="6">
        <v>1.89011</v>
      </c>
    </row>
    <row r="485" ht="13.5" customHeight="1">
      <c r="A485" s="5" t="s">
        <v>284</v>
      </c>
      <c r="B485" s="6">
        <v>3.78021</v>
      </c>
      <c r="C485" s="5" t="s">
        <v>18</v>
      </c>
      <c r="D485" s="5" t="s">
        <v>19</v>
      </c>
      <c r="E485" s="6">
        <v>-3.1436</v>
      </c>
      <c r="F485" s="6">
        <v>0.2786</v>
      </c>
      <c r="G485" s="6">
        <v>0.0128</v>
      </c>
      <c r="H485" s="6">
        <v>-0.01338</v>
      </c>
      <c r="I485" s="6">
        <v>-0.02347</v>
      </c>
      <c r="J485" s="6">
        <v>-0.09413</v>
      </c>
      <c r="K485" s="5" t="s">
        <v>285</v>
      </c>
      <c r="L485" s="6">
        <v>3.78021</v>
      </c>
    </row>
    <row r="486" ht="13.5" customHeight="1">
      <c r="A486" s="5" t="s">
        <v>286</v>
      </c>
      <c r="B486" s="6">
        <v>0.0</v>
      </c>
      <c r="C486" s="5" t="s">
        <v>18</v>
      </c>
      <c r="D486" s="5" t="s">
        <v>19</v>
      </c>
      <c r="E486" s="6">
        <v>-2.0306</v>
      </c>
      <c r="F486" s="6">
        <v>-0.2895</v>
      </c>
      <c r="G486" s="6">
        <v>0.0132</v>
      </c>
      <c r="H486" s="6">
        <v>0.00213</v>
      </c>
      <c r="I486" s="6">
        <v>0.02169</v>
      </c>
      <c r="J486" s="6">
        <v>-0.09529</v>
      </c>
      <c r="K486" s="5" t="s">
        <v>287</v>
      </c>
      <c r="L486" s="6">
        <v>0.0</v>
      </c>
    </row>
    <row r="487" ht="13.5" customHeight="1">
      <c r="A487" s="5" t="s">
        <v>286</v>
      </c>
      <c r="B487" s="6">
        <v>1.89011</v>
      </c>
      <c r="C487" s="5" t="s">
        <v>18</v>
      </c>
      <c r="D487" s="5" t="s">
        <v>19</v>
      </c>
      <c r="E487" s="6">
        <v>-2.252</v>
      </c>
      <c r="F487" s="6">
        <v>-7.477E-4</v>
      </c>
      <c r="G487" s="6">
        <v>0.0132</v>
      </c>
      <c r="H487" s="6">
        <v>0.00213</v>
      </c>
      <c r="I487" s="6">
        <v>-0.00318</v>
      </c>
      <c r="J487" s="6">
        <v>0.17901</v>
      </c>
      <c r="K487" s="5" t="s">
        <v>287</v>
      </c>
      <c r="L487" s="6">
        <v>1.89011</v>
      </c>
    </row>
    <row r="488" ht="13.5" customHeight="1">
      <c r="A488" s="5" t="s">
        <v>286</v>
      </c>
      <c r="B488" s="6">
        <v>3.78021</v>
      </c>
      <c r="C488" s="5" t="s">
        <v>18</v>
      </c>
      <c r="D488" s="5" t="s">
        <v>19</v>
      </c>
      <c r="E488" s="6">
        <v>-2.4733</v>
      </c>
      <c r="F488" s="6">
        <v>0.288</v>
      </c>
      <c r="G488" s="6">
        <v>0.0132</v>
      </c>
      <c r="H488" s="6">
        <v>0.00213</v>
      </c>
      <c r="I488" s="6">
        <v>-0.02806</v>
      </c>
      <c r="J488" s="6">
        <v>-0.09246</v>
      </c>
      <c r="K488" s="5" t="s">
        <v>287</v>
      </c>
      <c r="L488" s="6">
        <v>3.78021</v>
      </c>
    </row>
    <row r="489" ht="13.5" customHeight="1">
      <c r="A489" s="5" t="s">
        <v>288</v>
      </c>
      <c r="B489" s="6">
        <v>0.0</v>
      </c>
      <c r="C489" s="5" t="s">
        <v>18</v>
      </c>
      <c r="D489" s="5" t="s">
        <v>19</v>
      </c>
      <c r="E489" s="6">
        <v>-2.4635</v>
      </c>
      <c r="F489" s="6">
        <v>-0.2881</v>
      </c>
      <c r="G489" s="6">
        <v>-0.0146</v>
      </c>
      <c r="H489" s="6">
        <v>-6.0E-4</v>
      </c>
      <c r="I489" s="6">
        <v>-0.03246</v>
      </c>
      <c r="J489" s="6">
        <v>-0.09207</v>
      </c>
      <c r="K489" s="5" t="s">
        <v>289</v>
      </c>
      <c r="L489" s="6">
        <v>0.0</v>
      </c>
    </row>
    <row r="490" ht="13.5" customHeight="1">
      <c r="A490" s="5" t="s">
        <v>288</v>
      </c>
      <c r="B490" s="6">
        <v>1.89011</v>
      </c>
      <c r="C490" s="5" t="s">
        <v>18</v>
      </c>
      <c r="D490" s="5" t="s">
        <v>19</v>
      </c>
      <c r="E490" s="6">
        <v>-2.2421</v>
      </c>
      <c r="F490" s="6">
        <v>6.488E-4</v>
      </c>
      <c r="G490" s="6">
        <v>-0.0146</v>
      </c>
      <c r="H490" s="6">
        <v>-6.0E-4</v>
      </c>
      <c r="I490" s="6">
        <v>-0.00488</v>
      </c>
      <c r="J490" s="6">
        <v>0.17959</v>
      </c>
      <c r="K490" s="5" t="s">
        <v>289</v>
      </c>
      <c r="L490" s="6">
        <v>1.89011</v>
      </c>
    </row>
    <row r="491" ht="13.5" customHeight="1">
      <c r="A491" s="5" t="s">
        <v>288</v>
      </c>
      <c r="B491" s="6">
        <v>3.78021</v>
      </c>
      <c r="C491" s="5" t="s">
        <v>18</v>
      </c>
      <c r="D491" s="5" t="s">
        <v>19</v>
      </c>
      <c r="E491" s="6">
        <v>-2.0208</v>
      </c>
      <c r="F491" s="6">
        <v>0.2894</v>
      </c>
      <c r="G491" s="6">
        <v>-0.0146</v>
      </c>
      <c r="H491" s="6">
        <v>-6.0E-4</v>
      </c>
      <c r="I491" s="6">
        <v>0.02271</v>
      </c>
      <c r="J491" s="6">
        <v>-0.09452</v>
      </c>
      <c r="K491" s="5" t="s">
        <v>289</v>
      </c>
      <c r="L491" s="6">
        <v>3.78021</v>
      </c>
    </row>
    <row r="492" ht="13.5" customHeight="1">
      <c r="A492" s="5" t="s">
        <v>290</v>
      </c>
      <c r="B492" s="6">
        <v>0.0</v>
      </c>
      <c r="C492" s="5" t="s">
        <v>18</v>
      </c>
      <c r="D492" s="5" t="s">
        <v>19</v>
      </c>
      <c r="E492" s="6">
        <v>-2.7068</v>
      </c>
      <c r="F492" s="6">
        <v>-0.3012</v>
      </c>
      <c r="G492" s="6">
        <v>-0.0158</v>
      </c>
      <c r="H492" s="6">
        <v>0.01382</v>
      </c>
      <c r="I492" s="6">
        <v>-0.02907</v>
      </c>
      <c r="J492" s="6">
        <v>-0.1358</v>
      </c>
      <c r="K492" s="5" t="s">
        <v>291</v>
      </c>
      <c r="L492" s="6">
        <v>0.0</v>
      </c>
    </row>
    <row r="493" ht="13.5" customHeight="1">
      <c r="A493" s="5" t="s">
        <v>290</v>
      </c>
      <c r="B493" s="6">
        <v>1.89011</v>
      </c>
      <c r="C493" s="5" t="s">
        <v>18</v>
      </c>
      <c r="D493" s="5" t="s">
        <v>19</v>
      </c>
      <c r="E493" s="6">
        <v>-2.9281</v>
      </c>
      <c r="F493" s="6">
        <v>-0.0124</v>
      </c>
      <c r="G493" s="6">
        <v>-0.0158</v>
      </c>
      <c r="H493" s="6">
        <v>0.01382</v>
      </c>
      <c r="I493" s="6">
        <v>8.6E-4</v>
      </c>
      <c r="J493" s="6">
        <v>0.16062</v>
      </c>
      <c r="K493" s="5" t="s">
        <v>291</v>
      </c>
      <c r="L493" s="6">
        <v>1.89011</v>
      </c>
    </row>
    <row r="494" ht="13.5" customHeight="1">
      <c r="A494" s="5" t="s">
        <v>290</v>
      </c>
      <c r="B494" s="6">
        <v>3.78021</v>
      </c>
      <c r="C494" s="5" t="s">
        <v>18</v>
      </c>
      <c r="D494" s="5" t="s">
        <v>19</v>
      </c>
      <c r="E494" s="6">
        <v>-3.1495</v>
      </c>
      <c r="F494" s="6">
        <v>0.2763</v>
      </c>
      <c r="G494" s="6">
        <v>-0.0158</v>
      </c>
      <c r="H494" s="6">
        <v>0.01382</v>
      </c>
      <c r="I494" s="6">
        <v>0.03079</v>
      </c>
      <c r="J494" s="6">
        <v>-0.08874</v>
      </c>
      <c r="K494" s="5" t="s">
        <v>291</v>
      </c>
      <c r="L494" s="6">
        <v>3.78021</v>
      </c>
    </row>
    <row r="495" ht="13.5" customHeight="1">
      <c r="A495" s="5" t="s">
        <v>292</v>
      </c>
      <c r="B495" s="6">
        <v>0.0</v>
      </c>
      <c r="C495" s="5" t="s">
        <v>18</v>
      </c>
      <c r="D495" s="5" t="s">
        <v>19</v>
      </c>
      <c r="E495" s="6">
        <v>-2.6038</v>
      </c>
      <c r="F495" s="6">
        <v>-0.4433</v>
      </c>
      <c r="G495" s="6">
        <v>7.128E-4</v>
      </c>
      <c r="H495" s="6">
        <v>0.011</v>
      </c>
      <c r="I495" s="6">
        <v>0.01228</v>
      </c>
      <c r="J495" s="6">
        <v>-0.29688</v>
      </c>
      <c r="K495" s="5" t="s">
        <v>293</v>
      </c>
      <c r="L495" s="6">
        <v>0.0</v>
      </c>
    </row>
    <row r="496" ht="13.5" customHeight="1">
      <c r="A496" s="5" t="s">
        <v>292</v>
      </c>
      <c r="B496" s="6">
        <v>2.41299</v>
      </c>
      <c r="C496" s="5" t="s">
        <v>18</v>
      </c>
      <c r="D496" s="5" t="s">
        <v>19</v>
      </c>
      <c r="E496" s="6">
        <v>-2.3824</v>
      </c>
      <c r="F496" s="6">
        <v>-0.0349</v>
      </c>
      <c r="G496" s="6">
        <v>7.128E-4</v>
      </c>
      <c r="H496" s="6">
        <v>0.011</v>
      </c>
      <c r="I496" s="6">
        <v>0.01056</v>
      </c>
      <c r="J496" s="6">
        <v>0.28012</v>
      </c>
      <c r="K496" s="5" t="s">
        <v>293</v>
      </c>
      <c r="L496" s="6">
        <v>2.41299</v>
      </c>
    </row>
    <row r="497" ht="13.5" customHeight="1">
      <c r="A497" s="5" t="s">
        <v>292</v>
      </c>
      <c r="B497" s="6">
        <v>4.82597</v>
      </c>
      <c r="C497" s="5" t="s">
        <v>18</v>
      </c>
      <c r="D497" s="5" t="s">
        <v>19</v>
      </c>
      <c r="E497" s="6">
        <v>-2.161</v>
      </c>
      <c r="F497" s="6">
        <v>0.3734</v>
      </c>
      <c r="G497" s="6">
        <v>7.128E-4</v>
      </c>
      <c r="H497" s="6">
        <v>0.011</v>
      </c>
      <c r="I497" s="6">
        <v>0.00884</v>
      </c>
      <c r="J497" s="6">
        <v>-0.12823</v>
      </c>
      <c r="K497" s="5" t="s">
        <v>293</v>
      </c>
      <c r="L497" s="6">
        <v>4.82597</v>
      </c>
    </row>
    <row r="498" ht="13.5" customHeight="1">
      <c r="A498" s="5" t="s">
        <v>294</v>
      </c>
      <c r="B498" s="6">
        <v>0.0</v>
      </c>
      <c r="C498" s="5" t="s">
        <v>18</v>
      </c>
      <c r="D498" s="5" t="s">
        <v>19</v>
      </c>
      <c r="E498" s="6">
        <v>-2.8453</v>
      </c>
      <c r="F498" s="6">
        <v>-0.2435</v>
      </c>
      <c r="G498" s="6">
        <v>0.0469</v>
      </c>
      <c r="H498" s="6">
        <v>-0.00643</v>
      </c>
      <c r="I498" s="6">
        <v>0.07896</v>
      </c>
      <c r="J498" s="6">
        <v>-0.00334</v>
      </c>
      <c r="K498" s="5" t="s">
        <v>295</v>
      </c>
      <c r="L498" s="6">
        <v>0.0</v>
      </c>
    </row>
    <row r="499" ht="13.5" customHeight="1">
      <c r="A499" s="5" t="s">
        <v>294</v>
      </c>
      <c r="B499" s="6">
        <v>1.89011</v>
      </c>
      <c r="C499" s="5" t="s">
        <v>18</v>
      </c>
      <c r="D499" s="5" t="s">
        <v>19</v>
      </c>
      <c r="E499" s="6">
        <v>-3.0666</v>
      </c>
      <c r="F499" s="6">
        <v>0.0453</v>
      </c>
      <c r="G499" s="6">
        <v>0.0469</v>
      </c>
      <c r="H499" s="6">
        <v>-0.00643</v>
      </c>
      <c r="I499" s="6">
        <v>-0.00962</v>
      </c>
      <c r="J499" s="6">
        <v>0.18398</v>
      </c>
      <c r="K499" s="5" t="s">
        <v>295</v>
      </c>
      <c r="L499" s="6">
        <v>1.89011</v>
      </c>
    </row>
    <row r="500" ht="13.5" customHeight="1">
      <c r="A500" s="5" t="s">
        <v>294</v>
      </c>
      <c r="B500" s="6">
        <v>3.78021</v>
      </c>
      <c r="C500" s="5" t="s">
        <v>18</v>
      </c>
      <c r="D500" s="5" t="s">
        <v>19</v>
      </c>
      <c r="E500" s="6">
        <v>-3.288</v>
      </c>
      <c r="F500" s="6">
        <v>0.334</v>
      </c>
      <c r="G500" s="6">
        <v>0.0469</v>
      </c>
      <c r="H500" s="6">
        <v>-0.00643</v>
      </c>
      <c r="I500" s="6">
        <v>-0.09821</v>
      </c>
      <c r="J500" s="6">
        <v>-0.17447</v>
      </c>
      <c r="K500" s="5" t="s">
        <v>295</v>
      </c>
      <c r="L500" s="6">
        <v>3.78021</v>
      </c>
    </row>
    <row r="501" ht="13.5" customHeight="1">
      <c r="A501" s="5" t="s">
        <v>296</v>
      </c>
      <c r="B501" s="6">
        <v>0.0</v>
      </c>
      <c r="C501" s="5" t="s">
        <v>18</v>
      </c>
      <c r="D501" s="5" t="s">
        <v>19</v>
      </c>
      <c r="E501" s="6">
        <v>-1.9694</v>
      </c>
      <c r="F501" s="6">
        <v>-0.2812</v>
      </c>
      <c r="G501" s="6">
        <v>0.0084</v>
      </c>
      <c r="H501" s="6">
        <v>-0.00807</v>
      </c>
      <c r="I501" s="6">
        <v>0.01479</v>
      </c>
      <c r="J501" s="6">
        <v>-0.08917</v>
      </c>
      <c r="K501" s="5" t="s">
        <v>297</v>
      </c>
      <c r="L501" s="6">
        <v>0.0</v>
      </c>
    </row>
    <row r="502" ht="13.5" customHeight="1">
      <c r="A502" s="5" t="s">
        <v>296</v>
      </c>
      <c r="B502" s="6">
        <v>1.89011</v>
      </c>
      <c r="C502" s="5" t="s">
        <v>18</v>
      </c>
      <c r="D502" s="5" t="s">
        <v>19</v>
      </c>
      <c r="E502" s="6">
        <v>-2.1908</v>
      </c>
      <c r="F502" s="6">
        <v>0.0075</v>
      </c>
      <c r="G502" s="6">
        <v>0.0084</v>
      </c>
      <c r="H502" s="6">
        <v>-0.00807</v>
      </c>
      <c r="I502" s="6">
        <v>-0.00105</v>
      </c>
      <c r="J502" s="6">
        <v>0.16946</v>
      </c>
      <c r="K502" s="5" t="s">
        <v>297</v>
      </c>
      <c r="L502" s="6">
        <v>1.89011</v>
      </c>
    </row>
    <row r="503" ht="13.5" customHeight="1">
      <c r="A503" s="5" t="s">
        <v>296</v>
      </c>
      <c r="B503" s="6">
        <v>3.78021</v>
      </c>
      <c r="C503" s="5" t="s">
        <v>18</v>
      </c>
      <c r="D503" s="5" t="s">
        <v>19</v>
      </c>
      <c r="E503" s="6">
        <v>-2.4121</v>
      </c>
      <c r="F503" s="6">
        <v>0.2963</v>
      </c>
      <c r="G503" s="6">
        <v>0.0084</v>
      </c>
      <c r="H503" s="6">
        <v>-0.00807</v>
      </c>
      <c r="I503" s="6">
        <v>-0.01689</v>
      </c>
      <c r="J503" s="6">
        <v>-0.11767</v>
      </c>
      <c r="K503" s="5" t="s">
        <v>297</v>
      </c>
      <c r="L503" s="6">
        <v>3.78021</v>
      </c>
    </row>
    <row r="504" ht="13.5" customHeight="1">
      <c r="A504" s="5" t="s">
        <v>298</v>
      </c>
      <c r="B504" s="6">
        <v>0.0</v>
      </c>
      <c r="C504" s="5" t="s">
        <v>18</v>
      </c>
      <c r="D504" s="5" t="s">
        <v>19</v>
      </c>
      <c r="E504" s="6">
        <v>-3.2915</v>
      </c>
      <c r="F504" s="6">
        <v>-0.3319</v>
      </c>
      <c r="G504" s="6">
        <v>-0.0379</v>
      </c>
      <c r="H504" s="6">
        <v>0.00129</v>
      </c>
      <c r="I504" s="6">
        <v>-0.07701</v>
      </c>
      <c r="J504" s="6">
        <v>-0.17086</v>
      </c>
      <c r="K504" s="5" t="s">
        <v>299</v>
      </c>
      <c r="L504" s="6">
        <v>0.0</v>
      </c>
    </row>
    <row r="505" ht="13.5" customHeight="1">
      <c r="A505" s="5" t="s">
        <v>298</v>
      </c>
      <c r="B505" s="6">
        <v>1.89011</v>
      </c>
      <c r="C505" s="5" t="s">
        <v>18</v>
      </c>
      <c r="D505" s="5" t="s">
        <v>19</v>
      </c>
      <c r="E505" s="6">
        <v>-3.0702</v>
      </c>
      <c r="F505" s="6">
        <v>-0.0432</v>
      </c>
      <c r="G505" s="6">
        <v>-0.0379</v>
      </c>
      <c r="H505" s="6">
        <v>0.00129</v>
      </c>
      <c r="I505" s="6">
        <v>-0.00539</v>
      </c>
      <c r="J505" s="6">
        <v>0.1836</v>
      </c>
      <c r="K505" s="5" t="s">
        <v>299</v>
      </c>
      <c r="L505" s="6">
        <v>1.89011</v>
      </c>
    </row>
    <row r="506" ht="13.5" customHeight="1">
      <c r="A506" s="5" t="s">
        <v>298</v>
      </c>
      <c r="B506" s="6">
        <v>3.78021</v>
      </c>
      <c r="C506" s="5" t="s">
        <v>18</v>
      </c>
      <c r="D506" s="5" t="s">
        <v>19</v>
      </c>
      <c r="E506" s="6">
        <v>-2.8488</v>
      </c>
      <c r="F506" s="6">
        <v>0.2456</v>
      </c>
      <c r="G506" s="6">
        <v>-0.0379</v>
      </c>
      <c r="H506" s="6">
        <v>0.00129</v>
      </c>
      <c r="I506" s="6">
        <v>0.06624</v>
      </c>
      <c r="J506" s="6">
        <v>-0.00771</v>
      </c>
      <c r="K506" s="5" t="s">
        <v>299</v>
      </c>
      <c r="L506" s="6">
        <v>3.78021</v>
      </c>
    </row>
    <row r="507" ht="13.5" customHeight="1">
      <c r="A507" s="5" t="s">
        <v>300</v>
      </c>
      <c r="B507" s="6">
        <v>0.0</v>
      </c>
      <c r="C507" s="5" t="s">
        <v>18</v>
      </c>
      <c r="D507" s="5" t="s">
        <v>19</v>
      </c>
      <c r="E507" s="6">
        <v>-2.6569</v>
      </c>
      <c r="F507" s="6">
        <v>-0.4376</v>
      </c>
      <c r="G507" s="6">
        <v>-1.798E-4</v>
      </c>
      <c r="H507" s="6">
        <v>-0.01768</v>
      </c>
      <c r="I507" s="6">
        <v>-0.01052</v>
      </c>
      <c r="J507" s="6">
        <v>-0.28183</v>
      </c>
      <c r="K507" s="5" t="s">
        <v>301</v>
      </c>
      <c r="L507" s="6">
        <v>0.0</v>
      </c>
    </row>
    <row r="508" ht="13.5" customHeight="1">
      <c r="A508" s="5" t="s">
        <v>300</v>
      </c>
      <c r="B508" s="6">
        <v>2.41299</v>
      </c>
      <c r="C508" s="5" t="s">
        <v>18</v>
      </c>
      <c r="D508" s="5" t="s">
        <v>19</v>
      </c>
      <c r="E508" s="6">
        <v>-2.4356</v>
      </c>
      <c r="F508" s="6">
        <v>-0.0292</v>
      </c>
      <c r="G508" s="6">
        <v>-1.798E-4</v>
      </c>
      <c r="H508" s="6">
        <v>-0.01768</v>
      </c>
      <c r="I508" s="6">
        <v>-0.01009</v>
      </c>
      <c r="J508" s="6">
        <v>0.28133</v>
      </c>
      <c r="K508" s="5" t="s">
        <v>301</v>
      </c>
      <c r="L508" s="6">
        <v>2.41299</v>
      </c>
    </row>
    <row r="509" ht="13.5" customHeight="1">
      <c r="A509" s="5" t="s">
        <v>300</v>
      </c>
      <c r="B509" s="6">
        <v>4.82597</v>
      </c>
      <c r="C509" s="5" t="s">
        <v>18</v>
      </c>
      <c r="D509" s="5" t="s">
        <v>19</v>
      </c>
      <c r="E509" s="6">
        <v>-2.2142</v>
      </c>
      <c r="F509" s="6">
        <v>0.3791</v>
      </c>
      <c r="G509" s="6">
        <v>-1.798E-4</v>
      </c>
      <c r="H509" s="6">
        <v>-0.01768</v>
      </c>
      <c r="I509" s="6">
        <v>-0.00966</v>
      </c>
      <c r="J509" s="6">
        <v>-0.14086</v>
      </c>
      <c r="K509" s="5" t="s">
        <v>301</v>
      </c>
      <c r="L509" s="6">
        <v>4.82597</v>
      </c>
    </row>
    <row r="510" ht="13.5" customHeight="1">
      <c r="A510" s="5" t="s">
        <v>302</v>
      </c>
      <c r="B510" s="6">
        <v>0.0</v>
      </c>
      <c r="C510" s="5" t="s">
        <v>18</v>
      </c>
      <c r="D510" s="5" t="s">
        <v>19</v>
      </c>
      <c r="E510" s="6">
        <v>-7.2068</v>
      </c>
      <c r="F510" s="6">
        <v>-0.3342</v>
      </c>
      <c r="G510" s="6">
        <v>0.072</v>
      </c>
      <c r="H510" s="6">
        <v>-0.06218</v>
      </c>
      <c r="I510" s="6">
        <v>0.04082</v>
      </c>
      <c r="J510" s="6">
        <v>-0.3872</v>
      </c>
      <c r="K510" s="5" t="s">
        <v>303</v>
      </c>
      <c r="L510" s="6">
        <v>0.0</v>
      </c>
    </row>
    <row r="511" ht="13.5" customHeight="1">
      <c r="A511" s="5" t="s">
        <v>302</v>
      </c>
      <c r="B511" s="6">
        <v>1.0</v>
      </c>
      <c r="C511" s="5" t="s">
        <v>18</v>
      </c>
      <c r="D511" s="5" t="s">
        <v>19</v>
      </c>
      <c r="E511" s="6">
        <v>-7.3168</v>
      </c>
      <c r="F511" s="6">
        <v>-0.3342</v>
      </c>
      <c r="G511" s="6">
        <v>0.072</v>
      </c>
      <c r="H511" s="6">
        <v>-0.06218</v>
      </c>
      <c r="I511" s="6">
        <v>-0.03117</v>
      </c>
      <c r="J511" s="6">
        <v>-0.05304</v>
      </c>
      <c r="K511" s="5" t="s">
        <v>303</v>
      </c>
      <c r="L511" s="6">
        <v>1.0</v>
      </c>
    </row>
    <row r="512" ht="13.5" customHeight="1">
      <c r="A512" s="5" t="s">
        <v>302</v>
      </c>
      <c r="B512" s="6">
        <v>1.0</v>
      </c>
      <c r="C512" s="5" t="s">
        <v>18</v>
      </c>
      <c r="D512" s="5" t="s">
        <v>19</v>
      </c>
      <c r="E512" s="6">
        <v>-8.3504</v>
      </c>
      <c r="F512" s="6">
        <v>-0.2707</v>
      </c>
      <c r="G512" s="6">
        <v>0.0638</v>
      </c>
      <c r="H512" s="6">
        <v>0.0104</v>
      </c>
      <c r="I512" s="6">
        <v>0.09496</v>
      </c>
      <c r="J512" s="6">
        <v>-0.29737</v>
      </c>
      <c r="K512" s="5" t="s">
        <v>304</v>
      </c>
      <c r="L512" s="6">
        <v>0.0</v>
      </c>
    </row>
    <row r="513" ht="13.5" customHeight="1">
      <c r="A513" s="5" t="s">
        <v>302</v>
      </c>
      <c r="B513" s="6">
        <v>1.65</v>
      </c>
      <c r="C513" s="5" t="s">
        <v>18</v>
      </c>
      <c r="D513" s="5" t="s">
        <v>19</v>
      </c>
      <c r="E513" s="6">
        <v>-8.4219</v>
      </c>
      <c r="F513" s="6">
        <v>-0.2707</v>
      </c>
      <c r="G513" s="6">
        <v>0.0638</v>
      </c>
      <c r="H513" s="6">
        <v>0.0104</v>
      </c>
      <c r="I513" s="6">
        <v>0.0535</v>
      </c>
      <c r="J513" s="6">
        <v>-0.1214</v>
      </c>
      <c r="K513" s="5" t="s">
        <v>304</v>
      </c>
      <c r="L513" s="6">
        <v>0.65</v>
      </c>
    </row>
    <row r="514" ht="13.5" customHeight="1">
      <c r="A514" s="5" t="s">
        <v>302</v>
      </c>
      <c r="B514" s="6">
        <v>3.3</v>
      </c>
      <c r="C514" s="5" t="s">
        <v>18</v>
      </c>
      <c r="D514" s="5" t="s">
        <v>19</v>
      </c>
      <c r="E514" s="6">
        <v>-8.6034</v>
      </c>
      <c r="F514" s="6">
        <v>-0.2707</v>
      </c>
      <c r="G514" s="6">
        <v>0.0638</v>
      </c>
      <c r="H514" s="6">
        <v>0.0104</v>
      </c>
      <c r="I514" s="6">
        <v>-0.05173</v>
      </c>
      <c r="J514" s="6">
        <v>0.32529</v>
      </c>
      <c r="K514" s="5" t="s">
        <v>304</v>
      </c>
      <c r="L514" s="6">
        <v>2.3</v>
      </c>
    </row>
    <row r="515" ht="13.5" customHeight="1">
      <c r="A515" s="5" t="s">
        <v>305</v>
      </c>
      <c r="B515" s="6">
        <v>0.0</v>
      </c>
      <c r="C515" s="5" t="s">
        <v>18</v>
      </c>
      <c r="D515" s="5" t="s">
        <v>19</v>
      </c>
      <c r="E515" s="6">
        <v>-1.3402</v>
      </c>
      <c r="F515" s="6">
        <v>-0.0148</v>
      </c>
      <c r="G515" s="6">
        <v>0.011</v>
      </c>
      <c r="H515" s="6">
        <v>2.8E-4</v>
      </c>
      <c r="I515" s="6">
        <v>0.00791</v>
      </c>
      <c r="J515" s="6">
        <v>-0.02947</v>
      </c>
      <c r="K515" s="5" t="s">
        <v>306</v>
      </c>
      <c r="L515" s="6">
        <v>0.0</v>
      </c>
    </row>
    <row r="516" ht="13.5" customHeight="1">
      <c r="A516" s="5" t="s">
        <v>305</v>
      </c>
      <c r="B516" s="6">
        <v>0.5</v>
      </c>
      <c r="C516" s="5" t="s">
        <v>18</v>
      </c>
      <c r="D516" s="5" t="s">
        <v>19</v>
      </c>
      <c r="E516" s="6">
        <v>-1.3952</v>
      </c>
      <c r="F516" s="6">
        <v>-0.0148</v>
      </c>
      <c r="G516" s="6">
        <v>0.011</v>
      </c>
      <c r="H516" s="6">
        <v>2.8E-4</v>
      </c>
      <c r="I516" s="6">
        <v>0.00238</v>
      </c>
      <c r="J516" s="6">
        <v>-0.02206</v>
      </c>
      <c r="K516" s="5" t="s">
        <v>306</v>
      </c>
      <c r="L516" s="6">
        <v>0.5</v>
      </c>
    </row>
    <row r="517" ht="13.5" customHeight="1">
      <c r="A517" s="5" t="s">
        <v>305</v>
      </c>
      <c r="B517" s="6">
        <v>1.0</v>
      </c>
      <c r="C517" s="5" t="s">
        <v>18</v>
      </c>
      <c r="D517" s="5" t="s">
        <v>19</v>
      </c>
      <c r="E517" s="6">
        <v>-1.4502</v>
      </c>
      <c r="F517" s="6">
        <v>-0.0148</v>
      </c>
      <c r="G517" s="6">
        <v>0.011</v>
      </c>
      <c r="H517" s="6">
        <v>2.8E-4</v>
      </c>
      <c r="I517" s="6">
        <v>-0.00314</v>
      </c>
      <c r="J517" s="6">
        <v>-0.01466</v>
      </c>
      <c r="K517" s="5" t="s">
        <v>306</v>
      </c>
      <c r="L517" s="6">
        <v>1.0</v>
      </c>
    </row>
    <row r="518" ht="13.5" customHeight="1">
      <c r="A518" s="5" t="s">
        <v>307</v>
      </c>
      <c r="B518" s="6">
        <v>0.0</v>
      </c>
      <c r="C518" s="5" t="s">
        <v>18</v>
      </c>
      <c r="D518" s="5" t="s">
        <v>19</v>
      </c>
      <c r="E518" s="6">
        <v>-1.7042</v>
      </c>
      <c r="F518" s="6">
        <v>-0.036</v>
      </c>
      <c r="G518" s="6">
        <v>0.006</v>
      </c>
      <c r="H518" s="6">
        <v>-0.00143</v>
      </c>
      <c r="I518" s="6">
        <v>0.00208</v>
      </c>
      <c r="J518" s="6">
        <v>-0.05571</v>
      </c>
      <c r="K518" s="5" t="s">
        <v>308</v>
      </c>
      <c r="L518" s="6">
        <v>0.0</v>
      </c>
    </row>
    <row r="519" ht="13.5" customHeight="1">
      <c r="A519" s="5" t="s">
        <v>307</v>
      </c>
      <c r="B519" s="6">
        <v>0.5</v>
      </c>
      <c r="C519" s="5" t="s">
        <v>18</v>
      </c>
      <c r="D519" s="5" t="s">
        <v>19</v>
      </c>
      <c r="E519" s="6">
        <v>-1.7592</v>
      </c>
      <c r="F519" s="6">
        <v>-0.036</v>
      </c>
      <c r="G519" s="6">
        <v>0.006</v>
      </c>
      <c r="H519" s="6">
        <v>-0.00143</v>
      </c>
      <c r="I519" s="6">
        <v>-9.1E-4</v>
      </c>
      <c r="J519" s="6">
        <v>-0.0377</v>
      </c>
      <c r="K519" s="5" t="s">
        <v>308</v>
      </c>
      <c r="L519" s="6">
        <v>0.5</v>
      </c>
    </row>
    <row r="520" ht="13.5" customHeight="1">
      <c r="A520" s="5" t="s">
        <v>307</v>
      </c>
      <c r="B520" s="6">
        <v>1.0</v>
      </c>
      <c r="C520" s="5" t="s">
        <v>18</v>
      </c>
      <c r="D520" s="5" t="s">
        <v>19</v>
      </c>
      <c r="E520" s="6">
        <v>-1.8142</v>
      </c>
      <c r="F520" s="6">
        <v>-0.036</v>
      </c>
      <c r="G520" s="6">
        <v>0.006</v>
      </c>
      <c r="H520" s="6">
        <v>-0.00143</v>
      </c>
      <c r="I520" s="6">
        <v>-0.00391</v>
      </c>
      <c r="J520" s="6">
        <v>-0.01968</v>
      </c>
      <c r="K520" s="5" t="s">
        <v>308</v>
      </c>
      <c r="L520" s="6">
        <v>1.0</v>
      </c>
    </row>
    <row r="521" ht="13.5" customHeight="1">
      <c r="A521" s="5" t="s">
        <v>309</v>
      </c>
      <c r="B521" s="6">
        <v>0.0</v>
      </c>
      <c r="C521" s="5" t="s">
        <v>18</v>
      </c>
      <c r="D521" s="5" t="s">
        <v>19</v>
      </c>
      <c r="E521" s="6">
        <v>-2.3669</v>
      </c>
      <c r="F521" s="6">
        <v>-0.0801</v>
      </c>
      <c r="G521" s="6">
        <v>-0.0282</v>
      </c>
      <c r="H521" s="6">
        <v>0.00668</v>
      </c>
      <c r="I521" s="6">
        <v>-0.02073</v>
      </c>
      <c r="J521" s="6">
        <v>-0.08386</v>
      </c>
      <c r="K521" s="5" t="s">
        <v>310</v>
      </c>
      <c r="L521" s="6">
        <v>0.0</v>
      </c>
    </row>
    <row r="522" ht="13.5" customHeight="1">
      <c r="A522" s="5" t="s">
        <v>309</v>
      </c>
      <c r="B522" s="6">
        <v>1.15</v>
      </c>
      <c r="C522" s="5" t="s">
        <v>18</v>
      </c>
      <c r="D522" s="5" t="s">
        <v>19</v>
      </c>
      <c r="E522" s="6">
        <v>-2.4934</v>
      </c>
      <c r="F522" s="6">
        <v>-0.0801</v>
      </c>
      <c r="G522" s="6">
        <v>-0.0282</v>
      </c>
      <c r="H522" s="6">
        <v>0.00668</v>
      </c>
      <c r="I522" s="6">
        <v>0.01166</v>
      </c>
      <c r="J522" s="6">
        <v>0.00829</v>
      </c>
      <c r="K522" s="5" t="s">
        <v>310</v>
      </c>
      <c r="L522" s="6">
        <v>1.15</v>
      </c>
    </row>
    <row r="523" ht="13.5" customHeight="1">
      <c r="A523" s="5" t="s">
        <v>309</v>
      </c>
      <c r="B523" s="6">
        <v>2.3</v>
      </c>
      <c r="C523" s="5" t="s">
        <v>18</v>
      </c>
      <c r="D523" s="5" t="s">
        <v>19</v>
      </c>
      <c r="E523" s="6">
        <v>-2.6199</v>
      </c>
      <c r="F523" s="6">
        <v>-0.0801</v>
      </c>
      <c r="G523" s="6">
        <v>-0.0282</v>
      </c>
      <c r="H523" s="6">
        <v>0.00668</v>
      </c>
      <c r="I523" s="6">
        <v>0.04406</v>
      </c>
      <c r="J523" s="6">
        <v>0.10045</v>
      </c>
      <c r="K523" s="5" t="s">
        <v>310</v>
      </c>
      <c r="L523" s="6">
        <v>2.3</v>
      </c>
    </row>
    <row r="524" ht="13.5" customHeight="1">
      <c r="A524" s="5" t="s">
        <v>311</v>
      </c>
      <c r="B524" s="6">
        <v>0.0</v>
      </c>
      <c r="C524" s="5" t="s">
        <v>18</v>
      </c>
      <c r="D524" s="5" t="s">
        <v>19</v>
      </c>
      <c r="E524" s="6">
        <v>-2.2434</v>
      </c>
      <c r="F524" s="6">
        <v>0.0829</v>
      </c>
      <c r="G524" s="6">
        <v>0.0139</v>
      </c>
      <c r="H524" s="6">
        <v>0.01142</v>
      </c>
      <c r="I524" s="6">
        <v>0.00977</v>
      </c>
      <c r="J524" s="6">
        <v>0.0862</v>
      </c>
      <c r="K524" s="5" t="s">
        <v>312</v>
      </c>
      <c r="L524" s="6">
        <v>0.0</v>
      </c>
    </row>
    <row r="525" ht="13.5" customHeight="1">
      <c r="A525" s="5" t="s">
        <v>311</v>
      </c>
      <c r="B525" s="6">
        <v>1.15</v>
      </c>
      <c r="C525" s="5" t="s">
        <v>18</v>
      </c>
      <c r="D525" s="5" t="s">
        <v>19</v>
      </c>
      <c r="E525" s="6">
        <v>-2.1169</v>
      </c>
      <c r="F525" s="6">
        <v>0.0829</v>
      </c>
      <c r="G525" s="6">
        <v>0.0139</v>
      </c>
      <c r="H525" s="6">
        <v>0.01142</v>
      </c>
      <c r="I525" s="6">
        <v>-0.0062</v>
      </c>
      <c r="J525" s="6">
        <v>-0.00911</v>
      </c>
      <c r="K525" s="5" t="s">
        <v>312</v>
      </c>
      <c r="L525" s="6">
        <v>1.15</v>
      </c>
    </row>
    <row r="526" ht="13.5" customHeight="1">
      <c r="A526" s="5" t="s">
        <v>311</v>
      </c>
      <c r="B526" s="6">
        <v>2.3</v>
      </c>
      <c r="C526" s="5" t="s">
        <v>18</v>
      </c>
      <c r="D526" s="5" t="s">
        <v>19</v>
      </c>
      <c r="E526" s="6">
        <v>-1.9904</v>
      </c>
      <c r="F526" s="6">
        <v>0.0829</v>
      </c>
      <c r="G526" s="6">
        <v>0.0139</v>
      </c>
      <c r="H526" s="6">
        <v>0.01142</v>
      </c>
      <c r="I526" s="6">
        <v>-0.02217</v>
      </c>
      <c r="J526" s="6">
        <v>-0.10442</v>
      </c>
      <c r="K526" s="5" t="s">
        <v>312</v>
      </c>
      <c r="L526" s="6">
        <v>2.3</v>
      </c>
    </row>
    <row r="527" ht="13.5" customHeight="1">
      <c r="A527" s="5" t="s">
        <v>313</v>
      </c>
      <c r="B527" s="6">
        <v>0.0</v>
      </c>
      <c r="C527" s="5" t="s">
        <v>18</v>
      </c>
      <c r="D527" s="5" t="s">
        <v>19</v>
      </c>
      <c r="E527" s="6">
        <v>-2.6282</v>
      </c>
      <c r="F527" s="6">
        <v>-0.0105</v>
      </c>
      <c r="G527" s="6">
        <v>-0.0276</v>
      </c>
      <c r="H527" s="6">
        <v>0.00477</v>
      </c>
      <c r="I527" s="6">
        <v>-0.0435</v>
      </c>
      <c r="J527" s="6">
        <v>-0.01725</v>
      </c>
      <c r="K527" s="5" t="s">
        <v>314</v>
      </c>
      <c r="L527" s="6">
        <v>0.0</v>
      </c>
    </row>
    <row r="528" ht="13.5" customHeight="1">
      <c r="A528" s="5" t="s">
        <v>313</v>
      </c>
      <c r="B528" s="6">
        <v>1.15</v>
      </c>
      <c r="C528" s="5" t="s">
        <v>18</v>
      </c>
      <c r="D528" s="5" t="s">
        <v>19</v>
      </c>
      <c r="E528" s="6">
        <v>-2.5017</v>
      </c>
      <c r="F528" s="6">
        <v>-0.0105</v>
      </c>
      <c r="G528" s="6">
        <v>-0.0276</v>
      </c>
      <c r="H528" s="6">
        <v>0.00477</v>
      </c>
      <c r="I528" s="6">
        <v>-0.01178</v>
      </c>
      <c r="J528" s="6">
        <v>-0.00518</v>
      </c>
      <c r="K528" s="5" t="s">
        <v>314</v>
      </c>
      <c r="L528" s="6">
        <v>1.15</v>
      </c>
    </row>
    <row r="529" ht="13.5" customHeight="1">
      <c r="A529" s="5" t="s">
        <v>313</v>
      </c>
      <c r="B529" s="6">
        <v>2.3</v>
      </c>
      <c r="C529" s="5" t="s">
        <v>18</v>
      </c>
      <c r="D529" s="5" t="s">
        <v>19</v>
      </c>
      <c r="E529" s="6">
        <v>-2.3752</v>
      </c>
      <c r="F529" s="6">
        <v>-0.0105</v>
      </c>
      <c r="G529" s="6">
        <v>-0.0276</v>
      </c>
      <c r="H529" s="6">
        <v>0.00477</v>
      </c>
      <c r="I529" s="6">
        <v>0.01994</v>
      </c>
      <c r="J529" s="6">
        <v>0.00689</v>
      </c>
      <c r="K529" s="5" t="s">
        <v>314</v>
      </c>
      <c r="L529" s="6">
        <v>2.3</v>
      </c>
    </row>
    <row r="530" ht="13.5" customHeight="1">
      <c r="A530" s="5" t="s">
        <v>315</v>
      </c>
      <c r="B530" s="6">
        <v>0.0</v>
      </c>
      <c r="C530" s="5" t="s">
        <v>18</v>
      </c>
      <c r="D530" s="5" t="s">
        <v>19</v>
      </c>
      <c r="E530" s="6">
        <v>-1.8212</v>
      </c>
      <c r="F530" s="6">
        <v>-0.0327</v>
      </c>
      <c r="G530" s="6">
        <v>0.0061</v>
      </c>
      <c r="H530" s="6">
        <v>0.00265</v>
      </c>
      <c r="I530" s="6">
        <v>0.00395</v>
      </c>
      <c r="J530" s="6">
        <v>-0.00618</v>
      </c>
      <c r="K530" s="5" t="s">
        <v>316</v>
      </c>
      <c r="L530" s="6">
        <v>0.0</v>
      </c>
    </row>
    <row r="531" ht="13.5" customHeight="1">
      <c r="A531" s="5" t="s">
        <v>315</v>
      </c>
      <c r="B531" s="6">
        <v>0.5</v>
      </c>
      <c r="C531" s="5" t="s">
        <v>18</v>
      </c>
      <c r="D531" s="5" t="s">
        <v>19</v>
      </c>
      <c r="E531" s="6">
        <v>-1.7662</v>
      </c>
      <c r="F531" s="6">
        <v>-0.0327</v>
      </c>
      <c r="G531" s="6">
        <v>0.0061</v>
      </c>
      <c r="H531" s="6">
        <v>0.00265</v>
      </c>
      <c r="I531" s="6">
        <v>9.0E-4</v>
      </c>
      <c r="J531" s="6">
        <v>0.01015</v>
      </c>
      <c r="K531" s="5" t="s">
        <v>316</v>
      </c>
      <c r="L531" s="6">
        <v>0.5</v>
      </c>
    </row>
    <row r="532" ht="13.5" customHeight="1">
      <c r="A532" s="5" t="s">
        <v>315</v>
      </c>
      <c r="B532" s="6">
        <v>1.0</v>
      </c>
      <c r="C532" s="5" t="s">
        <v>18</v>
      </c>
      <c r="D532" s="5" t="s">
        <v>19</v>
      </c>
      <c r="E532" s="6">
        <v>-1.7112</v>
      </c>
      <c r="F532" s="6">
        <v>-0.0327</v>
      </c>
      <c r="G532" s="6">
        <v>0.0061</v>
      </c>
      <c r="H532" s="6">
        <v>0.00265</v>
      </c>
      <c r="I532" s="6">
        <v>-0.00216</v>
      </c>
      <c r="J532" s="6">
        <v>0.02648</v>
      </c>
      <c r="K532" s="5" t="s">
        <v>316</v>
      </c>
      <c r="L532" s="6">
        <v>1.0</v>
      </c>
    </row>
    <row r="533" ht="13.5" customHeight="1">
      <c r="A533" s="5" t="s">
        <v>317</v>
      </c>
      <c r="B533" s="6">
        <v>0.0</v>
      </c>
      <c r="C533" s="5" t="s">
        <v>18</v>
      </c>
      <c r="D533" s="5" t="s">
        <v>19</v>
      </c>
      <c r="E533" s="6">
        <v>-2.2284</v>
      </c>
      <c r="F533" s="6">
        <v>-0.0116</v>
      </c>
      <c r="G533" s="6">
        <v>0.013</v>
      </c>
      <c r="H533" s="6">
        <v>8.3E-4</v>
      </c>
      <c r="I533" s="6">
        <v>0.00901</v>
      </c>
      <c r="J533" s="6">
        <v>-0.0018</v>
      </c>
      <c r="K533" s="5" t="s">
        <v>318</v>
      </c>
      <c r="L533" s="6">
        <v>0.0</v>
      </c>
    </row>
    <row r="534" ht="13.5" customHeight="1">
      <c r="A534" s="5" t="s">
        <v>317</v>
      </c>
      <c r="B534" s="6">
        <v>1.15</v>
      </c>
      <c r="C534" s="5" t="s">
        <v>18</v>
      </c>
      <c r="D534" s="5" t="s">
        <v>19</v>
      </c>
      <c r="E534" s="6">
        <v>-2.1019</v>
      </c>
      <c r="F534" s="6">
        <v>-0.0116</v>
      </c>
      <c r="G534" s="6">
        <v>0.013</v>
      </c>
      <c r="H534" s="6">
        <v>8.3E-4</v>
      </c>
      <c r="I534" s="6">
        <v>-0.00593</v>
      </c>
      <c r="J534" s="6">
        <v>0.01157</v>
      </c>
      <c r="K534" s="5" t="s">
        <v>318</v>
      </c>
      <c r="L534" s="6">
        <v>1.15</v>
      </c>
    </row>
    <row r="535" ht="13.5" customHeight="1">
      <c r="A535" s="5" t="s">
        <v>317</v>
      </c>
      <c r="B535" s="6">
        <v>2.3</v>
      </c>
      <c r="C535" s="5" t="s">
        <v>18</v>
      </c>
      <c r="D535" s="5" t="s">
        <v>19</v>
      </c>
      <c r="E535" s="6">
        <v>-1.9754</v>
      </c>
      <c r="F535" s="6">
        <v>-0.0116</v>
      </c>
      <c r="G535" s="6">
        <v>0.013</v>
      </c>
      <c r="H535" s="6">
        <v>8.3E-4</v>
      </c>
      <c r="I535" s="6">
        <v>-0.02087</v>
      </c>
      <c r="J535" s="6">
        <v>0.02494</v>
      </c>
      <c r="K535" s="5" t="s">
        <v>318</v>
      </c>
      <c r="L535" s="6">
        <v>2.3</v>
      </c>
    </row>
    <row r="536" ht="13.5" customHeight="1">
      <c r="A536" s="5" t="s">
        <v>319</v>
      </c>
      <c r="B536" s="6">
        <v>0.0</v>
      </c>
      <c r="C536" s="5" t="s">
        <v>18</v>
      </c>
      <c r="D536" s="5" t="s">
        <v>19</v>
      </c>
      <c r="E536" s="6">
        <v>-1.4387</v>
      </c>
      <c r="F536" s="6">
        <v>-0.0117</v>
      </c>
      <c r="G536" s="6">
        <v>0.0106</v>
      </c>
      <c r="H536" s="6">
        <v>9.7E-4</v>
      </c>
      <c r="I536" s="6">
        <v>0.00291</v>
      </c>
      <c r="J536" s="6">
        <v>-0.01071</v>
      </c>
      <c r="K536" s="5" t="s">
        <v>320</v>
      </c>
      <c r="L536" s="6">
        <v>0.0</v>
      </c>
    </row>
    <row r="537" ht="13.5" customHeight="1">
      <c r="A537" s="5" t="s">
        <v>319</v>
      </c>
      <c r="B537" s="6">
        <v>0.5</v>
      </c>
      <c r="C537" s="5" t="s">
        <v>18</v>
      </c>
      <c r="D537" s="5" t="s">
        <v>19</v>
      </c>
      <c r="E537" s="6">
        <v>-1.3837</v>
      </c>
      <c r="F537" s="6">
        <v>-0.0117</v>
      </c>
      <c r="G537" s="6">
        <v>0.0106</v>
      </c>
      <c r="H537" s="6">
        <v>9.7E-4</v>
      </c>
      <c r="I537" s="6">
        <v>-0.00236</v>
      </c>
      <c r="J537" s="6">
        <v>-0.00486</v>
      </c>
      <c r="K537" s="5" t="s">
        <v>320</v>
      </c>
      <c r="L537" s="6">
        <v>0.5</v>
      </c>
    </row>
    <row r="538" ht="13.5" customHeight="1">
      <c r="A538" s="5" t="s">
        <v>319</v>
      </c>
      <c r="B538" s="6">
        <v>1.0</v>
      </c>
      <c r="C538" s="5" t="s">
        <v>18</v>
      </c>
      <c r="D538" s="5" t="s">
        <v>19</v>
      </c>
      <c r="E538" s="6">
        <v>-1.3287</v>
      </c>
      <c r="F538" s="6">
        <v>-0.0117</v>
      </c>
      <c r="G538" s="6">
        <v>0.0106</v>
      </c>
      <c r="H538" s="6">
        <v>9.7E-4</v>
      </c>
      <c r="I538" s="6">
        <v>-0.00764</v>
      </c>
      <c r="J538" s="6">
        <v>0.001</v>
      </c>
      <c r="K538" s="5" t="s">
        <v>320</v>
      </c>
      <c r="L538" s="6">
        <v>1.0</v>
      </c>
    </row>
    <row r="539" ht="13.5" customHeight="1">
      <c r="A539" s="5" t="s">
        <v>321</v>
      </c>
      <c r="B539" s="6">
        <v>0.0</v>
      </c>
      <c r="C539" s="5" t="s">
        <v>18</v>
      </c>
      <c r="D539" s="5" t="s">
        <v>19</v>
      </c>
      <c r="E539" s="6">
        <v>-8.373</v>
      </c>
      <c r="F539" s="6">
        <v>-0.1908</v>
      </c>
      <c r="G539" s="6">
        <v>0.055</v>
      </c>
      <c r="H539" s="6">
        <v>0.00171</v>
      </c>
      <c r="I539" s="6">
        <v>0.04156</v>
      </c>
      <c r="J539" s="6">
        <v>-0.22879</v>
      </c>
      <c r="K539" s="5" t="s">
        <v>322</v>
      </c>
      <c r="L539" s="6">
        <v>0.0</v>
      </c>
    </row>
    <row r="540" ht="13.5" customHeight="1">
      <c r="A540" s="5" t="s">
        <v>321</v>
      </c>
      <c r="B540" s="6">
        <v>1.15</v>
      </c>
      <c r="C540" s="5" t="s">
        <v>18</v>
      </c>
      <c r="D540" s="5" t="s">
        <v>19</v>
      </c>
      <c r="E540" s="6">
        <v>-8.2465</v>
      </c>
      <c r="F540" s="6">
        <v>-0.1908</v>
      </c>
      <c r="G540" s="6">
        <v>0.055</v>
      </c>
      <c r="H540" s="6">
        <v>0.00171</v>
      </c>
      <c r="I540" s="6">
        <v>-0.02165</v>
      </c>
      <c r="J540" s="6">
        <v>-0.00935</v>
      </c>
      <c r="K540" s="5" t="s">
        <v>322</v>
      </c>
      <c r="L540" s="6">
        <v>1.15</v>
      </c>
    </row>
    <row r="541" ht="13.5" customHeight="1">
      <c r="A541" s="5" t="s">
        <v>321</v>
      </c>
      <c r="B541" s="6">
        <v>2.3</v>
      </c>
      <c r="C541" s="5" t="s">
        <v>18</v>
      </c>
      <c r="D541" s="5" t="s">
        <v>19</v>
      </c>
      <c r="E541" s="6">
        <v>-8.12</v>
      </c>
      <c r="F541" s="6">
        <v>-0.1908</v>
      </c>
      <c r="G541" s="6">
        <v>0.055</v>
      </c>
      <c r="H541" s="6">
        <v>0.00171</v>
      </c>
      <c r="I541" s="6">
        <v>-0.08485</v>
      </c>
      <c r="J541" s="6">
        <v>0.2101</v>
      </c>
      <c r="K541" s="5" t="s">
        <v>322</v>
      </c>
      <c r="L541" s="6">
        <v>2.3</v>
      </c>
    </row>
    <row r="542" ht="13.5" customHeight="1">
      <c r="A542" s="5" t="s">
        <v>323</v>
      </c>
      <c r="B542" s="6">
        <v>0.0</v>
      </c>
      <c r="C542" s="5" t="s">
        <v>18</v>
      </c>
      <c r="D542" s="5" t="s">
        <v>19</v>
      </c>
      <c r="E542" s="6">
        <v>-7.0889</v>
      </c>
      <c r="F542" s="6">
        <v>-0.3075</v>
      </c>
      <c r="G542" s="6">
        <v>0.0742</v>
      </c>
      <c r="H542" s="6">
        <v>0.06055</v>
      </c>
      <c r="I542" s="6">
        <v>0.03222</v>
      </c>
      <c r="J542" s="6">
        <v>0.0244</v>
      </c>
      <c r="K542" s="5" t="s">
        <v>324</v>
      </c>
      <c r="L542" s="6">
        <v>0.0</v>
      </c>
    </row>
    <row r="543" ht="13.5" customHeight="1">
      <c r="A543" s="5" t="s">
        <v>323</v>
      </c>
      <c r="B543" s="6">
        <v>0.5</v>
      </c>
      <c r="C543" s="5" t="s">
        <v>18</v>
      </c>
      <c r="D543" s="5" t="s">
        <v>19</v>
      </c>
      <c r="E543" s="6">
        <v>-7.0339</v>
      </c>
      <c r="F543" s="6">
        <v>-0.3075</v>
      </c>
      <c r="G543" s="6">
        <v>0.0742</v>
      </c>
      <c r="H543" s="6">
        <v>0.06055</v>
      </c>
      <c r="I543" s="6">
        <v>-0.00489</v>
      </c>
      <c r="J543" s="6">
        <v>0.17814</v>
      </c>
      <c r="K543" s="5" t="s">
        <v>324</v>
      </c>
      <c r="L543" s="6">
        <v>0.5</v>
      </c>
    </row>
    <row r="544" ht="13.5" customHeight="1">
      <c r="A544" s="5" t="s">
        <v>323</v>
      </c>
      <c r="B544" s="6">
        <v>1.0</v>
      </c>
      <c r="C544" s="5" t="s">
        <v>18</v>
      </c>
      <c r="D544" s="5" t="s">
        <v>19</v>
      </c>
      <c r="E544" s="6">
        <v>-6.9789</v>
      </c>
      <c r="F544" s="6">
        <v>-0.3075</v>
      </c>
      <c r="G544" s="6">
        <v>0.0742</v>
      </c>
      <c r="H544" s="6">
        <v>0.06055</v>
      </c>
      <c r="I544" s="6">
        <v>-0.042</v>
      </c>
      <c r="J544" s="6">
        <v>0.33189</v>
      </c>
      <c r="K544" s="5" t="s">
        <v>324</v>
      </c>
      <c r="L544" s="6">
        <v>1.0</v>
      </c>
    </row>
    <row r="545" ht="13.5" customHeight="1">
      <c r="A545" s="5" t="s">
        <v>325</v>
      </c>
      <c r="B545" s="6">
        <v>0.0</v>
      </c>
      <c r="C545" s="5" t="s">
        <v>18</v>
      </c>
      <c r="D545" s="5" t="s">
        <v>19</v>
      </c>
      <c r="E545" s="6">
        <v>-2.4142</v>
      </c>
      <c r="F545" s="6">
        <v>-0.2969</v>
      </c>
      <c r="G545" s="6">
        <v>-5.345E-4</v>
      </c>
      <c r="H545" s="6">
        <v>0.0044</v>
      </c>
      <c r="I545" s="6">
        <v>0.00212</v>
      </c>
      <c r="J545" s="6">
        <v>-0.11832</v>
      </c>
      <c r="K545" s="5" t="s">
        <v>326</v>
      </c>
      <c r="L545" s="6">
        <v>0.0</v>
      </c>
    </row>
    <row r="546" ht="13.5" customHeight="1">
      <c r="A546" s="5" t="s">
        <v>325</v>
      </c>
      <c r="B546" s="6">
        <v>1.89011</v>
      </c>
      <c r="C546" s="5" t="s">
        <v>18</v>
      </c>
      <c r="D546" s="5" t="s">
        <v>19</v>
      </c>
      <c r="E546" s="6">
        <v>-2.1928</v>
      </c>
      <c r="F546" s="6">
        <v>-0.0082</v>
      </c>
      <c r="G546" s="6">
        <v>-5.345E-4</v>
      </c>
      <c r="H546" s="6">
        <v>0.0044</v>
      </c>
      <c r="I546" s="6">
        <v>0.00313</v>
      </c>
      <c r="J546" s="6">
        <v>0.17005</v>
      </c>
      <c r="K546" s="5" t="s">
        <v>326</v>
      </c>
      <c r="L546" s="6">
        <v>1.89011</v>
      </c>
    </row>
    <row r="547" ht="13.5" customHeight="1">
      <c r="A547" s="5" t="s">
        <v>325</v>
      </c>
      <c r="B547" s="6">
        <v>3.78021</v>
      </c>
      <c r="C547" s="5" t="s">
        <v>18</v>
      </c>
      <c r="D547" s="5" t="s">
        <v>19</v>
      </c>
      <c r="E547" s="6">
        <v>-1.9714</v>
      </c>
      <c r="F547" s="6">
        <v>0.2806</v>
      </c>
      <c r="G547" s="6">
        <v>-5.345E-4</v>
      </c>
      <c r="H547" s="6">
        <v>0.0044</v>
      </c>
      <c r="I547" s="6">
        <v>0.00414</v>
      </c>
      <c r="J547" s="6">
        <v>-0.08734</v>
      </c>
      <c r="K547" s="5" t="s">
        <v>326</v>
      </c>
      <c r="L547" s="6">
        <v>3.78021</v>
      </c>
    </row>
    <row r="548" ht="13.5" customHeight="1">
      <c r="A548" s="5" t="s">
        <v>327</v>
      </c>
      <c r="B548" s="6">
        <v>0.0</v>
      </c>
      <c r="C548" s="5" t="s">
        <v>18</v>
      </c>
      <c r="D548" s="5" t="s">
        <v>19</v>
      </c>
      <c r="E548" s="6">
        <v>-7.5156</v>
      </c>
      <c r="F548" s="6">
        <v>-0.3752</v>
      </c>
      <c r="G548" s="6">
        <v>0.0367</v>
      </c>
      <c r="H548" s="6">
        <v>-0.01642</v>
      </c>
      <c r="I548" s="6">
        <v>0.06387</v>
      </c>
      <c r="J548" s="6">
        <v>-0.11074</v>
      </c>
      <c r="K548" s="5" t="s">
        <v>328</v>
      </c>
      <c r="L548" s="6">
        <v>0.0</v>
      </c>
    </row>
    <row r="549" ht="13.5" customHeight="1">
      <c r="A549" s="5" t="s">
        <v>327</v>
      </c>
      <c r="B549" s="6">
        <v>1.95512</v>
      </c>
      <c r="C549" s="5" t="s">
        <v>18</v>
      </c>
      <c r="D549" s="5" t="s">
        <v>19</v>
      </c>
      <c r="E549" s="6">
        <v>-7.7369</v>
      </c>
      <c r="F549" s="6">
        <v>-0.0709</v>
      </c>
      <c r="G549" s="6">
        <v>0.0367</v>
      </c>
      <c r="H549" s="6">
        <v>-0.01642</v>
      </c>
      <c r="I549" s="6">
        <v>-0.00784</v>
      </c>
      <c r="J549" s="6">
        <v>0.32533</v>
      </c>
      <c r="K549" s="5" t="s">
        <v>328</v>
      </c>
      <c r="L549" s="6">
        <v>1.95512</v>
      </c>
    </row>
    <row r="550" ht="13.5" customHeight="1">
      <c r="A550" s="5" t="s">
        <v>327</v>
      </c>
      <c r="B550" s="6">
        <v>3.91024</v>
      </c>
      <c r="C550" s="5" t="s">
        <v>18</v>
      </c>
      <c r="D550" s="5" t="s">
        <v>19</v>
      </c>
      <c r="E550" s="6">
        <v>-7.9583</v>
      </c>
      <c r="F550" s="6">
        <v>0.2335</v>
      </c>
      <c r="G550" s="6">
        <v>0.0367</v>
      </c>
      <c r="H550" s="6">
        <v>-0.01642</v>
      </c>
      <c r="I550" s="6">
        <v>-0.07954</v>
      </c>
      <c r="J550" s="6">
        <v>0.16632</v>
      </c>
      <c r="K550" s="5" t="s">
        <v>328</v>
      </c>
      <c r="L550" s="6">
        <v>3.91024</v>
      </c>
    </row>
    <row r="551" ht="13.5" customHeight="1">
      <c r="A551" s="5" t="s">
        <v>329</v>
      </c>
      <c r="B551" s="6">
        <v>0.0</v>
      </c>
      <c r="C551" s="5" t="s">
        <v>18</v>
      </c>
      <c r="D551" s="5" t="s">
        <v>19</v>
      </c>
      <c r="E551" s="6">
        <v>-7.8026</v>
      </c>
      <c r="F551" s="6">
        <v>-0.1972</v>
      </c>
      <c r="G551" s="6">
        <v>-0.0383</v>
      </c>
      <c r="H551" s="6">
        <v>0.08157</v>
      </c>
      <c r="I551" s="6">
        <v>-0.09554</v>
      </c>
      <c r="J551" s="6">
        <v>0.13188</v>
      </c>
      <c r="K551" s="5" t="s">
        <v>330</v>
      </c>
      <c r="L551" s="6">
        <v>0.0</v>
      </c>
    </row>
    <row r="552" ht="13.5" customHeight="1">
      <c r="A552" s="5" t="s">
        <v>329</v>
      </c>
      <c r="B552" s="6">
        <v>1.95512</v>
      </c>
      <c r="C552" s="5" t="s">
        <v>18</v>
      </c>
      <c r="D552" s="5" t="s">
        <v>19</v>
      </c>
      <c r="E552" s="6">
        <v>-8.024</v>
      </c>
      <c r="F552" s="6">
        <v>0.1072</v>
      </c>
      <c r="G552" s="6">
        <v>-0.0383</v>
      </c>
      <c r="H552" s="6">
        <v>0.08157</v>
      </c>
      <c r="I552" s="6">
        <v>-0.02067</v>
      </c>
      <c r="J552" s="6">
        <v>0.21982</v>
      </c>
      <c r="K552" s="5" t="s">
        <v>330</v>
      </c>
      <c r="L552" s="6">
        <v>1.95512</v>
      </c>
    </row>
    <row r="553" ht="13.5" customHeight="1">
      <c r="A553" s="5" t="s">
        <v>329</v>
      </c>
      <c r="B553" s="6">
        <v>3.91024</v>
      </c>
      <c r="C553" s="5" t="s">
        <v>18</v>
      </c>
      <c r="D553" s="5" t="s">
        <v>19</v>
      </c>
      <c r="E553" s="6">
        <v>-8.2453</v>
      </c>
      <c r="F553" s="6">
        <v>0.4116</v>
      </c>
      <c r="G553" s="6">
        <v>-0.0383</v>
      </c>
      <c r="H553" s="6">
        <v>0.08157</v>
      </c>
      <c r="I553" s="6">
        <v>0.0542</v>
      </c>
      <c r="J553" s="6">
        <v>-0.28731</v>
      </c>
      <c r="K553" s="5" t="s">
        <v>330</v>
      </c>
      <c r="L553" s="6">
        <v>3.91024</v>
      </c>
    </row>
    <row r="554" ht="13.5" customHeight="1">
      <c r="A554" s="5" t="s">
        <v>331</v>
      </c>
      <c r="B554" s="6">
        <v>0.0</v>
      </c>
      <c r="C554" s="5" t="s">
        <v>18</v>
      </c>
      <c r="D554" s="5" t="s">
        <v>19</v>
      </c>
      <c r="E554" s="6">
        <v>-11.6802</v>
      </c>
      <c r="F554" s="6">
        <v>-0.6157</v>
      </c>
      <c r="G554" s="6">
        <v>-0.0476</v>
      </c>
      <c r="H554" s="6">
        <v>-0.00821</v>
      </c>
      <c r="I554" s="6">
        <v>-0.06556</v>
      </c>
      <c r="J554" s="6">
        <v>-0.49638</v>
      </c>
      <c r="K554" s="5" t="s">
        <v>332</v>
      </c>
      <c r="L554" s="6">
        <v>0.0</v>
      </c>
    </row>
    <row r="555" ht="13.5" customHeight="1">
      <c r="A555" s="5" t="s">
        <v>331</v>
      </c>
      <c r="B555" s="6">
        <v>1.95512</v>
      </c>
      <c r="C555" s="5" t="s">
        <v>18</v>
      </c>
      <c r="D555" s="5" t="s">
        <v>19</v>
      </c>
      <c r="E555" s="6">
        <v>-11.4588</v>
      </c>
      <c r="F555" s="6">
        <v>-0.3113</v>
      </c>
      <c r="G555" s="6">
        <v>-0.0476</v>
      </c>
      <c r="H555" s="6">
        <v>-0.00821</v>
      </c>
      <c r="I555" s="6">
        <v>0.02744</v>
      </c>
      <c r="J555" s="6">
        <v>0.40976</v>
      </c>
      <c r="K555" s="5" t="s">
        <v>332</v>
      </c>
      <c r="L555" s="6">
        <v>1.95512</v>
      </c>
    </row>
    <row r="556" ht="13.5" customHeight="1">
      <c r="A556" s="5" t="s">
        <v>331</v>
      </c>
      <c r="B556" s="6">
        <v>3.91024</v>
      </c>
      <c r="C556" s="5" t="s">
        <v>18</v>
      </c>
      <c r="D556" s="5" t="s">
        <v>19</v>
      </c>
      <c r="E556" s="6">
        <v>-11.2374</v>
      </c>
      <c r="F556" s="6">
        <v>-0.0069</v>
      </c>
      <c r="G556" s="6">
        <v>-0.0476</v>
      </c>
      <c r="H556" s="6">
        <v>-0.00821</v>
      </c>
      <c r="I556" s="6">
        <v>0.12044</v>
      </c>
      <c r="J556" s="6">
        <v>0.72082</v>
      </c>
      <c r="K556" s="5" t="s">
        <v>332</v>
      </c>
      <c r="L556" s="6">
        <v>3.91024</v>
      </c>
    </row>
    <row r="557" ht="13.5" customHeight="1">
      <c r="A557" s="5" t="s">
        <v>333</v>
      </c>
      <c r="B557" s="6">
        <v>0.0</v>
      </c>
      <c r="C557" s="5" t="s">
        <v>18</v>
      </c>
      <c r="D557" s="5" t="s">
        <v>19</v>
      </c>
      <c r="E557" s="6">
        <v>-7.003</v>
      </c>
      <c r="F557" s="6">
        <v>-0.3329</v>
      </c>
      <c r="G557" s="6">
        <v>0.0121</v>
      </c>
      <c r="H557" s="6">
        <v>-0.00347</v>
      </c>
      <c r="I557" s="6">
        <v>0.01159</v>
      </c>
      <c r="J557" s="6">
        <v>0.09699</v>
      </c>
      <c r="K557" s="5" t="s">
        <v>334</v>
      </c>
      <c r="L557" s="6">
        <v>0.0</v>
      </c>
    </row>
    <row r="558" ht="13.5" customHeight="1">
      <c r="A558" s="5" t="s">
        <v>333</v>
      </c>
      <c r="B558" s="6">
        <v>1.11803</v>
      </c>
      <c r="C558" s="5" t="s">
        <v>18</v>
      </c>
      <c r="D558" s="5" t="s">
        <v>19</v>
      </c>
      <c r="E558" s="6">
        <v>-6.9068</v>
      </c>
      <c r="F558" s="6">
        <v>-0.1404</v>
      </c>
      <c r="G558" s="6">
        <v>0.0121</v>
      </c>
      <c r="H558" s="6">
        <v>-0.00347</v>
      </c>
      <c r="I558" s="6">
        <v>-0.00197</v>
      </c>
      <c r="J558" s="6">
        <v>0.36154</v>
      </c>
      <c r="K558" s="5" t="s">
        <v>334</v>
      </c>
      <c r="L558" s="6">
        <v>1.11803</v>
      </c>
    </row>
    <row r="559" ht="13.5" customHeight="1">
      <c r="A559" s="5" t="s">
        <v>333</v>
      </c>
      <c r="B559" s="6">
        <v>2.23607</v>
      </c>
      <c r="C559" s="5" t="s">
        <v>18</v>
      </c>
      <c r="D559" s="5" t="s">
        <v>19</v>
      </c>
      <c r="E559" s="6">
        <v>-6.8105</v>
      </c>
      <c r="F559" s="6">
        <v>0.0521</v>
      </c>
      <c r="G559" s="6">
        <v>0.0121</v>
      </c>
      <c r="H559" s="6">
        <v>-0.00347</v>
      </c>
      <c r="I559" s="6">
        <v>-0.01554</v>
      </c>
      <c r="J559" s="6">
        <v>0.41087</v>
      </c>
      <c r="K559" s="5" t="s">
        <v>334</v>
      </c>
      <c r="L559" s="6">
        <v>2.23607</v>
      </c>
    </row>
    <row r="560" ht="13.5" customHeight="1">
      <c r="A560" s="5" t="s">
        <v>335</v>
      </c>
      <c r="B560" s="6">
        <v>0.0</v>
      </c>
      <c r="C560" s="5" t="s">
        <v>18</v>
      </c>
      <c r="D560" s="5" t="s">
        <v>19</v>
      </c>
      <c r="E560" s="6">
        <v>-8.6911</v>
      </c>
      <c r="F560" s="6">
        <v>-0.0124</v>
      </c>
      <c r="G560" s="6">
        <v>-0.0433</v>
      </c>
      <c r="H560" s="6">
        <v>0.00683</v>
      </c>
      <c r="I560" s="6">
        <v>-0.04441</v>
      </c>
      <c r="J560" s="6">
        <v>0.48405</v>
      </c>
      <c r="K560" s="5" t="s">
        <v>336</v>
      </c>
      <c r="L560" s="6">
        <v>0.0</v>
      </c>
    </row>
    <row r="561" ht="13.5" customHeight="1">
      <c r="A561" s="5" t="s">
        <v>335</v>
      </c>
      <c r="B561" s="6">
        <v>1.11803</v>
      </c>
      <c r="C561" s="5" t="s">
        <v>18</v>
      </c>
      <c r="D561" s="5" t="s">
        <v>19</v>
      </c>
      <c r="E561" s="6">
        <v>-8.7873</v>
      </c>
      <c r="F561" s="6">
        <v>0.1801</v>
      </c>
      <c r="G561" s="6">
        <v>-0.0433</v>
      </c>
      <c r="H561" s="6">
        <v>0.00683</v>
      </c>
      <c r="I561" s="6">
        <v>0.00405</v>
      </c>
      <c r="J561" s="6">
        <v>0.39028</v>
      </c>
      <c r="K561" s="5" t="s">
        <v>336</v>
      </c>
      <c r="L561" s="6">
        <v>1.11803</v>
      </c>
    </row>
    <row r="562" ht="13.5" customHeight="1">
      <c r="A562" s="5" t="s">
        <v>335</v>
      </c>
      <c r="B562" s="6">
        <v>2.23607</v>
      </c>
      <c r="C562" s="5" t="s">
        <v>18</v>
      </c>
      <c r="D562" s="5" t="s">
        <v>19</v>
      </c>
      <c r="E562" s="6">
        <v>-8.8836</v>
      </c>
      <c r="F562" s="6">
        <v>0.3726</v>
      </c>
      <c r="G562" s="6">
        <v>-0.0433</v>
      </c>
      <c r="H562" s="6">
        <v>0.00683</v>
      </c>
      <c r="I562" s="6">
        <v>0.05251</v>
      </c>
      <c r="J562" s="6">
        <v>0.08129</v>
      </c>
      <c r="K562" s="5" t="s">
        <v>336</v>
      </c>
      <c r="L562" s="6">
        <v>2.23607</v>
      </c>
    </row>
    <row r="563" ht="13.5" customHeight="1">
      <c r="A563" s="5" t="s">
        <v>337</v>
      </c>
      <c r="B563" s="6">
        <v>0.0</v>
      </c>
      <c r="C563" s="5" t="s">
        <v>18</v>
      </c>
      <c r="D563" s="5" t="s">
        <v>19</v>
      </c>
      <c r="E563" s="6">
        <v>-9.9062</v>
      </c>
      <c r="F563" s="6">
        <v>-0.1853</v>
      </c>
      <c r="G563" s="6">
        <v>0.0777</v>
      </c>
      <c r="H563" s="6">
        <v>-0.01597</v>
      </c>
      <c r="I563" s="6">
        <v>0.15765</v>
      </c>
      <c r="J563" s="6">
        <v>0.22024</v>
      </c>
      <c r="K563" s="5" t="s">
        <v>338</v>
      </c>
      <c r="L563" s="6">
        <v>0.0</v>
      </c>
    </row>
    <row r="564" ht="13.5" customHeight="1">
      <c r="A564" s="5" t="s">
        <v>337</v>
      </c>
      <c r="B564" s="6">
        <v>1.95512</v>
      </c>
      <c r="C564" s="5" t="s">
        <v>18</v>
      </c>
      <c r="D564" s="5" t="s">
        <v>19</v>
      </c>
      <c r="E564" s="6">
        <v>-10.1276</v>
      </c>
      <c r="F564" s="6">
        <v>0.1191</v>
      </c>
      <c r="G564" s="6">
        <v>0.0777</v>
      </c>
      <c r="H564" s="6">
        <v>-0.01597</v>
      </c>
      <c r="I564" s="6">
        <v>0.00579</v>
      </c>
      <c r="J564" s="6">
        <v>0.28492</v>
      </c>
      <c r="K564" s="5" t="s">
        <v>338</v>
      </c>
      <c r="L564" s="6">
        <v>1.95512</v>
      </c>
    </row>
    <row r="565" ht="13.5" customHeight="1">
      <c r="A565" s="5" t="s">
        <v>337</v>
      </c>
      <c r="B565" s="6">
        <v>3.91024</v>
      </c>
      <c r="C565" s="5" t="s">
        <v>18</v>
      </c>
      <c r="D565" s="5" t="s">
        <v>19</v>
      </c>
      <c r="E565" s="6">
        <v>-10.3489</v>
      </c>
      <c r="F565" s="6">
        <v>0.4235</v>
      </c>
      <c r="G565" s="6">
        <v>0.0777</v>
      </c>
      <c r="H565" s="6">
        <v>-0.01597</v>
      </c>
      <c r="I565" s="6">
        <v>-0.14606</v>
      </c>
      <c r="J565" s="6">
        <v>-0.24547</v>
      </c>
      <c r="K565" s="5" t="s">
        <v>338</v>
      </c>
      <c r="L565" s="6">
        <v>3.91024</v>
      </c>
    </row>
    <row r="566" ht="13.5" customHeight="1">
      <c r="A566" s="5" t="s">
        <v>339</v>
      </c>
      <c r="B566" s="6">
        <v>0.0</v>
      </c>
      <c r="C566" s="5" t="s">
        <v>18</v>
      </c>
      <c r="D566" s="5" t="s">
        <v>19</v>
      </c>
      <c r="E566" s="6">
        <v>-8.3574</v>
      </c>
      <c r="F566" s="6">
        <v>-0.3345</v>
      </c>
      <c r="G566" s="6">
        <v>0.0281</v>
      </c>
      <c r="H566" s="6">
        <v>-0.01873</v>
      </c>
      <c r="I566" s="6">
        <v>0.05276</v>
      </c>
      <c r="J566" s="6">
        <v>-0.07852</v>
      </c>
      <c r="K566" s="5" t="s">
        <v>340</v>
      </c>
      <c r="L566" s="6">
        <v>0.0</v>
      </c>
    </row>
    <row r="567" ht="13.5" customHeight="1">
      <c r="A567" s="5" t="s">
        <v>339</v>
      </c>
      <c r="B567" s="6">
        <v>1.95512</v>
      </c>
      <c r="C567" s="5" t="s">
        <v>18</v>
      </c>
      <c r="D567" s="5" t="s">
        <v>19</v>
      </c>
      <c r="E567" s="6">
        <v>-8.1361</v>
      </c>
      <c r="F567" s="6">
        <v>-0.0301</v>
      </c>
      <c r="G567" s="6">
        <v>0.0281</v>
      </c>
      <c r="H567" s="6">
        <v>-0.01873</v>
      </c>
      <c r="I567" s="6">
        <v>-0.00218</v>
      </c>
      <c r="J567" s="6">
        <v>0.27794</v>
      </c>
      <c r="K567" s="5" t="s">
        <v>340</v>
      </c>
      <c r="L567" s="6">
        <v>1.95512</v>
      </c>
    </row>
    <row r="568" ht="13.5" customHeight="1">
      <c r="A568" s="5" t="s">
        <v>339</v>
      </c>
      <c r="B568" s="6">
        <v>3.91024</v>
      </c>
      <c r="C568" s="5" t="s">
        <v>18</v>
      </c>
      <c r="D568" s="5" t="s">
        <v>19</v>
      </c>
      <c r="E568" s="6">
        <v>-7.9147</v>
      </c>
      <c r="F568" s="6">
        <v>0.2742</v>
      </c>
      <c r="G568" s="6">
        <v>0.0281</v>
      </c>
      <c r="H568" s="6">
        <v>-0.01873</v>
      </c>
      <c r="I568" s="6">
        <v>-0.05712</v>
      </c>
      <c r="J568" s="6">
        <v>0.03931</v>
      </c>
      <c r="K568" s="5" t="s">
        <v>340</v>
      </c>
      <c r="L568" s="6">
        <v>3.91024</v>
      </c>
    </row>
    <row r="569" ht="13.5" customHeight="1">
      <c r="A569" s="5" t="s">
        <v>341</v>
      </c>
      <c r="B569" s="6">
        <v>0.0</v>
      </c>
      <c r="C569" s="5" t="s">
        <v>18</v>
      </c>
      <c r="D569" s="5" t="s">
        <v>19</v>
      </c>
      <c r="E569" s="6">
        <v>-12.3296</v>
      </c>
      <c r="F569" s="6">
        <v>-0.3074</v>
      </c>
      <c r="G569" s="6">
        <v>0.0418</v>
      </c>
      <c r="H569" s="6">
        <v>0.06176</v>
      </c>
      <c r="I569" s="6">
        <v>0.10651</v>
      </c>
      <c r="J569" s="6">
        <v>0.11723</v>
      </c>
      <c r="K569" s="5" t="s">
        <v>342</v>
      </c>
      <c r="L569" s="6">
        <v>0.0</v>
      </c>
    </row>
    <row r="570" ht="13.5" customHeight="1">
      <c r="A570" s="5" t="s">
        <v>341</v>
      </c>
      <c r="B570" s="6">
        <v>2.41299</v>
      </c>
      <c r="C570" s="5" t="s">
        <v>18</v>
      </c>
      <c r="D570" s="5" t="s">
        <v>19</v>
      </c>
      <c r="E570" s="6">
        <v>-12.551</v>
      </c>
      <c r="F570" s="6">
        <v>0.1009</v>
      </c>
      <c r="G570" s="6">
        <v>0.0418</v>
      </c>
      <c r="H570" s="6">
        <v>0.06176</v>
      </c>
      <c r="I570" s="6">
        <v>0.00577</v>
      </c>
      <c r="J570" s="6">
        <v>0.36632</v>
      </c>
      <c r="K570" s="5" t="s">
        <v>342</v>
      </c>
      <c r="L570" s="6">
        <v>2.41299</v>
      </c>
    </row>
    <row r="571" ht="13.5" customHeight="1">
      <c r="A571" s="5" t="s">
        <v>341</v>
      </c>
      <c r="B571" s="6">
        <v>4.82597</v>
      </c>
      <c r="C571" s="5" t="s">
        <v>18</v>
      </c>
      <c r="D571" s="5" t="s">
        <v>19</v>
      </c>
      <c r="E571" s="6">
        <v>-12.7723</v>
      </c>
      <c r="F571" s="6">
        <v>0.5093</v>
      </c>
      <c r="G571" s="6">
        <v>0.0418</v>
      </c>
      <c r="H571" s="6">
        <v>0.06176</v>
      </c>
      <c r="I571" s="6">
        <v>-0.09498</v>
      </c>
      <c r="J571" s="6">
        <v>-0.36994</v>
      </c>
      <c r="K571" s="5" t="s">
        <v>342</v>
      </c>
      <c r="L571" s="6">
        <v>4.82597</v>
      </c>
    </row>
    <row r="572" ht="13.5" customHeight="1">
      <c r="A572" s="5" t="s">
        <v>343</v>
      </c>
      <c r="B572" s="6">
        <v>0.0</v>
      </c>
      <c r="C572" s="5" t="s">
        <v>18</v>
      </c>
      <c r="D572" s="5" t="s">
        <v>19</v>
      </c>
      <c r="E572" s="6">
        <v>-14.3413</v>
      </c>
      <c r="F572" s="6">
        <v>-0.4122</v>
      </c>
      <c r="G572" s="6">
        <v>-0.0053</v>
      </c>
      <c r="H572" s="6">
        <v>0.0311</v>
      </c>
      <c r="I572" s="6">
        <v>-0.03659</v>
      </c>
      <c r="J572" s="6">
        <v>-0.21619</v>
      </c>
      <c r="K572" s="5" t="s">
        <v>344</v>
      </c>
      <c r="L572" s="6">
        <v>0.0</v>
      </c>
    </row>
    <row r="573" ht="13.5" customHeight="1">
      <c r="A573" s="5" t="s">
        <v>343</v>
      </c>
      <c r="B573" s="6">
        <v>2.41299</v>
      </c>
      <c r="C573" s="5" t="s">
        <v>18</v>
      </c>
      <c r="D573" s="5" t="s">
        <v>19</v>
      </c>
      <c r="E573" s="6">
        <v>-14.5627</v>
      </c>
      <c r="F573" s="6">
        <v>-0.0038</v>
      </c>
      <c r="G573" s="6">
        <v>-0.0053</v>
      </c>
      <c r="H573" s="6">
        <v>0.0311</v>
      </c>
      <c r="I573" s="6">
        <v>-0.02391</v>
      </c>
      <c r="J573" s="6">
        <v>0.28571</v>
      </c>
      <c r="K573" s="5" t="s">
        <v>344</v>
      </c>
      <c r="L573" s="6">
        <v>2.41299</v>
      </c>
    </row>
    <row r="574" ht="13.5" customHeight="1">
      <c r="A574" s="5" t="s">
        <v>343</v>
      </c>
      <c r="B574" s="6">
        <v>4.82597</v>
      </c>
      <c r="C574" s="5" t="s">
        <v>18</v>
      </c>
      <c r="D574" s="5" t="s">
        <v>19</v>
      </c>
      <c r="E574" s="6">
        <v>-14.784</v>
      </c>
      <c r="F574" s="6">
        <v>0.4045</v>
      </c>
      <c r="G574" s="6">
        <v>-0.0053</v>
      </c>
      <c r="H574" s="6">
        <v>0.0311</v>
      </c>
      <c r="I574" s="6">
        <v>-0.01124</v>
      </c>
      <c r="J574" s="6">
        <v>-0.19774</v>
      </c>
      <c r="K574" s="5" t="s">
        <v>344</v>
      </c>
      <c r="L574" s="6">
        <v>4.82597</v>
      </c>
    </row>
    <row r="575" ht="13.5" customHeight="1">
      <c r="A575" s="5" t="s">
        <v>345</v>
      </c>
      <c r="B575" s="6">
        <v>0.0</v>
      </c>
      <c r="C575" s="5" t="s">
        <v>18</v>
      </c>
      <c r="D575" s="5" t="s">
        <v>19</v>
      </c>
      <c r="E575" s="6">
        <v>-15.6646</v>
      </c>
      <c r="F575" s="6">
        <v>-0.392</v>
      </c>
      <c r="G575" s="6">
        <v>0.0066</v>
      </c>
      <c r="H575" s="6">
        <v>-0.032</v>
      </c>
      <c r="I575" s="6">
        <v>-0.01347</v>
      </c>
      <c r="J575" s="6">
        <v>-0.18716</v>
      </c>
      <c r="K575" s="5" t="s">
        <v>346</v>
      </c>
      <c r="L575" s="6">
        <v>0.0</v>
      </c>
    </row>
    <row r="576" ht="13.5" customHeight="1">
      <c r="A576" s="5" t="s">
        <v>345</v>
      </c>
      <c r="B576" s="6">
        <v>2.41299</v>
      </c>
      <c r="C576" s="5" t="s">
        <v>18</v>
      </c>
      <c r="D576" s="5" t="s">
        <v>19</v>
      </c>
      <c r="E576" s="6">
        <v>-15.4432</v>
      </c>
      <c r="F576" s="6">
        <v>0.0164</v>
      </c>
      <c r="G576" s="6">
        <v>0.0066</v>
      </c>
      <c r="H576" s="6">
        <v>-0.032</v>
      </c>
      <c r="I576" s="6">
        <v>-0.02942</v>
      </c>
      <c r="J576" s="6">
        <v>0.26606</v>
      </c>
      <c r="K576" s="5" t="s">
        <v>346</v>
      </c>
      <c r="L576" s="6">
        <v>2.41299</v>
      </c>
    </row>
    <row r="577" ht="13.5" customHeight="1">
      <c r="A577" s="5" t="s">
        <v>345</v>
      </c>
      <c r="B577" s="6">
        <v>4.82597</v>
      </c>
      <c r="C577" s="5" t="s">
        <v>18</v>
      </c>
      <c r="D577" s="5" t="s">
        <v>19</v>
      </c>
      <c r="E577" s="6">
        <v>-15.2218</v>
      </c>
      <c r="F577" s="6">
        <v>0.4247</v>
      </c>
      <c r="G577" s="6">
        <v>0.0066</v>
      </c>
      <c r="H577" s="6">
        <v>-0.032</v>
      </c>
      <c r="I577" s="6">
        <v>-0.04536</v>
      </c>
      <c r="J577" s="6">
        <v>-0.26607</v>
      </c>
      <c r="K577" s="5" t="s">
        <v>346</v>
      </c>
      <c r="L577" s="6">
        <v>4.82597</v>
      </c>
    </row>
    <row r="578" ht="13.5" customHeight="1">
      <c r="A578" s="5" t="s">
        <v>347</v>
      </c>
      <c r="B578" s="6">
        <v>0.0</v>
      </c>
      <c r="C578" s="5" t="s">
        <v>18</v>
      </c>
      <c r="D578" s="5" t="s">
        <v>19</v>
      </c>
      <c r="E578" s="6">
        <v>-3.6723</v>
      </c>
      <c r="F578" s="6">
        <v>-0.1309</v>
      </c>
      <c r="G578" s="6">
        <v>-0.0921</v>
      </c>
      <c r="H578" s="6">
        <v>4.488E-6</v>
      </c>
      <c r="I578" s="6">
        <v>-0.17507</v>
      </c>
      <c r="J578" s="6">
        <v>-0.06314</v>
      </c>
      <c r="K578" s="5" t="s">
        <v>348</v>
      </c>
      <c r="L578" s="6">
        <v>0.0</v>
      </c>
    </row>
    <row r="579" ht="13.5" customHeight="1">
      <c r="A579" s="5" t="s">
        <v>347</v>
      </c>
      <c r="B579" s="6">
        <v>0.75</v>
      </c>
      <c r="C579" s="5" t="s">
        <v>18</v>
      </c>
      <c r="D579" s="5" t="s">
        <v>19</v>
      </c>
      <c r="E579" s="6">
        <v>-3.5898</v>
      </c>
      <c r="F579" s="6">
        <v>-0.1309</v>
      </c>
      <c r="G579" s="6">
        <v>-0.0921</v>
      </c>
      <c r="H579" s="6">
        <v>4.488E-6</v>
      </c>
      <c r="I579" s="6">
        <v>-0.106</v>
      </c>
      <c r="J579" s="6">
        <v>0.035</v>
      </c>
      <c r="K579" s="5" t="s">
        <v>348</v>
      </c>
      <c r="L579" s="6">
        <v>0.75</v>
      </c>
    </row>
    <row r="580" ht="13.5" customHeight="1">
      <c r="A580" s="5" t="s">
        <v>347</v>
      </c>
      <c r="B580" s="6">
        <v>1.5</v>
      </c>
      <c r="C580" s="5" t="s">
        <v>18</v>
      </c>
      <c r="D580" s="5" t="s">
        <v>19</v>
      </c>
      <c r="E580" s="6">
        <v>-3.5073</v>
      </c>
      <c r="F580" s="6">
        <v>-0.1309</v>
      </c>
      <c r="G580" s="6">
        <v>-0.0921</v>
      </c>
      <c r="H580" s="6">
        <v>4.488E-6</v>
      </c>
      <c r="I580" s="6">
        <v>-0.03692</v>
      </c>
      <c r="J580" s="6">
        <v>0.13314</v>
      </c>
      <c r="K580" s="5" t="s">
        <v>348</v>
      </c>
      <c r="L580" s="6">
        <v>1.5</v>
      </c>
    </row>
    <row r="581" ht="13.5" customHeight="1">
      <c r="A581" s="5" t="s">
        <v>349</v>
      </c>
      <c r="B581" s="6">
        <v>0.0</v>
      </c>
      <c r="C581" s="5" t="s">
        <v>18</v>
      </c>
      <c r="D581" s="5" t="s">
        <v>19</v>
      </c>
      <c r="E581" s="6">
        <v>-3.1226</v>
      </c>
      <c r="F581" s="6">
        <v>0.0246</v>
      </c>
      <c r="G581" s="6">
        <v>-0.0921</v>
      </c>
      <c r="H581" s="6">
        <v>3.425E-6</v>
      </c>
      <c r="I581" s="6">
        <v>-0.03697</v>
      </c>
      <c r="J581" s="6">
        <v>0.01752</v>
      </c>
      <c r="K581" s="5" t="s">
        <v>350</v>
      </c>
      <c r="L581" s="6">
        <v>0.0</v>
      </c>
    </row>
    <row r="582" ht="13.5" customHeight="1">
      <c r="A582" s="5" t="s">
        <v>349</v>
      </c>
      <c r="B582" s="6">
        <v>2.4</v>
      </c>
      <c r="C582" s="5" t="s">
        <v>18</v>
      </c>
      <c r="D582" s="5" t="s">
        <v>19</v>
      </c>
      <c r="E582" s="6">
        <v>-2.8586</v>
      </c>
      <c r="F582" s="6">
        <v>0.0246</v>
      </c>
      <c r="G582" s="6">
        <v>-0.0921</v>
      </c>
      <c r="H582" s="6">
        <v>3.425E-6</v>
      </c>
      <c r="I582" s="6">
        <v>0.18406</v>
      </c>
      <c r="J582" s="6">
        <v>-0.04146</v>
      </c>
      <c r="K582" s="5" t="s">
        <v>350</v>
      </c>
      <c r="L582" s="6">
        <v>2.4</v>
      </c>
    </row>
    <row r="583" ht="13.5" customHeight="1">
      <c r="A583" s="5" t="s">
        <v>349</v>
      </c>
      <c r="B583" s="6">
        <v>4.8</v>
      </c>
      <c r="C583" s="5" t="s">
        <v>18</v>
      </c>
      <c r="D583" s="5" t="s">
        <v>19</v>
      </c>
      <c r="E583" s="6">
        <v>-2.5946</v>
      </c>
      <c r="F583" s="6">
        <v>0.0246</v>
      </c>
      <c r="G583" s="6">
        <v>-0.0921</v>
      </c>
      <c r="H583" s="6">
        <v>3.425E-6</v>
      </c>
      <c r="I583" s="6">
        <v>0.40509</v>
      </c>
      <c r="J583" s="6">
        <v>-0.10044</v>
      </c>
      <c r="K583" s="5" t="s">
        <v>350</v>
      </c>
      <c r="L583" s="6">
        <v>4.8</v>
      </c>
    </row>
    <row r="584" ht="13.5" customHeight="1">
      <c r="A584" s="5" t="s">
        <v>351</v>
      </c>
      <c r="B584" s="6">
        <v>0.0</v>
      </c>
      <c r="C584" s="5" t="s">
        <v>18</v>
      </c>
      <c r="D584" s="5" t="s">
        <v>19</v>
      </c>
      <c r="E584" s="6">
        <v>-3.6729</v>
      </c>
      <c r="F584" s="6">
        <v>0.1312</v>
      </c>
      <c r="G584" s="6">
        <v>-0.092</v>
      </c>
      <c r="H584" s="6">
        <v>2.783E-5</v>
      </c>
      <c r="I584" s="6">
        <v>-0.17494</v>
      </c>
      <c r="J584" s="6">
        <v>0.06346</v>
      </c>
      <c r="K584" s="5" t="s">
        <v>352</v>
      </c>
      <c r="L584" s="6">
        <v>0.0</v>
      </c>
    </row>
    <row r="585" ht="13.5" customHeight="1">
      <c r="A585" s="5" t="s">
        <v>351</v>
      </c>
      <c r="B585" s="6">
        <v>0.75</v>
      </c>
      <c r="C585" s="5" t="s">
        <v>18</v>
      </c>
      <c r="D585" s="5" t="s">
        <v>19</v>
      </c>
      <c r="E585" s="6">
        <v>-3.5904</v>
      </c>
      <c r="F585" s="6">
        <v>0.1312</v>
      </c>
      <c r="G585" s="6">
        <v>-0.092</v>
      </c>
      <c r="H585" s="6">
        <v>2.783E-5</v>
      </c>
      <c r="I585" s="6">
        <v>-0.10592</v>
      </c>
      <c r="J585" s="6">
        <v>-0.03491</v>
      </c>
      <c r="K585" s="5" t="s">
        <v>352</v>
      </c>
      <c r="L585" s="6">
        <v>0.75</v>
      </c>
    </row>
    <row r="586" ht="13.5" customHeight="1">
      <c r="A586" s="5" t="s">
        <v>351</v>
      </c>
      <c r="B586" s="6">
        <v>1.5</v>
      </c>
      <c r="C586" s="5" t="s">
        <v>18</v>
      </c>
      <c r="D586" s="5" t="s">
        <v>19</v>
      </c>
      <c r="E586" s="6">
        <v>-3.5079</v>
      </c>
      <c r="F586" s="6">
        <v>0.1312</v>
      </c>
      <c r="G586" s="6">
        <v>-0.092</v>
      </c>
      <c r="H586" s="6">
        <v>2.783E-5</v>
      </c>
      <c r="I586" s="6">
        <v>-0.0369</v>
      </c>
      <c r="J586" s="6">
        <v>-0.13329</v>
      </c>
      <c r="K586" s="5" t="s">
        <v>352</v>
      </c>
      <c r="L586" s="6">
        <v>1.5</v>
      </c>
    </row>
    <row r="587" ht="13.5" customHeight="1">
      <c r="A587" s="5" t="s">
        <v>353</v>
      </c>
      <c r="B587" s="6">
        <v>0.0</v>
      </c>
      <c r="C587" s="5" t="s">
        <v>18</v>
      </c>
      <c r="D587" s="5" t="s">
        <v>19</v>
      </c>
      <c r="E587" s="6">
        <v>-3.1226</v>
      </c>
      <c r="F587" s="6">
        <v>-0.0243</v>
      </c>
      <c r="G587" s="6">
        <v>-0.092</v>
      </c>
      <c r="H587" s="6">
        <v>7.028E-5</v>
      </c>
      <c r="I587" s="6">
        <v>-0.03684</v>
      </c>
      <c r="J587" s="6">
        <v>-0.0166</v>
      </c>
      <c r="K587" s="5" t="s">
        <v>354</v>
      </c>
      <c r="L587" s="6">
        <v>0.0</v>
      </c>
    </row>
    <row r="588" ht="13.5" customHeight="1">
      <c r="A588" s="5" t="s">
        <v>353</v>
      </c>
      <c r="B588" s="6">
        <v>2.4</v>
      </c>
      <c r="C588" s="5" t="s">
        <v>18</v>
      </c>
      <c r="D588" s="5" t="s">
        <v>19</v>
      </c>
      <c r="E588" s="6">
        <v>-2.8586</v>
      </c>
      <c r="F588" s="6">
        <v>-0.0243</v>
      </c>
      <c r="G588" s="6">
        <v>-0.092</v>
      </c>
      <c r="H588" s="6">
        <v>7.028E-5</v>
      </c>
      <c r="I588" s="6">
        <v>0.18406</v>
      </c>
      <c r="J588" s="6">
        <v>0.04164</v>
      </c>
      <c r="K588" s="5" t="s">
        <v>354</v>
      </c>
      <c r="L588" s="6">
        <v>2.4</v>
      </c>
    </row>
    <row r="589" ht="13.5" customHeight="1">
      <c r="A589" s="5" t="s">
        <v>353</v>
      </c>
      <c r="B589" s="6">
        <v>4.8</v>
      </c>
      <c r="C589" s="5" t="s">
        <v>18</v>
      </c>
      <c r="D589" s="5" t="s">
        <v>19</v>
      </c>
      <c r="E589" s="6">
        <v>-2.5946</v>
      </c>
      <c r="F589" s="6">
        <v>-0.0243</v>
      </c>
      <c r="G589" s="6">
        <v>-0.092</v>
      </c>
      <c r="H589" s="6">
        <v>7.028E-5</v>
      </c>
      <c r="I589" s="6">
        <v>0.40496</v>
      </c>
      <c r="J589" s="6">
        <v>0.09987</v>
      </c>
      <c r="K589" s="5" t="s">
        <v>354</v>
      </c>
      <c r="L589" s="6">
        <v>4.8</v>
      </c>
    </row>
    <row r="590" ht="13.5" customHeight="1">
      <c r="A590" s="7" t="s">
        <v>355</v>
      </c>
      <c r="B590" s="7">
        <v>1.75</v>
      </c>
      <c r="C590" s="7" t="s">
        <v>356</v>
      </c>
      <c r="D590" s="7" t="s">
        <v>357</v>
      </c>
      <c r="E590" s="7">
        <v>-4.5942</v>
      </c>
      <c r="F590" s="7">
        <v>-0.1378</v>
      </c>
      <c r="G590" s="7">
        <v>0.2635</v>
      </c>
      <c r="H590" s="7">
        <v>1.0E-4</v>
      </c>
      <c r="I590" s="7">
        <v>3.329E-5</v>
      </c>
      <c r="J590" s="7">
        <v>-0.11431</v>
      </c>
      <c r="K590" s="8"/>
      <c r="L590" s="8"/>
    </row>
    <row r="591" ht="13.5" customHeight="1">
      <c r="A591" s="7" t="s">
        <v>355</v>
      </c>
      <c r="B591" s="7">
        <v>3.5</v>
      </c>
      <c r="C591" s="7" t="s">
        <v>356</v>
      </c>
      <c r="D591" s="7" t="s">
        <v>357</v>
      </c>
      <c r="E591" s="7">
        <v>-4.4017</v>
      </c>
      <c r="F591" s="7">
        <v>-0.4528</v>
      </c>
      <c r="G591" s="7">
        <v>0.2635</v>
      </c>
      <c r="H591" s="7">
        <v>1.0E-4</v>
      </c>
      <c r="I591" s="7">
        <v>-0.46101</v>
      </c>
      <c r="J591" s="7">
        <v>0.40244</v>
      </c>
      <c r="K591" s="8"/>
      <c r="L591" s="8"/>
    </row>
    <row r="592" ht="13.5" customHeight="1">
      <c r="A592" s="7" t="s">
        <v>355</v>
      </c>
      <c r="B592" s="7">
        <v>0.0</v>
      </c>
      <c r="C592" s="7" t="s">
        <v>358</v>
      </c>
      <c r="D592" s="7" t="s">
        <v>357</v>
      </c>
      <c r="E592" s="7">
        <v>-9.3761</v>
      </c>
      <c r="F592" s="7">
        <v>0.1865</v>
      </c>
      <c r="G592" s="7">
        <v>0.3485</v>
      </c>
      <c r="H592" s="7">
        <v>-4.046E-6</v>
      </c>
      <c r="I592" s="7">
        <v>0.59145</v>
      </c>
      <c r="J592" s="7">
        <v>0.32892</v>
      </c>
      <c r="K592" s="8"/>
      <c r="L592" s="8"/>
    </row>
    <row r="593" ht="13.5" customHeight="1">
      <c r="A593" s="7" t="s">
        <v>355</v>
      </c>
      <c r="B593" s="7">
        <v>1.75</v>
      </c>
      <c r="C593" s="7" t="s">
        <v>358</v>
      </c>
      <c r="D593" s="7" t="s">
        <v>357</v>
      </c>
      <c r="E593" s="7">
        <v>-9.1836</v>
      </c>
      <c r="F593" s="7">
        <v>0.1865</v>
      </c>
      <c r="G593" s="7">
        <v>0.3485</v>
      </c>
      <c r="H593" s="7">
        <v>-4.046E-6</v>
      </c>
      <c r="I593" s="7">
        <v>-0.01837</v>
      </c>
      <c r="J593" s="7">
        <v>0.00251</v>
      </c>
      <c r="K593" s="8"/>
      <c r="L593" s="8"/>
    </row>
    <row r="594" ht="13.5" customHeight="1">
      <c r="A594" s="7" t="s">
        <v>355</v>
      </c>
      <c r="B594" s="7">
        <v>3.5</v>
      </c>
      <c r="C594" s="7" t="s">
        <v>358</v>
      </c>
      <c r="D594" s="7" t="s">
        <v>357</v>
      </c>
      <c r="E594" s="7">
        <v>-8.9911</v>
      </c>
      <c r="F594" s="7">
        <v>0.1865</v>
      </c>
      <c r="G594" s="7">
        <v>0.3485</v>
      </c>
      <c r="H594" s="7">
        <v>-4.046E-6</v>
      </c>
      <c r="I594" s="7">
        <v>-0.62819</v>
      </c>
      <c r="J594" s="7">
        <v>-0.32389</v>
      </c>
      <c r="K594" s="8"/>
      <c r="L594" s="8"/>
    </row>
    <row r="595" ht="13.5" customHeight="1">
      <c r="A595" s="7" t="s">
        <v>355</v>
      </c>
      <c r="B595" s="7">
        <v>0.0</v>
      </c>
      <c r="C595" s="7" t="s">
        <v>359</v>
      </c>
      <c r="D595" s="7" t="s">
        <v>357</v>
      </c>
      <c r="E595" s="7">
        <v>-6.2625</v>
      </c>
      <c r="F595" s="7">
        <v>0.3628</v>
      </c>
      <c r="G595" s="7">
        <v>0.1776</v>
      </c>
      <c r="H595" s="7">
        <v>-2.224E-5</v>
      </c>
      <c r="I595" s="7">
        <v>0.30143</v>
      </c>
      <c r="J595" s="7">
        <v>0.63515</v>
      </c>
      <c r="K595" s="8"/>
      <c r="L595" s="8"/>
    </row>
    <row r="596" ht="13.5" customHeight="1">
      <c r="A596" s="7" t="s">
        <v>355</v>
      </c>
      <c r="B596" s="7">
        <v>1.75</v>
      </c>
      <c r="C596" s="7" t="s">
        <v>359</v>
      </c>
      <c r="D596" s="7" t="s">
        <v>357</v>
      </c>
      <c r="E596" s="7">
        <v>-6.07</v>
      </c>
      <c r="F596" s="7">
        <v>0.3628</v>
      </c>
      <c r="G596" s="7">
        <v>0.1776</v>
      </c>
      <c r="H596" s="7">
        <v>-2.224E-5</v>
      </c>
      <c r="I596" s="7">
        <v>-0.00932</v>
      </c>
      <c r="J596" s="7">
        <v>2.4E-4</v>
      </c>
      <c r="K596" s="8"/>
      <c r="L596" s="8"/>
    </row>
    <row r="597" ht="13.5" customHeight="1">
      <c r="A597" s="7" t="s">
        <v>355</v>
      </c>
      <c r="B597" s="7">
        <v>3.5</v>
      </c>
      <c r="C597" s="7" t="s">
        <v>359</v>
      </c>
      <c r="D597" s="7" t="s">
        <v>357</v>
      </c>
      <c r="E597" s="7">
        <v>-5.8775</v>
      </c>
      <c r="F597" s="7">
        <v>0.3628</v>
      </c>
      <c r="G597" s="7">
        <v>0.1776</v>
      </c>
      <c r="H597" s="7">
        <v>-2.224E-5</v>
      </c>
      <c r="I597" s="7">
        <v>-0.32007</v>
      </c>
      <c r="J597" s="7">
        <v>-0.63467</v>
      </c>
      <c r="K597" s="8"/>
      <c r="L597" s="8"/>
    </row>
    <row r="598" ht="13.5" customHeight="1">
      <c r="A598" s="7" t="s">
        <v>355</v>
      </c>
      <c r="B598" s="7">
        <v>0.0</v>
      </c>
      <c r="C598" s="7" t="s">
        <v>360</v>
      </c>
      <c r="D598" s="7" t="s">
        <v>357</v>
      </c>
      <c r="E598" s="7">
        <v>-6.2553</v>
      </c>
      <c r="F598" s="7">
        <v>-0.1035</v>
      </c>
      <c r="G598" s="7">
        <v>0.1797</v>
      </c>
      <c r="H598" s="7">
        <v>2.456E-5</v>
      </c>
      <c r="I598" s="7">
        <v>0.30625</v>
      </c>
      <c r="J598" s="7">
        <v>-0.1706</v>
      </c>
      <c r="K598" s="8"/>
      <c r="L598" s="8"/>
    </row>
    <row r="599" ht="13.5" customHeight="1">
      <c r="A599" s="7" t="s">
        <v>355</v>
      </c>
      <c r="B599" s="7">
        <v>1.75</v>
      </c>
      <c r="C599" s="7" t="s">
        <v>360</v>
      </c>
      <c r="D599" s="7" t="s">
        <v>357</v>
      </c>
      <c r="E599" s="7">
        <v>-6.0628</v>
      </c>
      <c r="F599" s="7">
        <v>-0.1035</v>
      </c>
      <c r="G599" s="7">
        <v>0.1797</v>
      </c>
      <c r="H599" s="7">
        <v>2.456E-5</v>
      </c>
      <c r="I599" s="7">
        <v>-0.0083</v>
      </c>
      <c r="J599" s="7">
        <v>0.01046</v>
      </c>
      <c r="K599" s="8"/>
      <c r="L599" s="8"/>
    </row>
    <row r="600" ht="13.5" customHeight="1">
      <c r="A600" s="7" t="s">
        <v>355</v>
      </c>
      <c r="B600" s="7">
        <v>3.5</v>
      </c>
      <c r="C600" s="7" t="s">
        <v>360</v>
      </c>
      <c r="D600" s="7" t="s">
        <v>357</v>
      </c>
      <c r="E600" s="7">
        <v>-5.8703</v>
      </c>
      <c r="F600" s="7">
        <v>-0.1035</v>
      </c>
      <c r="G600" s="7">
        <v>0.1797</v>
      </c>
      <c r="H600" s="7">
        <v>2.456E-5</v>
      </c>
      <c r="I600" s="7">
        <v>-0.32286</v>
      </c>
      <c r="J600" s="7">
        <v>0.19152</v>
      </c>
      <c r="K600" s="8"/>
      <c r="L600" s="8"/>
    </row>
    <row r="601" ht="13.5" customHeight="1">
      <c r="A601" s="7" t="s">
        <v>355</v>
      </c>
      <c r="B601" s="7">
        <v>0.0</v>
      </c>
      <c r="C601" s="7" t="s">
        <v>361</v>
      </c>
      <c r="D601" s="7" t="s">
        <v>357</v>
      </c>
      <c r="E601" s="7">
        <v>-6.3333</v>
      </c>
      <c r="F601" s="7">
        <v>0.1298</v>
      </c>
      <c r="G601" s="7">
        <v>0.5801</v>
      </c>
      <c r="H601" s="7">
        <v>2.25E-5</v>
      </c>
      <c r="I601" s="7">
        <v>0.67099</v>
      </c>
      <c r="J601" s="7">
        <v>0.23294</v>
      </c>
      <c r="K601" s="8"/>
      <c r="L601" s="8"/>
    </row>
    <row r="602" ht="13.5" customHeight="1">
      <c r="A602" s="7" t="s">
        <v>355</v>
      </c>
      <c r="B602" s="7">
        <v>1.75</v>
      </c>
      <c r="C602" s="7" t="s">
        <v>361</v>
      </c>
      <c r="D602" s="7" t="s">
        <v>357</v>
      </c>
      <c r="E602" s="7">
        <v>-6.1408</v>
      </c>
      <c r="F602" s="7">
        <v>0.1298</v>
      </c>
      <c r="G602" s="7">
        <v>0.3176</v>
      </c>
      <c r="H602" s="7">
        <v>2.25E-5</v>
      </c>
      <c r="I602" s="7">
        <v>-0.11459</v>
      </c>
      <c r="J602" s="7">
        <v>0.00572</v>
      </c>
      <c r="K602" s="8"/>
      <c r="L602" s="8"/>
    </row>
    <row r="603" ht="13.5" customHeight="1">
      <c r="A603" s="7" t="s">
        <v>355</v>
      </c>
      <c r="B603" s="7">
        <v>3.5</v>
      </c>
      <c r="C603" s="7" t="s">
        <v>361</v>
      </c>
      <c r="D603" s="7" t="s">
        <v>357</v>
      </c>
      <c r="E603" s="7">
        <v>-5.9483</v>
      </c>
      <c r="F603" s="7">
        <v>0.1298</v>
      </c>
      <c r="G603" s="7">
        <v>0.0551</v>
      </c>
      <c r="H603" s="7">
        <v>2.25E-5</v>
      </c>
      <c r="I603" s="7">
        <v>-0.44079</v>
      </c>
      <c r="J603" s="7">
        <v>-0.22149</v>
      </c>
      <c r="K603" s="8"/>
      <c r="L603" s="8"/>
    </row>
    <row r="604" ht="13.5" customHeight="1">
      <c r="A604" s="7" t="s">
        <v>355</v>
      </c>
      <c r="B604" s="7">
        <v>0.0</v>
      </c>
      <c r="C604" s="7" t="s">
        <v>362</v>
      </c>
      <c r="D604" s="7" t="s">
        <v>357</v>
      </c>
      <c r="E604" s="7">
        <v>-9.1208</v>
      </c>
      <c r="F604" s="7">
        <v>0.1812</v>
      </c>
      <c r="G604" s="7">
        <v>0.6928</v>
      </c>
      <c r="H604" s="7">
        <v>1.623E-5</v>
      </c>
      <c r="I604" s="7">
        <v>0.89306</v>
      </c>
      <c r="J604" s="7">
        <v>0.32026</v>
      </c>
      <c r="K604" s="8"/>
      <c r="L604" s="8"/>
    </row>
    <row r="605" ht="13.5" customHeight="1">
      <c r="A605" s="7" t="s">
        <v>355</v>
      </c>
      <c r="B605" s="7">
        <v>1.75</v>
      </c>
      <c r="C605" s="7" t="s">
        <v>362</v>
      </c>
      <c r="D605" s="7" t="s">
        <v>357</v>
      </c>
      <c r="E605" s="7">
        <v>-8.9283</v>
      </c>
      <c r="F605" s="7">
        <v>0.1812</v>
      </c>
      <c r="G605" s="7">
        <v>0.4565</v>
      </c>
      <c r="H605" s="7">
        <v>1.623E-5</v>
      </c>
      <c r="I605" s="7">
        <v>-0.11261</v>
      </c>
      <c r="J605" s="7">
        <v>0.00312</v>
      </c>
      <c r="K605" s="8"/>
      <c r="L605" s="8"/>
    </row>
    <row r="606" ht="13.5" customHeight="1">
      <c r="A606" s="7" t="s">
        <v>355</v>
      </c>
      <c r="B606" s="7">
        <v>3.5</v>
      </c>
      <c r="C606" s="7" t="s">
        <v>362</v>
      </c>
      <c r="D606" s="7" t="s">
        <v>357</v>
      </c>
      <c r="E606" s="7">
        <v>-8.7358</v>
      </c>
      <c r="F606" s="7">
        <v>0.1812</v>
      </c>
      <c r="G606" s="7">
        <v>0.2203</v>
      </c>
      <c r="H606" s="7">
        <v>1.623E-5</v>
      </c>
      <c r="I606" s="7">
        <v>-0.70484</v>
      </c>
      <c r="J606" s="7">
        <v>-0.31402</v>
      </c>
      <c r="K606" s="8"/>
      <c r="L606" s="8"/>
    </row>
    <row r="607" ht="13.5" customHeight="1">
      <c r="A607" s="7" t="s">
        <v>355</v>
      </c>
      <c r="B607" s="7">
        <v>0.0</v>
      </c>
      <c r="C607" s="7" t="s">
        <v>363</v>
      </c>
      <c r="D607" s="7" t="s">
        <v>357</v>
      </c>
      <c r="E607" s="7">
        <v>-9.0506</v>
      </c>
      <c r="F607" s="7">
        <v>-0.0287</v>
      </c>
      <c r="G607" s="7">
        <v>0.3324</v>
      </c>
      <c r="H607" s="7">
        <v>1.808E-5</v>
      </c>
      <c r="I607" s="7">
        <v>0.5648</v>
      </c>
      <c r="J607" s="7">
        <v>-0.04292</v>
      </c>
      <c r="K607" s="8"/>
      <c r="L607" s="8"/>
    </row>
    <row r="608" ht="13.5" customHeight="1">
      <c r="A608" s="7" t="s">
        <v>355</v>
      </c>
      <c r="B608" s="7">
        <v>1.75</v>
      </c>
      <c r="C608" s="7" t="s">
        <v>363</v>
      </c>
      <c r="D608" s="7" t="s">
        <v>357</v>
      </c>
      <c r="E608" s="7">
        <v>-8.8581</v>
      </c>
      <c r="F608" s="7">
        <v>-0.0287</v>
      </c>
      <c r="G608" s="7">
        <v>0.3324</v>
      </c>
      <c r="H608" s="7">
        <v>1.808E-5</v>
      </c>
      <c r="I608" s="7">
        <v>-0.01695</v>
      </c>
      <c r="J608" s="7">
        <v>0.00739</v>
      </c>
      <c r="K608" s="8"/>
      <c r="L608" s="8"/>
    </row>
    <row r="609" ht="13.5" customHeight="1">
      <c r="A609" s="7" t="s">
        <v>355</v>
      </c>
      <c r="B609" s="7">
        <v>3.5</v>
      </c>
      <c r="C609" s="7" t="s">
        <v>363</v>
      </c>
      <c r="D609" s="7" t="s">
        <v>357</v>
      </c>
      <c r="E609" s="7">
        <v>-8.6656</v>
      </c>
      <c r="F609" s="7">
        <v>-0.0287</v>
      </c>
      <c r="G609" s="7">
        <v>0.3324</v>
      </c>
      <c r="H609" s="7">
        <v>1.808E-5</v>
      </c>
      <c r="I609" s="7">
        <v>-0.5987</v>
      </c>
      <c r="J609" s="7">
        <v>0.05769</v>
      </c>
      <c r="K609" s="8"/>
      <c r="L609" s="8"/>
    </row>
    <row r="610" ht="13.5" customHeight="1">
      <c r="A610" s="7" t="s">
        <v>355</v>
      </c>
      <c r="B610" s="7">
        <v>0.0</v>
      </c>
      <c r="C610" s="7" t="s">
        <v>356</v>
      </c>
      <c r="D610" s="7" t="s">
        <v>357</v>
      </c>
      <c r="E610" s="7">
        <v>-9.0572</v>
      </c>
      <c r="F610" s="7">
        <v>0.3909</v>
      </c>
      <c r="G610" s="7">
        <v>0.3305</v>
      </c>
      <c r="H610" s="7">
        <v>-2.404E-5</v>
      </c>
      <c r="I610" s="7">
        <v>0.56046</v>
      </c>
      <c r="J610" s="7">
        <v>0.68226</v>
      </c>
      <c r="K610" s="8"/>
      <c r="L610" s="8"/>
    </row>
    <row r="611" ht="13.5" customHeight="1">
      <c r="A611" s="7" t="s">
        <v>355</v>
      </c>
      <c r="B611" s="7">
        <v>1.75</v>
      </c>
      <c r="C611" s="7" t="s">
        <v>356</v>
      </c>
      <c r="D611" s="7" t="s">
        <v>357</v>
      </c>
      <c r="E611" s="7">
        <v>-8.8647</v>
      </c>
      <c r="F611" s="7">
        <v>0.3909</v>
      </c>
      <c r="G611" s="7">
        <v>0.3305</v>
      </c>
      <c r="H611" s="7">
        <v>-2.404E-5</v>
      </c>
      <c r="I611" s="7">
        <v>-0.01787</v>
      </c>
      <c r="J611" s="7">
        <v>-0.00181</v>
      </c>
      <c r="K611" s="8"/>
      <c r="L611" s="8"/>
    </row>
    <row r="612" ht="13.5" customHeight="1">
      <c r="A612" s="7" t="s">
        <v>355</v>
      </c>
      <c r="B612" s="7">
        <v>3.5</v>
      </c>
      <c r="C612" s="7" t="s">
        <v>356</v>
      </c>
      <c r="D612" s="7" t="s">
        <v>357</v>
      </c>
      <c r="E612" s="7">
        <v>-8.6722</v>
      </c>
      <c r="F612" s="7">
        <v>0.3909</v>
      </c>
      <c r="G612" s="7">
        <v>0.3305</v>
      </c>
      <c r="H612" s="7">
        <v>-2.404E-5</v>
      </c>
      <c r="I612" s="7">
        <v>-0.5962</v>
      </c>
      <c r="J612" s="7">
        <v>-0.68588</v>
      </c>
      <c r="K612" s="8"/>
      <c r="L612" s="8"/>
    </row>
    <row r="613" ht="13.5" customHeight="1">
      <c r="A613" s="7" t="s">
        <v>355</v>
      </c>
      <c r="B613" s="7">
        <v>0.0</v>
      </c>
      <c r="C613" s="7" t="s">
        <v>358</v>
      </c>
      <c r="D613" s="7" t="s">
        <v>357</v>
      </c>
      <c r="E613" s="7">
        <v>-2.9937</v>
      </c>
      <c r="F613" s="7">
        <v>0.1555</v>
      </c>
      <c r="G613" s="7">
        <v>0.224</v>
      </c>
      <c r="H613" s="7">
        <v>-5.8E-5</v>
      </c>
      <c r="I613" s="7">
        <v>0.39565</v>
      </c>
      <c r="J613" s="7">
        <v>0.26636</v>
      </c>
      <c r="K613" s="8"/>
      <c r="L613" s="8"/>
    </row>
    <row r="614" ht="13.5" customHeight="1">
      <c r="A614" s="7" t="s">
        <v>355</v>
      </c>
      <c r="B614" s="7">
        <v>1.75</v>
      </c>
      <c r="C614" s="7" t="s">
        <v>358</v>
      </c>
      <c r="D614" s="7" t="s">
        <v>357</v>
      </c>
      <c r="E614" s="7">
        <v>-2.8012</v>
      </c>
      <c r="F614" s="7">
        <v>0.1555</v>
      </c>
      <c r="G614" s="7">
        <v>0.224</v>
      </c>
      <c r="H614" s="7">
        <v>-5.8E-5</v>
      </c>
      <c r="I614" s="7">
        <v>0.00367</v>
      </c>
      <c r="J614" s="7">
        <v>-0.00569</v>
      </c>
      <c r="K614" s="8"/>
      <c r="L614" s="8"/>
    </row>
    <row r="615" ht="13.5" customHeight="1">
      <c r="A615" s="7" t="s">
        <v>355</v>
      </c>
      <c r="B615" s="7">
        <v>3.5</v>
      </c>
      <c r="C615" s="7" t="s">
        <v>358</v>
      </c>
      <c r="D615" s="7" t="s">
        <v>357</v>
      </c>
      <c r="E615" s="7">
        <v>-2.6087</v>
      </c>
      <c r="F615" s="7">
        <v>0.1555</v>
      </c>
      <c r="G615" s="7">
        <v>0.224</v>
      </c>
      <c r="H615" s="7">
        <v>-5.8E-5</v>
      </c>
      <c r="I615" s="7">
        <v>-0.3883</v>
      </c>
      <c r="J615" s="7">
        <v>-0.27774</v>
      </c>
      <c r="K615" s="8"/>
      <c r="L615" s="8"/>
    </row>
    <row r="616" ht="13.5" customHeight="1">
      <c r="A616" s="7" t="s">
        <v>355</v>
      </c>
      <c r="B616" s="7">
        <v>0.0</v>
      </c>
      <c r="C616" s="7" t="s">
        <v>359</v>
      </c>
      <c r="D616" s="7" t="s">
        <v>357</v>
      </c>
      <c r="E616" s="7">
        <v>-2.3747</v>
      </c>
      <c r="F616" s="7">
        <v>0.5296</v>
      </c>
      <c r="G616" s="7">
        <v>0.1493</v>
      </c>
      <c r="H616" s="7">
        <v>-2.071E-5</v>
      </c>
      <c r="I616" s="7">
        <v>0.27064</v>
      </c>
      <c r="J616" s="7">
        <v>0.57781</v>
      </c>
      <c r="K616" s="8"/>
      <c r="L616" s="8"/>
    </row>
    <row r="617" ht="13.5" customHeight="1">
      <c r="A617" s="7" t="s">
        <v>355</v>
      </c>
      <c r="B617" s="7">
        <v>1.75</v>
      </c>
      <c r="C617" s="7" t="s">
        <v>359</v>
      </c>
      <c r="D617" s="7" t="s">
        <v>357</v>
      </c>
      <c r="E617" s="7">
        <v>-2.1822</v>
      </c>
      <c r="F617" s="7">
        <v>0.2671</v>
      </c>
      <c r="G617" s="7">
        <v>0.1493</v>
      </c>
      <c r="H617" s="7">
        <v>-2.071E-5</v>
      </c>
      <c r="I617" s="7">
        <v>0.00941</v>
      </c>
      <c r="J617" s="7">
        <v>-0.11932</v>
      </c>
      <c r="K617" s="8"/>
      <c r="L617" s="8"/>
    </row>
    <row r="618" ht="13.5" customHeight="1">
      <c r="A618" s="7" t="s">
        <v>355</v>
      </c>
      <c r="B618" s="7">
        <v>3.5</v>
      </c>
      <c r="C618" s="7" t="s">
        <v>359</v>
      </c>
      <c r="D618" s="7" t="s">
        <v>357</v>
      </c>
      <c r="E618" s="7">
        <v>-1.9897</v>
      </c>
      <c r="F618" s="7">
        <v>0.0046</v>
      </c>
      <c r="G618" s="7">
        <v>0.1493</v>
      </c>
      <c r="H618" s="7">
        <v>-2.071E-5</v>
      </c>
      <c r="I618" s="7">
        <v>-0.25181</v>
      </c>
      <c r="J618" s="7">
        <v>-0.35707</v>
      </c>
      <c r="K618" s="8"/>
      <c r="L618" s="8"/>
    </row>
    <row r="619" ht="13.5" customHeight="1">
      <c r="A619" s="7" t="s">
        <v>355</v>
      </c>
      <c r="B619" s="7">
        <v>0.0</v>
      </c>
      <c r="C619" s="7" t="s">
        <v>360</v>
      </c>
      <c r="D619" s="7" t="s">
        <v>357</v>
      </c>
      <c r="E619" s="7">
        <v>-2.2242</v>
      </c>
      <c r="F619" s="7">
        <v>-0.4168</v>
      </c>
      <c r="G619" s="7">
        <v>0.1449</v>
      </c>
      <c r="H619" s="7">
        <v>-1.0E-4</v>
      </c>
      <c r="I619" s="7">
        <v>0.26088</v>
      </c>
      <c r="J619" s="7">
        <v>-0.2783</v>
      </c>
      <c r="K619" s="8"/>
      <c r="L619" s="8"/>
    </row>
    <row r="620" ht="13.5" customHeight="1">
      <c r="A620" s="7" t="s">
        <v>355</v>
      </c>
      <c r="B620" s="7">
        <v>1.75</v>
      </c>
      <c r="C620" s="7" t="s">
        <v>360</v>
      </c>
      <c r="D620" s="7" t="s">
        <v>357</v>
      </c>
      <c r="E620" s="7">
        <v>-2.0317</v>
      </c>
      <c r="F620" s="7">
        <v>-0.0668</v>
      </c>
      <c r="G620" s="7">
        <v>0.1449</v>
      </c>
      <c r="H620" s="7">
        <v>-1.0E-4</v>
      </c>
      <c r="I620" s="7">
        <v>0.00726</v>
      </c>
      <c r="J620" s="7">
        <v>0.14492</v>
      </c>
      <c r="K620" s="8"/>
      <c r="L620" s="8"/>
    </row>
    <row r="621" ht="13.5" customHeight="1">
      <c r="A621" s="7" t="s">
        <v>355</v>
      </c>
      <c r="B621" s="7">
        <v>3.5</v>
      </c>
      <c r="C621" s="7" t="s">
        <v>360</v>
      </c>
      <c r="D621" s="7" t="s">
        <v>357</v>
      </c>
      <c r="E621" s="7">
        <v>-1.8392</v>
      </c>
      <c r="F621" s="7">
        <v>0.2832</v>
      </c>
      <c r="G621" s="7">
        <v>0.1449</v>
      </c>
      <c r="H621" s="7">
        <v>-1.0E-4</v>
      </c>
      <c r="I621" s="7">
        <v>-0.24635</v>
      </c>
      <c r="J621" s="7">
        <v>-0.04436</v>
      </c>
      <c r="K621" s="8"/>
      <c r="L621" s="8"/>
    </row>
    <row r="622" ht="13.5" customHeight="1">
      <c r="A622" s="7" t="s">
        <v>355</v>
      </c>
      <c r="B622" s="7">
        <v>0.0</v>
      </c>
      <c r="C622" s="7" t="s">
        <v>361</v>
      </c>
      <c r="D622" s="7" t="s">
        <v>357</v>
      </c>
      <c r="E622" s="7">
        <v>-2.3504</v>
      </c>
      <c r="F622" s="7">
        <v>0.1032</v>
      </c>
      <c r="G622" s="7">
        <v>0.543</v>
      </c>
      <c r="H622" s="7">
        <v>-5.023E-5</v>
      </c>
      <c r="I622" s="7">
        <v>0.6198</v>
      </c>
      <c r="J622" s="7">
        <v>0.1811</v>
      </c>
      <c r="K622" s="8"/>
      <c r="L622" s="8"/>
    </row>
    <row r="623" ht="13.5" customHeight="1">
      <c r="A623" s="7" t="s">
        <v>355</v>
      </c>
      <c r="B623" s="7">
        <v>1.75</v>
      </c>
      <c r="C623" s="7" t="s">
        <v>361</v>
      </c>
      <c r="D623" s="7" t="s">
        <v>357</v>
      </c>
      <c r="E623" s="7">
        <v>-2.1579</v>
      </c>
      <c r="F623" s="7">
        <v>0.1032</v>
      </c>
      <c r="G623" s="7">
        <v>0.2805</v>
      </c>
      <c r="H623" s="7">
        <v>-5.023E-5</v>
      </c>
      <c r="I623" s="7">
        <v>-0.10072</v>
      </c>
      <c r="J623" s="7">
        <v>5.0E-4</v>
      </c>
      <c r="K623" s="8"/>
      <c r="L623" s="8"/>
    </row>
    <row r="624" ht="13.5" customHeight="1">
      <c r="A624" s="7" t="s">
        <v>355</v>
      </c>
      <c r="B624" s="7">
        <v>3.5</v>
      </c>
      <c r="C624" s="7" t="s">
        <v>361</v>
      </c>
      <c r="D624" s="7" t="s">
        <v>357</v>
      </c>
      <c r="E624" s="7">
        <v>-1.9654</v>
      </c>
      <c r="F624" s="7">
        <v>0.1032</v>
      </c>
      <c r="G624" s="7">
        <v>0.018</v>
      </c>
      <c r="H624" s="7">
        <v>-5.023E-5</v>
      </c>
      <c r="I624" s="7">
        <v>-0.36187</v>
      </c>
      <c r="J624" s="7">
        <v>-0.1801</v>
      </c>
      <c r="K624" s="8"/>
      <c r="L624" s="8"/>
    </row>
    <row r="625" ht="13.5" customHeight="1">
      <c r="A625" s="7" t="s">
        <v>355</v>
      </c>
      <c r="B625" s="7">
        <v>0.0</v>
      </c>
      <c r="C625" s="7" t="s">
        <v>362</v>
      </c>
      <c r="D625" s="7" t="s">
        <v>357</v>
      </c>
      <c r="E625" s="7">
        <v>-2.9763</v>
      </c>
      <c r="F625" s="7">
        <v>0.1511</v>
      </c>
      <c r="G625" s="7">
        <v>0.5726</v>
      </c>
      <c r="H625" s="7">
        <v>-6.635E-5</v>
      </c>
      <c r="I625" s="7">
        <v>0.70135</v>
      </c>
      <c r="J625" s="7">
        <v>0.2599</v>
      </c>
      <c r="K625" s="8"/>
      <c r="L625" s="8"/>
    </row>
    <row r="626" ht="13.5" customHeight="1">
      <c r="A626" s="7" t="s">
        <v>355</v>
      </c>
      <c r="B626" s="7">
        <v>1.75</v>
      </c>
      <c r="C626" s="7" t="s">
        <v>362</v>
      </c>
      <c r="D626" s="7" t="s">
        <v>357</v>
      </c>
      <c r="E626" s="7">
        <v>-2.7838</v>
      </c>
      <c r="F626" s="7">
        <v>0.1511</v>
      </c>
      <c r="G626" s="7">
        <v>0.3364</v>
      </c>
      <c r="H626" s="7">
        <v>-6.635E-5</v>
      </c>
      <c r="I626" s="7">
        <v>-0.09402</v>
      </c>
      <c r="J626" s="7">
        <v>-0.00458</v>
      </c>
      <c r="K626" s="8"/>
      <c r="L626" s="8"/>
    </row>
    <row r="627" ht="13.5" customHeight="1">
      <c r="A627" s="7" t="s">
        <v>355</v>
      </c>
      <c r="B627" s="7">
        <v>3.5</v>
      </c>
      <c r="C627" s="7" t="s">
        <v>362</v>
      </c>
      <c r="D627" s="7" t="s">
        <v>357</v>
      </c>
      <c r="E627" s="7">
        <v>-2.5913</v>
      </c>
      <c r="F627" s="7">
        <v>0.1511</v>
      </c>
      <c r="G627" s="7">
        <v>0.1001</v>
      </c>
      <c r="H627" s="7">
        <v>-6.635E-5</v>
      </c>
      <c r="I627" s="7">
        <v>-0.47595</v>
      </c>
      <c r="J627" s="7">
        <v>-0.26906</v>
      </c>
      <c r="K627" s="8"/>
      <c r="L627" s="8"/>
    </row>
    <row r="628" ht="13.5" customHeight="1">
      <c r="A628" s="7" t="s">
        <v>355</v>
      </c>
      <c r="B628" s="7">
        <v>0.0</v>
      </c>
      <c r="C628" s="7" t="s">
        <v>363</v>
      </c>
      <c r="D628" s="7" t="s">
        <v>357</v>
      </c>
      <c r="E628" s="7">
        <v>-2.8627</v>
      </c>
      <c r="F628" s="7">
        <v>-0.3169</v>
      </c>
      <c r="G628" s="7">
        <v>0.2144</v>
      </c>
      <c r="H628" s="7">
        <v>-1.1E-4</v>
      </c>
      <c r="I628" s="7">
        <v>0.37832</v>
      </c>
      <c r="J628" s="7">
        <v>-0.15355</v>
      </c>
      <c r="K628" s="8"/>
      <c r="L628" s="8"/>
    </row>
    <row r="629" ht="13.5" customHeight="1">
      <c r="A629" s="7" t="s">
        <v>355</v>
      </c>
      <c r="B629" s="7">
        <v>1.75</v>
      </c>
      <c r="C629" s="7" t="s">
        <v>363</v>
      </c>
      <c r="D629" s="7" t="s">
        <v>357</v>
      </c>
      <c r="E629" s="7">
        <v>-2.6702</v>
      </c>
      <c r="F629" s="7">
        <v>-0.0019</v>
      </c>
      <c r="G629" s="7">
        <v>0.2144</v>
      </c>
      <c r="H629" s="7">
        <v>-1.1E-4</v>
      </c>
      <c r="I629" s="7">
        <v>0.00317</v>
      </c>
      <c r="J629" s="7">
        <v>0.1254</v>
      </c>
      <c r="K629" s="8"/>
      <c r="L629" s="8"/>
    </row>
    <row r="630" ht="13.5" customHeight="1">
      <c r="A630" s="7" t="s">
        <v>355</v>
      </c>
      <c r="B630" s="7">
        <v>3.5</v>
      </c>
      <c r="C630" s="7" t="s">
        <v>363</v>
      </c>
      <c r="D630" s="7" t="s">
        <v>357</v>
      </c>
      <c r="E630" s="7">
        <v>-2.4777</v>
      </c>
      <c r="F630" s="7">
        <v>0.3131</v>
      </c>
      <c r="G630" s="7">
        <v>0.2144</v>
      </c>
      <c r="H630" s="7">
        <v>-1.1E-4</v>
      </c>
      <c r="I630" s="7">
        <v>-0.37198</v>
      </c>
      <c r="J630" s="7">
        <v>-0.1469</v>
      </c>
      <c r="K630" s="8"/>
      <c r="L630" s="8"/>
    </row>
    <row r="631" ht="13.5" customHeight="1">
      <c r="A631" s="7" t="s">
        <v>355</v>
      </c>
      <c r="B631" s="7">
        <v>0.0</v>
      </c>
      <c r="C631" s="7" t="s">
        <v>356</v>
      </c>
      <c r="D631" s="7" t="s">
        <v>357</v>
      </c>
      <c r="E631" s="7">
        <v>-2.9982</v>
      </c>
      <c r="F631" s="7">
        <v>0.5349</v>
      </c>
      <c r="G631" s="7">
        <v>0.2183</v>
      </c>
      <c r="H631" s="7">
        <v>-3.978E-5</v>
      </c>
      <c r="I631" s="7">
        <v>0.3871</v>
      </c>
      <c r="J631" s="7">
        <v>0.61695</v>
      </c>
      <c r="K631" s="8"/>
      <c r="L631" s="8"/>
    </row>
    <row r="632" ht="13.5" customHeight="1">
      <c r="A632" s="7" t="s">
        <v>355</v>
      </c>
      <c r="B632" s="7">
        <v>1.75</v>
      </c>
      <c r="C632" s="7" t="s">
        <v>356</v>
      </c>
      <c r="D632" s="7" t="s">
        <v>357</v>
      </c>
      <c r="E632" s="7">
        <v>-2.8057</v>
      </c>
      <c r="F632" s="7">
        <v>0.2987</v>
      </c>
      <c r="G632" s="7">
        <v>0.2183</v>
      </c>
      <c r="H632" s="7">
        <v>-3.978E-5</v>
      </c>
      <c r="I632" s="7">
        <v>0.0051</v>
      </c>
      <c r="J632" s="7">
        <v>-0.11241</v>
      </c>
      <c r="K632" s="8"/>
      <c r="L632" s="8"/>
    </row>
    <row r="633" ht="13.5" customHeight="1">
      <c r="A633" s="7" t="s">
        <v>355</v>
      </c>
      <c r="B633" s="7">
        <v>3.5</v>
      </c>
      <c r="C633" s="7" t="s">
        <v>356</v>
      </c>
      <c r="D633" s="7" t="s">
        <v>357</v>
      </c>
      <c r="E633" s="7">
        <v>-2.6132</v>
      </c>
      <c r="F633" s="7">
        <v>0.0624</v>
      </c>
      <c r="G633" s="7">
        <v>0.2183</v>
      </c>
      <c r="H633" s="7">
        <v>-3.978E-5</v>
      </c>
      <c r="I633" s="7">
        <v>-0.3769</v>
      </c>
      <c r="J633" s="7">
        <v>-0.42834</v>
      </c>
      <c r="K633" s="8"/>
      <c r="L633" s="8"/>
    </row>
    <row r="634" ht="13.5" customHeight="1">
      <c r="A634" s="7" t="s">
        <v>355</v>
      </c>
      <c r="B634" s="7">
        <v>0.0</v>
      </c>
      <c r="C634" s="7" t="s">
        <v>358</v>
      </c>
      <c r="D634" s="7" t="s">
        <v>357</v>
      </c>
      <c r="E634" s="7">
        <v>-2.9937</v>
      </c>
      <c r="F634" s="7">
        <v>0.1555</v>
      </c>
      <c r="G634" s="7">
        <v>0.224</v>
      </c>
      <c r="H634" s="7">
        <v>-5.8E-5</v>
      </c>
      <c r="I634" s="7">
        <v>0.39565</v>
      </c>
      <c r="J634" s="7">
        <v>0.26636</v>
      </c>
      <c r="K634" s="8"/>
      <c r="L634" s="8"/>
    </row>
    <row r="635" ht="13.5" customHeight="1">
      <c r="A635" s="7" t="s">
        <v>355</v>
      </c>
      <c r="B635" s="7">
        <v>1.75</v>
      </c>
      <c r="C635" s="7" t="s">
        <v>358</v>
      </c>
      <c r="D635" s="7" t="s">
        <v>357</v>
      </c>
      <c r="E635" s="7">
        <v>-2.8012</v>
      </c>
      <c r="F635" s="7">
        <v>0.1555</v>
      </c>
      <c r="G635" s="7">
        <v>0.224</v>
      </c>
      <c r="H635" s="7">
        <v>-5.8E-5</v>
      </c>
      <c r="I635" s="7">
        <v>0.00367</v>
      </c>
      <c r="J635" s="7">
        <v>-0.00569</v>
      </c>
      <c r="K635" s="8"/>
      <c r="L635" s="8"/>
    </row>
    <row r="636" ht="13.5" customHeight="1">
      <c r="A636" s="7" t="s">
        <v>355</v>
      </c>
      <c r="B636" s="7">
        <v>3.5</v>
      </c>
      <c r="C636" s="7" t="s">
        <v>358</v>
      </c>
      <c r="D636" s="7" t="s">
        <v>357</v>
      </c>
      <c r="E636" s="7">
        <v>-2.6087</v>
      </c>
      <c r="F636" s="7">
        <v>0.1555</v>
      </c>
      <c r="G636" s="7">
        <v>0.224</v>
      </c>
      <c r="H636" s="7">
        <v>-5.8E-5</v>
      </c>
      <c r="I636" s="7">
        <v>-0.3883</v>
      </c>
      <c r="J636" s="7">
        <v>-0.27774</v>
      </c>
      <c r="K636" s="8"/>
      <c r="L636" s="8"/>
    </row>
    <row r="637" ht="13.5" customHeight="1">
      <c r="A637" s="7" t="s">
        <v>355</v>
      </c>
      <c r="B637" s="7">
        <v>0.0</v>
      </c>
      <c r="C637" s="7" t="s">
        <v>359</v>
      </c>
      <c r="D637" s="7" t="s">
        <v>357</v>
      </c>
      <c r="E637" s="7">
        <v>-2.3747</v>
      </c>
      <c r="F637" s="7">
        <v>0.5296</v>
      </c>
      <c r="G637" s="7">
        <v>0.1493</v>
      </c>
      <c r="H637" s="7">
        <v>-2.071E-5</v>
      </c>
      <c r="I637" s="7">
        <v>0.27064</v>
      </c>
      <c r="J637" s="7">
        <v>0.57781</v>
      </c>
      <c r="K637" s="8"/>
      <c r="L637" s="8"/>
    </row>
    <row r="638" ht="13.5" customHeight="1">
      <c r="A638" s="7" t="s">
        <v>355</v>
      </c>
      <c r="B638" s="7">
        <v>1.75</v>
      </c>
      <c r="C638" s="7" t="s">
        <v>359</v>
      </c>
      <c r="D638" s="7" t="s">
        <v>357</v>
      </c>
      <c r="E638" s="7">
        <v>-2.1822</v>
      </c>
      <c r="F638" s="7">
        <v>0.2671</v>
      </c>
      <c r="G638" s="7">
        <v>0.1493</v>
      </c>
      <c r="H638" s="7">
        <v>-2.071E-5</v>
      </c>
      <c r="I638" s="7">
        <v>0.00941</v>
      </c>
      <c r="J638" s="7">
        <v>-0.11932</v>
      </c>
      <c r="K638" s="8"/>
      <c r="L638" s="8"/>
    </row>
    <row r="639" ht="13.5" customHeight="1">
      <c r="A639" s="7" t="s">
        <v>355</v>
      </c>
      <c r="B639" s="7">
        <v>3.5</v>
      </c>
      <c r="C639" s="7" t="s">
        <v>359</v>
      </c>
      <c r="D639" s="7" t="s">
        <v>357</v>
      </c>
      <c r="E639" s="7">
        <v>-1.9897</v>
      </c>
      <c r="F639" s="7">
        <v>0.0046</v>
      </c>
      <c r="G639" s="7">
        <v>0.1493</v>
      </c>
      <c r="H639" s="7">
        <v>-2.071E-5</v>
      </c>
      <c r="I639" s="7">
        <v>-0.25181</v>
      </c>
      <c r="J639" s="7">
        <v>-0.35707</v>
      </c>
      <c r="K639" s="8"/>
      <c r="L639" s="8"/>
    </row>
    <row r="640" ht="13.5" customHeight="1">
      <c r="A640" s="7" t="s">
        <v>355</v>
      </c>
      <c r="B640" s="7">
        <v>0.0</v>
      </c>
      <c r="C640" s="7" t="s">
        <v>360</v>
      </c>
      <c r="D640" s="7" t="s">
        <v>357</v>
      </c>
      <c r="E640" s="7">
        <v>-2.2242</v>
      </c>
      <c r="F640" s="7">
        <v>-0.4168</v>
      </c>
      <c r="G640" s="7">
        <v>0.1449</v>
      </c>
      <c r="H640" s="7">
        <v>-1.0E-4</v>
      </c>
      <c r="I640" s="7">
        <v>0.26088</v>
      </c>
      <c r="J640" s="7">
        <v>-0.2783</v>
      </c>
      <c r="K640" s="8"/>
      <c r="L640" s="8"/>
    </row>
    <row r="641" ht="13.5" customHeight="1">
      <c r="A641" s="7" t="s">
        <v>355</v>
      </c>
      <c r="B641" s="7">
        <v>1.75</v>
      </c>
      <c r="C641" s="7" t="s">
        <v>360</v>
      </c>
      <c r="D641" s="7" t="s">
        <v>357</v>
      </c>
      <c r="E641" s="7">
        <v>-2.0317</v>
      </c>
      <c r="F641" s="7">
        <v>-0.0668</v>
      </c>
      <c r="G641" s="7">
        <v>0.1449</v>
      </c>
      <c r="H641" s="7">
        <v>-1.0E-4</v>
      </c>
      <c r="I641" s="7">
        <v>0.00726</v>
      </c>
      <c r="J641" s="7">
        <v>0.14492</v>
      </c>
      <c r="K641" s="8"/>
      <c r="L641" s="8"/>
    </row>
    <row r="642" ht="13.5" customHeight="1">
      <c r="A642" s="7" t="s">
        <v>355</v>
      </c>
      <c r="B642" s="7">
        <v>3.5</v>
      </c>
      <c r="C642" s="7" t="s">
        <v>360</v>
      </c>
      <c r="D642" s="7" t="s">
        <v>357</v>
      </c>
      <c r="E642" s="7">
        <v>-1.8392</v>
      </c>
      <c r="F642" s="7">
        <v>0.2832</v>
      </c>
      <c r="G642" s="7">
        <v>0.1449</v>
      </c>
      <c r="H642" s="7">
        <v>-1.0E-4</v>
      </c>
      <c r="I642" s="7">
        <v>-0.24635</v>
      </c>
      <c r="J642" s="7">
        <v>-0.04436</v>
      </c>
      <c r="K642" s="8"/>
      <c r="L642" s="8"/>
    </row>
    <row r="643" ht="13.5" customHeight="1">
      <c r="A643" s="7" t="s">
        <v>355</v>
      </c>
      <c r="B643" s="7">
        <v>0.0</v>
      </c>
      <c r="C643" s="7" t="s">
        <v>361</v>
      </c>
      <c r="D643" s="7" t="s">
        <v>357</v>
      </c>
      <c r="E643" s="7">
        <v>-2.3504</v>
      </c>
      <c r="F643" s="7">
        <v>0.1032</v>
      </c>
      <c r="G643" s="7">
        <v>0.543</v>
      </c>
      <c r="H643" s="7">
        <v>-5.023E-5</v>
      </c>
      <c r="I643" s="7">
        <v>0.6198</v>
      </c>
      <c r="J643" s="7">
        <v>0.1811</v>
      </c>
      <c r="K643" s="8"/>
      <c r="L643" s="8"/>
    </row>
    <row r="644" ht="13.5" customHeight="1">
      <c r="A644" s="7" t="s">
        <v>355</v>
      </c>
      <c r="B644" s="7">
        <v>1.75</v>
      </c>
      <c r="C644" s="7" t="s">
        <v>361</v>
      </c>
      <c r="D644" s="7" t="s">
        <v>357</v>
      </c>
      <c r="E644" s="7">
        <v>-2.1579</v>
      </c>
      <c r="F644" s="7">
        <v>0.1032</v>
      </c>
      <c r="G644" s="7">
        <v>0.2805</v>
      </c>
      <c r="H644" s="7">
        <v>-5.023E-5</v>
      </c>
      <c r="I644" s="7">
        <v>-0.10072</v>
      </c>
      <c r="J644" s="7">
        <v>5.0E-4</v>
      </c>
      <c r="K644" s="8"/>
      <c r="L644" s="8"/>
    </row>
    <row r="645" ht="13.5" customHeight="1">
      <c r="A645" s="7" t="s">
        <v>355</v>
      </c>
      <c r="B645" s="7">
        <v>3.5</v>
      </c>
      <c r="C645" s="7" t="s">
        <v>361</v>
      </c>
      <c r="D645" s="7" t="s">
        <v>357</v>
      </c>
      <c r="E645" s="7">
        <v>-1.9654</v>
      </c>
      <c r="F645" s="7">
        <v>0.1032</v>
      </c>
      <c r="G645" s="7">
        <v>0.018</v>
      </c>
      <c r="H645" s="7">
        <v>-5.023E-5</v>
      </c>
      <c r="I645" s="7">
        <v>-0.36187</v>
      </c>
      <c r="J645" s="7">
        <v>-0.1801</v>
      </c>
      <c r="K645" s="8"/>
      <c r="L645" s="8"/>
    </row>
    <row r="646" ht="13.5" customHeight="1">
      <c r="A646" s="7" t="s">
        <v>355</v>
      </c>
      <c r="B646" s="7">
        <v>0.0</v>
      </c>
      <c r="C646" s="7" t="s">
        <v>362</v>
      </c>
      <c r="D646" s="7" t="s">
        <v>357</v>
      </c>
      <c r="E646" s="7">
        <v>-2.9763</v>
      </c>
      <c r="F646" s="7">
        <v>0.1511</v>
      </c>
      <c r="G646" s="7">
        <v>0.5726</v>
      </c>
      <c r="H646" s="7">
        <v>-6.635E-5</v>
      </c>
      <c r="I646" s="7">
        <v>0.70135</v>
      </c>
      <c r="J646" s="7">
        <v>0.2599</v>
      </c>
      <c r="K646" s="8"/>
      <c r="L646" s="8"/>
    </row>
    <row r="647" ht="13.5" customHeight="1">
      <c r="A647" s="7" t="s">
        <v>355</v>
      </c>
      <c r="B647" s="7">
        <v>1.75</v>
      </c>
      <c r="C647" s="7" t="s">
        <v>362</v>
      </c>
      <c r="D647" s="7" t="s">
        <v>357</v>
      </c>
      <c r="E647" s="7">
        <v>-2.7838</v>
      </c>
      <c r="F647" s="7">
        <v>0.1511</v>
      </c>
      <c r="G647" s="7">
        <v>0.3364</v>
      </c>
      <c r="H647" s="7">
        <v>-6.635E-5</v>
      </c>
      <c r="I647" s="7">
        <v>-0.09402</v>
      </c>
      <c r="J647" s="7">
        <v>-0.00458</v>
      </c>
      <c r="K647" s="8"/>
      <c r="L647" s="8"/>
    </row>
    <row r="648" ht="13.5" customHeight="1">
      <c r="A648" s="7" t="s">
        <v>355</v>
      </c>
      <c r="B648" s="7">
        <v>3.5</v>
      </c>
      <c r="C648" s="7" t="s">
        <v>362</v>
      </c>
      <c r="D648" s="7" t="s">
        <v>357</v>
      </c>
      <c r="E648" s="7">
        <v>-2.5913</v>
      </c>
      <c r="F648" s="7">
        <v>0.1511</v>
      </c>
      <c r="G648" s="7">
        <v>0.1001</v>
      </c>
      <c r="H648" s="7">
        <v>-6.635E-5</v>
      </c>
      <c r="I648" s="7">
        <v>-0.47595</v>
      </c>
      <c r="J648" s="7">
        <v>-0.26906</v>
      </c>
      <c r="K648" s="8"/>
      <c r="L648" s="8"/>
    </row>
    <row r="649" ht="13.5" customHeight="1">
      <c r="A649" s="7" t="s">
        <v>355</v>
      </c>
      <c r="B649" s="7">
        <v>0.0</v>
      </c>
      <c r="C649" s="7" t="s">
        <v>363</v>
      </c>
      <c r="D649" s="7" t="s">
        <v>357</v>
      </c>
      <c r="E649" s="7">
        <v>-2.8627</v>
      </c>
      <c r="F649" s="7">
        <v>-0.3169</v>
      </c>
      <c r="G649" s="7">
        <v>0.2144</v>
      </c>
      <c r="H649" s="7">
        <v>-1.1E-4</v>
      </c>
      <c r="I649" s="7">
        <v>0.37832</v>
      </c>
      <c r="J649" s="7">
        <v>-0.15355</v>
      </c>
      <c r="K649" s="8"/>
      <c r="L649" s="8"/>
    </row>
    <row r="650" ht="13.5" customHeight="1">
      <c r="A650" s="7" t="s">
        <v>355</v>
      </c>
      <c r="B650" s="7">
        <v>1.75</v>
      </c>
      <c r="C650" s="7" t="s">
        <v>363</v>
      </c>
      <c r="D650" s="7" t="s">
        <v>357</v>
      </c>
      <c r="E650" s="7">
        <v>-2.6702</v>
      </c>
      <c r="F650" s="7">
        <v>-0.0019</v>
      </c>
      <c r="G650" s="7">
        <v>0.2144</v>
      </c>
      <c r="H650" s="7">
        <v>-1.1E-4</v>
      </c>
      <c r="I650" s="7">
        <v>0.00317</v>
      </c>
      <c r="J650" s="7">
        <v>0.1254</v>
      </c>
      <c r="K650" s="8"/>
      <c r="L650" s="8"/>
    </row>
    <row r="651" ht="13.5" customHeight="1">
      <c r="A651" s="7" t="s">
        <v>355</v>
      </c>
      <c r="B651" s="7">
        <v>3.5</v>
      </c>
      <c r="C651" s="7" t="s">
        <v>363</v>
      </c>
      <c r="D651" s="7" t="s">
        <v>357</v>
      </c>
      <c r="E651" s="7">
        <v>-2.4777</v>
      </c>
      <c r="F651" s="7">
        <v>0.3131</v>
      </c>
      <c r="G651" s="7">
        <v>0.2144</v>
      </c>
      <c r="H651" s="7">
        <v>-1.1E-4</v>
      </c>
      <c r="I651" s="7">
        <v>-0.37198</v>
      </c>
      <c r="J651" s="7">
        <v>-0.1469</v>
      </c>
      <c r="K651" s="8"/>
      <c r="L651" s="8"/>
    </row>
    <row r="652" ht="13.5" customHeight="1">
      <c r="A652" s="7" t="s">
        <v>355</v>
      </c>
      <c r="B652" s="7">
        <v>0.0</v>
      </c>
      <c r="C652" s="7" t="s">
        <v>356</v>
      </c>
      <c r="D652" s="7" t="s">
        <v>357</v>
      </c>
      <c r="E652" s="7">
        <v>-2.9982</v>
      </c>
      <c r="F652" s="7">
        <v>0.5349</v>
      </c>
      <c r="G652" s="7">
        <v>0.2183</v>
      </c>
      <c r="H652" s="7">
        <v>-3.978E-5</v>
      </c>
      <c r="I652" s="7">
        <v>0.3871</v>
      </c>
      <c r="J652" s="7">
        <v>0.61695</v>
      </c>
      <c r="K652" s="8"/>
      <c r="L652" s="8"/>
    </row>
    <row r="653" ht="13.5" customHeight="1">
      <c r="A653" s="7" t="s">
        <v>355</v>
      </c>
      <c r="B653" s="7">
        <v>1.75</v>
      </c>
      <c r="C653" s="7" t="s">
        <v>356</v>
      </c>
      <c r="D653" s="7" t="s">
        <v>357</v>
      </c>
      <c r="E653" s="7">
        <v>-2.8057</v>
      </c>
      <c r="F653" s="7">
        <v>0.2987</v>
      </c>
      <c r="G653" s="7">
        <v>0.2183</v>
      </c>
      <c r="H653" s="7">
        <v>-3.978E-5</v>
      </c>
      <c r="I653" s="7">
        <v>0.0051</v>
      </c>
      <c r="J653" s="7">
        <v>-0.11241</v>
      </c>
      <c r="K653" s="8"/>
      <c r="L653" s="8"/>
    </row>
    <row r="654" ht="13.5" customHeight="1">
      <c r="A654" s="7" t="s">
        <v>355</v>
      </c>
      <c r="B654" s="7">
        <v>3.5</v>
      </c>
      <c r="C654" s="7" t="s">
        <v>356</v>
      </c>
      <c r="D654" s="7" t="s">
        <v>357</v>
      </c>
      <c r="E654" s="7">
        <v>-2.6132</v>
      </c>
      <c r="F654" s="7">
        <v>0.0624</v>
      </c>
      <c r="G654" s="7">
        <v>0.2183</v>
      </c>
      <c r="H654" s="7">
        <v>-3.978E-5</v>
      </c>
      <c r="I654" s="7">
        <v>-0.3769</v>
      </c>
      <c r="J654" s="7">
        <v>-0.42834</v>
      </c>
      <c r="K654" s="8"/>
      <c r="L654" s="8"/>
    </row>
    <row r="655" ht="13.5" customHeight="1">
      <c r="A655" s="7" t="s">
        <v>355</v>
      </c>
      <c r="B655" s="7">
        <v>0.0</v>
      </c>
      <c r="C655" s="7" t="s">
        <v>358</v>
      </c>
      <c r="D655" s="7" t="s">
        <v>357</v>
      </c>
      <c r="E655" s="7">
        <v>-2.9937</v>
      </c>
      <c r="F655" s="7">
        <v>0.1555</v>
      </c>
      <c r="G655" s="7">
        <v>0.224</v>
      </c>
      <c r="H655" s="7">
        <v>-5.8E-5</v>
      </c>
      <c r="I655" s="7">
        <v>0.39565</v>
      </c>
      <c r="J655" s="7">
        <v>0.26636</v>
      </c>
      <c r="K655" s="8"/>
      <c r="L655" s="8"/>
    </row>
    <row r="656" ht="13.5" customHeight="1">
      <c r="A656" s="7" t="s">
        <v>355</v>
      </c>
      <c r="B656" s="7">
        <v>1.75</v>
      </c>
      <c r="C656" s="7" t="s">
        <v>358</v>
      </c>
      <c r="D656" s="7" t="s">
        <v>357</v>
      </c>
      <c r="E656" s="7">
        <v>-2.8012</v>
      </c>
      <c r="F656" s="7">
        <v>0.1555</v>
      </c>
      <c r="G656" s="7">
        <v>0.224</v>
      </c>
      <c r="H656" s="7">
        <v>-5.8E-5</v>
      </c>
      <c r="I656" s="7">
        <v>0.00367</v>
      </c>
      <c r="J656" s="7">
        <v>-0.00569</v>
      </c>
      <c r="K656" s="8"/>
      <c r="L656" s="8"/>
    </row>
    <row r="657" ht="13.5" customHeight="1">
      <c r="A657" s="7" t="s">
        <v>355</v>
      </c>
      <c r="B657" s="7">
        <v>3.5</v>
      </c>
      <c r="C657" s="7" t="s">
        <v>358</v>
      </c>
      <c r="D657" s="7" t="s">
        <v>357</v>
      </c>
      <c r="E657" s="7">
        <v>-2.6087</v>
      </c>
      <c r="F657" s="7">
        <v>0.1555</v>
      </c>
      <c r="G657" s="7">
        <v>0.224</v>
      </c>
      <c r="H657" s="7">
        <v>-5.8E-5</v>
      </c>
      <c r="I657" s="7">
        <v>-0.3883</v>
      </c>
      <c r="J657" s="7">
        <v>-0.27774</v>
      </c>
      <c r="K657" s="8"/>
      <c r="L657" s="8"/>
    </row>
    <row r="658" ht="13.5" customHeight="1">
      <c r="A658" s="7" t="s">
        <v>355</v>
      </c>
      <c r="B658" s="7">
        <v>0.0</v>
      </c>
      <c r="C658" s="7" t="s">
        <v>359</v>
      </c>
      <c r="D658" s="7" t="s">
        <v>357</v>
      </c>
      <c r="E658" s="7">
        <v>-2.3747</v>
      </c>
      <c r="F658" s="7">
        <v>0.5296</v>
      </c>
      <c r="G658" s="7">
        <v>0.1493</v>
      </c>
      <c r="H658" s="7">
        <v>-2.071E-5</v>
      </c>
      <c r="I658" s="7">
        <v>0.27064</v>
      </c>
      <c r="J658" s="7">
        <v>0.57781</v>
      </c>
      <c r="K658" s="8"/>
      <c r="L658" s="8"/>
    </row>
    <row r="659" ht="13.5" customHeight="1">
      <c r="A659" s="7" t="s">
        <v>355</v>
      </c>
      <c r="B659" s="7">
        <v>1.75</v>
      </c>
      <c r="C659" s="7" t="s">
        <v>359</v>
      </c>
      <c r="D659" s="7" t="s">
        <v>357</v>
      </c>
      <c r="E659" s="7">
        <v>-2.1822</v>
      </c>
      <c r="F659" s="7">
        <v>0.2671</v>
      </c>
      <c r="G659" s="7">
        <v>0.1493</v>
      </c>
      <c r="H659" s="7">
        <v>-2.071E-5</v>
      </c>
      <c r="I659" s="7">
        <v>0.00941</v>
      </c>
      <c r="J659" s="7">
        <v>-0.11932</v>
      </c>
      <c r="K659" s="8"/>
      <c r="L659" s="8"/>
    </row>
    <row r="660" ht="13.5" customHeight="1">
      <c r="A660" s="7" t="s">
        <v>355</v>
      </c>
      <c r="B660" s="7">
        <v>3.5</v>
      </c>
      <c r="C660" s="7" t="s">
        <v>359</v>
      </c>
      <c r="D660" s="7" t="s">
        <v>357</v>
      </c>
      <c r="E660" s="7">
        <v>-1.9897</v>
      </c>
      <c r="F660" s="7">
        <v>0.0046</v>
      </c>
      <c r="G660" s="7">
        <v>0.1493</v>
      </c>
      <c r="H660" s="7">
        <v>-2.071E-5</v>
      </c>
      <c r="I660" s="7">
        <v>-0.25181</v>
      </c>
      <c r="J660" s="7">
        <v>-0.35707</v>
      </c>
      <c r="K660" s="8"/>
      <c r="L660" s="8"/>
    </row>
    <row r="661" ht="13.5" customHeight="1">
      <c r="A661" s="7" t="s">
        <v>355</v>
      </c>
      <c r="B661" s="7">
        <v>0.0</v>
      </c>
      <c r="C661" s="7" t="s">
        <v>360</v>
      </c>
      <c r="D661" s="7" t="s">
        <v>357</v>
      </c>
      <c r="E661" s="7">
        <v>-2.2242</v>
      </c>
      <c r="F661" s="7">
        <v>-0.4168</v>
      </c>
      <c r="G661" s="7">
        <v>0.1449</v>
      </c>
      <c r="H661" s="7">
        <v>-1.0E-4</v>
      </c>
      <c r="I661" s="7">
        <v>0.26088</v>
      </c>
      <c r="J661" s="7">
        <v>-0.2783</v>
      </c>
      <c r="K661" s="8"/>
      <c r="L661" s="8"/>
    </row>
    <row r="662" ht="13.5" customHeight="1">
      <c r="A662" s="7" t="s">
        <v>355</v>
      </c>
      <c r="B662" s="7">
        <v>1.75</v>
      </c>
      <c r="C662" s="7" t="s">
        <v>360</v>
      </c>
      <c r="D662" s="7" t="s">
        <v>357</v>
      </c>
      <c r="E662" s="7">
        <v>-2.0317</v>
      </c>
      <c r="F662" s="7">
        <v>-0.0668</v>
      </c>
      <c r="G662" s="7">
        <v>0.1449</v>
      </c>
      <c r="H662" s="7">
        <v>-1.0E-4</v>
      </c>
      <c r="I662" s="7">
        <v>0.00726</v>
      </c>
      <c r="J662" s="7">
        <v>0.14492</v>
      </c>
      <c r="K662" s="8"/>
      <c r="L662" s="8"/>
    </row>
    <row r="663" ht="13.5" customHeight="1">
      <c r="A663" s="7" t="s">
        <v>355</v>
      </c>
      <c r="B663" s="7">
        <v>3.5</v>
      </c>
      <c r="C663" s="7" t="s">
        <v>360</v>
      </c>
      <c r="D663" s="7" t="s">
        <v>357</v>
      </c>
      <c r="E663" s="7">
        <v>-1.8392</v>
      </c>
      <c r="F663" s="7">
        <v>0.2832</v>
      </c>
      <c r="G663" s="7">
        <v>0.1449</v>
      </c>
      <c r="H663" s="7">
        <v>-1.0E-4</v>
      </c>
      <c r="I663" s="7">
        <v>-0.24635</v>
      </c>
      <c r="J663" s="7">
        <v>-0.04436</v>
      </c>
      <c r="K663" s="8"/>
      <c r="L663" s="8"/>
    </row>
    <row r="664" ht="13.5" customHeight="1">
      <c r="A664" s="7" t="s">
        <v>355</v>
      </c>
      <c r="B664" s="7">
        <v>0.0</v>
      </c>
      <c r="C664" s="7" t="s">
        <v>361</v>
      </c>
      <c r="D664" s="7" t="s">
        <v>357</v>
      </c>
      <c r="E664" s="7">
        <v>-2.3504</v>
      </c>
      <c r="F664" s="7">
        <v>0.1032</v>
      </c>
      <c r="G664" s="7">
        <v>0.543</v>
      </c>
      <c r="H664" s="7">
        <v>-5.023E-5</v>
      </c>
      <c r="I664" s="7">
        <v>0.6198</v>
      </c>
      <c r="J664" s="7">
        <v>0.1811</v>
      </c>
      <c r="K664" s="8"/>
      <c r="L664" s="8"/>
    </row>
    <row r="665" ht="13.5" customHeight="1">
      <c r="A665" s="7" t="s">
        <v>355</v>
      </c>
      <c r="B665" s="7">
        <v>1.75</v>
      </c>
      <c r="C665" s="7" t="s">
        <v>361</v>
      </c>
      <c r="D665" s="7" t="s">
        <v>357</v>
      </c>
      <c r="E665" s="7">
        <v>-2.1579</v>
      </c>
      <c r="F665" s="7">
        <v>0.1032</v>
      </c>
      <c r="G665" s="7">
        <v>0.2805</v>
      </c>
      <c r="H665" s="7">
        <v>-5.023E-5</v>
      </c>
      <c r="I665" s="7">
        <v>-0.10072</v>
      </c>
      <c r="J665" s="7">
        <v>5.0E-4</v>
      </c>
      <c r="K665" s="8"/>
      <c r="L665" s="8"/>
    </row>
    <row r="666" ht="13.5" customHeight="1">
      <c r="A666" s="7" t="s">
        <v>355</v>
      </c>
      <c r="B666" s="7">
        <v>3.5</v>
      </c>
      <c r="C666" s="7" t="s">
        <v>361</v>
      </c>
      <c r="D666" s="7" t="s">
        <v>357</v>
      </c>
      <c r="E666" s="7">
        <v>-1.9654</v>
      </c>
      <c r="F666" s="7">
        <v>0.1032</v>
      </c>
      <c r="G666" s="7">
        <v>0.018</v>
      </c>
      <c r="H666" s="7">
        <v>-5.023E-5</v>
      </c>
      <c r="I666" s="7">
        <v>-0.36187</v>
      </c>
      <c r="J666" s="7">
        <v>-0.1801</v>
      </c>
      <c r="K666" s="8"/>
      <c r="L666" s="8"/>
    </row>
    <row r="667" ht="13.5" customHeight="1">
      <c r="A667" s="7" t="s">
        <v>355</v>
      </c>
      <c r="B667" s="7">
        <v>0.0</v>
      </c>
      <c r="C667" s="7" t="s">
        <v>362</v>
      </c>
      <c r="D667" s="7" t="s">
        <v>357</v>
      </c>
      <c r="E667" s="7">
        <v>-2.9763</v>
      </c>
      <c r="F667" s="7">
        <v>0.1511</v>
      </c>
      <c r="G667" s="7">
        <v>0.5726</v>
      </c>
      <c r="H667" s="7">
        <v>-6.635E-5</v>
      </c>
      <c r="I667" s="7">
        <v>0.70135</v>
      </c>
      <c r="J667" s="7">
        <v>0.2599</v>
      </c>
      <c r="K667" s="8"/>
      <c r="L667" s="8"/>
    </row>
    <row r="668" ht="13.5" customHeight="1">
      <c r="A668" s="7" t="s">
        <v>355</v>
      </c>
      <c r="B668" s="7">
        <v>1.75</v>
      </c>
      <c r="C668" s="7" t="s">
        <v>362</v>
      </c>
      <c r="D668" s="7" t="s">
        <v>357</v>
      </c>
      <c r="E668" s="7">
        <v>-2.7838</v>
      </c>
      <c r="F668" s="7">
        <v>0.1511</v>
      </c>
      <c r="G668" s="7">
        <v>0.3364</v>
      </c>
      <c r="H668" s="7">
        <v>-6.635E-5</v>
      </c>
      <c r="I668" s="7">
        <v>-0.09402</v>
      </c>
      <c r="J668" s="7">
        <v>-0.00458</v>
      </c>
      <c r="K668" s="8"/>
      <c r="L668" s="8"/>
    </row>
    <row r="669" ht="13.5" customHeight="1">
      <c r="A669" s="7" t="s">
        <v>355</v>
      </c>
      <c r="B669" s="7">
        <v>3.5</v>
      </c>
      <c r="C669" s="7" t="s">
        <v>362</v>
      </c>
      <c r="D669" s="7" t="s">
        <v>357</v>
      </c>
      <c r="E669" s="7">
        <v>-2.5913</v>
      </c>
      <c r="F669" s="7">
        <v>0.1511</v>
      </c>
      <c r="G669" s="7">
        <v>0.1001</v>
      </c>
      <c r="H669" s="7">
        <v>-6.635E-5</v>
      </c>
      <c r="I669" s="7">
        <v>-0.47595</v>
      </c>
      <c r="J669" s="7">
        <v>-0.26906</v>
      </c>
      <c r="K669" s="8"/>
      <c r="L669" s="8"/>
    </row>
    <row r="670" ht="13.5" customHeight="1">
      <c r="A670" s="7" t="s">
        <v>355</v>
      </c>
      <c r="B670" s="7">
        <v>0.0</v>
      </c>
      <c r="C670" s="7" t="s">
        <v>363</v>
      </c>
      <c r="D670" s="7" t="s">
        <v>357</v>
      </c>
      <c r="E670" s="7">
        <v>-2.8627</v>
      </c>
      <c r="F670" s="7">
        <v>-0.3169</v>
      </c>
      <c r="G670" s="7">
        <v>0.2144</v>
      </c>
      <c r="H670" s="7">
        <v>-1.1E-4</v>
      </c>
      <c r="I670" s="7">
        <v>0.37832</v>
      </c>
      <c r="J670" s="7">
        <v>-0.15355</v>
      </c>
      <c r="K670" s="8"/>
      <c r="L670" s="8"/>
    </row>
    <row r="671" ht="13.5" customHeight="1">
      <c r="A671" s="7" t="s">
        <v>355</v>
      </c>
      <c r="B671" s="7">
        <v>1.75</v>
      </c>
      <c r="C671" s="7" t="s">
        <v>363</v>
      </c>
      <c r="D671" s="7" t="s">
        <v>357</v>
      </c>
      <c r="E671" s="7">
        <v>-2.6702</v>
      </c>
      <c r="F671" s="7">
        <v>-0.0019</v>
      </c>
      <c r="G671" s="7">
        <v>0.2144</v>
      </c>
      <c r="H671" s="7">
        <v>-1.1E-4</v>
      </c>
      <c r="I671" s="7">
        <v>0.00317</v>
      </c>
      <c r="J671" s="7">
        <v>0.1254</v>
      </c>
      <c r="K671" s="8"/>
      <c r="L671" s="8"/>
    </row>
    <row r="672" ht="13.5" customHeight="1">
      <c r="A672" s="7" t="s">
        <v>355</v>
      </c>
      <c r="B672" s="7">
        <v>3.5</v>
      </c>
      <c r="C672" s="7" t="s">
        <v>363</v>
      </c>
      <c r="D672" s="7" t="s">
        <v>357</v>
      </c>
      <c r="E672" s="7">
        <v>-2.4777</v>
      </c>
      <c r="F672" s="7">
        <v>0.3131</v>
      </c>
      <c r="G672" s="7">
        <v>0.2144</v>
      </c>
      <c r="H672" s="7">
        <v>-1.1E-4</v>
      </c>
      <c r="I672" s="7">
        <v>-0.37198</v>
      </c>
      <c r="J672" s="7">
        <v>-0.1469</v>
      </c>
      <c r="K672" s="8"/>
      <c r="L672" s="8"/>
    </row>
    <row r="673" ht="13.5" customHeight="1">
      <c r="A673" s="7" t="s">
        <v>355</v>
      </c>
      <c r="B673" s="7">
        <v>0.0</v>
      </c>
      <c r="C673" s="7" t="s">
        <v>356</v>
      </c>
      <c r="D673" s="7" t="s">
        <v>357</v>
      </c>
      <c r="E673" s="7">
        <v>-2.9982</v>
      </c>
      <c r="F673" s="7">
        <v>0.5349</v>
      </c>
      <c r="G673" s="7">
        <v>0.2183</v>
      </c>
      <c r="H673" s="7">
        <v>-3.978E-5</v>
      </c>
      <c r="I673" s="7">
        <v>0.3871</v>
      </c>
      <c r="J673" s="7">
        <v>0.61695</v>
      </c>
      <c r="K673" s="8"/>
      <c r="L673" s="8"/>
    </row>
    <row r="674" ht="13.5" customHeight="1">
      <c r="A674" s="7" t="s">
        <v>355</v>
      </c>
      <c r="B674" s="7">
        <v>1.75</v>
      </c>
      <c r="C674" s="7" t="s">
        <v>356</v>
      </c>
      <c r="D674" s="7" t="s">
        <v>357</v>
      </c>
      <c r="E674" s="7">
        <v>-2.8057</v>
      </c>
      <c r="F674" s="7">
        <v>0.2987</v>
      </c>
      <c r="G674" s="7">
        <v>0.2183</v>
      </c>
      <c r="H674" s="7">
        <v>-3.978E-5</v>
      </c>
      <c r="I674" s="7">
        <v>0.0051</v>
      </c>
      <c r="J674" s="7">
        <v>-0.11241</v>
      </c>
      <c r="K674" s="8"/>
      <c r="L674" s="8"/>
    </row>
    <row r="675" ht="13.5" customHeight="1">
      <c r="A675" s="7" t="s">
        <v>355</v>
      </c>
      <c r="B675" s="7">
        <v>3.5</v>
      </c>
      <c r="C675" s="7" t="s">
        <v>356</v>
      </c>
      <c r="D675" s="7" t="s">
        <v>357</v>
      </c>
      <c r="E675" s="7">
        <v>-2.6132</v>
      </c>
      <c r="F675" s="7">
        <v>0.0624</v>
      </c>
      <c r="G675" s="7">
        <v>0.2183</v>
      </c>
      <c r="H675" s="7">
        <v>-3.978E-5</v>
      </c>
      <c r="I675" s="7">
        <v>-0.3769</v>
      </c>
      <c r="J675" s="7">
        <v>-0.42834</v>
      </c>
      <c r="K675" s="8"/>
      <c r="L675" s="8"/>
    </row>
    <row r="676" ht="13.5" customHeight="1">
      <c r="A676" s="7" t="s">
        <v>355</v>
      </c>
      <c r="B676" s="7">
        <v>0.0</v>
      </c>
      <c r="C676" s="7" t="s">
        <v>358</v>
      </c>
      <c r="D676" s="7" t="s">
        <v>357</v>
      </c>
      <c r="E676" s="7">
        <v>-2.9937</v>
      </c>
      <c r="F676" s="7">
        <v>0.1555</v>
      </c>
      <c r="G676" s="7">
        <v>0.224</v>
      </c>
      <c r="H676" s="7">
        <v>-5.8E-5</v>
      </c>
      <c r="I676" s="7">
        <v>0.39565</v>
      </c>
      <c r="J676" s="7">
        <v>0.26636</v>
      </c>
      <c r="K676" s="8"/>
      <c r="L676" s="8"/>
    </row>
    <row r="677" ht="13.5" customHeight="1">
      <c r="A677" s="7" t="s">
        <v>355</v>
      </c>
      <c r="B677" s="7">
        <v>1.75</v>
      </c>
      <c r="C677" s="7" t="s">
        <v>358</v>
      </c>
      <c r="D677" s="7" t="s">
        <v>357</v>
      </c>
      <c r="E677" s="7">
        <v>-2.8012</v>
      </c>
      <c r="F677" s="7">
        <v>0.1555</v>
      </c>
      <c r="G677" s="7">
        <v>0.224</v>
      </c>
      <c r="H677" s="7">
        <v>-5.8E-5</v>
      </c>
      <c r="I677" s="7">
        <v>0.00367</v>
      </c>
      <c r="J677" s="7">
        <v>-0.00569</v>
      </c>
      <c r="K677" s="8"/>
      <c r="L677" s="8"/>
    </row>
    <row r="678" ht="13.5" customHeight="1">
      <c r="A678" s="7" t="s">
        <v>355</v>
      </c>
      <c r="B678" s="7">
        <v>3.5</v>
      </c>
      <c r="C678" s="7" t="s">
        <v>358</v>
      </c>
      <c r="D678" s="7" t="s">
        <v>357</v>
      </c>
      <c r="E678" s="7">
        <v>-2.6087</v>
      </c>
      <c r="F678" s="7">
        <v>0.1555</v>
      </c>
      <c r="G678" s="7">
        <v>0.224</v>
      </c>
      <c r="H678" s="7">
        <v>-5.8E-5</v>
      </c>
      <c r="I678" s="7">
        <v>-0.3883</v>
      </c>
      <c r="J678" s="7">
        <v>-0.27774</v>
      </c>
      <c r="K678" s="8"/>
      <c r="L678" s="8"/>
    </row>
    <row r="679" ht="13.5" customHeight="1">
      <c r="A679" s="7" t="s">
        <v>355</v>
      </c>
      <c r="B679" s="7">
        <v>0.0</v>
      </c>
      <c r="C679" s="7" t="s">
        <v>359</v>
      </c>
      <c r="D679" s="7" t="s">
        <v>357</v>
      </c>
      <c r="E679" s="7">
        <v>-2.3747</v>
      </c>
      <c r="F679" s="7">
        <v>0.5296</v>
      </c>
      <c r="G679" s="7">
        <v>0.1493</v>
      </c>
      <c r="H679" s="7">
        <v>-2.071E-5</v>
      </c>
      <c r="I679" s="7">
        <v>0.27064</v>
      </c>
      <c r="J679" s="7">
        <v>0.57781</v>
      </c>
      <c r="K679" s="8"/>
      <c r="L679" s="8"/>
    </row>
    <row r="680" ht="13.5" customHeight="1">
      <c r="A680" s="7" t="s">
        <v>355</v>
      </c>
      <c r="B680" s="7">
        <v>1.75</v>
      </c>
      <c r="C680" s="7" t="s">
        <v>359</v>
      </c>
      <c r="D680" s="7" t="s">
        <v>357</v>
      </c>
      <c r="E680" s="7">
        <v>-2.1822</v>
      </c>
      <c r="F680" s="7">
        <v>0.2671</v>
      </c>
      <c r="G680" s="7">
        <v>0.1493</v>
      </c>
      <c r="H680" s="7">
        <v>-2.071E-5</v>
      </c>
      <c r="I680" s="7">
        <v>0.00941</v>
      </c>
      <c r="J680" s="7">
        <v>-0.11932</v>
      </c>
      <c r="K680" s="8"/>
      <c r="L680" s="8"/>
    </row>
    <row r="681" ht="13.5" customHeight="1">
      <c r="A681" s="7" t="s">
        <v>355</v>
      </c>
      <c r="B681" s="7">
        <v>3.5</v>
      </c>
      <c r="C681" s="7" t="s">
        <v>359</v>
      </c>
      <c r="D681" s="7" t="s">
        <v>357</v>
      </c>
      <c r="E681" s="7">
        <v>-1.9897</v>
      </c>
      <c r="F681" s="7">
        <v>0.0046</v>
      </c>
      <c r="G681" s="7">
        <v>0.1493</v>
      </c>
      <c r="H681" s="7">
        <v>-2.071E-5</v>
      </c>
      <c r="I681" s="7">
        <v>-0.25181</v>
      </c>
      <c r="J681" s="7">
        <v>-0.35707</v>
      </c>
      <c r="K681" s="8"/>
      <c r="L681" s="8"/>
    </row>
    <row r="682" ht="13.5" customHeight="1">
      <c r="A682" s="7" t="s">
        <v>355</v>
      </c>
      <c r="B682" s="7">
        <v>0.0</v>
      </c>
      <c r="C682" s="7" t="s">
        <v>360</v>
      </c>
      <c r="D682" s="7" t="s">
        <v>357</v>
      </c>
      <c r="E682" s="7">
        <v>-2.2242</v>
      </c>
      <c r="F682" s="7">
        <v>-0.4168</v>
      </c>
      <c r="G682" s="7">
        <v>0.1449</v>
      </c>
      <c r="H682" s="7">
        <v>-1.0E-4</v>
      </c>
      <c r="I682" s="7">
        <v>0.26088</v>
      </c>
      <c r="J682" s="7">
        <v>-0.2783</v>
      </c>
      <c r="K682" s="8"/>
      <c r="L682" s="8"/>
    </row>
    <row r="683" ht="13.5" customHeight="1">
      <c r="A683" s="7" t="s">
        <v>355</v>
      </c>
      <c r="B683" s="7">
        <v>1.75</v>
      </c>
      <c r="C683" s="7" t="s">
        <v>360</v>
      </c>
      <c r="D683" s="7" t="s">
        <v>357</v>
      </c>
      <c r="E683" s="7">
        <v>-2.0317</v>
      </c>
      <c r="F683" s="7">
        <v>-0.0668</v>
      </c>
      <c r="G683" s="7">
        <v>0.1449</v>
      </c>
      <c r="H683" s="7">
        <v>-1.0E-4</v>
      </c>
      <c r="I683" s="7">
        <v>0.00726</v>
      </c>
      <c r="J683" s="7">
        <v>0.14492</v>
      </c>
      <c r="K683" s="8"/>
      <c r="L683" s="8"/>
    </row>
    <row r="684" ht="13.5" customHeight="1">
      <c r="A684" s="7" t="s">
        <v>355</v>
      </c>
      <c r="B684" s="7">
        <v>3.5</v>
      </c>
      <c r="C684" s="7" t="s">
        <v>360</v>
      </c>
      <c r="D684" s="7" t="s">
        <v>357</v>
      </c>
      <c r="E684" s="7">
        <v>-1.8392</v>
      </c>
      <c r="F684" s="7">
        <v>0.2832</v>
      </c>
      <c r="G684" s="7">
        <v>0.1449</v>
      </c>
      <c r="H684" s="7">
        <v>-1.0E-4</v>
      </c>
      <c r="I684" s="7">
        <v>-0.24635</v>
      </c>
      <c r="J684" s="7">
        <v>-0.04436</v>
      </c>
      <c r="K684" s="8"/>
      <c r="L684" s="8"/>
    </row>
    <row r="685" ht="13.5" customHeight="1">
      <c r="A685" s="7" t="s">
        <v>355</v>
      </c>
      <c r="B685" s="7">
        <v>0.0</v>
      </c>
      <c r="C685" s="7" t="s">
        <v>361</v>
      </c>
      <c r="D685" s="7" t="s">
        <v>357</v>
      </c>
      <c r="E685" s="7">
        <v>-2.3504</v>
      </c>
      <c r="F685" s="7">
        <v>0.1032</v>
      </c>
      <c r="G685" s="7">
        <v>0.543</v>
      </c>
      <c r="H685" s="7">
        <v>-5.023E-5</v>
      </c>
      <c r="I685" s="7">
        <v>0.6198</v>
      </c>
      <c r="J685" s="7">
        <v>0.1811</v>
      </c>
      <c r="K685" s="8"/>
      <c r="L685" s="8"/>
    </row>
    <row r="686" ht="13.5" customHeight="1">
      <c r="A686" s="7" t="s">
        <v>355</v>
      </c>
      <c r="B686" s="7">
        <v>1.75</v>
      </c>
      <c r="C686" s="7" t="s">
        <v>361</v>
      </c>
      <c r="D686" s="7" t="s">
        <v>357</v>
      </c>
      <c r="E686" s="7">
        <v>-2.1579</v>
      </c>
      <c r="F686" s="7">
        <v>0.1032</v>
      </c>
      <c r="G686" s="7">
        <v>0.2805</v>
      </c>
      <c r="H686" s="7">
        <v>-5.023E-5</v>
      </c>
      <c r="I686" s="7">
        <v>-0.10072</v>
      </c>
      <c r="J686" s="7">
        <v>5.0E-4</v>
      </c>
      <c r="K686" s="8"/>
      <c r="L686" s="8"/>
    </row>
    <row r="687" ht="13.5" customHeight="1">
      <c r="A687" s="7" t="s">
        <v>355</v>
      </c>
      <c r="B687" s="7">
        <v>3.5</v>
      </c>
      <c r="C687" s="7" t="s">
        <v>361</v>
      </c>
      <c r="D687" s="7" t="s">
        <v>357</v>
      </c>
      <c r="E687" s="7">
        <v>-1.9654</v>
      </c>
      <c r="F687" s="7">
        <v>0.1032</v>
      </c>
      <c r="G687" s="7">
        <v>0.018</v>
      </c>
      <c r="H687" s="7">
        <v>-5.023E-5</v>
      </c>
      <c r="I687" s="7">
        <v>-0.36187</v>
      </c>
      <c r="J687" s="7">
        <v>-0.1801</v>
      </c>
      <c r="K687" s="8"/>
      <c r="L687" s="8"/>
    </row>
    <row r="688" ht="13.5" customHeight="1">
      <c r="A688" s="7" t="s">
        <v>355</v>
      </c>
      <c r="B688" s="7">
        <v>0.0</v>
      </c>
      <c r="C688" s="7" t="s">
        <v>362</v>
      </c>
      <c r="D688" s="7" t="s">
        <v>357</v>
      </c>
      <c r="E688" s="7">
        <v>-2.9763</v>
      </c>
      <c r="F688" s="7">
        <v>0.1511</v>
      </c>
      <c r="G688" s="7">
        <v>0.5726</v>
      </c>
      <c r="H688" s="7">
        <v>-6.635E-5</v>
      </c>
      <c r="I688" s="7">
        <v>0.70135</v>
      </c>
      <c r="J688" s="7">
        <v>0.2599</v>
      </c>
      <c r="K688" s="8"/>
      <c r="L688" s="8"/>
    </row>
    <row r="689" ht="13.5" customHeight="1">
      <c r="A689" s="7" t="s">
        <v>355</v>
      </c>
      <c r="B689" s="7">
        <v>1.75</v>
      </c>
      <c r="C689" s="7" t="s">
        <v>362</v>
      </c>
      <c r="D689" s="7" t="s">
        <v>357</v>
      </c>
      <c r="E689" s="7">
        <v>-2.7838</v>
      </c>
      <c r="F689" s="7">
        <v>0.1511</v>
      </c>
      <c r="G689" s="7">
        <v>0.3364</v>
      </c>
      <c r="H689" s="7">
        <v>-6.635E-5</v>
      </c>
      <c r="I689" s="7">
        <v>-0.09402</v>
      </c>
      <c r="J689" s="7">
        <v>-0.00458</v>
      </c>
      <c r="K689" s="8"/>
      <c r="L689" s="8"/>
    </row>
    <row r="690" ht="13.5" customHeight="1">
      <c r="A690" s="7" t="s">
        <v>355</v>
      </c>
      <c r="B690" s="7">
        <v>3.5</v>
      </c>
      <c r="C690" s="7" t="s">
        <v>362</v>
      </c>
      <c r="D690" s="7" t="s">
        <v>357</v>
      </c>
      <c r="E690" s="7">
        <v>-2.5913</v>
      </c>
      <c r="F690" s="7">
        <v>0.1511</v>
      </c>
      <c r="G690" s="7">
        <v>0.1001</v>
      </c>
      <c r="H690" s="7">
        <v>-6.635E-5</v>
      </c>
      <c r="I690" s="7">
        <v>-0.47595</v>
      </c>
      <c r="J690" s="7">
        <v>-0.26906</v>
      </c>
      <c r="K690" s="8"/>
      <c r="L690" s="8"/>
    </row>
    <row r="691" ht="13.5" customHeight="1">
      <c r="A691" s="7" t="s">
        <v>355</v>
      </c>
      <c r="B691" s="7">
        <v>0.0</v>
      </c>
      <c r="C691" s="7" t="s">
        <v>363</v>
      </c>
      <c r="D691" s="7" t="s">
        <v>357</v>
      </c>
      <c r="E691" s="7">
        <v>-2.8627</v>
      </c>
      <c r="F691" s="7">
        <v>-0.3169</v>
      </c>
      <c r="G691" s="7">
        <v>0.2144</v>
      </c>
      <c r="H691" s="7">
        <v>-1.1E-4</v>
      </c>
      <c r="I691" s="7">
        <v>0.37832</v>
      </c>
      <c r="J691" s="7">
        <v>-0.15355</v>
      </c>
      <c r="K691" s="8"/>
      <c r="L691" s="8"/>
    </row>
    <row r="692" ht="13.5" customHeight="1">
      <c r="A692" s="7" t="s">
        <v>355</v>
      </c>
      <c r="B692" s="7">
        <v>1.75</v>
      </c>
      <c r="C692" s="7" t="s">
        <v>363</v>
      </c>
      <c r="D692" s="7" t="s">
        <v>357</v>
      </c>
      <c r="E692" s="7">
        <v>-2.6702</v>
      </c>
      <c r="F692" s="7">
        <v>-0.0019</v>
      </c>
      <c r="G692" s="7">
        <v>0.2144</v>
      </c>
      <c r="H692" s="7">
        <v>-1.1E-4</v>
      </c>
      <c r="I692" s="7">
        <v>0.00317</v>
      </c>
      <c r="J692" s="7">
        <v>0.1254</v>
      </c>
      <c r="K692" s="8"/>
      <c r="L692" s="8"/>
    </row>
    <row r="693" ht="13.5" customHeight="1">
      <c r="A693" s="7" t="s">
        <v>355</v>
      </c>
      <c r="B693" s="7">
        <v>3.5</v>
      </c>
      <c r="C693" s="7" t="s">
        <v>363</v>
      </c>
      <c r="D693" s="7" t="s">
        <v>357</v>
      </c>
      <c r="E693" s="7">
        <v>-2.4777</v>
      </c>
      <c r="F693" s="7">
        <v>0.3131</v>
      </c>
      <c r="G693" s="7">
        <v>0.2144</v>
      </c>
      <c r="H693" s="7">
        <v>-1.1E-4</v>
      </c>
      <c r="I693" s="7">
        <v>-0.37198</v>
      </c>
      <c r="J693" s="7">
        <v>-0.1469</v>
      </c>
      <c r="K693" s="8"/>
      <c r="L693" s="8"/>
    </row>
    <row r="694" ht="13.5" customHeight="1">
      <c r="A694" s="7" t="s">
        <v>355</v>
      </c>
      <c r="B694" s="7">
        <v>0.0</v>
      </c>
      <c r="C694" s="7" t="s">
        <v>356</v>
      </c>
      <c r="D694" s="7" t="s">
        <v>357</v>
      </c>
      <c r="E694" s="7">
        <v>-2.9982</v>
      </c>
      <c r="F694" s="7">
        <v>0.5349</v>
      </c>
      <c r="G694" s="7">
        <v>0.2183</v>
      </c>
      <c r="H694" s="7">
        <v>-3.978E-5</v>
      </c>
      <c r="I694" s="7">
        <v>0.3871</v>
      </c>
      <c r="J694" s="7">
        <v>0.61695</v>
      </c>
      <c r="K694" s="8"/>
      <c r="L694" s="8"/>
    </row>
    <row r="695" ht="13.5" customHeight="1">
      <c r="A695" s="7" t="s">
        <v>355</v>
      </c>
      <c r="B695" s="7">
        <v>1.75</v>
      </c>
      <c r="C695" s="7" t="s">
        <v>356</v>
      </c>
      <c r="D695" s="7" t="s">
        <v>357</v>
      </c>
      <c r="E695" s="7">
        <v>-2.8057</v>
      </c>
      <c r="F695" s="7">
        <v>0.2987</v>
      </c>
      <c r="G695" s="7">
        <v>0.2183</v>
      </c>
      <c r="H695" s="7">
        <v>-3.978E-5</v>
      </c>
      <c r="I695" s="7">
        <v>0.0051</v>
      </c>
      <c r="J695" s="7">
        <v>-0.11241</v>
      </c>
      <c r="K695" s="8"/>
      <c r="L695" s="8"/>
    </row>
    <row r="696" ht="13.5" customHeight="1">
      <c r="A696" s="7" t="s">
        <v>355</v>
      </c>
      <c r="B696" s="7">
        <v>3.5</v>
      </c>
      <c r="C696" s="7" t="s">
        <v>356</v>
      </c>
      <c r="D696" s="7" t="s">
        <v>357</v>
      </c>
      <c r="E696" s="7">
        <v>-2.6132</v>
      </c>
      <c r="F696" s="7">
        <v>0.0624</v>
      </c>
      <c r="G696" s="7">
        <v>0.2183</v>
      </c>
      <c r="H696" s="7">
        <v>-3.978E-5</v>
      </c>
      <c r="I696" s="7">
        <v>-0.3769</v>
      </c>
      <c r="J696" s="7">
        <v>-0.42834</v>
      </c>
      <c r="K696" s="8"/>
      <c r="L696" s="8"/>
    </row>
    <row r="697" ht="13.5" customHeight="1">
      <c r="A697" s="7" t="s">
        <v>355</v>
      </c>
      <c r="B697" s="7">
        <v>0.0</v>
      </c>
      <c r="C697" s="7" t="s">
        <v>358</v>
      </c>
      <c r="D697" s="7" t="s">
        <v>357</v>
      </c>
      <c r="E697" s="7">
        <v>-2.9937</v>
      </c>
      <c r="F697" s="7">
        <v>0.1555</v>
      </c>
      <c r="G697" s="7">
        <v>0.224</v>
      </c>
      <c r="H697" s="7">
        <v>-5.8E-5</v>
      </c>
      <c r="I697" s="7">
        <v>0.39565</v>
      </c>
      <c r="J697" s="7">
        <v>0.26636</v>
      </c>
      <c r="K697" s="8"/>
      <c r="L697" s="8"/>
    </row>
    <row r="698" ht="13.5" customHeight="1">
      <c r="A698" s="7" t="s">
        <v>355</v>
      </c>
      <c r="B698" s="7">
        <v>1.75</v>
      </c>
      <c r="C698" s="7" t="s">
        <v>358</v>
      </c>
      <c r="D698" s="7" t="s">
        <v>357</v>
      </c>
      <c r="E698" s="7">
        <v>-2.8012</v>
      </c>
      <c r="F698" s="7">
        <v>0.1555</v>
      </c>
      <c r="G698" s="7">
        <v>0.224</v>
      </c>
      <c r="H698" s="7">
        <v>-5.8E-5</v>
      </c>
      <c r="I698" s="7">
        <v>0.00367</v>
      </c>
      <c r="J698" s="7">
        <v>-0.00569</v>
      </c>
      <c r="K698" s="8"/>
      <c r="L698" s="8"/>
    </row>
    <row r="699" ht="13.5" customHeight="1">
      <c r="A699" s="7" t="s">
        <v>355</v>
      </c>
      <c r="B699" s="7">
        <v>3.5</v>
      </c>
      <c r="C699" s="7" t="s">
        <v>358</v>
      </c>
      <c r="D699" s="7" t="s">
        <v>357</v>
      </c>
      <c r="E699" s="7">
        <v>-2.6087</v>
      </c>
      <c r="F699" s="7">
        <v>0.1555</v>
      </c>
      <c r="G699" s="7">
        <v>0.224</v>
      </c>
      <c r="H699" s="7">
        <v>-5.8E-5</v>
      </c>
      <c r="I699" s="7">
        <v>-0.3883</v>
      </c>
      <c r="J699" s="7">
        <v>-0.27774</v>
      </c>
      <c r="K699" s="8"/>
      <c r="L699" s="8"/>
    </row>
    <row r="700" ht="13.5" customHeight="1">
      <c r="A700" s="7" t="s">
        <v>355</v>
      </c>
      <c r="B700" s="7">
        <v>0.0</v>
      </c>
      <c r="C700" s="7" t="s">
        <v>359</v>
      </c>
      <c r="D700" s="7" t="s">
        <v>357</v>
      </c>
      <c r="E700" s="7">
        <v>-2.3747</v>
      </c>
      <c r="F700" s="7">
        <v>0.5296</v>
      </c>
      <c r="G700" s="7">
        <v>0.1493</v>
      </c>
      <c r="H700" s="7">
        <v>-2.071E-5</v>
      </c>
      <c r="I700" s="7">
        <v>0.27064</v>
      </c>
      <c r="J700" s="7">
        <v>0.57781</v>
      </c>
      <c r="K700" s="8"/>
      <c r="L700" s="8"/>
    </row>
    <row r="701" ht="13.5" customHeight="1">
      <c r="A701" s="7" t="s">
        <v>355</v>
      </c>
      <c r="B701" s="7">
        <v>1.75</v>
      </c>
      <c r="C701" s="7" t="s">
        <v>359</v>
      </c>
      <c r="D701" s="7" t="s">
        <v>357</v>
      </c>
      <c r="E701" s="7">
        <v>-2.1822</v>
      </c>
      <c r="F701" s="7">
        <v>0.2671</v>
      </c>
      <c r="G701" s="7">
        <v>0.1493</v>
      </c>
      <c r="H701" s="7">
        <v>-2.071E-5</v>
      </c>
      <c r="I701" s="7">
        <v>0.00941</v>
      </c>
      <c r="J701" s="7">
        <v>-0.11932</v>
      </c>
      <c r="K701" s="8"/>
      <c r="L701" s="8"/>
    </row>
    <row r="702" ht="13.5" customHeight="1">
      <c r="A702" s="7" t="s">
        <v>355</v>
      </c>
      <c r="B702" s="7">
        <v>3.5</v>
      </c>
      <c r="C702" s="7" t="s">
        <v>359</v>
      </c>
      <c r="D702" s="7" t="s">
        <v>357</v>
      </c>
      <c r="E702" s="7">
        <v>-1.9897</v>
      </c>
      <c r="F702" s="7">
        <v>0.0046</v>
      </c>
      <c r="G702" s="7">
        <v>0.1493</v>
      </c>
      <c r="H702" s="7">
        <v>-2.071E-5</v>
      </c>
      <c r="I702" s="7">
        <v>-0.25181</v>
      </c>
      <c r="J702" s="7">
        <v>-0.35707</v>
      </c>
      <c r="K702" s="8"/>
      <c r="L702" s="8"/>
    </row>
    <row r="703" ht="13.5" customHeight="1">
      <c r="A703" s="7" t="s">
        <v>355</v>
      </c>
      <c r="B703" s="7">
        <v>0.0</v>
      </c>
      <c r="C703" s="7" t="s">
        <v>360</v>
      </c>
      <c r="D703" s="7" t="s">
        <v>357</v>
      </c>
      <c r="E703" s="7">
        <v>-2.2242</v>
      </c>
      <c r="F703" s="7">
        <v>-0.4168</v>
      </c>
      <c r="G703" s="7">
        <v>0.1449</v>
      </c>
      <c r="H703" s="7">
        <v>-1.0E-4</v>
      </c>
      <c r="I703" s="7">
        <v>0.26088</v>
      </c>
      <c r="J703" s="7">
        <v>-0.2783</v>
      </c>
      <c r="K703" s="8"/>
      <c r="L703" s="8"/>
    </row>
    <row r="704" ht="13.5" customHeight="1">
      <c r="A704" s="7" t="s">
        <v>355</v>
      </c>
      <c r="B704" s="7">
        <v>1.75</v>
      </c>
      <c r="C704" s="7" t="s">
        <v>360</v>
      </c>
      <c r="D704" s="7" t="s">
        <v>357</v>
      </c>
      <c r="E704" s="7">
        <v>-2.0317</v>
      </c>
      <c r="F704" s="7">
        <v>-0.0668</v>
      </c>
      <c r="G704" s="7">
        <v>0.1449</v>
      </c>
      <c r="H704" s="7">
        <v>-1.0E-4</v>
      </c>
      <c r="I704" s="7">
        <v>0.00726</v>
      </c>
      <c r="J704" s="7">
        <v>0.14492</v>
      </c>
      <c r="K704" s="8"/>
      <c r="L704" s="8"/>
    </row>
    <row r="705" ht="13.5" customHeight="1">
      <c r="A705" s="7" t="s">
        <v>355</v>
      </c>
      <c r="B705" s="7">
        <v>3.5</v>
      </c>
      <c r="C705" s="7" t="s">
        <v>360</v>
      </c>
      <c r="D705" s="7" t="s">
        <v>357</v>
      </c>
      <c r="E705" s="7">
        <v>-1.8392</v>
      </c>
      <c r="F705" s="7">
        <v>0.2832</v>
      </c>
      <c r="G705" s="7">
        <v>0.1449</v>
      </c>
      <c r="H705" s="7">
        <v>-1.0E-4</v>
      </c>
      <c r="I705" s="7">
        <v>-0.24635</v>
      </c>
      <c r="J705" s="7">
        <v>-0.04436</v>
      </c>
      <c r="K705" s="8"/>
      <c r="L705" s="8"/>
    </row>
    <row r="706" ht="13.5" customHeight="1">
      <c r="A706" s="7" t="s">
        <v>355</v>
      </c>
      <c r="B706" s="7">
        <v>0.0</v>
      </c>
      <c r="C706" s="7" t="s">
        <v>361</v>
      </c>
      <c r="D706" s="7" t="s">
        <v>357</v>
      </c>
      <c r="E706" s="7">
        <v>-2.3504</v>
      </c>
      <c r="F706" s="7">
        <v>0.1032</v>
      </c>
      <c r="G706" s="7">
        <v>0.543</v>
      </c>
      <c r="H706" s="7">
        <v>-5.023E-5</v>
      </c>
      <c r="I706" s="7">
        <v>0.6198</v>
      </c>
      <c r="J706" s="7">
        <v>0.1811</v>
      </c>
      <c r="K706" s="8"/>
      <c r="L706" s="8"/>
    </row>
    <row r="707" ht="13.5" customHeight="1">
      <c r="A707" s="7" t="s">
        <v>355</v>
      </c>
      <c r="B707" s="7">
        <v>1.75</v>
      </c>
      <c r="C707" s="7" t="s">
        <v>361</v>
      </c>
      <c r="D707" s="7" t="s">
        <v>357</v>
      </c>
      <c r="E707" s="7">
        <v>-2.1579</v>
      </c>
      <c r="F707" s="7">
        <v>0.1032</v>
      </c>
      <c r="G707" s="7">
        <v>0.2805</v>
      </c>
      <c r="H707" s="7">
        <v>-5.023E-5</v>
      </c>
      <c r="I707" s="7">
        <v>-0.10072</v>
      </c>
      <c r="J707" s="7">
        <v>5.0E-4</v>
      </c>
      <c r="K707" s="8"/>
      <c r="L707" s="8"/>
    </row>
    <row r="708" ht="13.5" customHeight="1">
      <c r="A708" s="7" t="s">
        <v>355</v>
      </c>
      <c r="B708" s="7">
        <v>3.5</v>
      </c>
      <c r="C708" s="7" t="s">
        <v>361</v>
      </c>
      <c r="D708" s="7" t="s">
        <v>357</v>
      </c>
      <c r="E708" s="7">
        <v>-1.9654</v>
      </c>
      <c r="F708" s="7">
        <v>0.1032</v>
      </c>
      <c r="G708" s="7">
        <v>0.018</v>
      </c>
      <c r="H708" s="7">
        <v>-5.023E-5</v>
      </c>
      <c r="I708" s="7">
        <v>-0.36187</v>
      </c>
      <c r="J708" s="7">
        <v>-0.1801</v>
      </c>
      <c r="K708" s="8"/>
      <c r="L708" s="8"/>
    </row>
    <row r="709" ht="13.5" customHeight="1">
      <c r="A709" s="7" t="s">
        <v>355</v>
      </c>
      <c r="B709" s="7">
        <v>0.0</v>
      </c>
      <c r="C709" s="7" t="s">
        <v>362</v>
      </c>
      <c r="D709" s="7" t="s">
        <v>357</v>
      </c>
      <c r="E709" s="7">
        <v>-2.9763</v>
      </c>
      <c r="F709" s="7">
        <v>0.1511</v>
      </c>
      <c r="G709" s="7">
        <v>0.5726</v>
      </c>
      <c r="H709" s="7">
        <v>-6.635E-5</v>
      </c>
      <c r="I709" s="7">
        <v>0.70135</v>
      </c>
      <c r="J709" s="7">
        <v>0.2599</v>
      </c>
      <c r="K709" s="8"/>
      <c r="L709" s="8"/>
    </row>
    <row r="710" ht="13.5" customHeight="1">
      <c r="A710" s="7" t="s">
        <v>355</v>
      </c>
      <c r="B710" s="7">
        <v>1.75</v>
      </c>
      <c r="C710" s="7" t="s">
        <v>362</v>
      </c>
      <c r="D710" s="7" t="s">
        <v>357</v>
      </c>
      <c r="E710" s="7">
        <v>-2.7838</v>
      </c>
      <c r="F710" s="7">
        <v>0.1511</v>
      </c>
      <c r="G710" s="7">
        <v>0.3364</v>
      </c>
      <c r="H710" s="7">
        <v>-6.635E-5</v>
      </c>
      <c r="I710" s="7">
        <v>-0.09402</v>
      </c>
      <c r="J710" s="7">
        <v>-0.00458</v>
      </c>
      <c r="K710" s="8"/>
      <c r="L710" s="8"/>
    </row>
    <row r="711" ht="13.5" customHeight="1">
      <c r="A711" s="7" t="s">
        <v>355</v>
      </c>
      <c r="B711" s="7">
        <v>3.5</v>
      </c>
      <c r="C711" s="7" t="s">
        <v>362</v>
      </c>
      <c r="D711" s="7" t="s">
        <v>357</v>
      </c>
      <c r="E711" s="7">
        <v>-2.5913</v>
      </c>
      <c r="F711" s="7">
        <v>0.1511</v>
      </c>
      <c r="G711" s="7">
        <v>0.1001</v>
      </c>
      <c r="H711" s="7">
        <v>-6.635E-5</v>
      </c>
      <c r="I711" s="7">
        <v>-0.47595</v>
      </c>
      <c r="J711" s="7">
        <v>-0.26906</v>
      </c>
      <c r="K711" s="8"/>
      <c r="L711" s="8"/>
    </row>
    <row r="712" ht="13.5" customHeight="1">
      <c r="A712" s="7" t="s">
        <v>355</v>
      </c>
      <c r="B712" s="7">
        <v>0.0</v>
      </c>
      <c r="C712" s="7" t="s">
        <v>363</v>
      </c>
      <c r="D712" s="7" t="s">
        <v>357</v>
      </c>
      <c r="E712" s="7">
        <v>-2.8627</v>
      </c>
      <c r="F712" s="7">
        <v>-0.3169</v>
      </c>
      <c r="G712" s="7">
        <v>0.2144</v>
      </c>
      <c r="H712" s="7">
        <v>-1.1E-4</v>
      </c>
      <c r="I712" s="7">
        <v>0.37832</v>
      </c>
      <c r="J712" s="7">
        <v>-0.15355</v>
      </c>
      <c r="K712" s="8"/>
      <c r="L712" s="8"/>
    </row>
    <row r="713" ht="13.5" customHeight="1">
      <c r="A713" s="7" t="s">
        <v>355</v>
      </c>
      <c r="B713" s="7">
        <v>1.75</v>
      </c>
      <c r="C713" s="7" t="s">
        <v>363</v>
      </c>
      <c r="D713" s="7" t="s">
        <v>357</v>
      </c>
      <c r="E713" s="7">
        <v>-2.6702</v>
      </c>
      <c r="F713" s="7">
        <v>-0.0019</v>
      </c>
      <c r="G713" s="7">
        <v>0.2144</v>
      </c>
      <c r="H713" s="7">
        <v>-1.1E-4</v>
      </c>
      <c r="I713" s="7">
        <v>0.00317</v>
      </c>
      <c r="J713" s="7">
        <v>0.1254</v>
      </c>
      <c r="K713" s="8"/>
      <c r="L713" s="8"/>
    </row>
    <row r="714" ht="13.5" customHeight="1">
      <c r="A714" s="7" t="s">
        <v>355</v>
      </c>
      <c r="B714" s="7">
        <v>3.5</v>
      </c>
      <c r="C714" s="7" t="s">
        <v>363</v>
      </c>
      <c r="D714" s="7" t="s">
        <v>357</v>
      </c>
      <c r="E714" s="7">
        <v>-2.4777</v>
      </c>
      <c r="F714" s="7">
        <v>0.3131</v>
      </c>
      <c r="G714" s="7">
        <v>0.2144</v>
      </c>
      <c r="H714" s="7">
        <v>-1.1E-4</v>
      </c>
      <c r="I714" s="7">
        <v>-0.37198</v>
      </c>
      <c r="J714" s="7">
        <v>-0.1469</v>
      </c>
      <c r="K714" s="8"/>
      <c r="L714" s="8"/>
    </row>
    <row r="715" ht="13.5" customHeight="1">
      <c r="A715" s="7" t="s">
        <v>355</v>
      </c>
      <c r="B715" s="7">
        <v>0.0</v>
      </c>
      <c r="C715" s="7" t="s">
        <v>356</v>
      </c>
      <c r="D715" s="7" t="s">
        <v>357</v>
      </c>
      <c r="E715" s="7">
        <v>-2.9982</v>
      </c>
      <c r="F715" s="7">
        <v>0.5349</v>
      </c>
      <c r="G715" s="7">
        <v>0.2183</v>
      </c>
      <c r="H715" s="7">
        <v>-3.978E-5</v>
      </c>
      <c r="I715" s="7">
        <v>0.3871</v>
      </c>
      <c r="J715" s="7">
        <v>0.61695</v>
      </c>
      <c r="K715" s="8"/>
      <c r="L715" s="8"/>
    </row>
    <row r="716" ht="13.5" customHeight="1">
      <c r="A716" s="7" t="s">
        <v>355</v>
      </c>
      <c r="B716" s="7">
        <v>1.75</v>
      </c>
      <c r="C716" s="7" t="s">
        <v>356</v>
      </c>
      <c r="D716" s="7" t="s">
        <v>357</v>
      </c>
      <c r="E716" s="7">
        <v>-2.8057</v>
      </c>
      <c r="F716" s="7">
        <v>0.2987</v>
      </c>
      <c r="G716" s="7">
        <v>0.2183</v>
      </c>
      <c r="H716" s="7">
        <v>-3.978E-5</v>
      </c>
      <c r="I716" s="7">
        <v>0.0051</v>
      </c>
      <c r="J716" s="7">
        <v>-0.11241</v>
      </c>
      <c r="K716" s="8"/>
      <c r="L716" s="8"/>
    </row>
    <row r="717" ht="13.5" customHeight="1">
      <c r="A717" s="7" t="s">
        <v>355</v>
      </c>
      <c r="B717" s="7">
        <v>3.5</v>
      </c>
      <c r="C717" s="7" t="s">
        <v>356</v>
      </c>
      <c r="D717" s="7" t="s">
        <v>357</v>
      </c>
      <c r="E717" s="7">
        <v>-2.6132</v>
      </c>
      <c r="F717" s="7">
        <v>0.0624</v>
      </c>
      <c r="G717" s="7">
        <v>0.2183</v>
      </c>
      <c r="H717" s="7">
        <v>-3.978E-5</v>
      </c>
      <c r="I717" s="7">
        <v>-0.3769</v>
      </c>
      <c r="J717" s="7">
        <v>-0.42834</v>
      </c>
      <c r="K717" s="8"/>
      <c r="L717" s="8"/>
    </row>
    <row r="718" ht="13.5" customHeight="1">
      <c r="A718" s="7" t="s">
        <v>355</v>
      </c>
      <c r="B718" s="7">
        <v>0.0</v>
      </c>
      <c r="C718" s="7" t="s">
        <v>358</v>
      </c>
      <c r="D718" s="7" t="s">
        <v>357</v>
      </c>
      <c r="E718" s="7">
        <v>-2.9937</v>
      </c>
      <c r="F718" s="7">
        <v>0.1555</v>
      </c>
      <c r="G718" s="7">
        <v>0.224</v>
      </c>
      <c r="H718" s="7">
        <v>-5.8E-5</v>
      </c>
      <c r="I718" s="7">
        <v>0.39565</v>
      </c>
      <c r="J718" s="7">
        <v>0.26636</v>
      </c>
      <c r="K718" s="8"/>
      <c r="L718" s="8"/>
    </row>
    <row r="719" ht="13.5" customHeight="1">
      <c r="A719" s="7" t="s">
        <v>355</v>
      </c>
      <c r="B719" s="7">
        <v>1.75</v>
      </c>
      <c r="C719" s="7" t="s">
        <v>358</v>
      </c>
      <c r="D719" s="7" t="s">
        <v>357</v>
      </c>
      <c r="E719" s="7">
        <v>-2.8012</v>
      </c>
      <c r="F719" s="7">
        <v>0.1555</v>
      </c>
      <c r="G719" s="7">
        <v>0.224</v>
      </c>
      <c r="H719" s="7">
        <v>-5.8E-5</v>
      </c>
      <c r="I719" s="7">
        <v>0.00367</v>
      </c>
      <c r="J719" s="7">
        <v>-0.00569</v>
      </c>
      <c r="K719" s="8"/>
      <c r="L719" s="8"/>
    </row>
    <row r="720" ht="13.5" customHeight="1">
      <c r="A720" s="7" t="s">
        <v>355</v>
      </c>
      <c r="B720" s="7">
        <v>3.5</v>
      </c>
      <c r="C720" s="7" t="s">
        <v>358</v>
      </c>
      <c r="D720" s="7" t="s">
        <v>357</v>
      </c>
      <c r="E720" s="7">
        <v>-2.6087</v>
      </c>
      <c r="F720" s="7">
        <v>0.1555</v>
      </c>
      <c r="G720" s="7">
        <v>0.224</v>
      </c>
      <c r="H720" s="7">
        <v>-5.8E-5</v>
      </c>
      <c r="I720" s="7">
        <v>-0.3883</v>
      </c>
      <c r="J720" s="7">
        <v>-0.27774</v>
      </c>
      <c r="K720" s="8"/>
      <c r="L720" s="8"/>
    </row>
    <row r="721" ht="13.5" customHeight="1">
      <c r="A721" s="7" t="s">
        <v>355</v>
      </c>
      <c r="B721" s="7">
        <v>0.0</v>
      </c>
      <c r="C721" s="7" t="s">
        <v>359</v>
      </c>
      <c r="D721" s="7" t="s">
        <v>357</v>
      </c>
      <c r="E721" s="7">
        <v>-2.3747</v>
      </c>
      <c r="F721" s="7">
        <v>0.5296</v>
      </c>
      <c r="G721" s="7">
        <v>0.1493</v>
      </c>
      <c r="H721" s="7">
        <v>-2.071E-5</v>
      </c>
      <c r="I721" s="7">
        <v>0.27064</v>
      </c>
      <c r="J721" s="7">
        <v>0.57781</v>
      </c>
      <c r="K721" s="8"/>
      <c r="L721" s="8"/>
    </row>
    <row r="722" ht="13.5" customHeight="1">
      <c r="A722" s="7" t="s">
        <v>355</v>
      </c>
      <c r="B722" s="7">
        <v>1.75</v>
      </c>
      <c r="C722" s="7" t="s">
        <v>359</v>
      </c>
      <c r="D722" s="7" t="s">
        <v>357</v>
      </c>
      <c r="E722" s="7">
        <v>-2.1822</v>
      </c>
      <c r="F722" s="7">
        <v>0.2671</v>
      </c>
      <c r="G722" s="7">
        <v>0.1493</v>
      </c>
      <c r="H722" s="7">
        <v>-2.071E-5</v>
      </c>
      <c r="I722" s="7">
        <v>0.00941</v>
      </c>
      <c r="J722" s="7">
        <v>-0.11932</v>
      </c>
      <c r="K722" s="8"/>
      <c r="L722" s="8"/>
    </row>
    <row r="723" ht="13.5" customHeight="1">
      <c r="A723" s="7" t="s">
        <v>355</v>
      </c>
      <c r="B723" s="7">
        <v>3.5</v>
      </c>
      <c r="C723" s="7" t="s">
        <v>359</v>
      </c>
      <c r="D723" s="7" t="s">
        <v>357</v>
      </c>
      <c r="E723" s="7">
        <v>-1.9897</v>
      </c>
      <c r="F723" s="7">
        <v>0.0046</v>
      </c>
      <c r="G723" s="7">
        <v>0.1493</v>
      </c>
      <c r="H723" s="7">
        <v>-2.071E-5</v>
      </c>
      <c r="I723" s="7">
        <v>-0.25181</v>
      </c>
      <c r="J723" s="7">
        <v>-0.35707</v>
      </c>
      <c r="K723" s="8"/>
      <c r="L723" s="8"/>
    </row>
    <row r="724" ht="13.5" customHeight="1">
      <c r="A724" s="7" t="s">
        <v>355</v>
      </c>
      <c r="B724" s="7">
        <v>0.0</v>
      </c>
      <c r="C724" s="7" t="s">
        <v>360</v>
      </c>
      <c r="D724" s="7" t="s">
        <v>357</v>
      </c>
      <c r="E724" s="7">
        <v>-2.2242</v>
      </c>
      <c r="F724" s="7">
        <v>-0.4168</v>
      </c>
      <c r="G724" s="7">
        <v>0.1449</v>
      </c>
      <c r="H724" s="7">
        <v>-1.0E-4</v>
      </c>
      <c r="I724" s="7">
        <v>0.26088</v>
      </c>
      <c r="J724" s="7">
        <v>-0.2783</v>
      </c>
      <c r="K724" s="8"/>
      <c r="L724" s="8"/>
    </row>
    <row r="725" ht="13.5" customHeight="1">
      <c r="A725" s="7" t="s">
        <v>355</v>
      </c>
      <c r="B725" s="7">
        <v>1.75</v>
      </c>
      <c r="C725" s="7" t="s">
        <v>360</v>
      </c>
      <c r="D725" s="7" t="s">
        <v>357</v>
      </c>
      <c r="E725" s="7">
        <v>-2.0317</v>
      </c>
      <c r="F725" s="7">
        <v>-0.0668</v>
      </c>
      <c r="G725" s="7">
        <v>0.1449</v>
      </c>
      <c r="H725" s="7">
        <v>-1.0E-4</v>
      </c>
      <c r="I725" s="7">
        <v>0.00726</v>
      </c>
      <c r="J725" s="7">
        <v>0.14492</v>
      </c>
      <c r="K725" s="8"/>
      <c r="L725" s="8"/>
    </row>
    <row r="726" ht="13.5" customHeight="1">
      <c r="A726" s="7" t="s">
        <v>355</v>
      </c>
      <c r="B726" s="7">
        <v>3.5</v>
      </c>
      <c r="C726" s="7" t="s">
        <v>360</v>
      </c>
      <c r="D726" s="7" t="s">
        <v>357</v>
      </c>
      <c r="E726" s="7">
        <v>-1.8392</v>
      </c>
      <c r="F726" s="7">
        <v>0.2832</v>
      </c>
      <c r="G726" s="7">
        <v>0.1449</v>
      </c>
      <c r="H726" s="7">
        <v>-1.0E-4</v>
      </c>
      <c r="I726" s="7">
        <v>-0.24635</v>
      </c>
      <c r="J726" s="7">
        <v>-0.04436</v>
      </c>
      <c r="K726" s="8"/>
      <c r="L726" s="8"/>
    </row>
    <row r="727" ht="13.5" customHeight="1">
      <c r="A727" s="7" t="s">
        <v>355</v>
      </c>
      <c r="B727" s="7">
        <v>0.0</v>
      </c>
      <c r="C727" s="7" t="s">
        <v>361</v>
      </c>
      <c r="D727" s="7" t="s">
        <v>357</v>
      </c>
      <c r="E727" s="7">
        <v>-2.3504</v>
      </c>
      <c r="F727" s="7">
        <v>0.1032</v>
      </c>
      <c r="G727" s="7">
        <v>0.543</v>
      </c>
      <c r="H727" s="7">
        <v>-5.023E-5</v>
      </c>
      <c r="I727" s="7">
        <v>0.6198</v>
      </c>
      <c r="J727" s="7">
        <v>0.1811</v>
      </c>
      <c r="K727" s="8"/>
      <c r="L727" s="8"/>
    </row>
    <row r="728" ht="13.5" customHeight="1">
      <c r="A728" s="7" t="s">
        <v>355</v>
      </c>
      <c r="B728" s="7">
        <v>1.75</v>
      </c>
      <c r="C728" s="7" t="s">
        <v>361</v>
      </c>
      <c r="D728" s="7" t="s">
        <v>357</v>
      </c>
      <c r="E728" s="7">
        <v>-2.1579</v>
      </c>
      <c r="F728" s="7">
        <v>0.1032</v>
      </c>
      <c r="G728" s="7">
        <v>0.2805</v>
      </c>
      <c r="H728" s="7">
        <v>-5.023E-5</v>
      </c>
      <c r="I728" s="7">
        <v>-0.10072</v>
      </c>
      <c r="J728" s="7">
        <v>5.0E-4</v>
      </c>
      <c r="K728" s="8"/>
      <c r="L728" s="8"/>
    </row>
    <row r="729" ht="13.5" customHeight="1">
      <c r="A729" s="7" t="s">
        <v>355</v>
      </c>
      <c r="B729" s="7">
        <v>3.5</v>
      </c>
      <c r="C729" s="7" t="s">
        <v>361</v>
      </c>
      <c r="D729" s="7" t="s">
        <v>357</v>
      </c>
      <c r="E729" s="7">
        <v>-1.9654</v>
      </c>
      <c r="F729" s="7">
        <v>0.1032</v>
      </c>
      <c r="G729" s="7">
        <v>0.018</v>
      </c>
      <c r="H729" s="7">
        <v>-5.023E-5</v>
      </c>
      <c r="I729" s="7">
        <v>-0.36187</v>
      </c>
      <c r="J729" s="7">
        <v>-0.1801</v>
      </c>
      <c r="K729" s="8"/>
      <c r="L729" s="8"/>
    </row>
    <row r="730" ht="13.5" customHeight="1">
      <c r="A730" s="7" t="s">
        <v>355</v>
      </c>
      <c r="B730" s="7">
        <v>0.0</v>
      </c>
      <c r="C730" s="7" t="s">
        <v>362</v>
      </c>
      <c r="D730" s="7" t="s">
        <v>357</v>
      </c>
      <c r="E730" s="7">
        <v>-2.9763</v>
      </c>
      <c r="F730" s="7">
        <v>0.1511</v>
      </c>
      <c r="G730" s="7">
        <v>0.5726</v>
      </c>
      <c r="H730" s="7">
        <v>-6.635E-5</v>
      </c>
      <c r="I730" s="7">
        <v>0.70135</v>
      </c>
      <c r="J730" s="7">
        <v>0.2599</v>
      </c>
      <c r="K730" s="8"/>
      <c r="L730" s="8"/>
    </row>
    <row r="731" ht="13.5" customHeight="1">
      <c r="A731" s="7" t="s">
        <v>355</v>
      </c>
      <c r="B731" s="7">
        <v>1.75</v>
      </c>
      <c r="C731" s="7" t="s">
        <v>362</v>
      </c>
      <c r="D731" s="7" t="s">
        <v>357</v>
      </c>
      <c r="E731" s="7">
        <v>-2.7838</v>
      </c>
      <c r="F731" s="7">
        <v>0.1511</v>
      </c>
      <c r="G731" s="7">
        <v>0.3364</v>
      </c>
      <c r="H731" s="7">
        <v>-6.635E-5</v>
      </c>
      <c r="I731" s="7">
        <v>-0.09402</v>
      </c>
      <c r="J731" s="7">
        <v>-0.00458</v>
      </c>
      <c r="K731" s="8"/>
      <c r="L731" s="8"/>
    </row>
    <row r="732" ht="13.5" customHeight="1">
      <c r="A732" s="7" t="s">
        <v>355</v>
      </c>
      <c r="B732" s="7">
        <v>3.5</v>
      </c>
      <c r="C732" s="7" t="s">
        <v>362</v>
      </c>
      <c r="D732" s="7" t="s">
        <v>357</v>
      </c>
      <c r="E732" s="7">
        <v>-2.5913</v>
      </c>
      <c r="F732" s="7">
        <v>0.1511</v>
      </c>
      <c r="G732" s="7">
        <v>0.1001</v>
      </c>
      <c r="H732" s="7">
        <v>-6.635E-5</v>
      </c>
      <c r="I732" s="7">
        <v>-0.47595</v>
      </c>
      <c r="J732" s="7">
        <v>-0.26906</v>
      </c>
      <c r="K732" s="8"/>
      <c r="L732" s="8"/>
    </row>
    <row r="733" ht="13.5" customHeight="1">
      <c r="A733" s="7" t="s">
        <v>355</v>
      </c>
      <c r="B733" s="7">
        <v>0.0</v>
      </c>
      <c r="C733" s="7" t="s">
        <v>363</v>
      </c>
      <c r="D733" s="7" t="s">
        <v>357</v>
      </c>
      <c r="E733" s="7">
        <v>-2.8627</v>
      </c>
      <c r="F733" s="7">
        <v>-0.3169</v>
      </c>
      <c r="G733" s="7">
        <v>0.2144</v>
      </c>
      <c r="H733" s="7">
        <v>-1.1E-4</v>
      </c>
      <c r="I733" s="7">
        <v>0.37832</v>
      </c>
      <c r="J733" s="7">
        <v>-0.15355</v>
      </c>
      <c r="K733" s="8"/>
      <c r="L733" s="8"/>
    </row>
    <row r="734" ht="13.5" customHeight="1">
      <c r="A734" s="7" t="s">
        <v>355</v>
      </c>
      <c r="B734" s="7">
        <v>1.75</v>
      </c>
      <c r="C734" s="7" t="s">
        <v>363</v>
      </c>
      <c r="D734" s="7" t="s">
        <v>357</v>
      </c>
      <c r="E734" s="7">
        <v>-2.6702</v>
      </c>
      <c r="F734" s="7">
        <v>-0.0019</v>
      </c>
      <c r="G734" s="7">
        <v>0.2144</v>
      </c>
      <c r="H734" s="7">
        <v>-1.1E-4</v>
      </c>
      <c r="I734" s="7">
        <v>0.00317</v>
      </c>
      <c r="J734" s="7">
        <v>0.1254</v>
      </c>
      <c r="K734" s="8"/>
      <c r="L734" s="8"/>
    </row>
    <row r="735" ht="13.5" customHeight="1">
      <c r="A735" s="7" t="s">
        <v>355</v>
      </c>
      <c r="B735" s="7">
        <v>3.5</v>
      </c>
      <c r="C735" s="7" t="s">
        <v>363</v>
      </c>
      <c r="D735" s="7" t="s">
        <v>357</v>
      </c>
      <c r="E735" s="7">
        <v>-2.4777</v>
      </c>
      <c r="F735" s="7">
        <v>0.3131</v>
      </c>
      <c r="G735" s="7">
        <v>0.2144</v>
      </c>
      <c r="H735" s="7">
        <v>-1.1E-4</v>
      </c>
      <c r="I735" s="7">
        <v>-0.37198</v>
      </c>
      <c r="J735" s="7">
        <v>-0.1469</v>
      </c>
      <c r="K735" s="8"/>
      <c r="L735" s="8"/>
    </row>
    <row r="736" ht="13.5" customHeight="1">
      <c r="A736" s="7" t="s">
        <v>355</v>
      </c>
      <c r="B736" s="7">
        <v>0.0</v>
      </c>
      <c r="C736" s="7" t="s">
        <v>356</v>
      </c>
      <c r="D736" s="7" t="s">
        <v>357</v>
      </c>
      <c r="E736" s="7">
        <v>-2.9982</v>
      </c>
      <c r="F736" s="7">
        <v>0.5349</v>
      </c>
      <c r="G736" s="7">
        <v>0.2183</v>
      </c>
      <c r="H736" s="7">
        <v>-3.978E-5</v>
      </c>
      <c r="I736" s="7">
        <v>0.3871</v>
      </c>
      <c r="J736" s="7">
        <v>0.61695</v>
      </c>
      <c r="K736" s="8"/>
      <c r="L736" s="8"/>
    </row>
    <row r="737" ht="13.5" customHeight="1">
      <c r="A737" s="7" t="s">
        <v>355</v>
      </c>
      <c r="B737" s="7">
        <v>1.75</v>
      </c>
      <c r="C737" s="7" t="s">
        <v>356</v>
      </c>
      <c r="D737" s="7" t="s">
        <v>357</v>
      </c>
      <c r="E737" s="7">
        <v>-2.8057</v>
      </c>
      <c r="F737" s="7">
        <v>0.2987</v>
      </c>
      <c r="G737" s="7">
        <v>0.2183</v>
      </c>
      <c r="H737" s="7">
        <v>-3.978E-5</v>
      </c>
      <c r="I737" s="7">
        <v>0.0051</v>
      </c>
      <c r="J737" s="7">
        <v>-0.11241</v>
      </c>
      <c r="K737" s="8"/>
      <c r="L737" s="8"/>
    </row>
    <row r="738" ht="13.5" customHeight="1">
      <c r="A738" s="7" t="s">
        <v>355</v>
      </c>
      <c r="B738" s="7">
        <v>3.5</v>
      </c>
      <c r="C738" s="7" t="s">
        <v>356</v>
      </c>
      <c r="D738" s="7" t="s">
        <v>357</v>
      </c>
      <c r="E738" s="7">
        <v>-2.6132</v>
      </c>
      <c r="F738" s="7">
        <v>0.0624</v>
      </c>
      <c r="G738" s="7">
        <v>0.2183</v>
      </c>
      <c r="H738" s="7">
        <v>-3.978E-5</v>
      </c>
      <c r="I738" s="7">
        <v>-0.3769</v>
      </c>
      <c r="J738" s="7">
        <v>-0.42834</v>
      </c>
      <c r="K738" s="8"/>
      <c r="L738" s="8"/>
    </row>
    <row r="739" ht="13.5" customHeight="1">
      <c r="A739" s="7" t="s">
        <v>355</v>
      </c>
      <c r="B739" s="7">
        <v>0.0</v>
      </c>
      <c r="C739" s="7" t="s">
        <v>358</v>
      </c>
      <c r="D739" s="7" t="s">
        <v>357</v>
      </c>
      <c r="E739" s="7">
        <v>-2.9937</v>
      </c>
      <c r="F739" s="7">
        <v>0.1555</v>
      </c>
      <c r="G739" s="7">
        <v>0.224</v>
      </c>
      <c r="H739" s="7">
        <v>-5.8E-5</v>
      </c>
      <c r="I739" s="7">
        <v>0.39565</v>
      </c>
      <c r="J739" s="7">
        <v>0.26636</v>
      </c>
      <c r="K739" s="8"/>
      <c r="L739" s="8"/>
    </row>
    <row r="740" ht="13.5" customHeight="1">
      <c r="A740" s="7" t="s">
        <v>355</v>
      </c>
      <c r="B740" s="7">
        <v>1.75</v>
      </c>
      <c r="C740" s="7" t="s">
        <v>358</v>
      </c>
      <c r="D740" s="7" t="s">
        <v>357</v>
      </c>
      <c r="E740" s="7">
        <v>-2.8012</v>
      </c>
      <c r="F740" s="7">
        <v>0.1555</v>
      </c>
      <c r="G740" s="7">
        <v>0.224</v>
      </c>
      <c r="H740" s="7">
        <v>-5.8E-5</v>
      </c>
      <c r="I740" s="7">
        <v>0.00367</v>
      </c>
      <c r="J740" s="7">
        <v>-0.00569</v>
      </c>
      <c r="K740" s="8"/>
      <c r="L740" s="8"/>
    </row>
    <row r="741" ht="13.5" customHeight="1">
      <c r="A741" s="7" t="s">
        <v>355</v>
      </c>
      <c r="B741" s="7">
        <v>3.5</v>
      </c>
      <c r="C741" s="7" t="s">
        <v>358</v>
      </c>
      <c r="D741" s="7" t="s">
        <v>357</v>
      </c>
      <c r="E741" s="7">
        <v>-2.6087</v>
      </c>
      <c r="F741" s="7">
        <v>0.1555</v>
      </c>
      <c r="G741" s="7">
        <v>0.224</v>
      </c>
      <c r="H741" s="7">
        <v>-5.8E-5</v>
      </c>
      <c r="I741" s="7">
        <v>-0.3883</v>
      </c>
      <c r="J741" s="7">
        <v>-0.27774</v>
      </c>
      <c r="K741" s="8"/>
      <c r="L741" s="8"/>
    </row>
    <row r="742" ht="13.5" customHeight="1">
      <c r="A742" s="7" t="s">
        <v>355</v>
      </c>
      <c r="B742" s="7">
        <v>0.0</v>
      </c>
      <c r="C742" s="7" t="s">
        <v>359</v>
      </c>
      <c r="D742" s="7" t="s">
        <v>357</v>
      </c>
      <c r="E742" s="7">
        <v>-2.3747</v>
      </c>
      <c r="F742" s="7">
        <v>0.5296</v>
      </c>
      <c r="G742" s="7">
        <v>0.1493</v>
      </c>
      <c r="H742" s="7">
        <v>-2.071E-5</v>
      </c>
      <c r="I742" s="7">
        <v>0.27064</v>
      </c>
      <c r="J742" s="7">
        <v>0.57781</v>
      </c>
      <c r="K742" s="8"/>
      <c r="L742" s="8"/>
    </row>
    <row r="743" ht="13.5" customHeight="1">
      <c r="A743" s="7" t="s">
        <v>355</v>
      </c>
      <c r="B743" s="7">
        <v>1.75</v>
      </c>
      <c r="C743" s="7" t="s">
        <v>359</v>
      </c>
      <c r="D743" s="7" t="s">
        <v>357</v>
      </c>
      <c r="E743" s="7">
        <v>-2.1822</v>
      </c>
      <c r="F743" s="7">
        <v>0.2671</v>
      </c>
      <c r="G743" s="7">
        <v>0.1493</v>
      </c>
      <c r="H743" s="7">
        <v>-2.071E-5</v>
      </c>
      <c r="I743" s="7">
        <v>0.00941</v>
      </c>
      <c r="J743" s="7">
        <v>-0.11932</v>
      </c>
      <c r="K743" s="8"/>
      <c r="L743" s="8"/>
    </row>
    <row r="744" ht="13.5" customHeight="1">
      <c r="A744" s="7" t="s">
        <v>355</v>
      </c>
      <c r="B744" s="7">
        <v>3.5</v>
      </c>
      <c r="C744" s="7" t="s">
        <v>359</v>
      </c>
      <c r="D744" s="7" t="s">
        <v>357</v>
      </c>
      <c r="E744" s="7">
        <v>-1.9897</v>
      </c>
      <c r="F744" s="7">
        <v>0.0046</v>
      </c>
      <c r="G744" s="7">
        <v>0.1493</v>
      </c>
      <c r="H744" s="7">
        <v>-2.071E-5</v>
      </c>
      <c r="I744" s="7">
        <v>-0.25181</v>
      </c>
      <c r="J744" s="7">
        <v>-0.35707</v>
      </c>
      <c r="K744" s="8"/>
      <c r="L744" s="8"/>
    </row>
    <row r="745" ht="13.5" customHeight="1">
      <c r="A745" s="7" t="s">
        <v>355</v>
      </c>
      <c r="B745" s="7">
        <v>0.0</v>
      </c>
      <c r="C745" s="7" t="s">
        <v>360</v>
      </c>
      <c r="D745" s="7" t="s">
        <v>357</v>
      </c>
      <c r="E745" s="7">
        <v>-2.2242</v>
      </c>
      <c r="F745" s="7">
        <v>-0.4168</v>
      </c>
      <c r="G745" s="7">
        <v>0.1449</v>
      </c>
      <c r="H745" s="7">
        <v>-1.0E-4</v>
      </c>
      <c r="I745" s="7">
        <v>0.26088</v>
      </c>
      <c r="J745" s="7">
        <v>-0.2783</v>
      </c>
      <c r="K745" s="8"/>
      <c r="L745" s="8"/>
    </row>
    <row r="746" ht="13.5" customHeight="1">
      <c r="A746" s="7" t="s">
        <v>355</v>
      </c>
      <c r="B746" s="7">
        <v>1.75</v>
      </c>
      <c r="C746" s="7" t="s">
        <v>360</v>
      </c>
      <c r="D746" s="7" t="s">
        <v>357</v>
      </c>
      <c r="E746" s="7">
        <v>-2.0317</v>
      </c>
      <c r="F746" s="7">
        <v>-0.0668</v>
      </c>
      <c r="G746" s="7">
        <v>0.1449</v>
      </c>
      <c r="H746" s="7">
        <v>-1.0E-4</v>
      </c>
      <c r="I746" s="7">
        <v>0.00726</v>
      </c>
      <c r="J746" s="7">
        <v>0.14492</v>
      </c>
      <c r="K746" s="8"/>
      <c r="L746" s="8"/>
    </row>
    <row r="747" ht="13.5" customHeight="1">
      <c r="A747" s="7" t="s">
        <v>355</v>
      </c>
      <c r="B747" s="7">
        <v>3.5</v>
      </c>
      <c r="C747" s="7" t="s">
        <v>360</v>
      </c>
      <c r="D747" s="7" t="s">
        <v>357</v>
      </c>
      <c r="E747" s="7">
        <v>-1.8392</v>
      </c>
      <c r="F747" s="7">
        <v>0.2832</v>
      </c>
      <c r="G747" s="7">
        <v>0.1449</v>
      </c>
      <c r="H747" s="7">
        <v>-1.0E-4</v>
      </c>
      <c r="I747" s="7">
        <v>-0.24635</v>
      </c>
      <c r="J747" s="7">
        <v>-0.04436</v>
      </c>
      <c r="K747" s="8"/>
      <c r="L747" s="8"/>
    </row>
    <row r="748" ht="13.5" customHeight="1">
      <c r="A748" s="7" t="s">
        <v>355</v>
      </c>
      <c r="B748" s="7">
        <v>0.0</v>
      </c>
      <c r="C748" s="7" t="s">
        <v>361</v>
      </c>
      <c r="D748" s="7" t="s">
        <v>357</v>
      </c>
      <c r="E748" s="7">
        <v>-2.3504</v>
      </c>
      <c r="F748" s="7">
        <v>0.1032</v>
      </c>
      <c r="G748" s="7">
        <v>0.543</v>
      </c>
      <c r="H748" s="7">
        <v>-5.023E-5</v>
      </c>
      <c r="I748" s="7">
        <v>0.6198</v>
      </c>
      <c r="J748" s="7">
        <v>0.1811</v>
      </c>
      <c r="K748" s="8"/>
      <c r="L748" s="8"/>
    </row>
    <row r="749" ht="13.5" customHeight="1">
      <c r="A749" s="7" t="s">
        <v>355</v>
      </c>
      <c r="B749" s="7">
        <v>1.75</v>
      </c>
      <c r="C749" s="7" t="s">
        <v>361</v>
      </c>
      <c r="D749" s="7" t="s">
        <v>357</v>
      </c>
      <c r="E749" s="7">
        <v>-2.1579</v>
      </c>
      <c r="F749" s="7">
        <v>0.1032</v>
      </c>
      <c r="G749" s="7">
        <v>0.2805</v>
      </c>
      <c r="H749" s="7">
        <v>-5.023E-5</v>
      </c>
      <c r="I749" s="7">
        <v>-0.10072</v>
      </c>
      <c r="J749" s="7">
        <v>5.0E-4</v>
      </c>
      <c r="K749" s="8"/>
      <c r="L749" s="8"/>
    </row>
    <row r="750" ht="13.5" customHeight="1">
      <c r="A750" s="7" t="s">
        <v>355</v>
      </c>
      <c r="B750" s="7">
        <v>3.5</v>
      </c>
      <c r="C750" s="7" t="s">
        <v>361</v>
      </c>
      <c r="D750" s="7" t="s">
        <v>357</v>
      </c>
      <c r="E750" s="7">
        <v>-1.9654</v>
      </c>
      <c r="F750" s="7">
        <v>0.1032</v>
      </c>
      <c r="G750" s="7">
        <v>0.018</v>
      </c>
      <c r="H750" s="7">
        <v>-5.023E-5</v>
      </c>
      <c r="I750" s="7">
        <v>-0.36187</v>
      </c>
      <c r="J750" s="7">
        <v>-0.1801</v>
      </c>
      <c r="K750" s="8"/>
      <c r="L750" s="8"/>
    </row>
    <row r="751" ht="13.5" customHeight="1">
      <c r="A751" s="7" t="s">
        <v>355</v>
      </c>
      <c r="B751" s="7">
        <v>0.0</v>
      </c>
      <c r="C751" s="7" t="s">
        <v>362</v>
      </c>
      <c r="D751" s="7" t="s">
        <v>357</v>
      </c>
      <c r="E751" s="7">
        <v>-2.9763</v>
      </c>
      <c r="F751" s="7">
        <v>0.1511</v>
      </c>
      <c r="G751" s="7">
        <v>0.5726</v>
      </c>
      <c r="H751" s="7">
        <v>-6.635E-5</v>
      </c>
      <c r="I751" s="7">
        <v>0.70135</v>
      </c>
      <c r="J751" s="7">
        <v>0.2599</v>
      </c>
      <c r="K751" s="8"/>
      <c r="L751" s="8"/>
    </row>
    <row r="752" ht="13.5" customHeight="1">
      <c r="A752" s="7" t="s">
        <v>355</v>
      </c>
      <c r="B752" s="7">
        <v>1.75</v>
      </c>
      <c r="C752" s="7" t="s">
        <v>362</v>
      </c>
      <c r="D752" s="7" t="s">
        <v>357</v>
      </c>
      <c r="E752" s="7">
        <v>-2.7838</v>
      </c>
      <c r="F752" s="7">
        <v>0.1511</v>
      </c>
      <c r="G752" s="7">
        <v>0.3364</v>
      </c>
      <c r="H752" s="7">
        <v>-6.635E-5</v>
      </c>
      <c r="I752" s="7">
        <v>-0.09402</v>
      </c>
      <c r="J752" s="7">
        <v>-0.00458</v>
      </c>
      <c r="K752" s="8"/>
      <c r="L752" s="8"/>
    </row>
    <row r="753" ht="13.5" customHeight="1">
      <c r="A753" s="7" t="s">
        <v>355</v>
      </c>
      <c r="B753" s="7">
        <v>3.5</v>
      </c>
      <c r="C753" s="7" t="s">
        <v>362</v>
      </c>
      <c r="D753" s="7" t="s">
        <v>357</v>
      </c>
      <c r="E753" s="7">
        <v>-2.5913</v>
      </c>
      <c r="F753" s="7">
        <v>0.1511</v>
      </c>
      <c r="G753" s="7">
        <v>0.1001</v>
      </c>
      <c r="H753" s="7">
        <v>-6.635E-5</v>
      </c>
      <c r="I753" s="7">
        <v>-0.47595</v>
      </c>
      <c r="J753" s="7">
        <v>-0.26906</v>
      </c>
      <c r="K753" s="8"/>
      <c r="L753" s="8"/>
    </row>
    <row r="754" ht="13.5" customHeight="1">
      <c r="A754" s="7" t="s">
        <v>355</v>
      </c>
      <c r="B754" s="7">
        <v>0.0</v>
      </c>
      <c r="C754" s="7" t="s">
        <v>363</v>
      </c>
      <c r="D754" s="7" t="s">
        <v>357</v>
      </c>
      <c r="E754" s="7">
        <v>-2.8627</v>
      </c>
      <c r="F754" s="7">
        <v>-0.3169</v>
      </c>
      <c r="G754" s="7">
        <v>0.2144</v>
      </c>
      <c r="H754" s="7">
        <v>-1.1E-4</v>
      </c>
      <c r="I754" s="7">
        <v>0.37832</v>
      </c>
      <c r="J754" s="7">
        <v>-0.15355</v>
      </c>
      <c r="K754" s="8"/>
      <c r="L754" s="8"/>
    </row>
    <row r="755" ht="13.5" customHeight="1">
      <c r="A755" s="7" t="s">
        <v>355</v>
      </c>
      <c r="B755" s="7">
        <v>1.75</v>
      </c>
      <c r="C755" s="7" t="s">
        <v>363</v>
      </c>
      <c r="D755" s="7" t="s">
        <v>357</v>
      </c>
      <c r="E755" s="7">
        <v>-2.6702</v>
      </c>
      <c r="F755" s="7">
        <v>-0.0019</v>
      </c>
      <c r="G755" s="7">
        <v>0.2144</v>
      </c>
      <c r="H755" s="7">
        <v>-1.1E-4</v>
      </c>
      <c r="I755" s="7">
        <v>0.00317</v>
      </c>
      <c r="J755" s="7">
        <v>0.1254</v>
      </c>
      <c r="K755" s="8"/>
      <c r="L755" s="8"/>
    </row>
    <row r="756" ht="13.5" customHeight="1">
      <c r="A756" s="7" t="s">
        <v>355</v>
      </c>
      <c r="B756" s="7">
        <v>3.5</v>
      </c>
      <c r="C756" s="7" t="s">
        <v>363</v>
      </c>
      <c r="D756" s="7" t="s">
        <v>357</v>
      </c>
      <c r="E756" s="7">
        <v>-2.4777</v>
      </c>
      <c r="F756" s="7">
        <v>0.3131</v>
      </c>
      <c r="G756" s="7">
        <v>0.2144</v>
      </c>
      <c r="H756" s="7">
        <v>-1.1E-4</v>
      </c>
      <c r="I756" s="7">
        <v>-0.37198</v>
      </c>
      <c r="J756" s="7">
        <v>-0.1469</v>
      </c>
      <c r="K756" s="8"/>
      <c r="L756" s="8"/>
    </row>
    <row r="757" ht="13.5" customHeight="1">
      <c r="A757" s="7" t="s">
        <v>355</v>
      </c>
      <c r="B757" s="7">
        <v>0.0</v>
      </c>
      <c r="C757" s="7" t="s">
        <v>356</v>
      </c>
      <c r="D757" s="7" t="s">
        <v>357</v>
      </c>
      <c r="E757" s="7">
        <v>-2.9982</v>
      </c>
      <c r="F757" s="7">
        <v>0.5349</v>
      </c>
      <c r="G757" s="7">
        <v>0.2183</v>
      </c>
      <c r="H757" s="7">
        <v>-3.978E-5</v>
      </c>
      <c r="I757" s="7">
        <v>0.3871</v>
      </c>
      <c r="J757" s="7">
        <v>0.61695</v>
      </c>
      <c r="K757" s="8"/>
      <c r="L757" s="8"/>
    </row>
    <row r="758" ht="13.5" customHeight="1">
      <c r="A758" s="7" t="s">
        <v>355</v>
      </c>
      <c r="B758" s="7">
        <v>1.75</v>
      </c>
      <c r="C758" s="7" t="s">
        <v>356</v>
      </c>
      <c r="D758" s="7" t="s">
        <v>357</v>
      </c>
      <c r="E758" s="7">
        <v>-2.8057</v>
      </c>
      <c r="F758" s="7">
        <v>0.2987</v>
      </c>
      <c r="G758" s="7">
        <v>0.2183</v>
      </c>
      <c r="H758" s="7">
        <v>-3.978E-5</v>
      </c>
      <c r="I758" s="7">
        <v>0.0051</v>
      </c>
      <c r="J758" s="7">
        <v>-0.11241</v>
      </c>
      <c r="K758" s="8"/>
      <c r="L758" s="8"/>
    </row>
    <row r="759" ht="13.5" customHeight="1">
      <c r="A759" s="7" t="s">
        <v>355</v>
      </c>
      <c r="B759" s="7">
        <v>3.5</v>
      </c>
      <c r="C759" s="7" t="s">
        <v>356</v>
      </c>
      <c r="D759" s="7" t="s">
        <v>357</v>
      </c>
      <c r="E759" s="7">
        <v>-2.6132</v>
      </c>
      <c r="F759" s="7">
        <v>0.0624</v>
      </c>
      <c r="G759" s="7">
        <v>0.2183</v>
      </c>
      <c r="H759" s="7">
        <v>-3.978E-5</v>
      </c>
      <c r="I759" s="7">
        <v>-0.3769</v>
      </c>
      <c r="J759" s="7">
        <v>-0.42834</v>
      </c>
      <c r="K759" s="8"/>
      <c r="L759" s="8"/>
    </row>
    <row r="760" ht="13.5" customHeight="1">
      <c r="A760" s="7" t="s">
        <v>355</v>
      </c>
      <c r="B760" s="7">
        <v>0.0</v>
      </c>
      <c r="C760" s="7" t="s">
        <v>358</v>
      </c>
      <c r="D760" s="7" t="s">
        <v>357</v>
      </c>
      <c r="E760" s="7">
        <v>-2.9937</v>
      </c>
      <c r="F760" s="7">
        <v>0.1555</v>
      </c>
      <c r="G760" s="7">
        <v>0.224</v>
      </c>
      <c r="H760" s="7">
        <v>-5.8E-5</v>
      </c>
      <c r="I760" s="7">
        <v>0.39565</v>
      </c>
      <c r="J760" s="7">
        <v>0.26636</v>
      </c>
      <c r="K760" s="8"/>
      <c r="L760" s="8"/>
    </row>
    <row r="761" ht="13.5" customHeight="1">
      <c r="A761" s="7" t="s">
        <v>355</v>
      </c>
      <c r="B761" s="7">
        <v>1.75</v>
      </c>
      <c r="C761" s="7" t="s">
        <v>358</v>
      </c>
      <c r="D761" s="7" t="s">
        <v>357</v>
      </c>
      <c r="E761" s="7">
        <v>-2.8012</v>
      </c>
      <c r="F761" s="7">
        <v>0.1555</v>
      </c>
      <c r="G761" s="7">
        <v>0.224</v>
      </c>
      <c r="H761" s="7">
        <v>-5.8E-5</v>
      </c>
      <c r="I761" s="7">
        <v>0.00367</v>
      </c>
      <c r="J761" s="7">
        <v>-0.00569</v>
      </c>
      <c r="K761" s="8"/>
      <c r="L761" s="8"/>
    </row>
    <row r="762" ht="13.5" customHeight="1">
      <c r="A762" s="7" t="s">
        <v>355</v>
      </c>
      <c r="B762" s="7">
        <v>3.5</v>
      </c>
      <c r="C762" s="7" t="s">
        <v>358</v>
      </c>
      <c r="D762" s="7" t="s">
        <v>357</v>
      </c>
      <c r="E762" s="7">
        <v>-2.6087</v>
      </c>
      <c r="F762" s="7">
        <v>0.1555</v>
      </c>
      <c r="G762" s="7">
        <v>0.224</v>
      </c>
      <c r="H762" s="7">
        <v>-5.8E-5</v>
      </c>
      <c r="I762" s="7">
        <v>-0.3883</v>
      </c>
      <c r="J762" s="7">
        <v>-0.27774</v>
      </c>
      <c r="K762" s="8"/>
      <c r="L762" s="8"/>
    </row>
    <row r="763" ht="13.5" customHeight="1">
      <c r="A763" s="7" t="s">
        <v>355</v>
      </c>
      <c r="B763" s="7">
        <v>0.0</v>
      </c>
      <c r="C763" s="7" t="s">
        <v>359</v>
      </c>
      <c r="D763" s="7" t="s">
        <v>357</v>
      </c>
      <c r="E763" s="7">
        <v>-2.3747</v>
      </c>
      <c r="F763" s="7">
        <v>0.5296</v>
      </c>
      <c r="G763" s="7">
        <v>0.1493</v>
      </c>
      <c r="H763" s="7">
        <v>-2.071E-5</v>
      </c>
      <c r="I763" s="7">
        <v>0.27064</v>
      </c>
      <c r="J763" s="7">
        <v>0.57781</v>
      </c>
      <c r="K763" s="8"/>
      <c r="L763" s="8"/>
    </row>
    <row r="764" ht="13.5" customHeight="1">
      <c r="A764" s="7" t="s">
        <v>355</v>
      </c>
      <c r="B764" s="7">
        <v>1.75</v>
      </c>
      <c r="C764" s="7" t="s">
        <v>359</v>
      </c>
      <c r="D764" s="7" t="s">
        <v>357</v>
      </c>
      <c r="E764" s="7">
        <v>-2.1822</v>
      </c>
      <c r="F764" s="7">
        <v>0.2671</v>
      </c>
      <c r="G764" s="7">
        <v>0.1493</v>
      </c>
      <c r="H764" s="7">
        <v>-2.071E-5</v>
      </c>
      <c r="I764" s="7">
        <v>0.00941</v>
      </c>
      <c r="J764" s="7">
        <v>-0.11932</v>
      </c>
      <c r="K764" s="8"/>
      <c r="L764" s="8"/>
    </row>
    <row r="765" ht="13.5" customHeight="1">
      <c r="A765" s="7" t="s">
        <v>355</v>
      </c>
      <c r="B765" s="7">
        <v>3.5</v>
      </c>
      <c r="C765" s="7" t="s">
        <v>359</v>
      </c>
      <c r="D765" s="7" t="s">
        <v>357</v>
      </c>
      <c r="E765" s="7">
        <v>-1.9897</v>
      </c>
      <c r="F765" s="7">
        <v>0.0046</v>
      </c>
      <c r="G765" s="7">
        <v>0.1493</v>
      </c>
      <c r="H765" s="7">
        <v>-2.071E-5</v>
      </c>
      <c r="I765" s="7">
        <v>-0.25181</v>
      </c>
      <c r="J765" s="7">
        <v>-0.35707</v>
      </c>
      <c r="K765" s="8"/>
      <c r="L765" s="8"/>
    </row>
    <row r="766" ht="13.5" customHeight="1">
      <c r="A766" s="7" t="s">
        <v>355</v>
      </c>
      <c r="B766" s="7">
        <v>0.0</v>
      </c>
      <c r="C766" s="7" t="s">
        <v>360</v>
      </c>
      <c r="D766" s="7" t="s">
        <v>357</v>
      </c>
      <c r="E766" s="7">
        <v>-2.2242</v>
      </c>
      <c r="F766" s="7">
        <v>-0.4168</v>
      </c>
      <c r="G766" s="7">
        <v>0.1449</v>
      </c>
      <c r="H766" s="7">
        <v>-1.0E-4</v>
      </c>
      <c r="I766" s="7">
        <v>0.26088</v>
      </c>
      <c r="J766" s="7">
        <v>-0.2783</v>
      </c>
      <c r="K766" s="8"/>
      <c r="L766" s="8"/>
    </row>
    <row r="767" ht="13.5" customHeight="1">
      <c r="A767" s="7" t="s">
        <v>355</v>
      </c>
      <c r="B767" s="7">
        <v>1.75</v>
      </c>
      <c r="C767" s="7" t="s">
        <v>360</v>
      </c>
      <c r="D767" s="7" t="s">
        <v>357</v>
      </c>
      <c r="E767" s="7">
        <v>-2.0317</v>
      </c>
      <c r="F767" s="7">
        <v>-0.0668</v>
      </c>
      <c r="G767" s="7">
        <v>0.1449</v>
      </c>
      <c r="H767" s="7">
        <v>-1.0E-4</v>
      </c>
      <c r="I767" s="7">
        <v>0.00726</v>
      </c>
      <c r="J767" s="7">
        <v>0.14492</v>
      </c>
      <c r="K767" s="8"/>
      <c r="L767" s="8"/>
    </row>
    <row r="768" ht="13.5" customHeight="1">
      <c r="A768" s="7" t="s">
        <v>355</v>
      </c>
      <c r="B768" s="7">
        <v>3.5</v>
      </c>
      <c r="C768" s="7" t="s">
        <v>360</v>
      </c>
      <c r="D768" s="7" t="s">
        <v>357</v>
      </c>
      <c r="E768" s="7">
        <v>-1.8392</v>
      </c>
      <c r="F768" s="7">
        <v>0.2832</v>
      </c>
      <c r="G768" s="7">
        <v>0.1449</v>
      </c>
      <c r="H768" s="7">
        <v>-1.0E-4</v>
      </c>
      <c r="I768" s="7">
        <v>-0.24635</v>
      </c>
      <c r="J768" s="7">
        <v>-0.04436</v>
      </c>
      <c r="K768" s="8"/>
      <c r="L768" s="8"/>
    </row>
    <row r="769" ht="13.5" customHeight="1">
      <c r="A769" s="7" t="s">
        <v>355</v>
      </c>
      <c r="B769" s="7">
        <v>0.0</v>
      </c>
      <c r="C769" s="7" t="s">
        <v>361</v>
      </c>
      <c r="D769" s="7" t="s">
        <v>357</v>
      </c>
      <c r="E769" s="7">
        <v>-2.3504</v>
      </c>
      <c r="F769" s="7">
        <v>0.1032</v>
      </c>
      <c r="G769" s="7">
        <v>0.543</v>
      </c>
      <c r="H769" s="7">
        <v>-5.023E-5</v>
      </c>
      <c r="I769" s="7">
        <v>0.6198</v>
      </c>
      <c r="J769" s="7">
        <v>0.1811</v>
      </c>
      <c r="K769" s="8"/>
      <c r="L769" s="8"/>
    </row>
    <row r="770" ht="13.5" customHeight="1">
      <c r="A770" s="7" t="s">
        <v>355</v>
      </c>
      <c r="B770" s="7">
        <v>1.75</v>
      </c>
      <c r="C770" s="7" t="s">
        <v>361</v>
      </c>
      <c r="D770" s="7" t="s">
        <v>357</v>
      </c>
      <c r="E770" s="7">
        <v>-2.1579</v>
      </c>
      <c r="F770" s="7">
        <v>0.1032</v>
      </c>
      <c r="G770" s="7">
        <v>0.2805</v>
      </c>
      <c r="H770" s="7">
        <v>-5.023E-5</v>
      </c>
      <c r="I770" s="7">
        <v>-0.10072</v>
      </c>
      <c r="J770" s="7">
        <v>5.0E-4</v>
      </c>
      <c r="K770" s="8"/>
      <c r="L770" s="8"/>
    </row>
    <row r="771" ht="13.5" customHeight="1">
      <c r="A771" s="7" t="s">
        <v>355</v>
      </c>
      <c r="B771" s="7">
        <v>3.5</v>
      </c>
      <c r="C771" s="7" t="s">
        <v>361</v>
      </c>
      <c r="D771" s="7" t="s">
        <v>357</v>
      </c>
      <c r="E771" s="7">
        <v>-1.9654</v>
      </c>
      <c r="F771" s="7">
        <v>0.1032</v>
      </c>
      <c r="G771" s="7">
        <v>0.018</v>
      </c>
      <c r="H771" s="7">
        <v>-5.023E-5</v>
      </c>
      <c r="I771" s="7">
        <v>-0.36187</v>
      </c>
      <c r="J771" s="7">
        <v>-0.1801</v>
      </c>
      <c r="K771" s="8"/>
      <c r="L771" s="8"/>
    </row>
    <row r="772" ht="13.5" customHeight="1">
      <c r="A772" s="7" t="s">
        <v>355</v>
      </c>
      <c r="B772" s="7">
        <v>0.0</v>
      </c>
      <c r="C772" s="7" t="s">
        <v>362</v>
      </c>
      <c r="D772" s="7" t="s">
        <v>357</v>
      </c>
      <c r="E772" s="7">
        <v>-2.9763</v>
      </c>
      <c r="F772" s="7">
        <v>0.1511</v>
      </c>
      <c r="G772" s="7">
        <v>0.5726</v>
      </c>
      <c r="H772" s="7">
        <v>-6.635E-5</v>
      </c>
      <c r="I772" s="7">
        <v>0.70135</v>
      </c>
      <c r="J772" s="7">
        <v>0.2599</v>
      </c>
      <c r="K772" s="8"/>
      <c r="L772" s="8"/>
    </row>
    <row r="773" ht="13.5" customHeight="1">
      <c r="A773" s="7" t="s">
        <v>355</v>
      </c>
      <c r="B773" s="7">
        <v>1.75</v>
      </c>
      <c r="C773" s="7" t="s">
        <v>362</v>
      </c>
      <c r="D773" s="7" t="s">
        <v>357</v>
      </c>
      <c r="E773" s="7">
        <v>-2.7838</v>
      </c>
      <c r="F773" s="7">
        <v>0.1511</v>
      </c>
      <c r="G773" s="7">
        <v>0.3364</v>
      </c>
      <c r="H773" s="7">
        <v>-6.635E-5</v>
      </c>
      <c r="I773" s="7">
        <v>-0.09402</v>
      </c>
      <c r="J773" s="7">
        <v>-0.00458</v>
      </c>
      <c r="K773" s="8"/>
      <c r="L773" s="8"/>
    </row>
    <row r="774" ht="13.5" customHeight="1">
      <c r="A774" s="7" t="s">
        <v>355</v>
      </c>
      <c r="B774" s="7">
        <v>3.5</v>
      </c>
      <c r="C774" s="7" t="s">
        <v>362</v>
      </c>
      <c r="D774" s="7" t="s">
        <v>357</v>
      </c>
      <c r="E774" s="7">
        <v>-2.5913</v>
      </c>
      <c r="F774" s="7">
        <v>0.1511</v>
      </c>
      <c r="G774" s="7">
        <v>0.1001</v>
      </c>
      <c r="H774" s="7">
        <v>-6.635E-5</v>
      </c>
      <c r="I774" s="7">
        <v>-0.47595</v>
      </c>
      <c r="J774" s="7">
        <v>-0.26906</v>
      </c>
      <c r="K774" s="8"/>
      <c r="L774" s="8"/>
    </row>
    <row r="775" ht="13.5" customHeight="1">
      <c r="A775" s="7" t="s">
        <v>355</v>
      </c>
      <c r="B775" s="7">
        <v>0.0</v>
      </c>
      <c r="C775" s="7" t="s">
        <v>363</v>
      </c>
      <c r="D775" s="7" t="s">
        <v>357</v>
      </c>
      <c r="E775" s="7">
        <v>-2.8627</v>
      </c>
      <c r="F775" s="7">
        <v>-0.3169</v>
      </c>
      <c r="G775" s="7">
        <v>0.2144</v>
      </c>
      <c r="H775" s="7">
        <v>-1.1E-4</v>
      </c>
      <c r="I775" s="7">
        <v>0.37832</v>
      </c>
      <c r="J775" s="7">
        <v>-0.15355</v>
      </c>
      <c r="K775" s="8"/>
      <c r="L775" s="8"/>
    </row>
    <row r="776" ht="13.5" customHeight="1">
      <c r="A776" s="7" t="s">
        <v>355</v>
      </c>
      <c r="B776" s="7">
        <v>1.75</v>
      </c>
      <c r="C776" s="7" t="s">
        <v>363</v>
      </c>
      <c r="D776" s="7" t="s">
        <v>357</v>
      </c>
      <c r="E776" s="7">
        <v>-2.6702</v>
      </c>
      <c r="F776" s="7">
        <v>-0.0019</v>
      </c>
      <c r="G776" s="7">
        <v>0.2144</v>
      </c>
      <c r="H776" s="7">
        <v>-1.1E-4</v>
      </c>
      <c r="I776" s="7">
        <v>0.00317</v>
      </c>
      <c r="J776" s="7">
        <v>0.1254</v>
      </c>
      <c r="K776" s="8"/>
      <c r="L776" s="8"/>
    </row>
    <row r="777" ht="13.5" customHeight="1">
      <c r="A777" s="7" t="s">
        <v>355</v>
      </c>
      <c r="B777" s="7">
        <v>3.5</v>
      </c>
      <c r="C777" s="7" t="s">
        <v>363</v>
      </c>
      <c r="D777" s="7" t="s">
        <v>357</v>
      </c>
      <c r="E777" s="7">
        <v>-2.4777</v>
      </c>
      <c r="F777" s="7">
        <v>0.3131</v>
      </c>
      <c r="G777" s="7">
        <v>0.2144</v>
      </c>
      <c r="H777" s="7">
        <v>-1.1E-4</v>
      </c>
      <c r="I777" s="7">
        <v>-0.37198</v>
      </c>
      <c r="J777" s="7">
        <v>-0.1469</v>
      </c>
      <c r="K777" s="8"/>
      <c r="L777" s="8"/>
    </row>
    <row r="778" ht="13.5" customHeight="1">
      <c r="A778" s="7" t="s">
        <v>355</v>
      </c>
      <c r="B778" s="7">
        <v>0.0</v>
      </c>
      <c r="C778" s="7" t="s">
        <v>356</v>
      </c>
      <c r="D778" s="7" t="s">
        <v>357</v>
      </c>
      <c r="E778" s="7">
        <v>-2.9982</v>
      </c>
      <c r="F778" s="7">
        <v>0.5349</v>
      </c>
      <c r="G778" s="7">
        <v>0.2183</v>
      </c>
      <c r="H778" s="7">
        <v>-3.978E-5</v>
      </c>
      <c r="I778" s="7">
        <v>0.3871</v>
      </c>
      <c r="J778" s="7">
        <v>0.61695</v>
      </c>
      <c r="K778" s="8"/>
      <c r="L778" s="8"/>
    </row>
    <row r="779" ht="13.5" customHeight="1">
      <c r="A779" s="7" t="s">
        <v>355</v>
      </c>
      <c r="B779" s="7">
        <v>1.75</v>
      </c>
      <c r="C779" s="7" t="s">
        <v>356</v>
      </c>
      <c r="D779" s="7" t="s">
        <v>357</v>
      </c>
      <c r="E779" s="7">
        <v>-2.8057</v>
      </c>
      <c r="F779" s="7">
        <v>0.2987</v>
      </c>
      <c r="G779" s="7">
        <v>0.2183</v>
      </c>
      <c r="H779" s="7">
        <v>-3.978E-5</v>
      </c>
      <c r="I779" s="7">
        <v>0.0051</v>
      </c>
      <c r="J779" s="7">
        <v>-0.11241</v>
      </c>
      <c r="K779" s="8"/>
      <c r="L779" s="8"/>
    </row>
    <row r="780" ht="13.5" customHeight="1">
      <c r="A780" s="7" t="s">
        <v>355</v>
      </c>
      <c r="B780" s="7">
        <v>3.5</v>
      </c>
      <c r="C780" s="7" t="s">
        <v>356</v>
      </c>
      <c r="D780" s="7" t="s">
        <v>357</v>
      </c>
      <c r="E780" s="7">
        <v>-2.6132</v>
      </c>
      <c r="F780" s="7">
        <v>0.0624</v>
      </c>
      <c r="G780" s="7">
        <v>0.2183</v>
      </c>
      <c r="H780" s="7">
        <v>-3.978E-5</v>
      </c>
      <c r="I780" s="7">
        <v>-0.3769</v>
      </c>
      <c r="J780" s="7">
        <v>-0.42834</v>
      </c>
      <c r="K780" s="8"/>
      <c r="L780" s="8"/>
    </row>
    <row r="781" ht="13.5" customHeight="1">
      <c r="A781" s="7" t="s">
        <v>355</v>
      </c>
      <c r="B781" s="7">
        <v>0.0</v>
      </c>
      <c r="C781" s="7" t="s">
        <v>358</v>
      </c>
      <c r="D781" s="7" t="s">
        <v>357</v>
      </c>
      <c r="E781" s="7">
        <v>-2.9937</v>
      </c>
      <c r="F781" s="7">
        <v>0.1555</v>
      </c>
      <c r="G781" s="7">
        <v>0.224</v>
      </c>
      <c r="H781" s="7">
        <v>-5.8E-5</v>
      </c>
      <c r="I781" s="7">
        <v>0.39565</v>
      </c>
      <c r="J781" s="7">
        <v>0.26636</v>
      </c>
      <c r="K781" s="8"/>
      <c r="L781" s="8"/>
    </row>
    <row r="782" ht="13.5" customHeight="1">
      <c r="A782" s="7" t="s">
        <v>355</v>
      </c>
      <c r="B782" s="7">
        <v>1.75</v>
      </c>
      <c r="C782" s="7" t="s">
        <v>358</v>
      </c>
      <c r="D782" s="7" t="s">
        <v>357</v>
      </c>
      <c r="E782" s="7">
        <v>-2.8012</v>
      </c>
      <c r="F782" s="7">
        <v>0.1555</v>
      </c>
      <c r="G782" s="7">
        <v>0.224</v>
      </c>
      <c r="H782" s="7">
        <v>-5.8E-5</v>
      </c>
      <c r="I782" s="7">
        <v>0.00367</v>
      </c>
      <c r="J782" s="7">
        <v>-0.00569</v>
      </c>
      <c r="K782" s="8"/>
      <c r="L782" s="8"/>
    </row>
    <row r="783" ht="13.5" customHeight="1">
      <c r="A783" s="7" t="s">
        <v>355</v>
      </c>
      <c r="B783" s="7">
        <v>3.5</v>
      </c>
      <c r="C783" s="7" t="s">
        <v>358</v>
      </c>
      <c r="D783" s="7" t="s">
        <v>357</v>
      </c>
      <c r="E783" s="7">
        <v>-2.6087</v>
      </c>
      <c r="F783" s="7">
        <v>0.1555</v>
      </c>
      <c r="G783" s="7">
        <v>0.224</v>
      </c>
      <c r="H783" s="7">
        <v>-5.8E-5</v>
      </c>
      <c r="I783" s="7">
        <v>-0.3883</v>
      </c>
      <c r="J783" s="7">
        <v>-0.27774</v>
      </c>
      <c r="K783" s="8"/>
      <c r="L783" s="8"/>
    </row>
    <row r="784" ht="13.5" customHeight="1">
      <c r="A784" s="7" t="s">
        <v>355</v>
      </c>
      <c r="B784" s="7">
        <v>0.0</v>
      </c>
      <c r="C784" s="7" t="s">
        <v>359</v>
      </c>
      <c r="D784" s="7" t="s">
        <v>357</v>
      </c>
      <c r="E784" s="7">
        <v>-2.3747</v>
      </c>
      <c r="F784" s="7">
        <v>0.5296</v>
      </c>
      <c r="G784" s="7">
        <v>0.1493</v>
      </c>
      <c r="H784" s="7">
        <v>-2.071E-5</v>
      </c>
      <c r="I784" s="7">
        <v>0.27064</v>
      </c>
      <c r="J784" s="7">
        <v>0.57781</v>
      </c>
      <c r="K784" s="8"/>
      <c r="L784" s="8"/>
    </row>
    <row r="785" ht="13.5" customHeight="1">
      <c r="A785" s="7" t="s">
        <v>355</v>
      </c>
      <c r="B785" s="7">
        <v>1.75</v>
      </c>
      <c r="C785" s="7" t="s">
        <v>359</v>
      </c>
      <c r="D785" s="7" t="s">
        <v>357</v>
      </c>
      <c r="E785" s="7">
        <v>-2.1822</v>
      </c>
      <c r="F785" s="7">
        <v>0.2671</v>
      </c>
      <c r="G785" s="7">
        <v>0.1493</v>
      </c>
      <c r="H785" s="7">
        <v>-2.071E-5</v>
      </c>
      <c r="I785" s="7">
        <v>0.00941</v>
      </c>
      <c r="J785" s="7">
        <v>-0.11932</v>
      </c>
      <c r="K785" s="8"/>
      <c r="L785" s="8"/>
    </row>
    <row r="786" ht="13.5" customHeight="1">
      <c r="A786" s="7" t="s">
        <v>355</v>
      </c>
      <c r="B786" s="7">
        <v>3.5</v>
      </c>
      <c r="C786" s="7" t="s">
        <v>359</v>
      </c>
      <c r="D786" s="7" t="s">
        <v>357</v>
      </c>
      <c r="E786" s="7">
        <v>-1.9897</v>
      </c>
      <c r="F786" s="7">
        <v>0.0046</v>
      </c>
      <c r="G786" s="7">
        <v>0.1493</v>
      </c>
      <c r="H786" s="7">
        <v>-2.071E-5</v>
      </c>
      <c r="I786" s="7">
        <v>-0.25181</v>
      </c>
      <c r="J786" s="7">
        <v>-0.35707</v>
      </c>
      <c r="K786" s="8"/>
      <c r="L786" s="8"/>
    </row>
    <row r="787" ht="13.5" customHeight="1">
      <c r="A787" s="7" t="s">
        <v>355</v>
      </c>
      <c r="B787" s="7">
        <v>0.0</v>
      </c>
      <c r="C787" s="7" t="s">
        <v>360</v>
      </c>
      <c r="D787" s="7" t="s">
        <v>357</v>
      </c>
      <c r="E787" s="7">
        <v>-2.2242</v>
      </c>
      <c r="F787" s="7">
        <v>-0.4168</v>
      </c>
      <c r="G787" s="7">
        <v>0.1449</v>
      </c>
      <c r="H787" s="7">
        <v>-1.0E-4</v>
      </c>
      <c r="I787" s="7">
        <v>0.26088</v>
      </c>
      <c r="J787" s="7">
        <v>-0.2783</v>
      </c>
      <c r="K787" s="8"/>
      <c r="L787" s="8"/>
    </row>
    <row r="788" ht="13.5" customHeight="1">
      <c r="A788" s="7" t="s">
        <v>355</v>
      </c>
      <c r="B788" s="7">
        <v>1.75</v>
      </c>
      <c r="C788" s="7" t="s">
        <v>360</v>
      </c>
      <c r="D788" s="7" t="s">
        <v>357</v>
      </c>
      <c r="E788" s="7">
        <v>-2.0317</v>
      </c>
      <c r="F788" s="7">
        <v>-0.0668</v>
      </c>
      <c r="G788" s="7">
        <v>0.1449</v>
      </c>
      <c r="H788" s="7">
        <v>-1.0E-4</v>
      </c>
      <c r="I788" s="7">
        <v>0.00726</v>
      </c>
      <c r="J788" s="7">
        <v>0.14492</v>
      </c>
      <c r="K788" s="8"/>
      <c r="L788" s="8"/>
    </row>
    <row r="789" ht="13.5" customHeight="1">
      <c r="A789" s="7" t="s">
        <v>355</v>
      </c>
      <c r="B789" s="7">
        <v>3.5</v>
      </c>
      <c r="C789" s="7" t="s">
        <v>360</v>
      </c>
      <c r="D789" s="7" t="s">
        <v>357</v>
      </c>
      <c r="E789" s="7">
        <v>-1.8392</v>
      </c>
      <c r="F789" s="7">
        <v>0.2832</v>
      </c>
      <c r="G789" s="7">
        <v>0.1449</v>
      </c>
      <c r="H789" s="7">
        <v>-1.0E-4</v>
      </c>
      <c r="I789" s="7">
        <v>-0.24635</v>
      </c>
      <c r="J789" s="7">
        <v>-0.04436</v>
      </c>
      <c r="K789" s="8"/>
      <c r="L789" s="8"/>
    </row>
    <row r="790" ht="13.5" customHeight="1">
      <c r="A790" s="7" t="s">
        <v>355</v>
      </c>
      <c r="B790" s="7">
        <v>0.0</v>
      </c>
      <c r="C790" s="7" t="s">
        <v>361</v>
      </c>
      <c r="D790" s="7" t="s">
        <v>357</v>
      </c>
      <c r="E790" s="7">
        <v>-2.3504</v>
      </c>
      <c r="F790" s="7">
        <v>0.1032</v>
      </c>
      <c r="G790" s="7">
        <v>0.543</v>
      </c>
      <c r="H790" s="7">
        <v>-5.023E-5</v>
      </c>
      <c r="I790" s="7">
        <v>0.6198</v>
      </c>
      <c r="J790" s="7">
        <v>0.1811</v>
      </c>
      <c r="K790" s="8"/>
      <c r="L790" s="8"/>
    </row>
    <row r="791" ht="13.5" customHeight="1">
      <c r="A791" s="7" t="s">
        <v>355</v>
      </c>
      <c r="B791" s="7">
        <v>1.75</v>
      </c>
      <c r="C791" s="7" t="s">
        <v>361</v>
      </c>
      <c r="D791" s="7" t="s">
        <v>357</v>
      </c>
      <c r="E791" s="7">
        <v>-2.1579</v>
      </c>
      <c r="F791" s="7">
        <v>0.1032</v>
      </c>
      <c r="G791" s="7">
        <v>0.2805</v>
      </c>
      <c r="H791" s="7">
        <v>-5.023E-5</v>
      </c>
      <c r="I791" s="7">
        <v>-0.10072</v>
      </c>
      <c r="J791" s="7">
        <v>5.0E-4</v>
      </c>
      <c r="K791" s="8"/>
      <c r="L791" s="8"/>
    </row>
    <row r="792" ht="13.5" customHeight="1">
      <c r="A792" s="7" t="s">
        <v>355</v>
      </c>
      <c r="B792" s="7">
        <v>3.5</v>
      </c>
      <c r="C792" s="7" t="s">
        <v>361</v>
      </c>
      <c r="D792" s="7" t="s">
        <v>357</v>
      </c>
      <c r="E792" s="7">
        <v>-1.9654</v>
      </c>
      <c r="F792" s="7">
        <v>0.1032</v>
      </c>
      <c r="G792" s="7">
        <v>0.018</v>
      </c>
      <c r="H792" s="7">
        <v>-5.023E-5</v>
      </c>
      <c r="I792" s="7">
        <v>-0.36187</v>
      </c>
      <c r="J792" s="7">
        <v>-0.1801</v>
      </c>
      <c r="K792" s="8"/>
      <c r="L792" s="8"/>
    </row>
    <row r="793" ht="13.5" customHeight="1">
      <c r="A793" s="7" t="s">
        <v>355</v>
      </c>
      <c r="B793" s="7">
        <v>0.0</v>
      </c>
      <c r="C793" s="7" t="s">
        <v>362</v>
      </c>
      <c r="D793" s="7" t="s">
        <v>357</v>
      </c>
      <c r="E793" s="7">
        <v>-2.9763</v>
      </c>
      <c r="F793" s="7">
        <v>0.1511</v>
      </c>
      <c r="G793" s="7">
        <v>0.5726</v>
      </c>
      <c r="H793" s="7">
        <v>-6.635E-5</v>
      </c>
      <c r="I793" s="7">
        <v>0.70135</v>
      </c>
      <c r="J793" s="7">
        <v>0.2599</v>
      </c>
      <c r="K793" s="8"/>
      <c r="L793" s="8"/>
    </row>
    <row r="794" ht="13.5" customHeight="1">
      <c r="A794" s="7" t="s">
        <v>355</v>
      </c>
      <c r="B794" s="7">
        <v>1.75</v>
      </c>
      <c r="C794" s="7" t="s">
        <v>362</v>
      </c>
      <c r="D794" s="7" t="s">
        <v>357</v>
      </c>
      <c r="E794" s="7">
        <v>-2.7838</v>
      </c>
      <c r="F794" s="7">
        <v>0.1511</v>
      </c>
      <c r="G794" s="7">
        <v>0.3364</v>
      </c>
      <c r="H794" s="7">
        <v>-6.635E-5</v>
      </c>
      <c r="I794" s="7">
        <v>-0.09402</v>
      </c>
      <c r="J794" s="7">
        <v>-0.00458</v>
      </c>
      <c r="K794" s="8"/>
      <c r="L794" s="8"/>
    </row>
    <row r="795" ht="13.5" customHeight="1">
      <c r="A795" s="7" t="s">
        <v>355</v>
      </c>
      <c r="B795" s="7">
        <v>3.5</v>
      </c>
      <c r="C795" s="7" t="s">
        <v>362</v>
      </c>
      <c r="D795" s="7" t="s">
        <v>357</v>
      </c>
      <c r="E795" s="7">
        <v>-2.5913</v>
      </c>
      <c r="F795" s="7">
        <v>0.1511</v>
      </c>
      <c r="G795" s="7">
        <v>0.1001</v>
      </c>
      <c r="H795" s="7">
        <v>-6.635E-5</v>
      </c>
      <c r="I795" s="7">
        <v>-0.47595</v>
      </c>
      <c r="J795" s="7">
        <v>-0.26906</v>
      </c>
      <c r="K795" s="8"/>
      <c r="L795" s="8"/>
    </row>
    <row r="796" ht="13.5" customHeight="1">
      <c r="A796" s="7" t="s">
        <v>355</v>
      </c>
      <c r="B796" s="7">
        <v>0.0</v>
      </c>
      <c r="C796" s="7" t="s">
        <v>363</v>
      </c>
      <c r="D796" s="7" t="s">
        <v>357</v>
      </c>
      <c r="E796" s="7">
        <v>-2.8627</v>
      </c>
      <c r="F796" s="7">
        <v>-0.3169</v>
      </c>
      <c r="G796" s="7">
        <v>0.2144</v>
      </c>
      <c r="H796" s="7">
        <v>-1.1E-4</v>
      </c>
      <c r="I796" s="7">
        <v>0.37832</v>
      </c>
      <c r="J796" s="7">
        <v>-0.15355</v>
      </c>
      <c r="K796" s="8"/>
      <c r="L796" s="8"/>
    </row>
    <row r="797" ht="13.5" customHeight="1">
      <c r="A797" s="7" t="s">
        <v>355</v>
      </c>
      <c r="B797" s="7">
        <v>1.75</v>
      </c>
      <c r="C797" s="7" t="s">
        <v>363</v>
      </c>
      <c r="D797" s="7" t="s">
        <v>357</v>
      </c>
      <c r="E797" s="7">
        <v>-2.6702</v>
      </c>
      <c r="F797" s="7">
        <v>-0.0019</v>
      </c>
      <c r="G797" s="7">
        <v>0.2144</v>
      </c>
      <c r="H797" s="7">
        <v>-1.1E-4</v>
      </c>
      <c r="I797" s="7">
        <v>0.00317</v>
      </c>
      <c r="J797" s="7">
        <v>0.1254</v>
      </c>
      <c r="K797" s="8"/>
      <c r="L797" s="8"/>
    </row>
    <row r="798" ht="13.5" customHeight="1">
      <c r="A798" s="7" t="s">
        <v>355</v>
      </c>
      <c r="B798" s="7">
        <v>3.5</v>
      </c>
      <c r="C798" s="7" t="s">
        <v>363</v>
      </c>
      <c r="D798" s="7" t="s">
        <v>357</v>
      </c>
      <c r="E798" s="7">
        <v>-2.4777</v>
      </c>
      <c r="F798" s="7">
        <v>0.3131</v>
      </c>
      <c r="G798" s="7">
        <v>0.2144</v>
      </c>
      <c r="H798" s="7">
        <v>-1.1E-4</v>
      </c>
      <c r="I798" s="7">
        <v>-0.37198</v>
      </c>
      <c r="J798" s="7">
        <v>-0.1469</v>
      </c>
      <c r="K798" s="8"/>
      <c r="L798" s="8"/>
    </row>
    <row r="799" ht="13.5" customHeight="1">
      <c r="A799" s="7" t="s">
        <v>355</v>
      </c>
      <c r="B799" s="7">
        <v>0.0</v>
      </c>
      <c r="C799" s="7" t="s">
        <v>356</v>
      </c>
      <c r="D799" s="7" t="s">
        <v>357</v>
      </c>
      <c r="E799" s="7">
        <v>-2.9982</v>
      </c>
      <c r="F799" s="7">
        <v>0.5349</v>
      </c>
      <c r="G799" s="7">
        <v>0.2183</v>
      </c>
      <c r="H799" s="7">
        <v>-3.978E-5</v>
      </c>
      <c r="I799" s="7">
        <v>0.3871</v>
      </c>
      <c r="J799" s="7">
        <v>0.61695</v>
      </c>
      <c r="K799" s="8"/>
      <c r="L799" s="8"/>
    </row>
    <row r="800" ht="13.5" customHeight="1">
      <c r="A800" s="7" t="s">
        <v>355</v>
      </c>
      <c r="B800" s="7">
        <v>1.75</v>
      </c>
      <c r="C800" s="7" t="s">
        <v>356</v>
      </c>
      <c r="D800" s="7" t="s">
        <v>357</v>
      </c>
      <c r="E800" s="7">
        <v>-2.8057</v>
      </c>
      <c r="F800" s="7">
        <v>0.2987</v>
      </c>
      <c r="G800" s="7">
        <v>0.2183</v>
      </c>
      <c r="H800" s="7">
        <v>-3.978E-5</v>
      </c>
      <c r="I800" s="7">
        <v>0.0051</v>
      </c>
      <c r="J800" s="7">
        <v>-0.11241</v>
      </c>
      <c r="K800" s="8"/>
      <c r="L800" s="8"/>
    </row>
    <row r="801" ht="13.5" customHeight="1">
      <c r="A801" s="7" t="s">
        <v>355</v>
      </c>
      <c r="B801" s="7">
        <v>3.5</v>
      </c>
      <c r="C801" s="7" t="s">
        <v>356</v>
      </c>
      <c r="D801" s="7" t="s">
        <v>357</v>
      </c>
      <c r="E801" s="7">
        <v>-2.6132</v>
      </c>
      <c r="F801" s="7">
        <v>0.0624</v>
      </c>
      <c r="G801" s="7">
        <v>0.2183</v>
      </c>
      <c r="H801" s="7">
        <v>-3.978E-5</v>
      </c>
      <c r="I801" s="7">
        <v>-0.3769</v>
      </c>
      <c r="J801" s="7">
        <v>-0.42834</v>
      </c>
      <c r="K801" s="8"/>
      <c r="L801" s="8"/>
    </row>
    <row r="802" ht="13.5" customHeight="1">
      <c r="A802" s="7" t="s">
        <v>355</v>
      </c>
      <c r="B802" s="7">
        <v>0.0</v>
      </c>
      <c r="C802" s="7" t="s">
        <v>358</v>
      </c>
      <c r="D802" s="7" t="s">
        <v>357</v>
      </c>
      <c r="E802" s="7">
        <v>-2.9937</v>
      </c>
      <c r="F802" s="7">
        <v>0.1555</v>
      </c>
      <c r="G802" s="7">
        <v>0.224</v>
      </c>
      <c r="H802" s="7">
        <v>-5.8E-5</v>
      </c>
      <c r="I802" s="7">
        <v>0.39565</v>
      </c>
      <c r="J802" s="7">
        <v>0.26636</v>
      </c>
      <c r="K802" s="8"/>
      <c r="L802" s="8"/>
    </row>
    <row r="803" ht="13.5" customHeight="1">
      <c r="A803" s="7" t="s">
        <v>355</v>
      </c>
      <c r="B803" s="7">
        <v>1.75</v>
      </c>
      <c r="C803" s="7" t="s">
        <v>358</v>
      </c>
      <c r="D803" s="7" t="s">
        <v>357</v>
      </c>
      <c r="E803" s="7">
        <v>-2.8012</v>
      </c>
      <c r="F803" s="7">
        <v>0.1555</v>
      </c>
      <c r="G803" s="7">
        <v>0.224</v>
      </c>
      <c r="H803" s="7">
        <v>-5.8E-5</v>
      </c>
      <c r="I803" s="7">
        <v>0.00367</v>
      </c>
      <c r="J803" s="7">
        <v>-0.00569</v>
      </c>
      <c r="K803" s="8"/>
      <c r="L803" s="8"/>
    </row>
    <row r="804" ht="13.5" customHeight="1">
      <c r="A804" s="7" t="s">
        <v>355</v>
      </c>
      <c r="B804" s="7">
        <v>3.5</v>
      </c>
      <c r="C804" s="7" t="s">
        <v>358</v>
      </c>
      <c r="D804" s="7" t="s">
        <v>357</v>
      </c>
      <c r="E804" s="7">
        <v>-2.6087</v>
      </c>
      <c r="F804" s="7">
        <v>0.1555</v>
      </c>
      <c r="G804" s="7">
        <v>0.224</v>
      </c>
      <c r="H804" s="7">
        <v>-5.8E-5</v>
      </c>
      <c r="I804" s="7">
        <v>-0.3883</v>
      </c>
      <c r="J804" s="7">
        <v>-0.27774</v>
      </c>
      <c r="K804" s="8"/>
      <c r="L804" s="8"/>
    </row>
    <row r="805" ht="13.5" customHeight="1">
      <c r="A805" s="7" t="s">
        <v>355</v>
      </c>
      <c r="B805" s="7">
        <v>0.0</v>
      </c>
      <c r="C805" s="7" t="s">
        <v>359</v>
      </c>
      <c r="D805" s="7" t="s">
        <v>357</v>
      </c>
      <c r="E805" s="7">
        <v>-2.3747</v>
      </c>
      <c r="F805" s="7">
        <v>0.5296</v>
      </c>
      <c r="G805" s="7">
        <v>0.1493</v>
      </c>
      <c r="H805" s="7">
        <v>-2.071E-5</v>
      </c>
      <c r="I805" s="7">
        <v>0.27064</v>
      </c>
      <c r="J805" s="7">
        <v>0.57781</v>
      </c>
      <c r="K805" s="8"/>
      <c r="L805" s="8"/>
    </row>
    <row r="806" ht="13.5" customHeight="1">
      <c r="A806" s="7" t="s">
        <v>355</v>
      </c>
      <c r="B806" s="7">
        <v>1.75</v>
      </c>
      <c r="C806" s="7" t="s">
        <v>359</v>
      </c>
      <c r="D806" s="7" t="s">
        <v>357</v>
      </c>
      <c r="E806" s="7">
        <v>-2.1822</v>
      </c>
      <c r="F806" s="7">
        <v>0.2671</v>
      </c>
      <c r="G806" s="7">
        <v>0.1493</v>
      </c>
      <c r="H806" s="7">
        <v>-2.071E-5</v>
      </c>
      <c r="I806" s="7">
        <v>0.00941</v>
      </c>
      <c r="J806" s="7">
        <v>-0.11932</v>
      </c>
      <c r="K806" s="8"/>
      <c r="L806" s="8"/>
    </row>
    <row r="807" ht="13.5" customHeight="1">
      <c r="A807" s="7" t="s">
        <v>355</v>
      </c>
      <c r="B807" s="7">
        <v>3.5</v>
      </c>
      <c r="C807" s="7" t="s">
        <v>359</v>
      </c>
      <c r="D807" s="7" t="s">
        <v>357</v>
      </c>
      <c r="E807" s="7">
        <v>-1.9897</v>
      </c>
      <c r="F807" s="7">
        <v>0.0046</v>
      </c>
      <c r="G807" s="7">
        <v>0.1493</v>
      </c>
      <c r="H807" s="7">
        <v>-2.071E-5</v>
      </c>
      <c r="I807" s="7">
        <v>-0.25181</v>
      </c>
      <c r="J807" s="7">
        <v>-0.35707</v>
      </c>
      <c r="K807" s="8"/>
      <c r="L807" s="8"/>
    </row>
    <row r="808" ht="13.5" customHeight="1">
      <c r="A808" s="7" t="s">
        <v>355</v>
      </c>
      <c r="B808" s="7">
        <v>0.0</v>
      </c>
      <c r="C808" s="7" t="s">
        <v>360</v>
      </c>
      <c r="D808" s="7" t="s">
        <v>357</v>
      </c>
      <c r="E808" s="7">
        <v>-2.2242</v>
      </c>
      <c r="F808" s="7">
        <v>-0.4168</v>
      </c>
      <c r="G808" s="7">
        <v>0.1449</v>
      </c>
      <c r="H808" s="7">
        <v>-1.0E-4</v>
      </c>
      <c r="I808" s="7">
        <v>0.26088</v>
      </c>
      <c r="J808" s="7">
        <v>-0.2783</v>
      </c>
      <c r="K808" s="8"/>
      <c r="L808" s="8"/>
    </row>
    <row r="809" ht="13.5" customHeight="1">
      <c r="A809" s="7" t="s">
        <v>355</v>
      </c>
      <c r="B809" s="7">
        <v>1.75</v>
      </c>
      <c r="C809" s="7" t="s">
        <v>360</v>
      </c>
      <c r="D809" s="7" t="s">
        <v>357</v>
      </c>
      <c r="E809" s="7">
        <v>-2.0317</v>
      </c>
      <c r="F809" s="7">
        <v>-0.0668</v>
      </c>
      <c r="G809" s="7">
        <v>0.1449</v>
      </c>
      <c r="H809" s="7">
        <v>-1.0E-4</v>
      </c>
      <c r="I809" s="7">
        <v>0.00726</v>
      </c>
      <c r="J809" s="7">
        <v>0.14492</v>
      </c>
      <c r="K809" s="8"/>
      <c r="L809" s="8"/>
    </row>
    <row r="810" ht="13.5" customHeight="1">
      <c r="A810" s="7" t="s">
        <v>355</v>
      </c>
      <c r="B810" s="7">
        <v>3.5</v>
      </c>
      <c r="C810" s="7" t="s">
        <v>360</v>
      </c>
      <c r="D810" s="7" t="s">
        <v>357</v>
      </c>
      <c r="E810" s="7">
        <v>-1.8392</v>
      </c>
      <c r="F810" s="7">
        <v>0.2832</v>
      </c>
      <c r="G810" s="7">
        <v>0.1449</v>
      </c>
      <c r="H810" s="7">
        <v>-1.0E-4</v>
      </c>
      <c r="I810" s="7">
        <v>-0.24635</v>
      </c>
      <c r="J810" s="7">
        <v>-0.04436</v>
      </c>
      <c r="K810" s="8"/>
      <c r="L810" s="8"/>
    </row>
    <row r="811" ht="13.5" customHeight="1">
      <c r="A811" s="7" t="s">
        <v>355</v>
      </c>
      <c r="B811" s="7">
        <v>0.0</v>
      </c>
      <c r="C811" s="7" t="s">
        <v>361</v>
      </c>
      <c r="D811" s="7" t="s">
        <v>357</v>
      </c>
      <c r="E811" s="7">
        <v>-2.3504</v>
      </c>
      <c r="F811" s="7">
        <v>0.1032</v>
      </c>
      <c r="G811" s="7">
        <v>0.543</v>
      </c>
      <c r="H811" s="7">
        <v>-5.023E-5</v>
      </c>
      <c r="I811" s="7">
        <v>0.6198</v>
      </c>
      <c r="J811" s="7">
        <v>0.1811</v>
      </c>
      <c r="K811" s="8"/>
      <c r="L811" s="8"/>
    </row>
    <row r="812" ht="13.5" customHeight="1">
      <c r="A812" s="7" t="s">
        <v>355</v>
      </c>
      <c r="B812" s="7">
        <v>1.75</v>
      </c>
      <c r="C812" s="7" t="s">
        <v>361</v>
      </c>
      <c r="D812" s="7" t="s">
        <v>357</v>
      </c>
      <c r="E812" s="7">
        <v>-2.1579</v>
      </c>
      <c r="F812" s="7">
        <v>0.1032</v>
      </c>
      <c r="G812" s="7">
        <v>0.2805</v>
      </c>
      <c r="H812" s="7">
        <v>-5.023E-5</v>
      </c>
      <c r="I812" s="7">
        <v>-0.10072</v>
      </c>
      <c r="J812" s="7">
        <v>5.0E-4</v>
      </c>
      <c r="K812" s="8"/>
      <c r="L812" s="8"/>
    </row>
    <row r="813" ht="13.5" customHeight="1">
      <c r="A813" s="7" t="s">
        <v>355</v>
      </c>
      <c r="B813" s="7">
        <v>3.5</v>
      </c>
      <c r="C813" s="7" t="s">
        <v>361</v>
      </c>
      <c r="D813" s="7" t="s">
        <v>357</v>
      </c>
      <c r="E813" s="7">
        <v>-1.9654</v>
      </c>
      <c r="F813" s="7">
        <v>0.1032</v>
      </c>
      <c r="G813" s="7">
        <v>0.018</v>
      </c>
      <c r="H813" s="7">
        <v>-5.023E-5</v>
      </c>
      <c r="I813" s="7">
        <v>-0.36187</v>
      </c>
      <c r="J813" s="7">
        <v>-0.1801</v>
      </c>
      <c r="K813" s="8"/>
      <c r="L813" s="8"/>
    </row>
    <row r="814" ht="13.5" customHeight="1">
      <c r="A814" s="7" t="s">
        <v>355</v>
      </c>
      <c r="B814" s="7">
        <v>0.0</v>
      </c>
      <c r="C814" s="7" t="s">
        <v>362</v>
      </c>
      <c r="D814" s="7" t="s">
        <v>357</v>
      </c>
      <c r="E814" s="7">
        <v>-2.9763</v>
      </c>
      <c r="F814" s="7">
        <v>0.1511</v>
      </c>
      <c r="G814" s="7">
        <v>0.5726</v>
      </c>
      <c r="H814" s="7">
        <v>-6.635E-5</v>
      </c>
      <c r="I814" s="7">
        <v>0.70135</v>
      </c>
      <c r="J814" s="7">
        <v>0.2599</v>
      </c>
      <c r="K814" s="8"/>
      <c r="L814" s="8"/>
    </row>
    <row r="815" ht="13.5" customHeight="1">
      <c r="A815" s="7" t="s">
        <v>355</v>
      </c>
      <c r="B815" s="7">
        <v>1.75</v>
      </c>
      <c r="C815" s="7" t="s">
        <v>362</v>
      </c>
      <c r="D815" s="7" t="s">
        <v>357</v>
      </c>
      <c r="E815" s="7">
        <v>-2.7838</v>
      </c>
      <c r="F815" s="7">
        <v>0.1511</v>
      </c>
      <c r="G815" s="7">
        <v>0.3364</v>
      </c>
      <c r="H815" s="7">
        <v>-6.635E-5</v>
      </c>
      <c r="I815" s="7">
        <v>-0.09402</v>
      </c>
      <c r="J815" s="7">
        <v>-0.00458</v>
      </c>
      <c r="K815" s="8"/>
      <c r="L815" s="8"/>
    </row>
    <row r="816" ht="13.5" customHeight="1">
      <c r="A816" s="7" t="s">
        <v>355</v>
      </c>
      <c r="B816" s="7">
        <v>3.5</v>
      </c>
      <c r="C816" s="7" t="s">
        <v>362</v>
      </c>
      <c r="D816" s="7" t="s">
        <v>357</v>
      </c>
      <c r="E816" s="7">
        <v>-2.5913</v>
      </c>
      <c r="F816" s="7">
        <v>0.1511</v>
      </c>
      <c r="G816" s="7">
        <v>0.1001</v>
      </c>
      <c r="H816" s="7">
        <v>-6.635E-5</v>
      </c>
      <c r="I816" s="7">
        <v>-0.47595</v>
      </c>
      <c r="J816" s="7">
        <v>-0.26906</v>
      </c>
      <c r="K816" s="8"/>
      <c r="L816" s="8"/>
    </row>
    <row r="817" ht="13.5" customHeight="1">
      <c r="A817" s="7" t="s">
        <v>355</v>
      </c>
      <c r="B817" s="7">
        <v>0.0</v>
      </c>
      <c r="C817" s="7" t="s">
        <v>363</v>
      </c>
      <c r="D817" s="7" t="s">
        <v>357</v>
      </c>
      <c r="E817" s="7">
        <v>-2.8627</v>
      </c>
      <c r="F817" s="7">
        <v>-0.3169</v>
      </c>
      <c r="G817" s="7">
        <v>0.2144</v>
      </c>
      <c r="H817" s="7">
        <v>-1.1E-4</v>
      </c>
      <c r="I817" s="7">
        <v>0.37832</v>
      </c>
      <c r="J817" s="7">
        <v>-0.15355</v>
      </c>
      <c r="K817" s="8"/>
      <c r="L817" s="8"/>
    </row>
    <row r="818" ht="13.5" customHeight="1">
      <c r="A818" s="7" t="s">
        <v>355</v>
      </c>
      <c r="B818" s="7">
        <v>1.75</v>
      </c>
      <c r="C818" s="7" t="s">
        <v>363</v>
      </c>
      <c r="D818" s="7" t="s">
        <v>357</v>
      </c>
      <c r="E818" s="7">
        <v>-2.6702</v>
      </c>
      <c r="F818" s="7">
        <v>-0.0019</v>
      </c>
      <c r="G818" s="7">
        <v>0.2144</v>
      </c>
      <c r="H818" s="7">
        <v>-1.1E-4</v>
      </c>
      <c r="I818" s="7">
        <v>0.00317</v>
      </c>
      <c r="J818" s="7">
        <v>0.1254</v>
      </c>
      <c r="K818" s="8"/>
      <c r="L818" s="8"/>
    </row>
    <row r="819" ht="13.5" customHeight="1">
      <c r="A819" s="7" t="s">
        <v>355</v>
      </c>
      <c r="B819" s="7">
        <v>3.5</v>
      </c>
      <c r="C819" s="7" t="s">
        <v>363</v>
      </c>
      <c r="D819" s="7" t="s">
        <v>357</v>
      </c>
      <c r="E819" s="7">
        <v>-2.4777</v>
      </c>
      <c r="F819" s="7">
        <v>0.3131</v>
      </c>
      <c r="G819" s="7">
        <v>0.2144</v>
      </c>
      <c r="H819" s="7">
        <v>-1.1E-4</v>
      </c>
      <c r="I819" s="7">
        <v>-0.37198</v>
      </c>
      <c r="J819" s="7">
        <v>-0.1469</v>
      </c>
      <c r="K819" s="8"/>
      <c r="L819" s="8"/>
    </row>
    <row r="820" ht="13.5" customHeight="1">
      <c r="A820" s="7" t="s">
        <v>355</v>
      </c>
      <c r="B820" s="7">
        <v>0.0</v>
      </c>
      <c r="C820" s="7" t="s">
        <v>356</v>
      </c>
      <c r="D820" s="7" t="s">
        <v>357</v>
      </c>
      <c r="E820" s="7">
        <v>-2.9982</v>
      </c>
      <c r="F820" s="7">
        <v>0.5349</v>
      </c>
      <c r="G820" s="7">
        <v>0.2183</v>
      </c>
      <c r="H820" s="7">
        <v>-3.978E-5</v>
      </c>
      <c r="I820" s="7">
        <v>0.3871</v>
      </c>
      <c r="J820" s="7">
        <v>0.61695</v>
      </c>
      <c r="K820" s="8"/>
      <c r="L820" s="8"/>
    </row>
    <row r="821" ht="13.5" customHeight="1">
      <c r="A821" s="7" t="s">
        <v>355</v>
      </c>
      <c r="B821" s="7">
        <v>1.75</v>
      </c>
      <c r="C821" s="7" t="s">
        <v>356</v>
      </c>
      <c r="D821" s="7" t="s">
        <v>357</v>
      </c>
      <c r="E821" s="7">
        <v>-2.8057</v>
      </c>
      <c r="F821" s="7">
        <v>0.2987</v>
      </c>
      <c r="G821" s="7">
        <v>0.2183</v>
      </c>
      <c r="H821" s="7">
        <v>-3.978E-5</v>
      </c>
      <c r="I821" s="7">
        <v>0.0051</v>
      </c>
      <c r="J821" s="7">
        <v>-0.11241</v>
      </c>
      <c r="K821" s="8"/>
      <c r="L821" s="8"/>
    </row>
    <row r="822" ht="13.5" customHeight="1">
      <c r="A822" s="7" t="s">
        <v>355</v>
      </c>
      <c r="B822" s="7">
        <v>3.5</v>
      </c>
      <c r="C822" s="7" t="s">
        <v>356</v>
      </c>
      <c r="D822" s="7" t="s">
        <v>357</v>
      </c>
      <c r="E822" s="7">
        <v>-2.6132</v>
      </c>
      <c r="F822" s="7">
        <v>0.0624</v>
      </c>
      <c r="G822" s="7">
        <v>0.2183</v>
      </c>
      <c r="H822" s="7">
        <v>-3.978E-5</v>
      </c>
      <c r="I822" s="7">
        <v>-0.3769</v>
      </c>
      <c r="J822" s="7">
        <v>-0.42834</v>
      </c>
      <c r="K822" s="8"/>
      <c r="L822" s="8"/>
    </row>
    <row r="823" ht="13.5" customHeight="1">
      <c r="A823" s="7" t="s">
        <v>355</v>
      </c>
      <c r="B823" s="7">
        <v>0.0</v>
      </c>
      <c r="C823" s="7" t="s">
        <v>358</v>
      </c>
      <c r="D823" s="7" t="s">
        <v>357</v>
      </c>
      <c r="E823" s="7">
        <v>-2.9937</v>
      </c>
      <c r="F823" s="7">
        <v>0.1555</v>
      </c>
      <c r="G823" s="7">
        <v>0.224</v>
      </c>
      <c r="H823" s="7">
        <v>-5.8E-5</v>
      </c>
      <c r="I823" s="7">
        <v>0.39565</v>
      </c>
      <c r="J823" s="7">
        <v>0.26636</v>
      </c>
      <c r="K823" s="8"/>
      <c r="L823" s="8"/>
    </row>
    <row r="824" ht="13.5" customHeight="1">
      <c r="A824" s="7" t="s">
        <v>355</v>
      </c>
      <c r="B824" s="7">
        <v>1.75</v>
      </c>
      <c r="C824" s="7" t="s">
        <v>358</v>
      </c>
      <c r="D824" s="7" t="s">
        <v>357</v>
      </c>
      <c r="E824" s="7">
        <v>-2.8012</v>
      </c>
      <c r="F824" s="7">
        <v>0.1555</v>
      </c>
      <c r="G824" s="7">
        <v>0.224</v>
      </c>
      <c r="H824" s="7">
        <v>-5.8E-5</v>
      </c>
      <c r="I824" s="7">
        <v>0.00367</v>
      </c>
      <c r="J824" s="7">
        <v>-0.00569</v>
      </c>
      <c r="K824" s="8"/>
      <c r="L824" s="8"/>
    </row>
    <row r="825" ht="13.5" customHeight="1">
      <c r="A825" s="7" t="s">
        <v>355</v>
      </c>
      <c r="B825" s="7">
        <v>3.5</v>
      </c>
      <c r="C825" s="7" t="s">
        <v>358</v>
      </c>
      <c r="D825" s="7" t="s">
        <v>357</v>
      </c>
      <c r="E825" s="7">
        <v>-2.6087</v>
      </c>
      <c r="F825" s="7">
        <v>0.1555</v>
      </c>
      <c r="G825" s="7">
        <v>0.224</v>
      </c>
      <c r="H825" s="7">
        <v>-5.8E-5</v>
      </c>
      <c r="I825" s="7">
        <v>-0.3883</v>
      </c>
      <c r="J825" s="7">
        <v>-0.27774</v>
      </c>
      <c r="K825" s="8"/>
      <c r="L825" s="8"/>
    </row>
    <row r="826" ht="13.5" customHeight="1">
      <c r="A826" s="7" t="s">
        <v>355</v>
      </c>
      <c r="B826" s="7">
        <v>0.0</v>
      </c>
      <c r="C826" s="7" t="s">
        <v>359</v>
      </c>
      <c r="D826" s="7" t="s">
        <v>357</v>
      </c>
      <c r="E826" s="7">
        <v>-2.3747</v>
      </c>
      <c r="F826" s="7">
        <v>0.5296</v>
      </c>
      <c r="G826" s="7">
        <v>0.1493</v>
      </c>
      <c r="H826" s="7">
        <v>-2.071E-5</v>
      </c>
      <c r="I826" s="7">
        <v>0.27064</v>
      </c>
      <c r="J826" s="7">
        <v>0.57781</v>
      </c>
      <c r="K826" s="8"/>
      <c r="L826" s="8"/>
    </row>
    <row r="827" ht="13.5" customHeight="1">
      <c r="A827" s="7" t="s">
        <v>355</v>
      </c>
      <c r="B827" s="7">
        <v>1.75</v>
      </c>
      <c r="C827" s="7" t="s">
        <v>359</v>
      </c>
      <c r="D827" s="7" t="s">
        <v>357</v>
      </c>
      <c r="E827" s="7">
        <v>-2.1822</v>
      </c>
      <c r="F827" s="7">
        <v>0.2671</v>
      </c>
      <c r="G827" s="7">
        <v>0.1493</v>
      </c>
      <c r="H827" s="7">
        <v>-2.071E-5</v>
      </c>
      <c r="I827" s="7">
        <v>0.00941</v>
      </c>
      <c r="J827" s="7">
        <v>-0.11932</v>
      </c>
      <c r="K827" s="8"/>
      <c r="L827" s="8"/>
    </row>
    <row r="828" ht="13.5" customHeight="1">
      <c r="A828" s="7" t="s">
        <v>355</v>
      </c>
      <c r="B828" s="7">
        <v>3.5</v>
      </c>
      <c r="C828" s="7" t="s">
        <v>359</v>
      </c>
      <c r="D828" s="7" t="s">
        <v>357</v>
      </c>
      <c r="E828" s="7">
        <v>-1.9897</v>
      </c>
      <c r="F828" s="7">
        <v>0.0046</v>
      </c>
      <c r="G828" s="7">
        <v>0.1493</v>
      </c>
      <c r="H828" s="7">
        <v>-2.071E-5</v>
      </c>
      <c r="I828" s="7">
        <v>-0.25181</v>
      </c>
      <c r="J828" s="7">
        <v>-0.35707</v>
      </c>
      <c r="K828" s="8"/>
      <c r="L828" s="8"/>
    </row>
    <row r="829" ht="13.5" customHeight="1">
      <c r="A829" s="7" t="s">
        <v>355</v>
      </c>
      <c r="B829" s="7">
        <v>0.0</v>
      </c>
      <c r="C829" s="7" t="s">
        <v>360</v>
      </c>
      <c r="D829" s="7" t="s">
        <v>357</v>
      </c>
      <c r="E829" s="7">
        <v>-2.2242</v>
      </c>
      <c r="F829" s="7">
        <v>-0.4168</v>
      </c>
      <c r="G829" s="7">
        <v>0.1449</v>
      </c>
      <c r="H829" s="7">
        <v>-1.0E-4</v>
      </c>
      <c r="I829" s="7">
        <v>0.26088</v>
      </c>
      <c r="J829" s="7">
        <v>-0.2783</v>
      </c>
      <c r="K829" s="8"/>
      <c r="L829" s="8"/>
    </row>
    <row r="830" ht="13.5" customHeight="1">
      <c r="A830" s="7" t="s">
        <v>355</v>
      </c>
      <c r="B830" s="7">
        <v>1.75</v>
      </c>
      <c r="C830" s="7" t="s">
        <v>360</v>
      </c>
      <c r="D830" s="7" t="s">
        <v>357</v>
      </c>
      <c r="E830" s="7">
        <v>-2.0317</v>
      </c>
      <c r="F830" s="7">
        <v>-0.0668</v>
      </c>
      <c r="G830" s="7">
        <v>0.1449</v>
      </c>
      <c r="H830" s="7">
        <v>-1.0E-4</v>
      </c>
      <c r="I830" s="7">
        <v>0.00726</v>
      </c>
      <c r="J830" s="7">
        <v>0.14492</v>
      </c>
      <c r="K830" s="8"/>
      <c r="L830" s="8"/>
    </row>
    <row r="831" ht="13.5" customHeight="1">
      <c r="A831" s="7" t="s">
        <v>355</v>
      </c>
      <c r="B831" s="7">
        <v>3.5</v>
      </c>
      <c r="C831" s="7" t="s">
        <v>360</v>
      </c>
      <c r="D831" s="7" t="s">
        <v>357</v>
      </c>
      <c r="E831" s="7">
        <v>-1.8392</v>
      </c>
      <c r="F831" s="7">
        <v>0.2832</v>
      </c>
      <c r="G831" s="7">
        <v>0.1449</v>
      </c>
      <c r="H831" s="7">
        <v>-1.0E-4</v>
      </c>
      <c r="I831" s="7">
        <v>-0.24635</v>
      </c>
      <c r="J831" s="7">
        <v>-0.04436</v>
      </c>
      <c r="K831" s="8"/>
      <c r="L831" s="8"/>
    </row>
    <row r="832" ht="13.5" customHeight="1">
      <c r="A832" s="7" t="s">
        <v>355</v>
      </c>
      <c r="B832" s="7">
        <v>0.0</v>
      </c>
      <c r="C832" s="7" t="s">
        <v>361</v>
      </c>
      <c r="D832" s="7" t="s">
        <v>357</v>
      </c>
      <c r="E832" s="7">
        <v>-2.3504</v>
      </c>
      <c r="F832" s="7">
        <v>0.1032</v>
      </c>
      <c r="G832" s="7">
        <v>0.543</v>
      </c>
      <c r="H832" s="7">
        <v>-5.023E-5</v>
      </c>
      <c r="I832" s="7">
        <v>0.6198</v>
      </c>
      <c r="J832" s="7">
        <v>0.1811</v>
      </c>
      <c r="K832" s="8"/>
      <c r="L832" s="8"/>
    </row>
    <row r="833" ht="13.5" customHeight="1">
      <c r="A833" s="7" t="s">
        <v>355</v>
      </c>
      <c r="B833" s="7">
        <v>1.75</v>
      </c>
      <c r="C833" s="7" t="s">
        <v>361</v>
      </c>
      <c r="D833" s="7" t="s">
        <v>357</v>
      </c>
      <c r="E833" s="7">
        <v>-2.1579</v>
      </c>
      <c r="F833" s="7">
        <v>0.1032</v>
      </c>
      <c r="G833" s="7">
        <v>0.2805</v>
      </c>
      <c r="H833" s="7">
        <v>-5.023E-5</v>
      </c>
      <c r="I833" s="7">
        <v>-0.10072</v>
      </c>
      <c r="J833" s="7">
        <v>5.0E-4</v>
      </c>
      <c r="K833" s="8"/>
      <c r="L833" s="8"/>
    </row>
    <row r="834" ht="13.5" customHeight="1">
      <c r="A834" s="7" t="s">
        <v>355</v>
      </c>
      <c r="B834" s="7">
        <v>3.5</v>
      </c>
      <c r="C834" s="7" t="s">
        <v>361</v>
      </c>
      <c r="D834" s="7" t="s">
        <v>357</v>
      </c>
      <c r="E834" s="7">
        <v>-1.9654</v>
      </c>
      <c r="F834" s="7">
        <v>0.1032</v>
      </c>
      <c r="G834" s="7">
        <v>0.018</v>
      </c>
      <c r="H834" s="7">
        <v>-5.023E-5</v>
      </c>
      <c r="I834" s="7">
        <v>-0.36187</v>
      </c>
      <c r="J834" s="7">
        <v>-0.1801</v>
      </c>
      <c r="K834" s="8"/>
      <c r="L834" s="8"/>
    </row>
    <row r="835" ht="13.5" customHeight="1">
      <c r="A835" s="7" t="s">
        <v>355</v>
      </c>
      <c r="B835" s="7">
        <v>0.0</v>
      </c>
      <c r="C835" s="7" t="s">
        <v>362</v>
      </c>
      <c r="D835" s="7" t="s">
        <v>357</v>
      </c>
      <c r="E835" s="7">
        <v>-2.9763</v>
      </c>
      <c r="F835" s="7">
        <v>0.1511</v>
      </c>
      <c r="G835" s="7">
        <v>0.5726</v>
      </c>
      <c r="H835" s="7">
        <v>-6.635E-5</v>
      </c>
      <c r="I835" s="7">
        <v>0.70135</v>
      </c>
      <c r="J835" s="7">
        <v>0.2599</v>
      </c>
      <c r="K835" s="8"/>
      <c r="L835" s="8"/>
    </row>
    <row r="836" ht="13.5" customHeight="1">
      <c r="A836" s="7" t="s">
        <v>355</v>
      </c>
      <c r="B836" s="7">
        <v>1.75</v>
      </c>
      <c r="C836" s="7" t="s">
        <v>362</v>
      </c>
      <c r="D836" s="7" t="s">
        <v>357</v>
      </c>
      <c r="E836" s="7">
        <v>-2.7838</v>
      </c>
      <c r="F836" s="7">
        <v>0.1511</v>
      </c>
      <c r="G836" s="7">
        <v>0.3364</v>
      </c>
      <c r="H836" s="7">
        <v>-6.635E-5</v>
      </c>
      <c r="I836" s="7">
        <v>-0.09402</v>
      </c>
      <c r="J836" s="7">
        <v>-0.00458</v>
      </c>
      <c r="K836" s="8"/>
      <c r="L836" s="8"/>
    </row>
    <row r="837" ht="13.5" customHeight="1">
      <c r="A837" s="7" t="s">
        <v>355</v>
      </c>
      <c r="B837" s="7">
        <v>3.5</v>
      </c>
      <c r="C837" s="7" t="s">
        <v>362</v>
      </c>
      <c r="D837" s="7" t="s">
        <v>357</v>
      </c>
      <c r="E837" s="7">
        <v>-2.5913</v>
      </c>
      <c r="F837" s="7">
        <v>0.1511</v>
      </c>
      <c r="G837" s="7">
        <v>0.1001</v>
      </c>
      <c r="H837" s="7">
        <v>-6.635E-5</v>
      </c>
      <c r="I837" s="7">
        <v>-0.47595</v>
      </c>
      <c r="J837" s="7">
        <v>-0.26906</v>
      </c>
      <c r="K837" s="8"/>
      <c r="L837" s="8"/>
    </row>
    <row r="838" ht="13.5" customHeight="1">
      <c r="A838" s="7" t="s">
        <v>355</v>
      </c>
      <c r="B838" s="7">
        <v>0.0</v>
      </c>
      <c r="C838" s="7" t="s">
        <v>363</v>
      </c>
      <c r="D838" s="7" t="s">
        <v>357</v>
      </c>
      <c r="E838" s="7">
        <v>-2.8627</v>
      </c>
      <c r="F838" s="7">
        <v>-0.3169</v>
      </c>
      <c r="G838" s="7">
        <v>0.2144</v>
      </c>
      <c r="H838" s="7">
        <v>-1.1E-4</v>
      </c>
      <c r="I838" s="7">
        <v>0.37832</v>
      </c>
      <c r="J838" s="7">
        <v>-0.15355</v>
      </c>
      <c r="K838" s="8"/>
      <c r="L838" s="8"/>
    </row>
    <row r="839" ht="13.5" customHeight="1">
      <c r="A839" s="7" t="s">
        <v>355</v>
      </c>
      <c r="B839" s="7">
        <v>1.75</v>
      </c>
      <c r="C839" s="7" t="s">
        <v>363</v>
      </c>
      <c r="D839" s="7" t="s">
        <v>357</v>
      </c>
      <c r="E839" s="7">
        <v>-2.6702</v>
      </c>
      <c r="F839" s="7">
        <v>-0.0019</v>
      </c>
      <c r="G839" s="7">
        <v>0.2144</v>
      </c>
      <c r="H839" s="7">
        <v>-1.1E-4</v>
      </c>
      <c r="I839" s="7">
        <v>0.00317</v>
      </c>
      <c r="J839" s="7">
        <v>0.1254</v>
      </c>
      <c r="K839" s="8"/>
      <c r="L839" s="8"/>
    </row>
    <row r="840" ht="13.5" customHeight="1">
      <c r="A840" s="7" t="s">
        <v>355</v>
      </c>
      <c r="B840" s="7">
        <v>3.5</v>
      </c>
      <c r="C840" s="7" t="s">
        <v>363</v>
      </c>
      <c r="D840" s="7" t="s">
        <v>357</v>
      </c>
      <c r="E840" s="7">
        <v>-2.4777</v>
      </c>
      <c r="F840" s="7">
        <v>0.3131</v>
      </c>
      <c r="G840" s="7">
        <v>0.2144</v>
      </c>
      <c r="H840" s="7">
        <v>-1.1E-4</v>
      </c>
      <c r="I840" s="7">
        <v>-0.37198</v>
      </c>
      <c r="J840" s="7">
        <v>-0.1469</v>
      </c>
      <c r="K840" s="8"/>
      <c r="L840" s="8"/>
    </row>
    <row r="841" ht="13.5" customHeight="1">
      <c r="A841" s="7" t="s">
        <v>355</v>
      </c>
      <c r="B841" s="7">
        <v>0.0</v>
      </c>
      <c r="C841" s="7" t="s">
        <v>356</v>
      </c>
      <c r="D841" s="7" t="s">
        <v>357</v>
      </c>
      <c r="E841" s="7">
        <v>-2.9982</v>
      </c>
      <c r="F841" s="7">
        <v>0.5349</v>
      </c>
      <c r="G841" s="7">
        <v>0.2183</v>
      </c>
      <c r="H841" s="7">
        <v>-3.978E-5</v>
      </c>
      <c r="I841" s="7">
        <v>0.3871</v>
      </c>
      <c r="J841" s="7">
        <v>0.61695</v>
      </c>
      <c r="K841" s="8"/>
      <c r="L841" s="8"/>
    </row>
    <row r="842" ht="13.5" customHeight="1">
      <c r="A842" s="7" t="s">
        <v>355</v>
      </c>
      <c r="B842" s="7">
        <v>1.75</v>
      </c>
      <c r="C842" s="7" t="s">
        <v>356</v>
      </c>
      <c r="D842" s="7" t="s">
        <v>357</v>
      </c>
      <c r="E842" s="7">
        <v>-2.8057</v>
      </c>
      <c r="F842" s="7">
        <v>0.2987</v>
      </c>
      <c r="G842" s="7">
        <v>0.2183</v>
      </c>
      <c r="H842" s="7">
        <v>-3.978E-5</v>
      </c>
      <c r="I842" s="7">
        <v>0.0051</v>
      </c>
      <c r="J842" s="7">
        <v>-0.11241</v>
      </c>
      <c r="K842" s="8"/>
      <c r="L842" s="8"/>
    </row>
    <row r="843" ht="13.5" customHeight="1">
      <c r="A843" s="7" t="s">
        <v>355</v>
      </c>
      <c r="B843" s="7">
        <v>3.5</v>
      </c>
      <c r="C843" s="7" t="s">
        <v>356</v>
      </c>
      <c r="D843" s="7" t="s">
        <v>357</v>
      </c>
      <c r="E843" s="7">
        <v>-2.6132</v>
      </c>
      <c r="F843" s="7">
        <v>0.0624</v>
      </c>
      <c r="G843" s="7">
        <v>0.2183</v>
      </c>
      <c r="H843" s="7">
        <v>-3.978E-5</v>
      </c>
      <c r="I843" s="7">
        <v>-0.3769</v>
      </c>
      <c r="J843" s="7">
        <v>-0.42834</v>
      </c>
      <c r="K843" s="8"/>
      <c r="L843" s="8"/>
    </row>
    <row r="844" ht="13.5" customHeight="1">
      <c r="A844" s="7" t="s">
        <v>355</v>
      </c>
      <c r="B844" s="7">
        <v>0.0</v>
      </c>
      <c r="C844" s="7" t="s">
        <v>358</v>
      </c>
      <c r="D844" s="7" t="s">
        <v>357</v>
      </c>
      <c r="E844" s="7">
        <v>-2.9937</v>
      </c>
      <c r="F844" s="7">
        <v>0.1555</v>
      </c>
      <c r="G844" s="7">
        <v>0.224</v>
      </c>
      <c r="H844" s="7">
        <v>-5.8E-5</v>
      </c>
      <c r="I844" s="7">
        <v>0.39565</v>
      </c>
      <c r="J844" s="7">
        <v>0.26636</v>
      </c>
      <c r="K844" s="8"/>
      <c r="L844" s="8"/>
    </row>
    <row r="845" ht="13.5" customHeight="1">
      <c r="A845" s="7" t="s">
        <v>355</v>
      </c>
      <c r="B845" s="7">
        <v>1.75</v>
      </c>
      <c r="C845" s="7" t="s">
        <v>358</v>
      </c>
      <c r="D845" s="7" t="s">
        <v>357</v>
      </c>
      <c r="E845" s="7">
        <v>-2.8012</v>
      </c>
      <c r="F845" s="7">
        <v>0.1555</v>
      </c>
      <c r="G845" s="7">
        <v>0.224</v>
      </c>
      <c r="H845" s="7">
        <v>-5.8E-5</v>
      </c>
      <c r="I845" s="7">
        <v>0.00367</v>
      </c>
      <c r="J845" s="7">
        <v>-0.00569</v>
      </c>
      <c r="K845" s="8"/>
      <c r="L845" s="8"/>
    </row>
    <row r="846" ht="13.5" customHeight="1">
      <c r="A846" s="7" t="s">
        <v>355</v>
      </c>
      <c r="B846" s="7">
        <v>3.5</v>
      </c>
      <c r="C846" s="7" t="s">
        <v>358</v>
      </c>
      <c r="D846" s="7" t="s">
        <v>357</v>
      </c>
      <c r="E846" s="7">
        <v>-2.6087</v>
      </c>
      <c r="F846" s="7">
        <v>0.1555</v>
      </c>
      <c r="G846" s="7">
        <v>0.224</v>
      </c>
      <c r="H846" s="7">
        <v>-5.8E-5</v>
      </c>
      <c r="I846" s="7">
        <v>-0.3883</v>
      </c>
      <c r="J846" s="7">
        <v>-0.27774</v>
      </c>
      <c r="K846" s="8"/>
      <c r="L846" s="8"/>
    </row>
    <row r="847" ht="13.5" customHeight="1">
      <c r="A847" s="7" t="s">
        <v>355</v>
      </c>
      <c r="B847" s="7">
        <v>0.0</v>
      </c>
      <c r="C847" s="7" t="s">
        <v>359</v>
      </c>
      <c r="D847" s="7" t="s">
        <v>357</v>
      </c>
      <c r="E847" s="7">
        <v>-2.3747</v>
      </c>
      <c r="F847" s="7">
        <v>0.5296</v>
      </c>
      <c r="G847" s="7">
        <v>0.1493</v>
      </c>
      <c r="H847" s="7">
        <v>-2.071E-5</v>
      </c>
      <c r="I847" s="7">
        <v>0.27064</v>
      </c>
      <c r="J847" s="7">
        <v>0.57781</v>
      </c>
      <c r="K847" s="8"/>
      <c r="L847" s="8"/>
    </row>
    <row r="848" ht="13.5" customHeight="1">
      <c r="A848" s="7" t="s">
        <v>355</v>
      </c>
      <c r="B848" s="7">
        <v>1.75</v>
      </c>
      <c r="C848" s="7" t="s">
        <v>359</v>
      </c>
      <c r="D848" s="7" t="s">
        <v>357</v>
      </c>
      <c r="E848" s="7">
        <v>-2.1822</v>
      </c>
      <c r="F848" s="7">
        <v>0.2671</v>
      </c>
      <c r="G848" s="7">
        <v>0.1493</v>
      </c>
      <c r="H848" s="7">
        <v>-2.071E-5</v>
      </c>
      <c r="I848" s="7">
        <v>0.00941</v>
      </c>
      <c r="J848" s="7">
        <v>-0.11932</v>
      </c>
      <c r="K848" s="8"/>
      <c r="L848" s="8"/>
    </row>
    <row r="849" ht="13.5" customHeight="1">
      <c r="A849" s="7" t="s">
        <v>355</v>
      </c>
      <c r="B849" s="7">
        <v>3.5</v>
      </c>
      <c r="C849" s="7" t="s">
        <v>359</v>
      </c>
      <c r="D849" s="7" t="s">
        <v>357</v>
      </c>
      <c r="E849" s="7">
        <v>-1.9897</v>
      </c>
      <c r="F849" s="7">
        <v>0.0046</v>
      </c>
      <c r="G849" s="7">
        <v>0.1493</v>
      </c>
      <c r="H849" s="7">
        <v>-2.071E-5</v>
      </c>
      <c r="I849" s="7">
        <v>-0.25181</v>
      </c>
      <c r="J849" s="7">
        <v>-0.35707</v>
      </c>
      <c r="K849" s="8"/>
      <c r="L849" s="8"/>
    </row>
    <row r="850" ht="13.5" customHeight="1">
      <c r="A850" s="7" t="s">
        <v>355</v>
      </c>
      <c r="B850" s="7">
        <v>0.0</v>
      </c>
      <c r="C850" s="7" t="s">
        <v>360</v>
      </c>
      <c r="D850" s="7" t="s">
        <v>357</v>
      </c>
      <c r="E850" s="7">
        <v>-2.2242</v>
      </c>
      <c r="F850" s="7">
        <v>-0.4168</v>
      </c>
      <c r="G850" s="7">
        <v>0.1449</v>
      </c>
      <c r="H850" s="7">
        <v>-1.0E-4</v>
      </c>
      <c r="I850" s="7">
        <v>0.26088</v>
      </c>
      <c r="J850" s="7">
        <v>-0.2783</v>
      </c>
      <c r="K850" s="8"/>
      <c r="L850" s="8"/>
    </row>
    <row r="851" ht="13.5" customHeight="1">
      <c r="A851" s="7" t="s">
        <v>355</v>
      </c>
      <c r="B851" s="7">
        <v>1.75</v>
      </c>
      <c r="C851" s="7" t="s">
        <v>360</v>
      </c>
      <c r="D851" s="7" t="s">
        <v>357</v>
      </c>
      <c r="E851" s="7">
        <v>-2.0317</v>
      </c>
      <c r="F851" s="7">
        <v>-0.0668</v>
      </c>
      <c r="G851" s="7">
        <v>0.1449</v>
      </c>
      <c r="H851" s="7">
        <v>-1.0E-4</v>
      </c>
      <c r="I851" s="7">
        <v>0.00726</v>
      </c>
      <c r="J851" s="7">
        <v>0.14492</v>
      </c>
      <c r="K851" s="8"/>
      <c r="L851" s="8"/>
    </row>
    <row r="852" ht="13.5" customHeight="1">
      <c r="A852" s="7" t="s">
        <v>355</v>
      </c>
      <c r="B852" s="7">
        <v>3.5</v>
      </c>
      <c r="C852" s="7" t="s">
        <v>360</v>
      </c>
      <c r="D852" s="7" t="s">
        <v>357</v>
      </c>
      <c r="E852" s="7">
        <v>-1.8392</v>
      </c>
      <c r="F852" s="7">
        <v>0.2832</v>
      </c>
      <c r="G852" s="7">
        <v>0.1449</v>
      </c>
      <c r="H852" s="7">
        <v>-1.0E-4</v>
      </c>
      <c r="I852" s="7">
        <v>-0.24635</v>
      </c>
      <c r="J852" s="7">
        <v>-0.04436</v>
      </c>
      <c r="K852" s="8"/>
      <c r="L852" s="8"/>
    </row>
    <row r="853" ht="13.5" customHeight="1">
      <c r="A853" s="7" t="s">
        <v>355</v>
      </c>
      <c r="B853" s="7">
        <v>0.0</v>
      </c>
      <c r="C853" s="7" t="s">
        <v>361</v>
      </c>
      <c r="D853" s="7" t="s">
        <v>357</v>
      </c>
      <c r="E853" s="7">
        <v>-2.3504</v>
      </c>
      <c r="F853" s="7">
        <v>0.1032</v>
      </c>
      <c r="G853" s="7">
        <v>0.543</v>
      </c>
      <c r="H853" s="7">
        <v>-5.023E-5</v>
      </c>
      <c r="I853" s="7">
        <v>0.6198</v>
      </c>
      <c r="J853" s="7">
        <v>0.1811</v>
      </c>
      <c r="K853" s="8"/>
      <c r="L853" s="8"/>
    </row>
    <row r="854" ht="13.5" customHeight="1">
      <c r="A854" s="7" t="s">
        <v>355</v>
      </c>
      <c r="B854" s="7">
        <v>1.75</v>
      </c>
      <c r="C854" s="7" t="s">
        <v>361</v>
      </c>
      <c r="D854" s="7" t="s">
        <v>357</v>
      </c>
      <c r="E854" s="7">
        <v>-2.1579</v>
      </c>
      <c r="F854" s="7">
        <v>0.1032</v>
      </c>
      <c r="G854" s="7">
        <v>0.2805</v>
      </c>
      <c r="H854" s="7">
        <v>-5.023E-5</v>
      </c>
      <c r="I854" s="7">
        <v>-0.10072</v>
      </c>
      <c r="J854" s="7">
        <v>5.0E-4</v>
      </c>
      <c r="K854" s="8"/>
      <c r="L854" s="8"/>
    </row>
    <row r="855" ht="13.5" customHeight="1">
      <c r="A855" s="7" t="s">
        <v>355</v>
      </c>
      <c r="B855" s="7">
        <v>3.5</v>
      </c>
      <c r="C855" s="7" t="s">
        <v>361</v>
      </c>
      <c r="D855" s="7" t="s">
        <v>357</v>
      </c>
      <c r="E855" s="7">
        <v>-1.9654</v>
      </c>
      <c r="F855" s="7">
        <v>0.1032</v>
      </c>
      <c r="G855" s="7">
        <v>0.018</v>
      </c>
      <c r="H855" s="7">
        <v>-5.023E-5</v>
      </c>
      <c r="I855" s="7">
        <v>-0.36187</v>
      </c>
      <c r="J855" s="7">
        <v>-0.1801</v>
      </c>
      <c r="K855" s="8"/>
      <c r="L855" s="8"/>
    </row>
    <row r="856" ht="13.5" customHeight="1">
      <c r="A856" s="7" t="s">
        <v>355</v>
      </c>
      <c r="B856" s="7">
        <v>0.0</v>
      </c>
      <c r="C856" s="7" t="s">
        <v>362</v>
      </c>
      <c r="D856" s="7" t="s">
        <v>357</v>
      </c>
      <c r="E856" s="7">
        <v>-2.9763</v>
      </c>
      <c r="F856" s="7">
        <v>0.1511</v>
      </c>
      <c r="G856" s="7">
        <v>0.5726</v>
      </c>
      <c r="H856" s="7">
        <v>-6.635E-5</v>
      </c>
      <c r="I856" s="7">
        <v>0.70135</v>
      </c>
      <c r="J856" s="7">
        <v>0.2599</v>
      </c>
      <c r="K856" s="8"/>
      <c r="L856" s="8"/>
    </row>
    <row r="857" ht="13.5" customHeight="1">
      <c r="A857" s="7" t="s">
        <v>355</v>
      </c>
      <c r="B857" s="7">
        <v>1.75</v>
      </c>
      <c r="C857" s="7" t="s">
        <v>362</v>
      </c>
      <c r="D857" s="7" t="s">
        <v>357</v>
      </c>
      <c r="E857" s="7">
        <v>-2.7838</v>
      </c>
      <c r="F857" s="7">
        <v>0.1511</v>
      </c>
      <c r="G857" s="7">
        <v>0.3364</v>
      </c>
      <c r="H857" s="7">
        <v>-6.635E-5</v>
      </c>
      <c r="I857" s="7">
        <v>-0.09402</v>
      </c>
      <c r="J857" s="7">
        <v>-0.00458</v>
      </c>
      <c r="K857" s="8"/>
      <c r="L857" s="8"/>
    </row>
    <row r="858" ht="13.5" customHeight="1">
      <c r="A858" s="7" t="s">
        <v>355</v>
      </c>
      <c r="B858" s="7">
        <v>3.5</v>
      </c>
      <c r="C858" s="7" t="s">
        <v>362</v>
      </c>
      <c r="D858" s="7" t="s">
        <v>357</v>
      </c>
      <c r="E858" s="7">
        <v>-2.5913</v>
      </c>
      <c r="F858" s="7">
        <v>0.1511</v>
      </c>
      <c r="G858" s="7">
        <v>0.1001</v>
      </c>
      <c r="H858" s="7">
        <v>-6.635E-5</v>
      </c>
      <c r="I858" s="7">
        <v>-0.47595</v>
      </c>
      <c r="J858" s="7">
        <v>-0.26906</v>
      </c>
      <c r="K858" s="8"/>
      <c r="L858" s="8"/>
    </row>
    <row r="859" ht="13.5" customHeight="1">
      <c r="A859" s="7" t="s">
        <v>355</v>
      </c>
      <c r="B859" s="7">
        <v>0.0</v>
      </c>
      <c r="C859" s="7" t="s">
        <v>363</v>
      </c>
      <c r="D859" s="7" t="s">
        <v>357</v>
      </c>
      <c r="E859" s="7">
        <v>-2.8627</v>
      </c>
      <c r="F859" s="7">
        <v>-0.3169</v>
      </c>
      <c r="G859" s="7">
        <v>0.2144</v>
      </c>
      <c r="H859" s="7">
        <v>-1.1E-4</v>
      </c>
      <c r="I859" s="7">
        <v>0.37832</v>
      </c>
      <c r="J859" s="7">
        <v>-0.15355</v>
      </c>
      <c r="K859" s="8"/>
      <c r="L859" s="8"/>
    </row>
    <row r="860" ht="13.5" customHeight="1">
      <c r="A860" s="7" t="s">
        <v>355</v>
      </c>
      <c r="B860" s="7">
        <v>1.75</v>
      </c>
      <c r="C860" s="7" t="s">
        <v>363</v>
      </c>
      <c r="D860" s="7" t="s">
        <v>357</v>
      </c>
      <c r="E860" s="7">
        <v>-2.6702</v>
      </c>
      <c r="F860" s="7">
        <v>-0.0019</v>
      </c>
      <c r="G860" s="7">
        <v>0.2144</v>
      </c>
      <c r="H860" s="7">
        <v>-1.1E-4</v>
      </c>
      <c r="I860" s="7">
        <v>0.00317</v>
      </c>
      <c r="J860" s="7">
        <v>0.1254</v>
      </c>
      <c r="K860" s="8"/>
      <c r="L860" s="8"/>
    </row>
    <row r="861" ht="13.5" customHeight="1">
      <c r="A861" s="7" t="s">
        <v>355</v>
      </c>
      <c r="B861" s="7">
        <v>3.5</v>
      </c>
      <c r="C861" s="7" t="s">
        <v>363</v>
      </c>
      <c r="D861" s="7" t="s">
        <v>357</v>
      </c>
      <c r="E861" s="7">
        <v>-2.4777</v>
      </c>
      <c r="F861" s="7">
        <v>0.3131</v>
      </c>
      <c r="G861" s="7">
        <v>0.2144</v>
      </c>
      <c r="H861" s="7">
        <v>-1.1E-4</v>
      </c>
      <c r="I861" s="7">
        <v>-0.37198</v>
      </c>
      <c r="J861" s="7">
        <v>-0.1469</v>
      </c>
      <c r="K861" s="8"/>
      <c r="L861" s="8"/>
    </row>
    <row r="862" ht="13.5" customHeight="1">
      <c r="A862" s="7" t="s">
        <v>355</v>
      </c>
      <c r="B862" s="7">
        <v>0.0</v>
      </c>
      <c r="C862" s="7" t="s">
        <v>356</v>
      </c>
      <c r="D862" s="7" t="s">
        <v>357</v>
      </c>
      <c r="E862" s="7">
        <v>-2.9982</v>
      </c>
      <c r="F862" s="7">
        <v>0.5349</v>
      </c>
      <c r="G862" s="7">
        <v>0.2183</v>
      </c>
      <c r="H862" s="7">
        <v>-3.978E-5</v>
      </c>
      <c r="I862" s="7">
        <v>0.3871</v>
      </c>
      <c r="J862" s="7">
        <v>0.61695</v>
      </c>
      <c r="K862" s="8"/>
      <c r="L862" s="8"/>
    </row>
    <row r="863" ht="13.5" customHeight="1">
      <c r="A863" s="7" t="s">
        <v>355</v>
      </c>
      <c r="B863" s="7">
        <v>1.75</v>
      </c>
      <c r="C863" s="7" t="s">
        <v>356</v>
      </c>
      <c r="D863" s="7" t="s">
        <v>357</v>
      </c>
      <c r="E863" s="7">
        <v>-2.8057</v>
      </c>
      <c r="F863" s="7">
        <v>0.2987</v>
      </c>
      <c r="G863" s="7">
        <v>0.2183</v>
      </c>
      <c r="H863" s="7">
        <v>-3.978E-5</v>
      </c>
      <c r="I863" s="7">
        <v>0.0051</v>
      </c>
      <c r="J863" s="7">
        <v>-0.11241</v>
      </c>
      <c r="K863" s="8"/>
      <c r="L863" s="8"/>
    </row>
    <row r="864" ht="13.5" customHeight="1">
      <c r="A864" s="7" t="s">
        <v>355</v>
      </c>
      <c r="B864" s="7">
        <v>3.5</v>
      </c>
      <c r="C864" s="7" t="s">
        <v>356</v>
      </c>
      <c r="D864" s="7" t="s">
        <v>357</v>
      </c>
      <c r="E864" s="7">
        <v>-2.6132</v>
      </c>
      <c r="F864" s="7">
        <v>0.0624</v>
      </c>
      <c r="G864" s="7">
        <v>0.2183</v>
      </c>
      <c r="H864" s="7">
        <v>-3.978E-5</v>
      </c>
      <c r="I864" s="7">
        <v>-0.3769</v>
      </c>
      <c r="J864" s="7">
        <v>-0.42834</v>
      </c>
      <c r="K864" s="8"/>
      <c r="L864" s="8"/>
    </row>
    <row r="865" ht="13.5" customHeight="1">
      <c r="A865" s="7" t="s">
        <v>355</v>
      </c>
      <c r="B865" s="7">
        <v>0.0</v>
      </c>
      <c r="C865" s="7" t="s">
        <v>358</v>
      </c>
      <c r="D865" s="7" t="s">
        <v>357</v>
      </c>
      <c r="E865" s="7">
        <v>-2.9937</v>
      </c>
      <c r="F865" s="7">
        <v>0.1555</v>
      </c>
      <c r="G865" s="7">
        <v>0.224</v>
      </c>
      <c r="H865" s="7">
        <v>-5.8E-5</v>
      </c>
      <c r="I865" s="7">
        <v>0.39565</v>
      </c>
      <c r="J865" s="7">
        <v>0.26636</v>
      </c>
      <c r="K865" s="8"/>
      <c r="L865" s="8"/>
    </row>
    <row r="866" ht="13.5" customHeight="1">
      <c r="A866" s="7" t="s">
        <v>355</v>
      </c>
      <c r="B866" s="7">
        <v>1.75</v>
      </c>
      <c r="C866" s="7" t="s">
        <v>358</v>
      </c>
      <c r="D866" s="7" t="s">
        <v>357</v>
      </c>
      <c r="E866" s="7">
        <v>-2.8012</v>
      </c>
      <c r="F866" s="7">
        <v>0.1555</v>
      </c>
      <c r="G866" s="7">
        <v>0.224</v>
      </c>
      <c r="H866" s="7">
        <v>-5.8E-5</v>
      </c>
      <c r="I866" s="7">
        <v>0.00367</v>
      </c>
      <c r="J866" s="7">
        <v>-0.00569</v>
      </c>
      <c r="K866" s="8"/>
      <c r="L866" s="8"/>
    </row>
    <row r="867" ht="13.5" customHeight="1">
      <c r="A867" s="7" t="s">
        <v>355</v>
      </c>
      <c r="B867" s="7">
        <v>3.5</v>
      </c>
      <c r="C867" s="7" t="s">
        <v>358</v>
      </c>
      <c r="D867" s="7" t="s">
        <v>357</v>
      </c>
      <c r="E867" s="7">
        <v>-2.6087</v>
      </c>
      <c r="F867" s="7">
        <v>0.1555</v>
      </c>
      <c r="G867" s="7">
        <v>0.224</v>
      </c>
      <c r="H867" s="7">
        <v>-5.8E-5</v>
      </c>
      <c r="I867" s="7">
        <v>-0.3883</v>
      </c>
      <c r="J867" s="7">
        <v>-0.27774</v>
      </c>
      <c r="K867" s="8"/>
      <c r="L867" s="8"/>
    </row>
    <row r="868" ht="13.5" customHeight="1">
      <c r="A868" s="7" t="s">
        <v>355</v>
      </c>
      <c r="B868" s="7">
        <v>0.0</v>
      </c>
      <c r="C868" s="7" t="s">
        <v>359</v>
      </c>
      <c r="D868" s="7" t="s">
        <v>357</v>
      </c>
      <c r="E868" s="7">
        <v>-2.3747</v>
      </c>
      <c r="F868" s="7">
        <v>0.5296</v>
      </c>
      <c r="G868" s="7">
        <v>0.1493</v>
      </c>
      <c r="H868" s="7">
        <v>-2.071E-5</v>
      </c>
      <c r="I868" s="7">
        <v>0.27064</v>
      </c>
      <c r="J868" s="7">
        <v>0.57781</v>
      </c>
      <c r="K868" s="8"/>
      <c r="L868" s="8"/>
    </row>
    <row r="869" ht="13.5" customHeight="1">
      <c r="A869" s="7" t="s">
        <v>355</v>
      </c>
      <c r="B869" s="7">
        <v>1.75</v>
      </c>
      <c r="C869" s="7" t="s">
        <v>359</v>
      </c>
      <c r="D869" s="7" t="s">
        <v>357</v>
      </c>
      <c r="E869" s="7">
        <v>-2.1822</v>
      </c>
      <c r="F869" s="7">
        <v>0.2671</v>
      </c>
      <c r="G869" s="7">
        <v>0.1493</v>
      </c>
      <c r="H869" s="7">
        <v>-2.071E-5</v>
      </c>
      <c r="I869" s="7">
        <v>0.00941</v>
      </c>
      <c r="J869" s="7">
        <v>-0.11932</v>
      </c>
      <c r="K869" s="8"/>
      <c r="L869" s="8"/>
    </row>
    <row r="870" ht="13.5" customHeight="1">
      <c r="A870" s="7" t="s">
        <v>355</v>
      </c>
      <c r="B870" s="7">
        <v>3.5</v>
      </c>
      <c r="C870" s="7" t="s">
        <v>359</v>
      </c>
      <c r="D870" s="7" t="s">
        <v>357</v>
      </c>
      <c r="E870" s="7">
        <v>-1.9897</v>
      </c>
      <c r="F870" s="7">
        <v>0.0046</v>
      </c>
      <c r="G870" s="7">
        <v>0.1493</v>
      </c>
      <c r="H870" s="7">
        <v>-2.071E-5</v>
      </c>
      <c r="I870" s="7">
        <v>-0.25181</v>
      </c>
      <c r="J870" s="7">
        <v>-0.35707</v>
      </c>
      <c r="K870" s="8"/>
      <c r="L870" s="8"/>
    </row>
    <row r="871" ht="13.5" customHeight="1">
      <c r="A871" s="7" t="s">
        <v>355</v>
      </c>
      <c r="B871" s="7">
        <v>0.0</v>
      </c>
      <c r="C871" s="7" t="s">
        <v>360</v>
      </c>
      <c r="D871" s="7" t="s">
        <v>357</v>
      </c>
      <c r="E871" s="7">
        <v>-2.2242</v>
      </c>
      <c r="F871" s="7">
        <v>-0.4168</v>
      </c>
      <c r="G871" s="7">
        <v>0.1449</v>
      </c>
      <c r="H871" s="7">
        <v>-1.0E-4</v>
      </c>
      <c r="I871" s="7">
        <v>0.26088</v>
      </c>
      <c r="J871" s="7">
        <v>-0.2783</v>
      </c>
      <c r="K871" s="8"/>
      <c r="L871" s="8"/>
    </row>
    <row r="872" ht="13.5" customHeight="1">
      <c r="A872" s="7" t="s">
        <v>355</v>
      </c>
      <c r="B872" s="7">
        <v>1.75</v>
      </c>
      <c r="C872" s="7" t="s">
        <v>360</v>
      </c>
      <c r="D872" s="7" t="s">
        <v>357</v>
      </c>
      <c r="E872" s="7">
        <v>-2.0317</v>
      </c>
      <c r="F872" s="7">
        <v>-0.0668</v>
      </c>
      <c r="G872" s="7">
        <v>0.1449</v>
      </c>
      <c r="H872" s="7">
        <v>-1.0E-4</v>
      </c>
      <c r="I872" s="7">
        <v>0.00726</v>
      </c>
      <c r="J872" s="7">
        <v>0.14492</v>
      </c>
      <c r="K872" s="8"/>
      <c r="L872" s="8"/>
    </row>
    <row r="873" ht="13.5" customHeight="1">
      <c r="A873" s="7" t="s">
        <v>355</v>
      </c>
      <c r="B873" s="7">
        <v>3.5</v>
      </c>
      <c r="C873" s="7" t="s">
        <v>360</v>
      </c>
      <c r="D873" s="7" t="s">
        <v>357</v>
      </c>
      <c r="E873" s="7">
        <v>-1.8392</v>
      </c>
      <c r="F873" s="7">
        <v>0.2832</v>
      </c>
      <c r="G873" s="7">
        <v>0.1449</v>
      </c>
      <c r="H873" s="7">
        <v>-1.0E-4</v>
      </c>
      <c r="I873" s="7">
        <v>-0.24635</v>
      </c>
      <c r="J873" s="7">
        <v>-0.04436</v>
      </c>
      <c r="K873" s="8"/>
      <c r="L873" s="8"/>
    </row>
    <row r="874" ht="13.5" customHeight="1">
      <c r="A874" s="7" t="s">
        <v>355</v>
      </c>
      <c r="B874" s="7">
        <v>0.0</v>
      </c>
      <c r="C874" s="7" t="s">
        <v>361</v>
      </c>
      <c r="D874" s="7" t="s">
        <v>357</v>
      </c>
      <c r="E874" s="7">
        <v>-2.3504</v>
      </c>
      <c r="F874" s="7">
        <v>0.1032</v>
      </c>
      <c r="G874" s="7">
        <v>0.543</v>
      </c>
      <c r="H874" s="7">
        <v>-5.023E-5</v>
      </c>
      <c r="I874" s="7">
        <v>0.6198</v>
      </c>
      <c r="J874" s="7">
        <v>0.1811</v>
      </c>
      <c r="K874" s="8"/>
      <c r="L874" s="8"/>
    </row>
    <row r="875" ht="13.5" customHeight="1">
      <c r="A875" s="7" t="s">
        <v>355</v>
      </c>
      <c r="B875" s="7">
        <v>1.75</v>
      </c>
      <c r="C875" s="7" t="s">
        <v>361</v>
      </c>
      <c r="D875" s="7" t="s">
        <v>357</v>
      </c>
      <c r="E875" s="7">
        <v>-2.1579</v>
      </c>
      <c r="F875" s="7">
        <v>0.1032</v>
      </c>
      <c r="G875" s="7">
        <v>0.2805</v>
      </c>
      <c r="H875" s="7">
        <v>-5.023E-5</v>
      </c>
      <c r="I875" s="7">
        <v>-0.10072</v>
      </c>
      <c r="J875" s="7">
        <v>5.0E-4</v>
      </c>
      <c r="K875" s="8"/>
      <c r="L875" s="8"/>
    </row>
    <row r="876" ht="13.5" customHeight="1">
      <c r="A876" s="7" t="s">
        <v>355</v>
      </c>
      <c r="B876" s="7">
        <v>3.5</v>
      </c>
      <c r="C876" s="7" t="s">
        <v>361</v>
      </c>
      <c r="D876" s="7" t="s">
        <v>357</v>
      </c>
      <c r="E876" s="7">
        <v>-1.9654</v>
      </c>
      <c r="F876" s="7">
        <v>0.1032</v>
      </c>
      <c r="G876" s="7">
        <v>0.018</v>
      </c>
      <c r="H876" s="7">
        <v>-5.023E-5</v>
      </c>
      <c r="I876" s="7">
        <v>-0.36187</v>
      </c>
      <c r="J876" s="7">
        <v>-0.1801</v>
      </c>
      <c r="K876" s="8"/>
      <c r="L876" s="8"/>
    </row>
    <row r="877" ht="13.5" customHeight="1">
      <c r="A877" s="7" t="s">
        <v>355</v>
      </c>
      <c r="B877" s="7">
        <v>0.0</v>
      </c>
      <c r="C877" s="7" t="s">
        <v>362</v>
      </c>
      <c r="D877" s="7" t="s">
        <v>357</v>
      </c>
      <c r="E877" s="7">
        <v>-2.9763</v>
      </c>
      <c r="F877" s="7">
        <v>0.1511</v>
      </c>
      <c r="G877" s="7">
        <v>0.5726</v>
      </c>
      <c r="H877" s="7">
        <v>-6.635E-5</v>
      </c>
      <c r="I877" s="7">
        <v>0.70135</v>
      </c>
      <c r="J877" s="7">
        <v>0.2599</v>
      </c>
      <c r="K877" s="8"/>
      <c r="L877" s="8"/>
    </row>
    <row r="878" ht="13.5" customHeight="1">
      <c r="A878" s="7" t="s">
        <v>355</v>
      </c>
      <c r="B878" s="7">
        <v>1.75</v>
      </c>
      <c r="C878" s="7" t="s">
        <v>362</v>
      </c>
      <c r="D878" s="7" t="s">
        <v>357</v>
      </c>
      <c r="E878" s="7">
        <v>-2.7838</v>
      </c>
      <c r="F878" s="7">
        <v>0.1511</v>
      </c>
      <c r="G878" s="7">
        <v>0.3364</v>
      </c>
      <c r="H878" s="7">
        <v>-6.635E-5</v>
      </c>
      <c r="I878" s="7">
        <v>-0.09402</v>
      </c>
      <c r="J878" s="7">
        <v>-0.00458</v>
      </c>
      <c r="K878" s="8"/>
      <c r="L878" s="8"/>
    </row>
    <row r="879" ht="13.5" customHeight="1">
      <c r="A879" s="7" t="s">
        <v>355</v>
      </c>
      <c r="B879" s="7">
        <v>3.5</v>
      </c>
      <c r="C879" s="7" t="s">
        <v>362</v>
      </c>
      <c r="D879" s="7" t="s">
        <v>357</v>
      </c>
      <c r="E879" s="7">
        <v>-2.5913</v>
      </c>
      <c r="F879" s="7">
        <v>0.1511</v>
      </c>
      <c r="G879" s="7">
        <v>0.1001</v>
      </c>
      <c r="H879" s="7">
        <v>-6.635E-5</v>
      </c>
      <c r="I879" s="7">
        <v>-0.47595</v>
      </c>
      <c r="J879" s="7">
        <v>-0.26906</v>
      </c>
      <c r="K879" s="8"/>
      <c r="L879" s="8"/>
    </row>
    <row r="880" ht="13.5" customHeight="1">
      <c r="A880" s="7" t="s">
        <v>355</v>
      </c>
      <c r="B880" s="7">
        <v>0.0</v>
      </c>
      <c r="C880" s="7" t="s">
        <v>363</v>
      </c>
      <c r="D880" s="7" t="s">
        <v>357</v>
      </c>
      <c r="E880" s="7">
        <v>-2.8627</v>
      </c>
      <c r="F880" s="7">
        <v>-0.3169</v>
      </c>
      <c r="G880" s="7">
        <v>0.2144</v>
      </c>
      <c r="H880" s="7">
        <v>-1.1E-4</v>
      </c>
      <c r="I880" s="7">
        <v>0.37832</v>
      </c>
      <c r="J880" s="7">
        <v>-0.15355</v>
      </c>
      <c r="K880" s="8"/>
      <c r="L880" s="8"/>
    </row>
    <row r="881" ht="13.5" customHeight="1">
      <c r="A881" s="7" t="s">
        <v>355</v>
      </c>
      <c r="B881" s="7">
        <v>1.75</v>
      </c>
      <c r="C881" s="7" t="s">
        <v>363</v>
      </c>
      <c r="D881" s="7" t="s">
        <v>357</v>
      </c>
      <c r="E881" s="7">
        <v>-2.6702</v>
      </c>
      <c r="F881" s="7">
        <v>-0.0019</v>
      </c>
      <c r="G881" s="7">
        <v>0.2144</v>
      </c>
      <c r="H881" s="7">
        <v>-1.1E-4</v>
      </c>
      <c r="I881" s="7">
        <v>0.00317</v>
      </c>
      <c r="J881" s="7">
        <v>0.1254</v>
      </c>
      <c r="K881" s="8"/>
      <c r="L881" s="8"/>
    </row>
    <row r="882" ht="13.5" customHeight="1">
      <c r="A882" s="7" t="s">
        <v>355</v>
      </c>
      <c r="B882" s="7">
        <v>3.5</v>
      </c>
      <c r="C882" s="7" t="s">
        <v>363</v>
      </c>
      <c r="D882" s="7" t="s">
        <v>357</v>
      </c>
      <c r="E882" s="7">
        <v>-2.4777</v>
      </c>
      <c r="F882" s="7">
        <v>0.3131</v>
      </c>
      <c r="G882" s="7">
        <v>0.2144</v>
      </c>
      <c r="H882" s="7">
        <v>-1.1E-4</v>
      </c>
      <c r="I882" s="7">
        <v>-0.37198</v>
      </c>
      <c r="J882" s="7">
        <v>-0.1469</v>
      </c>
      <c r="K882" s="8"/>
      <c r="L882" s="8"/>
    </row>
    <row r="883" ht="13.5" customHeight="1">
      <c r="A883" s="7" t="s">
        <v>355</v>
      </c>
      <c r="B883" s="7">
        <v>0.0</v>
      </c>
      <c r="C883" s="7" t="s">
        <v>356</v>
      </c>
      <c r="D883" s="7" t="s">
        <v>357</v>
      </c>
      <c r="E883" s="7">
        <v>-2.9982</v>
      </c>
      <c r="F883" s="7">
        <v>0.5349</v>
      </c>
      <c r="G883" s="7">
        <v>0.2183</v>
      </c>
      <c r="H883" s="7">
        <v>-3.978E-5</v>
      </c>
      <c r="I883" s="7">
        <v>0.3871</v>
      </c>
      <c r="J883" s="7">
        <v>0.61695</v>
      </c>
      <c r="K883" s="8"/>
      <c r="L883" s="8"/>
    </row>
    <row r="884" ht="13.5" customHeight="1">
      <c r="A884" s="7" t="s">
        <v>355</v>
      </c>
      <c r="B884" s="7">
        <v>1.75</v>
      </c>
      <c r="C884" s="7" t="s">
        <v>356</v>
      </c>
      <c r="D884" s="7" t="s">
        <v>357</v>
      </c>
      <c r="E884" s="7">
        <v>-2.8057</v>
      </c>
      <c r="F884" s="7">
        <v>0.2987</v>
      </c>
      <c r="G884" s="7">
        <v>0.2183</v>
      </c>
      <c r="H884" s="7">
        <v>-3.978E-5</v>
      </c>
      <c r="I884" s="7">
        <v>0.0051</v>
      </c>
      <c r="J884" s="7">
        <v>-0.11241</v>
      </c>
      <c r="K884" s="8"/>
      <c r="L884" s="8"/>
    </row>
    <row r="885" ht="13.5" customHeight="1">
      <c r="A885" s="7" t="s">
        <v>355</v>
      </c>
      <c r="B885" s="7">
        <v>3.5</v>
      </c>
      <c r="C885" s="7" t="s">
        <v>356</v>
      </c>
      <c r="D885" s="7" t="s">
        <v>357</v>
      </c>
      <c r="E885" s="7">
        <v>-2.6132</v>
      </c>
      <c r="F885" s="7">
        <v>0.0624</v>
      </c>
      <c r="G885" s="7">
        <v>0.2183</v>
      </c>
      <c r="H885" s="7">
        <v>-3.978E-5</v>
      </c>
      <c r="I885" s="7">
        <v>-0.3769</v>
      </c>
      <c r="J885" s="7">
        <v>-0.42834</v>
      </c>
      <c r="K885" s="8"/>
      <c r="L885" s="8"/>
    </row>
    <row r="886" ht="13.5" customHeight="1">
      <c r="A886" s="7" t="s">
        <v>355</v>
      </c>
      <c r="B886" s="7">
        <v>0.0</v>
      </c>
      <c r="C886" s="7" t="s">
        <v>358</v>
      </c>
      <c r="D886" s="7" t="s">
        <v>357</v>
      </c>
      <c r="E886" s="7">
        <v>-2.9937</v>
      </c>
      <c r="F886" s="7">
        <v>0.1555</v>
      </c>
      <c r="G886" s="7">
        <v>0.224</v>
      </c>
      <c r="H886" s="7">
        <v>-5.8E-5</v>
      </c>
      <c r="I886" s="7">
        <v>0.39565</v>
      </c>
      <c r="J886" s="7">
        <v>0.26636</v>
      </c>
      <c r="K886" s="8"/>
      <c r="L886" s="8"/>
    </row>
    <row r="887" ht="13.5" customHeight="1">
      <c r="A887" s="7" t="s">
        <v>355</v>
      </c>
      <c r="B887" s="7">
        <v>1.75</v>
      </c>
      <c r="C887" s="7" t="s">
        <v>358</v>
      </c>
      <c r="D887" s="7" t="s">
        <v>357</v>
      </c>
      <c r="E887" s="7">
        <v>-2.8012</v>
      </c>
      <c r="F887" s="7">
        <v>0.1555</v>
      </c>
      <c r="G887" s="7">
        <v>0.224</v>
      </c>
      <c r="H887" s="7">
        <v>-5.8E-5</v>
      </c>
      <c r="I887" s="7">
        <v>0.00367</v>
      </c>
      <c r="J887" s="7">
        <v>-0.00569</v>
      </c>
      <c r="K887" s="8"/>
      <c r="L887" s="8"/>
    </row>
    <row r="888" ht="13.5" customHeight="1">
      <c r="A888" s="7" t="s">
        <v>355</v>
      </c>
      <c r="B888" s="7">
        <v>3.5</v>
      </c>
      <c r="C888" s="7" t="s">
        <v>358</v>
      </c>
      <c r="D888" s="7" t="s">
        <v>357</v>
      </c>
      <c r="E888" s="7">
        <v>-2.6087</v>
      </c>
      <c r="F888" s="7">
        <v>0.1555</v>
      </c>
      <c r="G888" s="7">
        <v>0.224</v>
      </c>
      <c r="H888" s="7">
        <v>-5.8E-5</v>
      </c>
      <c r="I888" s="7">
        <v>-0.3883</v>
      </c>
      <c r="J888" s="7">
        <v>-0.27774</v>
      </c>
      <c r="K888" s="8"/>
      <c r="L888" s="8"/>
    </row>
    <row r="889" ht="13.5" customHeight="1">
      <c r="A889" s="7" t="s">
        <v>355</v>
      </c>
      <c r="B889" s="7">
        <v>0.0</v>
      </c>
      <c r="C889" s="7" t="s">
        <v>359</v>
      </c>
      <c r="D889" s="7" t="s">
        <v>357</v>
      </c>
      <c r="E889" s="7">
        <v>-2.3747</v>
      </c>
      <c r="F889" s="7">
        <v>0.5296</v>
      </c>
      <c r="G889" s="7">
        <v>0.1493</v>
      </c>
      <c r="H889" s="7">
        <v>-2.071E-5</v>
      </c>
      <c r="I889" s="7">
        <v>0.27064</v>
      </c>
      <c r="J889" s="7">
        <v>0.57781</v>
      </c>
      <c r="K889" s="8"/>
      <c r="L889" s="8"/>
    </row>
    <row r="890" ht="13.5" customHeight="1">
      <c r="A890" s="7" t="s">
        <v>355</v>
      </c>
      <c r="B890" s="7">
        <v>1.75</v>
      </c>
      <c r="C890" s="7" t="s">
        <v>359</v>
      </c>
      <c r="D890" s="7" t="s">
        <v>357</v>
      </c>
      <c r="E890" s="7">
        <v>-2.1822</v>
      </c>
      <c r="F890" s="7">
        <v>0.2671</v>
      </c>
      <c r="G890" s="7">
        <v>0.1493</v>
      </c>
      <c r="H890" s="7">
        <v>-2.071E-5</v>
      </c>
      <c r="I890" s="7">
        <v>0.00941</v>
      </c>
      <c r="J890" s="7">
        <v>-0.11932</v>
      </c>
      <c r="K890" s="8"/>
      <c r="L890" s="8"/>
    </row>
    <row r="891" ht="13.5" customHeight="1">
      <c r="A891" s="7" t="s">
        <v>355</v>
      </c>
      <c r="B891" s="7">
        <v>3.5</v>
      </c>
      <c r="C891" s="7" t="s">
        <v>359</v>
      </c>
      <c r="D891" s="7" t="s">
        <v>357</v>
      </c>
      <c r="E891" s="7">
        <v>-1.9897</v>
      </c>
      <c r="F891" s="7">
        <v>0.0046</v>
      </c>
      <c r="G891" s="7">
        <v>0.1493</v>
      </c>
      <c r="H891" s="7">
        <v>-2.071E-5</v>
      </c>
      <c r="I891" s="7">
        <v>-0.25181</v>
      </c>
      <c r="J891" s="7">
        <v>-0.35707</v>
      </c>
      <c r="K891" s="8"/>
      <c r="L891" s="8"/>
    </row>
    <row r="892" ht="13.5" customHeight="1">
      <c r="A892" s="7" t="s">
        <v>355</v>
      </c>
      <c r="B892" s="7">
        <v>0.0</v>
      </c>
      <c r="C892" s="7" t="s">
        <v>360</v>
      </c>
      <c r="D892" s="7" t="s">
        <v>357</v>
      </c>
      <c r="E892" s="7">
        <v>-2.2242</v>
      </c>
      <c r="F892" s="7">
        <v>-0.4168</v>
      </c>
      <c r="G892" s="7">
        <v>0.1449</v>
      </c>
      <c r="H892" s="7">
        <v>-1.0E-4</v>
      </c>
      <c r="I892" s="7">
        <v>0.26088</v>
      </c>
      <c r="J892" s="7">
        <v>-0.2783</v>
      </c>
      <c r="K892" s="8"/>
      <c r="L892" s="8"/>
    </row>
    <row r="893" ht="13.5" customHeight="1">
      <c r="A893" s="7" t="s">
        <v>355</v>
      </c>
      <c r="B893" s="7">
        <v>1.75</v>
      </c>
      <c r="C893" s="7" t="s">
        <v>360</v>
      </c>
      <c r="D893" s="7" t="s">
        <v>357</v>
      </c>
      <c r="E893" s="7">
        <v>-2.0317</v>
      </c>
      <c r="F893" s="7">
        <v>-0.0668</v>
      </c>
      <c r="G893" s="7">
        <v>0.1449</v>
      </c>
      <c r="H893" s="7">
        <v>-1.0E-4</v>
      </c>
      <c r="I893" s="7">
        <v>0.00726</v>
      </c>
      <c r="J893" s="7">
        <v>0.14492</v>
      </c>
      <c r="K893" s="8"/>
      <c r="L893" s="8"/>
    </row>
    <row r="894" ht="13.5" customHeight="1">
      <c r="A894" s="7" t="s">
        <v>355</v>
      </c>
      <c r="B894" s="7">
        <v>3.5</v>
      </c>
      <c r="C894" s="7" t="s">
        <v>360</v>
      </c>
      <c r="D894" s="7" t="s">
        <v>357</v>
      </c>
      <c r="E894" s="7">
        <v>-1.8392</v>
      </c>
      <c r="F894" s="7">
        <v>0.2832</v>
      </c>
      <c r="G894" s="7">
        <v>0.1449</v>
      </c>
      <c r="H894" s="7">
        <v>-1.0E-4</v>
      </c>
      <c r="I894" s="7">
        <v>-0.24635</v>
      </c>
      <c r="J894" s="7">
        <v>-0.04436</v>
      </c>
      <c r="K894" s="8"/>
      <c r="L894" s="8"/>
    </row>
    <row r="895" ht="13.5" customHeight="1">
      <c r="A895" s="7" t="s">
        <v>355</v>
      </c>
      <c r="B895" s="7">
        <v>0.0</v>
      </c>
      <c r="C895" s="7" t="s">
        <v>361</v>
      </c>
      <c r="D895" s="7" t="s">
        <v>357</v>
      </c>
      <c r="E895" s="7">
        <v>-2.3504</v>
      </c>
      <c r="F895" s="7">
        <v>0.1032</v>
      </c>
      <c r="G895" s="7">
        <v>0.543</v>
      </c>
      <c r="H895" s="7">
        <v>-5.023E-5</v>
      </c>
      <c r="I895" s="7">
        <v>0.6198</v>
      </c>
      <c r="J895" s="7">
        <v>0.1811</v>
      </c>
      <c r="K895" s="8"/>
      <c r="L895" s="8"/>
    </row>
    <row r="896" ht="13.5" customHeight="1">
      <c r="A896" s="7" t="s">
        <v>355</v>
      </c>
      <c r="B896" s="7">
        <v>1.75</v>
      </c>
      <c r="C896" s="7" t="s">
        <v>361</v>
      </c>
      <c r="D896" s="7" t="s">
        <v>357</v>
      </c>
      <c r="E896" s="7">
        <v>-2.1579</v>
      </c>
      <c r="F896" s="7">
        <v>0.1032</v>
      </c>
      <c r="G896" s="7">
        <v>0.2805</v>
      </c>
      <c r="H896" s="7">
        <v>-5.023E-5</v>
      </c>
      <c r="I896" s="7">
        <v>-0.10072</v>
      </c>
      <c r="J896" s="7">
        <v>5.0E-4</v>
      </c>
      <c r="K896" s="8"/>
      <c r="L896" s="8"/>
    </row>
    <row r="897" ht="13.5" customHeight="1">
      <c r="A897" s="7" t="s">
        <v>355</v>
      </c>
      <c r="B897" s="7">
        <v>3.5</v>
      </c>
      <c r="C897" s="7" t="s">
        <v>361</v>
      </c>
      <c r="D897" s="7" t="s">
        <v>357</v>
      </c>
      <c r="E897" s="7">
        <v>-1.9654</v>
      </c>
      <c r="F897" s="7">
        <v>0.1032</v>
      </c>
      <c r="G897" s="7">
        <v>0.018</v>
      </c>
      <c r="H897" s="7">
        <v>-5.023E-5</v>
      </c>
      <c r="I897" s="7">
        <v>-0.36187</v>
      </c>
      <c r="J897" s="7">
        <v>-0.1801</v>
      </c>
      <c r="K897" s="8"/>
      <c r="L897" s="8"/>
    </row>
    <row r="898" ht="13.5" customHeight="1">
      <c r="A898" s="7" t="s">
        <v>355</v>
      </c>
      <c r="B898" s="7">
        <v>0.0</v>
      </c>
      <c r="C898" s="7" t="s">
        <v>362</v>
      </c>
      <c r="D898" s="7" t="s">
        <v>357</v>
      </c>
      <c r="E898" s="7">
        <v>-2.9763</v>
      </c>
      <c r="F898" s="7">
        <v>0.1511</v>
      </c>
      <c r="G898" s="7">
        <v>0.5726</v>
      </c>
      <c r="H898" s="7">
        <v>-6.635E-5</v>
      </c>
      <c r="I898" s="7">
        <v>0.70135</v>
      </c>
      <c r="J898" s="7">
        <v>0.2599</v>
      </c>
      <c r="K898" s="8"/>
      <c r="L898" s="8"/>
    </row>
    <row r="899" ht="13.5" customHeight="1">
      <c r="A899" s="7" t="s">
        <v>355</v>
      </c>
      <c r="B899" s="7">
        <v>1.75</v>
      </c>
      <c r="C899" s="7" t="s">
        <v>362</v>
      </c>
      <c r="D899" s="7" t="s">
        <v>357</v>
      </c>
      <c r="E899" s="7">
        <v>-2.7838</v>
      </c>
      <c r="F899" s="7">
        <v>0.1511</v>
      </c>
      <c r="G899" s="7">
        <v>0.3364</v>
      </c>
      <c r="H899" s="7">
        <v>-6.635E-5</v>
      </c>
      <c r="I899" s="7">
        <v>-0.09402</v>
      </c>
      <c r="J899" s="7">
        <v>-0.00458</v>
      </c>
      <c r="K899" s="8"/>
      <c r="L899" s="8"/>
    </row>
    <row r="900" ht="13.5" customHeight="1">
      <c r="A900" s="7" t="s">
        <v>355</v>
      </c>
      <c r="B900" s="7">
        <v>3.5</v>
      </c>
      <c r="C900" s="7" t="s">
        <v>362</v>
      </c>
      <c r="D900" s="7" t="s">
        <v>357</v>
      </c>
      <c r="E900" s="7">
        <v>-2.5913</v>
      </c>
      <c r="F900" s="7">
        <v>0.1511</v>
      </c>
      <c r="G900" s="7">
        <v>0.1001</v>
      </c>
      <c r="H900" s="7">
        <v>-6.635E-5</v>
      </c>
      <c r="I900" s="7">
        <v>-0.47595</v>
      </c>
      <c r="J900" s="7">
        <v>-0.26906</v>
      </c>
      <c r="K900" s="8"/>
      <c r="L900" s="8"/>
    </row>
    <row r="901" ht="13.5" customHeight="1">
      <c r="A901" s="7" t="s">
        <v>355</v>
      </c>
      <c r="B901" s="7">
        <v>0.0</v>
      </c>
      <c r="C901" s="7" t="s">
        <v>363</v>
      </c>
      <c r="D901" s="7" t="s">
        <v>357</v>
      </c>
      <c r="E901" s="7">
        <v>-2.8627</v>
      </c>
      <c r="F901" s="7">
        <v>-0.3169</v>
      </c>
      <c r="G901" s="7">
        <v>0.2144</v>
      </c>
      <c r="H901" s="7">
        <v>-1.1E-4</v>
      </c>
      <c r="I901" s="7">
        <v>0.37832</v>
      </c>
      <c r="J901" s="7">
        <v>-0.15355</v>
      </c>
      <c r="K901" s="8"/>
      <c r="L901" s="8"/>
    </row>
    <row r="902" ht="13.5" customHeight="1">
      <c r="A902" s="7" t="s">
        <v>355</v>
      </c>
      <c r="B902" s="7">
        <v>1.75</v>
      </c>
      <c r="C902" s="7" t="s">
        <v>363</v>
      </c>
      <c r="D902" s="7" t="s">
        <v>357</v>
      </c>
      <c r="E902" s="7">
        <v>-2.6702</v>
      </c>
      <c r="F902" s="7">
        <v>-0.0019</v>
      </c>
      <c r="G902" s="7">
        <v>0.2144</v>
      </c>
      <c r="H902" s="7">
        <v>-1.1E-4</v>
      </c>
      <c r="I902" s="7">
        <v>0.00317</v>
      </c>
      <c r="J902" s="7">
        <v>0.1254</v>
      </c>
      <c r="K902" s="8"/>
      <c r="L902" s="8"/>
    </row>
    <row r="903" ht="13.5" customHeight="1">
      <c r="A903" s="7" t="s">
        <v>355</v>
      </c>
      <c r="B903" s="7">
        <v>3.5</v>
      </c>
      <c r="C903" s="7" t="s">
        <v>363</v>
      </c>
      <c r="D903" s="7" t="s">
        <v>357</v>
      </c>
      <c r="E903" s="7">
        <v>-2.4777</v>
      </c>
      <c r="F903" s="7">
        <v>0.3131</v>
      </c>
      <c r="G903" s="7">
        <v>0.2144</v>
      </c>
      <c r="H903" s="7">
        <v>-1.1E-4</v>
      </c>
      <c r="I903" s="7">
        <v>-0.37198</v>
      </c>
      <c r="J903" s="7">
        <v>-0.1469</v>
      </c>
      <c r="K903" s="8"/>
      <c r="L903" s="8"/>
    </row>
    <row r="904" ht="13.5" customHeight="1">
      <c r="A904" s="7" t="s">
        <v>355</v>
      </c>
      <c r="B904" s="7">
        <v>0.0</v>
      </c>
      <c r="C904" s="7" t="s">
        <v>356</v>
      </c>
      <c r="D904" s="7" t="s">
        <v>357</v>
      </c>
      <c r="E904" s="7">
        <v>-2.9982</v>
      </c>
      <c r="F904" s="7">
        <v>0.5349</v>
      </c>
      <c r="G904" s="7">
        <v>0.2183</v>
      </c>
      <c r="H904" s="7">
        <v>-3.978E-5</v>
      </c>
      <c r="I904" s="7">
        <v>0.3871</v>
      </c>
      <c r="J904" s="7">
        <v>0.61695</v>
      </c>
      <c r="K904" s="8"/>
      <c r="L904" s="8"/>
    </row>
    <row r="905" ht="13.5" customHeight="1">
      <c r="A905" s="7" t="s">
        <v>355</v>
      </c>
      <c r="B905" s="7">
        <v>1.75</v>
      </c>
      <c r="C905" s="7" t="s">
        <v>356</v>
      </c>
      <c r="D905" s="7" t="s">
        <v>357</v>
      </c>
      <c r="E905" s="7">
        <v>-2.8057</v>
      </c>
      <c r="F905" s="7">
        <v>0.2987</v>
      </c>
      <c r="G905" s="7">
        <v>0.2183</v>
      </c>
      <c r="H905" s="7">
        <v>-3.978E-5</v>
      </c>
      <c r="I905" s="7">
        <v>0.0051</v>
      </c>
      <c r="J905" s="7">
        <v>-0.11241</v>
      </c>
      <c r="K905" s="8"/>
      <c r="L905" s="8"/>
    </row>
    <row r="906" ht="13.5" customHeight="1">
      <c r="A906" s="7" t="s">
        <v>355</v>
      </c>
      <c r="B906" s="7">
        <v>3.5</v>
      </c>
      <c r="C906" s="7" t="s">
        <v>356</v>
      </c>
      <c r="D906" s="7" t="s">
        <v>357</v>
      </c>
      <c r="E906" s="7">
        <v>-2.6132</v>
      </c>
      <c r="F906" s="7">
        <v>0.0624</v>
      </c>
      <c r="G906" s="7">
        <v>0.2183</v>
      </c>
      <c r="H906" s="7">
        <v>-3.978E-5</v>
      </c>
      <c r="I906" s="7">
        <v>-0.3769</v>
      </c>
      <c r="J906" s="7">
        <v>-0.42834</v>
      </c>
      <c r="K906" s="8"/>
      <c r="L906" s="8"/>
    </row>
    <row r="907" ht="13.5" customHeight="1">
      <c r="A907" s="7" t="s">
        <v>355</v>
      </c>
      <c r="B907" s="7">
        <v>0.0</v>
      </c>
      <c r="C907" s="7" t="s">
        <v>358</v>
      </c>
      <c r="D907" s="7" t="s">
        <v>357</v>
      </c>
      <c r="E907" s="7">
        <v>-2.9937</v>
      </c>
      <c r="F907" s="7">
        <v>0.1555</v>
      </c>
      <c r="G907" s="7">
        <v>0.224</v>
      </c>
      <c r="H907" s="7">
        <v>-5.8E-5</v>
      </c>
      <c r="I907" s="7">
        <v>0.39565</v>
      </c>
      <c r="J907" s="7">
        <v>0.26636</v>
      </c>
      <c r="K907" s="8"/>
      <c r="L907" s="8"/>
    </row>
    <row r="908" ht="13.5" customHeight="1">
      <c r="A908" s="7" t="s">
        <v>355</v>
      </c>
      <c r="B908" s="7">
        <v>1.75</v>
      </c>
      <c r="C908" s="7" t="s">
        <v>358</v>
      </c>
      <c r="D908" s="7" t="s">
        <v>357</v>
      </c>
      <c r="E908" s="7">
        <v>-2.8012</v>
      </c>
      <c r="F908" s="7">
        <v>0.1555</v>
      </c>
      <c r="G908" s="7">
        <v>0.224</v>
      </c>
      <c r="H908" s="7">
        <v>-5.8E-5</v>
      </c>
      <c r="I908" s="7">
        <v>0.00367</v>
      </c>
      <c r="J908" s="7">
        <v>-0.00569</v>
      </c>
      <c r="K908" s="8"/>
      <c r="L908" s="8"/>
    </row>
    <row r="909" ht="13.5" customHeight="1">
      <c r="A909" s="7" t="s">
        <v>355</v>
      </c>
      <c r="B909" s="7">
        <v>3.5</v>
      </c>
      <c r="C909" s="7" t="s">
        <v>358</v>
      </c>
      <c r="D909" s="7" t="s">
        <v>357</v>
      </c>
      <c r="E909" s="7">
        <v>-2.6087</v>
      </c>
      <c r="F909" s="7">
        <v>0.1555</v>
      </c>
      <c r="G909" s="7">
        <v>0.224</v>
      </c>
      <c r="H909" s="7">
        <v>-5.8E-5</v>
      </c>
      <c r="I909" s="7">
        <v>-0.3883</v>
      </c>
      <c r="J909" s="7">
        <v>-0.27774</v>
      </c>
      <c r="K909" s="8"/>
      <c r="L909" s="8"/>
    </row>
    <row r="910" ht="13.5" customHeight="1">
      <c r="A910" s="7" t="s">
        <v>355</v>
      </c>
      <c r="B910" s="7">
        <v>0.0</v>
      </c>
      <c r="C910" s="7" t="s">
        <v>359</v>
      </c>
      <c r="D910" s="7" t="s">
        <v>357</v>
      </c>
      <c r="E910" s="7">
        <v>-2.3747</v>
      </c>
      <c r="F910" s="7">
        <v>0.5296</v>
      </c>
      <c r="G910" s="7">
        <v>0.1493</v>
      </c>
      <c r="H910" s="7">
        <v>-2.071E-5</v>
      </c>
      <c r="I910" s="7">
        <v>0.27064</v>
      </c>
      <c r="J910" s="7">
        <v>0.57781</v>
      </c>
      <c r="K910" s="8"/>
      <c r="L910" s="8"/>
    </row>
    <row r="911" ht="13.5" customHeight="1">
      <c r="A911" s="7" t="s">
        <v>355</v>
      </c>
      <c r="B911" s="7">
        <v>1.75</v>
      </c>
      <c r="C911" s="7" t="s">
        <v>359</v>
      </c>
      <c r="D911" s="7" t="s">
        <v>357</v>
      </c>
      <c r="E911" s="7">
        <v>-2.1822</v>
      </c>
      <c r="F911" s="7">
        <v>0.2671</v>
      </c>
      <c r="G911" s="7">
        <v>0.1493</v>
      </c>
      <c r="H911" s="7">
        <v>-2.071E-5</v>
      </c>
      <c r="I911" s="7">
        <v>0.00941</v>
      </c>
      <c r="J911" s="7">
        <v>-0.11932</v>
      </c>
      <c r="K911" s="8"/>
      <c r="L911" s="8"/>
    </row>
    <row r="912" ht="13.5" customHeight="1">
      <c r="A912" s="7" t="s">
        <v>355</v>
      </c>
      <c r="B912" s="7">
        <v>3.5</v>
      </c>
      <c r="C912" s="7" t="s">
        <v>359</v>
      </c>
      <c r="D912" s="7" t="s">
        <v>357</v>
      </c>
      <c r="E912" s="7">
        <v>-1.9897</v>
      </c>
      <c r="F912" s="7">
        <v>0.0046</v>
      </c>
      <c r="G912" s="7">
        <v>0.1493</v>
      </c>
      <c r="H912" s="7">
        <v>-2.071E-5</v>
      </c>
      <c r="I912" s="7">
        <v>-0.25181</v>
      </c>
      <c r="J912" s="7">
        <v>-0.35707</v>
      </c>
      <c r="K912" s="8"/>
      <c r="L912" s="8"/>
    </row>
    <row r="913" ht="13.5" customHeight="1">
      <c r="A913" s="7" t="s">
        <v>355</v>
      </c>
      <c r="B913" s="7">
        <v>0.0</v>
      </c>
      <c r="C913" s="7" t="s">
        <v>360</v>
      </c>
      <c r="D913" s="7" t="s">
        <v>357</v>
      </c>
      <c r="E913" s="7">
        <v>-2.2242</v>
      </c>
      <c r="F913" s="7">
        <v>-0.4168</v>
      </c>
      <c r="G913" s="7">
        <v>0.1449</v>
      </c>
      <c r="H913" s="7">
        <v>-1.0E-4</v>
      </c>
      <c r="I913" s="7">
        <v>0.26088</v>
      </c>
      <c r="J913" s="7">
        <v>-0.2783</v>
      </c>
      <c r="K913" s="8"/>
      <c r="L913" s="8"/>
    </row>
    <row r="914" ht="13.5" customHeight="1">
      <c r="A914" s="7" t="s">
        <v>355</v>
      </c>
      <c r="B914" s="7">
        <v>1.75</v>
      </c>
      <c r="C914" s="7" t="s">
        <v>360</v>
      </c>
      <c r="D914" s="7" t="s">
        <v>357</v>
      </c>
      <c r="E914" s="7">
        <v>-2.0317</v>
      </c>
      <c r="F914" s="7">
        <v>-0.0668</v>
      </c>
      <c r="G914" s="7">
        <v>0.1449</v>
      </c>
      <c r="H914" s="7">
        <v>-1.0E-4</v>
      </c>
      <c r="I914" s="7">
        <v>0.00726</v>
      </c>
      <c r="J914" s="7">
        <v>0.14492</v>
      </c>
      <c r="K914" s="8"/>
      <c r="L914" s="8"/>
    </row>
    <row r="915" ht="13.5" customHeight="1">
      <c r="A915" s="7" t="s">
        <v>355</v>
      </c>
      <c r="B915" s="7">
        <v>3.5</v>
      </c>
      <c r="C915" s="7" t="s">
        <v>360</v>
      </c>
      <c r="D915" s="7" t="s">
        <v>357</v>
      </c>
      <c r="E915" s="7">
        <v>-1.8392</v>
      </c>
      <c r="F915" s="7">
        <v>0.2832</v>
      </c>
      <c r="G915" s="7">
        <v>0.1449</v>
      </c>
      <c r="H915" s="7">
        <v>-1.0E-4</v>
      </c>
      <c r="I915" s="7">
        <v>-0.24635</v>
      </c>
      <c r="J915" s="7">
        <v>-0.04436</v>
      </c>
      <c r="K915" s="8"/>
      <c r="L915" s="8"/>
    </row>
    <row r="916" ht="13.5" customHeight="1">
      <c r="A916" s="7" t="s">
        <v>355</v>
      </c>
      <c r="B916" s="7">
        <v>0.0</v>
      </c>
      <c r="C916" s="7" t="s">
        <v>361</v>
      </c>
      <c r="D916" s="7" t="s">
        <v>357</v>
      </c>
      <c r="E916" s="7">
        <v>-2.3504</v>
      </c>
      <c r="F916" s="7">
        <v>0.1032</v>
      </c>
      <c r="G916" s="7">
        <v>0.543</v>
      </c>
      <c r="H916" s="7">
        <v>-5.023E-5</v>
      </c>
      <c r="I916" s="7">
        <v>0.6198</v>
      </c>
      <c r="J916" s="7">
        <v>0.1811</v>
      </c>
      <c r="K916" s="8"/>
      <c r="L916" s="8"/>
    </row>
    <row r="917" ht="13.5" customHeight="1">
      <c r="A917" s="7" t="s">
        <v>355</v>
      </c>
      <c r="B917" s="7">
        <v>1.75</v>
      </c>
      <c r="C917" s="7" t="s">
        <v>361</v>
      </c>
      <c r="D917" s="7" t="s">
        <v>357</v>
      </c>
      <c r="E917" s="7">
        <v>-2.1579</v>
      </c>
      <c r="F917" s="7">
        <v>0.1032</v>
      </c>
      <c r="G917" s="7">
        <v>0.2805</v>
      </c>
      <c r="H917" s="7">
        <v>-5.023E-5</v>
      </c>
      <c r="I917" s="7">
        <v>-0.10072</v>
      </c>
      <c r="J917" s="7">
        <v>5.0E-4</v>
      </c>
      <c r="K917" s="8"/>
      <c r="L917" s="8"/>
    </row>
    <row r="918" ht="13.5" customHeight="1">
      <c r="A918" s="7" t="s">
        <v>355</v>
      </c>
      <c r="B918" s="7">
        <v>3.5</v>
      </c>
      <c r="C918" s="7" t="s">
        <v>361</v>
      </c>
      <c r="D918" s="7" t="s">
        <v>357</v>
      </c>
      <c r="E918" s="7">
        <v>-1.9654</v>
      </c>
      <c r="F918" s="7">
        <v>0.1032</v>
      </c>
      <c r="G918" s="7">
        <v>0.018</v>
      </c>
      <c r="H918" s="7">
        <v>-5.023E-5</v>
      </c>
      <c r="I918" s="7">
        <v>-0.36187</v>
      </c>
      <c r="J918" s="7">
        <v>-0.1801</v>
      </c>
      <c r="K918" s="8"/>
      <c r="L918" s="8"/>
    </row>
    <row r="919" ht="13.5" customHeight="1">
      <c r="A919" s="7" t="s">
        <v>355</v>
      </c>
      <c r="B919" s="7">
        <v>0.0</v>
      </c>
      <c r="C919" s="7" t="s">
        <v>362</v>
      </c>
      <c r="D919" s="7" t="s">
        <v>357</v>
      </c>
      <c r="E919" s="7">
        <v>-2.9763</v>
      </c>
      <c r="F919" s="7">
        <v>0.1511</v>
      </c>
      <c r="G919" s="7">
        <v>0.5726</v>
      </c>
      <c r="H919" s="7">
        <v>-6.635E-5</v>
      </c>
      <c r="I919" s="7">
        <v>0.70135</v>
      </c>
      <c r="J919" s="7">
        <v>0.2599</v>
      </c>
      <c r="K919" s="8"/>
      <c r="L919" s="8"/>
    </row>
    <row r="920" ht="13.5" customHeight="1">
      <c r="A920" s="7" t="s">
        <v>355</v>
      </c>
      <c r="B920" s="7">
        <v>1.75</v>
      </c>
      <c r="C920" s="7" t="s">
        <v>362</v>
      </c>
      <c r="D920" s="7" t="s">
        <v>357</v>
      </c>
      <c r="E920" s="7">
        <v>-2.7838</v>
      </c>
      <c r="F920" s="7">
        <v>0.1511</v>
      </c>
      <c r="G920" s="7">
        <v>0.3364</v>
      </c>
      <c r="H920" s="7">
        <v>-6.635E-5</v>
      </c>
      <c r="I920" s="7">
        <v>-0.09402</v>
      </c>
      <c r="J920" s="7">
        <v>-0.00458</v>
      </c>
      <c r="K920" s="8"/>
      <c r="L920" s="8"/>
    </row>
    <row r="921" ht="13.5" customHeight="1">
      <c r="A921" s="7" t="s">
        <v>355</v>
      </c>
      <c r="B921" s="7">
        <v>3.5</v>
      </c>
      <c r="C921" s="7" t="s">
        <v>362</v>
      </c>
      <c r="D921" s="7" t="s">
        <v>357</v>
      </c>
      <c r="E921" s="7">
        <v>-2.5913</v>
      </c>
      <c r="F921" s="7">
        <v>0.1511</v>
      </c>
      <c r="G921" s="7">
        <v>0.1001</v>
      </c>
      <c r="H921" s="7">
        <v>-6.635E-5</v>
      </c>
      <c r="I921" s="7">
        <v>-0.47595</v>
      </c>
      <c r="J921" s="7">
        <v>-0.26906</v>
      </c>
      <c r="K921" s="8"/>
      <c r="L921" s="8"/>
    </row>
    <row r="922" ht="13.5" customHeight="1">
      <c r="A922" s="7" t="s">
        <v>355</v>
      </c>
      <c r="B922" s="7">
        <v>0.0</v>
      </c>
      <c r="C922" s="7" t="s">
        <v>363</v>
      </c>
      <c r="D922" s="7" t="s">
        <v>357</v>
      </c>
      <c r="E922" s="7">
        <v>-2.8627</v>
      </c>
      <c r="F922" s="7">
        <v>-0.3169</v>
      </c>
      <c r="G922" s="7">
        <v>0.2144</v>
      </c>
      <c r="H922" s="7">
        <v>-1.1E-4</v>
      </c>
      <c r="I922" s="7">
        <v>0.37832</v>
      </c>
      <c r="J922" s="7">
        <v>-0.15355</v>
      </c>
      <c r="K922" s="8"/>
      <c r="L922" s="8"/>
    </row>
    <row r="923" ht="13.5" customHeight="1">
      <c r="A923" s="7" t="s">
        <v>355</v>
      </c>
      <c r="B923" s="7">
        <v>1.75</v>
      </c>
      <c r="C923" s="7" t="s">
        <v>363</v>
      </c>
      <c r="D923" s="7" t="s">
        <v>357</v>
      </c>
      <c r="E923" s="7">
        <v>-2.6702</v>
      </c>
      <c r="F923" s="7">
        <v>-0.0019</v>
      </c>
      <c r="G923" s="7">
        <v>0.2144</v>
      </c>
      <c r="H923" s="7">
        <v>-1.1E-4</v>
      </c>
      <c r="I923" s="7">
        <v>0.00317</v>
      </c>
      <c r="J923" s="7">
        <v>0.1254</v>
      </c>
      <c r="K923" s="8"/>
      <c r="L923" s="8"/>
    </row>
    <row r="924" ht="13.5" customHeight="1">
      <c r="A924" s="7" t="s">
        <v>355</v>
      </c>
      <c r="B924" s="7">
        <v>3.5</v>
      </c>
      <c r="C924" s="7" t="s">
        <v>363</v>
      </c>
      <c r="D924" s="7" t="s">
        <v>357</v>
      </c>
      <c r="E924" s="7">
        <v>-2.4777</v>
      </c>
      <c r="F924" s="7">
        <v>0.3131</v>
      </c>
      <c r="G924" s="7">
        <v>0.2144</v>
      </c>
      <c r="H924" s="7">
        <v>-1.1E-4</v>
      </c>
      <c r="I924" s="7">
        <v>-0.37198</v>
      </c>
      <c r="J924" s="7">
        <v>-0.1469</v>
      </c>
      <c r="K924" s="8"/>
      <c r="L924" s="8"/>
    </row>
    <row r="925" ht="13.5" customHeight="1">
      <c r="A925" s="7" t="s">
        <v>355</v>
      </c>
      <c r="B925" s="7">
        <v>0.0</v>
      </c>
      <c r="C925" s="7" t="s">
        <v>356</v>
      </c>
      <c r="D925" s="7" t="s">
        <v>357</v>
      </c>
      <c r="E925" s="7">
        <v>-2.9982</v>
      </c>
      <c r="F925" s="7">
        <v>0.5349</v>
      </c>
      <c r="G925" s="7">
        <v>0.2183</v>
      </c>
      <c r="H925" s="7">
        <v>-3.978E-5</v>
      </c>
      <c r="I925" s="7">
        <v>0.3871</v>
      </c>
      <c r="J925" s="7">
        <v>0.61695</v>
      </c>
      <c r="K925" s="8"/>
      <c r="L925" s="8"/>
    </row>
    <row r="926" ht="13.5" customHeight="1">
      <c r="A926" s="7" t="s">
        <v>355</v>
      </c>
      <c r="B926" s="7">
        <v>1.75</v>
      </c>
      <c r="C926" s="7" t="s">
        <v>356</v>
      </c>
      <c r="D926" s="7" t="s">
        <v>357</v>
      </c>
      <c r="E926" s="7">
        <v>-2.8057</v>
      </c>
      <c r="F926" s="7">
        <v>0.2987</v>
      </c>
      <c r="G926" s="7">
        <v>0.2183</v>
      </c>
      <c r="H926" s="7">
        <v>-3.978E-5</v>
      </c>
      <c r="I926" s="7">
        <v>0.0051</v>
      </c>
      <c r="J926" s="7">
        <v>-0.11241</v>
      </c>
      <c r="K926" s="8"/>
      <c r="L926" s="8"/>
    </row>
    <row r="927" ht="13.5" customHeight="1">
      <c r="A927" s="7" t="s">
        <v>355</v>
      </c>
      <c r="B927" s="7">
        <v>3.5</v>
      </c>
      <c r="C927" s="7" t="s">
        <v>356</v>
      </c>
      <c r="D927" s="7" t="s">
        <v>357</v>
      </c>
      <c r="E927" s="7">
        <v>-2.6132</v>
      </c>
      <c r="F927" s="7">
        <v>0.0624</v>
      </c>
      <c r="G927" s="7">
        <v>0.2183</v>
      </c>
      <c r="H927" s="7">
        <v>-3.978E-5</v>
      </c>
      <c r="I927" s="7">
        <v>-0.3769</v>
      </c>
      <c r="J927" s="7">
        <v>-0.42834</v>
      </c>
      <c r="K927" s="8"/>
      <c r="L927" s="8"/>
    </row>
    <row r="928" ht="13.5" customHeight="1">
      <c r="A928" s="7" t="s">
        <v>355</v>
      </c>
      <c r="B928" s="7">
        <v>0.0</v>
      </c>
      <c r="C928" s="7" t="s">
        <v>358</v>
      </c>
      <c r="D928" s="7" t="s">
        <v>357</v>
      </c>
      <c r="E928" s="7">
        <v>-2.9937</v>
      </c>
      <c r="F928" s="7">
        <v>0.1555</v>
      </c>
      <c r="G928" s="7">
        <v>0.224</v>
      </c>
      <c r="H928" s="7">
        <v>-5.8E-5</v>
      </c>
      <c r="I928" s="7">
        <v>0.39565</v>
      </c>
      <c r="J928" s="7">
        <v>0.26636</v>
      </c>
      <c r="K928" s="8"/>
      <c r="L928" s="8"/>
    </row>
    <row r="929" ht="13.5" customHeight="1">
      <c r="A929" s="7" t="s">
        <v>355</v>
      </c>
      <c r="B929" s="7">
        <v>1.75</v>
      </c>
      <c r="C929" s="7" t="s">
        <v>358</v>
      </c>
      <c r="D929" s="7" t="s">
        <v>357</v>
      </c>
      <c r="E929" s="7">
        <v>-2.8012</v>
      </c>
      <c r="F929" s="7">
        <v>0.1555</v>
      </c>
      <c r="G929" s="7">
        <v>0.224</v>
      </c>
      <c r="H929" s="7">
        <v>-5.8E-5</v>
      </c>
      <c r="I929" s="7">
        <v>0.00367</v>
      </c>
      <c r="J929" s="7">
        <v>-0.00569</v>
      </c>
      <c r="K929" s="8"/>
      <c r="L929" s="8"/>
    </row>
    <row r="930" ht="13.5" customHeight="1">
      <c r="A930" s="7" t="s">
        <v>355</v>
      </c>
      <c r="B930" s="7">
        <v>3.5</v>
      </c>
      <c r="C930" s="7" t="s">
        <v>358</v>
      </c>
      <c r="D930" s="7" t="s">
        <v>357</v>
      </c>
      <c r="E930" s="7">
        <v>-2.6087</v>
      </c>
      <c r="F930" s="7">
        <v>0.1555</v>
      </c>
      <c r="G930" s="7">
        <v>0.224</v>
      </c>
      <c r="H930" s="7">
        <v>-5.8E-5</v>
      </c>
      <c r="I930" s="7">
        <v>-0.3883</v>
      </c>
      <c r="J930" s="7">
        <v>-0.27774</v>
      </c>
      <c r="K930" s="8"/>
      <c r="L930" s="8"/>
    </row>
    <row r="931" ht="13.5" customHeight="1">
      <c r="A931" s="7" t="s">
        <v>355</v>
      </c>
      <c r="B931" s="7">
        <v>0.0</v>
      </c>
      <c r="C931" s="7" t="s">
        <v>359</v>
      </c>
      <c r="D931" s="7" t="s">
        <v>357</v>
      </c>
      <c r="E931" s="7">
        <v>-2.3747</v>
      </c>
      <c r="F931" s="7">
        <v>0.5296</v>
      </c>
      <c r="G931" s="7">
        <v>0.1493</v>
      </c>
      <c r="H931" s="7">
        <v>-2.071E-5</v>
      </c>
      <c r="I931" s="7">
        <v>0.27064</v>
      </c>
      <c r="J931" s="7">
        <v>0.57781</v>
      </c>
      <c r="K931" s="8"/>
      <c r="L931" s="8"/>
    </row>
    <row r="932" ht="13.5" customHeight="1">
      <c r="A932" s="7" t="s">
        <v>355</v>
      </c>
      <c r="B932" s="7">
        <v>1.75</v>
      </c>
      <c r="C932" s="7" t="s">
        <v>359</v>
      </c>
      <c r="D932" s="7" t="s">
        <v>357</v>
      </c>
      <c r="E932" s="7">
        <v>-2.1822</v>
      </c>
      <c r="F932" s="7">
        <v>0.2671</v>
      </c>
      <c r="G932" s="7">
        <v>0.1493</v>
      </c>
      <c r="H932" s="7">
        <v>-2.071E-5</v>
      </c>
      <c r="I932" s="7">
        <v>0.00941</v>
      </c>
      <c r="J932" s="7">
        <v>-0.11932</v>
      </c>
      <c r="K932" s="8"/>
      <c r="L932" s="8"/>
    </row>
    <row r="933" ht="13.5" customHeight="1">
      <c r="A933" s="7" t="s">
        <v>355</v>
      </c>
      <c r="B933" s="7">
        <v>3.5</v>
      </c>
      <c r="C933" s="7" t="s">
        <v>359</v>
      </c>
      <c r="D933" s="7" t="s">
        <v>357</v>
      </c>
      <c r="E933" s="7">
        <v>-1.9897</v>
      </c>
      <c r="F933" s="7">
        <v>0.0046</v>
      </c>
      <c r="G933" s="7">
        <v>0.1493</v>
      </c>
      <c r="H933" s="7">
        <v>-2.071E-5</v>
      </c>
      <c r="I933" s="7">
        <v>-0.25181</v>
      </c>
      <c r="J933" s="7">
        <v>-0.35707</v>
      </c>
      <c r="K933" s="8"/>
      <c r="L933" s="8"/>
    </row>
    <row r="934" ht="13.5" customHeight="1">
      <c r="A934" s="7" t="s">
        <v>355</v>
      </c>
      <c r="B934" s="7">
        <v>0.0</v>
      </c>
      <c r="C934" s="7" t="s">
        <v>360</v>
      </c>
      <c r="D934" s="7" t="s">
        <v>357</v>
      </c>
      <c r="E934" s="7">
        <v>-2.2242</v>
      </c>
      <c r="F934" s="7">
        <v>-0.4168</v>
      </c>
      <c r="G934" s="7">
        <v>0.1449</v>
      </c>
      <c r="H934" s="7">
        <v>-1.0E-4</v>
      </c>
      <c r="I934" s="7">
        <v>0.26088</v>
      </c>
      <c r="J934" s="7">
        <v>-0.2783</v>
      </c>
      <c r="K934" s="8"/>
      <c r="L934" s="8"/>
    </row>
    <row r="935" ht="13.5" customHeight="1">
      <c r="A935" s="7" t="s">
        <v>355</v>
      </c>
      <c r="B935" s="7">
        <v>1.75</v>
      </c>
      <c r="C935" s="7" t="s">
        <v>360</v>
      </c>
      <c r="D935" s="7" t="s">
        <v>357</v>
      </c>
      <c r="E935" s="7">
        <v>-2.0317</v>
      </c>
      <c r="F935" s="7">
        <v>-0.0668</v>
      </c>
      <c r="G935" s="7">
        <v>0.1449</v>
      </c>
      <c r="H935" s="7">
        <v>-1.0E-4</v>
      </c>
      <c r="I935" s="7">
        <v>0.00726</v>
      </c>
      <c r="J935" s="7">
        <v>0.14492</v>
      </c>
      <c r="K935" s="8"/>
      <c r="L935" s="8"/>
    </row>
    <row r="936" ht="13.5" customHeight="1">
      <c r="A936" s="7" t="s">
        <v>355</v>
      </c>
      <c r="B936" s="7">
        <v>3.5</v>
      </c>
      <c r="C936" s="7" t="s">
        <v>360</v>
      </c>
      <c r="D936" s="7" t="s">
        <v>357</v>
      </c>
      <c r="E936" s="7">
        <v>-1.8392</v>
      </c>
      <c r="F936" s="7">
        <v>0.2832</v>
      </c>
      <c r="G936" s="7">
        <v>0.1449</v>
      </c>
      <c r="H936" s="7">
        <v>-1.0E-4</v>
      </c>
      <c r="I936" s="7">
        <v>-0.24635</v>
      </c>
      <c r="J936" s="7">
        <v>-0.04436</v>
      </c>
      <c r="K936" s="8"/>
      <c r="L936" s="8"/>
    </row>
    <row r="937" ht="13.5" customHeight="1">
      <c r="A937" s="7" t="s">
        <v>355</v>
      </c>
      <c r="B937" s="7">
        <v>0.0</v>
      </c>
      <c r="C937" s="7" t="s">
        <v>361</v>
      </c>
      <c r="D937" s="7" t="s">
        <v>357</v>
      </c>
      <c r="E937" s="7">
        <v>-2.3504</v>
      </c>
      <c r="F937" s="7">
        <v>0.1032</v>
      </c>
      <c r="G937" s="7">
        <v>0.543</v>
      </c>
      <c r="H937" s="7">
        <v>-5.023E-5</v>
      </c>
      <c r="I937" s="7">
        <v>0.6198</v>
      </c>
      <c r="J937" s="7">
        <v>0.1811</v>
      </c>
      <c r="K937" s="8"/>
      <c r="L937" s="8"/>
    </row>
    <row r="938" ht="13.5" customHeight="1">
      <c r="A938" s="7" t="s">
        <v>355</v>
      </c>
      <c r="B938" s="7">
        <v>1.75</v>
      </c>
      <c r="C938" s="7" t="s">
        <v>361</v>
      </c>
      <c r="D938" s="7" t="s">
        <v>357</v>
      </c>
      <c r="E938" s="7">
        <v>-2.1579</v>
      </c>
      <c r="F938" s="7">
        <v>0.1032</v>
      </c>
      <c r="G938" s="7">
        <v>0.2805</v>
      </c>
      <c r="H938" s="7">
        <v>-5.023E-5</v>
      </c>
      <c r="I938" s="7">
        <v>-0.10072</v>
      </c>
      <c r="J938" s="7">
        <v>5.0E-4</v>
      </c>
      <c r="K938" s="8"/>
      <c r="L938" s="8"/>
    </row>
    <row r="939" ht="13.5" customHeight="1">
      <c r="A939" s="7" t="s">
        <v>355</v>
      </c>
      <c r="B939" s="7">
        <v>3.5</v>
      </c>
      <c r="C939" s="7" t="s">
        <v>361</v>
      </c>
      <c r="D939" s="7" t="s">
        <v>357</v>
      </c>
      <c r="E939" s="7">
        <v>-1.9654</v>
      </c>
      <c r="F939" s="7">
        <v>0.1032</v>
      </c>
      <c r="G939" s="7">
        <v>0.018</v>
      </c>
      <c r="H939" s="7">
        <v>-5.023E-5</v>
      </c>
      <c r="I939" s="7">
        <v>-0.36187</v>
      </c>
      <c r="J939" s="7">
        <v>-0.1801</v>
      </c>
      <c r="K939" s="8"/>
      <c r="L939" s="8"/>
    </row>
    <row r="940" ht="13.5" customHeight="1">
      <c r="A940" s="7" t="s">
        <v>355</v>
      </c>
      <c r="B940" s="7">
        <v>0.0</v>
      </c>
      <c r="C940" s="7" t="s">
        <v>362</v>
      </c>
      <c r="D940" s="7" t="s">
        <v>357</v>
      </c>
      <c r="E940" s="7">
        <v>-2.9763</v>
      </c>
      <c r="F940" s="7">
        <v>0.1511</v>
      </c>
      <c r="G940" s="7">
        <v>0.5726</v>
      </c>
      <c r="H940" s="7">
        <v>-6.635E-5</v>
      </c>
      <c r="I940" s="7">
        <v>0.70135</v>
      </c>
      <c r="J940" s="7">
        <v>0.2599</v>
      </c>
      <c r="K940" s="8"/>
      <c r="L940" s="8"/>
    </row>
    <row r="941" ht="13.5" customHeight="1">
      <c r="A941" s="7" t="s">
        <v>355</v>
      </c>
      <c r="B941" s="7">
        <v>1.75</v>
      </c>
      <c r="C941" s="7" t="s">
        <v>362</v>
      </c>
      <c r="D941" s="7" t="s">
        <v>357</v>
      </c>
      <c r="E941" s="7">
        <v>-2.7838</v>
      </c>
      <c r="F941" s="7">
        <v>0.1511</v>
      </c>
      <c r="G941" s="7">
        <v>0.3364</v>
      </c>
      <c r="H941" s="7">
        <v>-6.635E-5</v>
      </c>
      <c r="I941" s="7">
        <v>-0.09402</v>
      </c>
      <c r="J941" s="7">
        <v>-0.00458</v>
      </c>
      <c r="K941" s="8"/>
      <c r="L941" s="8"/>
    </row>
    <row r="942" ht="13.5" customHeight="1">
      <c r="A942" s="7" t="s">
        <v>355</v>
      </c>
      <c r="B942" s="7">
        <v>3.5</v>
      </c>
      <c r="C942" s="7" t="s">
        <v>362</v>
      </c>
      <c r="D942" s="7" t="s">
        <v>357</v>
      </c>
      <c r="E942" s="7">
        <v>-2.5913</v>
      </c>
      <c r="F942" s="7">
        <v>0.1511</v>
      </c>
      <c r="G942" s="7">
        <v>0.1001</v>
      </c>
      <c r="H942" s="7">
        <v>-6.635E-5</v>
      </c>
      <c r="I942" s="7">
        <v>-0.47595</v>
      </c>
      <c r="J942" s="7">
        <v>-0.26906</v>
      </c>
      <c r="K942" s="8"/>
      <c r="L942" s="8"/>
    </row>
    <row r="943" ht="13.5" customHeight="1">
      <c r="A943" s="7" t="s">
        <v>355</v>
      </c>
      <c r="B943" s="7">
        <v>0.0</v>
      </c>
      <c r="C943" s="7" t="s">
        <v>363</v>
      </c>
      <c r="D943" s="7" t="s">
        <v>357</v>
      </c>
      <c r="E943" s="7">
        <v>-2.8627</v>
      </c>
      <c r="F943" s="7">
        <v>-0.3169</v>
      </c>
      <c r="G943" s="7">
        <v>0.2144</v>
      </c>
      <c r="H943" s="7">
        <v>-1.1E-4</v>
      </c>
      <c r="I943" s="7">
        <v>0.37832</v>
      </c>
      <c r="J943" s="7">
        <v>-0.15355</v>
      </c>
      <c r="K943" s="8"/>
      <c r="L943" s="8"/>
    </row>
    <row r="944" ht="13.5" customHeight="1">
      <c r="A944" s="7" t="s">
        <v>355</v>
      </c>
      <c r="B944" s="7">
        <v>1.75</v>
      </c>
      <c r="C944" s="7" t="s">
        <v>363</v>
      </c>
      <c r="D944" s="7" t="s">
        <v>357</v>
      </c>
      <c r="E944" s="7">
        <v>-2.6702</v>
      </c>
      <c r="F944" s="7">
        <v>-0.0019</v>
      </c>
      <c r="G944" s="7">
        <v>0.2144</v>
      </c>
      <c r="H944" s="7">
        <v>-1.1E-4</v>
      </c>
      <c r="I944" s="7">
        <v>0.00317</v>
      </c>
      <c r="J944" s="7">
        <v>0.1254</v>
      </c>
      <c r="K944" s="8"/>
      <c r="L944" s="8"/>
    </row>
    <row r="945" ht="13.5" customHeight="1">
      <c r="A945" s="7" t="s">
        <v>355</v>
      </c>
      <c r="B945" s="7">
        <v>3.5</v>
      </c>
      <c r="C945" s="7" t="s">
        <v>363</v>
      </c>
      <c r="D945" s="7" t="s">
        <v>357</v>
      </c>
      <c r="E945" s="7">
        <v>-2.4777</v>
      </c>
      <c r="F945" s="7">
        <v>0.3131</v>
      </c>
      <c r="G945" s="7">
        <v>0.2144</v>
      </c>
      <c r="H945" s="7">
        <v>-1.1E-4</v>
      </c>
      <c r="I945" s="7">
        <v>-0.37198</v>
      </c>
      <c r="J945" s="7">
        <v>-0.1469</v>
      </c>
      <c r="K945" s="8"/>
      <c r="L945" s="8"/>
    </row>
    <row r="946" ht="13.5" customHeight="1">
      <c r="A946" s="7" t="s">
        <v>355</v>
      </c>
      <c r="B946" s="7">
        <v>0.0</v>
      </c>
      <c r="C946" s="7" t="s">
        <v>356</v>
      </c>
      <c r="D946" s="7" t="s">
        <v>357</v>
      </c>
      <c r="E946" s="7">
        <v>-2.9982</v>
      </c>
      <c r="F946" s="7">
        <v>0.5349</v>
      </c>
      <c r="G946" s="7">
        <v>0.2183</v>
      </c>
      <c r="H946" s="7">
        <v>-3.978E-5</v>
      </c>
      <c r="I946" s="7">
        <v>0.3871</v>
      </c>
      <c r="J946" s="7">
        <v>0.61695</v>
      </c>
      <c r="K946" s="8"/>
      <c r="L946" s="8"/>
    </row>
    <row r="947" ht="13.5" customHeight="1">
      <c r="A947" s="7" t="s">
        <v>355</v>
      </c>
      <c r="B947" s="7">
        <v>1.75</v>
      </c>
      <c r="C947" s="7" t="s">
        <v>356</v>
      </c>
      <c r="D947" s="7" t="s">
        <v>357</v>
      </c>
      <c r="E947" s="7">
        <v>-2.8057</v>
      </c>
      <c r="F947" s="7">
        <v>0.2987</v>
      </c>
      <c r="G947" s="7">
        <v>0.2183</v>
      </c>
      <c r="H947" s="7">
        <v>-3.978E-5</v>
      </c>
      <c r="I947" s="7">
        <v>0.0051</v>
      </c>
      <c r="J947" s="7">
        <v>-0.11241</v>
      </c>
      <c r="K947" s="8"/>
      <c r="L947" s="8"/>
    </row>
    <row r="948" ht="13.5" customHeight="1">
      <c r="A948" s="7" t="s">
        <v>355</v>
      </c>
      <c r="B948" s="7">
        <v>3.5</v>
      </c>
      <c r="C948" s="7" t="s">
        <v>356</v>
      </c>
      <c r="D948" s="7" t="s">
        <v>357</v>
      </c>
      <c r="E948" s="7">
        <v>-2.6132</v>
      </c>
      <c r="F948" s="7">
        <v>0.0624</v>
      </c>
      <c r="G948" s="7">
        <v>0.2183</v>
      </c>
      <c r="H948" s="7">
        <v>-3.978E-5</v>
      </c>
      <c r="I948" s="7">
        <v>-0.3769</v>
      </c>
      <c r="J948" s="7">
        <v>-0.42834</v>
      </c>
      <c r="K948" s="8"/>
      <c r="L948" s="8"/>
    </row>
    <row r="949" ht="13.5" customHeight="1">
      <c r="A949" s="7" t="s">
        <v>355</v>
      </c>
      <c r="B949" s="7">
        <v>0.0</v>
      </c>
      <c r="C949" s="7" t="s">
        <v>358</v>
      </c>
      <c r="D949" s="7" t="s">
        <v>357</v>
      </c>
      <c r="E949" s="7">
        <v>-2.9937</v>
      </c>
      <c r="F949" s="7">
        <v>0.1555</v>
      </c>
      <c r="G949" s="7">
        <v>0.224</v>
      </c>
      <c r="H949" s="7">
        <v>-5.8E-5</v>
      </c>
      <c r="I949" s="7">
        <v>0.39565</v>
      </c>
      <c r="J949" s="7">
        <v>0.26636</v>
      </c>
      <c r="K949" s="8"/>
      <c r="L949" s="8"/>
    </row>
    <row r="950" ht="13.5" customHeight="1">
      <c r="A950" s="7" t="s">
        <v>355</v>
      </c>
      <c r="B950" s="7">
        <v>1.75</v>
      </c>
      <c r="C950" s="7" t="s">
        <v>358</v>
      </c>
      <c r="D950" s="7" t="s">
        <v>357</v>
      </c>
      <c r="E950" s="7">
        <v>-2.8012</v>
      </c>
      <c r="F950" s="7">
        <v>0.1555</v>
      </c>
      <c r="G950" s="7">
        <v>0.224</v>
      </c>
      <c r="H950" s="7">
        <v>-5.8E-5</v>
      </c>
      <c r="I950" s="7">
        <v>0.00367</v>
      </c>
      <c r="J950" s="7">
        <v>-0.00569</v>
      </c>
      <c r="K950" s="8"/>
      <c r="L950" s="8"/>
    </row>
    <row r="951" ht="13.5" customHeight="1">
      <c r="A951" s="7" t="s">
        <v>355</v>
      </c>
      <c r="B951" s="7">
        <v>3.5</v>
      </c>
      <c r="C951" s="7" t="s">
        <v>358</v>
      </c>
      <c r="D951" s="7" t="s">
        <v>357</v>
      </c>
      <c r="E951" s="7">
        <v>-2.6087</v>
      </c>
      <c r="F951" s="7">
        <v>0.1555</v>
      </c>
      <c r="G951" s="7">
        <v>0.224</v>
      </c>
      <c r="H951" s="7">
        <v>-5.8E-5</v>
      </c>
      <c r="I951" s="7">
        <v>-0.3883</v>
      </c>
      <c r="J951" s="7">
        <v>-0.27774</v>
      </c>
      <c r="K951" s="8"/>
      <c r="L951" s="8"/>
    </row>
    <row r="952" ht="13.5" customHeight="1">
      <c r="A952" s="7" t="s">
        <v>355</v>
      </c>
      <c r="B952" s="7">
        <v>0.0</v>
      </c>
      <c r="C952" s="7" t="s">
        <v>359</v>
      </c>
      <c r="D952" s="7" t="s">
        <v>357</v>
      </c>
      <c r="E952" s="7">
        <v>-2.3747</v>
      </c>
      <c r="F952" s="7">
        <v>0.5296</v>
      </c>
      <c r="G952" s="7">
        <v>0.1493</v>
      </c>
      <c r="H952" s="7">
        <v>-2.071E-5</v>
      </c>
      <c r="I952" s="7">
        <v>0.27064</v>
      </c>
      <c r="J952" s="7">
        <v>0.57781</v>
      </c>
      <c r="K952" s="8"/>
      <c r="L952" s="8"/>
    </row>
    <row r="953" ht="13.5" customHeight="1">
      <c r="A953" s="7" t="s">
        <v>355</v>
      </c>
      <c r="B953" s="7">
        <v>1.75</v>
      </c>
      <c r="C953" s="7" t="s">
        <v>359</v>
      </c>
      <c r="D953" s="7" t="s">
        <v>357</v>
      </c>
      <c r="E953" s="7">
        <v>-2.1822</v>
      </c>
      <c r="F953" s="7">
        <v>0.2671</v>
      </c>
      <c r="G953" s="7">
        <v>0.1493</v>
      </c>
      <c r="H953" s="7">
        <v>-2.071E-5</v>
      </c>
      <c r="I953" s="7">
        <v>0.00941</v>
      </c>
      <c r="J953" s="7">
        <v>-0.11932</v>
      </c>
      <c r="K953" s="8"/>
      <c r="L953" s="8"/>
    </row>
    <row r="954" ht="13.5" customHeight="1">
      <c r="A954" s="7" t="s">
        <v>355</v>
      </c>
      <c r="B954" s="7">
        <v>3.5</v>
      </c>
      <c r="C954" s="7" t="s">
        <v>359</v>
      </c>
      <c r="D954" s="7" t="s">
        <v>357</v>
      </c>
      <c r="E954" s="7">
        <v>-1.9897</v>
      </c>
      <c r="F954" s="7">
        <v>0.0046</v>
      </c>
      <c r="G954" s="7">
        <v>0.1493</v>
      </c>
      <c r="H954" s="7">
        <v>-2.071E-5</v>
      </c>
      <c r="I954" s="7">
        <v>-0.25181</v>
      </c>
      <c r="J954" s="7">
        <v>-0.35707</v>
      </c>
      <c r="K954" s="8"/>
      <c r="L954" s="8"/>
    </row>
    <row r="955" ht="13.5" customHeight="1">
      <c r="A955" s="7" t="s">
        <v>355</v>
      </c>
      <c r="B955" s="7">
        <v>0.0</v>
      </c>
      <c r="C955" s="7" t="s">
        <v>360</v>
      </c>
      <c r="D955" s="7" t="s">
        <v>357</v>
      </c>
      <c r="E955" s="7">
        <v>-2.2242</v>
      </c>
      <c r="F955" s="7">
        <v>-0.4168</v>
      </c>
      <c r="G955" s="7">
        <v>0.1449</v>
      </c>
      <c r="H955" s="7">
        <v>-1.0E-4</v>
      </c>
      <c r="I955" s="7">
        <v>0.26088</v>
      </c>
      <c r="J955" s="7">
        <v>-0.2783</v>
      </c>
      <c r="K955" s="8"/>
      <c r="L955" s="8"/>
    </row>
    <row r="956" ht="13.5" customHeight="1">
      <c r="A956" s="7" t="s">
        <v>355</v>
      </c>
      <c r="B956" s="7">
        <v>1.75</v>
      </c>
      <c r="C956" s="7" t="s">
        <v>360</v>
      </c>
      <c r="D956" s="7" t="s">
        <v>357</v>
      </c>
      <c r="E956" s="7">
        <v>-2.0317</v>
      </c>
      <c r="F956" s="7">
        <v>-0.0668</v>
      </c>
      <c r="G956" s="7">
        <v>0.1449</v>
      </c>
      <c r="H956" s="7">
        <v>-1.0E-4</v>
      </c>
      <c r="I956" s="7">
        <v>0.00726</v>
      </c>
      <c r="J956" s="7">
        <v>0.14492</v>
      </c>
      <c r="K956" s="8"/>
      <c r="L956" s="8"/>
    </row>
    <row r="957" ht="13.5" customHeight="1">
      <c r="A957" s="7" t="s">
        <v>355</v>
      </c>
      <c r="B957" s="7">
        <v>3.5</v>
      </c>
      <c r="C957" s="7" t="s">
        <v>360</v>
      </c>
      <c r="D957" s="7" t="s">
        <v>357</v>
      </c>
      <c r="E957" s="7">
        <v>-1.8392</v>
      </c>
      <c r="F957" s="7">
        <v>0.2832</v>
      </c>
      <c r="G957" s="7">
        <v>0.1449</v>
      </c>
      <c r="H957" s="7">
        <v>-1.0E-4</v>
      </c>
      <c r="I957" s="7">
        <v>-0.24635</v>
      </c>
      <c r="J957" s="7">
        <v>-0.04436</v>
      </c>
      <c r="K957" s="8"/>
      <c r="L957" s="8"/>
    </row>
    <row r="958" ht="13.5" customHeight="1">
      <c r="A958" s="7" t="s">
        <v>355</v>
      </c>
      <c r="B958" s="7">
        <v>0.0</v>
      </c>
      <c r="C958" s="7" t="s">
        <v>361</v>
      </c>
      <c r="D958" s="7" t="s">
        <v>357</v>
      </c>
      <c r="E958" s="7">
        <v>-2.3504</v>
      </c>
      <c r="F958" s="7">
        <v>0.1032</v>
      </c>
      <c r="G958" s="7">
        <v>0.543</v>
      </c>
      <c r="H958" s="7">
        <v>-5.023E-5</v>
      </c>
      <c r="I958" s="7">
        <v>0.6198</v>
      </c>
      <c r="J958" s="7">
        <v>0.1811</v>
      </c>
      <c r="K958" s="8"/>
      <c r="L958" s="8"/>
    </row>
    <row r="959" ht="13.5" customHeight="1">
      <c r="A959" s="7" t="s">
        <v>355</v>
      </c>
      <c r="B959" s="7">
        <v>1.75</v>
      </c>
      <c r="C959" s="7" t="s">
        <v>361</v>
      </c>
      <c r="D959" s="7" t="s">
        <v>357</v>
      </c>
      <c r="E959" s="7">
        <v>-2.1579</v>
      </c>
      <c r="F959" s="7">
        <v>0.1032</v>
      </c>
      <c r="G959" s="7">
        <v>0.2805</v>
      </c>
      <c r="H959" s="7">
        <v>-5.023E-5</v>
      </c>
      <c r="I959" s="7">
        <v>-0.10072</v>
      </c>
      <c r="J959" s="7">
        <v>5.0E-4</v>
      </c>
      <c r="K959" s="8"/>
      <c r="L959" s="8"/>
    </row>
    <row r="960" ht="13.5" customHeight="1">
      <c r="A960" s="7" t="s">
        <v>355</v>
      </c>
      <c r="B960" s="7">
        <v>3.5</v>
      </c>
      <c r="C960" s="7" t="s">
        <v>361</v>
      </c>
      <c r="D960" s="7" t="s">
        <v>357</v>
      </c>
      <c r="E960" s="7">
        <v>-1.9654</v>
      </c>
      <c r="F960" s="7">
        <v>0.1032</v>
      </c>
      <c r="G960" s="7">
        <v>0.018</v>
      </c>
      <c r="H960" s="7">
        <v>-5.023E-5</v>
      </c>
      <c r="I960" s="7">
        <v>-0.36187</v>
      </c>
      <c r="J960" s="7">
        <v>-0.1801</v>
      </c>
      <c r="K960" s="8"/>
      <c r="L960" s="8"/>
    </row>
    <row r="961" ht="13.5" customHeight="1">
      <c r="A961" s="7" t="s">
        <v>355</v>
      </c>
      <c r="B961" s="7">
        <v>0.0</v>
      </c>
      <c r="C961" s="7" t="s">
        <v>362</v>
      </c>
      <c r="D961" s="7" t="s">
        <v>357</v>
      </c>
      <c r="E961" s="7">
        <v>-2.9763</v>
      </c>
      <c r="F961" s="7">
        <v>0.1511</v>
      </c>
      <c r="G961" s="7">
        <v>0.5726</v>
      </c>
      <c r="H961" s="7">
        <v>-6.635E-5</v>
      </c>
      <c r="I961" s="7">
        <v>0.70135</v>
      </c>
      <c r="J961" s="7">
        <v>0.2599</v>
      </c>
      <c r="K961" s="8"/>
      <c r="L961" s="8"/>
    </row>
    <row r="962" ht="13.5" customHeight="1">
      <c r="A962" s="7" t="s">
        <v>355</v>
      </c>
      <c r="B962" s="7">
        <v>1.75</v>
      </c>
      <c r="C962" s="7" t="s">
        <v>362</v>
      </c>
      <c r="D962" s="7" t="s">
        <v>357</v>
      </c>
      <c r="E962" s="7">
        <v>-2.7838</v>
      </c>
      <c r="F962" s="7">
        <v>0.1511</v>
      </c>
      <c r="G962" s="7">
        <v>0.3364</v>
      </c>
      <c r="H962" s="7">
        <v>-6.635E-5</v>
      </c>
      <c r="I962" s="7">
        <v>-0.09402</v>
      </c>
      <c r="J962" s="7">
        <v>-0.00458</v>
      </c>
      <c r="K962" s="8"/>
      <c r="L962" s="8"/>
    </row>
    <row r="963" ht="13.5" customHeight="1">
      <c r="A963" s="7" t="s">
        <v>355</v>
      </c>
      <c r="B963" s="7">
        <v>3.5</v>
      </c>
      <c r="C963" s="7" t="s">
        <v>362</v>
      </c>
      <c r="D963" s="7" t="s">
        <v>357</v>
      </c>
      <c r="E963" s="7">
        <v>-2.5913</v>
      </c>
      <c r="F963" s="7">
        <v>0.1511</v>
      </c>
      <c r="G963" s="7">
        <v>0.1001</v>
      </c>
      <c r="H963" s="7">
        <v>-6.635E-5</v>
      </c>
      <c r="I963" s="7">
        <v>-0.47595</v>
      </c>
      <c r="J963" s="7">
        <v>-0.26906</v>
      </c>
      <c r="K963" s="8"/>
      <c r="L963" s="8"/>
    </row>
    <row r="964" ht="13.5" customHeight="1">
      <c r="A964" s="7" t="s">
        <v>355</v>
      </c>
      <c r="B964" s="7">
        <v>0.0</v>
      </c>
      <c r="C964" s="7" t="s">
        <v>363</v>
      </c>
      <c r="D964" s="7" t="s">
        <v>357</v>
      </c>
      <c r="E964" s="7">
        <v>-2.8627</v>
      </c>
      <c r="F964" s="7">
        <v>-0.3169</v>
      </c>
      <c r="G964" s="7">
        <v>0.2144</v>
      </c>
      <c r="H964" s="7">
        <v>-1.1E-4</v>
      </c>
      <c r="I964" s="7">
        <v>0.37832</v>
      </c>
      <c r="J964" s="7">
        <v>-0.15355</v>
      </c>
      <c r="K964" s="8"/>
      <c r="L964" s="8"/>
    </row>
    <row r="965" ht="13.5" customHeight="1">
      <c r="A965" s="7" t="s">
        <v>355</v>
      </c>
      <c r="B965" s="7">
        <v>1.75</v>
      </c>
      <c r="C965" s="7" t="s">
        <v>363</v>
      </c>
      <c r="D965" s="7" t="s">
        <v>357</v>
      </c>
      <c r="E965" s="7">
        <v>-2.6702</v>
      </c>
      <c r="F965" s="7">
        <v>-0.0019</v>
      </c>
      <c r="G965" s="7">
        <v>0.2144</v>
      </c>
      <c r="H965" s="7">
        <v>-1.1E-4</v>
      </c>
      <c r="I965" s="7">
        <v>0.00317</v>
      </c>
      <c r="J965" s="7">
        <v>0.1254</v>
      </c>
      <c r="K965" s="8"/>
      <c r="L965" s="8"/>
    </row>
    <row r="966" ht="13.5" customHeight="1">
      <c r="A966" s="7" t="s">
        <v>355</v>
      </c>
      <c r="B966" s="7">
        <v>3.5</v>
      </c>
      <c r="C966" s="7" t="s">
        <v>363</v>
      </c>
      <c r="D966" s="7" t="s">
        <v>357</v>
      </c>
      <c r="E966" s="7">
        <v>-2.4777</v>
      </c>
      <c r="F966" s="7">
        <v>0.3131</v>
      </c>
      <c r="G966" s="7">
        <v>0.2144</v>
      </c>
      <c r="H966" s="7">
        <v>-1.1E-4</v>
      </c>
      <c r="I966" s="7">
        <v>-0.37198</v>
      </c>
      <c r="J966" s="7">
        <v>-0.1469</v>
      </c>
      <c r="K966" s="8"/>
      <c r="L966" s="8"/>
    </row>
    <row r="967" ht="13.5" customHeight="1">
      <c r="A967" s="7" t="s">
        <v>355</v>
      </c>
      <c r="B967" s="7">
        <v>0.0</v>
      </c>
      <c r="C967" s="7" t="s">
        <v>356</v>
      </c>
      <c r="D967" s="7" t="s">
        <v>357</v>
      </c>
      <c r="E967" s="7">
        <v>-2.9982</v>
      </c>
      <c r="F967" s="7">
        <v>0.5349</v>
      </c>
      <c r="G967" s="7">
        <v>0.2183</v>
      </c>
      <c r="H967" s="7">
        <v>-3.978E-5</v>
      </c>
      <c r="I967" s="7">
        <v>0.3871</v>
      </c>
      <c r="J967" s="7">
        <v>0.61695</v>
      </c>
      <c r="K967" s="8"/>
      <c r="L967" s="8"/>
    </row>
    <row r="968" ht="13.5" customHeight="1">
      <c r="A968" s="7" t="s">
        <v>355</v>
      </c>
      <c r="B968" s="7">
        <v>1.75</v>
      </c>
      <c r="C968" s="7" t="s">
        <v>356</v>
      </c>
      <c r="D968" s="7" t="s">
        <v>357</v>
      </c>
      <c r="E968" s="7">
        <v>-2.8057</v>
      </c>
      <c r="F968" s="7">
        <v>0.2987</v>
      </c>
      <c r="G968" s="7">
        <v>0.2183</v>
      </c>
      <c r="H968" s="7">
        <v>-3.978E-5</v>
      </c>
      <c r="I968" s="7">
        <v>0.0051</v>
      </c>
      <c r="J968" s="7">
        <v>-0.11241</v>
      </c>
      <c r="K968" s="8"/>
      <c r="L968" s="8"/>
    </row>
    <row r="969" ht="13.5" customHeight="1">
      <c r="A969" s="7" t="s">
        <v>355</v>
      </c>
      <c r="B969" s="7">
        <v>3.5</v>
      </c>
      <c r="C969" s="7" t="s">
        <v>356</v>
      </c>
      <c r="D969" s="7" t="s">
        <v>357</v>
      </c>
      <c r="E969" s="7">
        <v>-2.6132</v>
      </c>
      <c r="F969" s="7">
        <v>0.0624</v>
      </c>
      <c r="G969" s="7">
        <v>0.2183</v>
      </c>
      <c r="H969" s="7">
        <v>-3.978E-5</v>
      </c>
      <c r="I969" s="7">
        <v>-0.3769</v>
      </c>
      <c r="J969" s="7">
        <v>-0.42834</v>
      </c>
      <c r="K969" s="8"/>
      <c r="L969" s="8"/>
    </row>
    <row r="970" ht="13.5" customHeight="1">
      <c r="A970" s="7" t="s">
        <v>355</v>
      </c>
      <c r="B970" s="7">
        <v>0.0</v>
      </c>
      <c r="C970" s="7" t="s">
        <v>358</v>
      </c>
      <c r="D970" s="7" t="s">
        <v>357</v>
      </c>
      <c r="E970" s="7">
        <v>-2.9937</v>
      </c>
      <c r="F970" s="7">
        <v>0.1555</v>
      </c>
      <c r="G970" s="7">
        <v>0.224</v>
      </c>
      <c r="H970" s="7">
        <v>-5.8E-5</v>
      </c>
      <c r="I970" s="7">
        <v>0.39565</v>
      </c>
      <c r="J970" s="7">
        <v>0.26636</v>
      </c>
      <c r="K970" s="8"/>
      <c r="L970" s="8"/>
    </row>
    <row r="971" ht="13.5" customHeight="1">
      <c r="A971" s="7" t="s">
        <v>355</v>
      </c>
      <c r="B971" s="7">
        <v>1.75</v>
      </c>
      <c r="C971" s="7" t="s">
        <v>358</v>
      </c>
      <c r="D971" s="7" t="s">
        <v>357</v>
      </c>
      <c r="E971" s="7">
        <v>-2.8012</v>
      </c>
      <c r="F971" s="7">
        <v>0.1555</v>
      </c>
      <c r="G971" s="7">
        <v>0.224</v>
      </c>
      <c r="H971" s="7">
        <v>-5.8E-5</v>
      </c>
      <c r="I971" s="7">
        <v>0.00367</v>
      </c>
      <c r="J971" s="7">
        <v>-0.00569</v>
      </c>
      <c r="K971" s="8"/>
      <c r="L971" s="8"/>
    </row>
    <row r="972" ht="13.5" customHeight="1">
      <c r="A972" s="7" t="s">
        <v>355</v>
      </c>
      <c r="B972" s="7">
        <v>3.5</v>
      </c>
      <c r="C972" s="7" t="s">
        <v>358</v>
      </c>
      <c r="D972" s="7" t="s">
        <v>357</v>
      </c>
      <c r="E972" s="7">
        <v>-2.6087</v>
      </c>
      <c r="F972" s="7">
        <v>0.1555</v>
      </c>
      <c r="G972" s="7">
        <v>0.224</v>
      </c>
      <c r="H972" s="7">
        <v>-5.8E-5</v>
      </c>
      <c r="I972" s="7">
        <v>-0.3883</v>
      </c>
      <c r="J972" s="7">
        <v>-0.27774</v>
      </c>
      <c r="K972" s="8"/>
      <c r="L972" s="8"/>
    </row>
    <row r="973" ht="13.5" customHeight="1">
      <c r="A973" s="7" t="s">
        <v>355</v>
      </c>
      <c r="B973" s="7">
        <v>0.0</v>
      </c>
      <c r="C973" s="7" t="s">
        <v>359</v>
      </c>
      <c r="D973" s="7" t="s">
        <v>357</v>
      </c>
      <c r="E973" s="7">
        <v>-2.3747</v>
      </c>
      <c r="F973" s="7">
        <v>0.5296</v>
      </c>
      <c r="G973" s="7">
        <v>0.1493</v>
      </c>
      <c r="H973" s="7">
        <v>-2.071E-5</v>
      </c>
      <c r="I973" s="7">
        <v>0.27064</v>
      </c>
      <c r="J973" s="7">
        <v>0.57781</v>
      </c>
      <c r="K973" s="8"/>
      <c r="L973" s="8"/>
    </row>
    <row r="974" ht="13.5" customHeight="1">
      <c r="A974" s="7" t="s">
        <v>355</v>
      </c>
      <c r="B974" s="7">
        <v>1.75</v>
      </c>
      <c r="C974" s="7" t="s">
        <v>359</v>
      </c>
      <c r="D974" s="7" t="s">
        <v>357</v>
      </c>
      <c r="E974" s="7">
        <v>-2.1822</v>
      </c>
      <c r="F974" s="7">
        <v>0.2671</v>
      </c>
      <c r="G974" s="7">
        <v>0.1493</v>
      </c>
      <c r="H974" s="7">
        <v>-2.071E-5</v>
      </c>
      <c r="I974" s="7">
        <v>0.00941</v>
      </c>
      <c r="J974" s="7">
        <v>-0.11932</v>
      </c>
      <c r="K974" s="8"/>
      <c r="L974" s="8"/>
    </row>
    <row r="975" ht="13.5" customHeight="1">
      <c r="A975" s="7" t="s">
        <v>355</v>
      </c>
      <c r="B975" s="7">
        <v>3.5</v>
      </c>
      <c r="C975" s="7" t="s">
        <v>359</v>
      </c>
      <c r="D975" s="7" t="s">
        <v>357</v>
      </c>
      <c r="E975" s="7">
        <v>-1.9897</v>
      </c>
      <c r="F975" s="7">
        <v>0.0046</v>
      </c>
      <c r="G975" s="7">
        <v>0.1493</v>
      </c>
      <c r="H975" s="7">
        <v>-2.071E-5</v>
      </c>
      <c r="I975" s="7">
        <v>-0.25181</v>
      </c>
      <c r="J975" s="7">
        <v>-0.35707</v>
      </c>
      <c r="K975" s="8"/>
      <c r="L975" s="8"/>
    </row>
    <row r="976" ht="13.5" customHeight="1">
      <c r="A976" s="7" t="s">
        <v>355</v>
      </c>
      <c r="B976" s="7">
        <v>0.0</v>
      </c>
      <c r="C976" s="7" t="s">
        <v>360</v>
      </c>
      <c r="D976" s="7" t="s">
        <v>357</v>
      </c>
      <c r="E976" s="7">
        <v>-2.2242</v>
      </c>
      <c r="F976" s="7">
        <v>-0.4168</v>
      </c>
      <c r="G976" s="7">
        <v>0.1449</v>
      </c>
      <c r="H976" s="7">
        <v>-1.0E-4</v>
      </c>
      <c r="I976" s="7">
        <v>0.26088</v>
      </c>
      <c r="J976" s="7">
        <v>-0.2783</v>
      </c>
      <c r="K976" s="8"/>
      <c r="L976" s="8"/>
    </row>
    <row r="977" ht="13.5" customHeight="1">
      <c r="A977" s="7" t="s">
        <v>355</v>
      </c>
      <c r="B977" s="7">
        <v>1.75</v>
      </c>
      <c r="C977" s="7" t="s">
        <v>360</v>
      </c>
      <c r="D977" s="7" t="s">
        <v>357</v>
      </c>
      <c r="E977" s="7">
        <v>-2.0317</v>
      </c>
      <c r="F977" s="7">
        <v>-0.0668</v>
      </c>
      <c r="G977" s="7">
        <v>0.1449</v>
      </c>
      <c r="H977" s="7">
        <v>-1.0E-4</v>
      </c>
      <c r="I977" s="7">
        <v>0.00726</v>
      </c>
      <c r="J977" s="7">
        <v>0.14492</v>
      </c>
      <c r="K977" s="8"/>
      <c r="L977" s="8"/>
    </row>
    <row r="978" ht="13.5" customHeight="1">
      <c r="A978" s="7" t="s">
        <v>355</v>
      </c>
      <c r="B978" s="7">
        <v>3.5</v>
      </c>
      <c r="C978" s="7" t="s">
        <v>360</v>
      </c>
      <c r="D978" s="7" t="s">
        <v>357</v>
      </c>
      <c r="E978" s="7">
        <v>-1.8392</v>
      </c>
      <c r="F978" s="7">
        <v>0.2832</v>
      </c>
      <c r="G978" s="7">
        <v>0.1449</v>
      </c>
      <c r="H978" s="7">
        <v>-1.0E-4</v>
      </c>
      <c r="I978" s="7">
        <v>-0.24635</v>
      </c>
      <c r="J978" s="7">
        <v>-0.04436</v>
      </c>
      <c r="K978" s="8"/>
      <c r="L978" s="8"/>
    </row>
    <row r="979" ht="13.5" customHeight="1">
      <c r="A979" s="7" t="s">
        <v>355</v>
      </c>
      <c r="B979" s="7">
        <v>0.0</v>
      </c>
      <c r="C979" s="7" t="s">
        <v>361</v>
      </c>
      <c r="D979" s="7" t="s">
        <v>357</v>
      </c>
      <c r="E979" s="7">
        <v>-2.3504</v>
      </c>
      <c r="F979" s="7">
        <v>0.1032</v>
      </c>
      <c r="G979" s="7">
        <v>0.543</v>
      </c>
      <c r="H979" s="7">
        <v>-5.023E-5</v>
      </c>
      <c r="I979" s="7">
        <v>0.6198</v>
      </c>
      <c r="J979" s="7">
        <v>0.1811</v>
      </c>
      <c r="K979" s="8"/>
      <c r="L979" s="8"/>
    </row>
    <row r="980" ht="13.5" customHeight="1">
      <c r="A980" s="7" t="s">
        <v>355</v>
      </c>
      <c r="B980" s="7">
        <v>1.75</v>
      </c>
      <c r="C980" s="7" t="s">
        <v>361</v>
      </c>
      <c r="D980" s="7" t="s">
        <v>357</v>
      </c>
      <c r="E980" s="7">
        <v>-2.1579</v>
      </c>
      <c r="F980" s="7">
        <v>0.1032</v>
      </c>
      <c r="G980" s="7">
        <v>0.2805</v>
      </c>
      <c r="H980" s="7">
        <v>-5.023E-5</v>
      </c>
      <c r="I980" s="7">
        <v>-0.10072</v>
      </c>
      <c r="J980" s="7">
        <v>5.0E-4</v>
      </c>
      <c r="K980" s="8"/>
      <c r="L980" s="8"/>
    </row>
    <row r="981" ht="13.5" customHeight="1">
      <c r="A981" s="7" t="s">
        <v>355</v>
      </c>
      <c r="B981" s="7">
        <v>3.5</v>
      </c>
      <c r="C981" s="7" t="s">
        <v>361</v>
      </c>
      <c r="D981" s="7" t="s">
        <v>357</v>
      </c>
      <c r="E981" s="7">
        <v>-1.9654</v>
      </c>
      <c r="F981" s="7">
        <v>0.1032</v>
      </c>
      <c r="G981" s="7">
        <v>0.018</v>
      </c>
      <c r="H981" s="7">
        <v>-5.023E-5</v>
      </c>
      <c r="I981" s="7">
        <v>-0.36187</v>
      </c>
      <c r="J981" s="7">
        <v>-0.1801</v>
      </c>
      <c r="K981" s="8"/>
      <c r="L981" s="8"/>
    </row>
    <row r="982" ht="13.5" customHeight="1">
      <c r="A982" s="7" t="s">
        <v>355</v>
      </c>
      <c r="B982" s="7">
        <v>0.0</v>
      </c>
      <c r="C982" s="7" t="s">
        <v>362</v>
      </c>
      <c r="D982" s="7" t="s">
        <v>357</v>
      </c>
      <c r="E982" s="7">
        <v>-2.9763</v>
      </c>
      <c r="F982" s="7">
        <v>0.1511</v>
      </c>
      <c r="G982" s="7">
        <v>0.5726</v>
      </c>
      <c r="H982" s="7">
        <v>-6.635E-5</v>
      </c>
      <c r="I982" s="7">
        <v>0.70135</v>
      </c>
      <c r="J982" s="7">
        <v>0.2599</v>
      </c>
      <c r="K982" s="8"/>
      <c r="L982" s="8"/>
    </row>
    <row r="983" ht="13.5" customHeight="1">
      <c r="A983" s="7" t="s">
        <v>355</v>
      </c>
      <c r="B983" s="7">
        <v>1.75</v>
      </c>
      <c r="C983" s="7" t="s">
        <v>362</v>
      </c>
      <c r="D983" s="7" t="s">
        <v>357</v>
      </c>
      <c r="E983" s="7">
        <v>-2.7838</v>
      </c>
      <c r="F983" s="7">
        <v>0.1511</v>
      </c>
      <c r="G983" s="7">
        <v>0.3364</v>
      </c>
      <c r="H983" s="7">
        <v>-6.635E-5</v>
      </c>
      <c r="I983" s="7">
        <v>-0.09402</v>
      </c>
      <c r="J983" s="7">
        <v>-0.00458</v>
      </c>
      <c r="K983" s="8"/>
      <c r="L983" s="8"/>
    </row>
    <row r="984" ht="13.5" customHeight="1">
      <c r="A984" s="7" t="s">
        <v>355</v>
      </c>
      <c r="B984" s="7">
        <v>3.5</v>
      </c>
      <c r="C984" s="7" t="s">
        <v>362</v>
      </c>
      <c r="D984" s="7" t="s">
        <v>357</v>
      </c>
      <c r="E984" s="7">
        <v>-2.5913</v>
      </c>
      <c r="F984" s="7">
        <v>0.1511</v>
      </c>
      <c r="G984" s="7">
        <v>0.1001</v>
      </c>
      <c r="H984" s="7">
        <v>-6.635E-5</v>
      </c>
      <c r="I984" s="7">
        <v>-0.47595</v>
      </c>
      <c r="J984" s="7">
        <v>-0.26906</v>
      </c>
      <c r="K984" s="8"/>
      <c r="L984" s="8"/>
    </row>
    <row r="985" ht="13.5" customHeight="1">
      <c r="A985" s="7" t="s">
        <v>355</v>
      </c>
      <c r="B985" s="7">
        <v>0.0</v>
      </c>
      <c r="C985" s="7" t="s">
        <v>363</v>
      </c>
      <c r="D985" s="7" t="s">
        <v>357</v>
      </c>
      <c r="E985" s="7">
        <v>-2.8627</v>
      </c>
      <c r="F985" s="7">
        <v>-0.3169</v>
      </c>
      <c r="G985" s="7">
        <v>0.2144</v>
      </c>
      <c r="H985" s="7">
        <v>-1.1E-4</v>
      </c>
      <c r="I985" s="7">
        <v>0.37832</v>
      </c>
      <c r="J985" s="7">
        <v>-0.15355</v>
      </c>
      <c r="K985" s="8"/>
      <c r="L985" s="8"/>
    </row>
    <row r="986" ht="13.5" customHeight="1">
      <c r="A986" s="7" t="s">
        <v>355</v>
      </c>
      <c r="B986" s="7">
        <v>1.75</v>
      </c>
      <c r="C986" s="7" t="s">
        <v>363</v>
      </c>
      <c r="D986" s="7" t="s">
        <v>357</v>
      </c>
      <c r="E986" s="7">
        <v>-2.6702</v>
      </c>
      <c r="F986" s="7">
        <v>-0.0019</v>
      </c>
      <c r="G986" s="7">
        <v>0.2144</v>
      </c>
      <c r="H986" s="7">
        <v>-1.1E-4</v>
      </c>
      <c r="I986" s="7">
        <v>0.00317</v>
      </c>
      <c r="J986" s="7">
        <v>0.1254</v>
      </c>
      <c r="K986" s="8"/>
      <c r="L986" s="8"/>
    </row>
    <row r="987" ht="13.5" customHeight="1">
      <c r="A987" s="7" t="s">
        <v>355</v>
      </c>
      <c r="B987" s="7">
        <v>3.5</v>
      </c>
      <c r="C987" s="7" t="s">
        <v>363</v>
      </c>
      <c r="D987" s="7" t="s">
        <v>357</v>
      </c>
      <c r="E987" s="7">
        <v>-2.4777</v>
      </c>
      <c r="F987" s="7">
        <v>0.3131</v>
      </c>
      <c r="G987" s="7">
        <v>0.2144</v>
      </c>
      <c r="H987" s="7">
        <v>-1.1E-4</v>
      </c>
      <c r="I987" s="7">
        <v>-0.37198</v>
      </c>
      <c r="J987" s="7">
        <v>-0.1469</v>
      </c>
      <c r="K987" s="8"/>
      <c r="L987" s="8"/>
    </row>
    <row r="988" ht="13.5" customHeight="1">
      <c r="A988" s="7" t="s">
        <v>355</v>
      </c>
      <c r="B988" s="7">
        <v>0.0</v>
      </c>
      <c r="C988" s="7" t="s">
        <v>356</v>
      </c>
      <c r="D988" s="7" t="s">
        <v>357</v>
      </c>
      <c r="E988" s="7">
        <v>-2.9982</v>
      </c>
      <c r="F988" s="7">
        <v>0.5349</v>
      </c>
      <c r="G988" s="7">
        <v>0.2183</v>
      </c>
      <c r="H988" s="7">
        <v>-3.978E-5</v>
      </c>
      <c r="I988" s="7">
        <v>0.3871</v>
      </c>
      <c r="J988" s="7">
        <v>0.61695</v>
      </c>
      <c r="K988" s="8"/>
      <c r="L988" s="8"/>
    </row>
    <row r="989" ht="13.5" customHeight="1">
      <c r="A989" s="7" t="s">
        <v>355</v>
      </c>
      <c r="B989" s="7">
        <v>1.75</v>
      </c>
      <c r="C989" s="7" t="s">
        <v>356</v>
      </c>
      <c r="D989" s="7" t="s">
        <v>357</v>
      </c>
      <c r="E989" s="7">
        <v>-2.8057</v>
      </c>
      <c r="F989" s="7">
        <v>0.2987</v>
      </c>
      <c r="G989" s="7">
        <v>0.2183</v>
      </c>
      <c r="H989" s="7">
        <v>-3.978E-5</v>
      </c>
      <c r="I989" s="7">
        <v>0.0051</v>
      </c>
      <c r="J989" s="7">
        <v>-0.11241</v>
      </c>
      <c r="K989" s="8"/>
      <c r="L989" s="8"/>
    </row>
    <row r="990" ht="13.5" customHeight="1">
      <c r="A990" s="7" t="s">
        <v>355</v>
      </c>
      <c r="B990" s="7">
        <v>3.5</v>
      </c>
      <c r="C990" s="7" t="s">
        <v>356</v>
      </c>
      <c r="D990" s="7" t="s">
        <v>357</v>
      </c>
      <c r="E990" s="7">
        <v>-2.6132</v>
      </c>
      <c r="F990" s="7">
        <v>0.0624</v>
      </c>
      <c r="G990" s="7">
        <v>0.2183</v>
      </c>
      <c r="H990" s="7">
        <v>-3.978E-5</v>
      </c>
      <c r="I990" s="7">
        <v>-0.3769</v>
      </c>
      <c r="J990" s="7">
        <v>-0.42834</v>
      </c>
      <c r="K990" s="8"/>
      <c r="L990" s="8"/>
    </row>
    <row r="991" ht="13.5" customHeight="1">
      <c r="A991" s="7" t="s">
        <v>355</v>
      </c>
      <c r="B991" s="7">
        <v>0.0</v>
      </c>
      <c r="C991" s="7" t="s">
        <v>358</v>
      </c>
      <c r="D991" s="7" t="s">
        <v>357</v>
      </c>
      <c r="E991" s="7">
        <v>-2.9937</v>
      </c>
      <c r="F991" s="7">
        <v>0.1555</v>
      </c>
      <c r="G991" s="7">
        <v>0.224</v>
      </c>
      <c r="H991" s="7">
        <v>-5.8E-5</v>
      </c>
      <c r="I991" s="7">
        <v>0.39565</v>
      </c>
      <c r="J991" s="7">
        <v>0.26636</v>
      </c>
      <c r="K991" s="8"/>
      <c r="L991" s="8"/>
    </row>
    <row r="992" ht="13.5" customHeight="1">
      <c r="A992" s="7" t="s">
        <v>355</v>
      </c>
      <c r="B992" s="7">
        <v>1.75</v>
      </c>
      <c r="C992" s="7" t="s">
        <v>358</v>
      </c>
      <c r="D992" s="7" t="s">
        <v>357</v>
      </c>
      <c r="E992" s="7">
        <v>-2.8012</v>
      </c>
      <c r="F992" s="7">
        <v>0.1555</v>
      </c>
      <c r="G992" s="7">
        <v>0.224</v>
      </c>
      <c r="H992" s="7">
        <v>-5.8E-5</v>
      </c>
      <c r="I992" s="7">
        <v>0.00367</v>
      </c>
      <c r="J992" s="7">
        <v>-0.00569</v>
      </c>
      <c r="K992" s="8"/>
      <c r="L992" s="8"/>
    </row>
    <row r="993" ht="13.5" customHeight="1">
      <c r="A993" s="7" t="s">
        <v>355</v>
      </c>
      <c r="B993" s="7">
        <v>3.5</v>
      </c>
      <c r="C993" s="7" t="s">
        <v>358</v>
      </c>
      <c r="D993" s="7" t="s">
        <v>357</v>
      </c>
      <c r="E993" s="7">
        <v>-2.6087</v>
      </c>
      <c r="F993" s="7">
        <v>0.1555</v>
      </c>
      <c r="G993" s="7">
        <v>0.224</v>
      </c>
      <c r="H993" s="7">
        <v>-5.8E-5</v>
      </c>
      <c r="I993" s="7">
        <v>-0.3883</v>
      </c>
      <c r="J993" s="7">
        <v>-0.27774</v>
      </c>
      <c r="K993" s="8"/>
      <c r="L993" s="8"/>
    </row>
    <row r="994" ht="13.5" customHeight="1">
      <c r="A994" s="7" t="s">
        <v>355</v>
      </c>
      <c r="B994" s="7">
        <v>0.0</v>
      </c>
      <c r="C994" s="7" t="s">
        <v>359</v>
      </c>
      <c r="D994" s="7" t="s">
        <v>357</v>
      </c>
      <c r="E994" s="7">
        <v>-2.3747</v>
      </c>
      <c r="F994" s="7">
        <v>0.5296</v>
      </c>
      <c r="G994" s="7">
        <v>0.1493</v>
      </c>
      <c r="H994" s="7">
        <v>-2.071E-5</v>
      </c>
      <c r="I994" s="7">
        <v>0.27064</v>
      </c>
      <c r="J994" s="7">
        <v>0.57781</v>
      </c>
      <c r="K994" s="8"/>
      <c r="L994" s="8"/>
    </row>
    <row r="995" ht="13.5" customHeight="1">
      <c r="A995" s="7" t="s">
        <v>355</v>
      </c>
      <c r="B995" s="7">
        <v>1.75</v>
      </c>
      <c r="C995" s="7" t="s">
        <v>359</v>
      </c>
      <c r="D995" s="7" t="s">
        <v>357</v>
      </c>
      <c r="E995" s="7">
        <v>-2.1822</v>
      </c>
      <c r="F995" s="7">
        <v>0.2671</v>
      </c>
      <c r="G995" s="7">
        <v>0.1493</v>
      </c>
      <c r="H995" s="7">
        <v>-2.071E-5</v>
      </c>
      <c r="I995" s="7">
        <v>0.00941</v>
      </c>
      <c r="J995" s="7">
        <v>-0.11932</v>
      </c>
      <c r="K995" s="8"/>
      <c r="L995" s="8"/>
    </row>
    <row r="996" ht="13.5" customHeight="1">
      <c r="A996" s="7" t="s">
        <v>355</v>
      </c>
      <c r="B996" s="7">
        <v>3.5</v>
      </c>
      <c r="C996" s="7" t="s">
        <v>359</v>
      </c>
      <c r="D996" s="7" t="s">
        <v>357</v>
      </c>
      <c r="E996" s="7">
        <v>-1.9897</v>
      </c>
      <c r="F996" s="7">
        <v>0.0046</v>
      </c>
      <c r="G996" s="7">
        <v>0.1493</v>
      </c>
      <c r="H996" s="7">
        <v>-2.071E-5</v>
      </c>
      <c r="I996" s="7">
        <v>-0.25181</v>
      </c>
      <c r="J996" s="7">
        <v>-0.35707</v>
      </c>
      <c r="K996" s="8"/>
      <c r="L996" s="8"/>
    </row>
    <row r="997" ht="13.5" customHeight="1">
      <c r="A997" s="7" t="s">
        <v>355</v>
      </c>
      <c r="B997" s="7">
        <v>0.0</v>
      </c>
      <c r="C997" s="7" t="s">
        <v>360</v>
      </c>
      <c r="D997" s="7" t="s">
        <v>357</v>
      </c>
      <c r="E997" s="7">
        <v>-2.2242</v>
      </c>
      <c r="F997" s="7">
        <v>-0.4168</v>
      </c>
      <c r="G997" s="7">
        <v>0.1449</v>
      </c>
      <c r="H997" s="7">
        <v>-1.0E-4</v>
      </c>
      <c r="I997" s="7">
        <v>0.26088</v>
      </c>
      <c r="J997" s="7">
        <v>-0.2783</v>
      </c>
      <c r="K997" s="8"/>
      <c r="L997" s="8"/>
    </row>
    <row r="998" ht="13.5" customHeight="1">
      <c r="A998" s="7" t="s">
        <v>355</v>
      </c>
      <c r="B998" s="7">
        <v>1.75</v>
      </c>
      <c r="C998" s="7" t="s">
        <v>360</v>
      </c>
      <c r="D998" s="7" t="s">
        <v>357</v>
      </c>
      <c r="E998" s="7">
        <v>-2.0317</v>
      </c>
      <c r="F998" s="7">
        <v>-0.0668</v>
      </c>
      <c r="G998" s="7">
        <v>0.1449</v>
      </c>
      <c r="H998" s="7">
        <v>-1.0E-4</v>
      </c>
      <c r="I998" s="7">
        <v>0.00726</v>
      </c>
      <c r="J998" s="7">
        <v>0.14492</v>
      </c>
      <c r="K998" s="8"/>
      <c r="L998" s="8"/>
    </row>
    <row r="999" ht="13.5" customHeight="1">
      <c r="A999" s="7" t="s">
        <v>355</v>
      </c>
      <c r="B999" s="7">
        <v>3.5</v>
      </c>
      <c r="C999" s="7" t="s">
        <v>360</v>
      </c>
      <c r="D999" s="7" t="s">
        <v>357</v>
      </c>
      <c r="E999" s="7">
        <v>-1.8392</v>
      </c>
      <c r="F999" s="7">
        <v>0.2832</v>
      </c>
      <c r="G999" s="7">
        <v>0.1449</v>
      </c>
      <c r="H999" s="7">
        <v>-1.0E-4</v>
      </c>
      <c r="I999" s="7">
        <v>-0.24635</v>
      </c>
      <c r="J999" s="7">
        <v>-0.04436</v>
      </c>
      <c r="K999" s="8"/>
      <c r="L999" s="8"/>
    </row>
    <row r="1000" ht="13.5" customHeight="1">
      <c r="A1000" s="7" t="s">
        <v>355</v>
      </c>
      <c r="B1000" s="7">
        <v>0.0</v>
      </c>
      <c r="C1000" s="7" t="s">
        <v>361</v>
      </c>
      <c r="D1000" s="7" t="s">
        <v>357</v>
      </c>
      <c r="E1000" s="7">
        <v>-2.3504</v>
      </c>
      <c r="F1000" s="7">
        <v>0.1032</v>
      </c>
      <c r="G1000" s="7">
        <v>0.543</v>
      </c>
      <c r="H1000" s="7">
        <v>-5.023E-5</v>
      </c>
      <c r="I1000" s="7">
        <v>0.6198</v>
      </c>
      <c r="J1000" s="7">
        <v>0.1811</v>
      </c>
      <c r="K1000" s="8"/>
      <c r="L1000" s="8"/>
    </row>
    <row r="1001" ht="13.5" customHeight="1">
      <c r="A1001" s="7" t="s">
        <v>355</v>
      </c>
      <c r="B1001" s="7">
        <v>1.75</v>
      </c>
      <c r="C1001" s="7" t="s">
        <v>361</v>
      </c>
      <c r="D1001" s="7" t="s">
        <v>357</v>
      </c>
      <c r="E1001" s="7">
        <v>-2.1579</v>
      </c>
      <c r="F1001" s="7">
        <v>0.1032</v>
      </c>
      <c r="G1001" s="7">
        <v>0.2805</v>
      </c>
      <c r="H1001" s="7">
        <v>-5.023E-5</v>
      </c>
      <c r="I1001" s="7">
        <v>-0.10072</v>
      </c>
      <c r="J1001" s="7">
        <v>5.0E-4</v>
      </c>
      <c r="K1001" s="8"/>
      <c r="L1001" s="8"/>
    </row>
    <row r="1002" ht="13.5" customHeight="1">
      <c r="A1002" s="7" t="s">
        <v>355</v>
      </c>
      <c r="B1002" s="7">
        <v>3.5</v>
      </c>
      <c r="C1002" s="7" t="s">
        <v>361</v>
      </c>
      <c r="D1002" s="7" t="s">
        <v>357</v>
      </c>
      <c r="E1002" s="7">
        <v>-1.9654</v>
      </c>
      <c r="F1002" s="7">
        <v>0.1032</v>
      </c>
      <c r="G1002" s="7">
        <v>0.018</v>
      </c>
      <c r="H1002" s="7">
        <v>-5.023E-5</v>
      </c>
      <c r="I1002" s="7">
        <v>-0.36187</v>
      </c>
      <c r="J1002" s="7">
        <v>-0.1801</v>
      </c>
      <c r="K1002" s="8"/>
      <c r="L1002" s="8"/>
    </row>
    <row r="1003" ht="13.5" customHeight="1">
      <c r="A1003" s="7" t="s">
        <v>355</v>
      </c>
      <c r="B1003" s="7">
        <v>0.0</v>
      </c>
      <c r="C1003" s="7" t="s">
        <v>362</v>
      </c>
      <c r="D1003" s="7" t="s">
        <v>357</v>
      </c>
      <c r="E1003" s="7">
        <v>-2.9763</v>
      </c>
      <c r="F1003" s="7">
        <v>0.1511</v>
      </c>
      <c r="G1003" s="7">
        <v>0.5726</v>
      </c>
      <c r="H1003" s="7">
        <v>-6.635E-5</v>
      </c>
      <c r="I1003" s="7">
        <v>0.70135</v>
      </c>
      <c r="J1003" s="7">
        <v>0.2599</v>
      </c>
      <c r="K1003" s="8"/>
      <c r="L1003" s="8"/>
    </row>
    <row r="1004" ht="13.5" customHeight="1">
      <c r="A1004" s="7" t="s">
        <v>355</v>
      </c>
      <c r="B1004" s="7">
        <v>1.75</v>
      </c>
      <c r="C1004" s="7" t="s">
        <v>362</v>
      </c>
      <c r="D1004" s="7" t="s">
        <v>357</v>
      </c>
      <c r="E1004" s="7">
        <v>-2.7838</v>
      </c>
      <c r="F1004" s="7">
        <v>0.1511</v>
      </c>
      <c r="G1004" s="7">
        <v>0.3364</v>
      </c>
      <c r="H1004" s="7">
        <v>-6.635E-5</v>
      </c>
      <c r="I1004" s="7">
        <v>-0.09402</v>
      </c>
      <c r="J1004" s="7">
        <v>-0.00458</v>
      </c>
      <c r="K1004" s="8"/>
      <c r="L1004" s="8"/>
    </row>
    <row r="1005" ht="13.5" customHeight="1">
      <c r="A1005" s="7" t="s">
        <v>355</v>
      </c>
      <c r="B1005" s="7">
        <v>3.5</v>
      </c>
      <c r="C1005" s="7" t="s">
        <v>362</v>
      </c>
      <c r="D1005" s="7" t="s">
        <v>357</v>
      </c>
      <c r="E1005" s="7">
        <v>-2.5913</v>
      </c>
      <c r="F1005" s="7">
        <v>0.1511</v>
      </c>
      <c r="G1005" s="7">
        <v>0.1001</v>
      </c>
      <c r="H1005" s="7">
        <v>-6.635E-5</v>
      </c>
      <c r="I1005" s="7">
        <v>-0.47595</v>
      </c>
      <c r="J1005" s="7">
        <v>-0.26906</v>
      </c>
      <c r="K1005" s="8"/>
      <c r="L1005" s="8"/>
    </row>
    <row r="1006" ht="13.5" customHeight="1">
      <c r="A1006" s="7" t="s">
        <v>355</v>
      </c>
      <c r="B1006" s="7">
        <v>0.0</v>
      </c>
      <c r="C1006" s="7" t="s">
        <v>363</v>
      </c>
      <c r="D1006" s="7" t="s">
        <v>357</v>
      </c>
      <c r="E1006" s="7">
        <v>-2.8627</v>
      </c>
      <c r="F1006" s="7">
        <v>-0.3169</v>
      </c>
      <c r="G1006" s="7">
        <v>0.2144</v>
      </c>
      <c r="H1006" s="7">
        <v>-1.1E-4</v>
      </c>
      <c r="I1006" s="7">
        <v>0.37832</v>
      </c>
      <c r="J1006" s="7">
        <v>-0.15355</v>
      </c>
      <c r="K1006" s="8"/>
      <c r="L1006" s="8"/>
    </row>
    <row r="1007" ht="13.5" customHeight="1">
      <c r="A1007" s="7" t="s">
        <v>355</v>
      </c>
      <c r="B1007" s="7">
        <v>1.75</v>
      </c>
      <c r="C1007" s="7" t="s">
        <v>363</v>
      </c>
      <c r="D1007" s="7" t="s">
        <v>357</v>
      </c>
      <c r="E1007" s="7">
        <v>-2.6702</v>
      </c>
      <c r="F1007" s="7">
        <v>-0.0019</v>
      </c>
      <c r="G1007" s="7">
        <v>0.2144</v>
      </c>
      <c r="H1007" s="7">
        <v>-1.1E-4</v>
      </c>
      <c r="I1007" s="7">
        <v>0.00317</v>
      </c>
      <c r="J1007" s="7">
        <v>0.1254</v>
      </c>
      <c r="K1007" s="8"/>
      <c r="L1007" s="8"/>
    </row>
    <row r="1008" ht="13.5" customHeight="1">
      <c r="A1008" s="7" t="s">
        <v>355</v>
      </c>
      <c r="B1008" s="7">
        <v>3.5</v>
      </c>
      <c r="C1008" s="7" t="s">
        <v>363</v>
      </c>
      <c r="D1008" s="7" t="s">
        <v>357</v>
      </c>
      <c r="E1008" s="7">
        <v>-2.4777</v>
      </c>
      <c r="F1008" s="7">
        <v>0.3131</v>
      </c>
      <c r="G1008" s="7">
        <v>0.2144</v>
      </c>
      <c r="H1008" s="7">
        <v>-1.1E-4</v>
      </c>
      <c r="I1008" s="7">
        <v>-0.37198</v>
      </c>
      <c r="J1008" s="7">
        <v>-0.1469</v>
      </c>
      <c r="K1008" s="8"/>
      <c r="L1008" s="8"/>
    </row>
    <row r="1009" ht="13.5" customHeight="1">
      <c r="A1009" s="7" t="s">
        <v>355</v>
      </c>
      <c r="B1009" s="7">
        <v>0.0</v>
      </c>
      <c r="C1009" s="7" t="s">
        <v>356</v>
      </c>
      <c r="D1009" s="7" t="s">
        <v>357</v>
      </c>
      <c r="E1009" s="7">
        <v>-2.9982</v>
      </c>
      <c r="F1009" s="7">
        <v>0.5349</v>
      </c>
      <c r="G1009" s="7">
        <v>0.2183</v>
      </c>
      <c r="H1009" s="7">
        <v>-3.978E-5</v>
      </c>
      <c r="I1009" s="7">
        <v>0.3871</v>
      </c>
      <c r="J1009" s="7">
        <v>0.61695</v>
      </c>
      <c r="K1009" s="8"/>
      <c r="L1009" s="8"/>
    </row>
    <row r="1010" ht="13.5" customHeight="1">
      <c r="A1010" s="7" t="s">
        <v>355</v>
      </c>
      <c r="B1010" s="7">
        <v>1.75</v>
      </c>
      <c r="C1010" s="7" t="s">
        <v>356</v>
      </c>
      <c r="D1010" s="7" t="s">
        <v>357</v>
      </c>
      <c r="E1010" s="7">
        <v>-2.8057</v>
      </c>
      <c r="F1010" s="7">
        <v>0.2987</v>
      </c>
      <c r="G1010" s="7">
        <v>0.2183</v>
      </c>
      <c r="H1010" s="7">
        <v>-3.978E-5</v>
      </c>
      <c r="I1010" s="7">
        <v>0.0051</v>
      </c>
      <c r="J1010" s="7">
        <v>-0.11241</v>
      </c>
      <c r="K1010" s="8"/>
      <c r="L1010" s="8"/>
    </row>
    <row r="1011" ht="13.5" customHeight="1">
      <c r="A1011" s="7" t="s">
        <v>355</v>
      </c>
      <c r="B1011" s="7">
        <v>3.5</v>
      </c>
      <c r="C1011" s="7" t="s">
        <v>356</v>
      </c>
      <c r="D1011" s="7" t="s">
        <v>357</v>
      </c>
      <c r="E1011" s="7">
        <v>-2.6132</v>
      </c>
      <c r="F1011" s="7">
        <v>0.0624</v>
      </c>
      <c r="G1011" s="7">
        <v>0.2183</v>
      </c>
      <c r="H1011" s="7">
        <v>-3.978E-5</v>
      </c>
      <c r="I1011" s="7">
        <v>-0.3769</v>
      </c>
      <c r="J1011" s="7">
        <v>-0.42834</v>
      </c>
      <c r="K1011" s="8"/>
      <c r="L1011" s="8"/>
    </row>
    <row r="1012" ht="13.5" customHeight="1">
      <c r="A1012" s="7" t="s">
        <v>355</v>
      </c>
      <c r="B1012" s="7">
        <v>0.0</v>
      </c>
      <c r="C1012" s="7" t="s">
        <v>358</v>
      </c>
      <c r="D1012" s="7" t="s">
        <v>357</v>
      </c>
      <c r="E1012" s="7">
        <v>-2.9937</v>
      </c>
      <c r="F1012" s="7">
        <v>0.1555</v>
      </c>
      <c r="G1012" s="7">
        <v>0.224</v>
      </c>
      <c r="H1012" s="7">
        <v>-5.8E-5</v>
      </c>
      <c r="I1012" s="7">
        <v>0.39565</v>
      </c>
      <c r="J1012" s="7">
        <v>0.26636</v>
      </c>
      <c r="K1012" s="8"/>
      <c r="L1012" s="8"/>
    </row>
    <row r="1013" ht="13.5" customHeight="1">
      <c r="A1013" s="7" t="s">
        <v>355</v>
      </c>
      <c r="B1013" s="7">
        <v>1.75</v>
      </c>
      <c r="C1013" s="7" t="s">
        <v>358</v>
      </c>
      <c r="D1013" s="7" t="s">
        <v>357</v>
      </c>
      <c r="E1013" s="7">
        <v>-2.8012</v>
      </c>
      <c r="F1013" s="7">
        <v>0.1555</v>
      </c>
      <c r="G1013" s="7">
        <v>0.224</v>
      </c>
      <c r="H1013" s="7">
        <v>-5.8E-5</v>
      </c>
      <c r="I1013" s="7">
        <v>0.00367</v>
      </c>
      <c r="J1013" s="7">
        <v>-0.00569</v>
      </c>
      <c r="K1013" s="8"/>
      <c r="L1013" s="8"/>
    </row>
    <row r="1014" ht="13.5" customHeight="1">
      <c r="A1014" s="7" t="s">
        <v>355</v>
      </c>
      <c r="B1014" s="7">
        <v>3.5</v>
      </c>
      <c r="C1014" s="7" t="s">
        <v>358</v>
      </c>
      <c r="D1014" s="7" t="s">
        <v>357</v>
      </c>
      <c r="E1014" s="7">
        <v>-2.6087</v>
      </c>
      <c r="F1014" s="7">
        <v>0.1555</v>
      </c>
      <c r="G1014" s="7">
        <v>0.224</v>
      </c>
      <c r="H1014" s="7">
        <v>-5.8E-5</v>
      </c>
      <c r="I1014" s="7">
        <v>-0.3883</v>
      </c>
      <c r="J1014" s="7">
        <v>-0.27774</v>
      </c>
      <c r="K1014" s="8"/>
      <c r="L1014" s="8"/>
    </row>
    <row r="1015" ht="13.5" customHeight="1">
      <c r="A1015" s="7" t="s">
        <v>355</v>
      </c>
      <c r="B1015" s="7">
        <v>0.0</v>
      </c>
      <c r="C1015" s="7" t="s">
        <v>359</v>
      </c>
      <c r="D1015" s="7" t="s">
        <v>357</v>
      </c>
      <c r="E1015" s="7">
        <v>-2.3747</v>
      </c>
      <c r="F1015" s="7">
        <v>0.5296</v>
      </c>
      <c r="G1015" s="7">
        <v>0.1493</v>
      </c>
      <c r="H1015" s="7">
        <v>-2.071E-5</v>
      </c>
      <c r="I1015" s="7">
        <v>0.27064</v>
      </c>
      <c r="J1015" s="7">
        <v>0.57781</v>
      </c>
      <c r="K1015" s="8"/>
      <c r="L1015" s="8"/>
    </row>
    <row r="1016" ht="13.5" customHeight="1">
      <c r="A1016" s="7" t="s">
        <v>355</v>
      </c>
      <c r="B1016" s="7">
        <v>1.75</v>
      </c>
      <c r="C1016" s="7" t="s">
        <v>359</v>
      </c>
      <c r="D1016" s="7" t="s">
        <v>357</v>
      </c>
      <c r="E1016" s="7">
        <v>-2.1822</v>
      </c>
      <c r="F1016" s="7">
        <v>0.2671</v>
      </c>
      <c r="G1016" s="7">
        <v>0.1493</v>
      </c>
      <c r="H1016" s="7">
        <v>-2.071E-5</v>
      </c>
      <c r="I1016" s="7">
        <v>0.00941</v>
      </c>
      <c r="J1016" s="7">
        <v>-0.11932</v>
      </c>
      <c r="K1016" s="8"/>
      <c r="L1016" s="8"/>
    </row>
    <row r="1017" ht="13.5" customHeight="1">
      <c r="A1017" s="7" t="s">
        <v>355</v>
      </c>
      <c r="B1017" s="7">
        <v>3.5</v>
      </c>
      <c r="C1017" s="7" t="s">
        <v>359</v>
      </c>
      <c r="D1017" s="7" t="s">
        <v>357</v>
      </c>
      <c r="E1017" s="7">
        <v>-1.9897</v>
      </c>
      <c r="F1017" s="7">
        <v>0.0046</v>
      </c>
      <c r="G1017" s="7">
        <v>0.1493</v>
      </c>
      <c r="H1017" s="7">
        <v>-2.071E-5</v>
      </c>
      <c r="I1017" s="7">
        <v>-0.25181</v>
      </c>
      <c r="J1017" s="7">
        <v>-0.35707</v>
      </c>
      <c r="K1017" s="8"/>
      <c r="L1017" s="8"/>
    </row>
    <row r="1018" ht="13.5" customHeight="1">
      <c r="A1018" s="7" t="s">
        <v>355</v>
      </c>
      <c r="B1018" s="7">
        <v>0.0</v>
      </c>
      <c r="C1018" s="7" t="s">
        <v>360</v>
      </c>
      <c r="D1018" s="7" t="s">
        <v>357</v>
      </c>
      <c r="E1018" s="7">
        <v>-2.2242</v>
      </c>
      <c r="F1018" s="7">
        <v>-0.4168</v>
      </c>
      <c r="G1018" s="7">
        <v>0.1449</v>
      </c>
      <c r="H1018" s="7">
        <v>-1.0E-4</v>
      </c>
      <c r="I1018" s="7">
        <v>0.26088</v>
      </c>
      <c r="J1018" s="7">
        <v>-0.2783</v>
      </c>
      <c r="K1018" s="8"/>
      <c r="L1018" s="8"/>
    </row>
    <row r="1019" ht="13.5" customHeight="1">
      <c r="A1019" s="7" t="s">
        <v>355</v>
      </c>
      <c r="B1019" s="7">
        <v>1.75</v>
      </c>
      <c r="C1019" s="7" t="s">
        <v>360</v>
      </c>
      <c r="D1019" s="7" t="s">
        <v>357</v>
      </c>
      <c r="E1019" s="7">
        <v>-2.0317</v>
      </c>
      <c r="F1019" s="7">
        <v>-0.0668</v>
      </c>
      <c r="G1019" s="7">
        <v>0.1449</v>
      </c>
      <c r="H1019" s="7">
        <v>-1.0E-4</v>
      </c>
      <c r="I1019" s="7">
        <v>0.00726</v>
      </c>
      <c r="J1019" s="7">
        <v>0.14492</v>
      </c>
      <c r="K1019" s="8"/>
      <c r="L1019" s="8"/>
    </row>
    <row r="1020" ht="13.5" customHeight="1">
      <c r="A1020" s="7" t="s">
        <v>355</v>
      </c>
      <c r="B1020" s="7">
        <v>3.5</v>
      </c>
      <c r="C1020" s="7" t="s">
        <v>360</v>
      </c>
      <c r="D1020" s="7" t="s">
        <v>357</v>
      </c>
      <c r="E1020" s="7">
        <v>-1.8392</v>
      </c>
      <c r="F1020" s="7">
        <v>0.2832</v>
      </c>
      <c r="G1020" s="7">
        <v>0.1449</v>
      </c>
      <c r="H1020" s="7">
        <v>-1.0E-4</v>
      </c>
      <c r="I1020" s="7">
        <v>-0.24635</v>
      </c>
      <c r="J1020" s="7">
        <v>-0.04436</v>
      </c>
      <c r="K1020" s="8"/>
      <c r="L1020" s="8"/>
    </row>
    <row r="1021" ht="13.5" customHeight="1">
      <c r="A1021" s="7" t="s">
        <v>355</v>
      </c>
      <c r="B1021" s="7">
        <v>0.0</v>
      </c>
      <c r="C1021" s="7" t="s">
        <v>361</v>
      </c>
      <c r="D1021" s="7" t="s">
        <v>357</v>
      </c>
      <c r="E1021" s="7">
        <v>-2.3504</v>
      </c>
      <c r="F1021" s="7">
        <v>0.1032</v>
      </c>
      <c r="G1021" s="7">
        <v>0.543</v>
      </c>
      <c r="H1021" s="7">
        <v>-5.023E-5</v>
      </c>
      <c r="I1021" s="7">
        <v>0.6198</v>
      </c>
      <c r="J1021" s="7">
        <v>0.1811</v>
      </c>
      <c r="K1021" s="8"/>
      <c r="L1021" s="8"/>
    </row>
    <row r="1022" ht="13.5" customHeight="1">
      <c r="A1022" s="7" t="s">
        <v>355</v>
      </c>
      <c r="B1022" s="7">
        <v>1.75</v>
      </c>
      <c r="C1022" s="7" t="s">
        <v>361</v>
      </c>
      <c r="D1022" s="7" t="s">
        <v>357</v>
      </c>
      <c r="E1022" s="7">
        <v>-2.1579</v>
      </c>
      <c r="F1022" s="7">
        <v>0.1032</v>
      </c>
      <c r="G1022" s="7">
        <v>0.2805</v>
      </c>
      <c r="H1022" s="7">
        <v>-5.023E-5</v>
      </c>
      <c r="I1022" s="7">
        <v>-0.10072</v>
      </c>
      <c r="J1022" s="7">
        <v>5.0E-4</v>
      </c>
      <c r="K1022" s="8"/>
      <c r="L1022" s="8"/>
    </row>
    <row r="1023" ht="13.5" customHeight="1">
      <c r="A1023" s="7" t="s">
        <v>355</v>
      </c>
      <c r="B1023" s="7">
        <v>3.5</v>
      </c>
      <c r="C1023" s="7" t="s">
        <v>361</v>
      </c>
      <c r="D1023" s="7" t="s">
        <v>357</v>
      </c>
      <c r="E1023" s="7">
        <v>-1.9654</v>
      </c>
      <c r="F1023" s="7">
        <v>0.1032</v>
      </c>
      <c r="G1023" s="7">
        <v>0.018</v>
      </c>
      <c r="H1023" s="7">
        <v>-5.023E-5</v>
      </c>
      <c r="I1023" s="7">
        <v>-0.36187</v>
      </c>
      <c r="J1023" s="7">
        <v>-0.1801</v>
      </c>
      <c r="K1023" s="8"/>
      <c r="L1023" s="8"/>
    </row>
    <row r="1024" ht="13.5" customHeight="1">
      <c r="A1024" s="7" t="s">
        <v>355</v>
      </c>
      <c r="B1024" s="7">
        <v>0.0</v>
      </c>
      <c r="C1024" s="7" t="s">
        <v>362</v>
      </c>
      <c r="D1024" s="7" t="s">
        <v>357</v>
      </c>
      <c r="E1024" s="7">
        <v>-2.9763</v>
      </c>
      <c r="F1024" s="7">
        <v>0.1511</v>
      </c>
      <c r="G1024" s="7">
        <v>0.5726</v>
      </c>
      <c r="H1024" s="7">
        <v>-6.635E-5</v>
      </c>
      <c r="I1024" s="7">
        <v>0.70135</v>
      </c>
      <c r="J1024" s="7">
        <v>0.2599</v>
      </c>
      <c r="K1024" s="8"/>
      <c r="L1024" s="8"/>
    </row>
    <row r="1025" ht="13.5" customHeight="1">
      <c r="A1025" s="7" t="s">
        <v>355</v>
      </c>
      <c r="B1025" s="7">
        <v>1.75</v>
      </c>
      <c r="C1025" s="7" t="s">
        <v>362</v>
      </c>
      <c r="D1025" s="7" t="s">
        <v>357</v>
      </c>
      <c r="E1025" s="7">
        <v>-2.7838</v>
      </c>
      <c r="F1025" s="7">
        <v>0.1511</v>
      </c>
      <c r="G1025" s="7">
        <v>0.3364</v>
      </c>
      <c r="H1025" s="7">
        <v>-6.635E-5</v>
      </c>
      <c r="I1025" s="7">
        <v>-0.09402</v>
      </c>
      <c r="J1025" s="7">
        <v>-0.00458</v>
      </c>
      <c r="K1025" s="8"/>
      <c r="L1025" s="8"/>
    </row>
    <row r="1026" ht="13.5" customHeight="1">
      <c r="A1026" s="7" t="s">
        <v>355</v>
      </c>
      <c r="B1026" s="7">
        <v>3.5</v>
      </c>
      <c r="C1026" s="7" t="s">
        <v>362</v>
      </c>
      <c r="D1026" s="7" t="s">
        <v>357</v>
      </c>
      <c r="E1026" s="7">
        <v>-2.5913</v>
      </c>
      <c r="F1026" s="7">
        <v>0.1511</v>
      </c>
      <c r="G1026" s="7">
        <v>0.1001</v>
      </c>
      <c r="H1026" s="7">
        <v>-6.635E-5</v>
      </c>
      <c r="I1026" s="7">
        <v>-0.47595</v>
      </c>
      <c r="J1026" s="7">
        <v>-0.26906</v>
      </c>
      <c r="K1026" s="8"/>
      <c r="L1026" s="8"/>
    </row>
    <row r="1027" ht="13.5" customHeight="1">
      <c r="A1027" s="7" t="s">
        <v>355</v>
      </c>
      <c r="B1027" s="7">
        <v>0.0</v>
      </c>
      <c r="C1027" s="7" t="s">
        <v>363</v>
      </c>
      <c r="D1027" s="7" t="s">
        <v>357</v>
      </c>
      <c r="E1027" s="7">
        <v>-2.8627</v>
      </c>
      <c r="F1027" s="7">
        <v>-0.3169</v>
      </c>
      <c r="G1027" s="7">
        <v>0.2144</v>
      </c>
      <c r="H1027" s="7">
        <v>-1.1E-4</v>
      </c>
      <c r="I1027" s="7">
        <v>0.37832</v>
      </c>
      <c r="J1027" s="7">
        <v>-0.15355</v>
      </c>
      <c r="K1027" s="8"/>
      <c r="L1027" s="8"/>
    </row>
    <row r="1028" ht="13.5" customHeight="1">
      <c r="A1028" s="7" t="s">
        <v>355</v>
      </c>
      <c r="B1028" s="7">
        <v>1.75</v>
      </c>
      <c r="C1028" s="7" t="s">
        <v>363</v>
      </c>
      <c r="D1028" s="7" t="s">
        <v>357</v>
      </c>
      <c r="E1028" s="7">
        <v>-2.6702</v>
      </c>
      <c r="F1028" s="7">
        <v>-0.0019</v>
      </c>
      <c r="G1028" s="7">
        <v>0.2144</v>
      </c>
      <c r="H1028" s="7">
        <v>-1.1E-4</v>
      </c>
      <c r="I1028" s="7">
        <v>0.00317</v>
      </c>
      <c r="J1028" s="7">
        <v>0.1254</v>
      </c>
      <c r="K1028" s="8"/>
      <c r="L1028" s="8"/>
    </row>
    <row r="1029" ht="13.5" customHeight="1">
      <c r="A1029" s="7" t="s">
        <v>355</v>
      </c>
      <c r="B1029" s="7">
        <v>3.5</v>
      </c>
      <c r="C1029" s="7" t="s">
        <v>363</v>
      </c>
      <c r="D1029" s="7" t="s">
        <v>357</v>
      </c>
      <c r="E1029" s="7">
        <v>-2.4777</v>
      </c>
      <c r="F1029" s="7">
        <v>0.3131</v>
      </c>
      <c r="G1029" s="7">
        <v>0.2144</v>
      </c>
      <c r="H1029" s="7">
        <v>-1.1E-4</v>
      </c>
      <c r="I1029" s="7">
        <v>-0.37198</v>
      </c>
      <c r="J1029" s="7">
        <v>-0.1469</v>
      </c>
      <c r="K1029" s="8"/>
      <c r="L1029" s="8"/>
    </row>
    <row r="1030" ht="13.5" customHeight="1">
      <c r="A1030" s="7" t="s">
        <v>355</v>
      </c>
      <c r="B1030" s="7">
        <v>0.0</v>
      </c>
      <c r="C1030" s="7" t="s">
        <v>356</v>
      </c>
      <c r="D1030" s="7" t="s">
        <v>357</v>
      </c>
      <c r="E1030" s="7">
        <v>-2.9982</v>
      </c>
      <c r="F1030" s="7">
        <v>0.5349</v>
      </c>
      <c r="G1030" s="7">
        <v>0.2183</v>
      </c>
      <c r="H1030" s="7">
        <v>-3.978E-5</v>
      </c>
      <c r="I1030" s="7">
        <v>0.3871</v>
      </c>
      <c r="J1030" s="7">
        <v>0.61695</v>
      </c>
      <c r="K1030" s="8"/>
      <c r="L1030" s="8"/>
    </row>
    <row r="1031" ht="13.5" customHeight="1">
      <c r="A1031" s="7" t="s">
        <v>355</v>
      </c>
      <c r="B1031" s="7">
        <v>1.75</v>
      </c>
      <c r="C1031" s="7" t="s">
        <v>356</v>
      </c>
      <c r="D1031" s="7" t="s">
        <v>357</v>
      </c>
      <c r="E1031" s="7">
        <v>-2.8057</v>
      </c>
      <c r="F1031" s="7">
        <v>0.2987</v>
      </c>
      <c r="G1031" s="7">
        <v>0.2183</v>
      </c>
      <c r="H1031" s="7">
        <v>-3.978E-5</v>
      </c>
      <c r="I1031" s="7">
        <v>0.0051</v>
      </c>
      <c r="J1031" s="7">
        <v>-0.11241</v>
      </c>
      <c r="K1031" s="8"/>
      <c r="L1031" s="8"/>
    </row>
    <row r="1032" ht="13.5" customHeight="1">
      <c r="A1032" s="7" t="s">
        <v>355</v>
      </c>
      <c r="B1032" s="7">
        <v>3.5</v>
      </c>
      <c r="C1032" s="7" t="s">
        <v>356</v>
      </c>
      <c r="D1032" s="7" t="s">
        <v>357</v>
      </c>
      <c r="E1032" s="7">
        <v>-2.6132</v>
      </c>
      <c r="F1032" s="7">
        <v>0.0624</v>
      </c>
      <c r="G1032" s="7">
        <v>0.2183</v>
      </c>
      <c r="H1032" s="7">
        <v>-3.978E-5</v>
      </c>
      <c r="I1032" s="7">
        <v>-0.3769</v>
      </c>
      <c r="J1032" s="7">
        <v>-0.42834</v>
      </c>
      <c r="K1032" s="8"/>
      <c r="L1032" s="8"/>
    </row>
    <row r="1033" ht="13.5" customHeight="1">
      <c r="A1033" s="7" t="s">
        <v>355</v>
      </c>
      <c r="B1033" s="7">
        <v>0.0</v>
      </c>
      <c r="C1033" s="7" t="s">
        <v>358</v>
      </c>
      <c r="D1033" s="7" t="s">
        <v>357</v>
      </c>
      <c r="E1033" s="7">
        <v>-2.9937</v>
      </c>
      <c r="F1033" s="7">
        <v>0.1555</v>
      </c>
      <c r="G1033" s="7">
        <v>0.224</v>
      </c>
      <c r="H1033" s="7">
        <v>-5.8E-5</v>
      </c>
      <c r="I1033" s="7">
        <v>0.39565</v>
      </c>
      <c r="J1033" s="7">
        <v>0.26636</v>
      </c>
      <c r="K1033" s="8"/>
      <c r="L1033" s="8"/>
    </row>
    <row r="1034" ht="13.5" customHeight="1">
      <c r="A1034" s="7" t="s">
        <v>355</v>
      </c>
      <c r="B1034" s="7">
        <v>1.75</v>
      </c>
      <c r="C1034" s="7" t="s">
        <v>358</v>
      </c>
      <c r="D1034" s="7" t="s">
        <v>357</v>
      </c>
      <c r="E1034" s="7">
        <v>-2.8012</v>
      </c>
      <c r="F1034" s="7">
        <v>0.1555</v>
      </c>
      <c r="G1034" s="7">
        <v>0.224</v>
      </c>
      <c r="H1034" s="7">
        <v>-5.8E-5</v>
      </c>
      <c r="I1034" s="7">
        <v>0.00367</v>
      </c>
      <c r="J1034" s="7">
        <v>-0.00569</v>
      </c>
      <c r="K1034" s="8"/>
      <c r="L1034" s="8"/>
    </row>
    <row r="1035" ht="13.5" customHeight="1">
      <c r="A1035" s="7" t="s">
        <v>355</v>
      </c>
      <c r="B1035" s="7">
        <v>3.5</v>
      </c>
      <c r="C1035" s="7" t="s">
        <v>358</v>
      </c>
      <c r="D1035" s="7" t="s">
        <v>357</v>
      </c>
      <c r="E1035" s="7">
        <v>-2.6087</v>
      </c>
      <c r="F1035" s="7">
        <v>0.1555</v>
      </c>
      <c r="G1035" s="7">
        <v>0.224</v>
      </c>
      <c r="H1035" s="7">
        <v>-5.8E-5</v>
      </c>
      <c r="I1035" s="7">
        <v>-0.3883</v>
      </c>
      <c r="J1035" s="7">
        <v>-0.27774</v>
      </c>
      <c r="K1035" s="8"/>
      <c r="L1035" s="8"/>
    </row>
    <row r="1036" ht="13.5" customHeight="1">
      <c r="A1036" s="7" t="s">
        <v>355</v>
      </c>
      <c r="B1036" s="7">
        <v>0.0</v>
      </c>
      <c r="C1036" s="7" t="s">
        <v>359</v>
      </c>
      <c r="D1036" s="7" t="s">
        <v>357</v>
      </c>
      <c r="E1036" s="7">
        <v>-2.3747</v>
      </c>
      <c r="F1036" s="7">
        <v>0.5296</v>
      </c>
      <c r="G1036" s="7">
        <v>0.1493</v>
      </c>
      <c r="H1036" s="7">
        <v>-2.071E-5</v>
      </c>
      <c r="I1036" s="7">
        <v>0.27064</v>
      </c>
      <c r="J1036" s="7">
        <v>0.57781</v>
      </c>
      <c r="K1036" s="8"/>
      <c r="L1036" s="8"/>
    </row>
    <row r="1037" ht="13.5" customHeight="1">
      <c r="A1037" s="7" t="s">
        <v>355</v>
      </c>
      <c r="B1037" s="7">
        <v>1.75</v>
      </c>
      <c r="C1037" s="7" t="s">
        <v>359</v>
      </c>
      <c r="D1037" s="7" t="s">
        <v>357</v>
      </c>
      <c r="E1037" s="7">
        <v>-2.1822</v>
      </c>
      <c r="F1037" s="7">
        <v>0.2671</v>
      </c>
      <c r="G1037" s="7">
        <v>0.1493</v>
      </c>
      <c r="H1037" s="7">
        <v>-2.071E-5</v>
      </c>
      <c r="I1037" s="7">
        <v>0.00941</v>
      </c>
      <c r="J1037" s="7">
        <v>-0.11932</v>
      </c>
      <c r="K1037" s="8"/>
      <c r="L1037" s="8"/>
    </row>
    <row r="1038" ht="13.5" customHeight="1">
      <c r="A1038" s="7" t="s">
        <v>355</v>
      </c>
      <c r="B1038" s="7">
        <v>3.5</v>
      </c>
      <c r="C1038" s="7" t="s">
        <v>359</v>
      </c>
      <c r="D1038" s="7" t="s">
        <v>357</v>
      </c>
      <c r="E1038" s="7">
        <v>-1.9897</v>
      </c>
      <c r="F1038" s="7">
        <v>0.0046</v>
      </c>
      <c r="G1038" s="7">
        <v>0.1493</v>
      </c>
      <c r="H1038" s="7">
        <v>-2.071E-5</v>
      </c>
      <c r="I1038" s="7">
        <v>-0.25181</v>
      </c>
      <c r="J1038" s="7">
        <v>-0.35707</v>
      </c>
      <c r="K1038" s="8"/>
      <c r="L1038" s="8"/>
    </row>
    <row r="1039" ht="13.5" customHeight="1">
      <c r="A1039" s="7" t="s">
        <v>355</v>
      </c>
      <c r="B1039" s="7">
        <v>0.0</v>
      </c>
      <c r="C1039" s="7" t="s">
        <v>360</v>
      </c>
      <c r="D1039" s="7" t="s">
        <v>357</v>
      </c>
      <c r="E1039" s="7">
        <v>-2.2242</v>
      </c>
      <c r="F1039" s="7">
        <v>-0.4168</v>
      </c>
      <c r="G1039" s="7">
        <v>0.1449</v>
      </c>
      <c r="H1039" s="7">
        <v>-1.0E-4</v>
      </c>
      <c r="I1039" s="7">
        <v>0.26088</v>
      </c>
      <c r="J1039" s="7">
        <v>-0.2783</v>
      </c>
      <c r="K1039" s="8"/>
      <c r="L1039" s="8"/>
    </row>
    <row r="1040" ht="13.5" customHeight="1">
      <c r="A1040" s="7" t="s">
        <v>355</v>
      </c>
      <c r="B1040" s="7">
        <v>1.75</v>
      </c>
      <c r="C1040" s="7" t="s">
        <v>360</v>
      </c>
      <c r="D1040" s="7" t="s">
        <v>357</v>
      </c>
      <c r="E1040" s="7">
        <v>-2.0317</v>
      </c>
      <c r="F1040" s="7">
        <v>-0.0668</v>
      </c>
      <c r="G1040" s="7">
        <v>0.1449</v>
      </c>
      <c r="H1040" s="7">
        <v>-1.0E-4</v>
      </c>
      <c r="I1040" s="7">
        <v>0.00726</v>
      </c>
      <c r="J1040" s="7">
        <v>0.14492</v>
      </c>
      <c r="K1040" s="8"/>
      <c r="L1040" s="8"/>
    </row>
    <row r="1041" ht="13.5" customHeight="1">
      <c r="A1041" s="7" t="s">
        <v>355</v>
      </c>
      <c r="B1041" s="7">
        <v>3.5</v>
      </c>
      <c r="C1041" s="7" t="s">
        <v>360</v>
      </c>
      <c r="D1041" s="7" t="s">
        <v>357</v>
      </c>
      <c r="E1041" s="7">
        <v>-1.8392</v>
      </c>
      <c r="F1041" s="7">
        <v>0.2832</v>
      </c>
      <c r="G1041" s="7">
        <v>0.1449</v>
      </c>
      <c r="H1041" s="7">
        <v>-1.0E-4</v>
      </c>
      <c r="I1041" s="7">
        <v>-0.24635</v>
      </c>
      <c r="J1041" s="7">
        <v>-0.04436</v>
      </c>
      <c r="K1041" s="8"/>
      <c r="L1041" s="8"/>
    </row>
    <row r="1042" ht="13.5" customHeight="1">
      <c r="A1042" s="7" t="s">
        <v>355</v>
      </c>
      <c r="B1042" s="7">
        <v>0.0</v>
      </c>
      <c r="C1042" s="7" t="s">
        <v>361</v>
      </c>
      <c r="D1042" s="7" t="s">
        <v>357</v>
      </c>
      <c r="E1042" s="7">
        <v>-2.3504</v>
      </c>
      <c r="F1042" s="7">
        <v>0.1032</v>
      </c>
      <c r="G1042" s="7">
        <v>0.543</v>
      </c>
      <c r="H1042" s="7">
        <v>-5.023E-5</v>
      </c>
      <c r="I1042" s="7">
        <v>0.6198</v>
      </c>
      <c r="J1042" s="7">
        <v>0.1811</v>
      </c>
      <c r="K1042" s="8"/>
      <c r="L1042" s="8"/>
    </row>
    <row r="1043" ht="13.5" customHeight="1">
      <c r="A1043" s="7" t="s">
        <v>355</v>
      </c>
      <c r="B1043" s="7">
        <v>1.75</v>
      </c>
      <c r="C1043" s="7" t="s">
        <v>361</v>
      </c>
      <c r="D1043" s="7" t="s">
        <v>357</v>
      </c>
      <c r="E1043" s="7">
        <v>-2.1579</v>
      </c>
      <c r="F1043" s="7">
        <v>0.1032</v>
      </c>
      <c r="G1043" s="7">
        <v>0.2805</v>
      </c>
      <c r="H1043" s="7">
        <v>-5.023E-5</v>
      </c>
      <c r="I1043" s="7">
        <v>-0.10072</v>
      </c>
      <c r="J1043" s="7">
        <v>5.0E-4</v>
      </c>
      <c r="K1043" s="8"/>
      <c r="L1043" s="8"/>
    </row>
    <row r="1044" ht="13.5" customHeight="1">
      <c r="A1044" s="7" t="s">
        <v>355</v>
      </c>
      <c r="B1044" s="7">
        <v>3.5</v>
      </c>
      <c r="C1044" s="7" t="s">
        <v>361</v>
      </c>
      <c r="D1044" s="7" t="s">
        <v>357</v>
      </c>
      <c r="E1044" s="7">
        <v>-1.9654</v>
      </c>
      <c r="F1044" s="7">
        <v>0.1032</v>
      </c>
      <c r="G1044" s="7">
        <v>0.018</v>
      </c>
      <c r="H1044" s="7">
        <v>-5.023E-5</v>
      </c>
      <c r="I1044" s="7">
        <v>-0.36187</v>
      </c>
      <c r="J1044" s="7">
        <v>-0.1801</v>
      </c>
      <c r="K1044" s="8"/>
      <c r="L1044" s="8"/>
    </row>
    <row r="1045" ht="13.5" customHeight="1">
      <c r="A1045" s="7" t="s">
        <v>355</v>
      </c>
      <c r="B1045" s="7">
        <v>0.0</v>
      </c>
      <c r="C1045" s="7" t="s">
        <v>362</v>
      </c>
      <c r="D1045" s="7" t="s">
        <v>357</v>
      </c>
      <c r="E1045" s="7">
        <v>-2.9763</v>
      </c>
      <c r="F1045" s="7">
        <v>0.1511</v>
      </c>
      <c r="G1045" s="7">
        <v>0.5726</v>
      </c>
      <c r="H1045" s="7">
        <v>-6.635E-5</v>
      </c>
      <c r="I1045" s="7">
        <v>0.70135</v>
      </c>
      <c r="J1045" s="7">
        <v>0.2599</v>
      </c>
      <c r="K1045" s="8"/>
      <c r="L1045" s="8"/>
    </row>
    <row r="1046" ht="13.5" customHeight="1">
      <c r="A1046" s="7" t="s">
        <v>355</v>
      </c>
      <c r="B1046" s="7">
        <v>1.75</v>
      </c>
      <c r="C1046" s="7" t="s">
        <v>362</v>
      </c>
      <c r="D1046" s="7" t="s">
        <v>357</v>
      </c>
      <c r="E1046" s="7">
        <v>-2.7838</v>
      </c>
      <c r="F1046" s="7">
        <v>0.1511</v>
      </c>
      <c r="G1046" s="7">
        <v>0.3364</v>
      </c>
      <c r="H1046" s="7">
        <v>-6.635E-5</v>
      </c>
      <c r="I1046" s="7">
        <v>-0.09402</v>
      </c>
      <c r="J1046" s="7">
        <v>-0.00458</v>
      </c>
      <c r="K1046" s="8"/>
      <c r="L1046" s="8"/>
    </row>
    <row r="1047" ht="13.5" customHeight="1">
      <c r="A1047" s="7" t="s">
        <v>355</v>
      </c>
      <c r="B1047" s="7">
        <v>3.5</v>
      </c>
      <c r="C1047" s="7" t="s">
        <v>362</v>
      </c>
      <c r="D1047" s="7" t="s">
        <v>357</v>
      </c>
      <c r="E1047" s="7">
        <v>-2.5913</v>
      </c>
      <c r="F1047" s="7">
        <v>0.1511</v>
      </c>
      <c r="G1047" s="7">
        <v>0.1001</v>
      </c>
      <c r="H1047" s="7">
        <v>-6.635E-5</v>
      </c>
      <c r="I1047" s="7">
        <v>-0.47595</v>
      </c>
      <c r="J1047" s="7">
        <v>-0.26906</v>
      </c>
      <c r="K1047" s="8"/>
      <c r="L1047" s="8"/>
    </row>
    <row r="1048" ht="13.5" customHeight="1">
      <c r="A1048" s="7" t="s">
        <v>355</v>
      </c>
      <c r="B1048" s="7">
        <v>0.0</v>
      </c>
      <c r="C1048" s="7" t="s">
        <v>363</v>
      </c>
      <c r="D1048" s="7" t="s">
        <v>357</v>
      </c>
      <c r="E1048" s="7">
        <v>-2.8627</v>
      </c>
      <c r="F1048" s="7">
        <v>-0.3169</v>
      </c>
      <c r="G1048" s="7">
        <v>0.2144</v>
      </c>
      <c r="H1048" s="7">
        <v>-1.1E-4</v>
      </c>
      <c r="I1048" s="7">
        <v>0.37832</v>
      </c>
      <c r="J1048" s="7">
        <v>-0.15355</v>
      </c>
      <c r="K1048" s="8"/>
      <c r="L1048" s="8"/>
    </row>
    <row r="1049" ht="13.5" customHeight="1">
      <c r="A1049" s="7" t="s">
        <v>355</v>
      </c>
      <c r="B1049" s="7">
        <v>1.75</v>
      </c>
      <c r="C1049" s="7" t="s">
        <v>363</v>
      </c>
      <c r="D1049" s="7" t="s">
        <v>357</v>
      </c>
      <c r="E1049" s="7">
        <v>-2.6702</v>
      </c>
      <c r="F1049" s="7">
        <v>-0.0019</v>
      </c>
      <c r="G1049" s="7">
        <v>0.2144</v>
      </c>
      <c r="H1049" s="7">
        <v>-1.1E-4</v>
      </c>
      <c r="I1049" s="7">
        <v>0.00317</v>
      </c>
      <c r="J1049" s="7">
        <v>0.1254</v>
      </c>
      <c r="K1049" s="8"/>
      <c r="L1049" s="8"/>
    </row>
    <row r="1050" ht="13.5" customHeight="1">
      <c r="A1050" s="7" t="s">
        <v>355</v>
      </c>
      <c r="B1050" s="7">
        <v>3.5</v>
      </c>
      <c r="C1050" s="7" t="s">
        <v>363</v>
      </c>
      <c r="D1050" s="7" t="s">
        <v>357</v>
      </c>
      <c r="E1050" s="7">
        <v>-2.4777</v>
      </c>
      <c r="F1050" s="7">
        <v>0.3131</v>
      </c>
      <c r="G1050" s="7">
        <v>0.2144</v>
      </c>
      <c r="H1050" s="7">
        <v>-1.1E-4</v>
      </c>
      <c r="I1050" s="7">
        <v>-0.37198</v>
      </c>
      <c r="J1050" s="7">
        <v>-0.1469</v>
      </c>
      <c r="K1050" s="8"/>
      <c r="L1050" s="8"/>
    </row>
    <row r="1051" ht="13.5" customHeight="1">
      <c r="A1051" s="7" t="s">
        <v>355</v>
      </c>
      <c r="B1051" s="7">
        <v>0.0</v>
      </c>
      <c r="C1051" s="7" t="s">
        <v>356</v>
      </c>
      <c r="D1051" s="7" t="s">
        <v>357</v>
      </c>
      <c r="E1051" s="7">
        <v>-2.9982</v>
      </c>
      <c r="F1051" s="7">
        <v>0.5349</v>
      </c>
      <c r="G1051" s="7">
        <v>0.2183</v>
      </c>
      <c r="H1051" s="7">
        <v>-3.978E-5</v>
      </c>
      <c r="I1051" s="7">
        <v>0.3871</v>
      </c>
      <c r="J1051" s="7">
        <v>0.61695</v>
      </c>
      <c r="K1051" s="8"/>
      <c r="L1051" s="8"/>
    </row>
    <row r="1052" ht="13.5" customHeight="1">
      <c r="A1052" s="7" t="s">
        <v>355</v>
      </c>
      <c r="B1052" s="7">
        <v>1.75</v>
      </c>
      <c r="C1052" s="7" t="s">
        <v>356</v>
      </c>
      <c r="D1052" s="7" t="s">
        <v>357</v>
      </c>
      <c r="E1052" s="7">
        <v>-2.8057</v>
      </c>
      <c r="F1052" s="7">
        <v>0.2987</v>
      </c>
      <c r="G1052" s="7">
        <v>0.2183</v>
      </c>
      <c r="H1052" s="7">
        <v>-3.978E-5</v>
      </c>
      <c r="I1052" s="7">
        <v>0.0051</v>
      </c>
      <c r="J1052" s="7">
        <v>-0.11241</v>
      </c>
      <c r="K1052" s="8"/>
      <c r="L1052" s="8"/>
    </row>
    <row r="1053" ht="13.5" customHeight="1">
      <c r="A1053" s="7" t="s">
        <v>355</v>
      </c>
      <c r="B1053" s="7">
        <v>3.5</v>
      </c>
      <c r="C1053" s="7" t="s">
        <v>356</v>
      </c>
      <c r="D1053" s="7" t="s">
        <v>357</v>
      </c>
      <c r="E1053" s="7">
        <v>-2.6132</v>
      </c>
      <c r="F1053" s="7">
        <v>0.0624</v>
      </c>
      <c r="G1053" s="7">
        <v>0.2183</v>
      </c>
      <c r="H1053" s="7">
        <v>-3.978E-5</v>
      </c>
      <c r="I1053" s="7">
        <v>-0.3769</v>
      </c>
      <c r="J1053" s="7">
        <v>-0.42834</v>
      </c>
      <c r="K1053" s="8"/>
      <c r="L1053" s="8"/>
    </row>
    <row r="1054" ht="13.5" customHeight="1">
      <c r="A1054" s="7" t="s">
        <v>355</v>
      </c>
      <c r="B1054" s="7">
        <v>0.0</v>
      </c>
      <c r="C1054" s="7" t="s">
        <v>358</v>
      </c>
      <c r="D1054" s="7" t="s">
        <v>357</v>
      </c>
      <c r="E1054" s="7">
        <v>-2.67580571428571</v>
      </c>
      <c r="F1054" s="7">
        <v>0.148368095238095</v>
      </c>
      <c r="G1054" s="7">
        <v>0.248875238095238</v>
      </c>
      <c r="H1054" s="7">
        <v>-7.51875714285714E-5</v>
      </c>
      <c r="I1054" s="7">
        <v>-0.0569117619047616</v>
      </c>
      <c r="J1054" s="7">
        <v>-0.0597547142857143</v>
      </c>
      <c r="K1054" s="8"/>
      <c r="L1054" s="8"/>
    </row>
    <row r="1055" ht="13.5" customHeight="1">
      <c r="A1055" s="7" t="s">
        <v>355</v>
      </c>
      <c r="B1055" s="7">
        <v>1.75</v>
      </c>
      <c r="C1055" s="7" t="s">
        <v>358</v>
      </c>
      <c r="D1055" s="7" t="s">
        <v>357</v>
      </c>
      <c r="E1055" s="7">
        <v>-2.69266207792208</v>
      </c>
      <c r="F1055" s="7">
        <v>0.150078614718615</v>
      </c>
      <c r="G1055" s="7">
        <v>0.251139653679654</v>
      </c>
      <c r="H1055" s="7">
        <v>-7.62426753246753E-5</v>
      </c>
      <c r="I1055" s="7">
        <v>-0.0637065541125546</v>
      </c>
      <c r="J1055" s="7">
        <v>-0.0643017662337664</v>
      </c>
      <c r="K1055" s="8"/>
      <c r="L1055" s="8"/>
    </row>
    <row r="1056" ht="13.5" customHeight="1">
      <c r="A1056" s="7" t="s">
        <v>355</v>
      </c>
      <c r="B1056" s="7">
        <v>3.5</v>
      </c>
      <c r="C1056" s="7" t="s">
        <v>358</v>
      </c>
      <c r="D1056" s="7" t="s">
        <v>357</v>
      </c>
      <c r="E1056" s="7">
        <v>-2.70951844155844</v>
      </c>
      <c r="F1056" s="7">
        <v>0.151789134199134</v>
      </c>
      <c r="G1056" s="7">
        <v>0.253404069264069</v>
      </c>
      <c r="H1056" s="7">
        <v>-7.72977792207792E-5</v>
      </c>
      <c r="I1056" s="7">
        <v>-0.0705013463203466</v>
      </c>
      <c r="J1056" s="7">
        <v>-0.0688488181818184</v>
      </c>
      <c r="K1056" s="8"/>
      <c r="L1056" s="8"/>
    </row>
    <row r="1057" ht="13.5" customHeight="1">
      <c r="A1057" s="7" t="s">
        <v>355</v>
      </c>
      <c r="B1057" s="7">
        <v>0.0</v>
      </c>
      <c r="C1057" s="7" t="s">
        <v>359</v>
      </c>
      <c r="D1057" s="7" t="s">
        <v>357</v>
      </c>
      <c r="E1057" s="7">
        <v>-2.7263748051948</v>
      </c>
      <c r="F1057" s="7">
        <v>0.153499653679654</v>
      </c>
      <c r="G1057" s="7">
        <v>0.255668484848485</v>
      </c>
      <c r="H1057" s="7">
        <v>-7.83528831168831E-5</v>
      </c>
      <c r="I1057" s="7">
        <v>-0.0772961385281386</v>
      </c>
      <c r="J1057" s="7">
        <v>-0.0733958701298704</v>
      </c>
      <c r="K1057" s="8"/>
      <c r="L1057" s="8"/>
    </row>
    <row r="1058" ht="13.5" customHeight="1">
      <c r="A1058" s="7" t="s">
        <v>355</v>
      </c>
      <c r="B1058" s="7">
        <v>1.75</v>
      </c>
      <c r="C1058" s="7" t="s">
        <v>359</v>
      </c>
      <c r="D1058" s="7" t="s">
        <v>357</v>
      </c>
      <c r="E1058" s="7">
        <v>-2.74323116883117</v>
      </c>
      <c r="F1058" s="7">
        <v>0.155210173160173</v>
      </c>
      <c r="G1058" s="7">
        <v>0.2579329004329</v>
      </c>
      <c r="H1058" s="7">
        <v>-7.9407987012987E-5</v>
      </c>
      <c r="I1058" s="7">
        <v>-0.0840909307359306</v>
      </c>
      <c r="J1058" s="7">
        <v>-0.0779429220779224</v>
      </c>
      <c r="K1058" s="8"/>
      <c r="L1058" s="8"/>
    </row>
    <row r="1059" ht="13.5" customHeight="1">
      <c r="A1059" s="7" t="s">
        <v>355</v>
      </c>
      <c r="B1059" s="7">
        <v>3.5</v>
      </c>
      <c r="C1059" s="7" t="s">
        <v>359</v>
      </c>
      <c r="D1059" s="7" t="s">
        <v>357</v>
      </c>
      <c r="E1059" s="7">
        <v>-2.76008753246753</v>
      </c>
      <c r="F1059" s="7">
        <v>0.156920692640693</v>
      </c>
      <c r="G1059" s="7">
        <v>0.260197316017316</v>
      </c>
      <c r="H1059" s="7">
        <v>-8.04630909090909E-5</v>
      </c>
      <c r="I1059" s="7">
        <v>-0.0908857229437226</v>
      </c>
      <c r="J1059" s="7">
        <v>-0.0824899740259744</v>
      </c>
      <c r="K1059" s="8"/>
      <c r="L1059" s="8"/>
    </row>
    <row r="1060" ht="13.5" customHeight="1">
      <c r="A1060" s="7" t="s">
        <v>355</v>
      </c>
      <c r="B1060" s="7">
        <v>0.0</v>
      </c>
      <c r="C1060" s="7" t="s">
        <v>360</v>
      </c>
      <c r="D1060" s="7" t="s">
        <v>357</v>
      </c>
      <c r="E1060" s="7">
        <v>-2.7769438961039</v>
      </c>
      <c r="F1060" s="7">
        <v>0.158631212121212</v>
      </c>
      <c r="G1060" s="7">
        <v>0.262461731601732</v>
      </c>
      <c r="H1060" s="7">
        <v>-8.15181948051948E-5</v>
      </c>
      <c r="I1060" s="7">
        <v>-0.0976805151515156</v>
      </c>
      <c r="J1060" s="7">
        <v>-0.0870370259740264</v>
      </c>
      <c r="K1060" s="8"/>
      <c r="L1060" s="8"/>
    </row>
    <row r="1061" ht="13.5" customHeight="1">
      <c r="A1061" s="7" t="s">
        <v>355</v>
      </c>
      <c r="B1061" s="7">
        <v>1.75</v>
      </c>
      <c r="C1061" s="7" t="s">
        <v>360</v>
      </c>
      <c r="D1061" s="7" t="s">
        <v>357</v>
      </c>
      <c r="E1061" s="7">
        <v>-2.79380025974026</v>
      </c>
      <c r="F1061" s="7">
        <v>0.160341731601732</v>
      </c>
      <c r="G1061" s="7">
        <v>0.264726147186147</v>
      </c>
      <c r="H1061" s="7">
        <v>-8.25732987012987E-5</v>
      </c>
      <c r="I1061" s="7">
        <v>-0.104475307359308</v>
      </c>
      <c r="J1061" s="7">
        <v>-0.0915840779220774</v>
      </c>
      <c r="K1061" s="8"/>
      <c r="L1061" s="8"/>
    </row>
    <row r="1062" ht="13.5" customHeight="1">
      <c r="A1062" s="7" t="s">
        <v>355</v>
      </c>
      <c r="B1062" s="7">
        <v>3.5</v>
      </c>
      <c r="C1062" s="7" t="s">
        <v>360</v>
      </c>
      <c r="D1062" s="7" t="s">
        <v>357</v>
      </c>
      <c r="E1062" s="7">
        <v>-2.81065662337662</v>
      </c>
      <c r="F1062" s="7">
        <v>0.162052251082251</v>
      </c>
      <c r="G1062" s="7">
        <v>0.266990562770563</v>
      </c>
      <c r="H1062" s="7">
        <v>-8.36284025974026E-5</v>
      </c>
      <c r="I1062" s="7">
        <v>-0.1112700995671</v>
      </c>
      <c r="J1062" s="7">
        <v>-0.0961311298701294</v>
      </c>
      <c r="K1062" s="8"/>
      <c r="L1062" s="8"/>
    </row>
    <row r="1063" ht="13.5" customHeight="1">
      <c r="A1063" s="7" t="s">
        <v>355</v>
      </c>
      <c r="B1063" s="7">
        <v>0.0</v>
      </c>
      <c r="C1063" s="7" t="s">
        <v>361</v>
      </c>
      <c r="D1063" s="7" t="s">
        <v>357</v>
      </c>
      <c r="E1063" s="7">
        <v>-2.82751298701299</v>
      </c>
      <c r="F1063" s="7">
        <v>0.163762770562771</v>
      </c>
      <c r="G1063" s="7">
        <v>0.269254978354978</v>
      </c>
      <c r="H1063" s="7">
        <v>-8.46835064935065E-5</v>
      </c>
      <c r="I1063" s="7">
        <v>-0.118064891774892</v>
      </c>
      <c r="J1063" s="7">
        <v>-0.100678181818181</v>
      </c>
      <c r="K1063" s="8"/>
      <c r="L1063" s="8"/>
    </row>
    <row r="1064" ht="13.5" customHeight="1">
      <c r="A1064" s="7" t="s">
        <v>355</v>
      </c>
      <c r="B1064" s="7">
        <v>1.75</v>
      </c>
      <c r="C1064" s="7" t="s">
        <v>361</v>
      </c>
      <c r="D1064" s="7" t="s">
        <v>357</v>
      </c>
      <c r="E1064" s="7">
        <v>-2.84436935064935</v>
      </c>
      <c r="F1064" s="7">
        <v>0.16547329004329</v>
      </c>
      <c r="G1064" s="7">
        <v>0.271519393939394</v>
      </c>
      <c r="H1064" s="7">
        <v>-8.57386103896104E-5</v>
      </c>
      <c r="I1064" s="7">
        <v>-0.124859683982684</v>
      </c>
      <c r="J1064" s="7">
        <v>-0.105225233766233</v>
      </c>
      <c r="K1064" s="8"/>
      <c r="L1064" s="8"/>
    </row>
    <row r="1065" ht="13.5" customHeight="1">
      <c r="A1065" s="7" t="s">
        <v>355</v>
      </c>
      <c r="B1065" s="7">
        <v>3.5</v>
      </c>
      <c r="C1065" s="7" t="s">
        <v>361</v>
      </c>
      <c r="D1065" s="7" t="s">
        <v>357</v>
      </c>
      <c r="E1065" s="7">
        <v>-2.86122571428571</v>
      </c>
      <c r="F1065" s="7">
        <v>0.16718380952381</v>
      </c>
      <c r="G1065" s="7">
        <v>0.27378380952381</v>
      </c>
      <c r="H1065" s="7">
        <v>-8.67937142857143E-5</v>
      </c>
      <c r="I1065" s="7">
        <v>-0.131654476190477</v>
      </c>
      <c r="J1065" s="7">
        <v>-0.109772285714285</v>
      </c>
      <c r="K1065" s="8"/>
      <c r="L1065" s="8"/>
    </row>
    <row r="1066" ht="13.5" customHeight="1">
      <c r="A1066" s="7" t="s">
        <v>355</v>
      </c>
      <c r="B1066" s="7">
        <v>0.0</v>
      </c>
      <c r="C1066" s="7" t="s">
        <v>362</v>
      </c>
      <c r="D1066" s="7" t="s">
        <v>357</v>
      </c>
      <c r="E1066" s="7">
        <v>-2.87808207792208</v>
      </c>
      <c r="F1066" s="7">
        <v>0.168894329004329</v>
      </c>
      <c r="G1066" s="7">
        <v>0.276048225108225</v>
      </c>
      <c r="H1066" s="7">
        <v>-8.78488181818182E-5</v>
      </c>
      <c r="I1066" s="7">
        <v>-0.138449268398269</v>
      </c>
      <c r="J1066" s="7">
        <v>-0.114319337662337</v>
      </c>
      <c r="K1066" s="8"/>
      <c r="L1066" s="8"/>
    </row>
    <row r="1067" ht="13.5" customHeight="1">
      <c r="A1067" s="7" t="s">
        <v>355</v>
      </c>
      <c r="B1067" s="7">
        <v>1.75</v>
      </c>
      <c r="C1067" s="7" t="s">
        <v>362</v>
      </c>
      <c r="D1067" s="7" t="s">
        <v>357</v>
      </c>
      <c r="E1067" s="7">
        <v>-2.89493844155844</v>
      </c>
      <c r="F1067" s="7">
        <v>0.170604848484849</v>
      </c>
      <c r="G1067" s="7">
        <v>0.278312640692641</v>
      </c>
      <c r="H1067" s="7">
        <v>-8.89039220779221E-5</v>
      </c>
      <c r="I1067" s="7">
        <v>-0.145244060606061</v>
      </c>
      <c r="J1067" s="7">
        <v>-0.118866389610389</v>
      </c>
      <c r="K1067" s="8"/>
      <c r="L1067" s="8"/>
    </row>
    <row r="1068" ht="13.5" customHeight="1">
      <c r="A1068" s="7" t="s">
        <v>355</v>
      </c>
      <c r="B1068" s="7">
        <v>3.5</v>
      </c>
      <c r="C1068" s="7" t="s">
        <v>362</v>
      </c>
      <c r="D1068" s="7" t="s">
        <v>357</v>
      </c>
      <c r="E1068" s="7">
        <v>-2.9117948051948</v>
      </c>
      <c r="F1068" s="7">
        <v>0.172315367965368</v>
      </c>
      <c r="G1068" s="7">
        <v>0.280577056277056</v>
      </c>
      <c r="H1068" s="7">
        <v>-8.9959025974026E-5</v>
      </c>
      <c r="I1068" s="7">
        <v>-0.152038852813853</v>
      </c>
      <c r="J1068" s="7">
        <v>-0.123413441558441</v>
      </c>
      <c r="K1068" s="8"/>
      <c r="L1068" s="8"/>
    </row>
    <row r="1069" ht="13.5" customHeight="1">
      <c r="A1069" s="7" t="s">
        <v>355</v>
      </c>
      <c r="B1069" s="7">
        <v>0.0</v>
      </c>
      <c r="C1069" s="7" t="s">
        <v>363</v>
      </c>
      <c r="D1069" s="7" t="s">
        <v>357</v>
      </c>
      <c r="E1069" s="7">
        <v>-2.92865116883117</v>
      </c>
      <c r="F1069" s="7">
        <v>0.174025887445888</v>
      </c>
      <c r="G1069" s="7">
        <v>0.282841471861472</v>
      </c>
      <c r="H1069" s="7">
        <v>-9.10141298701299E-5</v>
      </c>
      <c r="I1069" s="7">
        <v>-0.158833645021645</v>
      </c>
      <c r="J1069" s="7">
        <v>-0.127960493506493</v>
      </c>
      <c r="K1069" s="8"/>
      <c r="L1069" s="8"/>
    </row>
    <row r="1070" ht="13.5" customHeight="1">
      <c r="A1070" s="7" t="s">
        <v>355</v>
      </c>
      <c r="B1070" s="7">
        <v>1.75</v>
      </c>
      <c r="C1070" s="7" t="s">
        <v>363</v>
      </c>
      <c r="D1070" s="7" t="s">
        <v>357</v>
      </c>
      <c r="E1070" s="7">
        <v>-2.94550753246753</v>
      </c>
      <c r="F1070" s="7">
        <v>0.175736406926407</v>
      </c>
      <c r="G1070" s="7">
        <v>0.285105887445887</v>
      </c>
      <c r="H1070" s="7">
        <v>-9.20692337662338E-5</v>
      </c>
      <c r="I1070" s="7">
        <v>-0.165628437229438</v>
      </c>
      <c r="J1070" s="7">
        <v>-0.132507545454545</v>
      </c>
      <c r="K1070" s="8"/>
      <c r="L1070" s="8"/>
    </row>
    <row r="1071" ht="13.5" customHeight="1">
      <c r="A1071" s="7" t="s">
        <v>355</v>
      </c>
      <c r="B1071" s="7">
        <v>3.5</v>
      </c>
      <c r="C1071" s="7" t="s">
        <v>363</v>
      </c>
      <c r="D1071" s="7" t="s">
        <v>357</v>
      </c>
      <c r="E1071" s="7">
        <v>-2.9623638961039</v>
      </c>
      <c r="F1071" s="7">
        <v>0.177446926406926</v>
      </c>
      <c r="G1071" s="7">
        <v>0.287370303030303</v>
      </c>
      <c r="H1071" s="7">
        <v>-9.31243376623376E-5</v>
      </c>
      <c r="I1071" s="7">
        <v>-0.17242322943723</v>
      </c>
      <c r="J1071" s="7">
        <v>-0.137054597402597</v>
      </c>
      <c r="K1071" s="8"/>
      <c r="L1071" s="8"/>
    </row>
    <row r="1072" ht="13.5" customHeight="1">
      <c r="A1072" s="7" t="s">
        <v>355</v>
      </c>
      <c r="B1072" s="7">
        <v>0.0</v>
      </c>
      <c r="C1072" s="7" t="s">
        <v>356</v>
      </c>
      <c r="D1072" s="7" t="s">
        <v>357</v>
      </c>
      <c r="E1072" s="7">
        <v>-2.97922025974026</v>
      </c>
      <c r="F1072" s="7">
        <v>0.179157445887446</v>
      </c>
      <c r="G1072" s="7">
        <v>0.289634718614719</v>
      </c>
      <c r="H1072" s="7">
        <v>-9.41794415584415E-5</v>
      </c>
      <c r="I1072" s="7">
        <v>-0.179218021645022</v>
      </c>
      <c r="J1072" s="7">
        <v>-0.141601649350649</v>
      </c>
      <c r="K1072" s="8"/>
      <c r="L1072" s="8"/>
    </row>
    <row r="1073" ht="13.5" customHeight="1">
      <c r="A1073" s="7" t="s">
        <v>355</v>
      </c>
      <c r="B1073" s="7">
        <v>1.75</v>
      </c>
      <c r="C1073" s="7" t="s">
        <v>356</v>
      </c>
      <c r="D1073" s="7" t="s">
        <v>357</v>
      </c>
      <c r="E1073" s="7">
        <v>-2.99607662337662</v>
      </c>
      <c r="F1073" s="7">
        <v>0.180867965367965</v>
      </c>
      <c r="G1073" s="7">
        <v>0.291899134199134</v>
      </c>
      <c r="H1073" s="7">
        <v>-9.52345454545454E-5</v>
      </c>
      <c r="I1073" s="7">
        <v>-0.186012813852814</v>
      </c>
      <c r="J1073" s="7">
        <v>-0.146148701298701</v>
      </c>
      <c r="K1073" s="8"/>
      <c r="L1073" s="8"/>
    </row>
    <row r="1074" ht="13.5" customHeight="1">
      <c r="A1074" s="7" t="s">
        <v>355</v>
      </c>
      <c r="B1074" s="7">
        <v>3.5</v>
      </c>
      <c r="C1074" s="7" t="s">
        <v>356</v>
      </c>
      <c r="D1074" s="7" t="s">
        <v>357</v>
      </c>
      <c r="E1074" s="7">
        <v>-3.01293298701299</v>
      </c>
      <c r="F1074" s="7">
        <v>0.182578484848485</v>
      </c>
      <c r="G1074" s="7">
        <v>0.29416354978355</v>
      </c>
      <c r="H1074" s="7">
        <v>-9.62896493506493E-5</v>
      </c>
      <c r="I1074" s="7">
        <v>-0.192807606060606</v>
      </c>
      <c r="J1074" s="7">
        <v>-0.150695753246753</v>
      </c>
      <c r="K1074" s="8"/>
      <c r="L1074" s="8"/>
    </row>
    <row r="1075" ht="13.5" customHeight="1">
      <c r="A1075" s="7" t="s">
        <v>355</v>
      </c>
      <c r="B1075" s="7">
        <v>0.0</v>
      </c>
      <c r="C1075" s="7" t="s">
        <v>358</v>
      </c>
      <c r="D1075" s="7" t="s">
        <v>357</v>
      </c>
      <c r="E1075" s="7">
        <v>-3.02978935064935</v>
      </c>
      <c r="F1075" s="7">
        <v>0.184289004329004</v>
      </c>
      <c r="G1075" s="7">
        <v>0.296427965367965</v>
      </c>
      <c r="H1075" s="7">
        <v>-9.73447532467532E-5</v>
      </c>
      <c r="I1075" s="7">
        <v>-0.199602398268399</v>
      </c>
      <c r="J1075" s="7">
        <v>-0.155242805194805</v>
      </c>
      <c r="K1075" s="8"/>
      <c r="L1075" s="8"/>
    </row>
    <row r="1076" ht="13.5" customHeight="1">
      <c r="A1076" s="7" t="s">
        <v>355</v>
      </c>
      <c r="B1076" s="7">
        <v>1.75</v>
      </c>
      <c r="C1076" s="7" t="s">
        <v>358</v>
      </c>
      <c r="D1076" s="7" t="s">
        <v>357</v>
      </c>
      <c r="E1076" s="7">
        <v>-3.04664571428571</v>
      </c>
      <c r="F1076" s="7">
        <v>0.185999523809524</v>
      </c>
      <c r="G1076" s="7">
        <v>0.298692380952381</v>
      </c>
      <c r="H1076" s="7">
        <v>-9.83998571428571E-5</v>
      </c>
      <c r="I1076" s="7">
        <v>-0.206397190476191</v>
      </c>
      <c r="J1076" s="7">
        <v>-0.159789857142857</v>
      </c>
      <c r="K1076" s="8"/>
      <c r="L1076" s="8"/>
    </row>
    <row r="1077" ht="13.5" customHeight="1">
      <c r="A1077" s="7" t="s">
        <v>355</v>
      </c>
      <c r="B1077" s="7">
        <v>3.5</v>
      </c>
      <c r="C1077" s="7" t="s">
        <v>358</v>
      </c>
      <c r="D1077" s="7" t="s">
        <v>357</v>
      </c>
      <c r="E1077" s="7">
        <v>-3.06350207792208</v>
      </c>
      <c r="F1077" s="7">
        <v>0.187710043290043</v>
      </c>
      <c r="G1077" s="7">
        <v>0.300956796536797</v>
      </c>
      <c r="H1077" s="7">
        <v>-9.9454961038961E-5</v>
      </c>
      <c r="I1077" s="7">
        <v>-0.213191982683983</v>
      </c>
      <c r="J1077" s="7">
        <v>-0.164336909090909</v>
      </c>
      <c r="K1077" s="8"/>
      <c r="L1077" s="8"/>
    </row>
    <row r="1078" ht="13.5" customHeight="1">
      <c r="A1078" s="7" t="s">
        <v>355</v>
      </c>
      <c r="B1078" s="7">
        <v>0.0</v>
      </c>
      <c r="C1078" s="7" t="s">
        <v>359</v>
      </c>
      <c r="D1078" s="7" t="s">
        <v>357</v>
      </c>
      <c r="E1078" s="7">
        <v>-3.08035844155844</v>
      </c>
      <c r="F1078" s="7">
        <v>0.189420562770563</v>
      </c>
      <c r="G1078" s="7">
        <v>0.303221212121212</v>
      </c>
      <c r="H1078" s="7">
        <v>-1.00510064935065E-4</v>
      </c>
      <c r="I1078" s="7">
        <v>-0.219986774891775</v>
      </c>
      <c r="J1078" s="7">
        <v>-0.168883961038961</v>
      </c>
      <c r="K1078" s="8"/>
      <c r="L1078" s="8"/>
    </row>
    <row r="1079" ht="13.5" customHeight="1">
      <c r="A1079" s="7" t="s">
        <v>355</v>
      </c>
      <c r="B1079" s="7">
        <v>1.75</v>
      </c>
      <c r="C1079" s="7" t="s">
        <v>359</v>
      </c>
      <c r="D1079" s="7" t="s">
        <v>357</v>
      </c>
      <c r="E1079" s="7">
        <v>-3.0972148051948</v>
      </c>
      <c r="F1079" s="7">
        <v>0.191131082251082</v>
      </c>
      <c r="G1079" s="7">
        <v>0.305485627705628</v>
      </c>
      <c r="H1079" s="7">
        <v>-1.01565168831169E-4</v>
      </c>
      <c r="I1079" s="7">
        <v>-0.226781567099567</v>
      </c>
      <c r="J1079" s="7">
        <v>-0.173431012987013</v>
      </c>
      <c r="K1079" s="8"/>
      <c r="L1079" s="8"/>
    </row>
    <row r="1080" ht="13.5" customHeight="1">
      <c r="A1080" s="7" t="s">
        <v>355</v>
      </c>
      <c r="B1080" s="7">
        <v>3.5</v>
      </c>
      <c r="C1080" s="7" t="s">
        <v>359</v>
      </c>
      <c r="D1080" s="7" t="s">
        <v>357</v>
      </c>
      <c r="E1080" s="7">
        <v>-3.11407116883117</v>
      </c>
      <c r="F1080" s="7">
        <v>0.192841601731602</v>
      </c>
      <c r="G1080" s="7">
        <v>0.307750043290043</v>
      </c>
      <c r="H1080" s="7">
        <v>-1.02620272727273E-4</v>
      </c>
      <c r="I1080" s="7">
        <v>-0.23357635930736</v>
      </c>
      <c r="J1080" s="7">
        <v>-0.177978064935064</v>
      </c>
      <c r="K1080" s="8"/>
      <c r="L1080" s="8"/>
    </row>
    <row r="1081" ht="13.5" customHeight="1">
      <c r="A1081" s="7" t="s">
        <v>355</v>
      </c>
      <c r="B1081" s="7">
        <v>0.0</v>
      </c>
      <c r="C1081" s="7" t="s">
        <v>360</v>
      </c>
      <c r="D1081" s="7" t="s">
        <v>357</v>
      </c>
      <c r="E1081" s="7">
        <v>-3.13092753246753</v>
      </c>
      <c r="F1081" s="7">
        <v>0.194552121212121</v>
      </c>
      <c r="G1081" s="7">
        <v>0.310014458874459</v>
      </c>
      <c r="H1081" s="7">
        <v>-1.03675376623377E-4</v>
      </c>
      <c r="I1081" s="7">
        <v>-0.240371151515152</v>
      </c>
      <c r="J1081" s="7">
        <v>-0.182525116883116</v>
      </c>
      <c r="K1081" s="8"/>
      <c r="L1081" s="8"/>
    </row>
    <row r="1082" ht="13.5" customHeight="1">
      <c r="A1082" s="7" t="s">
        <v>355</v>
      </c>
      <c r="B1082" s="7">
        <v>1.75</v>
      </c>
      <c r="C1082" s="7" t="s">
        <v>360</v>
      </c>
      <c r="D1082" s="7" t="s">
        <v>357</v>
      </c>
      <c r="E1082" s="7">
        <v>-3.1477838961039</v>
      </c>
      <c r="F1082" s="7">
        <v>0.196262640692641</v>
      </c>
      <c r="G1082" s="7">
        <v>0.312278874458875</v>
      </c>
      <c r="H1082" s="7">
        <v>-1.04730480519481E-4</v>
      </c>
      <c r="I1082" s="7">
        <v>-0.247165943722944</v>
      </c>
      <c r="J1082" s="7">
        <v>-0.187072168831168</v>
      </c>
      <c r="K1082" s="8"/>
      <c r="L1082" s="8"/>
    </row>
    <row r="1083" ht="13.5" customHeight="1">
      <c r="A1083" s="7" t="s">
        <v>355</v>
      </c>
      <c r="B1083" s="7">
        <v>3.5</v>
      </c>
      <c r="C1083" s="7" t="s">
        <v>360</v>
      </c>
      <c r="D1083" s="7" t="s">
        <v>357</v>
      </c>
      <c r="E1083" s="7">
        <v>-3.16464025974026</v>
      </c>
      <c r="F1083" s="7">
        <v>0.19797316017316</v>
      </c>
      <c r="G1083" s="7">
        <v>0.31454329004329</v>
      </c>
      <c r="H1083" s="7">
        <v>-1.05785584415584E-4</v>
      </c>
      <c r="I1083" s="7">
        <v>-0.253960735930736</v>
      </c>
      <c r="J1083" s="7">
        <v>-0.19161922077922</v>
      </c>
      <c r="K1083" s="8"/>
      <c r="L1083" s="8"/>
    </row>
    <row r="1084" ht="13.5" customHeight="1">
      <c r="A1084" s="7" t="s">
        <v>355</v>
      </c>
      <c r="B1084" s="7">
        <v>0.0</v>
      </c>
      <c r="C1084" s="7" t="s">
        <v>361</v>
      </c>
      <c r="D1084" s="7" t="s">
        <v>357</v>
      </c>
      <c r="E1084" s="7">
        <v>-3.18149662337662</v>
      </c>
      <c r="F1084" s="7">
        <v>0.19968367965368</v>
      </c>
      <c r="G1084" s="7">
        <v>0.316807705627706</v>
      </c>
      <c r="H1084" s="7">
        <v>-1.06840688311688E-4</v>
      </c>
      <c r="I1084" s="7">
        <v>-0.260755528138528</v>
      </c>
      <c r="J1084" s="7">
        <v>-0.196166272727272</v>
      </c>
      <c r="K1084" s="8"/>
      <c r="L1084" s="8"/>
    </row>
    <row r="1085" ht="13.5" customHeight="1">
      <c r="A1085" s="7" t="s">
        <v>355</v>
      </c>
      <c r="B1085" s="7">
        <v>1.75</v>
      </c>
      <c r="C1085" s="7" t="s">
        <v>361</v>
      </c>
      <c r="D1085" s="7" t="s">
        <v>357</v>
      </c>
      <c r="E1085" s="7">
        <v>-3.19835298701299</v>
      </c>
      <c r="F1085" s="7">
        <v>0.201394199134199</v>
      </c>
      <c r="G1085" s="7">
        <v>0.319072121212121</v>
      </c>
      <c r="H1085" s="7">
        <v>-1.07895792207792E-4</v>
      </c>
      <c r="I1085" s="7">
        <v>-0.267550320346321</v>
      </c>
      <c r="J1085" s="7">
        <v>-0.200713324675324</v>
      </c>
      <c r="K1085" s="8"/>
      <c r="L1085" s="8"/>
    </row>
    <row r="1086" ht="13.5" customHeight="1">
      <c r="A1086" s="7" t="s">
        <v>355</v>
      </c>
      <c r="B1086" s="7">
        <v>3.5</v>
      </c>
      <c r="C1086" s="7" t="s">
        <v>361</v>
      </c>
      <c r="D1086" s="7" t="s">
        <v>357</v>
      </c>
      <c r="E1086" s="7">
        <v>-3.21520935064935</v>
      </c>
      <c r="F1086" s="7">
        <v>0.203104718614719</v>
      </c>
      <c r="G1086" s="7">
        <v>0.321336536796537</v>
      </c>
      <c r="H1086" s="7">
        <v>-1.08950896103896E-4</v>
      </c>
      <c r="I1086" s="7">
        <v>-0.274345112554113</v>
      </c>
      <c r="J1086" s="7">
        <v>-0.205260376623376</v>
      </c>
      <c r="K1086" s="8"/>
      <c r="L1086" s="8"/>
    </row>
    <row r="1087" ht="13.5" customHeight="1">
      <c r="A1087" s="7" t="s">
        <v>355</v>
      </c>
      <c r="B1087" s="7">
        <v>0.0</v>
      </c>
      <c r="C1087" s="7" t="s">
        <v>362</v>
      </c>
      <c r="D1087" s="7" t="s">
        <v>357</v>
      </c>
      <c r="E1087" s="7">
        <v>-3.23206571428571</v>
      </c>
      <c r="F1087" s="7">
        <v>0.204815238095238</v>
      </c>
      <c r="G1087" s="7">
        <v>0.323600952380953</v>
      </c>
      <c r="H1087" s="7">
        <v>-1.10006E-4</v>
      </c>
      <c r="I1087" s="7">
        <v>-0.281139904761905</v>
      </c>
      <c r="J1087" s="7">
        <v>-0.209807428571428</v>
      </c>
      <c r="K1087" s="8"/>
      <c r="L1087" s="8"/>
    </row>
    <row r="1088" ht="13.5" customHeight="1">
      <c r="A1088" s="7" t="s">
        <v>355</v>
      </c>
      <c r="B1088" s="7">
        <v>1.75</v>
      </c>
      <c r="C1088" s="7" t="s">
        <v>362</v>
      </c>
      <c r="D1088" s="7" t="s">
        <v>357</v>
      </c>
      <c r="E1088" s="7">
        <v>-3.24892207792208</v>
      </c>
      <c r="F1088" s="7">
        <v>0.206525757575758</v>
      </c>
      <c r="G1088" s="7">
        <v>0.325865367965368</v>
      </c>
      <c r="H1088" s="7">
        <v>-1.11061103896104E-4</v>
      </c>
      <c r="I1088" s="7">
        <v>-0.287934696969697</v>
      </c>
      <c r="J1088" s="7">
        <v>-0.21435448051948</v>
      </c>
      <c r="K1088" s="8"/>
      <c r="L1088" s="8"/>
    </row>
    <row r="1089" ht="13.5" customHeight="1">
      <c r="A1089" s="7" t="s">
        <v>355</v>
      </c>
      <c r="B1089" s="7">
        <v>3.5</v>
      </c>
      <c r="C1089" s="7" t="s">
        <v>362</v>
      </c>
      <c r="D1089" s="7" t="s">
        <v>357</v>
      </c>
      <c r="E1089" s="7">
        <v>-3.26577844155844</v>
      </c>
      <c r="F1089" s="7">
        <v>0.208236277056277</v>
      </c>
      <c r="G1089" s="7">
        <v>0.328129783549784</v>
      </c>
      <c r="H1089" s="7">
        <v>-1.12116207792208E-4</v>
      </c>
      <c r="I1089" s="7">
        <v>-0.294729489177489</v>
      </c>
      <c r="J1089" s="7">
        <v>-0.218901532467532</v>
      </c>
      <c r="K1089" s="8"/>
      <c r="L1089" s="8"/>
    </row>
    <row r="1090" ht="13.5" customHeight="1">
      <c r="A1090" s="7" t="s">
        <v>355</v>
      </c>
      <c r="B1090" s="7">
        <v>0.0</v>
      </c>
      <c r="C1090" s="7" t="s">
        <v>363</v>
      </c>
      <c r="D1090" s="7" t="s">
        <v>357</v>
      </c>
      <c r="E1090" s="7">
        <v>-3.2826348051948</v>
      </c>
      <c r="F1090" s="7">
        <v>0.209946796536797</v>
      </c>
      <c r="G1090" s="7">
        <v>0.330394199134199</v>
      </c>
      <c r="H1090" s="7">
        <v>-1.13171311688312E-4</v>
      </c>
      <c r="I1090" s="7">
        <v>-0.301524281385282</v>
      </c>
      <c r="J1090" s="7">
        <v>-0.223448584415584</v>
      </c>
      <c r="K1090" s="8"/>
      <c r="L1090" s="8"/>
    </row>
    <row r="1091" ht="13.5" customHeight="1">
      <c r="A1091" s="7" t="s">
        <v>355</v>
      </c>
      <c r="B1091" s="7">
        <v>1.75</v>
      </c>
      <c r="C1091" s="7" t="s">
        <v>363</v>
      </c>
      <c r="D1091" s="7" t="s">
        <v>357</v>
      </c>
      <c r="E1091" s="7">
        <v>-3.29949116883117</v>
      </c>
      <c r="F1091" s="7">
        <v>0.211657316017316</v>
      </c>
      <c r="G1091" s="7">
        <v>0.332658614718615</v>
      </c>
      <c r="H1091" s="7">
        <v>-1.14226415584416E-4</v>
      </c>
      <c r="I1091" s="7">
        <v>-0.308319073593074</v>
      </c>
      <c r="J1091" s="7">
        <v>-0.227995636363636</v>
      </c>
      <c r="K1091" s="8"/>
      <c r="L1091" s="8"/>
    </row>
    <row r="1092" ht="13.5" customHeight="1">
      <c r="A1092" s="7" t="s">
        <v>355</v>
      </c>
      <c r="B1092" s="7">
        <v>3.5</v>
      </c>
      <c r="C1092" s="7" t="s">
        <v>363</v>
      </c>
      <c r="D1092" s="7" t="s">
        <v>357</v>
      </c>
      <c r="E1092" s="7">
        <v>-3.31634753246753</v>
      </c>
      <c r="F1092" s="7">
        <v>0.213367835497835</v>
      </c>
      <c r="G1092" s="7">
        <v>0.33492303030303</v>
      </c>
      <c r="H1092" s="7">
        <v>-1.1528151948052E-4</v>
      </c>
      <c r="I1092" s="7">
        <v>-0.315113865800866</v>
      </c>
      <c r="J1092" s="7">
        <v>-0.232542688311688</v>
      </c>
      <c r="K1092" s="8"/>
      <c r="L1092" s="8"/>
    </row>
    <row r="1093" ht="13.5" customHeight="1">
      <c r="A1093" s="7" t="s">
        <v>355</v>
      </c>
      <c r="B1093" s="7">
        <v>0.0</v>
      </c>
      <c r="C1093" s="7" t="s">
        <v>356</v>
      </c>
      <c r="D1093" s="7" t="s">
        <v>357</v>
      </c>
      <c r="E1093" s="7">
        <v>-3.3332038961039</v>
      </c>
      <c r="F1093" s="7">
        <v>0.215078354978355</v>
      </c>
      <c r="G1093" s="7">
        <v>0.337187445887446</v>
      </c>
      <c r="H1093" s="7">
        <v>-1.16336623376623E-4</v>
      </c>
      <c r="I1093" s="7">
        <v>-0.321908658008658</v>
      </c>
      <c r="J1093" s="7">
        <v>-0.23708974025974</v>
      </c>
      <c r="K1093" s="8"/>
      <c r="L1093" s="8"/>
    </row>
    <row r="1094" ht="13.5" customHeight="1">
      <c r="A1094" s="7" t="s">
        <v>355</v>
      </c>
      <c r="B1094" s="7">
        <v>1.75</v>
      </c>
      <c r="C1094" s="7" t="s">
        <v>356</v>
      </c>
      <c r="D1094" s="7" t="s">
        <v>357</v>
      </c>
      <c r="E1094" s="7">
        <v>-3.35006025974026</v>
      </c>
      <c r="F1094" s="7">
        <v>0.216788874458874</v>
      </c>
      <c r="G1094" s="7">
        <v>0.339451861471862</v>
      </c>
      <c r="H1094" s="7">
        <v>-1.17391727272727E-4</v>
      </c>
      <c r="I1094" s="7">
        <v>-0.328703450216451</v>
      </c>
      <c r="J1094" s="7">
        <v>-0.241636792207792</v>
      </c>
      <c r="K1094" s="8"/>
      <c r="L1094" s="8"/>
    </row>
    <row r="1095" ht="13.5" customHeight="1">
      <c r="A1095" s="7" t="s">
        <v>355</v>
      </c>
      <c r="B1095" s="7">
        <v>3.5</v>
      </c>
      <c r="C1095" s="7" t="s">
        <v>356</v>
      </c>
      <c r="D1095" s="7" t="s">
        <v>357</v>
      </c>
      <c r="E1095" s="7">
        <v>-3.36691662337663</v>
      </c>
      <c r="F1095" s="7">
        <v>0.218499393939394</v>
      </c>
      <c r="G1095" s="7">
        <v>0.341716277056277</v>
      </c>
      <c r="H1095" s="7">
        <v>-1.18446831168831E-4</v>
      </c>
      <c r="I1095" s="7">
        <v>-0.335498242424243</v>
      </c>
      <c r="J1095" s="7">
        <v>-0.246183844155844</v>
      </c>
      <c r="K1095" s="8"/>
      <c r="L1095" s="8"/>
    </row>
    <row r="1096" ht="13.5" customHeight="1">
      <c r="A1096" s="7" t="s">
        <v>355</v>
      </c>
      <c r="B1096" s="7">
        <v>0.0</v>
      </c>
      <c r="C1096" s="7" t="s">
        <v>358</v>
      </c>
      <c r="D1096" s="7" t="s">
        <v>357</v>
      </c>
      <c r="E1096" s="7">
        <v>-3.38377298701299</v>
      </c>
      <c r="F1096" s="7">
        <v>0.220209913419913</v>
      </c>
      <c r="G1096" s="7">
        <v>0.343980692640693</v>
      </c>
      <c r="H1096" s="7">
        <v>-1.19501935064935E-4</v>
      </c>
      <c r="I1096" s="7">
        <v>-0.342293034632035</v>
      </c>
      <c r="J1096" s="7">
        <v>-0.250730896103896</v>
      </c>
      <c r="K1096" s="8"/>
      <c r="L1096" s="8"/>
    </row>
    <row r="1097" ht="13.5" customHeight="1">
      <c r="A1097" s="7" t="s">
        <v>355</v>
      </c>
      <c r="B1097" s="7">
        <v>1.75</v>
      </c>
      <c r="C1097" s="7" t="s">
        <v>358</v>
      </c>
      <c r="D1097" s="7" t="s">
        <v>357</v>
      </c>
      <c r="E1097" s="7">
        <v>-3.40062935064935</v>
      </c>
      <c r="F1097" s="7">
        <v>0.221920432900433</v>
      </c>
      <c r="G1097" s="7">
        <v>0.346245108225108</v>
      </c>
      <c r="H1097" s="7">
        <v>-1.20557038961039E-4</v>
      </c>
      <c r="I1097" s="7">
        <v>-0.349087826839827</v>
      </c>
      <c r="J1097" s="7">
        <v>-0.255277948051948</v>
      </c>
      <c r="K1097" s="8"/>
      <c r="L1097" s="8"/>
    </row>
    <row r="1098" ht="13.5" customHeight="1">
      <c r="A1098" s="7" t="s">
        <v>355</v>
      </c>
      <c r="B1098" s="7">
        <v>3.5</v>
      </c>
      <c r="C1098" s="7" t="s">
        <v>358</v>
      </c>
      <c r="D1098" s="7" t="s">
        <v>357</v>
      </c>
      <c r="E1098" s="7">
        <v>-3.41748571428572</v>
      </c>
      <c r="F1098" s="7">
        <v>0.223630952380952</v>
      </c>
      <c r="G1098" s="7">
        <v>0.348509523809524</v>
      </c>
      <c r="H1098" s="7">
        <v>-1.21612142857143E-4</v>
      </c>
      <c r="I1098" s="7">
        <v>-0.355882619047619</v>
      </c>
      <c r="J1098" s="7">
        <v>-0.259824999999999</v>
      </c>
      <c r="K1098" s="8"/>
      <c r="L1098" s="8"/>
    </row>
    <row r="1099" ht="13.5" customHeight="1">
      <c r="A1099" s="7" t="s">
        <v>355</v>
      </c>
      <c r="B1099" s="7">
        <v>0.0</v>
      </c>
      <c r="C1099" s="7" t="s">
        <v>359</v>
      </c>
      <c r="D1099" s="7" t="s">
        <v>357</v>
      </c>
      <c r="E1099" s="7">
        <v>-3.43434207792208</v>
      </c>
      <c r="F1099" s="7">
        <v>0.225341471861472</v>
      </c>
      <c r="G1099" s="7">
        <v>0.350773939393939</v>
      </c>
      <c r="H1099" s="7">
        <v>-1.22667246753247E-4</v>
      </c>
      <c r="I1099" s="7">
        <v>-0.362677411255412</v>
      </c>
      <c r="J1099" s="7">
        <v>-0.264372051948051</v>
      </c>
      <c r="K1099" s="8"/>
      <c r="L1099" s="8"/>
    </row>
    <row r="1100" ht="13.5" customHeight="1">
      <c r="A1100" s="7" t="s">
        <v>355</v>
      </c>
      <c r="B1100" s="7">
        <v>1.75</v>
      </c>
      <c r="C1100" s="7" t="s">
        <v>359</v>
      </c>
      <c r="D1100" s="7" t="s">
        <v>357</v>
      </c>
      <c r="E1100" s="7">
        <v>-3.45119844155844</v>
      </c>
      <c r="F1100" s="7">
        <v>0.227051991341991</v>
      </c>
      <c r="G1100" s="7">
        <v>0.353038354978355</v>
      </c>
      <c r="H1100" s="7">
        <v>-1.23722350649351E-4</v>
      </c>
      <c r="I1100" s="7">
        <v>-0.369472203463204</v>
      </c>
      <c r="J1100" s="7">
        <v>-0.268919103896103</v>
      </c>
      <c r="K1100" s="8"/>
      <c r="L1100" s="8"/>
    </row>
    <row r="1101" ht="13.5" customHeight="1">
      <c r="A1101" s="7" t="s">
        <v>355</v>
      </c>
      <c r="B1101" s="7">
        <v>3.5</v>
      </c>
      <c r="C1101" s="7" t="s">
        <v>359</v>
      </c>
      <c r="D1101" s="7" t="s">
        <v>357</v>
      </c>
      <c r="E1101" s="7">
        <v>-3.46805480519481</v>
      </c>
      <c r="F1101" s="7">
        <v>0.228762510822511</v>
      </c>
      <c r="G1101" s="7">
        <v>0.355302770562771</v>
      </c>
      <c r="H1101" s="7">
        <v>-1.24777454545455E-4</v>
      </c>
      <c r="I1101" s="7">
        <v>-0.376266995670996</v>
      </c>
      <c r="J1101" s="7">
        <v>-0.273466155844155</v>
      </c>
      <c r="K1101" s="8"/>
      <c r="L1101" s="8"/>
    </row>
    <row r="1102" ht="13.5" customHeight="1">
      <c r="A1102" s="7" t="s">
        <v>355</v>
      </c>
      <c r="B1102" s="7">
        <v>0.0</v>
      </c>
      <c r="C1102" s="7" t="s">
        <v>360</v>
      </c>
      <c r="D1102" s="7" t="s">
        <v>357</v>
      </c>
      <c r="E1102" s="7">
        <v>-3.48491116883117</v>
      </c>
      <c r="F1102" s="7">
        <v>0.23047303030303</v>
      </c>
      <c r="G1102" s="7">
        <v>0.357567186147186</v>
      </c>
      <c r="H1102" s="7">
        <v>-1.25832558441558E-4</v>
      </c>
      <c r="I1102" s="7">
        <v>-0.383061787878788</v>
      </c>
      <c r="J1102" s="7">
        <v>-0.278013207792207</v>
      </c>
      <c r="K1102" s="8"/>
      <c r="L1102" s="8"/>
    </row>
    <row r="1103" ht="13.5" customHeight="1">
      <c r="A1103" s="7" t="s">
        <v>355</v>
      </c>
      <c r="B1103" s="7">
        <v>1.75</v>
      </c>
      <c r="C1103" s="7" t="s">
        <v>360</v>
      </c>
      <c r="D1103" s="7" t="s">
        <v>357</v>
      </c>
      <c r="E1103" s="7">
        <v>-3.50176753246753</v>
      </c>
      <c r="F1103" s="7">
        <v>0.23218354978355</v>
      </c>
      <c r="G1103" s="7">
        <v>0.359831601731602</v>
      </c>
      <c r="H1103" s="7">
        <v>-1.26887662337662E-4</v>
      </c>
      <c r="I1103" s="7">
        <v>-0.38985658008658</v>
      </c>
      <c r="J1103" s="7">
        <v>-0.282560259740259</v>
      </c>
      <c r="K1103" s="8"/>
      <c r="L1103" s="8"/>
    </row>
    <row r="1104" ht="13.5" customHeight="1">
      <c r="A1104" s="7" t="s">
        <v>355</v>
      </c>
      <c r="B1104" s="7">
        <v>3.5</v>
      </c>
      <c r="C1104" s="7" t="s">
        <v>360</v>
      </c>
      <c r="D1104" s="7" t="s">
        <v>357</v>
      </c>
      <c r="E1104" s="7">
        <v>-3.5186238961039</v>
      </c>
      <c r="F1104" s="7">
        <v>0.233894069264069</v>
      </c>
      <c r="G1104" s="7">
        <v>0.362096017316017</v>
      </c>
      <c r="H1104" s="7">
        <v>-1.27942766233766E-4</v>
      </c>
      <c r="I1104" s="7">
        <v>-0.396651372294373</v>
      </c>
      <c r="J1104" s="7">
        <v>-0.287107311688311</v>
      </c>
      <c r="K1104" s="8"/>
      <c r="L1104" s="8"/>
    </row>
    <row r="1105" ht="13.5" customHeight="1">
      <c r="A1105" s="7" t="s">
        <v>355</v>
      </c>
      <c r="B1105" s="7">
        <v>0.0</v>
      </c>
      <c r="C1105" s="7" t="s">
        <v>361</v>
      </c>
      <c r="D1105" s="7" t="s">
        <v>357</v>
      </c>
      <c r="E1105" s="7">
        <v>-3.53548025974026</v>
      </c>
      <c r="F1105" s="7">
        <v>0.235604588744589</v>
      </c>
      <c r="G1105" s="7">
        <v>0.364360432900433</v>
      </c>
      <c r="H1105" s="7">
        <v>-1.2899787012987E-4</v>
      </c>
      <c r="I1105" s="7">
        <v>-0.403446164502165</v>
      </c>
      <c r="J1105" s="7">
        <v>-0.291654363636363</v>
      </c>
      <c r="K1105" s="8"/>
      <c r="L1105" s="8"/>
    </row>
    <row r="1106" ht="13.5" customHeight="1">
      <c r="A1106" s="7" t="s">
        <v>355</v>
      </c>
      <c r="B1106" s="7">
        <v>1.75</v>
      </c>
      <c r="C1106" s="7" t="s">
        <v>361</v>
      </c>
      <c r="D1106" s="7" t="s">
        <v>357</v>
      </c>
      <c r="E1106" s="7">
        <v>-3.55233662337662</v>
      </c>
      <c r="F1106" s="7">
        <v>0.237315108225108</v>
      </c>
      <c r="G1106" s="7">
        <v>0.366624848484849</v>
      </c>
      <c r="H1106" s="7">
        <v>-1.30052974025974E-4</v>
      </c>
      <c r="I1106" s="7">
        <v>-0.410240956709957</v>
      </c>
      <c r="J1106" s="7">
        <v>-0.296201415584415</v>
      </c>
      <c r="K1106" s="8"/>
      <c r="L1106" s="8"/>
    </row>
    <row r="1107" ht="13.5" customHeight="1">
      <c r="A1107" s="7" t="s">
        <v>355</v>
      </c>
      <c r="B1107" s="7">
        <v>3.5</v>
      </c>
      <c r="C1107" s="7" t="s">
        <v>361</v>
      </c>
      <c r="D1107" s="7" t="s">
        <v>357</v>
      </c>
      <c r="E1107" s="7">
        <v>-3.56919298701299</v>
      </c>
      <c r="F1107" s="7">
        <v>0.239025627705628</v>
      </c>
      <c r="G1107" s="7">
        <v>0.368889264069264</v>
      </c>
      <c r="H1107" s="7">
        <v>-1.31108077922078E-4</v>
      </c>
      <c r="I1107" s="7">
        <v>-0.417035748917749</v>
      </c>
      <c r="J1107" s="7">
        <v>-0.300748467532467</v>
      </c>
      <c r="K1107" s="8"/>
      <c r="L1107" s="8"/>
    </row>
    <row r="1108" ht="13.5" customHeight="1">
      <c r="A1108" s="7" t="s">
        <v>355</v>
      </c>
      <c r="B1108" s="7">
        <v>0.0</v>
      </c>
      <c r="C1108" s="7" t="s">
        <v>362</v>
      </c>
      <c r="D1108" s="7" t="s">
        <v>357</v>
      </c>
      <c r="E1108" s="7">
        <v>-3.58604935064935</v>
      </c>
      <c r="F1108" s="7">
        <v>0.240736147186147</v>
      </c>
      <c r="G1108" s="7">
        <v>0.37115367965368</v>
      </c>
      <c r="H1108" s="7">
        <v>-1.32163181818182E-4</v>
      </c>
      <c r="I1108" s="7">
        <v>-0.423830541125541</v>
      </c>
      <c r="J1108" s="7">
        <v>-0.305295519480519</v>
      </c>
      <c r="K1108" s="8"/>
      <c r="L1108" s="8"/>
    </row>
    <row r="1109" ht="13.5" customHeight="1">
      <c r="A1109" s="7" t="s">
        <v>355</v>
      </c>
      <c r="B1109" s="7">
        <v>1.75</v>
      </c>
      <c r="C1109" s="7" t="s">
        <v>362</v>
      </c>
      <c r="D1109" s="7" t="s">
        <v>357</v>
      </c>
      <c r="E1109" s="7">
        <v>-3.60290571428572</v>
      </c>
      <c r="F1109" s="7">
        <v>0.242446666666667</v>
      </c>
      <c r="G1109" s="7">
        <v>0.373418095238095</v>
      </c>
      <c r="H1109" s="7">
        <v>-1.33218285714286E-4</v>
      </c>
      <c r="I1109" s="7">
        <v>-0.430625333333334</v>
      </c>
      <c r="J1109" s="7">
        <v>-0.309842571428571</v>
      </c>
      <c r="K1109" s="8"/>
      <c r="L1109" s="8"/>
    </row>
    <row r="1110" ht="13.5" customHeight="1">
      <c r="A1110" s="7" t="s">
        <v>355</v>
      </c>
      <c r="B1110" s="7">
        <v>3.5</v>
      </c>
      <c r="C1110" s="7" t="s">
        <v>362</v>
      </c>
      <c r="D1110" s="7" t="s">
        <v>357</v>
      </c>
      <c r="E1110" s="7">
        <v>-3.61976207792208</v>
      </c>
      <c r="F1110" s="7">
        <v>0.244157186147186</v>
      </c>
      <c r="G1110" s="7">
        <v>0.375682510822511</v>
      </c>
      <c r="H1110" s="7">
        <v>-1.3427338961039E-4</v>
      </c>
      <c r="I1110" s="7">
        <v>-0.437420125541126</v>
      </c>
      <c r="J1110" s="7">
        <v>-0.314389623376623</v>
      </c>
      <c r="K1110" s="8"/>
      <c r="L1110" s="8"/>
    </row>
    <row r="1111" ht="13.5" customHeight="1">
      <c r="A1111" s="7" t="s">
        <v>355</v>
      </c>
      <c r="B1111" s="7">
        <v>0.0</v>
      </c>
      <c r="C1111" s="7" t="s">
        <v>363</v>
      </c>
      <c r="D1111" s="7" t="s">
        <v>357</v>
      </c>
      <c r="E1111" s="7">
        <v>-3.63661844155844</v>
      </c>
      <c r="F1111" s="7">
        <v>0.245867705627706</v>
      </c>
      <c r="G1111" s="7">
        <v>0.377946926406926</v>
      </c>
      <c r="H1111" s="7">
        <v>-1.35328493506494E-4</v>
      </c>
      <c r="I1111" s="7">
        <v>-0.444214917748918</v>
      </c>
      <c r="J1111" s="7">
        <v>-0.318936675324675</v>
      </c>
      <c r="K1111" s="8"/>
      <c r="L1111" s="8"/>
    </row>
    <row r="1112" ht="13.5" customHeight="1">
      <c r="A1112" s="7" t="s">
        <v>355</v>
      </c>
      <c r="B1112" s="7">
        <v>1.75</v>
      </c>
      <c r="C1112" s="7" t="s">
        <v>363</v>
      </c>
      <c r="D1112" s="7" t="s">
        <v>357</v>
      </c>
      <c r="E1112" s="7">
        <v>-3.65347480519481</v>
      </c>
      <c r="F1112" s="7">
        <v>0.247578225108225</v>
      </c>
      <c r="G1112" s="7">
        <v>0.380211341991342</v>
      </c>
      <c r="H1112" s="7">
        <v>-1.36383597402597E-4</v>
      </c>
      <c r="I1112" s="7">
        <v>-0.45100970995671</v>
      </c>
      <c r="J1112" s="7">
        <v>-0.323483727272727</v>
      </c>
      <c r="K1112" s="8"/>
      <c r="L1112" s="8"/>
    </row>
    <row r="1113" ht="13.5" customHeight="1">
      <c r="A1113" s="7" t="s">
        <v>355</v>
      </c>
      <c r="B1113" s="7">
        <v>3.5</v>
      </c>
      <c r="C1113" s="7" t="s">
        <v>363</v>
      </c>
      <c r="D1113" s="7" t="s">
        <v>357</v>
      </c>
      <c r="E1113" s="7">
        <v>-3.67033116883117</v>
      </c>
      <c r="F1113" s="7">
        <v>0.249288744588745</v>
      </c>
      <c r="G1113" s="7">
        <v>0.382475757575758</v>
      </c>
      <c r="H1113" s="7">
        <v>-1.37438701298701E-4</v>
      </c>
      <c r="I1113" s="7">
        <v>-0.457804502164502</v>
      </c>
      <c r="J1113" s="7">
        <v>-0.328030779220779</v>
      </c>
      <c r="K1113" s="8"/>
      <c r="L1113" s="8"/>
    </row>
    <row r="1114" ht="13.5" customHeight="1">
      <c r="A1114" s="7" t="s">
        <v>355</v>
      </c>
      <c r="B1114" s="7">
        <v>0.0</v>
      </c>
      <c r="C1114" s="7" t="s">
        <v>356</v>
      </c>
      <c r="D1114" s="7" t="s">
        <v>357</v>
      </c>
      <c r="E1114" s="7">
        <v>-3.68718753246753</v>
      </c>
      <c r="F1114" s="7">
        <v>0.250999264069264</v>
      </c>
      <c r="G1114" s="7">
        <v>0.384740173160173</v>
      </c>
      <c r="H1114" s="7">
        <v>-1.38493805194805E-4</v>
      </c>
      <c r="I1114" s="7">
        <v>-0.464599294372295</v>
      </c>
      <c r="J1114" s="7">
        <v>-0.332577831168831</v>
      </c>
      <c r="K1114" s="8"/>
      <c r="L1114" s="8"/>
    </row>
    <row r="1115" ht="13.5" customHeight="1">
      <c r="A1115" s="7" t="s">
        <v>355</v>
      </c>
      <c r="B1115" s="7">
        <v>1.75</v>
      </c>
      <c r="C1115" s="7" t="s">
        <v>356</v>
      </c>
      <c r="D1115" s="7" t="s">
        <v>357</v>
      </c>
      <c r="E1115" s="7">
        <v>-3.7040438961039</v>
      </c>
      <c r="F1115" s="7">
        <v>0.252709783549784</v>
      </c>
      <c r="G1115" s="7">
        <v>0.387004588744589</v>
      </c>
      <c r="H1115" s="7">
        <v>-1.39548909090909E-4</v>
      </c>
      <c r="I1115" s="7">
        <v>-0.471394086580087</v>
      </c>
      <c r="J1115" s="7">
        <v>-0.337124883116883</v>
      </c>
      <c r="K1115" s="8"/>
      <c r="L1115" s="8"/>
    </row>
    <row r="1116" ht="13.5" customHeight="1">
      <c r="A1116" s="7" t="s">
        <v>355</v>
      </c>
      <c r="B1116" s="7">
        <v>3.5</v>
      </c>
      <c r="C1116" s="7" t="s">
        <v>356</v>
      </c>
      <c r="D1116" s="7" t="s">
        <v>357</v>
      </c>
      <c r="E1116" s="7">
        <v>-3.72090025974026</v>
      </c>
      <c r="F1116" s="7">
        <v>0.254420303030303</v>
      </c>
      <c r="G1116" s="7">
        <v>0.389269004329004</v>
      </c>
      <c r="H1116" s="7">
        <v>-1.40604012987013E-4</v>
      </c>
      <c r="I1116" s="7">
        <v>-0.478188878787879</v>
      </c>
      <c r="J1116" s="7">
        <v>-0.341671935064934</v>
      </c>
      <c r="K1116" s="8"/>
      <c r="L1116" s="8"/>
    </row>
    <row r="1117" ht="13.5" customHeight="1">
      <c r="A1117" s="7" t="s">
        <v>355</v>
      </c>
      <c r="B1117" s="7">
        <v>0.0</v>
      </c>
      <c r="C1117" s="7" t="s">
        <v>358</v>
      </c>
      <c r="D1117" s="7" t="s">
        <v>357</v>
      </c>
      <c r="E1117" s="7">
        <v>-3.73775662337663</v>
      </c>
      <c r="F1117" s="7">
        <v>0.256130822510823</v>
      </c>
      <c r="G1117" s="7">
        <v>0.39153341991342</v>
      </c>
      <c r="H1117" s="7">
        <v>-1.41659116883117E-4</v>
      </c>
      <c r="I1117" s="7">
        <v>-0.484983670995671</v>
      </c>
      <c r="J1117" s="7">
        <v>-0.346218987012986</v>
      </c>
      <c r="K1117" s="8"/>
      <c r="L1117" s="8"/>
    </row>
    <row r="1118" ht="13.5" customHeight="1">
      <c r="A1118" s="7" t="s">
        <v>355</v>
      </c>
      <c r="B1118" s="7">
        <v>1.75</v>
      </c>
      <c r="C1118" s="7" t="s">
        <v>358</v>
      </c>
      <c r="D1118" s="7" t="s">
        <v>357</v>
      </c>
      <c r="E1118" s="7">
        <v>-3.75461298701299</v>
      </c>
      <c r="F1118" s="7">
        <v>0.257841341991342</v>
      </c>
      <c r="G1118" s="7">
        <v>0.393797835497836</v>
      </c>
      <c r="H1118" s="7">
        <v>-1.42714220779221E-4</v>
      </c>
      <c r="I1118" s="7">
        <v>-0.491778463203463</v>
      </c>
      <c r="J1118" s="7">
        <v>-0.350766038961038</v>
      </c>
      <c r="K1118" s="8"/>
      <c r="L1118" s="8"/>
    </row>
    <row r="1119" ht="13.5" customHeight="1">
      <c r="A1119" s="7" t="s">
        <v>355</v>
      </c>
      <c r="B1119" s="7">
        <v>3.5</v>
      </c>
      <c r="C1119" s="7" t="s">
        <v>358</v>
      </c>
      <c r="D1119" s="7" t="s">
        <v>357</v>
      </c>
      <c r="E1119" s="7">
        <v>-3.77146935064935</v>
      </c>
      <c r="F1119" s="7">
        <v>0.259551861471861</v>
      </c>
      <c r="G1119" s="7">
        <v>0.396062251082251</v>
      </c>
      <c r="H1119" s="7">
        <v>-1.43769324675325E-4</v>
      </c>
      <c r="I1119" s="7">
        <v>-0.498573255411256</v>
      </c>
      <c r="J1119" s="7">
        <v>-0.35531309090909</v>
      </c>
      <c r="K1119" s="8"/>
      <c r="L1119" s="8"/>
    </row>
    <row r="1120" ht="13.5" customHeight="1">
      <c r="A1120" s="7" t="s">
        <v>355</v>
      </c>
      <c r="B1120" s="7">
        <v>0.0</v>
      </c>
      <c r="C1120" s="7" t="s">
        <v>359</v>
      </c>
      <c r="D1120" s="7" t="s">
        <v>357</v>
      </c>
      <c r="E1120" s="7">
        <v>-3.78832571428572</v>
      </c>
      <c r="F1120" s="7">
        <v>0.261262380952381</v>
      </c>
      <c r="G1120" s="7">
        <v>0.398326666666667</v>
      </c>
      <c r="H1120" s="7">
        <v>-1.44824428571429E-4</v>
      </c>
      <c r="I1120" s="7">
        <v>-0.505368047619048</v>
      </c>
      <c r="J1120" s="7">
        <v>-0.359860142857142</v>
      </c>
      <c r="K1120" s="8"/>
      <c r="L1120" s="8"/>
    </row>
    <row r="1121" ht="13.5" customHeight="1">
      <c r="A1121" s="7" t="s">
        <v>355</v>
      </c>
      <c r="B1121" s="7">
        <v>1.75</v>
      </c>
      <c r="C1121" s="7" t="s">
        <v>359</v>
      </c>
      <c r="D1121" s="7" t="s">
        <v>357</v>
      </c>
      <c r="E1121" s="7">
        <v>-3.80518207792208</v>
      </c>
      <c r="F1121" s="7">
        <v>0.2629729004329</v>
      </c>
      <c r="G1121" s="7">
        <v>0.400591082251082</v>
      </c>
      <c r="H1121" s="7">
        <v>-1.45879532467533E-4</v>
      </c>
      <c r="I1121" s="7">
        <v>-0.51216283982684</v>
      </c>
      <c r="J1121" s="7">
        <v>-0.364407194805194</v>
      </c>
      <c r="K1121" s="8"/>
      <c r="L1121" s="8"/>
    </row>
    <row r="1122" ht="13.5" customHeight="1">
      <c r="A1122" s="7" t="s">
        <v>355</v>
      </c>
      <c r="B1122" s="7">
        <v>3.5</v>
      </c>
      <c r="C1122" s="7" t="s">
        <v>359</v>
      </c>
      <c r="D1122" s="7" t="s">
        <v>357</v>
      </c>
      <c r="E1122" s="7">
        <v>-3.82203844155844</v>
      </c>
      <c r="F1122" s="7">
        <v>0.26468341991342</v>
      </c>
      <c r="G1122" s="7">
        <v>0.402855497835498</v>
      </c>
      <c r="H1122" s="7">
        <v>-1.46934636363636E-4</v>
      </c>
      <c r="I1122" s="7">
        <v>-0.518957632034632</v>
      </c>
      <c r="J1122" s="7">
        <v>-0.368954246753246</v>
      </c>
      <c r="K1122" s="8"/>
      <c r="L1122" s="8"/>
    </row>
    <row r="1123" ht="13.5" customHeight="1">
      <c r="A1123" s="7" t="s">
        <v>355</v>
      </c>
      <c r="B1123" s="7">
        <v>0.0</v>
      </c>
      <c r="C1123" s="7" t="s">
        <v>360</v>
      </c>
      <c r="D1123" s="7" t="s">
        <v>357</v>
      </c>
      <c r="E1123" s="7">
        <v>-3.83889480519481</v>
      </c>
      <c r="F1123" s="7">
        <v>0.266393939393939</v>
      </c>
      <c r="G1123" s="7">
        <v>0.405119913419914</v>
      </c>
      <c r="H1123" s="7">
        <v>-1.4798974025974E-4</v>
      </c>
      <c r="I1123" s="7">
        <v>-0.525752424242425</v>
      </c>
      <c r="J1123" s="7">
        <v>-0.373501298701298</v>
      </c>
      <c r="K1123" s="8"/>
      <c r="L1123" s="8"/>
    </row>
    <row r="1124" ht="13.5" customHeight="1">
      <c r="A1124" s="7" t="s">
        <v>355</v>
      </c>
      <c r="B1124" s="7">
        <v>1.75</v>
      </c>
      <c r="C1124" s="7" t="s">
        <v>360</v>
      </c>
      <c r="D1124" s="7" t="s">
        <v>357</v>
      </c>
      <c r="E1124" s="7">
        <v>-3.85575116883117</v>
      </c>
      <c r="F1124" s="7">
        <v>0.268104458874459</v>
      </c>
      <c r="G1124" s="7">
        <v>0.407384329004329</v>
      </c>
      <c r="H1124" s="7">
        <v>-1.49044844155844E-4</v>
      </c>
      <c r="I1124" s="7">
        <v>-0.532547216450217</v>
      </c>
      <c r="J1124" s="7">
        <v>-0.37804835064935</v>
      </c>
      <c r="K1124" s="8"/>
      <c r="L1124" s="8"/>
    </row>
    <row r="1125" ht="13.5" customHeight="1">
      <c r="A1125" s="7" t="s">
        <v>355</v>
      </c>
      <c r="B1125" s="7">
        <v>3.5</v>
      </c>
      <c r="C1125" s="7" t="s">
        <v>360</v>
      </c>
      <c r="D1125" s="7" t="s">
        <v>357</v>
      </c>
      <c r="E1125" s="7">
        <v>-3.87260753246753</v>
      </c>
      <c r="F1125" s="7">
        <v>0.269814978354978</v>
      </c>
      <c r="G1125" s="7">
        <v>0.409648744588745</v>
      </c>
      <c r="H1125" s="7">
        <v>-1.50099948051948E-4</v>
      </c>
      <c r="I1125" s="7">
        <v>-0.539342008658009</v>
      </c>
      <c r="J1125" s="7">
        <v>-0.382595402597402</v>
      </c>
      <c r="K1125" s="8"/>
      <c r="L1125" s="8"/>
    </row>
    <row r="1126" ht="13.5" customHeight="1">
      <c r="A1126" s="7" t="s">
        <v>355</v>
      </c>
      <c r="B1126" s="7">
        <v>0.0</v>
      </c>
      <c r="C1126" s="7" t="s">
        <v>361</v>
      </c>
      <c r="D1126" s="7" t="s">
        <v>357</v>
      </c>
      <c r="E1126" s="7">
        <v>-3.8894638961039</v>
      </c>
      <c r="F1126" s="7">
        <v>0.271525497835498</v>
      </c>
      <c r="G1126" s="7">
        <v>0.41191316017316</v>
      </c>
      <c r="H1126" s="7">
        <v>-1.51155051948052E-4</v>
      </c>
      <c r="I1126" s="7">
        <v>-0.546136800865801</v>
      </c>
      <c r="J1126" s="7">
        <v>-0.387142454545454</v>
      </c>
      <c r="K1126" s="8"/>
      <c r="L1126" s="8"/>
    </row>
    <row r="1127" ht="13.5" customHeight="1">
      <c r="A1127" s="7" t="s">
        <v>355</v>
      </c>
      <c r="B1127" s="7">
        <v>1.75</v>
      </c>
      <c r="C1127" s="7" t="s">
        <v>361</v>
      </c>
      <c r="D1127" s="7" t="s">
        <v>357</v>
      </c>
      <c r="E1127" s="7">
        <v>-3.90632025974026</v>
      </c>
      <c r="F1127" s="7">
        <v>0.273236017316017</v>
      </c>
      <c r="G1127" s="7">
        <v>0.414177575757576</v>
      </c>
      <c r="H1127" s="7">
        <v>-1.52210155844156E-4</v>
      </c>
      <c r="I1127" s="7">
        <v>-0.552931593073593</v>
      </c>
      <c r="J1127" s="7">
        <v>-0.391689506493506</v>
      </c>
      <c r="K1127" s="8"/>
      <c r="L1127" s="8"/>
    </row>
    <row r="1128" ht="13.5" customHeight="1">
      <c r="A1128" s="7" t="s">
        <v>355</v>
      </c>
      <c r="B1128" s="7">
        <v>3.5</v>
      </c>
      <c r="C1128" s="7" t="s">
        <v>361</v>
      </c>
      <c r="D1128" s="7" t="s">
        <v>357</v>
      </c>
      <c r="E1128" s="7">
        <v>-3.92317662337663</v>
      </c>
      <c r="F1128" s="7">
        <v>0.274946536796537</v>
      </c>
      <c r="G1128" s="7">
        <v>0.416441991341991</v>
      </c>
      <c r="H1128" s="7">
        <v>-1.5326525974026E-4</v>
      </c>
      <c r="I1128" s="7">
        <v>-0.559726385281386</v>
      </c>
      <c r="J1128" s="7">
        <v>-0.396236558441558</v>
      </c>
      <c r="K1128" s="8"/>
      <c r="L1128" s="8"/>
    </row>
    <row r="1129" ht="13.5" customHeight="1">
      <c r="A1129" s="7" t="s">
        <v>355</v>
      </c>
      <c r="B1129" s="7">
        <v>0.0</v>
      </c>
      <c r="C1129" s="7" t="s">
        <v>362</v>
      </c>
      <c r="D1129" s="7" t="s">
        <v>357</v>
      </c>
      <c r="E1129" s="7">
        <v>-3.94003298701299</v>
      </c>
      <c r="F1129" s="7">
        <v>0.276657056277056</v>
      </c>
      <c r="G1129" s="7">
        <v>0.418706406926407</v>
      </c>
      <c r="H1129" s="7">
        <v>-1.54320363636364E-4</v>
      </c>
      <c r="I1129" s="7">
        <v>-0.566521177489178</v>
      </c>
      <c r="J1129" s="7">
        <v>-0.40078361038961</v>
      </c>
      <c r="K1129" s="8"/>
      <c r="L1129" s="8"/>
    </row>
    <row r="1130" ht="13.5" customHeight="1">
      <c r="A1130" s="7" t="s">
        <v>355</v>
      </c>
      <c r="B1130" s="7">
        <v>1.75</v>
      </c>
      <c r="C1130" s="7" t="s">
        <v>362</v>
      </c>
      <c r="D1130" s="7" t="s">
        <v>357</v>
      </c>
      <c r="E1130" s="7">
        <v>-3.95688935064935</v>
      </c>
      <c r="F1130" s="7">
        <v>0.278367575757576</v>
      </c>
      <c r="G1130" s="7">
        <v>0.420970822510823</v>
      </c>
      <c r="H1130" s="7">
        <v>-1.55375467532468E-4</v>
      </c>
      <c r="I1130" s="7">
        <v>-0.57331596969697</v>
      </c>
      <c r="J1130" s="7">
        <v>-0.405330662337662</v>
      </c>
      <c r="K1130" s="8"/>
      <c r="L1130" s="8"/>
    </row>
    <row r="1131" ht="13.5" customHeight="1">
      <c r="A1131" s="7" t="s">
        <v>355</v>
      </c>
      <c r="B1131" s="7">
        <v>3.5</v>
      </c>
      <c r="C1131" s="7" t="s">
        <v>362</v>
      </c>
      <c r="D1131" s="7" t="s">
        <v>357</v>
      </c>
      <c r="E1131" s="7">
        <v>-3.97374571428572</v>
      </c>
      <c r="F1131" s="7">
        <v>0.280078095238095</v>
      </c>
      <c r="G1131" s="7">
        <v>0.423235238095238</v>
      </c>
      <c r="H1131" s="7">
        <v>-1.56430571428572E-4</v>
      </c>
      <c r="I1131" s="7">
        <v>-0.580110761904762</v>
      </c>
      <c r="J1131" s="7">
        <v>-0.409877714285714</v>
      </c>
      <c r="K1131" s="8"/>
      <c r="L1131" s="8"/>
    </row>
    <row r="1132" ht="13.5" customHeight="1">
      <c r="A1132" s="7" t="s">
        <v>355</v>
      </c>
      <c r="B1132" s="7">
        <v>0.0</v>
      </c>
      <c r="C1132" s="7" t="s">
        <v>363</v>
      </c>
      <c r="D1132" s="7" t="s">
        <v>357</v>
      </c>
      <c r="E1132" s="7">
        <v>-3.99060207792208</v>
      </c>
      <c r="F1132" s="7">
        <v>0.281788614718615</v>
      </c>
      <c r="G1132" s="7">
        <v>0.425499653679654</v>
      </c>
      <c r="H1132" s="7">
        <v>-1.57485675324676E-4</v>
      </c>
      <c r="I1132" s="7">
        <v>-0.586905554112554</v>
      </c>
      <c r="J1132" s="7">
        <v>-0.414424766233766</v>
      </c>
      <c r="K1132" s="8"/>
      <c r="L1132" s="8"/>
    </row>
    <row r="1133" ht="13.5" customHeight="1">
      <c r="A1133" s="7" t="s">
        <v>355</v>
      </c>
      <c r="B1133" s="7">
        <v>1.75</v>
      </c>
      <c r="C1133" s="7" t="s">
        <v>363</v>
      </c>
      <c r="D1133" s="7" t="s">
        <v>357</v>
      </c>
      <c r="E1133" s="7">
        <v>-4.00745844155844</v>
      </c>
      <c r="F1133" s="7">
        <v>0.283499134199134</v>
      </c>
      <c r="G1133" s="7">
        <v>0.427764069264069</v>
      </c>
      <c r="H1133" s="7">
        <v>-1.5854077922078E-4</v>
      </c>
      <c r="I1133" s="7">
        <v>-0.593700346320347</v>
      </c>
      <c r="J1133" s="7">
        <v>-0.418971818181818</v>
      </c>
      <c r="K1133" s="8"/>
      <c r="L1133" s="8"/>
    </row>
    <row r="1134" ht="13.5" customHeight="1">
      <c r="A1134" s="7" t="s">
        <v>355</v>
      </c>
      <c r="B1134" s="7">
        <v>3.5</v>
      </c>
      <c r="C1134" s="7" t="s">
        <v>363</v>
      </c>
      <c r="D1134" s="7" t="s">
        <v>357</v>
      </c>
      <c r="E1134" s="7">
        <v>-4.02431480519481</v>
      </c>
      <c r="F1134" s="7">
        <v>0.285209653679654</v>
      </c>
      <c r="G1134" s="7">
        <v>0.430028484848485</v>
      </c>
      <c r="H1134" s="7">
        <v>-1.59595883116884E-4</v>
      </c>
      <c r="I1134" s="7">
        <v>-0.600495138528139</v>
      </c>
      <c r="J1134" s="7">
        <v>-0.42351887012987</v>
      </c>
      <c r="K1134" s="8"/>
      <c r="L1134" s="8"/>
    </row>
    <row r="1135" ht="13.5" customHeight="1">
      <c r="A1135" s="7" t="s">
        <v>355</v>
      </c>
      <c r="B1135" s="7">
        <v>0.0</v>
      </c>
      <c r="C1135" s="7" t="s">
        <v>356</v>
      </c>
      <c r="D1135" s="7" t="s">
        <v>357</v>
      </c>
      <c r="E1135" s="7">
        <v>-4.04117116883117</v>
      </c>
      <c r="F1135" s="7">
        <v>0.286920173160173</v>
      </c>
      <c r="G1135" s="7">
        <v>0.4322929004329</v>
      </c>
      <c r="H1135" s="7">
        <v>-1.60650987012987E-4</v>
      </c>
      <c r="I1135" s="7">
        <v>-0.607289930735931</v>
      </c>
      <c r="J1135" s="7">
        <v>-0.428065922077921</v>
      </c>
      <c r="K1135" s="8"/>
      <c r="L1135" s="8"/>
    </row>
    <row r="1136" ht="13.5" customHeight="1">
      <c r="A1136" s="7" t="s">
        <v>355</v>
      </c>
      <c r="B1136" s="7">
        <v>1.75</v>
      </c>
      <c r="C1136" s="7" t="s">
        <v>356</v>
      </c>
      <c r="D1136" s="7" t="s">
        <v>357</v>
      </c>
      <c r="E1136" s="7">
        <v>-4.05802753246753</v>
      </c>
      <c r="F1136" s="7">
        <v>0.288630692640693</v>
      </c>
      <c r="G1136" s="7">
        <v>0.434557316017316</v>
      </c>
      <c r="H1136" s="7">
        <v>-1.61706090909091E-4</v>
      </c>
      <c r="I1136" s="7">
        <v>-0.614084722943723</v>
      </c>
      <c r="J1136" s="7">
        <v>-0.432612974025973</v>
      </c>
      <c r="K1136" s="8"/>
      <c r="L1136" s="8"/>
    </row>
    <row r="1137" ht="13.5" customHeight="1">
      <c r="A1137" s="7" t="s">
        <v>355</v>
      </c>
      <c r="B1137" s="7">
        <v>3.5</v>
      </c>
      <c r="C1137" s="7" t="s">
        <v>356</v>
      </c>
      <c r="D1137" s="7" t="s">
        <v>357</v>
      </c>
      <c r="E1137" s="7">
        <v>-4.0748838961039</v>
      </c>
      <c r="F1137" s="7">
        <v>0.290341212121212</v>
      </c>
      <c r="G1137" s="7">
        <v>0.436821731601732</v>
      </c>
      <c r="H1137" s="7">
        <v>-1.62761194805195E-4</v>
      </c>
      <c r="I1137" s="7">
        <v>-0.620879515151515</v>
      </c>
      <c r="J1137" s="7">
        <v>-0.437160025974025</v>
      </c>
      <c r="K1137" s="8"/>
      <c r="L1137" s="8"/>
    </row>
    <row r="1138" ht="13.5" customHeight="1">
      <c r="A1138" s="7" t="s">
        <v>355</v>
      </c>
      <c r="B1138" s="7">
        <v>0.0</v>
      </c>
      <c r="C1138" s="7" t="s">
        <v>358</v>
      </c>
      <c r="D1138" s="7" t="s">
        <v>357</v>
      </c>
      <c r="E1138" s="7">
        <v>-4.09174025974026</v>
      </c>
      <c r="F1138" s="7">
        <v>0.292051731601732</v>
      </c>
      <c r="G1138" s="7">
        <v>0.439086147186147</v>
      </c>
      <c r="H1138" s="7">
        <v>-1.63816298701299E-4</v>
      </c>
      <c r="I1138" s="7">
        <v>-0.627674307359308</v>
      </c>
      <c r="J1138" s="7">
        <v>-0.441707077922077</v>
      </c>
      <c r="K1138" s="8"/>
      <c r="L1138" s="8"/>
    </row>
    <row r="1139" ht="13.5" customHeight="1">
      <c r="A1139" s="7" t="s">
        <v>355</v>
      </c>
      <c r="B1139" s="7">
        <v>1.75</v>
      </c>
      <c r="C1139" s="7" t="s">
        <v>358</v>
      </c>
      <c r="D1139" s="7" t="s">
        <v>357</v>
      </c>
      <c r="E1139" s="7">
        <v>-4.10859662337662</v>
      </c>
      <c r="F1139" s="7">
        <v>0.293762251082251</v>
      </c>
      <c r="G1139" s="7">
        <v>0.441350562770563</v>
      </c>
      <c r="H1139" s="7">
        <v>-1.64871402597403E-4</v>
      </c>
      <c r="I1139" s="7">
        <v>-0.6344690995671</v>
      </c>
      <c r="J1139" s="7">
        <v>-0.446254129870129</v>
      </c>
      <c r="K1139" s="8"/>
      <c r="L1139" s="8"/>
    </row>
    <row r="1140" ht="13.5" customHeight="1">
      <c r="A1140" s="7" t="s">
        <v>355</v>
      </c>
      <c r="B1140" s="7">
        <v>3.5</v>
      </c>
      <c r="C1140" s="7" t="s">
        <v>358</v>
      </c>
      <c r="D1140" s="7" t="s">
        <v>357</v>
      </c>
      <c r="E1140" s="7">
        <v>-4.12545298701299</v>
      </c>
      <c r="F1140" s="7">
        <v>0.295472770562771</v>
      </c>
      <c r="G1140" s="7">
        <v>0.443614978354978</v>
      </c>
      <c r="H1140" s="7">
        <v>-1.65926506493507E-4</v>
      </c>
      <c r="I1140" s="7">
        <v>-0.641263891774892</v>
      </c>
      <c r="J1140" s="7">
        <v>-0.450801181818181</v>
      </c>
      <c r="K1140" s="8"/>
      <c r="L1140" s="8"/>
    </row>
    <row r="1141" ht="13.5" customHeight="1">
      <c r="A1141" s="7" t="s">
        <v>355</v>
      </c>
      <c r="B1141" s="7">
        <v>0.0</v>
      </c>
      <c r="C1141" s="7" t="s">
        <v>359</v>
      </c>
      <c r="D1141" s="7" t="s">
        <v>357</v>
      </c>
      <c r="E1141" s="7">
        <v>-4.14230935064935</v>
      </c>
      <c r="F1141" s="7">
        <v>0.29718329004329</v>
      </c>
      <c r="G1141" s="7">
        <v>0.445879393939394</v>
      </c>
      <c r="H1141" s="7">
        <v>-1.66981610389611E-4</v>
      </c>
      <c r="I1141" s="7">
        <v>-0.648058683982684</v>
      </c>
      <c r="J1141" s="7">
        <v>-0.455348233766233</v>
      </c>
      <c r="K1141" s="8"/>
      <c r="L1141" s="8"/>
    </row>
    <row r="1142" ht="13.5" customHeight="1">
      <c r="A1142" s="7" t="s">
        <v>355</v>
      </c>
      <c r="B1142" s="7">
        <v>1.75</v>
      </c>
      <c r="C1142" s="7" t="s">
        <v>359</v>
      </c>
      <c r="D1142" s="7" t="s">
        <v>357</v>
      </c>
      <c r="E1142" s="7">
        <v>-4.15916571428572</v>
      </c>
      <c r="F1142" s="7">
        <v>0.29889380952381</v>
      </c>
      <c r="G1142" s="7">
        <v>0.44814380952381</v>
      </c>
      <c r="H1142" s="7">
        <v>-1.68036714285715E-4</v>
      </c>
      <c r="I1142" s="7">
        <v>-0.654853476190476</v>
      </c>
      <c r="J1142" s="7">
        <v>-0.459895285714285</v>
      </c>
      <c r="K1142" s="8"/>
      <c r="L1142" s="8"/>
    </row>
    <row r="1143" ht="13.5" customHeight="1">
      <c r="A1143" s="7" t="s">
        <v>355</v>
      </c>
      <c r="B1143" s="7">
        <v>3.5</v>
      </c>
      <c r="C1143" s="7" t="s">
        <v>359</v>
      </c>
      <c r="D1143" s="7" t="s">
        <v>357</v>
      </c>
      <c r="E1143" s="7">
        <v>-4.17602207792208</v>
      </c>
      <c r="F1143" s="7">
        <v>0.300604329004329</v>
      </c>
      <c r="G1143" s="7">
        <v>0.450408225108225</v>
      </c>
      <c r="H1143" s="7">
        <v>-1.69091818181819E-4</v>
      </c>
      <c r="I1143" s="7">
        <v>-0.661648268398269</v>
      </c>
      <c r="J1143" s="7">
        <v>-0.464442337662337</v>
      </c>
      <c r="K1143" s="8"/>
      <c r="L1143" s="8"/>
    </row>
    <row r="1144" ht="13.5" customHeight="1">
      <c r="A1144" s="7" t="s">
        <v>355</v>
      </c>
      <c r="B1144" s="7">
        <v>0.0</v>
      </c>
      <c r="C1144" s="7" t="s">
        <v>360</v>
      </c>
      <c r="D1144" s="7" t="s">
        <v>357</v>
      </c>
      <c r="E1144" s="7">
        <v>-4.19287844155844</v>
      </c>
      <c r="F1144" s="7">
        <v>0.302314848484849</v>
      </c>
      <c r="G1144" s="7">
        <v>0.452672640692641</v>
      </c>
      <c r="H1144" s="7">
        <v>-1.70146922077922E-4</v>
      </c>
      <c r="I1144" s="7">
        <v>-0.668443060606061</v>
      </c>
      <c r="J1144" s="7">
        <v>-0.468989389610389</v>
      </c>
      <c r="K1144" s="8"/>
      <c r="L1144" s="8"/>
    </row>
    <row r="1145" ht="13.5" customHeight="1">
      <c r="A1145" s="7" t="s">
        <v>355</v>
      </c>
      <c r="B1145" s="7">
        <v>1.75</v>
      </c>
      <c r="C1145" s="7" t="s">
        <v>360</v>
      </c>
      <c r="D1145" s="7" t="s">
        <v>357</v>
      </c>
      <c r="E1145" s="7">
        <v>-4.20973480519481</v>
      </c>
      <c r="F1145" s="7">
        <v>0.304025367965368</v>
      </c>
      <c r="G1145" s="7">
        <v>0.454937056277056</v>
      </c>
      <c r="H1145" s="7">
        <v>-1.71202025974026E-4</v>
      </c>
      <c r="I1145" s="7">
        <v>-0.675237852813853</v>
      </c>
      <c r="J1145" s="7">
        <v>-0.473536441558441</v>
      </c>
      <c r="K1145" s="8"/>
      <c r="L1145" s="8"/>
    </row>
    <row r="1146" ht="13.5" customHeight="1">
      <c r="A1146" s="7" t="s">
        <v>355</v>
      </c>
      <c r="B1146" s="7">
        <v>3.5</v>
      </c>
      <c r="C1146" s="7" t="s">
        <v>360</v>
      </c>
      <c r="D1146" s="7" t="s">
        <v>357</v>
      </c>
      <c r="E1146" s="7">
        <v>-4.22659116883117</v>
      </c>
      <c r="F1146" s="7">
        <v>0.305735887445887</v>
      </c>
      <c r="G1146" s="7">
        <v>0.457201471861472</v>
      </c>
      <c r="H1146" s="7">
        <v>-1.7225712987013E-4</v>
      </c>
      <c r="I1146" s="7">
        <v>-0.682032645021645</v>
      </c>
      <c r="J1146" s="7">
        <v>-0.478083493506493</v>
      </c>
      <c r="K1146" s="8"/>
      <c r="L1146" s="8"/>
    </row>
    <row r="1147" ht="13.5" customHeight="1">
      <c r="A1147" s="7" t="s">
        <v>355</v>
      </c>
      <c r="B1147" s="7">
        <v>0.0</v>
      </c>
      <c r="C1147" s="7" t="s">
        <v>361</v>
      </c>
      <c r="D1147" s="7" t="s">
        <v>357</v>
      </c>
      <c r="E1147" s="7">
        <v>-4.24344753246753</v>
      </c>
      <c r="F1147" s="7">
        <v>0.307446406926407</v>
      </c>
      <c r="G1147" s="7">
        <v>0.459465887445887</v>
      </c>
      <c r="H1147" s="7">
        <v>-1.73312233766234E-4</v>
      </c>
      <c r="I1147" s="7">
        <v>-0.688827437229437</v>
      </c>
      <c r="J1147" s="7">
        <v>-0.482630545454545</v>
      </c>
      <c r="K1147" s="8"/>
      <c r="L1147" s="8"/>
    </row>
    <row r="1148" ht="13.5" customHeight="1">
      <c r="A1148" s="7" t="s">
        <v>355</v>
      </c>
      <c r="B1148" s="7">
        <v>1.75</v>
      </c>
      <c r="C1148" s="7" t="s">
        <v>361</v>
      </c>
      <c r="D1148" s="7" t="s">
        <v>357</v>
      </c>
      <c r="E1148" s="7">
        <v>-4.2603038961039</v>
      </c>
      <c r="F1148" s="7">
        <v>0.309156926406926</v>
      </c>
      <c r="G1148" s="7">
        <v>0.461730303030303</v>
      </c>
      <c r="H1148" s="7">
        <v>-1.74367337662338E-4</v>
      </c>
      <c r="I1148" s="7">
        <v>-0.69562222943723</v>
      </c>
      <c r="J1148" s="7">
        <v>-0.487177597402597</v>
      </c>
      <c r="K1148" s="8"/>
      <c r="L1148" s="8"/>
    </row>
    <row r="1149" ht="13.5" customHeight="1">
      <c r="A1149" s="7" t="s">
        <v>355</v>
      </c>
      <c r="B1149" s="7">
        <v>3.5</v>
      </c>
      <c r="C1149" s="7" t="s">
        <v>361</v>
      </c>
      <c r="D1149" s="7" t="s">
        <v>357</v>
      </c>
      <c r="E1149" s="7">
        <v>-4.27716025974026</v>
      </c>
      <c r="F1149" s="7">
        <v>0.310867445887446</v>
      </c>
      <c r="G1149" s="7">
        <v>0.463994718614719</v>
      </c>
      <c r="H1149" s="7">
        <v>-1.75422441558442E-4</v>
      </c>
      <c r="I1149" s="7">
        <v>-0.702417021645022</v>
      </c>
      <c r="J1149" s="7">
        <v>-0.491724649350649</v>
      </c>
      <c r="K1149" s="8"/>
      <c r="L1149" s="8"/>
    </row>
    <row r="1150" ht="13.5" customHeight="1">
      <c r="A1150" s="7" t="s">
        <v>355</v>
      </c>
      <c r="B1150" s="7">
        <v>0.0</v>
      </c>
      <c r="C1150" s="7" t="s">
        <v>362</v>
      </c>
      <c r="D1150" s="7" t="s">
        <v>357</v>
      </c>
      <c r="E1150" s="7">
        <v>-4.29401662337662</v>
      </c>
      <c r="F1150" s="7">
        <v>0.312577965367965</v>
      </c>
      <c r="G1150" s="7">
        <v>0.466259134199134</v>
      </c>
      <c r="H1150" s="7">
        <v>-1.76477545454546E-4</v>
      </c>
      <c r="I1150" s="7">
        <v>-0.709211813852814</v>
      </c>
      <c r="J1150" s="7">
        <v>-0.496271701298701</v>
      </c>
      <c r="K1150" s="8"/>
      <c r="L1150" s="8"/>
    </row>
    <row r="1151" ht="13.5" customHeight="1">
      <c r="A1151" s="7" t="s">
        <v>355</v>
      </c>
      <c r="B1151" s="7">
        <v>1.75</v>
      </c>
      <c r="C1151" s="7" t="s">
        <v>362</v>
      </c>
      <c r="D1151" s="7" t="s">
        <v>357</v>
      </c>
      <c r="E1151" s="7">
        <v>-4.31087298701299</v>
      </c>
      <c r="F1151" s="7">
        <v>0.314288484848485</v>
      </c>
      <c r="G1151" s="7">
        <v>0.46852354978355</v>
      </c>
      <c r="H1151" s="7">
        <v>-1.7753264935065E-4</v>
      </c>
      <c r="I1151" s="7">
        <v>-0.716006606060606</v>
      </c>
      <c r="J1151" s="7">
        <v>-0.500818753246753</v>
      </c>
      <c r="K1151" s="8"/>
      <c r="L1151" s="8"/>
    </row>
    <row r="1152" ht="13.5" customHeight="1">
      <c r="A1152" s="7" t="s">
        <v>355</v>
      </c>
      <c r="B1152" s="7">
        <v>3.5</v>
      </c>
      <c r="C1152" s="7" t="s">
        <v>362</v>
      </c>
      <c r="D1152" s="7" t="s">
        <v>357</v>
      </c>
      <c r="E1152" s="7">
        <v>-4.32772935064935</v>
      </c>
      <c r="F1152" s="7">
        <v>0.315999004329004</v>
      </c>
      <c r="G1152" s="7">
        <v>0.470787965367965</v>
      </c>
      <c r="H1152" s="7">
        <v>-1.78587753246754E-4</v>
      </c>
      <c r="I1152" s="7">
        <v>-0.722801398268398</v>
      </c>
      <c r="J1152" s="7">
        <v>-0.505365805194805</v>
      </c>
      <c r="K1152" s="8"/>
      <c r="L1152" s="8"/>
    </row>
    <row r="1153" ht="13.5" customHeight="1">
      <c r="A1153" s="7" t="s">
        <v>355</v>
      </c>
      <c r="B1153" s="7">
        <v>0.0</v>
      </c>
      <c r="C1153" s="7" t="s">
        <v>363</v>
      </c>
      <c r="D1153" s="7" t="s">
        <v>357</v>
      </c>
      <c r="E1153" s="7">
        <v>-4.34458571428572</v>
      </c>
      <c r="F1153" s="7">
        <v>0.317709523809524</v>
      </c>
      <c r="G1153" s="7">
        <v>0.473052380952381</v>
      </c>
      <c r="H1153" s="7">
        <v>-1.79642857142858E-4</v>
      </c>
      <c r="I1153" s="7">
        <v>-0.729596190476191</v>
      </c>
      <c r="J1153" s="7">
        <v>-0.509912857142857</v>
      </c>
      <c r="K1153" s="8"/>
      <c r="L1153" s="8"/>
    </row>
    <row r="1154" ht="13.5" customHeight="1">
      <c r="A1154" s="7" t="s">
        <v>355</v>
      </c>
      <c r="B1154" s="7">
        <v>1.75</v>
      </c>
      <c r="C1154" s="7" t="s">
        <v>363</v>
      </c>
      <c r="D1154" s="7" t="s">
        <v>357</v>
      </c>
      <c r="E1154" s="7">
        <v>-4.36144207792208</v>
      </c>
      <c r="F1154" s="7">
        <v>0.319420043290043</v>
      </c>
      <c r="G1154" s="7">
        <v>0.475316796536797</v>
      </c>
      <c r="H1154" s="7">
        <v>-1.80697961038961E-4</v>
      </c>
      <c r="I1154" s="7">
        <v>-0.736390982683983</v>
      </c>
      <c r="J1154" s="7">
        <v>-0.514459909090908</v>
      </c>
      <c r="K1154" s="8"/>
      <c r="L1154" s="8"/>
    </row>
    <row r="1155" ht="13.5" customHeight="1">
      <c r="A1155" s="7" t="s">
        <v>355</v>
      </c>
      <c r="B1155" s="7">
        <v>3.5</v>
      </c>
      <c r="C1155" s="7" t="s">
        <v>363</v>
      </c>
      <c r="D1155" s="7" t="s">
        <v>357</v>
      </c>
      <c r="E1155" s="7">
        <v>-4.37829844155844</v>
      </c>
      <c r="F1155" s="7">
        <v>0.321130562770563</v>
      </c>
      <c r="G1155" s="7">
        <v>0.477581212121212</v>
      </c>
      <c r="H1155" s="7">
        <v>-1.81753064935065E-4</v>
      </c>
      <c r="I1155" s="7">
        <v>-0.743185774891775</v>
      </c>
      <c r="J1155" s="7">
        <v>-0.51900696103896</v>
      </c>
      <c r="K1155" s="8"/>
      <c r="L1155" s="8"/>
    </row>
    <row r="1156" ht="13.5" customHeight="1">
      <c r="A1156" s="7" t="s">
        <v>355</v>
      </c>
      <c r="B1156" s="7">
        <v>0.0</v>
      </c>
      <c r="C1156" s="7" t="s">
        <v>356</v>
      </c>
      <c r="D1156" s="7" t="s">
        <v>357</v>
      </c>
      <c r="E1156" s="7">
        <v>-4.39515480519481</v>
      </c>
      <c r="F1156" s="7">
        <v>0.322841082251082</v>
      </c>
      <c r="G1156" s="7">
        <v>0.479845627705628</v>
      </c>
      <c r="H1156" s="7">
        <v>-1.82808168831169E-4</v>
      </c>
      <c r="I1156" s="7">
        <v>-0.749980567099567</v>
      </c>
      <c r="J1156" s="7">
        <v>-0.523554012987012</v>
      </c>
      <c r="K1156" s="8"/>
      <c r="L1156" s="8"/>
    </row>
    <row r="1157" ht="13.5" customHeight="1">
      <c r="A1157" s="7" t="s">
        <v>355</v>
      </c>
      <c r="B1157" s="7">
        <v>1.75</v>
      </c>
      <c r="C1157" s="7" t="s">
        <v>356</v>
      </c>
      <c r="D1157" s="7" t="s">
        <v>357</v>
      </c>
      <c r="E1157" s="7">
        <v>-4.41201116883117</v>
      </c>
      <c r="F1157" s="7">
        <v>0.324551601731602</v>
      </c>
      <c r="G1157" s="7">
        <v>0.482110043290043</v>
      </c>
      <c r="H1157" s="7">
        <v>-1.83863272727273E-4</v>
      </c>
      <c r="I1157" s="7">
        <v>-0.75677535930736</v>
      </c>
      <c r="J1157" s="7">
        <v>-0.528101064935064</v>
      </c>
      <c r="K1157" s="8"/>
      <c r="L1157" s="8"/>
    </row>
    <row r="1158" ht="13.5" customHeight="1">
      <c r="A1158" s="7" t="s">
        <v>355</v>
      </c>
      <c r="B1158" s="7">
        <v>3.5</v>
      </c>
      <c r="C1158" s="7" t="s">
        <v>356</v>
      </c>
      <c r="D1158" s="7" t="s">
        <v>357</v>
      </c>
      <c r="E1158" s="7">
        <v>-4.42886753246753</v>
      </c>
      <c r="F1158" s="7">
        <v>0.326262121212121</v>
      </c>
      <c r="G1158" s="7">
        <v>0.484374458874459</v>
      </c>
      <c r="H1158" s="7">
        <v>-1.84918376623377E-4</v>
      </c>
      <c r="I1158" s="7">
        <v>-0.763570151515152</v>
      </c>
      <c r="J1158" s="7">
        <v>-0.532648116883116</v>
      </c>
      <c r="K1158" s="8"/>
      <c r="L1158" s="8"/>
    </row>
    <row r="1159" ht="13.5" customHeight="1">
      <c r="A1159" s="7" t="s">
        <v>355</v>
      </c>
      <c r="B1159" s="7">
        <v>0.0</v>
      </c>
      <c r="C1159" s="7" t="s">
        <v>358</v>
      </c>
      <c r="D1159" s="7" t="s">
        <v>357</v>
      </c>
      <c r="E1159" s="7">
        <v>-4.4457238961039</v>
      </c>
      <c r="F1159" s="7">
        <v>0.327972640692641</v>
      </c>
      <c r="G1159" s="7">
        <v>0.486638874458874</v>
      </c>
      <c r="H1159" s="7">
        <v>-1.85973480519481E-4</v>
      </c>
      <c r="I1159" s="7">
        <v>-0.770364943722944</v>
      </c>
      <c r="J1159" s="7">
        <v>-0.537195168831168</v>
      </c>
      <c r="K1159" s="8"/>
      <c r="L1159" s="8"/>
    </row>
    <row r="1160" ht="13.5" customHeight="1">
      <c r="A1160" s="7" t="s">
        <v>355</v>
      </c>
      <c r="B1160" s="7">
        <v>1.75</v>
      </c>
      <c r="C1160" s="7" t="s">
        <v>358</v>
      </c>
      <c r="D1160" s="7" t="s">
        <v>357</v>
      </c>
      <c r="E1160" s="7">
        <v>-4.46258025974026</v>
      </c>
      <c r="F1160" s="7">
        <v>0.32968316017316</v>
      </c>
      <c r="G1160" s="7">
        <v>0.48890329004329</v>
      </c>
      <c r="H1160" s="7">
        <v>-1.87028584415585E-4</v>
      </c>
      <c r="I1160" s="7">
        <v>-0.777159735930736</v>
      </c>
      <c r="J1160" s="7">
        <v>-0.54174222077922</v>
      </c>
      <c r="K1160" s="8"/>
      <c r="L1160" s="8"/>
    </row>
    <row r="1161" ht="13.5" customHeight="1">
      <c r="A1161" s="7" t="s">
        <v>355</v>
      </c>
      <c r="B1161" s="7">
        <v>3.5</v>
      </c>
      <c r="C1161" s="7" t="s">
        <v>358</v>
      </c>
      <c r="D1161" s="7" t="s">
        <v>357</v>
      </c>
      <c r="E1161" s="7">
        <v>-4.47943662337662</v>
      </c>
      <c r="F1161" s="7">
        <v>0.33139367965368</v>
      </c>
      <c r="G1161" s="7">
        <v>0.491167705627706</v>
      </c>
      <c r="H1161" s="7">
        <v>-1.88083688311689E-4</v>
      </c>
      <c r="I1161" s="7">
        <v>-0.783954528138528</v>
      </c>
      <c r="J1161" s="7">
        <v>-0.546289272727272</v>
      </c>
      <c r="K1161" s="8"/>
      <c r="L1161" s="8"/>
    </row>
    <row r="1162" ht="13.5" customHeight="1">
      <c r="A1162" s="7" t="s">
        <v>355</v>
      </c>
      <c r="B1162" s="7">
        <v>0.0</v>
      </c>
      <c r="C1162" s="7" t="s">
        <v>359</v>
      </c>
      <c r="D1162" s="7" t="s">
        <v>357</v>
      </c>
      <c r="E1162" s="7">
        <v>-4.49629298701299</v>
      </c>
      <c r="F1162" s="7">
        <v>0.333104199134199</v>
      </c>
      <c r="G1162" s="7">
        <v>0.493432121212121</v>
      </c>
      <c r="H1162" s="7">
        <v>-1.89138792207793E-4</v>
      </c>
      <c r="I1162" s="7">
        <v>-0.790749320346321</v>
      </c>
      <c r="J1162" s="7">
        <v>-0.550836324675324</v>
      </c>
      <c r="K1162" s="8"/>
      <c r="L1162" s="8"/>
    </row>
    <row r="1163" ht="13.5" customHeight="1">
      <c r="A1163" s="7" t="s">
        <v>355</v>
      </c>
      <c r="B1163" s="7">
        <v>1.75</v>
      </c>
      <c r="C1163" s="7" t="s">
        <v>359</v>
      </c>
      <c r="D1163" s="7" t="s">
        <v>357</v>
      </c>
      <c r="E1163" s="7">
        <v>-4.51314935064935</v>
      </c>
      <c r="F1163" s="7">
        <v>0.334814718614719</v>
      </c>
      <c r="G1163" s="7">
        <v>0.495696536796537</v>
      </c>
      <c r="H1163" s="7">
        <v>-1.90193896103896E-4</v>
      </c>
      <c r="I1163" s="7">
        <v>-0.797544112554113</v>
      </c>
      <c r="J1163" s="7">
        <v>-0.555383376623376</v>
      </c>
      <c r="K1163" s="8"/>
      <c r="L1163" s="8"/>
    </row>
    <row r="1164" ht="13.5" customHeight="1">
      <c r="A1164" s="7" t="s">
        <v>355</v>
      </c>
      <c r="B1164" s="7">
        <v>3.5</v>
      </c>
      <c r="C1164" s="7" t="s">
        <v>359</v>
      </c>
      <c r="D1164" s="7" t="s">
        <v>357</v>
      </c>
      <c r="E1164" s="7">
        <v>-4.53000571428572</v>
      </c>
      <c r="F1164" s="7">
        <v>0.336525238095238</v>
      </c>
      <c r="G1164" s="7">
        <v>0.497960952380952</v>
      </c>
      <c r="H1164" s="7">
        <v>-1.91249E-4</v>
      </c>
      <c r="I1164" s="7">
        <v>-0.804338904761905</v>
      </c>
      <c r="J1164" s="7">
        <v>-0.559930428571428</v>
      </c>
      <c r="K1164" s="8"/>
      <c r="L1164" s="8"/>
    </row>
    <row r="1165" ht="13.5" customHeight="1">
      <c r="A1165" s="7" t="s">
        <v>355</v>
      </c>
      <c r="B1165" s="7">
        <v>0.0</v>
      </c>
      <c r="C1165" s="7" t="s">
        <v>360</v>
      </c>
      <c r="D1165" s="7" t="s">
        <v>357</v>
      </c>
      <c r="E1165" s="7">
        <v>-4.54686207792208</v>
      </c>
      <c r="F1165" s="7">
        <v>0.338235757575758</v>
      </c>
      <c r="G1165" s="7">
        <v>0.500225367965368</v>
      </c>
      <c r="H1165" s="7">
        <v>-1.92304103896104E-4</v>
      </c>
      <c r="I1165" s="7">
        <v>-0.811133696969697</v>
      </c>
      <c r="J1165" s="7">
        <v>-0.56447748051948</v>
      </c>
      <c r="K1165" s="8"/>
      <c r="L1165" s="8"/>
    </row>
    <row r="1166" ht="13.5" customHeight="1">
      <c r="A1166" s="7" t="s">
        <v>355</v>
      </c>
      <c r="B1166" s="7">
        <v>1.75</v>
      </c>
      <c r="C1166" s="7" t="s">
        <v>360</v>
      </c>
      <c r="D1166" s="7" t="s">
        <v>357</v>
      </c>
      <c r="E1166" s="7">
        <v>-4.56371844155844</v>
      </c>
      <c r="F1166" s="7">
        <v>0.339946277056277</v>
      </c>
      <c r="G1166" s="7">
        <v>0.502489783549784</v>
      </c>
      <c r="H1166" s="7">
        <v>-1.93359207792208E-4</v>
      </c>
      <c r="I1166" s="7">
        <v>-0.817928489177489</v>
      </c>
      <c r="J1166" s="7">
        <v>-0.569024532467532</v>
      </c>
      <c r="K1166" s="8"/>
      <c r="L1166" s="8"/>
    </row>
    <row r="1167" ht="13.5" customHeight="1">
      <c r="A1167" s="7" t="s">
        <v>355</v>
      </c>
      <c r="B1167" s="7">
        <v>3.5</v>
      </c>
      <c r="C1167" s="7" t="s">
        <v>360</v>
      </c>
      <c r="D1167" s="7" t="s">
        <v>357</v>
      </c>
      <c r="E1167" s="7">
        <v>-4.58057480519481</v>
      </c>
      <c r="F1167" s="7">
        <v>0.341656796536797</v>
      </c>
      <c r="G1167" s="7">
        <v>0.504754199134199</v>
      </c>
      <c r="H1167" s="7">
        <v>-1.94414311688312E-4</v>
      </c>
      <c r="I1167" s="7">
        <v>-0.824723281385282</v>
      </c>
      <c r="J1167" s="7">
        <v>-0.573571584415584</v>
      </c>
      <c r="K1167" s="8"/>
      <c r="L1167" s="8"/>
    </row>
    <row r="1168" ht="13.5" customHeight="1">
      <c r="A1168" s="7" t="s">
        <v>355</v>
      </c>
      <c r="B1168" s="7">
        <v>0.0</v>
      </c>
      <c r="C1168" s="7" t="s">
        <v>361</v>
      </c>
      <c r="D1168" s="7" t="s">
        <v>357</v>
      </c>
      <c r="E1168" s="7">
        <v>-4.59743116883117</v>
      </c>
      <c r="F1168" s="7">
        <v>0.343367316017316</v>
      </c>
      <c r="G1168" s="7">
        <v>0.507018614718615</v>
      </c>
      <c r="H1168" s="7">
        <v>-1.95469415584416E-4</v>
      </c>
      <c r="I1168" s="7">
        <v>-0.831518073593074</v>
      </c>
      <c r="J1168" s="7">
        <v>-0.578118636363636</v>
      </c>
      <c r="K1168" s="8"/>
      <c r="L1168" s="8"/>
    </row>
    <row r="1169" ht="13.5" customHeight="1">
      <c r="A1169" s="7" t="s">
        <v>355</v>
      </c>
      <c r="B1169" s="7">
        <v>1.75</v>
      </c>
      <c r="C1169" s="7" t="s">
        <v>361</v>
      </c>
      <c r="D1169" s="7" t="s">
        <v>357</v>
      </c>
      <c r="E1169" s="7">
        <v>-4.61428753246753</v>
      </c>
      <c r="F1169" s="7">
        <v>0.345077835497836</v>
      </c>
      <c r="G1169" s="7">
        <v>0.50928303030303</v>
      </c>
      <c r="H1169" s="7">
        <v>-1.9652451948052E-4</v>
      </c>
      <c r="I1169" s="7">
        <v>-0.838312865800866</v>
      </c>
      <c r="J1169" s="7">
        <v>-0.582665688311688</v>
      </c>
      <c r="K1169" s="8"/>
      <c r="L1169" s="8"/>
    </row>
    <row r="1170" ht="13.5" customHeight="1">
      <c r="A1170" s="7" t="s">
        <v>355</v>
      </c>
      <c r="B1170" s="7">
        <v>3.5</v>
      </c>
      <c r="C1170" s="7" t="s">
        <v>361</v>
      </c>
      <c r="D1170" s="7" t="s">
        <v>357</v>
      </c>
      <c r="E1170" s="7">
        <v>-4.6311438961039</v>
      </c>
      <c r="F1170" s="7">
        <v>0.346788354978355</v>
      </c>
      <c r="G1170" s="7">
        <v>0.511547445887446</v>
      </c>
      <c r="H1170" s="7">
        <v>-1.97579623376624E-4</v>
      </c>
      <c r="I1170" s="7">
        <v>-0.845107658008658</v>
      </c>
      <c r="J1170" s="7">
        <v>-0.58721274025974</v>
      </c>
      <c r="K1170" s="8"/>
      <c r="L1170" s="8"/>
    </row>
    <row r="1171" ht="13.5" customHeight="1">
      <c r="A1171" s="7" t="s">
        <v>355</v>
      </c>
      <c r="B1171" s="7">
        <v>0.0</v>
      </c>
      <c r="C1171" s="7" t="s">
        <v>362</v>
      </c>
      <c r="D1171" s="7" t="s">
        <v>357</v>
      </c>
      <c r="E1171" s="7">
        <v>-4.64800025974026</v>
      </c>
      <c r="F1171" s="7">
        <v>0.348498874458875</v>
      </c>
      <c r="G1171" s="7">
        <v>0.513811861471862</v>
      </c>
      <c r="H1171" s="7">
        <v>-1.98634727272728E-4</v>
      </c>
      <c r="I1171" s="7">
        <v>-0.85190245021645</v>
      </c>
      <c r="J1171" s="7">
        <v>-0.591759792207792</v>
      </c>
      <c r="K1171" s="8"/>
      <c r="L1171" s="8"/>
    </row>
    <row r="1172" ht="13.5" customHeight="1">
      <c r="A1172" s="7" t="s">
        <v>355</v>
      </c>
      <c r="B1172" s="7">
        <v>1.75</v>
      </c>
      <c r="C1172" s="7" t="s">
        <v>362</v>
      </c>
      <c r="D1172" s="7" t="s">
        <v>357</v>
      </c>
      <c r="E1172" s="7">
        <v>-4.66485662337662</v>
      </c>
      <c r="F1172" s="7">
        <v>0.350209393939394</v>
      </c>
      <c r="G1172" s="7">
        <v>0.516076277056277</v>
      </c>
      <c r="H1172" s="7">
        <v>-1.99689831168832E-4</v>
      </c>
      <c r="I1172" s="7">
        <v>-0.858697242424243</v>
      </c>
      <c r="J1172" s="7">
        <v>-0.596306844155844</v>
      </c>
      <c r="K1172" s="8"/>
      <c r="L1172" s="8"/>
    </row>
    <row r="1173" ht="13.5" customHeight="1">
      <c r="A1173" s="7" t="s">
        <v>355</v>
      </c>
      <c r="B1173" s="7">
        <v>3.5</v>
      </c>
      <c r="C1173" s="7" t="s">
        <v>362</v>
      </c>
      <c r="D1173" s="7" t="s">
        <v>357</v>
      </c>
      <c r="E1173" s="7">
        <v>-4.68171298701299</v>
      </c>
      <c r="F1173" s="7">
        <v>0.351919913419914</v>
      </c>
      <c r="G1173" s="7">
        <v>0.518340692640693</v>
      </c>
      <c r="H1173" s="7">
        <v>-2.00744935064935E-4</v>
      </c>
      <c r="I1173" s="7">
        <v>-0.865492034632035</v>
      </c>
      <c r="J1173" s="7">
        <v>-0.600853896103895</v>
      </c>
      <c r="K1173" s="8"/>
      <c r="L1173" s="8"/>
    </row>
    <row r="1174" ht="13.5" customHeight="1">
      <c r="A1174" s="7" t="s">
        <v>355</v>
      </c>
      <c r="B1174" s="7">
        <v>0.0</v>
      </c>
      <c r="C1174" s="7" t="s">
        <v>363</v>
      </c>
      <c r="D1174" s="7" t="s">
        <v>357</v>
      </c>
      <c r="E1174" s="7">
        <v>-4.69856935064935</v>
      </c>
      <c r="F1174" s="7">
        <v>0.353630432900433</v>
      </c>
      <c r="G1174" s="7">
        <v>0.520605108225108</v>
      </c>
      <c r="H1174" s="7">
        <v>-2.01800038961039E-4</v>
      </c>
      <c r="I1174" s="7">
        <v>-0.872286826839827</v>
      </c>
      <c r="J1174" s="7">
        <v>-0.605400948051947</v>
      </c>
      <c r="K1174" s="8"/>
      <c r="L1174" s="8"/>
    </row>
    <row r="1175" ht="13.5" customHeight="1">
      <c r="A1175" s="7" t="s">
        <v>355</v>
      </c>
      <c r="B1175" s="7">
        <v>1.75</v>
      </c>
      <c r="C1175" s="7" t="s">
        <v>363</v>
      </c>
      <c r="D1175" s="7" t="s">
        <v>357</v>
      </c>
      <c r="E1175" s="7">
        <v>-4.71542571428572</v>
      </c>
      <c r="F1175" s="7">
        <v>0.355340952380952</v>
      </c>
      <c r="G1175" s="7">
        <v>0.522869523809524</v>
      </c>
      <c r="H1175" s="7">
        <v>-2.02855142857143E-4</v>
      </c>
      <c r="I1175" s="7">
        <v>-0.879081619047619</v>
      </c>
      <c r="J1175" s="7">
        <v>-0.609947999999999</v>
      </c>
      <c r="K1175" s="8"/>
      <c r="L1175" s="8"/>
    </row>
    <row r="1176" ht="13.5" customHeight="1">
      <c r="A1176" s="7" t="s">
        <v>355</v>
      </c>
      <c r="B1176" s="7">
        <v>3.5</v>
      </c>
      <c r="C1176" s="7" t="s">
        <v>363</v>
      </c>
      <c r="D1176" s="7" t="s">
        <v>357</v>
      </c>
      <c r="E1176" s="7">
        <v>-4.73228207792208</v>
      </c>
      <c r="F1176" s="7">
        <v>0.357051471861472</v>
      </c>
      <c r="G1176" s="7">
        <v>0.525133939393939</v>
      </c>
      <c r="H1176" s="7">
        <v>-2.03910246753247E-4</v>
      </c>
      <c r="I1176" s="7">
        <v>-0.885876411255411</v>
      </c>
      <c r="J1176" s="7">
        <v>-0.614495051948051</v>
      </c>
      <c r="K1176" s="8"/>
      <c r="L1176" s="8"/>
    </row>
    <row r="1177" ht="13.5" customHeight="1">
      <c r="A1177" s="7" t="s">
        <v>355</v>
      </c>
      <c r="B1177" s="7">
        <v>0.0</v>
      </c>
      <c r="C1177" s="7" t="s">
        <v>356</v>
      </c>
      <c r="D1177" s="7" t="s">
        <v>357</v>
      </c>
      <c r="E1177" s="7">
        <v>-4.74913844155844</v>
      </c>
      <c r="F1177" s="7">
        <v>0.358761991341991</v>
      </c>
      <c r="G1177" s="7">
        <v>0.527398354978355</v>
      </c>
      <c r="H1177" s="7">
        <v>-2.04965350649351E-4</v>
      </c>
      <c r="I1177" s="7">
        <v>-0.892671203463204</v>
      </c>
      <c r="J1177" s="7">
        <v>-0.619042103896103</v>
      </c>
      <c r="K1177" s="8"/>
      <c r="L1177" s="8"/>
    </row>
    <row r="1178" ht="13.5" customHeight="1">
      <c r="A1178" s="7" t="s">
        <v>355</v>
      </c>
      <c r="B1178" s="7">
        <v>1.75</v>
      </c>
      <c r="C1178" s="7" t="s">
        <v>356</v>
      </c>
      <c r="D1178" s="7" t="s">
        <v>357</v>
      </c>
      <c r="E1178" s="7">
        <v>-4.76599480519481</v>
      </c>
      <c r="F1178" s="7">
        <v>0.360472510822511</v>
      </c>
      <c r="G1178" s="7">
        <v>0.529662770562771</v>
      </c>
      <c r="H1178" s="7">
        <v>-2.06020454545455E-4</v>
      </c>
      <c r="I1178" s="7">
        <v>-0.899465995670996</v>
      </c>
      <c r="J1178" s="7">
        <v>-0.623589155844155</v>
      </c>
      <c r="K1178" s="8"/>
      <c r="L1178" s="8"/>
    </row>
    <row r="1179" ht="13.5" customHeight="1">
      <c r="A1179" s="7" t="s">
        <v>355</v>
      </c>
      <c r="B1179" s="7">
        <v>3.5</v>
      </c>
      <c r="C1179" s="7" t="s">
        <v>356</v>
      </c>
      <c r="D1179" s="7" t="s">
        <v>357</v>
      </c>
      <c r="E1179" s="7">
        <v>-4.78285116883117</v>
      </c>
      <c r="F1179" s="7">
        <v>0.36218303030303</v>
      </c>
      <c r="G1179" s="7">
        <v>0.531927186147186</v>
      </c>
      <c r="H1179" s="7">
        <v>-2.07075558441559E-4</v>
      </c>
      <c r="I1179" s="7">
        <v>-0.906260787878788</v>
      </c>
      <c r="J1179" s="7">
        <v>-0.628136207792207</v>
      </c>
      <c r="K1179" s="8"/>
      <c r="L1179" s="8"/>
    </row>
    <row r="1180" ht="13.5" customHeight="1">
      <c r="A1180" s="7" t="s">
        <v>355</v>
      </c>
      <c r="B1180" s="7">
        <v>0.0</v>
      </c>
      <c r="C1180" s="7" t="s">
        <v>358</v>
      </c>
      <c r="D1180" s="7" t="s">
        <v>357</v>
      </c>
      <c r="E1180" s="7">
        <v>-4.79970753246753</v>
      </c>
      <c r="F1180" s="7">
        <v>0.36389354978355</v>
      </c>
      <c r="G1180" s="7">
        <v>0.534191601731602</v>
      </c>
      <c r="H1180" s="7">
        <v>-2.08130662337663E-4</v>
      </c>
      <c r="I1180" s="7">
        <v>-0.91305558008658</v>
      </c>
      <c r="J1180" s="7">
        <v>-0.632683259740259</v>
      </c>
      <c r="K1180" s="8"/>
      <c r="L1180" s="8"/>
    </row>
    <row r="1181" ht="13.5" customHeight="1">
      <c r="A1181" s="7" t="s">
        <v>355</v>
      </c>
      <c r="B1181" s="7">
        <v>1.75</v>
      </c>
      <c r="C1181" s="7" t="s">
        <v>358</v>
      </c>
      <c r="D1181" s="7" t="s">
        <v>357</v>
      </c>
      <c r="E1181" s="7">
        <v>-4.8165638961039</v>
      </c>
      <c r="F1181" s="7">
        <v>0.365604069264069</v>
      </c>
      <c r="G1181" s="7">
        <v>0.536456017316017</v>
      </c>
      <c r="H1181" s="7">
        <v>-2.09185766233767E-4</v>
      </c>
      <c r="I1181" s="7">
        <v>-0.919850372294375</v>
      </c>
      <c r="J1181" s="7">
        <v>-0.637230311688311</v>
      </c>
      <c r="K1181" s="8"/>
      <c r="L1181" s="8"/>
    </row>
    <row r="1182" ht="13.5" customHeight="1">
      <c r="A1182" s="7" t="s">
        <v>355</v>
      </c>
      <c r="B1182" s="7">
        <v>3.5</v>
      </c>
      <c r="C1182" s="7" t="s">
        <v>358</v>
      </c>
      <c r="D1182" s="7" t="s">
        <v>357</v>
      </c>
      <c r="E1182" s="7">
        <v>-4.83342025974026</v>
      </c>
      <c r="F1182" s="7">
        <v>0.367314588744589</v>
      </c>
      <c r="G1182" s="7">
        <v>0.538720432900433</v>
      </c>
      <c r="H1182" s="7">
        <v>-2.10240870129871E-4</v>
      </c>
      <c r="I1182" s="7">
        <v>-0.926645164502165</v>
      </c>
      <c r="J1182" s="7">
        <v>-0.641777363636363</v>
      </c>
      <c r="K1182" s="8"/>
      <c r="L1182" s="8"/>
    </row>
    <row r="1183" ht="13.5" customHeight="1">
      <c r="A1183" s="7" t="s">
        <v>355</v>
      </c>
      <c r="B1183" s="7">
        <v>0.0</v>
      </c>
      <c r="C1183" s="7" t="s">
        <v>359</v>
      </c>
      <c r="D1183" s="7" t="s">
        <v>357</v>
      </c>
      <c r="E1183" s="7">
        <v>-4.85027662337662</v>
      </c>
      <c r="F1183" s="7">
        <v>0.369025108225108</v>
      </c>
      <c r="G1183" s="7">
        <v>0.540984848484848</v>
      </c>
      <c r="H1183" s="7">
        <v>-2.11295974025974E-4</v>
      </c>
      <c r="I1183" s="7">
        <v>-0.933439956709955</v>
      </c>
      <c r="J1183" s="7">
        <v>-0.646324415584415</v>
      </c>
      <c r="K1183" s="8"/>
      <c r="L1183" s="8"/>
    </row>
    <row r="1184" ht="13.5" customHeight="1">
      <c r="A1184" s="7" t="s">
        <v>355</v>
      </c>
      <c r="B1184" s="7">
        <v>1.75</v>
      </c>
      <c r="C1184" s="7" t="s">
        <v>359</v>
      </c>
      <c r="D1184" s="7" t="s">
        <v>357</v>
      </c>
      <c r="E1184" s="7">
        <v>-4.86713298701299</v>
      </c>
      <c r="F1184" s="7">
        <v>0.370735627705628</v>
      </c>
      <c r="G1184" s="7">
        <v>0.543249264069264</v>
      </c>
      <c r="H1184" s="7">
        <v>-2.12351077922078E-4</v>
      </c>
      <c r="I1184" s="7">
        <v>-0.940234748917745</v>
      </c>
      <c r="J1184" s="7">
        <v>-0.650871467532467</v>
      </c>
      <c r="K1184" s="8"/>
      <c r="L1184" s="8"/>
    </row>
    <row r="1185" ht="13.5" customHeight="1">
      <c r="A1185" s="7" t="s">
        <v>355</v>
      </c>
      <c r="B1185" s="7">
        <v>3.5</v>
      </c>
      <c r="C1185" s="7" t="s">
        <v>359</v>
      </c>
      <c r="D1185" s="7" t="s">
        <v>357</v>
      </c>
      <c r="E1185" s="7">
        <v>-4.88398935064935</v>
      </c>
      <c r="F1185" s="7">
        <v>0.372446147186147</v>
      </c>
      <c r="G1185" s="7">
        <v>0.54551367965368</v>
      </c>
      <c r="H1185" s="7">
        <v>-2.13406181818182E-4</v>
      </c>
      <c r="I1185" s="7">
        <v>-0.947029541125545</v>
      </c>
      <c r="J1185" s="7">
        <v>-0.655418519480519</v>
      </c>
      <c r="K1185" s="8"/>
      <c r="L1185" s="8"/>
    </row>
    <row r="1186" ht="13.5" customHeight="1">
      <c r="A1186" s="7" t="s">
        <v>355</v>
      </c>
      <c r="B1186" s="7">
        <v>0.0</v>
      </c>
      <c r="C1186" s="7" t="s">
        <v>360</v>
      </c>
      <c r="D1186" s="7" t="s">
        <v>357</v>
      </c>
      <c r="E1186" s="7">
        <v>-4.90084571428572</v>
      </c>
      <c r="F1186" s="7">
        <v>0.374156666666667</v>
      </c>
      <c r="G1186" s="7">
        <v>0.547778095238095</v>
      </c>
      <c r="H1186" s="7">
        <v>-2.14461285714286E-4</v>
      </c>
      <c r="I1186" s="7">
        <v>-0.953824333333335</v>
      </c>
      <c r="J1186" s="7">
        <v>-0.659965571428571</v>
      </c>
      <c r="K1186" s="8"/>
      <c r="L1186" s="8"/>
    </row>
    <row r="1187" ht="13.5" customHeight="1">
      <c r="A1187" s="7" t="s">
        <v>355</v>
      </c>
      <c r="B1187" s="7">
        <v>1.75</v>
      </c>
      <c r="C1187" s="7" t="s">
        <v>360</v>
      </c>
      <c r="D1187" s="7" t="s">
        <v>357</v>
      </c>
      <c r="E1187" s="7">
        <v>-4.91770207792208</v>
      </c>
      <c r="F1187" s="7">
        <v>0.375867186147186</v>
      </c>
      <c r="G1187" s="7">
        <v>0.550042510822511</v>
      </c>
      <c r="H1187" s="7">
        <v>-2.1551638961039E-4</v>
      </c>
      <c r="I1187" s="7">
        <v>-0.960619125541125</v>
      </c>
      <c r="J1187" s="7">
        <v>-0.664512623376623</v>
      </c>
      <c r="K1187" s="8"/>
      <c r="L1187" s="8"/>
    </row>
    <row r="1188" ht="13.5" customHeight="1">
      <c r="A1188" s="7" t="s">
        <v>355</v>
      </c>
      <c r="B1188" s="7">
        <v>3.5</v>
      </c>
      <c r="C1188" s="7" t="s">
        <v>360</v>
      </c>
      <c r="D1188" s="7" t="s">
        <v>357</v>
      </c>
      <c r="E1188" s="7">
        <v>-4.93455844155844</v>
      </c>
      <c r="F1188" s="7">
        <v>0.377577705627706</v>
      </c>
      <c r="G1188" s="7">
        <v>0.552306926406926</v>
      </c>
      <c r="H1188" s="7">
        <v>-2.16571493506494E-4</v>
      </c>
      <c r="I1188" s="7">
        <v>-0.967413917748915</v>
      </c>
      <c r="J1188" s="7">
        <v>-0.669059675324675</v>
      </c>
      <c r="K1188" s="8"/>
      <c r="L1188" s="8"/>
    </row>
    <row r="1189" ht="13.5" customHeight="1">
      <c r="A1189" s="7" t="s">
        <v>355</v>
      </c>
      <c r="B1189" s="7">
        <v>0.0</v>
      </c>
      <c r="C1189" s="7" t="s">
        <v>361</v>
      </c>
      <c r="D1189" s="7" t="s">
        <v>357</v>
      </c>
      <c r="E1189" s="7">
        <v>-4.95141480519481</v>
      </c>
      <c r="F1189" s="7">
        <v>0.379288225108225</v>
      </c>
      <c r="G1189" s="7">
        <v>0.554571341991342</v>
      </c>
      <c r="H1189" s="7">
        <v>-2.17626597402598E-4</v>
      </c>
      <c r="I1189" s="7">
        <v>-0.974208709956705</v>
      </c>
      <c r="J1189" s="7">
        <v>-0.673606727272727</v>
      </c>
      <c r="K1189" s="8"/>
      <c r="L1189" s="8"/>
    </row>
    <row r="1190" ht="13.5" customHeight="1">
      <c r="A1190" s="7" t="s">
        <v>355</v>
      </c>
      <c r="B1190" s="7">
        <v>1.75</v>
      </c>
      <c r="C1190" s="7" t="s">
        <v>361</v>
      </c>
      <c r="D1190" s="7" t="s">
        <v>357</v>
      </c>
      <c r="E1190" s="7">
        <v>-4.96827116883117</v>
      </c>
      <c r="F1190" s="7">
        <v>0.380998744588745</v>
      </c>
      <c r="G1190" s="7">
        <v>0.556835757575758</v>
      </c>
      <c r="H1190" s="7">
        <v>-2.18681701298702E-4</v>
      </c>
      <c r="I1190" s="7">
        <v>-0.981003502164505</v>
      </c>
      <c r="J1190" s="7">
        <v>-0.678153779220779</v>
      </c>
      <c r="K1190" s="8"/>
      <c r="L1190" s="8"/>
    </row>
    <row r="1191" ht="13.5" customHeight="1">
      <c r="A1191" s="7" t="s">
        <v>355</v>
      </c>
      <c r="B1191" s="7">
        <v>3.5</v>
      </c>
      <c r="C1191" s="7" t="s">
        <v>361</v>
      </c>
      <c r="D1191" s="7" t="s">
        <v>357</v>
      </c>
      <c r="E1191" s="7">
        <v>-4.98512753246753</v>
      </c>
      <c r="F1191" s="7">
        <v>0.382709264069264</v>
      </c>
      <c r="G1191" s="7">
        <v>0.559100173160173</v>
      </c>
      <c r="H1191" s="7">
        <v>-2.19736805194806E-4</v>
      </c>
      <c r="I1191" s="7">
        <v>-0.987798294372295</v>
      </c>
      <c r="J1191" s="7">
        <v>-0.68270083116883</v>
      </c>
      <c r="K1191" s="8"/>
      <c r="L1191" s="8"/>
    </row>
    <row r="1192" ht="13.5" customHeight="1">
      <c r="A1192" s="7" t="s">
        <v>355</v>
      </c>
      <c r="B1192" s="7">
        <v>0.0</v>
      </c>
      <c r="C1192" s="7" t="s">
        <v>362</v>
      </c>
      <c r="D1192" s="7" t="s">
        <v>357</v>
      </c>
      <c r="E1192" s="7">
        <v>-5.0019838961039</v>
      </c>
      <c r="F1192" s="7">
        <v>0.384419783549784</v>
      </c>
      <c r="G1192" s="7">
        <v>0.561364588744589</v>
      </c>
      <c r="H1192" s="7">
        <v>-2.20791909090909E-4</v>
      </c>
      <c r="I1192" s="7">
        <v>-0.994593086580085</v>
      </c>
      <c r="J1192" s="7">
        <v>-0.687247883116882</v>
      </c>
      <c r="K1192" s="8"/>
      <c r="L1192" s="8"/>
    </row>
    <row r="1193" ht="13.5" customHeight="1">
      <c r="A1193" s="7" t="s">
        <v>355</v>
      </c>
      <c r="B1193" s="7">
        <v>1.75</v>
      </c>
      <c r="C1193" s="7" t="s">
        <v>362</v>
      </c>
      <c r="D1193" s="7" t="s">
        <v>357</v>
      </c>
      <c r="E1193" s="7">
        <v>-5.01884025974026</v>
      </c>
      <c r="F1193" s="7">
        <v>0.386130303030303</v>
      </c>
      <c r="G1193" s="7">
        <v>0.563629004329004</v>
      </c>
      <c r="H1193" s="7">
        <v>-2.21847012987013E-4</v>
      </c>
      <c r="I1193" s="7">
        <v>-1.00138787878788</v>
      </c>
      <c r="J1193" s="7">
        <v>-0.691794935064934</v>
      </c>
      <c r="K1193" s="8"/>
      <c r="L1193" s="8"/>
    </row>
    <row r="1194" ht="13.5" customHeight="1">
      <c r="A1194" s="7" t="s">
        <v>355</v>
      </c>
      <c r="B1194" s="7">
        <v>3.5</v>
      </c>
      <c r="C1194" s="7" t="s">
        <v>362</v>
      </c>
      <c r="D1194" s="7" t="s">
        <v>357</v>
      </c>
      <c r="E1194" s="7">
        <v>-5.03569662337662</v>
      </c>
      <c r="F1194" s="7">
        <v>0.387840822510823</v>
      </c>
      <c r="G1194" s="7">
        <v>0.56589341991342</v>
      </c>
      <c r="H1194" s="7">
        <v>-2.22902116883117E-4</v>
      </c>
      <c r="I1194" s="7">
        <v>-1.00818267099568</v>
      </c>
      <c r="J1194" s="7">
        <v>-0.696341987012986</v>
      </c>
      <c r="K1194" s="8"/>
      <c r="L1194" s="8"/>
    </row>
    <row r="1195" ht="13.5" customHeight="1">
      <c r="A1195" s="7" t="s">
        <v>355</v>
      </c>
      <c r="B1195" s="7">
        <v>0.0</v>
      </c>
      <c r="C1195" s="7" t="s">
        <v>363</v>
      </c>
      <c r="D1195" s="7" t="s">
        <v>357</v>
      </c>
      <c r="E1195" s="7">
        <v>-5.05255298701299</v>
      </c>
      <c r="F1195" s="7">
        <v>0.389551341991342</v>
      </c>
      <c r="G1195" s="7">
        <v>0.568157835497835</v>
      </c>
      <c r="H1195" s="7">
        <v>-2.23957220779221E-4</v>
      </c>
      <c r="I1195" s="7">
        <v>-1.01497746320347</v>
      </c>
      <c r="J1195" s="7">
        <v>-0.700889038961038</v>
      </c>
      <c r="K1195" s="8"/>
      <c r="L1195" s="8"/>
    </row>
    <row r="1196" ht="13.5" customHeight="1">
      <c r="A1196" s="7" t="s">
        <v>355</v>
      </c>
      <c r="B1196" s="7">
        <v>1.75</v>
      </c>
      <c r="C1196" s="7" t="s">
        <v>363</v>
      </c>
      <c r="D1196" s="7" t="s">
        <v>357</v>
      </c>
      <c r="E1196" s="7">
        <v>-5.06940935064935</v>
      </c>
      <c r="F1196" s="7">
        <v>0.391261861471862</v>
      </c>
      <c r="G1196" s="7">
        <v>0.570422251082251</v>
      </c>
      <c r="H1196" s="7">
        <v>-2.25012324675325E-4</v>
      </c>
      <c r="I1196" s="7">
        <v>-1.02177225541126</v>
      </c>
      <c r="J1196" s="7">
        <v>-0.70543609090909</v>
      </c>
      <c r="K1196" s="8"/>
      <c r="L1196" s="8"/>
    </row>
    <row r="1197" ht="13.5" customHeight="1">
      <c r="A1197" s="7" t="s">
        <v>355</v>
      </c>
      <c r="B1197" s="7">
        <v>3.5</v>
      </c>
      <c r="C1197" s="7" t="s">
        <v>363</v>
      </c>
      <c r="D1197" s="7" t="s">
        <v>357</v>
      </c>
      <c r="E1197" s="7">
        <v>-5.08626571428572</v>
      </c>
      <c r="F1197" s="7">
        <v>0.392972380952381</v>
      </c>
      <c r="G1197" s="7">
        <v>0.572686666666667</v>
      </c>
      <c r="H1197" s="7">
        <v>-2.26067428571429E-4</v>
      </c>
      <c r="I1197" s="7">
        <v>-1.02856704761905</v>
      </c>
      <c r="J1197" s="7">
        <v>-0.709983142857142</v>
      </c>
      <c r="K1197" s="8"/>
      <c r="L1197" s="8"/>
    </row>
    <row r="1198" ht="13.5" customHeight="1">
      <c r="A1198" s="7" t="s">
        <v>355</v>
      </c>
      <c r="B1198" s="7">
        <v>0.0</v>
      </c>
      <c r="C1198" s="7" t="s">
        <v>356</v>
      </c>
      <c r="D1198" s="7" t="s">
        <v>357</v>
      </c>
      <c r="E1198" s="7">
        <v>-5.10312207792208</v>
      </c>
      <c r="F1198" s="7">
        <v>0.394682900432901</v>
      </c>
      <c r="G1198" s="7">
        <v>0.574951082251082</v>
      </c>
      <c r="H1198" s="7">
        <v>-2.27122532467533E-4</v>
      </c>
      <c r="I1198" s="7">
        <v>-1.03536183982684</v>
      </c>
      <c r="J1198" s="7">
        <v>-0.714530194805194</v>
      </c>
      <c r="K1198" s="8"/>
      <c r="L1198" s="8"/>
    </row>
    <row r="1199" ht="13.5" customHeight="1">
      <c r="A1199" s="7" t="s">
        <v>355</v>
      </c>
      <c r="B1199" s="7">
        <v>1.75</v>
      </c>
      <c r="C1199" s="7" t="s">
        <v>356</v>
      </c>
      <c r="D1199" s="7" t="s">
        <v>357</v>
      </c>
      <c r="E1199" s="7">
        <v>-5.11997844155844</v>
      </c>
      <c r="F1199" s="7">
        <v>0.39639341991342</v>
      </c>
      <c r="G1199" s="7">
        <v>0.577215497835498</v>
      </c>
      <c r="H1199" s="7">
        <v>-2.28177636363637E-4</v>
      </c>
      <c r="I1199" s="7">
        <v>-1.04215663203464</v>
      </c>
      <c r="J1199" s="7">
        <v>-0.719077246753246</v>
      </c>
      <c r="K1199" s="8"/>
      <c r="L1199" s="8"/>
    </row>
    <row r="1200" ht="13.5" customHeight="1">
      <c r="A1200" s="7" t="s">
        <v>355</v>
      </c>
      <c r="B1200" s="7">
        <v>3.5</v>
      </c>
      <c r="C1200" s="7" t="s">
        <v>356</v>
      </c>
      <c r="D1200" s="7" t="s">
        <v>357</v>
      </c>
      <c r="E1200" s="7">
        <v>-5.13683480519481</v>
      </c>
      <c r="F1200" s="7">
        <v>0.39810393939394</v>
      </c>
      <c r="G1200" s="7">
        <v>0.579479913419913</v>
      </c>
      <c r="H1200" s="7">
        <v>-2.29232740259741E-4</v>
      </c>
      <c r="I1200" s="7">
        <v>-1.04895142424243</v>
      </c>
      <c r="J1200" s="7">
        <v>-0.723624298701298</v>
      </c>
      <c r="K1200" s="8"/>
      <c r="L1200" s="8"/>
    </row>
    <row r="1201" ht="13.5" customHeight="1">
      <c r="A1201" s="7" t="s">
        <v>355</v>
      </c>
      <c r="B1201" s="7">
        <v>0.0</v>
      </c>
      <c r="C1201" s="7" t="s">
        <v>358</v>
      </c>
      <c r="D1201" s="7" t="s">
        <v>357</v>
      </c>
      <c r="E1201" s="7">
        <v>-5.15369116883117</v>
      </c>
      <c r="F1201" s="7">
        <v>0.399814458874459</v>
      </c>
      <c r="G1201" s="7">
        <v>0.581744329004329</v>
      </c>
      <c r="H1201" s="7">
        <v>-2.30287844155845E-4</v>
      </c>
      <c r="I1201" s="7">
        <v>-1.05574621645022</v>
      </c>
      <c r="J1201" s="7">
        <v>-0.72817135064935</v>
      </c>
      <c r="K1201" s="8"/>
      <c r="L1201" s="8"/>
    </row>
    <row r="1202" ht="13.5" customHeight="1">
      <c r="A1202" s="7" t="s">
        <v>355</v>
      </c>
      <c r="B1202" s="7">
        <v>1.75</v>
      </c>
      <c r="C1202" s="7" t="s">
        <v>358</v>
      </c>
      <c r="D1202" s="7" t="s">
        <v>357</v>
      </c>
      <c r="E1202" s="7">
        <v>-5.17054753246753</v>
      </c>
      <c r="F1202" s="7">
        <v>0.401524978354979</v>
      </c>
      <c r="G1202" s="7">
        <v>0.584008744588745</v>
      </c>
      <c r="H1202" s="7">
        <v>-2.31342948051948E-4</v>
      </c>
      <c r="I1202" s="7">
        <v>-1.06254100865801</v>
      </c>
      <c r="J1202" s="7">
        <v>-0.732718402597402</v>
      </c>
      <c r="K1202" s="8"/>
      <c r="L1202" s="8"/>
    </row>
    <row r="1203" ht="13.5" customHeight="1">
      <c r="A1203" s="7" t="s">
        <v>355</v>
      </c>
      <c r="B1203" s="7">
        <v>3.5</v>
      </c>
      <c r="C1203" s="7" t="s">
        <v>358</v>
      </c>
      <c r="D1203" s="7" t="s">
        <v>357</v>
      </c>
      <c r="E1203" s="7">
        <v>-5.1874038961039</v>
      </c>
      <c r="F1203" s="7">
        <v>0.403235497835498</v>
      </c>
      <c r="G1203" s="7">
        <v>0.58627316017316</v>
      </c>
      <c r="H1203" s="7">
        <v>-2.32398051948052E-4</v>
      </c>
      <c r="I1203" s="7">
        <v>-1.0693358008658</v>
      </c>
      <c r="J1203" s="7">
        <v>-0.737265454545454</v>
      </c>
      <c r="K1203" s="8"/>
      <c r="L1203" s="8"/>
    </row>
    <row r="1204" ht="13.5" customHeight="1">
      <c r="A1204" s="7" t="s">
        <v>355</v>
      </c>
      <c r="B1204" s="7">
        <v>0.0</v>
      </c>
      <c r="C1204" s="7" t="s">
        <v>359</v>
      </c>
      <c r="D1204" s="7" t="s">
        <v>357</v>
      </c>
      <c r="E1204" s="7">
        <v>-5.20426025974026</v>
      </c>
      <c r="F1204" s="7">
        <v>0.404946017316017</v>
      </c>
      <c r="G1204" s="7">
        <v>0.588537575757576</v>
      </c>
      <c r="H1204" s="7">
        <v>-2.33453155844156E-4</v>
      </c>
      <c r="I1204" s="7">
        <v>-1.0761305930736</v>
      </c>
      <c r="J1204" s="7">
        <v>-0.741812506493506</v>
      </c>
      <c r="K1204" s="8"/>
      <c r="L1204" s="8"/>
    </row>
    <row r="1205" ht="13.5" customHeight="1">
      <c r="A1205" s="7" t="s">
        <v>355</v>
      </c>
      <c r="B1205" s="7">
        <v>1.75</v>
      </c>
      <c r="C1205" s="7" t="s">
        <v>359</v>
      </c>
      <c r="D1205" s="7" t="s">
        <v>357</v>
      </c>
      <c r="E1205" s="7">
        <v>-5.22111662337662</v>
      </c>
      <c r="F1205" s="7">
        <v>0.406656536796537</v>
      </c>
      <c r="G1205" s="7">
        <v>0.590801991341991</v>
      </c>
      <c r="H1205" s="7">
        <v>-2.3450825974026E-4</v>
      </c>
      <c r="I1205" s="7">
        <v>-1.08292538528139</v>
      </c>
      <c r="J1205" s="7">
        <v>-0.746359558441558</v>
      </c>
      <c r="K1205" s="8"/>
      <c r="L1205" s="8"/>
    </row>
    <row r="1206" ht="13.5" customHeight="1">
      <c r="A1206" s="7" t="s">
        <v>355</v>
      </c>
      <c r="B1206" s="7">
        <v>3.5</v>
      </c>
      <c r="C1206" s="7" t="s">
        <v>359</v>
      </c>
      <c r="D1206" s="7" t="s">
        <v>357</v>
      </c>
      <c r="E1206" s="7">
        <v>-5.23797298701299</v>
      </c>
      <c r="F1206" s="7">
        <v>0.408367056277056</v>
      </c>
      <c r="G1206" s="7">
        <v>0.593066406926407</v>
      </c>
      <c r="H1206" s="7">
        <v>-2.35563363636364E-4</v>
      </c>
      <c r="I1206" s="7">
        <v>-1.08972017748918</v>
      </c>
      <c r="J1206" s="7">
        <v>-0.75090661038961</v>
      </c>
      <c r="K1206" s="8"/>
      <c r="L1206" s="8"/>
    </row>
    <row r="1207" ht="13.5" customHeight="1">
      <c r="A1207" s="7" t="s">
        <v>355</v>
      </c>
      <c r="B1207" s="7">
        <v>0.0</v>
      </c>
      <c r="C1207" s="7" t="s">
        <v>360</v>
      </c>
      <c r="D1207" s="7" t="s">
        <v>357</v>
      </c>
      <c r="E1207" s="7">
        <v>-5.25482935064935</v>
      </c>
      <c r="F1207" s="7">
        <v>0.410077575757576</v>
      </c>
      <c r="G1207" s="7">
        <v>0.595330822510823</v>
      </c>
      <c r="H1207" s="7">
        <v>-2.36618467532468E-4</v>
      </c>
      <c r="I1207" s="7">
        <v>-1.09651496969697</v>
      </c>
      <c r="J1207" s="7">
        <v>-0.755453662337662</v>
      </c>
      <c r="K1207" s="8"/>
      <c r="L1207" s="8"/>
    </row>
    <row r="1208" ht="13.5" customHeight="1">
      <c r="A1208" s="7" t="s">
        <v>355</v>
      </c>
      <c r="B1208" s="7">
        <v>1.75</v>
      </c>
      <c r="C1208" s="7" t="s">
        <v>360</v>
      </c>
      <c r="D1208" s="7" t="s">
        <v>357</v>
      </c>
      <c r="E1208" s="7">
        <v>-5.27168571428572</v>
      </c>
      <c r="F1208" s="7">
        <v>0.411788095238095</v>
      </c>
      <c r="G1208" s="7">
        <v>0.597595238095238</v>
      </c>
      <c r="H1208" s="7">
        <v>-2.37673571428572E-4</v>
      </c>
      <c r="I1208" s="7">
        <v>-1.10330976190477</v>
      </c>
      <c r="J1208" s="7">
        <v>-0.760000714285714</v>
      </c>
      <c r="K1208" s="8"/>
      <c r="L1208" s="8"/>
    </row>
    <row r="1209" ht="13.5" customHeight="1">
      <c r="A1209" s="7" t="s">
        <v>355</v>
      </c>
      <c r="B1209" s="7">
        <v>3.5</v>
      </c>
      <c r="C1209" s="7" t="s">
        <v>360</v>
      </c>
      <c r="D1209" s="7" t="s">
        <v>357</v>
      </c>
      <c r="E1209" s="7">
        <v>-5.28854207792208</v>
      </c>
      <c r="F1209" s="7">
        <v>0.413498614718615</v>
      </c>
      <c r="G1209" s="7">
        <v>0.599859653679654</v>
      </c>
      <c r="H1209" s="7">
        <v>-2.38728675324676E-4</v>
      </c>
      <c r="I1209" s="7">
        <v>-1.11010455411256</v>
      </c>
      <c r="J1209" s="7">
        <v>-0.764547766233765</v>
      </c>
      <c r="K1209" s="8"/>
      <c r="L1209" s="8"/>
    </row>
    <row r="1210" ht="13.5" customHeight="1">
      <c r="A1210" s="7" t="s">
        <v>355</v>
      </c>
      <c r="B1210" s="7">
        <v>0.0</v>
      </c>
      <c r="C1210" s="7" t="s">
        <v>361</v>
      </c>
      <c r="D1210" s="7" t="s">
        <v>357</v>
      </c>
      <c r="E1210" s="7">
        <v>-5.30539844155844</v>
      </c>
      <c r="F1210" s="7">
        <v>0.415209134199134</v>
      </c>
      <c r="G1210" s="7">
        <v>0.602124069264069</v>
      </c>
      <c r="H1210" s="7">
        <v>-2.3978377922078E-4</v>
      </c>
      <c r="I1210" s="7">
        <v>-1.11689934632035</v>
      </c>
      <c r="J1210" s="7">
        <v>-0.769094818181817</v>
      </c>
      <c r="K1210" s="8"/>
      <c r="L1210" s="8"/>
    </row>
    <row r="1211" ht="13.5" customHeight="1">
      <c r="A1211" s="7" t="s">
        <v>355</v>
      </c>
      <c r="B1211" s="7">
        <v>1.75</v>
      </c>
      <c r="C1211" s="7" t="s">
        <v>361</v>
      </c>
      <c r="D1211" s="7" t="s">
        <v>357</v>
      </c>
      <c r="E1211" s="7">
        <v>-5.32225480519481</v>
      </c>
      <c r="F1211" s="7">
        <v>0.416919653679654</v>
      </c>
      <c r="G1211" s="7">
        <v>0.604388484848485</v>
      </c>
      <c r="H1211" s="7">
        <v>-2.40838883116883E-4</v>
      </c>
      <c r="I1211" s="7">
        <v>-1.12369413852814</v>
      </c>
      <c r="J1211" s="7">
        <v>-0.773641870129869</v>
      </c>
      <c r="K1211" s="8"/>
      <c r="L1211" s="8"/>
    </row>
    <row r="1212" ht="13.5" customHeight="1">
      <c r="A1212" s="7" t="s">
        <v>355</v>
      </c>
      <c r="B1212" s="7">
        <v>3.5</v>
      </c>
      <c r="C1212" s="7" t="s">
        <v>361</v>
      </c>
      <c r="D1212" s="7" t="s">
        <v>357</v>
      </c>
      <c r="E1212" s="7">
        <v>-5.33911116883117</v>
      </c>
      <c r="F1212" s="7">
        <v>0.418630173160173</v>
      </c>
      <c r="G1212" s="7">
        <v>0.6066529004329</v>
      </c>
      <c r="H1212" s="7">
        <v>-2.41893987012987E-4</v>
      </c>
      <c r="I1212" s="7">
        <v>-1.13048893073593</v>
      </c>
      <c r="J1212" s="7">
        <v>-0.778188922077921</v>
      </c>
      <c r="K1212" s="8"/>
      <c r="L1212" s="8"/>
    </row>
    <row r="1213" ht="13.5" customHeight="1">
      <c r="A1213" s="7" t="s">
        <v>355</v>
      </c>
      <c r="B1213" s="7">
        <v>0.0</v>
      </c>
      <c r="C1213" s="7" t="s">
        <v>362</v>
      </c>
      <c r="D1213" s="7" t="s">
        <v>357</v>
      </c>
      <c r="E1213" s="7">
        <v>-5.35596753246753</v>
      </c>
      <c r="F1213" s="7">
        <v>0.420340692640693</v>
      </c>
      <c r="G1213" s="7">
        <v>0.608917316017316</v>
      </c>
      <c r="H1213" s="7">
        <v>-2.42949090909091E-4</v>
      </c>
      <c r="I1213" s="7">
        <v>-1.13728372294373</v>
      </c>
      <c r="J1213" s="7">
        <v>-0.782735974025973</v>
      </c>
      <c r="K1213" s="8"/>
      <c r="L1213" s="8"/>
    </row>
    <row r="1214" ht="13.5" customHeight="1">
      <c r="A1214" s="7" t="s">
        <v>355</v>
      </c>
      <c r="B1214" s="7">
        <v>1.75</v>
      </c>
      <c r="C1214" s="7" t="s">
        <v>362</v>
      </c>
      <c r="D1214" s="7" t="s">
        <v>357</v>
      </c>
      <c r="E1214" s="7">
        <v>-5.3728238961039</v>
      </c>
      <c r="F1214" s="7">
        <v>0.422051212121212</v>
      </c>
      <c r="G1214" s="7">
        <v>0.611181731601732</v>
      </c>
      <c r="H1214" s="7">
        <v>-2.44004194805195E-4</v>
      </c>
      <c r="I1214" s="7">
        <v>-1.14407851515152</v>
      </c>
      <c r="J1214" s="7">
        <v>-0.787283025974025</v>
      </c>
      <c r="K1214" s="8"/>
      <c r="L1214" s="8"/>
    </row>
    <row r="1215" ht="13.5" customHeight="1">
      <c r="A1215" s="7" t="s">
        <v>355</v>
      </c>
      <c r="B1215" s="7">
        <v>3.5</v>
      </c>
      <c r="C1215" s="7" t="s">
        <v>362</v>
      </c>
      <c r="D1215" s="7" t="s">
        <v>357</v>
      </c>
      <c r="E1215" s="7">
        <v>-5.38968025974026</v>
      </c>
      <c r="F1215" s="7">
        <v>0.423761731601732</v>
      </c>
      <c r="G1215" s="7">
        <v>0.613446147186147</v>
      </c>
      <c r="H1215" s="7">
        <v>-2.45059298701299E-4</v>
      </c>
      <c r="I1215" s="7">
        <v>-1.15087330735931</v>
      </c>
      <c r="J1215" s="7">
        <v>-0.791830077922077</v>
      </c>
      <c r="K1215" s="8"/>
      <c r="L1215" s="8"/>
    </row>
    <row r="1216" ht="13.5" customHeight="1">
      <c r="A1216" s="7" t="s">
        <v>355</v>
      </c>
      <c r="B1216" s="7">
        <v>0.0</v>
      </c>
      <c r="C1216" s="7" t="s">
        <v>363</v>
      </c>
      <c r="D1216" s="7" t="s">
        <v>357</v>
      </c>
      <c r="E1216" s="7">
        <v>-5.40653662337662</v>
      </c>
      <c r="F1216" s="7">
        <v>0.425472251082251</v>
      </c>
      <c r="G1216" s="7">
        <v>0.615710562770563</v>
      </c>
      <c r="H1216" s="7">
        <v>-2.46114402597403E-4</v>
      </c>
      <c r="I1216" s="7">
        <v>-1.1576680995671</v>
      </c>
      <c r="J1216" s="7">
        <v>-0.796377129870129</v>
      </c>
      <c r="K1216" s="8"/>
      <c r="L1216" s="8"/>
    </row>
    <row r="1217" ht="13.5" customHeight="1">
      <c r="A1217" s="7" t="s">
        <v>355</v>
      </c>
      <c r="B1217" s="7">
        <v>1.75</v>
      </c>
      <c r="C1217" s="7" t="s">
        <v>363</v>
      </c>
      <c r="D1217" s="7" t="s">
        <v>357</v>
      </c>
      <c r="E1217" s="7">
        <v>-5.42339298701299</v>
      </c>
      <c r="F1217" s="7">
        <v>0.427182770562771</v>
      </c>
      <c r="G1217" s="7">
        <v>0.617974978354978</v>
      </c>
      <c r="H1217" s="7">
        <v>-2.47169506493507E-4</v>
      </c>
      <c r="I1217" s="7">
        <v>-1.1644628917749</v>
      </c>
      <c r="J1217" s="7">
        <v>-0.800924181818181</v>
      </c>
      <c r="K1217" s="8"/>
      <c r="L1217" s="8"/>
    </row>
    <row r="1218" ht="13.5" customHeight="1">
      <c r="A1218" s="7" t="s">
        <v>355</v>
      </c>
      <c r="B1218" s="7">
        <v>3.5</v>
      </c>
      <c r="C1218" s="7" t="s">
        <v>363</v>
      </c>
      <c r="D1218" s="7" t="s">
        <v>357</v>
      </c>
      <c r="E1218" s="7">
        <v>-5.44024935064935</v>
      </c>
      <c r="F1218" s="7">
        <v>0.42889329004329</v>
      </c>
      <c r="G1218" s="7">
        <v>0.620239393939394</v>
      </c>
      <c r="H1218" s="7">
        <v>-2.48224610389611E-4</v>
      </c>
      <c r="I1218" s="7">
        <v>-1.17125768398269</v>
      </c>
      <c r="J1218" s="7">
        <v>-0.805471233766233</v>
      </c>
      <c r="K1218" s="8"/>
      <c r="L1218" s="8"/>
    </row>
    <row r="1219" ht="13.5" customHeight="1">
      <c r="A1219" s="7" t="s">
        <v>355</v>
      </c>
      <c r="B1219" s="7">
        <v>0.0</v>
      </c>
      <c r="C1219" s="7" t="s">
        <v>356</v>
      </c>
      <c r="D1219" s="7" t="s">
        <v>357</v>
      </c>
      <c r="E1219" s="7">
        <v>-5.45710571428572</v>
      </c>
      <c r="F1219" s="7">
        <v>0.43060380952381</v>
      </c>
      <c r="G1219" s="7">
        <v>0.62250380952381</v>
      </c>
      <c r="H1219" s="7">
        <v>-2.49279714285715E-4</v>
      </c>
      <c r="I1219" s="7">
        <v>-1.17805247619048</v>
      </c>
      <c r="J1219" s="7">
        <v>-0.810018285714285</v>
      </c>
      <c r="K1219" s="8"/>
      <c r="L1219" s="8"/>
    </row>
    <row r="1220" ht="13.5" customHeight="1">
      <c r="A1220" s="7" t="s">
        <v>355</v>
      </c>
      <c r="B1220" s="7">
        <v>1.75</v>
      </c>
      <c r="C1220" s="7" t="s">
        <v>356</v>
      </c>
      <c r="D1220" s="7" t="s">
        <v>357</v>
      </c>
      <c r="E1220" s="7">
        <v>-5.47396207792208</v>
      </c>
      <c r="F1220" s="7">
        <v>0.432314329004329</v>
      </c>
      <c r="G1220" s="7">
        <v>0.624768225108225</v>
      </c>
      <c r="H1220" s="7">
        <v>-2.50334818181819E-4</v>
      </c>
      <c r="I1220" s="7">
        <v>-1.18484726839827</v>
      </c>
      <c r="J1220" s="7">
        <v>-0.814565337662337</v>
      </c>
      <c r="K1220" s="8"/>
      <c r="L1220" s="8"/>
    </row>
    <row r="1221" ht="13.5" customHeight="1">
      <c r="A1221" s="7" t="s">
        <v>355</v>
      </c>
      <c r="B1221" s="7">
        <v>3.5</v>
      </c>
      <c r="C1221" s="7" t="s">
        <v>356</v>
      </c>
      <c r="D1221" s="7" t="s">
        <v>357</v>
      </c>
      <c r="E1221" s="7">
        <v>-5.49081844155844</v>
      </c>
      <c r="F1221" s="7">
        <v>0.434024848484849</v>
      </c>
      <c r="G1221" s="7">
        <v>0.627032640692641</v>
      </c>
      <c r="H1221" s="7">
        <v>-2.51389922077922E-4</v>
      </c>
      <c r="I1221" s="7">
        <v>-1.19164206060606</v>
      </c>
      <c r="J1221" s="7">
        <v>-0.819112389610389</v>
      </c>
      <c r="K1221" s="8"/>
      <c r="L1221" s="8"/>
    </row>
    <row r="1222" ht="13.5" customHeight="1">
      <c r="A1222" s="7" t="s">
        <v>355</v>
      </c>
      <c r="B1222" s="7">
        <v>0.0</v>
      </c>
      <c r="C1222" s="7" t="s">
        <v>358</v>
      </c>
      <c r="D1222" s="7" t="s">
        <v>357</v>
      </c>
      <c r="E1222" s="7">
        <v>-5.50767480519481</v>
      </c>
      <c r="F1222" s="7">
        <v>0.435735367965368</v>
      </c>
      <c r="G1222" s="7">
        <v>0.629297056277056</v>
      </c>
      <c r="H1222" s="7">
        <v>-2.52445025974026E-4</v>
      </c>
      <c r="I1222" s="7">
        <v>-1.19843685281386</v>
      </c>
      <c r="J1222" s="7">
        <v>-0.823659441558441</v>
      </c>
      <c r="K1222" s="8"/>
      <c r="L1222" s="8"/>
    </row>
    <row r="1223" ht="13.5" customHeight="1">
      <c r="A1223" s="7" t="s">
        <v>355</v>
      </c>
      <c r="B1223" s="7">
        <v>1.75</v>
      </c>
      <c r="C1223" s="7" t="s">
        <v>358</v>
      </c>
      <c r="D1223" s="7" t="s">
        <v>357</v>
      </c>
      <c r="E1223" s="7">
        <v>-5.52453116883117</v>
      </c>
      <c r="F1223" s="7">
        <v>0.437445887445888</v>
      </c>
      <c r="G1223" s="7">
        <v>0.631561471861472</v>
      </c>
      <c r="H1223" s="7">
        <v>-2.5350012987013E-4</v>
      </c>
      <c r="I1223" s="7">
        <v>-1.20523164502165</v>
      </c>
      <c r="J1223" s="7">
        <v>-0.828206493506493</v>
      </c>
      <c r="K1223" s="8"/>
      <c r="L1223" s="8"/>
    </row>
    <row r="1224" ht="13.5" customHeight="1">
      <c r="A1224" s="7" t="s">
        <v>355</v>
      </c>
      <c r="B1224" s="7">
        <v>3.5</v>
      </c>
      <c r="C1224" s="7" t="s">
        <v>358</v>
      </c>
      <c r="D1224" s="7" t="s">
        <v>357</v>
      </c>
      <c r="E1224" s="7">
        <v>-5.54138753246753</v>
      </c>
      <c r="F1224" s="7">
        <v>0.439156406926407</v>
      </c>
      <c r="G1224" s="7">
        <v>0.633825887445887</v>
      </c>
      <c r="H1224" s="7">
        <v>-2.54555233766234E-4</v>
      </c>
      <c r="I1224" s="7">
        <v>-1.21202643722944</v>
      </c>
      <c r="J1224" s="7">
        <v>-0.832753545454545</v>
      </c>
      <c r="K1224" s="8"/>
      <c r="L1224" s="8"/>
    </row>
    <row r="1225" ht="13.5" customHeight="1">
      <c r="A1225" s="7" t="s">
        <v>355</v>
      </c>
      <c r="B1225" s="7">
        <v>0.0</v>
      </c>
      <c r="C1225" s="7" t="s">
        <v>359</v>
      </c>
      <c r="D1225" s="7" t="s">
        <v>357</v>
      </c>
      <c r="E1225" s="7">
        <v>-5.5582438961039</v>
      </c>
      <c r="F1225" s="7">
        <v>0.440866926406927</v>
      </c>
      <c r="G1225" s="7">
        <v>0.636090303030303</v>
      </c>
      <c r="H1225" s="7">
        <v>-2.55610337662338E-4</v>
      </c>
      <c r="I1225" s="7">
        <v>-1.21882122943723</v>
      </c>
      <c r="J1225" s="7">
        <v>-0.837300597402597</v>
      </c>
      <c r="K1225" s="8"/>
      <c r="L1225" s="8"/>
    </row>
    <row r="1226" ht="13.5" customHeight="1">
      <c r="A1226" s="7" t="s">
        <v>355</v>
      </c>
      <c r="B1226" s="7">
        <v>1.75</v>
      </c>
      <c r="C1226" s="7" t="s">
        <v>359</v>
      </c>
      <c r="D1226" s="7" t="s">
        <v>357</v>
      </c>
      <c r="E1226" s="7">
        <v>-5.57510025974026</v>
      </c>
      <c r="F1226" s="7">
        <v>0.442577445887446</v>
      </c>
      <c r="G1226" s="7">
        <v>0.638354718614719</v>
      </c>
      <c r="H1226" s="7">
        <v>-2.56665441558442E-4</v>
      </c>
      <c r="I1226" s="7">
        <v>-1.22561602164503</v>
      </c>
      <c r="J1226" s="7">
        <v>-0.841847649350649</v>
      </c>
      <c r="K1226" s="8"/>
      <c r="L1226" s="8"/>
    </row>
    <row r="1227" ht="13.5" customHeight="1">
      <c r="A1227" s="7" t="s">
        <v>355</v>
      </c>
      <c r="B1227" s="7">
        <v>3.5</v>
      </c>
      <c r="C1227" s="7" t="s">
        <v>359</v>
      </c>
      <c r="D1227" s="7" t="s">
        <v>357</v>
      </c>
      <c r="E1227" s="7">
        <v>-5.59195662337662</v>
      </c>
      <c r="F1227" s="7">
        <v>0.444287965367966</v>
      </c>
      <c r="G1227" s="7">
        <v>0.640619134199134</v>
      </c>
      <c r="H1227" s="7">
        <v>-2.57720545454546E-4</v>
      </c>
      <c r="I1227" s="7">
        <v>-1.23241081385282</v>
      </c>
      <c r="J1227" s="7">
        <v>-0.8463947012987</v>
      </c>
      <c r="K1227" s="8"/>
      <c r="L1227" s="8"/>
    </row>
    <row r="1228" ht="13.5" customHeight="1">
      <c r="A1228" s="7" t="s">
        <v>355</v>
      </c>
      <c r="B1228" s="7">
        <v>0.0</v>
      </c>
      <c r="C1228" s="7" t="s">
        <v>360</v>
      </c>
      <c r="D1228" s="7" t="s">
        <v>357</v>
      </c>
      <c r="E1228" s="7">
        <v>-5.60881298701299</v>
      </c>
      <c r="F1228" s="7">
        <v>0.445998484848485</v>
      </c>
      <c r="G1228" s="7">
        <v>0.64288354978355</v>
      </c>
      <c r="H1228" s="7">
        <v>-2.5877564935065E-4</v>
      </c>
      <c r="I1228" s="7">
        <v>-1.23920560606061</v>
      </c>
      <c r="J1228" s="7">
        <v>-0.850941753246752</v>
      </c>
      <c r="K1228" s="8"/>
      <c r="L1228" s="8"/>
    </row>
    <row r="1229" ht="13.5" customHeight="1">
      <c r="A1229" s="7" t="s">
        <v>355</v>
      </c>
      <c r="B1229" s="7">
        <v>1.75</v>
      </c>
      <c r="C1229" s="7" t="s">
        <v>360</v>
      </c>
      <c r="D1229" s="7" t="s">
        <v>357</v>
      </c>
      <c r="E1229" s="7">
        <v>-5.62566935064935</v>
      </c>
      <c r="F1229" s="7">
        <v>0.447709004329004</v>
      </c>
      <c r="G1229" s="7">
        <v>0.645147965367965</v>
      </c>
      <c r="H1229" s="7">
        <v>-2.59830753246754E-4</v>
      </c>
      <c r="I1229" s="7">
        <v>-1.2460003982684</v>
      </c>
      <c r="J1229" s="7">
        <v>-0.855488805194804</v>
      </c>
      <c r="K1229" s="8"/>
      <c r="L1229" s="8"/>
    </row>
    <row r="1230" ht="13.5" customHeight="1">
      <c r="A1230" s="7" t="s">
        <v>355</v>
      </c>
      <c r="B1230" s="7">
        <v>3.5</v>
      </c>
      <c r="C1230" s="7" t="s">
        <v>360</v>
      </c>
      <c r="D1230" s="7" t="s">
        <v>357</v>
      </c>
      <c r="E1230" s="7">
        <v>-5.64252571428572</v>
      </c>
      <c r="F1230" s="7">
        <v>0.449419523809524</v>
      </c>
      <c r="G1230" s="7">
        <v>0.647412380952381</v>
      </c>
      <c r="H1230" s="7">
        <v>-2.60885857142858E-4</v>
      </c>
      <c r="I1230" s="7">
        <v>-1.25279519047619</v>
      </c>
      <c r="J1230" s="7">
        <v>-0.860035857142856</v>
      </c>
      <c r="K1230" s="8"/>
      <c r="L1230" s="8"/>
    </row>
    <row r="1231" ht="13.5" customHeight="1">
      <c r="A1231" s="7" t="s">
        <v>355</v>
      </c>
      <c r="B1231" s="7">
        <v>0.0</v>
      </c>
      <c r="C1231" s="7" t="s">
        <v>361</v>
      </c>
      <c r="D1231" s="7" t="s">
        <v>357</v>
      </c>
      <c r="E1231" s="7">
        <v>-5.65938207792208</v>
      </c>
      <c r="F1231" s="7">
        <v>0.451130043290044</v>
      </c>
      <c r="G1231" s="7">
        <v>0.649676796536796</v>
      </c>
      <c r="H1231" s="7">
        <v>-2.61940961038961E-4</v>
      </c>
      <c r="I1231" s="7">
        <v>-1.25958998268399</v>
      </c>
      <c r="J1231" s="7">
        <v>-0.864582909090908</v>
      </c>
      <c r="K1231" s="8"/>
      <c r="L1231" s="8"/>
    </row>
    <row r="1232" ht="13.5" customHeight="1">
      <c r="A1232" s="7" t="s">
        <v>355</v>
      </c>
      <c r="B1232" s="7">
        <v>1.75</v>
      </c>
      <c r="C1232" s="7" t="s">
        <v>361</v>
      </c>
      <c r="D1232" s="7" t="s">
        <v>357</v>
      </c>
      <c r="E1232" s="7">
        <v>-5.67623844155844</v>
      </c>
      <c r="F1232" s="7">
        <v>0.452840562770563</v>
      </c>
      <c r="G1232" s="7">
        <v>0.651941212121212</v>
      </c>
      <c r="H1232" s="7">
        <v>-2.62996064935065E-4</v>
      </c>
      <c r="I1232" s="7">
        <v>-1.26638477489178</v>
      </c>
      <c r="J1232" s="7">
        <v>-0.86912996103896</v>
      </c>
      <c r="K1232" s="8"/>
      <c r="L1232" s="8"/>
    </row>
    <row r="1233" ht="13.5" customHeight="1">
      <c r="A1233" s="7" t="s">
        <v>355</v>
      </c>
      <c r="B1233" s="7">
        <v>3.5</v>
      </c>
      <c r="C1233" s="7" t="s">
        <v>361</v>
      </c>
      <c r="D1233" s="7" t="s">
        <v>357</v>
      </c>
      <c r="E1233" s="7">
        <v>-5.69309480519481</v>
      </c>
      <c r="F1233" s="7">
        <v>0.454551082251082</v>
      </c>
      <c r="G1233" s="7">
        <v>0.654205627705628</v>
      </c>
      <c r="H1233" s="7">
        <v>-2.64051168831169E-4</v>
      </c>
      <c r="I1233" s="7">
        <v>-1.27317956709957</v>
      </c>
      <c r="J1233" s="7">
        <v>-0.873677012987012</v>
      </c>
      <c r="K1233" s="8"/>
      <c r="L1233" s="8"/>
    </row>
    <row r="1234" ht="13.5" customHeight="1">
      <c r="A1234" s="7" t="s">
        <v>355</v>
      </c>
      <c r="B1234" s="7">
        <v>0.0</v>
      </c>
      <c r="C1234" s="7" t="s">
        <v>362</v>
      </c>
      <c r="D1234" s="7" t="s">
        <v>357</v>
      </c>
      <c r="E1234" s="7">
        <v>-5.70995116883117</v>
      </c>
      <c r="F1234" s="7">
        <v>0.456261601731602</v>
      </c>
      <c r="G1234" s="7">
        <v>0.656470043290043</v>
      </c>
      <c r="H1234" s="7">
        <v>-2.65106272727273E-4</v>
      </c>
      <c r="I1234" s="7">
        <v>-1.27997435930736</v>
      </c>
      <c r="J1234" s="7">
        <v>-0.878224064935064</v>
      </c>
      <c r="K1234" s="8"/>
      <c r="L1234" s="8"/>
    </row>
    <row r="1235" ht="13.5" customHeight="1">
      <c r="A1235" s="7" t="s">
        <v>355</v>
      </c>
      <c r="B1235" s="7">
        <v>1.75</v>
      </c>
      <c r="C1235" s="7" t="s">
        <v>362</v>
      </c>
      <c r="D1235" s="7" t="s">
        <v>357</v>
      </c>
      <c r="E1235" s="7">
        <v>-5.72680753246753</v>
      </c>
      <c r="F1235" s="7">
        <v>0.457972121212121</v>
      </c>
      <c r="G1235" s="7">
        <v>0.658734458874459</v>
      </c>
      <c r="H1235" s="7">
        <v>-2.66161376623377E-4</v>
      </c>
      <c r="I1235" s="7">
        <v>-1.28676915151516</v>
      </c>
      <c r="J1235" s="7">
        <v>-0.882771116883116</v>
      </c>
      <c r="K1235" s="8"/>
      <c r="L1235" s="8"/>
    </row>
    <row r="1236" ht="13.5" customHeight="1">
      <c r="A1236" s="7" t="s">
        <v>355</v>
      </c>
      <c r="B1236" s="7">
        <v>3.5</v>
      </c>
      <c r="C1236" s="7" t="s">
        <v>362</v>
      </c>
      <c r="D1236" s="7" t="s">
        <v>357</v>
      </c>
      <c r="E1236" s="7">
        <v>-5.7436638961039</v>
      </c>
      <c r="F1236" s="7">
        <v>0.459682640692641</v>
      </c>
      <c r="G1236" s="7">
        <v>0.660998874458874</v>
      </c>
      <c r="H1236" s="7">
        <v>-2.67216480519481E-4</v>
      </c>
      <c r="I1236" s="7">
        <v>-1.29356394372295</v>
      </c>
      <c r="J1236" s="7">
        <v>-0.887318168831168</v>
      </c>
      <c r="K1236" s="8"/>
      <c r="L1236" s="8"/>
    </row>
    <row r="1237" ht="13.5" customHeight="1">
      <c r="A1237" s="7" t="s">
        <v>355</v>
      </c>
      <c r="B1237" s="7">
        <v>0.0</v>
      </c>
      <c r="C1237" s="7" t="s">
        <v>363</v>
      </c>
      <c r="D1237" s="7" t="s">
        <v>357</v>
      </c>
      <c r="E1237" s="7">
        <v>-5.76052025974026</v>
      </c>
      <c r="F1237" s="7">
        <v>0.46139316017316</v>
      </c>
      <c r="G1237" s="7">
        <v>0.66326329004329</v>
      </c>
      <c r="H1237" s="7">
        <v>-2.68271584415585E-4</v>
      </c>
      <c r="I1237" s="7">
        <v>-1.30035873593074</v>
      </c>
      <c r="J1237" s="7">
        <v>-0.89186522077922</v>
      </c>
      <c r="K1237" s="8"/>
      <c r="L1237" s="8"/>
    </row>
    <row r="1238" ht="13.5" customHeight="1">
      <c r="A1238" s="7" t="s">
        <v>355</v>
      </c>
      <c r="B1238" s="7">
        <v>1.75</v>
      </c>
      <c r="C1238" s="7" t="s">
        <v>363</v>
      </c>
      <c r="D1238" s="7" t="s">
        <v>357</v>
      </c>
      <c r="E1238" s="7">
        <v>-5.77737662337662</v>
      </c>
      <c r="F1238" s="7">
        <v>0.46310367965368</v>
      </c>
      <c r="G1238" s="7">
        <v>0.665527705627706</v>
      </c>
      <c r="H1238" s="7">
        <v>-2.69326688311689E-4</v>
      </c>
      <c r="I1238" s="7">
        <v>-1.30715352813853</v>
      </c>
      <c r="J1238" s="7">
        <v>-0.896412272727272</v>
      </c>
      <c r="K1238" s="8"/>
      <c r="L1238" s="8"/>
    </row>
    <row r="1239" ht="13.5" customHeight="1">
      <c r="A1239" s="7" t="s">
        <v>355</v>
      </c>
      <c r="B1239" s="7">
        <v>3.5</v>
      </c>
      <c r="C1239" s="7" t="s">
        <v>363</v>
      </c>
      <c r="D1239" s="7" t="s">
        <v>357</v>
      </c>
      <c r="E1239" s="7">
        <v>-5.79423298701299</v>
      </c>
      <c r="F1239" s="7">
        <v>0.464814199134199</v>
      </c>
      <c r="G1239" s="7">
        <v>0.667792121212121</v>
      </c>
      <c r="H1239" s="7">
        <v>-2.70381792207793E-4</v>
      </c>
      <c r="I1239" s="7">
        <v>-1.31394832034632</v>
      </c>
      <c r="J1239" s="7">
        <v>-0.900959324675324</v>
      </c>
      <c r="K1239" s="8"/>
      <c r="L1239" s="8"/>
    </row>
    <row r="1240" ht="13.5" customHeight="1">
      <c r="A1240" s="7" t="s">
        <v>355</v>
      </c>
      <c r="B1240" s="7">
        <v>0.0</v>
      </c>
      <c r="C1240" s="7" t="s">
        <v>356</v>
      </c>
      <c r="D1240" s="7" t="s">
        <v>357</v>
      </c>
      <c r="E1240" s="7">
        <v>-5.81108935064935</v>
      </c>
      <c r="F1240" s="7">
        <v>0.466524718614719</v>
      </c>
      <c r="G1240" s="7">
        <v>0.670056536796537</v>
      </c>
      <c r="H1240" s="7">
        <v>-2.71436896103896E-4</v>
      </c>
      <c r="I1240" s="7">
        <v>-1.32074311255412</v>
      </c>
      <c r="J1240" s="7">
        <v>-0.905506376623376</v>
      </c>
      <c r="K1240" s="8"/>
      <c r="L1240" s="8"/>
    </row>
    <row r="1241" ht="13.5" customHeight="1">
      <c r="A1241" s="7" t="s">
        <v>355</v>
      </c>
      <c r="B1241" s="7">
        <v>1.75</v>
      </c>
      <c r="C1241" s="7" t="s">
        <v>356</v>
      </c>
      <c r="D1241" s="7" t="s">
        <v>357</v>
      </c>
      <c r="E1241" s="7">
        <v>-5.82794571428572</v>
      </c>
      <c r="F1241" s="7">
        <v>0.468235238095238</v>
      </c>
      <c r="G1241" s="7">
        <v>0.672320952380952</v>
      </c>
      <c r="H1241" s="7">
        <v>-2.72492E-4</v>
      </c>
      <c r="I1241" s="7">
        <v>-1.32753790476191</v>
      </c>
      <c r="J1241" s="7">
        <v>-0.910053428571428</v>
      </c>
      <c r="K1241" s="8"/>
      <c r="L1241" s="8"/>
    </row>
    <row r="1242" ht="13.5" customHeight="1">
      <c r="A1242" s="7" t="s">
        <v>355</v>
      </c>
      <c r="B1242" s="7">
        <v>3.5</v>
      </c>
      <c r="C1242" s="7" t="s">
        <v>356</v>
      </c>
      <c r="D1242" s="7" t="s">
        <v>357</v>
      </c>
      <c r="E1242" s="7">
        <v>-5.84480207792208</v>
      </c>
      <c r="F1242" s="7">
        <v>0.469945757575758</v>
      </c>
      <c r="G1242" s="7">
        <v>0.674585367965368</v>
      </c>
      <c r="H1242" s="7">
        <v>-2.73547103896104E-4</v>
      </c>
      <c r="I1242" s="7">
        <v>-1.3343326969697</v>
      </c>
      <c r="J1242" s="7">
        <v>-0.91460048051948</v>
      </c>
      <c r="K1242" s="8"/>
      <c r="L1242" s="8"/>
    </row>
    <row r="1243" ht="13.5" customHeight="1">
      <c r="A1243" s="7" t="s">
        <v>355</v>
      </c>
      <c r="B1243" s="7">
        <v>0.0</v>
      </c>
      <c r="C1243" s="7" t="s">
        <v>358</v>
      </c>
      <c r="D1243" s="7" t="s">
        <v>357</v>
      </c>
      <c r="E1243" s="7">
        <v>-5.86165844155844</v>
      </c>
      <c r="F1243" s="7">
        <v>0.471656277056277</v>
      </c>
      <c r="G1243" s="7">
        <v>0.676849783549783</v>
      </c>
      <c r="H1243" s="7">
        <v>-2.74602207792208E-4</v>
      </c>
      <c r="I1243" s="7">
        <v>-1.34112748917749</v>
      </c>
      <c r="J1243" s="7">
        <v>-0.919147532467532</v>
      </c>
      <c r="K1243" s="8"/>
      <c r="L1243" s="8"/>
    </row>
    <row r="1244" ht="13.5" customHeight="1">
      <c r="A1244" s="7" t="s">
        <v>355</v>
      </c>
      <c r="B1244" s="7">
        <v>1.75</v>
      </c>
      <c r="C1244" s="7" t="s">
        <v>358</v>
      </c>
      <c r="D1244" s="7" t="s">
        <v>357</v>
      </c>
      <c r="E1244" s="7">
        <v>-5.87851480519481</v>
      </c>
      <c r="F1244" s="7">
        <v>0.473366796536797</v>
      </c>
      <c r="G1244" s="7">
        <v>0.679114199134199</v>
      </c>
      <c r="H1244" s="7">
        <v>-2.75657311688312E-4</v>
      </c>
      <c r="I1244" s="7">
        <v>-1.34792228138529</v>
      </c>
      <c r="J1244" s="7">
        <v>-0.923694584415584</v>
      </c>
      <c r="K1244" s="8"/>
      <c r="L1244" s="8"/>
    </row>
    <row r="1245" ht="13.5" customHeight="1">
      <c r="A1245" s="7" t="s">
        <v>355</v>
      </c>
      <c r="B1245" s="7">
        <v>3.5</v>
      </c>
      <c r="C1245" s="7" t="s">
        <v>358</v>
      </c>
      <c r="D1245" s="7" t="s">
        <v>357</v>
      </c>
      <c r="E1245" s="7">
        <v>-5.89537116883117</v>
      </c>
      <c r="F1245" s="7">
        <v>0.475077316017316</v>
      </c>
      <c r="G1245" s="7">
        <v>0.681378614718615</v>
      </c>
      <c r="H1245" s="7">
        <v>-2.76712415584416E-4</v>
      </c>
      <c r="I1245" s="7">
        <v>-1.35471707359308</v>
      </c>
      <c r="J1245" s="7">
        <v>-0.928241636363635</v>
      </c>
      <c r="K1245" s="8"/>
      <c r="L1245" s="8"/>
    </row>
    <row r="1246" ht="13.5" customHeight="1">
      <c r="A1246" s="7" t="s">
        <v>355</v>
      </c>
      <c r="B1246" s="7">
        <v>0.0</v>
      </c>
      <c r="C1246" s="7" t="s">
        <v>359</v>
      </c>
      <c r="D1246" s="7" t="s">
        <v>357</v>
      </c>
      <c r="E1246" s="7">
        <v>-5.91222753246753</v>
      </c>
      <c r="F1246" s="7">
        <v>0.476787835497836</v>
      </c>
      <c r="G1246" s="7">
        <v>0.68364303030303</v>
      </c>
      <c r="H1246" s="7">
        <v>-2.7776751948052E-4</v>
      </c>
      <c r="I1246" s="7">
        <v>-1.36151186580087</v>
      </c>
      <c r="J1246" s="7">
        <v>-0.932788688311687</v>
      </c>
      <c r="K1246" s="8"/>
      <c r="L1246" s="8"/>
    </row>
    <row r="1247" ht="13.5" customHeight="1">
      <c r="A1247" s="7" t="s">
        <v>355</v>
      </c>
      <c r="B1247" s="7">
        <v>1.75</v>
      </c>
      <c r="C1247" s="7" t="s">
        <v>359</v>
      </c>
      <c r="D1247" s="7" t="s">
        <v>357</v>
      </c>
      <c r="E1247" s="7">
        <v>-5.9290838961039</v>
      </c>
      <c r="F1247" s="7">
        <v>0.478498354978355</v>
      </c>
      <c r="G1247" s="7">
        <v>0.685907445887446</v>
      </c>
      <c r="H1247" s="7">
        <v>-2.78822623376624E-4</v>
      </c>
      <c r="I1247" s="7">
        <v>-1.36830665800866</v>
      </c>
      <c r="J1247" s="7">
        <v>-0.937335740259739</v>
      </c>
      <c r="K1247" s="8"/>
      <c r="L1247" s="8"/>
    </row>
    <row r="1248" ht="13.5" customHeight="1">
      <c r="A1248" s="7" t="s">
        <v>355</v>
      </c>
      <c r="B1248" s="7">
        <v>3.5</v>
      </c>
      <c r="C1248" s="7" t="s">
        <v>359</v>
      </c>
      <c r="D1248" s="7" t="s">
        <v>357</v>
      </c>
      <c r="E1248" s="7">
        <v>-5.94594025974026</v>
      </c>
      <c r="F1248" s="7">
        <v>0.480208874458875</v>
      </c>
      <c r="G1248" s="7">
        <v>0.688171861471861</v>
      </c>
      <c r="H1248" s="7">
        <v>-2.79877727272728E-4</v>
      </c>
      <c r="I1248" s="7">
        <v>-1.37510145021645</v>
      </c>
      <c r="J1248" s="7">
        <v>-0.941882792207791</v>
      </c>
      <c r="K1248" s="8"/>
      <c r="L1248" s="8"/>
    </row>
    <row r="1249" ht="13.5" customHeight="1">
      <c r="A1249" s="7" t="s">
        <v>355</v>
      </c>
      <c r="B1249" s="7">
        <v>0.0</v>
      </c>
      <c r="C1249" s="7" t="s">
        <v>360</v>
      </c>
      <c r="D1249" s="7" t="s">
        <v>357</v>
      </c>
      <c r="E1249" s="7">
        <v>-5.96279662337662</v>
      </c>
      <c r="F1249" s="7">
        <v>0.481919393939394</v>
      </c>
      <c r="G1249" s="7">
        <v>0.690436277056277</v>
      </c>
      <c r="H1249" s="7">
        <v>-2.80932831168832E-4</v>
      </c>
      <c r="I1249" s="7">
        <v>-1.38189624242425</v>
      </c>
      <c r="J1249" s="7">
        <v>-0.946429844155843</v>
      </c>
      <c r="K1249" s="8"/>
      <c r="L1249" s="8"/>
    </row>
    <row r="1250" ht="13.5" customHeight="1">
      <c r="A1250" s="7" t="s">
        <v>355</v>
      </c>
      <c r="B1250" s="7">
        <v>1.75</v>
      </c>
      <c r="C1250" s="7" t="s">
        <v>360</v>
      </c>
      <c r="D1250" s="7" t="s">
        <v>357</v>
      </c>
      <c r="E1250" s="7">
        <v>-5.97965298701299</v>
      </c>
      <c r="F1250" s="7">
        <v>0.483629913419914</v>
      </c>
      <c r="G1250" s="7">
        <v>0.692700692640693</v>
      </c>
      <c r="H1250" s="7">
        <v>-2.81987935064935E-4</v>
      </c>
      <c r="I1250" s="7">
        <v>-1.38869103463204</v>
      </c>
      <c r="J1250" s="7">
        <v>-0.950976896103895</v>
      </c>
      <c r="K1250" s="8"/>
      <c r="L1250" s="8"/>
    </row>
    <row r="1251" ht="13.5" customHeight="1">
      <c r="A1251" s="7" t="s">
        <v>355</v>
      </c>
      <c r="B1251" s="7">
        <v>3.5</v>
      </c>
      <c r="C1251" s="7" t="s">
        <v>360</v>
      </c>
      <c r="D1251" s="7" t="s">
        <v>357</v>
      </c>
      <c r="E1251" s="7">
        <v>-5.99650935064935</v>
      </c>
      <c r="F1251" s="7">
        <v>0.485340432900433</v>
      </c>
      <c r="G1251" s="7">
        <v>0.694965108225108</v>
      </c>
      <c r="H1251" s="7">
        <v>-2.83043038961039E-4</v>
      </c>
      <c r="I1251" s="7">
        <v>-1.39548582683983</v>
      </c>
      <c r="J1251" s="7">
        <v>-0.955523948051947</v>
      </c>
      <c r="K1251" s="8"/>
      <c r="L1251" s="8"/>
    </row>
    <row r="1252" ht="13.5" customHeight="1">
      <c r="A1252" s="7" t="s">
        <v>355</v>
      </c>
      <c r="B1252" s="7">
        <v>0.0</v>
      </c>
      <c r="C1252" s="7" t="s">
        <v>361</v>
      </c>
      <c r="D1252" s="7" t="s">
        <v>357</v>
      </c>
      <c r="E1252" s="7">
        <v>-6.01336571428572</v>
      </c>
      <c r="F1252" s="7">
        <v>0.487050952380953</v>
      </c>
      <c r="G1252" s="7">
        <v>0.697229523809524</v>
      </c>
      <c r="H1252" s="7">
        <v>-2.84098142857143E-4</v>
      </c>
      <c r="I1252" s="7">
        <v>-1.40228061904762</v>
      </c>
      <c r="J1252" s="7">
        <v>-0.960070999999999</v>
      </c>
      <c r="K1252" s="8"/>
      <c r="L1252" s="8"/>
    </row>
    <row r="1253" ht="13.5" customHeight="1">
      <c r="A1253" s="7" t="s">
        <v>355</v>
      </c>
      <c r="B1253" s="7">
        <v>1.75</v>
      </c>
      <c r="C1253" s="7" t="s">
        <v>361</v>
      </c>
      <c r="D1253" s="7" t="s">
        <v>357</v>
      </c>
      <c r="E1253" s="7">
        <v>-6.03022207792208</v>
      </c>
      <c r="F1253" s="7">
        <v>0.488761471861472</v>
      </c>
      <c r="G1253" s="7">
        <v>0.699493939393939</v>
      </c>
      <c r="H1253" s="7">
        <v>-2.85153246753247E-4</v>
      </c>
      <c r="I1253" s="7">
        <v>-1.40907541125542</v>
      </c>
      <c r="J1253" s="7">
        <v>-0.964618051948053</v>
      </c>
      <c r="K1253" s="8"/>
      <c r="L1253" s="8"/>
    </row>
    <row r="1254" ht="13.5" customHeight="1">
      <c r="A1254" s="7" t="s">
        <v>355</v>
      </c>
      <c r="B1254" s="7">
        <v>3.5</v>
      </c>
      <c r="C1254" s="7" t="s">
        <v>361</v>
      </c>
      <c r="D1254" s="7" t="s">
        <v>357</v>
      </c>
      <c r="E1254" s="7">
        <v>-6.04707844155844</v>
      </c>
      <c r="F1254" s="7">
        <v>0.490471991341992</v>
      </c>
      <c r="G1254" s="7">
        <v>0.701758354978355</v>
      </c>
      <c r="H1254" s="7">
        <v>-2.86208350649351E-4</v>
      </c>
      <c r="I1254" s="7">
        <v>-1.41587020346321</v>
      </c>
      <c r="J1254" s="7">
        <v>-0.969165103896103</v>
      </c>
      <c r="K1254" s="8"/>
      <c r="L1254" s="8"/>
    </row>
    <row r="1255" ht="13.5" customHeight="1">
      <c r="A1255" s="7" t="s">
        <v>355</v>
      </c>
      <c r="B1255" s="7">
        <v>0.0</v>
      </c>
      <c r="C1255" s="7" t="s">
        <v>362</v>
      </c>
      <c r="D1255" s="7" t="s">
        <v>357</v>
      </c>
      <c r="E1255" s="7">
        <v>-6.06393480519481</v>
      </c>
      <c r="F1255" s="7">
        <v>0.492182510822511</v>
      </c>
      <c r="G1255" s="7">
        <v>0.70402277056277</v>
      </c>
      <c r="H1255" s="7">
        <v>-2.87263454545455E-4</v>
      </c>
      <c r="I1255" s="7">
        <v>-1.422664995671</v>
      </c>
      <c r="J1255" s="7">
        <v>-0.973712155844153</v>
      </c>
      <c r="K1255" s="8"/>
      <c r="L1255" s="8"/>
    </row>
    <row r="1256" ht="13.5" customHeight="1">
      <c r="A1256" s="7" t="s">
        <v>355</v>
      </c>
      <c r="B1256" s="7">
        <v>1.75</v>
      </c>
      <c r="C1256" s="7" t="s">
        <v>362</v>
      </c>
      <c r="D1256" s="7" t="s">
        <v>357</v>
      </c>
      <c r="E1256" s="7">
        <v>-6.08079116883117</v>
      </c>
      <c r="F1256" s="7">
        <v>0.493893030303031</v>
      </c>
      <c r="G1256" s="7">
        <v>0.706287186147186</v>
      </c>
      <c r="H1256" s="7">
        <v>-2.88318558441559E-4</v>
      </c>
      <c r="I1256" s="7">
        <v>-1.42945978787879</v>
      </c>
      <c r="J1256" s="7">
        <v>-0.978259207792203</v>
      </c>
      <c r="K1256" s="8"/>
      <c r="L1256" s="8"/>
    </row>
    <row r="1257" ht="13.5" customHeight="1">
      <c r="A1257" s="7" t="s">
        <v>355</v>
      </c>
      <c r="B1257" s="7">
        <v>3.5</v>
      </c>
      <c r="C1257" s="7" t="s">
        <v>362</v>
      </c>
      <c r="D1257" s="7" t="s">
        <v>357</v>
      </c>
      <c r="E1257" s="7">
        <v>-6.09764753246753</v>
      </c>
      <c r="F1257" s="7">
        <v>0.49560354978355</v>
      </c>
      <c r="G1257" s="7">
        <v>0.708551601731602</v>
      </c>
      <c r="H1257" s="7">
        <v>-2.89373662337663E-4</v>
      </c>
      <c r="I1257" s="7">
        <v>-1.43625458008658</v>
      </c>
      <c r="J1257" s="7">
        <v>-0.982806259740263</v>
      </c>
      <c r="K1257" s="8"/>
      <c r="L1257" s="8"/>
    </row>
    <row r="1258" ht="13.5" customHeight="1">
      <c r="A1258" s="7" t="s">
        <v>355</v>
      </c>
      <c r="B1258" s="7">
        <v>0.0</v>
      </c>
      <c r="C1258" s="7" t="s">
        <v>363</v>
      </c>
      <c r="D1258" s="7" t="s">
        <v>357</v>
      </c>
      <c r="E1258" s="7">
        <v>-6.1145038961039</v>
      </c>
      <c r="F1258" s="7">
        <v>0.497314069264069</v>
      </c>
      <c r="G1258" s="7">
        <v>0.710816017316017</v>
      </c>
      <c r="H1258" s="7">
        <v>-2.90428766233767E-4</v>
      </c>
      <c r="I1258" s="7">
        <v>-1.44304937229438</v>
      </c>
      <c r="J1258" s="7">
        <v>-0.987353311688313</v>
      </c>
      <c r="K1258" s="8"/>
      <c r="L1258" s="8"/>
    </row>
    <row r="1259" ht="13.5" customHeight="1">
      <c r="A1259" s="7" t="s">
        <v>355</v>
      </c>
      <c r="B1259" s="7">
        <v>1.75</v>
      </c>
      <c r="C1259" s="7" t="s">
        <v>363</v>
      </c>
      <c r="D1259" s="7" t="s">
        <v>357</v>
      </c>
      <c r="E1259" s="7">
        <v>-6.13136025974026</v>
      </c>
      <c r="F1259" s="7">
        <v>0.499024588744589</v>
      </c>
      <c r="G1259" s="7">
        <v>0.713080432900433</v>
      </c>
      <c r="H1259" s="7">
        <v>-2.91483870129871E-4</v>
      </c>
      <c r="I1259" s="7">
        <v>-1.44984416450217</v>
      </c>
      <c r="J1259" s="7">
        <v>-0.991900363636363</v>
      </c>
      <c r="K1259" s="8"/>
      <c r="L1259" s="8"/>
    </row>
    <row r="1260" ht="13.5" customHeight="1">
      <c r="A1260" s="7" t="s">
        <v>355</v>
      </c>
      <c r="B1260" s="7">
        <v>3.5</v>
      </c>
      <c r="C1260" s="7" t="s">
        <v>363</v>
      </c>
      <c r="D1260" s="7" t="s">
        <v>357</v>
      </c>
      <c r="E1260" s="7">
        <v>-6.14821662337662</v>
      </c>
      <c r="F1260" s="7">
        <v>0.500735108225108</v>
      </c>
      <c r="G1260" s="7">
        <v>0.715344848484848</v>
      </c>
      <c r="H1260" s="7">
        <v>-2.92538974025974E-4</v>
      </c>
      <c r="I1260" s="7">
        <v>-1.45663895670996</v>
      </c>
      <c r="J1260" s="7">
        <v>-0.996447415584413</v>
      </c>
      <c r="K1260" s="8"/>
      <c r="L1260" s="8"/>
    </row>
    <row r="1261" ht="13.5" customHeight="1">
      <c r="A1261" s="7" t="s">
        <v>355</v>
      </c>
      <c r="B1261" s="7">
        <v>0.0</v>
      </c>
      <c r="C1261" s="7" t="s">
        <v>356</v>
      </c>
      <c r="D1261" s="7" t="s">
        <v>357</v>
      </c>
      <c r="E1261" s="7">
        <v>-6.16507298701299</v>
      </c>
      <c r="F1261" s="7">
        <v>0.502445627705628</v>
      </c>
      <c r="G1261" s="7">
        <v>0.717609264069264</v>
      </c>
      <c r="H1261" s="7">
        <v>-2.93594077922078E-4</v>
      </c>
      <c r="I1261" s="7">
        <v>-1.46343374891775</v>
      </c>
      <c r="J1261" s="7">
        <v>-1.00099446753246</v>
      </c>
      <c r="K1261" s="8"/>
      <c r="L1261" s="8"/>
    </row>
    <row r="1262" ht="13.5" customHeight="1">
      <c r="A1262" s="7" t="s">
        <v>355</v>
      </c>
      <c r="B1262" s="7">
        <v>1.75</v>
      </c>
      <c r="C1262" s="7" t="s">
        <v>356</v>
      </c>
      <c r="D1262" s="7" t="s">
        <v>357</v>
      </c>
      <c r="E1262" s="7">
        <v>-6.18192935064935</v>
      </c>
      <c r="F1262" s="7">
        <v>0.504156147186147</v>
      </c>
      <c r="G1262" s="7">
        <v>0.71987367965368</v>
      </c>
      <c r="H1262" s="7">
        <v>-2.94649181818182E-4</v>
      </c>
      <c r="I1262" s="7">
        <v>-1.47022854112555</v>
      </c>
      <c r="J1262" s="7">
        <v>-1.00554151948052</v>
      </c>
      <c r="K1262" s="8"/>
      <c r="L1262" s="8"/>
    </row>
    <row r="1263" ht="13.5" customHeight="1">
      <c r="A1263" s="7" t="s">
        <v>355</v>
      </c>
      <c r="B1263" s="7">
        <v>3.5</v>
      </c>
      <c r="C1263" s="7" t="s">
        <v>356</v>
      </c>
      <c r="D1263" s="7" t="s">
        <v>357</v>
      </c>
      <c r="E1263" s="7">
        <v>-6.19878571428572</v>
      </c>
      <c r="F1263" s="7">
        <v>0.505866666666667</v>
      </c>
      <c r="G1263" s="7">
        <v>0.722138095238095</v>
      </c>
      <c r="H1263" s="7">
        <v>-2.95704285714286E-4</v>
      </c>
      <c r="I1263" s="7">
        <v>-1.47702333333334</v>
      </c>
      <c r="J1263" s="7">
        <v>-1.01008857142857</v>
      </c>
      <c r="K1263" s="8"/>
      <c r="L1263" s="8"/>
    </row>
    <row r="1264" ht="13.5" customHeight="1">
      <c r="A1264" s="7" t="s">
        <v>355</v>
      </c>
      <c r="B1264" s="7">
        <v>0.0</v>
      </c>
      <c r="C1264" s="7" t="s">
        <v>358</v>
      </c>
      <c r="D1264" s="7" t="s">
        <v>357</v>
      </c>
      <c r="E1264" s="7">
        <v>-6.21564207792208</v>
      </c>
      <c r="F1264" s="7">
        <v>0.507577186147186</v>
      </c>
      <c r="G1264" s="7">
        <v>0.724402510822511</v>
      </c>
      <c r="H1264" s="7">
        <v>-2.9675938961039E-4</v>
      </c>
      <c r="I1264" s="7">
        <v>-1.48381812554113</v>
      </c>
      <c r="J1264" s="7">
        <v>-1.01463562337662</v>
      </c>
      <c r="K1264" s="8"/>
      <c r="L1264" s="8"/>
    </row>
    <row r="1265" ht="13.5" customHeight="1">
      <c r="A1265" s="7" t="s">
        <v>355</v>
      </c>
      <c r="B1265" s="7">
        <v>1.75</v>
      </c>
      <c r="C1265" s="7" t="s">
        <v>358</v>
      </c>
      <c r="D1265" s="7" t="s">
        <v>357</v>
      </c>
      <c r="E1265" s="7">
        <v>-6.23249844155844</v>
      </c>
      <c r="F1265" s="7">
        <v>0.509287705627706</v>
      </c>
      <c r="G1265" s="7">
        <v>0.726666926406926</v>
      </c>
      <c r="H1265" s="7">
        <v>-2.97814493506494E-4</v>
      </c>
      <c r="I1265" s="7">
        <v>-1.49061291774892</v>
      </c>
      <c r="J1265" s="7">
        <v>-1.01918267532467</v>
      </c>
      <c r="K1265" s="8"/>
      <c r="L1265" s="8"/>
    </row>
    <row r="1266" ht="13.5" customHeight="1">
      <c r="A1266" s="7" t="s">
        <v>355</v>
      </c>
      <c r="B1266" s="7">
        <v>3.5</v>
      </c>
      <c r="C1266" s="7" t="s">
        <v>358</v>
      </c>
      <c r="D1266" s="7" t="s">
        <v>357</v>
      </c>
      <c r="E1266" s="7">
        <v>-6.24935480519481</v>
      </c>
      <c r="F1266" s="7">
        <v>0.510998225108225</v>
      </c>
      <c r="G1266" s="7">
        <v>0.728931341991342</v>
      </c>
      <c r="H1266" s="7">
        <v>-2.98869597402598E-4</v>
      </c>
      <c r="I1266" s="7">
        <v>-1.49740770995671</v>
      </c>
      <c r="J1266" s="7">
        <v>-1.02372972727272</v>
      </c>
      <c r="K1266" s="8"/>
      <c r="L1266" s="8"/>
    </row>
    <row r="1267" ht="13.5" customHeight="1">
      <c r="A1267" s="7" t="s">
        <v>355</v>
      </c>
      <c r="B1267" s="7">
        <v>0.0</v>
      </c>
      <c r="C1267" s="7" t="s">
        <v>359</v>
      </c>
      <c r="D1267" s="7" t="s">
        <v>357</v>
      </c>
      <c r="E1267" s="7">
        <v>-6.26621116883117</v>
      </c>
      <c r="F1267" s="7">
        <v>0.512708744588745</v>
      </c>
      <c r="G1267" s="7">
        <v>0.731195757575758</v>
      </c>
      <c r="H1267" s="7">
        <v>-2.99924701298702E-4</v>
      </c>
      <c r="I1267" s="7">
        <v>-1.50420250216451</v>
      </c>
      <c r="J1267" s="7">
        <v>-1.02827677922078</v>
      </c>
      <c r="K1267" s="8"/>
      <c r="L1267" s="8"/>
    </row>
    <row r="1268" ht="13.5" customHeight="1">
      <c r="A1268" s="7" t="s">
        <v>355</v>
      </c>
      <c r="B1268" s="7">
        <v>1.75</v>
      </c>
      <c r="C1268" s="7" t="s">
        <v>359</v>
      </c>
      <c r="D1268" s="7" t="s">
        <v>357</v>
      </c>
      <c r="E1268" s="7">
        <v>-6.28306753246753</v>
      </c>
      <c r="F1268" s="7">
        <v>0.514419264069264</v>
      </c>
      <c r="G1268" s="7">
        <v>0.733460173160173</v>
      </c>
      <c r="H1268" s="7">
        <v>-3.00979805194806E-4</v>
      </c>
      <c r="I1268" s="7">
        <v>-1.5109972943723</v>
      </c>
      <c r="J1268" s="7">
        <v>-1.03282383116883</v>
      </c>
      <c r="K1268" s="8"/>
      <c r="L1268" s="8"/>
    </row>
    <row r="1269" ht="13.5" customHeight="1">
      <c r="A1269" s="7" t="s">
        <v>355</v>
      </c>
      <c r="B1269" s="7">
        <v>3.5</v>
      </c>
      <c r="C1269" s="7" t="s">
        <v>359</v>
      </c>
      <c r="D1269" s="7" t="s">
        <v>357</v>
      </c>
      <c r="E1269" s="7">
        <v>-6.2999238961039</v>
      </c>
      <c r="F1269" s="7">
        <v>0.516129783549784</v>
      </c>
      <c r="G1269" s="7">
        <v>0.735724588744589</v>
      </c>
      <c r="H1269" s="7">
        <v>-3.02034909090909E-4</v>
      </c>
      <c r="I1269" s="7">
        <v>-1.51779208658009</v>
      </c>
      <c r="J1269" s="7">
        <v>-1.03737088311688</v>
      </c>
      <c r="K1269" s="8"/>
      <c r="L1269" s="8"/>
    </row>
    <row r="1270" ht="13.5" customHeight="1">
      <c r="A1270" s="7" t="s">
        <v>355</v>
      </c>
      <c r="B1270" s="7">
        <v>0.0</v>
      </c>
      <c r="C1270" s="7" t="s">
        <v>360</v>
      </c>
      <c r="D1270" s="7" t="s">
        <v>357</v>
      </c>
      <c r="E1270" s="7">
        <v>-6.31678025974026</v>
      </c>
      <c r="F1270" s="7">
        <v>0.517840303030303</v>
      </c>
      <c r="G1270" s="7">
        <v>0.737989004329004</v>
      </c>
      <c r="H1270" s="7">
        <v>-3.03090012987013E-4</v>
      </c>
      <c r="I1270" s="7">
        <v>-1.52458687878788</v>
      </c>
      <c r="J1270" s="7">
        <v>-1.04191793506493</v>
      </c>
      <c r="K1270" s="8"/>
      <c r="L1270" s="8"/>
    </row>
    <row r="1271" ht="13.5" customHeight="1">
      <c r="A1271" s="7" t="s">
        <v>355</v>
      </c>
      <c r="B1271" s="7">
        <v>1.75</v>
      </c>
      <c r="C1271" s="7" t="s">
        <v>360</v>
      </c>
      <c r="D1271" s="7" t="s">
        <v>357</v>
      </c>
      <c r="E1271" s="7">
        <v>-6.33363662337662</v>
      </c>
      <c r="F1271" s="7">
        <v>0.519550822510823</v>
      </c>
      <c r="G1271" s="7">
        <v>0.74025341991342</v>
      </c>
      <c r="H1271" s="7">
        <v>-3.04145116883117E-4</v>
      </c>
      <c r="I1271" s="7">
        <v>-1.53138167099567</v>
      </c>
      <c r="J1271" s="7">
        <v>-1.04646498701298</v>
      </c>
      <c r="K1271" s="8"/>
      <c r="L1271" s="8"/>
    </row>
    <row r="1272" ht="13.5" customHeight="1">
      <c r="A1272" s="7" t="s">
        <v>355</v>
      </c>
      <c r="B1272" s="7">
        <v>3.5</v>
      </c>
      <c r="C1272" s="7" t="s">
        <v>360</v>
      </c>
      <c r="D1272" s="7" t="s">
        <v>357</v>
      </c>
      <c r="E1272" s="7">
        <v>-6.35049298701299</v>
      </c>
      <c r="F1272" s="7">
        <v>0.521261341991342</v>
      </c>
      <c r="G1272" s="7">
        <v>0.742517835497835</v>
      </c>
      <c r="H1272" s="7">
        <v>-3.05200220779221E-4</v>
      </c>
      <c r="I1272" s="7">
        <v>-1.53817646320347</v>
      </c>
      <c r="J1272" s="7">
        <v>-1.05101203896103</v>
      </c>
      <c r="K1272" s="8"/>
      <c r="L1272" s="8"/>
    </row>
    <row r="1273" ht="13.5" customHeight="1">
      <c r="A1273" s="7" t="s">
        <v>355</v>
      </c>
      <c r="B1273" s="7">
        <v>0.0</v>
      </c>
      <c r="C1273" s="7" t="s">
        <v>361</v>
      </c>
      <c r="D1273" s="7" t="s">
        <v>357</v>
      </c>
      <c r="E1273" s="7">
        <v>-6.36734935064935</v>
      </c>
      <c r="F1273" s="7">
        <v>0.522971861471862</v>
      </c>
      <c r="G1273" s="7">
        <v>0.744782251082251</v>
      </c>
      <c r="H1273" s="7">
        <v>-3.06255324675325E-4</v>
      </c>
      <c r="I1273" s="7">
        <v>-1.54497125541126</v>
      </c>
      <c r="J1273" s="7">
        <v>-1.05555909090909</v>
      </c>
      <c r="K1273" s="8"/>
      <c r="L1273" s="8"/>
    </row>
    <row r="1274" ht="13.5" customHeight="1">
      <c r="A1274" s="7" t="s">
        <v>355</v>
      </c>
      <c r="B1274" s="7">
        <v>1.75</v>
      </c>
      <c r="C1274" s="7" t="s">
        <v>361</v>
      </c>
      <c r="D1274" s="7" t="s">
        <v>357</v>
      </c>
      <c r="E1274" s="7">
        <v>-6.38420571428572</v>
      </c>
      <c r="F1274" s="7">
        <v>0.524682380952381</v>
      </c>
      <c r="G1274" s="7">
        <v>0.747046666666667</v>
      </c>
      <c r="H1274" s="7">
        <v>-3.07310428571429E-4</v>
      </c>
      <c r="I1274" s="7">
        <v>-1.55176604761905</v>
      </c>
      <c r="J1274" s="7">
        <v>-1.06010614285714</v>
      </c>
      <c r="K1274" s="8"/>
      <c r="L1274" s="8"/>
    </row>
    <row r="1275" ht="13.5" customHeight="1">
      <c r="A1275" s="7" t="s">
        <v>355</v>
      </c>
      <c r="B1275" s="7">
        <v>3.5</v>
      </c>
      <c r="C1275" s="7" t="s">
        <v>361</v>
      </c>
      <c r="D1275" s="7" t="s">
        <v>357</v>
      </c>
      <c r="E1275" s="7">
        <v>-6.40106207792208</v>
      </c>
      <c r="F1275" s="7">
        <v>0.526392900432901</v>
      </c>
      <c r="G1275" s="7">
        <v>0.749311082251082</v>
      </c>
      <c r="H1275" s="7">
        <v>-3.08365532467533E-4</v>
      </c>
      <c r="I1275" s="7">
        <v>-1.55856083982684</v>
      </c>
      <c r="J1275" s="7">
        <v>-1.06465319480519</v>
      </c>
      <c r="K1275" s="8"/>
      <c r="L1275" s="8"/>
    </row>
    <row r="1276" ht="13.5" customHeight="1">
      <c r="A1276" s="7" t="s">
        <v>355</v>
      </c>
      <c r="B1276" s="7">
        <v>0.0</v>
      </c>
      <c r="C1276" s="7" t="s">
        <v>362</v>
      </c>
      <c r="D1276" s="7" t="s">
        <v>357</v>
      </c>
      <c r="E1276" s="7">
        <v>-6.41791844155844</v>
      </c>
      <c r="F1276" s="7">
        <v>0.52810341991342</v>
      </c>
      <c r="G1276" s="7">
        <v>0.751575497835498</v>
      </c>
      <c r="H1276" s="7">
        <v>-3.09420636363637E-4</v>
      </c>
      <c r="I1276" s="7">
        <v>-1.56535563203464</v>
      </c>
      <c r="J1276" s="7">
        <v>-1.06920024675324</v>
      </c>
      <c r="K1276" s="8"/>
      <c r="L1276" s="8"/>
    </row>
    <row r="1277" ht="13.5" customHeight="1">
      <c r="A1277" s="7" t="s">
        <v>355</v>
      </c>
      <c r="B1277" s="7">
        <v>1.75</v>
      </c>
      <c r="C1277" s="7" t="s">
        <v>362</v>
      </c>
      <c r="D1277" s="7" t="s">
        <v>357</v>
      </c>
      <c r="E1277" s="7">
        <v>-6.43477480519481</v>
      </c>
      <c r="F1277" s="7">
        <v>0.52981393939394</v>
      </c>
      <c r="G1277" s="7">
        <v>0.753839913419913</v>
      </c>
      <c r="H1277" s="7">
        <v>-3.10475740259741E-4</v>
      </c>
      <c r="I1277" s="7">
        <v>-1.57215042424243</v>
      </c>
      <c r="J1277" s="7">
        <v>-1.07374729870129</v>
      </c>
      <c r="K1277" s="8"/>
      <c r="L1277" s="8"/>
    </row>
    <row r="1278" ht="13.5" customHeight="1">
      <c r="A1278" s="7" t="s">
        <v>355</v>
      </c>
      <c r="B1278" s="7">
        <v>3.5</v>
      </c>
      <c r="C1278" s="7" t="s">
        <v>362</v>
      </c>
      <c r="D1278" s="7" t="s">
        <v>357</v>
      </c>
      <c r="E1278" s="7">
        <v>-6.45163116883117</v>
      </c>
      <c r="F1278" s="7">
        <v>0.531524458874459</v>
      </c>
      <c r="G1278" s="7">
        <v>0.756104329004329</v>
      </c>
      <c r="H1278" s="7">
        <v>-3.11530844155845E-4</v>
      </c>
      <c r="I1278" s="7">
        <v>-1.57894521645022</v>
      </c>
      <c r="J1278" s="7">
        <v>-1.07829435064935</v>
      </c>
      <c r="K1278" s="8"/>
      <c r="L1278" s="8"/>
    </row>
    <row r="1279" ht="13.5" customHeight="1">
      <c r="A1279" s="7" t="s">
        <v>355</v>
      </c>
      <c r="B1279" s="7">
        <v>0.0</v>
      </c>
      <c r="C1279" s="7" t="s">
        <v>363</v>
      </c>
      <c r="D1279" s="7" t="s">
        <v>357</v>
      </c>
      <c r="E1279" s="7">
        <v>-6.46848753246753</v>
      </c>
      <c r="F1279" s="7">
        <v>0.533234978354979</v>
      </c>
      <c r="G1279" s="7">
        <v>0.758368744588745</v>
      </c>
      <c r="H1279" s="7">
        <v>-3.12585948051948E-4</v>
      </c>
      <c r="I1279" s="7">
        <v>-1.58574000865801</v>
      </c>
      <c r="J1279" s="7">
        <v>-1.0828414025974</v>
      </c>
      <c r="K1279" s="8"/>
      <c r="L1279" s="8"/>
    </row>
    <row r="1280" ht="13.5" customHeight="1">
      <c r="A1280" s="7" t="s">
        <v>355</v>
      </c>
      <c r="B1280" s="7">
        <v>1.75</v>
      </c>
      <c r="C1280" s="7" t="s">
        <v>363</v>
      </c>
      <c r="D1280" s="7" t="s">
        <v>357</v>
      </c>
      <c r="E1280" s="7">
        <v>-6.4853438961039</v>
      </c>
      <c r="F1280" s="7">
        <v>0.534945497835498</v>
      </c>
      <c r="G1280" s="7">
        <v>0.76063316017316</v>
      </c>
      <c r="H1280" s="7">
        <v>-3.13641051948052E-4</v>
      </c>
      <c r="I1280" s="7">
        <v>-1.5925348008658</v>
      </c>
      <c r="J1280" s="7">
        <v>-1.08738845454545</v>
      </c>
      <c r="K1280" s="8"/>
      <c r="L1280" s="8"/>
    </row>
    <row r="1281" ht="13.5" customHeight="1">
      <c r="A1281" s="7" t="s">
        <v>355</v>
      </c>
      <c r="B1281" s="7">
        <v>3.5</v>
      </c>
      <c r="C1281" s="7" t="s">
        <v>363</v>
      </c>
      <c r="D1281" s="7" t="s">
        <v>357</v>
      </c>
      <c r="E1281" s="7">
        <v>-6.50220025974026</v>
      </c>
      <c r="F1281" s="7">
        <v>0.536656017316018</v>
      </c>
      <c r="G1281" s="7">
        <v>0.762897575757576</v>
      </c>
      <c r="H1281" s="7">
        <v>-3.14696155844156E-4</v>
      </c>
      <c r="I1281" s="7">
        <v>-1.5993295930736</v>
      </c>
      <c r="J1281" s="7">
        <v>-1.0919355064935</v>
      </c>
      <c r="K1281" s="8"/>
      <c r="L1281" s="8"/>
    </row>
    <row r="1282" ht="13.5" customHeight="1">
      <c r="A1282" s="7" t="s">
        <v>355</v>
      </c>
      <c r="B1282" s="7">
        <v>0.0</v>
      </c>
      <c r="C1282" s="7" t="s">
        <v>356</v>
      </c>
      <c r="D1282" s="7" t="s">
        <v>357</v>
      </c>
      <c r="E1282" s="7">
        <v>-6.51905662337662</v>
      </c>
      <c r="F1282" s="7">
        <v>0.538366536796537</v>
      </c>
      <c r="G1282" s="7">
        <v>0.765161991341991</v>
      </c>
      <c r="H1282" s="7">
        <v>-3.1575125974026E-4</v>
      </c>
      <c r="I1282" s="7">
        <v>-1.60612438528139</v>
      </c>
      <c r="J1282" s="7">
        <v>-1.09648255844155</v>
      </c>
      <c r="K1282" s="8"/>
      <c r="L1282" s="8"/>
    </row>
    <row r="1283" ht="13.5" customHeight="1">
      <c r="A1283" s="7" t="s">
        <v>355</v>
      </c>
      <c r="B1283" s="7">
        <v>1.75</v>
      </c>
      <c r="C1283" s="7" t="s">
        <v>356</v>
      </c>
      <c r="D1283" s="7" t="s">
        <v>357</v>
      </c>
      <c r="E1283" s="7">
        <v>-6.53591298701299</v>
      </c>
      <c r="F1283" s="7">
        <v>0.540077056277057</v>
      </c>
      <c r="G1283" s="7">
        <v>0.767426406926407</v>
      </c>
      <c r="H1283" s="7">
        <v>-3.16806363636364E-4</v>
      </c>
      <c r="I1283" s="7">
        <v>-1.61291917748918</v>
      </c>
      <c r="J1283" s="7">
        <v>-1.10102961038961</v>
      </c>
      <c r="K1283" s="8"/>
      <c r="L1283" s="8"/>
    </row>
    <row r="1284" ht="13.5" customHeight="1">
      <c r="A1284" s="7" t="s">
        <v>355</v>
      </c>
      <c r="B1284" s="7">
        <v>3.5</v>
      </c>
      <c r="C1284" s="7" t="s">
        <v>356</v>
      </c>
      <c r="D1284" s="7" t="s">
        <v>357</v>
      </c>
      <c r="E1284" s="7">
        <v>-6.55276935064935</v>
      </c>
      <c r="F1284" s="7">
        <v>0.541787575757576</v>
      </c>
      <c r="G1284" s="7">
        <v>0.769690822510822</v>
      </c>
      <c r="H1284" s="7">
        <v>-3.17861467532468E-4</v>
      </c>
      <c r="I1284" s="7">
        <v>-1.61971396969697</v>
      </c>
      <c r="J1284" s="7">
        <v>-1.10557666233766</v>
      </c>
      <c r="K1284" s="8"/>
      <c r="L1284" s="8"/>
    </row>
    <row r="1285" ht="13.5" customHeight="1">
      <c r="A1285" s="7" t="s">
        <v>355</v>
      </c>
      <c r="B1285" s="7">
        <v>0.0</v>
      </c>
      <c r="C1285" s="7" t="s">
        <v>358</v>
      </c>
      <c r="D1285" s="7" t="s">
        <v>357</v>
      </c>
      <c r="E1285" s="7">
        <v>-6.56962571428571</v>
      </c>
      <c r="F1285" s="7">
        <v>0.543498095238096</v>
      </c>
      <c r="G1285" s="7">
        <v>0.771955238095238</v>
      </c>
      <c r="H1285" s="7">
        <v>-3.18916571428572E-4</v>
      </c>
      <c r="I1285" s="7">
        <v>-1.62650876190477</v>
      </c>
      <c r="J1285" s="7">
        <v>-1.11012371428571</v>
      </c>
      <c r="K1285" s="8"/>
      <c r="L1285" s="8"/>
    </row>
    <row r="1286" ht="13.5" customHeight="1">
      <c r="A1286" s="7" t="s">
        <v>355</v>
      </c>
      <c r="B1286" s="7">
        <v>1.75</v>
      </c>
      <c r="C1286" s="7" t="s">
        <v>358</v>
      </c>
      <c r="D1286" s="7" t="s">
        <v>357</v>
      </c>
      <c r="E1286" s="7">
        <v>-6.58648207792208</v>
      </c>
      <c r="F1286" s="7">
        <v>0.545208614718615</v>
      </c>
      <c r="G1286" s="7">
        <v>0.774219653679654</v>
      </c>
      <c r="H1286" s="7">
        <v>-3.19971675324676E-4</v>
      </c>
      <c r="I1286" s="7">
        <v>-1.63330355411256</v>
      </c>
      <c r="J1286" s="7">
        <v>-1.11467076623376</v>
      </c>
      <c r="K1286" s="8"/>
      <c r="L1286" s="8"/>
    </row>
    <row r="1287" ht="13.5" customHeight="1">
      <c r="A1287" s="7" t="s">
        <v>355</v>
      </c>
      <c r="B1287" s="7">
        <v>3.5</v>
      </c>
      <c r="C1287" s="7" t="s">
        <v>358</v>
      </c>
      <c r="D1287" s="7" t="s">
        <v>357</v>
      </c>
      <c r="E1287" s="7">
        <v>-6.60333844155844</v>
      </c>
      <c r="F1287" s="7">
        <v>0.546919134199134</v>
      </c>
      <c r="G1287" s="7">
        <v>0.776484069264069</v>
      </c>
      <c r="H1287" s="7">
        <v>-3.2102677922078E-4</v>
      </c>
      <c r="I1287" s="7">
        <v>-1.64009834632035</v>
      </c>
      <c r="J1287" s="7">
        <v>-1.11921781818181</v>
      </c>
      <c r="K1287" s="8"/>
      <c r="L1287" s="8"/>
    </row>
    <row r="1288" ht="13.5" customHeight="1">
      <c r="A1288" s="7" t="s">
        <v>355</v>
      </c>
      <c r="B1288" s="7">
        <v>0.0</v>
      </c>
      <c r="C1288" s="7" t="s">
        <v>359</v>
      </c>
      <c r="D1288" s="7" t="s">
        <v>357</v>
      </c>
      <c r="E1288" s="7">
        <v>-6.62019480519481</v>
      </c>
      <c r="F1288" s="7">
        <v>0.548629653679654</v>
      </c>
      <c r="G1288" s="7">
        <v>0.778748484848485</v>
      </c>
      <c r="H1288" s="7">
        <v>-3.22081883116884E-4</v>
      </c>
      <c r="I1288" s="7">
        <v>-1.64689313852814</v>
      </c>
      <c r="J1288" s="7">
        <v>-1.12376487012987</v>
      </c>
      <c r="K1288" s="8"/>
      <c r="L1288" s="8"/>
    </row>
    <row r="1289" ht="13.5" customHeight="1">
      <c r="A1289" s="7" t="s">
        <v>355</v>
      </c>
      <c r="B1289" s="7">
        <v>1.75</v>
      </c>
      <c r="C1289" s="7" t="s">
        <v>359</v>
      </c>
      <c r="D1289" s="7" t="s">
        <v>357</v>
      </c>
      <c r="E1289" s="7">
        <v>-6.63705116883117</v>
      </c>
      <c r="F1289" s="7">
        <v>0.550340173160173</v>
      </c>
      <c r="G1289" s="7">
        <v>0.7810129004329</v>
      </c>
      <c r="H1289" s="7">
        <v>-3.23136987012987E-4</v>
      </c>
      <c r="I1289" s="7">
        <v>-1.65368793073593</v>
      </c>
      <c r="J1289" s="7">
        <v>-1.12831192207792</v>
      </c>
      <c r="K1289" s="8"/>
      <c r="L1289" s="8"/>
    </row>
    <row r="1290" ht="13.5" customHeight="1">
      <c r="A1290" s="7" t="s">
        <v>355</v>
      </c>
      <c r="B1290" s="7">
        <v>3.5</v>
      </c>
      <c r="C1290" s="7" t="s">
        <v>359</v>
      </c>
      <c r="D1290" s="7" t="s">
        <v>357</v>
      </c>
      <c r="E1290" s="7">
        <v>-6.65390753246753</v>
      </c>
      <c r="F1290" s="7">
        <v>0.552050692640693</v>
      </c>
      <c r="G1290" s="7">
        <v>0.783277316017316</v>
      </c>
      <c r="H1290" s="7">
        <v>-3.24192090909091E-4</v>
      </c>
      <c r="I1290" s="7">
        <v>-1.66048272294373</v>
      </c>
      <c r="J1290" s="7">
        <v>-1.13285897402597</v>
      </c>
      <c r="K1290" s="8"/>
      <c r="L1290" s="8"/>
    </row>
    <row r="1291" ht="13.5" customHeight="1">
      <c r="A1291" s="7" t="s">
        <v>355</v>
      </c>
      <c r="B1291" s="7">
        <v>0.0</v>
      </c>
      <c r="C1291" s="7" t="s">
        <v>360</v>
      </c>
      <c r="D1291" s="7" t="s">
        <v>357</v>
      </c>
      <c r="E1291" s="7">
        <v>-6.6707638961039</v>
      </c>
      <c r="F1291" s="7">
        <v>0.553761212121212</v>
      </c>
      <c r="G1291" s="7">
        <v>0.785541731601732</v>
      </c>
      <c r="H1291" s="7">
        <v>-3.25247194805195E-4</v>
      </c>
      <c r="I1291" s="7">
        <v>-1.66727751515152</v>
      </c>
      <c r="J1291" s="7">
        <v>-1.13740602597402</v>
      </c>
      <c r="K1291" s="8"/>
      <c r="L1291" s="8"/>
    </row>
    <row r="1292" ht="13.5" customHeight="1">
      <c r="A1292" s="7" t="s">
        <v>355</v>
      </c>
      <c r="B1292" s="7">
        <v>1.75</v>
      </c>
      <c r="C1292" s="7" t="s">
        <v>360</v>
      </c>
      <c r="D1292" s="7" t="s">
        <v>357</v>
      </c>
      <c r="E1292" s="7">
        <v>-6.68762025974026</v>
      </c>
      <c r="F1292" s="7">
        <v>0.555471731601732</v>
      </c>
      <c r="G1292" s="7">
        <v>0.787806147186147</v>
      </c>
      <c r="H1292" s="7">
        <v>-3.26302298701299E-4</v>
      </c>
      <c r="I1292" s="7">
        <v>-1.67407230735931</v>
      </c>
      <c r="J1292" s="7">
        <v>-1.14195307792207</v>
      </c>
      <c r="K1292" s="8"/>
      <c r="L1292" s="8"/>
    </row>
    <row r="1293" ht="13.5" customHeight="1">
      <c r="A1293" s="7" t="s">
        <v>355</v>
      </c>
      <c r="B1293" s="7">
        <v>3.5</v>
      </c>
      <c r="C1293" s="7" t="s">
        <v>360</v>
      </c>
      <c r="D1293" s="7" t="s">
        <v>357</v>
      </c>
      <c r="E1293" s="7">
        <v>-6.70447662337662</v>
      </c>
      <c r="F1293" s="7">
        <v>0.557182251082251</v>
      </c>
      <c r="G1293" s="7">
        <v>0.790070562770563</v>
      </c>
      <c r="H1293" s="7">
        <v>-3.27357402597403E-4</v>
      </c>
      <c r="I1293" s="7">
        <v>-1.6808670995671</v>
      </c>
      <c r="J1293" s="7">
        <v>-1.14650012987013</v>
      </c>
      <c r="K1293" s="8"/>
      <c r="L1293" s="8"/>
    </row>
    <row r="1294" ht="13.5" customHeight="1">
      <c r="A1294" s="7" t="s">
        <v>355</v>
      </c>
      <c r="B1294" s="7">
        <v>0.0</v>
      </c>
      <c r="C1294" s="7" t="s">
        <v>361</v>
      </c>
      <c r="D1294" s="7" t="s">
        <v>357</v>
      </c>
      <c r="E1294" s="7">
        <v>-6.72133298701299</v>
      </c>
      <c r="F1294" s="7">
        <v>0.558892770562771</v>
      </c>
      <c r="G1294" s="7">
        <v>0.792334978354978</v>
      </c>
      <c r="H1294" s="7">
        <v>-3.28412506493507E-4</v>
      </c>
      <c r="I1294" s="7">
        <v>-1.6876618917749</v>
      </c>
      <c r="J1294" s="7">
        <v>-1.15104718181818</v>
      </c>
      <c r="K1294" s="8"/>
      <c r="L1294" s="8"/>
    </row>
    <row r="1295" ht="13.5" customHeight="1">
      <c r="A1295" s="7" t="s">
        <v>355</v>
      </c>
      <c r="B1295" s="7">
        <v>1.75</v>
      </c>
      <c r="C1295" s="7" t="s">
        <v>361</v>
      </c>
      <c r="D1295" s="7" t="s">
        <v>357</v>
      </c>
      <c r="E1295" s="7">
        <v>-6.73818935064935</v>
      </c>
      <c r="F1295" s="7">
        <v>0.56060329004329</v>
      </c>
      <c r="G1295" s="7">
        <v>0.794599393939394</v>
      </c>
      <c r="H1295" s="7">
        <v>-3.29467610389611E-4</v>
      </c>
      <c r="I1295" s="7">
        <v>-1.69445668398269</v>
      </c>
      <c r="J1295" s="7">
        <v>-1.15559423376623</v>
      </c>
      <c r="K1295" s="8"/>
      <c r="L1295" s="8"/>
    </row>
    <row r="1296" ht="13.5" customHeight="1">
      <c r="A1296" s="7" t="s">
        <v>355</v>
      </c>
      <c r="B1296" s="7">
        <v>3.5</v>
      </c>
      <c r="C1296" s="7" t="s">
        <v>361</v>
      </c>
      <c r="D1296" s="7" t="s">
        <v>357</v>
      </c>
      <c r="E1296" s="7">
        <v>-6.75504571428571</v>
      </c>
      <c r="F1296" s="7">
        <v>0.56231380952381</v>
      </c>
      <c r="G1296" s="7">
        <v>0.796863809523809</v>
      </c>
      <c r="H1296" s="7">
        <v>-3.30522714285715E-4</v>
      </c>
      <c r="I1296" s="7">
        <v>-1.70125147619048</v>
      </c>
      <c r="J1296" s="7">
        <v>-1.16014128571428</v>
      </c>
      <c r="K1296" s="8"/>
      <c r="L1296" s="8"/>
    </row>
    <row r="1297" ht="13.5" customHeight="1">
      <c r="A1297" s="7" t="s">
        <v>355</v>
      </c>
      <c r="B1297" s="7">
        <v>0.0</v>
      </c>
      <c r="C1297" s="7" t="s">
        <v>362</v>
      </c>
      <c r="D1297" s="7" t="s">
        <v>357</v>
      </c>
      <c r="E1297" s="7">
        <v>-6.77190207792208</v>
      </c>
      <c r="F1297" s="7">
        <v>0.564024329004329</v>
      </c>
      <c r="G1297" s="7">
        <v>0.799128225108225</v>
      </c>
      <c r="H1297" s="7">
        <v>-3.31577818181819E-4</v>
      </c>
      <c r="I1297" s="7">
        <v>-1.70804626839827</v>
      </c>
      <c r="J1297" s="7">
        <v>-1.16468833766233</v>
      </c>
      <c r="K1297" s="8"/>
      <c r="L1297" s="8"/>
    </row>
    <row r="1298" ht="13.5" customHeight="1">
      <c r="A1298" s="7" t="s">
        <v>355</v>
      </c>
      <c r="B1298" s="7">
        <v>1.75</v>
      </c>
      <c r="C1298" s="7" t="s">
        <v>362</v>
      </c>
      <c r="D1298" s="7" t="s">
        <v>357</v>
      </c>
      <c r="E1298" s="7">
        <v>-6.78875844155844</v>
      </c>
      <c r="F1298" s="7">
        <v>0.565734848484849</v>
      </c>
      <c r="G1298" s="7">
        <v>0.801392640692641</v>
      </c>
      <c r="H1298" s="7">
        <v>-3.32632922077922E-4</v>
      </c>
      <c r="I1298" s="7">
        <v>-1.71484106060606</v>
      </c>
      <c r="J1298" s="7">
        <v>-1.16923538961039</v>
      </c>
      <c r="K1298" s="8"/>
      <c r="L1298" s="8"/>
    </row>
    <row r="1299" ht="13.5" customHeight="1">
      <c r="A1299" s="7" t="s">
        <v>355</v>
      </c>
      <c r="B1299" s="7">
        <v>3.5</v>
      </c>
      <c r="C1299" s="7" t="s">
        <v>362</v>
      </c>
      <c r="D1299" s="7" t="s">
        <v>357</v>
      </c>
      <c r="E1299" s="7">
        <v>-6.80561480519481</v>
      </c>
      <c r="F1299" s="7">
        <v>0.567445367965368</v>
      </c>
      <c r="G1299" s="7">
        <v>0.803657056277056</v>
      </c>
      <c r="H1299" s="7">
        <v>-3.33688025974026E-4</v>
      </c>
      <c r="I1299" s="7">
        <v>-1.72163585281386</v>
      </c>
      <c r="J1299" s="7">
        <v>-1.17378244155844</v>
      </c>
      <c r="K1299" s="8"/>
      <c r="L1299" s="8"/>
    </row>
    <row r="1300" ht="13.5" customHeight="1">
      <c r="A1300" s="7" t="s">
        <v>355</v>
      </c>
      <c r="B1300" s="7">
        <v>0.0</v>
      </c>
      <c r="C1300" s="7" t="s">
        <v>363</v>
      </c>
      <c r="D1300" s="7" t="s">
        <v>357</v>
      </c>
      <c r="E1300" s="7">
        <v>-6.82247116883117</v>
      </c>
      <c r="F1300" s="7">
        <v>0.569155887445888</v>
      </c>
      <c r="G1300" s="7">
        <v>0.805921471861472</v>
      </c>
      <c r="H1300" s="7">
        <v>-3.3474312987013E-4</v>
      </c>
      <c r="I1300" s="7">
        <v>-1.72843064502165</v>
      </c>
      <c r="J1300" s="7">
        <v>-1.17832949350649</v>
      </c>
      <c r="K1300" s="8"/>
      <c r="L1300" s="8"/>
    </row>
    <row r="1301" ht="13.5" customHeight="1">
      <c r="A1301" s="7" t="s">
        <v>355</v>
      </c>
      <c r="B1301" s="7">
        <v>1.75</v>
      </c>
      <c r="C1301" s="7" t="s">
        <v>363</v>
      </c>
      <c r="D1301" s="7" t="s">
        <v>357</v>
      </c>
      <c r="E1301" s="7">
        <v>-6.83932753246753</v>
      </c>
      <c r="F1301" s="7">
        <v>0.570866406926407</v>
      </c>
      <c r="G1301" s="7">
        <v>0.808185887445887</v>
      </c>
      <c r="H1301" s="7">
        <v>-3.35798233766234E-4</v>
      </c>
      <c r="I1301" s="7">
        <v>-1.73522543722944</v>
      </c>
      <c r="J1301" s="7">
        <v>-1.18287654545454</v>
      </c>
      <c r="K1301" s="8"/>
      <c r="L1301" s="8"/>
    </row>
    <row r="1302" ht="13.5" customHeight="1">
      <c r="A1302" s="7" t="s">
        <v>355</v>
      </c>
      <c r="B1302" s="7">
        <v>3.5</v>
      </c>
      <c r="C1302" s="7" t="s">
        <v>363</v>
      </c>
      <c r="D1302" s="7" t="s">
        <v>357</v>
      </c>
      <c r="E1302" s="7">
        <v>-6.8561838961039</v>
      </c>
      <c r="F1302" s="7">
        <v>0.572576926406927</v>
      </c>
      <c r="G1302" s="7">
        <v>0.810450303030303</v>
      </c>
      <c r="H1302" s="7">
        <v>-3.36853337662338E-4</v>
      </c>
      <c r="I1302" s="7">
        <v>-1.74202022943723</v>
      </c>
      <c r="J1302" s="7">
        <v>-1.18742359740259</v>
      </c>
      <c r="K1302" s="8"/>
      <c r="L1302" s="8"/>
    </row>
    <row r="1303" ht="13.5" customHeight="1">
      <c r="A1303" s="7" t="s">
        <v>355</v>
      </c>
      <c r="B1303" s="7">
        <v>0.0</v>
      </c>
      <c r="C1303" s="7" t="s">
        <v>356</v>
      </c>
      <c r="D1303" s="7" t="s">
        <v>357</v>
      </c>
      <c r="E1303" s="7">
        <v>-6.87304025974026</v>
      </c>
      <c r="F1303" s="7">
        <v>0.574287445887446</v>
      </c>
      <c r="G1303" s="7">
        <v>0.812714718614718</v>
      </c>
      <c r="H1303" s="7">
        <v>-3.37908441558442E-4</v>
      </c>
      <c r="I1303" s="7">
        <v>-1.74881502164503</v>
      </c>
      <c r="J1303" s="7">
        <v>-1.19197064935065</v>
      </c>
      <c r="K1303" s="8"/>
      <c r="L1303" s="8"/>
    </row>
    <row r="1304" ht="13.5" customHeight="1">
      <c r="A1304" s="7" t="s">
        <v>355</v>
      </c>
      <c r="B1304" s="7">
        <v>1.75</v>
      </c>
      <c r="C1304" s="7" t="s">
        <v>356</v>
      </c>
      <c r="D1304" s="7" t="s">
        <v>357</v>
      </c>
      <c r="E1304" s="7">
        <v>-6.88989662337662</v>
      </c>
      <c r="F1304" s="7">
        <v>0.575997965367966</v>
      </c>
      <c r="G1304" s="7">
        <v>0.814979134199134</v>
      </c>
      <c r="H1304" s="7">
        <v>-3.38963545454546E-4</v>
      </c>
      <c r="I1304" s="7">
        <v>-1.75560981385282</v>
      </c>
      <c r="J1304" s="7">
        <v>-1.1965177012987</v>
      </c>
      <c r="K1304" s="8"/>
      <c r="L1304" s="8"/>
    </row>
    <row r="1305" ht="13.5" customHeight="1">
      <c r="A1305" s="7" t="s">
        <v>355</v>
      </c>
      <c r="B1305" s="7">
        <v>3.5</v>
      </c>
      <c r="C1305" s="7" t="s">
        <v>356</v>
      </c>
      <c r="D1305" s="7" t="s">
        <v>357</v>
      </c>
      <c r="E1305" s="7">
        <v>-6.90675298701299</v>
      </c>
      <c r="F1305" s="7">
        <v>0.577708484848485</v>
      </c>
      <c r="G1305" s="7">
        <v>0.81724354978355</v>
      </c>
      <c r="H1305" s="7">
        <v>-3.4001864935065E-4</v>
      </c>
      <c r="I1305" s="7">
        <v>-1.76240460606061</v>
      </c>
      <c r="J1305" s="7">
        <v>-1.20106475324675</v>
      </c>
      <c r="K1305" s="8"/>
      <c r="L1305" s="8"/>
    </row>
    <row r="1306" ht="13.5" customHeight="1">
      <c r="A1306" s="7" t="s">
        <v>355</v>
      </c>
      <c r="B1306" s="7">
        <v>0.0</v>
      </c>
      <c r="C1306" s="7" t="s">
        <v>358</v>
      </c>
      <c r="D1306" s="7" t="s">
        <v>357</v>
      </c>
      <c r="E1306" s="7">
        <v>-6.92360935064935</v>
      </c>
      <c r="F1306" s="7">
        <v>0.579419004329005</v>
      </c>
      <c r="G1306" s="7">
        <v>0.819507965367965</v>
      </c>
      <c r="H1306" s="7">
        <v>-3.41073753246754E-4</v>
      </c>
      <c r="I1306" s="7">
        <v>-1.7691993982684</v>
      </c>
      <c r="J1306" s="7">
        <v>-1.2056118051948</v>
      </c>
      <c r="K1306" s="8"/>
      <c r="L1306" s="8"/>
    </row>
    <row r="1307" ht="13.5" customHeight="1">
      <c r="A1307" s="7" t="s">
        <v>355</v>
      </c>
      <c r="B1307" s="7">
        <v>1.75</v>
      </c>
      <c r="C1307" s="7" t="s">
        <v>358</v>
      </c>
      <c r="D1307" s="7" t="s">
        <v>357</v>
      </c>
      <c r="E1307" s="7">
        <v>-6.94046571428572</v>
      </c>
      <c r="F1307" s="7">
        <v>0.581129523809524</v>
      </c>
      <c r="G1307" s="7">
        <v>0.821772380952381</v>
      </c>
      <c r="H1307" s="7">
        <v>-3.42128857142857E-4</v>
      </c>
      <c r="I1307" s="7">
        <v>-1.77599419047619</v>
      </c>
      <c r="J1307" s="7">
        <v>-1.21015885714285</v>
      </c>
      <c r="K1307" s="8"/>
      <c r="L1307" s="8"/>
    </row>
    <row r="1308" ht="13.5" customHeight="1">
      <c r="A1308" s="7" t="s">
        <v>355</v>
      </c>
      <c r="B1308" s="7">
        <v>3.5</v>
      </c>
      <c r="C1308" s="7" t="s">
        <v>358</v>
      </c>
      <c r="D1308" s="7" t="s">
        <v>357</v>
      </c>
      <c r="E1308" s="7">
        <v>-6.95732207792208</v>
      </c>
      <c r="F1308" s="7">
        <v>0.582840043290044</v>
      </c>
      <c r="G1308" s="7">
        <v>0.824036796536796</v>
      </c>
      <c r="H1308" s="7">
        <v>-3.43183961038961E-4</v>
      </c>
      <c r="I1308" s="7">
        <v>-1.78278898268399</v>
      </c>
      <c r="J1308" s="7">
        <v>-1.21470590909091</v>
      </c>
      <c r="K1308" s="8"/>
      <c r="L1308" s="8"/>
    </row>
    <row r="1309" ht="13.5" customHeight="1">
      <c r="A1309" s="7" t="s">
        <v>355</v>
      </c>
      <c r="B1309" s="7">
        <v>0.0</v>
      </c>
      <c r="C1309" s="7" t="s">
        <v>359</v>
      </c>
      <c r="D1309" s="7" t="s">
        <v>357</v>
      </c>
      <c r="E1309" s="7">
        <v>-6.97417844155844</v>
      </c>
      <c r="F1309" s="7">
        <v>0.584550562770563</v>
      </c>
      <c r="G1309" s="7">
        <v>0.826301212121212</v>
      </c>
      <c r="H1309" s="7">
        <v>-3.44239064935065E-4</v>
      </c>
      <c r="I1309" s="7">
        <v>-1.78958377489178</v>
      </c>
      <c r="J1309" s="7">
        <v>-1.21925296103896</v>
      </c>
      <c r="K1309" s="8"/>
      <c r="L1309" s="8"/>
    </row>
    <row r="1310" ht="13.5" customHeight="1">
      <c r="A1310" s="7" t="s">
        <v>355</v>
      </c>
      <c r="B1310" s="7">
        <v>1.75</v>
      </c>
      <c r="C1310" s="7" t="s">
        <v>359</v>
      </c>
      <c r="D1310" s="7" t="s">
        <v>357</v>
      </c>
      <c r="E1310" s="7">
        <v>-6.99103480519481</v>
      </c>
      <c r="F1310" s="7">
        <v>0.586261082251083</v>
      </c>
      <c r="G1310" s="7">
        <v>0.828565627705628</v>
      </c>
      <c r="H1310" s="7">
        <v>-3.45294168831169E-4</v>
      </c>
      <c r="I1310" s="7">
        <v>-1.79637856709957</v>
      </c>
      <c r="J1310" s="7">
        <v>-1.22380001298701</v>
      </c>
      <c r="K1310" s="8"/>
      <c r="L1310" s="8"/>
    </row>
    <row r="1311" ht="13.5" customHeight="1">
      <c r="A1311" s="7" t="s">
        <v>355</v>
      </c>
      <c r="B1311" s="7">
        <v>3.5</v>
      </c>
      <c r="C1311" s="7" t="s">
        <v>359</v>
      </c>
      <c r="D1311" s="7" t="s">
        <v>357</v>
      </c>
      <c r="E1311" s="7">
        <v>-7.00789116883117</v>
      </c>
      <c r="F1311" s="7">
        <v>0.587971601731602</v>
      </c>
      <c r="G1311" s="7">
        <v>0.830830043290043</v>
      </c>
      <c r="H1311" s="7">
        <v>-3.46349272727273E-4</v>
      </c>
      <c r="I1311" s="7">
        <v>-1.80317335930736</v>
      </c>
      <c r="J1311" s="7">
        <v>-1.22834706493506</v>
      </c>
      <c r="K1311" s="8"/>
      <c r="L1311" s="8"/>
    </row>
    <row r="1312" ht="13.5" customHeight="1">
      <c r="A1312" s="7" t="s">
        <v>355</v>
      </c>
      <c r="B1312" s="7">
        <v>0.0</v>
      </c>
      <c r="C1312" s="7" t="s">
        <v>360</v>
      </c>
      <c r="D1312" s="7" t="s">
        <v>357</v>
      </c>
      <c r="E1312" s="7">
        <v>-7.02474753246753</v>
      </c>
      <c r="F1312" s="7">
        <v>0.589682121212122</v>
      </c>
      <c r="G1312" s="7">
        <v>0.833094458874459</v>
      </c>
      <c r="H1312" s="7">
        <v>-3.47404376623377E-4</v>
      </c>
      <c r="I1312" s="7">
        <v>-1.80996815151516</v>
      </c>
      <c r="J1312" s="7">
        <v>-1.23289411688311</v>
      </c>
      <c r="K1312" s="8"/>
      <c r="L1312" s="8"/>
    </row>
    <row r="1313" ht="13.5" customHeight="1">
      <c r="A1313" s="7" t="s">
        <v>355</v>
      </c>
      <c r="B1313" s="7">
        <v>1.75</v>
      </c>
      <c r="C1313" s="7" t="s">
        <v>360</v>
      </c>
      <c r="D1313" s="7" t="s">
        <v>357</v>
      </c>
      <c r="E1313" s="7">
        <v>-7.0416038961039</v>
      </c>
      <c r="F1313" s="7">
        <v>0.591392640692641</v>
      </c>
      <c r="G1313" s="7">
        <v>0.835358874458874</v>
      </c>
      <c r="H1313" s="7">
        <v>-3.48459480519481E-4</v>
      </c>
      <c r="I1313" s="7">
        <v>-1.81676294372295</v>
      </c>
      <c r="J1313" s="7">
        <v>-1.23744116883116</v>
      </c>
      <c r="K1313" s="8"/>
      <c r="L1313" s="8"/>
    </row>
    <row r="1314" ht="13.5" customHeight="1">
      <c r="A1314" s="7" t="s">
        <v>355</v>
      </c>
      <c r="B1314" s="7">
        <v>3.5</v>
      </c>
      <c r="C1314" s="7" t="s">
        <v>360</v>
      </c>
      <c r="D1314" s="7" t="s">
        <v>357</v>
      </c>
      <c r="E1314" s="7">
        <v>-7.05846025974026</v>
      </c>
      <c r="F1314" s="7">
        <v>0.59310316017316</v>
      </c>
      <c r="G1314" s="7">
        <v>0.83762329004329</v>
      </c>
      <c r="H1314" s="7">
        <v>-3.49514584415585E-4</v>
      </c>
      <c r="I1314" s="7">
        <v>-1.82355773593074</v>
      </c>
      <c r="J1314" s="7">
        <v>-1.24198822077922</v>
      </c>
      <c r="K1314" s="8"/>
      <c r="L1314" s="8"/>
    </row>
    <row r="1315" ht="13.5" customHeight="1">
      <c r="A1315" s="7" t="s">
        <v>355</v>
      </c>
      <c r="B1315" s="7">
        <v>0.0</v>
      </c>
      <c r="C1315" s="7" t="s">
        <v>361</v>
      </c>
      <c r="D1315" s="7" t="s">
        <v>357</v>
      </c>
      <c r="E1315" s="7">
        <v>-7.07531662337662</v>
      </c>
      <c r="F1315" s="7">
        <v>0.59481367965368</v>
      </c>
      <c r="G1315" s="7">
        <v>0.839887705627705</v>
      </c>
      <c r="H1315" s="7">
        <v>-3.50569688311689E-4</v>
      </c>
      <c r="I1315" s="7">
        <v>-1.83035252813853</v>
      </c>
      <c r="J1315" s="7">
        <v>-1.24653527272727</v>
      </c>
      <c r="K1315" s="8"/>
      <c r="L1315" s="8"/>
    </row>
    <row r="1316" ht="13.5" customHeight="1">
      <c r="A1316" s="7" t="s">
        <v>355</v>
      </c>
      <c r="B1316" s="7">
        <v>1.75</v>
      </c>
      <c r="C1316" s="7" t="s">
        <v>361</v>
      </c>
      <c r="D1316" s="7" t="s">
        <v>357</v>
      </c>
      <c r="E1316" s="7">
        <v>-7.09217298701299</v>
      </c>
      <c r="F1316" s="7">
        <v>0.596524199134199</v>
      </c>
      <c r="G1316" s="7">
        <v>0.842152121212121</v>
      </c>
      <c r="H1316" s="7">
        <v>-3.51624792207793E-4</v>
      </c>
      <c r="I1316" s="7">
        <v>-1.83714732034632</v>
      </c>
      <c r="J1316" s="7">
        <v>-1.25108232467532</v>
      </c>
      <c r="K1316" s="8"/>
      <c r="L1316" s="8"/>
    </row>
    <row r="1317" ht="13.5" customHeight="1">
      <c r="A1317" s="7" t="s">
        <v>355</v>
      </c>
      <c r="B1317" s="7">
        <v>3.5</v>
      </c>
      <c r="C1317" s="7" t="s">
        <v>361</v>
      </c>
      <c r="D1317" s="7" t="s">
        <v>357</v>
      </c>
      <c r="E1317" s="7">
        <v>-7.10902935064935</v>
      </c>
      <c r="F1317" s="7">
        <v>0.598234718614719</v>
      </c>
      <c r="G1317" s="7">
        <v>0.844416536796537</v>
      </c>
      <c r="H1317" s="7">
        <v>-3.52679896103896E-4</v>
      </c>
      <c r="I1317" s="7">
        <v>-1.84394211255412</v>
      </c>
      <c r="J1317" s="7">
        <v>-1.25562937662337</v>
      </c>
      <c r="K1317" s="8"/>
      <c r="L1317" s="8"/>
    </row>
    <row r="1318" ht="13.5" customHeight="1">
      <c r="A1318" s="7" t="s">
        <v>355</v>
      </c>
      <c r="B1318" s="7">
        <v>0.0</v>
      </c>
      <c r="C1318" s="7" t="s">
        <v>362</v>
      </c>
      <c r="D1318" s="7" t="s">
        <v>357</v>
      </c>
      <c r="E1318" s="7">
        <v>-7.12588571428571</v>
      </c>
      <c r="F1318" s="7">
        <v>0.599945238095238</v>
      </c>
      <c r="G1318" s="7">
        <v>0.846680952380952</v>
      </c>
      <c r="H1318" s="7">
        <v>-3.53735E-4</v>
      </c>
      <c r="I1318" s="7">
        <v>-1.85073690476191</v>
      </c>
      <c r="J1318" s="7">
        <v>-1.26017642857142</v>
      </c>
      <c r="K1318" s="8"/>
      <c r="L1318" s="8"/>
    </row>
    <row r="1319" ht="13.5" customHeight="1">
      <c r="A1319" s="7" t="s">
        <v>355</v>
      </c>
      <c r="B1319" s="7">
        <v>1.75</v>
      </c>
      <c r="C1319" s="7" t="s">
        <v>362</v>
      </c>
      <c r="D1319" s="7" t="s">
        <v>357</v>
      </c>
      <c r="E1319" s="7">
        <v>-7.14274207792208</v>
      </c>
      <c r="F1319" s="7">
        <v>0.601655757575758</v>
      </c>
      <c r="G1319" s="7">
        <v>0.848945367965368</v>
      </c>
      <c r="H1319" s="7">
        <v>-3.54790103896104E-4</v>
      </c>
      <c r="I1319" s="7">
        <v>-1.8575316969697</v>
      </c>
      <c r="J1319" s="7">
        <v>-1.26472348051948</v>
      </c>
      <c r="K1319" s="8"/>
      <c r="L1319" s="8"/>
    </row>
    <row r="1320" ht="13.5" customHeight="1">
      <c r="A1320" s="7" t="s">
        <v>355</v>
      </c>
      <c r="B1320" s="7">
        <v>3.5</v>
      </c>
      <c r="C1320" s="7" t="s">
        <v>362</v>
      </c>
      <c r="D1320" s="7" t="s">
        <v>357</v>
      </c>
      <c r="E1320" s="7">
        <v>-7.15959844155844</v>
      </c>
      <c r="F1320" s="7">
        <v>0.603366277056277</v>
      </c>
      <c r="G1320" s="7">
        <v>0.851209783549783</v>
      </c>
      <c r="H1320" s="7">
        <v>-3.55845207792208E-4</v>
      </c>
      <c r="I1320" s="7">
        <v>-1.86432648917749</v>
      </c>
      <c r="J1320" s="7">
        <v>-1.26927053246753</v>
      </c>
      <c r="K1320" s="8"/>
      <c r="L1320" s="8"/>
    </row>
    <row r="1321" ht="13.5" customHeight="1">
      <c r="A1321" s="7" t="s">
        <v>355</v>
      </c>
      <c r="B1321" s="7">
        <v>0.0</v>
      </c>
      <c r="C1321" s="7" t="s">
        <v>363</v>
      </c>
      <c r="D1321" s="7" t="s">
        <v>357</v>
      </c>
      <c r="E1321" s="7">
        <v>-7.17645480519481</v>
      </c>
      <c r="F1321" s="7">
        <v>0.605076796536797</v>
      </c>
      <c r="G1321" s="7">
        <v>0.853474199134199</v>
      </c>
      <c r="H1321" s="7">
        <v>-3.56900311688312E-4</v>
      </c>
      <c r="I1321" s="7">
        <v>-1.87112128138529</v>
      </c>
      <c r="J1321" s="7">
        <v>-1.27381758441558</v>
      </c>
      <c r="K1321" s="8"/>
      <c r="L1321" s="8"/>
    </row>
    <row r="1322" ht="13.5" customHeight="1">
      <c r="A1322" s="7" t="s">
        <v>355</v>
      </c>
      <c r="B1322" s="7">
        <v>1.75</v>
      </c>
      <c r="C1322" s="7" t="s">
        <v>363</v>
      </c>
      <c r="D1322" s="7" t="s">
        <v>357</v>
      </c>
      <c r="E1322" s="7">
        <v>-7.19331116883117</v>
      </c>
      <c r="F1322" s="7">
        <v>0.606787316017316</v>
      </c>
      <c r="G1322" s="7">
        <v>0.855738614718615</v>
      </c>
      <c r="H1322" s="7">
        <v>-3.57955415584416E-4</v>
      </c>
      <c r="I1322" s="7">
        <v>-1.87791607359308</v>
      </c>
      <c r="J1322" s="7">
        <v>-1.27836463636363</v>
      </c>
      <c r="K1322" s="8"/>
      <c r="L1322" s="8"/>
    </row>
    <row r="1323" ht="13.5" customHeight="1">
      <c r="A1323" s="7" t="s">
        <v>355</v>
      </c>
      <c r="B1323" s="7">
        <v>3.5</v>
      </c>
      <c r="C1323" s="7" t="s">
        <v>363</v>
      </c>
      <c r="D1323" s="7" t="s">
        <v>357</v>
      </c>
      <c r="E1323" s="7">
        <v>-7.21016753246753</v>
      </c>
      <c r="F1323" s="7">
        <v>0.608497835497836</v>
      </c>
      <c r="G1323" s="7">
        <v>0.85800303030303</v>
      </c>
      <c r="H1323" s="7">
        <v>-3.5901051948052E-4</v>
      </c>
      <c r="I1323" s="7">
        <v>-1.88471086580087</v>
      </c>
      <c r="J1323" s="7">
        <v>-1.28291168831168</v>
      </c>
      <c r="K1323" s="8"/>
      <c r="L1323" s="8"/>
    </row>
    <row r="1324" ht="13.5" customHeight="1">
      <c r="A1324" s="7" t="s">
        <v>355</v>
      </c>
      <c r="B1324" s="7">
        <v>0.0</v>
      </c>
      <c r="C1324" s="7" t="s">
        <v>356</v>
      </c>
      <c r="D1324" s="7" t="s">
        <v>357</v>
      </c>
      <c r="E1324" s="7">
        <v>-7.2270238961039</v>
      </c>
      <c r="F1324" s="7">
        <v>0.610208354978355</v>
      </c>
      <c r="G1324" s="7">
        <v>0.860267445887446</v>
      </c>
      <c r="H1324" s="7">
        <v>-3.60065623376624E-4</v>
      </c>
      <c r="I1324" s="7">
        <v>-1.89150565800866</v>
      </c>
      <c r="J1324" s="7">
        <v>-1.28745874025974</v>
      </c>
      <c r="K1324" s="8"/>
      <c r="L1324" s="8"/>
    </row>
    <row r="1325" ht="13.5" customHeight="1">
      <c r="A1325" s="7" t="s">
        <v>355</v>
      </c>
      <c r="B1325" s="7">
        <v>1.75</v>
      </c>
      <c r="C1325" s="7" t="s">
        <v>356</v>
      </c>
      <c r="D1325" s="7" t="s">
        <v>357</v>
      </c>
      <c r="E1325" s="7">
        <v>-7.24388025974026</v>
      </c>
      <c r="F1325" s="7">
        <v>0.611918874458875</v>
      </c>
      <c r="G1325" s="7">
        <v>0.862531861471861</v>
      </c>
      <c r="H1325" s="7">
        <v>-3.61120727272728E-4</v>
      </c>
      <c r="I1325" s="7">
        <v>-1.89830045021645</v>
      </c>
      <c r="J1325" s="7">
        <v>-1.29200579220779</v>
      </c>
      <c r="K1325" s="8"/>
      <c r="L1325" s="8"/>
    </row>
    <row r="1326" ht="13.5" customHeight="1">
      <c r="A1326" s="7" t="s">
        <v>355</v>
      </c>
      <c r="B1326" s="7">
        <v>3.5</v>
      </c>
      <c r="C1326" s="7" t="s">
        <v>356</v>
      </c>
      <c r="D1326" s="7" t="s">
        <v>357</v>
      </c>
      <c r="E1326" s="7">
        <v>-7.26073662337662</v>
      </c>
      <c r="F1326" s="7">
        <v>0.613629393939394</v>
      </c>
      <c r="G1326" s="7">
        <v>0.864796277056277</v>
      </c>
      <c r="H1326" s="7">
        <v>-3.62175831168832E-4</v>
      </c>
      <c r="I1326" s="7">
        <v>-1.90509524242425</v>
      </c>
      <c r="J1326" s="7">
        <v>-1.29655284415584</v>
      </c>
      <c r="K1326" s="8"/>
      <c r="L1326" s="8"/>
    </row>
    <row r="1327" ht="13.5" customHeight="1">
      <c r="A1327" s="7" t="s">
        <v>355</v>
      </c>
      <c r="B1327" s="7">
        <v>0.0</v>
      </c>
      <c r="C1327" s="7" t="s">
        <v>358</v>
      </c>
      <c r="D1327" s="7" t="s">
        <v>357</v>
      </c>
      <c r="E1327" s="7">
        <v>-7.27759298701299</v>
      </c>
      <c r="F1327" s="7">
        <v>0.615339913419914</v>
      </c>
      <c r="G1327" s="7">
        <v>0.867060692640692</v>
      </c>
      <c r="H1327" s="7">
        <v>-3.63230935064935E-4</v>
      </c>
      <c r="I1327" s="7">
        <v>-1.91189003463204</v>
      </c>
      <c r="J1327" s="7">
        <v>-1.30109989610389</v>
      </c>
      <c r="K1327" s="8"/>
      <c r="L1327" s="8"/>
    </row>
    <row r="1328" ht="13.5" customHeight="1">
      <c r="A1328" s="7" t="s">
        <v>355</v>
      </c>
      <c r="B1328" s="7">
        <v>1.75</v>
      </c>
      <c r="C1328" s="7" t="s">
        <v>358</v>
      </c>
      <c r="D1328" s="7" t="s">
        <v>357</v>
      </c>
      <c r="E1328" s="7">
        <v>-7.29444935064935</v>
      </c>
      <c r="F1328" s="7">
        <v>0.617050432900433</v>
      </c>
      <c r="G1328" s="7">
        <v>0.869325108225108</v>
      </c>
      <c r="H1328" s="7">
        <v>-3.64286038961039E-4</v>
      </c>
      <c r="I1328" s="7">
        <v>-1.91868482683983</v>
      </c>
      <c r="J1328" s="7">
        <v>-1.30564694805194</v>
      </c>
      <c r="K1328" s="8"/>
      <c r="L1328" s="8"/>
    </row>
    <row r="1329" ht="13.5" customHeight="1">
      <c r="A1329" s="7" t="s">
        <v>355</v>
      </c>
      <c r="B1329" s="7">
        <v>3.5</v>
      </c>
      <c r="C1329" s="7" t="s">
        <v>358</v>
      </c>
      <c r="D1329" s="7" t="s">
        <v>357</v>
      </c>
      <c r="E1329" s="7">
        <v>-7.31130571428571</v>
      </c>
      <c r="F1329" s="7">
        <v>0.618760952380953</v>
      </c>
      <c r="G1329" s="7">
        <v>0.871589523809524</v>
      </c>
      <c r="H1329" s="7">
        <v>-3.65341142857143E-4</v>
      </c>
      <c r="I1329" s="7">
        <v>-1.92547961904762</v>
      </c>
      <c r="J1329" s="7">
        <v>-1.310194</v>
      </c>
      <c r="K1329" s="8"/>
      <c r="L1329" s="8"/>
    </row>
    <row r="1330" ht="13.5" customHeight="1">
      <c r="A1330" s="7" t="s">
        <v>355</v>
      </c>
      <c r="B1330" s="7">
        <v>0.0</v>
      </c>
      <c r="C1330" s="7" t="s">
        <v>359</v>
      </c>
      <c r="D1330" s="7" t="s">
        <v>357</v>
      </c>
      <c r="E1330" s="7">
        <v>-7.32816207792208</v>
      </c>
      <c r="F1330" s="7">
        <v>0.620471471861472</v>
      </c>
      <c r="G1330" s="7">
        <v>0.873853939393939</v>
      </c>
      <c r="H1330" s="7">
        <v>-3.66396246753247E-4</v>
      </c>
      <c r="I1330" s="7">
        <v>-1.93227441125541</v>
      </c>
      <c r="J1330" s="7">
        <v>-1.31474105194805</v>
      </c>
      <c r="K1330" s="8"/>
      <c r="L1330" s="8"/>
    </row>
    <row r="1331" ht="13.5" customHeight="1">
      <c r="A1331" s="7" t="s">
        <v>355</v>
      </c>
      <c r="B1331" s="7">
        <v>1.75</v>
      </c>
      <c r="C1331" s="7" t="s">
        <v>359</v>
      </c>
      <c r="D1331" s="7" t="s">
        <v>357</v>
      </c>
      <c r="E1331" s="7">
        <v>-7.34501844155844</v>
      </c>
      <c r="F1331" s="7">
        <v>0.622181991341992</v>
      </c>
      <c r="G1331" s="7">
        <v>0.876118354978355</v>
      </c>
      <c r="H1331" s="7">
        <v>-3.67451350649351E-4</v>
      </c>
      <c r="I1331" s="7">
        <v>-1.93906920346321</v>
      </c>
      <c r="J1331" s="7">
        <v>-1.3192881038961</v>
      </c>
      <c r="K1331" s="8"/>
      <c r="L1331" s="8"/>
    </row>
    <row r="1332" ht="13.5" customHeight="1">
      <c r="A1332" s="7" t="s">
        <v>355</v>
      </c>
      <c r="B1332" s="7">
        <v>3.5</v>
      </c>
      <c r="C1332" s="7" t="s">
        <v>359</v>
      </c>
      <c r="D1332" s="7" t="s">
        <v>357</v>
      </c>
      <c r="E1332" s="7">
        <v>-7.36187480519481</v>
      </c>
      <c r="F1332" s="7">
        <v>0.623892510822511</v>
      </c>
      <c r="G1332" s="7">
        <v>0.87838277056277</v>
      </c>
      <c r="H1332" s="7">
        <v>-3.68506454545455E-4</v>
      </c>
      <c r="I1332" s="7">
        <v>-1.945863995671</v>
      </c>
      <c r="J1332" s="7">
        <v>-1.32383515584415</v>
      </c>
      <c r="K1332" s="8"/>
      <c r="L1332" s="8"/>
    </row>
    <row r="1333" ht="13.5" customHeight="1">
      <c r="A1333" s="7" t="s">
        <v>355</v>
      </c>
      <c r="B1333" s="7">
        <v>0.0</v>
      </c>
      <c r="C1333" s="7" t="s">
        <v>360</v>
      </c>
      <c r="D1333" s="7" t="s">
        <v>357</v>
      </c>
      <c r="E1333" s="7">
        <v>-7.37873116883117</v>
      </c>
      <c r="F1333" s="7">
        <v>0.625603030303031</v>
      </c>
      <c r="G1333" s="7">
        <v>0.880647186147186</v>
      </c>
      <c r="H1333" s="7">
        <v>-3.69561558441559E-4</v>
      </c>
      <c r="I1333" s="7">
        <v>-1.95265878787879</v>
      </c>
      <c r="J1333" s="7">
        <v>-1.3283822077922</v>
      </c>
      <c r="K1333" s="8"/>
      <c r="L1333" s="8"/>
    </row>
    <row r="1334" ht="13.5" customHeight="1">
      <c r="A1334" s="7" t="s">
        <v>355</v>
      </c>
      <c r="B1334" s="7">
        <v>1.75</v>
      </c>
      <c r="C1334" s="7" t="s">
        <v>360</v>
      </c>
      <c r="D1334" s="7" t="s">
        <v>357</v>
      </c>
      <c r="E1334" s="7">
        <v>-7.39558753246753</v>
      </c>
      <c r="F1334" s="7">
        <v>0.62731354978355</v>
      </c>
      <c r="G1334" s="7">
        <v>0.882911601731602</v>
      </c>
      <c r="H1334" s="7">
        <v>-3.70616662337663E-4</v>
      </c>
      <c r="I1334" s="7">
        <v>-1.95945358008658</v>
      </c>
      <c r="J1334" s="7">
        <v>-1.33292925974026</v>
      </c>
      <c r="K1334" s="8"/>
      <c r="L1334" s="8"/>
    </row>
    <row r="1335" ht="13.5" customHeight="1">
      <c r="A1335" s="7" t="s">
        <v>355</v>
      </c>
      <c r="B1335" s="7">
        <v>3.5</v>
      </c>
      <c r="C1335" s="7" t="s">
        <v>360</v>
      </c>
      <c r="D1335" s="7" t="s">
        <v>357</v>
      </c>
      <c r="E1335" s="7">
        <v>-7.4124438961039</v>
      </c>
      <c r="F1335" s="7">
        <v>0.62902406926407</v>
      </c>
      <c r="G1335" s="7">
        <v>0.885176017316017</v>
      </c>
      <c r="H1335" s="7">
        <v>-3.71671766233767E-4</v>
      </c>
      <c r="I1335" s="7">
        <v>-1.96624837229438</v>
      </c>
      <c r="J1335" s="7">
        <v>-1.33747631168831</v>
      </c>
      <c r="K1335" s="8"/>
      <c r="L1335" s="8"/>
    </row>
    <row r="1336" ht="13.5" customHeight="1">
      <c r="A1336" s="7" t="s">
        <v>355</v>
      </c>
      <c r="B1336" s="7">
        <v>0.0</v>
      </c>
      <c r="C1336" s="7" t="s">
        <v>361</v>
      </c>
      <c r="D1336" s="7" t="s">
        <v>357</v>
      </c>
      <c r="E1336" s="7">
        <v>-7.42930025974026</v>
      </c>
      <c r="F1336" s="7">
        <v>0.630734588744589</v>
      </c>
      <c r="G1336" s="7">
        <v>0.887440432900433</v>
      </c>
      <c r="H1336" s="7">
        <v>-3.7272687012987E-4</v>
      </c>
      <c r="I1336" s="7">
        <v>-1.97304316450217</v>
      </c>
      <c r="J1336" s="7">
        <v>-1.34202336363636</v>
      </c>
      <c r="K1336" s="8"/>
      <c r="L1336" s="8"/>
    </row>
    <row r="1337" ht="13.5" customHeight="1">
      <c r="A1337" s="7" t="s">
        <v>355</v>
      </c>
      <c r="B1337" s="7">
        <v>1.75</v>
      </c>
      <c r="C1337" s="7" t="s">
        <v>361</v>
      </c>
      <c r="D1337" s="7" t="s">
        <v>357</v>
      </c>
      <c r="E1337" s="7">
        <v>-7.44615662337662</v>
      </c>
      <c r="F1337" s="7">
        <v>0.632445108225109</v>
      </c>
      <c r="G1337" s="7">
        <v>0.889704848484848</v>
      </c>
      <c r="H1337" s="7">
        <v>-3.73781974025974E-4</v>
      </c>
      <c r="I1337" s="7">
        <v>-1.97983795670996</v>
      </c>
      <c r="J1337" s="7">
        <v>-1.34657041558441</v>
      </c>
      <c r="K1337" s="8"/>
      <c r="L1337" s="8"/>
    </row>
    <row r="1338" ht="13.5" customHeight="1">
      <c r="A1338" s="7" t="s">
        <v>355</v>
      </c>
      <c r="B1338" s="7">
        <v>3.5</v>
      </c>
      <c r="C1338" s="7" t="s">
        <v>361</v>
      </c>
      <c r="D1338" s="7" t="s">
        <v>357</v>
      </c>
      <c r="E1338" s="7">
        <v>-7.46301298701299</v>
      </c>
      <c r="F1338" s="7">
        <v>0.6341556277056279</v>
      </c>
      <c r="G1338" s="7">
        <v>0.891969264069264</v>
      </c>
      <c r="H1338" s="7">
        <v>-3.74837077922078E-4</v>
      </c>
      <c r="I1338" s="7">
        <v>-1.98663274891775</v>
      </c>
      <c r="J1338" s="7">
        <v>-1.35111746753246</v>
      </c>
      <c r="K1338" s="8"/>
      <c r="L1338" s="8"/>
    </row>
    <row r="1339" ht="13.5" customHeight="1">
      <c r="A1339" s="7" t="s">
        <v>355</v>
      </c>
      <c r="B1339" s="7">
        <v>0.0</v>
      </c>
      <c r="C1339" s="7" t="s">
        <v>362</v>
      </c>
      <c r="D1339" s="7" t="s">
        <v>357</v>
      </c>
      <c r="E1339" s="7">
        <v>-7.47986935064935</v>
      </c>
      <c r="F1339" s="7">
        <v>0.635866147186148</v>
      </c>
      <c r="G1339" s="7">
        <v>0.894233679653679</v>
      </c>
      <c r="H1339" s="7">
        <v>-3.75892181818182E-4</v>
      </c>
      <c r="I1339" s="7">
        <v>-1.99342754112554</v>
      </c>
      <c r="J1339" s="7">
        <v>-1.35566451948052</v>
      </c>
      <c r="K1339" s="8"/>
      <c r="L1339" s="8"/>
    </row>
    <row r="1340" ht="13.5" customHeight="1">
      <c r="A1340" s="7" t="s">
        <v>355</v>
      </c>
      <c r="B1340" s="7">
        <v>1.75</v>
      </c>
      <c r="C1340" s="7" t="s">
        <v>362</v>
      </c>
      <c r="D1340" s="7" t="s">
        <v>357</v>
      </c>
      <c r="E1340" s="7">
        <v>-7.49672571428572</v>
      </c>
      <c r="F1340" s="7">
        <v>0.637576666666667</v>
      </c>
      <c r="G1340" s="7">
        <v>0.896498095238095</v>
      </c>
      <c r="H1340" s="7">
        <v>-3.76947285714286E-4</v>
      </c>
      <c r="I1340" s="7">
        <v>-2.00022233333334</v>
      </c>
      <c r="J1340" s="7">
        <v>-1.36021157142857</v>
      </c>
      <c r="K1340" s="8"/>
      <c r="L1340" s="8"/>
    </row>
    <row r="1341" ht="13.5" customHeight="1">
      <c r="A1341" s="7" t="s">
        <v>355</v>
      </c>
      <c r="B1341" s="7">
        <v>3.5</v>
      </c>
      <c r="C1341" s="7" t="s">
        <v>362</v>
      </c>
      <c r="D1341" s="7" t="s">
        <v>357</v>
      </c>
      <c r="E1341" s="7">
        <v>-7.51358207792208</v>
      </c>
      <c r="F1341" s="7">
        <v>0.639287186147187</v>
      </c>
      <c r="G1341" s="7">
        <v>0.898762510822511</v>
      </c>
      <c r="H1341" s="7">
        <v>-3.7800238961039E-4</v>
      </c>
      <c r="I1341" s="7">
        <v>-2.00701712554113</v>
      </c>
      <c r="J1341" s="7">
        <v>-1.36475862337662</v>
      </c>
      <c r="K1341" s="8"/>
      <c r="L1341" s="8"/>
    </row>
    <row r="1342" ht="13.5" customHeight="1">
      <c r="A1342" s="7" t="s">
        <v>355</v>
      </c>
      <c r="B1342" s="7">
        <v>0.0</v>
      </c>
      <c r="C1342" s="7" t="s">
        <v>363</v>
      </c>
      <c r="D1342" s="7" t="s">
        <v>357</v>
      </c>
      <c r="E1342" s="7">
        <v>-7.53043844155844</v>
      </c>
      <c r="F1342" s="7">
        <v>0.640997705627706</v>
      </c>
      <c r="G1342" s="7">
        <v>0.901026926406926</v>
      </c>
      <c r="H1342" s="7">
        <v>-3.79057493506494E-4</v>
      </c>
      <c r="I1342" s="7">
        <v>-2.01381191774892</v>
      </c>
      <c r="J1342" s="7">
        <v>-1.36930567532467</v>
      </c>
      <c r="K1342" s="8"/>
      <c r="L1342" s="8"/>
    </row>
    <row r="1343" ht="13.5" customHeight="1">
      <c r="A1343" s="7" t="s">
        <v>355</v>
      </c>
      <c r="B1343" s="7">
        <v>1.75</v>
      </c>
      <c r="C1343" s="7" t="s">
        <v>363</v>
      </c>
      <c r="D1343" s="7" t="s">
        <v>357</v>
      </c>
      <c r="E1343" s="7">
        <v>-7.54729480519481</v>
      </c>
      <c r="F1343" s="7">
        <v>0.642708225108225</v>
      </c>
      <c r="G1343" s="7">
        <v>0.903291341991342</v>
      </c>
      <c r="H1343" s="7">
        <v>-3.80112597402598E-4</v>
      </c>
      <c r="I1343" s="7">
        <v>-2.02060670995671</v>
      </c>
      <c r="J1343" s="7">
        <v>-1.37385272727272</v>
      </c>
      <c r="K1343" s="8"/>
      <c r="L1343" s="8"/>
    </row>
    <row r="1344" ht="13.5" customHeight="1">
      <c r="A1344" s="7" t="s">
        <v>355</v>
      </c>
      <c r="B1344" s="7">
        <v>3.5</v>
      </c>
      <c r="C1344" s="7" t="s">
        <v>363</v>
      </c>
      <c r="D1344" s="7" t="s">
        <v>357</v>
      </c>
      <c r="E1344" s="7">
        <v>-7.56415116883117</v>
      </c>
      <c r="F1344" s="7">
        <v>0.644418744588745</v>
      </c>
      <c r="G1344" s="7">
        <v>0.905555757575757</v>
      </c>
      <c r="H1344" s="7">
        <v>-3.81167701298702E-4</v>
      </c>
      <c r="I1344" s="7">
        <v>-2.02740150216451</v>
      </c>
      <c r="J1344" s="7">
        <v>-1.37839977922078</v>
      </c>
      <c r="K1344" s="8"/>
      <c r="L1344" s="8"/>
    </row>
    <row r="1345" ht="13.5" customHeight="1">
      <c r="A1345" s="7" t="s">
        <v>355</v>
      </c>
      <c r="B1345" s="7">
        <v>0.0</v>
      </c>
      <c r="C1345" s="7" t="s">
        <v>356</v>
      </c>
      <c r="D1345" s="7" t="s">
        <v>357</v>
      </c>
      <c r="E1345" s="7">
        <v>-7.58100753246753</v>
      </c>
      <c r="F1345" s="7">
        <v>0.646129264069264</v>
      </c>
      <c r="G1345" s="7">
        <v>0.907820173160173</v>
      </c>
      <c r="H1345" s="7">
        <v>-3.82222805194806E-4</v>
      </c>
      <c r="I1345" s="7">
        <v>-2.0341962943723</v>
      </c>
      <c r="J1345" s="7">
        <v>-1.38294683116883</v>
      </c>
      <c r="K1345" s="8"/>
      <c r="L1345" s="8"/>
    </row>
    <row r="1346" ht="13.5" customHeight="1">
      <c r="A1346" s="7" t="s">
        <v>355</v>
      </c>
      <c r="B1346" s="7">
        <v>1.75</v>
      </c>
      <c r="C1346" s="7" t="s">
        <v>356</v>
      </c>
      <c r="D1346" s="7" t="s">
        <v>357</v>
      </c>
      <c r="E1346" s="7">
        <v>-7.5978638961039</v>
      </c>
      <c r="F1346" s="7">
        <v>0.647839783549784</v>
      </c>
      <c r="G1346" s="7">
        <v>0.910084588744589</v>
      </c>
      <c r="H1346" s="7">
        <v>-3.83277909090909E-4</v>
      </c>
      <c r="I1346" s="7">
        <v>-2.04099108658009</v>
      </c>
      <c r="J1346" s="7">
        <v>-1.38749388311688</v>
      </c>
      <c r="K1346" s="8"/>
      <c r="L1346" s="8"/>
    </row>
    <row r="1347" ht="13.5" customHeight="1">
      <c r="A1347" s="7" t="s">
        <v>355</v>
      </c>
      <c r="B1347" s="7">
        <v>3.5</v>
      </c>
      <c r="C1347" s="7" t="s">
        <v>356</v>
      </c>
      <c r="D1347" s="7" t="s">
        <v>357</v>
      </c>
      <c r="E1347" s="7">
        <v>-7.61472025974026</v>
      </c>
      <c r="F1347" s="7">
        <v>0.649550303030303</v>
      </c>
      <c r="G1347" s="7">
        <v>0.912349004329004</v>
      </c>
      <c r="H1347" s="7">
        <v>-3.84333012987013E-4</v>
      </c>
      <c r="I1347" s="7">
        <v>-2.04778587878788</v>
      </c>
      <c r="J1347" s="7">
        <v>-1.39204093506493</v>
      </c>
      <c r="K1347" s="8"/>
      <c r="L1347" s="8"/>
    </row>
    <row r="1348" ht="13.5" customHeight="1">
      <c r="A1348" s="7" t="s">
        <v>355</v>
      </c>
      <c r="B1348" s="7">
        <v>0.0</v>
      </c>
      <c r="C1348" s="7" t="s">
        <v>358</v>
      </c>
      <c r="D1348" s="7" t="s">
        <v>357</v>
      </c>
      <c r="E1348" s="7">
        <v>-7.63157662337662</v>
      </c>
      <c r="F1348" s="7">
        <v>0.651260822510823</v>
      </c>
      <c r="G1348" s="7">
        <v>0.91461341991342</v>
      </c>
      <c r="H1348" s="7">
        <v>-3.85388116883117E-4</v>
      </c>
      <c r="I1348" s="7">
        <v>-2.05458067099567</v>
      </c>
      <c r="J1348" s="7">
        <v>-1.39658798701298</v>
      </c>
      <c r="K1348" s="8"/>
      <c r="L1348" s="8"/>
    </row>
    <row r="1349" ht="13.5" customHeight="1">
      <c r="A1349" s="7" t="s">
        <v>355</v>
      </c>
      <c r="B1349" s="7">
        <v>1.75</v>
      </c>
      <c r="C1349" s="7" t="s">
        <v>358</v>
      </c>
      <c r="D1349" s="7" t="s">
        <v>357</v>
      </c>
      <c r="E1349" s="7">
        <v>-7.64843298701299</v>
      </c>
      <c r="F1349" s="7">
        <v>0.652971341991342</v>
      </c>
      <c r="G1349" s="7">
        <v>0.916877835497835</v>
      </c>
      <c r="H1349" s="7">
        <v>-3.86443220779221E-4</v>
      </c>
      <c r="I1349" s="7">
        <v>-2.06137546320347</v>
      </c>
      <c r="J1349" s="7">
        <v>-1.40113503896103</v>
      </c>
      <c r="K1349" s="8"/>
      <c r="L1349" s="8"/>
    </row>
    <row r="1350" ht="13.5" customHeight="1">
      <c r="A1350" s="7" t="s">
        <v>355</v>
      </c>
      <c r="B1350" s="7">
        <v>3.5</v>
      </c>
      <c r="C1350" s="7" t="s">
        <v>358</v>
      </c>
      <c r="D1350" s="7" t="s">
        <v>357</v>
      </c>
      <c r="E1350" s="7">
        <v>-7.66528935064935</v>
      </c>
      <c r="F1350" s="7">
        <v>0.654681861471862</v>
      </c>
      <c r="G1350" s="7">
        <v>0.919142251082251</v>
      </c>
      <c r="H1350" s="7">
        <v>-3.87498324675325E-4</v>
      </c>
      <c r="I1350" s="7">
        <v>-2.06817025541126</v>
      </c>
      <c r="J1350" s="7">
        <v>-1.40568209090909</v>
      </c>
      <c r="K1350" s="8"/>
      <c r="L1350" s="8"/>
    </row>
    <row r="1351" ht="13.5" customHeight="1">
      <c r="A1351" s="7" t="s">
        <v>355</v>
      </c>
      <c r="B1351" s="7">
        <v>0.0</v>
      </c>
      <c r="C1351" s="7" t="s">
        <v>359</v>
      </c>
      <c r="D1351" s="7" t="s">
        <v>357</v>
      </c>
      <c r="E1351" s="7">
        <v>-7.68214571428571</v>
      </c>
      <c r="F1351" s="7">
        <v>0.656392380952381</v>
      </c>
      <c r="G1351" s="7">
        <v>0.921406666666667</v>
      </c>
      <c r="H1351" s="7">
        <v>-3.88553428571429E-4</v>
      </c>
      <c r="I1351" s="7">
        <v>-2.07496504761905</v>
      </c>
      <c r="J1351" s="7">
        <v>-1.41022914285714</v>
      </c>
      <c r="K1351" s="8"/>
      <c r="L1351" s="8"/>
    </row>
    <row r="1352" ht="13.5" customHeight="1">
      <c r="A1352" s="7" t="s">
        <v>355</v>
      </c>
      <c r="B1352" s="7">
        <v>1.75</v>
      </c>
      <c r="C1352" s="7" t="s">
        <v>359</v>
      </c>
      <c r="D1352" s="7" t="s">
        <v>357</v>
      </c>
      <c r="E1352" s="7">
        <v>-7.69900207792208</v>
      </c>
      <c r="F1352" s="7">
        <v>0.658102900432901</v>
      </c>
      <c r="G1352" s="7">
        <v>0.923671082251082</v>
      </c>
      <c r="H1352" s="7">
        <v>-3.89608532467533E-4</v>
      </c>
      <c r="I1352" s="7">
        <v>-2.08175983982684</v>
      </c>
      <c r="J1352" s="7">
        <v>-1.41477619480519</v>
      </c>
      <c r="K1352" s="8"/>
      <c r="L1352" s="8"/>
    </row>
    <row r="1353" ht="13.5" customHeight="1">
      <c r="A1353" s="7" t="s">
        <v>355</v>
      </c>
      <c r="B1353" s="7">
        <v>3.5</v>
      </c>
      <c r="C1353" s="7" t="s">
        <v>359</v>
      </c>
      <c r="D1353" s="7" t="s">
        <v>357</v>
      </c>
      <c r="E1353" s="7">
        <v>-7.71585844155844</v>
      </c>
      <c r="F1353" s="7">
        <v>0.65981341991342</v>
      </c>
      <c r="G1353" s="7">
        <v>0.925935497835498</v>
      </c>
      <c r="H1353" s="7">
        <v>-3.90663636363637E-4</v>
      </c>
      <c r="I1353" s="7">
        <v>-2.08855463203464</v>
      </c>
      <c r="J1353" s="7">
        <v>-1.41932324675324</v>
      </c>
      <c r="K1353" s="8"/>
      <c r="L1353" s="8"/>
    </row>
    <row r="1354" ht="13.5" customHeight="1">
      <c r="A1354" s="7" t="s">
        <v>355</v>
      </c>
      <c r="B1354" s="7">
        <v>0.0</v>
      </c>
      <c r="C1354" s="7" t="s">
        <v>360</v>
      </c>
      <c r="D1354" s="7" t="s">
        <v>357</v>
      </c>
      <c r="E1354" s="7">
        <v>-7.73271480519481</v>
      </c>
      <c r="F1354" s="7">
        <v>0.66152393939394</v>
      </c>
      <c r="G1354" s="7">
        <v>0.928199913419913</v>
      </c>
      <c r="H1354" s="7">
        <v>-3.91718740259741E-4</v>
      </c>
      <c r="I1354" s="7">
        <v>-2.09534942424243</v>
      </c>
      <c r="J1354" s="7">
        <v>-1.42387029870129</v>
      </c>
      <c r="K1354" s="8"/>
      <c r="L1354" s="8"/>
    </row>
    <row r="1355" ht="13.5" customHeight="1">
      <c r="A1355" s="7" t="s">
        <v>355</v>
      </c>
      <c r="B1355" s="7">
        <v>1.75</v>
      </c>
      <c r="C1355" s="7" t="s">
        <v>360</v>
      </c>
      <c r="D1355" s="7" t="s">
        <v>357</v>
      </c>
      <c r="E1355" s="7">
        <v>-7.74957116883117</v>
      </c>
      <c r="F1355" s="7">
        <v>0.663234458874459</v>
      </c>
      <c r="G1355" s="7">
        <v>0.930464329004329</v>
      </c>
      <c r="H1355" s="7">
        <v>-3.92773844155845E-4</v>
      </c>
      <c r="I1355" s="7">
        <v>-2.10214421645022</v>
      </c>
      <c r="J1355" s="7">
        <v>-1.42841735064935</v>
      </c>
      <c r="K1355" s="8"/>
      <c r="L1355" s="8"/>
    </row>
    <row r="1356" ht="13.5" customHeight="1">
      <c r="A1356" s="7" t="s">
        <v>355</v>
      </c>
      <c r="B1356" s="7">
        <v>3.5</v>
      </c>
      <c r="C1356" s="7" t="s">
        <v>360</v>
      </c>
      <c r="D1356" s="7" t="s">
        <v>357</v>
      </c>
      <c r="E1356" s="7">
        <v>-7.76642753246753</v>
      </c>
      <c r="F1356" s="7">
        <v>0.664944978354979</v>
      </c>
      <c r="G1356" s="7">
        <v>0.932728744588744</v>
      </c>
      <c r="H1356" s="7">
        <v>-3.93828948051948E-4</v>
      </c>
      <c r="I1356" s="7">
        <v>-2.10893900865801</v>
      </c>
      <c r="J1356" s="7">
        <v>-1.4329644025974</v>
      </c>
      <c r="K1356" s="8"/>
      <c r="L1356" s="8"/>
    </row>
    <row r="1357" ht="13.5" customHeight="1">
      <c r="A1357" s="7" t="s">
        <v>355</v>
      </c>
      <c r="B1357" s="7">
        <v>0.0</v>
      </c>
      <c r="C1357" s="7" t="s">
        <v>361</v>
      </c>
      <c r="D1357" s="7" t="s">
        <v>357</v>
      </c>
      <c r="E1357" s="7">
        <v>-7.7832838961039</v>
      </c>
      <c r="F1357" s="7">
        <v>0.666655497835498</v>
      </c>
      <c r="G1357" s="7">
        <v>0.93499316017316</v>
      </c>
      <c r="H1357" s="7">
        <v>-3.94884051948052E-4</v>
      </c>
      <c r="I1357" s="7">
        <v>-2.1157338008658</v>
      </c>
      <c r="J1357" s="7">
        <v>-1.43751145454545</v>
      </c>
      <c r="K1357" s="8"/>
      <c r="L1357" s="8"/>
    </row>
    <row r="1358" ht="13.5" customHeight="1">
      <c r="A1358" s="7" t="s">
        <v>355</v>
      </c>
      <c r="B1358" s="7">
        <v>1.75</v>
      </c>
      <c r="C1358" s="7" t="s">
        <v>361</v>
      </c>
      <c r="D1358" s="7" t="s">
        <v>357</v>
      </c>
      <c r="E1358" s="7">
        <v>-7.80014025974026</v>
      </c>
      <c r="F1358" s="7">
        <v>0.668366017316018</v>
      </c>
      <c r="G1358" s="7">
        <v>0.937257575757576</v>
      </c>
      <c r="H1358" s="7">
        <v>-3.95939155844156E-4</v>
      </c>
      <c r="I1358" s="7">
        <v>-2.1225285930736</v>
      </c>
      <c r="J1358" s="7">
        <v>-1.4420585064935</v>
      </c>
      <c r="K1358" s="8"/>
      <c r="L1358" s="8"/>
    </row>
    <row r="1359" ht="13.5" customHeight="1">
      <c r="A1359" s="7" t="s">
        <v>355</v>
      </c>
      <c r="B1359" s="7">
        <v>3.5</v>
      </c>
      <c r="C1359" s="7" t="s">
        <v>361</v>
      </c>
      <c r="D1359" s="7" t="s">
        <v>357</v>
      </c>
      <c r="E1359" s="7">
        <v>-7.81699662337662</v>
      </c>
      <c r="F1359" s="7">
        <v>0.670076536796537</v>
      </c>
      <c r="G1359" s="7">
        <v>0.939521991341991</v>
      </c>
      <c r="H1359" s="7">
        <v>-3.9699425974026E-4</v>
      </c>
      <c r="I1359" s="7">
        <v>-2.12932338528139</v>
      </c>
      <c r="J1359" s="7">
        <v>-1.44660555844155</v>
      </c>
      <c r="K1359" s="8"/>
      <c r="L1359" s="8"/>
    </row>
    <row r="1360" ht="13.5" customHeight="1">
      <c r="A1360" s="7" t="s">
        <v>355</v>
      </c>
      <c r="B1360" s="7">
        <v>0.0</v>
      </c>
      <c r="C1360" s="7" t="s">
        <v>362</v>
      </c>
      <c r="D1360" s="7" t="s">
        <v>357</v>
      </c>
      <c r="E1360" s="7">
        <v>-7.83385298701299</v>
      </c>
      <c r="F1360" s="7">
        <v>0.671787056277057</v>
      </c>
      <c r="G1360" s="7">
        <v>0.941786406926407</v>
      </c>
      <c r="H1360" s="7">
        <v>-3.98049363636364E-4</v>
      </c>
      <c r="I1360" s="7">
        <v>-2.13611817748918</v>
      </c>
      <c r="J1360" s="7">
        <v>-1.45115261038961</v>
      </c>
      <c r="K1360" s="8"/>
      <c r="L1360" s="8"/>
    </row>
    <row r="1361" ht="13.5" customHeight="1">
      <c r="A1361" s="7" t="s">
        <v>355</v>
      </c>
      <c r="B1361" s="7">
        <v>1.75</v>
      </c>
      <c r="C1361" s="7" t="s">
        <v>362</v>
      </c>
      <c r="D1361" s="7" t="s">
        <v>357</v>
      </c>
      <c r="E1361" s="7">
        <v>-7.85070935064935</v>
      </c>
      <c r="F1361" s="7">
        <v>0.673497575757576</v>
      </c>
      <c r="G1361" s="7">
        <v>0.944050822510822</v>
      </c>
      <c r="H1361" s="7">
        <v>-3.99104467532468E-4</v>
      </c>
      <c r="I1361" s="7">
        <v>-2.14291296969697</v>
      </c>
      <c r="J1361" s="7">
        <v>-1.45569966233766</v>
      </c>
      <c r="K1361" s="8"/>
      <c r="L1361" s="8"/>
    </row>
    <row r="1362" ht="13.5" customHeight="1">
      <c r="A1362" s="7" t="s">
        <v>355</v>
      </c>
      <c r="B1362" s="7">
        <v>3.5</v>
      </c>
      <c r="C1362" s="7" t="s">
        <v>362</v>
      </c>
      <c r="D1362" s="7" t="s">
        <v>357</v>
      </c>
      <c r="E1362" s="7">
        <v>-7.86756571428571</v>
      </c>
      <c r="F1362" s="7">
        <v>0.675208095238096</v>
      </c>
      <c r="G1362" s="7">
        <v>0.946315238095238</v>
      </c>
      <c r="H1362" s="7">
        <v>-4.00159571428572E-4</v>
      </c>
      <c r="I1362" s="7">
        <v>-2.14970776190477</v>
      </c>
      <c r="J1362" s="7">
        <v>-1.46024671428571</v>
      </c>
      <c r="K1362" s="8"/>
      <c r="L1362" s="8"/>
    </row>
    <row r="1363" ht="13.5" customHeight="1">
      <c r="A1363" s="7" t="s">
        <v>355</v>
      </c>
      <c r="B1363" s="7">
        <v>0.0</v>
      </c>
      <c r="C1363" s="7" t="s">
        <v>363</v>
      </c>
      <c r="D1363" s="7" t="s">
        <v>357</v>
      </c>
      <c r="E1363" s="7">
        <v>-7.88442207792208</v>
      </c>
      <c r="F1363" s="7">
        <v>0.676918614718615</v>
      </c>
      <c r="G1363" s="7">
        <v>0.948579653679654</v>
      </c>
      <c r="H1363" s="7">
        <v>-4.01214675324676E-4</v>
      </c>
      <c r="I1363" s="7">
        <v>-2.15650255411256</v>
      </c>
      <c r="J1363" s="7">
        <v>-1.46479376623376</v>
      </c>
      <c r="K1363" s="8"/>
      <c r="L1363" s="8"/>
    </row>
    <row r="1364" ht="13.5" customHeight="1">
      <c r="A1364" s="7" t="s">
        <v>355</v>
      </c>
      <c r="B1364" s="7">
        <v>1.75</v>
      </c>
      <c r="C1364" s="7" t="s">
        <v>363</v>
      </c>
      <c r="D1364" s="7" t="s">
        <v>357</v>
      </c>
      <c r="E1364" s="7">
        <v>-7.90127844155844</v>
      </c>
      <c r="F1364" s="7">
        <v>0.678629134199135</v>
      </c>
      <c r="G1364" s="7">
        <v>0.950844069264069</v>
      </c>
      <c r="H1364" s="7">
        <v>-4.0226977922078E-4</v>
      </c>
      <c r="I1364" s="7">
        <v>-2.16329734632035</v>
      </c>
      <c r="J1364" s="7">
        <v>-1.46934081818181</v>
      </c>
      <c r="K1364" s="8"/>
      <c r="L1364" s="8"/>
    </row>
    <row r="1365" ht="13.5" customHeight="1">
      <c r="A1365" s="7" t="s">
        <v>355</v>
      </c>
      <c r="B1365" s="7">
        <v>3.5</v>
      </c>
      <c r="C1365" s="7" t="s">
        <v>363</v>
      </c>
      <c r="D1365" s="7" t="s">
        <v>357</v>
      </c>
      <c r="E1365" s="7">
        <v>-7.91813480519481</v>
      </c>
      <c r="F1365" s="7">
        <v>0.680339653679654</v>
      </c>
      <c r="G1365" s="7">
        <v>0.953108484848485</v>
      </c>
      <c r="H1365" s="7">
        <v>-4.03324883116884E-4</v>
      </c>
      <c r="I1365" s="7">
        <v>-2.17009213852814</v>
      </c>
      <c r="J1365" s="7">
        <v>-1.47388787012987</v>
      </c>
      <c r="K1365" s="8"/>
      <c r="L1365" s="8"/>
    </row>
    <row r="1366" ht="13.5" customHeight="1">
      <c r="A1366" s="7" t="s">
        <v>355</v>
      </c>
      <c r="B1366" s="7">
        <v>0.0</v>
      </c>
      <c r="C1366" s="7" t="s">
        <v>356</v>
      </c>
      <c r="D1366" s="7" t="s">
        <v>357</v>
      </c>
      <c r="E1366" s="7">
        <v>-7.93499116883117</v>
      </c>
      <c r="F1366" s="7">
        <v>0.682050173160174</v>
      </c>
      <c r="G1366" s="7">
        <v>0.9553729004329</v>
      </c>
      <c r="H1366" s="7">
        <v>-4.04379987012987E-4</v>
      </c>
      <c r="I1366" s="7">
        <v>-2.17688693073593</v>
      </c>
      <c r="J1366" s="7">
        <v>-1.47843492207792</v>
      </c>
      <c r="K1366" s="8"/>
      <c r="L1366" s="8"/>
    </row>
    <row r="1367" ht="13.5" customHeight="1">
      <c r="A1367" s="7" t="s">
        <v>355</v>
      </c>
      <c r="B1367" s="7">
        <v>1.75</v>
      </c>
      <c r="C1367" s="7" t="s">
        <v>356</v>
      </c>
      <c r="D1367" s="7" t="s">
        <v>357</v>
      </c>
      <c r="E1367" s="7">
        <v>-7.95184753246753</v>
      </c>
      <c r="F1367" s="7">
        <v>0.683760692640693</v>
      </c>
      <c r="G1367" s="7">
        <v>0.957637316017316</v>
      </c>
      <c r="H1367" s="7">
        <v>-4.05435090909091E-4</v>
      </c>
      <c r="I1367" s="7">
        <v>-2.18368172294373</v>
      </c>
      <c r="J1367" s="7">
        <v>-1.48298197402597</v>
      </c>
      <c r="K1367" s="8"/>
      <c r="L1367" s="8"/>
    </row>
    <row r="1368" ht="13.5" customHeight="1">
      <c r="A1368" s="7" t="s">
        <v>355</v>
      </c>
      <c r="B1368" s="7">
        <v>3.5</v>
      </c>
      <c r="C1368" s="7" t="s">
        <v>356</v>
      </c>
      <c r="D1368" s="7" t="s">
        <v>357</v>
      </c>
      <c r="E1368" s="7">
        <v>-7.9687038961039</v>
      </c>
      <c r="F1368" s="7">
        <v>0.685471212121213</v>
      </c>
      <c r="G1368" s="7">
        <v>0.959901731601731</v>
      </c>
      <c r="H1368" s="7">
        <v>-4.06490194805195E-4</v>
      </c>
      <c r="I1368" s="7">
        <v>-2.19047651515152</v>
      </c>
      <c r="J1368" s="7">
        <v>-1.48752902597402</v>
      </c>
      <c r="K1368" s="8"/>
      <c r="L1368" s="8"/>
    </row>
    <row r="1369" ht="13.5" customHeight="1">
      <c r="A1369" s="7" t="s">
        <v>355</v>
      </c>
      <c r="B1369" s="7">
        <v>0.0</v>
      </c>
      <c r="C1369" s="7" t="s">
        <v>358</v>
      </c>
      <c r="D1369" s="7" t="s">
        <v>357</v>
      </c>
      <c r="E1369" s="7">
        <v>-7.98556025974026</v>
      </c>
      <c r="F1369" s="7">
        <v>0.687181731601732</v>
      </c>
      <c r="G1369" s="7">
        <v>0.962166147186147</v>
      </c>
      <c r="H1369" s="7">
        <v>-4.07545298701299E-4</v>
      </c>
      <c r="I1369" s="7">
        <v>-2.19727130735931</v>
      </c>
      <c r="J1369" s="7">
        <v>-1.49207607792207</v>
      </c>
      <c r="K1369" s="8"/>
      <c r="L1369" s="8"/>
    </row>
    <row r="1370" ht="13.5" customHeight="1">
      <c r="A1370" s="7" t="s">
        <v>355</v>
      </c>
      <c r="B1370" s="7">
        <v>1.75</v>
      </c>
      <c r="C1370" s="7" t="s">
        <v>358</v>
      </c>
      <c r="D1370" s="7" t="s">
        <v>357</v>
      </c>
      <c r="E1370" s="7">
        <v>-8.00241662337662</v>
      </c>
      <c r="F1370" s="7">
        <v>0.688892251082252</v>
      </c>
      <c r="G1370" s="7">
        <v>0.964430562770563</v>
      </c>
      <c r="H1370" s="7">
        <v>-4.08600402597403E-4</v>
      </c>
      <c r="I1370" s="7">
        <v>-2.2040660995671</v>
      </c>
      <c r="J1370" s="7">
        <v>-1.49662312987013</v>
      </c>
      <c r="K1370" s="8"/>
      <c r="L1370" s="8"/>
    </row>
    <row r="1371" ht="13.5" customHeight="1">
      <c r="A1371" s="7" t="s">
        <v>355</v>
      </c>
      <c r="B1371" s="7">
        <v>3.5</v>
      </c>
      <c r="C1371" s="7" t="s">
        <v>358</v>
      </c>
      <c r="D1371" s="7" t="s">
        <v>357</v>
      </c>
      <c r="E1371" s="7">
        <v>-8.01927298701299</v>
      </c>
      <c r="F1371" s="7">
        <v>0.690602770562771</v>
      </c>
      <c r="G1371" s="7">
        <v>0.966694978354978</v>
      </c>
      <c r="H1371" s="7">
        <v>-4.09655506493507E-4</v>
      </c>
      <c r="I1371" s="7">
        <v>-2.2108608917749</v>
      </c>
      <c r="J1371" s="7">
        <v>-1.50117018181818</v>
      </c>
      <c r="K1371" s="8"/>
      <c r="L1371" s="8"/>
    </row>
    <row r="1372" ht="13.5" customHeight="1">
      <c r="A1372" s="7" t="s">
        <v>355</v>
      </c>
      <c r="B1372" s="7">
        <v>0.0</v>
      </c>
      <c r="C1372" s="7" t="s">
        <v>359</v>
      </c>
      <c r="D1372" s="7" t="s">
        <v>357</v>
      </c>
      <c r="E1372" s="7">
        <v>-8.03612935064935</v>
      </c>
      <c r="F1372" s="7">
        <v>0.69231329004329</v>
      </c>
      <c r="G1372" s="7">
        <v>0.968959393939394</v>
      </c>
      <c r="H1372" s="7">
        <v>-4.10710610389611E-4</v>
      </c>
      <c r="I1372" s="7">
        <v>-2.21765568398269</v>
      </c>
      <c r="J1372" s="7">
        <v>-1.50571723376623</v>
      </c>
      <c r="K1372" s="8"/>
      <c r="L1372" s="8"/>
    </row>
    <row r="1373" ht="13.5" customHeight="1">
      <c r="A1373" s="7" t="s">
        <v>355</v>
      </c>
      <c r="B1373" s="7">
        <v>1.75</v>
      </c>
      <c r="C1373" s="7" t="s">
        <v>359</v>
      </c>
      <c r="D1373" s="7" t="s">
        <v>357</v>
      </c>
      <c r="E1373" s="7">
        <v>-8.05298571428571</v>
      </c>
      <c r="F1373" s="7">
        <v>0.69402380952381</v>
      </c>
      <c r="G1373" s="7">
        <v>0.971223809523809</v>
      </c>
      <c r="H1373" s="7">
        <v>-4.11765714285715E-4</v>
      </c>
      <c r="I1373" s="7">
        <v>-2.22445047619048</v>
      </c>
      <c r="J1373" s="7">
        <v>-1.51026428571428</v>
      </c>
      <c r="K1373" s="8"/>
      <c r="L1373" s="8"/>
    </row>
    <row r="1374" ht="13.5" customHeight="1">
      <c r="A1374" s="7" t="s">
        <v>355</v>
      </c>
      <c r="B1374" s="7">
        <v>3.5</v>
      </c>
      <c r="C1374" s="7" t="s">
        <v>359</v>
      </c>
      <c r="D1374" s="7" t="s">
        <v>357</v>
      </c>
      <c r="E1374" s="7">
        <v>-8.06984207792208</v>
      </c>
      <c r="F1374" s="7">
        <v>0.695734329004329</v>
      </c>
      <c r="G1374" s="7">
        <v>0.973488225108225</v>
      </c>
      <c r="H1374" s="7">
        <v>-4.12820818181819E-4</v>
      </c>
      <c r="I1374" s="7">
        <v>-2.23124526839827</v>
      </c>
      <c r="J1374" s="7">
        <v>-1.51481133766233</v>
      </c>
      <c r="K1374" s="8"/>
      <c r="L1374" s="8"/>
    </row>
    <row r="1375" ht="13.5" customHeight="1">
      <c r="A1375" s="7" t="s">
        <v>355</v>
      </c>
      <c r="B1375" s="7">
        <v>0.0</v>
      </c>
      <c r="C1375" s="7" t="s">
        <v>360</v>
      </c>
      <c r="D1375" s="7" t="s">
        <v>357</v>
      </c>
      <c r="E1375" s="7">
        <v>-8.08669844155844</v>
      </c>
      <c r="F1375" s="7">
        <v>0.697444848484849</v>
      </c>
      <c r="G1375" s="7">
        <v>0.97575264069264</v>
      </c>
      <c r="H1375" s="7">
        <v>-4.13875922077922E-4</v>
      </c>
      <c r="I1375" s="7">
        <v>-2.23804006060606</v>
      </c>
      <c r="J1375" s="7">
        <v>-1.51935838961039</v>
      </c>
      <c r="K1375" s="8"/>
      <c r="L1375" s="8"/>
    </row>
    <row r="1376" ht="13.5" customHeight="1">
      <c r="A1376" s="7" t="s">
        <v>355</v>
      </c>
      <c r="B1376" s="7">
        <v>1.75</v>
      </c>
      <c r="C1376" s="7" t="s">
        <v>360</v>
      </c>
      <c r="D1376" s="7" t="s">
        <v>357</v>
      </c>
      <c r="E1376" s="7">
        <v>-8.10355480519481</v>
      </c>
      <c r="F1376" s="7">
        <v>0.699155367965368</v>
      </c>
      <c r="G1376" s="7">
        <v>0.978017056277056</v>
      </c>
      <c r="H1376" s="7">
        <v>-4.14931025974026E-4</v>
      </c>
      <c r="I1376" s="7">
        <v>-2.24483485281386</v>
      </c>
      <c r="J1376" s="7">
        <v>-1.52390544155844</v>
      </c>
      <c r="K1376" s="8"/>
      <c r="L1376" s="8"/>
    </row>
    <row r="1377" ht="13.5" customHeight="1">
      <c r="A1377" s="7" t="s">
        <v>355</v>
      </c>
      <c r="B1377" s="7">
        <v>3.5</v>
      </c>
      <c r="C1377" s="7" t="s">
        <v>360</v>
      </c>
      <c r="D1377" s="7" t="s">
        <v>357</v>
      </c>
      <c r="E1377" s="7">
        <v>-8.12041116883117</v>
      </c>
      <c r="F1377" s="7">
        <v>0.700865887445888</v>
      </c>
      <c r="G1377" s="7">
        <v>0.980281471861472</v>
      </c>
      <c r="H1377" s="7">
        <v>-4.1598612987013E-4</v>
      </c>
      <c r="I1377" s="7">
        <v>-2.25162964502165</v>
      </c>
      <c r="J1377" s="7">
        <v>-1.52845249350649</v>
      </c>
      <c r="K1377" s="8"/>
      <c r="L1377" s="8"/>
    </row>
    <row r="1378" ht="13.5" customHeight="1">
      <c r="A1378" s="7" t="s">
        <v>355</v>
      </c>
      <c r="B1378" s="7">
        <v>0.0</v>
      </c>
      <c r="C1378" s="7" t="s">
        <v>361</v>
      </c>
      <c r="D1378" s="7" t="s">
        <v>357</v>
      </c>
      <c r="E1378" s="7">
        <v>-8.13726753246753</v>
      </c>
      <c r="F1378" s="7">
        <v>0.702576406926407</v>
      </c>
      <c r="G1378" s="7">
        <v>0.982545887445887</v>
      </c>
      <c r="H1378" s="7">
        <v>-4.17041233766234E-4</v>
      </c>
      <c r="I1378" s="7">
        <v>-2.25842443722944</v>
      </c>
      <c r="J1378" s="7">
        <v>-1.53299954545454</v>
      </c>
      <c r="K1378" s="8"/>
      <c r="L1378" s="8"/>
    </row>
    <row r="1379" ht="13.5" customHeight="1">
      <c r="A1379" s="7" t="s">
        <v>355</v>
      </c>
      <c r="B1379" s="7">
        <v>1.75</v>
      </c>
      <c r="C1379" s="7" t="s">
        <v>361</v>
      </c>
      <c r="D1379" s="7" t="s">
        <v>357</v>
      </c>
      <c r="E1379" s="7">
        <v>-8.1541238961039</v>
      </c>
      <c r="F1379" s="7">
        <v>0.704286926406927</v>
      </c>
      <c r="G1379" s="7">
        <v>0.984810303030303</v>
      </c>
      <c r="H1379" s="7">
        <v>-4.18096337662338E-4</v>
      </c>
      <c r="I1379" s="7">
        <v>-2.26521922943723</v>
      </c>
      <c r="J1379" s="7">
        <v>-1.53754659740259</v>
      </c>
      <c r="K1379" s="8"/>
      <c r="L1379" s="8"/>
    </row>
    <row r="1380" ht="13.5" customHeight="1">
      <c r="A1380" s="7" t="s">
        <v>355</v>
      </c>
      <c r="B1380" s="7">
        <v>3.5</v>
      </c>
      <c r="C1380" s="7" t="s">
        <v>361</v>
      </c>
      <c r="D1380" s="7" t="s">
        <v>357</v>
      </c>
      <c r="E1380" s="7">
        <v>-8.17098025974026</v>
      </c>
      <c r="F1380" s="7">
        <v>0.705997445887446</v>
      </c>
      <c r="G1380" s="7">
        <v>0.987074718614718</v>
      </c>
      <c r="H1380" s="7">
        <v>-4.19151441558442E-4</v>
      </c>
      <c r="I1380" s="7">
        <v>-2.27201402164503</v>
      </c>
      <c r="J1380" s="7">
        <v>-1.54209364935065</v>
      </c>
      <c r="K1380" s="8"/>
      <c r="L1380" s="8"/>
    </row>
    <row r="1381" ht="13.5" customHeight="1">
      <c r="A1381" s="7" t="s">
        <v>355</v>
      </c>
      <c r="B1381" s="7">
        <v>0.0</v>
      </c>
      <c r="C1381" s="7" t="s">
        <v>362</v>
      </c>
      <c r="D1381" s="7" t="s">
        <v>357</v>
      </c>
      <c r="E1381" s="7">
        <v>-8.18783662337662</v>
      </c>
      <c r="F1381" s="7">
        <v>0.707707965367966</v>
      </c>
      <c r="G1381" s="7">
        <v>0.989339134199134</v>
      </c>
      <c r="H1381" s="7">
        <v>-4.20206545454546E-4</v>
      </c>
      <c r="I1381" s="7">
        <v>-2.27880881385282</v>
      </c>
      <c r="J1381" s="7">
        <v>-1.5466407012987</v>
      </c>
      <c r="K1381" s="8"/>
      <c r="L1381" s="8"/>
    </row>
    <row r="1382" ht="13.5" customHeight="1">
      <c r="A1382" s="7" t="s">
        <v>355</v>
      </c>
      <c r="B1382" s="7">
        <v>1.75</v>
      </c>
      <c r="C1382" s="7" t="s">
        <v>362</v>
      </c>
      <c r="D1382" s="7" t="s">
        <v>357</v>
      </c>
      <c r="E1382" s="7">
        <v>-8.20469298701299</v>
      </c>
      <c r="F1382" s="7">
        <v>0.709418484848485</v>
      </c>
      <c r="G1382" s="7">
        <v>0.99160354978355</v>
      </c>
      <c r="H1382" s="7">
        <v>-4.2126164935065E-4</v>
      </c>
      <c r="I1382" s="7">
        <v>-2.28560360606061</v>
      </c>
      <c r="J1382" s="7">
        <v>-1.55118775324675</v>
      </c>
      <c r="K1382" s="8"/>
      <c r="L1382" s="8"/>
    </row>
    <row r="1383" ht="13.5" customHeight="1">
      <c r="A1383" s="7" t="s">
        <v>355</v>
      </c>
      <c r="B1383" s="7">
        <v>3.5</v>
      </c>
      <c r="C1383" s="7" t="s">
        <v>362</v>
      </c>
      <c r="D1383" s="7" t="s">
        <v>357</v>
      </c>
      <c r="E1383" s="7">
        <v>-8.22154935064935</v>
      </c>
      <c r="F1383" s="7">
        <v>0.711129004329005</v>
      </c>
      <c r="G1383" s="7">
        <v>0.993867965367965</v>
      </c>
      <c r="H1383" s="7">
        <v>-4.22316753246754E-4</v>
      </c>
      <c r="I1383" s="7">
        <v>-2.2923983982684</v>
      </c>
      <c r="J1383" s="7">
        <v>-1.5557348051948</v>
      </c>
      <c r="K1383" s="8"/>
      <c r="L1383" s="8"/>
    </row>
    <row r="1384" ht="13.5" customHeight="1">
      <c r="A1384" s="7" t="s">
        <v>355</v>
      </c>
      <c r="B1384" s="7">
        <v>0.0</v>
      </c>
      <c r="C1384" s="7" t="s">
        <v>363</v>
      </c>
      <c r="D1384" s="7" t="s">
        <v>357</v>
      </c>
      <c r="E1384" s="7">
        <v>-8.23840571428571</v>
      </c>
      <c r="F1384" s="7">
        <v>0.712839523809524</v>
      </c>
      <c r="G1384" s="7">
        <v>0.996132380952381</v>
      </c>
      <c r="H1384" s="7">
        <v>-4.23371857142857E-4</v>
      </c>
      <c r="I1384" s="7">
        <v>-2.29919319047619</v>
      </c>
      <c r="J1384" s="7">
        <v>-1.56028185714285</v>
      </c>
      <c r="K1384" s="8"/>
      <c r="L1384" s="8"/>
    </row>
    <row r="1385" ht="13.5" customHeight="1">
      <c r="A1385" s="7" t="s">
        <v>355</v>
      </c>
      <c r="B1385" s="7">
        <v>1.75</v>
      </c>
      <c r="C1385" s="7" t="s">
        <v>363</v>
      </c>
      <c r="D1385" s="7" t="s">
        <v>357</v>
      </c>
      <c r="E1385" s="7">
        <v>-8.25526207792208</v>
      </c>
      <c r="F1385" s="7">
        <v>0.714550043290044</v>
      </c>
      <c r="G1385" s="7">
        <v>0.998396796536796</v>
      </c>
      <c r="H1385" s="7">
        <v>-4.24426961038961E-4</v>
      </c>
      <c r="I1385" s="7">
        <v>-2.30598798268399</v>
      </c>
      <c r="J1385" s="7">
        <v>-1.5648289090909</v>
      </c>
      <c r="K1385" s="8"/>
      <c r="L1385" s="8"/>
    </row>
    <row r="1386" ht="13.5" customHeight="1">
      <c r="A1386" s="7" t="s">
        <v>355</v>
      </c>
      <c r="B1386" s="7">
        <v>3.5</v>
      </c>
      <c r="C1386" s="7" t="s">
        <v>363</v>
      </c>
      <c r="D1386" s="7" t="s">
        <v>357</v>
      </c>
      <c r="E1386" s="7">
        <v>-8.27211844155844</v>
      </c>
      <c r="F1386" s="7">
        <v>0.716260562770563</v>
      </c>
      <c r="G1386" s="7">
        <v>1.00066121212121</v>
      </c>
      <c r="H1386" s="7">
        <v>-4.25482064935065E-4</v>
      </c>
      <c r="I1386" s="7">
        <v>-2.31278277489178</v>
      </c>
      <c r="J1386" s="7">
        <v>-1.56937596103896</v>
      </c>
      <c r="K1386" s="8"/>
      <c r="L1386" s="8"/>
    </row>
    <row r="1387" ht="13.5" customHeight="1">
      <c r="A1387" s="7" t="s">
        <v>355</v>
      </c>
      <c r="B1387" s="7">
        <v>0.0</v>
      </c>
      <c r="C1387" s="7" t="s">
        <v>356</v>
      </c>
      <c r="D1387" s="7" t="s">
        <v>357</v>
      </c>
      <c r="E1387" s="7">
        <v>-8.28897480519481</v>
      </c>
      <c r="F1387" s="7">
        <v>0.717971082251083</v>
      </c>
      <c r="G1387" s="7">
        <v>1.00292562770563</v>
      </c>
      <c r="H1387" s="7">
        <v>-4.26537168831169E-4</v>
      </c>
      <c r="I1387" s="7">
        <v>-2.31957756709957</v>
      </c>
      <c r="J1387" s="7">
        <v>-1.57392301298701</v>
      </c>
      <c r="K1387" s="8"/>
      <c r="L1387" s="8"/>
    </row>
    <row r="1388" ht="13.5" customHeight="1">
      <c r="A1388" s="7" t="s">
        <v>355</v>
      </c>
      <c r="B1388" s="7">
        <v>1.75</v>
      </c>
      <c r="C1388" s="7" t="s">
        <v>356</v>
      </c>
      <c r="D1388" s="7" t="s">
        <v>357</v>
      </c>
      <c r="E1388" s="7">
        <v>-8.30583116883117</v>
      </c>
      <c r="F1388" s="7">
        <v>0.719681601731602</v>
      </c>
      <c r="G1388" s="7">
        <v>1.00519004329004</v>
      </c>
      <c r="H1388" s="7">
        <v>-4.27592272727273E-4</v>
      </c>
      <c r="I1388" s="7">
        <v>-2.32637235930736</v>
      </c>
      <c r="J1388" s="7">
        <v>-1.57847006493506</v>
      </c>
      <c r="K1388" s="8"/>
      <c r="L1388" s="8"/>
    </row>
    <row r="1389" ht="13.5" customHeight="1">
      <c r="A1389" s="7" t="s">
        <v>355</v>
      </c>
      <c r="B1389" s="7">
        <v>3.5</v>
      </c>
      <c r="C1389" s="7" t="s">
        <v>356</v>
      </c>
      <c r="D1389" s="7" t="s">
        <v>357</v>
      </c>
      <c r="E1389" s="7">
        <v>-8.32268753246753</v>
      </c>
      <c r="F1389" s="7">
        <v>0.721392121212122</v>
      </c>
      <c r="G1389" s="7">
        <v>1.00745445887446</v>
      </c>
      <c r="H1389" s="7">
        <v>-4.28647376623377E-4</v>
      </c>
      <c r="I1389" s="7">
        <v>-2.33316715151516</v>
      </c>
      <c r="J1389" s="7">
        <v>-1.58301711688311</v>
      </c>
      <c r="K1389" s="8"/>
      <c r="L1389" s="8"/>
    </row>
    <row r="1390" ht="13.5" customHeight="1">
      <c r="A1390" s="7" t="s">
        <v>355</v>
      </c>
      <c r="B1390" s="7">
        <v>0.0</v>
      </c>
      <c r="C1390" s="7" t="s">
        <v>358</v>
      </c>
      <c r="D1390" s="7" t="s">
        <v>357</v>
      </c>
      <c r="E1390" s="7">
        <v>-8.3395438961039</v>
      </c>
      <c r="F1390" s="7">
        <v>0.723102640692641</v>
      </c>
      <c r="G1390" s="7">
        <v>1.00971887445887</v>
      </c>
      <c r="H1390" s="7">
        <v>-4.29702480519481E-4</v>
      </c>
      <c r="I1390" s="7">
        <v>-2.33996194372295</v>
      </c>
      <c r="J1390" s="7">
        <v>-1.58756416883116</v>
      </c>
      <c r="K1390" s="8"/>
      <c r="L1390" s="8"/>
    </row>
    <row r="1391" ht="13.5" customHeight="1">
      <c r="A1391" s="7" t="s">
        <v>355</v>
      </c>
      <c r="B1391" s="7">
        <v>1.75</v>
      </c>
      <c r="C1391" s="7" t="s">
        <v>358</v>
      </c>
      <c r="D1391" s="7" t="s">
        <v>357</v>
      </c>
      <c r="E1391" s="7">
        <v>-8.35640025974026</v>
      </c>
      <c r="F1391" s="7">
        <v>0.724813160173161</v>
      </c>
      <c r="G1391" s="7">
        <v>1.01198329004329</v>
      </c>
      <c r="H1391" s="7">
        <v>-4.30757584415585E-4</v>
      </c>
      <c r="I1391" s="7">
        <v>-2.34675673593074</v>
      </c>
      <c r="J1391" s="7">
        <v>-1.59211122077922</v>
      </c>
      <c r="K1391" s="8"/>
      <c r="L1391" s="8"/>
    </row>
    <row r="1392" ht="13.5" customHeight="1">
      <c r="A1392" s="7" t="s">
        <v>355</v>
      </c>
      <c r="B1392" s="7">
        <v>3.5</v>
      </c>
      <c r="C1392" s="7" t="s">
        <v>358</v>
      </c>
      <c r="D1392" s="7" t="s">
        <v>357</v>
      </c>
      <c r="E1392" s="7">
        <v>-8.37325662337662</v>
      </c>
      <c r="F1392" s="7">
        <v>0.72652367965368</v>
      </c>
      <c r="G1392" s="7">
        <v>1.0142477056277</v>
      </c>
      <c r="H1392" s="7">
        <v>-4.31812688311689E-4</v>
      </c>
      <c r="I1392" s="7">
        <v>-2.35355152813853</v>
      </c>
      <c r="J1392" s="7">
        <v>-1.59665827272727</v>
      </c>
      <c r="K1392" s="8"/>
      <c r="L1392" s="8"/>
    </row>
    <row r="1393" ht="13.5" customHeight="1">
      <c r="A1393" s="7" t="s">
        <v>355</v>
      </c>
      <c r="B1393" s="7">
        <v>0.0</v>
      </c>
      <c r="C1393" s="7" t="s">
        <v>359</v>
      </c>
      <c r="D1393" s="7" t="s">
        <v>357</v>
      </c>
      <c r="E1393" s="7">
        <v>-8.39011298701299</v>
      </c>
      <c r="F1393" s="7">
        <v>0.7282341991342</v>
      </c>
      <c r="G1393" s="7">
        <v>1.01651212121212</v>
      </c>
      <c r="H1393" s="7">
        <v>-4.32867792207793E-4</v>
      </c>
      <c r="I1393" s="7">
        <v>-2.36034632034632</v>
      </c>
      <c r="J1393" s="7">
        <v>-1.60120532467532</v>
      </c>
      <c r="K1393" s="8"/>
      <c r="L1393" s="8"/>
    </row>
    <row r="1394" ht="13.5" customHeight="1">
      <c r="A1394" s="7" t="s">
        <v>355</v>
      </c>
      <c r="B1394" s="7">
        <v>1.75</v>
      </c>
      <c r="C1394" s="7" t="s">
        <v>359</v>
      </c>
      <c r="D1394" s="7" t="s">
        <v>357</v>
      </c>
      <c r="E1394" s="7">
        <v>-8.40696935064935</v>
      </c>
      <c r="F1394" s="7">
        <v>0.729944718614719</v>
      </c>
      <c r="G1394" s="7">
        <v>1.01877653679654</v>
      </c>
      <c r="H1394" s="7">
        <v>-4.33922896103896E-4</v>
      </c>
      <c r="I1394" s="7">
        <v>-2.36714111255412</v>
      </c>
      <c r="J1394" s="7">
        <v>-1.60575237662337</v>
      </c>
      <c r="K1394" s="8"/>
      <c r="L1394" s="8"/>
    </row>
    <row r="1395" ht="13.5" customHeight="1">
      <c r="A1395" s="7" t="s">
        <v>355</v>
      </c>
      <c r="B1395" s="7">
        <v>3.5</v>
      </c>
      <c r="C1395" s="7" t="s">
        <v>359</v>
      </c>
      <c r="D1395" s="7" t="s">
        <v>357</v>
      </c>
      <c r="E1395" s="7">
        <v>-8.42382571428571</v>
      </c>
      <c r="F1395" s="7">
        <v>0.731655238095239</v>
      </c>
      <c r="G1395" s="7">
        <v>1.02104095238095</v>
      </c>
      <c r="H1395" s="7">
        <v>-4.34978E-4</v>
      </c>
      <c r="I1395" s="7">
        <v>-2.37393590476191</v>
      </c>
      <c r="J1395" s="7">
        <v>-1.61029942857142</v>
      </c>
      <c r="K1395" s="8"/>
      <c r="L1395" s="8"/>
    </row>
    <row r="1396" ht="13.5" customHeight="1">
      <c r="A1396" s="7" t="s">
        <v>355</v>
      </c>
      <c r="B1396" s="7">
        <v>0.0</v>
      </c>
      <c r="C1396" s="7" t="s">
        <v>360</v>
      </c>
      <c r="D1396" s="7" t="s">
        <v>357</v>
      </c>
      <c r="E1396" s="7">
        <v>-8.44068207792208</v>
      </c>
      <c r="F1396" s="7">
        <v>0.733365757575758</v>
      </c>
      <c r="G1396" s="7">
        <v>1.02330536796537</v>
      </c>
      <c r="H1396" s="7">
        <v>-4.36033103896104E-4</v>
      </c>
      <c r="I1396" s="7">
        <v>-2.3807306969697</v>
      </c>
      <c r="J1396" s="7">
        <v>-1.61484648051948</v>
      </c>
      <c r="K1396" s="8"/>
      <c r="L1396" s="8"/>
    </row>
    <row r="1397" ht="13.5" customHeight="1">
      <c r="A1397" s="7" t="s">
        <v>355</v>
      </c>
      <c r="B1397" s="7">
        <v>1.75</v>
      </c>
      <c r="C1397" s="7" t="s">
        <v>360</v>
      </c>
      <c r="D1397" s="7" t="s">
        <v>357</v>
      </c>
      <c r="E1397" s="7">
        <v>-8.45753844155844</v>
      </c>
      <c r="F1397" s="7">
        <v>0.735076277056278</v>
      </c>
      <c r="G1397" s="7">
        <v>1.02556978354978</v>
      </c>
      <c r="H1397" s="7">
        <v>-4.37088207792208E-4</v>
      </c>
      <c r="I1397" s="7">
        <v>-2.38752548917749</v>
      </c>
      <c r="J1397" s="7">
        <v>-1.61939353246753</v>
      </c>
      <c r="K1397" s="8"/>
      <c r="L1397" s="8"/>
    </row>
    <row r="1398" ht="13.5" customHeight="1">
      <c r="A1398" s="7" t="s">
        <v>355</v>
      </c>
      <c r="B1398" s="7">
        <v>3.5</v>
      </c>
      <c r="C1398" s="7" t="s">
        <v>360</v>
      </c>
      <c r="D1398" s="7" t="s">
        <v>357</v>
      </c>
      <c r="E1398" s="7">
        <v>-8.47439480519481</v>
      </c>
      <c r="F1398" s="7">
        <v>0.736786796536797</v>
      </c>
      <c r="G1398" s="7">
        <v>1.0278341991342</v>
      </c>
      <c r="H1398" s="7">
        <v>-4.38143311688312E-4</v>
      </c>
      <c r="I1398" s="7">
        <v>-2.39432028138528</v>
      </c>
      <c r="J1398" s="7">
        <v>-1.62394058441558</v>
      </c>
      <c r="K1398" s="8"/>
      <c r="L1398" s="8"/>
    </row>
    <row r="1399" ht="13.5" customHeight="1">
      <c r="A1399" s="7" t="s">
        <v>355</v>
      </c>
      <c r="B1399" s="7">
        <v>0.0</v>
      </c>
      <c r="C1399" s="7" t="s">
        <v>361</v>
      </c>
      <c r="D1399" s="7" t="s">
        <v>357</v>
      </c>
      <c r="E1399" s="7">
        <v>-8.49125116883117</v>
      </c>
      <c r="F1399" s="7">
        <v>0.738497316017317</v>
      </c>
      <c r="G1399" s="7">
        <v>1.03009861471861</v>
      </c>
      <c r="H1399" s="7">
        <v>-4.39198415584416E-4</v>
      </c>
      <c r="I1399" s="7">
        <v>-2.40111507359308</v>
      </c>
      <c r="J1399" s="7">
        <v>-1.62848763636363</v>
      </c>
      <c r="K1399" s="8"/>
      <c r="L1399" s="8"/>
    </row>
    <row r="1400" ht="13.5" customHeight="1">
      <c r="A1400" s="7" t="s">
        <v>355</v>
      </c>
      <c r="B1400" s="7">
        <v>1.75</v>
      </c>
      <c r="C1400" s="7" t="s">
        <v>361</v>
      </c>
      <c r="D1400" s="7" t="s">
        <v>357</v>
      </c>
      <c r="E1400" s="7">
        <v>-8.50810753246753</v>
      </c>
      <c r="F1400" s="7">
        <v>0.740207835497836</v>
      </c>
      <c r="G1400" s="7">
        <v>1.03236303030303</v>
      </c>
      <c r="H1400" s="7">
        <v>-4.4025351948052E-4</v>
      </c>
      <c r="I1400" s="7">
        <v>-2.40790986580087</v>
      </c>
      <c r="J1400" s="7">
        <v>-1.63303468831168</v>
      </c>
      <c r="K1400" s="8"/>
      <c r="L1400" s="8"/>
    </row>
    <row r="1401" ht="13.5" customHeight="1">
      <c r="A1401" s="7" t="s">
        <v>355</v>
      </c>
      <c r="B1401" s="7">
        <v>3.5</v>
      </c>
      <c r="C1401" s="7" t="s">
        <v>361</v>
      </c>
      <c r="D1401" s="7" t="s">
        <v>357</v>
      </c>
      <c r="E1401" s="7">
        <v>-8.5249638961039</v>
      </c>
      <c r="F1401" s="7">
        <v>0.741918354978355</v>
      </c>
      <c r="G1401" s="7">
        <v>1.03462744588745</v>
      </c>
      <c r="H1401" s="7">
        <v>-4.41308623376624E-4</v>
      </c>
      <c r="I1401" s="7">
        <v>-2.41470465800866</v>
      </c>
      <c r="J1401" s="7">
        <v>-1.63758174025974</v>
      </c>
      <c r="K1401" s="8"/>
      <c r="L1401" s="8"/>
    </row>
    <row r="1402" ht="13.5" customHeight="1">
      <c r="A1402" s="7" t="s">
        <v>355</v>
      </c>
      <c r="B1402" s="7">
        <v>0.0</v>
      </c>
      <c r="C1402" s="7" t="s">
        <v>362</v>
      </c>
      <c r="D1402" s="7" t="s">
        <v>357</v>
      </c>
      <c r="E1402" s="7">
        <v>-8.54182025974026</v>
      </c>
      <c r="F1402" s="7">
        <v>0.743628874458875</v>
      </c>
      <c r="G1402" s="7">
        <v>1.03689186147186</v>
      </c>
      <c r="H1402" s="7">
        <v>-4.42363727272728E-4</v>
      </c>
      <c r="I1402" s="7">
        <v>-2.42149945021645</v>
      </c>
      <c r="J1402" s="7">
        <v>-1.64212879220779</v>
      </c>
      <c r="K1402" s="8"/>
      <c r="L1402" s="8"/>
    </row>
    <row r="1403" ht="13.5" customHeight="1">
      <c r="A1403" s="7" t="s">
        <v>355</v>
      </c>
      <c r="B1403" s="7">
        <v>1.75</v>
      </c>
      <c r="C1403" s="7" t="s">
        <v>362</v>
      </c>
      <c r="D1403" s="7" t="s">
        <v>357</v>
      </c>
      <c r="E1403" s="7">
        <v>-8.55867662337662</v>
      </c>
      <c r="F1403" s="7">
        <v>0.745339393939394</v>
      </c>
      <c r="G1403" s="7">
        <v>1.03915627705628</v>
      </c>
      <c r="H1403" s="7">
        <v>-4.43418831168832E-4</v>
      </c>
      <c r="I1403" s="7">
        <v>-2.42829424242425</v>
      </c>
      <c r="J1403" s="7">
        <v>-1.64667584415584</v>
      </c>
      <c r="K1403" s="8"/>
      <c r="L1403" s="8"/>
    </row>
    <row r="1404" ht="13.5" customHeight="1">
      <c r="A1404" s="7" t="s">
        <v>355</v>
      </c>
      <c r="B1404" s="7">
        <v>3.5</v>
      </c>
      <c r="C1404" s="7" t="s">
        <v>362</v>
      </c>
      <c r="D1404" s="7" t="s">
        <v>357</v>
      </c>
      <c r="E1404" s="7">
        <v>-8.57553298701299</v>
      </c>
      <c r="F1404" s="7">
        <v>0.747049913419914</v>
      </c>
      <c r="G1404" s="7">
        <v>1.04142069264069</v>
      </c>
      <c r="H1404" s="7">
        <v>-4.44473935064935E-4</v>
      </c>
      <c r="I1404" s="7">
        <v>-2.43508903463204</v>
      </c>
      <c r="J1404" s="7">
        <v>-1.65122289610389</v>
      </c>
      <c r="K1404" s="8"/>
      <c r="L1404" s="8"/>
    </row>
    <row r="1405" ht="13.5" customHeight="1">
      <c r="A1405" s="7" t="s">
        <v>355</v>
      </c>
      <c r="B1405" s="7">
        <v>0.0</v>
      </c>
      <c r="C1405" s="7" t="s">
        <v>363</v>
      </c>
      <c r="D1405" s="7" t="s">
        <v>357</v>
      </c>
      <c r="E1405" s="7">
        <v>-8.59238935064935</v>
      </c>
      <c r="F1405" s="7">
        <v>0.748760432900433</v>
      </c>
      <c r="G1405" s="7">
        <v>1.04368510822511</v>
      </c>
      <c r="H1405" s="7">
        <v>-4.45529038961039E-4</v>
      </c>
      <c r="I1405" s="7">
        <v>-2.44188382683983</v>
      </c>
      <c r="J1405" s="7">
        <v>-1.65576994805194</v>
      </c>
      <c r="K1405" s="8"/>
      <c r="L1405" s="8"/>
    </row>
    <row r="1406" ht="13.5" customHeight="1">
      <c r="A1406" s="7" t="s">
        <v>355</v>
      </c>
      <c r="B1406" s="7">
        <v>1.75</v>
      </c>
      <c r="C1406" s="7" t="s">
        <v>363</v>
      </c>
      <c r="D1406" s="7" t="s">
        <v>357</v>
      </c>
      <c r="E1406" s="7">
        <v>-8.60924571428571</v>
      </c>
      <c r="F1406" s="7">
        <v>0.750470952380953</v>
      </c>
      <c r="G1406" s="7">
        <v>1.04594952380952</v>
      </c>
      <c r="H1406" s="7">
        <v>-4.46584142857143E-4</v>
      </c>
      <c r="I1406" s="7">
        <v>-2.44867861904762</v>
      </c>
      <c r="J1406" s="7">
        <v>-1.660317</v>
      </c>
      <c r="K1406" s="8"/>
      <c r="L1406" s="8"/>
    </row>
    <row r="1407" ht="13.5" customHeight="1">
      <c r="A1407" s="7" t="s">
        <v>355</v>
      </c>
      <c r="B1407" s="7">
        <v>3.5</v>
      </c>
      <c r="C1407" s="7" t="s">
        <v>363</v>
      </c>
      <c r="D1407" s="7" t="s">
        <v>357</v>
      </c>
      <c r="E1407" s="7">
        <v>-8.62610207792208</v>
      </c>
      <c r="F1407" s="7">
        <v>0.752181471861472</v>
      </c>
      <c r="G1407" s="7">
        <v>1.04821393939394</v>
      </c>
      <c r="H1407" s="7">
        <v>-4.47639246753247E-4</v>
      </c>
      <c r="I1407" s="7">
        <v>-2.45547341125541</v>
      </c>
      <c r="J1407" s="7">
        <v>-1.66486405194805</v>
      </c>
      <c r="K1407" s="8"/>
      <c r="L1407" s="8"/>
    </row>
    <row r="1408" ht="13.5" customHeight="1">
      <c r="A1408" s="7" t="s">
        <v>355</v>
      </c>
      <c r="B1408" s="7">
        <v>0.0</v>
      </c>
      <c r="C1408" s="7" t="s">
        <v>356</v>
      </c>
      <c r="D1408" s="7" t="s">
        <v>357</v>
      </c>
      <c r="E1408" s="7">
        <v>-8.64295844155844</v>
      </c>
      <c r="F1408" s="7">
        <v>0.753891991341992</v>
      </c>
      <c r="G1408" s="7">
        <v>1.05047835497835</v>
      </c>
      <c r="H1408" s="7">
        <v>-4.48694350649351E-4</v>
      </c>
      <c r="I1408" s="7">
        <v>-2.46226820346321</v>
      </c>
      <c r="J1408" s="7">
        <v>-1.6694111038961</v>
      </c>
      <c r="K1408" s="8"/>
      <c r="L1408" s="8"/>
    </row>
    <row r="1409" ht="13.5" customHeight="1">
      <c r="A1409" s="7" t="s">
        <v>355</v>
      </c>
      <c r="B1409" s="7">
        <v>1.75</v>
      </c>
      <c r="C1409" s="7" t="s">
        <v>356</v>
      </c>
      <c r="D1409" s="7" t="s">
        <v>357</v>
      </c>
      <c r="E1409" s="7">
        <v>-8.65981480519481</v>
      </c>
      <c r="F1409" s="7">
        <v>0.755602510822511</v>
      </c>
      <c r="G1409" s="7">
        <v>1.05274277056277</v>
      </c>
      <c r="H1409" s="7">
        <v>-4.49749454545455E-4</v>
      </c>
      <c r="I1409" s="7">
        <v>-2.469062995671</v>
      </c>
      <c r="J1409" s="7">
        <v>-1.67395815584415</v>
      </c>
      <c r="K1409" s="8"/>
      <c r="L1409" s="8"/>
    </row>
    <row r="1410" ht="13.5" customHeight="1">
      <c r="A1410" s="7" t="s">
        <v>355</v>
      </c>
      <c r="B1410" s="7">
        <v>3.5</v>
      </c>
      <c r="C1410" s="7" t="s">
        <v>356</v>
      </c>
      <c r="D1410" s="7" t="s">
        <v>357</v>
      </c>
      <c r="E1410" s="7">
        <v>-8.67667116883117</v>
      </c>
      <c r="F1410" s="7">
        <v>0.757313030303031</v>
      </c>
      <c r="G1410" s="7">
        <v>1.05500718614719</v>
      </c>
      <c r="H1410" s="7">
        <v>-4.50804558441559E-4</v>
      </c>
      <c r="I1410" s="7">
        <v>-2.47585778787879</v>
      </c>
      <c r="J1410" s="7">
        <v>-1.6785052077922</v>
      </c>
      <c r="K1410" s="8"/>
      <c r="L1410" s="8"/>
    </row>
    <row r="1411" ht="13.5" customHeight="1">
      <c r="A1411" s="7" t="s">
        <v>355</v>
      </c>
      <c r="B1411" s="7">
        <v>0.0</v>
      </c>
      <c r="C1411" s="7" t="s">
        <v>358</v>
      </c>
      <c r="D1411" s="7" t="s">
        <v>357</v>
      </c>
      <c r="E1411" s="7">
        <v>-8.69352753246753</v>
      </c>
      <c r="F1411" s="7">
        <v>0.75902354978355</v>
      </c>
      <c r="G1411" s="7">
        <v>1.0572716017316</v>
      </c>
      <c r="H1411" s="7">
        <v>-4.51859662337663E-4</v>
      </c>
      <c r="I1411" s="7">
        <v>-2.48265258008658</v>
      </c>
      <c r="J1411" s="7">
        <v>-1.68305225974026</v>
      </c>
      <c r="K1411" s="8"/>
      <c r="L1411" s="8"/>
    </row>
    <row r="1412" ht="13.5" customHeight="1">
      <c r="A1412" s="7" t="s">
        <v>355</v>
      </c>
      <c r="B1412" s="7">
        <v>1.75</v>
      </c>
      <c r="C1412" s="7" t="s">
        <v>358</v>
      </c>
      <c r="D1412" s="7" t="s">
        <v>357</v>
      </c>
      <c r="E1412" s="7">
        <v>-8.7103838961039</v>
      </c>
      <c r="F1412" s="7">
        <v>0.76073406926407</v>
      </c>
      <c r="G1412" s="7">
        <v>1.05953601731602</v>
      </c>
      <c r="H1412" s="7">
        <v>-4.52914766233767E-4</v>
      </c>
      <c r="I1412" s="7">
        <v>-2.48944737229438</v>
      </c>
      <c r="J1412" s="7">
        <v>-1.68759931168831</v>
      </c>
      <c r="K1412" s="8"/>
      <c r="L1412" s="8"/>
    </row>
    <row r="1413" ht="13.5" customHeight="1">
      <c r="A1413" s="7" t="s">
        <v>355</v>
      </c>
      <c r="B1413" s="7">
        <v>3.5</v>
      </c>
      <c r="C1413" s="7" t="s">
        <v>358</v>
      </c>
      <c r="D1413" s="7" t="s">
        <v>357</v>
      </c>
      <c r="E1413" s="7">
        <v>-8.72724025974026</v>
      </c>
      <c r="F1413" s="7">
        <v>0.762444588744589</v>
      </c>
      <c r="G1413" s="7">
        <v>1.06180043290043</v>
      </c>
      <c r="H1413" s="7">
        <v>-4.5396987012987E-4</v>
      </c>
      <c r="I1413" s="7">
        <v>-2.49624216450217</v>
      </c>
      <c r="J1413" s="7">
        <v>-1.69214636363636</v>
      </c>
      <c r="K1413" s="8"/>
      <c r="L1413" s="8"/>
    </row>
    <row r="1414" ht="13.5" customHeight="1">
      <c r="A1414" s="7" t="s">
        <v>355</v>
      </c>
      <c r="B1414" s="7">
        <v>0.0</v>
      </c>
      <c r="C1414" s="7" t="s">
        <v>359</v>
      </c>
      <c r="D1414" s="7" t="s">
        <v>357</v>
      </c>
      <c r="E1414" s="7">
        <v>-8.74409662337662</v>
      </c>
      <c r="F1414" s="7">
        <v>0.764155108225109</v>
      </c>
      <c r="G1414" s="7">
        <v>1.06406484848485</v>
      </c>
      <c r="H1414" s="7">
        <v>-4.55024974025974E-4</v>
      </c>
      <c r="I1414" s="7">
        <v>-2.50303695670996</v>
      </c>
      <c r="J1414" s="7">
        <v>-1.69669341558441</v>
      </c>
      <c r="K1414" s="8"/>
      <c r="L1414" s="8"/>
    </row>
    <row r="1415" ht="13.5" customHeight="1">
      <c r="A1415" s="7" t="s">
        <v>355</v>
      </c>
      <c r="B1415" s="7">
        <v>1.75</v>
      </c>
      <c r="C1415" s="7" t="s">
        <v>359</v>
      </c>
      <c r="D1415" s="7" t="s">
        <v>357</v>
      </c>
      <c r="E1415" s="7">
        <v>-8.76095298701299</v>
      </c>
      <c r="F1415" s="7">
        <v>0.765865627705628</v>
      </c>
      <c r="G1415" s="7">
        <v>1.06632926406926</v>
      </c>
      <c r="H1415" s="7">
        <v>-4.56080077922078E-4</v>
      </c>
      <c r="I1415" s="7">
        <v>-2.50983174891775</v>
      </c>
      <c r="J1415" s="7">
        <v>-1.70124046753246</v>
      </c>
      <c r="K1415" s="8"/>
      <c r="L1415" s="8"/>
    </row>
    <row r="1416" ht="13.5" customHeight="1">
      <c r="A1416" s="7" t="s">
        <v>355</v>
      </c>
      <c r="B1416" s="7">
        <v>3.5</v>
      </c>
      <c r="C1416" s="7" t="s">
        <v>359</v>
      </c>
      <c r="D1416" s="7" t="s">
        <v>357</v>
      </c>
      <c r="E1416" s="7">
        <v>-8.77780935064935</v>
      </c>
      <c r="F1416" s="7">
        <v>0.767576147186148</v>
      </c>
      <c r="G1416" s="7">
        <v>1.06859367965368</v>
      </c>
      <c r="H1416" s="7">
        <v>-4.57135181818182E-4</v>
      </c>
      <c r="I1416" s="7">
        <v>-2.51662654112554</v>
      </c>
      <c r="J1416" s="7">
        <v>-1.70578751948052</v>
      </c>
      <c r="K1416" s="8"/>
      <c r="L1416" s="8"/>
    </row>
    <row r="1417" ht="13.5" customHeight="1">
      <c r="A1417" s="7" t="s">
        <v>355</v>
      </c>
      <c r="B1417" s="7">
        <v>0.0</v>
      </c>
      <c r="C1417" s="7" t="s">
        <v>360</v>
      </c>
      <c r="D1417" s="7" t="s">
        <v>357</v>
      </c>
      <c r="E1417" s="7">
        <v>-8.79466571428571</v>
      </c>
      <c r="F1417" s="7">
        <v>0.769286666666667</v>
      </c>
      <c r="G1417" s="7">
        <v>1.07085809523809</v>
      </c>
      <c r="H1417" s="7">
        <v>-4.58190285714286E-4</v>
      </c>
      <c r="I1417" s="7">
        <v>-2.52342133333334</v>
      </c>
      <c r="J1417" s="7">
        <v>-1.71033457142857</v>
      </c>
      <c r="K1417" s="8"/>
      <c r="L1417" s="8"/>
    </row>
    <row r="1418" ht="13.5" customHeight="1">
      <c r="A1418" s="7" t="s">
        <v>355</v>
      </c>
      <c r="B1418" s="7">
        <v>1.75</v>
      </c>
      <c r="C1418" s="7" t="s">
        <v>360</v>
      </c>
      <c r="D1418" s="7" t="s">
        <v>357</v>
      </c>
      <c r="E1418" s="7">
        <v>-8.81152207792208</v>
      </c>
      <c r="F1418" s="7">
        <v>0.770997186147187</v>
      </c>
      <c r="G1418" s="7">
        <v>1.07312251082251</v>
      </c>
      <c r="H1418" s="7">
        <v>-4.5924538961039E-4</v>
      </c>
      <c r="I1418" s="7">
        <v>-2.53021612554113</v>
      </c>
      <c r="J1418" s="7">
        <v>-1.71488162337662</v>
      </c>
      <c r="K1418" s="8"/>
      <c r="L1418" s="8"/>
    </row>
    <row r="1419" ht="13.5" customHeight="1">
      <c r="A1419" s="7" t="s">
        <v>355</v>
      </c>
      <c r="B1419" s="7">
        <v>3.5</v>
      </c>
      <c r="C1419" s="7" t="s">
        <v>360</v>
      </c>
      <c r="D1419" s="7" t="s">
        <v>357</v>
      </c>
      <c r="E1419" s="7">
        <v>-8.82837844155844</v>
      </c>
      <c r="F1419" s="7">
        <v>0.772707705627706</v>
      </c>
      <c r="G1419" s="7">
        <v>1.07538692640693</v>
      </c>
      <c r="H1419" s="7">
        <v>-4.60300493506494E-4</v>
      </c>
      <c r="I1419" s="7">
        <v>-2.53701091774892</v>
      </c>
      <c r="J1419" s="7">
        <v>-1.71942867532467</v>
      </c>
      <c r="K1419" s="8"/>
      <c r="L1419" s="8"/>
    </row>
    <row r="1420" ht="13.5" customHeight="1">
      <c r="A1420" s="7" t="s">
        <v>355</v>
      </c>
      <c r="B1420" s="7">
        <v>0.0</v>
      </c>
      <c r="C1420" s="7" t="s">
        <v>361</v>
      </c>
      <c r="D1420" s="7" t="s">
        <v>357</v>
      </c>
      <c r="E1420" s="7">
        <v>-8.84523480519481</v>
      </c>
      <c r="F1420" s="7">
        <v>0.774418225108226</v>
      </c>
      <c r="G1420" s="7">
        <v>1.07765134199134</v>
      </c>
      <c r="H1420" s="7">
        <v>-4.61355597402598E-4</v>
      </c>
      <c r="I1420" s="7">
        <v>-2.54380570995671</v>
      </c>
      <c r="J1420" s="7">
        <v>-1.72397572727272</v>
      </c>
      <c r="K1420" s="8"/>
      <c r="L1420" s="8"/>
    </row>
    <row r="1421" ht="13.5" customHeight="1">
      <c r="A1421" s="7" t="s">
        <v>355</v>
      </c>
      <c r="B1421" s="7">
        <v>1.75</v>
      </c>
      <c r="C1421" s="7" t="s">
        <v>361</v>
      </c>
      <c r="D1421" s="7" t="s">
        <v>357</v>
      </c>
      <c r="E1421" s="7">
        <v>-8.86209116883117</v>
      </c>
      <c r="F1421" s="7">
        <v>0.776128744588745</v>
      </c>
      <c r="G1421" s="7">
        <v>1.07991575757576</v>
      </c>
      <c r="H1421" s="7">
        <v>-4.62410701298702E-4</v>
      </c>
      <c r="I1421" s="7">
        <v>-2.55060050216451</v>
      </c>
      <c r="J1421" s="7">
        <v>-1.72852277922077</v>
      </c>
      <c r="K1421" s="8"/>
      <c r="L1421" s="8"/>
    </row>
    <row r="1422" ht="13.5" customHeight="1">
      <c r="A1422" s="7" t="s">
        <v>355</v>
      </c>
      <c r="B1422" s="7">
        <v>3.5</v>
      </c>
      <c r="C1422" s="7" t="s">
        <v>361</v>
      </c>
      <c r="D1422" s="7" t="s">
        <v>357</v>
      </c>
      <c r="E1422" s="7">
        <v>-8.87894753246753</v>
      </c>
      <c r="F1422" s="7">
        <v>0.777839264069265</v>
      </c>
      <c r="G1422" s="7">
        <v>1.08218017316017</v>
      </c>
      <c r="H1422" s="7">
        <v>-4.63465805194806E-4</v>
      </c>
      <c r="I1422" s="7">
        <v>-2.5573952943723</v>
      </c>
      <c r="J1422" s="7">
        <v>-1.73306983116883</v>
      </c>
      <c r="K1422" s="8"/>
      <c r="L1422" s="8"/>
    </row>
    <row r="1423" ht="13.5" customHeight="1">
      <c r="A1423" s="7" t="s">
        <v>355</v>
      </c>
      <c r="B1423" s="7">
        <v>0.0</v>
      </c>
      <c r="C1423" s="7" t="s">
        <v>362</v>
      </c>
      <c r="D1423" s="7" t="s">
        <v>357</v>
      </c>
      <c r="E1423" s="7">
        <v>-8.8958038961039</v>
      </c>
      <c r="F1423" s="7">
        <v>0.779549783549784</v>
      </c>
      <c r="G1423" s="7">
        <v>1.08444458874459</v>
      </c>
      <c r="H1423" s="7">
        <v>-4.64520909090909E-4</v>
      </c>
      <c r="I1423" s="7">
        <v>-2.56419008658009</v>
      </c>
      <c r="J1423" s="7">
        <v>-1.73761688311688</v>
      </c>
      <c r="K1423" s="8"/>
      <c r="L1423" s="8"/>
    </row>
    <row r="1424" ht="13.5" customHeight="1">
      <c r="A1424" s="7" t="s">
        <v>355</v>
      </c>
      <c r="B1424" s="7">
        <v>1.75</v>
      </c>
      <c r="C1424" s="7" t="s">
        <v>362</v>
      </c>
      <c r="D1424" s="7" t="s">
        <v>357</v>
      </c>
      <c r="E1424" s="7">
        <v>-8.91266025974026</v>
      </c>
      <c r="F1424" s="7">
        <v>0.781260303030304</v>
      </c>
      <c r="G1424" s="7">
        <v>1.086709004329</v>
      </c>
      <c r="H1424" s="7">
        <v>-4.65576012987013E-4</v>
      </c>
      <c r="I1424" s="7">
        <v>-2.57098487878788</v>
      </c>
      <c r="J1424" s="7">
        <v>-1.74216393506493</v>
      </c>
      <c r="K1424" s="8"/>
      <c r="L1424" s="8"/>
    </row>
    <row r="1425" ht="13.5" customHeight="1">
      <c r="A1425" s="7" t="s">
        <v>355</v>
      </c>
      <c r="B1425" s="7">
        <v>3.5</v>
      </c>
      <c r="C1425" s="7" t="s">
        <v>362</v>
      </c>
      <c r="D1425" s="7" t="s">
        <v>357</v>
      </c>
      <c r="E1425" s="7">
        <v>-8.92951662337662</v>
      </c>
      <c r="F1425" s="7">
        <v>0.782970822510823</v>
      </c>
      <c r="G1425" s="7">
        <v>1.08897341991342</v>
      </c>
      <c r="H1425" s="7">
        <v>-4.66631116883117E-4</v>
      </c>
      <c r="I1425" s="7">
        <v>-2.57777967099567</v>
      </c>
      <c r="J1425" s="7">
        <v>-1.74671098701298</v>
      </c>
      <c r="K1425" s="8"/>
      <c r="L1425" s="8"/>
    </row>
    <row r="1426" ht="13.5" customHeight="1">
      <c r="A1426" s="7" t="s">
        <v>355</v>
      </c>
      <c r="B1426" s="7">
        <v>0.0</v>
      </c>
      <c r="C1426" s="7" t="s">
        <v>363</v>
      </c>
      <c r="D1426" s="7" t="s">
        <v>357</v>
      </c>
      <c r="E1426" s="7">
        <v>-8.94637298701299</v>
      </c>
      <c r="F1426" s="7">
        <v>0.784681341991343</v>
      </c>
      <c r="G1426" s="7">
        <v>1.09123783549783</v>
      </c>
      <c r="H1426" s="7">
        <v>-4.67686220779221E-4</v>
      </c>
      <c r="I1426" s="7">
        <v>-2.58457446320347</v>
      </c>
      <c r="J1426" s="7">
        <v>-1.75125803896103</v>
      </c>
      <c r="K1426" s="8"/>
      <c r="L1426" s="8"/>
    </row>
    <row r="1427" ht="13.5" customHeight="1">
      <c r="A1427" s="7" t="s">
        <v>355</v>
      </c>
      <c r="B1427" s="7">
        <v>1.75</v>
      </c>
      <c r="C1427" s="7" t="s">
        <v>363</v>
      </c>
      <c r="D1427" s="7" t="s">
        <v>357</v>
      </c>
      <c r="E1427" s="7">
        <v>-8.96322935064935</v>
      </c>
      <c r="F1427" s="7">
        <v>0.786391861471862</v>
      </c>
      <c r="G1427" s="7">
        <v>1.09350225108225</v>
      </c>
      <c r="H1427" s="7">
        <v>-4.68741324675325E-4</v>
      </c>
      <c r="I1427" s="7">
        <v>-2.59136925541126</v>
      </c>
      <c r="J1427" s="7">
        <v>-1.75580509090909</v>
      </c>
      <c r="K1427" s="8"/>
      <c r="L1427" s="8"/>
    </row>
    <row r="1428" ht="13.5" customHeight="1">
      <c r="A1428" s="7" t="s">
        <v>355</v>
      </c>
      <c r="B1428" s="7">
        <v>3.5</v>
      </c>
      <c r="C1428" s="7" t="s">
        <v>363</v>
      </c>
      <c r="D1428" s="7" t="s">
        <v>357</v>
      </c>
      <c r="E1428" s="7">
        <v>-8.98008571428571</v>
      </c>
      <c r="F1428" s="7">
        <v>0.788102380952382</v>
      </c>
      <c r="G1428" s="7">
        <v>1.09576666666667</v>
      </c>
      <c r="H1428" s="7">
        <v>-4.69796428571429E-4</v>
      </c>
      <c r="I1428" s="7">
        <v>-2.59816404761905</v>
      </c>
      <c r="J1428" s="7">
        <v>-1.76035214285714</v>
      </c>
      <c r="K1428" s="8"/>
      <c r="L1428" s="8"/>
    </row>
    <row r="1429" ht="13.5" customHeight="1">
      <c r="A1429" s="7" t="s">
        <v>355</v>
      </c>
      <c r="B1429" s="7">
        <v>0.0</v>
      </c>
      <c r="C1429" s="7" t="s">
        <v>356</v>
      </c>
      <c r="D1429" s="7" t="s">
        <v>357</v>
      </c>
      <c r="E1429" s="7">
        <v>-8.99694207792208</v>
      </c>
      <c r="F1429" s="7">
        <v>0.789812900432901</v>
      </c>
      <c r="G1429" s="7">
        <v>1.09803108225108</v>
      </c>
      <c r="H1429" s="7">
        <v>-4.70851532467533E-4</v>
      </c>
      <c r="I1429" s="7">
        <v>-2.60495883982684</v>
      </c>
      <c r="J1429" s="7">
        <v>-1.76489919480519</v>
      </c>
      <c r="K1429" s="8"/>
      <c r="L1429" s="8"/>
    </row>
    <row r="1430" ht="13.5" customHeight="1">
      <c r="A1430" s="7" t="s">
        <v>355</v>
      </c>
      <c r="B1430" s="7">
        <v>1.75</v>
      </c>
      <c r="C1430" s="7" t="s">
        <v>356</v>
      </c>
      <c r="D1430" s="7" t="s">
        <v>357</v>
      </c>
      <c r="E1430" s="7">
        <v>-9.01379844155844</v>
      </c>
      <c r="F1430" s="7">
        <v>0.79152341991342</v>
      </c>
      <c r="G1430" s="7">
        <v>1.1002954978355</v>
      </c>
      <c r="H1430" s="7">
        <v>-4.71906636363637E-4</v>
      </c>
      <c r="I1430" s="7">
        <v>-2.61175363203464</v>
      </c>
      <c r="J1430" s="7">
        <v>-1.76944624675324</v>
      </c>
      <c r="K1430" s="8"/>
      <c r="L1430" s="8"/>
    </row>
    <row r="1431" ht="13.5" customHeight="1">
      <c r="A1431" s="7" t="s">
        <v>355</v>
      </c>
      <c r="B1431" s="7">
        <v>3.5</v>
      </c>
      <c r="C1431" s="7" t="s">
        <v>356</v>
      </c>
      <c r="D1431" s="7" t="s">
        <v>357</v>
      </c>
      <c r="E1431" s="7">
        <v>-9.0306548051948</v>
      </c>
      <c r="F1431" s="7">
        <v>0.79323393939394</v>
      </c>
      <c r="G1431" s="7">
        <v>1.10255991341991</v>
      </c>
      <c r="H1431" s="7">
        <v>-4.72961740259741E-4</v>
      </c>
      <c r="I1431" s="7">
        <v>-2.61854842424243</v>
      </c>
      <c r="J1431" s="7">
        <v>-1.77399329870129</v>
      </c>
      <c r="K1431" s="8"/>
      <c r="L1431" s="8"/>
    </row>
    <row r="1432" ht="13.5" customHeight="1">
      <c r="A1432" s="7" t="s">
        <v>355</v>
      </c>
      <c r="B1432" s="7">
        <v>0.0</v>
      </c>
      <c r="C1432" s="7" t="s">
        <v>358</v>
      </c>
      <c r="D1432" s="7" t="s">
        <v>357</v>
      </c>
      <c r="E1432" s="7">
        <v>-9.04751116883117</v>
      </c>
      <c r="F1432" s="7">
        <v>0.794944458874459</v>
      </c>
      <c r="G1432" s="7">
        <v>1.10482432900433</v>
      </c>
      <c r="H1432" s="7">
        <v>-4.74016844155845E-4</v>
      </c>
      <c r="I1432" s="7">
        <v>-2.62534321645022</v>
      </c>
      <c r="J1432" s="7">
        <v>-1.77854035064935</v>
      </c>
      <c r="K1432" s="8"/>
      <c r="L1432" s="8"/>
    </row>
    <row r="1433" ht="13.5" customHeight="1">
      <c r="A1433" s="7" t="s">
        <v>355</v>
      </c>
      <c r="B1433" s="7">
        <v>1.75</v>
      </c>
      <c r="C1433" s="7" t="s">
        <v>358</v>
      </c>
      <c r="D1433" s="7" t="s">
        <v>357</v>
      </c>
      <c r="E1433" s="7">
        <v>-9.06436753246753</v>
      </c>
      <c r="F1433" s="7">
        <v>0.796654978354979</v>
      </c>
      <c r="G1433" s="7">
        <v>1.10708874458874</v>
      </c>
      <c r="H1433" s="7">
        <v>-4.75071948051948E-4</v>
      </c>
      <c r="I1433" s="7">
        <v>-2.63213800865801</v>
      </c>
      <c r="J1433" s="7">
        <v>-1.7830874025974</v>
      </c>
      <c r="K1433" s="8"/>
      <c r="L1433" s="8"/>
    </row>
    <row r="1434" ht="13.5" customHeight="1">
      <c r="A1434" s="7" t="s">
        <v>355</v>
      </c>
      <c r="B1434" s="7">
        <v>3.5</v>
      </c>
      <c r="C1434" s="7" t="s">
        <v>358</v>
      </c>
      <c r="D1434" s="7" t="s">
        <v>357</v>
      </c>
      <c r="E1434" s="7">
        <v>-9.0812238961039</v>
      </c>
      <c r="F1434" s="7">
        <v>0.798365497835498</v>
      </c>
      <c r="G1434" s="7">
        <v>1.10935316017316</v>
      </c>
      <c r="H1434" s="7">
        <v>-4.76127051948052E-4</v>
      </c>
      <c r="I1434" s="7">
        <v>-2.6389328008658</v>
      </c>
      <c r="J1434" s="7">
        <v>-1.78763445454545</v>
      </c>
      <c r="K1434" s="8"/>
      <c r="L1434" s="8"/>
    </row>
    <row r="1435" ht="13.5" customHeight="1">
      <c r="A1435" s="7" t="s">
        <v>355</v>
      </c>
      <c r="B1435" s="7">
        <v>0.0</v>
      </c>
      <c r="C1435" s="7" t="s">
        <v>359</v>
      </c>
      <c r="D1435" s="7" t="s">
        <v>357</v>
      </c>
      <c r="E1435" s="7">
        <v>-9.09808025974026</v>
      </c>
      <c r="F1435" s="7">
        <v>0.800076017316018</v>
      </c>
      <c r="G1435" s="7">
        <v>1.11161757575758</v>
      </c>
      <c r="H1435" s="7">
        <v>-4.77182155844156E-4</v>
      </c>
      <c r="I1435" s="7">
        <v>-2.6457275930736</v>
      </c>
      <c r="J1435" s="7">
        <v>-1.7921815064935</v>
      </c>
      <c r="K1435" s="8"/>
      <c r="L1435" s="8"/>
    </row>
    <row r="1436" ht="13.5" customHeight="1">
      <c r="A1436" s="7" t="s">
        <v>355</v>
      </c>
      <c r="B1436" s="7">
        <v>1.75</v>
      </c>
      <c r="C1436" s="7" t="s">
        <v>359</v>
      </c>
      <c r="D1436" s="7" t="s">
        <v>357</v>
      </c>
      <c r="E1436" s="7">
        <v>-9.11493662337662</v>
      </c>
      <c r="F1436" s="7">
        <v>0.801786536796537</v>
      </c>
      <c r="G1436" s="7">
        <v>1.11388199134199</v>
      </c>
      <c r="H1436" s="7">
        <v>-4.7823725974026E-4</v>
      </c>
      <c r="I1436" s="7">
        <v>-2.65252238528139</v>
      </c>
      <c r="J1436" s="7">
        <v>-1.79672855844155</v>
      </c>
      <c r="K1436" s="8"/>
      <c r="L1436" s="8"/>
    </row>
    <row r="1437" ht="13.5" customHeight="1">
      <c r="A1437" s="7" t="s">
        <v>355</v>
      </c>
      <c r="B1437" s="7">
        <v>3.5</v>
      </c>
      <c r="C1437" s="7" t="s">
        <v>359</v>
      </c>
      <c r="D1437" s="7" t="s">
        <v>357</v>
      </c>
      <c r="E1437" s="7">
        <v>-9.13179298701299</v>
      </c>
      <c r="F1437" s="7">
        <v>0.803497056277057</v>
      </c>
      <c r="G1437" s="7">
        <v>1.11614640692641</v>
      </c>
      <c r="H1437" s="7">
        <v>-4.79292363636364E-4</v>
      </c>
      <c r="I1437" s="7">
        <v>-2.65931717748918</v>
      </c>
      <c r="J1437" s="7">
        <v>-1.80127561038961</v>
      </c>
      <c r="K1437" s="8"/>
      <c r="L1437" s="8"/>
    </row>
    <row r="1438" ht="13.5" customHeight="1">
      <c r="A1438" s="7" t="s">
        <v>355</v>
      </c>
      <c r="B1438" s="7">
        <v>0.0</v>
      </c>
      <c r="C1438" s="7" t="s">
        <v>360</v>
      </c>
      <c r="D1438" s="7" t="s">
        <v>357</v>
      </c>
      <c r="E1438" s="7">
        <v>-9.14864935064935</v>
      </c>
      <c r="F1438" s="7">
        <v>0.805207575757576</v>
      </c>
      <c r="G1438" s="7">
        <v>1.11841082251082</v>
      </c>
      <c r="H1438" s="7">
        <v>-4.80347467532468E-4</v>
      </c>
      <c r="I1438" s="7">
        <v>-2.66611196969697</v>
      </c>
      <c r="J1438" s="7">
        <v>-1.80582266233766</v>
      </c>
      <c r="K1438" s="8"/>
      <c r="L1438" s="8"/>
    </row>
    <row r="1439" ht="13.5" customHeight="1">
      <c r="A1439" s="7" t="s">
        <v>355</v>
      </c>
      <c r="B1439" s="7">
        <v>1.75</v>
      </c>
      <c r="C1439" s="7" t="s">
        <v>360</v>
      </c>
      <c r="D1439" s="7" t="s">
        <v>357</v>
      </c>
      <c r="E1439" s="7">
        <v>-9.16550571428571</v>
      </c>
      <c r="F1439" s="7">
        <v>0.806918095238096</v>
      </c>
      <c r="G1439" s="7">
        <v>1.12067523809524</v>
      </c>
      <c r="H1439" s="7">
        <v>-4.81402571428572E-4</v>
      </c>
      <c r="I1439" s="7">
        <v>-2.67290676190477</v>
      </c>
      <c r="J1439" s="7">
        <v>-1.81036971428571</v>
      </c>
      <c r="K1439" s="8"/>
      <c r="L1439" s="8"/>
    </row>
    <row r="1440" ht="13.5" customHeight="1">
      <c r="A1440" s="7" t="s">
        <v>355</v>
      </c>
      <c r="B1440" s="7">
        <v>3.5</v>
      </c>
      <c r="C1440" s="7" t="s">
        <v>360</v>
      </c>
      <c r="D1440" s="7" t="s">
        <v>357</v>
      </c>
      <c r="E1440" s="7">
        <v>-9.18236207792208</v>
      </c>
      <c r="F1440" s="7">
        <v>0.808628614718615</v>
      </c>
      <c r="G1440" s="7">
        <v>1.12293965367965</v>
      </c>
      <c r="H1440" s="7">
        <v>-4.82457675324676E-4</v>
      </c>
      <c r="I1440" s="7">
        <v>-2.67970155411256</v>
      </c>
      <c r="J1440" s="7">
        <v>-1.81491676623376</v>
      </c>
      <c r="K1440" s="8"/>
      <c r="L1440" s="8"/>
    </row>
    <row r="1441" ht="13.5" customHeight="1">
      <c r="A1441" s="7" t="s">
        <v>355</v>
      </c>
      <c r="B1441" s="7">
        <v>0.0</v>
      </c>
      <c r="C1441" s="7" t="s">
        <v>361</v>
      </c>
      <c r="D1441" s="7" t="s">
        <v>357</v>
      </c>
      <c r="E1441" s="7">
        <v>-9.19921844155844</v>
      </c>
      <c r="F1441" s="7">
        <v>0.810339134199135</v>
      </c>
      <c r="G1441" s="7">
        <v>1.12520406926407</v>
      </c>
      <c r="H1441" s="7">
        <v>-4.8351277922078E-4</v>
      </c>
      <c r="I1441" s="7">
        <v>-2.68649634632035</v>
      </c>
      <c r="J1441" s="7">
        <v>-1.81946381818181</v>
      </c>
      <c r="K1441" s="8"/>
      <c r="L1441" s="8"/>
    </row>
    <row r="1442" ht="13.5" customHeight="1">
      <c r="A1442" s="7" t="s">
        <v>355</v>
      </c>
      <c r="B1442" s="7">
        <v>1.75</v>
      </c>
      <c r="C1442" s="7" t="s">
        <v>361</v>
      </c>
      <c r="D1442" s="7" t="s">
        <v>357</v>
      </c>
      <c r="E1442" s="7">
        <v>-9.21607480519481</v>
      </c>
      <c r="F1442" s="7">
        <v>0.812049653679654</v>
      </c>
      <c r="G1442" s="7">
        <v>1.12746848484848</v>
      </c>
      <c r="H1442" s="7">
        <v>-4.84567883116883E-4</v>
      </c>
      <c r="I1442" s="7">
        <v>-2.69329113852814</v>
      </c>
      <c r="J1442" s="7">
        <v>-1.82401087012987</v>
      </c>
      <c r="K1442" s="8"/>
      <c r="L1442" s="8"/>
    </row>
    <row r="1443" ht="13.5" customHeight="1">
      <c r="A1443" s="7" t="s">
        <v>355</v>
      </c>
      <c r="B1443" s="7">
        <v>3.5</v>
      </c>
      <c r="C1443" s="7" t="s">
        <v>361</v>
      </c>
      <c r="D1443" s="7" t="s">
        <v>357</v>
      </c>
      <c r="E1443" s="7">
        <v>-9.23293116883117</v>
      </c>
      <c r="F1443" s="7">
        <v>0.813760173160174</v>
      </c>
      <c r="G1443" s="7">
        <v>1.1297329004329</v>
      </c>
      <c r="H1443" s="7">
        <v>-4.85622987012987E-4</v>
      </c>
      <c r="I1443" s="7">
        <v>-2.70008593073593</v>
      </c>
      <c r="J1443" s="7">
        <v>-1.82855792207792</v>
      </c>
      <c r="K1443" s="8"/>
      <c r="L1443" s="8"/>
    </row>
    <row r="1444" ht="13.5" customHeight="1">
      <c r="A1444" s="7" t="s">
        <v>355</v>
      </c>
      <c r="B1444" s="7">
        <v>0.0</v>
      </c>
      <c r="C1444" s="7" t="s">
        <v>362</v>
      </c>
      <c r="D1444" s="7" t="s">
        <v>357</v>
      </c>
      <c r="E1444" s="7">
        <v>-9.24978753246753</v>
      </c>
      <c r="F1444" s="7">
        <v>0.815470692640693</v>
      </c>
      <c r="G1444" s="7">
        <v>1.13199731601732</v>
      </c>
      <c r="H1444" s="7">
        <v>-4.86678090909091E-4</v>
      </c>
      <c r="I1444" s="7">
        <v>-2.70688072294373</v>
      </c>
      <c r="J1444" s="7">
        <v>-1.83310497402597</v>
      </c>
      <c r="K1444" s="8"/>
      <c r="L1444" s="8"/>
    </row>
    <row r="1445" ht="13.5" customHeight="1">
      <c r="A1445" s="7" t="s">
        <v>355</v>
      </c>
      <c r="B1445" s="7">
        <v>1.75</v>
      </c>
      <c r="C1445" s="7" t="s">
        <v>362</v>
      </c>
      <c r="D1445" s="7" t="s">
        <v>357</v>
      </c>
      <c r="E1445" s="7">
        <v>-9.2666438961039</v>
      </c>
      <c r="F1445" s="7">
        <v>0.817181212121213</v>
      </c>
      <c r="G1445" s="7">
        <v>1.13426173160173</v>
      </c>
      <c r="H1445" s="7">
        <v>-4.87733194805195E-4</v>
      </c>
      <c r="I1445" s="7">
        <v>-2.71367551515152</v>
      </c>
      <c r="J1445" s="7">
        <v>-1.83765202597402</v>
      </c>
      <c r="K1445" s="8"/>
      <c r="L1445" s="8"/>
    </row>
    <row r="1446" ht="13.5" customHeight="1">
      <c r="A1446" s="7" t="s">
        <v>355</v>
      </c>
      <c r="B1446" s="7">
        <v>3.5</v>
      </c>
      <c r="C1446" s="7" t="s">
        <v>362</v>
      </c>
      <c r="D1446" s="7" t="s">
        <v>357</v>
      </c>
      <c r="E1446" s="7">
        <v>-9.28350025974026</v>
      </c>
      <c r="F1446" s="7">
        <v>0.818891731601732</v>
      </c>
      <c r="G1446" s="7">
        <v>1.13652614718615</v>
      </c>
      <c r="H1446" s="7">
        <v>-4.88788298701299E-4</v>
      </c>
      <c r="I1446" s="7">
        <v>-2.72047030735931</v>
      </c>
      <c r="J1446" s="7">
        <v>-1.84219907792207</v>
      </c>
      <c r="K1446" s="8"/>
      <c r="L1446" s="8"/>
    </row>
    <row r="1447" ht="13.5" customHeight="1">
      <c r="A1447" s="7" t="s">
        <v>355</v>
      </c>
      <c r="B1447" s="7">
        <v>0.0</v>
      </c>
      <c r="C1447" s="7" t="s">
        <v>363</v>
      </c>
      <c r="D1447" s="7" t="s">
        <v>357</v>
      </c>
      <c r="E1447" s="7">
        <v>-9.30035662337662</v>
      </c>
      <c r="F1447" s="7">
        <v>0.820602251082252</v>
      </c>
      <c r="G1447" s="7">
        <v>1.13879056277056</v>
      </c>
      <c r="H1447" s="7">
        <v>-4.89843402597403E-4</v>
      </c>
      <c r="I1447" s="7">
        <v>-2.7272650995671</v>
      </c>
      <c r="J1447" s="7">
        <v>-1.84674612987013</v>
      </c>
      <c r="K1447" s="8"/>
      <c r="L1447" s="8"/>
    </row>
    <row r="1448" ht="13.5" customHeight="1">
      <c r="A1448" s="7" t="s">
        <v>355</v>
      </c>
      <c r="B1448" s="7">
        <v>1.75</v>
      </c>
      <c r="C1448" s="7" t="s">
        <v>363</v>
      </c>
      <c r="D1448" s="7" t="s">
        <v>357</v>
      </c>
      <c r="E1448" s="7">
        <v>-9.31721298701299</v>
      </c>
      <c r="F1448" s="7">
        <v>0.822312770562771</v>
      </c>
      <c r="G1448" s="7">
        <v>1.14105497835498</v>
      </c>
      <c r="H1448" s="7">
        <v>-4.90898506493507E-4</v>
      </c>
      <c r="I1448" s="7">
        <v>-2.7340598917749</v>
      </c>
      <c r="J1448" s="7">
        <v>-1.85129318181818</v>
      </c>
      <c r="K1448" s="8"/>
      <c r="L1448" s="8"/>
    </row>
    <row r="1449" ht="13.5" customHeight="1">
      <c r="A1449" s="7" t="s">
        <v>355</v>
      </c>
      <c r="B1449" s="7">
        <v>3.5</v>
      </c>
      <c r="C1449" s="7" t="s">
        <v>363</v>
      </c>
      <c r="D1449" s="7" t="s">
        <v>357</v>
      </c>
      <c r="E1449" s="7">
        <v>-9.33406935064935</v>
      </c>
      <c r="F1449" s="7">
        <v>0.824023290043291</v>
      </c>
      <c r="G1449" s="7">
        <v>1.14331939393939</v>
      </c>
      <c r="H1449" s="7">
        <v>-4.91953610389611E-4</v>
      </c>
      <c r="I1449" s="7">
        <v>-2.74085468398269</v>
      </c>
      <c r="J1449" s="7">
        <v>-1.85584023376623</v>
      </c>
      <c r="K1449" s="8"/>
      <c r="L1449" s="8"/>
    </row>
    <row r="1450" ht="13.5" customHeight="1">
      <c r="A1450" s="7" t="s">
        <v>355</v>
      </c>
      <c r="B1450" s="7">
        <v>0.0</v>
      </c>
      <c r="C1450" s="7" t="s">
        <v>356</v>
      </c>
      <c r="D1450" s="7" t="s">
        <v>357</v>
      </c>
      <c r="E1450" s="7">
        <v>-9.35092571428571</v>
      </c>
      <c r="F1450" s="7">
        <v>0.82573380952381</v>
      </c>
      <c r="G1450" s="7">
        <v>1.14558380952381</v>
      </c>
      <c r="H1450" s="7">
        <v>-4.93008714285715E-4</v>
      </c>
      <c r="I1450" s="7">
        <v>-2.74764947619048</v>
      </c>
      <c r="J1450" s="7">
        <v>-1.86038728571428</v>
      </c>
      <c r="K1450" s="8"/>
      <c r="L1450" s="8"/>
    </row>
    <row r="1451" ht="13.5" customHeight="1">
      <c r="A1451" s="7" t="s">
        <v>355</v>
      </c>
      <c r="B1451" s="7">
        <v>1.75</v>
      </c>
      <c r="C1451" s="7" t="s">
        <v>356</v>
      </c>
      <c r="D1451" s="7" t="s">
        <v>357</v>
      </c>
      <c r="E1451" s="7">
        <v>-9.36778207792208</v>
      </c>
      <c r="F1451" s="7">
        <v>0.82744432900433</v>
      </c>
      <c r="G1451" s="7">
        <v>1.14784822510822</v>
      </c>
      <c r="H1451" s="7">
        <v>-4.94063818181819E-4</v>
      </c>
      <c r="I1451" s="7">
        <v>-2.75444426839827</v>
      </c>
      <c r="J1451" s="7">
        <v>-1.86493433766233</v>
      </c>
      <c r="K1451" s="8"/>
      <c r="L1451" s="8"/>
    </row>
    <row r="1452" ht="13.5" customHeight="1">
      <c r="A1452" s="7" t="s">
        <v>355</v>
      </c>
      <c r="B1452" s="7">
        <v>3.5</v>
      </c>
      <c r="C1452" s="7" t="s">
        <v>356</v>
      </c>
      <c r="D1452" s="7" t="s">
        <v>357</v>
      </c>
      <c r="E1452" s="7">
        <v>-9.38463844155844</v>
      </c>
      <c r="F1452" s="7">
        <v>0.829154848484849</v>
      </c>
      <c r="G1452" s="7">
        <v>1.15011264069264</v>
      </c>
      <c r="H1452" s="7">
        <v>-4.95118922077922E-4</v>
      </c>
      <c r="I1452" s="7">
        <v>-2.76123906060606</v>
      </c>
      <c r="J1452" s="7">
        <v>-1.86948138961039</v>
      </c>
      <c r="K1452" s="8"/>
      <c r="L1452" s="8"/>
    </row>
    <row r="1453" ht="13.5" customHeight="1">
      <c r="A1453" s="7" t="s">
        <v>355</v>
      </c>
      <c r="B1453" s="7">
        <v>0.0</v>
      </c>
      <c r="C1453" s="7" t="s">
        <v>358</v>
      </c>
      <c r="D1453" s="7" t="s">
        <v>357</v>
      </c>
      <c r="E1453" s="7">
        <v>-9.40149480519481</v>
      </c>
      <c r="F1453" s="7">
        <v>0.830865367965369</v>
      </c>
      <c r="G1453" s="7">
        <v>1.15237705627706</v>
      </c>
      <c r="H1453" s="7">
        <v>-4.96174025974026E-4</v>
      </c>
      <c r="I1453" s="7">
        <v>-2.76803385281386</v>
      </c>
      <c r="J1453" s="7">
        <v>-1.87402844155844</v>
      </c>
      <c r="K1453" s="8"/>
      <c r="L1453" s="8"/>
    </row>
    <row r="1454" ht="13.5" customHeight="1">
      <c r="A1454" s="7" t="s">
        <v>355</v>
      </c>
      <c r="B1454" s="7">
        <v>1.75</v>
      </c>
      <c r="C1454" s="7" t="s">
        <v>358</v>
      </c>
      <c r="D1454" s="7" t="s">
        <v>357</v>
      </c>
      <c r="E1454" s="7">
        <v>-9.41835116883117</v>
      </c>
      <c r="F1454" s="7">
        <v>0.832575887445888</v>
      </c>
      <c r="G1454" s="7">
        <v>1.15464147186147</v>
      </c>
      <c r="H1454" s="7">
        <v>-4.9722912987013E-4</v>
      </c>
      <c r="I1454" s="7">
        <v>-2.77482864502165</v>
      </c>
      <c r="J1454" s="7">
        <v>-1.87857549350649</v>
      </c>
      <c r="K1454" s="8"/>
      <c r="L1454" s="8"/>
    </row>
    <row r="1455" ht="13.5" customHeight="1">
      <c r="A1455" s="7" t="s">
        <v>355</v>
      </c>
      <c r="B1455" s="7">
        <v>3.5</v>
      </c>
      <c r="C1455" s="7" t="s">
        <v>358</v>
      </c>
      <c r="D1455" s="7" t="s">
        <v>357</v>
      </c>
      <c r="E1455" s="7">
        <v>-9.43520753246753</v>
      </c>
      <c r="F1455" s="7">
        <v>0.834286406926407</v>
      </c>
      <c r="G1455" s="7">
        <v>1.15690588744589</v>
      </c>
      <c r="H1455" s="7">
        <v>-4.98284233766234E-4</v>
      </c>
      <c r="I1455" s="7">
        <v>-2.78162343722944</v>
      </c>
      <c r="J1455" s="7">
        <v>-1.88312254545454</v>
      </c>
      <c r="K1455" s="8"/>
      <c r="L1455" s="8"/>
    </row>
    <row r="1456" ht="13.5" customHeight="1">
      <c r="A1456" s="7" t="s">
        <v>355</v>
      </c>
      <c r="B1456" s="7">
        <v>0.0</v>
      </c>
      <c r="C1456" s="7" t="s">
        <v>359</v>
      </c>
      <c r="D1456" s="7" t="s">
        <v>357</v>
      </c>
      <c r="E1456" s="7">
        <v>-9.4520638961039</v>
      </c>
      <c r="F1456" s="7">
        <v>0.835996926406927</v>
      </c>
      <c r="G1456" s="7">
        <v>1.1591703030303</v>
      </c>
      <c r="H1456" s="7">
        <v>-4.99339337662338E-4</v>
      </c>
      <c r="I1456" s="7">
        <v>-2.78841822943723</v>
      </c>
      <c r="J1456" s="7">
        <v>-1.88766959740259</v>
      </c>
      <c r="K1456" s="8"/>
      <c r="L1456" s="8"/>
    </row>
    <row r="1457" ht="13.5" customHeight="1">
      <c r="A1457" s="7" t="s">
        <v>355</v>
      </c>
      <c r="B1457" s="7">
        <v>1.75</v>
      </c>
      <c r="C1457" s="7" t="s">
        <v>359</v>
      </c>
      <c r="D1457" s="7" t="s">
        <v>357</v>
      </c>
      <c r="E1457" s="7">
        <v>-9.46892025974026</v>
      </c>
      <c r="F1457" s="7">
        <v>0.837707445887446</v>
      </c>
      <c r="G1457" s="7">
        <v>1.16143471861472</v>
      </c>
      <c r="H1457" s="7">
        <v>-5.00394441558442E-4</v>
      </c>
      <c r="I1457" s="7">
        <v>-2.79521302164502</v>
      </c>
      <c r="J1457" s="7">
        <v>-1.89221664935064</v>
      </c>
      <c r="K1457" s="8"/>
      <c r="L1457" s="8"/>
    </row>
    <row r="1458" ht="13.5" customHeight="1">
      <c r="A1458" s="7" t="s">
        <v>355</v>
      </c>
      <c r="B1458" s="7">
        <v>3.5</v>
      </c>
      <c r="C1458" s="7" t="s">
        <v>359</v>
      </c>
      <c r="D1458" s="7" t="s">
        <v>357</v>
      </c>
      <c r="E1458" s="7">
        <v>-9.48577662337662</v>
      </c>
      <c r="F1458" s="7">
        <v>0.839417965367966</v>
      </c>
      <c r="G1458" s="7">
        <v>1.16369913419913</v>
      </c>
      <c r="H1458" s="7">
        <v>-5.01449545454546E-4</v>
      </c>
      <c r="I1458" s="7">
        <v>-2.80200781385282</v>
      </c>
      <c r="J1458" s="7">
        <v>-1.8967637012987</v>
      </c>
      <c r="K1458" s="8"/>
      <c r="L1458" s="8"/>
    </row>
    <row r="1459" ht="13.5" customHeight="1">
      <c r="A1459" s="7" t="s">
        <v>355</v>
      </c>
      <c r="B1459" s="7">
        <v>0.0</v>
      </c>
      <c r="C1459" s="7" t="s">
        <v>360</v>
      </c>
      <c r="D1459" s="7" t="s">
        <v>357</v>
      </c>
      <c r="E1459" s="7">
        <v>-9.50263298701299</v>
      </c>
      <c r="F1459" s="7">
        <v>0.841128484848485</v>
      </c>
      <c r="G1459" s="7">
        <v>1.16596354978355</v>
      </c>
      <c r="H1459" s="7">
        <v>-5.0250464935065E-4</v>
      </c>
      <c r="I1459" s="7">
        <v>-2.80880260606061</v>
      </c>
      <c r="J1459" s="7">
        <v>-1.90131075324675</v>
      </c>
      <c r="K1459" s="8"/>
      <c r="L1459" s="8"/>
    </row>
    <row r="1460" ht="13.5" customHeight="1">
      <c r="A1460" s="7" t="s">
        <v>355</v>
      </c>
      <c r="B1460" s="7">
        <v>1.75</v>
      </c>
      <c r="C1460" s="7" t="s">
        <v>360</v>
      </c>
      <c r="D1460" s="7" t="s">
        <v>357</v>
      </c>
      <c r="E1460" s="7">
        <v>-9.51948935064935</v>
      </c>
      <c r="F1460" s="7">
        <v>0.842839004329005</v>
      </c>
      <c r="G1460" s="7">
        <v>1.16822796536796</v>
      </c>
      <c r="H1460" s="7">
        <v>-5.03559753246754E-4</v>
      </c>
      <c r="I1460" s="7">
        <v>-2.8155973982684</v>
      </c>
      <c r="J1460" s="7">
        <v>-1.9058578051948</v>
      </c>
      <c r="K1460" s="8"/>
      <c r="L1460" s="8"/>
    </row>
    <row r="1461" ht="13.5" customHeight="1">
      <c r="A1461" s="7" t="s">
        <v>355</v>
      </c>
      <c r="B1461" s="7">
        <v>3.5</v>
      </c>
      <c r="C1461" s="7" t="s">
        <v>360</v>
      </c>
      <c r="D1461" s="7" t="s">
        <v>357</v>
      </c>
      <c r="E1461" s="7">
        <v>-9.53634571428571</v>
      </c>
      <c r="F1461" s="7">
        <v>0.844549523809524</v>
      </c>
      <c r="G1461" s="7">
        <v>1.17049238095238</v>
      </c>
      <c r="H1461" s="7">
        <v>-5.04614857142857E-4</v>
      </c>
      <c r="I1461" s="7">
        <v>-2.82239219047619</v>
      </c>
      <c r="J1461" s="7">
        <v>-1.91040485714285</v>
      </c>
      <c r="K1461" s="8"/>
      <c r="L1461" s="8"/>
    </row>
    <row r="1462" ht="13.5" customHeight="1">
      <c r="A1462" s="7" t="s">
        <v>355</v>
      </c>
      <c r="B1462" s="7">
        <v>0.0</v>
      </c>
      <c r="C1462" s="7" t="s">
        <v>361</v>
      </c>
      <c r="D1462" s="7" t="s">
        <v>357</v>
      </c>
      <c r="E1462" s="7">
        <v>-9.55320207792208</v>
      </c>
      <c r="F1462" s="7">
        <v>0.846260043290044</v>
      </c>
      <c r="G1462" s="7">
        <v>1.1727567965368</v>
      </c>
      <c r="H1462" s="7">
        <v>-5.05669961038961E-4</v>
      </c>
      <c r="I1462" s="7">
        <v>-2.82918698268399</v>
      </c>
      <c r="J1462" s="7">
        <v>-1.9149519090909</v>
      </c>
      <c r="K1462" s="8"/>
      <c r="L1462" s="8"/>
    </row>
    <row r="1463" ht="13.5" customHeight="1">
      <c r="A1463" s="7" t="s">
        <v>355</v>
      </c>
      <c r="B1463" s="7">
        <v>1.75</v>
      </c>
      <c r="C1463" s="7" t="s">
        <v>361</v>
      </c>
      <c r="D1463" s="7" t="s">
        <v>357</v>
      </c>
      <c r="E1463" s="7">
        <v>-9.57005844155844</v>
      </c>
      <c r="F1463" s="7">
        <v>0.847970562770563</v>
      </c>
      <c r="G1463" s="7">
        <v>1.17502121212121</v>
      </c>
      <c r="H1463" s="7">
        <v>-5.06725064935065E-4</v>
      </c>
      <c r="I1463" s="7">
        <v>-2.83598177489178</v>
      </c>
      <c r="J1463" s="7">
        <v>-1.91949896103896</v>
      </c>
      <c r="K1463" s="8"/>
      <c r="L1463" s="8"/>
    </row>
    <row r="1464" ht="13.5" customHeight="1">
      <c r="A1464" s="7" t="s">
        <v>355</v>
      </c>
      <c r="B1464" s="7">
        <v>3.5</v>
      </c>
      <c r="C1464" s="7" t="s">
        <v>361</v>
      </c>
      <c r="D1464" s="7" t="s">
        <v>357</v>
      </c>
      <c r="E1464" s="7">
        <v>-9.5869148051948</v>
      </c>
      <c r="F1464" s="7">
        <v>0.849681082251083</v>
      </c>
      <c r="G1464" s="7">
        <v>1.17728562770563</v>
      </c>
      <c r="H1464" s="7">
        <v>-5.07780168831169E-4</v>
      </c>
      <c r="I1464" s="7">
        <v>-2.84277656709957</v>
      </c>
      <c r="J1464" s="7">
        <v>-1.92404601298701</v>
      </c>
      <c r="K1464" s="8"/>
      <c r="L1464" s="8"/>
    </row>
    <row r="1465" ht="13.5" customHeight="1">
      <c r="A1465" s="7" t="s">
        <v>355</v>
      </c>
      <c r="B1465" s="7">
        <v>0.0</v>
      </c>
      <c r="C1465" s="7" t="s">
        <v>362</v>
      </c>
      <c r="D1465" s="7" t="s">
        <v>357</v>
      </c>
      <c r="E1465" s="7">
        <v>-9.60377116883117</v>
      </c>
      <c r="F1465" s="7">
        <v>0.851391601731602</v>
      </c>
      <c r="G1465" s="7">
        <v>1.17955004329004</v>
      </c>
      <c r="H1465" s="7">
        <v>-5.08835272727273E-4</v>
      </c>
      <c r="I1465" s="7">
        <v>-2.84957135930736</v>
      </c>
      <c r="J1465" s="7">
        <v>-1.92859306493506</v>
      </c>
      <c r="K1465" s="8"/>
      <c r="L1465" s="8"/>
    </row>
    <row r="1466" ht="13.5" customHeight="1">
      <c r="A1466" s="7" t="s">
        <v>355</v>
      </c>
      <c r="B1466" s="7">
        <v>1.75</v>
      </c>
      <c r="C1466" s="7" t="s">
        <v>362</v>
      </c>
      <c r="D1466" s="7" t="s">
        <v>357</v>
      </c>
      <c r="E1466" s="7">
        <v>-9.62062753246753</v>
      </c>
      <c r="F1466" s="7">
        <v>0.853102121212122</v>
      </c>
      <c r="G1466" s="7">
        <v>1.18181445887446</v>
      </c>
      <c r="H1466" s="7">
        <v>-5.09890376623377E-4</v>
      </c>
      <c r="I1466" s="7">
        <v>-2.85636615151515</v>
      </c>
      <c r="J1466" s="7">
        <v>-1.93314011688311</v>
      </c>
      <c r="K1466" s="8"/>
      <c r="L1466" s="8"/>
    </row>
    <row r="1467" ht="13.5" customHeight="1">
      <c r="A1467" s="7" t="s">
        <v>355</v>
      </c>
      <c r="B1467" s="7">
        <v>3.5</v>
      </c>
      <c r="C1467" s="7" t="s">
        <v>362</v>
      </c>
      <c r="D1467" s="7" t="s">
        <v>357</v>
      </c>
      <c r="E1467" s="7">
        <v>-9.6374838961039</v>
      </c>
      <c r="F1467" s="7">
        <v>0.854812640692641</v>
      </c>
      <c r="G1467" s="7">
        <v>1.18407887445887</v>
      </c>
      <c r="H1467" s="7">
        <v>-5.10945480519481E-4</v>
      </c>
      <c r="I1467" s="7">
        <v>-2.86316094372295</v>
      </c>
      <c r="J1467" s="7">
        <v>-1.93768716883116</v>
      </c>
      <c r="K1467" s="8"/>
      <c r="L1467" s="8"/>
    </row>
    <row r="1468" ht="13.5" customHeight="1">
      <c r="A1468" s="7" t="s">
        <v>355</v>
      </c>
      <c r="B1468" s="7">
        <v>0.0</v>
      </c>
      <c r="C1468" s="7" t="s">
        <v>363</v>
      </c>
      <c r="D1468" s="7" t="s">
        <v>357</v>
      </c>
      <c r="E1468" s="7">
        <v>-9.65434025974026</v>
      </c>
      <c r="F1468" s="7">
        <v>0.856523160173161</v>
      </c>
      <c r="G1468" s="7">
        <v>1.18634329004329</v>
      </c>
      <c r="H1468" s="7">
        <v>-5.12000584415585E-4</v>
      </c>
      <c r="I1468" s="7">
        <v>-2.86995573593074</v>
      </c>
      <c r="J1468" s="7">
        <v>-1.94223422077922</v>
      </c>
      <c r="K1468" s="8"/>
      <c r="L1468" s="8"/>
    </row>
    <row r="1469" ht="13.5" customHeight="1">
      <c r="A1469" s="7" t="s">
        <v>355</v>
      </c>
      <c r="B1469" s="7">
        <v>1.75</v>
      </c>
      <c r="C1469" s="7" t="s">
        <v>363</v>
      </c>
      <c r="D1469" s="7" t="s">
        <v>357</v>
      </c>
      <c r="E1469" s="7">
        <v>-9.67119662337662</v>
      </c>
      <c r="F1469" s="7">
        <v>0.85823367965368</v>
      </c>
      <c r="G1469" s="7">
        <v>1.1886077056277</v>
      </c>
      <c r="H1469" s="7">
        <v>-5.13055688311689E-4</v>
      </c>
      <c r="I1469" s="7">
        <v>-2.87675052813853</v>
      </c>
      <c r="J1469" s="7">
        <v>-1.94678127272727</v>
      </c>
      <c r="K1469" s="8"/>
      <c r="L1469" s="8"/>
    </row>
    <row r="1470" ht="13.5" customHeight="1">
      <c r="A1470" s="7" t="s">
        <v>355</v>
      </c>
      <c r="B1470" s="7">
        <v>3.5</v>
      </c>
      <c r="C1470" s="7" t="s">
        <v>363</v>
      </c>
      <c r="D1470" s="7" t="s">
        <v>357</v>
      </c>
      <c r="E1470" s="7">
        <v>-9.68805298701299</v>
      </c>
      <c r="F1470" s="7">
        <v>0.8599441991342</v>
      </c>
      <c r="G1470" s="7">
        <v>1.19087212121212</v>
      </c>
      <c r="H1470" s="7">
        <v>-5.14110792207793E-4</v>
      </c>
      <c r="I1470" s="7">
        <v>-2.88354532034632</v>
      </c>
      <c r="J1470" s="7">
        <v>-1.95132832467532</v>
      </c>
      <c r="K1470" s="8"/>
      <c r="L1470" s="8"/>
    </row>
    <row r="1471" ht="13.5" customHeight="1">
      <c r="A1471" s="7" t="s">
        <v>355</v>
      </c>
      <c r="B1471" s="7">
        <v>0.0</v>
      </c>
      <c r="C1471" s="7" t="s">
        <v>356</v>
      </c>
      <c r="D1471" s="7" t="s">
        <v>357</v>
      </c>
      <c r="E1471" s="7">
        <v>-9.70490935064935</v>
      </c>
      <c r="F1471" s="7">
        <v>0.861654718614719</v>
      </c>
      <c r="G1471" s="7">
        <v>1.19313653679654</v>
      </c>
      <c r="H1471" s="7">
        <v>-5.15165896103896E-4</v>
      </c>
      <c r="I1471" s="7">
        <v>-2.89034011255412</v>
      </c>
      <c r="J1471" s="7">
        <v>-1.95587537662337</v>
      </c>
      <c r="K1471" s="8"/>
      <c r="L1471" s="8"/>
    </row>
    <row r="1472" ht="13.5" customHeight="1">
      <c r="A1472" s="7" t="s">
        <v>355</v>
      </c>
      <c r="B1472" s="7">
        <v>1.75</v>
      </c>
      <c r="C1472" s="7" t="s">
        <v>356</v>
      </c>
      <c r="D1472" s="7" t="s">
        <v>357</v>
      </c>
      <c r="E1472" s="7">
        <v>-9.72176571428571</v>
      </c>
      <c r="F1472" s="7">
        <v>0.863365238095239</v>
      </c>
      <c r="G1472" s="7">
        <v>1.19540095238095</v>
      </c>
      <c r="H1472" s="7">
        <v>-5.16221E-4</v>
      </c>
      <c r="I1472" s="7">
        <v>-2.89713490476191</v>
      </c>
      <c r="J1472" s="7">
        <v>-1.96042242857142</v>
      </c>
      <c r="K1472" s="8"/>
      <c r="L1472" s="8"/>
    </row>
    <row r="1473" ht="13.5" customHeight="1">
      <c r="A1473" s="7" t="s">
        <v>355</v>
      </c>
      <c r="B1473" s="7">
        <v>3.5</v>
      </c>
      <c r="C1473" s="7" t="s">
        <v>356</v>
      </c>
      <c r="D1473" s="7" t="s">
        <v>357</v>
      </c>
      <c r="E1473" s="7">
        <v>-9.73862207792208</v>
      </c>
      <c r="F1473" s="7">
        <v>0.865075757575758</v>
      </c>
      <c r="G1473" s="7">
        <v>1.19766536796537</v>
      </c>
      <c r="H1473" s="7">
        <v>-5.17276103896104E-4</v>
      </c>
      <c r="I1473" s="7">
        <v>-2.9039296969697</v>
      </c>
      <c r="J1473" s="7">
        <v>-1.96496948051948</v>
      </c>
      <c r="K1473" s="8"/>
      <c r="L1473" s="8"/>
    </row>
    <row r="1474" ht="13.5" customHeight="1">
      <c r="A1474" s="7" t="s">
        <v>355</v>
      </c>
      <c r="B1474" s="7">
        <v>0.0</v>
      </c>
      <c r="C1474" s="7" t="s">
        <v>358</v>
      </c>
      <c r="D1474" s="7" t="s">
        <v>357</v>
      </c>
      <c r="E1474" s="7">
        <v>-9.75547844155844</v>
      </c>
      <c r="F1474" s="7">
        <v>0.866786277056278</v>
      </c>
      <c r="G1474" s="7">
        <v>1.19992978354978</v>
      </c>
      <c r="H1474" s="7">
        <v>-5.18331207792208E-4</v>
      </c>
      <c r="I1474" s="7">
        <v>-2.91072448917749</v>
      </c>
      <c r="J1474" s="7">
        <v>-1.96951653246753</v>
      </c>
      <c r="K1474" s="8"/>
      <c r="L1474" s="8"/>
    </row>
    <row r="1475" ht="13.5" customHeight="1">
      <c r="A1475" s="7" t="s">
        <v>355</v>
      </c>
      <c r="B1475" s="7">
        <v>1.75</v>
      </c>
      <c r="C1475" s="7" t="s">
        <v>358</v>
      </c>
      <c r="D1475" s="7" t="s">
        <v>357</v>
      </c>
      <c r="E1475" s="7">
        <v>-9.77233480519481</v>
      </c>
      <c r="F1475" s="7">
        <v>0.868496796536797</v>
      </c>
      <c r="G1475" s="7">
        <v>1.2021941991342</v>
      </c>
      <c r="H1475" s="7">
        <v>-5.19386311688312E-4</v>
      </c>
      <c r="I1475" s="7">
        <v>-2.91751928138528</v>
      </c>
      <c r="J1475" s="7">
        <v>-1.97406358441558</v>
      </c>
      <c r="K1475" s="8"/>
      <c r="L1475" s="8"/>
    </row>
    <row r="1476" ht="13.5" customHeight="1">
      <c r="A1476" s="7" t="s">
        <v>355</v>
      </c>
      <c r="B1476" s="7">
        <v>3.5</v>
      </c>
      <c r="C1476" s="7" t="s">
        <v>358</v>
      </c>
      <c r="D1476" s="7" t="s">
        <v>357</v>
      </c>
      <c r="E1476" s="7">
        <v>-9.78919116883117</v>
      </c>
      <c r="F1476" s="7">
        <v>0.870207316017317</v>
      </c>
      <c r="G1476" s="7">
        <v>1.20445861471861</v>
      </c>
      <c r="H1476" s="7">
        <v>-5.20441415584416E-4</v>
      </c>
      <c r="I1476" s="7">
        <v>-2.92431407359308</v>
      </c>
      <c r="J1476" s="7">
        <v>-1.97861063636363</v>
      </c>
      <c r="K1476" s="8"/>
      <c r="L1476" s="8"/>
    </row>
    <row r="1477" ht="13.5" customHeight="1">
      <c r="A1477" s="7" t="s">
        <v>355</v>
      </c>
      <c r="B1477" s="7">
        <v>0.0</v>
      </c>
      <c r="C1477" s="7" t="s">
        <v>359</v>
      </c>
      <c r="D1477" s="7" t="s">
        <v>357</v>
      </c>
      <c r="E1477" s="7">
        <v>-9.80604753246753</v>
      </c>
      <c r="F1477" s="7">
        <v>0.871917835497836</v>
      </c>
      <c r="G1477" s="7">
        <v>1.20672303030303</v>
      </c>
      <c r="H1477" s="7">
        <v>-5.2149651948052E-4</v>
      </c>
      <c r="I1477" s="7">
        <v>-2.93110886580087</v>
      </c>
      <c r="J1477" s="7">
        <v>-1.98315768831168</v>
      </c>
      <c r="K1477" s="8"/>
      <c r="L1477" s="8"/>
    </row>
    <row r="1478" ht="13.5" customHeight="1">
      <c r="A1478" s="7" t="s">
        <v>355</v>
      </c>
      <c r="B1478" s="7">
        <v>1.75</v>
      </c>
      <c r="C1478" s="7" t="s">
        <v>359</v>
      </c>
      <c r="D1478" s="7" t="s">
        <v>357</v>
      </c>
      <c r="E1478" s="7">
        <v>-9.8229038961039</v>
      </c>
      <c r="F1478" s="7">
        <v>0.873628354978356</v>
      </c>
      <c r="G1478" s="7">
        <v>1.20898744588744</v>
      </c>
      <c r="H1478" s="7">
        <v>-5.22551623376624E-4</v>
      </c>
      <c r="I1478" s="7">
        <v>-2.93790365800866</v>
      </c>
      <c r="J1478" s="7">
        <v>-1.98770474025974</v>
      </c>
      <c r="K1478" s="8"/>
      <c r="L1478" s="8"/>
    </row>
    <row r="1479" ht="13.5" customHeight="1">
      <c r="A1479" s="7" t="s">
        <v>355</v>
      </c>
      <c r="B1479" s="7">
        <v>3.5</v>
      </c>
      <c r="C1479" s="7" t="s">
        <v>359</v>
      </c>
      <c r="D1479" s="7" t="s">
        <v>357</v>
      </c>
      <c r="E1479" s="7">
        <v>-9.83976025974026</v>
      </c>
      <c r="F1479" s="7">
        <v>0.875338874458875</v>
      </c>
      <c r="G1479" s="7">
        <v>1.21125186147186</v>
      </c>
      <c r="H1479" s="7">
        <v>-5.23606727272728E-4</v>
      </c>
      <c r="I1479" s="7">
        <v>-2.94469845021645</v>
      </c>
      <c r="J1479" s="7">
        <v>-1.99225179220779</v>
      </c>
      <c r="K1479" s="8"/>
      <c r="L1479" s="8"/>
    </row>
    <row r="1480" ht="13.5" customHeight="1">
      <c r="A1480" s="7" t="s">
        <v>355</v>
      </c>
      <c r="B1480" s="7">
        <v>0.0</v>
      </c>
      <c r="C1480" s="7" t="s">
        <v>360</v>
      </c>
      <c r="D1480" s="7" t="s">
        <v>357</v>
      </c>
      <c r="E1480" s="7">
        <v>-9.85661662337662</v>
      </c>
      <c r="F1480" s="7">
        <v>0.877049393939395</v>
      </c>
      <c r="G1480" s="7">
        <v>1.21351627705628</v>
      </c>
      <c r="H1480" s="7">
        <v>-5.24661831168832E-4</v>
      </c>
      <c r="I1480" s="7">
        <v>-2.95149324242425</v>
      </c>
      <c r="J1480" s="7">
        <v>-1.99679884415584</v>
      </c>
      <c r="K1480" s="8"/>
      <c r="L1480" s="8"/>
    </row>
    <row r="1481" ht="13.5" customHeight="1">
      <c r="A1481" s="7" t="s">
        <v>355</v>
      </c>
      <c r="B1481" s="7">
        <v>1.75</v>
      </c>
      <c r="C1481" s="7" t="s">
        <v>360</v>
      </c>
      <c r="D1481" s="7" t="s">
        <v>357</v>
      </c>
      <c r="E1481" s="7">
        <v>-9.87347298701299</v>
      </c>
      <c r="F1481" s="7">
        <v>0.878759913419914</v>
      </c>
      <c r="G1481" s="7">
        <v>1.21578069264069</v>
      </c>
      <c r="H1481" s="7">
        <v>-5.25716935064935E-4</v>
      </c>
      <c r="I1481" s="7">
        <v>-2.95828803463204</v>
      </c>
      <c r="J1481" s="7">
        <v>-2.00134589610389</v>
      </c>
      <c r="K1481" s="8"/>
      <c r="L1481" s="8"/>
    </row>
    <row r="1482" ht="13.5" customHeight="1">
      <c r="A1482" s="7" t="s">
        <v>355</v>
      </c>
      <c r="B1482" s="7">
        <v>3.5</v>
      </c>
      <c r="C1482" s="7" t="s">
        <v>360</v>
      </c>
      <c r="D1482" s="7" t="s">
        <v>357</v>
      </c>
      <c r="E1482" s="7">
        <v>-9.89032935064935</v>
      </c>
      <c r="F1482" s="7">
        <v>0.880470432900434</v>
      </c>
      <c r="G1482" s="7">
        <v>1.21804510822511</v>
      </c>
      <c r="H1482" s="7">
        <v>-5.26772038961039E-4</v>
      </c>
      <c r="I1482" s="7">
        <v>-2.96508282683983</v>
      </c>
      <c r="J1482" s="7">
        <v>-2.00589294805194</v>
      </c>
      <c r="K1482" s="8"/>
      <c r="L1482" s="8"/>
    </row>
    <row r="1483" ht="13.5" customHeight="1">
      <c r="A1483" s="7" t="s">
        <v>355</v>
      </c>
      <c r="B1483" s="7">
        <v>0.0</v>
      </c>
      <c r="C1483" s="7" t="s">
        <v>361</v>
      </c>
      <c r="D1483" s="7" t="s">
        <v>357</v>
      </c>
      <c r="E1483" s="7">
        <v>-9.90718571428571</v>
      </c>
      <c r="F1483" s="7">
        <v>0.882180952380953</v>
      </c>
      <c r="G1483" s="7">
        <v>1.22030952380952</v>
      </c>
      <c r="H1483" s="7">
        <v>-5.27827142857143E-4</v>
      </c>
      <c r="I1483" s="7">
        <v>-2.97187761904762</v>
      </c>
      <c r="J1483" s="7">
        <v>-2.01044</v>
      </c>
      <c r="K1483" s="8"/>
      <c r="L1483" s="8"/>
    </row>
    <row r="1484" ht="13.5" customHeight="1">
      <c r="A1484" s="7" t="s">
        <v>355</v>
      </c>
      <c r="B1484" s="7">
        <v>1.75</v>
      </c>
      <c r="C1484" s="7" t="s">
        <v>361</v>
      </c>
      <c r="D1484" s="7" t="s">
        <v>357</v>
      </c>
      <c r="E1484" s="7">
        <v>-9.92404207792208</v>
      </c>
      <c r="F1484" s="7">
        <v>0.883891471861472</v>
      </c>
      <c r="G1484" s="7">
        <v>1.22257393939394</v>
      </c>
      <c r="H1484" s="7">
        <v>-5.28882246753247E-4</v>
      </c>
      <c r="I1484" s="7">
        <v>-2.97867241125541</v>
      </c>
      <c r="J1484" s="7">
        <v>-2.01498705194805</v>
      </c>
      <c r="K1484" s="8"/>
      <c r="L1484" s="8"/>
    </row>
    <row r="1485" ht="13.5" customHeight="1">
      <c r="A1485" s="7" t="s">
        <v>355</v>
      </c>
      <c r="B1485" s="7">
        <v>3.5</v>
      </c>
      <c r="C1485" s="7" t="s">
        <v>361</v>
      </c>
      <c r="D1485" s="7" t="s">
        <v>357</v>
      </c>
      <c r="E1485" s="7">
        <v>-9.94089844155844</v>
      </c>
      <c r="F1485" s="7">
        <v>0.885601991341992</v>
      </c>
      <c r="G1485" s="7">
        <v>1.22483835497835</v>
      </c>
      <c r="H1485" s="7">
        <v>-5.29937350649351E-4</v>
      </c>
      <c r="I1485" s="7">
        <v>-2.98546720346321</v>
      </c>
      <c r="J1485" s="7">
        <v>-2.0195341038961</v>
      </c>
      <c r="K1485" s="8"/>
      <c r="L1485" s="8"/>
    </row>
    <row r="1486" ht="13.5" customHeight="1">
      <c r="A1486" s="7" t="s">
        <v>355</v>
      </c>
      <c r="B1486" s="7">
        <v>0.0</v>
      </c>
      <c r="C1486" s="7" t="s">
        <v>362</v>
      </c>
      <c r="D1486" s="7" t="s">
        <v>357</v>
      </c>
      <c r="E1486" s="7">
        <v>-9.95775480519481</v>
      </c>
      <c r="F1486" s="7">
        <v>0.887312510822511</v>
      </c>
      <c r="G1486" s="7">
        <v>1.22710277056277</v>
      </c>
      <c r="H1486" s="7">
        <v>-5.30992454545455E-4</v>
      </c>
      <c r="I1486" s="7">
        <v>-2.992261995671</v>
      </c>
      <c r="J1486" s="7">
        <v>-2.02408115584415</v>
      </c>
      <c r="K1486" s="8"/>
      <c r="L1486" s="8"/>
    </row>
    <row r="1487" ht="13.5" customHeight="1">
      <c r="A1487" s="7" t="s">
        <v>355</v>
      </c>
      <c r="B1487" s="7">
        <v>1.75</v>
      </c>
      <c r="C1487" s="7" t="s">
        <v>362</v>
      </c>
      <c r="D1487" s="7" t="s">
        <v>357</v>
      </c>
      <c r="E1487" s="7">
        <v>-9.97461116883117</v>
      </c>
      <c r="F1487" s="7">
        <v>0.889023030303031</v>
      </c>
      <c r="G1487" s="7">
        <v>1.22936718614718</v>
      </c>
      <c r="H1487" s="7">
        <v>-5.32047558441559E-4</v>
      </c>
      <c r="I1487" s="7">
        <v>-2.99905678787879</v>
      </c>
      <c r="J1487" s="7">
        <v>-2.0286282077922</v>
      </c>
      <c r="K1487" s="8"/>
      <c r="L1487" s="8"/>
    </row>
    <row r="1488" ht="13.5" customHeight="1">
      <c r="A1488" s="7" t="s">
        <v>355</v>
      </c>
      <c r="B1488" s="7">
        <v>3.5</v>
      </c>
      <c r="C1488" s="7" t="s">
        <v>362</v>
      </c>
      <c r="D1488" s="7" t="s">
        <v>357</v>
      </c>
      <c r="E1488" s="7">
        <v>-9.99146753246753</v>
      </c>
      <c r="F1488" s="7">
        <v>0.89073354978355</v>
      </c>
      <c r="G1488" s="7">
        <v>1.2316316017316</v>
      </c>
      <c r="H1488" s="7">
        <v>-5.33102662337663E-4</v>
      </c>
      <c r="I1488" s="7">
        <v>-3.00585158008658</v>
      </c>
      <c r="J1488" s="7">
        <v>-2.03317525974026</v>
      </c>
      <c r="K1488" s="8"/>
      <c r="L1488" s="8"/>
    </row>
    <row r="1489" ht="13.5" customHeight="1">
      <c r="A1489" s="7" t="s">
        <v>355</v>
      </c>
      <c r="B1489" s="7">
        <v>0.0</v>
      </c>
      <c r="C1489" s="7" t="s">
        <v>363</v>
      </c>
      <c r="D1489" s="7" t="s">
        <v>357</v>
      </c>
      <c r="E1489" s="7">
        <v>-10.0083238961039</v>
      </c>
      <c r="F1489" s="7">
        <v>0.89244406926407</v>
      </c>
      <c r="G1489" s="7">
        <v>1.23389601731602</v>
      </c>
      <c r="H1489" s="7">
        <v>-5.34157766233767E-4</v>
      </c>
      <c r="I1489" s="7">
        <v>-3.01264637229438</v>
      </c>
      <c r="J1489" s="7">
        <v>-2.03772231168831</v>
      </c>
      <c r="K1489" s="8"/>
      <c r="L1489" s="8"/>
    </row>
    <row r="1490" ht="13.5" customHeight="1">
      <c r="A1490" s="7" t="s">
        <v>355</v>
      </c>
      <c r="B1490" s="7">
        <v>1.75</v>
      </c>
      <c r="C1490" s="7" t="s">
        <v>363</v>
      </c>
      <c r="D1490" s="7" t="s">
        <v>357</v>
      </c>
      <c r="E1490" s="7">
        <v>-10.0251802597403</v>
      </c>
      <c r="F1490" s="7">
        <v>0.894154588744589</v>
      </c>
      <c r="G1490" s="7">
        <v>1.23616043290043</v>
      </c>
      <c r="H1490" s="7">
        <v>-5.3521287012987E-4</v>
      </c>
      <c r="I1490" s="7">
        <v>-3.01944116450217</v>
      </c>
      <c r="J1490" s="7">
        <v>-2.04226936363636</v>
      </c>
      <c r="K1490" s="8"/>
      <c r="L1490" s="8"/>
    </row>
    <row r="1491" ht="13.5" customHeight="1">
      <c r="A1491" s="7" t="s">
        <v>355</v>
      </c>
      <c r="B1491" s="7">
        <v>3.5</v>
      </c>
      <c r="C1491" s="7" t="s">
        <v>363</v>
      </c>
      <c r="D1491" s="7" t="s">
        <v>357</v>
      </c>
      <c r="E1491" s="7">
        <v>-10.0420366233766</v>
      </c>
      <c r="F1491" s="7">
        <v>0.895865108225109</v>
      </c>
      <c r="G1491" s="7">
        <v>1.23842484848485</v>
      </c>
      <c r="H1491" s="7">
        <v>-5.36267974025974E-4</v>
      </c>
      <c r="I1491" s="7">
        <v>-3.02623595670996</v>
      </c>
      <c r="J1491" s="7">
        <v>-2.04681641558441</v>
      </c>
      <c r="K1491" s="8"/>
      <c r="L1491" s="8"/>
    </row>
    <row r="1492" ht="13.5" customHeight="1">
      <c r="A1492" s="7" t="s">
        <v>355</v>
      </c>
      <c r="B1492" s="7">
        <v>0.0</v>
      </c>
      <c r="C1492" s="7" t="s">
        <v>356</v>
      </c>
      <c r="D1492" s="7" t="s">
        <v>357</v>
      </c>
      <c r="E1492" s="7">
        <v>-10.058892987013</v>
      </c>
      <c r="F1492" s="7">
        <v>0.897575627705628</v>
      </c>
      <c r="G1492" s="7">
        <v>1.24068926406926</v>
      </c>
      <c r="H1492" s="7">
        <v>-5.37323077922078E-4</v>
      </c>
      <c r="I1492" s="7">
        <v>-3.03303074891775</v>
      </c>
      <c r="J1492" s="7">
        <v>-2.05136346753246</v>
      </c>
      <c r="K1492" s="8"/>
      <c r="L1492" s="8"/>
    </row>
    <row r="1493" ht="13.5" customHeight="1">
      <c r="A1493" s="7" t="s">
        <v>355</v>
      </c>
      <c r="B1493" s="7">
        <v>1.75</v>
      </c>
      <c r="C1493" s="7" t="s">
        <v>356</v>
      </c>
      <c r="D1493" s="7" t="s">
        <v>357</v>
      </c>
      <c r="E1493" s="7">
        <v>-10.0757493506493</v>
      </c>
      <c r="F1493" s="7">
        <v>0.899286147186148</v>
      </c>
      <c r="G1493" s="7">
        <v>1.24295367965368</v>
      </c>
      <c r="H1493" s="7">
        <v>-5.38378181818182E-4</v>
      </c>
      <c r="I1493" s="7">
        <v>-3.03982554112554</v>
      </c>
      <c r="J1493" s="7">
        <v>-2.05591051948052</v>
      </c>
      <c r="K1493" s="8"/>
      <c r="L1493" s="8"/>
    </row>
    <row r="1494" ht="13.5" customHeight="1">
      <c r="A1494" s="7" t="s">
        <v>355</v>
      </c>
      <c r="B1494" s="7">
        <v>3.5</v>
      </c>
      <c r="C1494" s="7" t="s">
        <v>356</v>
      </c>
      <c r="D1494" s="7" t="s">
        <v>357</v>
      </c>
      <c r="E1494" s="7">
        <v>-10.0926057142857</v>
      </c>
      <c r="F1494" s="7">
        <v>0.900996666666667</v>
      </c>
      <c r="G1494" s="7">
        <v>1.24521809523809</v>
      </c>
      <c r="H1494" s="7">
        <v>-5.39433285714286E-4</v>
      </c>
      <c r="I1494" s="7">
        <v>-3.04662033333334</v>
      </c>
      <c r="J1494" s="7">
        <v>-2.06045757142857</v>
      </c>
      <c r="K1494" s="8"/>
      <c r="L1494" s="8"/>
    </row>
    <row r="1495" ht="13.5" customHeight="1">
      <c r="A1495" s="7" t="s">
        <v>355</v>
      </c>
      <c r="B1495" s="7">
        <v>0.0</v>
      </c>
      <c r="C1495" s="7" t="s">
        <v>358</v>
      </c>
      <c r="D1495" s="7" t="s">
        <v>357</v>
      </c>
      <c r="E1495" s="7">
        <v>-10.1094620779221</v>
      </c>
      <c r="F1495" s="7">
        <v>0.902707186147187</v>
      </c>
      <c r="G1495" s="7">
        <v>1.24748251082251</v>
      </c>
      <c r="H1495" s="7">
        <v>-5.4048838961039E-4</v>
      </c>
      <c r="I1495" s="7">
        <v>-3.05341512554113</v>
      </c>
      <c r="J1495" s="7">
        <v>-2.06500462337662</v>
      </c>
      <c r="K1495" s="8"/>
      <c r="L1495" s="8"/>
    </row>
    <row r="1496" ht="13.5" customHeight="1">
      <c r="A1496" s="7" t="s">
        <v>355</v>
      </c>
      <c r="B1496" s="7">
        <v>1.75</v>
      </c>
      <c r="C1496" s="7" t="s">
        <v>358</v>
      </c>
      <c r="D1496" s="7" t="s">
        <v>357</v>
      </c>
      <c r="E1496" s="7">
        <v>-10.1263184415584</v>
      </c>
      <c r="F1496" s="7">
        <v>0.904417705627706</v>
      </c>
      <c r="G1496" s="7">
        <v>1.24974692640693</v>
      </c>
      <c r="H1496" s="7">
        <v>-5.41543493506494E-4</v>
      </c>
      <c r="I1496" s="7">
        <v>-3.06020991774892</v>
      </c>
      <c r="J1496" s="7">
        <v>-2.06955167532467</v>
      </c>
      <c r="K1496" s="8"/>
      <c r="L1496" s="8"/>
    </row>
    <row r="1497" ht="13.5" customHeight="1">
      <c r="A1497" s="7" t="s">
        <v>355</v>
      </c>
      <c r="B1497" s="7">
        <v>3.5</v>
      </c>
      <c r="C1497" s="7" t="s">
        <v>358</v>
      </c>
      <c r="D1497" s="7" t="s">
        <v>357</v>
      </c>
      <c r="E1497" s="7">
        <v>-10.1431748051948</v>
      </c>
      <c r="F1497" s="7">
        <v>0.906128225108226</v>
      </c>
      <c r="G1497" s="7">
        <v>1.25201134199134</v>
      </c>
      <c r="H1497" s="7">
        <v>-5.42598597402598E-4</v>
      </c>
      <c r="I1497" s="7">
        <v>-3.06700470995671</v>
      </c>
      <c r="J1497" s="7">
        <v>-2.07409872727272</v>
      </c>
      <c r="K1497" s="8"/>
      <c r="L1497" s="8"/>
    </row>
    <row r="1498" ht="13.5" customHeight="1">
      <c r="A1498" s="7" t="s">
        <v>355</v>
      </c>
      <c r="B1498" s="7">
        <v>0.0</v>
      </c>
      <c r="C1498" s="7" t="s">
        <v>359</v>
      </c>
      <c r="D1498" s="7" t="s">
        <v>357</v>
      </c>
      <c r="E1498" s="7">
        <v>-10.1600311688312</v>
      </c>
      <c r="F1498" s="7">
        <v>0.907838744588745</v>
      </c>
      <c r="G1498" s="7">
        <v>1.25427575757576</v>
      </c>
      <c r="H1498" s="7">
        <v>-5.43653701298702E-4</v>
      </c>
      <c r="I1498" s="7">
        <v>-3.07379950216451</v>
      </c>
      <c r="J1498" s="7">
        <v>-2.07864577922077</v>
      </c>
      <c r="K1498" s="8"/>
      <c r="L1498" s="8"/>
    </row>
    <row r="1499" ht="13.5" customHeight="1">
      <c r="A1499" s="7" t="s">
        <v>355</v>
      </c>
      <c r="B1499" s="7">
        <v>1.75</v>
      </c>
      <c r="C1499" s="7" t="s">
        <v>359</v>
      </c>
      <c r="D1499" s="7" t="s">
        <v>357</v>
      </c>
      <c r="E1499" s="7">
        <v>-10.1768875324675</v>
      </c>
      <c r="F1499" s="7">
        <v>0.909549264069265</v>
      </c>
      <c r="G1499" s="7">
        <v>1.25654017316017</v>
      </c>
      <c r="H1499" s="7">
        <v>-5.44708805194806E-4</v>
      </c>
      <c r="I1499" s="7">
        <v>-3.0805942943723</v>
      </c>
      <c r="J1499" s="7">
        <v>-2.08319283116883</v>
      </c>
      <c r="K1499" s="8"/>
      <c r="L1499" s="8"/>
    </row>
    <row r="1500" ht="13.5" customHeight="1">
      <c r="A1500" s="7" t="s">
        <v>355</v>
      </c>
      <c r="B1500" s="7">
        <v>3.5</v>
      </c>
      <c r="C1500" s="7" t="s">
        <v>359</v>
      </c>
      <c r="D1500" s="7" t="s">
        <v>357</v>
      </c>
      <c r="E1500" s="7">
        <v>-10.1937438961039</v>
      </c>
      <c r="F1500" s="7">
        <v>0.911259783549784</v>
      </c>
      <c r="G1500" s="7">
        <v>1.25880458874459</v>
      </c>
      <c r="H1500" s="7">
        <v>-5.45763909090909E-4</v>
      </c>
      <c r="I1500" s="7">
        <v>-3.08738908658009</v>
      </c>
      <c r="J1500" s="7">
        <v>-2.08773988311688</v>
      </c>
      <c r="K1500" s="8"/>
      <c r="L1500" s="8"/>
    </row>
    <row r="1501" ht="13.5" customHeight="1">
      <c r="A1501" s="7" t="s">
        <v>355</v>
      </c>
      <c r="B1501" s="7">
        <v>0.0</v>
      </c>
      <c r="C1501" s="7" t="s">
        <v>360</v>
      </c>
      <c r="D1501" s="7" t="s">
        <v>357</v>
      </c>
      <c r="E1501" s="7">
        <v>-10.2106002597403</v>
      </c>
      <c r="F1501" s="7">
        <v>0.912970303030304</v>
      </c>
      <c r="G1501" s="7">
        <v>1.261069004329</v>
      </c>
      <c r="H1501" s="7">
        <v>-5.46819012987013E-4</v>
      </c>
      <c r="I1501" s="7">
        <v>-3.09418387878788</v>
      </c>
      <c r="J1501" s="7">
        <v>-2.09228693506493</v>
      </c>
      <c r="K1501" s="8"/>
      <c r="L1501" s="8"/>
    </row>
    <row r="1502" ht="13.5" customHeight="1">
      <c r="A1502" s="7" t="s">
        <v>355</v>
      </c>
      <c r="B1502" s="7">
        <v>1.75</v>
      </c>
      <c r="C1502" s="7" t="s">
        <v>360</v>
      </c>
      <c r="D1502" s="7" t="s">
        <v>357</v>
      </c>
      <c r="E1502" s="7">
        <v>-10.2274566233766</v>
      </c>
      <c r="F1502" s="7">
        <v>0.914680822510823</v>
      </c>
      <c r="G1502" s="7">
        <v>1.26333341991342</v>
      </c>
      <c r="H1502" s="7">
        <v>-5.47874116883117E-4</v>
      </c>
      <c r="I1502" s="7">
        <v>-3.10097867099567</v>
      </c>
      <c r="J1502" s="7">
        <v>-2.09683398701298</v>
      </c>
      <c r="K1502" s="8"/>
      <c r="L1502" s="8"/>
    </row>
    <row r="1503" ht="13.5" customHeight="1">
      <c r="A1503" s="7" t="s">
        <v>355</v>
      </c>
      <c r="B1503" s="7">
        <v>3.5</v>
      </c>
      <c r="C1503" s="7" t="s">
        <v>360</v>
      </c>
      <c r="D1503" s="7" t="s">
        <v>357</v>
      </c>
      <c r="E1503" s="7">
        <v>-10.244312987013</v>
      </c>
      <c r="F1503" s="7">
        <v>0.916391341991343</v>
      </c>
      <c r="G1503" s="7">
        <v>1.26559783549783</v>
      </c>
      <c r="H1503" s="7">
        <v>-5.48929220779221E-4</v>
      </c>
      <c r="I1503" s="7">
        <v>-3.10777346320347</v>
      </c>
      <c r="J1503" s="7">
        <v>-2.10138103896103</v>
      </c>
      <c r="K1503" s="8"/>
      <c r="L1503" s="8"/>
    </row>
    <row r="1504" ht="13.5" customHeight="1">
      <c r="A1504" s="7" t="s">
        <v>355</v>
      </c>
      <c r="B1504" s="7">
        <v>0.0</v>
      </c>
      <c r="C1504" s="7" t="s">
        <v>361</v>
      </c>
      <c r="D1504" s="7" t="s">
        <v>357</v>
      </c>
      <c r="E1504" s="7">
        <v>-10.2611693506493</v>
      </c>
      <c r="F1504" s="7">
        <v>0.918101861471862</v>
      </c>
      <c r="G1504" s="7">
        <v>1.26786225108225</v>
      </c>
      <c r="H1504" s="7">
        <v>-5.49984324675325E-4</v>
      </c>
      <c r="I1504" s="7">
        <v>-3.11456825541126</v>
      </c>
      <c r="J1504" s="7">
        <v>-2.10592809090909</v>
      </c>
      <c r="K1504" s="8"/>
      <c r="L1504" s="8"/>
    </row>
    <row r="1505" ht="13.5" customHeight="1">
      <c r="A1505" s="7" t="s">
        <v>355</v>
      </c>
      <c r="B1505" s="7">
        <v>1.75</v>
      </c>
      <c r="C1505" s="7" t="s">
        <v>361</v>
      </c>
      <c r="D1505" s="7" t="s">
        <v>357</v>
      </c>
      <c r="E1505" s="7">
        <v>-10.2780257142857</v>
      </c>
      <c r="F1505" s="7">
        <v>0.919812380952382</v>
      </c>
      <c r="G1505" s="7">
        <v>1.27012666666667</v>
      </c>
      <c r="H1505" s="7">
        <v>-5.51039428571429E-4</v>
      </c>
      <c r="I1505" s="7">
        <v>-3.12136304761905</v>
      </c>
      <c r="J1505" s="7">
        <v>-2.11047514285714</v>
      </c>
      <c r="K1505" s="8"/>
      <c r="L1505" s="8"/>
    </row>
    <row r="1506" ht="13.5" customHeight="1">
      <c r="A1506" s="7" t="s">
        <v>355</v>
      </c>
      <c r="B1506" s="7">
        <v>3.5</v>
      </c>
      <c r="C1506" s="7" t="s">
        <v>361</v>
      </c>
      <c r="D1506" s="7" t="s">
        <v>357</v>
      </c>
      <c r="E1506" s="7">
        <v>-10.2948820779221</v>
      </c>
      <c r="F1506" s="7">
        <v>0.921522900432901</v>
      </c>
      <c r="G1506" s="7">
        <v>1.27239108225108</v>
      </c>
      <c r="H1506" s="7">
        <v>-5.52094532467533E-4</v>
      </c>
      <c r="I1506" s="7">
        <v>-3.12815783982684</v>
      </c>
      <c r="J1506" s="7">
        <v>-2.11502219480519</v>
      </c>
      <c r="K1506" s="8"/>
      <c r="L1506" s="8"/>
    </row>
    <row r="1507" ht="13.5" customHeight="1">
      <c r="A1507" s="7" t="s">
        <v>355</v>
      </c>
      <c r="B1507" s="7">
        <v>0.0</v>
      </c>
      <c r="C1507" s="7" t="s">
        <v>362</v>
      </c>
      <c r="D1507" s="7" t="s">
        <v>357</v>
      </c>
      <c r="E1507" s="7">
        <v>-10.3117384415584</v>
      </c>
      <c r="F1507" s="7">
        <v>0.923233419913421</v>
      </c>
      <c r="G1507" s="7">
        <v>1.2746554978355</v>
      </c>
      <c r="H1507" s="7">
        <v>-5.53149636363637E-4</v>
      </c>
      <c r="I1507" s="7">
        <v>-3.13495263203464</v>
      </c>
      <c r="J1507" s="7">
        <v>-2.11956924675324</v>
      </c>
      <c r="K1507" s="8"/>
      <c r="L1507" s="8"/>
    </row>
    <row r="1508" ht="13.5" customHeight="1">
      <c r="A1508" s="7" t="s">
        <v>355</v>
      </c>
      <c r="B1508" s="7">
        <v>1.75</v>
      </c>
      <c r="C1508" s="7" t="s">
        <v>362</v>
      </c>
      <c r="D1508" s="7" t="s">
        <v>357</v>
      </c>
      <c r="E1508" s="7">
        <v>-10.3285948051948</v>
      </c>
      <c r="F1508" s="7">
        <v>0.92494393939394</v>
      </c>
      <c r="G1508" s="7">
        <v>1.27691991341991</v>
      </c>
      <c r="H1508" s="7">
        <v>-5.54204740259741E-4</v>
      </c>
      <c r="I1508" s="7">
        <v>-3.14174742424243</v>
      </c>
      <c r="J1508" s="7">
        <v>-2.12411629870129</v>
      </c>
      <c r="K1508" s="8"/>
      <c r="L1508" s="8"/>
    </row>
    <row r="1509" ht="13.5" customHeight="1">
      <c r="A1509" s="7" t="s">
        <v>355</v>
      </c>
      <c r="B1509" s="7">
        <v>3.5</v>
      </c>
      <c r="C1509" s="7" t="s">
        <v>362</v>
      </c>
      <c r="D1509" s="7" t="s">
        <v>357</v>
      </c>
      <c r="E1509" s="7">
        <v>-10.3454511688312</v>
      </c>
      <c r="F1509" s="7">
        <v>0.92665445887446</v>
      </c>
      <c r="G1509" s="7">
        <v>1.27918432900433</v>
      </c>
      <c r="H1509" s="7">
        <v>-5.55259844155845E-4</v>
      </c>
      <c r="I1509" s="7">
        <v>-3.14854221645022</v>
      </c>
      <c r="J1509" s="7">
        <v>-2.12866335064935</v>
      </c>
      <c r="K1509" s="8"/>
      <c r="L1509" s="8"/>
    </row>
    <row r="1510" ht="13.5" customHeight="1">
      <c r="A1510" s="7" t="s">
        <v>355</v>
      </c>
      <c r="B1510" s="7">
        <v>0.0</v>
      </c>
      <c r="C1510" s="7" t="s">
        <v>363</v>
      </c>
      <c r="D1510" s="7" t="s">
        <v>357</v>
      </c>
      <c r="E1510" s="7">
        <v>-10.3623075324675</v>
      </c>
      <c r="F1510" s="7">
        <v>0.928364978354979</v>
      </c>
      <c r="G1510" s="7">
        <v>1.28144874458874</v>
      </c>
      <c r="H1510" s="7">
        <v>-5.56314948051948E-4</v>
      </c>
      <c r="I1510" s="7">
        <v>-3.15533700865801</v>
      </c>
      <c r="J1510" s="7">
        <v>-2.1332104025974</v>
      </c>
      <c r="K1510" s="8"/>
      <c r="L1510" s="8"/>
    </row>
    <row r="1511" ht="13.5" customHeight="1">
      <c r="A1511" s="7" t="s">
        <v>355</v>
      </c>
      <c r="B1511" s="7">
        <v>1.75</v>
      </c>
      <c r="C1511" s="7" t="s">
        <v>363</v>
      </c>
      <c r="D1511" s="7" t="s">
        <v>357</v>
      </c>
      <c r="E1511" s="7">
        <v>-10.3791638961039</v>
      </c>
      <c r="F1511" s="7">
        <v>0.930075497835499</v>
      </c>
      <c r="G1511" s="7">
        <v>1.28371316017316</v>
      </c>
      <c r="H1511" s="7">
        <v>-5.57370051948052E-4</v>
      </c>
      <c r="I1511" s="7">
        <v>-3.1621318008658</v>
      </c>
      <c r="J1511" s="7">
        <v>-2.13775745454545</v>
      </c>
      <c r="K1511" s="8"/>
      <c r="L1511" s="8"/>
    </row>
    <row r="1512" ht="13.5" customHeight="1">
      <c r="A1512" s="7" t="s">
        <v>355</v>
      </c>
      <c r="B1512" s="7">
        <v>3.5</v>
      </c>
      <c r="C1512" s="7" t="s">
        <v>363</v>
      </c>
      <c r="D1512" s="7" t="s">
        <v>357</v>
      </c>
      <c r="E1512" s="7">
        <v>-10.3960202597403</v>
      </c>
      <c r="F1512" s="7">
        <v>0.931786017316018</v>
      </c>
      <c r="G1512" s="7">
        <v>1.28597757575757</v>
      </c>
      <c r="H1512" s="7">
        <v>-5.58425155844156E-4</v>
      </c>
      <c r="I1512" s="7">
        <v>-3.1689265930736</v>
      </c>
      <c r="J1512" s="7">
        <v>-2.1423045064935</v>
      </c>
      <c r="K1512" s="8"/>
      <c r="L1512" s="8"/>
    </row>
    <row r="1513" ht="13.5" customHeight="1">
      <c r="A1513" s="7" t="s">
        <v>355</v>
      </c>
      <c r="B1513" s="7">
        <v>0.0</v>
      </c>
      <c r="C1513" s="7" t="s">
        <v>356</v>
      </c>
      <c r="D1513" s="7" t="s">
        <v>357</v>
      </c>
      <c r="E1513" s="7">
        <v>-10.4128766233766</v>
      </c>
      <c r="F1513" s="7">
        <v>0.933496536796537</v>
      </c>
      <c r="G1513" s="7">
        <v>1.28824199134199</v>
      </c>
      <c r="H1513" s="7">
        <v>-5.5948025974026E-4</v>
      </c>
      <c r="I1513" s="7">
        <v>-3.17572138528139</v>
      </c>
      <c r="J1513" s="7">
        <v>-2.14685155844155</v>
      </c>
      <c r="K1513" s="8"/>
      <c r="L1513" s="8"/>
    </row>
    <row r="1514" ht="13.5" customHeight="1">
      <c r="A1514" s="7" t="s">
        <v>355</v>
      </c>
      <c r="B1514" s="7">
        <v>1.75</v>
      </c>
      <c r="C1514" s="7" t="s">
        <v>356</v>
      </c>
      <c r="D1514" s="7" t="s">
        <v>357</v>
      </c>
      <c r="E1514" s="7">
        <v>-10.429732987013</v>
      </c>
      <c r="F1514" s="7">
        <v>0.935207056277057</v>
      </c>
      <c r="G1514" s="7">
        <v>1.29050640692641</v>
      </c>
      <c r="H1514" s="7">
        <v>-5.60535363636364E-4</v>
      </c>
      <c r="I1514" s="7">
        <v>-3.18251617748918</v>
      </c>
      <c r="J1514" s="7">
        <v>-2.15139861038961</v>
      </c>
      <c r="K1514" s="8"/>
      <c r="L1514" s="8"/>
    </row>
    <row r="1515" ht="13.5" customHeight="1">
      <c r="A1515" s="7" t="s">
        <v>355</v>
      </c>
      <c r="B1515" s="7">
        <v>3.5</v>
      </c>
      <c r="C1515" s="7" t="s">
        <v>356</v>
      </c>
      <c r="D1515" s="7" t="s">
        <v>357</v>
      </c>
      <c r="E1515" s="7">
        <v>-10.4465893506493</v>
      </c>
      <c r="F1515" s="7">
        <v>0.936917575757576</v>
      </c>
      <c r="G1515" s="7">
        <v>1.29277082251082</v>
      </c>
      <c r="H1515" s="7">
        <v>-5.61590467532468E-4</v>
      </c>
      <c r="I1515" s="7">
        <v>-3.18931096969697</v>
      </c>
      <c r="J1515" s="7">
        <v>-2.15594566233766</v>
      </c>
      <c r="K1515" s="8"/>
      <c r="L1515" s="8"/>
    </row>
    <row r="1516" ht="13.5" customHeight="1">
      <c r="A1516" s="7" t="s">
        <v>355</v>
      </c>
      <c r="B1516" s="7">
        <v>0.0</v>
      </c>
      <c r="C1516" s="7" t="s">
        <v>358</v>
      </c>
      <c r="D1516" s="7" t="s">
        <v>357</v>
      </c>
      <c r="E1516" s="7">
        <v>-10.4634457142857</v>
      </c>
      <c r="F1516" s="7">
        <v>0.938628095238096</v>
      </c>
      <c r="G1516" s="7">
        <v>1.29503523809524</v>
      </c>
      <c r="H1516" s="7">
        <v>-5.62645571428572E-4</v>
      </c>
      <c r="I1516" s="7">
        <v>-3.19610576190477</v>
      </c>
      <c r="J1516" s="7">
        <v>-2.16049271428571</v>
      </c>
      <c r="K1516" s="8"/>
      <c r="L1516" s="8"/>
    </row>
    <row r="1517" ht="13.5" customHeight="1">
      <c r="A1517" s="7" t="s">
        <v>355</v>
      </c>
      <c r="B1517" s="7">
        <v>1.75</v>
      </c>
      <c r="C1517" s="7" t="s">
        <v>358</v>
      </c>
      <c r="D1517" s="7" t="s">
        <v>357</v>
      </c>
      <c r="E1517" s="7">
        <v>-10.4803020779221</v>
      </c>
      <c r="F1517" s="7">
        <v>0.940338614718615</v>
      </c>
      <c r="G1517" s="7">
        <v>1.29729965367965</v>
      </c>
      <c r="H1517" s="7">
        <v>-5.63700675324676E-4</v>
      </c>
      <c r="I1517" s="7">
        <v>-3.20290055411256</v>
      </c>
      <c r="J1517" s="7">
        <v>-2.16503976623376</v>
      </c>
      <c r="K1517" s="8"/>
      <c r="L1517" s="8"/>
    </row>
    <row r="1518" ht="13.5" customHeight="1">
      <c r="A1518" s="7" t="s">
        <v>355</v>
      </c>
      <c r="B1518" s="7">
        <v>3.5</v>
      </c>
      <c r="C1518" s="7" t="s">
        <v>358</v>
      </c>
      <c r="D1518" s="7" t="s">
        <v>357</v>
      </c>
      <c r="E1518" s="7">
        <v>-10.4971584415584</v>
      </c>
      <c r="F1518" s="7">
        <v>0.942049134199135</v>
      </c>
      <c r="G1518" s="7">
        <v>1.29956406926407</v>
      </c>
      <c r="H1518" s="7">
        <v>-5.6475577922078E-4</v>
      </c>
      <c r="I1518" s="7">
        <v>-3.20969534632035</v>
      </c>
      <c r="J1518" s="7">
        <v>-2.16958681818181</v>
      </c>
      <c r="K1518" s="8"/>
      <c r="L1518" s="8"/>
    </row>
    <row r="1519" ht="13.5" customHeight="1">
      <c r="A1519" s="7" t="s">
        <v>355</v>
      </c>
      <c r="B1519" s="7">
        <v>0.0</v>
      </c>
      <c r="C1519" s="7" t="s">
        <v>359</v>
      </c>
      <c r="D1519" s="7" t="s">
        <v>357</v>
      </c>
      <c r="E1519" s="7">
        <v>-10.5140148051948</v>
      </c>
      <c r="F1519" s="7">
        <v>0.943759653679654</v>
      </c>
      <c r="G1519" s="7">
        <v>1.30182848484848</v>
      </c>
      <c r="H1519" s="7">
        <v>-5.65810883116883E-4</v>
      </c>
      <c r="I1519" s="7">
        <v>-3.21649013852814</v>
      </c>
      <c r="J1519" s="7">
        <v>-2.17413387012987</v>
      </c>
      <c r="K1519" s="8"/>
      <c r="L1519" s="8"/>
    </row>
    <row r="1520" ht="13.5" customHeight="1">
      <c r="A1520" s="7" t="s">
        <v>355</v>
      </c>
      <c r="B1520" s="7">
        <v>1.75</v>
      </c>
      <c r="C1520" s="7" t="s">
        <v>359</v>
      </c>
      <c r="D1520" s="7" t="s">
        <v>357</v>
      </c>
      <c r="E1520" s="7">
        <v>-10.5308711688312</v>
      </c>
      <c r="F1520" s="7">
        <v>0.945470173160174</v>
      </c>
      <c r="G1520" s="7">
        <v>1.3040929004329</v>
      </c>
      <c r="H1520" s="7">
        <v>-5.66865987012987E-4</v>
      </c>
      <c r="I1520" s="7">
        <v>-3.22328493073593</v>
      </c>
      <c r="J1520" s="7">
        <v>-2.17868092207792</v>
      </c>
      <c r="K1520" s="8"/>
      <c r="L1520" s="8"/>
    </row>
    <row r="1521" ht="13.5" customHeight="1">
      <c r="A1521" s="7" t="s">
        <v>355</v>
      </c>
      <c r="B1521" s="7">
        <v>3.5</v>
      </c>
      <c r="C1521" s="7" t="s">
        <v>359</v>
      </c>
      <c r="D1521" s="7" t="s">
        <v>357</v>
      </c>
      <c r="E1521" s="7">
        <v>-10.5477275324675</v>
      </c>
      <c r="F1521" s="7">
        <v>0.947180692640693</v>
      </c>
      <c r="G1521" s="7">
        <v>1.30635731601731</v>
      </c>
      <c r="H1521" s="7">
        <v>-5.67921090909091E-4</v>
      </c>
      <c r="I1521" s="7">
        <v>-3.23007972294373</v>
      </c>
      <c r="J1521" s="7">
        <v>-2.18322797402597</v>
      </c>
      <c r="K1521" s="8"/>
      <c r="L1521" s="8"/>
    </row>
    <row r="1522" ht="13.5" customHeight="1">
      <c r="A1522" s="7" t="s">
        <v>355</v>
      </c>
      <c r="B1522" s="7">
        <v>0.0</v>
      </c>
      <c r="C1522" s="7" t="s">
        <v>360</v>
      </c>
      <c r="D1522" s="7" t="s">
        <v>357</v>
      </c>
      <c r="E1522" s="7">
        <v>-10.5645838961039</v>
      </c>
      <c r="F1522" s="7">
        <v>0.948891212121213</v>
      </c>
      <c r="G1522" s="7">
        <v>1.30862173160173</v>
      </c>
      <c r="H1522" s="7">
        <v>-5.68976194805195E-4</v>
      </c>
      <c r="I1522" s="7">
        <v>-3.23687451515152</v>
      </c>
      <c r="J1522" s="7">
        <v>-2.18777502597402</v>
      </c>
      <c r="K1522" s="8"/>
      <c r="L1522" s="8"/>
    </row>
    <row r="1523" ht="13.5" customHeight="1">
      <c r="A1523" s="7" t="s">
        <v>355</v>
      </c>
      <c r="B1523" s="7">
        <v>1.75</v>
      </c>
      <c r="C1523" s="7" t="s">
        <v>360</v>
      </c>
      <c r="D1523" s="7" t="s">
        <v>357</v>
      </c>
      <c r="E1523" s="7">
        <v>-10.5814402597403</v>
      </c>
      <c r="F1523" s="7">
        <v>0.950601731601732</v>
      </c>
      <c r="G1523" s="7">
        <v>1.31088614718615</v>
      </c>
      <c r="H1523" s="7">
        <v>-5.70031298701299E-4</v>
      </c>
      <c r="I1523" s="7">
        <v>-3.24366930735931</v>
      </c>
      <c r="J1523" s="7">
        <v>-2.19232207792207</v>
      </c>
      <c r="K1523" s="8"/>
      <c r="L1523" s="8"/>
    </row>
    <row r="1524" ht="13.5" customHeight="1">
      <c r="A1524" s="7" t="s">
        <v>355</v>
      </c>
      <c r="B1524" s="7">
        <v>3.5</v>
      </c>
      <c r="C1524" s="7" t="s">
        <v>360</v>
      </c>
      <c r="D1524" s="7" t="s">
        <v>357</v>
      </c>
      <c r="E1524" s="7">
        <v>-10.5982966233766</v>
      </c>
      <c r="F1524" s="7">
        <v>0.952312251082252</v>
      </c>
      <c r="G1524" s="7">
        <v>1.31315056277056</v>
      </c>
      <c r="H1524" s="7">
        <v>-5.71086402597403E-4</v>
      </c>
      <c r="I1524" s="7">
        <v>-3.2504640995671</v>
      </c>
      <c r="J1524" s="7">
        <v>-2.19686912987013</v>
      </c>
      <c r="K1524" s="8"/>
      <c r="L1524" s="8"/>
    </row>
    <row r="1525" ht="13.5" customHeight="1">
      <c r="A1525" s="7" t="s">
        <v>355</v>
      </c>
      <c r="B1525" s="7">
        <v>0.0</v>
      </c>
      <c r="C1525" s="7" t="s">
        <v>361</v>
      </c>
      <c r="D1525" s="7" t="s">
        <v>357</v>
      </c>
      <c r="E1525" s="7">
        <v>-10.615152987013</v>
      </c>
      <c r="F1525" s="7">
        <v>0.954022770562771</v>
      </c>
      <c r="G1525" s="7">
        <v>1.31541497835498</v>
      </c>
      <c r="H1525" s="7">
        <v>-5.72141506493507E-4</v>
      </c>
      <c r="I1525" s="7">
        <v>-3.2572588917749</v>
      </c>
      <c r="J1525" s="7">
        <v>-2.20141618181818</v>
      </c>
      <c r="K1525" s="8"/>
      <c r="L1525" s="8"/>
    </row>
    <row r="1526" ht="13.5" customHeight="1">
      <c r="A1526" s="7" t="s">
        <v>355</v>
      </c>
      <c r="B1526" s="7">
        <v>1.75</v>
      </c>
      <c r="C1526" s="7" t="s">
        <v>361</v>
      </c>
      <c r="D1526" s="7" t="s">
        <v>357</v>
      </c>
      <c r="E1526" s="7">
        <v>-10.6320093506493</v>
      </c>
      <c r="F1526" s="7">
        <v>0.955733290043291</v>
      </c>
      <c r="G1526" s="7">
        <v>1.31767939393939</v>
      </c>
      <c r="H1526" s="7">
        <v>-5.73196610389611E-4</v>
      </c>
      <c r="I1526" s="7">
        <v>-3.26405368398269</v>
      </c>
      <c r="J1526" s="7">
        <v>-2.20596323376623</v>
      </c>
      <c r="K1526" s="8"/>
      <c r="L1526" s="8"/>
    </row>
    <row r="1527" ht="13.5" customHeight="1">
      <c r="A1527" s="7" t="s">
        <v>355</v>
      </c>
      <c r="B1527" s="7">
        <v>3.5</v>
      </c>
      <c r="C1527" s="7" t="s">
        <v>361</v>
      </c>
      <c r="D1527" s="7" t="s">
        <v>357</v>
      </c>
      <c r="E1527" s="7">
        <v>-10.6488657142857</v>
      </c>
      <c r="F1527" s="7">
        <v>0.95744380952381</v>
      </c>
      <c r="G1527" s="7">
        <v>1.31994380952381</v>
      </c>
      <c r="H1527" s="7">
        <v>-5.74251714285715E-4</v>
      </c>
      <c r="I1527" s="7">
        <v>-3.27084847619048</v>
      </c>
      <c r="J1527" s="7">
        <v>-2.21051028571428</v>
      </c>
      <c r="K1527" s="8"/>
      <c r="L1527" s="8"/>
    </row>
    <row r="1528" ht="13.5" customHeight="1">
      <c r="A1528" s="7" t="s">
        <v>355</v>
      </c>
      <c r="B1528" s="7">
        <v>0.0</v>
      </c>
      <c r="C1528" s="7" t="s">
        <v>362</v>
      </c>
      <c r="D1528" s="7" t="s">
        <v>357</v>
      </c>
      <c r="E1528" s="7">
        <v>-10.6657220779221</v>
      </c>
      <c r="F1528" s="7">
        <v>0.95915432900433</v>
      </c>
      <c r="G1528" s="7">
        <v>1.32220822510822</v>
      </c>
      <c r="H1528" s="7">
        <v>-5.75306818181819E-4</v>
      </c>
      <c r="I1528" s="7">
        <v>-3.27764326839827</v>
      </c>
      <c r="J1528" s="7">
        <v>-2.21505733766233</v>
      </c>
      <c r="K1528" s="8"/>
      <c r="L1528" s="8"/>
    </row>
    <row r="1529" ht="13.5" customHeight="1">
      <c r="A1529" s="7" t="s">
        <v>355</v>
      </c>
      <c r="B1529" s="7">
        <v>1.75</v>
      </c>
      <c r="C1529" s="7" t="s">
        <v>362</v>
      </c>
      <c r="D1529" s="7" t="s">
        <v>357</v>
      </c>
      <c r="E1529" s="7">
        <v>-10.6825784415584</v>
      </c>
      <c r="F1529" s="7">
        <v>0.960864848484849</v>
      </c>
      <c r="G1529" s="7">
        <v>1.32447264069264</v>
      </c>
      <c r="H1529" s="7">
        <v>-5.76361922077922E-4</v>
      </c>
      <c r="I1529" s="7">
        <v>-3.28443806060606</v>
      </c>
      <c r="J1529" s="7">
        <v>-2.21960438961039</v>
      </c>
      <c r="K1529" s="8"/>
      <c r="L1529" s="8"/>
    </row>
    <row r="1530" ht="13.5" customHeight="1">
      <c r="A1530" s="7" t="s">
        <v>355</v>
      </c>
      <c r="B1530" s="7">
        <v>3.5</v>
      </c>
      <c r="C1530" s="7" t="s">
        <v>362</v>
      </c>
      <c r="D1530" s="7" t="s">
        <v>357</v>
      </c>
      <c r="E1530" s="7">
        <v>-10.6994348051948</v>
      </c>
      <c r="F1530" s="7">
        <v>0.962575367965369</v>
      </c>
      <c r="G1530" s="7">
        <v>1.32673705627706</v>
      </c>
      <c r="H1530" s="7">
        <v>-5.77417025974026E-4</v>
      </c>
      <c r="I1530" s="7">
        <v>-3.29123285281386</v>
      </c>
      <c r="J1530" s="7">
        <v>-2.22415144155844</v>
      </c>
      <c r="K1530" s="8"/>
      <c r="L1530" s="8"/>
    </row>
    <row r="1531" ht="13.5" customHeight="1">
      <c r="A1531" s="7" t="s">
        <v>355</v>
      </c>
      <c r="B1531" s="7">
        <v>0.0</v>
      </c>
      <c r="C1531" s="7" t="s">
        <v>363</v>
      </c>
      <c r="D1531" s="7" t="s">
        <v>357</v>
      </c>
      <c r="E1531" s="7">
        <v>-10.7162911688312</v>
      </c>
      <c r="F1531" s="7">
        <v>0.964285887445888</v>
      </c>
      <c r="G1531" s="7">
        <v>1.32900147186147</v>
      </c>
      <c r="H1531" s="7">
        <v>-5.7847212987013E-4</v>
      </c>
      <c r="I1531" s="7">
        <v>-3.29802764502165</v>
      </c>
      <c r="J1531" s="7">
        <v>-2.22869849350649</v>
      </c>
      <c r="K1531" s="8"/>
      <c r="L1531" s="8"/>
    </row>
    <row r="1532" ht="13.5" customHeight="1">
      <c r="A1532" s="7" t="s">
        <v>355</v>
      </c>
      <c r="B1532" s="7">
        <v>1.75</v>
      </c>
      <c r="C1532" s="7" t="s">
        <v>363</v>
      </c>
      <c r="D1532" s="7" t="s">
        <v>357</v>
      </c>
      <c r="E1532" s="7">
        <v>-10.7331475324675</v>
      </c>
      <c r="F1532" s="7">
        <v>0.965996406926408</v>
      </c>
      <c r="G1532" s="7">
        <v>1.33126588744589</v>
      </c>
      <c r="H1532" s="7">
        <v>-5.79527233766234E-4</v>
      </c>
      <c r="I1532" s="7">
        <v>-3.30482243722944</v>
      </c>
      <c r="J1532" s="7">
        <v>-2.23324554545454</v>
      </c>
      <c r="K1532" s="8"/>
      <c r="L1532" s="8"/>
    </row>
    <row r="1533" ht="13.5" customHeight="1">
      <c r="A1533" s="7" t="s">
        <v>355</v>
      </c>
      <c r="B1533" s="7">
        <v>3.5</v>
      </c>
      <c r="C1533" s="7" t="s">
        <v>363</v>
      </c>
      <c r="D1533" s="7" t="s">
        <v>357</v>
      </c>
      <c r="E1533" s="7">
        <v>-10.7500038961039</v>
      </c>
      <c r="F1533" s="7">
        <v>0.967706926406927</v>
      </c>
      <c r="G1533" s="7">
        <v>1.3335303030303</v>
      </c>
      <c r="H1533" s="7">
        <v>-5.80582337662338E-4</v>
      </c>
      <c r="I1533" s="7">
        <v>-3.31161722943723</v>
      </c>
      <c r="J1533" s="7">
        <v>-2.23779259740259</v>
      </c>
      <c r="K1533" s="8"/>
      <c r="L1533" s="8"/>
    </row>
    <row r="1534" ht="13.5" customHeight="1">
      <c r="A1534" s="7" t="s">
        <v>355</v>
      </c>
      <c r="B1534" s="7">
        <v>0.0</v>
      </c>
      <c r="C1534" s="7" t="s">
        <v>356</v>
      </c>
      <c r="D1534" s="7" t="s">
        <v>357</v>
      </c>
      <c r="E1534" s="7">
        <v>-10.7668602597403</v>
      </c>
      <c r="F1534" s="7">
        <v>0.969417445887447</v>
      </c>
      <c r="G1534" s="7">
        <v>1.33579471861472</v>
      </c>
      <c r="H1534" s="7">
        <v>-5.81637441558442E-4</v>
      </c>
      <c r="I1534" s="7">
        <v>-3.31841202164502</v>
      </c>
      <c r="J1534" s="7">
        <v>-2.24233964935064</v>
      </c>
      <c r="K1534" s="8"/>
      <c r="L1534" s="8"/>
    </row>
    <row r="1535" ht="13.5" customHeight="1">
      <c r="A1535" s="7" t="s">
        <v>355</v>
      </c>
      <c r="B1535" s="7">
        <v>1.75</v>
      </c>
      <c r="C1535" s="7" t="s">
        <v>356</v>
      </c>
      <c r="D1535" s="7" t="s">
        <v>357</v>
      </c>
      <c r="E1535" s="7">
        <v>-10.7837166233766</v>
      </c>
      <c r="F1535" s="7">
        <v>0.971127965367966</v>
      </c>
      <c r="G1535" s="7">
        <v>1.33805913419913</v>
      </c>
      <c r="H1535" s="7">
        <v>-5.82692545454546E-4</v>
      </c>
      <c r="I1535" s="7">
        <v>-3.32520681385282</v>
      </c>
      <c r="J1535" s="7">
        <v>-2.2468867012987</v>
      </c>
      <c r="K1535" s="8"/>
      <c r="L1535" s="8"/>
    </row>
    <row r="1536" ht="13.5" customHeight="1">
      <c r="A1536" s="7" t="s">
        <v>355</v>
      </c>
      <c r="B1536" s="7">
        <v>3.5</v>
      </c>
      <c r="C1536" s="7" t="s">
        <v>356</v>
      </c>
      <c r="D1536" s="7" t="s">
        <v>357</v>
      </c>
      <c r="E1536" s="7">
        <v>-10.800572987013</v>
      </c>
      <c r="F1536" s="7">
        <v>0.972838484848486</v>
      </c>
      <c r="G1536" s="7">
        <v>1.34032354978355</v>
      </c>
      <c r="H1536" s="7">
        <v>-5.8374764935065E-4</v>
      </c>
      <c r="I1536" s="7">
        <v>-3.33200160606061</v>
      </c>
      <c r="J1536" s="7">
        <v>-2.25143375324675</v>
      </c>
      <c r="K1536" s="8"/>
      <c r="L1536" s="8"/>
    </row>
    <row r="1537" ht="13.5" customHeight="1">
      <c r="A1537" s="7" t="s">
        <v>355</v>
      </c>
      <c r="B1537" s="7">
        <v>0.0</v>
      </c>
      <c r="C1537" s="7" t="s">
        <v>358</v>
      </c>
      <c r="D1537" s="7" t="s">
        <v>357</v>
      </c>
      <c r="E1537" s="7">
        <v>-10.8174293506493</v>
      </c>
      <c r="F1537" s="7">
        <v>0.974549004329005</v>
      </c>
      <c r="G1537" s="7">
        <v>1.34258796536796</v>
      </c>
      <c r="H1537" s="7">
        <v>-5.84802753246754E-4</v>
      </c>
      <c r="I1537" s="7">
        <v>-3.3387963982684</v>
      </c>
      <c r="J1537" s="7">
        <v>-2.2559808051948</v>
      </c>
      <c r="K1537" s="8"/>
      <c r="L1537" s="8"/>
    </row>
    <row r="1538" ht="13.5" customHeight="1">
      <c r="A1538" s="7" t="s">
        <v>355</v>
      </c>
      <c r="B1538" s="7">
        <v>1.75</v>
      </c>
      <c r="C1538" s="7" t="s">
        <v>358</v>
      </c>
      <c r="D1538" s="7" t="s">
        <v>357</v>
      </c>
      <c r="E1538" s="7">
        <v>-10.8342857142857</v>
      </c>
      <c r="F1538" s="7">
        <v>0.976259523809525</v>
      </c>
      <c r="G1538" s="7">
        <v>1.34485238095238</v>
      </c>
      <c r="H1538" s="7">
        <v>-5.85857857142858E-4</v>
      </c>
      <c r="I1538" s="7">
        <v>-3.34559119047619</v>
      </c>
      <c r="J1538" s="7">
        <v>-2.26052785714285</v>
      </c>
      <c r="K1538" s="8"/>
      <c r="L1538" s="8"/>
    </row>
    <row r="1539" ht="13.5" customHeight="1">
      <c r="A1539" s="7" t="s">
        <v>355</v>
      </c>
      <c r="B1539" s="7">
        <v>3.5</v>
      </c>
      <c r="C1539" s="7" t="s">
        <v>358</v>
      </c>
      <c r="D1539" s="7" t="s">
        <v>357</v>
      </c>
      <c r="E1539" s="7">
        <v>-10.8511420779221</v>
      </c>
      <c r="F1539" s="7">
        <v>0.977970043290044</v>
      </c>
      <c r="G1539" s="7">
        <v>1.3471167965368</v>
      </c>
      <c r="H1539" s="7">
        <v>-5.86912961038961E-4</v>
      </c>
      <c r="I1539" s="7">
        <v>-3.35238598268399</v>
      </c>
      <c r="J1539" s="7">
        <v>-2.2650749090909</v>
      </c>
      <c r="K1539" s="8"/>
      <c r="L1539" s="8"/>
    </row>
    <row r="1540" ht="13.5" customHeight="1">
      <c r="A1540" s="7" t="s">
        <v>355</v>
      </c>
      <c r="B1540" s="7">
        <v>0.0</v>
      </c>
      <c r="C1540" s="7" t="s">
        <v>359</v>
      </c>
      <c r="D1540" s="7" t="s">
        <v>357</v>
      </c>
      <c r="E1540" s="7">
        <v>-10.8679984415584</v>
      </c>
      <c r="F1540" s="7">
        <v>0.979680562770564</v>
      </c>
      <c r="G1540" s="7">
        <v>1.34938121212121</v>
      </c>
      <c r="H1540" s="7">
        <v>-5.87968064935065E-4</v>
      </c>
      <c r="I1540" s="7">
        <v>-3.35918077489178</v>
      </c>
      <c r="J1540" s="7">
        <v>-2.26962196103896</v>
      </c>
      <c r="K1540" s="8"/>
      <c r="L1540" s="8"/>
    </row>
    <row r="1541" ht="13.5" customHeight="1">
      <c r="A1541" s="7" t="s">
        <v>355</v>
      </c>
      <c r="B1541" s="7">
        <v>1.75</v>
      </c>
      <c r="C1541" s="7" t="s">
        <v>359</v>
      </c>
      <c r="D1541" s="7" t="s">
        <v>357</v>
      </c>
      <c r="E1541" s="7">
        <v>-10.8848548051948</v>
      </c>
      <c r="F1541" s="7">
        <v>0.981391082251083</v>
      </c>
      <c r="G1541" s="7">
        <v>1.35164562770563</v>
      </c>
      <c r="H1541" s="7">
        <v>-5.89023168831169E-4</v>
      </c>
      <c r="I1541" s="7">
        <v>-3.36597556709957</v>
      </c>
      <c r="J1541" s="7">
        <v>-2.27416901298701</v>
      </c>
      <c r="K1541" s="8"/>
      <c r="L1541" s="8"/>
    </row>
    <row r="1542" ht="13.5" customHeight="1">
      <c r="A1542" s="7" t="s">
        <v>355</v>
      </c>
      <c r="B1542" s="7">
        <v>3.5</v>
      </c>
      <c r="C1542" s="7" t="s">
        <v>359</v>
      </c>
      <c r="D1542" s="7" t="s">
        <v>357</v>
      </c>
      <c r="E1542" s="7">
        <v>-10.9017111688312</v>
      </c>
      <c r="F1542" s="7">
        <v>0.983101601731602</v>
      </c>
      <c r="G1542" s="7">
        <v>1.35391004329004</v>
      </c>
      <c r="H1542" s="7">
        <v>-5.90078272727273E-4</v>
      </c>
      <c r="I1542" s="7">
        <v>-3.37277035930736</v>
      </c>
      <c r="J1542" s="7">
        <v>-2.27871606493506</v>
      </c>
      <c r="K1542" s="8"/>
      <c r="L1542" s="8"/>
    </row>
    <row r="1543" ht="13.5" customHeight="1">
      <c r="A1543" s="7" t="s">
        <v>355</v>
      </c>
      <c r="B1543" s="7">
        <v>0.0</v>
      </c>
      <c r="C1543" s="7" t="s">
        <v>360</v>
      </c>
      <c r="D1543" s="7" t="s">
        <v>357</v>
      </c>
      <c r="E1543" s="7">
        <v>-10.9185675324675</v>
      </c>
      <c r="F1543" s="7">
        <v>0.984812121212122</v>
      </c>
      <c r="G1543" s="7">
        <v>1.35617445887446</v>
      </c>
      <c r="H1543" s="7">
        <v>-5.91133376623377E-4</v>
      </c>
      <c r="I1543" s="7">
        <v>-3.37956515151515</v>
      </c>
      <c r="J1543" s="7">
        <v>-2.28326311688311</v>
      </c>
      <c r="K1543" s="8"/>
      <c r="L1543" s="8"/>
    </row>
    <row r="1544" ht="13.5" customHeight="1">
      <c r="A1544" s="7" t="s">
        <v>355</v>
      </c>
      <c r="B1544" s="7">
        <v>1.75</v>
      </c>
      <c r="C1544" s="7" t="s">
        <v>360</v>
      </c>
      <c r="D1544" s="7" t="s">
        <v>357</v>
      </c>
      <c r="E1544" s="7">
        <v>-10.9354238961039</v>
      </c>
      <c r="F1544" s="7">
        <v>0.986522640692641</v>
      </c>
      <c r="G1544" s="7">
        <v>1.35843887445887</v>
      </c>
      <c r="H1544" s="7">
        <v>-5.92188480519481E-4</v>
      </c>
      <c r="I1544" s="7">
        <v>-3.38635994372295</v>
      </c>
      <c r="J1544" s="7">
        <v>-2.28781016883116</v>
      </c>
      <c r="K1544" s="8"/>
      <c r="L1544" s="8"/>
    </row>
    <row r="1545" ht="13.5" customHeight="1">
      <c r="A1545" s="7" t="s">
        <v>355</v>
      </c>
      <c r="B1545" s="7">
        <v>3.5</v>
      </c>
      <c r="C1545" s="7" t="s">
        <v>360</v>
      </c>
      <c r="D1545" s="7" t="s">
        <v>357</v>
      </c>
      <c r="E1545" s="7">
        <v>-10.9522802597403</v>
      </c>
      <c r="F1545" s="7">
        <v>0.988233160173161</v>
      </c>
      <c r="G1545" s="7">
        <v>1.36070329004329</v>
      </c>
      <c r="H1545" s="7">
        <v>-5.93243584415585E-4</v>
      </c>
      <c r="I1545" s="7">
        <v>-3.39315473593074</v>
      </c>
      <c r="J1545" s="7">
        <v>-2.29235722077922</v>
      </c>
      <c r="K1545" s="8"/>
      <c r="L1545" s="8"/>
    </row>
    <row r="1546" ht="13.5" customHeight="1">
      <c r="A1546" s="7" t="s">
        <v>355</v>
      </c>
      <c r="B1546" s="7">
        <v>0.0</v>
      </c>
      <c r="C1546" s="7" t="s">
        <v>361</v>
      </c>
      <c r="D1546" s="7" t="s">
        <v>357</v>
      </c>
      <c r="E1546" s="7">
        <v>-10.9691366233766</v>
      </c>
      <c r="F1546" s="7">
        <v>0.98994367965368</v>
      </c>
      <c r="G1546" s="7">
        <v>1.3629677056277</v>
      </c>
      <c r="H1546" s="7">
        <v>-5.94298688311689E-4</v>
      </c>
      <c r="I1546" s="7">
        <v>-3.39994952813853</v>
      </c>
      <c r="J1546" s="7">
        <v>-2.29690427272727</v>
      </c>
      <c r="K1546" s="8"/>
      <c r="L1546" s="8"/>
    </row>
    <row r="1547" ht="13.5" customHeight="1">
      <c r="A1547" s="7" t="s">
        <v>355</v>
      </c>
      <c r="B1547" s="7">
        <v>1.75</v>
      </c>
      <c r="C1547" s="7" t="s">
        <v>361</v>
      </c>
      <c r="D1547" s="7" t="s">
        <v>357</v>
      </c>
      <c r="E1547" s="7">
        <v>-10.985992987013</v>
      </c>
      <c r="F1547" s="7">
        <v>0.9916541991342</v>
      </c>
      <c r="G1547" s="7">
        <v>1.36523212121212</v>
      </c>
      <c r="H1547" s="7">
        <v>-5.95353792207793E-4</v>
      </c>
      <c r="I1547" s="7">
        <v>-3.40674432034632</v>
      </c>
      <c r="J1547" s="7">
        <v>-2.30145132467532</v>
      </c>
      <c r="K1547" s="8"/>
      <c r="L1547" s="8"/>
    </row>
    <row r="1548" ht="13.5" customHeight="1">
      <c r="A1548" s="7" t="s">
        <v>355</v>
      </c>
      <c r="B1548" s="7">
        <v>3.5</v>
      </c>
      <c r="C1548" s="7" t="s">
        <v>361</v>
      </c>
      <c r="D1548" s="7" t="s">
        <v>357</v>
      </c>
      <c r="E1548" s="7">
        <v>-11.0028493506493</v>
      </c>
      <c r="F1548" s="7">
        <v>0.993364718614719</v>
      </c>
      <c r="G1548" s="7">
        <v>1.36749653679654</v>
      </c>
      <c r="H1548" s="7">
        <v>-5.96408896103896E-4</v>
      </c>
      <c r="I1548" s="7">
        <v>-3.41353911255412</v>
      </c>
      <c r="J1548" s="7">
        <v>-2.30599837662337</v>
      </c>
      <c r="K1548" s="8"/>
      <c r="L1548" s="8"/>
    </row>
    <row r="1549" ht="13.5" customHeight="1">
      <c r="A1549" s="7" t="s">
        <v>355</v>
      </c>
      <c r="B1549" s="7">
        <v>0.0</v>
      </c>
      <c r="C1549" s="7" t="s">
        <v>362</v>
      </c>
      <c r="D1549" s="7" t="s">
        <v>357</v>
      </c>
      <c r="E1549" s="7">
        <v>-11.0197057142857</v>
      </c>
      <c r="F1549" s="7">
        <v>0.995075238095239</v>
      </c>
      <c r="G1549" s="7">
        <v>1.36976095238095</v>
      </c>
      <c r="H1549" s="7">
        <v>-5.97464E-4</v>
      </c>
      <c r="I1549" s="7">
        <v>-3.42033390476191</v>
      </c>
      <c r="J1549" s="7">
        <v>-2.31054542857142</v>
      </c>
      <c r="K1549" s="8"/>
      <c r="L1549" s="8"/>
    </row>
    <row r="1550" ht="13.5" customHeight="1">
      <c r="A1550" s="7" t="s">
        <v>355</v>
      </c>
      <c r="B1550" s="7">
        <v>1.75</v>
      </c>
      <c r="C1550" s="7" t="s">
        <v>362</v>
      </c>
      <c r="D1550" s="7" t="s">
        <v>357</v>
      </c>
      <c r="E1550" s="7">
        <v>-11.0365620779221</v>
      </c>
      <c r="F1550" s="7">
        <v>0.996785757575758</v>
      </c>
      <c r="G1550" s="7">
        <v>1.37202536796537</v>
      </c>
      <c r="H1550" s="7">
        <v>-5.98519103896104E-4</v>
      </c>
      <c r="I1550" s="7">
        <v>-3.4271286969697</v>
      </c>
      <c r="J1550" s="7">
        <v>-2.31509248051948</v>
      </c>
      <c r="K1550" s="8"/>
      <c r="L1550" s="8"/>
    </row>
    <row r="1551" ht="13.5" customHeight="1">
      <c r="A1551" s="7" t="s">
        <v>355</v>
      </c>
      <c r="B1551" s="7">
        <v>3.5</v>
      </c>
      <c r="C1551" s="7" t="s">
        <v>362</v>
      </c>
      <c r="D1551" s="7" t="s">
        <v>357</v>
      </c>
      <c r="E1551" s="7">
        <v>-11.0534184415584</v>
      </c>
      <c r="F1551" s="7">
        <v>0.998496277056278</v>
      </c>
      <c r="G1551" s="7">
        <v>1.37428978354978</v>
      </c>
      <c r="H1551" s="7">
        <v>-5.99574207792208E-4</v>
      </c>
      <c r="I1551" s="7">
        <v>-3.43392348917749</v>
      </c>
      <c r="J1551" s="7">
        <v>-2.31963953246753</v>
      </c>
      <c r="K1551" s="8"/>
      <c r="L1551" s="8"/>
    </row>
    <row r="1552" ht="13.5" customHeight="1">
      <c r="A1552" s="7" t="s">
        <v>355</v>
      </c>
      <c r="B1552" s="7">
        <v>0.0</v>
      </c>
      <c r="C1552" s="7" t="s">
        <v>363</v>
      </c>
      <c r="D1552" s="7" t="s">
        <v>357</v>
      </c>
      <c r="E1552" s="7">
        <v>-11.0702748051948</v>
      </c>
      <c r="F1552" s="7">
        <v>1.0002067965368</v>
      </c>
      <c r="G1552" s="7">
        <v>1.3765541991342</v>
      </c>
      <c r="H1552" s="7">
        <v>-6.00629311688312E-4</v>
      </c>
      <c r="I1552" s="7">
        <v>-3.44071828138528</v>
      </c>
      <c r="J1552" s="7">
        <v>-2.32418658441558</v>
      </c>
      <c r="K1552" s="8"/>
      <c r="L1552" s="8"/>
    </row>
    <row r="1553" ht="13.5" customHeight="1">
      <c r="A1553" s="7" t="s">
        <v>355</v>
      </c>
      <c r="B1553" s="7">
        <v>1.75</v>
      </c>
      <c r="C1553" s="7" t="s">
        <v>363</v>
      </c>
      <c r="D1553" s="7" t="s">
        <v>357</v>
      </c>
      <c r="E1553" s="7">
        <v>-11.0871311688312</v>
      </c>
      <c r="F1553" s="7">
        <v>1.00191731601732</v>
      </c>
      <c r="G1553" s="7">
        <v>1.37881861471861</v>
      </c>
      <c r="H1553" s="7">
        <v>-6.01684415584416E-4</v>
      </c>
      <c r="I1553" s="7">
        <v>-3.44751307359308</v>
      </c>
      <c r="J1553" s="7">
        <v>-2.32873363636363</v>
      </c>
      <c r="K1553" s="8"/>
      <c r="L1553" s="8"/>
    </row>
    <row r="1554" ht="13.5" customHeight="1">
      <c r="A1554" s="7" t="s">
        <v>355</v>
      </c>
      <c r="B1554" s="7">
        <v>3.5</v>
      </c>
      <c r="C1554" s="7" t="s">
        <v>363</v>
      </c>
      <c r="D1554" s="7" t="s">
        <v>357</v>
      </c>
      <c r="E1554" s="7">
        <v>-11.1039875324675</v>
      </c>
      <c r="F1554" s="7">
        <v>1.00362783549784</v>
      </c>
      <c r="G1554" s="7">
        <v>1.38108303030303</v>
      </c>
      <c r="H1554" s="7">
        <v>-6.0273951948052E-4</v>
      </c>
      <c r="I1554" s="7">
        <v>-3.45430786580087</v>
      </c>
      <c r="J1554" s="7">
        <v>-2.33328068831168</v>
      </c>
      <c r="K1554" s="8"/>
      <c r="L1554" s="8"/>
    </row>
    <row r="1555" ht="13.5" customHeight="1">
      <c r="A1555" s="7" t="s">
        <v>355</v>
      </c>
      <c r="B1555" s="7">
        <v>0.0</v>
      </c>
      <c r="C1555" s="7" t="s">
        <v>356</v>
      </c>
      <c r="D1555" s="7" t="s">
        <v>357</v>
      </c>
      <c r="E1555" s="7">
        <v>-11.1208438961039</v>
      </c>
      <c r="F1555" s="7">
        <v>1.00533835497836</v>
      </c>
      <c r="G1555" s="7">
        <v>1.38334744588744</v>
      </c>
      <c r="H1555" s="7">
        <v>-6.03794623376624E-4</v>
      </c>
      <c r="I1555" s="7">
        <v>-3.46110265800866</v>
      </c>
      <c r="J1555" s="7">
        <v>-2.33782774025974</v>
      </c>
      <c r="K1555" s="8"/>
      <c r="L1555" s="8"/>
    </row>
    <row r="1556" ht="13.5" customHeight="1">
      <c r="A1556" s="7" t="s">
        <v>355</v>
      </c>
      <c r="B1556" s="7">
        <v>1.75</v>
      </c>
      <c r="C1556" s="7" t="s">
        <v>356</v>
      </c>
      <c r="D1556" s="7" t="s">
        <v>357</v>
      </c>
      <c r="E1556" s="7">
        <v>-11.1377002597403</v>
      </c>
      <c r="F1556" s="7">
        <v>1.00704887445888</v>
      </c>
      <c r="G1556" s="7">
        <v>1.38561186147186</v>
      </c>
      <c r="H1556" s="7">
        <v>-6.04849727272728E-4</v>
      </c>
      <c r="I1556" s="7">
        <v>-3.46789745021645</v>
      </c>
      <c r="J1556" s="7">
        <v>-2.34237479220779</v>
      </c>
      <c r="K1556" s="8"/>
      <c r="L1556" s="8"/>
    </row>
    <row r="1557" ht="13.5" customHeight="1">
      <c r="A1557" s="7" t="s">
        <v>355</v>
      </c>
      <c r="B1557" s="7">
        <v>3.5</v>
      </c>
      <c r="C1557" s="7" t="s">
        <v>356</v>
      </c>
      <c r="D1557" s="7" t="s">
        <v>357</v>
      </c>
      <c r="E1557" s="7">
        <v>-11.1545566233766</v>
      </c>
      <c r="F1557" s="7">
        <v>1.0087593939394</v>
      </c>
      <c r="G1557" s="7">
        <v>1.38787627705628</v>
      </c>
      <c r="H1557" s="7">
        <v>-6.05904831168831E-4</v>
      </c>
      <c r="I1557" s="7">
        <v>-3.47469224242425</v>
      </c>
      <c r="J1557" s="7">
        <v>-2.34692184415584</v>
      </c>
      <c r="K1557" s="8"/>
      <c r="L1557" s="8"/>
    </row>
    <row r="1558" ht="13.5" customHeight="1">
      <c r="A1558" s="7" t="s">
        <v>355</v>
      </c>
      <c r="B1558" s="7">
        <v>0.0</v>
      </c>
      <c r="C1558" s="7" t="s">
        <v>358</v>
      </c>
      <c r="D1558" s="7" t="s">
        <v>357</v>
      </c>
      <c r="E1558" s="7">
        <v>-11.171412987013</v>
      </c>
      <c r="F1558" s="7">
        <v>1.01046991341991</v>
      </c>
      <c r="G1558" s="7">
        <v>1.39014069264069</v>
      </c>
      <c r="H1558" s="7">
        <v>-6.06959935064935E-4</v>
      </c>
      <c r="I1558" s="7">
        <v>-3.48148703463204</v>
      </c>
      <c r="J1558" s="7">
        <v>-2.35146889610389</v>
      </c>
      <c r="K1558" s="8"/>
      <c r="L1558" s="8"/>
    </row>
    <row r="1559" ht="13.5" customHeight="1">
      <c r="A1559" s="7" t="s">
        <v>355</v>
      </c>
      <c r="B1559" s="7">
        <v>1.75</v>
      </c>
      <c r="C1559" s="7" t="s">
        <v>358</v>
      </c>
      <c r="D1559" s="7" t="s">
        <v>357</v>
      </c>
      <c r="E1559" s="7">
        <v>-11.1882693506493</v>
      </c>
      <c r="F1559" s="7">
        <v>1.01218043290043</v>
      </c>
      <c r="G1559" s="7">
        <v>1.39240510822511</v>
      </c>
      <c r="H1559" s="7">
        <v>-6.08015038961039E-4</v>
      </c>
      <c r="I1559" s="7">
        <v>-3.48828182683983</v>
      </c>
      <c r="J1559" s="7">
        <v>-2.35601594805194</v>
      </c>
      <c r="K1559" s="8"/>
      <c r="L1559" s="8"/>
    </row>
    <row r="1560" ht="13.5" customHeight="1">
      <c r="A1560" s="7" t="s">
        <v>355</v>
      </c>
      <c r="B1560" s="7">
        <v>3.5</v>
      </c>
      <c r="C1560" s="7" t="s">
        <v>358</v>
      </c>
      <c r="D1560" s="7" t="s">
        <v>357</v>
      </c>
      <c r="E1560" s="7">
        <v>-11.2051257142857</v>
      </c>
      <c r="F1560" s="7">
        <v>1.01389095238095</v>
      </c>
      <c r="G1560" s="7">
        <v>1.39466952380952</v>
      </c>
      <c r="H1560" s="7">
        <v>-6.09070142857143E-4</v>
      </c>
      <c r="I1560" s="7">
        <v>-3.49507661904762</v>
      </c>
      <c r="J1560" s="7">
        <v>-2.360563</v>
      </c>
      <c r="K1560" s="8"/>
      <c r="L1560" s="8"/>
    </row>
    <row r="1561" ht="13.5" customHeight="1">
      <c r="A1561" s="7" t="s">
        <v>355</v>
      </c>
      <c r="B1561" s="7">
        <v>0.0</v>
      </c>
      <c r="C1561" s="7" t="s">
        <v>359</v>
      </c>
      <c r="D1561" s="7" t="s">
        <v>357</v>
      </c>
      <c r="E1561" s="7">
        <v>-11.2219820779221</v>
      </c>
      <c r="F1561" s="7">
        <v>1.01560147186147</v>
      </c>
      <c r="G1561" s="7">
        <v>1.39693393939394</v>
      </c>
      <c r="H1561" s="7">
        <v>-6.10125246753247E-4</v>
      </c>
      <c r="I1561" s="7">
        <v>-3.50187141125541</v>
      </c>
      <c r="J1561" s="7">
        <v>-2.36511005194805</v>
      </c>
      <c r="K1561" s="8"/>
      <c r="L1561" s="8"/>
    </row>
    <row r="1562" ht="13.5" customHeight="1">
      <c r="A1562" s="7" t="s">
        <v>355</v>
      </c>
      <c r="B1562" s="7">
        <v>1.75</v>
      </c>
      <c r="C1562" s="7" t="s">
        <v>359</v>
      </c>
      <c r="D1562" s="7" t="s">
        <v>357</v>
      </c>
      <c r="E1562" s="7">
        <v>-11.2388384415584</v>
      </c>
      <c r="F1562" s="7">
        <v>1.01731199134199</v>
      </c>
      <c r="G1562" s="7">
        <v>1.39919835497835</v>
      </c>
      <c r="H1562" s="7">
        <v>-6.11180350649351E-4</v>
      </c>
      <c r="I1562" s="7">
        <v>-3.50866620346321</v>
      </c>
      <c r="J1562" s="7">
        <v>-2.3696571038961</v>
      </c>
      <c r="K1562" s="8"/>
      <c r="L1562" s="8"/>
    </row>
    <row r="1563" ht="13.5" customHeight="1">
      <c r="A1563" s="7" t="s">
        <v>355</v>
      </c>
      <c r="B1563" s="7">
        <v>3.5</v>
      </c>
      <c r="C1563" s="7" t="s">
        <v>359</v>
      </c>
      <c r="D1563" s="7" t="s">
        <v>357</v>
      </c>
      <c r="E1563" s="7">
        <v>-11.2556948051948</v>
      </c>
      <c r="F1563" s="7">
        <v>1.01902251082251</v>
      </c>
      <c r="G1563" s="7">
        <v>1.40146277056277</v>
      </c>
      <c r="H1563" s="7">
        <v>-6.12235454545455E-4</v>
      </c>
      <c r="I1563" s="7">
        <v>-3.515460995671</v>
      </c>
      <c r="J1563" s="7">
        <v>-2.37420415584415</v>
      </c>
      <c r="K1563" s="8"/>
      <c r="L1563" s="8"/>
    </row>
    <row r="1564" ht="13.5" customHeight="1">
      <c r="A1564" s="7" t="s">
        <v>355</v>
      </c>
      <c r="B1564" s="7">
        <v>0.0</v>
      </c>
      <c r="C1564" s="7" t="s">
        <v>360</v>
      </c>
      <c r="D1564" s="7" t="s">
        <v>357</v>
      </c>
      <c r="E1564" s="7">
        <v>-11.2725511688312</v>
      </c>
      <c r="F1564" s="7">
        <v>1.02073303030303</v>
      </c>
      <c r="G1564" s="7">
        <v>1.40372718614718</v>
      </c>
      <c r="H1564" s="7">
        <v>-6.13290558441559E-4</v>
      </c>
      <c r="I1564" s="7">
        <v>-3.52225578787879</v>
      </c>
      <c r="J1564" s="7">
        <v>-2.3787512077922</v>
      </c>
      <c r="K1564" s="8"/>
      <c r="L1564" s="8"/>
    </row>
    <row r="1565" ht="13.5" customHeight="1">
      <c r="A1565" s="7" t="s">
        <v>355</v>
      </c>
      <c r="B1565" s="7">
        <v>1.75</v>
      </c>
      <c r="C1565" s="7" t="s">
        <v>360</v>
      </c>
      <c r="D1565" s="7" t="s">
        <v>357</v>
      </c>
      <c r="E1565" s="7">
        <v>-11.2894075324675</v>
      </c>
      <c r="F1565" s="7">
        <v>1.02244354978355</v>
      </c>
      <c r="G1565" s="7">
        <v>1.4059916017316</v>
      </c>
      <c r="H1565" s="7">
        <v>-6.14345662337663E-4</v>
      </c>
      <c r="I1565" s="7">
        <v>-3.52905058008658</v>
      </c>
      <c r="J1565" s="7">
        <v>-2.38329825974026</v>
      </c>
      <c r="K1565" s="8"/>
      <c r="L1565" s="8"/>
    </row>
    <row r="1566" ht="13.5" customHeight="1">
      <c r="A1566" s="7" t="s">
        <v>355</v>
      </c>
      <c r="B1566" s="7">
        <v>3.5</v>
      </c>
      <c r="C1566" s="7" t="s">
        <v>360</v>
      </c>
      <c r="D1566" s="7" t="s">
        <v>357</v>
      </c>
      <c r="E1566" s="7">
        <v>-11.3062638961039</v>
      </c>
      <c r="F1566" s="7">
        <v>1.02415406926407</v>
      </c>
      <c r="G1566" s="7">
        <v>1.40825601731602</v>
      </c>
      <c r="H1566" s="7">
        <v>-6.15400766233767E-4</v>
      </c>
      <c r="I1566" s="7">
        <v>-3.53584537229438</v>
      </c>
      <c r="J1566" s="7">
        <v>-2.38784531168831</v>
      </c>
      <c r="K1566" s="8"/>
      <c r="L1566" s="8"/>
    </row>
    <row r="1567" ht="13.5" customHeight="1">
      <c r="A1567" s="7" t="s">
        <v>355</v>
      </c>
      <c r="B1567" s="7">
        <v>0.0</v>
      </c>
      <c r="C1567" s="7" t="s">
        <v>361</v>
      </c>
      <c r="D1567" s="7" t="s">
        <v>357</v>
      </c>
      <c r="E1567" s="7">
        <v>-11.3231202597403</v>
      </c>
      <c r="F1567" s="7">
        <v>1.02586458874459</v>
      </c>
      <c r="G1567" s="7">
        <v>1.41052043290043</v>
      </c>
      <c r="H1567" s="7">
        <v>-6.1645587012987E-4</v>
      </c>
      <c r="I1567" s="7">
        <v>-3.54264016450217</v>
      </c>
      <c r="J1567" s="7">
        <v>-2.39239236363636</v>
      </c>
      <c r="K1567" s="8"/>
      <c r="L1567" s="8"/>
    </row>
    <row r="1568" ht="13.5" customHeight="1">
      <c r="A1568" s="7" t="s">
        <v>355</v>
      </c>
      <c r="B1568" s="7">
        <v>1.75</v>
      </c>
      <c r="C1568" s="7" t="s">
        <v>361</v>
      </c>
      <c r="D1568" s="7" t="s">
        <v>357</v>
      </c>
      <c r="E1568" s="7">
        <v>-11.3399766233766</v>
      </c>
      <c r="F1568" s="7">
        <v>1.02757510822511</v>
      </c>
      <c r="G1568" s="7">
        <v>1.41278484848485</v>
      </c>
      <c r="H1568" s="7">
        <v>-6.17510974025974E-4</v>
      </c>
      <c r="I1568" s="7">
        <v>-3.54943495670996</v>
      </c>
      <c r="J1568" s="7">
        <v>-2.39693941558441</v>
      </c>
      <c r="K1568" s="8"/>
      <c r="L1568" s="8"/>
    </row>
    <row r="1569" ht="13.5" customHeight="1">
      <c r="A1569" s="7" t="s">
        <v>355</v>
      </c>
      <c r="B1569" s="7">
        <v>3.5</v>
      </c>
      <c r="C1569" s="7" t="s">
        <v>361</v>
      </c>
      <c r="D1569" s="7" t="s">
        <v>357</v>
      </c>
      <c r="E1569" s="7">
        <v>-11.356832987013</v>
      </c>
      <c r="F1569" s="7">
        <v>1.02928562770563</v>
      </c>
      <c r="G1569" s="7">
        <v>1.41504926406926</v>
      </c>
      <c r="H1569" s="7">
        <v>-6.18566077922078E-4</v>
      </c>
      <c r="I1569" s="7">
        <v>-3.55622974891775</v>
      </c>
      <c r="J1569" s="7">
        <v>-2.40148646753246</v>
      </c>
      <c r="K1569" s="8"/>
      <c r="L1569" s="8"/>
    </row>
    <row r="1570" ht="13.5" customHeight="1">
      <c r="A1570" s="7" t="s">
        <v>355</v>
      </c>
      <c r="B1570" s="7">
        <v>0.0</v>
      </c>
      <c r="C1570" s="7" t="s">
        <v>362</v>
      </c>
      <c r="D1570" s="7" t="s">
        <v>357</v>
      </c>
      <c r="E1570" s="7">
        <v>-11.3736893506493</v>
      </c>
      <c r="F1570" s="7">
        <v>1.03099614718615</v>
      </c>
      <c r="G1570" s="7">
        <v>1.41731367965368</v>
      </c>
      <c r="H1570" s="7">
        <v>-6.19621181818182E-4</v>
      </c>
      <c r="I1570" s="7">
        <v>-3.56302454112554</v>
      </c>
      <c r="J1570" s="7">
        <v>-2.40603351948051</v>
      </c>
      <c r="K1570" s="8"/>
      <c r="L1570" s="8"/>
    </row>
    <row r="1571" ht="13.5" customHeight="1">
      <c r="A1571" s="7" t="s">
        <v>355</v>
      </c>
      <c r="B1571" s="7">
        <v>1.75</v>
      </c>
      <c r="C1571" s="7" t="s">
        <v>362</v>
      </c>
      <c r="D1571" s="7" t="s">
        <v>357</v>
      </c>
      <c r="E1571" s="7">
        <v>-11.3905457142857</v>
      </c>
      <c r="F1571" s="7">
        <v>1.03270666666667</v>
      </c>
      <c r="G1571" s="7">
        <v>1.41957809523809</v>
      </c>
      <c r="H1571" s="7">
        <v>-6.20676285714286E-4</v>
      </c>
      <c r="I1571" s="7">
        <v>-3.56981933333334</v>
      </c>
      <c r="J1571" s="7">
        <v>-2.41058057142857</v>
      </c>
      <c r="K1571" s="8"/>
      <c r="L1571" s="8"/>
    </row>
    <row r="1572" ht="13.5" customHeight="1">
      <c r="A1572" s="7" t="s">
        <v>355</v>
      </c>
      <c r="B1572" s="7">
        <v>3.5</v>
      </c>
      <c r="C1572" s="7" t="s">
        <v>362</v>
      </c>
      <c r="D1572" s="7" t="s">
        <v>357</v>
      </c>
      <c r="E1572" s="7">
        <v>-11.4074020779221</v>
      </c>
      <c r="F1572" s="7">
        <v>1.03441718614719</v>
      </c>
      <c r="G1572" s="7">
        <v>1.42184251082251</v>
      </c>
      <c r="H1572" s="7">
        <v>-6.2173138961039E-4</v>
      </c>
      <c r="I1572" s="7">
        <v>-3.57661412554113</v>
      </c>
      <c r="J1572" s="7">
        <v>-2.41512762337662</v>
      </c>
      <c r="K1572" s="8"/>
      <c r="L1572" s="8"/>
    </row>
    <row r="1573" ht="13.5" customHeight="1">
      <c r="A1573" s="7" t="s">
        <v>355</v>
      </c>
      <c r="B1573" s="7">
        <v>0.0</v>
      </c>
      <c r="C1573" s="7" t="s">
        <v>363</v>
      </c>
      <c r="D1573" s="7" t="s">
        <v>357</v>
      </c>
      <c r="E1573" s="7">
        <v>-11.4242584415584</v>
      </c>
      <c r="F1573" s="7">
        <v>1.03612770562771</v>
      </c>
      <c r="G1573" s="7">
        <v>1.42410692640692</v>
      </c>
      <c r="H1573" s="7">
        <v>-6.22786493506494E-4</v>
      </c>
      <c r="I1573" s="7">
        <v>-3.58340891774892</v>
      </c>
      <c r="J1573" s="7">
        <v>-2.41967467532467</v>
      </c>
      <c r="K1573" s="8"/>
      <c r="L1573" s="8"/>
    </row>
    <row r="1574" ht="13.5" customHeight="1">
      <c r="A1574" s="7" t="s">
        <v>355</v>
      </c>
      <c r="B1574" s="7">
        <v>1.75</v>
      </c>
      <c r="C1574" s="7" t="s">
        <v>363</v>
      </c>
      <c r="D1574" s="7" t="s">
        <v>357</v>
      </c>
      <c r="E1574" s="7">
        <v>-11.4411148051948</v>
      </c>
      <c r="F1574" s="7">
        <v>1.03783822510823</v>
      </c>
      <c r="G1574" s="7">
        <v>1.42637134199134</v>
      </c>
      <c r="H1574" s="7">
        <v>-6.23841597402598E-4</v>
      </c>
      <c r="I1574" s="7">
        <v>-3.59020370995671</v>
      </c>
      <c r="J1574" s="7">
        <v>-2.42422172727272</v>
      </c>
      <c r="K1574" s="8"/>
      <c r="L1574" s="8"/>
    </row>
    <row r="1575" ht="13.5" customHeight="1">
      <c r="A1575" s="7" t="s">
        <v>355</v>
      </c>
      <c r="B1575" s="7">
        <v>3.5</v>
      </c>
      <c r="C1575" s="7" t="s">
        <v>363</v>
      </c>
      <c r="D1575" s="7" t="s">
        <v>357</v>
      </c>
      <c r="E1575" s="7">
        <v>-11.4579711688312</v>
      </c>
      <c r="F1575" s="7">
        <v>1.03954874458875</v>
      </c>
      <c r="G1575" s="7">
        <v>1.42863575757576</v>
      </c>
      <c r="H1575" s="7">
        <v>-6.24896701298702E-4</v>
      </c>
      <c r="I1575" s="7">
        <v>-3.59699850216451</v>
      </c>
      <c r="J1575" s="7">
        <v>-2.42876877922077</v>
      </c>
      <c r="K1575" s="8"/>
      <c r="L1575" s="8"/>
    </row>
    <row r="1576" ht="13.5" customHeight="1">
      <c r="A1576" s="7" t="s">
        <v>355</v>
      </c>
      <c r="B1576" s="7">
        <v>0.0</v>
      </c>
      <c r="C1576" s="7" t="s">
        <v>356</v>
      </c>
      <c r="D1576" s="7" t="s">
        <v>357</v>
      </c>
      <c r="E1576" s="7">
        <v>-11.4748275324675</v>
      </c>
      <c r="F1576" s="7">
        <v>1.04125926406927</v>
      </c>
      <c r="G1576" s="7">
        <v>1.43090017316017</v>
      </c>
      <c r="H1576" s="7">
        <v>-6.25951805194806E-4</v>
      </c>
      <c r="I1576" s="7">
        <v>-3.6037932943723</v>
      </c>
      <c r="J1576" s="7">
        <v>-2.43331583116883</v>
      </c>
      <c r="K1576" s="8"/>
      <c r="L1576" s="8"/>
    </row>
    <row r="1577" ht="13.5" customHeight="1">
      <c r="A1577" s="7" t="s">
        <v>355</v>
      </c>
      <c r="B1577" s="7">
        <v>1.75</v>
      </c>
      <c r="C1577" s="7" t="s">
        <v>356</v>
      </c>
      <c r="D1577" s="7" t="s">
        <v>357</v>
      </c>
      <c r="E1577" s="7">
        <v>-11.4916838961039</v>
      </c>
      <c r="F1577" s="7">
        <v>1.04296978354978</v>
      </c>
      <c r="G1577" s="7">
        <v>1.43316458874459</v>
      </c>
      <c r="H1577" s="7">
        <v>-6.27006909090909E-4</v>
      </c>
      <c r="I1577" s="7">
        <v>-3.61058808658009</v>
      </c>
      <c r="J1577" s="7">
        <v>-2.43786288311688</v>
      </c>
      <c r="K1577" s="8"/>
      <c r="L1577" s="8"/>
    </row>
    <row r="1578" ht="13.5" customHeight="1">
      <c r="A1578" s="7" t="s">
        <v>355</v>
      </c>
      <c r="B1578" s="7">
        <v>3.5</v>
      </c>
      <c r="C1578" s="7" t="s">
        <v>356</v>
      </c>
      <c r="D1578" s="7" t="s">
        <v>357</v>
      </c>
      <c r="E1578" s="7">
        <v>-11.5085402597403</v>
      </c>
      <c r="F1578" s="7">
        <v>1.0446803030303</v>
      </c>
      <c r="G1578" s="7">
        <v>1.435429004329</v>
      </c>
      <c r="H1578" s="7">
        <v>-6.28062012987013E-4</v>
      </c>
      <c r="I1578" s="7">
        <v>-3.61738287878788</v>
      </c>
      <c r="J1578" s="7">
        <v>-2.44240993506493</v>
      </c>
      <c r="K1578" s="8"/>
      <c r="L1578" s="8"/>
    </row>
    <row r="1579" ht="13.5" customHeight="1">
      <c r="A1579" s="7" t="s">
        <v>355</v>
      </c>
      <c r="B1579" s="7">
        <v>0.0</v>
      </c>
      <c r="C1579" s="7" t="s">
        <v>358</v>
      </c>
      <c r="D1579" s="7" t="s">
        <v>357</v>
      </c>
      <c r="E1579" s="7">
        <v>-11.5253966233766</v>
      </c>
      <c r="F1579" s="7">
        <v>1.04639082251082</v>
      </c>
      <c r="G1579" s="7">
        <v>1.43769341991342</v>
      </c>
      <c r="H1579" s="7">
        <v>-6.29117116883117E-4</v>
      </c>
      <c r="I1579" s="7">
        <v>-3.62417767099567</v>
      </c>
      <c r="J1579" s="7">
        <v>-2.44695698701298</v>
      </c>
      <c r="K1579" s="8"/>
      <c r="L1579" s="8"/>
    </row>
    <row r="1580" ht="13.5" customHeight="1">
      <c r="A1580" s="7" t="s">
        <v>355</v>
      </c>
      <c r="B1580" s="7">
        <v>1.75</v>
      </c>
      <c r="C1580" s="7" t="s">
        <v>358</v>
      </c>
      <c r="D1580" s="7" t="s">
        <v>357</v>
      </c>
      <c r="E1580" s="7">
        <v>-11.542252987013</v>
      </c>
      <c r="F1580" s="7">
        <v>1.04810134199134</v>
      </c>
      <c r="G1580" s="7">
        <v>1.43995783549783</v>
      </c>
      <c r="H1580" s="7">
        <v>-6.30172220779221E-4</v>
      </c>
      <c r="I1580" s="7">
        <v>-3.63097246320347</v>
      </c>
      <c r="J1580" s="7">
        <v>-2.45150403896103</v>
      </c>
      <c r="K1580" s="8"/>
      <c r="L1580" s="8"/>
    </row>
    <row r="1581" ht="13.5" customHeight="1">
      <c r="A1581" s="7" t="s">
        <v>355</v>
      </c>
      <c r="B1581" s="7">
        <v>3.5</v>
      </c>
      <c r="C1581" s="7" t="s">
        <v>358</v>
      </c>
      <c r="D1581" s="7" t="s">
        <v>357</v>
      </c>
      <c r="E1581" s="7">
        <v>-11.5591093506493</v>
      </c>
      <c r="F1581" s="7">
        <v>1.04981186147186</v>
      </c>
      <c r="G1581" s="7">
        <v>1.44222225108225</v>
      </c>
      <c r="H1581" s="7">
        <v>-6.31227324675325E-4</v>
      </c>
      <c r="I1581" s="7">
        <v>-3.63776725541126</v>
      </c>
      <c r="J1581" s="7">
        <v>-2.45605109090909</v>
      </c>
      <c r="K1581" s="8"/>
      <c r="L1581" s="8"/>
    </row>
    <row r="1582" ht="13.5" customHeight="1">
      <c r="A1582" s="7" t="s">
        <v>355</v>
      </c>
      <c r="B1582" s="7">
        <v>0.0</v>
      </c>
      <c r="C1582" s="7" t="s">
        <v>359</v>
      </c>
      <c r="D1582" s="7" t="s">
        <v>357</v>
      </c>
      <c r="E1582" s="7">
        <v>-11.5759657142857</v>
      </c>
      <c r="F1582" s="7">
        <v>1.05152238095238</v>
      </c>
      <c r="G1582" s="7">
        <v>1.44448666666667</v>
      </c>
      <c r="H1582" s="7">
        <v>-6.32282428571429E-4</v>
      </c>
      <c r="I1582" s="7">
        <v>-3.64456204761905</v>
      </c>
      <c r="J1582" s="7">
        <v>-2.46059814285714</v>
      </c>
      <c r="K1582" s="8"/>
      <c r="L1582" s="8"/>
    </row>
    <row r="1583" ht="13.5" customHeight="1">
      <c r="A1583" s="7" t="s">
        <v>355</v>
      </c>
      <c r="B1583" s="7">
        <v>1.75</v>
      </c>
      <c r="C1583" s="7" t="s">
        <v>359</v>
      </c>
      <c r="D1583" s="7" t="s">
        <v>357</v>
      </c>
      <c r="E1583" s="7">
        <v>-11.5928220779221</v>
      </c>
      <c r="F1583" s="7">
        <v>1.0532329004329</v>
      </c>
      <c r="G1583" s="7">
        <v>1.44675108225108</v>
      </c>
      <c r="H1583" s="7">
        <v>-6.33337532467533E-4</v>
      </c>
      <c r="I1583" s="7">
        <v>-3.65135683982684</v>
      </c>
      <c r="J1583" s="7">
        <v>-2.46514519480519</v>
      </c>
      <c r="K1583" s="8"/>
      <c r="L1583" s="8"/>
    </row>
    <row r="1584" ht="13.5" customHeight="1">
      <c r="A1584" s="7" t="s">
        <v>355</v>
      </c>
      <c r="B1584" s="7">
        <v>3.5</v>
      </c>
      <c r="C1584" s="7" t="s">
        <v>359</v>
      </c>
      <c r="D1584" s="7" t="s">
        <v>357</v>
      </c>
      <c r="E1584" s="7">
        <v>-11.6096784415584</v>
      </c>
      <c r="F1584" s="7">
        <v>1.05494341991342</v>
      </c>
      <c r="G1584" s="7">
        <v>1.4490154978355</v>
      </c>
      <c r="H1584" s="7">
        <v>-6.34392636363637E-4</v>
      </c>
      <c r="I1584" s="7">
        <v>-3.65815163203464</v>
      </c>
      <c r="J1584" s="7">
        <v>-2.46969224675324</v>
      </c>
      <c r="K1584" s="8"/>
      <c r="L1584" s="8"/>
    </row>
    <row r="1585" ht="13.5" customHeight="1">
      <c r="A1585" s="7" t="s">
        <v>355</v>
      </c>
      <c r="B1585" s="7">
        <v>0.0</v>
      </c>
      <c r="C1585" s="7" t="s">
        <v>360</v>
      </c>
      <c r="D1585" s="7" t="s">
        <v>357</v>
      </c>
      <c r="E1585" s="7">
        <v>-11.6265348051948</v>
      </c>
      <c r="F1585" s="7">
        <v>1.05665393939394</v>
      </c>
      <c r="G1585" s="7">
        <v>1.45127991341991</v>
      </c>
      <c r="H1585" s="7">
        <v>-6.35447740259741E-4</v>
      </c>
      <c r="I1585" s="7">
        <v>-3.66494642424243</v>
      </c>
      <c r="J1585" s="7">
        <v>-2.47423929870129</v>
      </c>
      <c r="K1585" s="8"/>
      <c r="L1585" s="8"/>
    </row>
    <row r="1586" ht="13.5" customHeight="1">
      <c r="A1586" s="7" t="s">
        <v>355</v>
      </c>
      <c r="B1586" s="7">
        <v>1.75</v>
      </c>
      <c r="C1586" s="7" t="s">
        <v>360</v>
      </c>
      <c r="D1586" s="7" t="s">
        <v>357</v>
      </c>
      <c r="E1586" s="7">
        <v>-11.6433911688312</v>
      </c>
      <c r="F1586" s="7">
        <v>1.05836445887446</v>
      </c>
      <c r="G1586" s="7">
        <v>1.45354432900433</v>
      </c>
      <c r="H1586" s="7">
        <v>-6.36502844155844E-4</v>
      </c>
      <c r="I1586" s="7">
        <v>-3.67174121645022</v>
      </c>
      <c r="J1586" s="7">
        <v>-2.47878635064935</v>
      </c>
      <c r="K1586" s="8"/>
      <c r="L1586" s="8"/>
    </row>
    <row r="1587" ht="13.5" customHeight="1">
      <c r="A1587" s="7" t="s">
        <v>355</v>
      </c>
      <c r="B1587" s="7">
        <v>3.5</v>
      </c>
      <c r="C1587" s="7" t="s">
        <v>360</v>
      </c>
      <c r="D1587" s="7" t="s">
        <v>357</v>
      </c>
      <c r="E1587" s="7">
        <v>-11.6602475324675</v>
      </c>
      <c r="F1587" s="7">
        <v>1.06007497835498</v>
      </c>
      <c r="G1587" s="7">
        <v>1.45580874458874</v>
      </c>
      <c r="H1587" s="7">
        <v>-6.37557948051948E-4</v>
      </c>
      <c r="I1587" s="7">
        <v>-3.67853600865801</v>
      </c>
      <c r="J1587" s="7">
        <v>-2.4833334025974</v>
      </c>
      <c r="K1587" s="8"/>
      <c r="L1587" s="8"/>
    </row>
    <row r="1588" ht="13.5" customHeight="1">
      <c r="A1588" s="7" t="s">
        <v>355</v>
      </c>
      <c r="B1588" s="7">
        <v>0.0</v>
      </c>
      <c r="C1588" s="7" t="s">
        <v>361</v>
      </c>
      <c r="D1588" s="7" t="s">
        <v>357</v>
      </c>
      <c r="E1588" s="7">
        <v>-11.6771038961039</v>
      </c>
      <c r="F1588" s="7">
        <v>1.0617854978355</v>
      </c>
      <c r="G1588" s="7">
        <v>1.45807316017316</v>
      </c>
      <c r="H1588" s="7">
        <v>-6.38613051948052E-4</v>
      </c>
      <c r="I1588" s="7">
        <v>-3.6853308008658</v>
      </c>
      <c r="J1588" s="7">
        <v>-2.48788045454545</v>
      </c>
      <c r="K1588" s="8"/>
      <c r="L1588" s="8"/>
    </row>
    <row r="1589" ht="13.5" customHeight="1">
      <c r="A1589" s="7" t="s">
        <v>355</v>
      </c>
      <c r="B1589" s="7">
        <v>1.75</v>
      </c>
      <c r="C1589" s="7" t="s">
        <v>361</v>
      </c>
      <c r="D1589" s="7" t="s">
        <v>357</v>
      </c>
      <c r="E1589" s="7">
        <v>-11.6939602597403</v>
      </c>
      <c r="F1589" s="7">
        <v>1.06349601731602</v>
      </c>
      <c r="G1589" s="7">
        <v>1.46033757575757</v>
      </c>
      <c r="H1589" s="7">
        <v>-6.39668155844156E-4</v>
      </c>
      <c r="I1589" s="7">
        <v>-3.6921255930736</v>
      </c>
      <c r="J1589" s="7">
        <v>-2.4924275064935</v>
      </c>
      <c r="K1589" s="8"/>
      <c r="L1589" s="8"/>
    </row>
    <row r="1590" ht="13.5" customHeight="1">
      <c r="A1590" s="7" t="s">
        <v>355</v>
      </c>
      <c r="B1590" s="7">
        <v>3.5</v>
      </c>
      <c r="C1590" s="7" t="s">
        <v>361</v>
      </c>
      <c r="D1590" s="7" t="s">
        <v>357</v>
      </c>
      <c r="E1590" s="7">
        <v>-11.7108166233766</v>
      </c>
      <c r="F1590" s="7">
        <v>1.06520653679654</v>
      </c>
      <c r="G1590" s="7">
        <v>1.46260199134199</v>
      </c>
      <c r="H1590" s="7">
        <v>-6.4072325974026E-4</v>
      </c>
      <c r="I1590" s="7">
        <v>-3.69892038528139</v>
      </c>
      <c r="J1590" s="7">
        <v>-2.49697455844155</v>
      </c>
      <c r="K1590" s="8"/>
      <c r="L1590" s="8"/>
    </row>
    <row r="1591" ht="13.5" customHeight="1">
      <c r="A1591" s="7" t="s">
        <v>355</v>
      </c>
      <c r="B1591" s="7">
        <v>0.0</v>
      </c>
      <c r="C1591" s="7" t="s">
        <v>362</v>
      </c>
      <c r="D1591" s="7" t="s">
        <v>357</v>
      </c>
      <c r="E1591" s="7">
        <v>-11.727672987013</v>
      </c>
      <c r="F1591" s="7">
        <v>1.06691705627706</v>
      </c>
      <c r="G1591" s="7">
        <v>1.46486640692641</v>
      </c>
      <c r="H1591" s="7">
        <v>-6.41778363636364E-4</v>
      </c>
      <c r="I1591" s="7">
        <v>-3.70571517748918</v>
      </c>
      <c r="J1591" s="7">
        <v>-2.50152161038961</v>
      </c>
      <c r="K1591" s="8"/>
      <c r="L1591" s="8"/>
    </row>
    <row r="1592" ht="13.5" customHeight="1">
      <c r="A1592" s="7" t="s">
        <v>355</v>
      </c>
      <c r="B1592" s="7">
        <v>1.75</v>
      </c>
      <c r="C1592" s="7" t="s">
        <v>362</v>
      </c>
      <c r="D1592" s="7" t="s">
        <v>357</v>
      </c>
      <c r="E1592" s="7">
        <v>-11.7445293506493</v>
      </c>
      <c r="F1592" s="7">
        <v>1.06862757575758</v>
      </c>
      <c r="G1592" s="7">
        <v>1.46713082251082</v>
      </c>
      <c r="H1592" s="7">
        <v>-6.42833467532468E-4</v>
      </c>
      <c r="I1592" s="7">
        <v>-3.71250996969697</v>
      </c>
      <c r="J1592" s="7">
        <v>-2.50606866233766</v>
      </c>
      <c r="K1592" s="8"/>
      <c r="L1592" s="8"/>
    </row>
    <row r="1593" ht="13.5" customHeight="1">
      <c r="A1593" s="7" t="s">
        <v>355</v>
      </c>
      <c r="B1593" s="7">
        <v>3.5</v>
      </c>
      <c r="C1593" s="7" t="s">
        <v>362</v>
      </c>
      <c r="D1593" s="7" t="s">
        <v>357</v>
      </c>
      <c r="E1593" s="7">
        <v>-11.7613857142857</v>
      </c>
      <c r="F1593" s="7">
        <v>1.0703380952381</v>
      </c>
      <c r="G1593" s="7">
        <v>1.46939523809524</v>
      </c>
      <c r="H1593" s="7">
        <v>-6.43888571428572E-4</v>
      </c>
      <c r="I1593" s="7">
        <v>-3.71930476190476</v>
      </c>
      <c r="J1593" s="7">
        <v>-2.51061571428571</v>
      </c>
      <c r="K1593" s="8"/>
      <c r="L1593" s="8"/>
    </row>
    <row r="1594" ht="13.5" customHeight="1">
      <c r="A1594" s="7" t="s">
        <v>355</v>
      </c>
      <c r="B1594" s="7">
        <v>0.0</v>
      </c>
      <c r="C1594" s="7" t="s">
        <v>363</v>
      </c>
      <c r="D1594" s="7" t="s">
        <v>357</v>
      </c>
      <c r="E1594" s="7">
        <v>-11.7782420779221</v>
      </c>
      <c r="F1594" s="7">
        <v>1.07204861471862</v>
      </c>
      <c r="G1594" s="7">
        <v>1.47165965367965</v>
      </c>
      <c r="H1594" s="7">
        <v>-6.44943675324676E-4</v>
      </c>
      <c r="I1594" s="7">
        <v>-3.72609955411256</v>
      </c>
      <c r="J1594" s="7">
        <v>-2.51516276623376</v>
      </c>
      <c r="K1594" s="8"/>
      <c r="L1594" s="8"/>
    </row>
    <row r="1595" ht="13.5" customHeight="1">
      <c r="A1595" s="7" t="s">
        <v>355</v>
      </c>
      <c r="B1595" s="7">
        <v>1.75</v>
      </c>
      <c r="C1595" s="7" t="s">
        <v>363</v>
      </c>
      <c r="D1595" s="7" t="s">
        <v>357</v>
      </c>
      <c r="E1595" s="7">
        <v>-11.7950984415584</v>
      </c>
      <c r="F1595" s="7">
        <v>1.07375913419914</v>
      </c>
      <c r="G1595" s="7">
        <v>1.47392406926407</v>
      </c>
      <c r="H1595" s="7">
        <v>-6.4599877922078E-4</v>
      </c>
      <c r="I1595" s="7">
        <v>-3.73289434632035</v>
      </c>
      <c r="J1595" s="7">
        <v>-2.51970981818181</v>
      </c>
      <c r="K1595" s="8"/>
      <c r="L1595" s="8"/>
    </row>
    <row r="1596" ht="13.5" customHeight="1">
      <c r="A1596" s="7" t="s">
        <v>355</v>
      </c>
      <c r="B1596" s="7">
        <v>3.5</v>
      </c>
      <c r="C1596" s="7" t="s">
        <v>363</v>
      </c>
      <c r="D1596" s="7" t="s">
        <v>357</v>
      </c>
      <c r="E1596" s="7">
        <v>-11.8119548051948</v>
      </c>
      <c r="F1596" s="7">
        <v>1.07546965367965</v>
      </c>
      <c r="G1596" s="7">
        <v>1.47618848484848</v>
      </c>
      <c r="H1596" s="7">
        <v>-6.47053883116883E-4</v>
      </c>
      <c r="I1596" s="7">
        <v>-3.73968913852814</v>
      </c>
      <c r="J1596" s="7">
        <v>-2.52425687012987</v>
      </c>
      <c r="K1596" s="8"/>
      <c r="L1596" s="8"/>
    </row>
    <row r="1597" ht="13.5" customHeight="1">
      <c r="A1597" s="7" t="s">
        <v>355</v>
      </c>
      <c r="B1597" s="7">
        <v>0.0</v>
      </c>
      <c r="C1597" s="7" t="s">
        <v>356</v>
      </c>
      <c r="D1597" s="7" t="s">
        <v>357</v>
      </c>
      <c r="E1597" s="7">
        <v>-11.8288111688312</v>
      </c>
      <c r="F1597" s="7">
        <v>1.07718017316017</v>
      </c>
      <c r="G1597" s="7">
        <v>1.4784529004329</v>
      </c>
      <c r="H1597" s="7">
        <v>-6.48108987012987E-4</v>
      </c>
      <c r="I1597" s="7">
        <v>-3.74648393073593</v>
      </c>
      <c r="J1597" s="7">
        <v>-2.52880392207792</v>
      </c>
      <c r="K1597" s="8"/>
      <c r="L1597" s="8"/>
    </row>
    <row r="1598" ht="13.5" customHeight="1">
      <c r="A1598" s="7" t="s">
        <v>355</v>
      </c>
      <c r="B1598" s="7">
        <v>1.75</v>
      </c>
      <c r="C1598" s="7" t="s">
        <v>356</v>
      </c>
      <c r="D1598" s="7" t="s">
        <v>357</v>
      </c>
      <c r="E1598" s="7">
        <v>-11.8456675324675</v>
      </c>
      <c r="F1598" s="7">
        <v>1.07889069264069</v>
      </c>
      <c r="G1598" s="7">
        <v>1.48071731601731</v>
      </c>
      <c r="H1598" s="7">
        <v>-6.49164090909091E-4</v>
      </c>
      <c r="I1598" s="7">
        <v>-3.75327872294373</v>
      </c>
      <c r="J1598" s="7">
        <v>-2.53335097402597</v>
      </c>
      <c r="K1598" s="8"/>
      <c r="L1598" s="8"/>
    </row>
    <row r="1599" ht="13.5" customHeight="1">
      <c r="A1599" s="7" t="s">
        <v>355</v>
      </c>
      <c r="B1599" s="7">
        <v>3.5</v>
      </c>
      <c r="C1599" s="7" t="s">
        <v>356</v>
      </c>
      <c r="D1599" s="7" t="s">
        <v>357</v>
      </c>
      <c r="E1599" s="7">
        <v>-11.8625238961039</v>
      </c>
      <c r="F1599" s="7">
        <v>1.08060121212121</v>
      </c>
      <c r="G1599" s="7">
        <v>1.48298173160173</v>
      </c>
      <c r="H1599" s="7">
        <v>-6.50219194805195E-4</v>
      </c>
      <c r="I1599" s="7">
        <v>-3.76007351515152</v>
      </c>
      <c r="J1599" s="7">
        <v>-2.53789802597402</v>
      </c>
      <c r="K1599" s="8"/>
      <c r="L1599" s="8"/>
    </row>
    <row r="1600" ht="13.5" customHeight="1">
      <c r="A1600" s="7" t="s">
        <v>355</v>
      </c>
      <c r="B1600" s="7">
        <v>0.0</v>
      </c>
      <c r="C1600" s="7" t="s">
        <v>358</v>
      </c>
      <c r="D1600" s="7" t="s">
        <v>357</v>
      </c>
      <c r="E1600" s="7">
        <v>-11.8793802597403</v>
      </c>
      <c r="F1600" s="7">
        <v>1.08231173160173</v>
      </c>
      <c r="G1600" s="7">
        <v>1.48524614718615</v>
      </c>
      <c r="H1600" s="7">
        <v>-6.51274298701299E-4</v>
      </c>
      <c r="I1600" s="7">
        <v>-3.76686830735931</v>
      </c>
      <c r="J1600" s="7">
        <v>-2.54244507792207</v>
      </c>
      <c r="K1600" s="8"/>
      <c r="L1600" s="8"/>
    </row>
    <row r="1601" ht="13.5" customHeight="1">
      <c r="A1601" s="7" t="s">
        <v>355</v>
      </c>
      <c r="B1601" s="7">
        <v>1.75</v>
      </c>
      <c r="C1601" s="7" t="s">
        <v>358</v>
      </c>
      <c r="D1601" s="7" t="s">
        <v>357</v>
      </c>
      <c r="E1601" s="7">
        <v>-11.8962366233766</v>
      </c>
      <c r="F1601" s="7">
        <v>1.08402225108225</v>
      </c>
      <c r="G1601" s="7">
        <v>1.48751056277056</v>
      </c>
      <c r="H1601" s="7">
        <v>-6.52329402597403E-4</v>
      </c>
      <c r="I1601" s="7">
        <v>-3.7736630995671</v>
      </c>
      <c r="J1601" s="7">
        <v>-2.54699212987013</v>
      </c>
      <c r="K1601" s="8"/>
      <c r="L1601" s="8"/>
    </row>
    <row r="1602" ht="13.5" customHeight="1">
      <c r="A1602" s="7" t="s">
        <v>355</v>
      </c>
      <c r="B1602" s="7">
        <v>3.5</v>
      </c>
      <c r="C1602" s="7" t="s">
        <v>358</v>
      </c>
      <c r="D1602" s="7" t="s">
        <v>357</v>
      </c>
      <c r="E1602" s="7">
        <v>-11.913092987013</v>
      </c>
      <c r="F1602" s="7">
        <v>1.08573277056277</v>
      </c>
      <c r="G1602" s="7">
        <v>1.48977497835498</v>
      </c>
      <c r="H1602" s="7">
        <v>-6.53384506493507E-4</v>
      </c>
      <c r="I1602" s="7">
        <v>-3.78045789177489</v>
      </c>
      <c r="J1602" s="7">
        <v>-2.55153918181818</v>
      </c>
      <c r="K1602" s="8"/>
      <c r="L1602" s="8"/>
    </row>
    <row r="1603" ht="13.5" customHeight="1">
      <c r="A1603" s="7" t="s">
        <v>355</v>
      </c>
      <c r="B1603" s="7">
        <v>0.0</v>
      </c>
      <c r="C1603" s="7" t="s">
        <v>359</v>
      </c>
      <c r="D1603" s="7" t="s">
        <v>357</v>
      </c>
      <c r="E1603" s="7">
        <v>-11.9299493506493</v>
      </c>
      <c r="F1603" s="7">
        <v>1.08744329004329</v>
      </c>
      <c r="G1603" s="7">
        <v>1.49203939393939</v>
      </c>
      <c r="H1603" s="7">
        <v>-6.54439610389611E-4</v>
      </c>
      <c r="I1603" s="7">
        <v>-3.78725268398269</v>
      </c>
      <c r="J1603" s="7">
        <v>-2.55608623376623</v>
      </c>
      <c r="K1603" s="8"/>
      <c r="L1603" s="8"/>
    </row>
    <row r="1604" ht="13.5" customHeight="1">
      <c r="A1604" s="7" t="s">
        <v>355</v>
      </c>
      <c r="B1604" s="7">
        <v>1.75</v>
      </c>
      <c r="C1604" s="7" t="s">
        <v>359</v>
      </c>
      <c r="D1604" s="7" t="s">
        <v>357</v>
      </c>
      <c r="E1604" s="7">
        <v>-11.9468057142857</v>
      </c>
      <c r="F1604" s="7">
        <v>1.08915380952381</v>
      </c>
      <c r="G1604" s="7">
        <v>1.49430380952381</v>
      </c>
      <c r="H1604" s="7">
        <v>-6.55494714285715E-4</v>
      </c>
      <c r="I1604" s="7">
        <v>-3.79404747619048</v>
      </c>
      <c r="J1604" s="7">
        <v>-2.56063328571428</v>
      </c>
      <c r="K1604" s="8"/>
      <c r="L1604" s="8"/>
    </row>
    <row r="1605" ht="13.5" customHeight="1">
      <c r="A1605" s="7" t="s">
        <v>355</v>
      </c>
      <c r="B1605" s="7">
        <v>3.5</v>
      </c>
      <c r="C1605" s="7" t="s">
        <v>359</v>
      </c>
      <c r="D1605" s="7" t="s">
        <v>357</v>
      </c>
      <c r="E1605" s="7">
        <v>-11.9636620779221</v>
      </c>
      <c r="F1605" s="7">
        <v>1.09086432900433</v>
      </c>
      <c r="G1605" s="7">
        <v>1.49656822510822</v>
      </c>
      <c r="H1605" s="7">
        <v>-6.56549818181819E-4</v>
      </c>
      <c r="I1605" s="7">
        <v>-3.80084226839827</v>
      </c>
      <c r="J1605" s="7">
        <v>-2.56518033766233</v>
      </c>
      <c r="K1605" s="8"/>
      <c r="L1605" s="8"/>
    </row>
    <row r="1606" ht="13.5" customHeight="1">
      <c r="A1606" s="7" t="s">
        <v>355</v>
      </c>
      <c r="B1606" s="7">
        <v>0.0</v>
      </c>
      <c r="C1606" s="7" t="s">
        <v>360</v>
      </c>
      <c r="D1606" s="7" t="s">
        <v>357</v>
      </c>
      <c r="E1606" s="7">
        <v>-11.9805184415584</v>
      </c>
      <c r="F1606" s="7">
        <v>1.09257484848485</v>
      </c>
      <c r="G1606" s="7">
        <v>1.49883264069264</v>
      </c>
      <c r="H1606" s="7">
        <v>-6.57604922077922E-4</v>
      </c>
      <c r="I1606" s="7">
        <v>-3.80763706060606</v>
      </c>
      <c r="J1606" s="7">
        <v>-2.56972738961038</v>
      </c>
      <c r="K1606" s="8"/>
      <c r="L1606" s="8"/>
    </row>
    <row r="1607" ht="13.5" customHeight="1">
      <c r="A1607" s="7" t="s">
        <v>355</v>
      </c>
      <c r="B1607" s="7">
        <v>1.75</v>
      </c>
      <c r="C1607" s="7" t="s">
        <v>360</v>
      </c>
      <c r="D1607" s="7" t="s">
        <v>357</v>
      </c>
      <c r="E1607" s="7">
        <v>-11.9973748051948</v>
      </c>
      <c r="F1607" s="7">
        <v>1.09428536796537</v>
      </c>
      <c r="G1607" s="7">
        <v>1.50109705627705</v>
      </c>
      <c r="H1607" s="7">
        <v>-6.58660025974026E-4</v>
      </c>
      <c r="I1607" s="7">
        <v>-3.81443185281386</v>
      </c>
      <c r="J1607" s="7">
        <v>-2.57427444155844</v>
      </c>
      <c r="K1607" s="8"/>
      <c r="L1607" s="8"/>
    </row>
    <row r="1608" ht="13.5" customHeight="1">
      <c r="A1608" s="7" t="s">
        <v>355</v>
      </c>
      <c r="B1608" s="7">
        <v>3.5</v>
      </c>
      <c r="C1608" s="7" t="s">
        <v>360</v>
      </c>
      <c r="D1608" s="7" t="s">
        <v>357</v>
      </c>
      <c r="E1608" s="7">
        <v>-12.0142311688312</v>
      </c>
      <c r="F1608" s="7">
        <v>1.09599588744589</v>
      </c>
      <c r="G1608" s="7">
        <v>1.50336147186147</v>
      </c>
      <c r="H1608" s="7">
        <v>-6.5971512987013E-4</v>
      </c>
      <c r="I1608" s="7">
        <v>-3.82122664502165</v>
      </c>
      <c r="J1608" s="7">
        <v>-2.57882149350649</v>
      </c>
      <c r="K1608" s="8"/>
      <c r="L1608" s="8"/>
    </row>
    <row r="1609" ht="13.5" customHeight="1">
      <c r="A1609" s="7" t="s">
        <v>355</v>
      </c>
      <c r="B1609" s="7">
        <v>0.0</v>
      </c>
      <c r="C1609" s="7" t="s">
        <v>361</v>
      </c>
      <c r="D1609" s="7" t="s">
        <v>357</v>
      </c>
      <c r="E1609" s="7">
        <v>-12.0310875324675</v>
      </c>
      <c r="F1609" s="7">
        <v>1.09770640692641</v>
      </c>
      <c r="G1609" s="7">
        <v>1.50562588744589</v>
      </c>
      <c r="H1609" s="7">
        <v>-6.60770233766234E-4</v>
      </c>
      <c r="I1609" s="7">
        <v>-3.82802143722944</v>
      </c>
      <c r="J1609" s="7">
        <v>-2.58336854545454</v>
      </c>
      <c r="K1609" s="8"/>
      <c r="L1609" s="8"/>
    </row>
    <row r="1610" ht="13.5" customHeight="1">
      <c r="A1610" s="7" t="s">
        <v>355</v>
      </c>
      <c r="B1610" s="7">
        <v>1.75</v>
      </c>
      <c r="C1610" s="7" t="s">
        <v>361</v>
      </c>
      <c r="D1610" s="7" t="s">
        <v>357</v>
      </c>
      <c r="E1610" s="7">
        <v>-12.0479438961039</v>
      </c>
      <c r="F1610" s="7">
        <v>1.09941692640693</v>
      </c>
      <c r="G1610" s="7">
        <v>1.5078903030303</v>
      </c>
      <c r="H1610" s="7">
        <v>-6.61825337662338E-4</v>
      </c>
      <c r="I1610" s="7">
        <v>-3.83481622943723</v>
      </c>
      <c r="J1610" s="7">
        <v>-2.58791559740259</v>
      </c>
      <c r="K1610" s="8"/>
      <c r="L1610" s="8"/>
    </row>
    <row r="1611" ht="13.5" customHeight="1">
      <c r="A1611" s="7" t="s">
        <v>355</v>
      </c>
      <c r="B1611" s="7">
        <v>3.5</v>
      </c>
      <c r="C1611" s="7" t="s">
        <v>361</v>
      </c>
      <c r="D1611" s="7" t="s">
        <v>357</v>
      </c>
      <c r="E1611" s="7">
        <v>-12.0648002597403</v>
      </c>
      <c r="F1611" s="7">
        <v>1.10112744588745</v>
      </c>
      <c r="G1611" s="7">
        <v>1.51015471861472</v>
      </c>
      <c r="H1611" s="7">
        <v>-6.62880441558442E-4</v>
      </c>
      <c r="I1611" s="7">
        <v>-3.84161102164502</v>
      </c>
      <c r="J1611" s="7">
        <v>-2.59246264935064</v>
      </c>
      <c r="K1611" s="8"/>
      <c r="L1611" s="8"/>
    </row>
    <row r="1612" ht="13.5" customHeight="1">
      <c r="A1612" s="7" t="s">
        <v>355</v>
      </c>
      <c r="B1612" s="7">
        <v>0.0</v>
      </c>
      <c r="C1612" s="7" t="s">
        <v>362</v>
      </c>
      <c r="D1612" s="7" t="s">
        <v>357</v>
      </c>
      <c r="E1612" s="7">
        <v>-12.0816566233766</v>
      </c>
      <c r="F1612" s="7">
        <v>1.10283796536797</v>
      </c>
      <c r="G1612" s="7">
        <v>1.51241913419913</v>
      </c>
      <c r="H1612" s="7">
        <v>-6.63935545454546E-4</v>
      </c>
      <c r="I1612" s="7">
        <v>-3.84840581385282</v>
      </c>
      <c r="J1612" s="7">
        <v>-2.5970097012987</v>
      </c>
      <c r="K1612" s="8"/>
      <c r="L1612" s="8"/>
    </row>
    <row r="1613" ht="13.5" customHeight="1">
      <c r="A1613" s="7" t="s">
        <v>355</v>
      </c>
      <c r="B1613" s="7">
        <v>1.75</v>
      </c>
      <c r="C1613" s="7" t="s">
        <v>362</v>
      </c>
      <c r="D1613" s="7" t="s">
        <v>357</v>
      </c>
      <c r="E1613" s="7">
        <v>-12.098512987013</v>
      </c>
      <c r="F1613" s="7">
        <v>1.10454848484849</v>
      </c>
      <c r="G1613" s="7">
        <v>1.51468354978355</v>
      </c>
      <c r="H1613" s="7">
        <v>-6.6499064935065E-4</v>
      </c>
      <c r="I1613" s="7">
        <v>-3.85520060606061</v>
      </c>
      <c r="J1613" s="7">
        <v>-2.60155675324675</v>
      </c>
      <c r="K1613" s="8"/>
      <c r="L1613" s="8"/>
    </row>
    <row r="1614" ht="13.5" customHeight="1">
      <c r="A1614" s="7" t="s">
        <v>355</v>
      </c>
      <c r="B1614" s="7">
        <v>3.5</v>
      </c>
      <c r="C1614" s="7" t="s">
        <v>362</v>
      </c>
      <c r="D1614" s="7" t="s">
        <v>357</v>
      </c>
      <c r="E1614" s="7">
        <v>-12.1153693506493</v>
      </c>
      <c r="F1614" s="7">
        <v>1.10625900432901</v>
      </c>
      <c r="G1614" s="7">
        <v>1.51694796536796</v>
      </c>
      <c r="H1614" s="7">
        <v>-6.66045753246754E-4</v>
      </c>
      <c r="I1614" s="7">
        <v>-3.8619953982684</v>
      </c>
      <c r="J1614" s="7">
        <v>-2.6061038051948</v>
      </c>
      <c r="K1614" s="8"/>
      <c r="L1614" s="8"/>
    </row>
    <row r="1615" ht="13.5" customHeight="1">
      <c r="A1615" s="7" t="s">
        <v>355</v>
      </c>
      <c r="B1615" s="7">
        <v>0.0</v>
      </c>
      <c r="C1615" s="7" t="s">
        <v>363</v>
      </c>
      <c r="D1615" s="7" t="s">
        <v>357</v>
      </c>
      <c r="E1615" s="7">
        <v>-12.1322257142857</v>
      </c>
      <c r="F1615" s="7">
        <v>1.10796952380953</v>
      </c>
      <c r="G1615" s="7">
        <v>1.51921238095238</v>
      </c>
      <c r="H1615" s="7">
        <v>-6.67100857142857E-4</v>
      </c>
      <c r="I1615" s="7">
        <v>-3.86879019047619</v>
      </c>
      <c r="J1615" s="7">
        <v>-2.61065085714285</v>
      </c>
      <c r="K1615" s="8"/>
      <c r="L1615" s="8"/>
    </row>
    <row r="1616" ht="13.5" customHeight="1">
      <c r="A1616" s="7" t="s">
        <v>355</v>
      </c>
      <c r="B1616" s="7">
        <v>1.75</v>
      </c>
      <c r="C1616" s="7" t="s">
        <v>363</v>
      </c>
      <c r="D1616" s="7" t="s">
        <v>357</v>
      </c>
      <c r="E1616" s="7">
        <v>-12.1490820779221</v>
      </c>
      <c r="F1616" s="7">
        <v>1.10968004329004</v>
      </c>
      <c r="G1616" s="7">
        <v>1.5214767965368</v>
      </c>
      <c r="H1616" s="7">
        <v>-6.68155961038961E-4</v>
      </c>
      <c r="I1616" s="7">
        <v>-3.87558498268399</v>
      </c>
      <c r="J1616" s="7">
        <v>-2.6151979090909</v>
      </c>
      <c r="K1616" s="8"/>
      <c r="L1616" s="8"/>
    </row>
    <row r="1617" ht="13.5" customHeight="1">
      <c r="A1617" s="7" t="s">
        <v>355</v>
      </c>
      <c r="B1617" s="7">
        <v>3.5</v>
      </c>
      <c r="C1617" s="7" t="s">
        <v>363</v>
      </c>
      <c r="D1617" s="7" t="s">
        <v>357</v>
      </c>
      <c r="E1617" s="7">
        <v>-12.1659384415584</v>
      </c>
      <c r="F1617" s="7">
        <v>1.11139056277056</v>
      </c>
      <c r="G1617" s="7">
        <v>1.52374121212121</v>
      </c>
      <c r="H1617" s="7">
        <v>-6.69211064935065E-4</v>
      </c>
      <c r="I1617" s="7">
        <v>-3.88237977489178</v>
      </c>
      <c r="J1617" s="7">
        <v>-2.61974496103896</v>
      </c>
      <c r="K1617" s="8"/>
      <c r="L1617" s="8"/>
    </row>
    <row r="1618" ht="13.5" customHeight="1">
      <c r="A1618" s="7" t="s">
        <v>355</v>
      </c>
      <c r="B1618" s="7">
        <v>0.0</v>
      </c>
      <c r="C1618" s="7" t="s">
        <v>356</v>
      </c>
      <c r="D1618" s="7" t="s">
        <v>357</v>
      </c>
      <c r="E1618" s="7">
        <v>-12.1827948051948</v>
      </c>
      <c r="F1618" s="7">
        <v>1.11310108225109</v>
      </c>
      <c r="G1618" s="7">
        <v>1.52600562770563</v>
      </c>
      <c r="H1618" s="7">
        <v>-6.70266168831169E-4</v>
      </c>
      <c r="I1618" s="7">
        <v>-3.88917456709957</v>
      </c>
      <c r="J1618" s="7">
        <v>-2.62429201298701</v>
      </c>
      <c r="K1618" s="8"/>
      <c r="L1618" s="8"/>
    </row>
    <row r="1619" ht="13.5" customHeight="1">
      <c r="A1619" s="7" t="s">
        <v>355</v>
      </c>
      <c r="B1619" s="7">
        <v>1.75</v>
      </c>
      <c r="C1619" s="7" t="s">
        <v>356</v>
      </c>
      <c r="D1619" s="7" t="s">
        <v>357</v>
      </c>
      <c r="E1619" s="7">
        <v>-12.1996511688312</v>
      </c>
      <c r="F1619" s="7">
        <v>1.11481160173161</v>
      </c>
      <c r="G1619" s="7">
        <v>1.52827004329004</v>
      </c>
      <c r="H1619" s="7">
        <v>-6.71321272727273E-4</v>
      </c>
      <c r="I1619" s="7">
        <v>-3.89596935930736</v>
      </c>
      <c r="J1619" s="7">
        <v>-2.62883906493506</v>
      </c>
      <c r="K1619" s="8"/>
      <c r="L1619" s="8"/>
    </row>
    <row r="1620" ht="13.5" customHeight="1">
      <c r="A1620" s="7" t="s">
        <v>355</v>
      </c>
      <c r="B1620" s="7">
        <v>3.5</v>
      </c>
      <c r="C1620" s="7" t="s">
        <v>356</v>
      </c>
      <c r="D1620" s="7" t="s">
        <v>357</v>
      </c>
      <c r="E1620" s="7">
        <v>-12.2165075324675</v>
      </c>
      <c r="F1620" s="7">
        <v>1.11652212121213</v>
      </c>
      <c r="G1620" s="7">
        <v>1.53053445887446</v>
      </c>
      <c r="H1620" s="7">
        <v>-6.72376376623377E-4</v>
      </c>
      <c r="I1620" s="7">
        <v>-3.90276415151515</v>
      </c>
      <c r="J1620" s="7">
        <v>-2.63338611688311</v>
      </c>
      <c r="K1620" s="8"/>
      <c r="L1620" s="8"/>
    </row>
    <row r="1621" ht="13.5" customHeight="1">
      <c r="A1621" s="7" t="s">
        <v>355</v>
      </c>
      <c r="B1621" s="7">
        <v>0.0</v>
      </c>
      <c r="C1621" s="7" t="s">
        <v>358</v>
      </c>
      <c r="D1621" s="7" t="s">
        <v>357</v>
      </c>
      <c r="E1621" s="7">
        <v>-12.2333638961039</v>
      </c>
      <c r="F1621" s="7">
        <v>1.11823264069265</v>
      </c>
      <c r="G1621" s="7">
        <v>1.53279887445887</v>
      </c>
      <c r="H1621" s="7">
        <v>-6.73431480519481E-4</v>
      </c>
      <c r="I1621" s="7">
        <v>-3.90955894372295</v>
      </c>
      <c r="J1621" s="7">
        <v>-2.63793316883116</v>
      </c>
      <c r="K1621" s="8"/>
      <c r="L1621" s="8"/>
    </row>
    <row r="1622" ht="13.5" customHeight="1">
      <c r="A1622" s="7" t="s">
        <v>355</v>
      </c>
      <c r="B1622" s="7">
        <v>1.75</v>
      </c>
      <c r="C1622" s="7" t="s">
        <v>358</v>
      </c>
      <c r="D1622" s="7" t="s">
        <v>357</v>
      </c>
      <c r="E1622" s="7">
        <v>-12.2502202597403</v>
      </c>
      <c r="F1622" s="7">
        <v>1.11994316017317</v>
      </c>
      <c r="G1622" s="7">
        <v>1.53506329004329</v>
      </c>
      <c r="H1622" s="7">
        <v>-6.74486584415585E-4</v>
      </c>
      <c r="I1622" s="7">
        <v>-3.91635373593074</v>
      </c>
      <c r="J1622" s="7">
        <v>-2.64248022077922</v>
      </c>
      <c r="K1622" s="8"/>
      <c r="L1622" s="8"/>
    </row>
    <row r="1623" ht="13.5" customHeight="1">
      <c r="A1623" s="7" t="s">
        <v>355</v>
      </c>
      <c r="B1623" s="7">
        <v>3.5</v>
      </c>
      <c r="C1623" s="7" t="s">
        <v>358</v>
      </c>
      <c r="D1623" s="7" t="s">
        <v>357</v>
      </c>
      <c r="E1623" s="7">
        <v>-12.2670766233766</v>
      </c>
      <c r="F1623" s="7">
        <v>1.12165367965368</v>
      </c>
      <c r="G1623" s="7">
        <v>1.5373277056277</v>
      </c>
      <c r="H1623" s="7">
        <v>-6.75541688311689E-4</v>
      </c>
      <c r="I1623" s="7">
        <v>-3.92314852813853</v>
      </c>
      <c r="J1623" s="7">
        <v>-2.64702727272727</v>
      </c>
      <c r="K1623" s="8"/>
      <c r="L1623" s="8"/>
    </row>
    <row r="1624" ht="13.5" customHeight="1">
      <c r="A1624" s="7" t="s">
        <v>355</v>
      </c>
      <c r="B1624" s="7">
        <v>0.0</v>
      </c>
      <c r="C1624" s="7" t="s">
        <v>359</v>
      </c>
      <c r="D1624" s="7" t="s">
        <v>357</v>
      </c>
      <c r="E1624" s="7">
        <v>-12.283932987013</v>
      </c>
      <c r="F1624" s="7">
        <v>1.1233641991342</v>
      </c>
      <c r="G1624" s="7">
        <v>1.53959212121212</v>
      </c>
      <c r="H1624" s="7">
        <v>-6.76596792207793E-4</v>
      </c>
      <c r="I1624" s="7">
        <v>-3.92994332034632</v>
      </c>
      <c r="J1624" s="7">
        <v>-2.65157432467532</v>
      </c>
      <c r="K1624" s="8"/>
      <c r="L1624" s="8"/>
    </row>
    <row r="1625" ht="13.5" customHeight="1">
      <c r="A1625" s="7" t="s">
        <v>355</v>
      </c>
      <c r="B1625" s="7">
        <v>1.75</v>
      </c>
      <c r="C1625" s="7" t="s">
        <v>359</v>
      </c>
      <c r="D1625" s="7" t="s">
        <v>357</v>
      </c>
      <c r="E1625" s="7">
        <v>-12.3007893506493</v>
      </c>
      <c r="F1625" s="7">
        <v>1.12507471861472</v>
      </c>
      <c r="G1625" s="7">
        <v>1.54185653679654</v>
      </c>
      <c r="H1625" s="7">
        <v>-6.77651896103896E-4</v>
      </c>
      <c r="I1625" s="7">
        <v>-3.93673811255412</v>
      </c>
      <c r="J1625" s="7">
        <v>-2.65612137662337</v>
      </c>
      <c r="K1625" s="8"/>
      <c r="L1625" s="8"/>
    </row>
    <row r="1626" ht="13.5" customHeight="1">
      <c r="A1626" s="7" t="s">
        <v>355</v>
      </c>
      <c r="B1626" s="7">
        <v>3.5</v>
      </c>
      <c r="C1626" s="7" t="s">
        <v>359</v>
      </c>
      <c r="D1626" s="7" t="s">
        <v>357</v>
      </c>
      <c r="E1626" s="7">
        <v>-12.3176457142857</v>
      </c>
      <c r="F1626" s="7">
        <v>1.12678523809524</v>
      </c>
      <c r="G1626" s="7">
        <v>1.54412095238095</v>
      </c>
      <c r="H1626" s="7">
        <v>-6.78707E-4</v>
      </c>
      <c r="I1626" s="7">
        <v>-3.94353290476191</v>
      </c>
      <c r="J1626" s="7">
        <v>-2.66066842857142</v>
      </c>
      <c r="K1626" s="8"/>
      <c r="L1626" s="8"/>
    </row>
    <row r="1627" ht="13.5" customHeight="1">
      <c r="A1627" s="7" t="s">
        <v>355</v>
      </c>
      <c r="B1627" s="7">
        <v>0.0</v>
      </c>
      <c r="C1627" s="7" t="s">
        <v>360</v>
      </c>
      <c r="D1627" s="7" t="s">
        <v>357</v>
      </c>
      <c r="E1627" s="7">
        <v>-12.3345020779221</v>
      </c>
      <c r="F1627" s="7">
        <v>1.12849575757576</v>
      </c>
      <c r="G1627" s="7">
        <v>1.54638536796537</v>
      </c>
      <c r="H1627" s="7">
        <v>-6.79762103896104E-4</v>
      </c>
      <c r="I1627" s="7">
        <v>-3.9503276969697</v>
      </c>
      <c r="J1627" s="7">
        <v>-2.66521548051948</v>
      </c>
      <c r="K1627" s="8"/>
      <c r="L1627" s="8"/>
    </row>
    <row r="1628" ht="13.5" customHeight="1">
      <c r="A1628" s="7" t="s">
        <v>355</v>
      </c>
      <c r="B1628" s="7">
        <v>1.75</v>
      </c>
      <c r="C1628" s="7" t="s">
        <v>360</v>
      </c>
      <c r="D1628" s="7" t="s">
        <v>357</v>
      </c>
      <c r="E1628" s="7">
        <v>-12.3513584415585</v>
      </c>
      <c r="F1628" s="7">
        <v>1.13020627705628</v>
      </c>
      <c r="G1628" s="7">
        <v>1.54864978354978</v>
      </c>
      <c r="H1628" s="7">
        <v>-6.80817207792208E-4</v>
      </c>
      <c r="I1628" s="7">
        <v>-3.95712248917749</v>
      </c>
      <c r="J1628" s="7">
        <v>-2.66976253246753</v>
      </c>
      <c r="K1628" s="8"/>
      <c r="L1628" s="8"/>
    </row>
    <row r="1629" ht="13.5" customHeight="1">
      <c r="A1629" s="7" t="s">
        <v>355</v>
      </c>
      <c r="B1629" s="7">
        <v>3.5</v>
      </c>
      <c r="C1629" s="7" t="s">
        <v>360</v>
      </c>
      <c r="D1629" s="7" t="s">
        <v>357</v>
      </c>
      <c r="E1629" s="7">
        <v>-12.3682148051948</v>
      </c>
      <c r="F1629" s="7">
        <v>1.1319167965368</v>
      </c>
      <c r="G1629" s="7">
        <v>1.5509141991342</v>
      </c>
      <c r="H1629" s="7">
        <v>-6.81872311688312E-4</v>
      </c>
      <c r="I1629" s="7">
        <v>-3.96391728138528</v>
      </c>
      <c r="J1629" s="7">
        <v>-2.67430958441558</v>
      </c>
      <c r="K1629" s="8"/>
      <c r="L1629" s="8"/>
    </row>
    <row r="1630" ht="13.5" customHeight="1">
      <c r="A1630" s="7" t="s">
        <v>355</v>
      </c>
      <c r="B1630" s="7">
        <v>0.0</v>
      </c>
      <c r="C1630" s="7" t="s">
        <v>361</v>
      </c>
      <c r="D1630" s="7" t="s">
        <v>357</v>
      </c>
      <c r="E1630" s="7">
        <v>-12.3850711688312</v>
      </c>
      <c r="F1630" s="7">
        <v>1.13362731601732</v>
      </c>
      <c r="G1630" s="7">
        <v>1.55317861471861</v>
      </c>
      <c r="H1630" s="7">
        <v>-6.82927415584416E-4</v>
      </c>
      <c r="I1630" s="7">
        <v>-3.97071207359308</v>
      </c>
      <c r="J1630" s="7">
        <v>-2.67885663636363</v>
      </c>
      <c r="K1630" s="8"/>
      <c r="L1630" s="8"/>
    </row>
    <row r="1631" ht="13.5" customHeight="1">
      <c r="A1631" s="7" t="s">
        <v>355</v>
      </c>
      <c r="B1631" s="7">
        <v>1.75</v>
      </c>
      <c r="C1631" s="7" t="s">
        <v>361</v>
      </c>
      <c r="D1631" s="7" t="s">
        <v>357</v>
      </c>
      <c r="E1631" s="7">
        <v>-12.4019275324676</v>
      </c>
      <c r="F1631" s="7">
        <v>1.13533783549784</v>
      </c>
      <c r="G1631" s="7">
        <v>1.55544303030303</v>
      </c>
      <c r="H1631" s="7">
        <v>-6.8398251948052E-4</v>
      </c>
      <c r="I1631" s="7">
        <v>-3.97750686580087</v>
      </c>
      <c r="J1631" s="7">
        <v>-2.68340368831168</v>
      </c>
      <c r="K1631" s="8"/>
      <c r="L1631" s="8"/>
    </row>
    <row r="1632" ht="13.5" customHeight="1">
      <c r="A1632" s="7" t="s">
        <v>355</v>
      </c>
      <c r="B1632" s="7">
        <v>3.5</v>
      </c>
      <c r="C1632" s="7" t="s">
        <v>361</v>
      </c>
      <c r="D1632" s="7" t="s">
        <v>357</v>
      </c>
      <c r="E1632" s="7">
        <v>-12.4187838961039</v>
      </c>
      <c r="F1632" s="7">
        <v>1.13704835497836</v>
      </c>
      <c r="G1632" s="7">
        <v>1.55770744588744</v>
      </c>
      <c r="H1632" s="7">
        <v>-6.85037623376624E-4</v>
      </c>
      <c r="I1632" s="7">
        <v>-3.98430165800866</v>
      </c>
      <c r="J1632" s="7">
        <v>-2.68795074025974</v>
      </c>
      <c r="K1632" s="8"/>
      <c r="L1632" s="8"/>
    </row>
    <row r="1633" ht="13.5" customHeight="1">
      <c r="A1633" s="7" t="s">
        <v>355</v>
      </c>
      <c r="B1633" s="7">
        <v>0.0</v>
      </c>
      <c r="C1633" s="7" t="s">
        <v>362</v>
      </c>
      <c r="D1633" s="7" t="s">
        <v>357</v>
      </c>
      <c r="E1633" s="7">
        <v>-12.4356402597403</v>
      </c>
      <c r="F1633" s="7">
        <v>1.13875887445888</v>
      </c>
      <c r="G1633" s="7">
        <v>1.55997186147186</v>
      </c>
      <c r="H1633" s="7">
        <v>-6.86092727272728E-4</v>
      </c>
      <c r="I1633" s="7">
        <v>-3.99109645021645</v>
      </c>
      <c r="J1633" s="7">
        <v>-2.69249779220779</v>
      </c>
      <c r="K1633" s="8"/>
      <c r="L1633" s="8"/>
    </row>
    <row r="1634" ht="13.5" customHeight="1">
      <c r="A1634" s="7" t="s">
        <v>355</v>
      </c>
      <c r="B1634" s="7">
        <v>1.75</v>
      </c>
      <c r="C1634" s="7" t="s">
        <v>362</v>
      </c>
      <c r="D1634" s="7" t="s">
        <v>357</v>
      </c>
      <c r="E1634" s="7">
        <v>-12.4524966233766</v>
      </c>
      <c r="F1634" s="7">
        <v>1.1404693939394</v>
      </c>
      <c r="G1634" s="7">
        <v>1.56223627705628</v>
      </c>
      <c r="H1634" s="7">
        <v>-6.87147831168832E-4</v>
      </c>
      <c r="I1634" s="7">
        <v>-3.99789124242425</v>
      </c>
      <c r="J1634" s="7">
        <v>-2.69704484415584</v>
      </c>
      <c r="K1634" s="8"/>
      <c r="L1634" s="8"/>
    </row>
    <row r="1635" ht="13.5" customHeight="1">
      <c r="A1635" s="7" t="s">
        <v>355</v>
      </c>
      <c r="B1635" s="7">
        <v>3.5</v>
      </c>
      <c r="C1635" s="7" t="s">
        <v>362</v>
      </c>
      <c r="D1635" s="7" t="s">
        <v>357</v>
      </c>
      <c r="E1635" s="7">
        <v>-12.469352987013</v>
      </c>
      <c r="F1635" s="7">
        <v>1.14217991341992</v>
      </c>
      <c r="G1635" s="7">
        <v>1.56450069264069</v>
      </c>
      <c r="H1635" s="7">
        <v>-6.88202935064935E-4</v>
      </c>
      <c r="I1635" s="7">
        <v>-4.00468603463204</v>
      </c>
      <c r="J1635" s="7">
        <v>-2.70159189610389</v>
      </c>
      <c r="K1635" s="8"/>
      <c r="L1635" s="8"/>
    </row>
    <row r="1636" ht="13.5" customHeight="1">
      <c r="A1636" s="7" t="s">
        <v>355</v>
      </c>
      <c r="B1636" s="7">
        <v>0.0</v>
      </c>
      <c r="C1636" s="7" t="s">
        <v>363</v>
      </c>
      <c r="D1636" s="7" t="s">
        <v>357</v>
      </c>
      <c r="E1636" s="7">
        <v>-12.4862093506494</v>
      </c>
      <c r="F1636" s="7">
        <v>1.14389043290044</v>
      </c>
      <c r="G1636" s="7">
        <v>1.56676510822511</v>
      </c>
      <c r="H1636" s="7">
        <v>-6.89258038961039E-4</v>
      </c>
      <c r="I1636" s="7">
        <v>-4.01148082683983</v>
      </c>
      <c r="J1636" s="7">
        <v>-2.70613894805194</v>
      </c>
      <c r="K1636" s="8"/>
      <c r="L1636" s="8"/>
    </row>
    <row r="1637" ht="13.5" customHeight="1">
      <c r="A1637" s="7" t="s">
        <v>355</v>
      </c>
      <c r="B1637" s="7">
        <v>1.75</v>
      </c>
      <c r="C1637" s="7" t="s">
        <v>363</v>
      </c>
      <c r="D1637" s="7" t="s">
        <v>357</v>
      </c>
      <c r="E1637" s="7">
        <v>-12.5030657142857</v>
      </c>
      <c r="F1637" s="7">
        <v>1.14560095238096</v>
      </c>
      <c r="G1637" s="7">
        <v>1.56902952380952</v>
      </c>
      <c r="H1637" s="7">
        <v>-6.90313142857143E-4</v>
      </c>
      <c r="I1637" s="7">
        <v>-4.01827561904762</v>
      </c>
      <c r="J1637" s="7">
        <v>-2.710686</v>
      </c>
      <c r="K1637" s="8"/>
      <c r="L1637" s="8"/>
    </row>
    <row r="1638" ht="13.5" customHeight="1">
      <c r="A1638" s="7" t="s">
        <v>355</v>
      </c>
      <c r="B1638" s="7">
        <v>3.5</v>
      </c>
      <c r="C1638" s="7" t="s">
        <v>363</v>
      </c>
      <c r="D1638" s="7" t="s">
        <v>357</v>
      </c>
      <c r="E1638" s="7">
        <v>-12.5199220779221</v>
      </c>
      <c r="F1638" s="7">
        <v>1.14731147186148</v>
      </c>
      <c r="G1638" s="7">
        <v>1.57129393939394</v>
      </c>
      <c r="H1638" s="7">
        <v>-6.91368246753247E-4</v>
      </c>
      <c r="I1638" s="7">
        <v>-4.02507041125541</v>
      </c>
      <c r="J1638" s="7">
        <v>-2.71523305194805</v>
      </c>
      <c r="K1638" s="8"/>
      <c r="L1638" s="8"/>
    </row>
    <row r="1639" ht="13.5" customHeight="1">
      <c r="A1639" s="7" t="s">
        <v>355</v>
      </c>
      <c r="B1639" s="7">
        <v>0.0</v>
      </c>
      <c r="C1639" s="7" t="s">
        <v>356</v>
      </c>
      <c r="D1639" s="7" t="s">
        <v>357</v>
      </c>
      <c r="E1639" s="7">
        <v>-12.5367784415585</v>
      </c>
      <c r="F1639" s="7">
        <v>1.149021991342</v>
      </c>
      <c r="G1639" s="7">
        <v>1.57355835497835</v>
      </c>
      <c r="H1639" s="7">
        <v>-6.92423350649351E-4</v>
      </c>
      <c r="I1639" s="7">
        <v>-4.03186520346321</v>
      </c>
      <c r="J1639" s="7">
        <v>-2.7197801038961</v>
      </c>
      <c r="K1639" s="8"/>
      <c r="L1639" s="8"/>
    </row>
    <row r="1640" ht="13.5" customHeight="1">
      <c r="A1640" s="7" t="s">
        <v>355</v>
      </c>
      <c r="B1640" s="7">
        <v>1.75</v>
      </c>
      <c r="C1640" s="7" t="s">
        <v>356</v>
      </c>
      <c r="D1640" s="7" t="s">
        <v>357</v>
      </c>
      <c r="E1640" s="7">
        <v>-12.5536348051948</v>
      </c>
      <c r="F1640" s="7">
        <v>1.15073251082252</v>
      </c>
      <c r="G1640" s="7">
        <v>1.57582277056277</v>
      </c>
      <c r="H1640" s="7">
        <v>-6.93478454545455E-4</v>
      </c>
      <c r="I1640" s="7">
        <v>-4.038659995671</v>
      </c>
      <c r="J1640" s="7">
        <v>-2.72432715584415</v>
      </c>
      <c r="K1640" s="8"/>
      <c r="L1640" s="8"/>
    </row>
    <row r="1641" ht="13.5" customHeight="1">
      <c r="A1641" s="7" t="s">
        <v>355</v>
      </c>
      <c r="B1641" s="7">
        <v>3.5</v>
      </c>
      <c r="C1641" s="7" t="s">
        <v>356</v>
      </c>
      <c r="D1641" s="7" t="s">
        <v>357</v>
      </c>
      <c r="E1641" s="7">
        <v>-12.5704911688312</v>
      </c>
      <c r="F1641" s="7">
        <v>1.15244303030304</v>
      </c>
      <c r="G1641" s="7">
        <v>1.57808718614718</v>
      </c>
      <c r="H1641" s="7">
        <v>-6.94533558441559E-4</v>
      </c>
      <c r="I1641" s="7">
        <v>-4.04545478787879</v>
      </c>
      <c r="J1641" s="7">
        <v>-2.7288742077922</v>
      </c>
      <c r="K1641" s="8"/>
      <c r="L1641" s="8"/>
    </row>
    <row r="1642" ht="13.5" customHeight="1">
      <c r="A1642" s="7" t="s">
        <v>355</v>
      </c>
      <c r="B1642" s="7">
        <v>0.0</v>
      </c>
      <c r="C1642" s="7" t="s">
        <v>358</v>
      </c>
      <c r="D1642" s="7" t="s">
        <v>357</v>
      </c>
      <c r="E1642" s="7">
        <v>-12.5873475324676</v>
      </c>
      <c r="F1642" s="7">
        <v>1.15415354978355</v>
      </c>
      <c r="G1642" s="7">
        <v>1.5803516017316</v>
      </c>
      <c r="H1642" s="7">
        <v>-6.95588662337663E-4</v>
      </c>
      <c r="I1642" s="7">
        <v>-4.05224958008658</v>
      </c>
      <c r="J1642" s="7">
        <v>-2.73342125974026</v>
      </c>
      <c r="K1642" s="8"/>
      <c r="L1642" s="8"/>
    </row>
    <row r="1643" ht="13.5" customHeight="1">
      <c r="A1643" s="7" t="s">
        <v>355</v>
      </c>
      <c r="B1643" s="7">
        <v>1.75</v>
      </c>
      <c r="C1643" s="7" t="s">
        <v>358</v>
      </c>
      <c r="D1643" s="7" t="s">
        <v>357</v>
      </c>
      <c r="E1643" s="7">
        <v>-12.6042038961039</v>
      </c>
      <c r="F1643" s="7">
        <v>1.15586406926407</v>
      </c>
      <c r="G1643" s="7">
        <v>1.58261601731602</v>
      </c>
      <c r="H1643" s="7">
        <v>-6.96643766233767E-4</v>
      </c>
      <c r="I1643" s="7">
        <v>-4.05904437229438</v>
      </c>
      <c r="J1643" s="7">
        <v>-2.73796831168831</v>
      </c>
      <c r="K1643" s="8"/>
      <c r="L1643" s="8"/>
    </row>
    <row r="1644" ht="13.5" customHeight="1">
      <c r="A1644" s="7" t="s">
        <v>355</v>
      </c>
      <c r="B1644" s="7">
        <v>3.5</v>
      </c>
      <c r="C1644" s="7" t="s">
        <v>358</v>
      </c>
      <c r="D1644" s="7" t="s">
        <v>357</v>
      </c>
      <c r="E1644" s="7">
        <v>-12.6210602597403</v>
      </c>
      <c r="F1644" s="7">
        <v>1.15757458874459</v>
      </c>
      <c r="G1644" s="7">
        <v>1.58488043290043</v>
      </c>
      <c r="H1644" s="7">
        <v>-6.9769887012987E-4</v>
      </c>
      <c r="I1644" s="7">
        <v>-4.06583916450217</v>
      </c>
      <c r="J1644" s="7">
        <v>-2.74251536363636</v>
      </c>
      <c r="K1644" s="8"/>
      <c r="L1644" s="8"/>
    </row>
    <row r="1645" ht="13.5" customHeight="1">
      <c r="A1645" s="7" t="s">
        <v>355</v>
      </c>
      <c r="B1645" s="7">
        <v>0.0</v>
      </c>
      <c r="C1645" s="7" t="s">
        <v>359</v>
      </c>
      <c r="D1645" s="7" t="s">
        <v>357</v>
      </c>
      <c r="E1645" s="7">
        <v>-12.6379166233766</v>
      </c>
      <c r="F1645" s="7">
        <v>1.15928510822511</v>
      </c>
      <c r="G1645" s="7">
        <v>1.58714484848485</v>
      </c>
      <c r="H1645" s="7">
        <v>-6.98753974025974E-4</v>
      </c>
      <c r="I1645" s="7">
        <v>-4.07263395670996</v>
      </c>
      <c r="J1645" s="7">
        <v>-2.74706241558441</v>
      </c>
      <c r="K1645" s="8"/>
      <c r="L1645" s="8"/>
    </row>
    <row r="1646" ht="13.5" customHeight="1">
      <c r="A1646" s="7" t="s">
        <v>355</v>
      </c>
      <c r="B1646" s="7">
        <v>1.75</v>
      </c>
      <c r="C1646" s="7" t="s">
        <v>359</v>
      </c>
      <c r="D1646" s="7" t="s">
        <v>357</v>
      </c>
      <c r="E1646" s="7">
        <v>-12.654772987013</v>
      </c>
      <c r="F1646" s="7">
        <v>1.16099562770563</v>
      </c>
      <c r="G1646" s="7">
        <v>1.58940926406926</v>
      </c>
      <c r="H1646" s="7">
        <v>-6.99809077922078E-4</v>
      </c>
      <c r="I1646" s="7">
        <v>-4.07942874891775</v>
      </c>
      <c r="J1646" s="7">
        <v>-2.75160946753246</v>
      </c>
      <c r="K1646" s="8"/>
      <c r="L1646" s="8"/>
    </row>
    <row r="1647" ht="13.5" customHeight="1">
      <c r="A1647" s="7" t="s">
        <v>355</v>
      </c>
      <c r="B1647" s="7">
        <v>3.5</v>
      </c>
      <c r="C1647" s="7" t="s">
        <v>359</v>
      </c>
      <c r="D1647" s="7" t="s">
        <v>357</v>
      </c>
      <c r="E1647" s="7">
        <v>-12.6716293506494</v>
      </c>
      <c r="F1647" s="7">
        <v>1.16270614718615</v>
      </c>
      <c r="G1647" s="7">
        <v>1.59167367965368</v>
      </c>
      <c r="H1647" s="7">
        <v>-7.00864181818182E-4</v>
      </c>
      <c r="I1647" s="7">
        <v>-4.08622354112554</v>
      </c>
      <c r="J1647" s="7">
        <v>-2.75615651948051</v>
      </c>
      <c r="K1647" s="8"/>
      <c r="L1647" s="8"/>
    </row>
    <row r="1648" ht="13.5" customHeight="1">
      <c r="A1648" s="7" t="s">
        <v>355</v>
      </c>
      <c r="B1648" s="7">
        <v>0.0</v>
      </c>
      <c r="C1648" s="7" t="s">
        <v>360</v>
      </c>
      <c r="D1648" s="7" t="s">
        <v>357</v>
      </c>
      <c r="E1648" s="7">
        <v>-12.6884857142857</v>
      </c>
      <c r="F1648" s="7">
        <v>1.16441666666667</v>
      </c>
      <c r="G1648" s="7">
        <v>1.59393809523809</v>
      </c>
      <c r="H1648" s="7">
        <v>-7.01919285714286E-4</v>
      </c>
      <c r="I1648" s="7">
        <v>-4.09301833333334</v>
      </c>
      <c r="J1648" s="7">
        <v>-2.76070357142857</v>
      </c>
      <c r="K1648" s="8"/>
      <c r="L1648" s="8"/>
    </row>
    <row r="1649" ht="13.5" customHeight="1">
      <c r="A1649" s="7" t="s">
        <v>355</v>
      </c>
      <c r="B1649" s="7">
        <v>1.75</v>
      </c>
      <c r="C1649" s="7" t="s">
        <v>360</v>
      </c>
      <c r="D1649" s="7" t="s">
        <v>357</v>
      </c>
      <c r="E1649" s="7">
        <v>-12.7053420779221</v>
      </c>
      <c r="F1649" s="7">
        <v>1.16612718614719</v>
      </c>
      <c r="G1649" s="7">
        <v>1.59620251082251</v>
      </c>
      <c r="H1649" s="7">
        <v>-7.0297438961039E-4</v>
      </c>
      <c r="I1649" s="7">
        <v>-4.09981312554113</v>
      </c>
      <c r="J1649" s="7">
        <v>-2.76525062337662</v>
      </c>
      <c r="K1649" s="8"/>
      <c r="L1649" s="8"/>
    </row>
    <row r="1650" ht="13.5" customHeight="1">
      <c r="A1650" s="7" t="s">
        <v>355</v>
      </c>
      <c r="B1650" s="7">
        <v>3.5</v>
      </c>
      <c r="C1650" s="7" t="s">
        <v>360</v>
      </c>
      <c r="D1650" s="7" t="s">
        <v>357</v>
      </c>
      <c r="E1650" s="7">
        <v>-12.7221984415585</v>
      </c>
      <c r="F1650" s="7">
        <v>1.16783770562771</v>
      </c>
      <c r="G1650" s="7">
        <v>1.59846692640692</v>
      </c>
      <c r="H1650" s="7">
        <v>-7.04029493506494E-4</v>
      </c>
      <c r="I1650" s="7">
        <v>-4.10660791774892</v>
      </c>
      <c r="J1650" s="7">
        <v>-2.76979767532467</v>
      </c>
      <c r="K1650" s="8"/>
      <c r="L1650" s="8"/>
    </row>
    <row r="1651" ht="13.5" customHeight="1">
      <c r="A1651" s="7" t="s">
        <v>355</v>
      </c>
      <c r="B1651" s="7">
        <v>0.0</v>
      </c>
      <c r="C1651" s="7" t="s">
        <v>361</v>
      </c>
      <c r="D1651" s="7" t="s">
        <v>357</v>
      </c>
      <c r="E1651" s="7">
        <v>-12.7390548051948</v>
      </c>
      <c r="F1651" s="7">
        <v>1.16954822510823</v>
      </c>
      <c r="G1651" s="7">
        <v>1.60073134199134</v>
      </c>
      <c r="H1651" s="7">
        <v>-7.05084597402598E-4</v>
      </c>
      <c r="I1651" s="7">
        <v>-4.11340270995671</v>
      </c>
      <c r="J1651" s="7">
        <v>-2.77434472727272</v>
      </c>
      <c r="K1651" s="8"/>
      <c r="L1651" s="8"/>
    </row>
    <row r="1652" ht="13.5" customHeight="1">
      <c r="A1652" s="7" t="s">
        <v>355</v>
      </c>
      <c r="B1652" s="7">
        <v>1.75</v>
      </c>
      <c r="C1652" s="7" t="s">
        <v>361</v>
      </c>
      <c r="D1652" s="7" t="s">
        <v>357</v>
      </c>
      <c r="E1652" s="7">
        <v>-12.7559111688312</v>
      </c>
      <c r="F1652" s="7">
        <v>1.17125874458875</v>
      </c>
      <c r="G1652" s="7">
        <v>1.60299575757576</v>
      </c>
      <c r="H1652" s="7">
        <v>-7.06139701298702E-4</v>
      </c>
      <c r="I1652" s="7">
        <v>-4.1201975021645</v>
      </c>
      <c r="J1652" s="7">
        <v>-2.77889177922077</v>
      </c>
      <c r="K1652" s="8"/>
      <c r="L1652" s="8"/>
    </row>
    <row r="1653" ht="13.5" customHeight="1">
      <c r="A1653" s="7" t="s">
        <v>355</v>
      </c>
      <c r="B1653" s="7">
        <v>3.5</v>
      </c>
      <c r="C1653" s="7" t="s">
        <v>361</v>
      </c>
      <c r="D1653" s="7" t="s">
        <v>357</v>
      </c>
      <c r="E1653" s="7">
        <v>-12.7727675324676</v>
      </c>
      <c r="F1653" s="7">
        <v>1.17296926406927</v>
      </c>
      <c r="G1653" s="7">
        <v>1.60526017316017</v>
      </c>
      <c r="H1653" s="7">
        <v>-7.07194805194806E-4</v>
      </c>
      <c r="I1653" s="7">
        <v>-4.1269922943723</v>
      </c>
      <c r="J1653" s="7">
        <v>-2.78343883116883</v>
      </c>
      <c r="K1653" s="8"/>
      <c r="L1653" s="8"/>
    </row>
    <row r="1654" ht="13.5" customHeight="1">
      <c r="A1654" s="7" t="s">
        <v>355</v>
      </c>
      <c r="B1654" s="7">
        <v>0.0</v>
      </c>
      <c r="C1654" s="7" t="s">
        <v>362</v>
      </c>
      <c r="D1654" s="7" t="s">
        <v>357</v>
      </c>
      <c r="E1654" s="7">
        <v>-12.7896238961039</v>
      </c>
      <c r="F1654" s="7">
        <v>1.17467978354979</v>
      </c>
      <c r="G1654" s="7">
        <v>1.60752458874459</v>
      </c>
      <c r="H1654" s="7">
        <v>-7.08249909090909E-4</v>
      </c>
      <c r="I1654" s="7">
        <v>-4.13378708658009</v>
      </c>
      <c r="J1654" s="7">
        <v>-2.78798588311688</v>
      </c>
      <c r="K1654" s="8"/>
      <c r="L1654" s="8"/>
    </row>
    <row r="1655" ht="13.5" customHeight="1">
      <c r="A1655" s="7" t="s">
        <v>355</v>
      </c>
      <c r="B1655" s="7">
        <v>1.75</v>
      </c>
      <c r="C1655" s="7" t="s">
        <v>362</v>
      </c>
      <c r="D1655" s="7" t="s">
        <v>357</v>
      </c>
      <c r="E1655" s="7">
        <v>-12.8064802597403</v>
      </c>
      <c r="F1655" s="7">
        <v>1.17639030303031</v>
      </c>
      <c r="G1655" s="7">
        <v>1.609789004329</v>
      </c>
      <c r="H1655" s="7">
        <v>-7.09305012987013E-4</v>
      </c>
      <c r="I1655" s="7">
        <v>-4.14058187878788</v>
      </c>
      <c r="J1655" s="7">
        <v>-2.79253293506493</v>
      </c>
      <c r="K1655" s="8"/>
      <c r="L1655" s="8"/>
    </row>
    <row r="1656" ht="13.5" customHeight="1">
      <c r="A1656" s="7" t="s">
        <v>355</v>
      </c>
      <c r="B1656" s="7">
        <v>3.5</v>
      </c>
      <c r="C1656" s="7" t="s">
        <v>362</v>
      </c>
      <c r="D1656" s="7" t="s">
        <v>357</v>
      </c>
      <c r="E1656" s="7">
        <v>-12.8233366233766</v>
      </c>
      <c r="F1656" s="7">
        <v>1.17810082251083</v>
      </c>
      <c r="G1656" s="7">
        <v>1.61205341991342</v>
      </c>
      <c r="H1656" s="7">
        <v>-7.10360116883117E-4</v>
      </c>
      <c r="I1656" s="7">
        <v>-4.14737667099567</v>
      </c>
      <c r="J1656" s="7">
        <v>-2.79707998701298</v>
      </c>
      <c r="K1656" s="8"/>
      <c r="L1656" s="8"/>
    </row>
    <row r="1657" ht="13.5" customHeight="1">
      <c r="A1657" s="7" t="s">
        <v>355</v>
      </c>
      <c r="B1657" s="7">
        <v>0.0</v>
      </c>
      <c r="C1657" s="7" t="s">
        <v>363</v>
      </c>
      <c r="D1657" s="7" t="s">
        <v>357</v>
      </c>
      <c r="E1657" s="7">
        <v>-12.840192987013</v>
      </c>
      <c r="F1657" s="7">
        <v>1.17981134199135</v>
      </c>
      <c r="G1657" s="7">
        <v>1.61431783549783</v>
      </c>
      <c r="H1657" s="7">
        <v>-7.11415220779221E-4</v>
      </c>
      <c r="I1657" s="7">
        <v>-4.15417146320347</v>
      </c>
      <c r="J1657" s="7">
        <v>-2.80162703896103</v>
      </c>
      <c r="K1657" s="8"/>
      <c r="L1657" s="8"/>
    </row>
    <row r="1658" ht="13.5" customHeight="1">
      <c r="A1658" s="7" t="s">
        <v>355</v>
      </c>
      <c r="B1658" s="7">
        <v>1.75</v>
      </c>
      <c r="C1658" s="7" t="s">
        <v>363</v>
      </c>
      <c r="D1658" s="7" t="s">
        <v>357</v>
      </c>
      <c r="E1658" s="7">
        <v>-12.8570493506494</v>
      </c>
      <c r="F1658" s="7">
        <v>1.18152186147187</v>
      </c>
      <c r="G1658" s="7">
        <v>1.61658225108225</v>
      </c>
      <c r="H1658" s="7">
        <v>-7.12470324675325E-4</v>
      </c>
      <c r="I1658" s="7">
        <v>-4.16096625541126</v>
      </c>
      <c r="J1658" s="7">
        <v>-2.80617409090909</v>
      </c>
      <c r="K1658" s="8"/>
      <c r="L1658" s="8"/>
    </row>
    <row r="1659" ht="13.5" customHeight="1">
      <c r="A1659" s="7" t="s">
        <v>355</v>
      </c>
      <c r="B1659" s="7">
        <v>3.5</v>
      </c>
      <c r="C1659" s="7" t="s">
        <v>363</v>
      </c>
      <c r="D1659" s="7" t="s">
        <v>357</v>
      </c>
      <c r="E1659" s="7">
        <v>-12.8739057142857</v>
      </c>
      <c r="F1659" s="7">
        <v>1.18323238095239</v>
      </c>
      <c r="G1659" s="7">
        <v>1.61884666666667</v>
      </c>
      <c r="H1659" s="7">
        <v>-7.13525428571429E-4</v>
      </c>
      <c r="I1659" s="7">
        <v>-4.16776104761905</v>
      </c>
      <c r="J1659" s="7">
        <v>-2.81072114285714</v>
      </c>
      <c r="K1659" s="8"/>
      <c r="L1659" s="8"/>
    </row>
    <row r="1660" ht="13.5" customHeight="1">
      <c r="A1660" s="7" t="s">
        <v>355</v>
      </c>
      <c r="B1660" s="7">
        <v>0.0</v>
      </c>
      <c r="C1660" s="7" t="s">
        <v>356</v>
      </c>
      <c r="D1660" s="7" t="s">
        <v>357</v>
      </c>
      <c r="E1660" s="7">
        <v>-12.8907620779221</v>
      </c>
      <c r="F1660" s="7">
        <v>1.18494290043291</v>
      </c>
      <c r="G1660" s="7">
        <v>1.62111108225108</v>
      </c>
      <c r="H1660" s="7">
        <v>-7.14580532467533E-4</v>
      </c>
      <c r="I1660" s="7">
        <v>-4.17455583982684</v>
      </c>
      <c r="J1660" s="7">
        <v>-2.81526819480519</v>
      </c>
      <c r="K1660" s="8"/>
      <c r="L1660" s="8"/>
    </row>
    <row r="1661" ht="13.5" customHeight="1">
      <c r="A1661" s="7" t="s">
        <v>355</v>
      </c>
      <c r="B1661" s="7">
        <v>1.75</v>
      </c>
      <c r="C1661" s="7" t="s">
        <v>356</v>
      </c>
      <c r="D1661" s="7" t="s">
        <v>357</v>
      </c>
      <c r="E1661" s="7">
        <v>-12.9076184415585</v>
      </c>
      <c r="F1661" s="7">
        <v>1.18665341991342</v>
      </c>
      <c r="G1661" s="7">
        <v>1.6233754978355</v>
      </c>
      <c r="H1661" s="7">
        <v>-7.15635636363637E-4</v>
      </c>
      <c r="I1661" s="7">
        <v>-4.18135063203463</v>
      </c>
      <c r="J1661" s="7">
        <v>-2.81981524675324</v>
      </c>
      <c r="K1661" s="8"/>
      <c r="L1661" s="8"/>
    </row>
    <row r="1662" ht="13.5" customHeight="1">
      <c r="A1662" s="7" t="s">
        <v>355</v>
      </c>
      <c r="B1662" s="7">
        <v>3.5</v>
      </c>
      <c r="C1662" s="7" t="s">
        <v>356</v>
      </c>
      <c r="D1662" s="7" t="s">
        <v>357</v>
      </c>
      <c r="E1662" s="7">
        <v>-12.9244748051948</v>
      </c>
      <c r="F1662" s="7">
        <v>1.18836393939394</v>
      </c>
      <c r="G1662" s="7">
        <v>1.62563991341991</v>
      </c>
      <c r="H1662" s="7">
        <v>-7.16690740259741E-4</v>
      </c>
      <c r="I1662" s="7">
        <v>-4.18814542424243</v>
      </c>
      <c r="J1662" s="7">
        <v>-2.82436229870129</v>
      </c>
      <c r="K1662" s="8"/>
      <c r="L1662" s="8"/>
    </row>
    <row r="1663" ht="13.5" customHeight="1">
      <c r="A1663" s="7" t="s">
        <v>355</v>
      </c>
      <c r="B1663" s="7">
        <v>0.0</v>
      </c>
      <c r="C1663" s="7" t="s">
        <v>358</v>
      </c>
      <c r="D1663" s="7" t="s">
        <v>357</v>
      </c>
      <c r="E1663" s="7">
        <v>-12.9413311688312</v>
      </c>
      <c r="F1663" s="7">
        <v>1.19007445887446</v>
      </c>
      <c r="G1663" s="7">
        <v>1.62790432900433</v>
      </c>
      <c r="H1663" s="7">
        <v>-7.17745844155845E-4</v>
      </c>
      <c r="I1663" s="7">
        <v>-4.19494021645022</v>
      </c>
      <c r="J1663" s="7">
        <v>-2.82890935064935</v>
      </c>
      <c r="K1663" s="8"/>
      <c r="L1663" s="8"/>
    </row>
    <row r="1664" ht="13.5" customHeight="1">
      <c r="A1664" s="7" t="s">
        <v>355</v>
      </c>
      <c r="B1664" s="7">
        <v>1.75</v>
      </c>
      <c r="C1664" s="7" t="s">
        <v>358</v>
      </c>
      <c r="D1664" s="7" t="s">
        <v>357</v>
      </c>
      <c r="E1664" s="7">
        <v>-12.9581875324676</v>
      </c>
      <c r="F1664" s="7">
        <v>1.19178497835498</v>
      </c>
      <c r="G1664" s="7">
        <v>1.63016874458874</v>
      </c>
      <c r="H1664" s="7">
        <v>-7.18800948051948E-4</v>
      </c>
      <c r="I1664" s="7">
        <v>-4.20173500865801</v>
      </c>
      <c r="J1664" s="7">
        <v>-2.8334564025974</v>
      </c>
      <c r="K1664" s="8"/>
      <c r="L1664" s="8"/>
    </row>
    <row r="1665" ht="13.5" customHeight="1">
      <c r="A1665" s="7" t="s">
        <v>355</v>
      </c>
      <c r="B1665" s="7">
        <v>3.5</v>
      </c>
      <c r="C1665" s="7" t="s">
        <v>358</v>
      </c>
      <c r="D1665" s="7" t="s">
        <v>357</v>
      </c>
      <c r="E1665" s="7">
        <v>-12.9750438961039</v>
      </c>
      <c r="F1665" s="7">
        <v>1.1934954978355</v>
      </c>
      <c r="G1665" s="7">
        <v>1.63243316017316</v>
      </c>
      <c r="H1665" s="7">
        <v>-7.19856051948052E-4</v>
      </c>
      <c r="I1665" s="7">
        <v>-4.2085298008658</v>
      </c>
      <c r="J1665" s="7">
        <v>-2.83800345454545</v>
      </c>
      <c r="K1665" s="8"/>
      <c r="L1665" s="8"/>
    </row>
    <row r="1666" ht="13.5" customHeight="1">
      <c r="A1666" s="7" t="s">
        <v>355</v>
      </c>
      <c r="B1666" s="7">
        <v>0.0</v>
      </c>
      <c r="C1666" s="7" t="s">
        <v>359</v>
      </c>
      <c r="D1666" s="7" t="s">
        <v>357</v>
      </c>
      <c r="E1666" s="7">
        <v>-12.9919002597403</v>
      </c>
      <c r="F1666" s="7">
        <v>1.19520601731602</v>
      </c>
      <c r="G1666" s="7">
        <v>1.63469757575757</v>
      </c>
      <c r="H1666" s="7">
        <v>-7.20911155844156E-4</v>
      </c>
      <c r="I1666" s="7">
        <v>-4.2153245930736</v>
      </c>
      <c r="J1666" s="7">
        <v>-2.8425505064935</v>
      </c>
      <c r="K1666" s="8"/>
      <c r="L1666" s="8"/>
    </row>
    <row r="1667" ht="13.5" customHeight="1">
      <c r="A1667" s="7" t="s">
        <v>355</v>
      </c>
      <c r="B1667" s="7">
        <v>1.75</v>
      </c>
      <c r="C1667" s="7" t="s">
        <v>359</v>
      </c>
      <c r="D1667" s="7" t="s">
        <v>357</v>
      </c>
      <c r="E1667" s="7">
        <v>-13.0087566233766</v>
      </c>
      <c r="F1667" s="7">
        <v>1.19691653679654</v>
      </c>
      <c r="G1667" s="7">
        <v>1.63696199134199</v>
      </c>
      <c r="H1667" s="7">
        <v>-7.2196625974026E-4</v>
      </c>
      <c r="I1667" s="7">
        <v>-4.22211938528139</v>
      </c>
      <c r="J1667" s="7">
        <v>-2.84709755844155</v>
      </c>
      <c r="K1667" s="8"/>
      <c r="L1667" s="8"/>
    </row>
    <row r="1668" ht="13.5" customHeight="1">
      <c r="A1668" s="7" t="s">
        <v>355</v>
      </c>
      <c r="B1668" s="7">
        <v>3.5</v>
      </c>
      <c r="C1668" s="7" t="s">
        <v>359</v>
      </c>
      <c r="D1668" s="7" t="s">
        <v>357</v>
      </c>
      <c r="E1668" s="7">
        <v>-13.025612987013</v>
      </c>
      <c r="F1668" s="7">
        <v>1.19862705627706</v>
      </c>
      <c r="G1668" s="7">
        <v>1.63922640692641</v>
      </c>
      <c r="H1668" s="7">
        <v>-7.23021363636364E-4</v>
      </c>
      <c r="I1668" s="7">
        <v>-4.22891417748918</v>
      </c>
      <c r="J1668" s="7">
        <v>-2.85164461038961</v>
      </c>
      <c r="K1668" s="8"/>
      <c r="L1668" s="8"/>
    </row>
    <row r="1669" ht="13.5" customHeight="1">
      <c r="A1669" s="7" t="s">
        <v>355</v>
      </c>
      <c r="B1669" s="7">
        <v>0.0</v>
      </c>
      <c r="C1669" s="7" t="s">
        <v>360</v>
      </c>
      <c r="D1669" s="7" t="s">
        <v>357</v>
      </c>
      <c r="E1669" s="7">
        <v>-13.0424693506494</v>
      </c>
      <c r="F1669" s="7">
        <v>1.20033757575758</v>
      </c>
      <c r="G1669" s="7">
        <v>1.64149082251082</v>
      </c>
      <c r="H1669" s="7">
        <v>-7.24076467532468E-4</v>
      </c>
      <c r="I1669" s="7">
        <v>-4.23570896969697</v>
      </c>
      <c r="J1669" s="7">
        <v>-2.85619166233766</v>
      </c>
      <c r="K1669" s="8"/>
      <c r="L1669" s="8"/>
    </row>
    <row r="1670" ht="13.5" customHeight="1">
      <c r="A1670" s="7" t="s">
        <v>355</v>
      </c>
      <c r="B1670" s="7">
        <v>1.75</v>
      </c>
      <c r="C1670" s="7" t="s">
        <v>360</v>
      </c>
      <c r="D1670" s="7" t="s">
        <v>357</v>
      </c>
      <c r="E1670" s="7">
        <v>-13.0593257142857</v>
      </c>
      <c r="F1670" s="7">
        <v>1.2020480952381</v>
      </c>
      <c r="G1670" s="7">
        <v>1.64375523809524</v>
      </c>
      <c r="H1670" s="7">
        <v>-7.25131571428572E-4</v>
      </c>
      <c r="I1670" s="7">
        <v>-4.24250376190476</v>
      </c>
      <c r="J1670" s="7">
        <v>-2.86073871428571</v>
      </c>
      <c r="K1670" s="8"/>
      <c r="L1670" s="8"/>
    </row>
    <row r="1671" ht="13.5" customHeight="1">
      <c r="A1671" s="7" t="s">
        <v>355</v>
      </c>
      <c r="B1671" s="7">
        <v>3.5</v>
      </c>
      <c r="C1671" s="7" t="s">
        <v>360</v>
      </c>
      <c r="D1671" s="7" t="s">
        <v>357</v>
      </c>
      <c r="E1671" s="7">
        <v>-13.0761820779221</v>
      </c>
      <c r="F1671" s="7">
        <v>1.20375861471862</v>
      </c>
      <c r="G1671" s="7">
        <v>1.64601965367965</v>
      </c>
      <c r="H1671" s="7">
        <v>-7.26186675324676E-4</v>
      </c>
      <c r="I1671" s="7">
        <v>-4.24929855411256</v>
      </c>
      <c r="J1671" s="7">
        <v>-2.86528576623376</v>
      </c>
      <c r="K1671" s="8"/>
      <c r="L1671" s="8"/>
    </row>
    <row r="1672" ht="13.5" customHeight="1">
      <c r="A1672" s="7" t="s">
        <v>355</v>
      </c>
      <c r="B1672" s="7">
        <v>0.0</v>
      </c>
      <c r="C1672" s="7" t="s">
        <v>361</v>
      </c>
      <c r="D1672" s="7" t="s">
        <v>357</v>
      </c>
      <c r="E1672" s="7">
        <v>-13.0930384415585</v>
      </c>
      <c r="F1672" s="7">
        <v>1.20546913419914</v>
      </c>
      <c r="G1672" s="7">
        <v>1.64828406926407</v>
      </c>
      <c r="H1672" s="7">
        <v>-7.2724177922078E-4</v>
      </c>
      <c r="I1672" s="7">
        <v>-4.25609334632035</v>
      </c>
      <c r="J1672" s="7">
        <v>-2.86983281818181</v>
      </c>
      <c r="K1672" s="8"/>
      <c r="L1672" s="8"/>
    </row>
    <row r="1673" ht="13.5" customHeight="1">
      <c r="A1673" s="7" t="s">
        <v>355</v>
      </c>
      <c r="B1673" s="7">
        <v>1.75</v>
      </c>
      <c r="C1673" s="7" t="s">
        <v>361</v>
      </c>
      <c r="D1673" s="7" t="s">
        <v>357</v>
      </c>
      <c r="E1673" s="7">
        <v>-13.1098948051948</v>
      </c>
      <c r="F1673" s="7">
        <v>1.20717965367966</v>
      </c>
      <c r="G1673" s="7">
        <v>1.65054848484848</v>
      </c>
      <c r="H1673" s="7">
        <v>-7.28296883116883E-4</v>
      </c>
      <c r="I1673" s="7">
        <v>-4.26288813852814</v>
      </c>
      <c r="J1673" s="7">
        <v>-2.87437987012987</v>
      </c>
      <c r="K1673" s="8"/>
      <c r="L1673" s="8"/>
    </row>
    <row r="1674" ht="13.5" customHeight="1">
      <c r="A1674" s="7" t="s">
        <v>355</v>
      </c>
      <c r="B1674" s="7">
        <v>3.5</v>
      </c>
      <c r="C1674" s="7" t="s">
        <v>361</v>
      </c>
      <c r="D1674" s="7" t="s">
        <v>357</v>
      </c>
      <c r="E1674" s="7">
        <v>-13.1267511688312</v>
      </c>
      <c r="F1674" s="7">
        <v>1.20889017316018</v>
      </c>
      <c r="G1674" s="7">
        <v>1.6528129004329</v>
      </c>
      <c r="H1674" s="7">
        <v>-7.29351987012987E-4</v>
      </c>
      <c r="I1674" s="7">
        <v>-4.26968293073593</v>
      </c>
      <c r="J1674" s="7">
        <v>-2.87892692207792</v>
      </c>
      <c r="K1674" s="8"/>
      <c r="L1674" s="8"/>
    </row>
    <row r="1675" ht="13.5" customHeight="1">
      <c r="A1675" s="7" t="s">
        <v>355</v>
      </c>
      <c r="B1675" s="7">
        <v>0.0</v>
      </c>
      <c r="C1675" s="7" t="s">
        <v>362</v>
      </c>
      <c r="D1675" s="7" t="s">
        <v>357</v>
      </c>
      <c r="E1675" s="7">
        <v>-13.1436075324676</v>
      </c>
      <c r="F1675" s="7">
        <v>1.2106006926407</v>
      </c>
      <c r="G1675" s="7">
        <v>1.65507731601731</v>
      </c>
      <c r="H1675" s="7">
        <v>-7.30407090909091E-4</v>
      </c>
      <c r="I1675" s="7">
        <v>-4.27647772294373</v>
      </c>
      <c r="J1675" s="7">
        <v>-2.88347397402597</v>
      </c>
      <c r="K1675" s="8"/>
      <c r="L1675" s="8"/>
    </row>
    <row r="1676" ht="13.5" customHeight="1">
      <c r="A1676" s="7" t="s">
        <v>355</v>
      </c>
      <c r="B1676" s="7">
        <v>1.75</v>
      </c>
      <c r="C1676" s="7" t="s">
        <v>362</v>
      </c>
      <c r="D1676" s="7" t="s">
        <v>357</v>
      </c>
      <c r="E1676" s="7">
        <v>-13.1604638961039</v>
      </c>
      <c r="F1676" s="7">
        <v>1.21231121212122</v>
      </c>
      <c r="G1676" s="7">
        <v>1.65734173160173</v>
      </c>
      <c r="H1676" s="7">
        <v>-7.31462194805195E-4</v>
      </c>
      <c r="I1676" s="7">
        <v>-4.28327251515152</v>
      </c>
      <c r="J1676" s="7">
        <v>-2.88802102597402</v>
      </c>
      <c r="K1676" s="8"/>
      <c r="L1676" s="8"/>
    </row>
    <row r="1677" ht="13.5" customHeight="1">
      <c r="A1677" s="7" t="s">
        <v>355</v>
      </c>
      <c r="B1677" s="7">
        <v>3.5</v>
      </c>
      <c r="C1677" s="7" t="s">
        <v>362</v>
      </c>
      <c r="D1677" s="7" t="s">
        <v>357</v>
      </c>
      <c r="E1677" s="7">
        <v>-13.1773202597403</v>
      </c>
      <c r="F1677" s="7">
        <v>1.21402173160174</v>
      </c>
      <c r="G1677" s="7">
        <v>1.65960614718615</v>
      </c>
      <c r="H1677" s="7">
        <v>-7.32517298701299E-4</v>
      </c>
      <c r="I1677" s="7">
        <v>-4.29006730735931</v>
      </c>
      <c r="J1677" s="7">
        <v>-2.89256807792207</v>
      </c>
      <c r="K1677" s="8"/>
      <c r="L1677" s="8"/>
    </row>
    <row r="1678" ht="13.5" customHeight="1">
      <c r="A1678" s="7" t="s">
        <v>355</v>
      </c>
      <c r="B1678" s="7">
        <v>0.0</v>
      </c>
      <c r="C1678" s="7" t="s">
        <v>363</v>
      </c>
      <c r="D1678" s="7" t="s">
        <v>357</v>
      </c>
      <c r="E1678" s="7">
        <v>-13.1941766233766</v>
      </c>
      <c r="F1678" s="7">
        <v>1.21573225108226</v>
      </c>
      <c r="G1678" s="7">
        <v>1.66187056277056</v>
      </c>
      <c r="H1678" s="7">
        <v>-7.33572402597403E-4</v>
      </c>
      <c r="I1678" s="7">
        <v>-4.2968620995671</v>
      </c>
      <c r="J1678" s="7">
        <v>-2.89711512987013</v>
      </c>
      <c r="K1678" s="8"/>
      <c r="L1678" s="8"/>
    </row>
    <row r="1679" ht="13.5" customHeight="1">
      <c r="A1679" s="7" t="s">
        <v>355</v>
      </c>
      <c r="B1679" s="7">
        <v>1.75</v>
      </c>
      <c r="C1679" s="7" t="s">
        <v>363</v>
      </c>
      <c r="D1679" s="7" t="s">
        <v>357</v>
      </c>
      <c r="E1679" s="7">
        <v>-13.211032987013</v>
      </c>
      <c r="F1679" s="7">
        <v>1.21744277056278</v>
      </c>
      <c r="G1679" s="7">
        <v>1.66413497835498</v>
      </c>
      <c r="H1679" s="7">
        <v>-7.34627506493507E-4</v>
      </c>
      <c r="I1679" s="7">
        <v>-4.3036568917749</v>
      </c>
      <c r="J1679" s="7">
        <v>-2.90166218181818</v>
      </c>
      <c r="K1679" s="8"/>
      <c r="L1679" s="8"/>
    </row>
    <row r="1680" ht="13.5" customHeight="1">
      <c r="A1680" s="7" t="s">
        <v>355</v>
      </c>
      <c r="B1680" s="7">
        <v>3.5</v>
      </c>
      <c r="C1680" s="7" t="s">
        <v>363</v>
      </c>
      <c r="D1680" s="7" t="s">
        <v>357</v>
      </c>
      <c r="E1680" s="7">
        <v>-13.2278893506494</v>
      </c>
      <c r="F1680" s="7">
        <v>1.2191532900433</v>
      </c>
      <c r="G1680" s="7">
        <v>1.66639939393939</v>
      </c>
      <c r="H1680" s="7">
        <v>-7.35682610389611E-4</v>
      </c>
      <c r="I1680" s="7">
        <v>-4.31045168398269</v>
      </c>
      <c r="J1680" s="7">
        <v>-2.90620923376623</v>
      </c>
      <c r="K1680" s="8"/>
      <c r="L1680" s="8"/>
    </row>
    <row r="1681" ht="13.5" customHeight="1">
      <c r="A1681" s="7" t="s">
        <v>355</v>
      </c>
      <c r="B1681" s="7">
        <v>0.0</v>
      </c>
      <c r="C1681" s="7" t="s">
        <v>356</v>
      </c>
      <c r="D1681" s="7" t="s">
        <v>357</v>
      </c>
      <c r="E1681" s="7">
        <v>-13.2447457142857</v>
      </c>
      <c r="F1681" s="7">
        <v>1.22086380952381</v>
      </c>
      <c r="G1681" s="7">
        <v>1.66866380952381</v>
      </c>
      <c r="H1681" s="7">
        <v>-7.36737714285715E-4</v>
      </c>
      <c r="I1681" s="7">
        <v>-4.31724647619048</v>
      </c>
      <c r="J1681" s="7">
        <v>-2.91075628571428</v>
      </c>
      <c r="K1681" s="8"/>
      <c r="L1681" s="8"/>
    </row>
    <row r="1682" ht="13.5" customHeight="1">
      <c r="A1682" s="7" t="s">
        <v>355</v>
      </c>
      <c r="B1682" s="7">
        <v>1.75</v>
      </c>
      <c r="C1682" s="7" t="s">
        <v>356</v>
      </c>
      <c r="D1682" s="7" t="s">
        <v>357</v>
      </c>
      <c r="E1682" s="7">
        <v>-13.2616020779221</v>
      </c>
      <c r="F1682" s="7">
        <v>1.22257432900433</v>
      </c>
      <c r="G1682" s="7">
        <v>1.67092822510822</v>
      </c>
      <c r="H1682" s="7">
        <v>-7.37792818181819E-4</v>
      </c>
      <c r="I1682" s="7">
        <v>-4.32404126839827</v>
      </c>
      <c r="J1682" s="7">
        <v>-2.91530333766233</v>
      </c>
      <c r="K1682" s="8"/>
      <c r="L1682" s="8"/>
    </row>
    <row r="1683" ht="13.5" customHeight="1">
      <c r="A1683" s="7" t="s">
        <v>355</v>
      </c>
      <c r="B1683" s="7">
        <v>3.5</v>
      </c>
      <c r="C1683" s="7" t="s">
        <v>356</v>
      </c>
      <c r="D1683" s="7" t="s">
        <v>357</v>
      </c>
      <c r="E1683" s="7">
        <v>-13.2784584415585</v>
      </c>
      <c r="F1683" s="7">
        <v>1.22428484848485</v>
      </c>
      <c r="G1683" s="7">
        <v>1.67319264069264</v>
      </c>
      <c r="H1683" s="7">
        <v>-7.38847922077922E-4</v>
      </c>
      <c r="I1683" s="7">
        <v>-4.33083606060606</v>
      </c>
      <c r="J1683" s="7">
        <v>-2.91985038961038</v>
      </c>
      <c r="K1683" s="8"/>
      <c r="L1683" s="8"/>
    </row>
    <row r="1684" ht="13.5" customHeight="1">
      <c r="A1684" s="7" t="s">
        <v>355</v>
      </c>
      <c r="B1684" s="7">
        <v>0.0</v>
      </c>
      <c r="C1684" s="7" t="s">
        <v>358</v>
      </c>
      <c r="D1684" s="7" t="s">
        <v>357</v>
      </c>
      <c r="E1684" s="7">
        <v>-13.2953148051948</v>
      </c>
      <c r="F1684" s="7">
        <v>1.22599536796537</v>
      </c>
      <c r="G1684" s="7">
        <v>1.67545705627705</v>
      </c>
      <c r="H1684" s="7">
        <v>-7.39903025974026E-4</v>
      </c>
      <c r="I1684" s="7">
        <v>-4.33763085281386</v>
      </c>
      <c r="J1684" s="7">
        <v>-2.92439744155844</v>
      </c>
      <c r="K1684" s="8"/>
      <c r="L1684" s="8"/>
    </row>
    <row r="1685" ht="13.5" customHeight="1">
      <c r="A1685" s="7" t="s">
        <v>355</v>
      </c>
      <c r="B1685" s="7">
        <v>1.75</v>
      </c>
      <c r="C1685" s="7" t="s">
        <v>358</v>
      </c>
      <c r="D1685" s="7" t="s">
        <v>357</v>
      </c>
      <c r="E1685" s="7">
        <v>-13.3121711688312</v>
      </c>
      <c r="F1685" s="7">
        <v>1.22770588744589</v>
      </c>
      <c r="G1685" s="7">
        <v>1.67772147186147</v>
      </c>
      <c r="H1685" s="7">
        <v>-7.4095812987013E-4</v>
      </c>
      <c r="I1685" s="7">
        <v>-4.34442564502165</v>
      </c>
      <c r="J1685" s="7">
        <v>-2.92894449350649</v>
      </c>
      <c r="K1685" s="8"/>
      <c r="L1685" s="8"/>
    </row>
    <row r="1686" ht="13.5" customHeight="1">
      <c r="A1686" s="7" t="s">
        <v>355</v>
      </c>
      <c r="B1686" s="7">
        <v>3.5</v>
      </c>
      <c r="C1686" s="7" t="s">
        <v>358</v>
      </c>
      <c r="D1686" s="7" t="s">
        <v>357</v>
      </c>
      <c r="E1686" s="7">
        <v>-13.3290275324676</v>
      </c>
      <c r="F1686" s="7">
        <v>1.22941640692641</v>
      </c>
      <c r="G1686" s="7">
        <v>1.67998588744589</v>
      </c>
      <c r="H1686" s="7">
        <v>-7.42013233766234E-4</v>
      </c>
      <c r="I1686" s="7">
        <v>-4.35122043722944</v>
      </c>
      <c r="J1686" s="7">
        <v>-2.93349154545454</v>
      </c>
      <c r="K1686" s="8"/>
      <c r="L1686" s="8"/>
    </row>
    <row r="1687" ht="13.5" customHeight="1">
      <c r="A1687" s="7" t="s">
        <v>355</v>
      </c>
      <c r="B1687" s="7">
        <v>0.0</v>
      </c>
      <c r="C1687" s="7" t="s">
        <v>359</v>
      </c>
      <c r="D1687" s="7" t="s">
        <v>357</v>
      </c>
      <c r="E1687" s="7">
        <v>-13.3458838961039</v>
      </c>
      <c r="F1687" s="7">
        <v>1.23112692640693</v>
      </c>
      <c r="G1687" s="7">
        <v>1.6822503030303</v>
      </c>
      <c r="H1687" s="7">
        <v>-7.43068337662338E-4</v>
      </c>
      <c r="I1687" s="7">
        <v>-4.35801522943723</v>
      </c>
      <c r="J1687" s="7">
        <v>-2.93803859740259</v>
      </c>
      <c r="K1687" s="8"/>
      <c r="L1687" s="8"/>
    </row>
    <row r="1688" ht="13.5" customHeight="1">
      <c r="A1688" s="7" t="s">
        <v>355</v>
      </c>
      <c r="B1688" s="7">
        <v>1.75</v>
      </c>
      <c r="C1688" s="7" t="s">
        <v>359</v>
      </c>
      <c r="D1688" s="7" t="s">
        <v>357</v>
      </c>
      <c r="E1688" s="7">
        <v>-13.3627402597403</v>
      </c>
      <c r="F1688" s="7">
        <v>1.23283744588745</v>
      </c>
      <c r="G1688" s="7">
        <v>1.68451471861472</v>
      </c>
      <c r="H1688" s="7">
        <v>-7.44123441558442E-4</v>
      </c>
      <c r="I1688" s="7">
        <v>-4.36481002164502</v>
      </c>
      <c r="J1688" s="7">
        <v>-2.94258564935064</v>
      </c>
      <c r="K1688" s="8"/>
      <c r="L1688" s="8"/>
    </row>
    <row r="1689" ht="13.5" customHeight="1">
      <c r="A1689" s="7" t="s">
        <v>355</v>
      </c>
      <c r="B1689" s="7">
        <v>3.5</v>
      </c>
      <c r="C1689" s="7" t="s">
        <v>359</v>
      </c>
      <c r="D1689" s="7" t="s">
        <v>357</v>
      </c>
      <c r="E1689" s="7">
        <v>-13.3795966233766</v>
      </c>
      <c r="F1689" s="7">
        <v>1.23454796536797</v>
      </c>
      <c r="G1689" s="7">
        <v>1.68677913419913</v>
      </c>
      <c r="H1689" s="7">
        <v>-7.45178545454546E-4</v>
      </c>
      <c r="I1689" s="7">
        <v>-4.37160481385282</v>
      </c>
      <c r="J1689" s="7">
        <v>-2.9471327012987</v>
      </c>
      <c r="K1689" s="8"/>
      <c r="L1689" s="8"/>
    </row>
    <row r="1690" ht="13.5" customHeight="1">
      <c r="A1690" s="7" t="s">
        <v>355</v>
      </c>
      <c r="B1690" s="7">
        <v>0.0</v>
      </c>
      <c r="C1690" s="7" t="s">
        <v>360</v>
      </c>
      <c r="D1690" s="7" t="s">
        <v>357</v>
      </c>
      <c r="E1690" s="7">
        <v>-13.396452987013</v>
      </c>
      <c r="F1690" s="7">
        <v>1.23625848484849</v>
      </c>
      <c r="G1690" s="7">
        <v>1.68904354978355</v>
      </c>
      <c r="H1690" s="7">
        <v>-7.4623364935065E-4</v>
      </c>
      <c r="I1690" s="7">
        <v>-4.37839960606061</v>
      </c>
      <c r="J1690" s="7">
        <v>-2.95167975324675</v>
      </c>
      <c r="K1690" s="8"/>
      <c r="L1690" s="8"/>
    </row>
    <row r="1691" ht="13.5" customHeight="1">
      <c r="A1691" s="7" t="s">
        <v>355</v>
      </c>
      <c r="B1691" s="7">
        <v>1.75</v>
      </c>
      <c r="C1691" s="7" t="s">
        <v>360</v>
      </c>
      <c r="D1691" s="7" t="s">
        <v>357</v>
      </c>
      <c r="E1691" s="7">
        <v>-13.4133093506494</v>
      </c>
      <c r="F1691" s="7">
        <v>1.23796900432901</v>
      </c>
      <c r="G1691" s="7">
        <v>1.69130796536796</v>
      </c>
      <c r="H1691" s="7">
        <v>-7.47288753246754E-4</v>
      </c>
      <c r="I1691" s="7">
        <v>-4.3851943982684</v>
      </c>
      <c r="J1691" s="7">
        <v>-2.9562268051948</v>
      </c>
      <c r="K1691" s="8"/>
      <c r="L1691" s="8"/>
    </row>
    <row r="1692" ht="13.5" customHeight="1">
      <c r="A1692" s="7" t="s">
        <v>355</v>
      </c>
      <c r="B1692" s="7">
        <v>3.5</v>
      </c>
      <c r="C1692" s="7" t="s">
        <v>360</v>
      </c>
      <c r="D1692" s="7" t="s">
        <v>357</v>
      </c>
      <c r="E1692" s="7">
        <v>-13.4301657142857</v>
      </c>
      <c r="F1692" s="7">
        <v>1.23967952380953</v>
      </c>
      <c r="G1692" s="7">
        <v>1.69357238095238</v>
      </c>
      <c r="H1692" s="7">
        <v>-7.48343857142858E-4</v>
      </c>
      <c r="I1692" s="7">
        <v>-4.39198919047619</v>
      </c>
      <c r="J1692" s="7">
        <v>-2.96077385714285</v>
      </c>
      <c r="K1692" s="8"/>
      <c r="L1692" s="8"/>
    </row>
    <row r="1693" ht="13.5" customHeight="1">
      <c r="A1693" s="7" t="s">
        <v>355</v>
      </c>
      <c r="B1693" s="7">
        <v>0.0</v>
      </c>
      <c r="C1693" s="7" t="s">
        <v>361</v>
      </c>
      <c r="D1693" s="7" t="s">
        <v>357</v>
      </c>
      <c r="E1693" s="7">
        <v>-13.4470220779221</v>
      </c>
      <c r="F1693" s="7">
        <v>1.24139004329005</v>
      </c>
      <c r="G1693" s="7">
        <v>1.6958367965368</v>
      </c>
      <c r="H1693" s="7">
        <v>-7.49398961038961E-4</v>
      </c>
      <c r="I1693" s="7">
        <v>-4.39878398268399</v>
      </c>
      <c r="J1693" s="7">
        <v>-2.9653209090909</v>
      </c>
      <c r="K1693" s="8"/>
      <c r="L1693" s="8"/>
    </row>
    <row r="1694" ht="13.5" customHeight="1">
      <c r="A1694" s="7" t="s">
        <v>355</v>
      </c>
      <c r="B1694" s="7">
        <v>1.75</v>
      </c>
      <c r="C1694" s="7" t="s">
        <v>361</v>
      </c>
      <c r="D1694" s="7" t="s">
        <v>357</v>
      </c>
      <c r="E1694" s="7">
        <v>-13.4638784415585</v>
      </c>
      <c r="F1694" s="7">
        <v>1.24310056277057</v>
      </c>
      <c r="G1694" s="7">
        <v>1.69810121212121</v>
      </c>
      <c r="H1694" s="7">
        <v>-7.50454064935065E-4</v>
      </c>
      <c r="I1694" s="7">
        <v>-4.40557877489178</v>
      </c>
      <c r="J1694" s="7">
        <v>-2.96986796103896</v>
      </c>
      <c r="K1694" s="8"/>
      <c r="L1694" s="8"/>
    </row>
    <row r="1695" ht="13.5" customHeight="1">
      <c r="A1695" s="7" t="s">
        <v>355</v>
      </c>
      <c r="B1695" s="7">
        <v>3.5</v>
      </c>
      <c r="C1695" s="7" t="s">
        <v>361</v>
      </c>
      <c r="D1695" s="7" t="s">
        <v>357</v>
      </c>
      <c r="E1695" s="7">
        <v>-13.4807348051948</v>
      </c>
      <c r="F1695" s="7">
        <v>1.24481108225109</v>
      </c>
      <c r="G1695" s="7">
        <v>1.70036562770563</v>
      </c>
      <c r="H1695" s="7">
        <v>-7.51509168831169E-4</v>
      </c>
      <c r="I1695" s="7">
        <v>-4.41237356709957</v>
      </c>
      <c r="J1695" s="7">
        <v>-2.97441501298701</v>
      </c>
      <c r="K1695" s="8"/>
      <c r="L1695" s="8"/>
    </row>
    <row r="1696" ht="13.5" customHeight="1">
      <c r="A1696" s="7" t="s">
        <v>355</v>
      </c>
      <c r="B1696" s="7">
        <v>0.0</v>
      </c>
      <c r="C1696" s="7" t="s">
        <v>362</v>
      </c>
      <c r="D1696" s="7" t="s">
        <v>357</v>
      </c>
      <c r="E1696" s="7">
        <v>-13.4975911688312</v>
      </c>
      <c r="F1696" s="7">
        <v>1.24652160173161</v>
      </c>
      <c r="G1696" s="7">
        <v>1.70263004329004</v>
      </c>
      <c r="H1696" s="7">
        <v>-7.52564272727273E-4</v>
      </c>
      <c r="I1696" s="7">
        <v>-4.41916835930736</v>
      </c>
      <c r="J1696" s="7">
        <v>-2.97896206493506</v>
      </c>
      <c r="K1696" s="8"/>
      <c r="L1696" s="8"/>
    </row>
    <row r="1697" ht="13.5" customHeight="1">
      <c r="A1697" s="7" t="s">
        <v>355</v>
      </c>
      <c r="B1697" s="7">
        <v>1.75</v>
      </c>
      <c r="C1697" s="7" t="s">
        <v>362</v>
      </c>
      <c r="D1697" s="7" t="s">
        <v>357</v>
      </c>
      <c r="E1697" s="7">
        <v>-13.5144475324676</v>
      </c>
      <c r="F1697" s="7">
        <v>1.24823212121213</v>
      </c>
      <c r="G1697" s="7">
        <v>1.70489445887446</v>
      </c>
      <c r="H1697" s="7">
        <v>-7.53619376623377E-4</v>
      </c>
      <c r="I1697" s="7">
        <v>-4.42596315151515</v>
      </c>
      <c r="J1697" s="7">
        <v>-2.98350911688311</v>
      </c>
      <c r="K1697" s="8"/>
      <c r="L1697" s="8"/>
    </row>
    <row r="1698" ht="13.5" customHeight="1">
      <c r="A1698" s="7" t="s">
        <v>355</v>
      </c>
      <c r="B1698" s="7">
        <v>3.5</v>
      </c>
      <c r="C1698" s="7" t="s">
        <v>362</v>
      </c>
      <c r="D1698" s="7" t="s">
        <v>357</v>
      </c>
      <c r="E1698" s="7">
        <v>-13.5313038961039</v>
      </c>
      <c r="F1698" s="7">
        <v>1.24994264069265</v>
      </c>
      <c r="G1698" s="7">
        <v>1.70715887445887</v>
      </c>
      <c r="H1698" s="7">
        <v>-7.54674480519481E-4</v>
      </c>
      <c r="I1698" s="7">
        <v>-4.43275794372295</v>
      </c>
      <c r="J1698" s="7">
        <v>-2.98805616883116</v>
      </c>
      <c r="K1698" s="8"/>
      <c r="L1698" s="8"/>
    </row>
    <row r="1699" ht="13.5" customHeight="1">
      <c r="A1699" s="7" t="s">
        <v>355</v>
      </c>
      <c r="B1699" s="7">
        <v>0.0</v>
      </c>
      <c r="C1699" s="7" t="s">
        <v>363</v>
      </c>
      <c r="D1699" s="7" t="s">
        <v>357</v>
      </c>
      <c r="E1699" s="7">
        <v>-13.5481602597403</v>
      </c>
      <c r="F1699" s="7">
        <v>1.25165316017317</v>
      </c>
      <c r="G1699" s="7">
        <v>1.70942329004329</v>
      </c>
      <c r="H1699" s="7">
        <v>-7.55729584415585E-4</v>
      </c>
      <c r="I1699" s="7">
        <v>-4.43955273593074</v>
      </c>
      <c r="J1699" s="7">
        <v>-2.99260322077922</v>
      </c>
      <c r="K1699" s="8"/>
      <c r="L1699" s="8"/>
    </row>
    <row r="1700" ht="13.5" customHeight="1">
      <c r="A1700" s="7" t="s">
        <v>355</v>
      </c>
      <c r="B1700" s="7">
        <v>1.75</v>
      </c>
      <c r="C1700" s="7" t="s">
        <v>363</v>
      </c>
      <c r="D1700" s="7" t="s">
        <v>357</v>
      </c>
      <c r="E1700" s="7">
        <v>-13.5650166233766</v>
      </c>
      <c r="F1700" s="7">
        <v>1.25336367965368</v>
      </c>
      <c r="G1700" s="7">
        <v>1.7116877056277</v>
      </c>
      <c r="H1700" s="7">
        <v>-7.56784688311689E-4</v>
      </c>
      <c r="I1700" s="7">
        <v>-4.44634752813853</v>
      </c>
      <c r="J1700" s="7">
        <v>-2.99715027272727</v>
      </c>
      <c r="K1700" s="8"/>
      <c r="L1700" s="8"/>
    </row>
    <row r="1701" ht="13.5" customHeight="1">
      <c r="A1701" s="7" t="s">
        <v>355</v>
      </c>
      <c r="B1701" s="7">
        <v>3.5</v>
      </c>
      <c r="C1701" s="7" t="s">
        <v>363</v>
      </c>
      <c r="D1701" s="7" t="s">
        <v>357</v>
      </c>
      <c r="E1701" s="7">
        <v>-13.581872987013</v>
      </c>
      <c r="F1701" s="7">
        <v>1.2550741991342</v>
      </c>
      <c r="G1701" s="7">
        <v>1.71395212121212</v>
      </c>
      <c r="H1701" s="7">
        <v>-7.57839792207792E-4</v>
      </c>
      <c r="I1701" s="7">
        <v>-4.45314232034632</v>
      </c>
      <c r="J1701" s="7">
        <v>-3.00169732467532</v>
      </c>
      <c r="K1701" s="8"/>
      <c r="L1701" s="8"/>
    </row>
    <row r="1702" ht="13.5" customHeight="1">
      <c r="A1702" s="7" t="s">
        <v>355</v>
      </c>
      <c r="B1702" s="7">
        <v>0.0</v>
      </c>
      <c r="C1702" s="7" t="s">
        <v>356</v>
      </c>
      <c r="D1702" s="7" t="s">
        <v>357</v>
      </c>
      <c r="E1702" s="7">
        <v>-13.5987293506494</v>
      </c>
      <c r="F1702" s="7">
        <v>1.25678471861472</v>
      </c>
      <c r="G1702" s="7">
        <v>1.71621653679654</v>
      </c>
      <c r="H1702" s="7">
        <v>-7.58894896103896E-4</v>
      </c>
      <c r="I1702" s="7">
        <v>-4.45993711255412</v>
      </c>
      <c r="J1702" s="7">
        <v>-3.00624437662337</v>
      </c>
      <c r="K1702" s="8"/>
      <c r="L1702" s="8"/>
    </row>
    <row r="1703" ht="13.5" customHeight="1">
      <c r="A1703" s="7" t="s">
        <v>355</v>
      </c>
      <c r="B1703" s="7">
        <v>1.75</v>
      </c>
      <c r="C1703" s="7" t="s">
        <v>356</v>
      </c>
      <c r="D1703" s="7" t="s">
        <v>357</v>
      </c>
      <c r="E1703" s="7">
        <v>-13.6155857142857</v>
      </c>
      <c r="F1703" s="7">
        <v>1.25849523809524</v>
      </c>
      <c r="G1703" s="7">
        <v>1.71848095238095</v>
      </c>
      <c r="H1703" s="7">
        <v>-7.5995E-4</v>
      </c>
      <c r="I1703" s="7">
        <v>-4.46673190476191</v>
      </c>
      <c r="J1703" s="7">
        <v>-3.01079142857142</v>
      </c>
      <c r="K1703" s="8"/>
      <c r="L1703" s="8"/>
    </row>
    <row r="1704" ht="13.5" customHeight="1">
      <c r="A1704" s="7" t="s">
        <v>355</v>
      </c>
      <c r="B1704" s="7">
        <v>3.5</v>
      </c>
      <c r="C1704" s="7" t="s">
        <v>356</v>
      </c>
      <c r="D1704" s="7" t="s">
        <v>357</v>
      </c>
      <c r="E1704" s="7">
        <v>-13.6324420779221</v>
      </c>
      <c r="F1704" s="7">
        <v>1.26020575757576</v>
      </c>
      <c r="G1704" s="7">
        <v>1.72074536796537</v>
      </c>
      <c r="H1704" s="7">
        <v>-7.61005103896104E-4</v>
      </c>
      <c r="I1704" s="7">
        <v>-4.4735266969697</v>
      </c>
      <c r="J1704" s="7">
        <v>-3.01533848051948</v>
      </c>
      <c r="K1704" s="8"/>
      <c r="L1704" s="8"/>
    </row>
    <row r="1705" ht="13.5" customHeight="1">
      <c r="A1705" s="7" t="s">
        <v>355</v>
      </c>
      <c r="B1705" s="7">
        <v>0.0</v>
      </c>
      <c r="C1705" s="7" t="s">
        <v>358</v>
      </c>
      <c r="D1705" s="7" t="s">
        <v>357</v>
      </c>
      <c r="E1705" s="7">
        <v>-13.6492984415585</v>
      </c>
      <c r="F1705" s="7">
        <v>1.26191627705628</v>
      </c>
      <c r="G1705" s="7">
        <v>1.72300978354978</v>
      </c>
      <c r="H1705" s="7">
        <v>-7.62060207792208E-4</v>
      </c>
      <c r="I1705" s="7">
        <v>-4.48032148917749</v>
      </c>
      <c r="J1705" s="7">
        <v>-3.01988553246753</v>
      </c>
      <c r="K1705" s="8"/>
      <c r="L1705" s="8"/>
    </row>
    <row r="1706" ht="13.5" customHeight="1">
      <c r="A1706" s="7" t="s">
        <v>355</v>
      </c>
      <c r="B1706" s="7">
        <v>1.75</v>
      </c>
      <c r="C1706" s="7" t="s">
        <v>358</v>
      </c>
      <c r="D1706" s="7" t="s">
        <v>357</v>
      </c>
      <c r="E1706" s="7">
        <v>-13.6661548051948</v>
      </c>
      <c r="F1706" s="7">
        <v>1.2636267965368</v>
      </c>
      <c r="G1706" s="7">
        <v>1.7252741991342</v>
      </c>
      <c r="H1706" s="7">
        <v>-7.63115311688312E-4</v>
      </c>
      <c r="I1706" s="7">
        <v>-4.48711628138528</v>
      </c>
      <c r="J1706" s="7">
        <v>-3.02443258441558</v>
      </c>
      <c r="K1706" s="8"/>
      <c r="L1706" s="8"/>
    </row>
    <row r="1707" ht="13.5" customHeight="1">
      <c r="A1707" s="7" t="s">
        <v>355</v>
      </c>
      <c r="B1707" s="7">
        <v>3.5</v>
      </c>
      <c r="C1707" s="7" t="s">
        <v>358</v>
      </c>
      <c r="D1707" s="7" t="s">
        <v>357</v>
      </c>
      <c r="E1707" s="7">
        <v>-13.6830111688312</v>
      </c>
      <c r="F1707" s="7">
        <v>1.26533731601732</v>
      </c>
      <c r="G1707" s="7">
        <v>1.72753861471861</v>
      </c>
      <c r="H1707" s="7">
        <v>-7.64170415584416E-4</v>
      </c>
      <c r="I1707" s="7">
        <v>-4.49391107359308</v>
      </c>
      <c r="J1707" s="7">
        <v>-3.02897963636363</v>
      </c>
      <c r="K1707" s="8"/>
      <c r="L1707" s="8"/>
    </row>
    <row r="1708" ht="13.5" customHeight="1">
      <c r="A1708" s="7" t="s">
        <v>355</v>
      </c>
      <c r="B1708" s="7">
        <v>0.0</v>
      </c>
      <c r="C1708" s="7" t="s">
        <v>359</v>
      </c>
      <c r="D1708" s="7" t="s">
        <v>357</v>
      </c>
      <c r="E1708" s="7">
        <v>-13.6998675324676</v>
      </c>
      <c r="F1708" s="7">
        <v>1.26704783549784</v>
      </c>
      <c r="G1708" s="7">
        <v>1.72980303030303</v>
      </c>
      <c r="H1708" s="7">
        <v>-7.6522551948052E-4</v>
      </c>
      <c r="I1708" s="7">
        <v>-4.50070586580087</v>
      </c>
      <c r="J1708" s="7">
        <v>-3.03352668831168</v>
      </c>
      <c r="K1708" s="8"/>
      <c r="L1708" s="8"/>
    </row>
    <row r="1709" ht="13.5" customHeight="1">
      <c r="A1709" s="7" t="s">
        <v>355</v>
      </c>
      <c r="B1709" s="7">
        <v>1.75</v>
      </c>
      <c r="C1709" s="7" t="s">
        <v>359</v>
      </c>
      <c r="D1709" s="7" t="s">
        <v>357</v>
      </c>
      <c r="E1709" s="7">
        <v>-13.7167238961039</v>
      </c>
      <c r="F1709" s="7">
        <v>1.26875835497836</v>
      </c>
      <c r="G1709" s="7">
        <v>1.73206744588744</v>
      </c>
      <c r="H1709" s="7">
        <v>-7.66280623376624E-4</v>
      </c>
      <c r="I1709" s="7">
        <v>-4.50750065800866</v>
      </c>
      <c r="J1709" s="7">
        <v>-3.03807374025974</v>
      </c>
      <c r="K1709" s="8"/>
      <c r="L1709" s="8"/>
    </row>
    <row r="1710" ht="13.5" customHeight="1">
      <c r="A1710" s="7" t="s">
        <v>355</v>
      </c>
      <c r="B1710" s="7">
        <v>3.5</v>
      </c>
      <c r="C1710" s="7" t="s">
        <v>359</v>
      </c>
      <c r="D1710" s="7" t="s">
        <v>357</v>
      </c>
      <c r="E1710" s="7">
        <v>-13.7335802597403</v>
      </c>
      <c r="F1710" s="7">
        <v>1.27046887445888</v>
      </c>
      <c r="G1710" s="7">
        <v>1.73433186147186</v>
      </c>
      <c r="H1710" s="7">
        <v>-7.67335727272728E-4</v>
      </c>
      <c r="I1710" s="7">
        <v>-4.51429545021645</v>
      </c>
      <c r="J1710" s="7">
        <v>-3.04262079220779</v>
      </c>
      <c r="K1710" s="8"/>
      <c r="L1710" s="8"/>
    </row>
    <row r="1711" ht="13.5" customHeight="1">
      <c r="A1711" s="7" t="s">
        <v>355</v>
      </c>
      <c r="B1711" s="7">
        <v>0.0</v>
      </c>
      <c r="C1711" s="7" t="s">
        <v>360</v>
      </c>
      <c r="D1711" s="7" t="s">
        <v>357</v>
      </c>
      <c r="E1711" s="7">
        <v>-13.7504366233766</v>
      </c>
      <c r="F1711" s="7">
        <v>1.2721793939394</v>
      </c>
      <c r="G1711" s="7">
        <v>1.73659627705628</v>
      </c>
      <c r="H1711" s="7">
        <v>-7.68390831168831E-4</v>
      </c>
      <c r="I1711" s="7">
        <v>-4.52109024242425</v>
      </c>
      <c r="J1711" s="7">
        <v>-3.04716784415584</v>
      </c>
      <c r="K1711" s="8"/>
      <c r="L1711" s="8"/>
    </row>
    <row r="1712" ht="13.5" customHeight="1">
      <c r="A1712" s="7" t="s">
        <v>355</v>
      </c>
      <c r="B1712" s="7">
        <v>1.75</v>
      </c>
      <c r="C1712" s="7" t="s">
        <v>360</v>
      </c>
      <c r="D1712" s="7" t="s">
        <v>357</v>
      </c>
      <c r="E1712" s="7">
        <v>-13.767292987013</v>
      </c>
      <c r="F1712" s="7">
        <v>1.27388991341992</v>
      </c>
      <c r="G1712" s="7">
        <v>1.73886069264069</v>
      </c>
      <c r="H1712" s="7">
        <v>-7.69445935064935E-4</v>
      </c>
      <c r="I1712" s="7">
        <v>-4.52788503463204</v>
      </c>
      <c r="J1712" s="7">
        <v>-3.05171489610389</v>
      </c>
      <c r="K1712" s="8"/>
      <c r="L1712" s="8"/>
    </row>
    <row r="1713" ht="13.5" customHeight="1">
      <c r="A1713" s="7" t="s">
        <v>355</v>
      </c>
      <c r="B1713" s="7">
        <v>3.5</v>
      </c>
      <c r="C1713" s="7" t="s">
        <v>360</v>
      </c>
      <c r="D1713" s="7" t="s">
        <v>357</v>
      </c>
      <c r="E1713" s="7">
        <v>-13.7841493506494</v>
      </c>
      <c r="F1713" s="7">
        <v>1.27560043290044</v>
      </c>
      <c r="G1713" s="7">
        <v>1.74112510822511</v>
      </c>
      <c r="H1713" s="7">
        <v>-7.70501038961039E-4</v>
      </c>
      <c r="I1713" s="7">
        <v>-4.53467982683983</v>
      </c>
      <c r="J1713" s="7">
        <v>-3.05626194805194</v>
      </c>
      <c r="K1713" s="8"/>
      <c r="L1713" s="8"/>
    </row>
    <row r="1714" ht="13.5" customHeight="1">
      <c r="A1714" s="7" t="s">
        <v>355</v>
      </c>
      <c r="B1714" s="7">
        <v>0.0</v>
      </c>
      <c r="C1714" s="7" t="s">
        <v>361</v>
      </c>
      <c r="D1714" s="7" t="s">
        <v>357</v>
      </c>
      <c r="E1714" s="7">
        <v>-13.8010057142857</v>
      </c>
      <c r="F1714" s="7">
        <v>1.27731095238096</v>
      </c>
      <c r="G1714" s="7">
        <v>1.74338952380952</v>
      </c>
      <c r="H1714" s="7">
        <v>-7.71556142857143E-4</v>
      </c>
      <c r="I1714" s="7">
        <v>-4.54147461904762</v>
      </c>
      <c r="J1714" s="7">
        <v>-3.060809</v>
      </c>
      <c r="K1714" s="8"/>
      <c r="L1714" s="8"/>
    </row>
    <row r="1715" ht="13.5" customHeight="1">
      <c r="A1715" s="7" t="s">
        <v>355</v>
      </c>
      <c r="B1715" s="7">
        <v>1.75</v>
      </c>
      <c r="C1715" s="7" t="s">
        <v>361</v>
      </c>
      <c r="D1715" s="7" t="s">
        <v>357</v>
      </c>
      <c r="E1715" s="7">
        <v>-13.8178620779221</v>
      </c>
      <c r="F1715" s="7">
        <v>1.27902147186148</v>
      </c>
      <c r="G1715" s="7">
        <v>1.74565393939394</v>
      </c>
      <c r="H1715" s="7">
        <v>-7.72611246753247E-4</v>
      </c>
      <c r="I1715" s="7">
        <v>-4.54826941125541</v>
      </c>
      <c r="J1715" s="7">
        <v>-3.06535605194805</v>
      </c>
      <c r="K1715" s="8"/>
      <c r="L1715" s="8"/>
    </row>
    <row r="1716" ht="13.5" customHeight="1">
      <c r="A1716" s="7" t="s">
        <v>355</v>
      </c>
      <c r="B1716" s="7">
        <v>3.5</v>
      </c>
      <c r="C1716" s="7" t="s">
        <v>361</v>
      </c>
      <c r="D1716" s="7" t="s">
        <v>357</v>
      </c>
      <c r="E1716" s="7">
        <v>-13.8347184415585</v>
      </c>
      <c r="F1716" s="7">
        <v>1.280731991342</v>
      </c>
      <c r="G1716" s="7">
        <v>1.74791835497835</v>
      </c>
      <c r="H1716" s="7">
        <v>-7.73666350649351E-4</v>
      </c>
      <c r="I1716" s="7">
        <v>-4.55506420346321</v>
      </c>
      <c r="J1716" s="7">
        <v>-3.0699031038961</v>
      </c>
      <c r="K1716" s="8"/>
      <c r="L1716" s="8"/>
    </row>
    <row r="1717" ht="13.5" customHeight="1">
      <c r="A1717" s="7" t="s">
        <v>355</v>
      </c>
      <c r="B1717" s="7">
        <v>0.0</v>
      </c>
      <c r="C1717" s="7" t="s">
        <v>362</v>
      </c>
      <c r="D1717" s="7" t="s">
        <v>357</v>
      </c>
      <c r="E1717" s="7">
        <v>-13.8515748051948</v>
      </c>
      <c r="F1717" s="7">
        <v>1.28244251082252</v>
      </c>
      <c r="G1717" s="7">
        <v>1.75018277056277</v>
      </c>
      <c r="H1717" s="7">
        <v>-7.74721454545455E-4</v>
      </c>
      <c r="I1717" s="7">
        <v>-4.561858995671</v>
      </c>
      <c r="J1717" s="7">
        <v>-3.07445015584415</v>
      </c>
      <c r="K1717" s="8"/>
      <c r="L1717" s="8"/>
    </row>
    <row r="1718" ht="13.5" customHeight="1">
      <c r="A1718" s="7" t="s">
        <v>355</v>
      </c>
      <c r="B1718" s="7">
        <v>1.75</v>
      </c>
      <c r="C1718" s="7" t="s">
        <v>362</v>
      </c>
      <c r="D1718" s="7" t="s">
        <v>357</v>
      </c>
      <c r="E1718" s="7">
        <v>-13.8684311688312</v>
      </c>
      <c r="F1718" s="7">
        <v>1.28415303030304</v>
      </c>
      <c r="G1718" s="7">
        <v>1.75244718614718</v>
      </c>
      <c r="H1718" s="7">
        <v>-7.75776558441559E-4</v>
      </c>
      <c r="I1718" s="7">
        <v>-4.56865378787879</v>
      </c>
      <c r="J1718" s="7">
        <v>-3.0789972077922</v>
      </c>
      <c r="K1718" s="8"/>
      <c r="L1718" s="8"/>
    </row>
    <row r="1719" ht="13.5" customHeight="1">
      <c r="A1719" s="7" t="s">
        <v>355</v>
      </c>
      <c r="B1719" s="7">
        <v>3.5</v>
      </c>
      <c r="C1719" s="7" t="s">
        <v>362</v>
      </c>
      <c r="D1719" s="7" t="s">
        <v>357</v>
      </c>
      <c r="E1719" s="7">
        <v>-13.8852875324676</v>
      </c>
      <c r="F1719" s="7">
        <v>1.28586354978355</v>
      </c>
      <c r="G1719" s="7">
        <v>1.7547116017316</v>
      </c>
      <c r="H1719" s="7">
        <v>-7.76831662337663E-4</v>
      </c>
      <c r="I1719" s="7">
        <v>-4.57544858008658</v>
      </c>
      <c r="J1719" s="7">
        <v>-3.08354425974025</v>
      </c>
      <c r="K1719" s="8"/>
      <c r="L1719" s="8"/>
    </row>
    <row r="1720" ht="13.5" customHeight="1">
      <c r="A1720" s="7" t="s">
        <v>355</v>
      </c>
      <c r="B1720" s="7">
        <v>0.0</v>
      </c>
      <c r="C1720" s="7" t="s">
        <v>363</v>
      </c>
      <c r="D1720" s="7" t="s">
        <v>357</v>
      </c>
      <c r="E1720" s="7">
        <v>-13.9021438961039</v>
      </c>
      <c r="F1720" s="7">
        <v>1.28757406926407</v>
      </c>
      <c r="G1720" s="7">
        <v>1.75697601731602</v>
      </c>
      <c r="H1720" s="7">
        <v>-7.77886766233767E-4</v>
      </c>
      <c r="I1720" s="7">
        <v>-4.58224337229438</v>
      </c>
      <c r="J1720" s="7">
        <v>-3.08809131168831</v>
      </c>
      <c r="K1720" s="8"/>
      <c r="L1720" s="8"/>
    </row>
    <row r="1721" ht="13.5" customHeight="1">
      <c r="A1721" s="7" t="s">
        <v>355</v>
      </c>
      <c r="B1721" s="7">
        <v>1.75</v>
      </c>
      <c r="C1721" s="7" t="s">
        <v>363</v>
      </c>
      <c r="D1721" s="7" t="s">
        <v>357</v>
      </c>
      <c r="E1721" s="7">
        <v>-13.9190002597403</v>
      </c>
      <c r="F1721" s="7">
        <v>1.28928458874459</v>
      </c>
      <c r="G1721" s="7">
        <v>1.75924043290043</v>
      </c>
      <c r="H1721" s="7">
        <v>-7.7894187012987E-4</v>
      </c>
      <c r="I1721" s="7">
        <v>-4.58903816450217</v>
      </c>
      <c r="J1721" s="7">
        <v>-3.09263836363636</v>
      </c>
      <c r="K1721" s="8"/>
      <c r="L1721" s="8"/>
    </row>
    <row r="1722" ht="13.5" customHeight="1">
      <c r="A1722" s="7" t="s">
        <v>355</v>
      </c>
      <c r="B1722" s="7">
        <v>3.5</v>
      </c>
      <c r="C1722" s="7" t="s">
        <v>363</v>
      </c>
      <c r="D1722" s="7" t="s">
        <v>357</v>
      </c>
      <c r="E1722" s="7">
        <v>-13.9358566233766</v>
      </c>
      <c r="F1722" s="7">
        <v>1.29099510822511</v>
      </c>
      <c r="G1722" s="7">
        <v>1.76150484848485</v>
      </c>
      <c r="H1722" s="7">
        <v>-7.79996974025974E-4</v>
      </c>
      <c r="I1722" s="7">
        <v>-4.59583295670996</v>
      </c>
      <c r="J1722" s="7">
        <v>-3.09718541558441</v>
      </c>
      <c r="K1722" s="8"/>
      <c r="L1722" s="8"/>
    </row>
    <row r="1723" ht="13.5" customHeight="1">
      <c r="A1723" s="7" t="s">
        <v>355</v>
      </c>
      <c r="B1723" s="7">
        <v>0.0</v>
      </c>
      <c r="C1723" s="7" t="s">
        <v>356</v>
      </c>
      <c r="D1723" s="7" t="s">
        <v>357</v>
      </c>
      <c r="E1723" s="7">
        <v>-13.952712987013</v>
      </c>
      <c r="F1723" s="7">
        <v>1.29270562770563</v>
      </c>
      <c r="G1723" s="7">
        <v>1.76376926406926</v>
      </c>
      <c r="H1723" s="7">
        <v>-7.81052077922078E-4</v>
      </c>
      <c r="I1723" s="7">
        <v>-4.60262774891775</v>
      </c>
      <c r="J1723" s="7">
        <v>-3.10173246753246</v>
      </c>
      <c r="K1723" s="8"/>
      <c r="L1723" s="8"/>
    </row>
    <row r="1724" ht="13.5" customHeight="1">
      <c r="A1724" s="7" t="s">
        <v>355</v>
      </c>
      <c r="B1724" s="7">
        <v>1.75</v>
      </c>
      <c r="C1724" s="7" t="s">
        <v>356</v>
      </c>
      <c r="D1724" s="7" t="s">
        <v>357</v>
      </c>
      <c r="E1724" s="7">
        <v>-13.9695693506494</v>
      </c>
      <c r="F1724" s="7">
        <v>1.29441614718615</v>
      </c>
      <c r="G1724" s="7">
        <v>1.76603367965368</v>
      </c>
      <c r="H1724" s="7">
        <v>-7.82107181818182E-4</v>
      </c>
      <c r="I1724" s="7">
        <v>-4.60942254112554</v>
      </c>
      <c r="J1724" s="7">
        <v>-3.10627951948051</v>
      </c>
      <c r="K1724" s="8"/>
      <c r="L1724" s="8"/>
    </row>
    <row r="1725" ht="13.5" customHeight="1">
      <c r="A1725" s="7" t="s">
        <v>355</v>
      </c>
      <c r="B1725" s="7">
        <v>3.5</v>
      </c>
      <c r="C1725" s="7" t="s">
        <v>356</v>
      </c>
      <c r="D1725" s="7" t="s">
        <v>357</v>
      </c>
      <c r="E1725" s="7">
        <v>-13.9864257142857</v>
      </c>
      <c r="F1725" s="7">
        <v>1.29612666666667</v>
      </c>
      <c r="G1725" s="7">
        <v>1.76829809523809</v>
      </c>
      <c r="H1725" s="7">
        <v>-7.83162285714286E-4</v>
      </c>
      <c r="I1725" s="7">
        <v>-4.61621733333334</v>
      </c>
      <c r="J1725" s="7">
        <v>-3.11082657142857</v>
      </c>
      <c r="K1725" s="8"/>
      <c r="L1725" s="8"/>
    </row>
    <row r="1726" ht="13.5" customHeight="1">
      <c r="A1726" s="7" t="s">
        <v>355</v>
      </c>
      <c r="B1726" s="7">
        <v>0.0</v>
      </c>
      <c r="C1726" s="7" t="s">
        <v>358</v>
      </c>
      <c r="D1726" s="7" t="s">
        <v>357</v>
      </c>
      <c r="E1726" s="7">
        <v>-14.0032820779221</v>
      </c>
      <c r="F1726" s="7">
        <v>1.29783718614719</v>
      </c>
      <c r="G1726" s="7">
        <v>1.77056251082251</v>
      </c>
      <c r="H1726" s="7">
        <v>-7.8421738961039E-4</v>
      </c>
      <c r="I1726" s="7">
        <v>-4.62301212554113</v>
      </c>
      <c r="J1726" s="7">
        <v>-3.11537362337662</v>
      </c>
      <c r="K1726" s="8"/>
      <c r="L1726" s="8"/>
    </row>
    <row r="1727" ht="13.5" customHeight="1">
      <c r="A1727" s="7" t="s">
        <v>355</v>
      </c>
      <c r="B1727" s="7">
        <v>1.75</v>
      </c>
      <c r="C1727" s="7" t="s">
        <v>358</v>
      </c>
      <c r="D1727" s="7" t="s">
        <v>357</v>
      </c>
      <c r="E1727" s="7">
        <v>-14.0201384415585</v>
      </c>
      <c r="F1727" s="7">
        <v>1.29954770562771</v>
      </c>
      <c r="G1727" s="7">
        <v>1.77282692640692</v>
      </c>
      <c r="H1727" s="7">
        <v>-7.85272493506494E-4</v>
      </c>
      <c r="I1727" s="7">
        <v>-4.62980691774892</v>
      </c>
      <c r="J1727" s="7">
        <v>-3.11992067532467</v>
      </c>
      <c r="K1727" s="8"/>
      <c r="L1727" s="8"/>
    </row>
    <row r="1728" ht="13.5" customHeight="1">
      <c r="A1728" s="7" t="s">
        <v>355</v>
      </c>
      <c r="B1728" s="7">
        <v>3.5</v>
      </c>
      <c r="C1728" s="7" t="s">
        <v>358</v>
      </c>
      <c r="D1728" s="7" t="s">
        <v>357</v>
      </c>
      <c r="E1728" s="7">
        <v>-14.0369948051948</v>
      </c>
      <c r="F1728" s="7">
        <v>1.30125822510823</v>
      </c>
      <c r="G1728" s="7">
        <v>1.77509134199134</v>
      </c>
      <c r="H1728" s="7">
        <v>-7.86327597402598E-4</v>
      </c>
      <c r="I1728" s="7">
        <v>-4.63660170995671</v>
      </c>
      <c r="J1728" s="7">
        <v>-3.12446772727272</v>
      </c>
      <c r="K1728" s="8"/>
      <c r="L1728" s="8"/>
    </row>
    <row r="1729" ht="13.5" customHeight="1">
      <c r="A1729" s="7" t="s">
        <v>355</v>
      </c>
      <c r="B1729" s="7">
        <v>0.0</v>
      </c>
      <c r="C1729" s="7" t="s">
        <v>359</v>
      </c>
      <c r="D1729" s="7" t="s">
        <v>357</v>
      </c>
      <c r="E1729" s="7">
        <v>-14.0538511688312</v>
      </c>
      <c r="F1729" s="7">
        <v>1.30296874458875</v>
      </c>
      <c r="G1729" s="7">
        <v>1.77735575757576</v>
      </c>
      <c r="H1729" s="7">
        <v>-7.87382701298702E-4</v>
      </c>
      <c r="I1729" s="7">
        <v>-4.6433965021645</v>
      </c>
      <c r="J1729" s="7">
        <v>-3.12901477922077</v>
      </c>
      <c r="K1729" s="8"/>
      <c r="L1729" s="8"/>
    </row>
    <row r="1730" ht="13.5" customHeight="1">
      <c r="A1730" s="7" t="s">
        <v>355</v>
      </c>
      <c r="B1730" s="7">
        <v>1.75</v>
      </c>
      <c r="C1730" s="7" t="s">
        <v>359</v>
      </c>
      <c r="D1730" s="7" t="s">
        <v>357</v>
      </c>
      <c r="E1730" s="7">
        <v>-14.0707075324676</v>
      </c>
      <c r="F1730" s="7">
        <v>1.30467926406927</v>
      </c>
      <c r="G1730" s="7">
        <v>1.77962017316017</v>
      </c>
      <c r="H1730" s="7">
        <v>-7.88437805194806E-4</v>
      </c>
      <c r="I1730" s="7">
        <v>-4.6501912943723</v>
      </c>
      <c r="J1730" s="7">
        <v>-3.13356183116883</v>
      </c>
      <c r="K1730" s="8"/>
      <c r="L1730" s="8"/>
    </row>
    <row r="1731" ht="13.5" customHeight="1">
      <c r="A1731" s="7" t="s">
        <v>355</v>
      </c>
      <c r="B1731" s="7">
        <v>3.5</v>
      </c>
      <c r="C1731" s="7" t="s">
        <v>359</v>
      </c>
      <c r="D1731" s="7" t="s">
        <v>357</v>
      </c>
      <c r="E1731" s="7">
        <v>-14.0875638961039</v>
      </c>
      <c r="F1731" s="7">
        <v>1.30638978354979</v>
      </c>
      <c r="G1731" s="7">
        <v>1.78188458874459</v>
      </c>
      <c r="H1731" s="7">
        <v>-7.89492909090909E-4</v>
      </c>
      <c r="I1731" s="7">
        <v>-4.65698608658009</v>
      </c>
      <c r="J1731" s="7">
        <v>-3.13810888311688</v>
      </c>
      <c r="K1731" s="8"/>
      <c r="L1731" s="8"/>
    </row>
    <row r="1732" ht="13.5" customHeight="1">
      <c r="A1732" s="7" t="s">
        <v>355</v>
      </c>
      <c r="B1732" s="7">
        <v>0.0</v>
      </c>
      <c r="C1732" s="7" t="s">
        <v>360</v>
      </c>
      <c r="D1732" s="7" t="s">
        <v>357</v>
      </c>
      <c r="E1732" s="7">
        <v>-14.1044202597403</v>
      </c>
      <c r="F1732" s="7">
        <v>1.30810030303031</v>
      </c>
      <c r="G1732" s="7">
        <v>1.784149004329</v>
      </c>
      <c r="H1732" s="7">
        <v>-7.90548012987013E-4</v>
      </c>
      <c r="I1732" s="7">
        <v>-4.66378087878788</v>
      </c>
      <c r="J1732" s="7">
        <v>-3.14265593506493</v>
      </c>
      <c r="K1732" s="8"/>
      <c r="L1732" s="8"/>
    </row>
    <row r="1733" ht="13.5" customHeight="1">
      <c r="A1733" s="7" t="s">
        <v>355</v>
      </c>
      <c r="B1733" s="7">
        <v>1.75</v>
      </c>
      <c r="C1733" s="7" t="s">
        <v>360</v>
      </c>
      <c r="D1733" s="7" t="s">
        <v>357</v>
      </c>
      <c r="E1733" s="7">
        <v>-14.1212766233766</v>
      </c>
      <c r="F1733" s="7">
        <v>1.30981082251083</v>
      </c>
      <c r="G1733" s="7">
        <v>1.78641341991342</v>
      </c>
      <c r="H1733" s="7">
        <v>-7.91603116883117E-4</v>
      </c>
      <c r="I1733" s="7">
        <v>-4.67057567099567</v>
      </c>
      <c r="J1733" s="7">
        <v>-3.14720298701298</v>
      </c>
      <c r="K1733" s="8"/>
      <c r="L1733" s="8"/>
    </row>
    <row r="1734" ht="13.5" customHeight="1">
      <c r="A1734" s="7" t="s">
        <v>355</v>
      </c>
      <c r="B1734" s="7">
        <v>3.5</v>
      </c>
      <c r="C1734" s="7" t="s">
        <v>360</v>
      </c>
      <c r="D1734" s="7" t="s">
        <v>357</v>
      </c>
      <c r="E1734" s="7">
        <v>-14.138132987013</v>
      </c>
      <c r="F1734" s="7">
        <v>1.31152134199135</v>
      </c>
      <c r="G1734" s="7">
        <v>1.78867783549783</v>
      </c>
      <c r="H1734" s="7">
        <v>-7.92658220779221E-4</v>
      </c>
      <c r="I1734" s="7">
        <v>-4.67737046320347</v>
      </c>
      <c r="J1734" s="7">
        <v>-3.15175003896103</v>
      </c>
      <c r="K1734" s="8"/>
      <c r="L1734" s="8"/>
    </row>
    <row r="1735" ht="13.5" customHeight="1">
      <c r="A1735" s="7" t="s">
        <v>355</v>
      </c>
      <c r="B1735" s="7">
        <v>0.0</v>
      </c>
      <c r="C1735" s="7" t="s">
        <v>361</v>
      </c>
      <c r="D1735" s="7" t="s">
        <v>357</v>
      </c>
      <c r="E1735" s="7">
        <v>-14.1549893506494</v>
      </c>
      <c r="F1735" s="7">
        <v>1.31323186147187</v>
      </c>
      <c r="G1735" s="7">
        <v>1.79094225108225</v>
      </c>
      <c r="H1735" s="7">
        <v>-7.93713324675325E-4</v>
      </c>
      <c r="I1735" s="7">
        <v>-4.68416525541126</v>
      </c>
      <c r="J1735" s="7">
        <v>-3.15629709090909</v>
      </c>
      <c r="K1735" s="8"/>
      <c r="L1735" s="8"/>
    </row>
    <row r="1736" ht="13.5" customHeight="1">
      <c r="A1736" s="7" t="s">
        <v>355</v>
      </c>
      <c r="B1736" s="7">
        <v>1.75</v>
      </c>
      <c r="C1736" s="7" t="s">
        <v>361</v>
      </c>
      <c r="D1736" s="7" t="s">
        <v>357</v>
      </c>
      <c r="E1736" s="7">
        <v>-14.1718457142857</v>
      </c>
      <c r="F1736" s="7">
        <v>1.31494238095239</v>
      </c>
      <c r="G1736" s="7">
        <v>1.79320666666666</v>
      </c>
      <c r="H1736" s="7">
        <v>-7.94768428571429E-4</v>
      </c>
      <c r="I1736" s="7">
        <v>-4.69096004761905</v>
      </c>
      <c r="J1736" s="7">
        <v>-3.16084414285714</v>
      </c>
      <c r="K1736" s="8"/>
      <c r="L1736" s="8"/>
    </row>
    <row r="1737" ht="13.5" customHeight="1">
      <c r="A1737" s="7" t="s">
        <v>355</v>
      </c>
      <c r="B1737" s="7">
        <v>3.5</v>
      </c>
      <c r="C1737" s="7" t="s">
        <v>361</v>
      </c>
      <c r="D1737" s="7" t="s">
        <v>357</v>
      </c>
      <c r="E1737" s="7">
        <v>-14.1887020779221</v>
      </c>
      <c r="F1737" s="7">
        <v>1.31665290043291</v>
      </c>
      <c r="G1737" s="7">
        <v>1.79547108225108</v>
      </c>
      <c r="H1737" s="7">
        <v>-7.95823532467533E-4</v>
      </c>
      <c r="I1737" s="7">
        <v>-4.69775483982684</v>
      </c>
      <c r="J1737" s="7">
        <v>-3.16539119480519</v>
      </c>
      <c r="K1737" s="8"/>
      <c r="L1737" s="8"/>
    </row>
    <row r="1738" ht="13.5" customHeight="1">
      <c r="A1738" s="7" t="s">
        <v>355</v>
      </c>
      <c r="B1738" s="7">
        <v>0.0</v>
      </c>
      <c r="C1738" s="7" t="s">
        <v>362</v>
      </c>
      <c r="D1738" s="7" t="s">
        <v>357</v>
      </c>
      <c r="E1738" s="7">
        <v>-14.2055584415585</v>
      </c>
      <c r="F1738" s="7">
        <v>1.31836341991343</v>
      </c>
      <c r="G1738" s="7">
        <v>1.7977354978355</v>
      </c>
      <c r="H1738" s="7">
        <v>-7.96878636363637E-4</v>
      </c>
      <c r="I1738" s="7">
        <v>-4.70454963203463</v>
      </c>
      <c r="J1738" s="7">
        <v>-3.16993824675324</v>
      </c>
      <c r="K1738" s="8"/>
      <c r="L1738" s="8"/>
    </row>
    <row r="1739" ht="13.5" customHeight="1">
      <c r="A1739" s="7" t="s">
        <v>355</v>
      </c>
      <c r="B1739" s="7">
        <v>1.75</v>
      </c>
      <c r="C1739" s="7" t="s">
        <v>362</v>
      </c>
      <c r="D1739" s="7" t="s">
        <v>357</v>
      </c>
      <c r="E1739" s="7">
        <v>-14.2224148051948</v>
      </c>
      <c r="F1739" s="7">
        <v>1.32007393939394</v>
      </c>
      <c r="G1739" s="7">
        <v>1.79999991341991</v>
      </c>
      <c r="H1739" s="7">
        <v>-7.97933740259741E-4</v>
      </c>
      <c r="I1739" s="7">
        <v>-4.71134442424243</v>
      </c>
      <c r="J1739" s="7">
        <v>-3.17448529870129</v>
      </c>
      <c r="K1739" s="8"/>
      <c r="L1739" s="8"/>
    </row>
    <row r="1740" ht="13.5" customHeight="1">
      <c r="A1740" s="7" t="s">
        <v>355</v>
      </c>
      <c r="B1740" s="7">
        <v>3.5</v>
      </c>
      <c r="C1740" s="7" t="s">
        <v>362</v>
      </c>
      <c r="D1740" s="7" t="s">
        <v>357</v>
      </c>
      <c r="E1740" s="7">
        <v>-14.2392711688312</v>
      </c>
      <c r="F1740" s="7">
        <v>1.32178445887446</v>
      </c>
      <c r="G1740" s="7">
        <v>1.80226432900433</v>
      </c>
      <c r="H1740" s="7">
        <v>-7.98988844155844E-4</v>
      </c>
      <c r="I1740" s="7">
        <v>-4.71813921645022</v>
      </c>
      <c r="J1740" s="7">
        <v>-3.17903235064935</v>
      </c>
      <c r="K1740" s="8"/>
      <c r="L1740" s="8"/>
    </row>
    <row r="1741" ht="13.5" customHeight="1">
      <c r="A1741" s="7" t="s">
        <v>355</v>
      </c>
      <c r="B1741" s="7">
        <v>0.0</v>
      </c>
      <c r="C1741" s="7" t="s">
        <v>363</v>
      </c>
      <c r="D1741" s="7" t="s">
        <v>357</v>
      </c>
      <c r="E1741" s="7">
        <v>-14.2561275324676</v>
      </c>
      <c r="F1741" s="7">
        <v>1.32349497835498</v>
      </c>
      <c r="G1741" s="7">
        <v>1.80452874458874</v>
      </c>
      <c r="H1741" s="7">
        <v>-8.00043948051948E-4</v>
      </c>
      <c r="I1741" s="7">
        <v>-4.72493400865801</v>
      </c>
      <c r="J1741" s="7">
        <v>-3.1835794025974</v>
      </c>
      <c r="K1741" s="8"/>
      <c r="L1741" s="8"/>
    </row>
    <row r="1742" ht="13.5" customHeight="1">
      <c r="A1742" s="7" t="s">
        <v>355</v>
      </c>
      <c r="B1742" s="7">
        <v>1.75</v>
      </c>
      <c r="C1742" s="7" t="s">
        <v>363</v>
      </c>
      <c r="D1742" s="7" t="s">
        <v>357</v>
      </c>
      <c r="E1742" s="7">
        <v>-14.2729838961039</v>
      </c>
      <c r="F1742" s="7">
        <v>1.3252054978355</v>
      </c>
      <c r="G1742" s="7">
        <v>1.80679316017316</v>
      </c>
      <c r="H1742" s="7">
        <v>-8.01099051948052E-4</v>
      </c>
      <c r="I1742" s="7">
        <v>-4.7317288008658</v>
      </c>
      <c r="J1742" s="7">
        <v>-3.18812645454545</v>
      </c>
      <c r="K1742" s="8"/>
      <c r="L1742" s="8"/>
    </row>
    <row r="1743" ht="13.5" customHeight="1">
      <c r="A1743" s="7" t="s">
        <v>355</v>
      </c>
      <c r="B1743" s="7">
        <v>3.5</v>
      </c>
      <c r="C1743" s="7" t="s">
        <v>363</v>
      </c>
      <c r="D1743" s="7" t="s">
        <v>357</v>
      </c>
      <c r="E1743" s="7">
        <v>-14.2898402597403</v>
      </c>
      <c r="F1743" s="7">
        <v>1.32691601731602</v>
      </c>
      <c r="G1743" s="7">
        <v>1.80905757575757</v>
      </c>
      <c r="H1743" s="7">
        <v>-8.02154155844156E-4</v>
      </c>
      <c r="I1743" s="7">
        <v>-4.7385235930736</v>
      </c>
      <c r="J1743" s="7">
        <v>-3.1926735064935</v>
      </c>
      <c r="K1743" s="8"/>
      <c r="L1743" s="8"/>
    </row>
    <row r="1744" ht="13.5" customHeight="1">
      <c r="A1744" s="7" t="s">
        <v>355</v>
      </c>
      <c r="B1744" s="7">
        <v>0.0</v>
      </c>
      <c r="C1744" s="7" t="s">
        <v>356</v>
      </c>
      <c r="D1744" s="7" t="s">
        <v>357</v>
      </c>
      <c r="E1744" s="7">
        <v>-14.3066966233766</v>
      </c>
      <c r="F1744" s="7">
        <v>1.32862653679654</v>
      </c>
      <c r="G1744" s="7">
        <v>1.81132199134199</v>
      </c>
      <c r="H1744" s="7">
        <v>-8.0320925974026E-4</v>
      </c>
      <c r="I1744" s="7">
        <v>-4.74531838528139</v>
      </c>
      <c r="J1744" s="7">
        <v>-3.19722055844155</v>
      </c>
      <c r="K1744" s="8"/>
      <c r="L1744" s="8"/>
    </row>
    <row r="1745" ht="13.5" customHeight="1">
      <c r="A1745" s="7" t="s">
        <v>355</v>
      </c>
      <c r="B1745" s="7">
        <v>1.75</v>
      </c>
      <c r="C1745" s="7" t="s">
        <v>356</v>
      </c>
      <c r="D1745" s="7" t="s">
        <v>357</v>
      </c>
      <c r="E1745" s="7">
        <v>-14.323552987013</v>
      </c>
      <c r="F1745" s="7">
        <v>1.33033705627706</v>
      </c>
      <c r="G1745" s="7">
        <v>1.81358640692641</v>
      </c>
      <c r="H1745" s="7">
        <v>-8.04264363636364E-4</v>
      </c>
      <c r="I1745" s="7">
        <v>-4.75211317748918</v>
      </c>
      <c r="J1745" s="7">
        <v>-3.20176761038961</v>
      </c>
      <c r="K1745" s="8"/>
      <c r="L1745" s="8"/>
    </row>
    <row r="1746" ht="13.5" customHeight="1">
      <c r="A1746" s="7" t="s">
        <v>355</v>
      </c>
      <c r="B1746" s="7">
        <v>3.5</v>
      </c>
      <c r="C1746" s="7" t="s">
        <v>356</v>
      </c>
      <c r="D1746" s="7" t="s">
        <v>357</v>
      </c>
      <c r="E1746" s="7">
        <v>-14.3404093506494</v>
      </c>
      <c r="F1746" s="7">
        <v>1.33204757575758</v>
      </c>
      <c r="G1746" s="7">
        <v>1.81585082251082</v>
      </c>
      <c r="H1746" s="7">
        <v>-8.05319467532468E-4</v>
      </c>
      <c r="I1746" s="7">
        <v>-4.75890796969697</v>
      </c>
      <c r="J1746" s="7">
        <v>-3.20631466233766</v>
      </c>
      <c r="K1746" s="8"/>
      <c r="L1746" s="8"/>
    </row>
    <row r="1747" ht="13.5" customHeight="1">
      <c r="A1747" s="7" t="s">
        <v>355</v>
      </c>
      <c r="B1747" s="7">
        <v>0.0</v>
      </c>
      <c r="C1747" s="7" t="s">
        <v>358</v>
      </c>
      <c r="D1747" s="7" t="s">
        <v>357</v>
      </c>
      <c r="E1747" s="7">
        <v>-14.3572657142857</v>
      </c>
      <c r="F1747" s="7">
        <v>1.3337580952381</v>
      </c>
      <c r="G1747" s="7">
        <v>1.81811523809524</v>
      </c>
      <c r="H1747" s="7">
        <v>-8.06374571428572E-4</v>
      </c>
      <c r="I1747" s="7">
        <v>-4.76570276190476</v>
      </c>
      <c r="J1747" s="7">
        <v>-3.21086171428571</v>
      </c>
      <c r="K1747" s="8"/>
      <c r="L1747" s="8"/>
    </row>
    <row r="1748" ht="13.5" customHeight="1">
      <c r="A1748" s="7" t="s">
        <v>355</v>
      </c>
      <c r="B1748" s="7">
        <v>1.75</v>
      </c>
      <c r="C1748" s="7" t="s">
        <v>358</v>
      </c>
      <c r="D1748" s="7" t="s">
        <v>357</v>
      </c>
      <c r="E1748" s="7">
        <v>-14.3741220779221</v>
      </c>
      <c r="F1748" s="7">
        <v>1.33546861471862</v>
      </c>
      <c r="G1748" s="7">
        <v>1.82037965367965</v>
      </c>
      <c r="H1748" s="7">
        <v>-8.07429675324676E-4</v>
      </c>
      <c r="I1748" s="7">
        <v>-4.77249755411256</v>
      </c>
      <c r="J1748" s="7">
        <v>-3.21540876623376</v>
      </c>
      <c r="K1748" s="8"/>
      <c r="L1748" s="8"/>
    </row>
    <row r="1749" ht="13.5" customHeight="1">
      <c r="A1749" s="7" t="s">
        <v>355</v>
      </c>
      <c r="B1749" s="7">
        <v>3.5</v>
      </c>
      <c r="C1749" s="7" t="s">
        <v>358</v>
      </c>
      <c r="D1749" s="7" t="s">
        <v>357</v>
      </c>
      <c r="E1749" s="7">
        <v>-14.3909784415585</v>
      </c>
      <c r="F1749" s="7">
        <v>1.33717913419914</v>
      </c>
      <c r="G1749" s="7">
        <v>1.82264406926407</v>
      </c>
      <c r="H1749" s="7">
        <v>-8.0848477922078E-4</v>
      </c>
      <c r="I1749" s="7">
        <v>-4.77929234632035</v>
      </c>
      <c r="J1749" s="7">
        <v>-3.21995581818181</v>
      </c>
      <c r="K1749" s="8"/>
      <c r="L1749" s="8"/>
    </row>
    <row r="1750" ht="13.5" customHeight="1">
      <c r="A1750" s="7" t="s">
        <v>355</v>
      </c>
      <c r="B1750" s="7">
        <v>0.0</v>
      </c>
      <c r="C1750" s="7" t="s">
        <v>359</v>
      </c>
      <c r="D1750" s="7" t="s">
        <v>357</v>
      </c>
      <c r="E1750" s="7">
        <v>-14.4078348051948</v>
      </c>
      <c r="F1750" s="7">
        <v>1.33888965367966</v>
      </c>
      <c r="G1750" s="7">
        <v>1.82490848484848</v>
      </c>
      <c r="H1750" s="7">
        <v>-8.09539883116883E-4</v>
      </c>
      <c r="I1750" s="7">
        <v>-4.78608713852814</v>
      </c>
      <c r="J1750" s="7">
        <v>-3.22450287012987</v>
      </c>
      <c r="K1750" s="8"/>
      <c r="L1750" s="8"/>
    </row>
    <row r="1751" ht="13.5" customHeight="1">
      <c r="A1751" s="7" t="s">
        <v>355</v>
      </c>
      <c r="B1751" s="7">
        <v>1.75</v>
      </c>
      <c r="C1751" s="7" t="s">
        <v>359</v>
      </c>
      <c r="D1751" s="7" t="s">
        <v>357</v>
      </c>
      <c r="E1751" s="7">
        <v>-14.4246911688312</v>
      </c>
      <c r="F1751" s="7">
        <v>1.34060017316018</v>
      </c>
      <c r="G1751" s="7">
        <v>1.8271729004329</v>
      </c>
      <c r="H1751" s="7">
        <v>-8.10594987012987E-4</v>
      </c>
      <c r="I1751" s="7">
        <v>-4.79288193073593</v>
      </c>
      <c r="J1751" s="7">
        <v>-3.22904992207792</v>
      </c>
      <c r="K1751" s="8"/>
      <c r="L1751" s="8"/>
    </row>
    <row r="1752" ht="13.5" customHeight="1">
      <c r="A1752" s="7" t="s">
        <v>355</v>
      </c>
      <c r="B1752" s="7">
        <v>3.5</v>
      </c>
      <c r="C1752" s="7" t="s">
        <v>359</v>
      </c>
      <c r="D1752" s="7" t="s">
        <v>357</v>
      </c>
      <c r="E1752" s="7">
        <v>-14.4415475324676</v>
      </c>
      <c r="F1752" s="7">
        <v>1.3423106926407</v>
      </c>
      <c r="G1752" s="7">
        <v>1.82943731601731</v>
      </c>
      <c r="H1752" s="7">
        <v>-8.11650090909091E-4</v>
      </c>
      <c r="I1752" s="7">
        <v>-4.79967672294373</v>
      </c>
      <c r="J1752" s="7">
        <v>-3.23359697402597</v>
      </c>
      <c r="K1752" s="8"/>
      <c r="L1752" s="8"/>
    </row>
    <row r="1753" ht="13.5" customHeight="1">
      <c r="A1753" s="7" t="s">
        <v>355</v>
      </c>
      <c r="B1753" s="7">
        <v>0.0</v>
      </c>
      <c r="C1753" s="7" t="s">
        <v>360</v>
      </c>
      <c r="D1753" s="7" t="s">
        <v>357</v>
      </c>
      <c r="E1753" s="7">
        <v>-14.4584038961039</v>
      </c>
      <c r="F1753" s="7">
        <v>1.34402121212122</v>
      </c>
      <c r="G1753" s="7">
        <v>1.83170173160173</v>
      </c>
      <c r="H1753" s="7">
        <v>-8.12705194805195E-4</v>
      </c>
      <c r="I1753" s="7">
        <v>-4.80647151515152</v>
      </c>
      <c r="J1753" s="7">
        <v>-3.23814402597402</v>
      </c>
      <c r="K1753" s="8"/>
      <c r="L1753" s="8"/>
    </row>
    <row r="1754" ht="13.5" customHeight="1">
      <c r="A1754" s="7" t="s">
        <v>355</v>
      </c>
      <c r="B1754" s="7">
        <v>1.75</v>
      </c>
      <c r="C1754" s="7" t="s">
        <v>360</v>
      </c>
      <c r="D1754" s="7" t="s">
        <v>357</v>
      </c>
      <c r="E1754" s="7">
        <v>-14.4752602597403</v>
      </c>
      <c r="F1754" s="7">
        <v>1.34573173160174</v>
      </c>
      <c r="G1754" s="7">
        <v>1.83396614718615</v>
      </c>
      <c r="H1754" s="7">
        <v>-8.13760298701299E-4</v>
      </c>
      <c r="I1754" s="7">
        <v>-4.81326630735931</v>
      </c>
      <c r="J1754" s="7">
        <v>-3.24269107792207</v>
      </c>
      <c r="K1754" s="8"/>
      <c r="L1754" s="8"/>
    </row>
    <row r="1755" ht="13.5" customHeight="1">
      <c r="A1755" s="7" t="s">
        <v>355</v>
      </c>
      <c r="B1755" s="7">
        <v>3.5</v>
      </c>
      <c r="C1755" s="7" t="s">
        <v>360</v>
      </c>
      <c r="D1755" s="7" t="s">
        <v>357</v>
      </c>
      <c r="E1755" s="7">
        <v>-14.4921166233766</v>
      </c>
      <c r="F1755" s="7">
        <v>1.34744225108226</v>
      </c>
      <c r="G1755" s="7">
        <v>1.83623056277056</v>
      </c>
      <c r="H1755" s="7">
        <v>-8.14815402597403E-4</v>
      </c>
      <c r="I1755" s="7">
        <v>-4.8200610995671</v>
      </c>
      <c r="J1755" s="7">
        <v>-3.24723812987012</v>
      </c>
      <c r="K1755" s="8"/>
      <c r="L1755" s="8"/>
    </row>
    <row r="1756" ht="13.5" customHeight="1">
      <c r="A1756" s="7" t="s">
        <v>355</v>
      </c>
      <c r="B1756" s="7">
        <v>0.0</v>
      </c>
      <c r="C1756" s="7" t="s">
        <v>361</v>
      </c>
      <c r="D1756" s="7" t="s">
        <v>357</v>
      </c>
      <c r="E1756" s="7">
        <v>-14.508972987013</v>
      </c>
      <c r="F1756" s="7">
        <v>1.34915277056278</v>
      </c>
      <c r="G1756" s="7">
        <v>1.83849497835498</v>
      </c>
      <c r="H1756" s="7">
        <v>-8.15870506493507E-4</v>
      </c>
      <c r="I1756" s="7">
        <v>-4.82685589177489</v>
      </c>
      <c r="J1756" s="7">
        <v>-3.25178518181818</v>
      </c>
      <c r="K1756" s="8"/>
      <c r="L1756" s="8"/>
    </row>
    <row r="1757" ht="13.5" customHeight="1">
      <c r="A1757" s="7" t="s">
        <v>355</v>
      </c>
      <c r="B1757" s="7">
        <v>1.75</v>
      </c>
      <c r="C1757" s="7" t="s">
        <v>361</v>
      </c>
      <c r="D1757" s="7" t="s">
        <v>357</v>
      </c>
      <c r="E1757" s="7">
        <v>-14.5258293506494</v>
      </c>
      <c r="F1757" s="7">
        <v>1.3508632900433</v>
      </c>
      <c r="G1757" s="7">
        <v>1.84075939393939</v>
      </c>
      <c r="H1757" s="7">
        <v>-8.16925610389611E-4</v>
      </c>
      <c r="I1757" s="7">
        <v>-4.83365068398269</v>
      </c>
      <c r="J1757" s="7">
        <v>-3.25633223376623</v>
      </c>
      <c r="K1757" s="8"/>
      <c r="L1757" s="8"/>
    </row>
    <row r="1758" ht="13.5" customHeight="1">
      <c r="A1758" s="7" t="s">
        <v>355</v>
      </c>
      <c r="B1758" s="7">
        <v>3.5</v>
      </c>
      <c r="C1758" s="7" t="s">
        <v>361</v>
      </c>
      <c r="D1758" s="7" t="s">
        <v>357</v>
      </c>
      <c r="E1758" s="7">
        <v>-14.5426857142857</v>
      </c>
      <c r="F1758" s="7">
        <v>1.35257380952381</v>
      </c>
      <c r="G1758" s="7">
        <v>1.84302380952381</v>
      </c>
      <c r="H1758" s="7">
        <v>-8.17980714285715E-4</v>
      </c>
      <c r="I1758" s="7">
        <v>-4.84044547619048</v>
      </c>
      <c r="J1758" s="7">
        <v>-3.26087928571428</v>
      </c>
      <c r="K1758" s="8"/>
      <c r="L1758" s="8"/>
    </row>
    <row r="1759" ht="13.5" customHeight="1">
      <c r="A1759" s="7" t="s">
        <v>355</v>
      </c>
      <c r="B1759" s="7">
        <v>0.0</v>
      </c>
      <c r="C1759" s="7" t="s">
        <v>362</v>
      </c>
      <c r="D1759" s="7" t="s">
        <v>357</v>
      </c>
      <c r="E1759" s="7">
        <v>-14.5595420779221</v>
      </c>
      <c r="F1759" s="7">
        <v>1.35428432900433</v>
      </c>
      <c r="G1759" s="7">
        <v>1.84528822510822</v>
      </c>
      <c r="H1759" s="7">
        <v>-8.19035818181819E-4</v>
      </c>
      <c r="I1759" s="7">
        <v>-4.84724026839827</v>
      </c>
      <c r="J1759" s="7">
        <v>-3.26542633766233</v>
      </c>
      <c r="K1759" s="8"/>
      <c r="L1759" s="8"/>
    </row>
    <row r="1760" ht="13.5" customHeight="1">
      <c r="A1760" s="7" t="s">
        <v>355</v>
      </c>
      <c r="B1760" s="7">
        <v>1.75</v>
      </c>
      <c r="C1760" s="7" t="s">
        <v>362</v>
      </c>
      <c r="D1760" s="7" t="s">
        <v>357</v>
      </c>
      <c r="E1760" s="7">
        <v>-14.5763984415585</v>
      </c>
      <c r="F1760" s="7">
        <v>1.35599484848485</v>
      </c>
      <c r="G1760" s="7">
        <v>1.84755264069264</v>
      </c>
      <c r="H1760" s="7">
        <v>-8.20090922077922E-4</v>
      </c>
      <c r="I1760" s="7">
        <v>-4.85403506060606</v>
      </c>
      <c r="J1760" s="7">
        <v>-3.26997338961038</v>
      </c>
      <c r="K1760" s="8"/>
      <c r="L1760" s="8"/>
    </row>
    <row r="1761" ht="13.5" customHeight="1">
      <c r="A1761" s="7" t="s">
        <v>355</v>
      </c>
      <c r="B1761" s="7">
        <v>3.5</v>
      </c>
      <c r="C1761" s="7" t="s">
        <v>362</v>
      </c>
      <c r="D1761" s="7" t="s">
        <v>357</v>
      </c>
      <c r="E1761" s="7">
        <v>-14.5932548051948</v>
      </c>
      <c r="F1761" s="7">
        <v>1.35770536796537</v>
      </c>
      <c r="G1761" s="7">
        <v>1.84981705627705</v>
      </c>
      <c r="H1761" s="7">
        <v>-8.21146025974026E-4</v>
      </c>
      <c r="I1761" s="7">
        <v>-4.86082985281386</v>
      </c>
      <c r="J1761" s="7">
        <v>-3.27452044155844</v>
      </c>
      <c r="K1761" s="8"/>
      <c r="L1761" s="8"/>
    </row>
    <row r="1762" ht="13.5" customHeight="1">
      <c r="A1762" s="7" t="s">
        <v>355</v>
      </c>
      <c r="B1762" s="7">
        <v>0.0</v>
      </c>
      <c r="C1762" s="7" t="s">
        <v>363</v>
      </c>
      <c r="D1762" s="7" t="s">
        <v>357</v>
      </c>
      <c r="E1762" s="7">
        <v>-14.6101111688312</v>
      </c>
      <c r="F1762" s="7">
        <v>1.35941588744589</v>
      </c>
      <c r="G1762" s="7">
        <v>1.85208147186147</v>
      </c>
      <c r="H1762" s="7">
        <v>-8.2220112987013E-4</v>
      </c>
      <c r="I1762" s="7">
        <v>-4.86762464502165</v>
      </c>
      <c r="J1762" s="7">
        <v>-3.27906749350649</v>
      </c>
      <c r="K1762" s="8"/>
      <c r="L1762" s="8"/>
    </row>
    <row r="1763" ht="13.5" customHeight="1">
      <c r="A1763" s="7" t="s">
        <v>355</v>
      </c>
      <c r="B1763" s="7">
        <v>1.75</v>
      </c>
      <c r="C1763" s="7" t="s">
        <v>363</v>
      </c>
      <c r="D1763" s="7" t="s">
        <v>357</v>
      </c>
      <c r="E1763" s="7">
        <v>-14.6269675324676</v>
      </c>
      <c r="F1763" s="7">
        <v>1.36112640692641</v>
      </c>
      <c r="G1763" s="7">
        <v>1.85434588744589</v>
      </c>
      <c r="H1763" s="7">
        <v>-8.23256233766234E-4</v>
      </c>
      <c r="I1763" s="7">
        <v>-4.87441943722944</v>
      </c>
      <c r="J1763" s="7">
        <v>-3.28361454545454</v>
      </c>
      <c r="K1763" s="8"/>
      <c r="L1763" s="8"/>
    </row>
    <row r="1764" ht="13.5" customHeight="1">
      <c r="A1764" s="7" t="s">
        <v>355</v>
      </c>
      <c r="B1764" s="7">
        <v>3.5</v>
      </c>
      <c r="C1764" s="7" t="s">
        <v>363</v>
      </c>
      <c r="D1764" s="7" t="s">
        <v>357</v>
      </c>
      <c r="E1764" s="7">
        <v>-14.6438238961039</v>
      </c>
      <c r="F1764" s="7">
        <v>1.36283692640693</v>
      </c>
      <c r="G1764" s="7">
        <v>1.8566103030303</v>
      </c>
      <c r="H1764" s="7">
        <v>-8.24311337662338E-4</v>
      </c>
      <c r="I1764" s="7">
        <v>-4.88121422943723</v>
      </c>
      <c r="J1764" s="7">
        <v>-3.28816159740259</v>
      </c>
      <c r="K1764" s="8"/>
      <c r="L1764" s="8"/>
    </row>
    <row r="1765" ht="13.5" customHeight="1">
      <c r="A1765" s="7" t="s">
        <v>355</v>
      </c>
      <c r="B1765" s="7">
        <v>0.0</v>
      </c>
      <c r="C1765" s="7" t="s">
        <v>356</v>
      </c>
      <c r="D1765" s="7" t="s">
        <v>357</v>
      </c>
      <c r="E1765" s="7">
        <v>-14.6606802597403</v>
      </c>
      <c r="F1765" s="7">
        <v>1.36454744588745</v>
      </c>
      <c r="G1765" s="7">
        <v>1.85887471861472</v>
      </c>
      <c r="H1765" s="7">
        <v>-8.25366441558442E-4</v>
      </c>
      <c r="I1765" s="7">
        <v>-4.88800902164502</v>
      </c>
      <c r="J1765" s="7">
        <v>-3.29270864935064</v>
      </c>
      <c r="K1765" s="8"/>
      <c r="L1765" s="8"/>
    </row>
    <row r="1766" ht="13.5" customHeight="1">
      <c r="A1766" s="7" t="s">
        <v>355</v>
      </c>
      <c r="B1766" s="7">
        <v>1.75</v>
      </c>
      <c r="C1766" s="7" t="s">
        <v>356</v>
      </c>
      <c r="D1766" s="7" t="s">
        <v>357</v>
      </c>
      <c r="E1766" s="7">
        <v>-14.6775366233766</v>
      </c>
      <c r="F1766" s="7">
        <v>1.36625796536797</v>
      </c>
      <c r="G1766" s="7">
        <v>1.86113913419913</v>
      </c>
      <c r="H1766" s="7">
        <v>-8.26421545454546E-4</v>
      </c>
      <c r="I1766" s="7">
        <v>-4.89480381385282</v>
      </c>
      <c r="J1766" s="7">
        <v>-3.2972557012987</v>
      </c>
      <c r="K1766" s="8"/>
      <c r="L1766" s="8"/>
    </row>
    <row r="1767" ht="13.5" customHeight="1">
      <c r="A1767" s="7" t="s">
        <v>355</v>
      </c>
      <c r="B1767" s="7">
        <v>3.5</v>
      </c>
      <c r="C1767" s="7" t="s">
        <v>356</v>
      </c>
      <c r="D1767" s="7" t="s">
        <v>357</v>
      </c>
      <c r="E1767" s="7">
        <v>-14.694392987013</v>
      </c>
      <c r="F1767" s="7">
        <v>1.36796848484849</v>
      </c>
      <c r="G1767" s="7">
        <v>1.86340354978355</v>
      </c>
      <c r="H1767" s="7">
        <v>-8.2747664935065E-4</v>
      </c>
      <c r="I1767" s="7">
        <v>-4.90159860606061</v>
      </c>
      <c r="J1767" s="7">
        <v>-3.30180275324675</v>
      </c>
      <c r="K1767" s="8"/>
      <c r="L1767" s="8"/>
    </row>
    <row r="1768" ht="13.5" customHeight="1">
      <c r="A1768" s="7" t="s">
        <v>355</v>
      </c>
      <c r="B1768" s="7">
        <v>0.0</v>
      </c>
      <c r="C1768" s="7" t="s">
        <v>358</v>
      </c>
      <c r="D1768" s="7" t="s">
        <v>357</v>
      </c>
      <c r="E1768" s="7">
        <v>-14.7112493506494</v>
      </c>
      <c r="F1768" s="7">
        <v>1.36967900432901</v>
      </c>
      <c r="G1768" s="7">
        <v>1.86566796536796</v>
      </c>
      <c r="H1768" s="7">
        <v>-8.28531753246754E-4</v>
      </c>
      <c r="I1768" s="7">
        <v>-4.9083933982684</v>
      </c>
      <c r="J1768" s="7">
        <v>-3.3063498051948</v>
      </c>
      <c r="K1768" s="8"/>
      <c r="L1768" s="8"/>
    </row>
    <row r="1769" ht="13.5" customHeight="1">
      <c r="A1769" s="7" t="s">
        <v>355</v>
      </c>
      <c r="B1769" s="7">
        <v>1.75</v>
      </c>
      <c r="C1769" s="7" t="s">
        <v>358</v>
      </c>
      <c r="D1769" s="7" t="s">
        <v>357</v>
      </c>
      <c r="E1769" s="7">
        <v>-14.7281057142857</v>
      </c>
      <c r="F1769" s="7">
        <v>1.37138952380953</v>
      </c>
      <c r="G1769" s="7">
        <v>1.86793238095238</v>
      </c>
      <c r="H1769" s="7">
        <v>-8.29586857142857E-4</v>
      </c>
      <c r="I1769" s="7">
        <v>-4.91518819047619</v>
      </c>
      <c r="J1769" s="7">
        <v>-3.31089685714285</v>
      </c>
      <c r="K1769" s="8"/>
      <c r="L1769" s="8"/>
    </row>
    <row r="1770" ht="13.5" customHeight="1">
      <c r="A1770" s="7" t="s">
        <v>355</v>
      </c>
      <c r="B1770" s="7">
        <v>3.5</v>
      </c>
      <c r="C1770" s="7" t="s">
        <v>358</v>
      </c>
      <c r="D1770" s="7" t="s">
        <v>357</v>
      </c>
      <c r="E1770" s="7">
        <v>-14.7449620779221</v>
      </c>
      <c r="F1770" s="7">
        <v>1.37310004329005</v>
      </c>
      <c r="G1770" s="7">
        <v>1.87019679653679</v>
      </c>
      <c r="H1770" s="7">
        <v>-8.30641961038961E-4</v>
      </c>
      <c r="I1770" s="7">
        <v>-4.92198298268399</v>
      </c>
      <c r="J1770" s="7">
        <v>-3.3154439090909</v>
      </c>
      <c r="K1770" s="8"/>
      <c r="L1770" s="8"/>
    </row>
    <row r="1771" ht="13.5" customHeight="1">
      <c r="A1771" s="7" t="s">
        <v>355</v>
      </c>
      <c r="B1771" s="7">
        <v>0.0</v>
      </c>
      <c r="C1771" s="7" t="s">
        <v>359</v>
      </c>
      <c r="D1771" s="7" t="s">
        <v>357</v>
      </c>
      <c r="E1771" s="7">
        <v>-14.7618184415585</v>
      </c>
      <c r="F1771" s="7">
        <v>1.37481056277057</v>
      </c>
      <c r="G1771" s="7">
        <v>1.87246121212121</v>
      </c>
      <c r="H1771" s="7">
        <v>-8.31697064935065E-4</v>
      </c>
      <c r="I1771" s="7">
        <v>-4.92877777489178</v>
      </c>
      <c r="J1771" s="7">
        <v>-3.31999096103896</v>
      </c>
      <c r="K1771" s="8"/>
      <c r="L1771" s="8"/>
    </row>
    <row r="1772" ht="13.5" customHeight="1">
      <c r="A1772" s="7" t="s">
        <v>355</v>
      </c>
      <c r="B1772" s="7">
        <v>1.75</v>
      </c>
      <c r="C1772" s="7" t="s">
        <v>359</v>
      </c>
      <c r="D1772" s="7" t="s">
        <v>357</v>
      </c>
      <c r="E1772" s="7">
        <v>-14.7786748051948</v>
      </c>
      <c r="F1772" s="7">
        <v>1.37652108225109</v>
      </c>
      <c r="G1772" s="7">
        <v>1.87472562770563</v>
      </c>
      <c r="H1772" s="7">
        <v>-8.32752168831169E-4</v>
      </c>
      <c r="I1772" s="7">
        <v>-4.93557256709957</v>
      </c>
      <c r="J1772" s="7">
        <v>-3.32453801298701</v>
      </c>
      <c r="K1772" s="8"/>
      <c r="L1772" s="8"/>
    </row>
    <row r="1773" ht="13.5" customHeight="1">
      <c r="A1773" s="7" t="s">
        <v>355</v>
      </c>
      <c r="B1773" s="7">
        <v>3.5</v>
      </c>
      <c r="C1773" s="7" t="s">
        <v>359</v>
      </c>
      <c r="D1773" s="7" t="s">
        <v>357</v>
      </c>
      <c r="E1773" s="7">
        <v>-14.7955311688312</v>
      </c>
      <c r="F1773" s="7">
        <v>1.37823160173161</v>
      </c>
      <c r="G1773" s="7">
        <v>1.87699004329004</v>
      </c>
      <c r="H1773" s="7">
        <v>-8.33807272727273E-4</v>
      </c>
      <c r="I1773" s="7">
        <v>-4.94236735930736</v>
      </c>
      <c r="J1773" s="7">
        <v>-3.32908506493506</v>
      </c>
      <c r="K1773" s="8"/>
      <c r="L1773" s="8"/>
    </row>
    <row r="1774" ht="13.5" customHeight="1">
      <c r="A1774" s="7" t="s">
        <v>355</v>
      </c>
      <c r="B1774" s="7">
        <v>0.0</v>
      </c>
      <c r="C1774" s="7" t="s">
        <v>360</v>
      </c>
      <c r="D1774" s="7" t="s">
        <v>357</v>
      </c>
      <c r="E1774" s="7">
        <v>-14.8123875324676</v>
      </c>
      <c r="F1774" s="7">
        <v>1.37994212121213</v>
      </c>
      <c r="G1774" s="7">
        <v>1.87925445887446</v>
      </c>
      <c r="H1774" s="7">
        <v>-8.34862376623377E-4</v>
      </c>
      <c r="I1774" s="7">
        <v>-4.94916215151515</v>
      </c>
      <c r="J1774" s="7">
        <v>-3.33363211688311</v>
      </c>
      <c r="K1774" s="8"/>
      <c r="L1774" s="8"/>
    </row>
    <row r="1775" ht="13.5" customHeight="1">
      <c r="A1775" s="7" t="s">
        <v>355</v>
      </c>
      <c r="B1775" s="7">
        <v>1.75</v>
      </c>
      <c r="C1775" s="7" t="s">
        <v>360</v>
      </c>
      <c r="D1775" s="7" t="s">
        <v>357</v>
      </c>
      <c r="E1775" s="7">
        <v>-14.8292438961039</v>
      </c>
      <c r="F1775" s="7">
        <v>1.38165264069265</v>
      </c>
      <c r="G1775" s="7">
        <v>1.88151887445887</v>
      </c>
      <c r="H1775" s="7">
        <v>-8.35917480519481E-4</v>
      </c>
      <c r="I1775" s="7">
        <v>-4.95595694372295</v>
      </c>
      <c r="J1775" s="7">
        <v>-3.33817916883116</v>
      </c>
      <c r="K1775" s="8"/>
      <c r="L1775" s="8"/>
    </row>
    <row r="1776" ht="13.5" customHeight="1">
      <c r="A1776" s="7" t="s">
        <v>355</v>
      </c>
      <c r="B1776" s="7">
        <v>3.5</v>
      </c>
      <c r="C1776" s="7" t="s">
        <v>360</v>
      </c>
      <c r="D1776" s="7" t="s">
        <v>357</v>
      </c>
      <c r="E1776" s="7">
        <v>-14.8461002597403</v>
      </c>
      <c r="F1776" s="7">
        <v>1.38336316017317</v>
      </c>
      <c r="G1776" s="7">
        <v>1.88378329004329</v>
      </c>
      <c r="H1776" s="7">
        <v>-8.36972584415585E-4</v>
      </c>
      <c r="I1776" s="7">
        <v>-4.96275173593074</v>
      </c>
      <c r="J1776" s="7">
        <v>-3.34272622077922</v>
      </c>
      <c r="K1776" s="8"/>
      <c r="L1776" s="8"/>
    </row>
    <row r="1777" ht="13.5" customHeight="1">
      <c r="A1777" s="7" t="s">
        <v>355</v>
      </c>
      <c r="B1777" s="7">
        <v>0.0</v>
      </c>
      <c r="C1777" s="7" t="s">
        <v>361</v>
      </c>
      <c r="D1777" s="7" t="s">
        <v>357</v>
      </c>
      <c r="E1777" s="7">
        <v>-14.8629566233766</v>
      </c>
      <c r="F1777" s="7">
        <v>1.38507367965368</v>
      </c>
      <c r="G1777" s="7">
        <v>1.8860477056277</v>
      </c>
      <c r="H1777" s="7">
        <v>-8.38027688311689E-4</v>
      </c>
      <c r="I1777" s="7">
        <v>-4.96954652813853</v>
      </c>
      <c r="J1777" s="7">
        <v>-3.34727327272727</v>
      </c>
      <c r="K1777" s="8"/>
      <c r="L1777" s="8"/>
    </row>
    <row r="1778" ht="13.5" customHeight="1">
      <c r="A1778" s="7" t="s">
        <v>355</v>
      </c>
      <c r="B1778" s="7">
        <v>1.75</v>
      </c>
      <c r="C1778" s="7" t="s">
        <v>361</v>
      </c>
      <c r="D1778" s="7" t="s">
        <v>357</v>
      </c>
      <c r="E1778" s="7">
        <v>-14.879812987013</v>
      </c>
      <c r="F1778" s="7">
        <v>1.3867841991342</v>
      </c>
      <c r="G1778" s="7">
        <v>1.88831212121212</v>
      </c>
      <c r="H1778" s="7">
        <v>-8.39082792207793E-4</v>
      </c>
      <c r="I1778" s="7">
        <v>-4.97634132034632</v>
      </c>
      <c r="J1778" s="7">
        <v>-3.35182032467532</v>
      </c>
      <c r="K1778" s="8"/>
      <c r="L1778" s="8"/>
    </row>
    <row r="1779" ht="13.5" customHeight="1">
      <c r="A1779" s="7" t="s">
        <v>355</v>
      </c>
      <c r="B1779" s="7">
        <v>3.5</v>
      </c>
      <c r="C1779" s="7" t="s">
        <v>361</v>
      </c>
      <c r="D1779" s="7" t="s">
        <v>357</v>
      </c>
      <c r="E1779" s="7">
        <v>-14.8966693506494</v>
      </c>
      <c r="F1779" s="7">
        <v>1.38849471861472</v>
      </c>
      <c r="G1779" s="7">
        <v>1.89057653679654</v>
      </c>
      <c r="H1779" s="7">
        <v>-8.40137896103896E-4</v>
      </c>
      <c r="I1779" s="7">
        <v>-4.98313611255412</v>
      </c>
      <c r="J1779" s="7">
        <v>-3.35636737662337</v>
      </c>
      <c r="K1779" s="8"/>
      <c r="L1779" s="8"/>
    </row>
    <row r="1780" ht="13.5" customHeight="1">
      <c r="A1780" s="7" t="s">
        <v>355</v>
      </c>
      <c r="B1780" s="7">
        <v>0.0</v>
      </c>
      <c r="C1780" s="7" t="s">
        <v>362</v>
      </c>
      <c r="D1780" s="7" t="s">
        <v>357</v>
      </c>
      <c r="E1780" s="7">
        <v>-14.9135257142857</v>
      </c>
      <c r="F1780" s="7">
        <v>1.39020523809524</v>
      </c>
      <c r="G1780" s="7">
        <v>1.89284095238095</v>
      </c>
      <c r="H1780" s="7">
        <v>-8.41193E-4</v>
      </c>
      <c r="I1780" s="7">
        <v>-4.98993090476191</v>
      </c>
      <c r="J1780" s="7">
        <v>-3.36091442857142</v>
      </c>
      <c r="K1780" s="8"/>
      <c r="L1780" s="8"/>
    </row>
    <row r="1781" ht="13.5" customHeight="1">
      <c r="A1781" s="7" t="s">
        <v>355</v>
      </c>
      <c r="B1781" s="7">
        <v>1.75</v>
      </c>
      <c r="C1781" s="7" t="s">
        <v>362</v>
      </c>
      <c r="D1781" s="7" t="s">
        <v>357</v>
      </c>
      <c r="E1781" s="7">
        <v>-14.9303820779221</v>
      </c>
      <c r="F1781" s="7">
        <v>1.39191575757576</v>
      </c>
      <c r="G1781" s="7">
        <v>1.89510536796537</v>
      </c>
      <c r="H1781" s="7">
        <v>-8.42248103896104E-4</v>
      </c>
      <c r="I1781" s="7">
        <v>-4.9967256969697</v>
      </c>
      <c r="J1781" s="7">
        <v>-3.36546148051948</v>
      </c>
      <c r="K1781" s="8"/>
      <c r="L1781" s="8"/>
    </row>
    <row r="1782" ht="13.5" customHeight="1">
      <c r="A1782" s="7" t="s">
        <v>355</v>
      </c>
      <c r="B1782" s="7">
        <v>3.5</v>
      </c>
      <c r="C1782" s="7" t="s">
        <v>362</v>
      </c>
      <c r="D1782" s="7" t="s">
        <v>357</v>
      </c>
      <c r="E1782" s="7">
        <v>-14.9472384415585</v>
      </c>
      <c r="F1782" s="7">
        <v>1.39362627705628</v>
      </c>
      <c r="G1782" s="7">
        <v>1.89736978354978</v>
      </c>
      <c r="H1782" s="7">
        <v>-8.43303207792208E-4</v>
      </c>
      <c r="I1782" s="7">
        <v>-5.00352048917749</v>
      </c>
      <c r="J1782" s="7">
        <v>-3.37000853246753</v>
      </c>
      <c r="K1782" s="8"/>
      <c r="L1782" s="8"/>
    </row>
    <row r="1783" ht="13.5" customHeight="1">
      <c r="A1783" s="7" t="s">
        <v>355</v>
      </c>
      <c r="B1783" s="7">
        <v>0.0</v>
      </c>
      <c r="C1783" s="7" t="s">
        <v>363</v>
      </c>
      <c r="D1783" s="7" t="s">
        <v>357</v>
      </c>
      <c r="E1783" s="7">
        <v>-14.9640948051948</v>
      </c>
      <c r="F1783" s="7">
        <v>1.3953367965368</v>
      </c>
      <c r="G1783" s="7">
        <v>1.8996341991342</v>
      </c>
      <c r="H1783" s="7">
        <v>-8.44358311688312E-4</v>
      </c>
      <c r="I1783" s="7">
        <v>-5.01031528138528</v>
      </c>
      <c r="J1783" s="7">
        <v>-3.37455558441558</v>
      </c>
      <c r="K1783" s="8"/>
      <c r="L1783" s="8"/>
    </row>
    <row r="1784" ht="13.5" customHeight="1">
      <c r="A1784" s="7" t="s">
        <v>355</v>
      </c>
      <c r="B1784" s="7">
        <v>1.75</v>
      </c>
      <c r="C1784" s="7" t="s">
        <v>363</v>
      </c>
      <c r="D1784" s="7" t="s">
        <v>357</v>
      </c>
      <c r="E1784" s="7">
        <v>-14.9809511688312</v>
      </c>
      <c r="F1784" s="7">
        <v>1.39704731601732</v>
      </c>
      <c r="G1784" s="7">
        <v>1.90189861471861</v>
      </c>
      <c r="H1784" s="7">
        <v>-8.45413415584416E-4</v>
      </c>
      <c r="I1784" s="7">
        <v>-5.01711007359308</v>
      </c>
      <c r="J1784" s="7">
        <v>-3.37910263636363</v>
      </c>
      <c r="K1784" s="8"/>
      <c r="L1784" s="8"/>
    </row>
    <row r="1785" ht="13.5" customHeight="1">
      <c r="A1785" s="7" t="s">
        <v>355</v>
      </c>
      <c r="B1785" s="7">
        <v>3.5</v>
      </c>
      <c r="C1785" s="7" t="s">
        <v>363</v>
      </c>
      <c r="D1785" s="7" t="s">
        <v>357</v>
      </c>
      <c r="E1785" s="7">
        <v>-14.9978075324676</v>
      </c>
      <c r="F1785" s="7">
        <v>1.39875783549784</v>
      </c>
      <c r="G1785" s="7">
        <v>1.90416303030303</v>
      </c>
      <c r="H1785" s="7">
        <v>-8.4646851948052E-4</v>
      </c>
      <c r="I1785" s="7">
        <v>-5.02390486580087</v>
      </c>
      <c r="J1785" s="7">
        <v>-3.38364968831168</v>
      </c>
      <c r="K1785" s="8"/>
      <c r="L1785" s="8"/>
    </row>
    <row r="1786" ht="13.5" customHeight="1">
      <c r="A1786" s="7" t="s">
        <v>355</v>
      </c>
      <c r="B1786" s="7">
        <v>0.0</v>
      </c>
      <c r="C1786" s="7" t="s">
        <v>356</v>
      </c>
      <c r="D1786" s="7" t="s">
        <v>357</v>
      </c>
      <c r="E1786" s="7">
        <v>-15.0146638961039</v>
      </c>
      <c r="F1786" s="7">
        <v>1.40046835497836</v>
      </c>
      <c r="G1786" s="7">
        <v>1.90642744588744</v>
      </c>
      <c r="H1786" s="7">
        <v>-8.47523623376624E-4</v>
      </c>
      <c r="I1786" s="7">
        <v>-5.03069965800866</v>
      </c>
      <c r="J1786" s="7">
        <v>-3.38819674025974</v>
      </c>
      <c r="K1786" s="8"/>
      <c r="L1786" s="8"/>
    </row>
    <row r="1787" ht="13.5" customHeight="1">
      <c r="A1787" s="7" t="s">
        <v>355</v>
      </c>
      <c r="B1787" s="7">
        <v>1.75</v>
      </c>
      <c r="C1787" s="7" t="s">
        <v>356</v>
      </c>
      <c r="D1787" s="7" t="s">
        <v>357</v>
      </c>
      <c r="E1787" s="7">
        <v>-15.0315202597403</v>
      </c>
      <c r="F1787" s="7">
        <v>1.40217887445888</v>
      </c>
      <c r="G1787" s="7">
        <v>1.90869186147186</v>
      </c>
      <c r="H1787" s="7">
        <v>-8.48578727272728E-4</v>
      </c>
      <c r="I1787" s="7">
        <v>-5.03749445021645</v>
      </c>
      <c r="J1787" s="7">
        <v>-3.39274379220779</v>
      </c>
      <c r="K1787" s="8"/>
      <c r="L1787" s="8"/>
    </row>
    <row r="1788" ht="13.5" customHeight="1">
      <c r="A1788" s="7" t="s">
        <v>355</v>
      </c>
      <c r="B1788" s="7">
        <v>3.5</v>
      </c>
      <c r="C1788" s="7" t="s">
        <v>356</v>
      </c>
      <c r="D1788" s="7" t="s">
        <v>357</v>
      </c>
      <c r="E1788" s="7">
        <v>-15.0483766233766</v>
      </c>
      <c r="F1788" s="7">
        <v>1.4038893939394</v>
      </c>
      <c r="G1788" s="7">
        <v>1.91095627705628</v>
      </c>
      <c r="H1788" s="7">
        <v>-8.49633831168832E-4</v>
      </c>
      <c r="I1788" s="7">
        <v>-5.04428924242425</v>
      </c>
      <c r="J1788" s="7">
        <v>-3.39729084415584</v>
      </c>
      <c r="K1788" s="8"/>
      <c r="L1788" s="8"/>
    </row>
    <row r="1789" ht="13.5" customHeight="1">
      <c r="A1789" s="7" t="s">
        <v>355</v>
      </c>
      <c r="B1789" s="7">
        <v>0.0</v>
      </c>
      <c r="C1789" s="7" t="s">
        <v>358</v>
      </c>
      <c r="D1789" s="7" t="s">
        <v>357</v>
      </c>
      <c r="E1789" s="7">
        <v>-15.065232987013</v>
      </c>
      <c r="F1789" s="7">
        <v>1.40559991341992</v>
      </c>
      <c r="G1789" s="7">
        <v>1.91322069264069</v>
      </c>
      <c r="H1789" s="7">
        <v>-8.50688935064935E-4</v>
      </c>
      <c r="I1789" s="7">
        <v>-5.05108403463204</v>
      </c>
      <c r="J1789" s="7">
        <v>-3.40183789610389</v>
      </c>
      <c r="K1789" s="8"/>
      <c r="L1789" s="8"/>
    </row>
    <row r="1790" ht="13.5" customHeight="1">
      <c r="A1790" s="7" t="s">
        <v>355</v>
      </c>
      <c r="B1790" s="7">
        <v>1.75</v>
      </c>
      <c r="C1790" s="7" t="s">
        <v>358</v>
      </c>
      <c r="D1790" s="7" t="s">
        <v>357</v>
      </c>
      <c r="E1790" s="7">
        <v>-15.0820893506494</v>
      </c>
      <c r="F1790" s="7">
        <v>1.40731043290044</v>
      </c>
      <c r="G1790" s="7">
        <v>1.91548510822511</v>
      </c>
      <c r="H1790" s="7">
        <v>-8.51744038961039E-4</v>
      </c>
      <c r="I1790" s="7">
        <v>-5.05787882683983</v>
      </c>
      <c r="J1790" s="7">
        <v>-3.40638494805194</v>
      </c>
      <c r="K1790" s="8"/>
      <c r="L1790" s="8"/>
    </row>
    <row r="1791" ht="13.5" customHeight="1">
      <c r="A1791" s="7" t="s">
        <v>355</v>
      </c>
      <c r="B1791" s="7">
        <v>3.5</v>
      </c>
      <c r="C1791" s="7" t="s">
        <v>358</v>
      </c>
      <c r="D1791" s="7" t="s">
        <v>357</v>
      </c>
      <c r="E1791" s="7">
        <v>-15.0989457142857</v>
      </c>
      <c r="F1791" s="7">
        <v>1.40902095238096</v>
      </c>
      <c r="G1791" s="7">
        <v>1.91774952380952</v>
      </c>
      <c r="H1791" s="7">
        <v>-8.52799142857143E-4</v>
      </c>
      <c r="I1791" s="7">
        <v>-5.06467361904762</v>
      </c>
      <c r="J1791" s="7">
        <v>-3.410932</v>
      </c>
      <c r="K1791" s="8"/>
      <c r="L1791" s="8"/>
    </row>
    <row r="1792" ht="13.5" customHeight="1">
      <c r="A1792" s="7" t="s">
        <v>355</v>
      </c>
      <c r="B1792" s="7">
        <v>0.0</v>
      </c>
      <c r="C1792" s="7" t="s">
        <v>359</v>
      </c>
      <c r="D1792" s="7" t="s">
        <v>357</v>
      </c>
      <c r="E1792" s="7">
        <v>-15.1158020779221</v>
      </c>
      <c r="F1792" s="7">
        <v>1.41073147186148</v>
      </c>
      <c r="G1792" s="7">
        <v>1.92001393939394</v>
      </c>
      <c r="H1792" s="7">
        <v>-8.53854246753247E-4</v>
      </c>
      <c r="I1792" s="7">
        <v>-5.07146841125541</v>
      </c>
      <c r="J1792" s="7">
        <v>-3.41547905194805</v>
      </c>
      <c r="K1792" s="8"/>
      <c r="L1792" s="8"/>
    </row>
    <row r="1793" ht="13.5" customHeight="1">
      <c r="A1793" s="7" t="s">
        <v>355</v>
      </c>
      <c r="B1793" s="7">
        <v>1.75</v>
      </c>
      <c r="C1793" s="7" t="s">
        <v>359</v>
      </c>
      <c r="D1793" s="7" t="s">
        <v>357</v>
      </c>
      <c r="E1793" s="7">
        <v>-15.1326584415585</v>
      </c>
      <c r="F1793" s="7">
        <v>1.412441991342</v>
      </c>
      <c r="G1793" s="7">
        <v>1.92227835497835</v>
      </c>
      <c r="H1793" s="7">
        <v>-8.54909350649351E-4</v>
      </c>
      <c r="I1793" s="7">
        <v>-5.07826320346321</v>
      </c>
      <c r="J1793" s="7">
        <v>-3.4200261038961</v>
      </c>
      <c r="K1793" s="8"/>
      <c r="L1793" s="8"/>
    </row>
    <row r="1794" ht="13.5" customHeight="1">
      <c r="A1794" s="7" t="s">
        <v>355</v>
      </c>
      <c r="B1794" s="7">
        <v>3.5</v>
      </c>
      <c r="C1794" s="7" t="s">
        <v>359</v>
      </c>
      <c r="D1794" s="7" t="s">
        <v>357</v>
      </c>
      <c r="E1794" s="7">
        <v>-15.1495148051948</v>
      </c>
      <c r="F1794" s="7">
        <v>1.41415251082252</v>
      </c>
      <c r="G1794" s="7">
        <v>1.92454277056277</v>
      </c>
      <c r="H1794" s="7">
        <v>-8.55964454545455E-4</v>
      </c>
      <c r="I1794" s="7">
        <v>-5.085057995671</v>
      </c>
      <c r="J1794" s="7">
        <v>-3.42457315584415</v>
      </c>
      <c r="K1794" s="8"/>
      <c r="L1794" s="8"/>
    </row>
    <row r="1795" ht="13.5" customHeight="1">
      <c r="A1795" s="7" t="s">
        <v>355</v>
      </c>
      <c r="B1795" s="7">
        <v>0.0</v>
      </c>
      <c r="C1795" s="7" t="s">
        <v>360</v>
      </c>
      <c r="D1795" s="7" t="s">
        <v>357</v>
      </c>
      <c r="E1795" s="7">
        <v>-15.1663711688312</v>
      </c>
      <c r="F1795" s="7">
        <v>1.41586303030304</v>
      </c>
      <c r="G1795" s="7">
        <v>1.92680718614718</v>
      </c>
      <c r="H1795" s="7">
        <v>-8.57019558441559E-4</v>
      </c>
      <c r="I1795" s="7">
        <v>-5.09185278787879</v>
      </c>
      <c r="J1795" s="7">
        <v>-3.4291202077922</v>
      </c>
      <c r="K1795" s="8"/>
      <c r="L1795" s="8"/>
    </row>
    <row r="1796" ht="13.5" customHeight="1">
      <c r="A1796" s="7" t="s">
        <v>355</v>
      </c>
      <c r="B1796" s="7">
        <v>1.75</v>
      </c>
      <c r="C1796" s="7" t="s">
        <v>360</v>
      </c>
      <c r="D1796" s="7" t="s">
        <v>357</v>
      </c>
      <c r="E1796" s="7">
        <v>-15.1832275324675</v>
      </c>
      <c r="F1796" s="7">
        <v>1.41757354978356</v>
      </c>
      <c r="G1796" s="7">
        <v>1.9290716017316</v>
      </c>
      <c r="H1796" s="7">
        <v>-8.58074662337663E-4</v>
      </c>
      <c r="I1796" s="7">
        <v>-5.09864758008658</v>
      </c>
      <c r="J1796" s="7">
        <v>-3.43366725974025</v>
      </c>
      <c r="K1796" s="8"/>
      <c r="L1796" s="8"/>
    </row>
    <row r="1797" ht="13.5" customHeight="1">
      <c r="A1797" s="7" t="s">
        <v>355</v>
      </c>
      <c r="B1797" s="7">
        <v>3.5</v>
      </c>
      <c r="C1797" s="7" t="s">
        <v>360</v>
      </c>
      <c r="D1797" s="7" t="s">
        <v>357</v>
      </c>
      <c r="E1797" s="7">
        <v>-15.2000838961039</v>
      </c>
      <c r="F1797" s="7">
        <v>1.41928406926407</v>
      </c>
      <c r="G1797" s="7">
        <v>1.93133601731602</v>
      </c>
      <c r="H1797" s="7">
        <v>-8.59129766233767E-4</v>
      </c>
      <c r="I1797" s="7">
        <v>-5.10544237229438</v>
      </c>
      <c r="J1797" s="7">
        <v>-3.43821431168831</v>
      </c>
      <c r="K1797" s="8"/>
      <c r="L1797" s="8"/>
    </row>
    <row r="1798" ht="13.5" customHeight="1">
      <c r="A1798" s="7" t="s">
        <v>355</v>
      </c>
      <c r="B1798" s="7">
        <v>0.0</v>
      </c>
      <c r="C1798" s="7" t="s">
        <v>361</v>
      </c>
      <c r="D1798" s="7" t="s">
        <v>357</v>
      </c>
      <c r="E1798" s="7">
        <v>-15.2169402597403</v>
      </c>
      <c r="F1798" s="7">
        <v>1.42099458874459</v>
      </c>
      <c r="G1798" s="7">
        <v>1.93360043290043</v>
      </c>
      <c r="H1798" s="7">
        <v>-8.6018487012987E-4</v>
      </c>
      <c r="I1798" s="7">
        <v>-5.11223716450217</v>
      </c>
      <c r="J1798" s="7">
        <v>-3.44276136363636</v>
      </c>
      <c r="K1798" s="8"/>
      <c r="L1798" s="8"/>
    </row>
    <row r="1799" ht="13.5" customHeight="1">
      <c r="A1799" s="7" t="s">
        <v>355</v>
      </c>
      <c r="B1799" s="7">
        <v>1.75</v>
      </c>
      <c r="C1799" s="7" t="s">
        <v>361</v>
      </c>
      <c r="D1799" s="7" t="s">
        <v>357</v>
      </c>
      <c r="E1799" s="7">
        <v>-15.2337966233766</v>
      </c>
      <c r="F1799" s="7">
        <v>1.42270510822511</v>
      </c>
      <c r="G1799" s="7">
        <v>1.93586484848485</v>
      </c>
      <c r="H1799" s="7">
        <v>-8.61239974025974E-4</v>
      </c>
      <c r="I1799" s="7">
        <v>-5.11903195670996</v>
      </c>
      <c r="J1799" s="7">
        <v>-3.44730841558441</v>
      </c>
      <c r="K1799" s="8"/>
      <c r="L1799" s="8"/>
    </row>
    <row r="1800" ht="13.5" customHeight="1">
      <c r="A1800" s="7" t="s">
        <v>355</v>
      </c>
      <c r="B1800" s="7">
        <v>3.5</v>
      </c>
      <c r="C1800" s="7" t="s">
        <v>361</v>
      </c>
      <c r="D1800" s="7" t="s">
        <v>357</v>
      </c>
      <c r="E1800" s="7">
        <v>-15.250652987013</v>
      </c>
      <c r="F1800" s="7">
        <v>1.42441562770563</v>
      </c>
      <c r="G1800" s="7">
        <v>1.93812926406926</v>
      </c>
      <c r="H1800" s="7">
        <v>-8.62295077922078E-4</v>
      </c>
      <c r="I1800" s="7">
        <v>-5.12582674891775</v>
      </c>
      <c r="J1800" s="7">
        <v>-3.45185546753246</v>
      </c>
      <c r="K1800" s="8"/>
      <c r="L1800" s="8"/>
    </row>
    <row r="1801" ht="13.5" customHeight="1">
      <c r="A1801" s="7" t="s">
        <v>355</v>
      </c>
      <c r="B1801" s="7">
        <v>0.0</v>
      </c>
      <c r="C1801" s="7" t="s">
        <v>362</v>
      </c>
      <c r="D1801" s="7" t="s">
        <v>357</v>
      </c>
      <c r="E1801" s="7">
        <v>-15.2675093506494</v>
      </c>
      <c r="F1801" s="7">
        <v>1.42612614718615</v>
      </c>
      <c r="G1801" s="7">
        <v>1.94039367965368</v>
      </c>
      <c r="H1801" s="7">
        <v>-8.63350181818182E-4</v>
      </c>
      <c r="I1801" s="7">
        <v>-5.13262154112554</v>
      </c>
      <c r="J1801" s="7">
        <v>-3.45640251948051</v>
      </c>
      <c r="K1801" s="8"/>
      <c r="L1801" s="8"/>
    </row>
    <row r="1802" ht="13.5" customHeight="1">
      <c r="A1802" s="7" t="s">
        <v>355</v>
      </c>
      <c r="B1802" s="7">
        <v>1.75</v>
      </c>
      <c r="C1802" s="7" t="s">
        <v>362</v>
      </c>
      <c r="D1802" s="7" t="s">
        <v>357</v>
      </c>
      <c r="E1802" s="7">
        <v>-15.2843657142857</v>
      </c>
      <c r="F1802" s="7">
        <v>1.42783666666667</v>
      </c>
      <c r="G1802" s="7">
        <v>1.94265809523809</v>
      </c>
      <c r="H1802" s="7">
        <v>-8.64405285714286E-4</v>
      </c>
      <c r="I1802" s="7">
        <v>-5.13941633333334</v>
      </c>
      <c r="J1802" s="7">
        <v>-3.46094957142857</v>
      </c>
      <c r="K1802" s="8"/>
      <c r="L1802" s="8"/>
    </row>
    <row r="1803" ht="13.5" customHeight="1">
      <c r="A1803" s="7" t="s">
        <v>355</v>
      </c>
      <c r="B1803" s="7">
        <v>3.5</v>
      </c>
      <c r="C1803" s="7" t="s">
        <v>362</v>
      </c>
      <c r="D1803" s="7" t="s">
        <v>357</v>
      </c>
      <c r="E1803" s="7">
        <v>-15.3012220779221</v>
      </c>
      <c r="F1803" s="7">
        <v>1.42954718614719</v>
      </c>
      <c r="G1803" s="7">
        <v>1.94492251082251</v>
      </c>
      <c r="H1803" s="7">
        <v>-8.6546038961039E-4</v>
      </c>
      <c r="I1803" s="7">
        <v>-5.14621112554113</v>
      </c>
      <c r="J1803" s="7">
        <v>-3.46549662337662</v>
      </c>
      <c r="K1803" s="8"/>
      <c r="L1803" s="8"/>
    </row>
    <row r="1804" ht="13.5" customHeight="1">
      <c r="A1804" s="7" t="s">
        <v>355</v>
      </c>
      <c r="B1804" s="7">
        <v>0.0</v>
      </c>
      <c r="C1804" s="7" t="s">
        <v>363</v>
      </c>
      <c r="D1804" s="7" t="s">
        <v>357</v>
      </c>
      <c r="E1804" s="7">
        <v>-15.3180784415585</v>
      </c>
      <c r="F1804" s="7">
        <v>1.43125770562771</v>
      </c>
      <c r="G1804" s="7">
        <v>1.94718692640692</v>
      </c>
      <c r="H1804" s="7">
        <v>-8.66515493506494E-4</v>
      </c>
      <c r="I1804" s="7">
        <v>-5.15300591774892</v>
      </c>
      <c r="J1804" s="7">
        <v>-3.47004367532467</v>
      </c>
      <c r="K1804" s="8"/>
      <c r="L1804" s="8"/>
    </row>
    <row r="1805" ht="13.5" customHeight="1">
      <c r="A1805" s="7" t="s">
        <v>355</v>
      </c>
      <c r="B1805" s="7">
        <v>1.75</v>
      </c>
      <c r="C1805" s="7" t="s">
        <v>363</v>
      </c>
      <c r="D1805" s="7" t="s">
        <v>357</v>
      </c>
      <c r="E1805" s="7">
        <v>-15.3349348051948</v>
      </c>
      <c r="F1805" s="7">
        <v>1.43296822510823</v>
      </c>
      <c r="G1805" s="7">
        <v>1.94945134199134</v>
      </c>
      <c r="H1805" s="7">
        <v>-8.67570597402598E-4</v>
      </c>
      <c r="I1805" s="7">
        <v>-5.15980070995671</v>
      </c>
      <c r="J1805" s="7">
        <v>-3.47459072727272</v>
      </c>
      <c r="K1805" s="8"/>
      <c r="L1805" s="8"/>
    </row>
    <row r="1806" ht="13.5" customHeight="1">
      <c r="A1806" s="7" t="s">
        <v>355</v>
      </c>
      <c r="B1806" s="7">
        <v>3.5</v>
      </c>
      <c r="C1806" s="7" t="s">
        <v>363</v>
      </c>
      <c r="D1806" s="7" t="s">
        <v>357</v>
      </c>
      <c r="E1806" s="7">
        <v>-15.3517911688312</v>
      </c>
      <c r="F1806" s="7">
        <v>1.43467874458875</v>
      </c>
      <c r="G1806" s="7">
        <v>1.95171575757576</v>
      </c>
      <c r="H1806" s="7">
        <v>-8.68625701298702E-4</v>
      </c>
      <c r="I1806" s="7">
        <v>-5.1665955021645</v>
      </c>
      <c r="J1806" s="7">
        <v>-3.47913777922077</v>
      </c>
      <c r="K1806" s="8"/>
      <c r="L1806" s="8"/>
    </row>
    <row r="1807" ht="13.5" customHeight="1">
      <c r="A1807" s="7" t="s">
        <v>355</v>
      </c>
      <c r="B1807" s="7">
        <v>0.0</v>
      </c>
      <c r="C1807" s="7" t="s">
        <v>356</v>
      </c>
      <c r="D1807" s="7" t="s">
        <v>357</v>
      </c>
      <c r="E1807" s="7">
        <v>-15.3686475324676</v>
      </c>
      <c r="F1807" s="7">
        <v>1.43638926406927</v>
      </c>
      <c r="G1807" s="7">
        <v>1.95398017316017</v>
      </c>
      <c r="H1807" s="7">
        <v>-8.69680805194806E-4</v>
      </c>
      <c r="I1807" s="7">
        <v>-5.1733902943723</v>
      </c>
      <c r="J1807" s="7">
        <v>-3.48368483116883</v>
      </c>
      <c r="K1807" s="8"/>
      <c r="L1807" s="8"/>
    </row>
    <row r="1808" ht="13.5" customHeight="1">
      <c r="A1808" s="7" t="s">
        <v>355</v>
      </c>
      <c r="B1808" s="7">
        <v>1.75</v>
      </c>
      <c r="C1808" s="7" t="s">
        <v>356</v>
      </c>
      <c r="D1808" s="7" t="s">
        <v>357</v>
      </c>
      <c r="E1808" s="7">
        <v>-15.3855038961039</v>
      </c>
      <c r="F1808" s="7">
        <v>1.43809978354979</v>
      </c>
      <c r="G1808" s="7">
        <v>1.95624458874459</v>
      </c>
      <c r="H1808" s="7">
        <v>-8.70735909090909E-4</v>
      </c>
      <c r="I1808" s="7">
        <v>-5.18018508658009</v>
      </c>
      <c r="J1808" s="7">
        <v>-3.48823188311688</v>
      </c>
      <c r="K1808" s="8"/>
      <c r="L1808" s="8"/>
    </row>
    <row r="1809" ht="13.5" customHeight="1">
      <c r="A1809" s="7" t="s">
        <v>355</v>
      </c>
      <c r="B1809" s="7">
        <v>3.5</v>
      </c>
      <c r="C1809" s="7" t="s">
        <v>356</v>
      </c>
      <c r="D1809" s="7" t="s">
        <v>357</v>
      </c>
      <c r="E1809" s="7">
        <v>-15.4023602597403</v>
      </c>
      <c r="F1809" s="7">
        <v>1.43981030303031</v>
      </c>
      <c r="G1809" s="7">
        <v>1.958509004329</v>
      </c>
      <c r="H1809" s="7">
        <v>-8.71791012987013E-4</v>
      </c>
      <c r="I1809" s="7">
        <v>-5.18697987878788</v>
      </c>
      <c r="J1809" s="7">
        <v>-3.49277893506493</v>
      </c>
      <c r="K1809" s="8"/>
      <c r="L1809" s="8"/>
    </row>
    <row r="1810" ht="13.5" customHeight="1">
      <c r="A1810" s="7" t="s">
        <v>355</v>
      </c>
      <c r="B1810" s="7">
        <v>0.0</v>
      </c>
      <c r="C1810" s="7" t="s">
        <v>358</v>
      </c>
      <c r="D1810" s="7" t="s">
        <v>357</v>
      </c>
      <c r="E1810" s="7">
        <v>-15.4192166233766</v>
      </c>
      <c r="F1810" s="7">
        <v>1.44152082251083</v>
      </c>
      <c r="G1810" s="7">
        <v>1.96077341991342</v>
      </c>
      <c r="H1810" s="7">
        <v>-8.72846116883117E-4</v>
      </c>
      <c r="I1810" s="7">
        <v>-5.19377467099567</v>
      </c>
      <c r="J1810" s="7">
        <v>-3.49732598701298</v>
      </c>
      <c r="K1810" s="8"/>
      <c r="L1810" s="8"/>
    </row>
    <row r="1811" ht="13.5" customHeight="1">
      <c r="A1811" s="7" t="s">
        <v>355</v>
      </c>
      <c r="B1811" s="7">
        <v>1.75</v>
      </c>
      <c r="C1811" s="7" t="s">
        <v>358</v>
      </c>
      <c r="D1811" s="7" t="s">
        <v>357</v>
      </c>
      <c r="E1811" s="7">
        <v>-15.436072987013</v>
      </c>
      <c r="F1811" s="7">
        <v>1.44323134199135</v>
      </c>
      <c r="G1811" s="7">
        <v>1.96303783549783</v>
      </c>
      <c r="H1811" s="7">
        <v>-8.73901220779221E-4</v>
      </c>
      <c r="I1811" s="7">
        <v>-5.20056946320347</v>
      </c>
      <c r="J1811" s="7">
        <v>-3.50187303896103</v>
      </c>
      <c r="K1811" s="8"/>
      <c r="L1811" s="8"/>
    </row>
    <row r="1812" ht="13.5" customHeight="1">
      <c r="A1812" s="7" t="s">
        <v>355</v>
      </c>
      <c r="B1812" s="7">
        <v>3.5</v>
      </c>
      <c r="C1812" s="7" t="s">
        <v>358</v>
      </c>
      <c r="D1812" s="7" t="s">
        <v>357</v>
      </c>
      <c r="E1812" s="7">
        <v>-15.4529293506494</v>
      </c>
      <c r="F1812" s="7">
        <v>1.44494186147187</v>
      </c>
      <c r="G1812" s="7">
        <v>1.96530225108225</v>
      </c>
      <c r="H1812" s="7">
        <v>-8.74956324675325E-4</v>
      </c>
      <c r="I1812" s="7">
        <v>-5.20736425541126</v>
      </c>
      <c r="J1812" s="7">
        <v>-3.50642009090909</v>
      </c>
      <c r="K1812" s="8"/>
      <c r="L1812" s="8"/>
    </row>
    <row r="1813" ht="13.5" customHeight="1">
      <c r="A1813" s="7" t="s">
        <v>355</v>
      </c>
      <c r="B1813" s="7">
        <v>0.0</v>
      </c>
      <c r="C1813" s="7" t="s">
        <v>359</v>
      </c>
      <c r="D1813" s="7" t="s">
        <v>357</v>
      </c>
      <c r="E1813" s="7">
        <v>-15.4697857142857</v>
      </c>
      <c r="F1813" s="7">
        <v>1.44665238095239</v>
      </c>
      <c r="G1813" s="7">
        <v>1.96756666666667</v>
      </c>
      <c r="H1813" s="7">
        <v>-8.76011428571429E-4</v>
      </c>
      <c r="I1813" s="7">
        <v>-5.21415904761905</v>
      </c>
      <c r="J1813" s="7">
        <v>-3.51096714285714</v>
      </c>
      <c r="K1813" s="8"/>
      <c r="L1813" s="8"/>
    </row>
    <row r="1814" ht="13.5" customHeight="1">
      <c r="A1814" s="7" t="s">
        <v>355</v>
      </c>
      <c r="B1814" s="7">
        <v>1.75</v>
      </c>
      <c r="C1814" s="7" t="s">
        <v>359</v>
      </c>
      <c r="D1814" s="7" t="s">
        <v>357</v>
      </c>
      <c r="E1814" s="7">
        <v>-15.4866420779221</v>
      </c>
      <c r="F1814" s="7">
        <v>1.44836290043291</v>
      </c>
      <c r="G1814" s="7">
        <v>1.96983108225108</v>
      </c>
      <c r="H1814" s="7">
        <v>-8.77066532467533E-4</v>
      </c>
      <c r="I1814" s="7">
        <v>-5.22095383982684</v>
      </c>
      <c r="J1814" s="7">
        <v>-3.51551419480519</v>
      </c>
      <c r="K1814" s="8"/>
      <c r="L1814" s="8"/>
    </row>
    <row r="1815" ht="13.5" customHeight="1">
      <c r="A1815" s="7" t="s">
        <v>355</v>
      </c>
      <c r="B1815" s="7">
        <v>3.5</v>
      </c>
      <c r="C1815" s="7" t="s">
        <v>359</v>
      </c>
      <c r="D1815" s="7" t="s">
        <v>357</v>
      </c>
      <c r="E1815" s="7">
        <v>-15.5034984415585</v>
      </c>
      <c r="F1815" s="7">
        <v>1.45007341991343</v>
      </c>
      <c r="G1815" s="7">
        <v>1.9720954978355</v>
      </c>
      <c r="H1815" s="7">
        <v>-8.78121636363637E-4</v>
      </c>
      <c r="I1815" s="7">
        <v>-5.22774863203463</v>
      </c>
      <c r="J1815" s="7">
        <v>-3.52006124675324</v>
      </c>
      <c r="K1815" s="8"/>
      <c r="L1815" s="8"/>
    </row>
    <row r="1816" ht="13.5" customHeight="1">
      <c r="A1816" s="7" t="s">
        <v>355</v>
      </c>
      <c r="B1816" s="7">
        <v>0.0</v>
      </c>
      <c r="C1816" s="7" t="s">
        <v>360</v>
      </c>
      <c r="D1816" s="7" t="s">
        <v>357</v>
      </c>
      <c r="E1816" s="7">
        <v>-15.5203548051948</v>
      </c>
      <c r="F1816" s="7">
        <v>1.45178393939394</v>
      </c>
      <c r="G1816" s="7">
        <v>1.97435991341991</v>
      </c>
      <c r="H1816" s="7">
        <v>-8.79176740259741E-4</v>
      </c>
      <c r="I1816" s="7">
        <v>-5.23454342424243</v>
      </c>
      <c r="J1816" s="7">
        <v>-3.52460829870129</v>
      </c>
      <c r="K1816" s="8"/>
      <c r="L1816" s="8"/>
    </row>
    <row r="1817" ht="13.5" customHeight="1">
      <c r="A1817" s="7" t="s">
        <v>355</v>
      </c>
      <c r="B1817" s="7">
        <v>1.75</v>
      </c>
      <c r="C1817" s="7" t="s">
        <v>360</v>
      </c>
      <c r="D1817" s="7" t="s">
        <v>357</v>
      </c>
      <c r="E1817" s="7">
        <v>-15.5372111688312</v>
      </c>
      <c r="F1817" s="7">
        <v>1.45349445887446</v>
      </c>
      <c r="G1817" s="7">
        <v>1.97662432900433</v>
      </c>
      <c r="H1817" s="7">
        <v>-8.80231844155845E-4</v>
      </c>
      <c r="I1817" s="7">
        <v>-5.24133821645022</v>
      </c>
      <c r="J1817" s="7">
        <v>-3.52915535064935</v>
      </c>
      <c r="K1817" s="8"/>
      <c r="L1817" s="8"/>
    </row>
    <row r="1818" ht="13.5" customHeight="1">
      <c r="A1818" s="7" t="s">
        <v>355</v>
      </c>
      <c r="B1818" s="7">
        <v>3.5</v>
      </c>
      <c r="C1818" s="7" t="s">
        <v>360</v>
      </c>
      <c r="D1818" s="7" t="s">
        <v>357</v>
      </c>
      <c r="E1818" s="7">
        <v>-15.5540675324676</v>
      </c>
      <c r="F1818" s="7">
        <v>1.45520497835498</v>
      </c>
      <c r="G1818" s="7">
        <v>1.97888874458874</v>
      </c>
      <c r="H1818" s="7">
        <v>-8.81286948051948E-4</v>
      </c>
      <c r="I1818" s="7">
        <v>-5.24813300865801</v>
      </c>
      <c r="J1818" s="7">
        <v>-3.5337024025974</v>
      </c>
      <c r="K1818" s="8"/>
      <c r="L1818" s="8"/>
    </row>
    <row r="1819" ht="13.5" customHeight="1">
      <c r="A1819" s="7" t="s">
        <v>355</v>
      </c>
      <c r="B1819" s="7">
        <v>0.0</v>
      </c>
      <c r="C1819" s="7" t="s">
        <v>361</v>
      </c>
      <c r="D1819" s="7" t="s">
        <v>357</v>
      </c>
      <c r="E1819" s="7">
        <v>-15.5709238961039</v>
      </c>
      <c r="F1819" s="7">
        <v>1.4569154978355</v>
      </c>
      <c r="G1819" s="7">
        <v>1.98115316017316</v>
      </c>
      <c r="H1819" s="7">
        <v>-8.82342051948052E-4</v>
      </c>
      <c r="I1819" s="7">
        <v>-5.2549278008658</v>
      </c>
      <c r="J1819" s="7">
        <v>-3.53824945454545</v>
      </c>
      <c r="K1819" s="8"/>
      <c r="L1819" s="8"/>
    </row>
    <row r="1820" ht="13.5" customHeight="1">
      <c r="A1820" s="7" t="s">
        <v>355</v>
      </c>
      <c r="B1820" s="7">
        <v>1.75</v>
      </c>
      <c r="C1820" s="7" t="s">
        <v>361</v>
      </c>
      <c r="D1820" s="7" t="s">
        <v>357</v>
      </c>
      <c r="E1820" s="7">
        <v>-15.5877802597403</v>
      </c>
      <c r="F1820" s="7">
        <v>1.45862601731602</v>
      </c>
      <c r="G1820" s="7">
        <v>1.98341757575757</v>
      </c>
      <c r="H1820" s="7">
        <v>-8.83397155844156E-4</v>
      </c>
      <c r="I1820" s="7">
        <v>-5.2617225930736</v>
      </c>
      <c r="J1820" s="7">
        <v>-3.5427965064935</v>
      </c>
      <c r="K1820" s="8"/>
      <c r="L1820" s="8"/>
    </row>
    <row r="1821" ht="13.5" customHeight="1">
      <c r="A1821" s="7" t="s">
        <v>355</v>
      </c>
      <c r="B1821" s="7">
        <v>3.5</v>
      </c>
      <c r="C1821" s="7" t="s">
        <v>361</v>
      </c>
      <c r="D1821" s="7" t="s">
        <v>357</v>
      </c>
      <c r="E1821" s="7">
        <v>-15.6046366233766</v>
      </c>
      <c r="F1821" s="7">
        <v>1.46033653679654</v>
      </c>
      <c r="G1821" s="7">
        <v>1.98568199134199</v>
      </c>
      <c r="H1821" s="7">
        <v>-8.8445225974026E-4</v>
      </c>
      <c r="I1821" s="7">
        <v>-5.26851738528139</v>
      </c>
      <c r="J1821" s="7">
        <v>-3.54734355844155</v>
      </c>
      <c r="K1821" s="8"/>
      <c r="L1821" s="8"/>
    </row>
    <row r="1822" ht="13.5" customHeight="1">
      <c r="A1822" s="7" t="s">
        <v>355</v>
      </c>
      <c r="B1822" s="7">
        <v>0.0</v>
      </c>
      <c r="C1822" s="7" t="s">
        <v>362</v>
      </c>
      <c r="D1822" s="7" t="s">
        <v>357</v>
      </c>
      <c r="E1822" s="7">
        <v>-15.621492987013</v>
      </c>
      <c r="F1822" s="7">
        <v>1.46204705627706</v>
      </c>
      <c r="G1822" s="7">
        <v>1.98794640692641</v>
      </c>
      <c r="H1822" s="7">
        <v>-8.85507363636364E-4</v>
      </c>
      <c r="I1822" s="7">
        <v>-5.27531217748918</v>
      </c>
      <c r="J1822" s="7">
        <v>-3.55189061038961</v>
      </c>
      <c r="K1822" s="8"/>
      <c r="L1822" s="8"/>
    </row>
    <row r="1823" ht="13.5" customHeight="1">
      <c r="A1823" s="7" t="s">
        <v>355</v>
      </c>
      <c r="B1823" s="7">
        <v>1.75</v>
      </c>
      <c r="C1823" s="7" t="s">
        <v>362</v>
      </c>
      <c r="D1823" s="7" t="s">
        <v>357</v>
      </c>
      <c r="E1823" s="7">
        <v>-15.6383493506494</v>
      </c>
      <c r="F1823" s="7">
        <v>1.46375757575758</v>
      </c>
      <c r="G1823" s="7">
        <v>1.99021082251082</v>
      </c>
      <c r="H1823" s="7">
        <v>-8.86562467532468E-4</v>
      </c>
      <c r="I1823" s="7">
        <v>-5.28210696969697</v>
      </c>
      <c r="J1823" s="7">
        <v>-3.55643766233766</v>
      </c>
      <c r="K1823" s="8"/>
      <c r="L1823" s="8"/>
    </row>
    <row r="1824" ht="13.5" customHeight="1">
      <c r="A1824" s="7" t="s">
        <v>355</v>
      </c>
      <c r="B1824" s="7">
        <v>3.5</v>
      </c>
      <c r="C1824" s="7" t="s">
        <v>362</v>
      </c>
      <c r="D1824" s="7" t="s">
        <v>357</v>
      </c>
      <c r="E1824" s="7">
        <v>-15.6552057142857</v>
      </c>
      <c r="F1824" s="7">
        <v>1.4654680952381</v>
      </c>
      <c r="G1824" s="7">
        <v>1.99247523809524</v>
      </c>
      <c r="H1824" s="7">
        <v>-8.87617571428572E-4</v>
      </c>
      <c r="I1824" s="7">
        <v>-5.28890176190476</v>
      </c>
      <c r="J1824" s="7">
        <v>-3.56098471428571</v>
      </c>
      <c r="K1824" s="8"/>
      <c r="L1824" s="8"/>
    </row>
    <row r="1825" ht="13.5" customHeight="1">
      <c r="A1825" s="7" t="s">
        <v>355</v>
      </c>
      <c r="B1825" s="7">
        <v>0.0</v>
      </c>
      <c r="C1825" s="7" t="s">
        <v>363</v>
      </c>
      <c r="D1825" s="7" t="s">
        <v>357</v>
      </c>
      <c r="E1825" s="7">
        <v>-15.6720620779221</v>
      </c>
      <c r="F1825" s="7">
        <v>1.46717861471862</v>
      </c>
      <c r="G1825" s="7">
        <v>1.99473965367965</v>
      </c>
      <c r="H1825" s="7">
        <v>-8.88672675324676E-4</v>
      </c>
      <c r="I1825" s="7">
        <v>-5.29569655411256</v>
      </c>
      <c r="J1825" s="7">
        <v>-3.56553176623376</v>
      </c>
      <c r="K1825" s="8"/>
      <c r="L1825" s="8"/>
    </row>
    <row r="1826" ht="13.5" customHeight="1">
      <c r="A1826" s="7" t="s">
        <v>355</v>
      </c>
      <c r="B1826" s="7">
        <v>1.75</v>
      </c>
      <c r="C1826" s="7" t="s">
        <v>363</v>
      </c>
      <c r="D1826" s="7" t="s">
        <v>357</v>
      </c>
      <c r="E1826" s="7">
        <v>-15.6889184415585</v>
      </c>
      <c r="F1826" s="7">
        <v>1.46888913419914</v>
      </c>
      <c r="G1826" s="7">
        <v>1.99700406926407</v>
      </c>
      <c r="H1826" s="7">
        <v>-8.8972777922078E-4</v>
      </c>
      <c r="I1826" s="7">
        <v>-5.30249134632035</v>
      </c>
      <c r="J1826" s="7">
        <v>-3.57007881818181</v>
      </c>
      <c r="K1826" s="8"/>
      <c r="L1826" s="8"/>
    </row>
    <row r="1827" ht="13.5" customHeight="1">
      <c r="A1827" s="7" t="s">
        <v>355</v>
      </c>
      <c r="B1827" s="7">
        <v>3.5</v>
      </c>
      <c r="C1827" s="7" t="s">
        <v>363</v>
      </c>
      <c r="D1827" s="7" t="s">
        <v>357</v>
      </c>
      <c r="E1827" s="7">
        <v>-15.7057748051948</v>
      </c>
      <c r="F1827" s="7">
        <v>1.47059965367966</v>
      </c>
      <c r="G1827" s="7">
        <v>1.99926848484848</v>
      </c>
      <c r="H1827" s="7">
        <v>-8.90782883116883E-4</v>
      </c>
      <c r="I1827" s="7">
        <v>-5.30928613852814</v>
      </c>
      <c r="J1827" s="7">
        <v>-3.57462587012986</v>
      </c>
      <c r="K1827" s="8"/>
      <c r="L1827" s="8"/>
    </row>
    <row r="1828" ht="13.5" customHeight="1">
      <c r="A1828" s="7" t="s">
        <v>355</v>
      </c>
      <c r="B1828" s="7">
        <v>0.0</v>
      </c>
      <c r="C1828" s="7" t="s">
        <v>356</v>
      </c>
      <c r="D1828" s="7" t="s">
        <v>357</v>
      </c>
      <c r="E1828" s="7">
        <v>-15.7226311688312</v>
      </c>
      <c r="F1828" s="7">
        <v>1.47231017316018</v>
      </c>
      <c r="G1828" s="7">
        <v>2.0015329004329</v>
      </c>
      <c r="H1828" s="7">
        <v>-8.91837987012987E-4</v>
      </c>
      <c r="I1828" s="7">
        <v>-5.31608093073593</v>
      </c>
      <c r="J1828" s="7">
        <v>-3.57917292207792</v>
      </c>
      <c r="K1828" s="8"/>
      <c r="L1828" s="8"/>
    </row>
    <row r="1829" ht="13.5" customHeight="1">
      <c r="A1829" s="7" t="s">
        <v>355</v>
      </c>
      <c r="B1829" s="7">
        <v>1.75</v>
      </c>
      <c r="C1829" s="7" t="s">
        <v>356</v>
      </c>
      <c r="D1829" s="7" t="s">
        <v>357</v>
      </c>
      <c r="E1829" s="7">
        <v>-15.7394875324675</v>
      </c>
      <c r="F1829" s="7">
        <v>1.4740206926407</v>
      </c>
      <c r="G1829" s="7">
        <v>2.00379731601731</v>
      </c>
      <c r="H1829" s="7">
        <v>-8.92893090909091E-4</v>
      </c>
      <c r="I1829" s="7">
        <v>-5.32287572294373</v>
      </c>
      <c r="J1829" s="7">
        <v>-3.58371997402597</v>
      </c>
      <c r="K1829" s="8"/>
      <c r="L1829" s="8"/>
    </row>
    <row r="1830" ht="13.5" customHeight="1">
      <c r="A1830" s="7" t="s">
        <v>355</v>
      </c>
      <c r="B1830" s="7">
        <v>3.5</v>
      </c>
      <c r="C1830" s="7" t="s">
        <v>356</v>
      </c>
      <c r="D1830" s="7" t="s">
        <v>357</v>
      </c>
      <c r="E1830" s="7">
        <v>-15.7563438961039</v>
      </c>
      <c r="F1830" s="7">
        <v>1.47573121212122</v>
      </c>
      <c r="G1830" s="7">
        <v>2.00606173160173</v>
      </c>
      <c r="H1830" s="7">
        <v>-8.93948194805195E-4</v>
      </c>
      <c r="I1830" s="7">
        <v>-5.32967051515152</v>
      </c>
      <c r="J1830" s="7">
        <v>-3.58826702597402</v>
      </c>
      <c r="K1830" s="8"/>
      <c r="L1830" s="8"/>
    </row>
    <row r="1831" ht="13.5" customHeight="1">
      <c r="A1831" s="7" t="s">
        <v>355</v>
      </c>
      <c r="B1831" s="7">
        <v>0.0</v>
      </c>
      <c r="C1831" s="7" t="s">
        <v>358</v>
      </c>
      <c r="D1831" s="7" t="s">
        <v>357</v>
      </c>
      <c r="E1831" s="7">
        <v>-15.7732002597403</v>
      </c>
      <c r="F1831" s="7">
        <v>1.47744173160174</v>
      </c>
      <c r="G1831" s="7">
        <v>2.00832614718615</v>
      </c>
      <c r="H1831" s="7">
        <v>-8.95003298701299E-4</v>
      </c>
      <c r="I1831" s="7">
        <v>-5.33646530735931</v>
      </c>
      <c r="J1831" s="7">
        <v>-3.59281407792207</v>
      </c>
      <c r="K1831" s="8"/>
      <c r="L1831" s="8"/>
    </row>
    <row r="1832" ht="13.5" customHeight="1">
      <c r="A1832" s="7" t="s">
        <v>355</v>
      </c>
      <c r="B1832" s="7">
        <v>1.75</v>
      </c>
      <c r="C1832" s="7" t="s">
        <v>358</v>
      </c>
      <c r="D1832" s="7" t="s">
        <v>357</v>
      </c>
      <c r="E1832" s="7">
        <v>-15.7900566233766</v>
      </c>
      <c r="F1832" s="7">
        <v>1.47915225108226</v>
      </c>
      <c r="G1832" s="7">
        <v>2.01059056277056</v>
      </c>
      <c r="H1832" s="7">
        <v>-8.96058402597403E-4</v>
      </c>
      <c r="I1832" s="7">
        <v>-5.3432600995671</v>
      </c>
      <c r="J1832" s="7">
        <v>-3.59736112987012</v>
      </c>
      <c r="K1832" s="8"/>
      <c r="L1832" s="8"/>
    </row>
    <row r="1833" ht="13.5" customHeight="1">
      <c r="A1833" s="7" t="s">
        <v>355</v>
      </c>
      <c r="B1833" s="7">
        <v>3.5</v>
      </c>
      <c r="C1833" s="7" t="s">
        <v>358</v>
      </c>
      <c r="D1833" s="7" t="s">
        <v>357</v>
      </c>
      <c r="E1833" s="7">
        <v>-15.806912987013</v>
      </c>
      <c r="F1833" s="7">
        <v>1.48086277056278</v>
      </c>
      <c r="G1833" s="7">
        <v>2.01285497835498</v>
      </c>
      <c r="H1833" s="7">
        <v>-8.97113506493507E-4</v>
      </c>
      <c r="I1833" s="7">
        <v>-5.35005489177489</v>
      </c>
      <c r="J1833" s="7">
        <v>-3.60190818181818</v>
      </c>
      <c r="K1833" s="8"/>
      <c r="L1833" s="8"/>
    </row>
    <row r="1834" ht="13.5" customHeight="1">
      <c r="A1834" s="7" t="s">
        <v>355</v>
      </c>
      <c r="B1834" s="7">
        <v>0.0</v>
      </c>
      <c r="C1834" s="7" t="s">
        <v>359</v>
      </c>
      <c r="D1834" s="7" t="s">
        <v>357</v>
      </c>
      <c r="E1834" s="7">
        <v>-15.8237693506494</v>
      </c>
      <c r="F1834" s="7">
        <v>1.4825732900433</v>
      </c>
      <c r="G1834" s="7">
        <v>2.01511939393939</v>
      </c>
      <c r="H1834" s="7">
        <v>-8.98168610389611E-4</v>
      </c>
      <c r="I1834" s="7">
        <v>-5.35684968398269</v>
      </c>
      <c r="J1834" s="7">
        <v>-3.60645523376623</v>
      </c>
      <c r="K1834" s="8"/>
      <c r="L1834" s="8"/>
    </row>
    <row r="1835" ht="13.5" customHeight="1">
      <c r="A1835" s="7" t="s">
        <v>355</v>
      </c>
      <c r="B1835" s="7">
        <v>1.75</v>
      </c>
      <c r="C1835" s="7" t="s">
        <v>359</v>
      </c>
      <c r="D1835" s="7" t="s">
        <v>357</v>
      </c>
      <c r="E1835" s="7">
        <v>-15.8406257142857</v>
      </c>
      <c r="F1835" s="7">
        <v>1.48428380952381</v>
      </c>
      <c r="G1835" s="7">
        <v>2.01738380952381</v>
      </c>
      <c r="H1835" s="7">
        <v>-8.99223714285715E-4</v>
      </c>
      <c r="I1835" s="7">
        <v>-5.36364447619048</v>
      </c>
      <c r="J1835" s="7">
        <v>-3.61100228571428</v>
      </c>
      <c r="K1835" s="8"/>
      <c r="L1835" s="8"/>
    </row>
    <row r="1836" ht="13.5" customHeight="1">
      <c r="A1836" s="7" t="s">
        <v>355</v>
      </c>
      <c r="B1836" s="7">
        <v>3.5</v>
      </c>
      <c r="C1836" s="7" t="s">
        <v>359</v>
      </c>
      <c r="D1836" s="7" t="s">
        <v>357</v>
      </c>
      <c r="E1836" s="7">
        <v>-15.8574820779221</v>
      </c>
      <c r="F1836" s="7">
        <v>1.48599432900433</v>
      </c>
      <c r="G1836" s="7">
        <v>2.01964822510822</v>
      </c>
      <c r="H1836" s="7">
        <v>-9.00278818181819E-4</v>
      </c>
      <c r="I1836" s="7">
        <v>-5.37043926839827</v>
      </c>
      <c r="J1836" s="7">
        <v>-3.61554933766233</v>
      </c>
      <c r="K1836" s="8"/>
      <c r="L1836" s="8"/>
    </row>
    <row r="1837" ht="13.5" customHeight="1">
      <c r="A1837" s="7" t="s">
        <v>355</v>
      </c>
      <c r="B1837" s="7">
        <v>0.0</v>
      </c>
      <c r="C1837" s="7" t="s">
        <v>360</v>
      </c>
      <c r="D1837" s="7" t="s">
        <v>357</v>
      </c>
      <c r="E1837" s="7">
        <v>-15.8743384415585</v>
      </c>
      <c r="F1837" s="7">
        <v>1.48770484848485</v>
      </c>
      <c r="G1837" s="7">
        <v>2.02191264069264</v>
      </c>
      <c r="H1837" s="7">
        <v>-9.01333922077922E-4</v>
      </c>
      <c r="I1837" s="7">
        <v>-5.37723406060606</v>
      </c>
      <c r="J1837" s="7">
        <v>-3.62009638961038</v>
      </c>
      <c r="K1837" s="8"/>
      <c r="L1837" s="8"/>
    </row>
    <row r="1838" ht="13.5" customHeight="1">
      <c r="A1838" s="7" t="s">
        <v>355</v>
      </c>
      <c r="B1838" s="7">
        <v>1.75</v>
      </c>
      <c r="C1838" s="7" t="s">
        <v>360</v>
      </c>
      <c r="D1838" s="7" t="s">
        <v>357</v>
      </c>
      <c r="E1838" s="7">
        <v>-15.8911948051948</v>
      </c>
      <c r="F1838" s="7">
        <v>1.48941536796537</v>
      </c>
      <c r="G1838" s="7">
        <v>2.02417705627705</v>
      </c>
      <c r="H1838" s="7">
        <v>-9.02389025974026E-4</v>
      </c>
      <c r="I1838" s="7">
        <v>-5.38402885281386</v>
      </c>
      <c r="J1838" s="7">
        <v>-3.62464344155844</v>
      </c>
      <c r="K1838" s="8"/>
      <c r="L1838" s="8"/>
    </row>
    <row r="1839" ht="13.5" customHeight="1">
      <c r="A1839" s="7" t="s">
        <v>355</v>
      </c>
      <c r="B1839" s="7">
        <v>3.5</v>
      </c>
      <c r="C1839" s="7" t="s">
        <v>360</v>
      </c>
      <c r="D1839" s="7" t="s">
        <v>357</v>
      </c>
      <c r="E1839" s="7">
        <v>-15.9080511688312</v>
      </c>
      <c r="F1839" s="7">
        <v>1.49112588744589</v>
      </c>
      <c r="G1839" s="7">
        <v>2.02644147186147</v>
      </c>
      <c r="H1839" s="7">
        <v>-9.0344412987013E-4</v>
      </c>
      <c r="I1839" s="7">
        <v>-5.39082364502165</v>
      </c>
      <c r="J1839" s="7">
        <v>-3.62919049350649</v>
      </c>
      <c r="K1839" s="8"/>
      <c r="L1839" s="8"/>
    </row>
    <row r="1840" ht="13.5" customHeight="1">
      <c r="A1840" s="7" t="s">
        <v>355</v>
      </c>
      <c r="B1840" s="7">
        <v>0.0</v>
      </c>
      <c r="C1840" s="7" t="s">
        <v>361</v>
      </c>
      <c r="D1840" s="7" t="s">
        <v>357</v>
      </c>
      <c r="E1840" s="7">
        <v>-15.9249075324676</v>
      </c>
      <c r="F1840" s="7">
        <v>1.49283640692641</v>
      </c>
      <c r="G1840" s="7">
        <v>2.02870588744589</v>
      </c>
      <c r="H1840" s="7">
        <v>-9.04499233766234E-4</v>
      </c>
      <c r="I1840" s="7">
        <v>-5.39761843722944</v>
      </c>
      <c r="J1840" s="7">
        <v>-3.63373754545454</v>
      </c>
      <c r="K1840" s="8"/>
      <c r="L1840" s="8"/>
    </row>
    <row r="1841" ht="13.5" customHeight="1">
      <c r="A1841" s="7" t="s">
        <v>355</v>
      </c>
      <c r="B1841" s="7">
        <v>1.75</v>
      </c>
      <c r="C1841" s="7" t="s">
        <v>361</v>
      </c>
      <c r="D1841" s="7" t="s">
        <v>357</v>
      </c>
      <c r="E1841" s="7">
        <v>-15.9417638961039</v>
      </c>
      <c r="F1841" s="7">
        <v>1.49454692640693</v>
      </c>
      <c r="G1841" s="7">
        <v>2.0309703030303</v>
      </c>
      <c r="H1841" s="7">
        <v>-9.05554337662338E-4</v>
      </c>
      <c r="I1841" s="7">
        <v>-5.40441322943723</v>
      </c>
      <c r="J1841" s="7">
        <v>-3.63828459740259</v>
      </c>
      <c r="K1841" s="8"/>
      <c r="L1841" s="8"/>
    </row>
    <row r="1842" ht="13.5" customHeight="1">
      <c r="A1842" s="7" t="s">
        <v>355</v>
      </c>
      <c r="B1842" s="7">
        <v>3.5</v>
      </c>
      <c r="C1842" s="7" t="s">
        <v>361</v>
      </c>
      <c r="D1842" s="7" t="s">
        <v>357</v>
      </c>
      <c r="E1842" s="7">
        <v>-15.9586202597403</v>
      </c>
      <c r="F1842" s="7">
        <v>1.49625744588745</v>
      </c>
      <c r="G1842" s="7">
        <v>2.03323471861472</v>
      </c>
      <c r="H1842" s="7">
        <v>-9.06609441558442E-4</v>
      </c>
      <c r="I1842" s="7">
        <v>-5.41120802164502</v>
      </c>
      <c r="J1842" s="7">
        <v>-3.64283164935064</v>
      </c>
      <c r="K1842" s="8"/>
      <c r="L1842" s="8"/>
    </row>
    <row r="1843" ht="13.5" customHeight="1">
      <c r="A1843" s="7" t="s">
        <v>355</v>
      </c>
      <c r="B1843" s="7">
        <v>0.0</v>
      </c>
      <c r="C1843" s="7" t="s">
        <v>362</v>
      </c>
      <c r="D1843" s="7" t="s">
        <v>357</v>
      </c>
      <c r="E1843" s="7">
        <v>-15.9754766233766</v>
      </c>
      <c r="F1843" s="7">
        <v>1.49796796536797</v>
      </c>
      <c r="G1843" s="7">
        <v>2.03549913419913</v>
      </c>
      <c r="H1843" s="7">
        <v>-9.07664545454546E-4</v>
      </c>
      <c r="I1843" s="7">
        <v>-5.41800281385282</v>
      </c>
      <c r="J1843" s="7">
        <v>-3.6473787012987</v>
      </c>
      <c r="K1843" s="8"/>
      <c r="L1843" s="8"/>
    </row>
    <row r="1844" ht="13.5" customHeight="1">
      <c r="A1844" s="7" t="s">
        <v>355</v>
      </c>
      <c r="B1844" s="7">
        <v>1.75</v>
      </c>
      <c r="C1844" s="7" t="s">
        <v>362</v>
      </c>
      <c r="D1844" s="7" t="s">
        <v>357</v>
      </c>
      <c r="E1844" s="7">
        <v>-15.992332987013</v>
      </c>
      <c r="F1844" s="7">
        <v>1.49967848484849</v>
      </c>
      <c r="G1844" s="7">
        <v>2.03776354978355</v>
      </c>
      <c r="H1844" s="7">
        <v>-9.0871964935065E-4</v>
      </c>
      <c r="I1844" s="7">
        <v>-5.42479760606061</v>
      </c>
      <c r="J1844" s="7">
        <v>-3.65192575324675</v>
      </c>
      <c r="K1844" s="8"/>
      <c r="L1844" s="8"/>
    </row>
    <row r="1845" ht="13.5" customHeight="1">
      <c r="A1845" s="7" t="s">
        <v>355</v>
      </c>
      <c r="B1845" s="7">
        <v>3.5</v>
      </c>
      <c r="C1845" s="7" t="s">
        <v>362</v>
      </c>
      <c r="D1845" s="7" t="s">
        <v>357</v>
      </c>
      <c r="E1845" s="7">
        <v>-16.0091893506494</v>
      </c>
      <c r="F1845" s="7">
        <v>1.50138900432901</v>
      </c>
      <c r="G1845" s="7">
        <v>2.04002796536796</v>
      </c>
      <c r="H1845" s="7">
        <v>-9.09774753246754E-4</v>
      </c>
      <c r="I1845" s="7">
        <v>-5.4315923982684</v>
      </c>
      <c r="J1845" s="7">
        <v>-3.6564728051948</v>
      </c>
      <c r="K1845" s="8"/>
      <c r="L1845" s="8"/>
    </row>
    <row r="1846" ht="13.5" customHeight="1">
      <c r="A1846" s="7" t="s">
        <v>355</v>
      </c>
      <c r="B1846" s="7">
        <v>0.0</v>
      </c>
      <c r="C1846" s="7" t="s">
        <v>363</v>
      </c>
      <c r="D1846" s="7" t="s">
        <v>357</v>
      </c>
      <c r="E1846" s="7">
        <v>-16.0260457142857</v>
      </c>
      <c r="F1846" s="7">
        <v>1.50309952380953</v>
      </c>
      <c r="G1846" s="7">
        <v>2.04229238095238</v>
      </c>
      <c r="H1846" s="7">
        <v>-9.10829857142858E-4</v>
      </c>
      <c r="I1846" s="7">
        <v>-5.43838719047619</v>
      </c>
      <c r="J1846" s="7">
        <v>-3.66101985714285</v>
      </c>
      <c r="K1846" s="8"/>
      <c r="L1846" s="8"/>
    </row>
    <row r="1847" ht="13.5" customHeight="1">
      <c r="A1847" s="7" t="s">
        <v>355</v>
      </c>
      <c r="B1847" s="7">
        <v>1.75</v>
      </c>
      <c r="C1847" s="7" t="s">
        <v>363</v>
      </c>
      <c r="D1847" s="7" t="s">
        <v>357</v>
      </c>
      <c r="E1847" s="7">
        <v>-16.0429020779221</v>
      </c>
      <c r="F1847" s="7">
        <v>1.50481004329005</v>
      </c>
      <c r="G1847" s="7">
        <v>2.04455679653679</v>
      </c>
      <c r="H1847" s="7">
        <v>-9.11884961038961E-4</v>
      </c>
      <c r="I1847" s="7">
        <v>-5.44518198268398</v>
      </c>
      <c r="J1847" s="7">
        <v>-3.6655669090909</v>
      </c>
      <c r="K1847" s="8"/>
      <c r="L1847" s="8"/>
    </row>
    <row r="1848" ht="13.5" customHeight="1">
      <c r="A1848" s="7" t="s">
        <v>355</v>
      </c>
      <c r="B1848" s="7">
        <v>3.5</v>
      </c>
      <c r="C1848" s="7" t="s">
        <v>363</v>
      </c>
      <c r="D1848" s="7" t="s">
        <v>357</v>
      </c>
      <c r="E1848" s="7">
        <v>-16.0597584415585</v>
      </c>
      <c r="F1848" s="7">
        <v>1.50652056277057</v>
      </c>
      <c r="G1848" s="7">
        <v>2.04682121212121</v>
      </c>
      <c r="H1848" s="7">
        <v>-9.12940064935065E-4</v>
      </c>
      <c r="I1848" s="7">
        <v>-5.45197677489178</v>
      </c>
      <c r="J1848" s="7">
        <v>-3.67011396103896</v>
      </c>
      <c r="K1848" s="8"/>
      <c r="L1848" s="8"/>
    </row>
    <row r="1849" ht="13.5" customHeight="1">
      <c r="A1849" s="7" t="s">
        <v>355</v>
      </c>
      <c r="B1849" s="7">
        <v>0.0</v>
      </c>
      <c r="C1849" s="7" t="s">
        <v>356</v>
      </c>
      <c r="D1849" s="7" t="s">
        <v>357</v>
      </c>
      <c r="E1849" s="7">
        <v>-16.0766148051948</v>
      </c>
      <c r="F1849" s="7">
        <v>1.50823108225109</v>
      </c>
      <c r="G1849" s="7">
        <v>2.04908562770563</v>
      </c>
      <c r="H1849" s="7">
        <v>-9.13995168831169E-4</v>
      </c>
      <c r="I1849" s="7">
        <v>-5.45877156709957</v>
      </c>
      <c r="J1849" s="7">
        <v>-3.67466101298701</v>
      </c>
      <c r="K1849" s="8"/>
      <c r="L1849" s="8"/>
    </row>
    <row r="1850" ht="13.5" customHeight="1">
      <c r="A1850" s="7" t="s">
        <v>355</v>
      </c>
      <c r="B1850" s="7">
        <v>1.75</v>
      </c>
      <c r="C1850" s="7" t="s">
        <v>356</v>
      </c>
      <c r="D1850" s="7" t="s">
        <v>357</v>
      </c>
      <c r="E1850" s="7">
        <v>-16.0934711688312</v>
      </c>
      <c r="F1850" s="7">
        <v>1.50994160173161</v>
      </c>
      <c r="G1850" s="7">
        <v>2.05135004329004</v>
      </c>
      <c r="H1850" s="7">
        <v>-9.15050272727273E-4</v>
      </c>
      <c r="I1850" s="7">
        <v>-5.46556635930736</v>
      </c>
      <c r="J1850" s="7">
        <v>-3.67920806493506</v>
      </c>
      <c r="K1850" s="8"/>
      <c r="L1850" s="8"/>
    </row>
    <row r="1851" ht="13.5" customHeight="1">
      <c r="A1851" s="7" t="s">
        <v>355</v>
      </c>
      <c r="B1851" s="7">
        <v>3.5</v>
      </c>
      <c r="C1851" s="7" t="s">
        <v>356</v>
      </c>
      <c r="D1851" s="7" t="s">
        <v>357</v>
      </c>
      <c r="E1851" s="7">
        <v>-16.1103275324676</v>
      </c>
      <c r="F1851" s="7">
        <v>1.51165212121213</v>
      </c>
      <c r="G1851" s="7">
        <v>2.05361445887446</v>
      </c>
      <c r="H1851" s="7">
        <v>-9.16105376623377E-4</v>
      </c>
      <c r="I1851" s="7">
        <v>-5.47236115151515</v>
      </c>
      <c r="J1851" s="7">
        <v>-3.68375511688311</v>
      </c>
      <c r="K1851" s="8"/>
      <c r="L1851" s="8"/>
    </row>
    <row r="1852" ht="13.5" customHeight="1">
      <c r="A1852" s="7" t="s">
        <v>355</v>
      </c>
      <c r="B1852" s="7">
        <v>0.0</v>
      </c>
      <c r="C1852" s="7" t="s">
        <v>358</v>
      </c>
      <c r="D1852" s="7" t="s">
        <v>357</v>
      </c>
      <c r="E1852" s="7">
        <v>-16.1271838961039</v>
      </c>
      <c r="F1852" s="7">
        <v>1.51336264069265</v>
      </c>
      <c r="G1852" s="7">
        <v>2.05587887445887</v>
      </c>
      <c r="H1852" s="7">
        <v>-9.17160480519481E-4</v>
      </c>
      <c r="I1852" s="7">
        <v>-5.47915594372295</v>
      </c>
      <c r="J1852" s="7">
        <v>-3.68830216883116</v>
      </c>
      <c r="K1852" s="8"/>
      <c r="L1852" s="8"/>
    </row>
    <row r="1853" ht="13.5" customHeight="1">
      <c r="A1853" s="7" t="s">
        <v>355</v>
      </c>
      <c r="B1853" s="7">
        <v>1.75</v>
      </c>
      <c r="C1853" s="7" t="s">
        <v>358</v>
      </c>
      <c r="D1853" s="7" t="s">
        <v>357</v>
      </c>
      <c r="E1853" s="7">
        <v>-16.1440402597403</v>
      </c>
      <c r="F1853" s="7">
        <v>1.51507316017317</v>
      </c>
      <c r="G1853" s="7">
        <v>2.05814329004329</v>
      </c>
      <c r="H1853" s="7">
        <v>-9.18215584415585E-4</v>
      </c>
      <c r="I1853" s="7">
        <v>-5.48595073593074</v>
      </c>
      <c r="J1853" s="7">
        <v>-3.69284922077922</v>
      </c>
      <c r="K1853" s="8"/>
      <c r="L1853" s="8"/>
    </row>
    <row r="1854" ht="13.5" customHeight="1">
      <c r="A1854" s="7" t="s">
        <v>355</v>
      </c>
      <c r="B1854" s="7">
        <v>3.5</v>
      </c>
      <c r="C1854" s="7" t="s">
        <v>358</v>
      </c>
      <c r="D1854" s="7" t="s">
        <v>357</v>
      </c>
      <c r="E1854" s="7">
        <v>-16.1608966233766</v>
      </c>
      <c r="F1854" s="7">
        <v>1.51678367965369</v>
      </c>
      <c r="G1854" s="7">
        <v>2.0604077056277</v>
      </c>
      <c r="H1854" s="7">
        <v>-9.19270688311689E-4</v>
      </c>
      <c r="I1854" s="7">
        <v>-5.49274552813853</v>
      </c>
      <c r="J1854" s="7">
        <v>-3.69739627272727</v>
      </c>
      <c r="K1854" s="8"/>
      <c r="L1854" s="8"/>
    </row>
    <row r="1855" ht="13.5" customHeight="1">
      <c r="A1855" s="7" t="s">
        <v>355</v>
      </c>
      <c r="B1855" s="7">
        <v>0.0</v>
      </c>
      <c r="C1855" s="7" t="s">
        <v>359</v>
      </c>
      <c r="D1855" s="7" t="s">
        <v>357</v>
      </c>
      <c r="E1855" s="7">
        <v>-16.177752987013</v>
      </c>
      <c r="F1855" s="7">
        <v>1.5184941991342</v>
      </c>
      <c r="G1855" s="7">
        <v>2.06267212121212</v>
      </c>
      <c r="H1855" s="7">
        <v>-9.20325792207792E-4</v>
      </c>
      <c r="I1855" s="7">
        <v>-5.49954032034632</v>
      </c>
      <c r="J1855" s="7">
        <v>-3.70194332467532</v>
      </c>
      <c r="K1855" s="8"/>
      <c r="L1855" s="8"/>
    </row>
    <row r="1856" ht="13.5" customHeight="1">
      <c r="A1856" s="7" t="s">
        <v>355</v>
      </c>
      <c r="B1856" s="7">
        <v>1.75</v>
      </c>
      <c r="C1856" s="7" t="s">
        <v>359</v>
      </c>
      <c r="D1856" s="7" t="s">
        <v>357</v>
      </c>
      <c r="E1856" s="7">
        <v>-16.1946093506494</v>
      </c>
      <c r="F1856" s="7">
        <v>1.52020471861472</v>
      </c>
      <c r="G1856" s="7">
        <v>2.06493653679654</v>
      </c>
      <c r="H1856" s="7">
        <v>-9.21380896103896E-4</v>
      </c>
      <c r="I1856" s="7">
        <v>-5.50633511255411</v>
      </c>
      <c r="J1856" s="7">
        <v>-3.70649037662337</v>
      </c>
      <c r="K1856" s="8"/>
      <c r="L1856" s="8"/>
    </row>
    <row r="1857" ht="13.5" customHeight="1">
      <c r="A1857" s="7" t="s">
        <v>355</v>
      </c>
      <c r="B1857" s="7">
        <v>3.5</v>
      </c>
      <c r="C1857" s="7" t="s">
        <v>359</v>
      </c>
      <c r="D1857" s="7" t="s">
        <v>357</v>
      </c>
      <c r="E1857" s="7">
        <v>-16.2114657142857</v>
      </c>
      <c r="F1857" s="7">
        <v>1.52191523809524</v>
      </c>
      <c r="G1857" s="7">
        <v>2.06720095238095</v>
      </c>
      <c r="H1857" s="7">
        <v>-9.22436E-4</v>
      </c>
      <c r="I1857" s="7">
        <v>-5.51312990476191</v>
      </c>
      <c r="J1857" s="7">
        <v>-3.71103742857142</v>
      </c>
      <c r="K1857" s="8"/>
      <c r="L1857" s="8"/>
    </row>
    <row r="1858" ht="13.5" customHeight="1">
      <c r="A1858" s="7" t="s">
        <v>355</v>
      </c>
      <c r="B1858" s="7">
        <v>0.0</v>
      </c>
      <c r="C1858" s="7" t="s">
        <v>360</v>
      </c>
      <c r="D1858" s="7" t="s">
        <v>357</v>
      </c>
      <c r="E1858" s="7">
        <v>-16.2283220779221</v>
      </c>
      <c r="F1858" s="7">
        <v>1.52362575757576</v>
      </c>
      <c r="G1858" s="7">
        <v>2.06946536796537</v>
      </c>
      <c r="H1858" s="7">
        <v>-9.23491103896104E-4</v>
      </c>
      <c r="I1858" s="7">
        <v>-5.5199246969697</v>
      </c>
      <c r="J1858" s="7">
        <v>-3.71558448051948</v>
      </c>
      <c r="K1858" s="8"/>
      <c r="L1858" s="8"/>
    </row>
    <row r="1859" ht="13.5" customHeight="1">
      <c r="A1859" s="7" t="s">
        <v>355</v>
      </c>
      <c r="B1859" s="7">
        <v>1.75</v>
      </c>
      <c r="C1859" s="7" t="s">
        <v>360</v>
      </c>
      <c r="D1859" s="7" t="s">
        <v>357</v>
      </c>
      <c r="E1859" s="7">
        <v>-16.2451784415585</v>
      </c>
      <c r="F1859" s="7">
        <v>1.52533627705628</v>
      </c>
      <c r="G1859" s="7">
        <v>2.07172978354978</v>
      </c>
      <c r="H1859" s="7">
        <v>-9.24546207792208E-4</v>
      </c>
      <c r="I1859" s="7">
        <v>-5.52671948917749</v>
      </c>
      <c r="J1859" s="7">
        <v>-3.72013153246753</v>
      </c>
      <c r="K1859" s="8"/>
      <c r="L1859" s="8"/>
    </row>
    <row r="1860" ht="13.5" customHeight="1">
      <c r="A1860" s="7" t="s">
        <v>355</v>
      </c>
      <c r="B1860" s="7">
        <v>3.5</v>
      </c>
      <c r="C1860" s="7" t="s">
        <v>360</v>
      </c>
      <c r="D1860" s="7" t="s">
        <v>357</v>
      </c>
      <c r="E1860" s="7">
        <v>-16.2620348051948</v>
      </c>
      <c r="F1860" s="7">
        <v>1.5270467965368</v>
      </c>
      <c r="G1860" s="7">
        <v>2.0739941991342</v>
      </c>
      <c r="H1860" s="7">
        <v>-9.25601311688312E-4</v>
      </c>
      <c r="I1860" s="7">
        <v>-5.53351428138528</v>
      </c>
      <c r="J1860" s="7">
        <v>-3.72467858441558</v>
      </c>
      <c r="K1860" s="8"/>
      <c r="L1860" s="8"/>
    </row>
    <row r="1861" ht="13.5" customHeight="1">
      <c r="A1861" s="7" t="s">
        <v>355</v>
      </c>
      <c r="B1861" s="7">
        <v>0.0</v>
      </c>
      <c r="C1861" s="7" t="s">
        <v>361</v>
      </c>
      <c r="D1861" s="7" t="s">
        <v>357</v>
      </c>
      <c r="E1861" s="7">
        <v>-16.2788911688312</v>
      </c>
      <c r="F1861" s="7">
        <v>1.52875731601732</v>
      </c>
      <c r="G1861" s="7">
        <v>2.07625861471861</v>
      </c>
      <c r="H1861" s="7">
        <v>-9.26656415584416E-4</v>
      </c>
      <c r="I1861" s="7">
        <v>-5.54030907359308</v>
      </c>
      <c r="J1861" s="7">
        <v>-3.72922563636363</v>
      </c>
      <c r="K1861" s="8"/>
      <c r="L1861" s="8"/>
    </row>
    <row r="1862" ht="13.5" customHeight="1">
      <c r="A1862" s="7" t="s">
        <v>355</v>
      </c>
      <c r="B1862" s="7">
        <v>1.75</v>
      </c>
      <c r="C1862" s="7" t="s">
        <v>361</v>
      </c>
      <c r="D1862" s="7" t="s">
        <v>357</v>
      </c>
      <c r="E1862" s="7">
        <v>-16.2957475324675</v>
      </c>
      <c r="F1862" s="7">
        <v>1.53046783549784</v>
      </c>
      <c r="G1862" s="7">
        <v>2.07852303030303</v>
      </c>
      <c r="H1862" s="7">
        <v>-9.2771151948052E-4</v>
      </c>
      <c r="I1862" s="7">
        <v>-5.54710386580087</v>
      </c>
      <c r="J1862" s="7">
        <v>-3.73377268831168</v>
      </c>
      <c r="K1862" s="8"/>
      <c r="L1862" s="8"/>
    </row>
    <row r="1863" ht="13.5" customHeight="1">
      <c r="A1863" s="7" t="s">
        <v>355</v>
      </c>
      <c r="B1863" s="7">
        <v>3.5</v>
      </c>
      <c r="C1863" s="7" t="s">
        <v>361</v>
      </c>
      <c r="D1863" s="7" t="s">
        <v>357</v>
      </c>
      <c r="E1863" s="7">
        <v>-16.3126038961039</v>
      </c>
      <c r="F1863" s="7">
        <v>1.53217835497836</v>
      </c>
      <c r="G1863" s="7">
        <v>2.08078744588744</v>
      </c>
      <c r="H1863" s="7">
        <v>-9.28766623376624E-4</v>
      </c>
      <c r="I1863" s="7">
        <v>-5.55389865800866</v>
      </c>
      <c r="J1863" s="7">
        <v>-3.73831974025974</v>
      </c>
      <c r="K1863" s="8"/>
      <c r="L1863" s="8"/>
    </row>
    <row r="1864" ht="13.5" customHeight="1">
      <c r="A1864" s="7" t="s">
        <v>355</v>
      </c>
      <c r="B1864" s="7">
        <v>0.0</v>
      </c>
      <c r="C1864" s="7" t="s">
        <v>362</v>
      </c>
      <c r="D1864" s="7" t="s">
        <v>357</v>
      </c>
      <c r="E1864" s="7">
        <v>-16.3294602597403</v>
      </c>
      <c r="F1864" s="7">
        <v>1.53388887445888</v>
      </c>
      <c r="G1864" s="7">
        <v>2.08305186147186</v>
      </c>
      <c r="H1864" s="7">
        <v>-9.29821727272728E-4</v>
      </c>
      <c r="I1864" s="7">
        <v>-5.56069345021645</v>
      </c>
      <c r="J1864" s="7">
        <v>-3.74286679220779</v>
      </c>
      <c r="K1864" s="8"/>
      <c r="L1864" s="8"/>
    </row>
    <row r="1865" ht="13.5" customHeight="1">
      <c r="A1865" s="7" t="s">
        <v>355</v>
      </c>
      <c r="B1865" s="7">
        <v>1.75</v>
      </c>
      <c r="C1865" s="7" t="s">
        <v>362</v>
      </c>
      <c r="D1865" s="7" t="s">
        <v>357</v>
      </c>
      <c r="E1865" s="7">
        <v>-16.3463166233766</v>
      </c>
      <c r="F1865" s="7">
        <v>1.5355993939394</v>
      </c>
      <c r="G1865" s="7">
        <v>2.08531627705628</v>
      </c>
      <c r="H1865" s="7">
        <v>-9.30876831168831E-4</v>
      </c>
      <c r="I1865" s="7">
        <v>-5.56748824242425</v>
      </c>
      <c r="J1865" s="7">
        <v>-3.74741384415584</v>
      </c>
      <c r="K1865" s="8"/>
      <c r="L1865" s="8"/>
    </row>
    <row r="1866" ht="13.5" customHeight="1">
      <c r="A1866" s="7" t="s">
        <v>355</v>
      </c>
      <c r="B1866" s="7">
        <v>3.5</v>
      </c>
      <c r="C1866" s="7" t="s">
        <v>362</v>
      </c>
      <c r="D1866" s="7" t="s">
        <v>357</v>
      </c>
      <c r="E1866" s="7">
        <v>-16.363172987013</v>
      </c>
      <c r="F1866" s="7">
        <v>1.53730991341992</v>
      </c>
      <c r="G1866" s="7">
        <v>2.08758069264069</v>
      </c>
      <c r="H1866" s="7">
        <v>-9.31931935064935E-4</v>
      </c>
      <c r="I1866" s="7">
        <v>-5.57428303463204</v>
      </c>
      <c r="J1866" s="7">
        <v>-3.75196089610389</v>
      </c>
      <c r="K1866" s="8"/>
      <c r="L1866" s="8"/>
    </row>
    <row r="1867" ht="13.5" customHeight="1">
      <c r="A1867" s="7" t="s">
        <v>355</v>
      </c>
      <c r="B1867" s="7">
        <v>0.0</v>
      </c>
      <c r="C1867" s="7" t="s">
        <v>363</v>
      </c>
      <c r="D1867" s="7" t="s">
        <v>357</v>
      </c>
      <c r="E1867" s="7">
        <v>-16.3800293506494</v>
      </c>
      <c r="F1867" s="7">
        <v>1.53902043290044</v>
      </c>
      <c r="G1867" s="7">
        <v>2.08984510822511</v>
      </c>
      <c r="H1867" s="7">
        <v>-9.32987038961039E-4</v>
      </c>
      <c r="I1867" s="7">
        <v>-5.58107782683983</v>
      </c>
      <c r="J1867" s="7">
        <v>-3.75650794805194</v>
      </c>
      <c r="K1867" s="8"/>
      <c r="L1867" s="8"/>
    </row>
    <row r="1868" ht="13.5" customHeight="1">
      <c r="A1868" s="7" t="s">
        <v>355</v>
      </c>
      <c r="B1868" s="7">
        <v>1.75</v>
      </c>
      <c r="C1868" s="7" t="s">
        <v>363</v>
      </c>
      <c r="D1868" s="7" t="s">
        <v>357</v>
      </c>
      <c r="E1868" s="7">
        <v>-16.3968857142857</v>
      </c>
      <c r="F1868" s="7">
        <v>1.54073095238096</v>
      </c>
      <c r="G1868" s="7">
        <v>2.09210952380952</v>
      </c>
      <c r="H1868" s="7">
        <v>-9.34042142857143E-4</v>
      </c>
      <c r="I1868" s="7">
        <v>-5.58787261904762</v>
      </c>
      <c r="J1868" s="7">
        <v>-3.76105499999999</v>
      </c>
      <c r="K1868" s="8"/>
      <c r="L1868" s="8"/>
    </row>
    <row r="1869" ht="13.5" customHeight="1">
      <c r="A1869" s="7" t="s">
        <v>355</v>
      </c>
      <c r="B1869" s="7">
        <v>3.5</v>
      </c>
      <c r="C1869" s="7" t="s">
        <v>363</v>
      </c>
      <c r="D1869" s="7" t="s">
        <v>357</v>
      </c>
      <c r="E1869" s="7">
        <v>-16.4137420779221</v>
      </c>
      <c r="F1869" s="7">
        <v>1.54244147186148</v>
      </c>
      <c r="G1869" s="7">
        <v>2.09437393939394</v>
      </c>
      <c r="H1869" s="7">
        <v>-9.35097246753247E-4</v>
      </c>
      <c r="I1869" s="7">
        <v>-5.59466741125541</v>
      </c>
      <c r="J1869" s="7">
        <v>-3.76560205194805</v>
      </c>
      <c r="K1869" s="8"/>
      <c r="L1869" s="8"/>
    </row>
    <row r="1870" ht="13.5" customHeight="1">
      <c r="A1870" s="7" t="s">
        <v>355</v>
      </c>
      <c r="B1870" s="7">
        <v>0.0</v>
      </c>
      <c r="C1870" s="7" t="s">
        <v>356</v>
      </c>
      <c r="D1870" s="7" t="s">
        <v>357</v>
      </c>
      <c r="E1870" s="7">
        <v>-16.4305984415585</v>
      </c>
      <c r="F1870" s="7">
        <v>1.544151991342</v>
      </c>
      <c r="G1870" s="7">
        <v>2.09663835497835</v>
      </c>
      <c r="H1870" s="7">
        <v>-9.36152350649351E-4</v>
      </c>
      <c r="I1870" s="7">
        <v>-5.60146220346321</v>
      </c>
      <c r="J1870" s="7">
        <v>-3.7701491038961</v>
      </c>
      <c r="K1870" s="8"/>
      <c r="L1870" s="8"/>
    </row>
    <row r="1871" ht="13.5" customHeight="1">
      <c r="A1871" s="7" t="s">
        <v>355</v>
      </c>
      <c r="B1871" s="7">
        <v>1.75</v>
      </c>
      <c r="C1871" s="7" t="s">
        <v>356</v>
      </c>
      <c r="D1871" s="7" t="s">
        <v>357</v>
      </c>
      <c r="E1871" s="7">
        <v>-16.4474548051948</v>
      </c>
      <c r="F1871" s="7">
        <v>1.54586251082252</v>
      </c>
      <c r="G1871" s="7">
        <v>2.09890277056277</v>
      </c>
      <c r="H1871" s="7">
        <v>-9.37207454545455E-4</v>
      </c>
      <c r="I1871" s="7">
        <v>-5.608256995671</v>
      </c>
      <c r="J1871" s="7">
        <v>-3.77469615584415</v>
      </c>
      <c r="K1871" s="8"/>
      <c r="L1871" s="8"/>
    </row>
    <row r="1872" ht="13.5" customHeight="1">
      <c r="A1872" s="7" t="s">
        <v>355</v>
      </c>
      <c r="B1872" s="7">
        <v>3.5</v>
      </c>
      <c r="C1872" s="7" t="s">
        <v>356</v>
      </c>
      <c r="D1872" s="7" t="s">
        <v>357</v>
      </c>
      <c r="E1872" s="7">
        <v>-16.4643111688312</v>
      </c>
      <c r="F1872" s="7">
        <v>1.54757303030304</v>
      </c>
      <c r="G1872" s="7">
        <v>2.10116718614718</v>
      </c>
      <c r="H1872" s="7">
        <v>-9.38262558441559E-4</v>
      </c>
      <c r="I1872" s="7">
        <v>-5.61505178787879</v>
      </c>
      <c r="J1872" s="7">
        <v>-3.7792432077922</v>
      </c>
      <c r="K1872" s="8"/>
      <c r="L1872" s="8"/>
    </row>
    <row r="1873" ht="13.5" customHeight="1">
      <c r="A1873" s="7" t="s">
        <v>355</v>
      </c>
      <c r="B1873" s="7">
        <v>0.0</v>
      </c>
      <c r="C1873" s="7" t="s">
        <v>358</v>
      </c>
      <c r="D1873" s="7" t="s">
        <v>357</v>
      </c>
      <c r="E1873" s="7">
        <v>-16.4811675324676</v>
      </c>
      <c r="F1873" s="7">
        <v>1.54928354978356</v>
      </c>
      <c r="G1873" s="7">
        <v>2.1034316017316</v>
      </c>
      <c r="H1873" s="7">
        <v>-9.39317662337663E-4</v>
      </c>
      <c r="I1873" s="7">
        <v>-5.62184658008658</v>
      </c>
      <c r="J1873" s="7">
        <v>-3.78379025974025</v>
      </c>
      <c r="K1873" s="8"/>
      <c r="L1873" s="8"/>
    </row>
    <row r="1874" ht="13.5" customHeight="1">
      <c r="A1874" s="7" t="s">
        <v>355</v>
      </c>
      <c r="B1874" s="7">
        <v>1.75</v>
      </c>
      <c r="C1874" s="7" t="s">
        <v>358</v>
      </c>
      <c r="D1874" s="7" t="s">
        <v>357</v>
      </c>
      <c r="E1874" s="7">
        <v>-16.4980238961039</v>
      </c>
      <c r="F1874" s="7">
        <v>1.55099406926407</v>
      </c>
      <c r="G1874" s="7">
        <v>2.10569601731602</v>
      </c>
      <c r="H1874" s="7">
        <v>-9.40372766233767E-4</v>
      </c>
      <c r="I1874" s="7">
        <v>-5.62864137229438</v>
      </c>
      <c r="J1874" s="7">
        <v>-3.78833731168831</v>
      </c>
      <c r="K1874" s="8"/>
      <c r="L1874" s="8"/>
    </row>
    <row r="1875" ht="13.5" customHeight="1">
      <c r="A1875" s="7" t="s">
        <v>355</v>
      </c>
      <c r="B1875" s="7">
        <v>3.5</v>
      </c>
      <c r="C1875" s="7" t="s">
        <v>358</v>
      </c>
      <c r="D1875" s="7" t="s">
        <v>357</v>
      </c>
      <c r="E1875" s="7">
        <v>-16.5148802597403</v>
      </c>
      <c r="F1875" s="7">
        <v>1.55270458874459</v>
      </c>
      <c r="G1875" s="7">
        <v>2.10796043290043</v>
      </c>
      <c r="H1875" s="7">
        <v>-9.4142787012987E-4</v>
      </c>
      <c r="I1875" s="7">
        <v>-5.63543616450217</v>
      </c>
      <c r="J1875" s="7">
        <v>-3.79288436363636</v>
      </c>
      <c r="K1875" s="8"/>
      <c r="L1875" s="8"/>
    </row>
    <row r="1876" ht="13.5" customHeight="1">
      <c r="A1876" s="7" t="s">
        <v>355</v>
      </c>
      <c r="B1876" s="7">
        <v>0.0</v>
      </c>
      <c r="C1876" s="7" t="s">
        <v>359</v>
      </c>
      <c r="D1876" s="7" t="s">
        <v>357</v>
      </c>
      <c r="E1876" s="7">
        <v>-16.5317366233766</v>
      </c>
      <c r="F1876" s="7">
        <v>1.55441510822511</v>
      </c>
      <c r="G1876" s="7">
        <v>2.11022484848485</v>
      </c>
      <c r="H1876" s="7">
        <v>-9.42482974025974E-4</v>
      </c>
      <c r="I1876" s="7">
        <v>-5.64223095670996</v>
      </c>
      <c r="J1876" s="7">
        <v>-3.79743141558441</v>
      </c>
      <c r="K1876" s="8"/>
      <c r="L1876" s="8"/>
    </row>
    <row r="1877" ht="13.5" customHeight="1">
      <c r="A1877" s="7" t="s">
        <v>355</v>
      </c>
      <c r="B1877" s="7">
        <v>1.75</v>
      </c>
      <c r="C1877" s="7" t="s">
        <v>359</v>
      </c>
      <c r="D1877" s="7" t="s">
        <v>357</v>
      </c>
      <c r="E1877" s="7">
        <v>-16.548592987013</v>
      </c>
      <c r="F1877" s="7">
        <v>1.55612562770563</v>
      </c>
      <c r="G1877" s="7">
        <v>2.11248926406926</v>
      </c>
      <c r="H1877" s="7">
        <v>-9.43538077922078E-4</v>
      </c>
      <c r="I1877" s="7">
        <v>-5.64902574891775</v>
      </c>
      <c r="J1877" s="7">
        <v>-3.80197846753246</v>
      </c>
      <c r="K1877" s="8"/>
      <c r="L1877" s="8"/>
    </row>
    <row r="1878" ht="13.5" customHeight="1">
      <c r="A1878" s="7" t="s">
        <v>355</v>
      </c>
      <c r="B1878" s="7">
        <v>3.5</v>
      </c>
      <c r="C1878" s="7" t="s">
        <v>359</v>
      </c>
      <c r="D1878" s="7" t="s">
        <v>357</v>
      </c>
      <c r="E1878" s="7">
        <v>-16.5654493506494</v>
      </c>
      <c r="F1878" s="7">
        <v>1.55783614718615</v>
      </c>
      <c r="G1878" s="7">
        <v>2.11475367965368</v>
      </c>
      <c r="H1878" s="7">
        <v>-9.44593181818182E-4</v>
      </c>
      <c r="I1878" s="7">
        <v>-5.65582054112554</v>
      </c>
      <c r="J1878" s="7">
        <v>-3.80652551948051</v>
      </c>
      <c r="K1878" s="8"/>
      <c r="L1878" s="8"/>
    </row>
    <row r="1879" ht="13.5" customHeight="1">
      <c r="A1879" s="7" t="s">
        <v>355</v>
      </c>
      <c r="B1879" s="7">
        <v>0.0</v>
      </c>
      <c r="C1879" s="7" t="s">
        <v>360</v>
      </c>
      <c r="D1879" s="7" t="s">
        <v>357</v>
      </c>
      <c r="E1879" s="7">
        <v>-16.5823057142857</v>
      </c>
      <c r="F1879" s="7">
        <v>1.55954666666667</v>
      </c>
      <c r="G1879" s="7">
        <v>2.11701809523809</v>
      </c>
      <c r="H1879" s="7">
        <v>-9.45648285714286E-4</v>
      </c>
      <c r="I1879" s="7">
        <v>-5.66261533333334</v>
      </c>
      <c r="J1879" s="7">
        <v>-3.81107257142857</v>
      </c>
      <c r="K1879" s="8"/>
      <c r="L1879" s="8"/>
    </row>
    <row r="1880" ht="13.5" customHeight="1">
      <c r="A1880" s="7" t="s">
        <v>355</v>
      </c>
      <c r="B1880" s="7">
        <v>1.75</v>
      </c>
      <c r="C1880" s="7" t="s">
        <v>360</v>
      </c>
      <c r="D1880" s="7" t="s">
        <v>357</v>
      </c>
      <c r="E1880" s="7">
        <v>-16.5991620779221</v>
      </c>
      <c r="F1880" s="7">
        <v>1.56125718614719</v>
      </c>
      <c r="G1880" s="7">
        <v>2.11928251082251</v>
      </c>
      <c r="H1880" s="7">
        <v>-9.4670338961039E-4</v>
      </c>
      <c r="I1880" s="7">
        <v>-5.66941012554113</v>
      </c>
      <c r="J1880" s="7">
        <v>-3.81561962337662</v>
      </c>
      <c r="K1880" s="8"/>
      <c r="L1880" s="8"/>
    </row>
    <row r="1881" ht="13.5" customHeight="1">
      <c r="A1881" s="7" t="s">
        <v>355</v>
      </c>
      <c r="B1881" s="7">
        <v>3.5</v>
      </c>
      <c r="C1881" s="7" t="s">
        <v>360</v>
      </c>
      <c r="D1881" s="7" t="s">
        <v>357</v>
      </c>
      <c r="E1881" s="7">
        <v>-16.6160184415585</v>
      </c>
      <c r="F1881" s="7">
        <v>1.56296770562771</v>
      </c>
      <c r="G1881" s="7">
        <v>2.12154692640692</v>
      </c>
      <c r="H1881" s="7">
        <v>-9.47758493506494E-4</v>
      </c>
      <c r="I1881" s="7">
        <v>-5.67620491774892</v>
      </c>
      <c r="J1881" s="7">
        <v>-3.82016667532467</v>
      </c>
      <c r="K1881" s="8"/>
      <c r="L1881" s="8"/>
    </row>
    <row r="1882" ht="13.5" customHeight="1">
      <c r="A1882" s="7" t="s">
        <v>355</v>
      </c>
      <c r="B1882" s="7">
        <v>0.0</v>
      </c>
      <c r="C1882" s="7" t="s">
        <v>361</v>
      </c>
      <c r="D1882" s="7" t="s">
        <v>357</v>
      </c>
      <c r="E1882" s="7">
        <v>-16.6328748051948</v>
      </c>
      <c r="F1882" s="7">
        <v>1.56467822510823</v>
      </c>
      <c r="G1882" s="7">
        <v>2.12381134199134</v>
      </c>
      <c r="H1882" s="7">
        <v>-9.48813597402598E-4</v>
      </c>
      <c r="I1882" s="7">
        <v>-5.68299970995671</v>
      </c>
      <c r="J1882" s="7">
        <v>-3.82471372727272</v>
      </c>
      <c r="K1882" s="8"/>
      <c r="L1882" s="8"/>
    </row>
    <row r="1883" ht="13.5" customHeight="1">
      <c r="A1883" s="7" t="s">
        <v>355</v>
      </c>
      <c r="B1883" s="7">
        <v>1.75</v>
      </c>
      <c r="C1883" s="7" t="s">
        <v>361</v>
      </c>
      <c r="D1883" s="7" t="s">
        <v>357</v>
      </c>
      <c r="E1883" s="7">
        <v>-16.6497311688312</v>
      </c>
      <c r="F1883" s="7">
        <v>1.56638874458875</v>
      </c>
      <c r="G1883" s="7">
        <v>2.12607575757576</v>
      </c>
      <c r="H1883" s="7">
        <v>-9.49868701298702E-4</v>
      </c>
      <c r="I1883" s="7">
        <v>-5.6897945021645</v>
      </c>
      <c r="J1883" s="7">
        <v>-3.82926077922077</v>
      </c>
      <c r="K1883" s="8"/>
      <c r="L1883" s="8"/>
    </row>
    <row r="1884" ht="13.5" customHeight="1">
      <c r="A1884" s="7" t="s">
        <v>355</v>
      </c>
      <c r="B1884" s="7">
        <v>3.5</v>
      </c>
      <c r="C1884" s="7" t="s">
        <v>361</v>
      </c>
      <c r="D1884" s="7" t="s">
        <v>357</v>
      </c>
      <c r="E1884" s="7">
        <v>-16.6665875324676</v>
      </c>
      <c r="F1884" s="7">
        <v>1.56809926406927</v>
      </c>
      <c r="G1884" s="7">
        <v>2.12834017316017</v>
      </c>
      <c r="H1884" s="7">
        <v>-9.50923805194805E-4</v>
      </c>
      <c r="I1884" s="7">
        <v>-5.6965892943723</v>
      </c>
      <c r="J1884" s="7">
        <v>-3.83380783116883</v>
      </c>
      <c r="K1884" s="8"/>
      <c r="L1884" s="8"/>
    </row>
    <row r="1885" ht="13.5" customHeight="1">
      <c r="A1885" s="7" t="s">
        <v>355</v>
      </c>
      <c r="B1885" s="7">
        <v>0.0</v>
      </c>
      <c r="C1885" s="7" t="s">
        <v>362</v>
      </c>
      <c r="D1885" s="7" t="s">
        <v>357</v>
      </c>
      <c r="E1885" s="7">
        <v>-16.6834438961039</v>
      </c>
      <c r="F1885" s="7">
        <v>1.56980978354979</v>
      </c>
      <c r="G1885" s="7">
        <v>2.13060458874459</v>
      </c>
      <c r="H1885" s="7">
        <v>-9.51978909090909E-4</v>
      </c>
      <c r="I1885" s="7">
        <v>-5.70338408658009</v>
      </c>
      <c r="J1885" s="7">
        <v>-3.83835488311688</v>
      </c>
      <c r="K1885" s="8"/>
      <c r="L1885" s="8"/>
    </row>
    <row r="1886" ht="13.5" customHeight="1">
      <c r="A1886" s="7" t="s">
        <v>355</v>
      </c>
      <c r="B1886" s="7">
        <v>1.75</v>
      </c>
      <c r="C1886" s="7" t="s">
        <v>362</v>
      </c>
      <c r="D1886" s="7" t="s">
        <v>357</v>
      </c>
      <c r="E1886" s="7">
        <v>-16.7003002597403</v>
      </c>
      <c r="F1886" s="7">
        <v>1.57152030303031</v>
      </c>
      <c r="G1886" s="7">
        <v>2.132869004329</v>
      </c>
      <c r="H1886" s="7">
        <v>-9.53034012987013E-4</v>
      </c>
      <c r="I1886" s="7">
        <v>-5.71017887878788</v>
      </c>
      <c r="J1886" s="7">
        <v>-3.84290193506493</v>
      </c>
      <c r="K1886" s="8"/>
      <c r="L1886" s="8"/>
    </row>
    <row r="1887" ht="13.5" customHeight="1">
      <c r="A1887" s="7" t="s">
        <v>355</v>
      </c>
      <c r="B1887" s="7">
        <v>3.5</v>
      </c>
      <c r="C1887" s="7" t="s">
        <v>362</v>
      </c>
      <c r="D1887" s="7" t="s">
        <v>357</v>
      </c>
      <c r="E1887" s="7">
        <v>-16.7171566233766</v>
      </c>
      <c r="F1887" s="7">
        <v>1.57323082251083</v>
      </c>
      <c r="G1887" s="7">
        <v>2.13513341991342</v>
      </c>
      <c r="H1887" s="7">
        <v>-9.54089116883117E-4</v>
      </c>
      <c r="I1887" s="7">
        <v>-5.71697367099567</v>
      </c>
      <c r="J1887" s="7">
        <v>-3.84744898701298</v>
      </c>
      <c r="K1887" s="8"/>
      <c r="L1887" s="8"/>
    </row>
    <row r="1888" ht="13.5" customHeight="1">
      <c r="A1888" s="7" t="s">
        <v>355</v>
      </c>
      <c r="B1888" s="7">
        <v>0.0</v>
      </c>
      <c r="C1888" s="7" t="s">
        <v>363</v>
      </c>
      <c r="D1888" s="7" t="s">
        <v>357</v>
      </c>
      <c r="E1888" s="7">
        <v>-16.734012987013</v>
      </c>
      <c r="F1888" s="7">
        <v>1.57494134199135</v>
      </c>
      <c r="G1888" s="7">
        <v>2.13739783549783</v>
      </c>
      <c r="H1888" s="7">
        <v>-9.55144220779221E-4</v>
      </c>
      <c r="I1888" s="7">
        <v>-5.72376846320347</v>
      </c>
      <c r="J1888" s="7">
        <v>-3.85199603896103</v>
      </c>
      <c r="K1888" s="8"/>
      <c r="L1888" s="8"/>
    </row>
    <row r="1889" ht="13.5" customHeight="1">
      <c r="A1889" s="7" t="s">
        <v>355</v>
      </c>
      <c r="B1889" s="7">
        <v>1.75</v>
      </c>
      <c r="C1889" s="7" t="s">
        <v>363</v>
      </c>
      <c r="D1889" s="7" t="s">
        <v>357</v>
      </c>
      <c r="E1889" s="7">
        <v>-16.7508693506494</v>
      </c>
      <c r="F1889" s="7">
        <v>1.57665186147187</v>
      </c>
      <c r="G1889" s="7">
        <v>2.13966225108225</v>
      </c>
      <c r="H1889" s="7">
        <v>-9.56199324675325E-4</v>
      </c>
      <c r="I1889" s="7">
        <v>-5.73056325541126</v>
      </c>
      <c r="J1889" s="7">
        <v>-3.85654309090909</v>
      </c>
      <c r="K1889" s="8"/>
      <c r="L1889" s="8"/>
    </row>
    <row r="1890" ht="13.5" customHeight="1">
      <c r="A1890" s="7" t="s">
        <v>355</v>
      </c>
      <c r="B1890" s="7">
        <v>3.5</v>
      </c>
      <c r="C1890" s="7" t="s">
        <v>363</v>
      </c>
      <c r="D1890" s="7" t="s">
        <v>357</v>
      </c>
      <c r="E1890" s="7">
        <v>-16.7677257142857</v>
      </c>
      <c r="F1890" s="7">
        <v>1.57836238095239</v>
      </c>
      <c r="G1890" s="7">
        <v>2.14192666666666</v>
      </c>
      <c r="H1890" s="7">
        <v>-9.57254428571429E-4</v>
      </c>
      <c r="I1890" s="7">
        <v>-5.73735804761905</v>
      </c>
      <c r="J1890" s="7">
        <v>-3.86109014285714</v>
      </c>
      <c r="K1890" s="8"/>
      <c r="L1890" s="8"/>
    </row>
    <row r="1891" ht="13.5" customHeight="1">
      <c r="A1891" s="7" t="s">
        <v>355</v>
      </c>
      <c r="B1891" s="7">
        <v>0.0</v>
      </c>
      <c r="C1891" s="7" t="s">
        <v>356</v>
      </c>
      <c r="D1891" s="7" t="s">
        <v>357</v>
      </c>
      <c r="E1891" s="7">
        <v>-16.7845820779221</v>
      </c>
      <c r="F1891" s="7">
        <v>1.58007290043291</v>
      </c>
      <c r="G1891" s="7">
        <v>2.14419108225108</v>
      </c>
      <c r="H1891" s="7">
        <v>-9.58309532467533E-4</v>
      </c>
      <c r="I1891" s="7">
        <v>-5.74415283982684</v>
      </c>
      <c r="J1891" s="7">
        <v>-3.86563719480519</v>
      </c>
      <c r="K1891" s="8"/>
      <c r="L1891" s="8"/>
    </row>
    <row r="1892" ht="13.5" customHeight="1">
      <c r="A1892" s="7" t="s">
        <v>355</v>
      </c>
      <c r="B1892" s="7">
        <v>1.75</v>
      </c>
      <c r="C1892" s="7" t="s">
        <v>356</v>
      </c>
      <c r="D1892" s="7" t="s">
        <v>357</v>
      </c>
      <c r="E1892" s="7">
        <v>-16.8014384415585</v>
      </c>
      <c r="F1892" s="7">
        <v>1.58178341991343</v>
      </c>
      <c r="G1892" s="7">
        <v>2.1464554978355</v>
      </c>
      <c r="H1892" s="7">
        <v>-9.59364636363637E-4</v>
      </c>
      <c r="I1892" s="7">
        <v>-5.75094763203463</v>
      </c>
      <c r="J1892" s="7">
        <v>-3.87018424675324</v>
      </c>
      <c r="K1892" s="8"/>
      <c r="L1892" s="8"/>
    </row>
    <row r="1893" ht="13.5" customHeight="1">
      <c r="A1893" s="7" t="s">
        <v>355</v>
      </c>
      <c r="B1893" s="7">
        <v>3.5</v>
      </c>
      <c r="C1893" s="7" t="s">
        <v>356</v>
      </c>
      <c r="D1893" s="7" t="s">
        <v>357</v>
      </c>
      <c r="E1893" s="7">
        <v>-16.8182948051948</v>
      </c>
      <c r="F1893" s="7">
        <v>1.58349393939394</v>
      </c>
      <c r="G1893" s="7">
        <v>2.14871991341991</v>
      </c>
      <c r="H1893" s="7">
        <v>-9.60419740259741E-4</v>
      </c>
      <c r="I1893" s="7">
        <v>-5.75774242424243</v>
      </c>
      <c r="J1893" s="7">
        <v>-3.87473129870129</v>
      </c>
      <c r="K1893" s="8"/>
      <c r="L1893" s="8"/>
    </row>
    <row r="1894" ht="13.5" customHeight="1">
      <c r="A1894" s="7" t="s">
        <v>355</v>
      </c>
      <c r="B1894" s="7">
        <v>0.0</v>
      </c>
      <c r="C1894" s="7" t="s">
        <v>358</v>
      </c>
      <c r="D1894" s="7" t="s">
        <v>357</v>
      </c>
      <c r="E1894" s="7">
        <v>-16.8351511688312</v>
      </c>
      <c r="F1894" s="7">
        <v>1.58520445887446</v>
      </c>
      <c r="G1894" s="7">
        <v>2.15098432900433</v>
      </c>
      <c r="H1894" s="7">
        <v>-9.61474844155844E-4</v>
      </c>
      <c r="I1894" s="7">
        <v>-5.76453721645022</v>
      </c>
      <c r="J1894" s="7">
        <v>-3.87927835064935</v>
      </c>
      <c r="K1894" s="8"/>
      <c r="L1894" s="8"/>
    </row>
    <row r="1895" ht="13.5" customHeight="1">
      <c r="A1895" s="7" t="s">
        <v>355</v>
      </c>
      <c r="B1895" s="7">
        <v>1.75</v>
      </c>
      <c r="C1895" s="7" t="s">
        <v>358</v>
      </c>
      <c r="D1895" s="7" t="s">
        <v>357</v>
      </c>
      <c r="E1895" s="7">
        <v>-16.8520075324675</v>
      </c>
      <c r="F1895" s="7">
        <v>1.58691497835498</v>
      </c>
      <c r="G1895" s="7">
        <v>2.15324874458874</v>
      </c>
      <c r="H1895" s="7">
        <v>-9.62529948051948E-4</v>
      </c>
      <c r="I1895" s="7">
        <v>-5.77133200865801</v>
      </c>
      <c r="J1895" s="7">
        <v>-3.8838254025974</v>
      </c>
      <c r="K1895" s="8"/>
      <c r="L1895" s="8"/>
    </row>
    <row r="1896" ht="13.5" customHeight="1">
      <c r="A1896" s="7" t="s">
        <v>355</v>
      </c>
      <c r="B1896" s="7">
        <v>3.5</v>
      </c>
      <c r="C1896" s="7" t="s">
        <v>358</v>
      </c>
      <c r="D1896" s="7" t="s">
        <v>357</v>
      </c>
      <c r="E1896" s="7">
        <v>-16.8688638961039</v>
      </c>
      <c r="F1896" s="7">
        <v>1.5886254978355</v>
      </c>
      <c r="G1896" s="7">
        <v>2.15551316017316</v>
      </c>
      <c r="H1896" s="7">
        <v>-9.63585051948052E-4</v>
      </c>
      <c r="I1896" s="7">
        <v>-5.7781268008658</v>
      </c>
      <c r="J1896" s="7">
        <v>-3.88837245454545</v>
      </c>
      <c r="K1896" s="8"/>
      <c r="L1896" s="8"/>
    </row>
    <row r="1897" ht="13.5" customHeight="1">
      <c r="A1897" s="7" t="s">
        <v>355</v>
      </c>
      <c r="B1897" s="7">
        <v>0.0</v>
      </c>
      <c r="C1897" s="7" t="s">
        <v>359</v>
      </c>
      <c r="D1897" s="7" t="s">
        <v>357</v>
      </c>
      <c r="E1897" s="7">
        <v>-16.8857202597403</v>
      </c>
      <c r="F1897" s="7">
        <v>1.59033601731602</v>
      </c>
      <c r="G1897" s="7">
        <v>2.15777757575757</v>
      </c>
      <c r="H1897" s="7">
        <v>-9.64640155844156E-4</v>
      </c>
      <c r="I1897" s="7">
        <v>-5.7849215930736</v>
      </c>
      <c r="J1897" s="7">
        <v>-3.8929195064935</v>
      </c>
      <c r="K1897" s="8"/>
      <c r="L1897" s="8"/>
    </row>
    <row r="1898" ht="13.5" customHeight="1">
      <c r="A1898" s="7" t="s">
        <v>355</v>
      </c>
      <c r="B1898" s="7">
        <v>1.75</v>
      </c>
      <c r="C1898" s="7" t="s">
        <v>359</v>
      </c>
      <c r="D1898" s="7" t="s">
        <v>357</v>
      </c>
      <c r="E1898" s="7">
        <v>-16.9025766233766</v>
      </c>
      <c r="F1898" s="7">
        <v>1.59204653679654</v>
      </c>
      <c r="G1898" s="7">
        <v>2.16004199134199</v>
      </c>
      <c r="H1898" s="7">
        <v>-9.6569525974026E-4</v>
      </c>
      <c r="I1898" s="7">
        <v>-5.79171638528139</v>
      </c>
      <c r="J1898" s="7">
        <v>-3.89746655844155</v>
      </c>
      <c r="K1898" s="8"/>
      <c r="L1898" s="8"/>
    </row>
    <row r="1899" ht="13.5" customHeight="1">
      <c r="A1899" s="7" t="s">
        <v>355</v>
      </c>
      <c r="B1899" s="7">
        <v>3.5</v>
      </c>
      <c r="C1899" s="7" t="s">
        <v>359</v>
      </c>
      <c r="D1899" s="7" t="s">
        <v>357</v>
      </c>
      <c r="E1899" s="7">
        <v>-16.919432987013</v>
      </c>
      <c r="F1899" s="7">
        <v>1.59375705627706</v>
      </c>
      <c r="G1899" s="7">
        <v>2.16230640692641</v>
      </c>
      <c r="H1899" s="7">
        <v>-9.66750363636364E-4</v>
      </c>
      <c r="I1899" s="7">
        <v>-5.79851117748918</v>
      </c>
      <c r="J1899" s="7">
        <v>-3.90201361038961</v>
      </c>
      <c r="K1899" s="8"/>
      <c r="L1899" s="8"/>
    </row>
    <row r="1900" ht="13.5" customHeight="1">
      <c r="A1900" s="7" t="s">
        <v>355</v>
      </c>
      <c r="B1900" s="7">
        <v>0.0</v>
      </c>
      <c r="C1900" s="7" t="s">
        <v>360</v>
      </c>
      <c r="D1900" s="7" t="s">
        <v>357</v>
      </c>
      <c r="E1900" s="7">
        <v>-16.9362893506494</v>
      </c>
      <c r="F1900" s="7">
        <v>1.59546757575758</v>
      </c>
      <c r="G1900" s="7">
        <v>2.16457082251082</v>
      </c>
      <c r="H1900" s="7">
        <v>-9.67805467532468E-4</v>
      </c>
      <c r="I1900" s="7">
        <v>-5.80530596969697</v>
      </c>
      <c r="J1900" s="7">
        <v>-3.90656066233766</v>
      </c>
      <c r="K1900" s="8"/>
      <c r="L1900" s="8"/>
    </row>
    <row r="1901" ht="13.5" customHeight="1">
      <c r="A1901" s="7" t="s">
        <v>355</v>
      </c>
      <c r="B1901" s="7">
        <v>1.75</v>
      </c>
      <c r="C1901" s="7" t="s">
        <v>360</v>
      </c>
      <c r="D1901" s="7" t="s">
        <v>357</v>
      </c>
      <c r="E1901" s="7">
        <v>-16.9531457142857</v>
      </c>
      <c r="F1901" s="7">
        <v>1.5971780952381</v>
      </c>
      <c r="G1901" s="7">
        <v>2.16683523809524</v>
      </c>
      <c r="H1901" s="7">
        <v>-9.68860571428572E-4</v>
      </c>
      <c r="I1901" s="7">
        <v>-5.81210076190476</v>
      </c>
      <c r="J1901" s="7">
        <v>-3.91110771428571</v>
      </c>
      <c r="K1901" s="8"/>
      <c r="L1901" s="8"/>
    </row>
    <row r="1902" ht="13.5" customHeight="1">
      <c r="A1902" s="7" t="s">
        <v>355</v>
      </c>
      <c r="B1902" s="7">
        <v>3.5</v>
      </c>
      <c r="C1902" s="7" t="s">
        <v>360</v>
      </c>
      <c r="D1902" s="7" t="s">
        <v>357</v>
      </c>
      <c r="E1902" s="7">
        <v>-16.9700020779221</v>
      </c>
      <c r="F1902" s="7">
        <v>1.59888861471862</v>
      </c>
      <c r="G1902" s="7">
        <v>2.16909965367965</v>
      </c>
      <c r="H1902" s="7">
        <v>-9.69915675324676E-4</v>
      </c>
      <c r="I1902" s="7">
        <v>-5.81889555411256</v>
      </c>
      <c r="J1902" s="7">
        <v>-3.91565476623376</v>
      </c>
      <c r="K1902" s="8"/>
      <c r="L1902" s="8"/>
    </row>
    <row r="1903" ht="13.5" customHeight="1">
      <c r="A1903" s="7" t="s">
        <v>355</v>
      </c>
      <c r="B1903" s="7">
        <v>0.0</v>
      </c>
      <c r="C1903" s="7" t="s">
        <v>361</v>
      </c>
      <c r="D1903" s="7" t="s">
        <v>357</v>
      </c>
      <c r="E1903" s="7">
        <v>-16.9868584415585</v>
      </c>
      <c r="F1903" s="7">
        <v>1.60059913419914</v>
      </c>
      <c r="G1903" s="7">
        <v>2.17136406926407</v>
      </c>
      <c r="H1903" s="7">
        <v>-9.7097077922078E-4</v>
      </c>
      <c r="I1903" s="7">
        <v>-5.82569034632035</v>
      </c>
      <c r="J1903" s="7">
        <v>-3.92020181818181</v>
      </c>
      <c r="K1903" s="8"/>
      <c r="L1903" s="8"/>
    </row>
    <row r="1904" ht="13.5" customHeight="1">
      <c r="A1904" s="7" t="s">
        <v>355</v>
      </c>
      <c r="B1904" s="7">
        <v>1.75</v>
      </c>
      <c r="C1904" s="7" t="s">
        <v>361</v>
      </c>
      <c r="D1904" s="7" t="s">
        <v>357</v>
      </c>
      <c r="E1904" s="7">
        <v>-17.0037148051948</v>
      </c>
      <c r="F1904" s="7">
        <v>1.60230965367966</v>
      </c>
      <c r="G1904" s="7">
        <v>2.17362848484848</v>
      </c>
      <c r="H1904" s="7">
        <v>-9.72025883116883E-4</v>
      </c>
      <c r="I1904" s="7">
        <v>-5.83248513852814</v>
      </c>
      <c r="J1904" s="7">
        <v>-3.92474887012986</v>
      </c>
      <c r="K1904" s="8"/>
      <c r="L1904" s="8"/>
    </row>
    <row r="1905" ht="13.5" customHeight="1">
      <c r="A1905" s="7" t="s">
        <v>355</v>
      </c>
      <c r="B1905" s="7">
        <v>3.5</v>
      </c>
      <c r="C1905" s="7" t="s">
        <v>361</v>
      </c>
      <c r="D1905" s="7" t="s">
        <v>357</v>
      </c>
      <c r="E1905" s="7">
        <v>-17.0205711688312</v>
      </c>
      <c r="F1905" s="7">
        <v>1.60402017316018</v>
      </c>
      <c r="G1905" s="7">
        <v>2.1758929004329</v>
      </c>
      <c r="H1905" s="7">
        <v>-9.73080987012987E-4</v>
      </c>
      <c r="I1905" s="7">
        <v>-5.83927993073593</v>
      </c>
      <c r="J1905" s="7">
        <v>-3.92929592207792</v>
      </c>
      <c r="K1905" s="8"/>
      <c r="L1905" s="8"/>
    </row>
    <row r="1906" ht="13.5" customHeight="1">
      <c r="A1906" s="7" t="s">
        <v>355</v>
      </c>
      <c r="B1906" s="7">
        <v>0.0</v>
      </c>
      <c r="C1906" s="7" t="s">
        <v>362</v>
      </c>
      <c r="D1906" s="7" t="s">
        <v>357</v>
      </c>
      <c r="E1906" s="7">
        <v>-17.0374275324676</v>
      </c>
      <c r="F1906" s="7">
        <v>1.6057306926407</v>
      </c>
      <c r="G1906" s="7">
        <v>2.17815731601731</v>
      </c>
      <c r="H1906" s="7">
        <v>-9.74136090909091E-4</v>
      </c>
      <c r="I1906" s="7">
        <v>-5.84607472294373</v>
      </c>
      <c r="J1906" s="7">
        <v>-3.93384297402597</v>
      </c>
      <c r="K1906" s="8"/>
      <c r="L1906" s="8"/>
    </row>
    <row r="1907" ht="13.5" customHeight="1">
      <c r="A1907" s="7" t="s">
        <v>355</v>
      </c>
      <c r="B1907" s="7">
        <v>1.75</v>
      </c>
      <c r="C1907" s="7" t="s">
        <v>362</v>
      </c>
      <c r="D1907" s="7" t="s">
        <v>357</v>
      </c>
      <c r="E1907" s="7">
        <v>-17.0542838961039</v>
      </c>
      <c r="F1907" s="7">
        <v>1.60744121212122</v>
      </c>
      <c r="G1907" s="7">
        <v>2.18042173160173</v>
      </c>
      <c r="H1907" s="7">
        <v>-9.75191194805195E-4</v>
      </c>
      <c r="I1907" s="7">
        <v>-5.85286951515152</v>
      </c>
      <c r="J1907" s="7">
        <v>-3.93839002597402</v>
      </c>
      <c r="K1907" s="8"/>
      <c r="L1907" s="8"/>
    </row>
    <row r="1908" ht="13.5" customHeight="1">
      <c r="A1908" s="7" t="s">
        <v>355</v>
      </c>
      <c r="B1908" s="7">
        <v>3.5</v>
      </c>
      <c r="C1908" s="7" t="s">
        <v>362</v>
      </c>
      <c r="D1908" s="7" t="s">
        <v>357</v>
      </c>
      <c r="E1908" s="7">
        <v>-17.0711402597403</v>
      </c>
      <c r="F1908" s="7">
        <v>1.60915173160174</v>
      </c>
      <c r="G1908" s="7">
        <v>2.18268614718615</v>
      </c>
      <c r="H1908" s="7">
        <v>-9.76246298701299E-4</v>
      </c>
      <c r="I1908" s="7">
        <v>-5.85966430735931</v>
      </c>
      <c r="J1908" s="7">
        <v>-3.94293707792207</v>
      </c>
      <c r="K1908" s="8"/>
      <c r="L1908" s="8"/>
    </row>
    <row r="1909" ht="13.5" customHeight="1">
      <c r="A1909" s="7" t="s">
        <v>355</v>
      </c>
      <c r="B1909" s="7">
        <v>0.0</v>
      </c>
      <c r="C1909" s="7" t="s">
        <v>363</v>
      </c>
      <c r="D1909" s="7" t="s">
        <v>357</v>
      </c>
      <c r="E1909" s="7">
        <v>-17.0879966233766</v>
      </c>
      <c r="F1909" s="7">
        <v>1.61086225108226</v>
      </c>
      <c r="G1909" s="7">
        <v>2.18495056277056</v>
      </c>
      <c r="H1909" s="7">
        <v>-9.77301402597403E-4</v>
      </c>
      <c r="I1909" s="7">
        <v>-5.8664590995671</v>
      </c>
      <c r="J1909" s="7">
        <v>-3.94748412987012</v>
      </c>
      <c r="K1909" s="8"/>
      <c r="L1909" s="8"/>
    </row>
    <row r="1910" ht="13.5" customHeight="1">
      <c r="A1910" s="7" t="s">
        <v>355</v>
      </c>
      <c r="B1910" s="7">
        <v>1.75</v>
      </c>
      <c r="C1910" s="7" t="s">
        <v>363</v>
      </c>
      <c r="D1910" s="7" t="s">
        <v>357</v>
      </c>
      <c r="E1910" s="7">
        <v>-17.104852987013</v>
      </c>
      <c r="F1910" s="7">
        <v>1.61257277056278</v>
      </c>
      <c r="G1910" s="7">
        <v>2.18721497835498</v>
      </c>
      <c r="H1910" s="7">
        <v>-9.78356506493507E-4</v>
      </c>
      <c r="I1910" s="7">
        <v>-5.87325389177489</v>
      </c>
      <c r="J1910" s="7">
        <v>-3.95203118181818</v>
      </c>
      <c r="K1910" s="8"/>
      <c r="L1910" s="8"/>
    </row>
    <row r="1911" ht="13.5" customHeight="1">
      <c r="A1911" s="7" t="s">
        <v>355</v>
      </c>
      <c r="B1911" s="7">
        <v>3.5</v>
      </c>
      <c r="C1911" s="7" t="s">
        <v>363</v>
      </c>
      <c r="D1911" s="7" t="s">
        <v>357</v>
      </c>
      <c r="E1911" s="7">
        <v>-17.1217093506494</v>
      </c>
      <c r="F1911" s="7">
        <v>1.6142832900433</v>
      </c>
      <c r="G1911" s="7">
        <v>2.18947939393939</v>
      </c>
      <c r="H1911" s="7">
        <v>-9.79411610389611E-4</v>
      </c>
      <c r="I1911" s="7">
        <v>-5.88004868398269</v>
      </c>
      <c r="J1911" s="7">
        <v>-3.95657823376623</v>
      </c>
      <c r="K1911" s="8"/>
      <c r="L1911" s="8"/>
    </row>
    <row r="1912" ht="13.5" customHeight="1">
      <c r="A1912" s="7" t="s">
        <v>355</v>
      </c>
      <c r="B1912" s="7">
        <v>0.0</v>
      </c>
      <c r="C1912" s="7" t="s">
        <v>356</v>
      </c>
      <c r="D1912" s="7" t="s">
        <v>357</v>
      </c>
      <c r="E1912" s="7">
        <v>-17.1385657142857</v>
      </c>
      <c r="F1912" s="7">
        <v>1.61599380952381</v>
      </c>
      <c r="G1912" s="7">
        <v>2.19174380952381</v>
      </c>
      <c r="H1912" s="7">
        <v>-9.80466714285715E-4</v>
      </c>
      <c r="I1912" s="7">
        <v>-5.88684347619048</v>
      </c>
      <c r="J1912" s="7">
        <v>-3.96112528571428</v>
      </c>
      <c r="K1912" s="8"/>
      <c r="L1912" s="8"/>
    </row>
    <row r="1913" ht="13.5" customHeight="1">
      <c r="A1913" s="7" t="s">
        <v>355</v>
      </c>
      <c r="B1913" s="7">
        <v>1.75</v>
      </c>
      <c r="C1913" s="7" t="s">
        <v>356</v>
      </c>
      <c r="D1913" s="7" t="s">
        <v>357</v>
      </c>
      <c r="E1913" s="7">
        <v>-17.1554220779221</v>
      </c>
      <c r="F1913" s="7">
        <v>1.61770432900433</v>
      </c>
      <c r="G1913" s="7">
        <v>2.19400822510822</v>
      </c>
      <c r="H1913" s="7">
        <v>-9.81521818181818E-4</v>
      </c>
      <c r="I1913" s="7">
        <v>-5.89363826839827</v>
      </c>
      <c r="J1913" s="7">
        <v>-3.96567233766233</v>
      </c>
      <c r="K1913" s="8"/>
      <c r="L1913" s="8"/>
    </row>
    <row r="1914" ht="13.5" customHeight="1">
      <c r="A1914" s="7" t="s">
        <v>355</v>
      </c>
      <c r="B1914" s="7">
        <v>3.5</v>
      </c>
      <c r="C1914" s="7" t="s">
        <v>356</v>
      </c>
      <c r="D1914" s="7" t="s">
        <v>357</v>
      </c>
      <c r="E1914" s="7">
        <v>-17.1722784415585</v>
      </c>
      <c r="F1914" s="7">
        <v>1.61941484848485</v>
      </c>
      <c r="G1914" s="7">
        <v>2.19627264069264</v>
      </c>
      <c r="H1914" s="7">
        <v>-9.82576922077922E-4</v>
      </c>
      <c r="I1914" s="7">
        <v>-5.90043306060606</v>
      </c>
      <c r="J1914" s="7">
        <v>-3.97021938961038</v>
      </c>
      <c r="K1914" s="8"/>
      <c r="L1914" s="8"/>
    </row>
    <row r="1915" ht="13.5" customHeight="1">
      <c r="A1915" s="7" t="s">
        <v>355</v>
      </c>
      <c r="B1915" s="7">
        <v>0.0</v>
      </c>
      <c r="C1915" s="7" t="s">
        <v>358</v>
      </c>
      <c r="D1915" s="7" t="s">
        <v>357</v>
      </c>
      <c r="E1915" s="7">
        <v>-17.1891348051948</v>
      </c>
      <c r="F1915" s="7">
        <v>1.62112536796537</v>
      </c>
      <c r="G1915" s="7">
        <v>2.19853705627705</v>
      </c>
      <c r="H1915" s="7">
        <v>-9.83632025974026E-4</v>
      </c>
      <c r="I1915" s="7">
        <v>-5.90722785281385</v>
      </c>
      <c r="J1915" s="7">
        <v>-3.97476644155844</v>
      </c>
      <c r="K1915" s="8"/>
      <c r="L1915" s="8"/>
    </row>
    <row r="1916" ht="13.5" customHeight="1">
      <c r="A1916" s="7" t="s">
        <v>355</v>
      </c>
      <c r="B1916" s="7">
        <v>1.75</v>
      </c>
      <c r="C1916" s="7" t="s">
        <v>358</v>
      </c>
      <c r="D1916" s="7" t="s">
        <v>357</v>
      </c>
      <c r="E1916" s="7">
        <v>-17.2059911688312</v>
      </c>
      <c r="F1916" s="7">
        <v>1.62283588744589</v>
      </c>
      <c r="G1916" s="7">
        <v>2.20080147186147</v>
      </c>
      <c r="H1916" s="7">
        <v>-9.8468712987013E-4</v>
      </c>
      <c r="I1916" s="7">
        <v>-5.91402264502165</v>
      </c>
      <c r="J1916" s="7">
        <v>-3.97931349350649</v>
      </c>
      <c r="K1916" s="8"/>
      <c r="L1916" s="8"/>
    </row>
    <row r="1917" ht="13.5" customHeight="1">
      <c r="A1917" s="7" t="s">
        <v>355</v>
      </c>
      <c r="B1917" s="7">
        <v>3.5</v>
      </c>
      <c r="C1917" s="7" t="s">
        <v>358</v>
      </c>
      <c r="D1917" s="7" t="s">
        <v>357</v>
      </c>
      <c r="E1917" s="7">
        <v>-17.2228475324676</v>
      </c>
      <c r="F1917" s="7">
        <v>1.62454640692641</v>
      </c>
      <c r="G1917" s="7">
        <v>2.20306588744589</v>
      </c>
      <c r="H1917" s="7">
        <v>-9.85742233766234E-4</v>
      </c>
      <c r="I1917" s="7">
        <v>-5.92081743722944</v>
      </c>
      <c r="J1917" s="7">
        <v>-3.98386054545454</v>
      </c>
      <c r="K1917" s="8"/>
      <c r="L1917" s="8"/>
    </row>
    <row r="1918" ht="13.5" customHeight="1">
      <c r="A1918" s="7" t="s">
        <v>355</v>
      </c>
      <c r="B1918" s="7">
        <v>0.0</v>
      </c>
      <c r="C1918" s="7" t="s">
        <v>359</v>
      </c>
      <c r="D1918" s="7" t="s">
        <v>357</v>
      </c>
      <c r="E1918" s="7">
        <v>-17.2397038961039</v>
      </c>
      <c r="F1918" s="7">
        <v>1.62625692640693</v>
      </c>
      <c r="G1918" s="7">
        <v>2.2053303030303</v>
      </c>
      <c r="H1918" s="7">
        <v>-9.86797337662338E-4</v>
      </c>
      <c r="I1918" s="7">
        <v>-5.92761222943723</v>
      </c>
      <c r="J1918" s="7">
        <v>-3.98840759740259</v>
      </c>
      <c r="K1918" s="8"/>
      <c r="L1918" s="8"/>
    </row>
    <row r="1919" ht="13.5" customHeight="1">
      <c r="A1919" s="7" t="s">
        <v>355</v>
      </c>
      <c r="B1919" s="7">
        <v>1.75</v>
      </c>
      <c r="C1919" s="7" t="s">
        <v>359</v>
      </c>
      <c r="D1919" s="7" t="s">
        <v>357</v>
      </c>
      <c r="E1919" s="7">
        <v>-17.2565602597403</v>
      </c>
      <c r="F1919" s="7">
        <v>1.62796744588745</v>
      </c>
      <c r="G1919" s="7">
        <v>2.20759471861472</v>
      </c>
      <c r="H1919" s="7">
        <v>-9.87852441558442E-4</v>
      </c>
      <c r="I1919" s="7">
        <v>-5.93440702164502</v>
      </c>
      <c r="J1919" s="7">
        <v>-3.99295464935064</v>
      </c>
      <c r="K1919" s="8"/>
      <c r="L1919" s="8"/>
    </row>
    <row r="1920" ht="13.5" customHeight="1">
      <c r="A1920" s="7" t="s">
        <v>355</v>
      </c>
      <c r="B1920" s="7">
        <v>3.5</v>
      </c>
      <c r="C1920" s="7" t="s">
        <v>359</v>
      </c>
      <c r="D1920" s="7" t="s">
        <v>357</v>
      </c>
      <c r="E1920" s="7">
        <v>-17.2734166233766</v>
      </c>
      <c r="F1920" s="7">
        <v>1.62967796536797</v>
      </c>
      <c r="G1920" s="7">
        <v>2.20985913419913</v>
      </c>
      <c r="H1920" s="7">
        <v>-9.88907545454546E-4</v>
      </c>
      <c r="I1920" s="7">
        <v>-5.94120181385282</v>
      </c>
      <c r="J1920" s="7">
        <v>-3.9975017012987</v>
      </c>
      <c r="K1920" s="8"/>
      <c r="L1920" s="8"/>
    </row>
    <row r="1921" ht="13.5" customHeight="1">
      <c r="A1921" s="7" t="s">
        <v>355</v>
      </c>
      <c r="B1921" s="7">
        <v>0.0</v>
      </c>
      <c r="C1921" s="7" t="s">
        <v>360</v>
      </c>
      <c r="D1921" s="7" t="s">
        <v>357</v>
      </c>
      <c r="E1921" s="7">
        <v>-17.290272987013</v>
      </c>
      <c r="F1921" s="7">
        <v>1.63138848484849</v>
      </c>
      <c r="G1921" s="7">
        <v>2.21212354978355</v>
      </c>
      <c r="H1921" s="7">
        <v>-9.8996264935065E-4</v>
      </c>
      <c r="I1921" s="7">
        <v>-5.94799660606061</v>
      </c>
      <c r="J1921" s="7">
        <v>-4.00204875324675</v>
      </c>
      <c r="K1921" s="8"/>
      <c r="L1921" s="8"/>
    </row>
    <row r="1922" ht="13.5" customHeight="1">
      <c r="A1922" s="7" t="s">
        <v>355</v>
      </c>
      <c r="B1922" s="7">
        <v>1.75</v>
      </c>
      <c r="C1922" s="7" t="s">
        <v>360</v>
      </c>
      <c r="D1922" s="7" t="s">
        <v>357</v>
      </c>
      <c r="E1922" s="7">
        <v>-17.3071293506494</v>
      </c>
      <c r="F1922" s="7">
        <v>1.63309900432901</v>
      </c>
      <c r="G1922" s="7">
        <v>2.21438796536796</v>
      </c>
      <c r="H1922" s="7">
        <v>-9.91017753246754E-4</v>
      </c>
      <c r="I1922" s="7">
        <v>-5.9547913982684</v>
      </c>
      <c r="J1922" s="7">
        <v>-4.0065958051948</v>
      </c>
      <c r="K1922" s="8"/>
      <c r="L1922" s="8"/>
    </row>
    <row r="1923" ht="13.5" customHeight="1">
      <c r="A1923" s="7" t="s">
        <v>355</v>
      </c>
      <c r="B1923" s="7">
        <v>3.5</v>
      </c>
      <c r="C1923" s="7" t="s">
        <v>360</v>
      </c>
      <c r="D1923" s="7" t="s">
        <v>357</v>
      </c>
      <c r="E1923" s="7">
        <v>-17.3239857142857</v>
      </c>
      <c r="F1923" s="7">
        <v>1.63480952380953</v>
      </c>
      <c r="G1923" s="7">
        <v>2.21665238095238</v>
      </c>
      <c r="H1923" s="7">
        <v>-9.92072857142857E-4</v>
      </c>
      <c r="I1923" s="7">
        <v>-5.96158619047619</v>
      </c>
      <c r="J1923" s="7">
        <v>-4.01114285714285</v>
      </c>
      <c r="K1923" s="8"/>
      <c r="L1923" s="8"/>
    </row>
    <row r="1924" ht="13.5" customHeight="1">
      <c r="A1924" s="7" t="s">
        <v>355</v>
      </c>
      <c r="B1924" s="7">
        <v>0.0</v>
      </c>
      <c r="C1924" s="7" t="s">
        <v>361</v>
      </c>
      <c r="D1924" s="7" t="s">
        <v>357</v>
      </c>
      <c r="E1924" s="7">
        <v>-17.3408420779221</v>
      </c>
      <c r="F1924" s="7">
        <v>1.63652004329005</v>
      </c>
      <c r="G1924" s="7">
        <v>2.21891679653679</v>
      </c>
      <c r="H1924" s="7">
        <v>-9.93127961038961E-4</v>
      </c>
      <c r="I1924" s="7">
        <v>-5.96838098268398</v>
      </c>
      <c r="J1924" s="7">
        <v>-4.0156899090909</v>
      </c>
      <c r="K1924" s="8"/>
      <c r="L1924" s="8"/>
    </row>
    <row r="1925" ht="13.5" customHeight="1">
      <c r="A1925" s="7" t="s">
        <v>355</v>
      </c>
      <c r="B1925" s="7">
        <v>1.75</v>
      </c>
      <c r="C1925" s="7" t="s">
        <v>361</v>
      </c>
      <c r="D1925" s="7" t="s">
        <v>357</v>
      </c>
      <c r="E1925" s="7">
        <v>-17.3576984415585</v>
      </c>
      <c r="F1925" s="7">
        <v>1.63823056277057</v>
      </c>
      <c r="G1925" s="7">
        <v>2.22118121212121</v>
      </c>
      <c r="H1925" s="7">
        <v>-9.94183064935065E-4</v>
      </c>
      <c r="I1925" s="7">
        <v>-5.97517577489178</v>
      </c>
      <c r="J1925" s="7">
        <v>-4.02023696103896</v>
      </c>
      <c r="K1925" s="8"/>
      <c r="L1925" s="8"/>
    </row>
    <row r="1926" ht="13.5" customHeight="1">
      <c r="A1926" s="7" t="s">
        <v>355</v>
      </c>
      <c r="B1926" s="7">
        <v>3.5</v>
      </c>
      <c r="C1926" s="7" t="s">
        <v>361</v>
      </c>
      <c r="D1926" s="7" t="s">
        <v>357</v>
      </c>
      <c r="E1926" s="7">
        <v>-17.3745548051948</v>
      </c>
      <c r="F1926" s="7">
        <v>1.63994108225109</v>
      </c>
      <c r="G1926" s="7">
        <v>2.22344562770563</v>
      </c>
      <c r="H1926" s="7">
        <v>-9.95238168831169E-4</v>
      </c>
      <c r="I1926" s="7">
        <v>-5.98197056709957</v>
      </c>
      <c r="J1926" s="7">
        <v>-4.02478401298701</v>
      </c>
      <c r="K1926" s="8"/>
      <c r="L1926" s="8"/>
    </row>
    <row r="1927" ht="13.5" customHeight="1">
      <c r="A1927" s="7" t="s">
        <v>355</v>
      </c>
      <c r="B1927" s="7">
        <v>0.0</v>
      </c>
      <c r="C1927" s="7" t="s">
        <v>362</v>
      </c>
      <c r="D1927" s="7" t="s">
        <v>357</v>
      </c>
      <c r="E1927" s="7">
        <v>-17.3914111688312</v>
      </c>
      <c r="F1927" s="7">
        <v>1.64165160173161</v>
      </c>
      <c r="G1927" s="7">
        <v>2.22571004329004</v>
      </c>
      <c r="H1927" s="7">
        <v>-9.96293272727272E-4</v>
      </c>
      <c r="I1927" s="7">
        <v>-5.98876535930736</v>
      </c>
      <c r="J1927" s="7">
        <v>-4.02933106493506</v>
      </c>
      <c r="K1927" s="8"/>
      <c r="L1927" s="8"/>
    </row>
    <row r="1928" ht="13.5" customHeight="1">
      <c r="A1928" s="7" t="s">
        <v>355</v>
      </c>
      <c r="B1928" s="7">
        <v>1.75</v>
      </c>
      <c r="C1928" s="7" t="s">
        <v>362</v>
      </c>
      <c r="D1928" s="7" t="s">
        <v>357</v>
      </c>
      <c r="E1928" s="7">
        <v>-17.4082675324675</v>
      </c>
      <c r="F1928" s="7">
        <v>1.64336212121213</v>
      </c>
      <c r="G1928" s="7">
        <v>2.22797445887446</v>
      </c>
      <c r="H1928" s="7">
        <v>-9.97348376623377E-4</v>
      </c>
      <c r="I1928" s="7">
        <v>-5.99556015151515</v>
      </c>
      <c r="J1928" s="7">
        <v>-4.03387811688311</v>
      </c>
      <c r="K1928" s="8"/>
      <c r="L1928" s="8"/>
    </row>
    <row r="1929" ht="13.5" customHeight="1">
      <c r="A1929" s="7" t="s">
        <v>355</v>
      </c>
      <c r="B1929" s="7">
        <v>3.5</v>
      </c>
      <c r="C1929" s="7" t="s">
        <v>362</v>
      </c>
      <c r="D1929" s="7" t="s">
        <v>357</v>
      </c>
      <c r="E1929" s="7">
        <v>-17.4251238961039</v>
      </c>
      <c r="F1929" s="7">
        <v>1.64507264069265</v>
      </c>
      <c r="G1929" s="7">
        <v>2.23023887445887</v>
      </c>
      <c r="H1929" s="7">
        <v>-9.98403480519481E-4</v>
      </c>
      <c r="I1929" s="7">
        <v>-6.00235494372295</v>
      </c>
      <c r="J1929" s="7">
        <v>-4.03842516883116</v>
      </c>
      <c r="K1929" s="8"/>
      <c r="L1929" s="8"/>
    </row>
    <row r="1930" ht="13.5" customHeight="1">
      <c r="A1930" s="7" t="s">
        <v>355</v>
      </c>
      <c r="B1930" s="7">
        <v>0.0</v>
      </c>
      <c r="C1930" s="7" t="s">
        <v>363</v>
      </c>
      <c r="D1930" s="7" t="s">
        <v>357</v>
      </c>
      <c r="E1930" s="7">
        <v>-17.4419802597403</v>
      </c>
      <c r="F1930" s="7">
        <v>1.64678316017317</v>
      </c>
      <c r="G1930" s="7">
        <v>2.23250329004329</v>
      </c>
      <c r="H1930" s="7">
        <v>-9.99458584415585E-4</v>
      </c>
      <c r="I1930" s="7">
        <v>-6.00914973593074</v>
      </c>
      <c r="J1930" s="7">
        <v>-4.04297222077922</v>
      </c>
      <c r="K1930" s="8"/>
      <c r="L1930" s="8"/>
    </row>
    <row r="1931" ht="13.5" customHeight="1">
      <c r="A1931" s="7" t="s">
        <v>355</v>
      </c>
      <c r="B1931" s="7">
        <v>1.75</v>
      </c>
      <c r="C1931" s="7" t="s">
        <v>363</v>
      </c>
      <c r="D1931" s="7" t="s">
        <v>357</v>
      </c>
      <c r="E1931" s="7">
        <v>-17.4588366233766</v>
      </c>
      <c r="F1931" s="7">
        <v>1.64849367965369</v>
      </c>
      <c r="G1931" s="7">
        <v>2.2347677056277</v>
      </c>
      <c r="H1931" s="7">
        <v>-0.00100051368831169</v>
      </c>
      <c r="I1931" s="7">
        <v>-6.01594452813853</v>
      </c>
      <c r="J1931" s="7">
        <v>-4.04751927272727</v>
      </c>
      <c r="K1931" s="8"/>
      <c r="L1931" s="8"/>
    </row>
    <row r="1932" ht="13.5" customHeight="1">
      <c r="A1932" s="7" t="s">
        <v>355</v>
      </c>
      <c r="B1932" s="7">
        <v>3.5</v>
      </c>
      <c r="C1932" s="7" t="s">
        <v>363</v>
      </c>
      <c r="D1932" s="7" t="s">
        <v>357</v>
      </c>
      <c r="E1932" s="7">
        <v>-17.475692987013</v>
      </c>
      <c r="F1932" s="7">
        <v>1.6502041991342</v>
      </c>
      <c r="G1932" s="7">
        <v>2.23703212121212</v>
      </c>
      <c r="H1932" s="7">
        <v>-0.00100156879220779</v>
      </c>
      <c r="I1932" s="7">
        <v>-6.02273932034632</v>
      </c>
      <c r="J1932" s="7">
        <v>-4.05206632467532</v>
      </c>
      <c r="K1932" s="8"/>
      <c r="L1932" s="8"/>
    </row>
    <row r="1933" ht="13.5" customHeight="1">
      <c r="A1933" s="7" t="s">
        <v>355</v>
      </c>
      <c r="B1933" s="7">
        <v>0.0</v>
      </c>
      <c r="C1933" s="7" t="s">
        <v>356</v>
      </c>
      <c r="D1933" s="7" t="s">
        <v>357</v>
      </c>
      <c r="E1933" s="7">
        <v>-17.4925493506494</v>
      </c>
      <c r="F1933" s="7">
        <v>1.65191471861472</v>
      </c>
      <c r="G1933" s="7">
        <v>2.23929653679653</v>
      </c>
      <c r="H1933" s="7">
        <v>-0.0010026238961039</v>
      </c>
      <c r="I1933" s="7">
        <v>-6.02953411255411</v>
      </c>
      <c r="J1933" s="7">
        <v>-4.05661337662337</v>
      </c>
      <c r="K1933" s="8"/>
      <c r="L1933" s="8"/>
    </row>
    <row r="1934" ht="13.5" customHeight="1">
      <c r="A1934" s="7" t="s">
        <v>355</v>
      </c>
      <c r="B1934" s="7">
        <v>1.75</v>
      </c>
      <c r="C1934" s="7" t="s">
        <v>356</v>
      </c>
      <c r="D1934" s="7" t="s">
        <v>357</v>
      </c>
      <c r="E1934" s="7">
        <v>-17.5094057142857</v>
      </c>
      <c r="F1934" s="7">
        <v>1.65362523809524</v>
      </c>
      <c r="G1934" s="7">
        <v>2.24156095238095</v>
      </c>
      <c r="H1934" s="7">
        <v>-0.001003679</v>
      </c>
      <c r="I1934" s="7">
        <v>-6.03632890476191</v>
      </c>
      <c r="J1934" s="7">
        <v>-4.06116042857142</v>
      </c>
      <c r="K1934" s="8"/>
      <c r="L1934" s="8"/>
    </row>
    <row r="1935" ht="13.5" customHeight="1">
      <c r="A1935" s="7" t="s">
        <v>355</v>
      </c>
      <c r="B1935" s="7">
        <v>3.5</v>
      </c>
      <c r="C1935" s="7" t="s">
        <v>356</v>
      </c>
      <c r="D1935" s="7" t="s">
        <v>357</v>
      </c>
      <c r="E1935" s="7">
        <v>-17.5262620779221</v>
      </c>
      <c r="F1935" s="7">
        <v>1.65533575757576</v>
      </c>
      <c r="G1935" s="7">
        <v>2.24382536796537</v>
      </c>
      <c r="H1935" s="7">
        <v>-0.0010047341038961</v>
      </c>
      <c r="I1935" s="7">
        <v>-6.0431236969697</v>
      </c>
      <c r="J1935" s="7">
        <v>-4.06570748051948</v>
      </c>
      <c r="K1935" s="8"/>
      <c r="L1935" s="8"/>
    </row>
    <row r="1936" ht="13.5" customHeight="1">
      <c r="A1936" s="7" t="s">
        <v>355</v>
      </c>
      <c r="B1936" s="7">
        <v>0.0</v>
      </c>
      <c r="C1936" s="7" t="s">
        <v>358</v>
      </c>
      <c r="D1936" s="7" t="s">
        <v>357</v>
      </c>
      <c r="E1936" s="7">
        <v>-17.5431184415585</v>
      </c>
      <c r="F1936" s="7">
        <v>1.65704627705628</v>
      </c>
      <c r="G1936" s="7">
        <v>2.24608978354978</v>
      </c>
      <c r="H1936" s="7">
        <v>-0.00100578920779221</v>
      </c>
      <c r="I1936" s="7">
        <v>-6.04991848917749</v>
      </c>
      <c r="J1936" s="7">
        <v>-4.07025453246753</v>
      </c>
      <c r="K1936" s="8"/>
      <c r="L1936" s="8"/>
    </row>
    <row r="1937" ht="13.5" customHeight="1">
      <c r="A1937" s="7" t="s">
        <v>355</v>
      </c>
      <c r="B1937" s="7">
        <v>1.75</v>
      </c>
      <c r="C1937" s="7" t="s">
        <v>358</v>
      </c>
      <c r="D1937" s="7" t="s">
        <v>357</v>
      </c>
      <c r="E1937" s="7">
        <v>-17.5599748051948</v>
      </c>
      <c r="F1937" s="7">
        <v>1.6587567965368</v>
      </c>
      <c r="G1937" s="7">
        <v>2.2483541991342</v>
      </c>
      <c r="H1937" s="7">
        <v>-0.00100684431168831</v>
      </c>
      <c r="I1937" s="7">
        <v>-6.05671328138528</v>
      </c>
      <c r="J1937" s="7">
        <v>-4.07480158441558</v>
      </c>
      <c r="K1937" s="8"/>
      <c r="L1937" s="8"/>
    </row>
    <row r="1938" ht="13.5" customHeight="1">
      <c r="A1938" s="7" t="s">
        <v>355</v>
      </c>
      <c r="B1938" s="7">
        <v>3.5</v>
      </c>
      <c r="C1938" s="7" t="s">
        <v>358</v>
      </c>
      <c r="D1938" s="7" t="s">
        <v>357</v>
      </c>
      <c r="E1938" s="7">
        <v>-17.5768311688312</v>
      </c>
      <c r="F1938" s="7">
        <v>1.66046731601732</v>
      </c>
      <c r="G1938" s="7">
        <v>2.25061861471861</v>
      </c>
      <c r="H1938" s="7">
        <v>-0.00100789941558442</v>
      </c>
      <c r="I1938" s="7">
        <v>-6.06350807359308</v>
      </c>
      <c r="J1938" s="7">
        <v>-4.07934863636363</v>
      </c>
      <c r="K1938" s="8"/>
      <c r="L1938" s="8"/>
    </row>
    <row r="1939" ht="13.5" customHeight="1">
      <c r="A1939" s="7" t="s">
        <v>355</v>
      </c>
      <c r="B1939" s="7">
        <v>0.0</v>
      </c>
      <c r="C1939" s="7" t="s">
        <v>359</v>
      </c>
      <c r="D1939" s="7" t="s">
        <v>357</v>
      </c>
      <c r="E1939" s="7">
        <v>-17.5936875324676</v>
      </c>
      <c r="F1939" s="7">
        <v>1.66217783549784</v>
      </c>
      <c r="G1939" s="7">
        <v>2.25288303030303</v>
      </c>
      <c r="H1939" s="7">
        <v>-0.00100895451948052</v>
      </c>
      <c r="I1939" s="7">
        <v>-6.07030286580087</v>
      </c>
      <c r="J1939" s="7">
        <v>-4.08389568831168</v>
      </c>
      <c r="K1939" s="8"/>
      <c r="L1939" s="8"/>
    </row>
    <row r="1940" ht="13.5" customHeight="1">
      <c r="A1940" s="7" t="s">
        <v>355</v>
      </c>
      <c r="B1940" s="7">
        <v>1.75</v>
      </c>
      <c r="C1940" s="7" t="s">
        <v>359</v>
      </c>
      <c r="D1940" s="7" t="s">
        <v>357</v>
      </c>
      <c r="E1940" s="7">
        <v>-17.6105438961039</v>
      </c>
      <c r="F1940" s="7">
        <v>1.66388835497836</v>
      </c>
      <c r="G1940" s="7">
        <v>2.25514744588744</v>
      </c>
      <c r="H1940" s="7">
        <v>-0.00101000962337662</v>
      </c>
      <c r="I1940" s="7">
        <v>-6.07709765800866</v>
      </c>
      <c r="J1940" s="7">
        <v>-4.08844274025974</v>
      </c>
      <c r="K1940" s="8"/>
      <c r="L1940" s="8"/>
    </row>
    <row r="1941" ht="13.5" customHeight="1">
      <c r="A1941" s="7" t="s">
        <v>355</v>
      </c>
      <c r="B1941" s="7">
        <v>3.5</v>
      </c>
      <c r="C1941" s="7" t="s">
        <v>359</v>
      </c>
      <c r="D1941" s="7" t="s">
        <v>357</v>
      </c>
      <c r="E1941" s="7">
        <v>-17.6274002597403</v>
      </c>
      <c r="F1941" s="7">
        <v>1.66559887445888</v>
      </c>
      <c r="G1941" s="7">
        <v>2.25741186147186</v>
      </c>
      <c r="H1941" s="7">
        <v>-0.00101106472727273</v>
      </c>
      <c r="I1941" s="7">
        <v>-6.08389245021645</v>
      </c>
      <c r="J1941" s="7">
        <v>-4.09298979220779</v>
      </c>
      <c r="K1941" s="8"/>
      <c r="L1941" s="8"/>
    </row>
    <row r="1942" ht="13.5" customHeight="1">
      <c r="A1942" s="7" t="s">
        <v>355</v>
      </c>
      <c r="B1942" s="7">
        <v>0.0</v>
      </c>
      <c r="C1942" s="7" t="s">
        <v>360</v>
      </c>
      <c r="D1942" s="7" t="s">
        <v>357</v>
      </c>
      <c r="E1942" s="7">
        <v>-17.6442566233766</v>
      </c>
      <c r="F1942" s="7">
        <v>1.6673093939394</v>
      </c>
      <c r="G1942" s="7">
        <v>2.25967627705628</v>
      </c>
      <c r="H1942" s="7">
        <v>-0.00101211983116883</v>
      </c>
      <c r="I1942" s="7">
        <v>-6.09068724242424</v>
      </c>
      <c r="J1942" s="7">
        <v>-4.09753684415584</v>
      </c>
      <c r="K1942" s="8"/>
      <c r="L1942" s="8"/>
    </row>
    <row r="1943" ht="13.5" customHeight="1">
      <c r="A1943" s="7" t="s">
        <v>355</v>
      </c>
      <c r="B1943" s="7">
        <v>1.75</v>
      </c>
      <c r="C1943" s="7" t="s">
        <v>360</v>
      </c>
      <c r="D1943" s="7" t="s">
        <v>357</v>
      </c>
      <c r="E1943" s="7">
        <v>-17.661112987013</v>
      </c>
      <c r="F1943" s="7">
        <v>1.66901991341992</v>
      </c>
      <c r="G1943" s="7">
        <v>2.26194069264069</v>
      </c>
      <c r="H1943" s="7">
        <v>-0.00101317493506493</v>
      </c>
      <c r="I1943" s="7">
        <v>-6.09748203463204</v>
      </c>
      <c r="J1943" s="7">
        <v>-4.10208389610389</v>
      </c>
      <c r="K1943" s="8"/>
      <c r="L1943" s="8"/>
    </row>
    <row r="1944" ht="13.5" customHeight="1">
      <c r="A1944" s="7" t="s">
        <v>355</v>
      </c>
      <c r="B1944" s="7">
        <v>3.5</v>
      </c>
      <c r="C1944" s="7" t="s">
        <v>360</v>
      </c>
      <c r="D1944" s="7" t="s">
        <v>357</v>
      </c>
      <c r="E1944" s="7">
        <v>-17.6779693506494</v>
      </c>
      <c r="F1944" s="7">
        <v>1.67073043290044</v>
      </c>
      <c r="G1944" s="7">
        <v>2.26420510822511</v>
      </c>
      <c r="H1944" s="7">
        <v>-0.00101423003896104</v>
      </c>
      <c r="I1944" s="7">
        <v>-6.10427682683983</v>
      </c>
      <c r="J1944" s="7">
        <v>-4.10663094805194</v>
      </c>
      <c r="K1944" s="8"/>
      <c r="L1944" s="8"/>
    </row>
    <row r="1945" ht="13.5" customHeight="1">
      <c r="A1945" s="7" t="s">
        <v>355</v>
      </c>
      <c r="B1945" s="7">
        <v>0.0</v>
      </c>
      <c r="C1945" s="7" t="s">
        <v>361</v>
      </c>
      <c r="D1945" s="7" t="s">
        <v>357</v>
      </c>
      <c r="E1945" s="7">
        <v>-17.6948257142857</v>
      </c>
      <c r="F1945" s="7">
        <v>1.67244095238096</v>
      </c>
      <c r="G1945" s="7">
        <v>2.26646952380952</v>
      </c>
      <c r="H1945" s="7">
        <v>-0.00101528514285714</v>
      </c>
      <c r="I1945" s="7">
        <v>-6.11107161904762</v>
      </c>
      <c r="J1945" s="7">
        <v>-4.11117799999999</v>
      </c>
      <c r="K1945" s="8"/>
      <c r="L1945" s="8"/>
    </row>
    <row r="1946" ht="13.5" customHeight="1">
      <c r="A1946" s="7" t="s">
        <v>355</v>
      </c>
      <c r="B1946" s="7">
        <v>1.75</v>
      </c>
      <c r="C1946" s="7" t="s">
        <v>361</v>
      </c>
      <c r="D1946" s="7" t="s">
        <v>357</v>
      </c>
      <c r="E1946" s="7">
        <v>-17.7116820779221</v>
      </c>
      <c r="F1946" s="7">
        <v>1.67415147186148</v>
      </c>
      <c r="G1946" s="7">
        <v>2.26873393939394</v>
      </c>
      <c r="H1946" s="7">
        <v>-0.00101634024675325</v>
      </c>
      <c r="I1946" s="7">
        <v>-6.11786641125541</v>
      </c>
      <c r="J1946" s="7">
        <v>-4.11572505194805</v>
      </c>
      <c r="K1946" s="8"/>
      <c r="L1946" s="8"/>
    </row>
    <row r="1947" ht="13.5" customHeight="1">
      <c r="A1947" s="7" t="s">
        <v>355</v>
      </c>
      <c r="B1947" s="7">
        <v>3.5</v>
      </c>
      <c r="C1947" s="7" t="s">
        <v>361</v>
      </c>
      <c r="D1947" s="7" t="s">
        <v>357</v>
      </c>
      <c r="E1947" s="7">
        <v>-17.7285384415585</v>
      </c>
      <c r="F1947" s="7">
        <v>1.675861991342</v>
      </c>
      <c r="G1947" s="7">
        <v>2.27099835497835</v>
      </c>
      <c r="H1947" s="7">
        <v>-0.00101739535064935</v>
      </c>
      <c r="I1947" s="7">
        <v>-6.12466120346321</v>
      </c>
      <c r="J1947" s="7">
        <v>-4.1202721038961</v>
      </c>
      <c r="K1947" s="8"/>
      <c r="L1947" s="8"/>
    </row>
    <row r="1948" ht="13.5" customHeight="1">
      <c r="A1948" s="7" t="s">
        <v>355</v>
      </c>
      <c r="B1948" s="7">
        <v>0.0</v>
      </c>
      <c r="C1948" s="7" t="s">
        <v>362</v>
      </c>
      <c r="D1948" s="7" t="s">
        <v>357</v>
      </c>
      <c r="E1948" s="7">
        <v>-17.7453948051948</v>
      </c>
      <c r="F1948" s="7">
        <v>1.67757251082252</v>
      </c>
      <c r="G1948" s="7">
        <v>2.27326277056277</v>
      </c>
      <c r="H1948" s="7">
        <v>-0.00101845045454545</v>
      </c>
      <c r="I1948" s="7">
        <v>-6.131455995671</v>
      </c>
      <c r="J1948" s="7">
        <v>-4.12481915584415</v>
      </c>
      <c r="K1948" s="8"/>
      <c r="L1948" s="8"/>
    </row>
    <row r="1949" ht="13.5" customHeight="1">
      <c r="A1949" s="7" t="s">
        <v>355</v>
      </c>
      <c r="B1949" s="7">
        <v>1.75</v>
      </c>
      <c r="C1949" s="7" t="s">
        <v>362</v>
      </c>
      <c r="D1949" s="7" t="s">
        <v>357</v>
      </c>
      <c r="E1949" s="7">
        <v>-17.7622511688312</v>
      </c>
      <c r="F1949" s="7">
        <v>1.67928303030304</v>
      </c>
      <c r="G1949" s="7">
        <v>2.27552718614718</v>
      </c>
      <c r="H1949" s="7">
        <v>-0.00101950555844156</v>
      </c>
      <c r="I1949" s="7">
        <v>-6.13825078787879</v>
      </c>
      <c r="J1949" s="7">
        <v>-4.1293662077922</v>
      </c>
      <c r="K1949" s="8"/>
      <c r="L1949" s="8"/>
    </row>
    <row r="1950" ht="13.5" customHeight="1">
      <c r="A1950" s="7" t="s">
        <v>355</v>
      </c>
      <c r="B1950" s="7">
        <v>3.5</v>
      </c>
      <c r="C1950" s="7" t="s">
        <v>362</v>
      </c>
      <c r="D1950" s="7" t="s">
        <v>357</v>
      </c>
      <c r="E1950" s="7">
        <v>-17.7791075324675</v>
      </c>
      <c r="F1950" s="7">
        <v>1.68099354978356</v>
      </c>
      <c r="G1950" s="7">
        <v>2.2777916017316</v>
      </c>
      <c r="H1950" s="7">
        <v>-0.00102056066233766</v>
      </c>
      <c r="I1950" s="7">
        <v>-6.14504558008658</v>
      </c>
      <c r="J1950" s="7">
        <v>-4.13391325974025</v>
      </c>
      <c r="K1950" s="8"/>
      <c r="L1950" s="8"/>
    </row>
    <row r="1951" ht="13.5" customHeight="1">
      <c r="A1951" s="7" t="s">
        <v>355</v>
      </c>
      <c r="B1951" s="7">
        <v>0.0</v>
      </c>
      <c r="C1951" s="7" t="s">
        <v>363</v>
      </c>
      <c r="D1951" s="7" t="s">
        <v>357</v>
      </c>
      <c r="E1951" s="7">
        <v>-17.7959638961039</v>
      </c>
      <c r="F1951" s="7">
        <v>1.68270406926407</v>
      </c>
      <c r="G1951" s="7">
        <v>2.28005601731602</v>
      </c>
      <c r="H1951" s="7">
        <v>-0.00102161576623377</v>
      </c>
      <c r="I1951" s="7">
        <v>-6.15184037229437</v>
      </c>
      <c r="J1951" s="7">
        <v>-4.13846031168831</v>
      </c>
      <c r="K1951" s="8"/>
      <c r="L1951" s="8"/>
    </row>
    <row r="1952" ht="13.5" customHeight="1">
      <c r="A1952" s="7" t="s">
        <v>355</v>
      </c>
      <c r="B1952" s="7">
        <v>1.75</v>
      </c>
      <c r="C1952" s="7" t="s">
        <v>363</v>
      </c>
      <c r="D1952" s="7" t="s">
        <v>357</v>
      </c>
      <c r="E1952" s="7">
        <v>-17.8128202597403</v>
      </c>
      <c r="F1952" s="7">
        <v>1.68441458874459</v>
      </c>
      <c r="G1952" s="7">
        <v>2.28232043290043</v>
      </c>
      <c r="H1952" s="7">
        <v>-0.00102267087012987</v>
      </c>
      <c r="I1952" s="7">
        <v>-6.15863516450217</v>
      </c>
      <c r="J1952" s="7">
        <v>-4.14300736363636</v>
      </c>
      <c r="K1952" s="8"/>
      <c r="L1952" s="8"/>
    </row>
    <row r="1953" ht="13.5" customHeight="1">
      <c r="A1953" s="7" t="s">
        <v>355</v>
      </c>
      <c r="B1953" s="7">
        <v>3.5</v>
      </c>
      <c r="C1953" s="7" t="s">
        <v>363</v>
      </c>
      <c r="D1953" s="7" t="s">
        <v>357</v>
      </c>
      <c r="E1953" s="7">
        <v>-17.8296766233766</v>
      </c>
      <c r="F1953" s="7">
        <v>1.68612510822511</v>
      </c>
      <c r="G1953" s="7">
        <v>2.28458484848485</v>
      </c>
      <c r="H1953" s="7">
        <v>-0.00102372597402597</v>
      </c>
      <c r="I1953" s="7">
        <v>-6.16542995670996</v>
      </c>
      <c r="J1953" s="7">
        <v>-4.14755441558441</v>
      </c>
      <c r="K1953" s="8"/>
      <c r="L1953" s="8"/>
    </row>
    <row r="1954" ht="13.5" customHeight="1">
      <c r="A1954" s="7" t="s">
        <v>355</v>
      </c>
      <c r="B1954" s="7">
        <v>0.0</v>
      </c>
      <c r="C1954" s="7" t="s">
        <v>356</v>
      </c>
      <c r="D1954" s="7" t="s">
        <v>357</v>
      </c>
      <c r="E1954" s="7">
        <v>-17.846532987013</v>
      </c>
      <c r="F1954" s="7">
        <v>1.68783562770563</v>
      </c>
      <c r="G1954" s="7">
        <v>2.28684926406926</v>
      </c>
      <c r="H1954" s="7">
        <v>-0.00102478107792208</v>
      </c>
      <c r="I1954" s="7">
        <v>-6.17222474891775</v>
      </c>
      <c r="J1954" s="7">
        <v>-4.15210146753246</v>
      </c>
      <c r="K1954" s="8"/>
      <c r="L1954" s="8"/>
    </row>
    <row r="1955" ht="13.5" customHeight="1">
      <c r="A1955" s="7" t="s">
        <v>355</v>
      </c>
      <c r="B1955" s="7">
        <v>1.75</v>
      </c>
      <c r="C1955" s="7" t="s">
        <v>356</v>
      </c>
      <c r="D1955" s="7" t="s">
        <v>357</v>
      </c>
      <c r="E1955" s="7">
        <v>-17.8633893506494</v>
      </c>
      <c r="F1955" s="7">
        <v>1.68954614718615</v>
      </c>
      <c r="G1955" s="7">
        <v>2.28911367965368</v>
      </c>
      <c r="H1955" s="7">
        <v>-0.00102583618181818</v>
      </c>
      <c r="I1955" s="7">
        <v>-6.17901954112554</v>
      </c>
      <c r="J1955" s="7">
        <v>-4.15664851948051</v>
      </c>
      <c r="K1955" s="8"/>
      <c r="L1955" s="8"/>
    </row>
    <row r="1956" ht="13.5" customHeight="1">
      <c r="A1956" s="7" t="s">
        <v>355</v>
      </c>
      <c r="B1956" s="7">
        <v>3.5</v>
      </c>
      <c r="C1956" s="7" t="s">
        <v>356</v>
      </c>
      <c r="D1956" s="7" t="s">
        <v>357</v>
      </c>
      <c r="E1956" s="7">
        <v>-17.8802457142857</v>
      </c>
      <c r="F1956" s="7">
        <v>1.69125666666667</v>
      </c>
      <c r="G1956" s="7">
        <v>2.29137809523809</v>
      </c>
      <c r="H1956" s="7">
        <v>-0.00102689128571429</v>
      </c>
      <c r="I1956" s="7">
        <v>-6.18581433333334</v>
      </c>
      <c r="J1956" s="7">
        <v>-4.16119557142857</v>
      </c>
      <c r="K1956" s="8"/>
      <c r="L1956" s="8"/>
    </row>
    <row r="1957" ht="13.5" customHeight="1">
      <c r="A1957" s="7" t="s">
        <v>355</v>
      </c>
      <c r="B1957" s="7">
        <v>0.0</v>
      </c>
      <c r="C1957" s="7" t="s">
        <v>358</v>
      </c>
      <c r="D1957" s="7" t="s">
        <v>357</v>
      </c>
      <c r="E1957" s="7">
        <v>-17.8971020779221</v>
      </c>
      <c r="F1957" s="7">
        <v>1.69296718614719</v>
      </c>
      <c r="G1957" s="7">
        <v>2.29364251082251</v>
      </c>
      <c r="H1957" s="7">
        <v>-0.00102794638961039</v>
      </c>
      <c r="I1957" s="7">
        <v>-6.19260912554113</v>
      </c>
      <c r="J1957" s="7">
        <v>-4.16574262337662</v>
      </c>
      <c r="K1957" s="8"/>
      <c r="L1957" s="8"/>
    </row>
    <row r="1958" ht="13.5" customHeight="1">
      <c r="A1958" s="7" t="s">
        <v>355</v>
      </c>
      <c r="B1958" s="7">
        <v>1.75</v>
      </c>
      <c r="C1958" s="7" t="s">
        <v>358</v>
      </c>
      <c r="D1958" s="7" t="s">
        <v>357</v>
      </c>
      <c r="E1958" s="7">
        <v>-17.9139584415585</v>
      </c>
      <c r="F1958" s="7">
        <v>1.69467770562771</v>
      </c>
      <c r="G1958" s="7">
        <v>2.29590692640692</v>
      </c>
      <c r="H1958" s="7">
        <v>-0.00102900149350649</v>
      </c>
      <c r="I1958" s="7">
        <v>-6.19940391774892</v>
      </c>
      <c r="J1958" s="7">
        <v>-4.17028967532467</v>
      </c>
      <c r="K1958" s="8"/>
      <c r="L1958" s="8"/>
    </row>
    <row r="1959" ht="13.5" customHeight="1">
      <c r="A1959" s="7" t="s">
        <v>355</v>
      </c>
      <c r="B1959" s="7">
        <v>3.5</v>
      </c>
      <c r="C1959" s="7" t="s">
        <v>358</v>
      </c>
      <c r="D1959" s="7" t="s">
        <v>357</v>
      </c>
      <c r="E1959" s="7">
        <v>-17.9308148051948</v>
      </c>
      <c r="F1959" s="7">
        <v>1.69638822510823</v>
      </c>
      <c r="G1959" s="7">
        <v>2.29817134199134</v>
      </c>
      <c r="H1959" s="7">
        <v>-0.0010300565974026</v>
      </c>
      <c r="I1959" s="7">
        <v>-6.20619870995671</v>
      </c>
      <c r="J1959" s="7">
        <v>-4.17483672727272</v>
      </c>
      <c r="K1959" s="8"/>
      <c r="L1959" s="8"/>
    </row>
    <row r="1960" ht="13.5" customHeight="1">
      <c r="A1960" s="7" t="s">
        <v>355</v>
      </c>
      <c r="B1960" s="7">
        <v>0.0</v>
      </c>
      <c r="C1960" s="7" t="s">
        <v>359</v>
      </c>
      <c r="D1960" s="7" t="s">
        <v>357</v>
      </c>
      <c r="E1960" s="7">
        <v>-17.9476711688312</v>
      </c>
      <c r="F1960" s="7">
        <v>1.69809874458875</v>
      </c>
      <c r="G1960" s="7">
        <v>2.30043575757576</v>
      </c>
      <c r="H1960" s="7">
        <v>-0.0010311117012987</v>
      </c>
      <c r="I1960" s="7">
        <v>-6.2129935021645</v>
      </c>
      <c r="J1960" s="7">
        <v>-4.17938377922077</v>
      </c>
      <c r="K1960" s="8"/>
      <c r="L1960" s="8"/>
    </row>
    <row r="1961" ht="13.5" customHeight="1">
      <c r="A1961" s="7" t="s">
        <v>355</v>
      </c>
      <c r="B1961" s="7">
        <v>1.75</v>
      </c>
      <c r="C1961" s="7" t="s">
        <v>359</v>
      </c>
      <c r="D1961" s="7" t="s">
        <v>357</v>
      </c>
      <c r="E1961" s="7">
        <v>-17.9645275324675</v>
      </c>
      <c r="F1961" s="7">
        <v>1.69980926406927</v>
      </c>
      <c r="G1961" s="7">
        <v>2.30270017316017</v>
      </c>
      <c r="H1961" s="7">
        <v>-0.0010321668051948</v>
      </c>
      <c r="I1961" s="7">
        <v>-6.2197882943723</v>
      </c>
      <c r="J1961" s="7">
        <v>-4.18393083116883</v>
      </c>
      <c r="K1961" s="8"/>
      <c r="L1961" s="8"/>
    </row>
    <row r="1962" ht="13.5" customHeight="1">
      <c r="A1962" s="7" t="s">
        <v>355</v>
      </c>
      <c r="B1962" s="7">
        <v>3.5</v>
      </c>
      <c r="C1962" s="7" t="s">
        <v>359</v>
      </c>
      <c r="D1962" s="7" t="s">
        <v>357</v>
      </c>
      <c r="E1962" s="7">
        <v>-17.9813838961039</v>
      </c>
      <c r="F1962" s="7">
        <v>1.70151978354979</v>
      </c>
      <c r="G1962" s="7">
        <v>2.30496458874459</v>
      </c>
      <c r="H1962" s="7">
        <v>-0.00103322190909091</v>
      </c>
      <c r="I1962" s="7">
        <v>-6.22658308658009</v>
      </c>
      <c r="J1962" s="7">
        <v>-4.18847788311688</v>
      </c>
      <c r="K1962" s="8"/>
      <c r="L1962" s="8"/>
    </row>
    <row r="1963" ht="13.5" customHeight="1">
      <c r="A1963" s="7" t="s">
        <v>355</v>
      </c>
      <c r="B1963" s="7">
        <v>0.0</v>
      </c>
      <c r="C1963" s="7" t="s">
        <v>360</v>
      </c>
      <c r="D1963" s="7" t="s">
        <v>357</v>
      </c>
      <c r="E1963" s="7">
        <v>-17.9982402597403</v>
      </c>
      <c r="F1963" s="7">
        <v>1.70323030303031</v>
      </c>
      <c r="G1963" s="7">
        <v>2.307229004329</v>
      </c>
      <c r="H1963" s="7">
        <v>-0.00103427701298701</v>
      </c>
      <c r="I1963" s="7">
        <v>-6.23337787878788</v>
      </c>
      <c r="J1963" s="7">
        <v>-4.19302493506493</v>
      </c>
      <c r="K1963" s="8"/>
      <c r="L1963" s="8"/>
    </row>
    <row r="1964" ht="13.5" customHeight="1">
      <c r="A1964" s="7" t="s">
        <v>355</v>
      </c>
      <c r="B1964" s="7">
        <v>1.75</v>
      </c>
      <c r="C1964" s="7" t="s">
        <v>360</v>
      </c>
      <c r="D1964" s="7" t="s">
        <v>357</v>
      </c>
      <c r="E1964" s="7">
        <v>-18.0150966233766</v>
      </c>
      <c r="F1964" s="7">
        <v>1.70494082251083</v>
      </c>
      <c r="G1964" s="7">
        <v>2.30949341991342</v>
      </c>
      <c r="H1964" s="7">
        <v>-0.00103533211688312</v>
      </c>
      <c r="I1964" s="7">
        <v>-6.24017267099567</v>
      </c>
      <c r="J1964" s="7">
        <v>-4.19757198701298</v>
      </c>
      <c r="K1964" s="8"/>
      <c r="L1964" s="8"/>
    </row>
    <row r="1965" ht="13.5" customHeight="1">
      <c r="A1965" s="7" t="s">
        <v>355</v>
      </c>
      <c r="B1965" s="7">
        <v>3.5</v>
      </c>
      <c r="C1965" s="7" t="s">
        <v>360</v>
      </c>
      <c r="D1965" s="7" t="s">
        <v>357</v>
      </c>
      <c r="E1965" s="7">
        <v>-18.031952987013</v>
      </c>
      <c r="F1965" s="7">
        <v>1.70665134199135</v>
      </c>
      <c r="G1965" s="7">
        <v>2.31175783549783</v>
      </c>
      <c r="H1965" s="7">
        <v>-0.00103638722077922</v>
      </c>
      <c r="I1965" s="7">
        <v>-6.24696746320347</v>
      </c>
      <c r="J1965" s="7">
        <v>-4.20211903896103</v>
      </c>
      <c r="K1965" s="8"/>
      <c r="L1965" s="8"/>
    </row>
    <row r="1966" ht="13.5" customHeight="1">
      <c r="A1966" s="7" t="s">
        <v>355</v>
      </c>
      <c r="B1966" s="7">
        <v>0.0</v>
      </c>
      <c r="C1966" s="7" t="s">
        <v>361</v>
      </c>
      <c r="D1966" s="7" t="s">
        <v>357</v>
      </c>
      <c r="E1966" s="7">
        <v>-18.0488093506494</v>
      </c>
      <c r="F1966" s="7">
        <v>1.70836186147187</v>
      </c>
      <c r="G1966" s="7">
        <v>2.31402225108225</v>
      </c>
      <c r="H1966" s="7">
        <v>-0.00103744232467532</v>
      </c>
      <c r="I1966" s="7">
        <v>-6.25376225541126</v>
      </c>
      <c r="J1966" s="7">
        <v>-4.20666609090909</v>
      </c>
      <c r="K1966" s="8"/>
      <c r="L1966" s="8"/>
    </row>
    <row r="1967" ht="13.5" customHeight="1">
      <c r="A1967" s="7" t="s">
        <v>355</v>
      </c>
      <c r="B1967" s="7">
        <v>1.75</v>
      </c>
      <c r="C1967" s="7" t="s">
        <v>361</v>
      </c>
      <c r="D1967" s="7" t="s">
        <v>357</v>
      </c>
      <c r="E1967" s="7">
        <v>-18.0656657142857</v>
      </c>
      <c r="F1967" s="7">
        <v>1.71007238095239</v>
      </c>
      <c r="G1967" s="7">
        <v>2.31628666666666</v>
      </c>
      <c r="H1967" s="7">
        <v>-0.00103849742857143</v>
      </c>
      <c r="I1967" s="7">
        <v>-6.26055704761905</v>
      </c>
      <c r="J1967" s="7">
        <v>-4.21121314285714</v>
      </c>
      <c r="K1967" s="8"/>
      <c r="L1967" s="8"/>
    </row>
    <row r="1968" ht="13.5" customHeight="1">
      <c r="A1968" s="7" t="s">
        <v>355</v>
      </c>
      <c r="B1968" s="7">
        <v>3.5</v>
      </c>
      <c r="C1968" s="7" t="s">
        <v>361</v>
      </c>
      <c r="D1968" s="7" t="s">
        <v>357</v>
      </c>
      <c r="E1968" s="7">
        <v>-18.0825220779221</v>
      </c>
      <c r="F1968" s="7">
        <v>1.71178290043291</v>
      </c>
      <c r="G1968" s="7">
        <v>2.31855108225108</v>
      </c>
      <c r="H1968" s="7">
        <v>-0.00103955253246753</v>
      </c>
      <c r="I1968" s="7">
        <v>-6.26735183982684</v>
      </c>
      <c r="J1968" s="7">
        <v>-4.21576019480519</v>
      </c>
      <c r="K1968" s="8"/>
      <c r="L1968" s="8"/>
    </row>
    <row r="1969" ht="13.5" customHeight="1">
      <c r="A1969" s="7" t="s">
        <v>355</v>
      </c>
      <c r="B1969" s="7">
        <v>0.0</v>
      </c>
      <c r="C1969" s="7" t="s">
        <v>362</v>
      </c>
      <c r="D1969" s="7" t="s">
        <v>357</v>
      </c>
      <c r="E1969" s="7">
        <v>-18.0993784415585</v>
      </c>
      <c r="F1969" s="7">
        <v>1.71349341991343</v>
      </c>
      <c r="G1969" s="7">
        <v>2.3208154978355</v>
      </c>
      <c r="H1969" s="7">
        <v>-0.00104060763636364</v>
      </c>
      <c r="I1969" s="7">
        <v>-6.27414663203463</v>
      </c>
      <c r="J1969" s="7">
        <v>-4.22030724675324</v>
      </c>
      <c r="K1969" s="8"/>
      <c r="L1969" s="8"/>
    </row>
    <row r="1970" ht="13.5" customHeight="1">
      <c r="A1970" s="7" t="s">
        <v>355</v>
      </c>
      <c r="B1970" s="7">
        <v>1.75</v>
      </c>
      <c r="C1970" s="7" t="s">
        <v>362</v>
      </c>
      <c r="D1970" s="7" t="s">
        <v>357</v>
      </c>
      <c r="E1970" s="7">
        <v>-18.1162348051948</v>
      </c>
      <c r="F1970" s="7">
        <v>1.71520393939394</v>
      </c>
      <c r="G1970" s="7">
        <v>2.32307991341991</v>
      </c>
      <c r="H1970" s="7">
        <v>-0.00104166274025974</v>
      </c>
      <c r="I1970" s="7">
        <v>-6.28094142424243</v>
      </c>
      <c r="J1970" s="7">
        <v>-4.22485429870129</v>
      </c>
      <c r="K1970" s="8"/>
      <c r="L1970" s="8"/>
    </row>
    <row r="1971" ht="13.5" customHeight="1">
      <c r="A1971" s="7" t="s">
        <v>355</v>
      </c>
      <c r="B1971" s="7">
        <v>3.5</v>
      </c>
      <c r="C1971" s="7" t="s">
        <v>362</v>
      </c>
      <c r="D1971" s="7" t="s">
        <v>357</v>
      </c>
      <c r="E1971" s="7">
        <v>-18.1330911688312</v>
      </c>
      <c r="F1971" s="7">
        <v>1.71691445887446</v>
      </c>
      <c r="G1971" s="7">
        <v>2.32534432900433</v>
      </c>
      <c r="H1971" s="7">
        <v>-0.00104271784415584</v>
      </c>
      <c r="I1971" s="7">
        <v>-6.28773621645022</v>
      </c>
      <c r="J1971" s="7">
        <v>-4.22940135064935</v>
      </c>
      <c r="K1971" s="8"/>
      <c r="L1971" s="8"/>
    </row>
    <row r="1972" ht="13.5" customHeight="1">
      <c r="A1972" s="7" t="s">
        <v>355</v>
      </c>
      <c r="B1972" s="7">
        <v>0.0</v>
      </c>
      <c r="C1972" s="7" t="s">
        <v>363</v>
      </c>
      <c r="D1972" s="7" t="s">
        <v>357</v>
      </c>
      <c r="E1972" s="7">
        <v>-18.1499475324676</v>
      </c>
      <c r="F1972" s="7">
        <v>1.71862497835498</v>
      </c>
      <c r="G1972" s="7">
        <v>2.32760874458874</v>
      </c>
      <c r="H1972" s="7">
        <v>-0.00104377294805195</v>
      </c>
      <c r="I1972" s="7">
        <v>-6.29453100865801</v>
      </c>
      <c r="J1972" s="7">
        <v>-4.2339484025974</v>
      </c>
      <c r="K1972" s="8"/>
      <c r="L1972" s="8"/>
    </row>
    <row r="1973" ht="13.5" customHeight="1">
      <c r="A1973" s="7" t="s">
        <v>355</v>
      </c>
      <c r="B1973" s="7">
        <v>1.75</v>
      </c>
      <c r="C1973" s="7" t="s">
        <v>363</v>
      </c>
      <c r="D1973" s="7" t="s">
        <v>357</v>
      </c>
      <c r="E1973" s="7">
        <v>-18.1668038961039</v>
      </c>
      <c r="F1973" s="7">
        <v>1.7203354978355</v>
      </c>
      <c r="G1973" s="7">
        <v>2.32987316017316</v>
      </c>
      <c r="H1973" s="7">
        <v>-0.00104482805194805</v>
      </c>
      <c r="I1973" s="7">
        <v>-6.3013258008658</v>
      </c>
      <c r="J1973" s="7">
        <v>-4.23849545454545</v>
      </c>
      <c r="K1973" s="8"/>
      <c r="L1973" s="8"/>
    </row>
    <row r="1974" ht="13.5" customHeight="1">
      <c r="A1974" s="7" t="s">
        <v>355</v>
      </c>
      <c r="B1974" s="7">
        <v>3.5</v>
      </c>
      <c r="C1974" s="7" t="s">
        <v>363</v>
      </c>
      <c r="D1974" s="7" t="s">
        <v>357</v>
      </c>
      <c r="E1974" s="7">
        <v>-18.1836602597403</v>
      </c>
      <c r="F1974" s="7">
        <v>1.72204601731602</v>
      </c>
      <c r="G1974" s="7">
        <v>2.33213757575757</v>
      </c>
      <c r="H1974" s="7">
        <v>-0.00104588315584416</v>
      </c>
      <c r="I1974" s="7">
        <v>-6.3081205930736</v>
      </c>
      <c r="J1974" s="7">
        <v>-4.2430425064935</v>
      </c>
      <c r="K1974" s="8"/>
      <c r="L1974" s="8"/>
    </row>
    <row r="1975" ht="13.5" customHeight="1">
      <c r="A1975" s="7" t="s">
        <v>355</v>
      </c>
      <c r="B1975" s="7">
        <v>0.0</v>
      </c>
      <c r="C1975" s="7" t="s">
        <v>356</v>
      </c>
      <c r="D1975" s="7" t="s">
        <v>357</v>
      </c>
      <c r="E1975" s="7">
        <v>-18.2005166233766</v>
      </c>
      <c r="F1975" s="7">
        <v>1.72375653679654</v>
      </c>
      <c r="G1975" s="7">
        <v>2.33440199134199</v>
      </c>
      <c r="H1975" s="7">
        <v>-0.00104693825974026</v>
      </c>
      <c r="I1975" s="7">
        <v>-6.31491538528139</v>
      </c>
      <c r="J1975" s="7">
        <v>-4.24758955844155</v>
      </c>
      <c r="K1975" s="8"/>
      <c r="L1975" s="8"/>
    </row>
    <row r="1976" ht="13.5" customHeight="1">
      <c r="A1976" s="7" t="s">
        <v>355</v>
      </c>
      <c r="B1976" s="7">
        <v>1.75</v>
      </c>
      <c r="C1976" s="7" t="s">
        <v>356</v>
      </c>
      <c r="D1976" s="7" t="s">
        <v>357</v>
      </c>
      <c r="E1976" s="7">
        <v>-18.217372987013</v>
      </c>
      <c r="F1976" s="7">
        <v>1.72546705627706</v>
      </c>
      <c r="G1976" s="7">
        <v>2.3366664069264</v>
      </c>
      <c r="H1976" s="7">
        <v>-0.00104799336363636</v>
      </c>
      <c r="I1976" s="7">
        <v>-6.32171017748918</v>
      </c>
      <c r="J1976" s="7">
        <v>-4.2521366103896</v>
      </c>
      <c r="K1976" s="8"/>
      <c r="L1976" s="8"/>
    </row>
    <row r="1977" ht="13.5" customHeight="1">
      <c r="A1977" s="7" t="s">
        <v>355</v>
      </c>
      <c r="B1977" s="7">
        <v>3.5</v>
      </c>
      <c r="C1977" s="7" t="s">
        <v>356</v>
      </c>
      <c r="D1977" s="7" t="s">
        <v>357</v>
      </c>
      <c r="E1977" s="7">
        <v>-18.2342293506494</v>
      </c>
      <c r="F1977" s="7">
        <v>1.72717757575758</v>
      </c>
      <c r="G1977" s="7">
        <v>2.33893082251082</v>
      </c>
      <c r="H1977" s="7">
        <v>-0.00104904846753247</v>
      </c>
      <c r="I1977" s="7">
        <v>-6.32850496969697</v>
      </c>
      <c r="J1977" s="7">
        <v>-4.25668366233766</v>
      </c>
      <c r="K1977" s="8"/>
      <c r="L1977" s="8"/>
    </row>
    <row r="1978" ht="13.5" customHeight="1">
      <c r="A1978" s="7" t="s">
        <v>355</v>
      </c>
      <c r="B1978" s="7">
        <v>0.0</v>
      </c>
      <c r="C1978" s="7" t="s">
        <v>358</v>
      </c>
      <c r="D1978" s="7" t="s">
        <v>357</v>
      </c>
      <c r="E1978" s="7">
        <v>-18.2510857142857</v>
      </c>
      <c r="F1978" s="7">
        <v>1.7288880952381</v>
      </c>
      <c r="G1978" s="7">
        <v>2.34119523809524</v>
      </c>
      <c r="H1978" s="7">
        <v>-0.00105010357142857</v>
      </c>
      <c r="I1978" s="7">
        <v>-6.33529976190476</v>
      </c>
      <c r="J1978" s="7">
        <v>-4.26123071428571</v>
      </c>
      <c r="K1978" s="8"/>
      <c r="L1978" s="8"/>
    </row>
    <row r="1979" ht="13.5" customHeight="1">
      <c r="A1979" s="7" t="s">
        <v>355</v>
      </c>
      <c r="B1979" s="7">
        <v>1.75</v>
      </c>
      <c r="C1979" s="7" t="s">
        <v>358</v>
      </c>
      <c r="D1979" s="7" t="s">
        <v>357</v>
      </c>
      <c r="E1979" s="7">
        <v>-18.2679420779221</v>
      </c>
      <c r="F1979" s="7">
        <v>1.73059861471862</v>
      </c>
      <c r="G1979" s="7">
        <v>2.34345965367965</v>
      </c>
      <c r="H1979" s="7">
        <v>-0.00105115867532468</v>
      </c>
      <c r="I1979" s="7">
        <v>-6.34209455411256</v>
      </c>
      <c r="J1979" s="7">
        <v>-4.26577776623376</v>
      </c>
      <c r="K1979" s="8"/>
      <c r="L1979" s="8"/>
    </row>
    <row r="1980" ht="13.5" customHeight="1">
      <c r="A1980" s="7" t="s">
        <v>355</v>
      </c>
      <c r="B1980" s="7">
        <v>3.5</v>
      </c>
      <c r="C1980" s="7" t="s">
        <v>358</v>
      </c>
      <c r="D1980" s="7" t="s">
        <v>357</v>
      </c>
      <c r="E1980" s="7">
        <v>-18.2847984415585</v>
      </c>
      <c r="F1980" s="7">
        <v>1.73230913419914</v>
      </c>
      <c r="G1980" s="7">
        <v>2.34572406926407</v>
      </c>
      <c r="H1980" s="7">
        <v>-0.00105221377922078</v>
      </c>
      <c r="I1980" s="7">
        <v>-6.34888934632035</v>
      </c>
      <c r="J1980" s="7">
        <v>-4.27032481818181</v>
      </c>
      <c r="K1980" s="8"/>
      <c r="L1980" s="8"/>
    </row>
    <row r="1981" ht="13.5" customHeight="1">
      <c r="A1981" s="7" t="s">
        <v>355</v>
      </c>
      <c r="B1981" s="7">
        <v>0.0</v>
      </c>
      <c r="C1981" s="7" t="s">
        <v>359</v>
      </c>
      <c r="D1981" s="7" t="s">
        <v>357</v>
      </c>
      <c r="E1981" s="7">
        <v>-18.3016548051948</v>
      </c>
      <c r="F1981" s="7">
        <v>1.73401965367966</v>
      </c>
      <c r="G1981" s="7">
        <v>2.34798848484848</v>
      </c>
      <c r="H1981" s="7">
        <v>-0.00105326888311688</v>
      </c>
      <c r="I1981" s="7">
        <v>-6.35568413852814</v>
      </c>
      <c r="J1981" s="7">
        <v>-4.27487187012986</v>
      </c>
      <c r="K1981" s="8"/>
      <c r="L1981" s="8"/>
    </row>
    <row r="1982" ht="13.5" customHeight="1">
      <c r="A1982" s="7" t="s">
        <v>355</v>
      </c>
      <c r="B1982" s="7">
        <v>1.75</v>
      </c>
      <c r="C1982" s="7" t="s">
        <v>359</v>
      </c>
      <c r="D1982" s="7" t="s">
        <v>357</v>
      </c>
      <c r="E1982" s="7">
        <v>-18.3185111688312</v>
      </c>
      <c r="F1982" s="7">
        <v>1.73573017316018</v>
      </c>
      <c r="G1982" s="7">
        <v>2.3502529004329</v>
      </c>
      <c r="H1982" s="7">
        <v>-0.00105432398701299</v>
      </c>
      <c r="I1982" s="7">
        <v>-6.36247893073593</v>
      </c>
      <c r="J1982" s="7">
        <v>-4.27941892207792</v>
      </c>
      <c r="K1982" s="8"/>
      <c r="L1982" s="8"/>
    </row>
    <row r="1983" ht="13.5" customHeight="1">
      <c r="A1983" s="7" t="s">
        <v>355</v>
      </c>
      <c r="B1983" s="7">
        <v>3.5</v>
      </c>
      <c r="C1983" s="7" t="s">
        <v>359</v>
      </c>
      <c r="D1983" s="7" t="s">
        <v>357</v>
      </c>
      <c r="E1983" s="7">
        <v>-18.3353675324676</v>
      </c>
      <c r="F1983" s="7">
        <v>1.7374406926407</v>
      </c>
      <c r="G1983" s="7">
        <v>2.35251731601731</v>
      </c>
      <c r="H1983" s="7">
        <v>-0.00105537909090909</v>
      </c>
      <c r="I1983" s="7">
        <v>-6.36927372294373</v>
      </c>
      <c r="J1983" s="7">
        <v>-4.28396597402597</v>
      </c>
      <c r="K1983" s="8"/>
      <c r="L1983" s="8"/>
    </row>
    <row r="1984" ht="13.5" customHeight="1">
      <c r="A1984" s="7" t="s">
        <v>355</v>
      </c>
      <c r="B1984" s="7">
        <v>0.0</v>
      </c>
      <c r="C1984" s="7" t="s">
        <v>360</v>
      </c>
      <c r="D1984" s="7" t="s">
        <v>357</v>
      </c>
      <c r="E1984" s="7">
        <v>-18.3522238961039</v>
      </c>
      <c r="F1984" s="7">
        <v>1.73915121212122</v>
      </c>
      <c r="G1984" s="7">
        <v>2.35478173160173</v>
      </c>
      <c r="H1984" s="7">
        <v>-0.0010564341948052</v>
      </c>
      <c r="I1984" s="7">
        <v>-6.37606851515152</v>
      </c>
      <c r="J1984" s="7">
        <v>-4.28851302597402</v>
      </c>
      <c r="K1984" s="8"/>
      <c r="L1984" s="8"/>
    </row>
    <row r="1985" ht="13.5" customHeight="1">
      <c r="A1985" s="7" t="s">
        <v>355</v>
      </c>
      <c r="B1985" s="7">
        <v>1.75</v>
      </c>
      <c r="C1985" s="7" t="s">
        <v>360</v>
      </c>
      <c r="D1985" s="7" t="s">
        <v>357</v>
      </c>
      <c r="E1985" s="7">
        <v>-18.3690802597403</v>
      </c>
      <c r="F1985" s="7">
        <v>1.74086173160174</v>
      </c>
      <c r="G1985" s="7">
        <v>2.35704614718615</v>
      </c>
      <c r="H1985" s="7">
        <v>-0.0010574892987013</v>
      </c>
      <c r="I1985" s="7">
        <v>-6.38286330735931</v>
      </c>
      <c r="J1985" s="7">
        <v>-4.29306007792207</v>
      </c>
      <c r="K1985" s="8"/>
      <c r="L1985" s="8"/>
    </row>
    <row r="1986" ht="13.5" customHeight="1">
      <c r="A1986" s="7" t="s">
        <v>355</v>
      </c>
      <c r="B1986" s="7">
        <v>3.5</v>
      </c>
      <c r="C1986" s="7" t="s">
        <v>360</v>
      </c>
      <c r="D1986" s="7" t="s">
        <v>357</v>
      </c>
      <c r="E1986" s="7">
        <v>-18.3859366233766</v>
      </c>
      <c r="F1986" s="7">
        <v>1.74257225108226</v>
      </c>
      <c r="G1986" s="7">
        <v>2.35931056277056</v>
      </c>
      <c r="H1986" s="7">
        <v>-0.0010585444025974</v>
      </c>
      <c r="I1986" s="7">
        <v>-6.3896580995671</v>
      </c>
      <c r="J1986" s="7">
        <v>-4.29760712987012</v>
      </c>
      <c r="K1986" s="8"/>
      <c r="L1986" s="8"/>
    </row>
    <row r="1987" ht="13.5" customHeight="1">
      <c r="A1987" s="7" t="s">
        <v>355</v>
      </c>
      <c r="B1987" s="7">
        <v>0.0</v>
      </c>
      <c r="C1987" s="7" t="s">
        <v>361</v>
      </c>
      <c r="D1987" s="7" t="s">
        <v>357</v>
      </c>
      <c r="E1987" s="7">
        <v>-18.402792987013</v>
      </c>
      <c r="F1987" s="7">
        <v>1.74428277056278</v>
      </c>
      <c r="G1987" s="7">
        <v>2.36157497835498</v>
      </c>
      <c r="H1987" s="7">
        <v>-0.00105959950649351</v>
      </c>
      <c r="I1987" s="7">
        <v>-6.39645289177489</v>
      </c>
      <c r="J1987" s="7">
        <v>-4.30215418181818</v>
      </c>
      <c r="K1987" s="8"/>
      <c r="L1987" s="8"/>
    </row>
    <row r="1988" ht="13.5" customHeight="1">
      <c r="A1988" s="7" t="s">
        <v>355</v>
      </c>
      <c r="B1988" s="7">
        <v>1.75</v>
      </c>
      <c r="C1988" s="7" t="s">
        <v>361</v>
      </c>
      <c r="D1988" s="7" t="s">
        <v>357</v>
      </c>
      <c r="E1988" s="7">
        <v>-18.4196493506494</v>
      </c>
      <c r="F1988" s="7">
        <v>1.7459932900433</v>
      </c>
      <c r="G1988" s="7">
        <v>2.36383939393939</v>
      </c>
      <c r="H1988" s="7">
        <v>-0.00106065461038961</v>
      </c>
      <c r="I1988" s="7">
        <v>-6.40324768398269</v>
      </c>
      <c r="J1988" s="7">
        <v>-4.30670123376623</v>
      </c>
      <c r="K1988" s="8"/>
      <c r="L1988" s="8"/>
    </row>
    <row r="1989" ht="13.5" customHeight="1">
      <c r="A1989" s="7" t="s">
        <v>355</v>
      </c>
      <c r="B1989" s="7">
        <v>3.5</v>
      </c>
      <c r="C1989" s="7" t="s">
        <v>361</v>
      </c>
      <c r="D1989" s="7" t="s">
        <v>357</v>
      </c>
      <c r="E1989" s="7">
        <v>-18.4365057142857</v>
      </c>
      <c r="F1989" s="7">
        <v>1.74770380952382</v>
      </c>
      <c r="G1989" s="7">
        <v>2.36610380952381</v>
      </c>
      <c r="H1989" s="7">
        <v>-0.00106170971428571</v>
      </c>
      <c r="I1989" s="7">
        <v>-6.41004247619048</v>
      </c>
      <c r="J1989" s="7">
        <v>-4.31124828571428</v>
      </c>
      <c r="K1989" s="8"/>
      <c r="L1989" s="8"/>
    </row>
    <row r="1990" ht="13.5" customHeight="1">
      <c r="A1990" s="7" t="s">
        <v>355</v>
      </c>
      <c r="B1990" s="7">
        <v>0.0</v>
      </c>
      <c r="C1990" s="7" t="s">
        <v>362</v>
      </c>
      <c r="D1990" s="7" t="s">
        <v>357</v>
      </c>
      <c r="E1990" s="7">
        <v>-18.4533620779221</v>
      </c>
      <c r="F1990" s="7">
        <v>1.74941432900433</v>
      </c>
      <c r="G1990" s="7">
        <v>2.36836822510822</v>
      </c>
      <c r="H1990" s="7">
        <v>-0.00106276481818182</v>
      </c>
      <c r="I1990" s="7">
        <v>-6.41683726839827</v>
      </c>
      <c r="J1990" s="7">
        <v>-4.31579533766233</v>
      </c>
      <c r="K1990" s="8"/>
      <c r="L1990" s="8"/>
    </row>
    <row r="1991" ht="13.5" customHeight="1">
      <c r="A1991" s="7" t="s">
        <v>355</v>
      </c>
      <c r="B1991" s="7">
        <v>1.75</v>
      </c>
      <c r="C1991" s="7" t="s">
        <v>362</v>
      </c>
      <c r="D1991" s="7" t="s">
        <v>357</v>
      </c>
      <c r="E1991" s="7">
        <v>-18.4702184415585</v>
      </c>
      <c r="F1991" s="7">
        <v>1.75112484848485</v>
      </c>
      <c r="G1991" s="7">
        <v>2.37063264069264</v>
      </c>
      <c r="H1991" s="7">
        <v>-0.00106381992207792</v>
      </c>
      <c r="I1991" s="7">
        <v>-6.42363206060606</v>
      </c>
      <c r="J1991" s="7">
        <v>-4.32034238961038</v>
      </c>
      <c r="K1991" s="8"/>
      <c r="L1991" s="8"/>
    </row>
    <row r="1992" ht="13.5" customHeight="1">
      <c r="A1992" s="7" t="s">
        <v>355</v>
      </c>
      <c r="B1992" s="7">
        <v>3.5</v>
      </c>
      <c r="C1992" s="7" t="s">
        <v>362</v>
      </c>
      <c r="D1992" s="7" t="s">
        <v>357</v>
      </c>
      <c r="E1992" s="7">
        <v>-18.4870748051948</v>
      </c>
      <c r="F1992" s="7">
        <v>1.75283536796537</v>
      </c>
      <c r="G1992" s="7">
        <v>2.37289705627705</v>
      </c>
      <c r="H1992" s="7">
        <v>-0.00106487502597403</v>
      </c>
      <c r="I1992" s="7">
        <v>-6.43042685281385</v>
      </c>
      <c r="J1992" s="7">
        <v>-4.32488944155844</v>
      </c>
      <c r="K1992" s="8"/>
      <c r="L1992" s="8"/>
    </row>
    <row r="1993" ht="13.5" customHeight="1">
      <c r="A1993" s="7" t="s">
        <v>355</v>
      </c>
      <c r="B1993" s="7">
        <v>0.0</v>
      </c>
      <c r="C1993" s="7" t="s">
        <v>363</v>
      </c>
      <c r="D1993" s="7" t="s">
        <v>357</v>
      </c>
      <c r="E1993" s="7">
        <v>-18.5039311688312</v>
      </c>
      <c r="F1993" s="7">
        <v>1.75454588744589</v>
      </c>
      <c r="G1993" s="7">
        <v>2.37516147186147</v>
      </c>
      <c r="H1993" s="7">
        <v>-0.00106593012987013</v>
      </c>
      <c r="I1993" s="7">
        <v>-6.43722164502165</v>
      </c>
      <c r="J1993" s="7">
        <v>-4.32943649350649</v>
      </c>
      <c r="K1993" s="8"/>
      <c r="L1993" s="8"/>
    </row>
    <row r="1994" ht="13.5" customHeight="1">
      <c r="A1994" s="7" t="s">
        <v>355</v>
      </c>
      <c r="B1994" s="7">
        <v>1.75</v>
      </c>
      <c r="C1994" s="7" t="s">
        <v>363</v>
      </c>
      <c r="D1994" s="7" t="s">
        <v>357</v>
      </c>
      <c r="E1994" s="7">
        <v>-18.5207875324675</v>
      </c>
      <c r="F1994" s="7">
        <v>1.75625640692641</v>
      </c>
      <c r="G1994" s="7">
        <v>2.37742588744589</v>
      </c>
      <c r="H1994" s="7">
        <v>-0.00106698523376623</v>
      </c>
      <c r="I1994" s="7">
        <v>-6.44401643722944</v>
      </c>
      <c r="J1994" s="7">
        <v>-4.33398354545454</v>
      </c>
      <c r="K1994" s="8"/>
      <c r="L1994" s="8"/>
    </row>
    <row r="1995" ht="13.5" customHeight="1">
      <c r="A1995" s="7" t="s">
        <v>355</v>
      </c>
      <c r="B1995" s="7">
        <v>3.5</v>
      </c>
      <c r="C1995" s="7" t="s">
        <v>363</v>
      </c>
      <c r="D1995" s="7" t="s">
        <v>357</v>
      </c>
      <c r="E1995" s="7">
        <v>-18.5376438961039</v>
      </c>
      <c r="F1995" s="7">
        <v>1.75796692640693</v>
      </c>
      <c r="G1995" s="7">
        <v>2.3796903030303</v>
      </c>
      <c r="H1995" s="7">
        <v>-0.00106804033766234</v>
      </c>
      <c r="I1995" s="7">
        <v>-6.45081122943723</v>
      </c>
      <c r="J1995" s="7">
        <v>-4.33853059740259</v>
      </c>
      <c r="K1995" s="8"/>
      <c r="L1995" s="8"/>
    </row>
    <row r="1996" ht="13.5" customHeight="1">
      <c r="A1996" s="7" t="s">
        <v>355</v>
      </c>
      <c r="B1996" s="7">
        <v>0.0</v>
      </c>
      <c r="C1996" s="7" t="s">
        <v>356</v>
      </c>
      <c r="D1996" s="7" t="s">
        <v>357</v>
      </c>
      <c r="E1996" s="7">
        <v>-18.5545002597403</v>
      </c>
      <c r="F1996" s="7">
        <v>1.75967744588745</v>
      </c>
      <c r="G1996" s="7">
        <v>2.38195471861472</v>
      </c>
      <c r="H1996" s="7">
        <v>-0.00106909544155844</v>
      </c>
      <c r="I1996" s="7">
        <v>-6.45760602164502</v>
      </c>
      <c r="J1996" s="7">
        <v>-4.34307764935064</v>
      </c>
      <c r="K1996" s="8"/>
      <c r="L1996" s="8"/>
    </row>
    <row r="1997" ht="13.5" customHeight="1">
      <c r="A1997" s="7" t="s">
        <v>355</v>
      </c>
      <c r="B1997" s="7">
        <v>1.75</v>
      </c>
      <c r="C1997" s="7" t="s">
        <v>356</v>
      </c>
      <c r="D1997" s="7" t="s">
        <v>357</v>
      </c>
      <c r="E1997" s="7">
        <v>-18.5713566233766</v>
      </c>
      <c r="F1997" s="7">
        <v>1.76138796536797</v>
      </c>
      <c r="G1997" s="7">
        <v>2.38421913419913</v>
      </c>
      <c r="H1997" s="7">
        <v>-0.00107015054545455</v>
      </c>
      <c r="I1997" s="7">
        <v>-6.46440081385282</v>
      </c>
      <c r="J1997" s="7">
        <v>-4.3476247012987</v>
      </c>
      <c r="K1997" s="8"/>
      <c r="L1997" s="8"/>
    </row>
    <row r="1998" ht="13.5" customHeight="1">
      <c r="A1998" s="7" t="s">
        <v>355</v>
      </c>
      <c r="B1998" s="7">
        <v>3.5</v>
      </c>
      <c r="C1998" s="7" t="s">
        <v>356</v>
      </c>
      <c r="D1998" s="7" t="s">
        <v>357</v>
      </c>
      <c r="E1998" s="7">
        <v>-18.588212987013</v>
      </c>
      <c r="F1998" s="7">
        <v>1.76309848484849</v>
      </c>
      <c r="G1998" s="7">
        <v>2.38648354978355</v>
      </c>
      <c r="H1998" s="7">
        <v>-0.00107120564935065</v>
      </c>
      <c r="I1998" s="7">
        <v>-6.47119560606061</v>
      </c>
      <c r="J1998" s="7">
        <v>-4.35217175324675</v>
      </c>
      <c r="K1998" s="8"/>
      <c r="L1998" s="8"/>
    </row>
    <row r="1999" ht="13.5" customHeight="1">
      <c r="A1999" s="7" t="s">
        <v>355</v>
      </c>
      <c r="B1999" s="7">
        <v>0.0</v>
      </c>
      <c r="C1999" s="7" t="s">
        <v>358</v>
      </c>
      <c r="D1999" s="7" t="s">
        <v>357</v>
      </c>
      <c r="E1999" s="7">
        <v>-18.6050693506494</v>
      </c>
      <c r="F1999" s="7">
        <v>1.76480900432901</v>
      </c>
      <c r="G1999" s="7">
        <v>2.38874796536796</v>
      </c>
      <c r="H1999" s="7">
        <v>-0.00107226075324675</v>
      </c>
      <c r="I1999" s="7">
        <v>-6.4779903982684</v>
      </c>
      <c r="J1999" s="7">
        <v>-4.3567188051948</v>
      </c>
      <c r="K1999" s="8"/>
      <c r="L1999" s="8"/>
    </row>
    <row r="2000" ht="13.5" customHeight="1">
      <c r="A2000" s="7" t="s">
        <v>355</v>
      </c>
      <c r="B2000" s="7">
        <v>1.75</v>
      </c>
      <c r="C2000" s="7" t="s">
        <v>358</v>
      </c>
      <c r="D2000" s="7" t="s">
        <v>357</v>
      </c>
      <c r="E2000" s="7">
        <v>-18.6219257142857</v>
      </c>
      <c r="F2000" s="7">
        <v>1.76651952380953</v>
      </c>
      <c r="G2000" s="7">
        <v>2.39101238095238</v>
      </c>
      <c r="H2000" s="7">
        <v>-0.00107331585714286</v>
      </c>
      <c r="I2000" s="7">
        <v>-6.48478519047619</v>
      </c>
      <c r="J2000" s="7">
        <v>-4.36126585714285</v>
      </c>
      <c r="K2000" s="8"/>
      <c r="L2000" s="8"/>
    </row>
    <row r="2001" ht="13.5" customHeight="1">
      <c r="A2001" s="7" t="s">
        <v>355</v>
      </c>
      <c r="B2001" s="7">
        <v>3.5</v>
      </c>
      <c r="C2001" s="7" t="s">
        <v>358</v>
      </c>
      <c r="D2001" s="7" t="s">
        <v>357</v>
      </c>
      <c r="E2001" s="7">
        <v>-18.6387820779221</v>
      </c>
      <c r="F2001" s="7">
        <v>1.76823004329005</v>
      </c>
      <c r="G2001" s="7">
        <v>2.39327679653679</v>
      </c>
      <c r="H2001" s="7">
        <v>-0.00107437096103896</v>
      </c>
      <c r="I2001" s="7">
        <v>-6.49157998268398</v>
      </c>
      <c r="J2001" s="7">
        <v>-4.3658129090909</v>
      </c>
      <c r="K2001" s="8"/>
      <c r="L2001" s="8"/>
    </row>
    <row r="2002" ht="13.5" customHeight="1">
      <c r="A2002" s="7" t="s">
        <v>355</v>
      </c>
      <c r="B2002" s="7">
        <v>0.0</v>
      </c>
      <c r="C2002" s="7" t="s">
        <v>359</v>
      </c>
      <c r="D2002" s="7" t="s">
        <v>357</v>
      </c>
      <c r="E2002" s="7">
        <v>-18.6556384415585</v>
      </c>
      <c r="F2002" s="7">
        <v>1.76994056277057</v>
      </c>
      <c r="G2002" s="7">
        <v>2.39554121212121</v>
      </c>
      <c r="H2002" s="7">
        <v>-0.00107542606493507</v>
      </c>
      <c r="I2002" s="7">
        <v>-6.49837477489178</v>
      </c>
      <c r="J2002" s="7">
        <v>-4.37035996103896</v>
      </c>
      <c r="K2002" s="8"/>
      <c r="L2002" s="8"/>
    </row>
    <row r="2003" ht="13.5" customHeight="1">
      <c r="A2003" s="7" t="s">
        <v>355</v>
      </c>
      <c r="B2003" s="7">
        <v>1.75</v>
      </c>
      <c r="C2003" s="7" t="s">
        <v>359</v>
      </c>
      <c r="D2003" s="7" t="s">
        <v>357</v>
      </c>
      <c r="E2003" s="7">
        <v>-18.6724948051948</v>
      </c>
      <c r="F2003" s="7">
        <v>1.77165108225109</v>
      </c>
      <c r="G2003" s="7">
        <v>2.39780562770563</v>
      </c>
      <c r="H2003" s="7">
        <v>-0.00107648116883117</v>
      </c>
      <c r="I2003" s="7">
        <v>-6.50516956709957</v>
      </c>
      <c r="J2003" s="7">
        <v>-4.37490701298701</v>
      </c>
      <c r="K2003" s="8"/>
      <c r="L2003" s="8"/>
    </row>
    <row r="2004" ht="13.5" customHeight="1">
      <c r="A2004" s="7" t="s">
        <v>355</v>
      </c>
      <c r="B2004" s="7">
        <v>3.5</v>
      </c>
      <c r="C2004" s="7" t="s">
        <v>359</v>
      </c>
      <c r="D2004" s="7" t="s">
        <v>357</v>
      </c>
      <c r="E2004" s="7">
        <v>-18.6893511688312</v>
      </c>
      <c r="F2004" s="7">
        <v>1.77336160173161</v>
      </c>
      <c r="G2004" s="7">
        <v>2.40007004329004</v>
      </c>
      <c r="H2004" s="7">
        <v>-0.00107753627272727</v>
      </c>
      <c r="I2004" s="7">
        <v>-6.51196435930736</v>
      </c>
      <c r="J2004" s="7">
        <v>-4.37945406493506</v>
      </c>
      <c r="K2004" s="8"/>
      <c r="L2004" s="8"/>
    </row>
    <row r="2005" ht="13.5" customHeight="1">
      <c r="A2005" s="7" t="s">
        <v>355</v>
      </c>
      <c r="B2005" s="7">
        <v>0.0</v>
      </c>
      <c r="C2005" s="7" t="s">
        <v>360</v>
      </c>
      <c r="D2005" s="7" t="s">
        <v>357</v>
      </c>
      <c r="E2005" s="7">
        <v>-18.7062075324675</v>
      </c>
      <c r="F2005" s="7">
        <v>1.77507212121213</v>
      </c>
      <c r="G2005" s="7">
        <v>2.40233445887446</v>
      </c>
      <c r="H2005" s="7">
        <v>-0.00107859137662338</v>
      </c>
      <c r="I2005" s="7">
        <v>-6.51875915151515</v>
      </c>
      <c r="J2005" s="7">
        <v>-4.38400111688311</v>
      </c>
      <c r="K2005" s="8"/>
      <c r="L2005" s="8"/>
    </row>
    <row r="2006" ht="13.5" customHeight="1">
      <c r="A2006" s="7" t="s">
        <v>355</v>
      </c>
      <c r="B2006" s="7">
        <v>1.75</v>
      </c>
      <c r="C2006" s="7" t="s">
        <v>360</v>
      </c>
      <c r="D2006" s="7" t="s">
        <v>357</v>
      </c>
      <c r="E2006" s="7">
        <v>-18.7230638961039</v>
      </c>
      <c r="F2006" s="7">
        <v>1.77678264069265</v>
      </c>
      <c r="G2006" s="7">
        <v>2.40459887445887</v>
      </c>
      <c r="H2006" s="7">
        <v>-0.00107964648051948</v>
      </c>
      <c r="I2006" s="7">
        <v>-6.52555394372295</v>
      </c>
      <c r="J2006" s="7">
        <v>-4.38854816883116</v>
      </c>
      <c r="K2006" s="8"/>
      <c r="L2006" s="8"/>
    </row>
    <row r="2007" ht="13.5" customHeight="1">
      <c r="A2007" s="7" t="s">
        <v>355</v>
      </c>
      <c r="B2007" s="7">
        <v>3.5</v>
      </c>
      <c r="C2007" s="7" t="s">
        <v>360</v>
      </c>
      <c r="D2007" s="7" t="s">
        <v>357</v>
      </c>
      <c r="E2007" s="7">
        <v>-18.7399202597403</v>
      </c>
      <c r="F2007" s="7">
        <v>1.77849316017317</v>
      </c>
      <c r="G2007" s="7">
        <v>2.40686329004329</v>
      </c>
      <c r="H2007" s="7">
        <v>-0.00108070158441558</v>
      </c>
      <c r="I2007" s="7">
        <v>-6.53234873593074</v>
      </c>
      <c r="J2007" s="7">
        <v>-4.39309522077922</v>
      </c>
      <c r="K2007" s="8"/>
      <c r="L2007" s="8"/>
    </row>
    <row r="2008" ht="13.5" customHeight="1">
      <c r="A2008" s="7" t="s">
        <v>355</v>
      </c>
      <c r="B2008" s="7">
        <v>0.0</v>
      </c>
      <c r="C2008" s="7" t="s">
        <v>361</v>
      </c>
      <c r="D2008" s="7" t="s">
        <v>357</v>
      </c>
      <c r="E2008" s="7">
        <v>-18.7567766233766</v>
      </c>
      <c r="F2008" s="7">
        <v>1.78020367965369</v>
      </c>
      <c r="G2008" s="7">
        <v>2.4091277056277</v>
      </c>
      <c r="H2008" s="7">
        <v>-0.00108175668831169</v>
      </c>
      <c r="I2008" s="7">
        <v>-6.53914352813853</v>
      </c>
      <c r="J2008" s="7">
        <v>-4.39764227272727</v>
      </c>
      <c r="K2008" s="8"/>
      <c r="L2008" s="8"/>
    </row>
    <row r="2009" ht="13.5" customHeight="1">
      <c r="A2009" s="7" t="s">
        <v>355</v>
      </c>
      <c r="B2009" s="7">
        <v>1.75</v>
      </c>
      <c r="C2009" s="7" t="s">
        <v>361</v>
      </c>
      <c r="D2009" s="7" t="s">
        <v>357</v>
      </c>
      <c r="E2009" s="7">
        <v>-18.773632987013</v>
      </c>
      <c r="F2009" s="7">
        <v>1.7819141991342</v>
      </c>
      <c r="G2009" s="7">
        <v>2.41139212121212</v>
      </c>
      <c r="H2009" s="7">
        <v>-0.00108281179220779</v>
      </c>
      <c r="I2009" s="7">
        <v>-6.54593832034632</v>
      </c>
      <c r="J2009" s="7">
        <v>-4.40218932467532</v>
      </c>
      <c r="K2009" s="8"/>
      <c r="L2009" s="8"/>
    </row>
    <row r="2010" ht="13.5" customHeight="1">
      <c r="A2010" s="7" t="s">
        <v>355</v>
      </c>
      <c r="B2010" s="7">
        <v>3.5</v>
      </c>
      <c r="C2010" s="7" t="s">
        <v>361</v>
      </c>
      <c r="D2010" s="7" t="s">
        <v>357</v>
      </c>
      <c r="E2010" s="7">
        <v>-18.7904893506494</v>
      </c>
      <c r="F2010" s="7">
        <v>1.78362471861472</v>
      </c>
      <c r="G2010" s="7">
        <v>2.41365653679653</v>
      </c>
      <c r="H2010" s="7">
        <v>-0.0010838668961039</v>
      </c>
      <c r="I2010" s="7">
        <v>-6.55273311255411</v>
      </c>
      <c r="J2010" s="7">
        <v>-4.40673637662337</v>
      </c>
      <c r="K2010" s="8"/>
      <c r="L2010" s="8"/>
    </row>
    <row r="2011" ht="13.5" customHeight="1">
      <c r="A2011" s="7" t="s">
        <v>355</v>
      </c>
      <c r="B2011" s="7">
        <v>0.0</v>
      </c>
      <c r="C2011" s="7" t="s">
        <v>362</v>
      </c>
      <c r="D2011" s="7" t="s">
        <v>357</v>
      </c>
      <c r="E2011" s="7">
        <v>-18.8073457142857</v>
      </c>
      <c r="F2011" s="7">
        <v>1.78533523809524</v>
      </c>
      <c r="G2011" s="7">
        <v>2.41592095238095</v>
      </c>
      <c r="H2011" s="7">
        <v>-0.001084922</v>
      </c>
      <c r="I2011" s="7">
        <v>-6.55952790476191</v>
      </c>
      <c r="J2011" s="7">
        <v>-4.41128342857142</v>
      </c>
      <c r="K2011" s="8"/>
      <c r="L2011" s="8"/>
    </row>
    <row r="2012" ht="13.5" customHeight="1">
      <c r="A2012" s="7" t="s">
        <v>355</v>
      </c>
      <c r="B2012" s="7">
        <v>1.75</v>
      </c>
      <c r="C2012" s="7" t="s">
        <v>362</v>
      </c>
      <c r="D2012" s="7" t="s">
        <v>357</v>
      </c>
      <c r="E2012" s="7">
        <v>-18.8242020779221</v>
      </c>
      <c r="F2012" s="7">
        <v>1.78704575757576</v>
      </c>
      <c r="G2012" s="7">
        <v>2.41818536796537</v>
      </c>
      <c r="H2012" s="7">
        <v>-0.0010859771038961</v>
      </c>
      <c r="I2012" s="7">
        <v>-6.5663226969697</v>
      </c>
      <c r="J2012" s="7">
        <v>-4.41583048051947</v>
      </c>
      <c r="K2012" s="8"/>
      <c r="L2012" s="8"/>
    </row>
    <row r="2013" ht="13.5" customHeight="1">
      <c r="A2013" s="7" t="s">
        <v>355</v>
      </c>
      <c r="B2013" s="7">
        <v>3.5</v>
      </c>
      <c r="C2013" s="7" t="s">
        <v>362</v>
      </c>
      <c r="D2013" s="7" t="s">
        <v>357</v>
      </c>
      <c r="E2013" s="7">
        <v>-18.8410584415585</v>
      </c>
      <c r="F2013" s="7">
        <v>1.78875627705628</v>
      </c>
      <c r="G2013" s="7">
        <v>2.42044978354978</v>
      </c>
      <c r="H2013" s="7">
        <v>-0.00108703220779221</v>
      </c>
      <c r="I2013" s="7">
        <v>-6.57311748917749</v>
      </c>
      <c r="J2013" s="7">
        <v>-4.42037753246753</v>
      </c>
      <c r="K2013" s="8"/>
      <c r="L2013" s="8"/>
    </row>
    <row r="2014" ht="13.5" customHeight="1">
      <c r="A2014" s="7" t="s">
        <v>355</v>
      </c>
      <c r="B2014" s="7">
        <v>0.0</v>
      </c>
      <c r="C2014" s="7" t="s">
        <v>363</v>
      </c>
      <c r="D2014" s="7" t="s">
        <v>357</v>
      </c>
      <c r="E2014" s="7">
        <v>-18.8579148051948</v>
      </c>
      <c r="F2014" s="7">
        <v>1.7904667965368</v>
      </c>
      <c r="G2014" s="7">
        <v>2.4227141991342</v>
      </c>
      <c r="H2014" s="7">
        <v>-0.00108808731168831</v>
      </c>
      <c r="I2014" s="7">
        <v>-6.57991228138528</v>
      </c>
      <c r="J2014" s="7">
        <v>-4.42492458441558</v>
      </c>
      <c r="K2014" s="8"/>
      <c r="L2014" s="8"/>
    </row>
    <row r="2015" ht="13.5" customHeight="1">
      <c r="A2015" s="7" t="s">
        <v>355</v>
      </c>
      <c r="B2015" s="7">
        <v>1.75</v>
      </c>
      <c r="C2015" s="7" t="s">
        <v>363</v>
      </c>
      <c r="D2015" s="7" t="s">
        <v>357</v>
      </c>
      <c r="E2015" s="7">
        <v>-18.8747711688312</v>
      </c>
      <c r="F2015" s="7">
        <v>1.79217731601732</v>
      </c>
      <c r="G2015" s="7">
        <v>2.42497861471861</v>
      </c>
      <c r="H2015" s="7">
        <v>-0.00108914241558442</v>
      </c>
      <c r="I2015" s="7">
        <v>-6.58670707359308</v>
      </c>
      <c r="J2015" s="7">
        <v>-4.42947163636363</v>
      </c>
      <c r="K2015" s="8"/>
      <c r="L2015" s="8"/>
    </row>
    <row r="2016" ht="13.5" customHeight="1">
      <c r="A2016" s="7" t="s">
        <v>355</v>
      </c>
      <c r="B2016" s="7">
        <v>3.5</v>
      </c>
      <c r="C2016" s="7" t="s">
        <v>363</v>
      </c>
      <c r="D2016" s="7" t="s">
        <v>357</v>
      </c>
      <c r="E2016" s="7">
        <v>-18.8916275324675</v>
      </c>
      <c r="F2016" s="7">
        <v>1.79388783549784</v>
      </c>
      <c r="G2016" s="7">
        <v>2.42724303030303</v>
      </c>
      <c r="H2016" s="7">
        <v>-0.00109019751948052</v>
      </c>
      <c r="I2016" s="7">
        <v>-6.59350186580087</v>
      </c>
      <c r="J2016" s="7">
        <v>-4.43401868831168</v>
      </c>
      <c r="K2016" s="8"/>
      <c r="L2016" s="8"/>
    </row>
    <row r="2017" ht="13.5" customHeight="1">
      <c r="A2017" s="7" t="s">
        <v>355</v>
      </c>
      <c r="B2017" s="7">
        <v>0.0</v>
      </c>
      <c r="C2017" s="7" t="s">
        <v>356</v>
      </c>
      <c r="D2017" s="7" t="s">
        <v>357</v>
      </c>
      <c r="E2017" s="7">
        <v>-18.9084838961039</v>
      </c>
      <c r="F2017" s="7">
        <v>1.79559835497836</v>
      </c>
      <c r="G2017" s="7">
        <v>2.42950744588744</v>
      </c>
      <c r="H2017" s="7">
        <v>-0.00109125262337662</v>
      </c>
      <c r="I2017" s="7">
        <v>-6.60029665800866</v>
      </c>
      <c r="J2017" s="7">
        <v>-4.43856574025973</v>
      </c>
      <c r="K2017" s="8"/>
      <c r="L2017" s="8"/>
    </row>
    <row r="2018" ht="13.5" customHeight="1">
      <c r="A2018" s="7" t="s">
        <v>355</v>
      </c>
      <c r="B2018" s="7">
        <v>1.75</v>
      </c>
      <c r="C2018" s="7" t="s">
        <v>356</v>
      </c>
      <c r="D2018" s="7" t="s">
        <v>357</v>
      </c>
      <c r="E2018" s="7">
        <v>-18.9253402597403</v>
      </c>
      <c r="F2018" s="7">
        <v>1.79730887445888</v>
      </c>
      <c r="G2018" s="7">
        <v>2.43177186147186</v>
      </c>
      <c r="H2018" s="7">
        <v>-0.00109230772727273</v>
      </c>
      <c r="I2018" s="7">
        <v>-6.60709145021645</v>
      </c>
      <c r="J2018" s="7">
        <v>-4.44311279220779</v>
      </c>
      <c r="K2018" s="8"/>
      <c r="L2018" s="8"/>
    </row>
    <row r="2019" ht="13.5" customHeight="1">
      <c r="A2019" s="7" t="s">
        <v>355</v>
      </c>
      <c r="B2019" s="7">
        <v>3.5</v>
      </c>
      <c r="C2019" s="7" t="s">
        <v>356</v>
      </c>
      <c r="D2019" s="7" t="s">
        <v>357</v>
      </c>
      <c r="E2019" s="7">
        <v>-18.9421966233766</v>
      </c>
      <c r="F2019" s="7">
        <v>1.7990193939394</v>
      </c>
      <c r="G2019" s="7">
        <v>2.43403627705628</v>
      </c>
      <c r="H2019" s="7">
        <v>-0.00109336283116883</v>
      </c>
      <c r="I2019" s="7">
        <v>-6.61388624242424</v>
      </c>
      <c r="J2019" s="7">
        <v>-4.44765984415584</v>
      </c>
      <c r="K2019" s="8"/>
      <c r="L2019" s="8"/>
    </row>
    <row r="2020" ht="13.5" customHeight="1">
      <c r="A2020" s="7" t="s">
        <v>355</v>
      </c>
      <c r="B2020" s="7">
        <v>0.0</v>
      </c>
      <c r="C2020" s="7" t="s">
        <v>358</v>
      </c>
      <c r="D2020" s="7" t="s">
        <v>357</v>
      </c>
      <c r="E2020" s="7">
        <v>-18.959052987013</v>
      </c>
      <c r="F2020" s="7">
        <v>1.80072991341992</v>
      </c>
      <c r="G2020" s="7">
        <v>2.43630069264069</v>
      </c>
      <c r="H2020" s="7">
        <v>-0.00109441793506494</v>
      </c>
      <c r="I2020" s="7">
        <v>-6.62068103463204</v>
      </c>
      <c r="J2020" s="7">
        <v>-4.45220689610389</v>
      </c>
      <c r="K2020" s="8"/>
      <c r="L2020" s="8"/>
    </row>
    <row r="2021" ht="13.5" customHeight="1">
      <c r="A2021" s="7" t="s">
        <v>355</v>
      </c>
      <c r="B2021" s="7">
        <v>1.75</v>
      </c>
      <c r="C2021" s="7" t="s">
        <v>358</v>
      </c>
      <c r="D2021" s="7" t="s">
        <v>357</v>
      </c>
      <c r="E2021" s="7">
        <v>-18.9759093506494</v>
      </c>
      <c r="F2021" s="7">
        <v>1.80244043290044</v>
      </c>
      <c r="G2021" s="7">
        <v>2.43856510822511</v>
      </c>
      <c r="H2021" s="7">
        <v>-0.00109547303896104</v>
      </c>
      <c r="I2021" s="7">
        <v>-6.62747582683983</v>
      </c>
      <c r="J2021" s="7">
        <v>-4.45675394805194</v>
      </c>
      <c r="K2021" s="8"/>
      <c r="L2021" s="8"/>
    </row>
    <row r="2022" ht="13.5" customHeight="1">
      <c r="A2022" s="7" t="s">
        <v>355</v>
      </c>
      <c r="B2022" s="7">
        <v>3.5</v>
      </c>
      <c r="C2022" s="7" t="s">
        <v>358</v>
      </c>
      <c r="D2022" s="7" t="s">
        <v>357</v>
      </c>
      <c r="E2022" s="7">
        <v>-18.9927657142857</v>
      </c>
      <c r="F2022" s="7">
        <v>1.80415095238096</v>
      </c>
      <c r="G2022" s="7">
        <v>2.44082952380952</v>
      </c>
      <c r="H2022" s="7">
        <v>-0.00109652814285714</v>
      </c>
      <c r="I2022" s="7">
        <v>-6.63427061904762</v>
      </c>
      <c r="J2022" s="7">
        <v>-4.46130099999999</v>
      </c>
      <c r="K2022" s="8"/>
      <c r="L2022" s="8"/>
    </row>
    <row r="2023" ht="13.5" customHeight="1">
      <c r="A2023" s="7" t="s">
        <v>355</v>
      </c>
      <c r="B2023" s="7">
        <v>0.0</v>
      </c>
      <c r="C2023" s="7" t="s">
        <v>359</v>
      </c>
      <c r="D2023" s="7" t="s">
        <v>357</v>
      </c>
      <c r="E2023" s="7">
        <v>-19.0096220779221</v>
      </c>
      <c r="F2023" s="7">
        <v>1.80586147186148</v>
      </c>
      <c r="G2023" s="7">
        <v>2.44309393939394</v>
      </c>
      <c r="H2023" s="7">
        <v>-0.00109758324675325</v>
      </c>
      <c r="I2023" s="7">
        <v>-6.64106541125541</v>
      </c>
      <c r="J2023" s="7">
        <v>-4.46584805194805</v>
      </c>
      <c r="K2023" s="8"/>
      <c r="L2023" s="8"/>
    </row>
    <row r="2024" ht="13.5" customHeight="1">
      <c r="A2024" s="7" t="s">
        <v>355</v>
      </c>
      <c r="B2024" s="7">
        <v>1.75</v>
      </c>
      <c r="C2024" s="7" t="s">
        <v>359</v>
      </c>
      <c r="D2024" s="7" t="s">
        <v>357</v>
      </c>
      <c r="E2024" s="7">
        <v>-19.0264784415585</v>
      </c>
      <c r="F2024" s="7">
        <v>1.807571991342</v>
      </c>
      <c r="G2024" s="7">
        <v>2.44535835497835</v>
      </c>
      <c r="H2024" s="7">
        <v>-0.00109863835064935</v>
      </c>
      <c r="I2024" s="7">
        <v>-6.64786020346321</v>
      </c>
      <c r="J2024" s="7">
        <v>-4.4703951038961</v>
      </c>
      <c r="K2024" s="8"/>
      <c r="L2024" s="8"/>
    </row>
    <row r="2025" ht="13.5" customHeight="1">
      <c r="A2025" s="7" t="s">
        <v>355</v>
      </c>
      <c r="B2025" s="7">
        <v>3.5</v>
      </c>
      <c r="C2025" s="7" t="s">
        <v>359</v>
      </c>
      <c r="D2025" s="7" t="s">
        <v>357</v>
      </c>
      <c r="E2025" s="7">
        <v>-19.0433348051948</v>
      </c>
      <c r="F2025" s="7">
        <v>1.80928251082252</v>
      </c>
      <c r="G2025" s="7">
        <v>2.44762277056277</v>
      </c>
      <c r="H2025" s="7">
        <v>-0.00109969345454545</v>
      </c>
      <c r="I2025" s="7">
        <v>-6.654654995671</v>
      </c>
      <c r="J2025" s="7">
        <v>-4.47494215584415</v>
      </c>
      <c r="K2025" s="8"/>
      <c r="L2025" s="8"/>
    </row>
    <row r="2026" ht="13.5" customHeight="1">
      <c r="A2026" s="7" t="s">
        <v>355</v>
      </c>
      <c r="B2026" s="7">
        <v>0.0</v>
      </c>
      <c r="C2026" s="7" t="s">
        <v>360</v>
      </c>
      <c r="D2026" s="7" t="s">
        <v>357</v>
      </c>
      <c r="E2026" s="7">
        <v>-19.0601911688312</v>
      </c>
      <c r="F2026" s="7">
        <v>1.81099303030304</v>
      </c>
      <c r="G2026" s="7">
        <v>2.44988718614718</v>
      </c>
      <c r="H2026" s="7">
        <v>-0.00110074855844156</v>
      </c>
      <c r="I2026" s="7">
        <v>-6.66144978787879</v>
      </c>
      <c r="J2026" s="7">
        <v>-4.4794892077922</v>
      </c>
      <c r="K2026" s="8"/>
      <c r="L2026" s="8"/>
    </row>
    <row r="2027" ht="13.5" customHeight="1">
      <c r="A2027" s="7" t="s">
        <v>355</v>
      </c>
      <c r="B2027" s="7">
        <v>1.75</v>
      </c>
      <c r="C2027" s="7" t="s">
        <v>360</v>
      </c>
      <c r="D2027" s="7" t="s">
        <v>357</v>
      </c>
      <c r="E2027" s="7">
        <v>-19.0770475324675</v>
      </c>
      <c r="F2027" s="7">
        <v>1.81270354978356</v>
      </c>
      <c r="G2027" s="7">
        <v>2.4521516017316</v>
      </c>
      <c r="H2027" s="7">
        <v>-0.00110180366233766</v>
      </c>
      <c r="I2027" s="7">
        <v>-6.66824458008658</v>
      </c>
      <c r="J2027" s="7">
        <v>-4.48403625974025</v>
      </c>
      <c r="K2027" s="8"/>
      <c r="L2027" s="8"/>
    </row>
    <row r="2028" ht="13.5" customHeight="1">
      <c r="A2028" s="7" t="s">
        <v>355</v>
      </c>
      <c r="B2028" s="7">
        <v>3.5</v>
      </c>
      <c r="C2028" s="7" t="s">
        <v>360</v>
      </c>
      <c r="D2028" s="7" t="s">
        <v>357</v>
      </c>
      <c r="E2028" s="7">
        <v>-19.0939038961039</v>
      </c>
      <c r="F2028" s="7">
        <v>1.81441406926407</v>
      </c>
      <c r="G2028" s="7">
        <v>2.45441601731602</v>
      </c>
      <c r="H2028" s="7">
        <v>-0.00110285876623377</v>
      </c>
      <c r="I2028" s="7">
        <v>-6.67503937229437</v>
      </c>
      <c r="J2028" s="7">
        <v>-4.48858331168831</v>
      </c>
      <c r="K2028" s="8"/>
      <c r="L2028" s="8"/>
    </row>
    <row r="2029" ht="13.5" customHeight="1">
      <c r="A2029" s="7" t="s">
        <v>355</v>
      </c>
      <c r="B2029" s="7">
        <v>0.0</v>
      </c>
      <c r="C2029" s="7" t="s">
        <v>361</v>
      </c>
      <c r="D2029" s="7" t="s">
        <v>357</v>
      </c>
      <c r="E2029" s="7">
        <v>-19.1107602597403</v>
      </c>
      <c r="F2029" s="7">
        <v>1.81612458874459</v>
      </c>
      <c r="G2029" s="7">
        <v>2.45668043290043</v>
      </c>
      <c r="H2029" s="7">
        <v>-0.00110391387012987</v>
      </c>
      <c r="I2029" s="7">
        <v>-6.68183416450217</v>
      </c>
      <c r="J2029" s="7">
        <v>-4.49313036363636</v>
      </c>
      <c r="K2029" s="8"/>
      <c r="L2029" s="8"/>
    </row>
    <row r="2030" ht="13.5" customHeight="1">
      <c r="A2030" s="7" t="s">
        <v>355</v>
      </c>
      <c r="B2030" s="7">
        <v>1.75</v>
      </c>
      <c r="C2030" s="7" t="s">
        <v>361</v>
      </c>
      <c r="D2030" s="7" t="s">
        <v>357</v>
      </c>
      <c r="E2030" s="7">
        <v>-19.1276166233766</v>
      </c>
      <c r="F2030" s="7">
        <v>1.81783510822511</v>
      </c>
      <c r="G2030" s="7">
        <v>2.45894484848485</v>
      </c>
      <c r="H2030" s="7">
        <v>-0.00110496897402597</v>
      </c>
      <c r="I2030" s="7">
        <v>-6.68862895670996</v>
      </c>
      <c r="J2030" s="7">
        <v>-4.49767741558441</v>
      </c>
      <c r="K2030" s="8"/>
      <c r="L2030" s="8"/>
    </row>
    <row r="2031" ht="13.5" customHeight="1">
      <c r="A2031" s="7" t="s">
        <v>355</v>
      </c>
      <c r="B2031" s="7">
        <v>3.5</v>
      </c>
      <c r="C2031" s="7" t="s">
        <v>361</v>
      </c>
      <c r="D2031" s="7" t="s">
        <v>357</v>
      </c>
      <c r="E2031" s="7">
        <v>-19.144472987013</v>
      </c>
      <c r="F2031" s="7">
        <v>1.81954562770563</v>
      </c>
      <c r="G2031" s="7">
        <v>2.46120926406926</v>
      </c>
      <c r="H2031" s="7">
        <v>-0.00110602407792208</v>
      </c>
      <c r="I2031" s="7">
        <v>-6.69542374891775</v>
      </c>
      <c r="J2031" s="7">
        <v>-4.50222446753246</v>
      </c>
      <c r="K2031" s="8"/>
      <c r="L2031" s="8"/>
    </row>
    <row r="2032" ht="13.5" customHeight="1">
      <c r="A2032" s="7" t="s">
        <v>355</v>
      </c>
      <c r="B2032" s="7">
        <v>0.0</v>
      </c>
      <c r="C2032" s="7" t="s">
        <v>362</v>
      </c>
      <c r="D2032" s="7" t="s">
        <v>357</v>
      </c>
      <c r="E2032" s="7">
        <v>-19.1613293506494</v>
      </c>
      <c r="F2032" s="7">
        <v>1.82125614718615</v>
      </c>
      <c r="G2032" s="7">
        <v>2.46347367965368</v>
      </c>
      <c r="H2032" s="7">
        <v>-0.00110707918181818</v>
      </c>
      <c r="I2032" s="7">
        <v>-6.70221854112554</v>
      </c>
      <c r="J2032" s="7">
        <v>-4.50677151948051</v>
      </c>
      <c r="K2032" s="8"/>
      <c r="L2032" s="8"/>
    </row>
    <row r="2033" ht="13.5" customHeight="1">
      <c r="A2033" s="7" t="s">
        <v>355</v>
      </c>
      <c r="B2033" s="7">
        <v>1.75</v>
      </c>
      <c r="C2033" s="7" t="s">
        <v>362</v>
      </c>
      <c r="D2033" s="7" t="s">
        <v>357</v>
      </c>
      <c r="E2033" s="7">
        <v>-19.1781857142857</v>
      </c>
      <c r="F2033" s="7">
        <v>1.82296666666667</v>
      </c>
      <c r="G2033" s="7">
        <v>2.46573809523809</v>
      </c>
      <c r="H2033" s="7">
        <v>-0.00110813428571429</v>
      </c>
      <c r="I2033" s="7">
        <v>-6.70901333333333</v>
      </c>
      <c r="J2033" s="7">
        <v>-4.51131857142857</v>
      </c>
      <c r="K2033" s="8"/>
      <c r="L2033" s="8"/>
    </row>
    <row r="2034" ht="13.5" customHeight="1">
      <c r="A2034" s="7" t="s">
        <v>355</v>
      </c>
      <c r="B2034" s="7">
        <v>3.5</v>
      </c>
      <c r="C2034" s="7" t="s">
        <v>362</v>
      </c>
      <c r="D2034" s="7" t="s">
        <v>357</v>
      </c>
      <c r="E2034" s="7">
        <v>-19.1950420779221</v>
      </c>
      <c r="F2034" s="7">
        <v>1.82467718614719</v>
      </c>
      <c r="G2034" s="7">
        <v>2.46800251082251</v>
      </c>
      <c r="H2034" s="7">
        <v>-0.00110918938961039</v>
      </c>
      <c r="I2034" s="7">
        <v>-6.71580812554113</v>
      </c>
      <c r="J2034" s="7">
        <v>-4.51586562337662</v>
      </c>
      <c r="K2034" s="8"/>
      <c r="L2034" s="8"/>
    </row>
    <row r="2035" ht="13.5" customHeight="1">
      <c r="A2035" s="7" t="s">
        <v>355</v>
      </c>
      <c r="B2035" s="7">
        <v>0.0</v>
      </c>
      <c r="C2035" s="7" t="s">
        <v>363</v>
      </c>
      <c r="D2035" s="7" t="s">
        <v>357</v>
      </c>
      <c r="E2035" s="7">
        <v>-19.2118984415585</v>
      </c>
      <c r="F2035" s="7">
        <v>1.82638770562771</v>
      </c>
      <c r="G2035" s="7">
        <v>2.47026692640692</v>
      </c>
      <c r="H2035" s="7">
        <v>-0.00111024449350649</v>
      </c>
      <c r="I2035" s="7">
        <v>-6.72260291774892</v>
      </c>
      <c r="J2035" s="7">
        <v>-4.52041267532467</v>
      </c>
      <c r="K2035" s="8"/>
      <c r="L2035" s="8"/>
    </row>
    <row r="2036" ht="13.5" customHeight="1">
      <c r="A2036" s="7" t="s">
        <v>355</v>
      </c>
      <c r="B2036" s="7">
        <v>1.75</v>
      </c>
      <c r="C2036" s="7" t="s">
        <v>363</v>
      </c>
      <c r="D2036" s="7" t="s">
        <v>357</v>
      </c>
      <c r="E2036" s="7">
        <v>-19.2287548051948</v>
      </c>
      <c r="F2036" s="7">
        <v>1.82809822510823</v>
      </c>
      <c r="G2036" s="7">
        <v>2.47253134199134</v>
      </c>
      <c r="H2036" s="7">
        <v>-0.0011112995974026</v>
      </c>
      <c r="I2036" s="7">
        <v>-6.72939770995671</v>
      </c>
      <c r="J2036" s="7">
        <v>-4.52495972727272</v>
      </c>
      <c r="K2036" s="8"/>
      <c r="L2036" s="8"/>
    </row>
    <row r="2037" ht="13.5" customHeight="1">
      <c r="A2037" s="7" t="s">
        <v>355</v>
      </c>
      <c r="B2037" s="7">
        <v>3.5</v>
      </c>
      <c r="C2037" s="7" t="s">
        <v>363</v>
      </c>
      <c r="D2037" s="7" t="s">
        <v>357</v>
      </c>
      <c r="E2037" s="7">
        <v>-19.2456111688312</v>
      </c>
      <c r="F2037" s="7">
        <v>1.82980874458875</v>
      </c>
      <c r="G2037" s="7">
        <v>2.47479575757576</v>
      </c>
      <c r="H2037" s="7">
        <v>-0.0011123547012987</v>
      </c>
      <c r="I2037" s="7">
        <v>-6.7361925021645</v>
      </c>
      <c r="J2037" s="7">
        <v>-4.52950677922077</v>
      </c>
      <c r="K2037" s="8"/>
      <c r="L2037" s="8"/>
    </row>
    <row r="2038" ht="13.5" customHeight="1">
      <c r="A2038" s="7" t="s">
        <v>355</v>
      </c>
      <c r="B2038" s="7">
        <v>0.0</v>
      </c>
      <c r="C2038" s="7" t="s">
        <v>356</v>
      </c>
      <c r="D2038" s="7" t="s">
        <v>357</v>
      </c>
      <c r="E2038" s="7">
        <v>-19.2624675324676</v>
      </c>
      <c r="F2038" s="7">
        <v>1.83151926406927</v>
      </c>
      <c r="G2038" s="7">
        <v>2.47706017316017</v>
      </c>
      <c r="H2038" s="7">
        <v>-0.00111340980519481</v>
      </c>
      <c r="I2038" s="7">
        <v>-6.7429872943723</v>
      </c>
      <c r="J2038" s="7">
        <v>-4.53405383116883</v>
      </c>
      <c r="K2038" s="8"/>
      <c r="L2038" s="8"/>
    </row>
    <row r="2039" ht="13.5" customHeight="1">
      <c r="A2039" s="7" t="s">
        <v>355</v>
      </c>
      <c r="B2039" s="7">
        <v>1.75</v>
      </c>
      <c r="C2039" s="7" t="s">
        <v>356</v>
      </c>
      <c r="D2039" s="7" t="s">
        <v>357</v>
      </c>
      <c r="E2039" s="7">
        <v>-19.2793238961039</v>
      </c>
      <c r="F2039" s="7">
        <v>1.83322978354979</v>
      </c>
      <c r="G2039" s="7">
        <v>2.47932458874459</v>
      </c>
      <c r="H2039" s="7">
        <v>-0.00111446490909091</v>
      </c>
      <c r="I2039" s="7">
        <v>-6.74978208658009</v>
      </c>
      <c r="J2039" s="7">
        <v>-4.53860088311688</v>
      </c>
      <c r="K2039" s="8"/>
      <c r="L2039" s="8"/>
    </row>
    <row r="2040" ht="13.5" customHeight="1">
      <c r="A2040" s="7" t="s">
        <v>355</v>
      </c>
      <c r="B2040" s="7">
        <v>3.5</v>
      </c>
      <c r="C2040" s="7" t="s">
        <v>356</v>
      </c>
      <c r="D2040" s="7" t="s">
        <v>357</v>
      </c>
      <c r="E2040" s="7">
        <v>-19.2961802597403</v>
      </c>
      <c r="F2040" s="7">
        <v>1.83494030303031</v>
      </c>
      <c r="G2040" s="7">
        <v>2.481589004329</v>
      </c>
      <c r="H2040" s="7">
        <v>-0.00111552001298701</v>
      </c>
      <c r="I2040" s="7">
        <v>-6.75657687878788</v>
      </c>
      <c r="J2040" s="7">
        <v>-4.54314793506493</v>
      </c>
      <c r="K2040" s="8"/>
      <c r="L2040" s="8"/>
    </row>
    <row r="2041" ht="13.5" customHeight="1">
      <c r="A2041" s="7" t="s">
        <v>355</v>
      </c>
      <c r="B2041" s="7">
        <v>0.0</v>
      </c>
      <c r="C2041" s="7" t="s">
        <v>358</v>
      </c>
      <c r="D2041" s="7" t="s">
        <v>357</v>
      </c>
      <c r="E2041" s="7">
        <v>-19.3130366233766</v>
      </c>
      <c r="F2041" s="7">
        <v>1.83665082251083</v>
      </c>
      <c r="G2041" s="7">
        <v>2.48385341991342</v>
      </c>
      <c r="H2041" s="7">
        <v>-0.00111657511688312</v>
      </c>
      <c r="I2041" s="7">
        <v>-6.76337167099567</v>
      </c>
      <c r="J2041" s="7">
        <v>-4.54769498701298</v>
      </c>
      <c r="K2041" s="8"/>
      <c r="L2041" s="8"/>
    </row>
    <row r="2042" ht="13.5" customHeight="1">
      <c r="A2042" s="7" t="s">
        <v>355</v>
      </c>
      <c r="B2042" s="7">
        <v>1.75</v>
      </c>
      <c r="C2042" s="7" t="s">
        <v>358</v>
      </c>
      <c r="D2042" s="7" t="s">
        <v>357</v>
      </c>
      <c r="E2042" s="7">
        <v>-19.329892987013</v>
      </c>
      <c r="F2042" s="7">
        <v>1.83836134199135</v>
      </c>
      <c r="G2042" s="7">
        <v>2.48611783549783</v>
      </c>
      <c r="H2042" s="7">
        <v>-0.00111763022077922</v>
      </c>
      <c r="I2042" s="7">
        <v>-6.77016646320347</v>
      </c>
      <c r="J2042" s="7">
        <v>-4.55224203896103</v>
      </c>
      <c r="K2042" s="8"/>
      <c r="L2042" s="8"/>
    </row>
    <row r="2043" ht="13.5" customHeight="1">
      <c r="A2043" s="7" t="s">
        <v>355</v>
      </c>
      <c r="B2043" s="7">
        <v>3.5</v>
      </c>
      <c r="C2043" s="7" t="s">
        <v>358</v>
      </c>
      <c r="D2043" s="7" t="s">
        <v>357</v>
      </c>
      <c r="E2043" s="7">
        <v>-19.3467493506494</v>
      </c>
      <c r="F2043" s="7">
        <v>1.84007186147187</v>
      </c>
      <c r="G2043" s="7">
        <v>2.48838225108225</v>
      </c>
      <c r="H2043" s="7">
        <v>-0.00111868532467533</v>
      </c>
      <c r="I2043" s="7">
        <v>-6.77696125541126</v>
      </c>
      <c r="J2043" s="7">
        <v>-4.55678909090908</v>
      </c>
      <c r="K2043" s="8"/>
      <c r="L2043" s="8"/>
    </row>
    <row r="2044" ht="13.5" customHeight="1">
      <c r="A2044" s="7" t="s">
        <v>355</v>
      </c>
      <c r="B2044" s="7">
        <v>0.0</v>
      </c>
      <c r="C2044" s="7" t="s">
        <v>359</v>
      </c>
      <c r="D2044" s="7" t="s">
        <v>357</v>
      </c>
      <c r="E2044" s="7">
        <v>-19.3636057142857</v>
      </c>
      <c r="F2044" s="7">
        <v>1.84178238095239</v>
      </c>
      <c r="G2044" s="7">
        <v>2.49064666666666</v>
      </c>
      <c r="H2044" s="7">
        <v>-0.00111974042857143</v>
      </c>
      <c r="I2044" s="7">
        <v>-6.78375604761905</v>
      </c>
      <c r="J2044" s="7">
        <v>-4.56133614285714</v>
      </c>
      <c r="K2044" s="8"/>
      <c r="L2044" s="8"/>
    </row>
    <row r="2045" ht="13.5" customHeight="1">
      <c r="A2045" s="7" t="s">
        <v>355</v>
      </c>
      <c r="B2045" s="7">
        <v>1.75</v>
      </c>
      <c r="C2045" s="7" t="s">
        <v>359</v>
      </c>
      <c r="D2045" s="7" t="s">
        <v>357</v>
      </c>
      <c r="E2045" s="7">
        <v>-19.3804620779221</v>
      </c>
      <c r="F2045" s="7">
        <v>1.84349290043291</v>
      </c>
      <c r="G2045" s="7">
        <v>2.49291108225108</v>
      </c>
      <c r="H2045" s="7">
        <v>-0.00112079553246753</v>
      </c>
      <c r="I2045" s="7">
        <v>-6.79055083982684</v>
      </c>
      <c r="J2045" s="7">
        <v>-4.56588319480519</v>
      </c>
      <c r="K2045" s="8"/>
      <c r="L2045" s="8"/>
    </row>
    <row r="2046" ht="13.5" customHeight="1">
      <c r="A2046" s="7" t="s">
        <v>355</v>
      </c>
      <c r="B2046" s="7">
        <v>3.5</v>
      </c>
      <c r="C2046" s="7" t="s">
        <v>359</v>
      </c>
      <c r="D2046" s="7" t="s">
        <v>357</v>
      </c>
      <c r="E2046" s="7">
        <v>-19.3973184415585</v>
      </c>
      <c r="F2046" s="7">
        <v>1.84520341991343</v>
      </c>
      <c r="G2046" s="7">
        <v>2.4951754978355</v>
      </c>
      <c r="H2046" s="7">
        <v>-0.00112185063636364</v>
      </c>
      <c r="I2046" s="7">
        <v>-6.79734563203463</v>
      </c>
      <c r="J2046" s="7">
        <v>-4.57043024675324</v>
      </c>
      <c r="K2046" s="8"/>
      <c r="L2046" s="8"/>
    </row>
    <row r="2047" ht="13.5" customHeight="1">
      <c r="A2047" s="7" t="s">
        <v>355</v>
      </c>
      <c r="B2047" s="7">
        <v>0.0</v>
      </c>
      <c r="C2047" s="7" t="s">
        <v>360</v>
      </c>
      <c r="D2047" s="7" t="s">
        <v>357</v>
      </c>
      <c r="E2047" s="7">
        <v>-19.4141748051948</v>
      </c>
      <c r="F2047" s="7">
        <v>1.84691393939395</v>
      </c>
      <c r="G2047" s="7">
        <v>2.49743991341991</v>
      </c>
      <c r="H2047" s="7">
        <v>-0.00112290574025974</v>
      </c>
      <c r="I2047" s="7">
        <v>-6.80414042424243</v>
      </c>
      <c r="J2047" s="7">
        <v>-4.57497729870129</v>
      </c>
      <c r="K2047" s="8"/>
      <c r="L2047" s="8"/>
    </row>
    <row r="2048" ht="13.5" customHeight="1">
      <c r="A2048" s="7" t="s">
        <v>355</v>
      </c>
      <c r="B2048" s="7">
        <v>1.75</v>
      </c>
      <c r="C2048" s="7" t="s">
        <v>360</v>
      </c>
      <c r="D2048" s="7" t="s">
        <v>357</v>
      </c>
      <c r="E2048" s="7">
        <v>-19.4310311688312</v>
      </c>
      <c r="F2048" s="7">
        <v>1.84862445887446</v>
      </c>
      <c r="G2048" s="7">
        <v>2.49970432900433</v>
      </c>
      <c r="H2048" s="7">
        <v>-0.00112396084415584</v>
      </c>
      <c r="I2048" s="7">
        <v>-6.81093521645022</v>
      </c>
      <c r="J2048" s="7">
        <v>-4.57952435064935</v>
      </c>
      <c r="K2048" s="8"/>
      <c r="L2048" s="8"/>
    </row>
    <row r="2049" ht="13.5" customHeight="1">
      <c r="A2049" s="7" t="s">
        <v>355</v>
      </c>
      <c r="B2049" s="7">
        <v>3.5</v>
      </c>
      <c r="C2049" s="7" t="s">
        <v>360</v>
      </c>
      <c r="D2049" s="7" t="s">
        <v>357</v>
      </c>
      <c r="E2049" s="7">
        <v>-19.4478875324676</v>
      </c>
      <c r="F2049" s="7">
        <v>1.85033497835498</v>
      </c>
      <c r="G2049" s="7">
        <v>2.50196874458874</v>
      </c>
      <c r="H2049" s="7">
        <v>-0.00112501594805195</v>
      </c>
      <c r="I2049" s="7">
        <v>-6.81773000865801</v>
      </c>
      <c r="J2049" s="7">
        <v>-4.5840714025974</v>
      </c>
      <c r="K2049" s="8"/>
      <c r="L2049" s="8"/>
    </row>
    <row r="2050" ht="13.5" customHeight="1">
      <c r="A2050" s="7" t="s">
        <v>355</v>
      </c>
      <c r="B2050" s="7">
        <v>0.0</v>
      </c>
      <c r="C2050" s="7" t="s">
        <v>361</v>
      </c>
      <c r="D2050" s="7" t="s">
        <v>357</v>
      </c>
      <c r="E2050" s="7">
        <v>-19.4647438961039</v>
      </c>
      <c r="F2050" s="7">
        <v>1.8520454978355</v>
      </c>
      <c r="G2050" s="7">
        <v>2.50423316017316</v>
      </c>
      <c r="H2050" s="7">
        <v>-0.00112607105194805</v>
      </c>
      <c r="I2050" s="7">
        <v>-6.8245248008658</v>
      </c>
      <c r="J2050" s="7">
        <v>-4.58861845454545</v>
      </c>
      <c r="K2050" s="8"/>
      <c r="L2050" s="8"/>
    </row>
    <row r="2051" ht="13.5" customHeight="1">
      <c r="A2051" s="7" t="s">
        <v>355</v>
      </c>
      <c r="B2051" s="7">
        <v>1.75</v>
      </c>
      <c r="C2051" s="7" t="s">
        <v>361</v>
      </c>
      <c r="D2051" s="7" t="s">
        <v>357</v>
      </c>
      <c r="E2051" s="7">
        <v>-19.4816002597403</v>
      </c>
      <c r="F2051" s="7">
        <v>1.85375601731602</v>
      </c>
      <c r="G2051" s="7">
        <v>2.50649757575757</v>
      </c>
      <c r="H2051" s="7">
        <v>-0.00112712615584416</v>
      </c>
      <c r="I2051" s="7">
        <v>-6.8313195930736</v>
      </c>
      <c r="J2051" s="7">
        <v>-4.5931655064935</v>
      </c>
      <c r="K2051" s="8"/>
      <c r="L2051" s="8"/>
    </row>
    <row r="2052" ht="13.5" customHeight="1">
      <c r="A2052" s="7" t="s">
        <v>355</v>
      </c>
      <c r="B2052" s="7">
        <v>3.5</v>
      </c>
      <c r="C2052" s="7" t="s">
        <v>361</v>
      </c>
      <c r="D2052" s="7" t="s">
        <v>357</v>
      </c>
      <c r="E2052" s="7">
        <v>-19.4984566233766</v>
      </c>
      <c r="F2052" s="7">
        <v>1.85546653679654</v>
      </c>
      <c r="G2052" s="7">
        <v>2.50876199134199</v>
      </c>
      <c r="H2052" s="7">
        <v>-0.00112818125974026</v>
      </c>
      <c r="I2052" s="7">
        <v>-6.83811438528139</v>
      </c>
      <c r="J2052" s="7">
        <v>-4.59771255844155</v>
      </c>
      <c r="K2052" s="8"/>
      <c r="L2052" s="8"/>
    </row>
    <row r="2053" ht="13.5" customHeight="1">
      <c r="A2053" s="7" t="s">
        <v>355</v>
      </c>
      <c r="B2053" s="7">
        <v>0.0</v>
      </c>
      <c r="C2053" s="7" t="s">
        <v>362</v>
      </c>
      <c r="D2053" s="7" t="s">
        <v>357</v>
      </c>
      <c r="E2053" s="7">
        <v>-19.515312987013</v>
      </c>
      <c r="F2053" s="7">
        <v>1.85717705627706</v>
      </c>
      <c r="G2053" s="7">
        <v>2.5110264069264</v>
      </c>
      <c r="H2053" s="7">
        <v>-0.00112923636363636</v>
      </c>
      <c r="I2053" s="7">
        <v>-6.84490917748918</v>
      </c>
      <c r="J2053" s="7">
        <v>-4.6022596103896</v>
      </c>
      <c r="K2053" s="8"/>
      <c r="L2053" s="8"/>
    </row>
    <row r="2054" ht="13.5" customHeight="1">
      <c r="A2054" s="7" t="s">
        <v>355</v>
      </c>
      <c r="B2054" s="7">
        <v>1.75</v>
      </c>
      <c r="C2054" s="7" t="s">
        <v>362</v>
      </c>
      <c r="D2054" s="7" t="s">
        <v>357</v>
      </c>
      <c r="E2054" s="7">
        <v>-19.5321693506494</v>
      </c>
      <c r="F2054" s="7">
        <v>1.85888757575758</v>
      </c>
      <c r="G2054" s="7">
        <v>2.51329082251082</v>
      </c>
      <c r="H2054" s="7">
        <v>-0.00113029146753247</v>
      </c>
      <c r="I2054" s="7">
        <v>-6.85170396969697</v>
      </c>
      <c r="J2054" s="7">
        <v>-4.60680666233766</v>
      </c>
      <c r="K2054" s="8"/>
      <c r="L2054" s="8"/>
    </row>
    <row r="2055" ht="13.5" customHeight="1">
      <c r="A2055" s="7" t="s">
        <v>355</v>
      </c>
      <c r="B2055" s="7">
        <v>3.5</v>
      </c>
      <c r="C2055" s="7" t="s">
        <v>362</v>
      </c>
      <c r="D2055" s="7" t="s">
        <v>357</v>
      </c>
      <c r="E2055" s="7">
        <v>-19.5490257142857</v>
      </c>
      <c r="F2055" s="7">
        <v>1.8605980952381</v>
      </c>
      <c r="G2055" s="7">
        <v>2.51555523809524</v>
      </c>
      <c r="H2055" s="7">
        <v>-0.00113134657142857</v>
      </c>
      <c r="I2055" s="7">
        <v>-6.85849876190476</v>
      </c>
      <c r="J2055" s="7">
        <v>-4.61135371428571</v>
      </c>
      <c r="K2055" s="8"/>
      <c r="L2055" s="8"/>
    </row>
    <row r="2056" ht="13.5" customHeight="1">
      <c r="A2056" s="7" t="s">
        <v>355</v>
      </c>
      <c r="B2056" s="7">
        <v>0.0</v>
      </c>
      <c r="C2056" s="7" t="s">
        <v>363</v>
      </c>
      <c r="D2056" s="7" t="s">
        <v>357</v>
      </c>
      <c r="E2056" s="7">
        <v>-19.5658820779221</v>
      </c>
      <c r="F2056" s="7">
        <v>1.86230861471862</v>
      </c>
      <c r="G2056" s="7">
        <v>2.51781965367965</v>
      </c>
      <c r="H2056" s="7">
        <v>-0.00113240167532468</v>
      </c>
      <c r="I2056" s="7">
        <v>-6.86529355411256</v>
      </c>
      <c r="J2056" s="7">
        <v>-4.61590076623376</v>
      </c>
      <c r="K2056" s="8"/>
      <c r="L2056" s="8"/>
    </row>
    <row r="2057" ht="13.5" customHeight="1">
      <c r="A2057" s="7" t="s">
        <v>355</v>
      </c>
      <c r="B2057" s="7">
        <v>1.75</v>
      </c>
      <c r="C2057" s="7" t="s">
        <v>363</v>
      </c>
      <c r="D2057" s="7" t="s">
        <v>357</v>
      </c>
      <c r="E2057" s="7">
        <v>-19.5827384415585</v>
      </c>
      <c r="F2057" s="7">
        <v>1.86401913419914</v>
      </c>
      <c r="G2057" s="7">
        <v>2.52008406926407</v>
      </c>
      <c r="H2057" s="7">
        <v>-0.00113345677922078</v>
      </c>
      <c r="I2057" s="7">
        <v>-6.87208834632035</v>
      </c>
      <c r="J2057" s="7">
        <v>-4.62044781818181</v>
      </c>
      <c r="K2057" s="8"/>
      <c r="L2057" s="8"/>
    </row>
    <row r="2058" ht="13.5" customHeight="1">
      <c r="A2058" s="7" t="s">
        <v>355</v>
      </c>
      <c r="B2058" s="7">
        <v>3.5</v>
      </c>
      <c r="C2058" s="7" t="s">
        <v>363</v>
      </c>
      <c r="D2058" s="7" t="s">
        <v>357</v>
      </c>
      <c r="E2058" s="7">
        <v>-19.5995948051948</v>
      </c>
      <c r="F2058" s="7">
        <v>1.86572965367966</v>
      </c>
      <c r="G2058" s="7">
        <v>2.52234848484848</v>
      </c>
      <c r="H2058" s="7">
        <v>-0.00113451188311688</v>
      </c>
      <c r="I2058" s="7">
        <v>-6.87888313852814</v>
      </c>
      <c r="J2058" s="7">
        <v>-4.62499487012986</v>
      </c>
      <c r="K2058" s="8"/>
      <c r="L2058" s="8"/>
    </row>
    <row r="2059" ht="13.5" customHeight="1">
      <c r="A2059" s="7" t="s">
        <v>355</v>
      </c>
      <c r="B2059" s="7">
        <v>0.0</v>
      </c>
      <c r="C2059" s="7" t="s">
        <v>356</v>
      </c>
      <c r="D2059" s="7" t="s">
        <v>357</v>
      </c>
      <c r="E2059" s="7">
        <v>-19.6164511688312</v>
      </c>
      <c r="F2059" s="7">
        <v>1.86744017316018</v>
      </c>
      <c r="G2059" s="7">
        <v>2.5246129004329</v>
      </c>
      <c r="H2059" s="7">
        <v>-0.00113556698701299</v>
      </c>
      <c r="I2059" s="7">
        <v>-6.88567793073593</v>
      </c>
      <c r="J2059" s="7">
        <v>-4.62954192207792</v>
      </c>
      <c r="K2059" s="8"/>
      <c r="L2059" s="8"/>
    </row>
    <row r="2060" ht="13.5" customHeight="1">
      <c r="A2060" s="7" t="s">
        <v>355</v>
      </c>
      <c r="B2060" s="7">
        <v>1.75</v>
      </c>
      <c r="C2060" s="7" t="s">
        <v>356</v>
      </c>
      <c r="D2060" s="7" t="s">
        <v>357</v>
      </c>
      <c r="E2060" s="7">
        <v>-19.6333075324675</v>
      </c>
      <c r="F2060" s="7">
        <v>1.8691506926407</v>
      </c>
      <c r="G2060" s="7">
        <v>2.52687731601731</v>
      </c>
      <c r="H2060" s="7">
        <v>-0.00113662209090909</v>
      </c>
      <c r="I2060" s="7">
        <v>-6.89247272294373</v>
      </c>
      <c r="J2060" s="7">
        <v>-4.63408897402597</v>
      </c>
      <c r="K2060" s="8"/>
      <c r="L2060" s="8"/>
    </row>
    <row r="2061" ht="13.5" customHeight="1">
      <c r="A2061" s="7" t="s">
        <v>355</v>
      </c>
      <c r="B2061" s="7">
        <v>3.5</v>
      </c>
      <c r="C2061" s="7" t="s">
        <v>356</v>
      </c>
      <c r="D2061" s="7" t="s">
        <v>357</v>
      </c>
      <c r="E2061" s="7">
        <v>-19.6501638961039</v>
      </c>
      <c r="F2061" s="7">
        <v>1.87086121212122</v>
      </c>
      <c r="G2061" s="7">
        <v>2.52914173160173</v>
      </c>
      <c r="H2061" s="7">
        <v>-0.0011376771948052</v>
      </c>
      <c r="I2061" s="7">
        <v>-6.89926751515152</v>
      </c>
      <c r="J2061" s="7">
        <v>-4.63863602597402</v>
      </c>
      <c r="K2061" s="8"/>
      <c r="L2061" s="8"/>
    </row>
    <row r="2062" ht="13.5" customHeight="1">
      <c r="A2062" s="7" t="s">
        <v>355</v>
      </c>
      <c r="B2062" s="7">
        <v>0.0</v>
      </c>
      <c r="C2062" s="7" t="s">
        <v>358</v>
      </c>
      <c r="D2062" s="7" t="s">
        <v>357</v>
      </c>
      <c r="E2062" s="7">
        <v>-19.6670202597403</v>
      </c>
      <c r="F2062" s="7">
        <v>1.87257173160174</v>
      </c>
      <c r="G2062" s="7">
        <v>2.53140614718615</v>
      </c>
      <c r="H2062" s="7">
        <v>-0.0011387322987013</v>
      </c>
      <c r="I2062" s="7">
        <v>-6.90606230735931</v>
      </c>
      <c r="J2062" s="7">
        <v>-4.64318307792207</v>
      </c>
      <c r="K2062" s="8"/>
      <c r="L2062" s="8"/>
    </row>
    <row r="2063" ht="13.5" customHeight="1">
      <c r="A2063" s="7" t="s">
        <v>355</v>
      </c>
      <c r="B2063" s="7">
        <v>1.75</v>
      </c>
      <c r="C2063" s="7" t="s">
        <v>358</v>
      </c>
      <c r="D2063" s="7" t="s">
        <v>357</v>
      </c>
      <c r="E2063" s="7">
        <v>-19.6838766233766</v>
      </c>
      <c r="F2063" s="7">
        <v>1.87428225108226</v>
      </c>
      <c r="G2063" s="7">
        <v>2.53367056277056</v>
      </c>
      <c r="H2063" s="7">
        <v>-0.0011397874025974</v>
      </c>
      <c r="I2063" s="7">
        <v>-6.9128570995671</v>
      </c>
      <c r="J2063" s="7">
        <v>-4.64773012987012</v>
      </c>
      <c r="K2063" s="8"/>
      <c r="L2063" s="8"/>
    </row>
    <row r="2064" ht="13.5" customHeight="1">
      <c r="A2064" s="7" t="s">
        <v>355</v>
      </c>
      <c r="B2064" s="7">
        <v>3.5</v>
      </c>
      <c r="C2064" s="7" t="s">
        <v>358</v>
      </c>
      <c r="D2064" s="7" t="s">
        <v>357</v>
      </c>
      <c r="E2064" s="7">
        <v>-19.700732987013</v>
      </c>
      <c r="F2064" s="7">
        <v>1.87599277056278</v>
      </c>
      <c r="G2064" s="7">
        <v>2.53593497835498</v>
      </c>
      <c r="H2064" s="7">
        <v>-0.00114084250649351</v>
      </c>
      <c r="I2064" s="7">
        <v>-6.91965189177489</v>
      </c>
      <c r="J2064" s="7">
        <v>-4.65227718181818</v>
      </c>
      <c r="K2064" s="8"/>
      <c r="L2064" s="8"/>
    </row>
    <row r="2065" ht="13.5" customHeight="1">
      <c r="A2065" s="7" t="s">
        <v>355</v>
      </c>
      <c r="B2065" s="7">
        <v>0.0</v>
      </c>
      <c r="C2065" s="7" t="s">
        <v>359</v>
      </c>
      <c r="D2065" s="7" t="s">
        <v>357</v>
      </c>
      <c r="E2065" s="7">
        <v>-19.7175893506494</v>
      </c>
      <c r="F2065" s="7">
        <v>1.8777032900433</v>
      </c>
      <c r="G2065" s="7">
        <v>2.53819939393939</v>
      </c>
      <c r="H2065" s="7">
        <v>-0.00114189761038961</v>
      </c>
      <c r="I2065" s="7">
        <v>-6.92644668398269</v>
      </c>
      <c r="J2065" s="7">
        <v>-4.65682423376623</v>
      </c>
      <c r="K2065" s="8"/>
      <c r="L2065" s="8"/>
    </row>
    <row r="2066" ht="13.5" customHeight="1">
      <c r="A2066" s="7" t="s">
        <v>355</v>
      </c>
      <c r="B2066" s="7">
        <v>1.75</v>
      </c>
      <c r="C2066" s="7" t="s">
        <v>359</v>
      </c>
      <c r="D2066" s="7" t="s">
        <v>357</v>
      </c>
      <c r="E2066" s="7">
        <v>-19.7344457142857</v>
      </c>
      <c r="F2066" s="7">
        <v>1.87941380952382</v>
      </c>
      <c r="G2066" s="7">
        <v>2.54046380952381</v>
      </c>
      <c r="H2066" s="7">
        <v>-0.00114295271428571</v>
      </c>
      <c r="I2066" s="7">
        <v>-6.93324147619048</v>
      </c>
      <c r="J2066" s="7">
        <v>-4.66137128571428</v>
      </c>
      <c r="K2066" s="8"/>
      <c r="L2066" s="8"/>
    </row>
    <row r="2067" ht="13.5" customHeight="1">
      <c r="A2067" s="7" t="s">
        <v>355</v>
      </c>
      <c r="B2067" s="7">
        <v>3.5</v>
      </c>
      <c r="C2067" s="7" t="s">
        <v>359</v>
      </c>
      <c r="D2067" s="7" t="s">
        <v>357</v>
      </c>
      <c r="E2067" s="7">
        <v>-19.7513020779221</v>
      </c>
      <c r="F2067" s="7">
        <v>1.88112432900433</v>
      </c>
      <c r="G2067" s="7">
        <v>2.54272822510822</v>
      </c>
      <c r="H2067" s="7">
        <v>-0.00114400781818182</v>
      </c>
      <c r="I2067" s="7">
        <v>-6.94003626839827</v>
      </c>
      <c r="J2067" s="7">
        <v>-4.66591833766233</v>
      </c>
      <c r="K2067" s="8"/>
      <c r="L2067" s="8"/>
    </row>
    <row r="2068" ht="13.5" customHeight="1">
      <c r="A2068" s="7" t="s">
        <v>355</v>
      </c>
      <c r="B2068" s="7">
        <v>0.0</v>
      </c>
      <c r="C2068" s="7" t="s">
        <v>360</v>
      </c>
      <c r="D2068" s="7" t="s">
        <v>357</v>
      </c>
      <c r="E2068" s="7">
        <v>-19.7681584415585</v>
      </c>
      <c r="F2068" s="7">
        <v>1.88283484848485</v>
      </c>
      <c r="G2068" s="7">
        <v>2.54499264069264</v>
      </c>
      <c r="H2068" s="7">
        <v>-0.00114506292207792</v>
      </c>
      <c r="I2068" s="7">
        <v>-6.94683106060606</v>
      </c>
      <c r="J2068" s="7">
        <v>-4.67046538961038</v>
      </c>
      <c r="K2068" s="8"/>
      <c r="L2068" s="8"/>
    </row>
    <row r="2069" ht="13.5" customHeight="1">
      <c r="A2069" s="7" t="s">
        <v>355</v>
      </c>
      <c r="B2069" s="7">
        <v>1.75</v>
      </c>
      <c r="C2069" s="7" t="s">
        <v>360</v>
      </c>
      <c r="D2069" s="7" t="s">
        <v>357</v>
      </c>
      <c r="E2069" s="7">
        <v>-19.7850148051948</v>
      </c>
      <c r="F2069" s="7">
        <v>1.88454536796537</v>
      </c>
      <c r="G2069" s="7">
        <v>2.54725705627705</v>
      </c>
      <c r="H2069" s="7">
        <v>-0.00114611802597403</v>
      </c>
      <c r="I2069" s="7">
        <v>-6.95362585281385</v>
      </c>
      <c r="J2069" s="7">
        <v>-4.67501244155844</v>
      </c>
      <c r="K2069" s="8"/>
      <c r="L2069" s="8"/>
    </row>
    <row r="2070" ht="13.5" customHeight="1">
      <c r="A2070" s="7" t="s">
        <v>355</v>
      </c>
      <c r="B2070" s="7">
        <v>3.5</v>
      </c>
      <c r="C2070" s="7" t="s">
        <v>360</v>
      </c>
      <c r="D2070" s="7" t="s">
        <v>357</v>
      </c>
      <c r="E2070" s="7">
        <v>-19.8018711688312</v>
      </c>
      <c r="F2070" s="7">
        <v>1.88625588744589</v>
      </c>
      <c r="G2070" s="7">
        <v>2.54952147186147</v>
      </c>
      <c r="H2070" s="7">
        <v>-0.00114717312987013</v>
      </c>
      <c r="I2070" s="7">
        <v>-6.96042064502165</v>
      </c>
      <c r="J2070" s="7">
        <v>-4.67955949350649</v>
      </c>
      <c r="K2070" s="8"/>
      <c r="L2070" s="8"/>
    </row>
    <row r="2071" ht="13.5" customHeight="1">
      <c r="A2071" s="7" t="s">
        <v>355</v>
      </c>
      <c r="B2071" s="7">
        <v>0.0</v>
      </c>
      <c r="C2071" s="7" t="s">
        <v>361</v>
      </c>
      <c r="D2071" s="7" t="s">
        <v>357</v>
      </c>
      <c r="E2071" s="7">
        <v>-19.8187275324675</v>
      </c>
      <c r="F2071" s="7">
        <v>1.88796640692641</v>
      </c>
      <c r="G2071" s="7">
        <v>2.55178588744589</v>
      </c>
      <c r="H2071" s="7">
        <v>-0.00114822823376623</v>
      </c>
      <c r="I2071" s="7">
        <v>-6.96721543722944</v>
      </c>
      <c r="J2071" s="7">
        <v>-4.68410654545454</v>
      </c>
      <c r="K2071" s="8"/>
      <c r="L2071" s="8"/>
    </row>
    <row r="2072" ht="13.5" customHeight="1">
      <c r="A2072" s="7" t="s">
        <v>355</v>
      </c>
      <c r="B2072" s="7">
        <v>1.75</v>
      </c>
      <c r="C2072" s="7" t="s">
        <v>361</v>
      </c>
      <c r="D2072" s="7" t="s">
        <v>357</v>
      </c>
      <c r="E2072" s="7">
        <v>-19.8355838961039</v>
      </c>
      <c r="F2072" s="7">
        <v>1.88967692640693</v>
      </c>
      <c r="G2072" s="7">
        <v>2.5540503030303</v>
      </c>
      <c r="H2072" s="7">
        <v>-0.00114928333766234</v>
      </c>
      <c r="I2072" s="7">
        <v>-6.97401022943723</v>
      </c>
      <c r="J2072" s="7">
        <v>-4.68865359740259</v>
      </c>
      <c r="K2072" s="8"/>
      <c r="L2072" s="8"/>
    </row>
    <row r="2073" ht="13.5" customHeight="1">
      <c r="A2073" s="7" t="s">
        <v>355</v>
      </c>
      <c r="B2073" s="7">
        <v>3.5</v>
      </c>
      <c r="C2073" s="7" t="s">
        <v>361</v>
      </c>
      <c r="D2073" s="7" t="s">
        <v>357</v>
      </c>
      <c r="E2073" s="7">
        <v>-19.8524402597403</v>
      </c>
      <c r="F2073" s="7">
        <v>1.89138744588745</v>
      </c>
      <c r="G2073" s="7">
        <v>2.55631471861472</v>
      </c>
      <c r="H2073" s="7">
        <v>-0.00115033844155844</v>
      </c>
      <c r="I2073" s="7">
        <v>-6.98080502164502</v>
      </c>
      <c r="J2073" s="7">
        <v>-4.69320064935064</v>
      </c>
      <c r="K2073" s="8"/>
      <c r="L2073" s="8"/>
    </row>
    <row r="2074" ht="13.5" customHeight="1">
      <c r="A2074" s="7" t="s">
        <v>355</v>
      </c>
      <c r="B2074" s="7">
        <v>0.0</v>
      </c>
      <c r="C2074" s="7" t="s">
        <v>362</v>
      </c>
      <c r="D2074" s="7" t="s">
        <v>357</v>
      </c>
      <c r="E2074" s="7">
        <v>-19.8692966233766</v>
      </c>
      <c r="F2074" s="7">
        <v>1.89309796536797</v>
      </c>
      <c r="G2074" s="7">
        <v>2.55857913419913</v>
      </c>
      <c r="H2074" s="7">
        <v>-0.00115139354545455</v>
      </c>
      <c r="I2074" s="7">
        <v>-6.98759981385282</v>
      </c>
      <c r="J2074" s="7">
        <v>-4.6977477012987</v>
      </c>
      <c r="K2074" s="8"/>
      <c r="L2074" s="8"/>
    </row>
    <row r="2075" ht="13.5" customHeight="1">
      <c r="A2075" s="7" t="s">
        <v>355</v>
      </c>
      <c r="B2075" s="7">
        <v>1.75</v>
      </c>
      <c r="C2075" s="7" t="s">
        <v>362</v>
      </c>
      <c r="D2075" s="7" t="s">
        <v>357</v>
      </c>
      <c r="E2075" s="7">
        <v>-19.886152987013</v>
      </c>
      <c r="F2075" s="7">
        <v>1.89480848484849</v>
      </c>
      <c r="G2075" s="7">
        <v>2.56084354978355</v>
      </c>
      <c r="H2075" s="7">
        <v>-0.00115244864935065</v>
      </c>
      <c r="I2075" s="7">
        <v>-6.99439460606061</v>
      </c>
      <c r="J2075" s="7">
        <v>-4.70229475324675</v>
      </c>
      <c r="K2075" s="8"/>
      <c r="L2075" s="8"/>
    </row>
    <row r="2076" ht="13.5" customHeight="1">
      <c r="A2076" s="7" t="s">
        <v>355</v>
      </c>
      <c r="B2076" s="7">
        <v>3.5</v>
      </c>
      <c r="C2076" s="7" t="s">
        <v>362</v>
      </c>
      <c r="D2076" s="7" t="s">
        <v>357</v>
      </c>
      <c r="E2076" s="7">
        <v>-19.9030093506494</v>
      </c>
      <c r="F2076" s="7">
        <v>1.89651900432901</v>
      </c>
      <c r="G2076" s="7">
        <v>2.56310796536796</v>
      </c>
      <c r="H2076" s="7">
        <v>-0.00115350375324675</v>
      </c>
      <c r="I2076" s="7">
        <v>-7.0011893982684</v>
      </c>
      <c r="J2076" s="7">
        <v>-4.7068418051948</v>
      </c>
      <c r="K2076" s="8"/>
      <c r="L2076" s="8"/>
    </row>
    <row r="2077" ht="13.5" customHeight="1">
      <c r="A2077" s="7" t="s">
        <v>355</v>
      </c>
      <c r="B2077" s="7">
        <v>0.0</v>
      </c>
      <c r="C2077" s="7" t="s">
        <v>363</v>
      </c>
      <c r="D2077" s="7" t="s">
        <v>357</v>
      </c>
      <c r="E2077" s="7">
        <v>-19.9198657142857</v>
      </c>
      <c r="F2077" s="7">
        <v>1.89822952380953</v>
      </c>
      <c r="G2077" s="7">
        <v>2.56537238095238</v>
      </c>
      <c r="H2077" s="7">
        <v>-0.00115455885714286</v>
      </c>
      <c r="I2077" s="7">
        <v>-7.00798419047619</v>
      </c>
      <c r="J2077" s="7">
        <v>-4.71138885714285</v>
      </c>
      <c r="K2077" s="8"/>
      <c r="L2077" s="8"/>
    </row>
    <row r="2078" ht="13.5" customHeight="1">
      <c r="A2078" s="7" t="s">
        <v>355</v>
      </c>
      <c r="B2078" s="7">
        <v>1.75</v>
      </c>
      <c r="C2078" s="7" t="s">
        <v>363</v>
      </c>
      <c r="D2078" s="7" t="s">
        <v>357</v>
      </c>
      <c r="E2078" s="7">
        <v>-19.9367220779221</v>
      </c>
      <c r="F2078" s="7">
        <v>1.89994004329005</v>
      </c>
      <c r="G2078" s="7">
        <v>2.56763679653679</v>
      </c>
      <c r="H2078" s="7">
        <v>-0.00115561396103896</v>
      </c>
      <c r="I2078" s="7">
        <v>-7.01477898268398</v>
      </c>
      <c r="J2078" s="7">
        <v>-4.7159359090909</v>
      </c>
      <c r="K2078" s="8"/>
      <c r="L2078" s="8"/>
    </row>
    <row r="2079" ht="13.5" customHeight="1">
      <c r="A2079" s="7" t="s">
        <v>355</v>
      </c>
      <c r="B2079" s="7">
        <v>3.5</v>
      </c>
      <c r="C2079" s="7" t="s">
        <v>363</v>
      </c>
      <c r="D2079" s="7" t="s">
        <v>357</v>
      </c>
      <c r="E2079" s="7">
        <v>-19.9535784415585</v>
      </c>
      <c r="F2079" s="7">
        <v>1.90165056277057</v>
      </c>
      <c r="G2079" s="7">
        <v>2.56990121212121</v>
      </c>
      <c r="H2079" s="7">
        <v>-0.00115666906493507</v>
      </c>
      <c r="I2079" s="7">
        <v>-7.02157377489178</v>
      </c>
      <c r="J2079" s="7">
        <v>-4.72048296103896</v>
      </c>
      <c r="K2079" s="8"/>
      <c r="L2079" s="8"/>
    </row>
    <row r="2080" ht="13.5" customHeight="1">
      <c r="A2080" s="7" t="s">
        <v>355</v>
      </c>
      <c r="B2080" s="7">
        <v>0.0</v>
      </c>
      <c r="C2080" s="7" t="s">
        <v>356</v>
      </c>
      <c r="D2080" s="7" t="s">
        <v>357</v>
      </c>
      <c r="E2080" s="7">
        <v>-19.9704348051948</v>
      </c>
      <c r="F2080" s="7">
        <v>1.90336108225109</v>
      </c>
      <c r="G2080" s="7">
        <v>2.57216562770563</v>
      </c>
      <c r="H2080" s="7">
        <v>-0.00115772416883117</v>
      </c>
      <c r="I2080" s="7">
        <v>-7.02836856709957</v>
      </c>
      <c r="J2080" s="7">
        <v>-4.72503001298701</v>
      </c>
      <c r="K2080" s="8"/>
      <c r="L2080" s="8"/>
    </row>
    <row r="2081" ht="13.5" customHeight="1">
      <c r="A2081" s="7" t="s">
        <v>355</v>
      </c>
      <c r="B2081" s="7">
        <v>1.75</v>
      </c>
      <c r="C2081" s="7" t="s">
        <v>356</v>
      </c>
      <c r="D2081" s="7" t="s">
        <v>357</v>
      </c>
      <c r="E2081" s="7">
        <v>-19.9872911688312</v>
      </c>
      <c r="F2081" s="7">
        <v>1.90507160173161</v>
      </c>
      <c r="G2081" s="7">
        <v>2.57443004329004</v>
      </c>
      <c r="H2081" s="7">
        <v>-0.00115877927272727</v>
      </c>
      <c r="I2081" s="7">
        <v>-7.03516335930736</v>
      </c>
      <c r="J2081" s="7">
        <v>-4.72957706493506</v>
      </c>
      <c r="K2081" s="8"/>
      <c r="L2081" s="8"/>
    </row>
    <row r="2082" ht="13.5" customHeight="1">
      <c r="A2082" s="7" t="s">
        <v>355</v>
      </c>
      <c r="B2082" s="7">
        <v>3.5</v>
      </c>
      <c r="C2082" s="7" t="s">
        <v>356</v>
      </c>
      <c r="D2082" s="7" t="s">
        <v>357</v>
      </c>
      <c r="E2082" s="7">
        <v>-20.0041475324675</v>
      </c>
      <c r="F2082" s="7">
        <v>1.90678212121213</v>
      </c>
      <c r="G2082" s="7">
        <v>2.57669445887446</v>
      </c>
      <c r="H2082" s="7">
        <v>-0.00115983437662338</v>
      </c>
      <c r="I2082" s="7">
        <v>-7.04195815151515</v>
      </c>
      <c r="J2082" s="7">
        <v>-4.73412411688311</v>
      </c>
      <c r="K2082" s="8"/>
      <c r="L2082" s="8"/>
    </row>
    <row r="2083" ht="13.5" customHeight="1">
      <c r="A2083" s="7" t="s">
        <v>355</v>
      </c>
      <c r="B2083" s="7">
        <v>0.0</v>
      </c>
      <c r="C2083" s="7" t="s">
        <v>358</v>
      </c>
      <c r="D2083" s="7" t="s">
        <v>357</v>
      </c>
      <c r="E2083" s="7">
        <v>-20.0210038961039</v>
      </c>
      <c r="F2083" s="7">
        <v>1.90849264069265</v>
      </c>
      <c r="G2083" s="7">
        <v>2.57895887445887</v>
      </c>
      <c r="H2083" s="7">
        <v>-0.00116088948051948</v>
      </c>
      <c r="I2083" s="7">
        <v>-7.04875294372295</v>
      </c>
      <c r="J2083" s="7">
        <v>-4.73867116883116</v>
      </c>
      <c r="K2083" s="8"/>
      <c r="L2083" s="8"/>
    </row>
    <row r="2084" ht="13.5" customHeight="1">
      <c r="A2084" s="7" t="s">
        <v>355</v>
      </c>
      <c r="B2084" s="7">
        <v>1.75</v>
      </c>
      <c r="C2084" s="7" t="s">
        <v>358</v>
      </c>
      <c r="D2084" s="7" t="s">
        <v>357</v>
      </c>
      <c r="E2084" s="7">
        <v>-20.0378602597403</v>
      </c>
      <c r="F2084" s="7">
        <v>1.91020316017317</v>
      </c>
      <c r="G2084" s="7">
        <v>2.58122329004329</v>
      </c>
      <c r="H2084" s="7">
        <v>-0.00116194458441558</v>
      </c>
      <c r="I2084" s="7">
        <v>-7.05554773593074</v>
      </c>
      <c r="J2084" s="7">
        <v>-4.74321822077922</v>
      </c>
      <c r="K2084" s="8"/>
      <c r="L2084" s="8"/>
    </row>
    <row r="2085" ht="13.5" customHeight="1">
      <c r="A2085" s="7" t="s">
        <v>355</v>
      </c>
      <c r="B2085" s="7">
        <v>3.5</v>
      </c>
      <c r="C2085" s="7" t="s">
        <v>358</v>
      </c>
      <c r="D2085" s="7" t="s">
        <v>357</v>
      </c>
      <c r="E2085" s="7">
        <v>-20.0547166233766</v>
      </c>
      <c r="F2085" s="7">
        <v>1.91191367965369</v>
      </c>
      <c r="G2085" s="7">
        <v>2.5834877056277</v>
      </c>
      <c r="H2085" s="7">
        <v>-0.00116299968831169</v>
      </c>
      <c r="I2085" s="7">
        <v>-7.06234252813853</v>
      </c>
      <c r="J2085" s="7">
        <v>-4.74776527272727</v>
      </c>
      <c r="K2085" s="8"/>
      <c r="L2085" s="8"/>
    </row>
    <row r="2086" ht="13.5" customHeight="1">
      <c r="A2086" s="7" t="s">
        <v>355</v>
      </c>
      <c r="B2086" s="7">
        <v>0.0</v>
      </c>
      <c r="C2086" s="7" t="s">
        <v>359</v>
      </c>
      <c r="D2086" s="7" t="s">
        <v>357</v>
      </c>
      <c r="E2086" s="7">
        <v>-20.071572987013</v>
      </c>
      <c r="F2086" s="7">
        <v>1.9136241991342</v>
      </c>
      <c r="G2086" s="7">
        <v>2.58575212121212</v>
      </c>
      <c r="H2086" s="7">
        <v>-0.00116405479220779</v>
      </c>
      <c r="I2086" s="7">
        <v>-7.06913732034632</v>
      </c>
      <c r="J2086" s="7">
        <v>-4.75231232467532</v>
      </c>
      <c r="K2086" s="8"/>
      <c r="L2086" s="8"/>
    </row>
    <row r="2087" ht="13.5" customHeight="1">
      <c r="A2087" s="7" t="s">
        <v>355</v>
      </c>
      <c r="B2087" s="7">
        <v>1.75</v>
      </c>
      <c r="C2087" s="7" t="s">
        <v>359</v>
      </c>
      <c r="D2087" s="7" t="s">
        <v>357</v>
      </c>
      <c r="E2087" s="7">
        <v>-20.0884293506494</v>
      </c>
      <c r="F2087" s="7">
        <v>1.91533471861472</v>
      </c>
      <c r="G2087" s="7">
        <v>2.58801653679653</v>
      </c>
      <c r="H2087" s="7">
        <v>-0.0011651098961039</v>
      </c>
      <c r="I2087" s="7">
        <v>-7.07593211255411</v>
      </c>
      <c r="J2087" s="7">
        <v>-4.75685937662337</v>
      </c>
      <c r="K2087" s="8"/>
      <c r="L2087" s="8"/>
    </row>
    <row r="2088" ht="13.5" customHeight="1">
      <c r="A2088" s="7" t="s">
        <v>355</v>
      </c>
      <c r="B2088" s="7">
        <v>3.5</v>
      </c>
      <c r="C2088" s="7" t="s">
        <v>359</v>
      </c>
      <c r="D2088" s="7" t="s">
        <v>357</v>
      </c>
      <c r="E2088" s="7">
        <v>-20.1052857142857</v>
      </c>
      <c r="F2088" s="7">
        <v>1.91704523809524</v>
      </c>
      <c r="G2088" s="7">
        <v>2.59028095238095</v>
      </c>
      <c r="H2088" s="7">
        <v>-0.001166165</v>
      </c>
      <c r="I2088" s="7">
        <v>-7.08272690476191</v>
      </c>
      <c r="J2088" s="7">
        <v>-4.76140642857142</v>
      </c>
      <c r="K2088" s="8"/>
      <c r="L2088" s="8"/>
    </row>
    <row r="2089" ht="13.5" customHeight="1">
      <c r="A2089" s="7" t="s">
        <v>355</v>
      </c>
      <c r="B2089" s="7">
        <v>0.0</v>
      </c>
      <c r="C2089" s="7" t="s">
        <v>360</v>
      </c>
      <c r="D2089" s="7" t="s">
        <v>357</v>
      </c>
      <c r="E2089" s="7">
        <v>-20.1221420779221</v>
      </c>
      <c r="F2089" s="7">
        <v>1.91875575757576</v>
      </c>
      <c r="G2089" s="7">
        <v>2.59254536796537</v>
      </c>
      <c r="H2089" s="7">
        <v>-0.0011672201038961</v>
      </c>
      <c r="I2089" s="7">
        <v>-7.0895216969697</v>
      </c>
      <c r="J2089" s="7">
        <v>-4.76595348051947</v>
      </c>
      <c r="K2089" s="8"/>
      <c r="L2089" s="8"/>
    </row>
    <row r="2090" ht="13.5" customHeight="1">
      <c r="A2090" s="7" t="s">
        <v>355</v>
      </c>
      <c r="B2090" s="7">
        <v>1.75</v>
      </c>
      <c r="C2090" s="7" t="s">
        <v>360</v>
      </c>
      <c r="D2090" s="7" t="s">
        <v>357</v>
      </c>
      <c r="E2090" s="7">
        <v>-20.1389984415585</v>
      </c>
      <c r="F2090" s="7">
        <v>1.92046627705628</v>
      </c>
      <c r="G2090" s="7">
        <v>2.59480978354978</v>
      </c>
      <c r="H2090" s="7">
        <v>-0.00116827520779221</v>
      </c>
      <c r="I2090" s="7">
        <v>-7.09631648917749</v>
      </c>
      <c r="J2090" s="7">
        <v>-4.77050053246753</v>
      </c>
      <c r="K2090" s="8"/>
      <c r="L2090" s="8"/>
    </row>
    <row r="2091" ht="13.5" customHeight="1">
      <c r="A2091" s="7" t="s">
        <v>355</v>
      </c>
      <c r="B2091" s="7">
        <v>3.5</v>
      </c>
      <c r="C2091" s="7" t="s">
        <v>360</v>
      </c>
      <c r="D2091" s="7" t="s">
        <v>357</v>
      </c>
      <c r="E2091" s="7">
        <v>-20.1558548051948</v>
      </c>
      <c r="F2091" s="7">
        <v>1.9221767965368</v>
      </c>
      <c r="G2091" s="7">
        <v>2.5970741991342</v>
      </c>
      <c r="H2091" s="7">
        <v>-0.00116933031168831</v>
      </c>
      <c r="I2091" s="7">
        <v>-7.10311128138528</v>
      </c>
      <c r="J2091" s="7">
        <v>-4.77504758441558</v>
      </c>
      <c r="K2091" s="8"/>
      <c r="L2091" s="8"/>
    </row>
    <row r="2092" ht="13.5" customHeight="1">
      <c r="A2092" s="7" t="s">
        <v>355</v>
      </c>
      <c r="B2092" s="7">
        <v>0.0</v>
      </c>
      <c r="C2092" s="7" t="s">
        <v>361</v>
      </c>
      <c r="D2092" s="7" t="s">
        <v>357</v>
      </c>
      <c r="E2092" s="7">
        <v>-20.1727111688312</v>
      </c>
      <c r="F2092" s="7">
        <v>1.92388731601732</v>
      </c>
      <c r="G2092" s="7">
        <v>2.59933861471861</v>
      </c>
      <c r="H2092" s="7">
        <v>-0.00117038541558442</v>
      </c>
      <c r="I2092" s="7">
        <v>-7.10990607359308</v>
      </c>
      <c r="J2092" s="7">
        <v>-4.77959463636363</v>
      </c>
      <c r="K2092" s="8"/>
      <c r="L2092" s="8"/>
    </row>
    <row r="2093" ht="13.5" customHeight="1">
      <c r="A2093" s="7" t="s">
        <v>355</v>
      </c>
      <c r="B2093" s="7">
        <v>1.75</v>
      </c>
      <c r="C2093" s="7" t="s">
        <v>361</v>
      </c>
      <c r="D2093" s="7" t="s">
        <v>357</v>
      </c>
      <c r="E2093" s="7">
        <v>-20.1895675324675</v>
      </c>
      <c r="F2093" s="7">
        <v>1.92559783549784</v>
      </c>
      <c r="G2093" s="7">
        <v>2.60160303030303</v>
      </c>
      <c r="H2093" s="7">
        <v>-0.00117144051948052</v>
      </c>
      <c r="I2093" s="7">
        <v>-7.11670086580087</v>
      </c>
      <c r="J2093" s="7">
        <v>-4.78414168831168</v>
      </c>
      <c r="K2093" s="8"/>
      <c r="L2093" s="8"/>
    </row>
    <row r="2094" ht="13.5" customHeight="1">
      <c r="A2094" s="7" t="s">
        <v>355</v>
      </c>
      <c r="B2094" s="7">
        <v>3.5</v>
      </c>
      <c r="C2094" s="7" t="s">
        <v>361</v>
      </c>
      <c r="D2094" s="7" t="s">
        <v>357</v>
      </c>
      <c r="E2094" s="7">
        <v>-20.2064238961039</v>
      </c>
      <c r="F2094" s="7">
        <v>1.92730835497836</v>
      </c>
      <c r="G2094" s="7">
        <v>2.60386744588744</v>
      </c>
      <c r="H2094" s="7">
        <v>-0.00117249562337662</v>
      </c>
      <c r="I2094" s="7">
        <v>-7.12349565800866</v>
      </c>
      <c r="J2094" s="7">
        <v>-4.78868874025973</v>
      </c>
      <c r="K2094" s="8"/>
      <c r="L2094" s="8"/>
    </row>
    <row r="2095" ht="13.5" customHeight="1">
      <c r="A2095" s="7" t="s">
        <v>355</v>
      </c>
      <c r="B2095" s="7">
        <v>0.0</v>
      </c>
      <c r="C2095" s="7" t="s">
        <v>362</v>
      </c>
      <c r="D2095" s="7" t="s">
        <v>357</v>
      </c>
      <c r="E2095" s="7">
        <v>-20.2232802597403</v>
      </c>
      <c r="F2095" s="7">
        <v>1.92901887445888</v>
      </c>
      <c r="G2095" s="7">
        <v>2.60613186147186</v>
      </c>
      <c r="H2095" s="7">
        <v>-0.00117355072727273</v>
      </c>
      <c r="I2095" s="7">
        <v>-7.13029045021645</v>
      </c>
      <c r="J2095" s="7">
        <v>-4.79323579220779</v>
      </c>
      <c r="K2095" s="8"/>
      <c r="L2095" s="8"/>
    </row>
    <row r="2096" ht="13.5" customHeight="1">
      <c r="A2096" s="7" t="s">
        <v>355</v>
      </c>
      <c r="B2096" s="7">
        <v>1.75</v>
      </c>
      <c r="C2096" s="7" t="s">
        <v>362</v>
      </c>
      <c r="D2096" s="7" t="s">
        <v>357</v>
      </c>
      <c r="E2096" s="7">
        <v>-20.2401366233766</v>
      </c>
      <c r="F2096" s="7">
        <v>1.9307293939394</v>
      </c>
      <c r="G2096" s="7">
        <v>2.60839627705627</v>
      </c>
      <c r="H2096" s="7">
        <v>-0.00117460583116883</v>
      </c>
      <c r="I2096" s="7">
        <v>-7.13708524242424</v>
      </c>
      <c r="J2096" s="7">
        <v>-4.79778284415584</v>
      </c>
      <c r="K2096" s="8"/>
      <c r="L2096" s="8"/>
    </row>
    <row r="2097" ht="13.5" customHeight="1">
      <c r="A2097" s="7" t="s">
        <v>355</v>
      </c>
      <c r="B2097" s="7">
        <v>3.5</v>
      </c>
      <c r="C2097" s="7" t="s">
        <v>362</v>
      </c>
      <c r="D2097" s="7" t="s">
        <v>357</v>
      </c>
      <c r="E2097" s="7">
        <v>-20.256992987013</v>
      </c>
      <c r="F2097" s="7">
        <v>1.93243991341992</v>
      </c>
      <c r="G2097" s="7">
        <v>2.61066069264069</v>
      </c>
      <c r="H2097" s="7">
        <v>-0.00117566093506494</v>
      </c>
      <c r="I2097" s="7">
        <v>-7.14388003463204</v>
      </c>
      <c r="J2097" s="7">
        <v>-4.80232989610389</v>
      </c>
      <c r="K2097" s="8"/>
      <c r="L2097" s="8"/>
    </row>
    <row r="2098" ht="13.5" customHeight="1">
      <c r="A2098" s="7" t="s">
        <v>355</v>
      </c>
      <c r="B2098" s="7">
        <v>0.0</v>
      </c>
      <c r="C2098" s="7" t="s">
        <v>363</v>
      </c>
      <c r="D2098" s="7" t="s">
        <v>357</v>
      </c>
      <c r="E2098" s="7">
        <v>-20.2738493506494</v>
      </c>
      <c r="F2098" s="7">
        <v>1.93415043290044</v>
      </c>
      <c r="G2098" s="7">
        <v>2.61292510822511</v>
      </c>
      <c r="H2098" s="7">
        <v>-0.00117671603896104</v>
      </c>
      <c r="I2098" s="7">
        <v>-7.15067482683983</v>
      </c>
      <c r="J2098" s="7">
        <v>-4.80687694805194</v>
      </c>
      <c r="K2098" s="8"/>
      <c r="L2098" s="8"/>
    </row>
    <row r="2099" ht="13.5" customHeight="1">
      <c r="A2099" s="7" t="s">
        <v>355</v>
      </c>
      <c r="B2099" s="7">
        <v>1.75</v>
      </c>
      <c r="C2099" s="7" t="s">
        <v>363</v>
      </c>
      <c r="D2099" s="7" t="s">
        <v>357</v>
      </c>
      <c r="E2099" s="7">
        <v>-20.2907057142857</v>
      </c>
      <c r="F2099" s="7">
        <v>1.93586095238096</v>
      </c>
      <c r="G2099" s="7">
        <v>2.61518952380952</v>
      </c>
      <c r="H2099" s="7">
        <v>-0.00117777114285714</v>
      </c>
      <c r="I2099" s="7">
        <v>-7.15746961904762</v>
      </c>
      <c r="J2099" s="7">
        <v>-4.81142399999999</v>
      </c>
      <c r="K2099" s="8"/>
      <c r="L2099" s="8"/>
    </row>
    <row r="2100" ht="13.5" customHeight="1">
      <c r="A2100" s="7" t="s">
        <v>355</v>
      </c>
      <c r="B2100" s="7">
        <v>3.5</v>
      </c>
      <c r="C2100" s="7" t="s">
        <v>363</v>
      </c>
      <c r="D2100" s="7" t="s">
        <v>357</v>
      </c>
      <c r="E2100" s="7">
        <v>-20.3075620779221</v>
      </c>
      <c r="F2100" s="7">
        <v>1.93757147186148</v>
      </c>
      <c r="G2100" s="7">
        <v>2.61745393939394</v>
      </c>
      <c r="H2100" s="7">
        <v>-0.00117882624675325</v>
      </c>
      <c r="I2100" s="7">
        <v>-7.16426441125541</v>
      </c>
      <c r="J2100" s="7">
        <v>-4.81597105194805</v>
      </c>
      <c r="K2100" s="8"/>
      <c r="L2100" s="8"/>
    </row>
    <row r="2101" ht="13.5" customHeight="1">
      <c r="A2101" s="7" t="s">
        <v>355</v>
      </c>
      <c r="B2101" s="7">
        <v>0.0</v>
      </c>
      <c r="C2101" s="7" t="s">
        <v>356</v>
      </c>
      <c r="D2101" s="7" t="s">
        <v>357</v>
      </c>
      <c r="E2101" s="7">
        <v>-20.3244184415585</v>
      </c>
      <c r="F2101" s="7">
        <v>1.939281991342</v>
      </c>
      <c r="G2101" s="7">
        <v>2.61971835497835</v>
      </c>
      <c r="H2101" s="7">
        <v>-0.00117988135064935</v>
      </c>
      <c r="I2101" s="7">
        <v>-7.17105920346321</v>
      </c>
      <c r="J2101" s="7">
        <v>-4.8205181038961</v>
      </c>
      <c r="K2101" s="8"/>
      <c r="L2101" s="8"/>
    </row>
    <row r="2102" ht="13.5" customHeight="1">
      <c r="A2102" s="7" t="s">
        <v>355</v>
      </c>
      <c r="B2102" s="7">
        <v>1.75</v>
      </c>
      <c r="C2102" s="7" t="s">
        <v>356</v>
      </c>
      <c r="D2102" s="7" t="s">
        <v>357</v>
      </c>
      <c r="E2102" s="7">
        <v>-20.3412748051948</v>
      </c>
      <c r="F2102" s="7">
        <v>1.94099251082252</v>
      </c>
      <c r="G2102" s="7">
        <v>2.62198277056277</v>
      </c>
      <c r="H2102" s="7">
        <v>-0.00118093645454545</v>
      </c>
      <c r="I2102" s="7">
        <v>-7.177853995671</v>
      </c>
      <c r="J2102" s="7">
        <v>-4.82506515584415</v>
      </c>
      <c r="K2102" s="8"/>
      <c r="L2102" s="8"/>
    </row>
    <row r="2103" ht="13.5" customHeight="1">
      <c r="A2103" s="7" t="s">
        <v>355</v>
      </c>
      <c r="B2103" s="7">
        <v>3.5</v>
      </c>
      <c r="C2103" s="7" t="s">
        <v>356</v>
      </c>
      <c r="D2103" s="7" t="s">
        <v>357</v>
      </c>
      <c r="E2103" s="7">
        <v>-20.3581311688312</v>
      </c>
      <c r="F2103" s="7">
        <v>1.94270303030304</v>
      </c>
      <c r="G2103" s="7">
        <v>2.62424718614718</v>
      </c>
      <c r="H2103" s="7">
        <v>-0.00118199155844156</v>
      </c>
      <c r="I2103" s="7">
        <v>-7.18464878787879</v>
      </c>
      <c r="J2103" s="7">
        <v>-4.8296122077922</v>
      </c>
      <c r="K2103" s="8"/>
      <c r="L2103" s="8"/>
    </row>
    <row r="2104" ht="13.5" customHeight="1">
      <c r="A2104" s="7" t="s">
        <v>355</v>
      </c>
      <c r="B2104" s="7">
        <v>0.0</v>
      </c>
      <c r="C2104" s="7" t="s">
        <v>358</v>
      </c>
      <c r="D2104" s="7" t="s">
        <v>357</v>
      </c>
      <c r="E2104" s="7">
        <v>-20.3749875324676</v>
      </c>
      <c r="F2104" s="7">
        <v>1.94441354978356</v>
      </c>
      <c r="G2104" s="7">
        <v>2.6265116017316</v>
      </c>
      <c r="H2104" s="7">
        <v>-0.00118304666233766</v>
      </c>
      <c r="I2104" s="7">
        <v>-7.19144358008658</v>
      </c>
      <c r="J2104" s="7">
        <v>-4.83415925974025</v>
      </c>
      <c r="K2104" s="8"/>
      <c r="L2104" s="8"/>
    </row>
    <row r="2105" ht="13.5" customHeight="1">
      <c r="A2105" s="7" t="s">
        <v>355</v>
      </c>
      <c r="B2105" s="7">
        <v>1.75</v>
      </c>
      <c r="C2105" s="7" t="s">
        <v>358</v>
      </c>
      <c r="D2105" s="7" t="s">
        <v>357</v>
      </c>
      <c r="E2105" s="7">
        <v>-20.3918438961039</v>
      </c>
      <c r="F2105" s="7">
        <v>1.94612406926408</v>
      </c>
      <c r="G2105" s="7">
        <v>2.62877601731602</v>
      </c>
      <c r="H2105" s="7">
        <v>-0.00118410176623377</v>
      </c>
      <c r="I2105" s="7">
        <v>-7.19823837229437</v>
      </c>
      <c r="J2105" s="7">
        <v>-4.83870631168831</v>
      </c>
      <c r="K2105" s="8"/>
      <c r="L2105" s="8"/>
    </row>
    <row r="2106" ht="13.5" customHeight="1">
      <c r="A2106" s="7" t="s">
        <v>355</v>
      </c>
      <c r="B2106" s="7">
        <v>3.5</v>
      </c>
      <c r="C2106" s="7" t="s">
        <v>358</v>
      </c>
      <c r="D2106" s="7" t="s">
        <v>357</v>
      </c>
      <c r="E2106" s="7">
        <v>-20.4087002597403</v>
      </c>
      <c r="F2106" s="7">
        <v>1.94783458874459</v>
      </c>
      <c r="G2106" s="7">
        <v>2.63104043290043</v>
      </c>
      <c r="H2106" s="7">
        <v>-0.00118515687012987</v>
      </c>
      <c r="I2106" s="7">
        <v>-7.20503316450217</v>
      </c>
      <c r="J2106" s="7">
        <v>-4.84325336363636</v>
      </c>
      <c r="K2106" s="8"/>
      <c r="L2106" s="8"/>
    </row>
    <row r="2107" ht="13.5" customHeight="1">
      <c r="A2107" s="7" t="s">
        <v>355</v>
      </c>
      <c r="B2107" s="7">
        <v>0.0</v>
      </c>
      <c r="C2107" s="7" t="s">
        <v>359</v>
      </c>
      <c r="D2107" s="7" t="s">
        <v>357</v>
      </c>
      <c r="E2107" s="7">
        <v>-20.4255566233766</v>
      </c>
      <c r="F2107" s="7">
        <v>1.94954510822511</v>
      </c>
      <c r="G2107" s="7">
        <v>2.63330484848485</v>
      </c>
      <c r="H2107" s="7">
        <v>-0.00118621197402597</v>
      </c>
      <c r="I2107" s="7">
        <v>-7.21182795670996</v>
      </c>
      <c r="J2107" s="7">
        <v>-4.84780041558441</v>
      </c>
      <c r="K2107" s="8"/>
      <c r="L2107" s="8"/>
    </row>
    <row r="2108" ht="13.5" customHeight="1">
      <c r="A2108" s="7" t="s">
        <v>355</v>
      </c>
      <c r="B2108" s="7">
        <v>1.75</v>
      </c>
      <c r="C2108" s="7" t="s">
        <v>359</v>
      </c>
      <c r="D2108" s="7" t="s">
        <v>357</v>
      </c>
      <c r="E2108" s="7">
        <v>-20.442412987013</v>
      </c>
      <c r="F2108" s="7">
        <v>1.95125562770563</v>
      </c>
      <c r="G2108" s="7">
        <v>2.63556926406926</v>
      </c>
      <c r="H2108" s="7">
        <v>-0.00118726707792208</v>
      </c>
      <c r="I2108" s="7">
        <v>-7.21862274891775</v>
      </c>
      <c r="J2108" s="7">
        <v>-4.85234746753246</v>
      </c>
      <c r="K2108" s="8"/>
      <c r="L2108" s="8"/>
    </row>
    <row r="2109" ht="13.5" customHeight="1">
      <c r="A2109" s="7" t="s">
        <v>355</v>
      </c>
      <c r="B2109" s="7">
        <v>3.5</v>
      </c>
      <c r="C2109" s="7" t="s">
        <v>359</v>
      </c>
      <c r="D2109" s="7" t="s">
        <v>357</v>
      </c>
      <c r="E2109" s="7">
        <v>-20.4592693506494</v>
      </c>
      <c r="F2109" s="7">
        <v>1.95296614718615</v>
      </c>
      <c r="G2109" s="7">
        <v>2.63783367965368</v>
      </c>
      <c r="H2109" s="7">
        <v>-0.00118832218181818</v>
      </c>
      <c r="I2109" s="7">
        <v>-7.22541754112554</v>
      </c>
      <c r="J2109" s="7">
        <v>-4.85689451948051</v>
      </c>
      <c r="K2109" s="8"/>
      <c r="L2109" s="8"/>
    </row>
    <row r="2110" ht="13.5" customHeight="1">
      <c r="A2110" s="7" t="s">
        <v>355</v>
      </c>
      <c r="B2110" s="7">
        <v>0.0</v>
      </c>
      <c r="C2110" s="7" t="s">
        <v>360</v>
      </c>
      <c r="D2110" s="7" t="s">
        <v>357</v>
      </c>
      <c r="E2110" s="7">
        <v>-20.4761257142857</v>
      </c>
      <c r="F2110" s="7">
        <v>1.95467666666667</v>
      </c>
      <c r="G2110" s="7">
        <v>2.64009809523809</v>
      </c>
      <c r="H2110" s="7">
        <v>-0.00118937728571429</v>
      </c>
      <c r="I2110" s="7">
        <v>-7.23221233333333</v>
      </c>
      <c r="J2110" s="7">
        <v>-4.86144157142857</v>
      </c>
      <c r="K2110" s="8"/>
      <c r="L2110" s="8"/>
    </row>
    <row r="2111" ht="13.5" customHeight="1">
      <c r="A2111" s="7" t="s">
        <v>355</v>
      </c>
      <c r="B2111" s="7">
        <v>1.75</v>
      </c>
      <c r="C2111" s="7" t="s">
        <v>360</v>
      </c>
      <c r="D2111" s="7" t="s">
        <v>357</v>
      </c>
      <c r="E2111" s="7">
        <v>-20.4929820779221</v>
      </c>
      <c r="F2111" s="7">
        <v>1.95638718614719</v>
      </c>
      <c r="G2111" s="7">
        <v>2.64236251082251</v>
      </c>
      <c r="H2111" s="7">
        <v>-0.00119043238961039</v>
      </c>
      <c r="I2111" s="7">
        <v>-7.23900712554113</v>
      </c>
      <c r="J2111" s="7">
        <v>-4.86598862337662</v>
      </c>
      <c r="K2111" s="8"/>
      <c r="L2111" s="8"/>
    </row>
    <row r="2112" ht="13.5" customHeight="1">
      <c r="A2112" s="7" t="s">
        <v>355</v>
      </c>
      <c r="B2112" s="7">
        <v>3.5</v>
      </c>
      <c r="C2112" s="7" t="s">
        <v>360</v>
      </c>
      <c r="D2112" s="7" t="s">
        <v>357</v>
      </c>
      <c r="E2112" s="7">
        <v>-20.5098384415585</v>
      </c>
      <c r="F2112" s="7">
        <v>1.95809770562771</v>
      </c>
      <c r="G2112" s="7">
        <v>2.64462692640692</v>
      </c>
      <c r="H2112" s="7">
        <v>-0.00119148749350649</v>
      </c>
      <c r="I2112" s="7">
        <v>-7.24580191774892</v>
      </c>
      <c r="J2112" s="7">
        <v>-4.87053567532467</v>
      </c>
      <c r="K2112" s="8"/>
      <c r="L2112" s="8"/>
    </row>
    <row r="2113" ht="13.5" customHeight="1">
      <c r="A2113" s="7" t="s">
        <v>355</v>
      </c>
      <c r="B2113" s="7">
        <v>0.0</v>
      </c>
      <c r="C2113" s="7" t="s">
        <v>361</v>
      </c>
      <c r="D2113" s="7" t="s">
        <v>357</v>
      </c>
      <c r="E2113" s="7">
        <v>-20.5266948051948</v>
      </c>
      <c r="F2113" s="7">
        <v>1.95980822510823</v>
      </c>
      <c r="G2113" s="7">
        <v>2.64689134199134</v>
      </c>
      <c r="H2113" s="7">
        <v>-0.0011925425974026</v>
      </c>
      <c r="I2113" s="7">
        <v>-7.25259670995671</v>
      </c>
      <c r="J2113" s="7">
        <v>-4.87508272727272</v>
      </c>
      <c r="K2113" s="8"/>
      <c r="L2113" s="8"/>
    </row>
    <row r="2114" ht="13.5" customHeight="1">
      <c r="A2114" s="7" t="s">
        <v>355</v>
      </c>
      <c r="B2114" s="7">
        <v>1.75</v>
      </c>
      <c r="C2114" s="7" t="s">
        <v>361</v>
      </c>
      <c r="D2114" s="7" t="s">
        <v>357</v>
      </c>
      <c r="E2114" s="7">
        <v>-20.5435511688312</v>
      </c>
      <c r="F2114" s="7">
        <v>1.96151874458875</v>
      </c>
      <c r="G2114" s="7">
        <v>2.64915575757576</v>
      </c>
      <c r="H2114" s="7">
        <v>-0.0011935977012987</v>
      </c>
      <c r="I2114" s="7">
        <v>-7.2593915021645</v>
      </c>
      <c r="J2114" s="7">
        <v>-4.87962977922077</v>
      </c>
      <c r="K2114" s="8"/>
      <c r="L2114" s="8"/>
    </row>
    <row r="2115" ht="13.5" customHeight="1">
      <c r="A2115" s="7" t="s">
        <v>355</v>
      </c>
      <c r="B2115" s="7">
        <v>3.5</v>
      </c>
      <c r="C2115" s="7" t="s">
        <v>361</v>
      </c>
      <c r="D2115" s="7" t="s">
        <v>357</v>
      </c>
      <c r="E2115" s="7">
        <v>-20.5604075324676</v>
      </c>
      <c r="F2115" s="7">
        <v>1.96322926406927</v>
      </c>
      <c r="G2115" s="7">
        <v>2.65142017316017</v>
      </c>
      <c r="H2115" s="7">
        <v>-0.00119465280519481</v>
      </c>
      <c r="I2115" s="7">
        <v>-7.2661862943723</v>
      </c>
      <c r="J2115" s="7">
        <v>-4.88417683116883</v>
      </c>
      <c r="K2115" s="8"/>
      <c r="L2115" s="8"/>
    </row>
    <row r="2116" ht="13.5" customHeight="1">
      <c r="A2116" s="7" t="s">
        <v>355</v>
      </c>
      <c r="B2116" s="7">
        <v>0.0</v>
      </c>
      <c r="C2116" s="7" t="s">
        <v>362</v>
      </c>
      <c r="D2116" s="7" t="s">
        <v>357</v>
      </c>
      <c r="E2116" s="7">
        <v>-20.5772638961039</v>
      </c>
      <c r="F2116" s="7">
        <v>1.96493978354979</v>
      </c>
      <c r="G2116" s="7">
        <v>2.65368458874459</v>
      </c>
      <c r="H2116" s="7">
        <v>-0.00119570790909091</v>
      </c>
      <c r="I2116" s="7">
        <v>-7.27298108658009</v>
      </c>
      <c r="J2116" s="7">
        <v>-4.88872388311688</v>
      </c>
      <c r="K2116" s="8"/>
      <c r="L2116" s="8"/>
    </row>
    <row r="2117" ht="13.5" customHeight="1">
      <c r="A2117" s="7" t="s">
        <v>355</v>
      </c>
      <c r="B2117" s="7">
        <v>1.75</v>
      </c>
      <c r="C2117" s="7" t="s">
        <v>362</v>
      </c>
      <c r="D2117" s="7" t="s">
        <v>357</v>
      </c>
      <c r="E2117" s="7">
        <v>-20.5941202597403</v>
      </c>
      <c r="F2117" s="7">
        <v>1.96665030303031</v>
      </c>
      <c r="G2117" s="7">
        <v>2.655949004329</v>
      </c>
      <c r="H2117" s="7">
        <v>-0.00119676301298701</v>
      </c>
      <c r="I2117" s="7">
        <v>-7.27977587878788</v>
      </c>
      <c r="J2117" s="7">
        <v>-4.89327093506493</v>
      </c>
      <c r="K2117" s="8"/>
      <c r="L2117" s="8"/>
    </row>
    <row r="2118" ht="13.5" customHeight="1">
      <c r="A2118" s="7" t="s">
        <v>355</v>
      </c>
      <c r="B2118" s="7">
        <v>3.5</v>
      </c>
      <c r="C2118" s="7" t="s">
        <v>362</v>
      </c>
      <c r="D2118" s="7" t="s">
        <v>357</v>
      </c>
      <c r="E2118" s="7">
        <v>-20.6109766233766</v>
      </c>
      <c r="F2118" s="7">
        <v>1.96836082251083</v>
      </c>
      <c r="G2118" s="7">
        <v>2.65821341991342</v>
      </c>
      <c r="H2118" s="7">
        <v>-0.00119781811688312</v>
      </c>
      <c r="I2118" s="7">
        <v>-7.28657067099567</v>
      </c>
      <c r="J2118" s="7">
        <v>-4.89781798701298</v>
      </c>
      <c r="K2118" s="8"/>
      <c r="L2118" s="8"/>
    </row>
    <row r="2119" ht="13.5" customHeight="1">
      <c r="A2119" s="7" t="s">
        <v>355</v>
      </c>
      <c r="B2119" s="7">
        <v>0.0</v>
      </c>
      <c r="C2119" s="7" t="s">
        <v>363</v>
      </c>
      <c r="D2119" s="7" t="s">
        <v>357</v>
      </c>
      <c r="E2119" s="7">
        <v>-20.627832987013</v>
      </c>
      <c r="F2119" s="7">
        <v>1.97007134199135</v>
      </c>
      <c r="G2119" s="7">
        <v>2.66047783549783</v>
      </c>
      <c r="H2119" s="7">
        <v>-0.00119887322077922</v>
      </c>
      <c r="I2119" s="7">
        <v>-7.29336546320346</v>
      </c>
      <c r="J2119" s="7">
        <v>-4.90236503896103</v>
      </c>
      <c r="K2119" s="8"/>
      <c r="L2119" s="8"/>
    </row>
    <row r="2120" ht="13.5" customHeight="1">
      <c r="A2120" s="7" t="s">
        <v>355</v>
      </c>
      <c r="B2120" s="7">
        <v>1.75</v>
      </c>
      <c r="C2120" s="7" t="s">
        <v>363</v>
      </c>
      <c r="D2120" s="7" t="s">
        <v>357</v>
      </c>
      <c r="E2120" s="7">
        <v>-20.6446893506494</v>
      </c>
      <c r="F2120" s="7">
        <v>1.97178186147187</v>
      </c>
      <c r="G2120" s="7">
        <v>2.66274225108225</v>
      </c>
      <c r="H2120" s="7">
        <v>-0.00119992832467533</v>
      </c>
      <c r="I2120" s="7">
        <v>-7.30016025541126</v>
      </c>
      <c r="J2120" s="7">
        <v>-4.90691209090908</v>
      </c>
      <c r="K2120" s="8"/>
      <c r="L2120" s="8"/>
    </row>
    <row r="2121" ht="13.5" customHeight="1">
      <c r="A2121" s="7" t="s">
        <v>355</v>
      </c>
      <c r="B2121" s="7">
        <v>3.5</v>
      </c>
      <c r="C2121" s="7" t="s">
        <v>363</v>
      </c>
      <c r="D2121" s="7" t="s">
        <v>357</v>
      </c>
      <c r="E2121" s="7">
        <v>-20.6615457142857</v>
      </c>
      <c r="F2121" s="7">
        <v>1.97349238095239</v>
      </c>
      <c r="G2121" s="7">
        <v>2.66500666666666</v>
      </c>
      <c r="H2121" s="7">
        <v>-0.00120098342857143</v>
      </c>
      <c r="I2121" s="7">
        <v>-7.30695504761905</v>
      </c>
      <c r="J2121" s="7">
        <v>-4.91145914285714</v>
      </c>
      <c r="K2121" s="8"/>
      <c r="L2121" s="8"/>
    </row>
    <row r="2122" ht="13.5" customHeight="1">
      <c r="A2122" s="7" t="s">
        <v>355</v>
      </c>
      <c r="B2122" s="7">
        <v>0.0</v>
      </c>
      <c r="C2122" s="7" t="s">
        <v>356</v>
      </c>
      <c r="D2122" s="7" t="s">
        <v>357</v>
      </c>
      <c r="E2122" s="7">
        <v>-20.6784020779221</v>
      </c>
      <c r="F2122" s="7">
        <v>1.97520290043291</v>
      </c>
      <c r="G2122" s="7">
        <v>2.66727108225108</v>
      </c>
      <c r="H2122" s="7">
        <v>-0.00120203853246753</v>
      </c>
      <c r="I2122" s="7">
        <v>-7.31374983982684</v>
      </c>
      <c r="J2122" s="7">
        <v>-4.91600619480519</v>
      </c>
      <c r="K2122" s="8"/>
      <c r="L2122" s="8"/>
    </row>
    <row r="2123" ht="13.5" customHeight="1">
      <c r="A2123" s="7" t="s">
        <v>355</v>
      </c>
      <c r="B2123" s="7">
        <v>1.75</v>
      </c>
      <c r="C2123" s="7" t="s">
        <v>356</v>
      </c>
      <c r="D2123" s="7" t="s">
        <v>357</v>
      </c>
      <c r="E2123" s="7">
        <v>-20.6952584415585</v>
      </c>
      <c r="F2123" s="7">
        <v>1.97691341991343</v>
      </c>
      <c r="G2123" s="7">
        <v>2.6695354978355</v>
      </c>
      <c r="H2123" s="7">
        <v>-0.00120309363636364</v>
      </c>
      <c r="I2123" s="7">
        <v>-7.32054463203463</v>
      </c>
      <c r="J2123" s="7">
        <v>-4.92055324675324</v>
      </c>
      <c r="K2123" s="8"/>
      <c r="L2123" s="8"/>
    </row>
    <row r="2124" ht="13.5" customHeight="1">
      <c r="A2124" s="7" t="s">
        <v>355</v>
      </c>
      <c r="B2124" s="7">
        <v>3.5</v>
      </c>
      <c r="C2124" s="7" t="s">
        <v>356</v>
      </c>
      <c r="D2124" s="7" t="s">
        <v>357</v>
      </c>
      <c r="E2124" s="7">
        <v>-20.7121148051948</v>
      </c>
      <c r="F2124" s="7">
        <v>1.97862393939395</v>
      </c>
      <c r="G2124" s="7">
        <v>2.67179991341991</v>
      </c>
      <c r="H2124" s="7">
        <v>-0.00120414874025974</v>
      </c>
      <c r="I2124" s="7">
        <v>-7.32733942424243</v>
      </c>
      <c r="J2124" s="7">
        <v>-4.92510029870129</v>
      </c>
      <c r="K2124" s="8"/>
      <c r="L2124" s="8"/>
    </row>
    <row r="2125" ht="13.5" customHeight="1">
      <c r="A2125" s="7" t="s">
        <v>355</v>
      </c>
      <c r="B2125" s="7">
        <v>0.0</v>
      </c>
      <c r="C2125" s="7" t="s">
        <v>358</v>
      </c>
      <c r="D2125" s="7" t="s">
        <v>357</v>
      </c>
      <c r="E2125" s="7">
        <v>-20.7289711688312</v>
      </c>
      <c r="F2125" s="7">
        <v>1.98033445887446</v>
      </c>
      <c r="G2125" s="7">
        <v>2.67406432900433</v>
      </c>
      <c r="H2125" s="7">
        <v>-0.00120520384415584</v>
      </c>
      <c r="I2125" s="7">
        <v>-7.33413421645022</v>
      </c>
      <c r="J2125" s="7">
        <v>-4.92964735064935</v>
      </c>
      <c r="K2125" s="8"/>
      <c r="L2125" s="8"/>
    </row>
    <row r="2126" ht="13.5" customHeight="1">
      <c r="A2126" s="7" t="s">
        <v>355</v>
      </c>
      <c r="B2126" s="7">
        <v>1.75</v>
      </c>
      <c r="C2126" s="7" t="s">
        <v>358</v>
      </c>
      <c r="D2126" s="7" t="s">
        <v>357</v>
      </c>
      <c r="E2126" s="7">
        <v>-20.7458275324675</v>
      </c>
      <c r="F2126" s="7">
        <v>1.98204497835498</v>
      </c>
      <c r="G2126" s="7">
        <v>2.67632874458874</v>
      </c>
      <c r="H2126" s="7">
        <v>-0.00120625894805195</v>
      </c>
      <c r="I2126" s="7">
        <v>-7.34092900865801</v>
      </c>
      <c r="J2126" s="7">
        <v>-4.9341944025974</v>
      </c>
      <c r="K2126" s="8"/>
      <c r="L2126" s="8"/>
    </row>
    <row r="2127" ht="13.5" customHeight="1">
      <c r="A2127" s="7" t="s">
        <v>355</v>
      </c>
      <c r="B2127" s="7">
        <v>3.5</v>
      </c>
      <c r="C2127" s="7" t="s">
        <v>358</v>
      </c>
      <c r="D2127" s="7" t="s">
        <v>357</v>
      </c>
      <c r="E2127" s="7">
        <v>-20.7626838961039</v>
      </c>
      <c r="F2127" s="7">
        <v>1.9837554978355</v>
      </c>
      <c r="G2127" s="7">
        <v>2.67859316017316</v>
      </c>
      <c r="H2127" s="7">
        <v>-0.00120731405194805</v>
      </c>
      <c r="I2127" s="7">
        <v>-7.3477238008658</v>
      </c>
      <c r="J2127" s="7">
        <v>-4.93874145454545</v>
      </c>
      <c r="K2127" s="8"/>
      <c r="L2127" s="8"/>
    </row>
    <row r="2128" ht="13.5" customHeight="1">
      <c r="A2128" s="7" t="s">
        <v>355</v>
      </c>
      <c r="B2128" s="7">
        <v>0.0</v>
      </c>
      <c r="C2128" s="7" t="s">
        <v>359</v>
      </c>
      <c r="D2128" s="7" t="s">
        <v>357</v>
      </c>
      <c r="E2128" s="7">
        <v>-20.7795402597403</v>
      </c>
      <c r="F2128" s="7">
        <v>1.98546601731602</v>
      </c>
      <c r="G2128" s="7">
        <v>2.68085757575757</v>
      </c>
      <c r="H2128" s="7">
        <v>-0.00120836915584416</v>
      </c>
      <c r="I2128" s="7">
        <v>-7.35451859307359</v>
      </c>
      <c r="J2128" s="7">
        <v>-4.9432885064935</v>
      </c>
      <c r="K2128" s="8"/>
      <c r="L2128" s="8"/>
    </row>
    <row r="2129" ht="13.5" customHeight="1">
      <c r="A2129" s="7" t="s">
        <v>355</v>
      </c>
      <c r="B2129" s="7">
        <v>1.75</v>
      </c>
      <c r="C2129" s="7" t="s">
        <v>359</v>
      </c>
      <c r="D2129" s="7" t="s">
        <v>357</v>
      </c>
      <c r="E2129" s="7">
        <v>-20.7963966233766</v>
      </c>
      <c r="F2129" s="7">
        <v>1.98717653679654</v>
      </c>
      <c r="G2129" s="7">
        <v>2.68312199134199</v>
      </c>
      <c r="H2129" s="7">
        <v>-0.00120942425974026</v>
      </c>
      <c r="I2129" s="7">
        <v>-7.36131338528139</v>
      </c>
      <c r="J2129" s="7">
        <v>-4.94783555844155</v>
      </c>
      <c r="K2129" s="8"/>
      <c r="L2129" s="8"/>
    </row>
    <row r="2130" ht="13.5" customHeight="1">
      <c r="A2130" s="7" t="s">
        <v>355</v>
      </c>
      <c r="B2130" s="7">
        <v>3.5</v>
      </c>
      <c r="C2130" s="7" t="s">
        <v>359</v>
      </c>
      <c r="D2130" s="7" t="s">
        <v>357</v>
      </c>
      <c r="E2130" s="7">
        <v>-20.813252987013</v>
      </c>
      <c r="F2130" s="7">
        <v>1.98888705627706</v>
      </c>
      <c r="G2130" s="7">
        <v>2.6853864069264</v>
      </c>
      <c r="H2130" s="7">
        <v>-0.00121047936363636</v>
      </c>
      <c r="I2130" s="7">
        <v>-7.36810817748918</v>
      </c>
      <c r="J2130" s="7">
        <v>-4.9523826103896</v>
      </c>
      <c r="K2130" s="8"/>
      <c r="L2130" s="8"/>
    </row>
    <row r="2131" ht="13.5" customHeight="1">
      <c r="A2131" s="7" t="s">
        <v>355</v>
      </c>
      <c r="B2131" s="7">
        <v>0.0</v>
      </c>
      <c r="C2131" s="7" t="s">
        <v>360</v>
      </c>
      <c r="D2131" s="7" t="s">
        <v>357</v>
      </c>
      <c r="E2131" s="7">
        <v>-20.8301093506494</v>
      </c>
      <c r="F2131" s="7">
        <v>1.99059757575758</v>
      </c>
      <c r="G2131" s="7">
        <v>2.68765082251082</v>
      </c>
      <c r="H2131" s="7">
        <v>-0.00121153446753247</v>
      </c>
      <c r="I2131" s="7">
        <v>-7.37490296969697</v>
      </c>
      <c r="J2131" s="7">
        <v>-4.95692966233766</v>
      </c>
      <c r="K2131" s="8"/>
      <c r="L2131" s="8"/>
    </row>
    <row r="2132" ht="13.5" customHeight="1">
      <c r="A2132" s="7" t="s">
        <v>355</v>
      </c>
      <c r="B2132" s="7">
        <v>1.75</v>
      </c>
      <c r="C2132" s="7" t="s">
        <v>360</v>
      </c>
      <c r="D2132" s="7" t="s">
        <v>357</v>
      </c>
      <c r="E2132" s="7">
        <v>-20.8469657142857</v>
      </c>
      <c r="F2132" s="7">
        <v>1.9923080952381</v>
      </c>
      <c r="G2132" s="7">
        <v>2.68991523809524</v>
      </c>
      <c r="H2132" s="7">
        <v>-0.00121258957142857</v>
      </c>
      <c r="I2132" s="7">
        <v>-7.38169776190476</v>
      </c>
      <c r="J2132" s="7">
        <v>-4.96147671428571</v>
      </c>
      <c r="K2132" s="8"/>
      <c r="L2132" s="8"/>
    </row>
    <row r="2133" ht="13.5" customHeight="1">
      <c r="A2133" s="7" t="s">
        <v>355</v>
      </c>
      <c r="B2133" s="7">
        <v>3.5</v>
      </c>
      <c r="C2133" s="7" t="s">
        <v>360</v>
      </c>
      <c r="D2133" s="7" t="s">
        <v>357</v>
      </c>
      <c r="E2133" s="7">
        <v>-20.8638220779221</v>
      </c>
      <c r="F2133" s="7">
        <v>1.99401861471862</v>
      </c>
      <c r="G2133" s="7">
        <v>2.69217965367965</v>
      </c>
      <c r="H2133" s="7">
        <v>-0.00121364467532468</v>
      </c>
      <c r="I2133" s="7">
        <v>-7.38849255411256</v>
      </c>
      <c r="J2133" s="7">
        <v>-4.96602376623376</v>
      </c>
      <c r="K2133" s="8"/>
      <c r="L2133" s="8"/>
    </row>
    <row r="2134" ht="13.5" customHeight="1">
      <c r="A2134" s="7" t="s">
        <v>355</v>
      </c>
      <c r="B2134" s="7">
        <v>0.0</v>
      </c>
      <c r="C2134" s="7" t="s">
        <v>361</v>
      </c>
      <c r="D2134" s="7" t="s">
        <v>357</v>
      </c>
      <c r="E2134" s="7">
        <v>-20.8806784415585</v>
      </c>
      <c r="F2134" s="7">
        <v>1.99572913419914</v>
      </c>
      <c r="G2134" s="7">
        <v>2.69444406926407</v>
      </c>
      <c r="H2134" s="7">
        <v>-0.00121469977922078</v>
      </c>
      <c r="I2134" s="7">
        <v>-7.39528734632035</v>
      </c>
      <c r="J2134" s="7">
        <v>-4.97057081818181</v>
      </c>
      <c r="K2134" s="8"/>
      <c r="L2134" s="8"/>
    </row>
    <row r="2135" ht="13.5" customHeight="1">
      <c r="A2135" s="7" t="s">
        <v>355</v>
      </c>
      <c r="B2135" s="7">
        <v>1.75</v>
      </c>
      <c r="C2135" s="7" t="s">
        <v>361</v>
      </c>
      <c r="D2135" s="7" t="s">
        <v>357</v>
      </c>
      <c r="E2135" s="7">
        <v>-20.897534805194802</v>
      </c>
      <c r="F2135" s="7">
        <v>1.99743965367966</v>
      </c>
      <c r="G2135" s="7">
        <v>2.69670848484848</v>
      </c>
      <c r="H2135" s="7">
        <v>-0.00121575488311688</v>
      </c>
      <c r="I2135" s="7">
        <v>-7.40208213852814</v>
      </c>
      <c r="J2135" s="7">
        <v>-4.97511787012986</v>
      </c>
      <c r="K2135" s="8"/>
      <c r="L2135" s="8"/>
    </row>
    <row r="2136" ht="13.5" customHeight="1">
      <c r="A2136" s="7" t="s">
        <v>355</v>
      </c>
      <c r="B2136" s="7">
        <v>3.5</v>
      </c>
      <c r="C2136" s="7" t="s">
        <v>361</v>
      </c>
      <c r="D2136" s="7" t="s">
        <v>357</v>
      </c>
      <c r="E2136" s="7">
        <v>-20.9143911688312</v>
      </c>
      <c r="F2136" s="7">
        <v>1.99915017316018</v>
      </c>
      <c r="G2136" s="7">
        <v>2.6989729004329</v>
      </c>
      <c r="H2136" s="7">
        <v>-0.00121680998701299</v>
      </c>
      <c r="I2136" s="7">
        <v>-7.40887693073593</v>
      </c>
      <c r="J2136" s="7">
        <v>-4.97966492207792</v>
      </c>
      <c r="K2136" s="8"/>
      <c r="L2136" s="8"/>
    </row>
    <row r="2137" ht="13.5" customHeight="1">
      <c r="A2137" s="7" t="s">
        <v>355</v>
      </c>
      <c r="B2137" s="7">
        <v>0.0</v>
      </c>
      <c r="C2137" s="7" t="s">
        <v>362</v>
      </c>
      <c r="D2137" s="7" t="s">
        <v>357</v>
      </c>
      <c r="E2137" s="7">
        <v>-20.9312475324675</v>
      </c>
      <c r="F2137" s="7">
        <v>2.0008606926407</v>
      </c>
      <c r="G2137" s="7">
        <v>2.70123731601731</v>
      </c>
      <c r="H2137" s="7">
        <v>-0.00121786509090909</v>
      </c>
      <c r="I2137" s="7">
        <v>-7.41567172294373</v>
      </c>
      <c r="J2137" s="7">
        <v>-4.98421197402597</v>
      </c>
      <c r="K2137" s="8"/>
      <c r="L2137" s="8"/>
    </row>
    <row r="2138" ht="13.5" customHeight="1">
      <c r="A2138" s="7" t="s">
        <v>355</v>
      </c>
      <c r="B2138" s="7">
        <v>1.75</v>
      </c>
      <c r="C2138" s="7" t="s">
        <v>362</v>
      </c>
      <c r="D2138" s="7" t="s">
        <v>357</v>
      </c>
      <c r="E2138" s="7">
        <v>-20.9481038961039</v>
      </c>
      <c r="F2138" s="7">
        <v>2.00257121212122</v>
      </c>
      <c r="G2138" s="7">
        <v>2.70350173160173</v>
      </c>
      <c r="H2138" s="7">
        <v>-0.0012189201948052</v>
      </c>
      <c r="I2138" s="7">
        <v>-7.42246651515152</v>
      </c>
      <c r="J2138" s="7">
        <v>-4.98875902597402</v>
      </c>
      <c r="K2138" s="8"/>
      <c r="L2138" s="8"/>
    </row>
    <row r="2139" ht="13.5" customHeight="1">
      <c r="A2139" s="7" t="s">
        <v>355</v>
      </c>
      <c r="B2139" s="7">
        <v>3.5</v>
      </c>
      <c r="C2139" s="7" t="s">
        <v>362</v>
      </c>
      <c r="D2139" s="7" t="s">
        <v>357</v>
      </c>
      <c r="E2139" s="7">
        <v>-20.9649602597403</v>
      </c>
      <c r="F2139" s="7">
        <v>2.00428173160174</v>
      </c>
      <c r="G2139" s="7">
        <v>2.70576614718615</v>
      </c>
      <c r="H2139" s="7">
        <v>-0.0012199752987013</v>
      </c>
      <c r="I2139" s="7">
        <v>-7.42926130735931</v>
      </c>
      <c r="J2139" s="7">
        <v>-4.99330607792207</v>
      </c>
      <c r="K2139" s="8"/>
      <c r="L2139" s="8"/>
    </row>
    <row r="2140" ht="13.5" customHeight="1">
      <c r="A2140" s="7" t="s">
        <v>355</v>
      </c>
      <c r="B2140" s="7">
        <v>0.0</v>
      </c>
      <c r="C2140" s="7" t="s">
        <v>363</v>
      </c>
      <c r="D2140" s="7" t="s">
        <v>357</v>
      </c>
      <c r="E2140" s="7">
        <v>-20.9818166233766</v>
      </c>
      <c r="F2140" s="7">
        <v>2.00599225108226</v>
      </c>
      <c r="G2140" s="7">
        <v>2.70803056277056</v>
      </c>
      <c r="H2140" s="7">
        <v>-0.0012210304025974</v>
      </c>
      <c r="I2140" s="7">
        <v>-7.4360560995671</v>
      </c>
      <c r="J2140" s="7">
        <v>-4.99785312987012</v>
      </c>
      <c r="K2140" s="8"/>
      <c r="L2140" s="8"/>
    </row>
    <row r="2141" ht="13.5" customHeight="1">
      <c r="A2141" s="7" t="s">
        <v>355</v>
      </c>
      <c r="B2141" s="7">
        <v>1.75</v>
      </c>
      <c r="C2141" s="7" t="s">
        <v>363</v>
      </c>
      <c r="D2141" s="7" t="s">
        <v>357</v>
      </c>
      <c r="E2141" s="7">
        <v>-20.998672987013</v>
      </c>
      <c r="F2141" s="7">
        <v>2.00770277056278</v>
      </c>
      <c r="G2141" s="7">
        <v>2.71029497835498</v>
      </c>
      <c r="H2141" s="7">
        <v>-0.00122208550649351</v>
      </c>
      <c r="I2141" s="7">
        <v>-7.44285089177489</v>
      </c>
      <c r="J2141" s="7">
        <v>-5.00240018181818</v>
      </c>
      <c r="K2141" s="8"/>
      <c r="L2141" s="8"/>
    </row>
    <row r="2142" ht="13.5" customHeight="1">
      <c r="A2142" s="7" t="s">
        <v>355</v>
      </c>
      <c r="B2142" s="7">
        <v>3.5</v>
      </c>
      <c r="C2142" s="7" t="s">
        <v>363</v>
      </c>
      <c r="D2142" s="7" t="s">
        <v>357</v>
      </c>
      <c r="E2142" s="7">
        <v>-21.0155293506494</v>
      </c>
      <c r="F2142" s="7">
        <v>2.0094132900433</v>
      </c>
      <c r="G2142" s="7">
        <v>2.71255939393939</v>
      </c>
      <c r="H2142" s="7">
        <v>-0.00122314061038961</v>
      </c>
      <c r="I2142" s="7">
        <v>-7.44964568398269</v>
      </c>
      <c r="J2142" s="7">
        <v>-5.00694723376623</v>
      </c>
      <c r="K2142" s="8"/>
      <c r="L2142" s="8"/>
    </row>
    <row r="2143" ht="13.5" customHeight="1">
      <c r="A2143" s="7" t="s">
        <v>355</v>
      </c>
      <c r="B2143" s="7">
        <v>0.0</v>
      </c>
      <c r="C2143" s="7" t="s">
        <v>356</v>
      </c>
      <c r="D2143" s="7" t="s">
        <v>357</v>
      </c>
      <c r="E2143" s="7">
        <v>-21.0323857142857</v>
      </c>
      <c r="F2143" s="7">
        <v>2.01112380952382</v>
      </c>
      <c r="G2143" s="7">
        <v>2.71482380952381</v>
      </c>
      <c r="H2143" s="7">
        <v>-0.00122419571428571</v>
      </c>
      <c r="I2143" s="7">
        <v>-7.45644047619048</v>
      </c>
      <c r="J2143" s="7">
        <v>-5.01149428571428</v>
      </c>
      <c r="K2143" s="8"/>
      <c r="L2143" s="8"/>
    </row>
    <row r="2144" ht="13.5" customHeight="1">
      <c r="A2144" s="7" t="s">
        <v>355</v>
      </c>
      <c r="B2144" s="7">
        <v>1.75</v>
      </c>
      <c r="C2144" s="7" t="s">
        <v>356</v>
      </c>
      <c r="D2144" s="7" t="s">
        <v>357</v>
      </c>
      <c r="E2144" s="7">
        <v>-21.0492420779221</v>
      </c>
      <c r="F2144" s="7">
        <v>2.01283432900433</v>
      </c>
      <c r="G2144" s="7">
        <v>2.71708822510822</v>
      </c>
      <c r="H2144" s="7">
        <v>-0.00122525081818182</v>
      </c>
      <c r="I2144" s="7">
        <v>-7.46323526839827</v>
      </c>
      <c r="J2144" s="7">
        <v>-5.01604133766233</v>
      </c>
      <c r="K2144" s="8"/>
      <c r="L2144" s="8"/>
    </row>
    <row r="2145" ht="13.5" customHeight="1">
      <c r="A2145" s="7" t="s">
        <v>355</v>
      </c>
      <c r="B2145" s="7">
        <v>3.5</v>
      </c>
      <c r="C2145" s="7" t="s">
        <v>356</v>
      </c>
      <c r="D2145" s="7" t="s">
        <v>357</v>
      </c>
      <c r="E2145" s="7">
        <v>-21.0660984415585</v>
      </c>
      <c r="F2145" s="7">
        <v>2.01454484848485</v>
      </c>
      <c r="G2145" s="7">
        <v>2.71935264069264</v>
      </c>
      <c r="H2145" s="7">
        <v>-0.00122630592207792</v>
      </c>
      <c r="I2145" s="7">
        <v>-7.47003006060606</v>
      </c>
      <c r="J2145" s="7">
        <v>-5.02058838961038</v>
      </c>
      <c r="K2145" s="8"/>
      <c r="L2145" s="8"/>
    </row>
    <row r="2146" ht="13.5" customHeight="1">
      <c r="A2146" s="7" t="s">
        <v>355</v>
      </c>
      <c r="B2146" s="7">
        <v>0.0</v>
      </c>
      <c r="C2146" s="7" t="s">
        <v>358</v>
      </c>
      <c r="D2146" s="7" t="s">
        <v>357</v>
      </c>
      <c r="E2146" s="7">
        <v>-21.0829548051948</v>
      </c>
      <c r="F2146" s="7">
        <v>2.01625536796537</v>
      </c>
      <c r="G2146" s="7">
        <v>2.72161705627705</v>
      </c>
      <c r="H2146" s="7">
        <v>-0.00122736102597403</v>
      </c>
      <c r="I2146" s="7">
        <v>-7.47682485281385</v>
      </c>
      <c r="J2146" s="7">
        <v>-5.02513544155844</v>
      </c>
      <c r="K2146" s="8"/>
      <c r="L2146" s="8"/>
    </row>
    <row r="2147" ht="13.5" customHeight="1">
      <c r="A2147" s="7" t="s">
        <v>355</v>
      </c>
      <c r="B2147" s="7">
        <v>1.75</v>
      </c>
      <c r="C2147" s="7" t="s">
        <v>358</v>
      </c>
      <c r="D2147" s="7" t="s">
        <v>357</v>
      </c>
      <c r="E2147" s="7">
        <v>-21.0998111688312</v>
      </c>
      <c r="F2147" s="7">
        <v>2.01796588744589</v>
      </c>
      <c r="G2147" s="7">
        <v>2.72388147186147</v>
      </c>
      <c r="H2147" s="7">
        <v>-0.00122841612987013</v>
      </c>
      <c r="I2147" s="7">
        <v>-7.48361964502165</v>
      </c>
      <c r="J2147" s="7">
        <v>-5.02968249350649</v>
      </c>
      <c r="K2147" s="8"/>
      <c r="L2147" s="8"/>
    </row>
    <row r="2148" ht="13.5" customHeight="1">
      <c r="A2148" s="7" t="s">
        <v>355</v>
      </c>
      <c r="B2148" s="7">
        <v>3.5</v>
      </c>
      <c r="C2148" s="7" t="s">
        <v>358</v>
      </c>
      <c r="D2148" s="7" t="s">
        <v>357</v>
      </c>
      <c r="E2148" s="7">
        <v>-21.1166675324675</v>
      </c>
      <c r="F2148" s="7">
        <v>2.01967640692641</v>
      </c>
      <c r="G2148" s="7">
        <v>2.72614588744589</v>
      </c>
      <c r="H2148" s="7">
        <v>-0.00122947123376623</v>
      </c>
      <c r="I2148" s="7">
        <v>-7.49041443722944</v>
      </c>
      <c r="J2148" s="7">
        <v>-5.03422954545454</v>
      </c>
      <c r="K2148" s="8"/>
      <c r="L2148" s="8"/>
    </row>
    <row r="2149" ht="13.5" customHeight="1">
      <c r="A2149" s="7" t="s">
        <v>355</v>
      </c>
      <c r="B2149" s="7">
        <v>0.0</v>
      </c>
      <c r="C2149" s="7" t="s">
        <v>359</v>
      </c>
      <c r="D2149" s="7" t="s">
        <v>357</v>
      </c>
      <c r="E2149" s="7">
        <v>-21.1335238961039</v>
      </c>
      <c r="F2149" s="7">
        <v>2.02138692640693</v>
      </c>
      <c r="G2149" s="7">
        <v>2.7284103030303</v>
      </c>
      <c r="H2149" s="7">
        <v>-0.00123052633766234</v>
      </c>
      <c r="I2149" s="7">
        <v>-7.49720922943723</v>
      </c>
      <c r="J2149" s="7">
        <v>-5.03877659740259</v>
      </c>
      <c r="K2149" s="8"/>
      <c r="L2149" s="8"/>
    </row>
    <row r="2150" ht="13.5" customHeight="1">
      <c r="A2150" s="7" t="s">
        <v>355</v>
      </c>
      <c r="B2150" s="7">
        <v>1.75</v>
      </c>
      <c r="C2150" s="7" t="s">
        <v>359</v>
      </c>
      <c r="D2150" s="7" t="s">
        <v>357</v>
      </c>
      <c r="E2150" s="7">
        <v>-21.1503802597403</v>
      </c>
      <c r="F2150" s="7">
        <v>2.02309744588745</v>
      </c>
      <c r="G2150" s="7">
        <v>2.73067471861472</v>
      </c>
      <c r="H2150" s="7">
        <v>-0.00123158144155844</v>
      </c>
      <c r="I2150" s="7">
        <v>-7.50400402164502</v>
      </c>
      <c r="J2150" s="7">
        <v>-5.04332364935064</v>
      </c>
      <c r="K2150" s="8"/>
      <c r="L2150" s="8"/>
    </row>
    <row r="2151" ht="13.5" customHeight="1">
      <c r="A2151" s="7" t="s">
        <v>355</v>
      </c>
      <c r="B2151" s="7">
        <v>3.5</v>
      </c>
      <c r="C2151" s="7" t="s">
        <v>359</v>
      </c>
      <c r="D2151" s="7" t="s">
        <v>357</v>
      </c>
      <c r="E2151" s="7">
        <v>-21.1672366233766</v>
      </c>
      <c r="F2151" s="7">
        <v>2.02480796536797</v>
      </c>
      <c r="G2151" s="7">
        <v>2.73293913419913</v>
      </c>
      <c r="H2151" s="7">
        <v>-0.00123263654545455</v>
      </c>
      <c r="I2151" s="7">
        <v>-7.51079881385282</v>
      </c>
      <c r="J2151" s="7">
        <v>-5.0478707012987</v>
      </c>
      <c r="K2151" s="8"/>
      <c r="L2151" s="8"/>
    </row>
    <row r="2152" ht="13.5" customHeight="1">
      <c r="A2152" s="7" t="s">
        <v>355</v>
      </c>
      <c r="B2152" s="7">
        <v>0.0</v>
      </c>
      <c r="C2152" s="7" t="s">
        <v>360</v>
      </c>
      <c r="D2152" s="7" t="s">
        <v>357</v>
      </c>
      <c r="E2152" s="7">
        <v>-21.184092987013</v>
      </c>
      <c r="F2152" s="7">
        <v>2.02651848484849</v>
      </c>
      <c r="G2152" s="7">
        <v>2.73520354978355</v>
      </c>
      <c r="H2152" s="7">
        <v>-0.00123369164935065</v>
      </c>
      <c r="I2152" s="7">
        <v>-7.51759360606061</v>
      </c>
      <c r="J2152" s="7">
        <v>-5.05241775324675</v>
      </c>
      <c r="K2152" s="8"/>
      <c r="L2152" s="8"/>
    </row>
    <row r="2153" ht="13.5" customHeight="1">
      <c r="A2153" s="7" t="s">
        <v>355</v>
      </c>
      <c r="B2153" s="7">
        <v>1.75</v>
      </c>
      <c r="C2153" s="7" t="s">
        <v>360</v>
      </c>
      <c r="D2153" s="7" t="s">
        <v>357</v>
      </c>
      <c r="E2153" s="7">
        <v>-21.2009493506494</v>
      </c>
      <c r="F2153" s="7">
        <v>2.02822900432901</v>
      </c>
      <c r="G2153" s="7">
        <v>2.73746796536796</v>
      </c>
      <c r="H2153" s="7">
        <v>-0.00123474675324675</v>
      </c>
      <c r="I2153" s="7">
        <v>-7.5243883982684</v>
      </c>
      <c r="J2153" s="7">
        <v>-5.0569648051948</v>
      </c>
      <c r="K2153" s="8"/>
      <c r="L2153" s="8"/>
    </row>
    <row r="2154" ht="13.5" customHeight="1">
      <c r="A2154" s="7" t="s">
        <v>355</v>
      </c>
      <c r="B2154" s="7">
        <v>3.5</v>
      </c>
      <c r="C2154" s="7" t="s">
        <v>360</v>
      </c>
      <c r="D2154" s="7" t="s">
        <v>357</v>
      </c>
      <c r="E2154" s="7">
        <v>-21.2178057142857</v>
      </c>
      <c r="F2154" s="7">
        <v>2.02993952380953</v>
      </c>
      <c r="G2154" s="7">
        <v>2.73973238095238</v>
      </c>
      <c r="H2154" s="7">
        <v>-0.00123580185714286</v>
      </c>
      <c r="I2154" s="7">
        <v>-7.53118319047619</v>
      </c>
      <c r="J2154" s="7">
        <v>-5.06151185714285</v>
      </c>
      <c r="K2154" s="8"/>
      <c r="L2154" s="8"/>
    </row>
    <row r="2155" ht="13.5" customHeight="1">
      <c r="A2155" s="7" t="s">
        <v>355</v>
      </c>
      <c r="B2155" s="7">
        <v>0.0</v>
      </c>
      <c r="C2155" s="7" t="s">
        <v>361</v>
      </c>
      <c r="D2155" s="7" t="s">
        <v>357</v>
      </c>
      <c r="E2155" s="7">
        <v>-21.2346620779221</v>
      </c>
      <c r="F2155" s="7">
        <v>2.03165004329005</v>
      </c>
      <c r="G2155" s="7">
        <v>2.74199679653679</v>
      </c>
      <c r="H2155" s="7">
        <v>-0.00123685696103896</v>
      </c>
      <c r="I2155" s="7">
        <v>-7.53797798268398</v>
      </c>
      <c r="J2155" s="7">
        <v>-5.0660589090909</v>
      </c>
      <c r="K2155" s="8"/>
      <c r="L2155" s="8"/>
    </row>
    <row r="2156" ht="13.5" customHeight="1">
      <c r="A2156" s="7" t="s">
        <v>355</v>
      </c>
      <c r="B2156" s="7">
        <v>1.75</v>
      </c>
      <c r="C2156" s="7" t="s">
        <v>361</v>
      </c>
      <c r="D2156" s="7" t="s">
        <v>357</v>
      </c>
      <c r="E2156" s="7">
        <v>-21.2515184415585</v>
      </c>
      <c r="F2156" s="7">
        <v>2.03336056277057</v>
      </c>
      <c r="G2156" s="7">
        <v>2.74426121212121</v>
      </c>
      <c r="H2156" s="7">
        <v>-0.00123791206493507</v>
      </c>
      <c r="I2156" s="7">
        <v>-7.54477277489178</v>
      </c>
      <c r="J2156" s="7">
        <v>-5.07060596103896</v>
      </c>
      <c r="K2156" s="8"/>
      <c r="L2156" s="8"/>
    </row>
    <row r="2157" ht="13.5" customHeight="1">
      <c r="A2157" s="7" t="s">
        <v>355</v>
      </c>
      <c r="B2157" s="7">
        <v>3.5</v>
      </c>
      <c r="C2157" s="7" t="s">
        <v>361</v>
      </c>
      <c r="D2157" s="7" t="s">
        <v>357</v>
      </c>
      <c r="E2157" s="7">
        <v>-21.2683748051948</v>
      </c>
      <c r="F2157" s="7">
        <v>2.03507108225109</v>
      </c>
      <c r="G2157" s="7">
        <v>2.74652562770563</v>
      </c>
      <c r="H2157" s="7">
        <v>-0.00123896716883117</v>
      </c>
      <c r="I2157" s="7">
        <v>-7.55156756709957</v>
      </c>
      <c r="J2157" s="7">
        <v>-5.07515301298701</v>
      </c>
      <c r="K2157" s="8"/>
      <c r="L2157" s="8"/>
    </row>
    <row r="2158" ht="13.5" customHeight="1">
      <c r="A2158" s="7" t="s">
        <v>355</v>
      </c>
      <c r="B2158" s="7">
        <v>0.0</v>
      </c>
      <c r="C2158" s="7" t="s">
        <v>362</v>
      </c>
      <c r="D2158" s="7" t="s">
        <v>357</v>
      </c>
      <c r="E2158" s="7">
        <v>-21.2852311688312</v>
      </c>
      <c r="F2158" s="7">
        <v>2.03678160173161</v>
      </c>
      <c r="G2158" s="7">
        <v>2.74879004329004</v>
      </c>
      <c r="H2158" s="7">
        <v>-0.00124002227272727</v>
      </c>
      <c r="I2158" s="7">
        <v>-7.55836235930736</v>
      </c>
      <c r="J2158" s="7">
        <v>-5.07970006493506</v>
      </c>
      <c r="K2158" s="8"/>
      <c r="L2158" s="8"/>
    </row>
    <row r="2159" ht="13.5" customHeight="1">
      <c r="A2159" s="7" t="s">
        <v>355</v>
      </c>
      <c r="B2159" s="7">
        <v>1.75</v>
      </c>
      <c r="C2159" s="7" t="s">
        <v>362</v>
      </c>
      <c r="D2159" s="7" t="s">
        <v>357</v>
      </c>
      <c r="E2159" s="7">
        <v>-21.3020875324675</v>
      </c>
      <c r="F2159" s="7">
        <v>2.03849212121213</v>
      </c>
      <c r="G2159" s="7">
        <v>2.75105445887446</v>
      </c>
      <c r="H2159" s="7">
        <v>-0.00124107737662338</v>
      </c>
      <c r="I2159" s="7">
        <v>-7.56515715151515</v>
      </c>
      <c r="J2159" s="7">
        <v>-5.08424711688311</v>
      </c>
      <c r="K2159" s="8"/>
      <c r="L2159" s="8"/>
    </row>
    <row r="2160" ht="13.5" customHeight="1">
      <c r="A2160" s="7" t="s">
        <v>355</v>
      </c>
      <c r="B2160" s="7">
        <v>3.5</v>
      </c>
      <c r="C2160" s="7" t="s">
        <v>362</v>
      </c>
      <c r="D2160" s="7" t="s">
        <v>357</v>
      </c>
      <c r="E2160" s="7">
        <v>-21.3189438961039</v>
      </c>
      <c r="F2160" s="7">
        <v>2.04020264069265</v>
      </c>
      <c r="G2160" s="7">
        <v>2.75331887445887</v>
      </c>
      <c r="H2160" s="7">
        <v>-0.00124213248051948</v>
      </c>
      <c r="I2160" s="7">
        <v>-7.57195194372295</v>
      </c>
      <c r="J2160" s="7">
        <v>-5.08879416883116</v>
      </c>
      <c r="K2160" s="8"/>
      <c r="L2160" s="8"/>
    </row>
    <row r="2161" ht="13.5" customHeight="1">
      <c r="A2161" s="7" t="s">
        <v>355</v>
      </c>
      <c r="B2161" s="7">
        <v>0.0</v>
      </c>
      <c r="C2161" s="7" t="s">
        <v>363</v>
      </c>
      <c r="D2161" s="7" t="s">
        <v>357</v>
      </c>
      <c r="E2161" s="7">
        <v>-21.3358002597403</v>
      </c>
      <c r="F2161" s="7">
        <v>2.04191316017317</v>
      </c>
      <c r="G2161" s="7">
        <v>2.75558329004329</v>
      </c>
      <c r="H2161" s="7">
        <v>-0.00124318758441558</v>
      </c>
      <c r="I2161" s="7">
        <v>-7.57874673593074</v>
      </c>
      <c r="J2161" s="7">
        <v>-5.09334122077922</v>
      </c>
      <c r="K2161" s="8"/>
      <c r="L2161" s="8"/>
    </row>
    <row r="2162" ht="13.5" customHeight="1">
      <c r="A2162" s="7" t="s">
        <v>355</v>
      </c>
      <c r="B2162" s="7">
        <v>1.75</v>
      </c>
      <c r="C2162" s="7" t="s">
        <v>363</v>
      </c>
      <c r="D2162" s="7" t="s">
        <v>357</v>
      </c>
      <c r="E2162" s="7">
        <v>-21.3526566233766</v>
      </c>
      <c r="F2162" s="7">
        <v>2.04362367965369</v>
      </c>
      <c r="G2162" s="7">
        <v>2.7578477056277</v>
      </c>
      <c r="H2162" s="7">
        <v>-0.00124424268831169</v>
      </c>
      <c r="I2162" s="7">
        <v>-7.58554152813853</v>
      </c>
      <c r="J2162" s="7">
        <v>-5.09788827272727</v>
      </c>
      <c r="K2162" s="8"/>
      <c r="L2162" s="8"/>
    </row>
    <row r="2163" ht="13.5" customHeight="1">
      <c r="A2163" s="7" t="s">
        <v>355</v>
      </c>
      <c r="B2163" s="7">
        <v>3.5</v>
      </c>
      <c r="C2163" s="7" t="s">
        <v>363</v>
      </c>
      <c r="D2163" s="7" t="s">
        <v>357</v>
      </c>
      <c r="E2163" s="7">
        <v>-21.369512987013</v>
      </c>
      <c r="F2163" s="7">
        <v>2.04533419913421</v>
      </c>
      <c r="G2163" s="7">
        <v>2.76011212121212</v>
      </c>
      <c r="H2163" s="7">
        <v>-0.00124529779220779</v>
      </c>
      <c r="I2163" s="7">
        <v>-7.59233632034632</v>
      </c>
      <c r="J2163" s="7">
        <v>-5.10243532467532</v>
      </c>
      <c r="K2163" s="8"/>
      <c r="L2163" s="8"/>
    </row>
    <row r="2164" ht="13.5" customHeight="1">
      <c r="A2164" s="7" t="s">
        <v>355</v>
      </c>
      <c r="B2164" s="7">
        <v>0.0</v>
      </c>
      <c r="C2164" s="7" t="s">
        <v>356</v>
      </c>
      <c r="D2164" s="7" t="s">
        <v>357</v>
      </c>
      <c r="E2164" s="7">
        <v>-21.3863693506494</v>
      </c>
      <c r="F2164" s="7">
        <v>2.04704471861472</v>
      </c>
      <c r="G2164" s="7">
        <v>2.76237653679653</v>
      </c>
      <c r="H2164" s="7">
        <v>-0.0012463528961039</v>
      </c>
      <c r="I2164" s="7">
        <v>-7.59913111255411</v>
      </c>
      <c r="J2164" s="7">
        <v>-5.10698237662337</v>
      </c>
      <c r="K2164" s="8"/>
      <c r="L2164" s="8"/>
    </row>
    <row r="2165" ht="13.5" customHeight="1">
      <c r="A2165" s="7" t="s">
        <v>355</v>
      </c>
      <c r="B2165" s="7">
        <v>1.75</v>
      </c>
      <c r="C2165" s="7" t="s">
        <v>356</v>
      </c>
      <c r="D2165" s="7" t="s">
        <v>357</v>
      </c>
      <c r="E2165" s="7">
        <v>-21.4032257142857</v>
      </c>
      <c r="F2165" s="7">
        <v>2.04875523809524</v>
      </c>
      <c r="G2165" s="7">
        <v>2.76464095238095</v>
      </c>
      <c r="H2165" s="7">
        <v>-0.001247408</v>
      </c>
      <c r="I2165" s="7">
        <v>-7.60592590476191</v>
      </c>
      <c r="J2165" s="7">
        <v>-5.11152942857142</v>
      </c>
      <c r="K2165" s="8"/>
      <c r="L2165" s="8"/>
    </row>
    <row r="2166" ht="13.5" customHeight="1">
      <c r="A2166" s="7" t="s">
        <v>355</v>
      </c>
      <c r="B2166" s="7">
        <v>3.5</v>
      </c>
      <c r="C2166" s="7" t="s">
        <v>356</v>
      </c>
      <c r="D2166" s="7" t="s">
        <v>357</v>
      </c>
      <c r="E2166" s="7">
        <v>-21.4200820779221</v>
      </c>
      <c r="F2166" s="7">
        <v>2.05046575757576</v>
      </c>
      <c r="G2166" s="7">
        <v>2.76690536796537</v>
      </c>
      <c r="H2166" s="7">
        <v>-0.0012484631038961</v>
      </c>
      <c r="I2166" s="7">
        <v>-7.6127206969697</v>
      </c>
      <c r="J2166" s="7">
        <v>-5.11607648051947</v>
      </c>
      <c r="K2166" s="8"/>
      <c r="L2166" s="8"/>
    </row>
    <row r="2167" ht="13.5" customHeight="1">
      <c r="A2167" s="7" t="s">
        <v>355</v>
      </c>
      <c r="B2167" s="7">
        <v>0.0</v>
      </c>
      <c r="C2167" s="7" t="s">
        <v>358</v>
      </c>
      <c r="D2167" s="7" t="s">
        <v>357</v>
      </c>
      <c r="E2167" s="7">
        <v>-21.4369384415585</v>
      </c>
      <c r="F2167" s="7">
        <v>2.05217627705628</v>
      </c>
      <c r="G2167" s="7">
        <v>2.76916978354978</v>
      </c>
      <c r="H2167" s="7">
        <v>-0.00124951820779221</v>
      </c>
      <c r="I2167" s="7">
        <v>-7.61951548917749</v>
      </c>
      <c r="J2167" s="7">
        <v>-5.12062353246753</v>
      </c>
      <c r="K2167" s="8"/>
      <c r="L2167" s="8"/>
    </row>
    <row r="2168" ht="13.5" customHeight="1">
      <c r="A2168" s="7" t="s">
        <v>355</v>
      </c>
      <c r="B2168" s="7">
        <v>1.75</v>
      </c>
      <c r="C2168" s="7" t="s">
        <v>358</v>
      </c>
      <c r="D2168" s="7" t="s">
        <v>357</v>
      </c>
      <c r="E2168" s="7">
        <v>-21.4537948051948</v>
      </c>
      <c r="F2168" s="7">
        <v>2.0538867965368</v>
      </c>
      <c r="G2168" s="7">
        <v>2.7714341991342</v>
      </c>
      <c r="H2168" s="7">
        <v>-0.00125057331168831</v>
      </c>
      <c r="I2168" s="7">
        <v>-7.62631028138528</v>
      </c>
      <c r="J2168" s="7">
        <v>-5.12517058441558</v>
      </c>
      <c r="K2168" s="8"/>
      <c r="L2168" s="8"/>
    </row>
    <row r="2169" ht="13.5" customHeight="1">
      <c r="A2169" s="7" t="s">
        <v>355</v>
      </c>
      <c r="B2169" s="7">
        <v>3.5</v>
      </c>
      <c r="C2169" s="7" t="s">
        <v>358</v>
      </c>
      <c r="D2169" s="7" t="s">
        <v>357</v>
      </c>
      <c r="E2169" s="7">
        <v>-21.4706511688312</v>
      </c>
      <c r="F2169" s="7">
        <v>2.05559731601732</v>
      </c>
      <c r="G2169" s="7">
        <v>2.77369861471861</v>
      </c>
      <c r="H2169" s="7">
        <v>-0.00125162841558442</v>
      </c>
      <c r="I2169" s="7">
        <v>-7.63310507359308</v>
      </c>
      <c r="J2169" s="7">
        <v>-5.12971763636363</v>
      </c>
      <c r="K2169" s="8"/>
      <c r="L2169" s="8"/>
    </row>
    <row r="2170" ht="13.5" customHeight="1">
      <c r="A2170" s="7" t="s">
        <v>355</v>
      </c>
      <c r="B2170" s="7">
        <v>0.0</v>
      </c>
      <c r="C2170" s="7" t="s">
        <v>359</v>
      </c>
      <c r="D2170" s="7" t="s">
        <v>357</v>
      </c>
      <c r="E2170" s="7">
        <v>-21.4875075324676</v>
      </c>
      <c r="F2170" s="7">
        <v>2.05730783549784</v>
      </c>
      <c r="G2170" s="7">
        <v>2.77596303030303</v>
      </c>
      <c r="H2170" s="7">
        <v>-0.00125268351948052</v>
      </c>
      <c r="I2170" s="7">
        <v>-7.63989986580087</v>
      </c>
      <c r="J2170" s="7">
        <v>-5.13426468831168</v>
      </c>
      <c r="K2170" s="8"/>
      <c r="L2170" s="8"/>
    </row>
    <row r="2171" ht="13.5" customHeight="1">
      <c r="A2171" s="7" t="s">
        <v>355</v>
      </c>
      <c r="B2171" s="7">
        <v>1.75</v>
      </c>
      <c r="C2171" s="7" t="s">
        <v>359</v>
      </c>
      <c r="D2171" s="7" t="s">
        <v>357</v>
      </c>
      <c r="E2171" s="7">
        <v>-21.5043638961039</v>
      </c>
      <c r="F2171" s="7">
        <v>2.05901835497836</v>
      </c>
      <c r="G2171" s="7">
        <v>2.77822744588744</v>
      </c>
      <c r="H2171" s="7">
        <v>-0.00125373862337662</v>
      </c>
      <c r="I2171" s="7">
        <v>-7.64669465800866</v>
      </c>
      <c r="J2171" s="7">
        <v>-5.13881174025973</v>
      </c>
      <c r="K2171" s="8"/>
      <c r="L2171" s="8"/>
    </row>
    <row r="2172" ht="13.5" customHeight="1">
      <c r="A2172" s="7" t="s">
        <v>355</v>
      </c>
      <c r="B2172" s="7">
        <v>3.5</v>
      </c>
      <c r="C2172" s="7" t="s">
        <v>359</v>
      </c>
      <c r="D2172" s="7" t="s">
        <v>357</v>
      </c>
      <c r="E2172" s="7">
        <v>-21.5212202597403</v>
      </c>
      <c r="F2172" s="7">
        <v>2.06072887445888</v>
      </c>
      <c r="G2172" s="7">
        <v>2.78049186147186</v>
      </c>
      <c r="H2172" s="7">
        <v>-0.00125479372727273</v>
      </c>
      <c r="I2172" s="7">
        <v>-7.65348945021645</v>
      </c>
      <c r="J2172" s="7">
        <v>-5.14335879220779</v>
      </c>
      <c r="K2172" s="8"/>
      <c r="L2172" s="8"/>
    </row>
    <row r="2173" ht="13.5" customHeight="1">
      <c r="A2173" s="7" t="s">
        <v>355</v>
      </c>
      <c r="B2173" s="7">
        <v>0.0</v>
      </c>
      <c r="C2173" s="7" t="s">
        <v>360</v>
      </c>
      <c r="D2173" s="7" t="s">
        <v>357</v>
      </c>
      <c r="E2173" s="7">
        <v>-21.5380766233766</v>
      </c>
      <c r="F2173" s="7">
        <v>2.0624393939394</v>
      </c>
      <c r="G2173" s="7">
        <v>2.78275627705627</v>
      </c>
      <c r="H2173" s="7">
        <v>-0.00125584883116883</v>
      </c>
      <c r="I2173" s="7">
        <v>-7.66028424242424</v>
      </c>
      <c r="J2173" s="7">
        <v>-5.14790584415584</v>
      </c>
      <c r="K2173" s="8"/>
      <c r="L2173" s="8"/>
    </row>
    <row r="2174" ht="13.5" customHeight="1">
      <c r="A2174" s="7" t="s">
        <v>355</v>
      </c>
      <c r="B2174" s="7">
        <v>1.75</v>
      </c>
      <c r="C2174" s="7" t="s">
        <v>360</v>
      </c>
      <c r="D2174" s="7" t="s">
        <v>357</v>
      </c>
      <c r="E2174" s="7">
        <v>-21.554932987013</v>
      </c>
      <c r="F2174" s="7">
        <v>2.06414991341992</v>
      </c>
      <c r="G2174" s="7">
        <v>2.78502069264069</v>
      </c>
      <c r="H2174" s="7">
        <v>-0.00125690393506494</v>
      </c>
      <c r="I2174" s="7">
        <v>-7.66707903463204</v>
      </c>
      <c r="J2174" s="7">
        <v>-5.15245289610389</v>
      </c>
      <c r="K2174" s="8"/>
      <c r="L2174" s="8"/>
    </row>
    <row r="2175" ht="13.5" customHeight="1">
      <c r="A2175" s="7" t="s">
        <v>355</v>
      </c>
      <c r="B2175" s="7">
        <v>3.5</v>
      </c>
      <c r="C2175" s="7" t="s">
        <v>360</v>
      </c>
      <c r="D2175" s="7" t="s">
        <v>357</v>
      </c>
      <c r="E2175" s="7">
        <v>-21.5717893506494</v>
      </c>
      <c r="F2175" s="7">
        <v>2.06586043290044</v>
      </c>
      <c r="G2175" s="7">
        <v>2.78728510822511</v>
      </c>
      <c r="H2175" s="7">
        <v>-0.00125795903896104</v>
      </c>
      <c r="I2175" s="7">
        <v>-7.67387382683983</v>
      </c>
      <c r="J2175" s="7">
        <v>-5.15699994805194</v>
      </c>
      <c r="K2175" s="8"/>
      <c r="L2175" s="8"/>
    </row>
    <row r="2176" ht="13.5" customHeight="1">
      <c r="A2176" s="7" t="s">
        <v>355</v>
      </c>
      <c r="B2176" s="7">
        <v>0.0</v>
      </c>
      <c r="C2176" s="7" t="s">
        <v>361</v>
      </c>
      <c r="D2176" s="7" t="s">
        <v>357</v>
      </c>
      <c r="E2176" s="7">
        <v>-21.5886457142857</v>
      </c>
      <c r="F2176" s="7">
        <v>2.06757095238096</v>
      </c>
      <c r="G2176" s="7">
        <v>2.78954952380952</v>
      </c>
      <c r="H2176" s="7">
        <v>-0.00125901414285714</v>
      </c>
      <c r="I2176" s="7">
        <v>-7.68066861904762</v>
      </c>
      <c r="J2176" s="7">
        <v>-5.16154699999999</v>
      </c>
      <c r="K2176" s="8"/>
      <c r="L2176" s="8"/>
    </row>
    <row r="2177" ht="13.5" customHeight="1">
      <c r="A2177" s="7" t="s">
        <v>355</v>
      </c>
      <c r="B2177" s="7">
        <v>1.75</v>
      </c>
      <c r="C2177" s="7" t="s">
        <v>361</v>
      </c>
      <c r="D2177" s="7" t="s">
        <v>357</v>
      </c>
      <c r="E2177" s="7">
        <v>-21.6055020779221</v>
      </c>
      <c r="F2177" s="7">
        <v>2.06928147186148</v>
      </c>
      <c r="G2177" s="7">
        <v>2.79181393939394</v>
      </c>
      <c r="H2177" s="7">
        <v>-0.00126006924675325</v>
      </c>
      <c r="I2177" s="7">
        <v>-7.68746341125541</v>
      </c>
      <c r="J2177" s="7">
        <v>-5.16609405194805</v>
      </c>
      <c r="K2177" s="8"/>
      <c r="L2177" s="8"/>
    </row>
    <row r="2178" ht="13.5" customHeight="1">
      <c r="A2178" s="7" t="s">
        <v>355</v>
      </c>
      <c r="B2178" s="7">
        <v>3.5</v>
      </c>
      <c r="C2178" s="7" t="s">
        <v>361</v>
      </c>
      <c r="D2178" s="7" t="s">
        <v>357</v>
      </c>
      <c r="E2178" s="7">
        <v>-21.6223584415585</v>
      </c>
      <c r="F2178" s="7">
        <v>2.070991991342</v>
      </c>
      <c r="G2178" s="7">
        <v>2.79407835497835</v>
      </c>
      <c r="H2178" s="7">
        <v>-0.00126112435064935</v>
      </c>
      <c r="I2178" s="7">
        <v>-7.69425820346321</v>
      </c>
      <c r="J2178" s="7">
        <v>-5.1706411038961</v>
      </c>
      <c r="K2178" s="8"/>
      <c r="L2178" s="8"/>
    </row>
    <row r="2179" ht="13.5" customHeight="1">
      <c r="A2179" s="7" t="s">
        <v>355</v>
      </c>
      <c r="B2179" s="7">
        <v>0.0</v>
      </c>
      <c r="C2179" s="7" t="s">
        <v>362</v>
      </c>
      <c r="D2179" s="7" t="s">
        <v>357</v>
      </c>
      <c r="E2179" s="7">
        <v>-21.6392148051948</v>
      </c>
      <c r="F2179" s="7">
        <v>2.07270251082252</v>
      </c>
      <c r="G2179" s="7">
        <v>2.79634277056277</v>
      </c>
      <c r="H2179" s="7">
        <v>-0.00126217945454545</v>
      </c>
      <c r="I2179" s="7">
        <v>-7.701052995671</v>
      </c>
      <c r="J2179" s="7">
        <v>-5.17518815584415</v>
      </c>
      <c r="K2179" s="8"/>
      <c r="L2179" s="8"/>
    </row>
    <row r="2180" ht="13.5" customHeight="1">
      <c r="A2180" s="7" t="s">
        <v>355</v>
      </c>
      <c r="B2180" s="7">
        <v>1.75</v>
      </c>
      <c r="C2180" s="7" t="s">
        <v>362</v>
      </c>
      <c r="D2180" s="7" t="s">
        <v>357</v>
      </c>
      <c r="E2180" s="7">
        <v>-21.6560711688312</v>
      </c>
      <c r="F2180" s="7">
        <v>2.07441303030304</v>
      </c>
      <c r="G2180" s="7">
        <v>2.79860718614718</v>
      </c>
      <c r="H2180" s="7">
        <v>-0.00126323455844156</v>
      </c>
      <c r="I2180" s="7">
        <v>-7.70784778787879</v>
      </c>
      <c r="J2180" s="7">
        <v>-5.1797352077922</v>
      </c>
      <c r="K2180" s="8"/>
      <c r="L2180" s="8"/>
    </row>
    <row r="2181" ht="13.5" customHeight="1">
      <c r="A2181" s="7" t="s">
        <v>355</v>
      </c>
      <c r="B2181" s="7">
        <v>3.5</v>
      </c>
      <c r="C2181" s="7" t="s">
        <v>362</v>
      </c>
      <c r="D2181" s="7" t="s">
        <v>357</v>
      </c>
      <c r="E2181" s="7">
        <v>-21.6729275324675</v>
      </c>
      <c r="F2181" s="7">
        <v>2.07612354978356</v>
      </c>
      <c r="G2181" s="7">
        <v>2.8008716017316</v>
      </c>
      <c r="H2181" s="7">
        <v>-0.00126428966233766</v>
      </c>
      <c r="I2181" s="7">
        <v>-7.71464258008658</v>
      </c>
      <c r="J2181" s="7">
        <v>-5.18428225974025</v>
      </c>
      <c r="K2181" s="8"/>
      <c r="L2181" s="8"/>
    </row>
    <row r="2182" ht="13.5" customHeight="1">
      <c r="A2182" s="7" t="s">
        <v>355</v>
      </c>
      <c r="B2182" s="7">
        <v>0.0</v>
      </c>
      <c r="C2182" s="7" t="s">
        <v>363</v>
      </c>
      <c r="D2182" s="7" t="s">
        <v>357</v>
      </c>
      <c r="E2182" s="7">
        <v>-21.6897838961039</v>
      </c>
      <c r="F2182" s="7">
        <v>2.07783406926408</v>
      </c>
      <c r="G2182" s="7">
        <v>2.80313601731602</v>
      </c>
      <c r="H2182" s="7">
        <v>-0.00126534476623377</v>
      </c>
      <c r="I2182" s="7">
        <v>-7.72143737229437</v>
      </c>
      <c r="J2182" s="7">
        <v>-5.18882931168831</v>
      </c>
      <c r="K2182" s="8"/>
      <c r="L2182" s="8"/>
    </row>
    <row r="2183" ht="13.5" customHeight="1">
      <c r="A2183" s="7" t="s">
        <v>355</v>
      </c>
      <c r="B2183" s="7">
        <v>1.75</v>
      </c>
      <c r="C2183" s="7" t="s">
        <v>363</v>
      </c>
      <c r="D2183" s="7" t="s">
        <v>357</v>
      </c>
      <c r="E2183" s="7">
        <v>-21.7066402597403</v>
      </c>
      <c r="F2183" s="7">
        <v>2.07954458874459</v>
      </c>
      <c r="G2183" s="7">
        <v>2.80540043290043</v>
      </c>
      <c r="H2183" s="7">
        <v>-0.00126639987012987</v>
      </c>
      <c r="I2183" s="7">
        <v>-7.72823216450217</v>
      </c>
      <c r="J2183" s="7">
        <v>-5.19337636363636</v>
      </c>
      <c r="K2183" s="8"/>
      <c r="L2183" s="8"/>
    </row>
    <row r="2184" ht="13.5" customHeight="1">
      <c r="A2184" s="7" t="s">
        <v>355</v>
      </c>
      <c r="B2184" s="7">
        <v>3.5</v>
      </c>
      <c r="C2184" s="7" t="s">
        <v>363</v>
      </c>
      <c r="D2184" s="7" t="s">
        <v>357</v>
      </c>
      <c r="E2184" s="7">
        <v>-21.7234966233766</v>
      </c>
      <c r="F2184" s="7">
        <v>2.08125510822511</v>
      </c>
      <c r="G2184" s="7">
        <v>2.80766484848485</v>
      </c>
      <c r="H2184" s="7">
        <v>-0.00126745497402597</v>
      </c>
      <c r="I2184" s="7">
        <v>-7.73502695670996</v>
      </c>
      <c r="J2184" s="7">
        <v>-5.19792341558441</v>
      </c>
      <c r="K2184" s="8"/>
      <c r="L2184" s="8"/>
    </row>
    <row r="2185" ht="13.5" customHeight="1">
      <c r="A2185" s="7" t="s">
        <v>355</v>
      </c>
      <c r="B2185" s="7">
        <v>0.0</v>
      </c>
      <c r="C2185" s="7" t="s">
        <v>356</v>
      </c>
      <c r="D2185" s="7" t="s">
        <v>357</v>
      </c>
      <c r="E2185" s="7">
        <v>-21.740352987013</v>
      </c>
      <c r="F2185" s="7">
        <v>2.08296562770563</v>
      </c>
      <c r="G2185" s="7">
        <v>2.80992926406926</v>
      </c>
      <c r="H2185" s="7">
        <v>-0.00126851007792208</v>
      </c>
      <c r="I2185" s="7">
        <v>-7.74182174891775</v>
      </c>
      <c r="J2185" s="7">
        <v>-5.20247046753246</v>
      </c>
      <c r="K2185" s="8"/>
      <c r="L2185" s="8"/>
    </row>
    <row r="2186" ht="13.5" customHeight="1">
      <c r="A2186" s="7" t="s">
        <v>355</v>
      </c>
      <c r="B2186" s="7">
        <v>1.75</v>
      </c>
      <c r="C2186" s="7" t="s">
        <v>356</v>
      </c>
      <c r="D2186" s="7" t="s">
        <v>357</v>
      </c>
      <c r="E2186" s="7">
        <v>-21.7572093506494</v>
      </c>
      <c r="F2186" s="7">
        <v>2.08467614718615</v>
      </c>
      <c r="G2186" s="7">
        <v>2.81219367965368</v>
      </c>
      <c r="H2186" s="7">
        <v>-0.00126956518181818</v>
      </c>
      <c r="I2186" s="7">
        <v>-7.74861654112554</v>
      </c>
      <c r="J2186" s="7">
        <v>-5.20701751948051</v>
      </c>
      <c r="K2186" s="8"/>
      <c r="L2186" s="8"/>
    </row>
    <row r="2187" ht="13.5" customHeight="1">
      <c r="A2187" s="7" t="s">
        <v>355</v>
      </c>
      <c r="B2187" s="7">
        <v>3.5</v>
      </c>
      <c r="C2187" s="7" t="s">
        <v>356</v>
      </c>
      <c r="D2187" s="7" t="s">
        <v>357</v>
      </c>
      <c r="E2187" s="7">
        <v>-21.7740657142857</v>
      </c>
      <c r="F2187" s="7">
        <v>2.08638666666667</v>
      </c>
      <c r="G2187" s="7">
        <v>2.81445809523809</v>
      </c>
      <c r="H2187" s="7">
        <v>-0.00127062028571429</v>
      </c>
      <c r="I2187" s="7">
        <v>-7.75541133333333</v>
      </c>
      <c r="J2187" s="7">
        <v>-5.21156457142857</v>
      </c>
      <c r="K2187" s="8"/>
      <c r="L2187" s="8"/>
    </row>
    <row r="2188" ht="13.5" customHeight="1">
      <c r="A2188" s="7" t="s">
        <v>355</v>
      </c>
      <c r="B2188" s="7">
        <v>0.0</v>
      </c>
      <c r="C2188" s="7" t="s">
        <v>358</v>
      </c>
      <c r="D2188" s="7" t="s">
        <v>357</v>
      </c>
      <c r="E2188" s="7">
        <v>-21.7909220779221</v>
      </c>
      <c r="F2188" s="7">
        <v>2.08809718614719</v>
      </c>
      <c r="G2188" s="7">
        <v>2.81672251082251</v>
      </c>
      <c r="H2188" s="7">
        <v>-0.00127167538961039</v>
      </c>
      <c r="I2188" s="7">
        <v>-7.76220612554113</v>
      </c>
      <c r="J2188" s="7">
        <v>-5.21611162337662</v>
      </c>
      <c r="K2188" s="8"/>
      <c r="L2188" s="8"/>
    </row>
    <row r="2189" ht="13.5" customHeight="1">
      <c r="A2189" s="7" t="s">
        <v>355</v>
      </c>
      <c r="B2189" s="7">
        <v>1.75</v>
      </c>
      <c r="C2189" s="7" t="s">
        <v>358</v>
      </c>
      <c r="D2189" s="7" t="s">
        <v>357</v>
      </c>
      <c r="E2189" s="7">
        <v>-21.8077784415585</v>
      </c>
      <c r="F2189" s="7">
        <v>2.08980770562771</v>
      </c>
      <c r="G2189" s="7">
        <v>2.81898692640692</v>
      </c>
      <c r="H2189" s="7">
        <v>-0.00127273049350649</v>
      </c>
      <c r="I2189" s="7">
        <v>-7.76900091774892</v>
      </c>
      <c r="J2189" s="7">
        <v>-5.22065867532467</v>
      </c>
      <c r="K2189" s="8"/>
      <c r="L2189" s="8"/>
    </row>
    <row r="2190" ht="13.5" customHeight="1">
      <c r="A2190" s="7" t="s">
        <v>355</v>
      </c>
      <c r="B2190" s="7">
        <v>3.5</v>
      </c>
      <c r="C2190" s="7" t="s">
        <v>358</v>
      </c>
      <c r="D2190" s="7" t="s">
        <v>357</v>
      </c>
      <c r="E2190" s="7">
        <v>-21.8246348051948</v>
      </c>
      <c r="F2190" s="7">
        <v>2.09151822510823</v>
      </c>
      <c r="G2190" s="7">
        <v>2.82125134199134</v>
      </c>
      <c r="H2190" s="7">
        <v>-0.0012737855974026</v>
      </c>
      <c r="I2190" s="7">
        <v>-7.77579570995671</v>
      </c>
      <c r="J2190" s="7">
        <v>-5.22520572727272</v>
      </c>
      <c r="K2190" s="8"/>
      <c r="L2190" s="8"/>
    </row>
    <row r="2191" ht="13.5" customHeight="1">
      <c r="A2191" s="7" t="s">
        <v>355</v>
      </c>
      <c r="B2191" s="7">
        <v>0.0</v>
      </c>
      <c r="C2191" s="7" t="s">
        <v>359</v>
      </c>
      <c r="D2191" s="7" t="s">
        <v>357</v>
      </c>
      <c r="E2191" s="7">
        <v>-21.8414911688312</v>
      </c>
      <c r="F2191" s="7">
        <v>2.09322874458875</v>
      </c>
      <c r="G2191" s="7">
        <v>2.82351575757576</v>
      </c>
      <c r="H2191" s="7">
        <v>-0.0012748407012987</v>
      </c>
      <c r="I2191" s="7">
        <v>-7.7825905021645</v>
      </c>
      <c r="J2191" s="7">
        <v>-5.22975277922077</v>
      </c>
      <c r="K2191" s="8"/>
      <c r="L2191" s="8"/>
    </row>
    <row r="2192" ht="13.5" customHeight="1">
      <c r="A2192" s="7" t="s">
        <v>355</v>
      </c>
      <c r="B2192" s="7">
        <v>1.75</v>
      </c>
      <c r="C2192" s="7" t="s">
        <v>359</v>
      </c>
      <c r="D2192" s="7" t="s">
        <v>357</v>
      </c>
      <c r="E2192" s="7">
        <v>-21.8583475324675</v>
      </c>
      <c r="F2192" s="7">
        <v>2.09493926406927</v>
      </c>
      <c r="G2192" s="7">
        <v>2.82578017316017</v>
      </c>
      <c r="H2192" s="7">
        <v>-0.00127589580519481</v>
      </c>
      <c r="I2192" s="7">
        <v>-7.7893852943723</v>
      </c>
      <c r="J2192" s="7">
        <v>-5.23429983116883</v>
      </c>
      <c r="K2192" s="8"/>
      <c r="L2192" s="8"/>
    </row>
    <row r="2193" ht="13.5" customHeight="1">
      <c r="A2193" s="7" t="s">
        <v>355</v>
      </c>
      <c r="B2193" s="7">
        <v>3.5</v>
      </c>
      <c r="C2193" s="7" t="s">
        <v>359</v>
      </c>
      <c r="D2193" s="7" t="s">
        <v>357</v>
      </c>
      <c r="E2193" s="7">
        <v>-21.8752038961039</v>
      </c>
      <c r="F2193" s="7">
        <v>2.09664978354979</v>
      </c>
      <c r="G2193" s="7">
        <v>2.82804458874459</v>
      </c>
      <c r="H2193" s="7">
        <v>-0.00127695090909091</v>
      </c>
      <c r="I2193" s="7">
        <v>-7.79618008658009</v>
      </c>
      <c r="J2193" s="7">
        <v>-5.23884688311688</v>
      </c>
      <c r="K2193" s="8"/>
      <c r="L2193" s="8"/>
    </row>
    <row r="2194" ht="13.5" customHeight="1">
      <c r="A2194" s="7" t="s">
        <v>355</v>
      </c>
      <c r="B2194" s="7">
        <v>0.0</v>
      </c>
      <c r="C2194" s="7" t="s">
        <v>360</v>
      </c>
      <c r="D2194" s="7" t="s">
        <v>357</v>
      </c>
      <c r="E2194" s="7">
        <v>-21.8920602597403</v>
      </c>
      <c r="F2194" s="7">
        <v>2.09836030303031</v>
      </c>
      <c r="G2194" s="7">
        <v>2.830309004329</v>
      </c>
      <c r="H2194" s="7">
        <v>-0.00127800601298701</v>
      </c>
      <c r="I2194" s="7">
        <v>-7.80297487878788</v>
      </c>
      <c r="J2194" s="7">
        <v>-5.24339393506493</v>
      </c>
      <c r="K2194" s="8"/>
      <c r="L2194" s="8"/>
    </row>
    <row r="2195" ht="13.5" customHeight="1">
      <c r="A2195" s="7" t="s">
        <v>355</v>
      </c>
      <c r="B2195" s="7">
        <v>1.75</v>
      </c>
      <c r="C2195" s="7" t="s">
        <v>360</v>
      </c>
      <c r="D2195" s="7" t="s">
        <v>357</v>
      </c>
      <c r="E2195" s="7">
        <v>-21.9089166233766</v>
      </c>
      <c r="F2195" s="7">
        <v>2.10007082251083</v>
      </c>
      <c r="G2195" s="7">
        <v>2.83257341991342</v>
      </c>
      <c r="H2195" s="7">
        <v>-0.00127906111688312</v>
      </c>
      <c r="I2195" s="7">
        <v>-7.80976967099567</v>
      </c>
      <c r="J2195" s="7">
        <v>-5.24794098701298</v>
      </c>
      <c r="K2195" s="8"/>
      <c r="L2195" s="8"/>
    </row>
    <row r="2196" ht="13.5" customHeight="1">
      <c r="A2196" s="7" t="s">
        <v>355</v>
      </c>
      <c r="B2196" s="7">
        <v>3.5</v>
      </c>
      <c r="C2196" s="7" t="s">
        <v>360</v>
      </c>
      <c r="D2196" s="7" t="s">
        <v>357</v>
      </c>
      <c r="E2196" s="7">
        <v>-21.925772987013</v>
      </c>
      <c r="F2196" s="7">
        <v>2.10178134199135</v>
      </c>
      <c r="G2196" s="7">
        <v>2.83483783549783</v>
      </c>
      <c r="H2196" s="7">
        <v>-0.00128011622077922</v>
      </c>
      <c r="I2196" s="7">
        <v>-7.81656446320346</v>
      </c>
      <c r="J2196" s="7">
        <v>-5.25248803896103</v>
      </c>
      <c r="K2196" s="8"/>
      <c r="L2196" s="8"/>
    </row>
    <row r="2197" ht="13.5" customHeight="1">
      <c r="A2197" s="7" t="s">
        <v>355</v>
      </c>
      <c r="B2197" s="7">
        <v>0.0</v>
      </c>
      <c r="C2197" s="7" t="s">
        <v>361</v>
      </c>
      <c r="D2197" s="7" t="s">
        <v>357</v>
      </c>
      <c r="E2197" s="7">
        <v>-21.9426293506494</v>
      </c>
      <c r="F2197" s="7">
        <v>2.10349186147187</v>
      </c>
      <c r="G2197" s="7">
        <v>2.83710225108225</v>
      </c>
      <c r="H2197" s="7">
        <v>-0.00128117132467532</v>
      </c>
      <c r="I2197" s="7">
        <v>-7.82335925541126</v>
      </c>
      <c r="J2197" s="7">
        <v>-5.25703509090908</v>
      </c>
      <c r="K2197" s="8"/>
      <c r="L2197" s="8"/>
    </row>
    <row r="2198" ht="13.5" customHeight="1">
      <c r="A2198" s="7" t="s">
        <v>355</v>
      </c>
      <c r="B2198" s="7">
        <v>1.75</v>
      </c>
      <c r="C2198" s="7" t="s">
        <v>361</v>
      </c>
      <c r="D2198" s="7" t="s">
        <v>357</v>
      </c>
      <c r="E2198" s="7">
        <v>-21.9594857142857</v>
      </c>
      <c r="F2198" s="7">
        <v>2.10520238095239</v>
      </c>
      <c r="G2198" s="7">
        <v>2.83936666666666</v>
      </c>
      <c r="H2198" s="7">
        <v>-0.00128222642857143</v>
      </c>
      <c r="I2198" s="7">
        <v>-7.83015404761905</v>
      </c>
      <c r="J2198" s="7">
        <v>-5.26158214285714</v>
      </c>
      <c r="K2198" s="8"/>
      <c r="L2198" s="8"/>
    </row>
    <row r="2199" ht="13.5" customHeight="1">
      <c r="A2199" s="7" t="s">
        <v>355</v>
      </c>
      <c r="B2199" s="7">
        <v>3.5</v>
      </c>
      <c r="C2199" s="7" t="s">
        <v>361</v>
      </c>
      <c r="D2199" s="7" t="s">
        <v>357</v>
      </c>
      <c r="E2199" s="7">
        <v>-21.9763420779221</v>
      </c>
      <c r="F2199" s="7">
        <v>2.10691290043291</v>
      </c>
      <c r="G2199" s="7">
        <v>2.84163108225108</v>
      </c>
      <c r="H2199" s="7">
        <v>-0.00128328153246753</v>
      </c>
      <c r="I2199" s="7">
        <v>-7.83694883982684</v>
      </c>
      <c r="J2199" s="7">
        <v>-5.26612919480519</v>
      </c>
      <c r="K2199" s="8"/>
      <c r="L2199" s="8"/>
    </row>
    <row r="2200" ht="13.5" customHeight="1">
      <c r="A2200" s="7" t="s">
        <v>355</v>
      </c>
      <c r="B2200" s="7">
        <v>0.0</v>
      </c>
      <c r="C2200" s="7" t="s">
        <v>362</v>
      </c>
      <c r="D2200" s="7" t="s">
        <v>357</v>
      </c>
      <c r="E2200" s="7">
        <v>-21.9931984415585</v>
      </c>
      <c r="F2200" s="7">
        <v>2.10862341991343</v>
      </c>
      <c r="G2200" s="7">
        <v>2.8438954978355</v>
      </c>
      <c r="H2200" s="7">
        <v>-0.00128433663636364</v>
      </c>
      <c r="I2200" s="7">
        <v>-7.84374363203463</v>
      </c>
      <c r="J2200" s="7">
        <v>-5.27067624675324</v>
      </c>
      <c r="K2200" s="8"/>
      <c r="L2200" s="8"/>
    </row>
    <row r="2201" ht="13.5" customHeight="1">
      <c r="A2201" s="7" t="s">
        <v>355</v>
      </c>
      <c r="B2201" s="7">
        <v>1.75</v>
      </c>
      <c r="C2201" s="7" t="s">
        <v>362</v>
      </c>
      <c r="D2201" s="7" t="s">
        <v>357</v>
      </c>
      <c r="E2201" s="7">
        <v>-22.0100548051948</v>
      </c>
      <c r="F2201" s="7">
        <v>2.11033393939395</v>
      </c>
      <c r="G2201" s="7">
        <v>2.84615991341991</v>
      </c>
      <c r="H2201" s="7">
        <v>-0.00128539174025974</v>
      </c>
      <c r="I2201" s="7">
        <v>-7.85053842424243</v>
      </c>
      <c r="J2201" s="7">
        <v>-5.27522329870129</v>
      </c>
      <c r="K2201" s="8"/>
      <c r="L2201" s="8"/>
    </row>
    <row r="2202" ht="13.5" customHeight="1">
      <c r="A2202" s="7" t="s">
        <v>355</v>
      </c>
      <c r="B2202" s="7">
        <v>3.5</v>
      </c>
      <c r="C2202" s="7" t="s">
        <v>362</v>
      </c>
      <c r="D2202" s="7" t="s">
        <v>357</v>
      </c>
      <c r="E2202" s="7">
        <v>-22.0269111688312</v>
      </c>
      <c r="F2202" s="7">
        <v>2.11204445887446</v>
      </c>
      <c r="G2202" s="7">
        <v>2.84842432900433</v>
      </c>
      <c r="H2202" s="7">
        <v>-0.00128644684415584</v>
      </c>
      <c r="I2202" s="7">
        <v>-7.85733321645022</v>
      </c>
      <c r="J2202" s="7">
        <v>-5.27977035064934</v>
      </c>
      <c r="K2202" s="8"/>
      <c r="L2202" s="8"/>
    </row>
    <row r="2203" ht="13.5" customHeight="1">
      <c r="A2203" s="7" t="s">
        <v>355</v>
      </c>
      <c r="B2203" s="7">
        <v>0.0</v>
      </c>
      <c r="C2203" s="7" t="s">
        <v>363</v>
      </c>
      <c r="D2203" s="7" t="s">
        <v>357</v>
      </c>
      <c r="E2203" s="7">
        <v>-22.0437675324675</v>
      </c>
      <c r="F2203" s="7">
        <v>2.11375497835498</v>
      </c>
      <c r="G2203" s="7">
        <v>2.85068874458874</v>
      </c>
      <c r="H2203" s="7">
        <v>-0.00128750194805195</v>
      </c>
      <c r="I2203" s="7">
        <v>-7.86412800865801</v>
      </c>
      <c r="J2203" s="7">
        <v>-5.2843174025974</v>
      </c>
      <c r="K2203" s="8"/>
      <c r="L2203" s="8"/>
    </row>
    <row r="2204" ht="13.5" customHeight="1">
      <c r="A2204" s="7" t="s">
        <v>355</v>
      </c>
      <c r="B2204" s="7">
        <v>1.75</v>
      </c>
      <c r="C2204" s="7" t="s">
        <v>363</v>
      </c>
      <c r="D2204" s="7" t="s">
        <v>357</v>
      </c>
      <c r="E2204" s="7">
        <v>-22.0606238961039</v>
      </c>
      <c r="F2204" s="7">
        <v>2.1154654978355</v>
      </c>
      <c r="G2204" s="7">
        <v>2.85295316017316</v>
      </c>
      <c r="H2204" s="7">
        <v>-0.00128855705194805</v>
      </c>
      <c r="I2204" s="7">
        <v>-7.8709228008658</v>
      </c>
      <c r="J2204" s="7">
        <v>-5.28886445454545</v>
      </c>
      <c r="K2204" s="8"/>
      <c r="L2204" s="8"/>
    </row>
    <row r="2205" ht="13.5" customHeight="1">
      <c r="A2205" s="7" t="s">
        <v>355</v>
      </c>
      <c r="B2205" s="7">
        <v>3.5</v>
      </c>
      <c r="C2205" s="7" t="s">
        <v>363</v>
      </c>
      <c r="D2205" s="7" t="s">
        <v>357</v>
      </c>
      <c r="E2205" s="7">
        <v>-22.0774802597403</v>
      </c>
      <c r="F2205" s="7">
        <v>2.11717601731602</v>
      </c>
      <c r="G2205" s="7">
        <v>2.85521757575757</v>
      </c>
      <c r="H2205" s="7">
        <v>-0.00128961215584416</v>
      </c>
      <c r="I2205" s="7">
        <v>-7.87771759307359</v>
      </c>
      <c r="J2205" s="7">
        <v>-5.2934115064935</v>
      </c>
      <c r="K2205" s="8"/>
      <c r="L2205" s="8"/>
    </row>
    <row r="2206" ht="13.5" customHeight="1">
      <c r="A2206" s="7" t="s">
        <v>355</v>
      </c>
      <c r="B2206" s="7">
        <v>0.0</v>
      </c>
      <c r="C2206" s="7" t="s">
        <v>356</v>
      </c>
      <c r="D2206" s="7" t="s">
        <v>357</v>
      </c>
      <c r="E2206" s="7">
        <v>-22.0943366233766</v>
      </c>
      <c r="F2206" s="7">
        <v>2.11888653679654</v>
      </c>
      <c r="G2206" s="7">
        <v>2.85748199134199</v>
      </c>
      <c r="H2206" s="7">
        <v>-0.00129066725974026</v>
      </c>
      <c r="I2206" s="7">
        <v>-7.88451238528139</v>
      </c>
      <c r="J2206" s="7">
        <v>-5.29795855844155</v>
      </c>
      <c r="K2206" s="8"/>
      <c r="L2206" s="8"/>
    </row>
    <row r="2207" ht="13.5" customHeight="1">
      <c r="A2207" s="7" t="s">
        <v>355</v>
      </c>
      <c r="B2207" s="7">
        <v>1.75</v>
      </c>
      <c r="C2207" s="7" t="s">
        <v>356</v>
      </c>
      <c r="D2207" s="7" t="s">
        <v>357</v>
      </c>
      <c r="E2207" s="7">
        <v>-22.111192987013</v>
      </c>
      <c r="F2207" s="7">
        <v>2.12059705627706</v>
      </c>
      <c r="G2207" s="7">
        <v>2.8597464069264</v>
      </c>
      <c r="H2207" s="7">
        <v>-0.00129172236363636</v>
      </c>
      <c r="I2207" s="7">
        <v>-7.89130717748918</v>
      </c>
      <c r="J2207" s="7">
        <v>-5.3025056103896</v>
      </c>
      <c r="K2207" s="8"/>
      <c r="L2207" s="8"/>
    </row>
    <row r="2208" ht="13.5" customHeight="1">
      <c r="A2208" s="7" t="s">
        <v>355</v>
      </c>
      <c r="B2208" s="7">
        <v>3.5</v>
      </c>
      <c r="C2208" s="7" t="s">
        <v>356</v>
      </c>
      <c r="D2208" s="7" t="s">
        <v>357</v>
      </c>
      <c r="E2208" s="7">
        <v>-22.1280493506494</v>
      </c>
      <c r="F2208" s="7">
        <v>2.12230757575758</v>
      </c>
      <c r="G2208" s="7">
        <v>2.86201082251082</v>
      </c>
      <c r="H2208" s="7">
        <v>-0.00129277746753247</v>
      </c>
      <c r="I2208" s="7">
        <v>-7.89810196969697</v>
      </c>
      <c r="J2208" s="7">
        <v>-5.30705266233766</v>
      </c>
      <c r="K2208" s="8"/>
      <c r="L2208" s="8"/>
    </row>
    <row r="2209" ht="13.5" customHeight="1">
      <c r="A2209" s="7" t="s">
        <v>355</v>
      </c>
      <c r="B2209" s="7">
        <v>0.0</v>
      </c>
      <c r="C2209" s="7" t="s">
        <v>358</v>
      </c>
      <c r="D2209" s="7" t="s">
        <v>357</v>
      </c>
      <c r="E2209" s="7">
        <v>-22.1449057142857</v>
      </c>
      <c r="F2209" s="7">
        <v>2.1240180952381</v>
      </c>
      <c r="G2209" s="7">
        <v>2.86427523809524</v>
      </c>
      <c r="H2209" s="7">
        <v>-0.00129383257142857</v>
      </c>
      <c r="I2209" s="7">
        <v>-7.90489676190476</v>
      </c>
      <c r="J2209" s="7">
        <v>-5.31159971428571</v>
      </c>
      <c r="K2209" s="8"/>
      <c r="L2209" s="8"/>
    </row>
    <row r="2210" ht="13.5" customHeight="1">
      <c r="A2210" s="7" t="s">
        <v>355</v>
      </c>
      <c r="B2210" s="7">
        <v>1.75</v>
      </c>
      <c r="C2210" s="7" t="s">
        <v>358</v>
      </c>
      <c r="D2210" s="7" t="s">
        <v>357</v>
      </c>
      <c r="E2210" s="7">
        <v>-22.1617620779221</v>
      </c>
      <c r="F2210" s="7">
        <v>2.12572861471862</v>
      </c>
      <c r="G2210" s="7">
        <v>2.86653965367965</v>
      </c>
      <c r="H2210" s="7">
        <v>-0.00129488767532468</v>
      </c>
      <c r="I2210" s="7">
        <v>-7.91169155411256</v>
      </c>
      <c r="J2210" s="7">
        <v>-5.31614676623376</v>
      </c>
      <c r="K2210" s="8"/>
      <c r="L2210" s="8"/>
    </row>
    <row r="2211" ht="13.5" customHeight="1">
      <c r="A2211" s="7" t="s">
        <v>355</v>
      </c>
      <c r="B2211" s="7">
        <v>3.5</v>
      </c>
      <c r="C2211" s="7" t="s">
        <v>358</v>
      </c>
      <c r="D2211" s="7" t="s">
        <v>357</v>
      </c>
      <c r="E2211" s="7">
        <v>-22.1786184415585</v>
      </c>
      <c r="F2211" s="7">
        <v>2.12743913419914</v>
      </c>
      <c r="G2211" s="7">
        <v>2.86880406926407</v>
      </c>
      <c r="H2211" s="7">
        <v>-0.00129594277922078</v>
      </c>
      <c r="I2211" s="7">
        <v>-7.91848634632035</v>
      </c>
      <c r="J2211" s="7">
        <v>-5.32069381818181</v>
      </c>
      <c r="K2211" s="8"/>
      <c r="L2211" s="8"/>
    </row>
    <row r="2212" ht="13.5" customHeight="1">
      <c r="A2212" s="7" t="s">
        <v>355</v>
      </c>
      <c r="B2212" s="7">
        <v>0.0</v>
      </c>
      <c r="C2212" s="7" t="s">
        <v>359</v>
      </c>
      <c r="D2212" s="7" t="s">
        <v>357</v>
      </c>
      <c r="E2212" s="7">
        <v>-22.1954748051948</v>
      </c>
      <c r="F2212" s="7">
        <v>2.12914965367966</v>
      </c>
      <c r="G2212" s="7">
        <v>2.87106848484848</v>
      </c>
      <c r="H2212" s="7">
        <v>-0.00129699788311688</v>
      </c>
      <c r="I2212" s="7">
        <v>-7.92528113852813</v>
      </c>
      <c r="J2212" s="7">
        <v>-5.32524087012986</v>
      </c>
      <c r="K2212" s="8"/>
      <c r="L2212" s="8"/>
    </row>
    <row r="2213" ht="13.5" customHeight="1">
      <c r="A2213" s="7" t="s">
        <v>355</v>
      </c>
      <c r="B2213" s="7">
        <v>1.75</v>
      </c>
      <c r="C2213" s="7" t="s">
        <v>359</v>
      </c>
      <c r="D2213" s="7" t="s">
        <v>357</v>
      </c>
      <c r="E2213" s="7">
        <v>-22.2123311688312</v>
      </c>
      <c r="F2213" s="7">
        <v>2.13086017316018</v>
      </c>
      <c r="G2213" s="7">
        <v>2.8733329004329</v>
      </c>
      <c r="H2213" s="7">
        <v>-0.00129805298701299</v>
      </c>
      <c r="I2213" s="7">
        <v>-7.93207593073592</v>
      </c>
      <c r="J2213" s="7">
        <v>-5.32978792207792</v>
      </c>
      <c r="K2213" s="8"/>
      <c r="L2213" s="8"/>
    </row>
    <row r="2214" ht="13.5" customHeight="1">
      <c r="A2214" s="7" t="s">
        <v>355</v>
      </c>
      <c r="B2214" s="7">
        <v>3.5</v>
      </c>
      <c r="C2214" s="7" t="s">
        <v>359</v>
      </c>
      <c r="D2214" s="7" t="s">
        <v>357</v>
      </c>
      <c r="E2214" s="7">
        <v>-22.2291875324675</v>
      </c>
      <c r="F2214" s="7">
        <v>2.1325706926407</v>
      </c>
      <c r="G2214" s="7">
        <v>2.87559731601731</v>
      </c>
      <c r="H2214" s="7">
        <v>-0.00129910809090909</v>
      </c>
      <c r="I2214" s="7">
        <v>-7.93887072294373</v>
      </c>
      <c r="J2214" s="7">
        <v>-5.33433497402597</v>
      </c>
      <c r="K2214" s="8"/>
      <c r="L2214" s="8"/>
    </row>
    <row r="2215" ht="13.5" customHeight="1">
      <c r="A2215" s="7" t="s">
        <v>355</v>
      </c>
      <c r="B2215" s="7">
        <v>0.0</v>
      </c>
      <c r="C2215" s="7" t="s">
        <v>360</v>
      </c>
      <c r="D2215" s="7" t="s">
        <v>357</v>
      </c>
      <c r="E2215" s="7">
        <v>-22.2460438961039</v>
      </c>
      <c r="F2215" s="7">
        <v>2.13428121212122</v>
      </c>
      <c r="G2215" s="7">
        <v>2.87786173160173</v>
      </c>
      <c r="H2215" s="7">
        <v>-0.0013001631948052</v>
      </c>
      <c r="I2215" s="7">
        <v>-7.94566551515152</v>
      </c>
      <c r="J2215" s="7">
        <v>-5.33888202597402</v>
      </c>
      <c r="K2215" s="8"/>
      <c r="L2215" s="8"/>
    </row>
    <row r="2216" ht="13.5" customHeight="1">
      <c r="A2216" s="7" t="s">
        <v>355</v>
      </c>
      <c r="B2216" s="7">
        <v>1.75</v>
      </c>
      <c r="C2216" s="7" t="s">
        <v>360</v>
      </c>
      <c r="D2216" s="7" t="s">
        <v>357</v>
      </c>
      <c r="E2216" s="7">
        <v>-22.2629002597403</v>
      </c>
      <c r="F2216" s="7">
        <v>2.13599173160174</v>
      </c>
      <c r="G2216" s="7">
        <v>2.88012614718614</v>
      </c>
      <c r="H2216" s="7">
        <v>-0.0013012182987013</v>
      </c>
      <c r="I2216" s="7">
        <v>-7.95246030735931</v>
      </c>
      <c r="J2216" s="7">
        <v>-5.34342907792207</v>
      </c>
      <c r="K2216" s="8"/>
      <c r="L2216" s="8"/>
    </row>
    <row r="2217" ht="13.5" customHeight="1">
      <c r="A2217" s="7" t="s">
        <v>355</v>
      </c>
      <c r="B2217" s="7">
        <v>3.5</v>
      </c>
      <c r="C2217" s="7" t="s">
        <v>360</v>
      </c>
      <c r="D2217" s="7" t="s">
        <v>357</v>
      </c>
      <c r="E2217" s="7">
        <v>-22.2797566233766</v>
      </c>
      <c r="F2217" s="7">
        <v>2.13770225108226</v>
      </c>
      <c r="G2217" s="7">
        <v>2.88239056277056</v>
      </c>
      <c r="H2217" s="7">
        <v>-0.0013022734025974</v>
      </c>
      <c r="I2217" s="7">
        <v>-7.95925509956709</v>
      </c>
      <c r="J2217" s="7">
        <v>-5.34797612987012</v>
      </c>
      <c r="K2217" s="8"/>
      <c r="L2217" s="8"/>
    </row>
    <row r="2218" ht="13.5" customHeight="1">
      <c r="A2218" s="7" t="s">
        <v>355</v>
      </c>
      <c r="B2218" s="7">
        <v>0.0</v>
      </c>
      <c r="C2218" s="7" t="s">
        <v>361</v>
      </c>
      <c r="D2218" s="7" t="s">
        <v>357</v>
      </c>
      <c r="E2218" s="7">
        <v>-22.296612987013</v>
      </c>
      <c r="F2218" s="7">
        <v>2.13941277056278</v>
      </c>
      <c r="G2218" s="7">
        <v>2.88465497835498</v>
      </c>
      <c r="H2218" s="7">
        <v>-0.00130332850649351</v>
      </c>
      <c r="I2218" s="7">
        <v>-7.96604989177488</v>
      </c>
      <c r="J2218" s="7">
        <v>-5.35252318181818</v>
      </c>
      <c r="K2218" s="8"/>
      <c r="L2218" s="8"/>
    </row>
    <row r="2219" ht="13.5" customHeight="1">
      <c r="A2219" s="7" t="s">
        <v>355</v>
      </c>
      <c r="B2219" s="7">
        <v>1.75</v>
      </c>
      <c r="C2219" s="7" t="s">
        <v>361</v>
      </c>
      <c r="D2219" s="7" t="s">
        <v>357</v>
      </c>
      <c r="E2219" s="7">
        <v>-22.3134693506494</v>
      </c>
      <c r="F2219" s="7">
        <v>2.1411232900433</v>
      </c>
      <c r="G2219" s="7">
        <v>2.88691939393939</v>
      </c>
      <c r="H2219" s="7">
        <v>-0.00130438361038961</v>
      </c>
      <c r="I2219" s="7">
        <v>-7.97284468398269</v>
      </c>
      <c r="J2219" s="7">
        <v>-5.35707023376623</v>
      </c>
      <c r="K2219" s="8"/>
      <c r="L2219" s="8"/>
    </row>
    <row r="2220" ht="13.5" customHeight="1">
      <c r="A2220" s="7" t="s">
        <v>355</v>
      </c>
      <c r="B2220" s="7">
        <v>3.5</v>
      </c>
      <c r="C2220" s="7" t="s">
        <v>361</v>
      </c>
      <c r="D2220" s="7" t="s">
        <v>357</v>
      </c>
      <c r="E2220" s="7">
        <v>-22.3303257142857</v>
      </c>
      <c r="F2220" s="7">
        <v>2.14283380952382</v>
      </c>
      <c r="G2220" s="7">
        <v>2.88918380952381</v>
      </c>
      <c r="H2220" s="7">
        <v>-0.00130543871428571</v>
      </c>
      <c r="I2220" s="7">
        <v>-7.97963947619048</v>
      </c>
      <c r="J2220" s="7">
        <v>-5.36161728571428</v>
      </c>
      <c r="K2220" s="8"/>
      <c r="L2220" s="8"/>
    </row>
    <row r="2221" ht="13.5" customHeight="1">
      <c r="A2221" s="7" t="s">
        <v>355</v>
      </c>
      <c r="B2221" s="7">
        <v>0.0</v>
      </c>
      <c r="C2221" s="7" t="s">
        <v>362</v>
      </c>
      <c r="D2221" s="7" t="s">
        <v>357</v>
      </c>
      <c r="E2221" s="7">
        <v>-22.3471820779221</v>
      </c>
      <c r="F2221" s="7">
        <v>2.14454432900434</v>
      </c>
      <c r="G2221" s="7">
        <v>2.89144822510822</v>
      </c>
      <c r="H2221" s="7">
        <v>-0.00130649381818182</v>
      </c>
      <c r="I2221" s="7">
        <v>-7.98643426839827</v>
      </c>
      <c r="J2221" s="7">
        <v>-5.36616433766233</v>
      </c>
      <c r="K2221" s="8"/>
      <c r="L2221" s="8"/>
    </row>
    <row r="2222" ht="13.5" customHeight="1">
      <c r="A2222" s="7" t="s">
        <v>355</v>
      </c>
      <c r="B2222" s="7">
        <v>1.75</v>
      </c>
      <c r="C2222" s="7" t="s">
        <v>362</v>
      </c>
      <c r="D2222" s="7" t="s">
        <v>357</v>
      </c>
      <c r="E2222" s="7">
        <v>-22.3640384415585</v>
      </c>
      <c r="F2222" s="7">
        <v>2.14625484848485</v>
      </c>
      <c r="G2222" s="7">
        <v>2.89371264069264</v>
      </c>
      <c r="H2222" s="7">
        <v>-0.00130754892207792</v>
      </c>
      <c r="I2222" s="7">
        <v>-7.99322906060605</v>
      </c>
      <c r="J2222" s="7">
        <v>-5.37071138961038</v>
      </c>
      <c r="K2222" s="8"/>
      <c r="L2222" s="8"/>
    </row>
    <row r="2223" ht="13.5" customHeight="1">
      <c r="A2223" s="7" t="s">
        <v>355</v>
      </c>
      <c r="B2223" s="7">
        <v>3.5</v>
      </c>
      <c r="C2223" s="7" t="s">
        <v>362</v>
      </c>
      <c r="D2223" s="7" t="s">
        <v>357</v>
      </c>
      <c r="E2223" s="7">
        <v>-22.3808948051948</v>
      </c>
      <c r="F2223" s="7">
        <v>2.14796536796537</v>
      </c>
      <c r="G2223" s="7">
        <v>2.89597705627705</v>
      </c>
      <c r="H2223" s="7">
        <v>-0.00130860402597403</v>
      </c>
      <c r="I2223" s="7">
        <v>-8.00002385281384</v>
      </c>
      <c r="J2223" s="7">
        <v>-5.37525844155844</v>
      </c>
      <c r="K2223" s="8"/>
      <c r="L2223" s="8"/>
    </row>
    <row r="2224" ht="13.5" customHeight="1">
      <c r="A2224" s="7" t="s">
        <v>355</v>
      </c>
      <c r="B2224" s="7">
        <v>0.0</v>
      </c>
      <c r="C2224" s="7" t="s">
        <v>363</v>
      </c>
      <c r="D2224" s="7" t="s">
        <v>357</v>
      </c>
      <c r="E2224" s="7">
        <v>-22.3977511688312</v>
      </c>
      <c r="F2224" s="7">
        <v>2.14967588744589</v>
      </c>
      <c r="G2224" s="7">
        <v>2.89824147186147</v>
      </c>
      <c r="H2224" s="7">
        <v>-0.00130965912987013</v>
      </c>
      <c r="I2224" s="7">
        <v>-8.00681864502165</v>
      </c>
      <c r="J2224" s="7">
        <v>-5.37980549350649</v>
      </c>
      <c r="K2224" s="8"/>
      <c r="L2224" s="8"/>
    </row>
    <row r="2225" ht="13.5" customHeight="1">
      <c r="A2225" s="7" t="s">
        <v>355</v>
      </c>
      <c r="B2225" s="7">
        <v>1.75</v>
      </c>
      <c r="C2225" s="7" t="s">
        <v>363</v>
      </c>
      <c r="D2225" s="7" t="s">
        <v>357</v>
      </c>
      <c r="E2225" s="7">
        <v>-22.4146075324675</v>
      </c>
      <c r="F2225" s="7">
        <v>2.15138640692641</v>
      </c>
      <c r="G2225" s="7">
        <v>2.90050588744589</v>
      </c>
      <c r="H2225" s="7">
        <v>-0.00131071423376623</v>
      </c>
      <c r="I2225" s="7">
        <v>-8.01361343722944</v>
      </c>
      <c r="J2225" s="7">
        <v>-5.38435254545454</v>
      </c>
      <c r="K2225" s="8"/>
      <c r="L2225" s="8"/>
    </row>
    <row r="2226" ht="13.5" customHeight="1">
      <c r="A2226" s="7" t="s">
        <v>355</v>
      </c>
      <c r="B2226" s="7">
        <v>3.5</v>
      </c>
      <c r="C2226" s="7" t="s">
        <v>363</v>
      </c>
      <c r="D2226" s="7" t="s">
        <v>357</v>
      </c>
      <c r="E2226" s="7">
        <v>-22.4314638961039</v>
      </c>
      <c r="F2226" s="7">
        <v>2.15309692640693</v>
      </c>
      <c r="G2226" s="7">
        <v>2.9027703030303</v>
      </c>
      <c r="H2226" s="7">
        <v>-0.00131176933766234</v>
      </c>
      <c r="I2226" s="7">
        <v>-8.02040822943723</v>
      </c>
      <c r="J2226" s="7">
        <v>-5.38889959740259</v>
      </c>
      <c r="K2226" s="8"/>
      <c r="L2226" s="8"/>
    </row>
    <row r="2227" ht="13.5" customHeight="1">
      <c r="A2227" s="7" t="s">
        <v>355</v>
      </c>
      <c r="B2227" s="7">
        <v>0.0</v>
      </c>
      <c r="C2227" s="7" t="s">
        <v>356</v>
      </c>
      <c r="D2227" s="7" t="s">
        <v>357</v>
      </c>
      <c r="E2227" s="7">
        <v>-22.4483202597403</v>
      </c>
      <c r="F2227" s="7">
        <v>2.15480744588745</v>
      </c>
      <c r="G2227" s="7">
        <v>2.90503471861472</v>
      </c>
      <c r="H2227" s="7">
        <v>-0.00131282444155844</v>
      </c>
      <c r="I2227" s="7">
        <v>-8.02720302164501</v>
      </c>
      <c r="J2227" s="7">
        <v>-5.39344664935064</v>
      </c>
      <c r="K2227" s="8"/>
      <c r="L2227" s="8"/>
    </row>
    <row r="2228" ht="13.5" customHeight="1">
      <c r="A2228" s="7" t="s">
        <v>355</v>
      </c>
      <c r="B2228" s="7">
        <v>1.75</v>
      </c>
      <c r="C2228" s="7" t="s">
        <v>356</v>
      </c>
      <c r="D2228" s="7" t="s">
        <v>357</v>
      </c>
      <c r="E2228" s="7">
        <v>-22.4651766233766</v>
      </c>
      <c r="F2228" s="7">
        <v>2.15651796536797</v>
      </c>
      <c r="G2228" s="7">
        <v>2.90729913419913</v>
      </c>
      <c r="H2228" s="7">
        <v>-0.00131387954545455</v>
      </c>
      <c r="I2228" s="7">
        <v>-8.0339978138528</v>
      </c>
      <c r="J2228" s="7">
        <v>-5.3979937012987</v>
      </c>
      <c r="K2228" s="8"/>
      <c r="L2228" s="8"/>
    </row>
    <row r="2229" ht="13.5" customHeight="1">
      <c r="A2229" s="7" t="s">
        <v>355</v>
      </c>
      <c r="B2229" s="7">
        <v>3.5</v>
      </c>
      <c r="C2229" s="7" t="s">
        <v>356</v>
      </c>
      <c r="D2229" s="7" t="s">
        <v>357</v>
      </c>
      <c r="E2229" s="7">
        <v>-22.482032987013</v>
      </c>
      <c r="F2229" s="7">
        <v>2.15822848484849</v>
      </c>
      <c r="G2229" s="7">
        <v>2.90956354978355</v>
      </c>
      <c r="H2229" s="7">
        <v>-0.00131493464935065</v>
      </c>
      <c r="I2229" s="7">
        <v>-8.04079260606061</v>
      </c>
      <c r="J2229" s="7">
        <v>-5.40254075324675</v>
      </c>
      <c r="K2229" s="8"/>
      <c r="L2229" s="8"/>
    </row>
    <row r="2230" ht="13.5" customHeight="1">
      <c r="A2230" s="7" t="s">
        <v>355</v>
      </c>
      <c r="B2230" s="7">
        <v>0.0</v>
      </c>
      <c r="C2230" s="7" t="s">
        <v>358</v>
      </c>
      <c r="D2230" s="7" t="s">
        <v>357</v>
      </c>
      <c r="E2230" s="7">
        <v>-22.4988893506494</v>
      </c>
      <c r="F2230" s="7">
        <v>2.15993900432901</v>
      </c>
      <c r="G2230" s="7">
        <v>2.91182796536796</v>
      </c>
      <c r="H2230" s="7">
        <v>-0.00131598975324675</v>
      </c>
      <c r="I2230" s="7">
        <v>-8.0475873982684</v>
      </c>
      <c r="J2230" s="7">
        <v>-5.4070878051948</v>
      </c>
      <c r="K2230" s="8"/>
      <c r="L2230" s="8"/>
    </row>
    <row r="2231" ht="13.5" customHeight="1">
      <c r="A2231" s="7" t="s">
        <v>355</v>
      </c>
      <c r="B2231" s="7">
        <v>1.75</v>
      </c>
      <c r="C2231" s="7" t="s">
        <v>358</v>
      </c>
      <c r="D2231" s="7" t="s">
        <v>357</v>
      </c>
      <c r="E2231" s="7">
        <v>-22.5157457142857</v>
      </c>
      <c r="F2231" s="7">
        <v>2.16164952380953</v>
      </c>
      <c r="G2231" s="7">
        <v>2.91409238095238</v>
      </c>
      <c r="H2231" s="7">
        <v>-0.00131704485714286</v>
      </c>
      <c r="I2231" s="7">
        <v>-8.05438219047619</v>
      </c>
      <c r="J2231" s="7">
        <v>-5.41163485714285</v>
      </c>
      <c r="K2231" s="8"/>
      <c r="L2231" s="8"/>
    </row>
    <row r="2232" ht="13.5" customHeight="1">
      <c r="A2232" s="7" t="s">
        <v>355</v>
      </c>
      <c r="B2232" s="7">
        <v>3.5</v>
      </c>
      <c r="C2232" s="7" t="s">
        <v>358</v>
      </c>
      <c r="D2232" s="7" t="s">
        <v>357</v>
      </c>
      <c r="E2232" s="7">
        <v>-22.5326020779221</v>
      </c>
      <c r="F2232" s="7">
        <v>2.16336004329005</v>
      </c>
      <c r="G2232" s="7">
        <v>2.91635679653679</v>
      </c>
      <c r="H2232" s="7">
        <v>-0.00131809996103896</v>
      </c>
      <c r="I2232" s="7">
        <v>-8.06117698268397</v>
      </c>
      <c r="J2232" s="7">
        <v>-5.4161819090909</v>
      </c>
      <c r="K2232" s="8"/>
      <c r="L2232" s="8"/>
    </row>
    <row r="2233" ht="13.5" customHeight="1">
      <c r="A2233" s="7" t="s">
        <v>355</v>
      </c>
      <c r="B2233" s="7">
        <v>0.0</v>
      </c>
      <c r="C2233" s="7" t="s">
        <v>359</v>
      </c>
      <c r="D2233" s="7" t="s">
        <v>357</v>
      </c>
      <c r="E2233" s="7">
        <v>-22.5494584415585</v>
      </c>
      <c r="F2233" s="7">
        <v>2.16507056277057</v>
      </c>
      <c r="G2233" s="7">
        <v>2.91862121212121</v>
      </c>
      <c r="H2233" s="7">
        <v>-0.00131915506493507</v>
      </c>
      <c r="I2233" s="7">
        <v>-8.06797177489178</v>
      </c>
      <c r="J2233" s="7">
        <v>-5.42072896103895</v>
      </c>
      <c r="K2233" s="8"/>
      <c r="L2233" s="8"/>
    </row>
    <row r="2234" ht="13.5" customHeight="1">
      <c r="A2234" s="7" t="s">
        <v>355</v>
      </c>
      <c r="B2234" s="7">
        <v>1.75</v>
      </c>
      <c r="C2234" s="7" t="s">
        <v>359</v>
      </c>
      <c r="D2234" s="7" t="s">
        <v>357</v>
      </c>
      <c r="E2234" s="7">
        <v>-22.5663148051948</v>
      </c>
      <c r="F2234" s="7">
        <v>2.16678108225109</v>
      </c>
      <c r="G2234" s="7">
        <v>2.92088562770563</v>
      </c>
      <c r="H2234" s="7">
        <v>-0.00132021016883117</v>
      </c>
      <c r="I2234" s="7">
        <v>-8.07476656709957</v>
      </c>
      <c r="J2234" s="7">
        <v>-5.42527601298701</v>
      </c>
      <c r="K2234" s="8"/>
      <c r="L2234" s="8"/>
    </row>
    <row r="2235" ht="13.5" customHeight="1">
      <c r="A2235" s="7" t="s">
        <v>355</v>
      </c>
      <c r="B2235" s="7">
        <v>3.5</v>
      </c>
      <c r="C2235" s="7" t="s">
        <v>359</v>
      </c>
      <c r="D2235" s="7" t="s">
        <v>357</v>
      </c>
      <c r="E2235" s="7">
        <v>-22.5831711688312</v>
      </c>
      <c r="F2235" s="7">
        <v>2.16849160173161</v>
      </c>
      <c r="G2235" s="7">
        <v>2.92315004329004</v>
      </c>
      <c r="H2235" s="7">
        <v>-0.00132126527272727</v>
      </c>
      <c r="I2235" s="7">
        <v>-8.08156135930736</v>
      </c>
      <c r="J2235" s="7">
        <v>-5.42982306493506</v>
      </c>
      <c r="K2235" s="8"/>
      <c r="L2235" s="8"/>
    </row>
    <row r="2236" ht="13.5" customHeight="1">
      <c r="A2236" s="7" t="s">
        <v>355</v>
      </c>
      <c r="B2236" s="7">
        <v>0.0</v>
      </c>
      <c r="C2236" s="7" t="s">
        <v>360</v>
      </c>
      <c r="D2236" s="7" t="s">
        <v>357</v>
      </c>
      <c r="E2236" s="7">
        <v>-22.6000275324675</v>
      </c>
      <c r="F2236" s="7">
        <v>2.17020212121213</v>
      </c>
      <c r="G2236" s="7">
        <v>2.92541445887446</v>
      </c>
      <c r="H2236" s="7">
        <v>-0.00132232037662338</v>
      </c>
      <c r="I2236" s="7">
        <v>-8.08835615151515</v>
      </c>
      <c r="J2236" s="7">
        <v>-5.43437011688311</v>
      </c>
      <c r="K2236" s="8"/>
      <c r="L2236" s="8"/>
    </row>
    <row r="2237" ht="13.5" customHeight="1">
      <c r="A2237" s="7" t="s">
        <v>355</v>
      </c>
      <c r="B2237" s="7">
        <v>1.75</v>
      </c>
      <c r="C2237" s="7" t="s">
        <v>360</v>
      </c>
      <c r="D2237" s="7" t="s">
        <v>357</v>
      </c>
      <c r="E2237" s="7">
        <v>-22.6168838961039</v>
      </c>
      <c r="F2237" s="7">
        <v>2.17191264069265</v>
      </c>
      <c r="G2237" s="7">
        <v>2.92767887445887</v>
      </c>
      <c r="H2237" s="7">
        <v>-0.00132337548051948</v>
      </c>
      <c r="I2237" s="7">
        <v>-8.09515094372293</v>
      </c>
      <c r="J2237" s="7">
        <v>-5.43891716883116</v>
      </c>
      <c r="K2237" s="8"/>
      <c r="L2237" s="8"/>
    </row>
    <row r="2238" ht="13.5" customHeight="1">
      <c r="A2238" s="7" t="s">
        <v>355</v>
      </c>
      <c r="B2238" s="7">
        <v>3.5</v>
      </c>
      <c r="C2238" s="7" t="s">
        <v>360</v>
      </c>
      <c r="D2238" s="7" t="s">
        <v>357</v>
      </c>
      <c r="E2238" s="7">
        <v>-22.6337402597403</v>
      </c>
      <c r="F2238" s="7">
        <v>2.17362316017317</v>
      </c>
      <c r="G2238" s="7">
        <v>2.92994329004329</v>
      </c>
      <c r="H2238" s="7">
        <v>-0.00132443058441558</v>
      </c>
      <c r="I2238" s="7">
        <v>-8.10194573593074</v>
      </c>
      <c r="J2238" s="7">
        <v>-5.44346422077922</v>
      </c>
      <c r="K2238" s="8"/>
      <c r="L2238" s="8"/>
    </row>
    <row r="2239" ht="13.5" customHeight="1">
      <c r="A2239" s="7" t="s">
        <v>355</v>
      </c>
      <c r="B2239" s="7">
        <v>0.0</v>
      </c>
      <c r="C2239" s="7" t="s">
        <v>361</v>
      </c>
      <c r="D2239" s="7" t="s">
        <v>357</v>
      </c>
      <c r="E2239" s="7">
        <v>-22.6505966233766</v>
      </c>
      <c r="F2239" s="7">
        <v>2.17533367965369</v>
      </c>
      <c r="G2239" s="7">
        <v>2.9322077056277</v>
      </c>
      <c r="H2239" s="7">
        <v>-0.00132548568831169</v>
      </c>
      <c r="I2239" s="7">
        <v>-8.10874052813853</v>
      </c>
      <c r="J2239" s="7">
        <v>-5.44801127272727</v>
      </c>
      <c r="K2239" s="8"/>
      <c r="L2239" s="8"/>
    </row>
    <row r="2240" ht="13.5" customHeight="1">
      <c r="A2240" s="7" t="s">
        <v>355</v>
      </c>
      <c r="B2240" s="7">
        <v>1.75</v>
      </c>
      <c r="C2240" s="7" t="s">
        <v>361</v>
      </c>
      <c r="D2240" s="7" t="s">
        <v>357</v>
      </c>
      <c r="E2240" s="7">
        <v>-22.667452987013</v>
      </c>
      <c r="F2240" s="7">
        <v>2.17704419913421</v>
      </c>
      <c r="G2240" s="7">
        <v>2.93447212121212</v>
      </c>
      <c r="H2240" s="7">
        <v>-0.00132654079220779</v>
      </c>
      <c r="I2240" s="7">
        <v>-8.11553532034632</v>
      </c>
      <c r="J2240" s="7">
        <v>-5.45255832467532</v>
      </c>
      <c r="K2240" s="8"/>
      <c r="L2240" s="8"/>
    </row>
    <row r="2241" ht="13.5" customHeight="1">
      <c r="A2241" s="7" t="s">
        <v>355</v>
      </c>
      <c r="B2241" s="7">
        <v>3.5</v>
      </c>
      <c r="C2241" s="7" t="s">
        <v>361</v>
      </c>
      <c r="D2241" s="7" t="s">
        <v>357</v>
      </c>
      <c r="E2241" s="7">
        <v>-22.6843093506494</v>
      </c>
      <c r="F2241" s="7">
        <v>2.17875471861472</v>
      </c>
      <c r="G2241" s="7">
        <v>2.93673653679653</v>
      </c>
      <c r="H2241" s="7">
        <v>-0.0013275958961039</v>
      </c>
      <c r="I2241" s="7">
        <v>-8.12233011255411</v>
      </c>
      <c r="J2241" s="7">
        <v>-5.45710537662337</v>
      </c>
      <c r="K2241" s="8"/>
      <c r="L2241" s="8"/>
    </row>
    <row r="2242" ht="13.5" customHeight="1">
      <c r="A2242" s="7" t="s">
        <v>355</v>
      </c>
      <c r="B2242" s="7">
        <v>0.0</v>
      </c>
      <c r="C2242" s="7" t="s">
        <v>362</v>
      </c>
      <c r="D2242" s="7" t="s">
        <v>357</v>
      </c>
      <c r="E2242" s="7">
        <v>-22.7011657142857</v>
      </c>
      <c r="F2242" s="7">
        <v>2.18046523809524</v>
      </c>
      <c r="G2242" s="7">
        <v>2.93900095238095</v>
      </c>
      <c r="H2242" s="7">
        <v>-0.001328651</v>
      </c>
      <c r="I2242" s="7">
        <v>-8.12912490476191</v>
      </c>
      <c r="J2242" s="7">
        <v>-5.46165242857142</v>
      </c>
      <c r="K2242" s="8"/>
      <c r="L2242" s="8"/>
    </row>
    <row r="2243" ht="13.5" customHeight="1">
      <c r="A2243" s="7" t="s">
        <v>355</v>
      </c>
      <c r="B2243" s="7">
        <v>1.75</v>
      </c>
      <c r="C2243" s="7" t="s">
        <v>362</v>
      </c>
      <c r="D2243" s="7" t="s">
        <v>357</v>
      </c>
      <c r="E2243" s="7">
        <v>-22.7180220779221</v>
      </c>
      <c r="F2243" s="7">
        <v>2.18217575757576</v>
      </c>
      <c r="G2243" s="7">
        <v>2.94126536796537</v>
      </c>
      <c r="H2243" s="7">
        <v>-0.0013297061038961</v>
      </c>
      <c r="I2243" s="7">
        <v>-8.1359196969697</v>
      </c>
      <c r="J2243" s="7">
        <v>-5.46619948051947</v>
      </c>
      <c r="K2243" s="8"/>
      <c r="L2243" s="8"/>
    </row>
    <row r="2244" ht="13.5" customHeight="1">
      <c r="A2244" s="7" t="s">
        <v>355</v>
      </c>
      <c r="B2244" s="7">
        <v>3.5</v>
      </c>
      <c r="C2244" s="7" t="s">
        <v>362</v>
      </c>
      <c r="D2244" s="7" t="s">
        <v>357</v>
      </c>
      <c r="E2244" s="7">
        <v>-22.7348784415585</v>
      </c>
      <c r="F2244" s="7">
        <v>2.18388627705628</v>
      </c>
      <c r="G2244" s="7">
        <v>2.94352978354978</v>
      </c>
      <c r="H2244" s="7">
        <v>-0.00133076120779221</v>
      </c>
      <c r="I2244" s="7">
        <v>-8.14271448917749</v>
      </c>
      <c r="J2244" s="7">
        <v>-5.47074653246753</v>
      </c>
      <c r="K2244" s="8"/>
      <c r="L2244" s="8"/>
    </row>
    <row r="2245" ht="13.5" customHeight="1">
      <c r="A2245" s="7" t="s">
        <v>355</v>
      </c>
      <c r="B2245" s="7">
        <v>0.0</v>
      </c>
      <c r="C2245" s="7" t="s">
        <v>363</v>
      </c>
      <c r="D2245" s="7" t="s">
        <v>357</v>
      </c>
      <c r="E2245" s="7">
        <v>-22.7517348051948</v>
      </c>
      <c r="F2245" s="7">
        <v>2.1855967965368</v>
      </c>
      <c r="G2245" s="7">
        <v>2.9457941991342</v>
      </c>
      <c r="H2245" s="7">
        <v>-0.00133181631168831</v>
      </c>
      <c r="I2245" s="7">
        <v>-8.14950928138528</v>
      </c>
      <c r="J2245" s="7">
        <v>-5.47529358441558</v>
      </c>
      <c r="K2245" s="8"/>
      <c r="L2245" s="8"/>
    </row>
    <row r="2246" ht="13.5" customHeight="1">
      <c r="A2246" s="7" t="s">
        <v>355</v>
      </c>
      <c r="B2246" s="7">
        <v>1.75</v>
      </c>
      <c r="C2246" s="7" t="s">
        <v>363</v>
      </c>
      <c r="D2246" s="7" t="s">
        <v>357</v>
      </c>
      <c r="E2246" s="7">
        <v>-22.7685911688312</v>
      </c>
      <c r="F2246" s="7">
        <v>2.18730731601732</v>
      </c>
      <c r="G2246" s="7">
        <v>2.94805861471861</v>
      </c>
      <c r="H2246" s="7">
        <v>-0.00133287141558442</v>
      </c>
      <c r="I2246" s="7">
        <v>-8.15630407359307</v>
      </c>
      <c r="J2246" s="7">
        <v>-5.47984063636363</v>
      </c>
      <c r="K2246" s="8"/>
      <c r="L2246" s="8"/>
    </row>
    <row r="2247" ht="13.5" customHeight="1">
      <c r="A2247" s="7" t="s">
        <v>355</v>
      </c>
      <c r="B2247" s="7">
        <v>3.5</v>
      </c>
      <c r="C2247" s="7" t="s">
        <v>363</v>
      </c>
      <c r="D2247" s="7" t="s">
        <v>357</v>
      </c>
      <c r="E2247" s="7">
        <v>-22.7854475324675</v>
      </c>
      <c r="F2247" s="7">
        <v>2.18901783549784</v>
      </c>
      <c r="G2247" s="7">
        <v>2.95032303030303</v>
      </c>
      <c r="H2247" s="7">
        <v>-0.00133392651948052</v>
      </c>
      <c r="I2247" s="7">
        <v>-8.16309886580087</v>
      </c>
      <c r="J2247" s="7">
        <v>-5.48438768831168</v>
      </c>
      <c r="K2247" s="8"/>
      <c r="L2247" s="8"/>
    </row>
    <row r="2248" ht="13.5" customHeight="1">
      <c r="A2248" s="7" t="s">
        <v>355</v>
      </c>
      <c r="B2248" s="7">
        <v>0.0</v>
      </c>
      <c r="C2248" s="7" t="s">
        <v>356</v>
      </c>
      <c r="D2248" s="7" t="s">
        <v>357</v>
      </c>
      <c r="E2248" s="7">
        <v>-22.8023038961039</v>
      </c>
      <c r="F2248" s="7">
        <v>2.19072835497836</v>
      </c>
      <c r="G2248" s="7">
        <v>2.95258744588744</v>
      </c>
      <c r="H2248" s="7">
        <v>-0.00133498162337662</v>
      </c>
      <c r="I2248" s="7">
        <v>-8.16989365800866</v>
      </c>
      <c r="J2248" s="7">
        <v>-5.48893474025973</v>
      </c>
      <c r="K2248" s="8"/>
      <c r="L2248" s="8"/>
    </row>
    <row r="2249" ht="13.5" customHeight="1">
      <c r="A2249" s="7" t="s">
        <v>355</v>
      </c>
      <c r="B2249" s="7">
        <v>1.75</v>
      </c>
      <c r="C2249" s="7" t="s">
        <v>356</v>
      </c>
      <c r="D2249" s="7" t="s">
        <v>357</v>
      </c>
      <c r="E2249" s="7">
        <v>-22.8191602597403</v>
      </c>
      <c r="F2249" s="7">
        <v>2.19243887445888</v>
      </c>
      <c r="G2249" s="7">
        <v>2.95485186147186</v>
      </c>
      <c r="H2249" s="7">
        <v>-0.00133603672727273</v>
      </c>
      <c r="I2249" s="7">
        <v>-8.17668845021645</v>
      </c>
      <c r="J2249" s="7">
        <v>-5.49348179220779</v>
      </c>
      <c r="K2249" s="8"/>
      <c r="L2249" s="8"/>
    </row>
    <row r="2250" ht="13.5" customHeight="1">
      <c r="A2250" s="7" t="s">
        <v>355</v>
      </c>
      <c r="B2250" s="7">
        <v>3.5</v>
      </c>
      <c r="C2250" s="7" t="s">
        <v>356</v>
      </c>
      <c r="D2250" s="7" t="s">
        <v>357</v>
      </c>
      <c r="E2250" s="7">
        <v>-22.8360166233766</v>
      </c>
      <c r="F2250" s="7">
        <v>2.1941493939394</v>
      </c>
      <c r="G2250" s="7">
        <v>2.95711627705628</v>
      </c>
      <c r="H2250" s="7">
        <v>-0.00133709183116883</v>
      </c>
      <c r="I2250" s="7">
        <v>-8.18348324242424</v>
      </c>
      <c r="J2250" s="7">
        <v>-5.49802884415584</v>
      </c>
      <c r="K2250" s="8"/>
      <c r="L2250" s="8"/>
    </row>
    <row r="2251" ht="13.5" customHeight="1">
      <c r="A2251" s="7" t="s">
        <v>355</v>
      </c>
      <c r="B2251" s="7">
        <v>0.0</v>
      </c>
      <c r="C2251" s="7" t="s">
        <v>358</v>
      </c>
      <c r="D2251" s="7" t="s">
        <v>357</v>
      </c>
      <c r="E2251" s="7">
        <v>-22.852872987013</v>
      </c>
      <c r="F2251" s="7">
        <v>2.19585991341992</v>
      </c>
      <c r="G2251" s="7">
        <v>2.95938069264069</v>
      </c>
      <c r="H2251" s="7">
        <v>-0.00133814693506494</v>
      </c>
      <c r="I2251" s="7">
        <v>-8.19027803463204</v>
      </c>
      <c r="J2251" s="7">
        <v>-5.50257589610389</v>
      </c>
      <c r="K2251" s="8"/>
      <c r="L2251" s="8"/>
    </row>
    <row r="2252" ht="13.5" customHeight="1">
      <c r="A2252" s="7" t="s">
        <v>355</v>
      </c>
      <c r="B2252" s="7">
        <v>1.75</v>
      </c>
      <c r="C2252" s="7" t="s">
        <v>358</v>
      </c>
      <c r="D2252" s="7" t="s">
        <v>357</v>
      </c>
      <c r="E2252" s="7">
        <v>-22.8697293506494</v>
      </c>
      <c r="F2252" s="7">
        <v>2.19757043290044</v>
      </c>
      <c r="G2252" s="7">
        <v>2.96164510822511</v>
      </c>
      <c r="H2252" s="7">
        <v>-0.00133920203896104</v>
      </c>
      <c r="I2252" s="7">
        <v>-8.19707282683983</v>
      </c>
      <c r="J2252" s="7">
        <v>-5.50712294805194</v>
      </c>
      <c r="K2252" s="8"/>
      <c r="L2252" s="8"/>
    </row>
    <row r="2253" ht="13.5" customHeight="1">
      <c r="A2253" s="7" t="s">
        <v>355</v>
      </c>
      <c r="B2253" s="7">
        <v>3.5</v>
      </c>
      <c r="C2253" s="7" t="s">
        <v>358</v>
      </c>
      <c r="D2253" s="7" t="s">
        <v>357</v>
      </c>
      <c r="E2253" s="7">
        <v>-22.8865857142857</v>
      </c>
      <c r="F2253" s="7">
        <v>2.19928095238096</v>
      </c>
      <c r="G2253" s="7">
        <v>2.96390952380952</v>
      </c>
      <c r="H2253" s="7">
        <v>-0.00134025714285714</v>
      </c>
      <c r="I2253" s="7">
        <v>-8.20386761904762</v>
      </c>
      <c r="J2253" s="7">
        <v>-5.51166999999999</v>
      </c>
      <c r="K2253" s="8"/>
      <c r="L2253" s="8"/>
    </row>
    <row r="2254" ht="13.5" customHeight="1">
      <c r="A2254" s="7" t="s">
        <v>355</v>
      </c>
      <c r="B2254" s="7">
        <v>0.0</v>
      </c>
      <c r="C2254" s="7" t="s">
        <v>359</v>
      </c>
      <c r="D2254" s="7" t="s">
        <v>357</v>
      </c>
      <c r="E2254" s="7">
        <v>-22.9034420779221</v>
      </c>
      <c r="F2254" s="7">
        <v>2.20099147186148</v>
      </c>
      <c r="G2254" s="7">
        <v>2.96617393939394</v>
      </c>
      <c r="H2254" s="7">
        <v>-0.00134131224675325</v>
      </c>
      <c r="I2254" s="7">
        <v>-8.21066241125541</v>
      </c>
      <c r="J2254" s="7">
        <v>-5.51621705194805</v>
      </c>
      <c r="K2254" s="8"/>
      <c r="L2254" s="8"/>
    </row>
    <row r="2255" ht="13.5" customHeight="1">
      <c r="A2255" s="7" t="s">
        <v>355</v>
      </c>
      <c r="B2255" s="7">
        <v>1.75</v>
      </c>
      <c r="C2255" s="7" t="s">
        <v>359</v>
      </c>
      <c r="D2255" s="7" t="s">
        <v>357</v>
      </c>
      <c r="E2255" s="7">
        <v>-22.9202984415585</v>
      </c>
      <c r="F2255" s="7">
        <v>2.202701991342</v>
      </c>
      <c r="G2255" s="7">
        <v>2.96843835497835</v>
      </c>
      <c r="H2255" s="7">
        <v>-0.00134236735064935</v>
      </c>
      <c r="I2255" s="7">
        <v>-8.2174572034632</v>
      </c>
      <c r="J2255" s="7">
        <v>-5.5207641038961</v>
      </c>
      <c r="K2255" s="8"/>
      <c r="L2255" s="8"/>
    </row>
    <row r="2256" ht="13.5" customHeight="1">
      <c r="A2256" s="7" t="s">
        <v>355</v>
      </c>
      <c r="B2256" s="7">
        <v>3.5</v>
      </c>
      <c r="C2256" s="7" t="s">
        <v>359</v>
      </c>
      <c r="D2256" s="7" t="s">
        <v>357</v>
      </c>
      <c r="E2256" s="7">
        <v>-22.9371548051948</v>
      </c>
      <c r="F2256" s="7">
        <v>2.20441251082252</v>
      </c>
      <c r="G2256" s="7">
        <v>2.97070277056277</v>
      </c>
      <c r="H2256" s="7">
        <v>-0.00134342245454545</v>
      </c>
      <c r="I2256" s="7">
        <v>-8.224251995671</v>
      </c>
      <c r="J2256" s="7">
        <v>-5.52531115584415</v>
      </c>
      <c r="K2256" s="8"/>
      <c r="L2256" s="8"/>
    </row>
    <row r="2257" ht="13.5" customHeight="1">
      <c r="A2257" s="7" t="s">
        <v>355</v>
      </c>
      <c r="B2257" s="7">
        <v>0.0</v>
      </c>
      <c r="C2257" s="7" t="s">
        <v>360</v>
      </c>
      <c r="D2257" s="7" t="s">
        <v>357</v>
      </c>
      <c r="E2257" s="7">
        <v>-22.9540111688312</v>
      </c>
      <c r="F2257" s="7">
        <v>2.20612303030304</v>
      </c>
      <c r="G2257" s="7">
        <v>2.97296718614718</v>
      </c>
      <c r="H2257" s="7">
        <v>-0.00134447755844156</v>
      </c>
      <c r="I2257" s="7">
        <v>-8.23104678787879</v>
      </c>
      <c r="J2257" s="7">
        <v>-5.5298582077922</v>
      </c>
      <c r="K2257" s="8"/>
      <c r="L2257" s="8"/>
    </row>
    <row r="2258" ht="13.5" customHeight="1">
      <c r="A2258" s="7" t="s">
        <v>355</v>
      </c>
      <c r="B2258" s="7">
        <v>1.75</v>
      </c>
      <c r="C2258" s="7" t="s">
        <v>360</v>
      </c>
      <c r="D2258" s="7" t="s">
        <v>357</v>
      </c>
      <c r="E2258" s="7">
        <v>-22.9708675324675</v>
      </c>
      <c r="F2258" s="7">
        <v>2.20783354978356</v>
      </c>
      <c r="G2258" s="7">
        <v>2.9752316017316</v>
      </c>
      <c r="H2258" s="7">
        <v>-0.00134553266233766</v>
      </c>
      <c r="I2258" s="7">
        <v>-8.23784158008658</v>
      </c>
      <c r="J2258" s="7">
        <v>-5.53440525974025</v>
      </c>
      <c r="K2258" s="8"/>
      <c r="L2258" s="8"/>
    </row>
    <row r="2259" ht="13.5" customHeight="1">
      <c r="A2259" s="7" t="s">
        <v>355</v>
      </c>
      <c r="B2259" s="7">
        <v>3.5</v>
      </c>
      <c r="C2259" s="7" t="s">
        <v>360</v>
      </c>
      <c r="D2259" s="7" t="s">
        <v>357</v>
      </c>
      <c r="E2259" s="7">
        <v>-22.9877238961039</v>
      </c>
      <c r="F2259" s="7">
        <v>2.20954406926408</v>
      </c>
      <c r="G2259" s="7">
        <v>2.97749601731601</v>
      </c>
      <c r="H2259" s="7">
        <v>-0.00134658776623377</v>
      </c>
      <c r="I2259" s="7">
        <v>-8.24463637229437</v>
      </c>
      <c r="J2259" s="7">
        <v>-5.53895231168831</v>
      </c>
      <c r="K2259" s="8"/>
      <c r="L2259" s="8"/>
    </row>
    <row r="2260" ht="13.5" customHeight="1">
      <c r="A2260" s="7" t="s">
        <v>355</v>
      </c>
      <c r="B2260" s="7">
        <v>0.0</v>
      </c>
      <c r="C2260" s="7" t="s">
        <v>361</v>
      </c>
      <c r="D2260" s="7" t="s">
        <v>357</v>
      </c>
      <c r="E2260" s="7">
        <v>-23.0045802597403</v>
      </c>
      <c r="F2260" s="7">
        <v>2.21125458874459</v>
      </c>
      <c r="G2260" s="7">
        <v>2.97976043290043</v>
      </c>
      <c r="H2260" s="7">
        <v>-0.00134764287012987</v>
      </c>
      <c r="I2260" s="7">
        <v>-8.25143116450216</v>
      </c>
      <c r="J2260" s="7">
        <v>-5.54349936363636</v>
      </c>
      <c r="K2260" s="8"/>
      <c r="L2260" s="8"/>
    </row>
    <row r="2261" ht="13.5" customHeight="1">
      <c r="A2261" s="7" t="s">
        <v>355</v>
      </c>
      <c r="B2261" s="7">
        <v>1.75</v>
      </c>
      <c r="C2261" s="7" t="s">
        <v>361</v>
      </c>
      <c r="D2261" s="7" t="s">
        <v>357</v>
      </c>
      <c r="E2261" s="7">
        <v>-23.0214366233766</v>
      </c>
      <c r="F2261" s="7">
        <v>2.21296510822511</v>
      </c>
      <c r="G2261" s="7">
        <v>2.98202484848485</v>
      </c>
      <c r="H2261" s="7">
        <v>-0.00134869797402597</v>
      </c>
      <c r="I2261" s="7">
        <v>-8.25822595670996</v>
      </c>
      <c r="J2261" s="7">
        <v>-5.54804641558441</v>
      </c>
      <c r="K2261" s="8"/>
      <c r="L2261" s="8"/>
    </row>
    <row r="2262" ht="13.5" customHeight="1">
      <c r="A2262" s="7" t="s">
        <v>355</v>
      </c>
      <c r="B2262" s="7">
        <v>3.5</v>
      </c>
      <c r="C2262" s="7" t="s">
        <v>361</v>
      </c>
      <c r="D2262" s="7" t="s">
        <v>357</v>
      </c>
      <c r="E2262" s="7">
        <v>-23.038292987013</v>
      </c>
      <c r="F2262" s="7">
        <v>2.21467562770563</v>
      </c>
      <c r="G2262" s="7">
        <v>2.98428926406926</v>
      </c>
      <c r="H2262" s="7">
        <v>-0.00134975307792208</v>
      </c>
      <c r="I2262" s="7">
        <v>-8.26502074891775</v>
      </c>
      <c r="J2262" s="7">
        <v>-5.55259346753246</v>
      </c>
      <c r="K2262" s="8"/>
      <c r="L2262" s="8"/>
    </row>
    <row r="2263" ht="13.5" customHeight="1">
      <c r="A2263" s="7" t="s">
        <v>355</v>
      </c>
      <c r="B2263" s="7">
        <v>0.0</v>
      </c>
      <c r="C2263" s="7" t="s">
        <v>362</v>
      </c>
      <c r="D2263" s="7" t="s">
        <v>357</v>
      </c>
      <c r="E2263" s="7">
        <v>-23.0551493506494</v>
      </c>
      <c r="F2263" s="7">
        <v>2.21638614718615</v>
      </c>
      <c r="G2263" s="7">
        <v>2.98655367965368</v>
      </c>
      <c r="H2263" s="7">
        <v>-0.00135080818181818</v>
      </c>
      <c r="I2263" s="7">
        <v>-8.27181554112554</v>
      </c>
      <c r="J2263" s="7">
        <v>-5.55714051948051</v>
      </c>
      <c r="K2263" s="8"/>
      <c r="L2263" s="8"/>
    </row>
    <row r="2264" ht="13.5" customHeight="1">
      <c r="A2264" s="7" t="s">
        <v>355</v>
      </c>
      <c r="B2264" s="7">
        <v>1.75</v>
      </c>
      <c r="C2264" s="7" t="s">
        <v>362</v>
      </c>
      <c r="D2264" s="7" t="s">
        <v>357</v>
      </c>
      <c r="E2264" s="7">
        <v>-23.0720057142857</v>
      </c>
      <c r="F2264" s="7">
        <v>2.21809666666667</v>
      </c>
      <c r="G2264" s="7">
        <v>2.98881809523809</v>
      </c>
      <c r="H2264" s="7">
        <v>-0.00135186328571429</v>
      </c>
      <c r="I2264" s="7">
        <v>-8.27861033333333</v>
      </c>
      <c r="J2264" s="7">
        <v>-5.56168757142857</v>
      </c>
      <c r="K2264" s="8"/>
      <c r="L2264" s="8"/>
    </row>
    <row r="2265" ht="13.5" customHeight="1">
      <c r="A2265" s="7" t="s">
        <v>355</v>
      </c>
      <c r="B2265" s="7">
        <v>3.5</v>
      </c>
      <c r="C2265" s="7" t="s">
        <v>362</v>
      </c>
      <c r="D2265" s="7" t="s">
        <v>357</v>
      </c>
      <c r="E2265" s="7">
        <v>-23.0888620779221</v>
      </c>
      <c r="F2265" s="7">
        <v>2.21980718614719</v>
      </c>
      <c r="G2265" s="7">
        <v>2.99108251082251</v>
      </c>
      <c r="H2265" s="7">
        <v>-0.00135291838961039</v>
      </c>
      <c r="I2265" s="7">
        <v>-8.28540512554112</v>
      </c>
      <c r="J2265" s="7">
        <v>-5.56623462337662</v>
      </c>
      <c r="K2265" s="8"/>
      <c r="L2265" s="8"/>
    </row>
    <row r="2266" ht="13.5" customHeight="1">
      <c r="A2266" s="7" t="s">
        <v>355</v>
      </c>
      <c r="B2266" s="7">
        <v>0.0</v>
      </c>
      <c r="C2266" s="7" t="s">
        <v>363</v>
      </c>
      <c r="D2266" s="7" t="s">
        <v>357</v>
      </c>
      <c r="E2266" s="7">
        <v>-23.1057184415585</v>
      </c>
      <c r="F2266" s="7">
        <v>2.22151770562771</v>
      </c>
      <c r="G2266" s="7">
        <v>2.99334692640692</v>
      </c>
      <c r="H2266" s="7">
        <v>-0.00135397349350649</v>
      </c>
      <c r="I2266" s="7">
        <v>-8.29219991774892</v>
      </c>
      <c r="J2266" s="7">
        <v>-5.57078167532467</v>
      </c>
      <c r="K2266" s="8"/>
      <c r="L2266" s="8"/>
    </row>
    <row r="2267" ht="13.5" customHeight="1">
      <c r="A2267" s="7" t="s">
        <v>355</v>
      </c>
      <c r="B2267" s="7">
        <v>1.75</v>
      </c>
      <c r="C2267" s="7" t="s">
        <v>363</v>
      </c>
      <c r="D2267" s="7" t="s">
        <v>357</v>
      </c>
      <c r="E2267" s="7">
        <v>-23.1225748051948</v>
      </c>
      <c r="F2267" s="7">
        <v>2.22322822510823</v>
      </c>
      <c r="G2267" s="7">
        <v>2.99561134199134</v>
      </c>
      <c r="H2267" s="7">
        <v>-0.0013550285974026</v>
      </c>
      <c r="I2267" s="7">
        <v>-8.29899470995671</v>
      </c>
      <c r="J2267" s="7">
        <v>-5.57532872727272</v>
      </c>
      <c r="K2267" s="8"/>
      <c r="L2267" s="8"/>
    </row>
    <row r="2268" ht="13.5" customHeight="1">
      <c r="A2268" s="7" t="s">
        <v>355</v>
      </c>
      <c r="B2268" s="7">
        <v>3.5</v>
      </c>
      <c r="C2268" s="7" t="s">
        <v>363</v>
      </c>
      <c r="D2268" s="7" t="s">
        <v>357</v>
      </c>
      <c r="E2268" s="7">
        <v>-23.1394311688312</v>
      </c>
      <c r="F2268" s="7">
        <v>2.22493874458875</v>
      </c>
      <c r="G2268" s="7">
        <v>2.99787575757576</v>
      </c>
      <c r="H2268" s="7">
        <v>-0.0013560837012987</v>
      </c>
      <c r="I2268" s="7">
        <v>-8.3057895021645</v>
      </c>
      <c r="J2268" s="7">
        <v>-5.57987577922077</v>
      </c>
      <c r="K2268" s="8"/>
      <c r="L2268" s="8"/>
    </row>
    <row r="2269" ht="13.5" customHeight="1">
      <c r="A2269" s="7" t="s">
        <v>355</v>
      </c>
      <c r="B2269" s="7">
        <v>0.0</v>
      </c>
      <c r="C2269" s="7" t="s">
        <v>356</v>
      </c>
      <c r="D2269" s="7" t="s">
        <v>357</v>
      </c>
      <c r="E2269" s="7">
        <v>-23.1562875324675</v>
      </c>
      <c r="F2269" s="7">
        <v>2.22664926406927</v>
      </c>
      <c r="G2269" s="7">
        <v>3.00014017316017</v>
      </c>
      <c r="H2269" s="7">
        <v>-0.00135713880519481</v>
      </c>
      <c r="I2269" s="7">
        <v>-8.31258429437229</v>
      </c>
      <c r="J2269" s="7">
        <v>-5.58442283116883</v>
      </c>
      <c r="K2269" s="8"/>
      <c r="L2269" s="8"/>
    </row>
    <row r="2270" ht="13.5" customHeight="1">
      <c r="A2270" s="7" t="s">
        <v>355</v>
      </c>
      <c r="B2270" s="7">
        <v>1.75</v>
      </c>
      <c r="C2270" s="7" t="s">
        <v>356</v>
      </c>
      <c r="D2270" s="7" t="s">
        <v>357</v>
      </c>
      <c r="E2270" s="7">
        <v>-23.1731438961039</v>
      </c>
      <c r="F2270" s="7">
        <v>2.22835978354979</v>
      </c>
      <c r="G2270" s="7">
        <v>3.00240458874459</v>
      </c>
      <c r="H2270" s="7">
        <v>-0.00135819390909091</v>
      </c>
      <c r="I2270" s="7">
        <v>-8.31937908658008</v>
      </c>
      <c r="J2270" s="7">
        <v>-5.58896988311688</v>
      </c>
      <c r="K2270" s="8"/>
      <c r="L2270" s="8"/>
    </row>
    <row r="2271" ht="13.5" customHeight="1">
      <c r="A2271" s="7" t="s">
        <v>355</v>
      </c>
      <c r="B2271" s="7">
        <v>3.5</v>
      </c>
      <c r="C2271" s="7" t="s">
        <v>356</v>
      </c>
      <c r="D2271" s="7" t="s">
        <v>357</v>
      </c>
      <c r="E2271" s="7">
        <v>-23.1900002597403</v>
      </c>
      <c r="F2271" s="7">
        <v>2.23007030303031</v>
      </c>
      <c r="G2271" s="7">
        <v>3.004669004329</v>
      </c>
      <c r="H2271" s="7">
        <v>-0.00135924901298701</v>
      </c>
      <c r="I2271" s="7">
        <v>-8.32617387878788</v>
      </c>
      <c r="J2271" s="7">
        <v>-5.59351693506493</v>
      </c>
      <c r="K2271" s="8"/>
      <c r="L2271" s="8"/>
    </row>
    <row r="2272" ht="13.5" customHeight="1">
      <c r="A2272" s="7" t="s">
        <v>355</v>
      </c>
      <c r="B2272" s="7">
        <v>0.0</v>
      </c>
      <c r="C2272" s="7" t="s">
        <v>358</v>
      </c>
      <c r="D2272" s="7" t="s">
        <v>357</v>
      </c>
      <c r="E2272" s="7">
        <v>-23.2068566233766</v>
      </c>
      <c r="F2272" s="7">
        <v>2.23178082251083</v>
      </c>
      <c r="G2272" s="7">
        <v>3.00693341991342</v>
      </c>
      <c r="H2272" s="7">
        <v>-0.00136030411688312</v>
      </c>
      <c r="I2272" s="7">
        <v>-8.33296867099567</v>
      </c>
      <c r="J2272" s="7">
        <v>-5.59806398701298</v>
      </c>
      <c r="K2272" s="8"/>
      <c r="L2272" s="8"/>
    </row>
    <row r="2273" ht="13.5" customHeight="1">
      <c r="A2273" s="7" t="s">
        <v>355</v>
      </c>
      <c r="B2273" s="7">
        <v>1.75</v>
      </c>
      <c r="C2273" s="7" t="s">
        <v>358</v>
      </c>
      <c r="D2273" s="7" t="s">
        <v>357</v>
      </c>
      <c r="E2273" s="7">
        <v>-23.223712987013</v>
      </c>
      <c r="F2273" s="7">
        <v>2.23349134199135</v>
      </c>
      <c r="G2273" s="7">
        <v>3.00919783549783</v>
      </c>
      <c r="H2273" s="7">
        <v>-0.00136135922077922</v>
      </c>
      <c r="I2273" s="7">
        <v>-8.33976346320346</v>
      </c>
      <c r="J2273" s="7">
        <v>-5.60261103896103</v>
      </c>
      <c r="K2273" s="8"/>
      <c r="L2273" s="8"/>
    </row>
    <row r="2274" ht="13.5" customHeight="1">
      <c r="A2274" s="7" t="s">
        <v>355</v>
      </c>
      <c r="B2274" s="7">
        <v>3.5</v>
      </c>
      <c r="C2274" s="7" t="s">
        <v>358</v>
      </c>
      <c r="D2274" s="7" t="s">
        <v>357</v>
      </c>
      <c r="E2274" s="7">
        <v>-23.2405693506494</v>
      </c>
      <c r="F2274" s="7">
        <v>2.23520186147187</v>
      </c>
      <c r="G2274" s="7">
        <v>3.01146225108225</v>
      </c>
      <c r="H2274" s="7">
        <v>-0.00136241432467532</v>
      </c>
      <c r="I2274" s="7">
        <v>-8.34655825541125</v>
      </c>
      <c r="J2274" s="7">
        <v>-5.60715809090908</v>
      </c>
      <c r="K2274" s="8"/>
      <c r="L2274" s="8"/>
    </row>
    <row r="2275" ht="13.5" customHeight="1">
      <c r="A2275" s="7" t="s">
        <v>355</v>
      </c>
      <c r="B2275" s="7">
        <v>0.0</v>
      </c>
      <c r="C2275" s="7" t="s">
        <v>359</v>
      </c>
      <c r="D2275" s="7" t="s">
        <v>357</v>
      </c>
      <c r="E2275" s="7">
        <v>-23.2574257142857</v>
      </c>
      <c r="F2275" s="7">
        <v>2.23691238095239</v>
      </c>
      <c r="G2275" s="7">
        <v>3.01372666666666</v>
      </c>
      <c r="H2275" s="7">
        <v>-0.00136346942857143</v>
      </c>
      <c r="I2275" s="7">
        <v>-8.35335304761904</v>
      </c>
      <c r="J2275" s="7">
        <v>-5.61170514285714</v>
      </c>
      <c r="K2275" s="8"/>
      <c r="L2275" s="8"/>
    </row>
    <row r="2276" ht="13.5" customHeight="1">
      <c r="A2276" s="7" t="s">
        <v>355</v>
      </c>
      <c r="B2276" s="7">
        <v>1.75</v>
      </c>
      <c r="C2276" s="7" t="s">
        <v>359</v>
      </c>
      <c r="D2276" s="7" t="s">
        <v>357</v>
      </c>
      <c r="E2276" s="7">
        <v>-23.2742820779221</v>
      </c>
      <c r="F2276" s="7">
        <v>2.23862290043291</v>
      </c>
      <c r="G2276" s="7">
        <v>3.01599108225108</v>
      </c>
      <c r="H2276" s="7">
        <v>-0.00136452453246753</v>
      </c>
      <c r="I2276" s="7">
        <v>-8.36014783982684</v>
      </c>
      <c r="J2276" s="7">
        <v>-5.61625219480519</v>
      </c>
      <c r="K2276" s="8"/>
      <c r="L2276" s="8"/>
    </row>
    <row r="2277" ht="13.5" customHeight="1">
      <c r="A2277" s="7" t="s">
        <v>355</v>
      </c>
      <c r="B2277" s="7">
        <v>3.5</v>
      </c>
      <c r="C2277" s="7" t="s">
        <v>359</v>
      </c>
      <c r="D2277" s="7" t="s">
        <v>357</v>
      </c>
      <c r="E2277" s="7">
        <v>-23.2911384415585</v>
      </c>
      <c r="F2277" s="7">
        <v>2.24033341991343</v>
      </c>
      <c r="G2277" s="7">
        <v>3.0182554978355</v>
      </c>
      <c r="H2277" s="7">
        <v>-0.00136557963636364</v>
      </c>
      <c r="I2277" s="7">
        <v>-8.36694263203463</v>
      </c>
      <c r="J2277" s="7">
        <v>-5.62079924675324</v>
      </c>
      <c r="K2277" s="8"/>
      <c r="L2277" s="8"/>
    </row>
    <row r="2278" ht="13.5" customHeight="1">
      <c r="A2278" s="7" t="s">
        <v>355</v>
      </c>
      <c r="B2278" s="7">
        <v>0.0</v>
      </c>
      <c r="C2278" s="7" t="s">
        <v>360</v>
      </c>
      <c r="D2278" s="7" t="s">
        <v>357</v>
      </c>
      <c r="E2278" s="7">
        <v>-23.3079948051948</v>
      </c>
      <c r="F2278" s="7">
        <v>2.24204393939395</v>
      </c>
      <c r="G2278" s="7">
        <v>3.02051991341991</v>
      </c>
      <c r="H2278" s="7">
        <v>-0.00136663474025974</v>
      </c>
      <c r="I2278" s="7">
        <v>-8.37373742424243</v>
      </c>
      <c r="J2278" s="7">
        <v>-5.62534629870129</v>
      </c>
      <c r="K2278" s="8"/>
      <c r="L2278" s="8"/>
    </row>
    <row r="2279" ht="13.5" customHeight="1">
      <c r="A2279" s="7" t="s">
        <v>355</v>
      </c>
      <c r="B2279" s="7">
        <v>1.75</v>
      </c>
      <c r="C2279" s="7" t="s">
        <v>360</v>
      </c>
      <c r="D2279" s="7" t="s">
        <v>357</v>
      </c>
      <c r="E2279" s="7">
        <v>-23.3248511688312</v>
      </c>
      <c r="F2279" s="7">
        <v>2.24375445887447</v>
      </c>
      <c r="G2279" s="7">
        <v>3.02278432900433</v>
      </c>
      <c r="H2279" s="7">
        <v>-0.00136768984415584</v>
      </c>
      <c r="I2279" s="7">
        <v>-8.38053221645021</v>
      </c>
      <c r="J2279" s="7">
        <v>-5.62989335064934</v>
      </c>
      <c r="K2279" s="8"/>
      <c r="L2279" s="8"/>
    </row>
    <row r="2280" ht="13.5" customHeight="1">
      <c r="A2280" s="7" t="s">
        <v>355</v>
      </c>
      <c r="B2280" s="7">
        <v>3.5</v>
      </c>
      <c r="C2280" s="7" t="s">
        <v>360</v>
      </c>
      <c r="D2280" s="7" t="s">
        <v>357</v>
      </c>
      <c r="E2280" s="7">
        <v>-23.3417075324675</v>
      </c>
      <c r="F2280" s="7">
        <v>2.24546497835498</v>
      </c>
      <c r="G2280" s="7">
        <v>3.02504874458874</v>
      </c>
      <c r="H2280" s="7">
        <v>-0.00136874494805195</v>
      </c>
      <c r="I2280" s="7">
        <v>-8.387327008658</v>
      </c>
      <c r="J2280" s="7">
        <v>-5.6344404025974</v>
      </c>
      <c r="K2280" s="8"/>
      <c r="L2280" s="8"/>
    </row>
    <row r="2281" ht="13.5" customHeight="1">
      <c r="A2281" s="7" t="s">
        <v>355</v>
      </c>
      <c r="B2281" s="7">
        <v>0.0</v>
      </c>
      <c r="C2281" s="7" t="s">
        <v>361</v>
      </c>
      <c r="D2281" s="7" t="s">
        <v>357</v>
      </c>
      <c r="E2281" s="7">
        <v>-23.3585638961039</v>
      </c>
      <c r="F2281" s="7">
        <v>2.2471754978355</v>
      </c>
      <c r="G2281" s="7">
        <v>3.02731316017316</v>
      </c>
      <c r="H2281" s="7">
        <v>-0.00136980005194805</v>
      </c>
      <c r="I2281" s="7">
        <v>-8.3941218008658</v>
      </c>
      <c r="J2281" s="7">
        <v>-5.63898745454545</v>
      </c>
      <c r="K2281" s="8"/>
      <c r="L2281" s="8"/>
    </row>
    <row r="2282" ht="13.5" customHeight="1">
      <c r="A2282" s="7" t="s">
        <v>355</v>
      </c>
      <c r="B2282" s="7">
        <v>1.75</v>
      </c>
      <c r="C2282" s="7" t="s">
        <v>361</v>
      </c>
      <c r="D2282" s="7" t="s">
        <v>357</v>
      </c>
      <c r="E2282" s="7">
        <v>-23.3754202597403</v>
      </c>
      <c r="F2282" s="7">
        <v>2.24888601731602</v>
      </c>
      <c r="G2282" s="7">
        <v>3.02957757575757</v>
      </c>
      <c r="H2282" s="7">
        <v>-0.00137085515584416</v>
      </c>
      <c r="I2282" s="7">
        <v>-8.4009165930736</v>
      </c>
      <c r="J2282" s="7">
        <v>-5.6435345064935</v>
      </c>
      <c r="K2282" s="8"/>
      <c r="L2282" s="8"/>
    </row>
    <row r="2283" ht="13.5" customHeight="1">
      <c r="A2283" s="7" t="s">
        <v>355</v>
      </c>
      <c r="B2283" s="7">
        <v>3.5</v>
      </c>
      <c r="C2283" s="7" t="s">
        <v>361</v>
      </c>
      <c r="D2283" s="7" t="s">
        <v>357</v>
      </c>
      <c r="E2283" s="7">
        <v>-23.3922766233766</v>
      </c>
      <c r="F2283" s="7">
        <v>2.25059653679654</v>
      </c>
      <c r="G2283" s="7">
        <v>3.03184199134199</v>
      </c>
      <c r="H2283" s="7">
        <v>-0.00137191025974026</v>
      </c>
      <c r="I2283" s="7">
        <v>-8.40771138528139</v>
      </c>
      <c r="J2283" s="7">
        <v>-5.64808155844155</v>
      </c>
      <c r="K2283" s="8"/>
      <c r="L2283" s="8"/>
    </row>
    <row r="2284" ht="13.5" customHeight="1">
      <c r="A2284" s="7" t="s">
        <v>355</v>
      </c>
      <c r="B2284" s="7">
        <v>0.0</v>
      </c>
      <c r="C2284" s="7" t="s">
        <v>362</v>
      </c>
      <c r="D2284" s="7" t="s">
        <v>357</v>
      </c>
      <c r="E2284" s="7">
        <v>-23.409132987013</v>
      </c>
      <c r="F2284" s="7">
        <v>2.25230705627706</v>
      </c>
      <c r="G2284" s="7">
        <v>3.0341064069264</v>
      </c>
      <c r="H2284" s="7">
        <v>-0.00137296536363636</v>
      </c>
      <c r="I2284" s="7">
        <v>-8.41450617748917</v>
      </c>
      <c r="J2284" s="7">
        <v>-5.6526286103896</v>
      </c>
      <c r="K2284" s="8"/>
      <c r="L2284" s="8"/>
    </row>
    <row r="2285" ht="13.5" customHeight="1">
      <c r="A2285" s="7" t="s">
        <v>355</v>
      </c>
      <c r="B2285" s="7">
        <v>1.75</v>
      </c>
      <c r="C2285" s="7" t="s">
        <v>362</v>
      </c>
      <c r="D2285" s="7" t="s">
        <v>357</v>
      </c>
      <c r="E2285" s="7">
        <v>-23.4259893506494</v>
      </c>
      <c r="F2285" s="7">
        <v>2.25401757575758</v>
      </c>
      <c r="G2285" s="7">
        <v>3.03637082251082</v>
      </c>
      <c r="H2285" s="7">
        <v>-0.00137402046753247</v>
      </c>
      <c r="I2285" s="7">
        <v>-8.42130096969696</v>
      </c>
      <c r="J2285" s="7">
        <v>-5.65717566233766</v>
      </c>
      <c r="K2285" s="8"/>
      <c r="L2285" s="8"/>
    </row>
    <row r="2286" ht="13.5" customHeight="1">
      <c r="A2286" s="7" t="s">
        <v>355</v>
      </c>
      <c r="B2286" s="7">
        <v>3.5</v>
      </c>
      <c r="C2286" s="7" t="s">
        <v>362</v>
      </c>
      <c r="D2286" s="7" t="s">
        <v>357</v>
      </c>
      <c r="E2286" s="7">
        <v>-23.4428457142857</v>
      </c>
      <c r="F2286" s="7">
        <v>2.2557280952381</v>
      </c>
      <c r="G2286" s="7">
        <v>3.03863523809524</v>
      </c>
      <c r="H2286" s="7">
        <v>-0.00137507557142857</v>
      </c>
      <c r="I2286" s="7">
        <v>-8.42809576190476</v>
      </c>
      <c r="J2286" s="7">
        <v>-5.66172271428571</v>
      </c>
      <c r="K2286" s="8"/>
      <c r="L2286" s="8"/>
    </row>
    <row r="2287" ht="13.5" customHeight="1">
      <c r="A2287" s="7" t="s">
        <v>355</v>
      </c>
      <c r="B2287" s="7">
        <v>0.0</v>
      </c>
      <c r="C2287" s="7" t="s">
        <v>363</v>
      </c>
      <c r="D2287" s="7" t="s">
        <v>357</v>
      </c>
      <c r="E2287" s="7">
        <v>-23.4597020779221</v>
      </c>
      <c r="F2287" s="7">
        <v>2.25743861471862</v>
      </c>
      <c r="G2287" s="7">
        <v>3.04089965367965</v>
      </c>
      <c r="H2287" s="7">
        <v>-0.00137613067532468</v>
      </c>
      <c r="I2287" s="7">
        <v>-8.43489055411256</v>
      </c>
      <c r="J2287" s="7">
        <v>-5.66626976623376</v>
      </c>
      <c r="K2287" s="8"/>
      <c r="L2287" s="8"/>
    </row>
    <row r="2288" ht="13.5" customHeight="1">
      <c r="A2288" s="7" t="s">
        <v>355</v>
      </c>
      <c r="B2288" s="7">
        <v>1.75</v>
      </c>
      <c r="C2288" s="7" t="s">
        <v>363</v>
      </c>
      <c r="D2288" s="7" t="s">
        <v>357</v>
      </c>
      <c r="E2288" s="7">
        <v>-23.4765584415585</v>
      </c>
      <c r="F2288" s="7">
        <v>2.25914913419914</v>
      </c>
      <c r="G2288" s="7">
        <v>3.04316406926407</v>
      </c>
      <c r="H2288" s="7">
        <v>-0.00137718577922078</v>
      </c>
      <c r="I2288" s="7">
        <v>-8.44168534632035</v>
      </c>
      <c r="J2288" s="7">
        <v>-5.67081681818181</v>
      </c>
      <c r="K2288" s="8"/>
      <c r="L2288" s="8"/>
    </row>
    <row r="2289" ht="13.5" customHeight="1">
      <c r="A2289" s="7" t="s">
        <v>355</v>
      </c>
      <c r="B2289" s="7">
        <v>3.5</v>
      </c>
      <c r="C2289" s="7" t="s">
        <v>363</v>
      </c>
      <c r="D2289" s="7" t="s">
        <v>357</v>
      </c>
      <c r="E2289" s="7">
        <v>-23.4934148051948</v>
      </c>
      <c r="F2289" s="7">
        <v>2.26085965367966</v>
      </c>
      <c r="G2289" s="7">
        <v>3.04542848484848</v>
      </c>
      <c r="H2289" s="7">
        <v>-0.00137824088311688</v>
      </c>
      <c r="I2289" s="7">
        <v>-8.44848013852813</v>
      </c>
      <c r="J2289" s="7">
        <v>-5.67536387012986</v>
      </c>
      <c r="K2289" s="8"/>
      <c r="L2289" s="8"/>
    </row>
    <row r="2290" ht="13.5" customHeight="1">
      <c r="A2290" s="7" t="s">
        <v>355</v>
      </c>
      <c r="B2290" s="7">
        <v>0.0</v>
      </c>
      <c r="C2290" s="7" t="s">
        <v>356</v>
      </c>
      <c r="D2290" s="7" t="s">
        <v>357</v>
      </c>
      <c r="E2290" s="7">
        <v>-23.5102711688312</v>
      </c>
      <c r="F2290" s="7">
        <v>2.26257017316018</v>
      </c>
      <c r="G2290" s="7">
        <v>3.0476929004329</v>
      </c>
      <c r="H2290" s="7">
        <v>-0.00137929598701299</v>
      </c>
      <c r="I2290" s="7">
        <v>-8.45527493073592</v>
      </c>
      <c r="J2290" s="7">
        <v>-5.67991092207792</v>
      </c>
      <c r="K2290" s="8"/>
      <c r="L2290" s="8"/>
    </row>
    <row r="2291" ht="13.5" customHeight="1">
      <c r="A2291" s="7" t="s">
        <v>355</v>
      </c>
      <c r="B2291" s="7">
        <v>1.75</v>
      </c>
      <c r="C2291" s="7" t="s">
        <v>356</v>
      </c>
      <c r="D2291" s="7" t="s">
        <v>357</v>
      </c>
      <c r="E2291" s="7">
        <v>-23.5271275324675</v>
      </c>
      <c r="F2291" s="7">
        <v>2.2642806926407</v>
      </c>
      <c r="G2291" s="7">
        <v>3.04995731601731</v>
      </c>
      <c r="H2291" s="7">
        <v>-0.00138035109090909</v>
      </c>
      <c r="I2291" s="7">
        <v>-8.46206972294373</v>
      </c>
      <c r="J2291" s="7">
        <v>-5.68445797402597</v>
      </c>
      <c r="K2291" s="8"/>
      <c r="L2291" s="8"/>
    </row>
    <row r="2292" ht="13.5" customHeight="1">
      <c r="A2292" s="7" t="s">
        <v>355</v>
      </c>
      <c r="B2292" s="7">
        <v>3.5</v>
      </c>
      <c r="C2292" s="7" t="s">
        <v>356</v>
      </c>
      <c r="D2292" s="7" t="s">
        <v>357</v>
      </c>
      <c r="E2292" s="7">
        <v>-23.5439838961039</v>
      </c>
      <c r="F2292" s="7">
        <v>2.26599121212122</v>
      </c>
      <c r="G2292" s="7">
        <v>3.05222173160173</v>
      </c>
      <c r="H2292" s="7">
        <v>-0.0013814061948052</v>
      </c>
      <c r="I2292" s="7">
        <v>-8.46886451515152</v>
      </c>
      <c r="J2292" s="7">
        <v>-5.68900502597402</v>
      </c>
      <c r="K2292" s="8"/>
      <c r="L2292" s="8"/>
    </row>
    <row r="2293" ht="13.5" customHeight="1">
      <c r="A2293" s="7" t="s">
        <v>355</v>
      </c>
      <c r="B2293" s="7">
        <v>0.0</v>
      </c>
      <c r="C2293" s="7" t="s">
        <v>358</v>
      </c>
      <c r="D2293" s="7" t="s">
        <v>357</v>
      </c>
      <c r="E2293" s="7">
        <v>-23.5608402597403</v>
      </c>
      <c r="F2293" s="7">
        <v>2.26770173160174</v>
      </c>
      <c r="G2293" s="7">
        <v>3.05448614718615</v>
      </c>
      <c r="H2293" s="7">
        <v>-0.0013824612987013</v>
      </c>
      <c r="I2293" s="7">
        <v>-8.47565930735931</v>
      </c>
      <c r="J2293" s="7">
        <v>-5.69355207792207</v>
      </c>
      <c r="K2293" s="8"/>
      <c r="L2293" s="8"/>
    </row>
    <row r="2294" ht="13.5" customHeight="1">
      <c r="A2294" s="7" t="s">
        <v>355</v>
      </c>
      <c r="B2294" s="7">
        <v>1.75</v>
      </c>
      <c r="C2294" s="7" t="s">
        <v>358</v>
      </c>
      <c r="D2294" s="7" t="s">
        <v>357</v>
      </c>
      <c r="E2294" s="7">
        <v>-23.5776966233766</v>
      </c>
      <c r="F2294" s="7">
        <v>2.26941225108226</v>
      </c>
      <c r="G2294" s="7">
        <v>3.05675056277056</v>
      </c>
      <c r="H2294" s="7">
        <v>-0.0013835164025974</v>
      </c>
      <c r="I2294" s="7">
        <v>-8.48245409956709</v>
      </c>
      <c r="J2294" s="7">
        <v>-5.69809912987012</v>
      </c>
      <c r="K2294" s="8"/>
      <c r="L2294" s="8"/>
    </row>
    <row r="2295" ht="13.5" customHeight="1">
      <c r="A2295" s="7" t="s">
        <v>355</v>
      </c>
      <c r="B2295" s="7">
        <v>3.5</v>
      </c>
      <c r="C2295" s="7" t="s">
        <v>358</v>
      </c>
      <c r="D2295" s="7" t="s">
        <v>357</v>
      </c>
      <c r="E2295" s="7">
        <v>-23.594552987013</v>
      </c>
      <c r="F2295" s="7">
        <v>2.27112277056278</v>
      </c>
      <c r="G2295" s="7">
        <v>3.05901497835498</v>
      </c>
      <c r="H2295" s="7">
        <v>-0.00138457150649351</v>
      </c>
      <c r="I2295" s="7">
        <v>-8.48924889177488</v>
      </c>
      <c r="J2295" s="7">
        <v>-5.70264618181818</v>
      </c>
      <c r="K2295" s="8"/>
      <c r="L2295" s="8"/>
    </row>
    <row r="2296" ht="13.5" customHeight="1">
      <c r="A2296" s="7" t="s">
        <v>355</v>
      </c>
      <c r="B2296" s="7">
        <v>0.0</v>
      </c>
      <c r="C2296" s="7" t="s">
        <v>359</v>
      </c>
      <c r="D2296" s="7" t="s">
        <v>357</v>
      </c>
      <c r="E2296" s="7">
        <v>-23.6114093506494</v>
      </c>
      <c r="F2296" s="7">
        <v>2.2728332900433</v>
      </c>
      <c r="G2296" s="7">
        <v>3.06127939393939</v>
      </c>
      <c r="H2296" s="7">
        <v>-0.00138562661038961</v>
      </c>
      <c r="I2296" s="7">
        <v>-8.49604368398269</v>
      </c>
      <c r="J2296" s="7">
        <v>-5.70719323376623</v>
      </c>
      <c r="K2296" s="8"/>
      <c r="L2296" s="8"/>
    </row>
    <row r="2297" ht="13.5" customHeight="1">
      <c r="A2297" s="7" t="s">
        <v>355</v>
      </c>
      <c r="B2297" s="7">
        <v>1.75</v>
      </c>
      <c r="C2297" s="7" t="s">
        <v>359</v>
      </c>
      <c r="D2297" s="7" t="s">
        <v>357</v>
      </c>
      <c r="E2297" s="7">
        <v>-23.6282657142857</v>
      </c>
      <c r="F2297" s="7">
        <v>2.27454380952382</v>
      </c>
      <c r="G2297" s="7">
        <v>3.06354380952381</v>
      </c>
      <c r="H2297" s="7">
        <v>-0.00138668171428571</v>
      </c>
      <c r="I2297" s="7">
        <v>-8.50283847619048</v>
      </c>
      <c r="J2297" s="7">
        <v>-5.71174028571428</v>
      </c>
      <c r="K2297" s="8"/>
      <c r="L2297" s="8"/>
    </row>
    <row r="2298" ht="13.5" customHeight="1">
      <c r="A2298" s="7" t="s">
        <v>355</v>
      </c>
      <c r="B2298" s="7">
        <v>3.5</v>
      </c>
      <c r="C2298" s="7" t="s">
        <v>359</v>
      </c>
      <c r="D2298" s="7" t="s">
        <v>357</v>
      </c>
      <c r="E2298" s="7">
        <v>-23.6451220779221</v>
      </c>
      <c r="F2298" s="7">
        <v>2.27625432900434</v>
      </c>
      <c r="G2298" s="7">
        <v>3.06580822510822</v>
      </c>
      <c r="H2298" s="7">
        <v>-0.00138773681818182</v>
      </c>
      <c r="I2298" s="7">
        <v>-8.50963326839827</v>
      </c>
      <c r="J2298" s="7">
        <v>-5.71628733766233</v>
      </c>
      <c r="K2298" s="8"/>
      <c r="L2298" s="8"/>
    </row>
    <row r="2299" ht="13.5" customHeight="1">
      <c r="A2299" s="7" t="s">
        <v>355</v>
      </c>
      <c r="B2299" s="7">
        <v>0.0</v>
      </c>
      <c r="C2299" s="7" t="s">
        <v>360</v>
      </c>
      <c r="D2299" s="7" t="s">
        <v>357</v>
      </c>
      <c r="E2299" s="7">
        <v>-23.6619784415585</v>
      </c>
      <c r="F2299" s="7">
        <v>2.27796484848485</v>
      </c>
      <c r="G2299" s="7">
        <v>3.06807264069264</v>
      </c>
      <c r="H2299" s="7">
        <v>-0.00138879192207792</v>
      </c>
      <c r="I2299" s="7">
        <v>-8.51642806060605</v>
      </c>
      <c r="J2299" s="7">
        <v>-5.72083438961038</v>
      </c>
      <c r="K2299" s="8"/>
      <c r="L2299" s="8"/>
    </row>
    <row r="2300" ht="13.5" customHeight="1">
      <c r="A2300" s="7" t="s">
        <v>355</v>
      </c>
      <c r="B2300" s="7">
        <v>1.75</v>
      </c>
      <c r="C2300" s="7" t="s">
        <v>360</v>
      </c>
      <c r="D2300" s="7" t="s">
        <v>357</v>
      </c>
      <c r="E2300" s="7">
        <v>-23.6788348051948</v>
      </c>
      <c r="F2300" s="7">
        <v>2.27967536796537</v>
      </c>
      <c r="G2300" s="7">
        <v>3.07033705627705</v>
      </c>
      <c r="H2300" s="7">
        <v>-0.00138984702597403</v>
      </c>
      <c r="I2300" s="7">
        <v>-8.52322285281384</v>
      </c>
      <c r="J2300" s="7">
        <v>-5.72538144155844</v>
      </c>
      <c r="K2300" s="8"/>
      <c r="L2300" s="8"/>
    </row>
    <row r="2301" ht="13.5" customHeight="1">
      <c r="A2301" s="7" t="s">
        <v>355</v>
      </c>
      <c r="B2301" s="7">
        <v>3.5</v>
      </c>
      <c r="C2301" s="7" t="s">
        <v>360</v>
      </c>
      <c r="D2301" s="7" t="s">
        <v>357</v>
      </c>
      <c r="E2301" s="7">
        <v>-23.6956911688312</v>
      </c>
      <c r="F2301" s="7">
        <v>2.28138588744589</v>
      </c>
      <c r="G2301" s="7">
        <v>3.07260147186147</v>
      </c>
      <c r="H2301" s="7">
        <v>-0.00139090212987013</v>
      </c>
      <c r="I2301" s="7">
        <v>-8.53001764502165</v>
      </c>
      <c r="J2301" s="7">
        <v>-5.72992849350649</v>
      </c>
      <c r="K2301" s="8"/>
      <c r="L2301" s="8"/>
    </row>
    <row r="2302" ht="13.5" customHeight="1">
      <c r="A2302" s="7" t="s">
        <v>355</v>
      </c>
      <c r="B2302" s="7">
        <v>0.0</v>
      </c>
      <c r="C2302" s="7" t="s">
        <v>361</v>
      </c>
      <c r="D2302" s="7" t="s">
        <v>357</v>
      </c>
      <c r="E2302" s="7">
        <v>-23.7125475324675</v>
      </c>
      <c r="F2302" s="7">
        <v>2.28309640692641</v>
      </c>
      <c r="G2302" s="7">
        <v>3.07486588744589</v>
      </c>
      <c r="H2302" s="7">
        <v>-0.00139195723376623</v>
      </c>
      <c r="I2302" s="7">
        <v>-8.53681243722944</v>
      </c>
      <c r="J2302" s="7">
        <v>-5.73447554545454</v>
      </c>
      <c r="K2302" s="8"/>
      <c r="L2302" s="8"/>
    </row>
    <row r="2303" ht="13.5" customHeight="1">
      <c r="A2303" s="7" t="s">
        <v>355</v>
      </c>
      <c r="B2303" s="7">
        <v>1.75</v>
      </c>
      <c r="C2303" s="7" t="s">
        <v>361</v>
      </c>
      <c r="D2303" s="7" t="s">
        <v>357</v>
      </c>
      <c r="E2303" s="7">
        <v>-23.7294038961039</v>
      </c>
      <c r="F2303" s="7">
        <v>2.28480692640693</v>
      </c>
      <c r="G2303" s="7">
        <v>3.0771303030303</v>
      </c>
      <c r="H2303" s="7">
        <v>-0.00139301233766234</v>
      </c>
      <c r="I2303" s="7">
        <v>-8.54360722943723</v>
      </c>
      <c r="J2303" s="7">
        <v>-5.73902259740259</v>
      </c>
      <c r="K2303" s="8"/>
      <c r="L2303" s="8"/>
    </row>
    <row r="2304" ht="13.5" customHeight="1">
      <c r="A2304" s="7" t="s">
        <v>355</v>
      </c>
      <c r="B2304" s="7">
        <v>3.5</v>
      </c>
      <c r="C2304" s="7" t="s">
        <v>361</v>
      </c>
      <c r="D2304" s="7" t="s">
        <v>357</v>
      </c>
      <c r="E2304" s="7">
        <v>-23.7462602597403</v>
      </c>
      <c r="F2304" s="7">
        <v>2.28651744588745</v>
      </c>
      <c r="G2304" s="7">
        <v>3.07939471861472</v>
      </c>
      <c r="H2304" s="7">
        <v>-0.00139406744155844</v>
      </c>
      <c r="I2304" s="7">
        <v>-8.55040202164501</v>
      </c>
      <c r="J2304" s="7">
        <v>-5.74356964935064</v>
      </c>
      <c r="K2304" s="8"/>
      <c r="L2304" s="8"/>
    </row>
    <row r="2305" ht="13.5" customHeight="1">
      <c r="A2305" s="7" t="s">
        <v>355</v>
      </c>
      <c r="B2305" s="7">
        <v>0.0</v>
      </c>
      <c r="C2305" s="7" t="s">
        <v>362</v>
      </c>
      <c r="D2305" s="7" t="s">
        <v>357</v>
      </c>
      <c r="E2305" s="7">
        <v>-23.7631166233766</v>
      </c>
      <c r="F2305" s="7">
        <v>2.28822796536797</v>
      </c>
      <c r="G2305" s="7">
        <v>3.08165913419913</v>
      </c>
      <c r="H2305" s="7">
        <v>-0.00139512254545455</v>
      </c>
      <c r="I2305" s="7">
        <v>-8.5571968138528</v>
      </c>
      <c r="J2305" s="7">
        <v>-5.7481167012987</v>
      </c>
      <c r="K2305" s="8"/>
      <c r="L2305" s="8"/>
    </row>
    <row r="2306" ht="13.5" customHeight="1">
      <c r="A2306" s="7" t="s">
        <v>355</v>
      </c>
      <c r="B2306" s="7">
        <v>1.75</v>
      </c>
      <c r="C2306" s="7" t="s">
        <v>362</v>
      </c>
      <c r="D2306" s="7" t="s">
        <v>357</v>
      </c>
      <c r="E2306" s="7">
        <v>-23.779972987013</v>
      </c>
      <c r="F2306" s="7">
        <v>2.28993848484849</v>
      </c>
      <c r="G2306" s="7">
        <v>3.08392354978355</v>
      </c>
      <c r="H2306" s="7">
        <v>-0.00139617764935065</v>
      </c>
      <c r="I2306" s="7">
        <v>-8.56399160606061</v>
      </c>
      <c r="J2306" s="7">
        <v>-5.75266375324675</v>
      </c>
      <c r="K2306" s="8"/>
      <c r="L2306" s="8"/>
    </row>
    <row r="2307" ht="13.5" customHeight="1">
      <c r="A2307" s="7" t="s">
        <v>355</v>
      </c>
      <c r="B2307" s="7">
        <v>3.5</v>
      </c>
      <c r="C2307" s="7" t="s">
        <v>362</v>
      </c>
      <c r="D2307" s="7" t="s">
        <v>357</v>
      </c>
      <c r="E2307" s="7">
        <v>-23.7968293506494</v>
      </c>
      <c r="F2307" s="7">
        <v>2.29164900432901</v>
      </c>
      <c r="G2307" s="7">
        <v>3.08618796536796</v>
      </c>
      <c r="H2307" s="7">
        <v>-0.00139723275324675</v>
      </c>
      <c r="I2307" s="7">
        <v>-8.5707863982684</v>
      </c>
      <c r="J2307" s="7">
        <v>-5.7572108051948</v>
      </c>
      <c r="K2307" s="8"/>
      <c r="L2307" s="8"/>
    </row>
    <row r="2308" ht="13.5" customHeight="1">
      <c r="A2308" s="7" t="s">
        <v>355</v>
      </c>
      <c r="B2308" s="7">
        <v>0.0</v>
      </c>
      <c r="C2308" s="7" t="s">
        <v>363</v>
      </c>
      <c r="D2308" s="7" t="s">
        <v>357</v>
      </c>
      <c r="E2308" s="7">
        <v>-23.8136857142857</v>
      </c>
      <c r="F2308" s="7">
        <v>2.29335952380953</v>
      </c>
      <c r="G2308" s="7">
        <v>3.08845238095238</v>
      </c>
      <c r="H2308" s="7">
        <v>-0.00139828785714286</v>
      </c>
      <c r="I2308" s="7">
        <v>-8.57758119047619</v>
      </c>
      <c r="J2308" s="7">
        <v>-5.76175785714285</v>
      </c>
      <c r="K2308" s="8"/>
      <c r="L2308" s="8"/>
    </row>
    <row r="2309" ht="13.5" customHeight="1">
      <c r="A2309" s="7" t="s">
        <v>355</v>
      </c>
      <c r="B2309" s="7">
        <v>1.75</v>
      </c>
      <c r="C2309" s="7" t="s">
        <v>363</v>
      </c>
      <c r="D2309" s="7" t="s">
        <v>357</v>
      </c>
      <c r="E2309" s="7">
        <v>-23.8305420779221</v>
      </c>
      <c r="F2309" s="7">
        <v>2.29507004329005</v>
      </c>
      <c r="G2309" s="7">
        <v>3.09071679653679</v>
      </c>
      <c r="H2309" s="7">
        <v>-0.00139934296103896</v>
      </c>
      <c r="I2309" s="7">
        <v>-8.58437598268397</v>
      </c>
      <c r="J2309" s="7">
        <v>-5.7663049090909</v>
      </c>
      <c r="K2309" s="8"/>
      <c r="L2309" s="8"/>
    </row>
    <row r="2310" ht="13.5" customHeight="1">
      <c r="A2310" s="7" t="s">
        <v>355</v>
      </c>
      <c r="B2310" s="7">
        <v>3.5</v>
      </c>
      <c r="C2310" s="7" t="s">
        <v>363</v>
      </c>
      <c r="D2310" s="7" t="s">
        <v>357</v>
      </c>
      <c r="E2310" s="7">
        <v>-23.8473984415585</v>
      </c>
      <c r="F2310" s="7">
        <v>2.29678056277057</v>
      </c>
      <c r="G2310" s="7">
        <v>3.09298121212121</v>
      </c>
      <c r="H2310" s="7">
        <v>-0.00140039806493507</v>
      </c>
      <c r="I2310" s="7">
        <v>-8.59117077489178</v>
      </c>
      <c r="J2310" s="7">
        <v>-5.77085196103895</v>
      </c>
      <c r="K2310" s="8"/>
      <c r="L2310" s="8"/>
    </row>
    <row r="2311" ht="13.5" customHeight="1">
      <c r="A2311" s="7" t="s">
        <v>355</v>
      </c>
      <c r="B2311" s="7">
        <v>0.0</v>
      </c>
      <c r="C2311" s="7" t="s">
        <v>356</v>
      </c>
      <c r="D2311" s="7" t="s">
        <v>357</v>
      </c>
      <c r="E2311" s="7">
        <v>-23.8642548051948</v>
      </c>
      <c r="F2311" s="7">
        <v>2.29849108225109</v>
      </c>
      <c r="G2311" s="7">
        <v>3.09524562770563</v>
      </c>
      <c r="H2311" s="7">
        <v>-0.00140145316883117</v>
      </c>
      <c r="I2311" s="7">
        <v>-8.59796556709957</v>
      </c>
      <c r="J2311" s="7">
        <v>-5.77539901298701</v>
      </c>
      <c r="K2311" s="8"/>
      <c r="L2311" s="8"/>
    </row>
    <row r="2312" ht="13.5" customHeight="1">
      <c r="A2312" s="7" t="s">
        <v>355</v>
      </c>
      <c r="B2312" s="7">
        <v>1.75</v>
      </c>
      <c r="C2312" s="7" t="s">
        <v>356</v>
      </c>
      <c r="D2312" s="7" t="s">
        <v>357</v>
      </c>
      <c r="E2312" s="7">
        <v>-23.8811111688312</v>
      </c>
      <c r="F2312" s="7">
        <v>2.30020160173161</v>
      </c>
      <c r="G2312" s="7">
        <v>3.09751004329004</v>
      </c>
      <c r="H2312" s="7">
        <v>-0.00140250827272727</v>
      </c>
      <c r="I2312" s="7">
        <v>-8.60476035930736</v>
      </c>
      <c r="J2312" s="7">
        <v>-5.77994606493506</v>
      </c>
      <c r="K2312" s="8"/>
      <c r="L2312" s="8"/>
    </row>
    <row r="2313" ht="13.5" customHeight="1">
      <c r="A2313" s="7" t="s">
        <v>355</v>
      </c>
      <c r="B2313" s="7">
        <v>3.5</v>
      </c>
      <c r="C2313" s="7" t="s">
        <v>356</v>
      </c>
      <c r="D2313" s="7" t="s">
        <v>357</v>
      </c>
      <c r="E2313" s="7">
        <v>-23.8979675324675</v>
      </c>
      <c r="F2313" s="7">
        <v>2.30191212121213</v>
      </c>
      <c r="G2313" s="7">
        <v>3.09977445887446</v>
      </c>
      <c r="H2313" s="7">
        <v>-0.00140356337662338</v>
      </c>
      <c r="I2313" s="7">
        <v>-8.61155515151515</v>
      </c>
      <c r="J2313" s="7">
        <v>-5.78449311688311</v>
      </c>
      <c r="K2313" s="8"/>
      <c r="L2313" s="8"/>
    </row>
    <row r="2314" ht="13.5" customHeight="1">
      <c r="A2314" s="7" t="s">
        <v>355</v>
      </c>
      <c r="B2314" s="7">
        <v>0.0</v>
      </c>
      <c r="C2314" s="7" t="s">
        <v>358</v>
      </c>
      <c r="D2314" s="7" t="s">
        <v>357</v>
      </c>
      <c r="E2314" s="7">
        <v>-23.9148238961039</v>
      </c>
      <c r="F2314" s="7">
        <v>2.30362264069265</v>
      </c>
      <c r="G2314" s="7">
        <v>3.10203887445887</v>
      </c>
      <c r="H2314" s="7">
        <v>-0.00140461848051948</v>
      </c>
      <c r="I2314" s="7">
        <v>-8.61834994372293</v>
      </c>
      <c r="J2314" s="7">
        <v>-5.78904016883116</v>
      </c>
      <c r="K2314" s="8"/>
      <c r="L2314" s="8"/>
    </row>
    <row r="2315" ht="13.5" customHeight="1">
      <c r="A2315" s="7" t="s">
        <v>355</v>
      </c>
      <c r="B2315" s="7">
        <v>1.75</v>
      </c>
      <c r="C2315" s="7" t="s">
        <v>358</v>
      </c>
      <c r="D2315" s="7" t="s">
        <v>357</v>
      </c>
      <c r="E2315" s="7">
        <v>-23.9316802597403</v>
      </c>
      <c r="F2315" s="7">
        <v>2.30533316017317</v>
      </c>
      <c r="G2315" s="7">
        <v>3.10430329004329</v>
      </c>
      <c r="H2315" s="7">
        <v>-0.00140567358441558</v>
      </c>
      <c r="I2315" s="7">
        <v>-8.62514473593074</v>
      </c>
      <c r="J2315" s="7">
        <v>-5.79358722077922</v>
      </c>
      <c r="K2315" s="8"/>
      <c r="L2315" s="8"/>
    </row>
    <row r="2316" ht="13.5" customHeight="1">
      <c r="A2316" s="7" t="s">
        <v>355</v>
      </c>
      <c r="B2316" s="7">
        <v>3.5</v>
      </c>
      <c r="C2316" s="7" t="s">
        <v>358</v>
      </c>
      <c r="D2316" s="7" t="s">
        <v>357</v>
      </c>
      <c r="E2316" s="7">
        <v>-23.9485366233766</v>
      </c>
      <c r="F2316" s="7">
        <v>2.30704367965369</v>
      </c>
      <c r="G2316" s="7">
        <v>3.1065677056277</v>
      </c>
      <c r="H2316" s="7">
        <v>-0.00140672868831169</v>
      </c>
      <c r="I2316" s="7">
        <v>-8.63193952813853</v>
      </c>
      <c r="J2316" s="7">
        <v>-5.79813427272727</v>
      </c>
      <c r="K2316" s="8"/>
      <c r="L2316" s="8"/>
    </row>
    <row r="2317" ht="13.5" customHeight="1">
      <c r="A2317" s="7" t="s">
        <v>355</v>
      </c>
      <c r="B2317" s="7">
        <v>0.0</v>
      </c>
      <c r="C2317" s="7" t="s">
        <v>359</v>
      </c>
      <c r="D2317" s="7" t="s">
        <v>357</v>
      </c>
      <c r="E2317" s="7">
        <v>-23.965392987013</v>
      </c>
      <c r="F2317" s="7">
        <v>2.30875419913421</v>
      </c>
      <c r="G2317" s="7">
        <v>3.10883212121212</v>
      </c>
      <c r="H2317" s="7">
        <v>-0.00140778379220779</v>
      </c>
      <c r="I2317" s="7">
        <v>-8.63873432034632</v>
      </c>
      <c r="J2317" s="7">
        <v>-5.80268132467532</v>
      </c>
      <c r="K2317" s="8"/>
      <c r="L2317" s="8"/>
    </row>
    <row r="2318" ht="13.5" customHeight="1">
      <c r="A2318" s="7" t="s">
        <v>355</v>
      </c>
      <c r="B2318" s="7">
        <v>1.75</v>
      </c>
      <c r="C2318" s="7" t="s">
        <v>359</v>
      </c>
      <c r="D2318" s="7" t="s">
        <v>357</v>
      </c>
      <c r="E2318" s="7">
        <v>-23.9822493506494</v>
      </c>
      <c r="F2318" s="7">
        <v>2.31046471861472</v>
      </c>
      <c r="G2318" s="7">
        <v>3.11109653679653</v>
      </c>
      <c r="H2318" s="7">
        <v>-0.0014088388961039</v>
      </c>
      <c r="I2318" s="7">
        <v>-8.64552911255411</v>
      </c>
      <c r="J2318" s="7">
        <v>-5.80722837662337</v>
      </c>
      <c r="K2318" s="8"/>
      <c r="L2318" s="8"/>
    </row>
    <row r="2319" ht="13.5" customHeight="1">
      <c r="A2319" s="7" t="s">
        <v>355</v>
      </c>
      <c r="B2319" s="7">
        <v>3.5</v>
      </c>
      <c r="C2319" s="7" t="s">
        <v>359</v>
      </c>
      <c r="D2319" s="7" t="s">
        <v>357</v>
      </c>
      <c r="E2319" s="7">
        <v>-23.9991057142857</v>
      </c>
      <c r="F2319" s="7">
        <v>2.31217523809524</v>
      </c>
      <c r="G2319" s="7">
        <v>3.11336095238095</v>
      </c>
      <c r="H2319" s="7">
        <v>-0.001409894</v>
      </c>
      <c r="I2319" s="7">
        <v>-8.65232390476191</v>
      </c>
      <c r="J2319" s="7">
        <v>-5.81177542857142</v>
      </c>
      <c r="K2319" s="8"/>
      <c r="L2319" s="8"/>
    </row>
    <row r="2320" ht="13.5" customHeight="1">
      <c r="A2320" s="7" t="s">
        <v>355</v>
      </c>
      <c r="B2320" s="7">
        <v>0.0</v>
      </c>
      <c r="C2320" s="7" t="s">
        <v>360</v>
      </c>
      <c r="D2320" s="7" t="s">
        <v>357</v>
      </c>
      <c r="E2320" s="7">
        <v>-24.0159620779221</v>
      </c>
      <c r="F2320" s="7">
        <v>2.31388575757576</v>
      </c>
      <c r="G2320" s="7">
        <v>3.11562536796537</v>
      </c>
      <c r="H2320" s="7">
        <v>-0.0014109491038961</v>
      </c>
      <c r="I2320" s="7">
        <v>-8.6591186969697</v>
      </c>
      <c r="J2320" s="7">
        <v>-5.81632248051947</v>
      </c>
      <c r="K2320" s="8"/>
      <c r="L2320" s="8"/>
    </row>
    <row r="2321" ht="13.5" customHeight="1">
      <c r="A2321" s="7" t="s">
        <v>355</v>
      </c>
      <c r="B2321" s="7">
        <v>1.75</v>
      </c>
      <c r="C2321" s="7" t="s">
        <v>360</v>
      </c>
      <c r="D2321" s="7" t="s">
        <v>357</v>
      </c>
      <c r="E2321" s="7">
        <v>-24.0328184415585</v>
      </c>
      <c r="F2321" s="7">
        <v>2.31559627705628</v>
      </c>
      <c r="G2321" s="7">
        <v>3.11788978354978</v>
      </c>
      <c r="H2321" s="7">
        <v>-0.00141200420779221</v>
      </c>
      <c r="I2321" s="7">
        <v>-8.66591348917749</v>
      </c>
      <c r="J2321" s="7">
        <v>-5.82086953246753</v>
      </c>
      <c r="K2321" s="8"/>
      <c r="L2321" s="8"/>
    </row>
    <row r="2322" ht="13.5" customHeight="1">
      <c r="A2322" s="7" t="s">
        <v>355</v>
      </c>
      <c r="B2322" s="7">
        <v>3.5</v>
      </c>
      <c r="C2322" s="7" t="s">
        <v>360</v>
      </c>
      <c r="D2322" s="7" t="s">
        <v>357</v>
      </c>
      <c r="E2322" s="7">
        <v>-24.0496748051948</v>
      </c>
      <c r="F2322" s="7">
        <v>2.3173067965368</v>
      </c>
      <c r="G2322" s="7">
        <v>3.1201541991342</v>
      </c>
      <c r="H2322" s="7">
        <v>-0.00141305931168831</v>
      </c>
      <c r="I2322" s="7">
        <v>-8.67270828138528</v>
      </c>
      <c r="J2322" s="7">
        <v>-5.82541658441558</v>
      </c>
      <c r="K2322" s="8"/>
      <c r="L2322" s="8"/>
    </row>
    <row r="2323" ht="13.5" customHeight="1">
      <c r="A2323" s="7" t="s">
        <v>355</v>
      </c>
      <c r="B2323" s="7">
        <v>0.0</v>
      </c>
      <c r="C2323" s="7" t="s">
        <v>361</v>
      </c>
      <c r="D2323" s="7" t="s">
        <v>357</v>
      </c>
      <c r="E2323" s="7">
        <v>-24.0665311688312</v>
      </c>
      <c r="F2323" s="7">
        <v>2.31901731601732</v>
      </c>
      <c r="G2323" s="7">
        <v>3.12241861471861</v>
      </c>
      <c r="H2323" s="7">
        <v>-0.00141411441558442</v>
      </c>
      <c r="I2323" s="7">
        <v>-8.67950307359307</v>
      </c>
      <c r="J2323" s="7">
        <v>-5.82996363636363</v>
      </c>
      <c r="K2323" s="8"/>
      <c r="L2323" s="8"/>
    </row>
    <row r="2324" ht="13.5" customHeight="1">
      <c r="A2324" s="7" t="s">
        <v>355</v>
      </c>
      <c r="B2324" s="7">
        <v>1.75</v>
      </c>
      <c r="C2324" s="7" t="s">
        <v>361</v>
      </c>
      <c r="D2324" s="7" t="s">
        <v>357</v>
      </c>
      <c r="E2324" s="7">
        <v>-24.0833875324675</v>
      </c>
      <c r="F2324" s="7">
        <v>2.32072783549784</v>
      </c>
      <c r="G2324" s="7">
        <v>3.12468303030303</v>
      </c>
      <c r="H2324" s="7">
        <v>-0.00141516951948052</v>
      </c>
      <c r="I2324" s="7">
        <v>-8.68629786580087</v>
      </c>
      <c r="J2324" s="7">
        <v>-5.83451068831168</v>
      </c>
      <c r="K2324" s="8"/>
      <c r="L2324" s="8"/>
    </row>
    <row r="2325" ht="13.5" customHeight="1">
      <c r="A2325" s="7" t="s">
        <v>355</v>
      </c>
      <c r="B2325" s="7">
        <v>3.5</v>
      </c>
      <c r="C2325" s="7" t="s">
        <v>361</v>
      </c>
      <c r="D2325" s="7" t="s">
        <v>357</v>
      </c>
      <c r="E2325" s="7">
        <v>-24.1002438961039</v>
      </c>
      <c r="F2325" s="7">
        <v>2.32243835497836</v>
      </c>
      <c r="G2325" s="7">
        <v>3.12694744588744</v>
      </c>
      <c r="H2325" s="7">
        <v>-0.00141622462337662</v>
      </c>
      <c r="I2325" s="7">
        <v>-8.69309265800866</v>
      </c>
      <c r="J2325" s="7">
        <v>-5.83905774025973</v>
      </c>
      <c r="K2325" s="8"/>
      <c r="L2325" s="8"/>
    </row>
    <row r="2326" ht="13.5" customHeight="1">
      <c r="A2326" s="7" t="s">
        <v>355</v>
      </c>
      <c r="B2326" s="7">
        <v>0.0</v>
      </c>
      <c r="C2326" s="7" t="s">
        <v>362</v>
      </c>
      <c r="D2326" s="7" t="s">
        <v>357</v>
      </c>
      <c r="E2326" s="7">
        <v>-24.1171002597403</v>
      </c>
      <c r="F2326" s="7">
        <v>2.32414887445888</v>
      </c>
      <c r="G2326" s="7">
        <v>3.12921186147186</v>
      </c>
      <c r="H2326" s="7">
        <v>-0.00141727972727273</v>
      </c>
      <c r="I2326" s="7">
        <v>-8.69988745021645</v>
      </c>
      <c r="J2326" s="7">
        <v>-5.84360479220779</v>
      </c>
      <c r="K2326" s="8"/>
      <c r="L2326" s="8"/>
    </row>
    <row r="2327" ht="13.5" customHeight="1">
      <c r="A2327" s="7" t="s">
        <v>355</v>
      </c>
      <c r="B2327" s="7">
        <v>1.75</v>
      </c>
      <c r="C2327" s="7" t="s">
        <v>362</v>
      </c>
      <c r="D2327" s="7" t="s">
        <v>357</v>
      </c>
      <c r="E2327" s="7">
        <v>-24.1339566233766</v>
      </c>
      <c r="F2327" s="7">
        <v>2.3258593939394</v>
      </c>
      <c r="G2327" s="7">
        <v>3.13147627705627</v>
      </c>
      <c r="H2327" s="7">
        <v>-0.00141833483116883</v>
      </c>
      <c r="I2327" s="7">
        <v>-8.70668224242424</v>
      </c>
      <c r="J2327" s="7">
        <v>-5.84815184415584</v>
      </c>
      <c r="K2327" s="8"/>
      <c r="L2327" s="8"/>
    </row>
    <row r="2328" ht="13.5" customHeight="1">
      <c r="A2328" s="7" t="s">
        <v>355</v>
      </c>
      <c r="B2328" s="7">
        <v>3.5</v>
      </c>
      <c r="C2328" s="7" t="s">
        <v>362</v>
      </c>
      <c r="D2328" s="7" t="s">
        <v>357</v>
      </c>
      <c r="E2328" s="7">
        <v>-24.150812987013</v>
      </c>
      <c r="F2328" s="7">
        <v>2.32756991341992</v>
      </c>
      <c r="G2328" s="7">
        <v>3.13374069264069</v>
      </c>
      <c r="H2328" s="7">
        <v>-0.00141938993506494</v>
      </c>
      <c r="I2328" s="7">
        <v>-8.71347703463204</v>
      </c>
      <c r="J2328" s="7">
        <v>-5.85269889610389</v>
      </c>
      <c r="K2328" s="8"/>
      <c r="L2328" s="8"/>
    </row>
    <row r="2329" ht="13.5" customHeight="1">
      <c r="A2329" s="7" t="s">
        <v>355</v>
      </c>
      <c r="B2329" s="7">
        <v>0.0</v>
      </c>
      <c r="C2329" s="7" t="s">
        <v>363</v>
      </c>
      <c r="D2329" s="7" t="s">
        <v>357</v>
      </c>
      <c r="E2329" s="7">
        <v>-24.1676693506494</v>
      </c>
      <c r="F2329" s="7">
        <v>2.32928043290044</v>
      </c>
      <c r="G2329" s="7">
        <v>3.13600510822511</v>
      </c>
      <c r="H2329" s="7">
        <v>-0.00142044503896104</v>
      </c>
      <c r="I2329" s="7">
        <v>-8.72027182683983</v>
      </c>
      <c r="J2329" s="7">
        <v>-5.85724594805194</v>
      </c>
      <c r="K2329" s="8"/>
      <c r="L2329" s="8"/>
    </row>
    <row r="2330" ht="13.5" customHeight="1">
      <c r="A2330" s="7" t="s">
        <v>355</v>
      </c>
      <c r="B2330" s="7">
        <v>1.75</v>
      </c>
      <c r="C2330" s="7" t="s">
        <v>363</v>
      </c>
      <c r="D2330" s="7" t="s">
        <v>357</v>
      </c>
      <c r="E2330" s="7">
        <v>-24.1845257142857</v>
      </c>
      <c r="F2330" s="7">
        <v>2.33099095238096</v>
      </c>
      <c r="G2330" s="7">
        <v>3.13826952380952</v>
      </c>
      <c r="H2330" s="7">
        <v>-0.00142150014285714</v>
      </c>
      <c r="I2330" s="7">
        <v>-8.72706661904762</v>
      </c>
      <c r="J2330" s="7">
        <v>-5.86179299999999</v>
      </c>
      <c r="K2330" s="8"/>
      <c r="L2330" s="8"/>
    </row>
    <row r="2331" ht="13.5" customHeight="1">
      <c r="A2331" s="7" t="s">
        <v>355</v>
      </c>
      <c r="B2331" s="7">
        <v>3.5</v>
      </c>
      <c r="C2331" s="7" t="s">
        <v>363</v>
      </c>
      <c r="D2331" s="7" t="s">
        <v>357</v>
      </c>
      <c r="E2331" s="7">
        <v>-24.2013820779221</v>
      </c>
      <c r="F2331" s="7">
        <v>2.33270147186148</v>
      </c>
      <c r="G2331" s="7">
        <v>3.14053393939394</v>
      </c>
      <c r="H2331" s="7">
        <v>-0.00142255524675325</v>
      </c>
      <c r="I2331" s="7">
        <v>-8.73386141125541</v>
      </c>
      <c r="J2331" s="7">
        <v>-5.86634005194805</v>
      </c>
      <c r="K2331" s="8"/>
      <c r="L2331" s="8"/>
    </row>
    <row r="2332" ht="13.5" customHeight="1">
      <c r="A2332" s="7" t="s">
        <v>355</v>
      </c>
      <c r="B2332" s="7">
        <v>0.0</v>
      </c>
      <c r="C2332" s="7" t="s">
        <v>356</v>
      </c>
      <c r="D2332" s="7" t="s">
        <v>357</v>
      </c>
      <c r="E2332" s="7">
        <v>-24.2182384415585</v>
      </c>
      <c r="F2332" s="7">
        <v>2.334411991342</v>
      </c>
      <c r="G2332" s="7">
        <v>3.14279835497835</v>
      </c>
      <c r="H2332" s="7">
        <v>-0.00142361035064935</v>
      </c>
      <c r="I2332" s="7">
        <v>-8.7406562034632</v>
      </c>
      <c r="J2332" s="7">
        <v>-5.8708871038961</v>
      </c>
      <c r="K2332" s="8"/>
      <c r="L2332" s="8"/>
    </row>
    <row r="2333" ht="13.5" customHeight="1">
      <c r="A2333" s="7" t="s">
        <v>355</v>
      </c>
      <c r="B2333" s="7">
        <v>1.75</v>
      </c>
      <c r="C2333" s="7" t="s">
        <v>356</v>
      </c>
      <c r="D2333" s="7" t="s">
        <v>357</v>
      </c>
      <c r="E2333" s="7">
        <v>-24.2350948051948</v>
      </c>
      <c r="F2333" s="7">
        <v>2.33612251082252</v>
      </c>
      <c r="G2333" s="7">
        <v>3.14506277056277</v>
      </c>
      <c r="H2333" s="7">
        <v>-0.00142466545454545</v>
      </c>
      <c r="I2333" s="7">
        <v>-8.747450995671</v>
      </c>
      <c r="J2333" s="7">
        <v>-5.87543415584415</v>
      </c>
      <c r="K2333" s="8"/>
      <c r="L2333" s="8"/>
    </row>
    <row r="2334" ht="13.5" customHeight="1">
      <c r="A2334" s="7" t="s">
        <v>355</v>
      </c>
      <c r="B2334" s="7">
        <v>3.5</v>
      </c>
      <c r="C2334" s="7" t="s">
        <v>356</v>
      </c>
      <c r="D2334" s="7" t="s">
        <v>357</v>
      </c>
      <c r="E2334" s="7">
        <v>-24.2519511688312</v>
      </c>
      <c r="F2334" s="7">
        <v>2.33783303030304</v>
      </c>
      <c r="G2334" s="7">
        <v>3.14732718614718</v>
      </c>
      <c r="H2334" s="7">
        <v>-0.00142572055844156</v>
      </c>
      <c r="I2334" s="7">
        <v>-8.75424578787879</v>
      </c>
      <c r="J2334" s="7">
        <v>-5.8799812077922</v>
      </c>
      <c r="K2334" s="8"/>
      <c r="L2334" s="8"/>
    </row>
    <row r="2335" ht="13.5" customHeight="1">
      <c r="A2335" s="7" t="s">
        <v>355</v>
      </c>
      <c r="B2335" s="7">
        <v>0.0</v>
      </c>
      <c r="C2335" s="7" t="s">
        <v>358</v>
      </c>
      <c r="D2335" s="7" t="s">
        <v>357</v>
      </c>
      <c r="E2335" s="7">
        <v>-24.2688075324683</v>
      </c>
      <c r="F2335" s="7">
        <v>2.33954354978357</v>
      </c>
      <c r="G2335" s="7">
        <v>3.14959160173169</v>
      </c>
      <c r="H2335" s="7">
        <v>-0.00142677566233758</v>
      </c>
      <c r="I2335" s="7">
        <v>-8.76104058008693</v>
      </c>
      <c r="J2335" s="7">
        <v>-5.88452825974043</v>
      </c>
      <c r="K2335" s="8"/>
      <c r="L2335" s="8"/>
    </row>
    <row r="2336" ht="13.5" customHeight="1">
      <c r="A2336" s="7" t="s">
        <v>355</v>
      </c>
      <c r="B2336" s="7">
        <v>1.75</v>
      </c>
      <c r="C2336" s="7" t="s">
        <v>358</v>
      </c>
      <c r="D2336" s="7" t="s">
        <v>357</v>
      </c>
      <c r="E2336" s="7">
        <v>-24.2856638961047</v>
      </c>
      <c r="F2336" s="7">
        <v>2.34125406926409</v>
      </c>
      <c r="G2336" s="7">
        <v>3.15185601731611</v>
      </c>
      <c r="H2336" s="7">
        <v>-0.00142783076623368</v>
      </c>
      <c r="I2336" s="7">
        <v>-8.76783537229474</v>
      </c>
      <c r="J2336" s="7">
        <v>-5.88907531168849</v>
      </c>
      <c r="K2336" s="8"/>
      <c r="L2336" s="8"/>
    </row>
    <row r="2337" ht="13.5" customHeight="1">
      <c r="A2337" s="7" t="s">
        <v>355</v>
      </c>
      <c r="B2337" s="7">
        <v>3.5</v>
      </c>
      <c r="C2337" s="7" t="s">
        <v>358</v>
      </c>
      <c r="D2337" s="7" t="s">
        <v>357</v>
      </c>
      <c r="E2337" s="7">
        <v>-24.3025202597411</v>
      </c>
      <c r="F2337" s="7">
        <v>2.34296458874461</v>
      </c>
      <c r="G2337" s="7">
        <v>3.15412043290053</v>
      </c>
      <c r="H2337" s="7">
        <v>-0.00142888587012978</v>
      </c>
      <c r="I2337" s="7">
        <v>-8.77463016450255</v>
      </c>
      <c r="J2337" s="7">
        <v>-5.89362236363655</v>
      </c>
      <c r="K2337" s="8"/>
      <c r="L2337" s="8"/>
    </row>
    <row r="2338" ht="13.5" customHeight="1">
      <c r="A2338" s="7" t="s">
        <v>355</v>
      </c>
      <c r="B2338" s="7">
        <v>0.0</v>
      </c>
      <c r="C2338" s="7" t="s">
        <v>359</v>
      </c>
      <c r="D2338" s="7" t="s">
        <v>357</v>
      </c>
      <c r="E2338" s="7">
        <v>-24.3193766233775</v>
      </c>
      <c r="F2338" s="7">
        <v>2.34467510822513</v>
      </c>
      <c r="G2338" s="7">
        <v>3.15638484848495</v>
      </c>
      <c r="H2338" s="7">
        <v>-0.00142994097402588</v>
      </c>
      <c r="I2338" s="7">
        <v>-8.78142495671036</v>
      </c>
      <c r="J2338" s="7">
        <v>-5.89816941558461</v>
      </c>
      <c r="K2338" s="8"/>
      <c r="L2338" s="8"/>
    </row>
    <row r="2339" ht="13.5" customHeight="1">
      <c r="A2339" s="7" t="s">
        <v>355</v>
      </c>
      <c r="B2339" s="7">
        <v>1.75</v>
      </c>
      <c r="C2339" s="7" t="s">
        <v>359</v>
      </c>
      <c r="D2339" s="7" t="s">
        <v>357</v>
      </c>
      <c r="E2339" s="7">
        <v>-24.3362329870139</v>
      </c>
      <c r="F2339" s="7">
        <v>2.34638562770565</v>
      </c>
      <c r="G2339" s="7">
        <v>3.15864926406937</v>
      </c>
      <c r="H2339" s="7">
        <v>-0.00143099607792198</v>
      </c>
      <c r="I2339" s="7">
        <v>-8.78821974891817</v>
      </c>
      <c r="J2339" s="7">
        <v>-5.90271646753267</v>
      </c>
      <c r="K2339" s="8"/>
      <c r="L2339" s="8"/>
    </row>
    <row r="2340" ht="13.5" customHeight="1">
      <c r="A2340" s="7" t="s">
        <v>355</v>
      </c>
      <c r="B2340" s="7">
        <v>3.5</v>
      </c>
      <c r="C2340" s="7" t="s">
        <v>359</v>
      </c>
      <c r="D2340" s="7" t="s">
        <v>357</v>
      </c>
      <c r="E2340" s="7">
        <v>-24.3530893506503</v>
      </c>
      <c r="F2340" s="7">
        <v>2.34809614718617</v>
      </c>
      <c r="G2340" s="7">
        <v>3.16091367965379</v>
      </c>
      <c r="H2340" s="7">
        <v>-0.00143205118181808</v>
      </c>
      <c r="I2340" s="7">
        <v>-8.79501454112598</v>
      </c>
      <c r="J2340" s="7">
        <v>-5.90726351948074</v>
      </c>
      <c r="K2340" s="8"/>
      <c r="L2340" s="8"/>
    </row>
    <row r="2341" ht="13.5" customHeight="1">
      <c r="A2341" s="7" t="s">
        <v>355</v>
      </c>
      <c r="B2341" s="7">
        <v>0.0</v>
      </c>
      <c r="C2341" s="7" t="s">
        <v>360</v>
      </c>
      <c r="D2341" s="7" t="s">
        <v>357</v>
      </c>
      <c r="E2341" s="7">
        <v>-24.3699457142867</v>
      </c>
      <c r="F2341" s="7">
        <v>2.34980666666669</v>
      </c>
      <c r="G2341" s="7">
        <v>3.16317809523821</v>
      </c>
      <c r="H2341" s="7">
        <v>-0.00143310628571418</v>
      </c>
      <c r="I2341" s="7">
        <v>-8.80180933333379</v>
      </c>
      <c r="J2341" s="7">
        <v>-5.9118105714288</v>
      </c>
      <c r="K2341" s="8"/>
      <c r="L2341" s="8"/>
    </row>
    <row r="2342" ht="13.5" customHeight="1">
      <c r="A2342" s="7" t="s">
        <v>355</v>
      </c>
      <c r="B2342" s="7">
        <v>1.75</v>
      </c>
      <c r="C2342" s="7" t="s">
        <v>360</v>
      </c>
      <c r="D2342" s="7" t="s">
        <v>357</v>
      </c>
      <c r="E2342" s="7">
        <v>-24.3868020779231</v>
      </c>
      <c r="F2342" s="7">
        <v>2.35151718614721</v>
      </c>
      <c r="G2342" s="7">
        <v>3.16544251082263</v>
      </c>
      <c r="H2342" s="7">
        <v>-0.00143416138961028</v>
      </c>
      <c r="I2342" s="7">
        <v>-8.8086041255416</v>
      </c>
      <c r="J2342" s="7">
        <v>-5.91635762337686</v>
      </c>
      <c r="K2342" s="8"/>
      <c r="L2342" s="8"/>
    </row>
    <row r="2343" ht="13.5" customHeight="1">
      <c r="A2343" s="7" t="s">
        <v>355</v>
      </c>
      <c r="B2343" s="7">
        <v>3.5</v>
      </c>
      <c r="C2343" s="7" t="s">
        <v>360</v>
      </c>
      <c r="D2343" s="7" t="s">
        <v>357</v>
      </c>
      <c r="E2343" s="7">
        <v>-24.4036584415595</v>
      </c>
      <c r="F2343" s="7">
        <v>2.35322770562773</v>
      </c>
      <c r="G2343" s="7">
        <v>3.16770692640705</v>
      </c>
      <c r="H2343" s="7">
        <v>-0.00143521649350638</v>
      </c>
      <c r="I2343" s="7">
        <v>-8.81539891774941</v>
      </c>
      <c r="J2343" s="7">
        <v>-5.92090467532492</v>
      </c>
      <c r="K2343" s="8"/>
      <c r="L2343" s="8"/>
    </row>
    <row r="2344" ht="13.5" customHeight="1">
      <c r="A2344" s="7" t="s">
        <v>355</v>
      </c>
      <c r="B2344" s="7">
        <v>0.0</v>
      </c>
      <c r="C2344" s="7" t="s">
        <v>361</v>
      </c>
      <c r="D2344" s="7" t="s">
        <v>357</v>
      </c>
      <c r="E2344" s="7">
        <v>-24.4205148051959</v>
      </c>
      <c r="F2344" s="7">
        <v>2.35493822510825</v>
      </c>
      <c r="G2344" s="7">
        <v>3.16997134199147</v>
      </c>
      <c r="H2344" s="7">
        <v>-0.00143627159740248</v>
      </c>
      <c r="I2344" s="7">
        <v>-8.82219370995722</v>
      </c>
      <c r="J2344" s="7">
        <v>-5.92545172727298</v>
      </c>
      <c r="K2344" s="8"/>
      <c r="L2344" s="8"/>
    </row>
    <row r="2345" ht="13.5" customHeight="1">
      <c r="A2345" s="7" t="s">
        <v>355</v>
      </c>
      <c r="B2345" s="7">
        <v>1.75</v>
      </c>
      <c r="C2345" s="7" t="s">
        <v>361</v>
      </c>
      <c r="D2345" s="7" t="s">
        <v>357</v>
      </c>
      <c r="E2345" s="7">
        <v>-24.4373711688323</v>
      </c>
      <c r="F2345" s="7">
        <v>2.35664874458877</v>
      </c>
      <c r="G2345" s="7">
        <v>3.17223575757589</v>
      </c>
      <c r="H2345" s="7">
        <v>-0.00143732670129858</v>
      </c>
      <c r="I2345" s="7">
        <v>-8.82898850216503</v>
      </c>
      <c r="J2345" s="7">
        <v>-5.92999877922104</v>
      </c>
      <c r="K2345" s="8"/>
      <c r="L2345" s="8"/>
    </row>
    <row r="2346" ht="13.5" customHeight="1">
      <c r="A2346" s="7" t="s">
        <v>355</v>
      </c>
      <c r="B2346" s="7">
        <v>3.5</v>
      </c>
      <c r="C2346" s="7" t="s">
        <v>361</v>
      </c>
      <c r="D2346" s="7" t="s">
        <v>357</v>
      </c>
      <c r="E2346" s="7">
        <v>-24.4542275324687</v>
      </c>
      <c r="F2346" s="7">
        <v>2.35835926406929</v>
      </c>
      <c r="G2346" s="7">
        <v>3.17450017316031</v>
      </c>
      <c r="H2346" s="7">
        <v>-0.00143838180519468</v>
      </c>
      <c r="I2346" s="7">
        <v>-8.83578329437284</v>
      </c>
      <c r="J2346" s="7">
        <v>-5.9345458311691</v>
      </c>
      <c r="K2346" s="8"/>
      <c r="L2346" s="8"/>
    </row>
    <row r="2347" ht="13.5" customHeight="1">
      <c r="A2347" s="7" t="s">
        <v>355</v>
      </c>
      <c r="B2347" s="7">
        <v>0.0</v>
      </c>
      <c r="C2347" s="7" t="s">
        <v>362</v>
      </c>
      <c r="D2347" s="7" t="s">
        <v>357</v>
      </c>
      <c r="E2347" s="7">
        <v>-24.4710838961051</v>
      </c>
      <c r="F2347" s="7">
        <v>2.36006978354981</v>
      </c>
      <c r="G2347" s="7">
        <v>3.17676458874473</v>
      </c>
      <c r="H2347" s="7">
        <v>-0.00143943690909078</v>
      </c>
      <c r="I2347" s="7">
        <v>-8.84257808658065</v>
      </c>
      <c r="J2347" s="7">
        <v>-5.93909288311716</v>
      </c>
      <c r="K2347" s="8"/>
      <c r="L2347" s="8"/>
    </row>
    <row r="2348" ht="13.5" customHeight="1">
      <c r="A2348" s="7" t="s">
        <v>355</v>
      </c>
      <c r="B2348" s="7">
        <v>1.75</v>
      </c>
      <c r="C2348" s="7" t="s">
        <v>362</v>
      </c>
      <c r="D2348" s="7" t="s">
        <v>357</v>
      </c>
      <c r="E2348" s="7">
        <v>-24.4879402597415</v>
      </c>
      <c r="F2348" s="7">
        <v>2.36178030303033</v>
      </c>
      <c r="G2348" s="7">
        <v>3.17902900432915</v>
      </c>
      <c r="H2348" s="7">
        <v>-0.00144049201298688</v>
      </c>
      <c r="I2348" s="7">
        <v>-8.84937287878846</v>
      </c>
      <c r="J2348" s="7">
        <v>-5.94363993506522</v>
      </c>
      <c r="K2348" s="8"/>
      <c r="L2348" s="8"/>
    </row>
    <row r="2349" ht="13.5" customHeight="1">
      <c r="A2349" s="7" t="s">
        <v>355</v>
      </c>
      <c r="B2349" s="7">
        <v>3.5</v>
      </c>
      <c r="C2349" s="7" t="s">
        <v>362</v>
      </c>
      <c r="D2349" s="7" t="s">
        <v>357</v>
      </c>
      <c r="E2349" s="7">
        <v>-24.5047966233779</v>
      </c>
      <c r="F2349" s="7">
        <v>2.36349082251085</v>
      </c>
      <c r="G2349" s="7">
        <v>3.18129341991357</v>
      </c>
      <c r="H2349" s="7">
        <v>-0.00144154711688298</v>
      </c>
      <c r="I2349" s="7">
        <v>-8.85616767099627</v>
      </c>
      <c r="J2349" s="7">
        <v>-5.94818698701328</v>
      </c>
      <c r="K2349" s="8"/>
      <c r="L2349" s="8"/>
    </row>
    <row r="2350" ht="13.5" customHeight="1">
      <c r="A2350" s="7" t="s">
        <v>355</v>
      </c>
      <c r="B2350" s="7">
        <v>0.0</v>
      </c>
      <c r="C2350" s="7" t="s">
        <v>363</v>
      </c>
      <c r="D2350" s="7" t="s">
        <v>357</v>
      </c>
      <c r="E2350" s="7">
        <v>-24.5216529870143</v>
      </c>
      <c r="F2350" s="7">
        <v>2.36520134199137</v>
      </c>
      <c r="G2350" s="7">
        <v>3.18355783549799</v>
      </c>
      <c r="H2350" s="7">
        <v>-0.00144260222077908</v>
      </c>
      <c r="I2350" s="7">
        <v>-8.86296246320408</v>
      </c>
      <c r="J2350" s="7">
        <v>-5.95273403896134</v>
      </c>
      <c r="K2350" s="8"/>
      <c r="L2350" s="8"/>
    </row>
    <row r="2351" ht="13.5" customHeight="1">
      <c r="A2351" s="7" t="s">
        <v>355</v>
      </c>
      <c r="B2351" s="7">
        <v>1.75</v>
      </c>
      <c r="C2351" s="7" t="s">
        <v>363</v>
      </c>
      <c r="D2351" s="7" t="s">
        <v>357</v>
      </c>
      <c r="E2351" s="7">
        <v>-24.5385093506507</v>
      </c>
      <c r="F2351" s="7">
        <v>2.36691186147189</v>
      </c>
      <c r="G2351" s="7">
        <v>3.18582225108241</v>
      </c>
      <c r="H2351" s="7">
        <v>-0.00144365732467518</v>
      </c>
      <c r="I2351" s="7">
        <v>-8.86975725541189</v>
      </c>
      <c r="J2351" s="7">
        <v>-5.9572810909094</v>
      </c>
      <c r="K2351" s="8"/>
      <c r="L2351" s="8"/>
    </row>
    <row r="2352" ht="13.5" customHeight="1">
      <c r="A2352" s="7" t="s">
        <v>355</v>
      </c>
      <c r="B2352" s="7">
        <v>3.5</v>
      </c>
      <c r="C2352" s="7" t="s">
        <v>363</v>
      </c>
      <c r="D2352" s="7" t="s">
        <v>357</v>
      </c>
      <c r="E2352" s="7">
        <v>-24.5553657142871</v>
      </c>
      <c r="F2352" s="7">
        <v>2.36862238095241</v>
      </c>
      <c r="G2352" s="7">
        <v>3.18808666666683</v>
      </c>
      <c r="H2352" s="7">
        <v>-0.00144471242857128</v>
      </c>
      <c r="I2352" s="7">
        <v>-8.8765520476197</v>
      </c>
      <c r="J2352" s="7">
        <v>-5.96182814285746</v>
      </c>
      <c r="K2352" s="8"/>
      <c r="L2352" s="8"/>
    </row>
    <row r="2353" ht="13.5" customHeight="1">
      <c r="A2353" s="7" t="s">
        <v>355</v>
      </c>
      <c r="B2353" s="7">
        <v>0.0</v>
      </c>
      <c r="C2353" s="7" t="s">
        <v>356</v>
      </c>
      <c r="D2353" s="7" t="s">
        <v>357</v>
      </c>
      <c r="E2353" s="7">
        <v>-24.5722220779235</v>
      </c>
      <c r="F2353" s="7">
        <v>2.37033290043293</v>
      </c>
      <c r="G2353" s="7">
        <v>3.19035108225125</v>
      </c>
      <c r="H2353" s="7">
        <v>-0.00144576753246738</v>
      </c>
      <c r="I2353" s="7">
        <v>-8.88334683982751</v>
      </c>
      <c r="J2353" s="7">
        <v>-5.96637519480552</v>
      </c>
      <c r="K2353" s="8"/>
      <c r="L2353" s="8"/>
    </row>
    <row r="2354" ht="13.5" customHeight="1">
      <c r="A2354" s="7" t="s">
        <v>355</v>
      </c>
      <c r="B2354" s="7">
        <v>1.75</v>
      </c>
      <c r="C2354" s="7" t="s">
        <v>356</v>
      </c>
      <c r="D2354" s="7" t="s">
        <v>357</v>
      </c>
      <c r="E2354" s="7">
        <v>-24.5890784415599</v>
      </c>
      <c r="F2354" s="7">
        <v>2.37204341991345</v>
      </c>
      <c r="G2354" s="7">
        <v>3.19261549783567</v>
      </c>
      <c r="H2354" s="7">
        <v>-0.00144682263636348</v>
      </c>
      <c r="I2354" s="7">
        <v>-8.89014163203532</v>
      </c>
      <c r="J2354" s="7">
        <v>-5.97092224675358</v>
      </c>
      <c r="K2354" s="8"/>
      <c r="L2354" s="8"/>
    </row>
    <row r="2355" ht="13.5" customHeight="1">
      <c r="A2355" s="7" t="s">
        <v>355</v>
      </c>
      <c r="B2355" s="7">
        <v>3.5</v>
      </c>
      <c r="C2355" s="7" t="s">
        <v>356</v>
      </c>
      <c r="D2355" s="7" t="s">
        <v>357</v>
      </c>
      <c r="E2355" s="7">
        <v>-24.6059348051963</v>
      </c>
      <c r="F2355" s="7">
        <v>2.37375393939397</v>
      </c>
      <c r="G2355" s="7">
        <v>3.19487991342009</v>
      </c>
      <c r="H2355" s="7">
        <v>-0.00144787774025958</v>
      </c>
      <c r="I2355" s="7">
        <v>-8.89693642424313</v>
      </c>
      <c r="J2355" s="7">
        <v>-5.97546929870165</v>
      </c>
      <c r="K2355" s="8"/>
      <c r="L2355" s="8"/>
    </row>
    <row r="2356" ht="13.5" customHeight="1">
      <c r="A2356" s="7" t="s">
        <v>355</v>
      </c>
      <c r="B2356" s="7">
        <v>0.0</v>
      </c>
      <c r="C2356" s="7" t="s">
        <v>358</v>
      </c>
      <c r="D2356" s="7" t="s">
        <v>357</v>
      </c>
      <c r="E2356" s="7">
        <v>-24.6227911688327</v>
      </c>
      <c r="F2356" s="7">
        <v>2.37546445887449</v>
      </c>
      <c r="G2356" s="7">
        <v>3.19714432900451</v>
      </c>
      <c r="H2356" s="7">
        <v>-0.00144893284415568</v>
      </c>
      <c r="I2356" s="7">
        <v>-8.90373121645094</v>
      </c>
      <c r="J2356" s="7">
        <v>-5.9800163506497</v>
      </c>
      <c r="K2356" s="8"/>
      <c r="L2356" s="8"/>
    </row>
    <row r="2357" ht="13.5" customHeight="1">
      <c r="A2357" s="7" t="s">
        <v>355</v>
      </c>
      <c r="B2357" s="7">
        <v>1.75</v>
      </c>
      <c r="C2357" s="7" t="s">
        <v>358</v>
      </c>
      <c r="D2357" s="7" t="s">
        <v>357</v>
      </c>
      <c r="E2357" s="7">
        <v>-24.639647532469098</v>
      </c>
      <c r="F2357" s="7">
        <v>2.37717497835501</v>
      </c>
      <c r="G2357" s="7">
        <v>3.19940874458893</v>
      </c>
      <c r="H2357" s="7">
        <v>-0.00144998794805178</v>
      </c>
      <c r="I2357" s="7">
        <v>-8.91052600865875</v>
      </c>
      <c r="J2357" s="7">
        <v>-5.98456340259777</v>
      </c>
      <c r="K2357" s="8"/>
      <c r="L2357" s="8"/>
    </row>
    <row r="2358" ht="13.5" customHeight="1">
      <c r="A2358" s="7" t="s">
        <v>355</v>
      </c>
      <c r="B2358" s="7">
        <v>3.5</v>
      </c>
      <c r="C2358" s="7" t="s">
        <v>358</v>
      </c>
      <c r="D2358" s="7" t="s">
        <v>357</v>
      </c>
      <c r="E2358" s="7">
        <v>-24.6565038961055</v>
      </c>
      <c r="F2358" s="7">
        <v>2.37888549783553</v>
      </c>
      <c r="G2358" s="7">
        <v>3.20167316017335</v>
      </c>
      <c r="H2358" s="7">
        <v>-0.00145104305194788</v>
      </c>
      <c r="I2358" s="7">
        <v>-8.91732080086656</v>
      </c>
      <c r="J2358" s="7">
        <v>-5.98911045454583</v>
      </c>
      <c r="K2358" s="8"/>
      <c r="L2358" s="8"/>
    </row>
    <row r="2359" ht="13.5" customHeight="1">
      <c r="A2359" s="7" t="s">
        <v>355</v>
      </c>
      <c r="B2359" s="7">
        <v>0.0</v>
      </c>
      <c r="C2359" s="7" t="s">
        <v>359</v>
      </c>
      <c r="D2359" s="7" t="s">
        <v>357</v>
      </c>
      <c r="E2359" s="7">
        <v>-24.6733602597419</v>
      </c>
      <c r="F2359" s="7">
        <v>2.38059601731605</v>
      </c>
      <c r="G2359" s="7">
        <v>3.20393757575777</v>
      </c>
      <c r="H2359" s="7">
        <v>-0.00145209815584398</v>
      </c>
      <c r="I2359" s="7">
        <v>-8.92411559307437</v>
      </c>
      <c r="J2359" s="7">
        <v>-5.99365750649389</v>
      </c>
      <c r="K2359" s="8"/>
      <c r="L2359" s="8"/>
    </row>
    <row r="2360" ht="13.5" customHeight="1">
      <c r="A2360" s="7" t="s">
        <v>355</v>
      </c>
      <c r="B2360" s="7">
        <v>1.75</v>
      </c>
      <c r="C2360" s="7" t="s">
        <v>359</v>
      </c>
      <c r="D2360" s="7" t="s">
        <v>357</v>
      </c>
      <c r="E2360" s="7">
        <v>-24.6902166233783</v>
      </c>
      <c r="F2360" s="7">
        <v>2.38230653679657</v>
      </c>
      <c r="G2360" s="7">
        <v>3.20620199134219</v>
      </c>
      <c r="H2360" s="7">
        <v>-0.00145315325974008</v>
      </c>
      <c r="I2360" s="7">
        <v>-8.93091038528218</v>
      </c>
      <c r="J2360" s="7">
        <v>-5.99820455844195</v>
      </c>
      <c r="K2360" s="8"/>
      <c r="L2360" s="8"/>
    </row>
    <row r="2361" ht="13.5" customHeight="1">
      <c r="A2361" s="7" t="s">
        <v>355</v>
      </c>
      <c r="B2361" s="7">
        <v>3.5</v>
      </c>
      <c r="C2361" s="7" t="s">
        <v>359</v>
      </c>
      <c r="D2361" s="7" t="s">
        <v>357</v>
      </c>
      <c r="E2361" s="7">
        <v>-24.7070729870147</v>
      </c>
      <c r="F2361" s="7">
        <v>2.38401705627709</v>
      </c>
      <c r="G2361" s="7">
        <v>3.20846640692661</v>
      </c>
      <c r="H2361" s="7">
        <v>-0.00145420836363618</v>
      </c>
      <c r="I2361" s="7">
        <v>-8.93770517748999</v>
      </c>
      <c r="J2361" s="7">
        <v>-6.00275161039001</v>
      </c>
      <c r="K2361" s="8"/>
      <c r="L2361" s="8"/>
    </row>
    <row r="2362" ht="13.5" customHeight="1">
      <c r="A2362" s="7" t="s">
        <v>355</v>
      </c>
      <c r="B2362" s="7">
        <v>0.0</v>
      </c>
      <c r="C2362" s="7" t="s">
        <v>360</v>
      </c>
      <c r="D2362" s="7" t="s">
        <v>357</v>
      </c>
      <c r="E2362" s="7">
        <v>-24.7239293506511</v>
      </c>
      <c r="F2362" s="7">
        <v>2.38572757575761</v>
      </c>
      <c r="G2362" s="7">
        <v>3.21073082251103</v>
      </c>
      <c r="H2362" s="7">
        <v>-0.00145526346753228</v>
      </c>
      <c r="I2362" s="7">
        <v>-8.9444999696978</v>
      </c>
      <c r="J2362" s="7">
        <v>-6.00729866233807</v>
      </c>
      <c r="K2362" s="8"/>
      <c r="L2362" s="8"/>
    </row>
    <row r="2363" ht="13.5" customHeight="1">
      <c r="A2363" s="7" t="s">
        <v>355</v>
      </c>
      <c r="B2363" s="7">
        <v>1.75</v>
      </c>
      <c r="C2363" s="7" t="s">
        <v>360</v>
      </c>
      <c r="D2363" s="7" t="s">
        <v>357</v>
      </c>
      <c r="E2363" s="7">
        <v>-24.7407857142875</v>
      </c>
      <c r="F2363" s="7">
        <v>2.38743809523813</v>
      </c>
      <c r="G2363" s="7">
        <v>3.21299523809545</v>
      </c>
      <c r="H2363" s="7">
        <v>-0.00145631857142838</v>
      </c>
      <c r="I2363" s="7">
        <v>-8.95129476190561</v>
      </c>
      <c r="J2363" s="7">
        <v>-6.01184571428613</v>
      </c>
      <c r="K2363" s="8"/>
      <c r="L2363" s="8"/>
    </row>
    <row r="2364" ht="13.5" customHeight="1">
      <c r="A2364" s="7" t="s">
        <v>355</v>
      </c>
      <c r="B2364" s="7">
        <v>3.5</v>
      </c>
      <c r="C2364" s="7" t="s">
        <v>360</v>
      </c>
      <c r="D2364" s="7" t="s">
        <v>357</v>
      </c>
      <c r="E2364" s="7">
        <v>-24.7576420779239</v>
      </c>
      <c r="F2364" s="7">
        <v>2.38914861471865</v>
      </c>
      <c r="G2364" s="7">
        <v>3.21525965367987</v>
      </c>
      <c r="H2364" s="7">
        <v>-0.00145737367532448</v>
      </c>
      <c r="I2364" s="7">
        <v>-8.95808955411342</v>
      </c>
      <c r="J2364" s="7">
        <v>-6.01639276623419</v>
      </c>
      <c r="K2364" s="8"/>
      <c r="L2364" s="8"/>
    </row>
    <row r="2365" ht="13.5" customHeight="1">
      <c r="A2365" s="7" t="s">
        <v>355</v>
      </c>
      <c r="B2365" s="7">
        <v>0.0</v>
      </c>
      <c r="C2365" s="7" t="s">
        <v>361</v>
      </c>
      <c r="D2365" s="7" t="s">
        <v>357</v>
      </c>
      <c r="E2365" s="7">
        <v>-24.7744984415603</v>
      </c>
      <c r="F2365" s="7">
        <v>2.39085913419917</v>
      </c>
      <c r="G2365" s="7">
        <v>3.21752406926429</v>
      </c>
      <c r="H2365" s="7">
        <v>-0.00145842877922058</v>
      </c>
      <c r="I2365" s="7">
        <v>-8.96488434632123</v>
      </c>
      <c r="J2365" s="7">
        <v>-6.02093981818225</v>
      </c>
      <c r="K2365" s="8"/>
      <c r="L2365" s="8"/>
    </row>
    <row r="2366" ht="13.5" customHeight="1">
      <c r="A2366" s="7" t="s">
        <v>355</v>
      </c>
      <c r="B2366" s="7">
        <v>1.75</v>
      </c>
      <c r="C2366" s="7" t="s">
        <v>361</v>
      </c>
      <c r="D2366" s="7" t="s">
        <v>357</v>
      </c>
      <c r="E2366" s="7">
        <v>-24.7913548051967</v>
      </c>
      <c r="F2366" s="7">
        <v>2.39256965367969</v>
      </c>
      <c r="G2366" s="7">
        <v>3.21978848484871</v>
      </c>
      <c r="H2366" s="7">
        <v>-0.00145948388311668</v>
      </c>
      <c r="I2366" s="7">
        <v>-8.97167913852904</v>
      </c>
      <c r="J2366" s="7">
        <v>-6.02548687013031</v>
      </c>
      <c r="K2366" s="8"/>
      <c r="L2366" s="8"/>
    </row>
    <row r="2367" ht="13.5" customHeight="1">
      <c r="A2367" s="7" t="s">
        <v>355</v>
      </c>
      <c r="B2367" s="7">
        <v>3.5</v>
      </c>
      <c r="C2367" s="7" t="s">
        <v>361</v>
      </c>
      <c r="D2367" s="7" t="s">
        <v>357</v>
      </c>
      <c r="E2367" s="7">
        <v>-24.8082111688331</v>
      </c>
      <c r="F2367" s="7">
        <v>2.39428017316021</v>
      </c>
      <c r="G2367" s="7">
        <v>3.22205290043313</v>
      </c>
      <c r="H2367" s="7">
        <v>-0.00146053898701278</v>
      </c>
      <c r="I2367" s="7">
        <v>-8.97847393073685</v>
      </c>
      <c r="J2367" s="7">
        <v>-6.03003392207837</v>
      </c>
      <c r="K2367" s="8"/>
      <c r="L2367" s="8"/>
    </row>
    <row r="2368" ht="13.5" customHeight="1">
      <c r="A2368" s="7" t="s">
        <v>355</v>
      </c>
      <c r="B2368" s="7">
        <v>0.0</v>
      </c>
      <c r="C2368" s="7" t="s">
        <v>362</v>
      </c>
      <c r="D2368" s="7" t="s">
        <v>357</v>
      </c>
      <c r="E2368" s="7">
        <v>-24.8250675324695</v>
      </c>
      <c r="F2368" s="7">
        <v>2.39599069264073</v>
      </c>
      <c r="G2368" s="7">
        <v>3.22431731601755</v>
      </c>
      <c r="H2368" s="7">
        <v>-0.00146159409090888</v>
      </c>
      <c r="I2368" s="7">
        <v>-8.98526872294466</v>
      </c>
      <c r="J2368" s="7">
        <v>-6.03458097402643</v>
      </c>
      <c r="K2368" s="8"/>
      <c r="L2368" s="8"/>
    </row>
    <row r="2369" ht="13.5" customHeight="1">
      <c r="A2369" s="7" t="s">
        <v>355</v>
      </c>
      <c r="B2369" s="7">
        <v>1.75</v>
      </c>
      <c r="C2369" s="7" t="s">
        <v>362</v>
      </c>
      <c r="D2369" s="7" t="s">
        <v>357</v>
      </c>
      <c r="E2369" s="7">
        <v>-24.8419238961059</v>
      </c>
      <c r="F2369" s="7">
        <v>2.39770121212125</v>
      </c>
      <c r="G2369" s="7">
        <v>3.22658173160197</v>
      </c>
      <c r="H2369" s="7">
        <v>-0.00146264919480498</v>
      </c>
      <c r="I2369" s="7">
        <v>-8.99206351515247</v>
      </c>
      <c r="J2369" s="7">
        <v>-6.03912802597449</v>
      </c>
      <c r="K2369" s="8"/>
      <c r="L2369" s="8"/>
    </row>
    <row r="2370" ht="13.5" customHeight="1">
      <c r="A2370" s="7" t="s">
        <v>355</v>
      </c>
      <c r="B2370" s="7">
        <v>3.5</v>
      </c>
      <c r="C2370" s="7" t="s">
        <v>362</v>
      </c>
      <c r="D2370" s="7" t="s">
        <v>357</v>
      </c>
      <c r="E2370" s="7">
        <v>-24.8587802597423</v>
      </c>
      <c r="F2370" s="7">
        <v>2.39941173160177</v>
      </c>
      <c r="G2370" s="7">
        <v>3.22884614718639</v>
      </c>
      <c r="H2370" s="7">
        <v>-0.00146370429870108</v>
      </c>
      <c r="I2370" s="7">
        <v>-8.99885830736028</v>
      </c>
      <c r="J2370" s="7">
        <v>-6.04367507792255</v>
      </c>
      <c r="K2370" s="8"/>
      <c r="L2370" s="8"/>
    </row>
    <row r="2371" ht="13.5" customHeight="1">
      <c r="A2371" s="7" t="s">
        <v>355</v>
      </c>
      <c r="B2371" s="7">
        <v>0.0</v>
      </c>
      <c r="C2371" s="7" t="s">
        <v>363</v>
      </c>
      <c r="D2371" s="7" t="s">
        <v>357</v>
      </c>
      <c r="E2371" s="7">
        <v>-24.8756366233787</v>
      </c>
      <c r="F2371" s="7">
        <v>2.40112225108229</v>
      </c>
      <c r="G2371" s="7">
        <v>3.23111056277081</v>
      </c>
      <c r="H2371" s="7">
        <v>-0.00146475940259718</v>
      </c>
      <c r="I2371" s="7">
        <v>-9.00565309956809</v>
      </c>
      <c r="J2371" s="7">
        <v>-6.04822212987061</v>
      </c>
      <c r="K2371" s="8"/>
      <c r="L2371" s="8"/>
    </row>
    <row r="2372" ht="13.5" customHeight="1">
      <c r="A2372" s="7" t="s">
        <v>355</v>
      </c>
      <c r="B2372" s="7">
        <v>1.75</v>
      </c>
      <c r="C2372" s="7" t="s">
        <v>363</v>
      </c>
      <c r="D2372" s="7" t="s">
        <v>357</v>
      </c>
      <c r="E2372" s="7">
        <v>-24.8924929870151</v>
      </c>
      <c r="F2372" s="7">
        <v>2.40283277056281</v>
      </c>
      <c r="G2372" s="7">
        <v>3.23337497835523</v>
      </c>
      <c r="H2372" s="7">
        <v>-0.00146581450649328</v>
      </c>
      <c r="I2372" s="7">
        <v>-9.0124478917759</v>
      </c>
      <c r="J2372" s="7">
        <v>-6.05276918181867</v>
      </c>
      <c r="K2372" s="8"/>
      <c r="L2372" s="8"/>
    </row>
    <row r="2373" ht="13.5" customHeight="1">
      <c r="A2373" s="7" t="s">
        <v>355</v>
      </c>
      <c r="B2373" s="7">
        <v>3.5</v>
      </c>
      <c r="C2373" s="7" t="s">
        <v>363</v>
      </c>
      <c r="D2373" s="7" t="s">
        <v>357</v>
      </c>
      <c r="E2373" s="7">
        <v>-24.9093493506515</v>
      </c>
      <c r="F2373" s="7">
        <v>2.40454329004333</v>
      </c>
      <c r="G2373" s="7">
        <v>3.23563939393965</v>
      </c>
      <c r="H2373" s="7">
        <v>-0.00146686961038938</v>
      </c>
      <c r="I2373" s="7">
        <v>-9.01924268398371</v>
      </c>
      <c r="J2373" s="7">
        <v>-6.05731623376674</v>
      </c>
      <c r="K2373" s="8"/>
      <c r="L2373" s="8"/>
    </row>
    <row r="2374" ht="13.5" customHeight="1">
      <c r="A2374" s="7" t="s">
        <v>355</v>
      </c>
      <c r="B2374" s="7">
        <v>0.0</v>
      </c>
      <c r="C2374" s="7" t="s">
        <v>356</v>
      </c>
      <c r="D2374" s="7" t="s">
        <v>357</v>
      </c>
      <c r="E2374" s="7">
        <v>-24.9262057142879</v>
      </c>
      <c r="F2374" s="7">
        <v>2.40625380952385</v>
      </c>
      <c r="G2374" s="7">
        <v>3.23790380952407</v>
      </c>
      <c r="H2374" s="7">
        <v>-0.00146792471428548</v>
      </c>
      <c r="I2374" s="7">
        <v>-9.02603747619152</v>
      </c>
      <c r="J2374" s="7">
        <v>-6.0618632857148</v>
      </c>
      <c r="K2374" s="8"/>
      <c r="L2374" s="8"/>
    </row>
    <row r="2375" ht="13.5" customHeight="1">
      <c r="A2375" s="7" t="s">
        <v>355</v>
      </c>
      <c r="B2375" s="7">
        <v>1.75</v>
      </c>
      <c r="C2375" s="7" t="s">
        <v>356</v>
      </c>
      <c r="D2375" s="7" t="s">
        <v>357</v>
      </c>
      <c r="E2375" s="7">
        <v>-24.9430620779243</v>
      </c>
      <c r="F2375" s="7">
        <v>2.40796432900437</v>
      </c>
      <c r="G2375" s="7">
        <v>3.24016822510849</v>
      </c>
      <c r="H2375" s="7">
        <v>-0.00146897981818158</v>
      </c>
      <c r="I2375" s="7">
        <v>-9.03283226839932</v>
      </c>
      <c r="J2375" s="7">
        <v>-6.06641033766286</v>
      </c>
      <c r="K2375" s="8"/>
      <c r="L2375" s="8"/>
    </row>
    <row r="2376" ht="13.5" customHeight="1">
      <c r="A2376" s="7" t="s">
        <v>355</v>
      </c>
      <c r="B2376" s="7">
        <v>3.5</v>
      </c>
      <c r="C2376" s="7" t="s">
        <v>356</v>
      </c>
      <c r="D2376" s="7" t="s">
        <v>357</v>
      </c>
      <c r="E2376" s="7">
        <v>-24.9599184415607</v>
      </c>
      <c r="F2376" s="7">
        <v>2.40967484848489</v>
      </c>
      <c r="G2376" s="7">
        <v>3.24243264069291</v>
      </c>
      <c r="H2376" s="7">
        <v>-0.00147003492207768</v>
      </c>
      <c r="I2376" s="7">
        <v>-9.03962706060713</v>
      </c>
      <c r="J2376" s="7">
        <v>-6.07095738961092</v>
      </c>
      <c r="K2376" s="8"/>
      <c r="L2376" s="8"/>
    </row>
    <row r="2377" ht="13.5" customHeight="1">
      <c r="A2377" s="7" t="s">
        <v>355</v>
      </c>
      <c r="B2377" s="7">
        <v>0.0</v>
      </c>
      <c r="C2377" s="7" t="s">
        <v>358</v>
      </c>
      <c r="D2377" s="7" t="s">
        <v>357</v>
      </c>
      <c r="E2377" s="7">
        <v>-24.9767748051971</v>
      </c>
      <c r="F2377" s="7">
        <v>2.41138536796541</v>
      </c>
      <c r="G2377" s="7">
        <v>3.24469705627733</v>
      </c>
      <c r="H2377" s="7">
        <v>-0.00147109002597378</v>
      </c>
      <c r="I2377" s="7">
        <v>-9.04642185281494</v>
      </c>
      <c r="J2377" s="7">
        <v>-6.07550444155898</v>
      </c>
      <c r="K2377" s="8"/>
      <c r="L2377" s="8"/>
    </row>
    <row r="2378" ht="13.5" customHeight="1">
      <c r="A2378" s="7" t="s">
        <v>355</v>
      </c>
      <c r="B2378" s="7">
        <v>1.75</v>
      </c>
      <c r="C2378" s="7" t="s">
        <v>358</v>
      </c>
      <c r="D2378" s="7" t="s">
        <v>357</v>
      </c>
      <c r="E2378" s="7">
        <v>-24.9936311688335</v>
      </c>
      <c r="F2378" s="7">
        <v>2.41309588744593</v>
      </c>
      <c r="G2378" s="7">
        <v>3.24696147186175</v>
      </c>
      <c r="H2378" s="7">
        <v>-0.00147214512986989</v>
      </c>
      <c r="I2378" s="7">
        <v>-9.05321664502275</v>
      </c>
      <c r="J2378" s="7">
        <v>-6.08005149350704</v>
      </c>
      <c r="K2378" s="8"/>
      <c r="L2378" s="8"/>
    </row>
    <row r="2379" ht="13.5" customHeight="1">
      <c r="A2379" s="7" t="s">
        <v>355</v>
      </c>
      <c r="B2379" s="7">
        <v>3.5</v>
      </c>
      <c r="C2379" s="7" t="s">
        <v>358</v>
      </c>
      <c r="D2379" s="7" t="s">
        <v>357</v>
      </c>
      <c r="E2379" s="7">
        <v>-25.0104875324699</v>
      </c>
      <c r="F2379" s="7">
        <v>2.41480640692645</v>
      </c>
      <c r="G2379" s="7">
        <v>3.24922588744617</v>
      </c>
      <c r="H2379" s="7">
        <v>-0.00147320023376599</v>
      </c>
      <c r="I2379" s="7">
        <v>-9.06001143723056</v>
      </c>
      <c r="J2379" s="7">
        <v>-6.0845985454551</v>
      </c>
      <c r="K2379" s="8"/>
      <c r="L2379" s="8"/>
    </row>
    <row r="2380" ht="13.5" customHeight="1">
      <c r="A2380" s="7" t="s">
        <v>355</v>
      </c>
      <c r="B2380" s="7">
        <v>0.0</v>
      </c>
      <c r="C2380" s="7" t="s">
        <v>359</v>
      </c>
      <c r="D2380" s="7" t="s">
        <v>357</v>
      </c>
      <c r="E2380" s="7">
        <v>-25.0273438961063</v>
      </c>
      <c r="F2380" s="7">
        <v>2.41651692640697</v>
      </c>
      <c r="G2380" s="7">
        <v>3.25149030303059</v>
      </c>
      <c r="H2380" s="7">
        <v>-0.00147425533766209</v>
      </c>
      <c r="I2380" s="7">
        <v>-9.06680622943837</v>
      </c>
      <c r="J2380" s="7">
        <v>-6.08914559740316</v>
      </c>
      <c r="K2380" s="8"/>
      <c r="L2380" s="8"/>
    </row>
    <row r="2381" ht="13.5" customHeight="1">
      <c r="A2381" s="7" t="s">
        <v>355</v>
      </c>
      <c r="B2381" s="7">
        <v>1.75</v>
      </c>
      <c r="C2381" s="7" t="s">
        <v>359</v>
      </c>
      <c r="D2381" s="7" t="s">
        <v>357</v>
      </c>
      <c r="E2381" s="7">
        <v>-25.0442002597427</v>
      </c>
      <c r="F2381" s="7">
        <v>2.41822744588749</v>
      </c>
      <c r="G2381" s="7">
        <v>3.25375471861501</v>
      </c>
      <c r="H2381" s="7">
        <v>-0.00147531044155819</v>
      </c>
      <c r="I2381" s="7">
        <v>-9.07360102164618</v>
      </c>
      <c r="J2381" s="7">
        <v>-6.09369264935122</v>
      </c>
      <c r="K2381" s="8"/>
      <c r="L2381" s="8"/>
    </row>
    <row r="2382" ht="13.5" customHeight="1">
      <c r="A2382" s="7" t="s">
        <v>355</v>
      </c>
      <c r="B2382" s="7">
        <v>3.5</v>
      </c>
      <c r="C2382" s="7" t="s">
        <v>359</v>
      </c>
      <c r="D2382" s="7" t="s">
        <v>357</v>
      </c>
      <c r="E2382" s="7">
        <v>-25.0610566233791</v>
      </c>
      <c r="F2382" s="7">
        <v>2.41993796536801</v>
      </c>
      <c r="G2382" s="7">
        <v>3.25601913419943</v>
      </c>
      <c r="H2382" s="7">
        <v>-0.00147636554545429</v>
      </c>
      <c r="I2382" s="7">
        <v>-9.08039581385399</v>
      </c>
      <c r="J2382" s="7">
        <v>-6.09823970129928</v>
      </c>
      <c r="K2382" s="8"/>
      <c r="L2382" s="8"/>
    </row>
    <row r="2383" ht="13.5" customHeight="1">
      <c r="A2383" s="7" t="s">
        <v>355</v>
      </c>
      <c r="B2383" s="7">
        <v>0.0</v>
      </c>
      <c r="C2383" s="7" t="s">
        <v>360</v>
      </c>
      <c r="D2383" s="7" t="s">
        <v>357</v>
      </c>
      <c r="E2383" s="7">
        <v>-25.0779129870155</v>
      </c>
      <c r="F2383" s="7">
        <v>2.42164848484853</v>
      </c>
      <c r="G2383" s="7">
        <v>3.25828354978385</v>
      </c>
      <c r="H2383" s="7">
        <v>-0.00147742064935039</v>
      </c>
      <c r="I2383" s="7">
        <v>-9.0871906060618</v>
      </c>
      <c r="J2383" s="7">
        <v>-6.10278675324734</v>
      </c>
      <c r="K2383" s="8"/>
      <c r="L2383" s="8"/>
    </row>
    <row r="2384" ht="13.5" customHeight="1">
      <c r="A2384" s="7" t="s">
        <v>355</v>
      </c>
      <c r="B2384" s="7">
        <v>1.75</v>
      </c>
      <c r="C2384" s="7" t="s">
        <v>360</v>
      </c>
      <c r="D2384" s="7" t="s">
        <v>357</v>
      </c>
      <c r="E2384" s="7">
        <v>-25.0947693506519</v>
      </c>
      <c r="F2384" s="7">
        <v>2.42335900432905</v>
      </c>
      <c r="G2384" s="7">
        <v>3.26054796536827</v>
      </c>
      <c r="H2384" s="7">
        <v>-0.00147847575324649</v>
      </c>
      <c r="I2384" s="7">
        <v>-9.09398539826961</v>
      </c>
      <c r="J2384" s="7">
        <v>-6.1073338051954</v>
      </c>
      <c r="K2384" s="8"/>
      <c r="L2384" s="8"/>
    </row>
    <row r="2385" ht="13.5" customHeight="1">
      <c r="A2385" s="7" t="s">
        <v>355</v>
      </c>
      <c r="B2385" s="7">
        <v>3.5</v>
      </c>
      <c r="C2385" s="7" t="s">
        <v>360</v>
      </c>
      <c r="D2385" s="7" t="s">
        <v>357</v>
      </c>
      <c r="E2385" s="7">
        <v>-25.1116257142883</v>
      </c>
      <c r="F2385" s="7">
        <v>2.42506952380957</v>
      </c>
      <c r="G2385" s="7">
        <v>3.26281238095269</v>
      </c>
      <c r="H2385" s="7">
        <v>-0.00147953085714259</v>
      </c>
      <c r="I2385" s="7">
        <v>-9.10078019047742</v>
      </c>
      <c r="J2385" s="7">
        <v>-6.11188085714346</v>
      </c>
      <c r="K2385" s="8"/>
      <c r="L2385" s="8"/>
    </row>
    <row r="2386" ht="13.5" customHeight="1">
      <c r="A2386" s="7" t="s">
        <v>355</v>
      </c>
      <c r="B2386" s="7">
        <v>0.0</v>
      </c>
      <c r="C2386" s="7" t="s">
        <v>361</v>
      </c>
      <c r="D2386" s="7" t="s">
        <v>357</v>
      </c>
      <c r="E2386" s="7">
        <v>-25.1284820779247</v>
      </c>
      <c r="F2386" s="7">
        <v>2.42678004329009</v>
      </c>
      <c r="G2386" s="7">
        <v>3.26507679653711</v>
      </c>
      <c r="H2386" s="7">
        <v>-0.00148058596103869</v>
      </c>
      <c r="I2386" s="7">
        <v>-9.10757498268523</v>
      </c>
      <c r="J2386" s="7">
        <v>-6.11642790909152</v>
      </c>
      <c r="K2386" s="8"/>
      <c r="L2386" s="8"/>
    </row>
    <row r="2387" ht="13.5" customHeight="1">
      <c r="A2387" s="7" t="s">
        <v>355</v>
      </c>
      <c r="B2387" s="7">
        <v>1.75</v>
      </c>
      <c r="C2387" s="7" t="s">
        <v>361</v>
      </c>
      <c r="D2387" s="7" t="s">
        <v>357</v>
      </c>
      <c r="E2387" s="7">
        <v>-25.1453384415611</v>
      </c>
      <c r="F2387" s="7">
        <v>2.42849056277061</v>
      </c>
      <c r="G2387" s="7">
        <v>3.26734121212153</v>
      </c>
      <c r="H2387" s="7">
        <v>-0.00148164106493479</v>
      </c>
      <c r="I2387" s="7">
        <v>-9.11436977489304</v>
      </c>
      <c r="J2387" s="7">
        <v>-6.12097496103958</v>
      </c>
      <c r="K2387" s="8"/>
      <c r="L2387" s="8"/>
    </row>
    <row r="2388" ht="13.5" customHeight="1">
      <c r="A2388" s="7" t="s">
        <v>355</v>
      </c>
      <c r="B2388" s="7">
        <v>3.5</v>
      </c>
      <c r="C2388" s="7" t="s">
        <v>361</v>
      </c>
      <c r="D2388" s="7" t="s">
        <v>357</v>
      </c>
      <c r="E2388" s="7">
        <v>-25.1621948051975</v>
      </c>
      <c r="F2388" s="7">
        <v>2.43020108225113</v>
      </c>
      <c r="G2388" s="7">
        <v>3.26960562770595</v>
      </c>
      <c r="H2388" s="7">
        <v>-0.00148269616883089</v>
      </c>
      <c r="I2388" s="7">
        <v>-9.12116456710085</v>
      </c>
      <c r="J2388" s="7">
        <v>-6.12552201298764</v>
      </c>
      <c r="K2388" s="8"/>
      <c r="L2388" s="8"/>
    </row>
    <row r="2389" ht="13.5" customHeight="1">
      <c r="A2389" s="7" t="s">
        <v>355</v>
      </c>
      <c r="B2389" s="7">
        <v>0.0</v>
      </c>
      <c r="C2389" s="7" t="s">
        <v>362</v>
      </c>
      <c r="D2389" s="7" t="s">
        <v>357</v>
      </c>
      <c r="E2389" s="7">
        <v>-25.1790511688339</v>
      </c>
      <c r="F2389" s="7">
        <v>2.43191160173165</v>
      </c>
      <c r="G2389" s="7">
        <v>3.27187004329037</v>
      </c>
      <c r="H2389" s="7">
        <v>-0.00148375127272699</v>
      </c>
      <c r="I2389" s="7">
        <v>-9.12795935930866</v>
      </c>
      <c r="J2389" s="7">
        <v>-6.1300690649357</v>
      </c>
      <c r="K2389" s="8"/>
      <c r="L2389" s="8"/>
    </row>
    <row r="2390" ht="13.5" customHeight="1">
      <c r="A2390" s="7" t="s">
        <v>355</v>
      </c>
      <c r="B2390" s="7">
        <v>1.75</v>
      </c>
      <c r="C2390" s="7" t="s">
        <v>362</v>
      </c>
      <c r="D2390" s="7" t="s">
        <v>357</v>
      </c>
      <c r="E2390" s="7">
        <v>-25.1959075324703</v>
      </c>
      <c r="F2390" s="7">
        <v>2.43362212121217</v>
      </c>
      <c r="G2390" s="7">
        <v>3.27413445887479</v>
      </c>
      <c r="H2390" s="7">
        <v>-0.00148480637662309</v>
      </c>
      <c r="I2390" s="7">
        <v>-9.13475415151647</v>
      </c>
      <c r="J2390" s="7">
        <v>-6.13461611688376</v>
      </c>
      <c r="K2390" s="8"/>
      <c r="L2390" s="8"/>
    </row>
    <row r="2391" ht="13.5" customHeight="1">
      <c r="A2391" s="7" t="s">
        <v>355</v>
      </c>
      <c r="B2391" s="7">
        <v>3.5</v>
      </c>
      <c r="C2391" s="7" t="s">
        <v>362</v>
      </c>
      <c r="D2391" s="7" t="s">
        <v>357</v>
      </c>
      <c r="E2391" s="7">
        <v>-25.2127638961067</v>
      </c>
      <c r="F2391" s="7">
        <v>2.43533264069269</v>
      </c>
      <c r="G2391" s="7">
        <v>3.27639887445921</v>
      </c>
      <c r="H2391" s="7">
        <v>-0.00148586148051919</v>
      </c>
      <c r="I2391" s="7">
        <v>-9.14154894372428</v>
      </c>
      <c r="J2391" s="7">
        <v>-6.13916316883183</v>
      </c>
      <c r="K2391" s="8"/>
      <c r="L2391" s="8"/>
    </row>
    <row r="2392" ht="13.5" customHeight="1">
      <c r="A2392" s="7" t="s">
        <v>355</v>
      </c>
      <c r="B2392" s="7">
        <v>0.0</v>
      </c>
      <c r="C2392" s="7" t="s">
        <v>363</v>
      </c>
      <c r="D2392" s="7" t="s">
        <v>357</v>
      </c>
      <c r="E2392" s="7">
        <v>-25.2296202597431</v>
      </c>
      <c r="F2392" s="7">
        <v>2.43704316017321</v>
      </c>
      <c r="G2392" s="7">
        <v>3.27866329004363</v>
      </c>
      <c r="H2392" s="7">
        <v>-0.00148691658441529</v>
      </c>
      <c r="I2392" s="7">
        <v>-9.14834373593209</v>
      </c>
      <c r="J2392" s="7">
        <v>-6.14371022077989</v>
      </c>
      <c r="K2392" s="8"/>
      <c r="L2392" s="8"/>
    </row>
    <row r="2393" ht="13.5" customHeight="1">
      <c r="A2393" s="7" t="s">
        <v>355</v>
      </c>
      <c r="B2393" s="7">
        <v>1.75</v>
      </c>
      <c r="C2393" s="7" t="s">
        <v>363</v>
      </c>
      <c r="D2393" s="7" t="s">
        <v>357</v>
      </c>
      <c r="E2393" s="7">
        <v>-25.2464766233795</v>
      </c>
      <c r="F2393" s="7">
        <v>2.43875367965373</v>
      </c>
      <c r="G2393" s="7">
        <v>3.28092770562805</v>
      </c>
      <c r="H2393" s="7">
        <v>-0.00148797168831139</v>
      </c>
      <c r="I2393" s="7">
        <v>-9.1551385281399</v>
      </c>
      <c r="J2393" s="7">
        <v>-6.14825727272795</v>
      </c>
      <c r="K2393" s="8"/>
      <c r="L2393" s="8"/>
    </row>
    <row r="2394" ht="13.5" customHeight="1">
      <c r="A2394" s="7" t="s">
        <v>355</v>
      </c>
      <c r="B2394" s="7">
        <v>3.5</v>
      </c>
      <c r="C2394" s="7" t="s">
        <v>363</v>
      </c>
      <c r="D2394" s="7" t="s">
        <v>357</v>
      </c>
      <c r="E2394" s="7">
        <v>-25.2633329870159</v>
      </c>
      <c r="F2394" s="7">
        <v>2.44046419913425</v>
      </c>
      <c r="G2394" s="7">
        <v>3.28319212121247</v>
      </c>
      <c r="H2394" s="7">
        <v>-0.00148902679220749</v>
      </c>
      <c r="I2394" s="7">
        <v>-9.16193332034771</v>
      </c>
      <c r="J2394" s="7">
        <v>-6.15280432467601</v>
      </c>
      <c r="K2394" s="8"/>
      <c r="L2394" s="8"/>
    </row>
    <row r="2395" ht="13.5" customHeight="1">
      <c r="A2395" s="7" t="s">
        <v>355</v>
      </c>
      <c r="B2395" s="7">
        <v>0.0</v>
      </c>
      <c r="C2395" s="7" t="s">
        <v>356</v>
      </c>
      <c r="D2395" s="7" t="s">
        <v>357</v>
      </c>
      <c r="E2395" s="7">
        <v>-25.2801893506523</v>
      </c>
      <c r="F2395" s="7">
        <v>2.44217471861477</v>
      </c>
      <c r="G2395" s="7">
        <v>3.28545653679689</v>
      </c>
      <c r="H2395" s="7">
        <v>-0.00149008189610359</v>
      </c>
      <c r="I2395" s="7">
        <v>-9.16872811255552</v>
      </c>
      <c r="J2395" s="7">
        <v>-6.15735137662407</v>
      </c>
      <c r="K2395" s="8"/>
      <c r="L2395" s="8"/>
    </row>
    <row r="2396" ht="13.5" customHeight="1">
      <c r="A2396" s="7" t="s">
        <v>355</v>
      </c>
      <c r="B2396" s="7">
        <v>1.75</v>
      </c>
      <c r="C2396" s="7" t="s">
        <v>356</v>
      </c>
      <c r="D2396" s="7" t="s">
        <v>357</v>
      </c>
      <c r="E2396" s="7">
        <v>-25.2970457142887</v>
      </c>
      <c r="F2396" s="7">
        <v>2.44388523809529</v>
      </c>
      <c r="G2396" s="7">
        <v>3.28772095238131</v>
      </c>
      <c r="H2396" s="7">
        <v>-0.00149113699999969</v>
      </c>
      <c r="I2396" s="7">
        <v>-9.17552290476333</v>
      </c>
      <c r="J2396" s="7">
        <v>-6.16189842857213</v>
      </c>
      <c r="K2396" s="8"/>
      <c r="L2396" s="8"/>
    </row>
    <row r="2397" ht="13.5" customHeight="1">
      <c r="A2397" s="7" t="s">
        <v>355</v>
      </c>
      <c r="B2397" s="7">
        <v>3.5</v>
      </c>
      <c r="C2397" s="7" t="s">
        <v>356</v>
      </c>
      <c r="D2397" s="7" t="s">
        <v>357</v>
      </c>
      <c r="E2397" s="7">
        <v>-25.3139020779251</v>
      </c>
      <c r="F2397" s="7">
        <v>2.44559575757581</v>
      </c>
      <c r="G2397" s="7">
        <v>3.28998536796573</v>
      </c>
      <c r="H2397" s="7">
        <v>-0.00149219210389579</v>
      </c>
      <c r="I2397" s="7">
        <v>-9.18231769697114</v>
      </c>
      <c r="J2397" s="7">
        <v>-6.16644548052019</v>
      </c>
      <c r="K2397" s="8"/>
      <c r="L2397" s="8"/>
    </row>
    <row r="2398" ht="13.5" customHeight="1">
      <c r="A2398" s="7" t="s">
        <v>355</v>
      </c>
      <c r="B2398" s="7">
        <v>0.0</v>
      </c>
      <c r="C2398" s="7" t="s">
        <v>358</v>
      </c>
      <c r="D2398" s="7" t="s">
        <v>357</v>
      </c>
      <c r="E2398" s="7">
        <v>-25.3307584415615</v>
      </c>
      <c r="F2398" s="7">
        <v>2.44730627705633</v>
      </c>
      <c r="G2398" s="7">
        <v>3.29224978355015</v>
      </c>
      <c r="H2398" s="7">
        <v>-0.00149324720779189</v>
      </c>
      <c r="I2398" s="7">
        <v>-9.18911248917895</v>
      </c>
      <c r="J2398" s="7">
        <v>-6.17099253246825</v>
      </c>
      <c r="K2398" s="8"/>
      <c r="L2398" s="8"/>
    </row>
    <row r="2399" ht="13.5" customHeight="1">
      <c r="A2399" s="7" t="s">
        <v>355</v>
      </c>
      <c r="B2399" s="7">
        <v>1.75</v>
      </c>
      <c r="C2399" s="7" t="s">
        <v>358</v>
      </c>
      <c r="D2399" s="7" t="s">
        <v>357</v>
      </c>
      <c r="E2399" s="7">
        <v>-25.3476148051979</v>
      </c>
      <c r="F2399" s="7">
        <v>2.44901679653685</v>
      </c>
      <c r="G2399" s="7">
        <v>3.29451419913457</v>
      </c>
      <c r="H2399" s="7">
        <v>-0.00149430231168799</v>
      </c>
      <c r="I2399" s="7">
        <v>-9.19590728138676</v>
      </c>
      <c r="J2399" s="7">
        <v>-6.17553958441631</v>
      </c>
      <c r="K2399" s="8"/>
      <c r="L2399" s="8"/>
    </row>
    <row r="2400" ht="13.5" customHeight="1">
      <c r="A2400" s="7" t="s">
        <v>355</v>
      </c>
      <c r="B2400" s="7">
        <v>3.5</v>
      </c>
      <c r="C2400" s="7" t="s">
        <v>358</v>
      </c>
      <c r="D2400" s="7" t="s">
        <v>357</v>
      </c>
      <c r="E2400" s="7">
        <v>-25.3644711688343</v>
      </c>
      <c r="F2400" s="7">
        <v>2.45072731601737</v>
      </c>
      <c r="G2400" s="7">
        <v>3.29677861471899</v>
      </c>
      <c r="H2400" s="7">
        <v>-0.00149535741558409</v>
      </c>
      <c r="I2400" s="7">
        <v>-9.20270207359457</v>
      </c>
      <c r="J2400" s="7">
        <v>-6.18008663636437</v>
      </c>
      <c r="K2400" s="8"/>
      <c r="L2400" s="8"/>
    </row>
    <row r="2401" ht="13.5" customHeight="1">
      <c r="A2401" s="7" t="s">
        <v>355</v>
      </c>
      <c r="B2401" s="7">
        <v>0.0</v>
      </c>
      <c r="C2401" s="7" t="s">
        <v>359</v>
      </c>
      <c r="D2401" s="7" t="s">
        <v>357</v>
      </c>
      <c r="E2401" s="7">
        <v>-25.3813275324707</v>
      </c>
      <c r="F2401" s="7">
        <v>2.45243783549789</v>
      </c>
      <c r="G2401" s="7">
        <v>3.29904303030341</v>
      </c>
      <c r="H2401" s="7">
        <v>-0.00149641251948019</v>
      </c>
      <c r="I2401" s="7">
        <v>-9.20949686580238</v>
      </c>
      <c r="J2401" s="7">
        <v>-6.18463368831243</v>
      </c>
      <c r="K2401" s="8"/>
      <c r="L2401" s="8"/>
    </row>
    <row r="2402" ht="13.5" customHeight="1">
      <c r="A2402" s="7" t="s">
        <v>355</v>
      </c>
      <c r="B2402" s="7">
        <v>1.75</v>
      </c>
      <c r="C2402" s="7" t="s">
        <v>359</v>
      </c>
      <c r="D2402" s="7" t="s">
        <v>357</v>
      </c>
      <c r="E2402" s="7">
        <v>-25.3981838961071</v>
      </c>
      <c r="F2402" s="7">
        <v>2.45414835497841</v>
      </c>
      <c r="G2402" s="7">
        <v>3.30130744588783</v>
      </c>
      <c r="H2402" s="7">
        <v>-0.00149746762337629</v>
      </c>
      <c r="I2402" s="7">
        <v>-9.21629165801019</v>
      </c>
      <c r="J2402" s="7">
        <v>-6.18918074026049</v>
      </c>
      <c r="K2402" s="8"/>
      <c r="L2402" s="8"/>
    </row>
    <row r="2403" ht="13.5" customHeight="1">
      <c r="A2403" s="7" t="s">
        <v>355</v>
      </c>
      <c r="B2403" s="7">
        <v>3.5</v>
      </c>
      <c r="C2403" s="7" t="s">
        <v>359</v>
      </c>
      <c r="D2403" s="7" t="s">
        <v>357</v>
      </c>
      <c r="E2403" s="7">
        <v>-25.4150402597435</v>
      </c>
      <c r="F2403" s="7">
        <v>2.45585887445893</v>
      </c>
      <c r="G2403" s="7">
        <v>3.30357186147225</v>
      </c>
      <c r="H2403" s="7">
        <v>-0.00149852272727239</v>
      </c>
      <c r="I2403" s="7">
        <v>-9.223086450218</v>
      </c>
      <c r="J2403" s="7">
        <v>-6.19372779220855</v>
      </c>
      <c r="K2403" s="8"/>
      <c r="L2403" s="8"/>
    </row>
    <row r="2404" ht="13.5" customHeight="1">
      <c r="A2404" s="7" t="s">
        <v>355</v>
      </c>
      <c r="B2404" s="7">
        <v>0.0</v>
      </c>
      <c r="C2404" s="7" t="s">
        <v>360</v>
      </c>
      <c r="D2404" s="7" t="s">
        <v>357</v>
      </c>
      <c r="E2404" s="7">
        <v>-25.4318966233799</v>
      </c>
      <c r="F2404" s="7">
        <v>2.45756939393945</v>
      </c>
      <c r="G2404" s="7">
        <v>3.30583627705667</v>
      </c>
      <c r="H2404" s="7">
        <v>-0.00149957783116849</v>
      </c>
      <c r="I2404" s="7">
        <v>-9.22988124242581</v>
      </c>
      <c r="J2404" s="7">
        <v>-6.19827484415661</v>
      </c>
      <c r="K2404" s="8"/>
      <c r="L2404" s="8"/>
    </row>
    <row r="2405" ht="13.5" customHeight="1">
      <c r="A2405" s="7" t="s">
        <v>355</v>
      </c>
      <c r="B2405" s="7">
        <v>1.75</v>
      </c>
      <c r="C2405" s="7" t="s">
        <v>360</v>
      </c>
      <c r="D2405" s="7" t="s">
        <v>357</v>
      </c>
      <c r="E2405" s="7">
        <v>-25.4487529870163</v>
      </c>
      <c r="F2405" s="7">
        <v>2.45927991341997</v>
      </c>
      <c r="G2405" s="7">
        <v>3.30810069264109</v>
      </c>
      <c r="H2405" s="7">
        <v>-0.00150063293506459</v>
      </c>
      <c r="I2405" s="7">
        <v>-9.23667603463362</v>
      </c>
      <c r="J2405" s="7">
        <v>-6.20282189610467</v>
      </c>
      <c r="K2405" s="8"/>
      <c r="L2405" s="8"/>
    </row>
    <row r="2406" ht="13.5" customHeight="1">
      <c r="A2406" s="7" t="s">
        <v>355</v>
      </c>
      <c r="B2406" s="7">
        <v>3.5</v>
      </c>
      <c r="C2406" s="7" t="s">
        <v>360</v>
      </c>
      <c r="D2406" s="7" t="s">
        <v>357</v>
      </c>
      <c r="E2406" s="7">
        <v>-25.4656093506527</v>
      </c>
      <c r="F2406" s="7">
        <v>2.46099043290049</v>
      </c>
      <c r="G2406" s="7">
        <v>3.31036510822551</v>
      </c>
      <c r="H2406" s="7">
        <v>-0.00150168803896069</v>
      </c>
      <c r="I2406" s="7">
        <v>-9.24347082684143</v>
      </c>
      <c r="J2406" s="7">
        <v>-6.20736894805273</v>
      </c>
      <c r="K2406" s="8"/>
      <c r="L2406" s="8"/>
    </row>
    <row r="2407" ht="13.5" customHeight="1">
      <c r="A2407" s="7" t="s">
        <v>355</v>
      </c>
      <c r="B2407" s="7">
        <v>0.0</v>
      </c>
      <c r="C2407" s="7" t="s">
        <v>361</v>
      </c>
      <c r="D2407" s="7" t="s">
        <v>357</v>
      </c>
      <c r="E2407" s="7">
        <v>-25.4824657142891</v>
      </c>
      <c r="F2407" s="7">
        <v>2.46270095238101</v>
      </c>
      <c r="G2407" s="7">
        <v>3.31262952380993</v>
      </c>
      <c r="H2407" s="7">
        <v>-0.00150274314285679</v>
      </c>
      <c r="I2407" s="7">
        <v>-9.25026561904924</v>
      </c>
      <c r="J2407" s="7">
        <v>-6.2119160000008</v>
      </c>
      <c r="K2407" s="8"/>
      <c r="L2407" s="8"/>
    </row>
    <row r="2408" ht="13.5" customHeight="1">
      <c r="A2408" s="7" t="s">
        <v>355</v>
      </c>
      <c r="B2408" s="7">
        <v>1.75</v>
      </c>
      <c r="C2408" s="7" t="s">
        <v>361</v>
      </c>
      <c r="D2408" s="7" t="s">
        <v>357</v>
      </c>
      <c r="E2408" s="7">
        <v>-25.4993220779255</v>
      </c>
      <c r="F2408" s="7">
        <v>2.46441147186153</v>
      </c>
      <c r="G2408" s="7">
        <v>3.31489393939435</v>
      </c>
      <c r="H2408" s="7">
        <v>-0.00150379824675289</v>
      </c>
      <c r="I2408" s="7">
        <v>-9.25706041125705</v>
      </c>
      <c r="J2408" s="7">
        <v>-6.21646305194886</v>
      </c>
      <c r="K2408" s="8"/>
      <c r="L2408" s="8"/>
    </row>
    <row r="2409" ht="13.5" customHeight="1">
      <c r="A2409" s="7" t="s">
        <v>355</v>
      </c>
      <c r="B2409" s="7">
        <v>3.5</v>
      </c>
      <c r="C2409" s="7" t="s">
        <v>361</v>
      </c>
      <c r="D2409" s="7" t="s">
        <v>357</v>
      </c>
      <c r="E2409" s="7">
        <v>-25.5161784415619</v>
      </c>
      <c r="F2409" s="7">
        <v>2.46612199134205</v>
      </c>
      <c r="G2409" s="7">
        <v>3.31715835497877</v>
      </c>
      <c r="H2409" s="7">
        <v>-0.00150485335064899</v>
      </c>
      <c r="I2409" s="7">
        <v>-9.26385520346486</v>
      </c>
      <c r="J2409" s="7">
        <v>-6.22101010389692</v>
      </c>
      <c r="K2409" s="8"/>
      <c r="L2409" s="8"/>
    </row>
    <row r="2410" ht="13.5" customHeight="1">
      <c r="A2410" s="7" t="s">
        <v>355</v>
      </c>
      <c r="B2410" s="7">
        <v>0.0</v>
      </c>
      <c r="C2410" s="7" t="s">
        <v>362</v>
      </c>
      <c r="D2410" s="7" t="s">
        <v>357</v>
      </c>
      <c r="E2410" s="7">
        <v>-25.5330348051983</v>
      </c>
      <c r="F2410" s="7">
        <v>2.46783251082257</v>
      </c>
      <c r="G2410" s="7">
        <v>3.31942277056319</v>
      </c>
      <c r="H2410" s="7">
        <v>-0.00150590845454509</v>
      </c>
      <c r="I2410" s="7">
        <v>-9.27064999567267</v>
      </c>
      <c r="J2410" s="7">
        <v>-6.22555715584498</v>
      </c>
      <c r="K2410" s="8"/>
      <c r="L2410" s="8"/>
    </row>
    <row r="2411" ht="13.5" customHeight="1">
      <c r="A2411" s="7" t="s">
        <v>355</v>
      </c>
      <c r="B2411" s="7">
        <v>1.75</v>
      </c>
      <c r="C2411" s="7" t="s">
        <v>362</v>
      </c>
      <c r="D2411" s="7" t="s">
        <v>357</v>
      </c>
      <c r="E2411" s="7">
        <v>-25.5498911688347</v>
      </c>
      <c r="F2411" s="7">
        <v>2.46954303030309</v>
      </c>
      <c r="G2411" s="7">
        <v>3.32168718614761</v>
      </c>
      <c r="H2411" s="7">
        <v>-0.00150696355844119</v>
      </c>
      <c r="I2411" s="7">
        <v>-9.27744478788048</v>
      </c>
      <c r="J2411" s="7">
        <v>-6.23010420779304</v>
      </c>
      <c r="K2411" s="8"/>
      <c r="L2411" s="8"/>
    </row>
    <row r="2412" ht="13.5" customHeight="1">
      <c r="A2412" s="7" t="s">
        <v>355</v>
      </c>
      <c r="B2412" s="7">
        <v>3.5</v>
      </c>
      <c r="C2412" s="7" t="s">
        <v>362</v>
      </c>
      <c r="D2412" s="7" t="s">
        <v>357</v>
      </c>
      <c r="E2412" s="7">
        <v>-25.5667475324711</v>
      </c>
      <c r="F2412" s="7">
        <v>2.47125354978361</v>
      </c>
      <c r="G2412" s="7">
        <v>3.32395160173203</v>
      </c>
      <c r="H2412" s="7">
        <v>-0.00150801866233729</v>
      </c>
      <c r="I2412" s="7">
        <v>-9.28423958008829</v>
      </c>
      <c r="J2412" s="7">
        <v>-6.2346512597411</v>
      </c>
      <c r="K2412" s="8"/>
      <c r="L2412" s="8"/>
    </row>
    <row r="2413" ht="13.5" customHeight="1">
      <c r="A2413" s="7" t="s">
        <v>355</v>
      </c>
      <c r="B2413" s="7">
        <v>0.0</v>
      </c>
      <c r="C2413" s="7" t="s">
        <v>363</v>
      </c>
      <c r="D2413" s="7" t="s">
        <v>357</v>
      </c>
      <c r="E2413" s="7">
        <v>-25.5836038961075</v>
      </c>
      <c r="F2413" s="7">
        <v>2.47296406926413</v>
      </c>
      <c r="G2413" s="7">
        <v>3.32621601731645</v>
      </c>
      <c r="H2413" s="7">
        <v>-0.00150907376623339</v>
      </c>
      <c r="I2413" s="7">
        <v>-9.2910343722961</v>
      </c>
      <c r="J2413" s="7">
        <v>-6.23919831168916</v>
      </c>
      <c r="K2413" s="8"/>
      <c r="L2413" s="8"/>
    </row>
    <row r="2414" ht="13.5" customHeight="1">
      <c r="A2414" s="7" t="s">
        <v>355</v>
      </c>
      <c r="B2414" s="7">
        <v>1.75</v>
      </c>
      <c r="C2414" s="7" t="s">
        <v>363</v>
      </c>
      <c r="D2414" s="7" t="s">
        <v>357</v>
      </c>
      <c r="E2414" s="7">
        <v>-25.6004602597439</v>
      </c>
      <c r="F2414" s="7">
        <v>2.47467458874465</v>
      </c>
      <c r="G2414" s="7">
        <v>3.32848043290087</v>
      </c>
      <c r="H2414" s="7">
        <v>-0.00151012887012949</v>
      </c>
      <c r="I2414" s="7">
        <v>-9.29782916450391</v>
      </c>
      <c r="J2414" s="7">
        <v>-6.24374536363722</v>
      </c>
      <c r="K2414" s="8"/>
      <c r="L2414" s="8"/>
    </row>
    <row r="2415" ht="13.5" customHeight="1">
      <c r="A2415" s="7" t="s">
        <v>355</v>
      </c>
      <c r="B2415" s="7">
        <v>3.5</v>
      </c>
      <c r="C2415" s="7" t="s">
        <v>363</v>
      </c>
      <c r="D2415" s="7" t="s">
        <v>357</v>
      </c>
      <c r="E2415" s="7">
        <v>-25.6173166233803</v>
      </c>
      <c r="F2415" s="7">
        <v>2.47638510822517</v>
      </c>
      <c r="G2415" s="7">
        <v>3.33074484848529</v>
      </c>
      <c r="H2415" s="7">
        <v>-0.00151118397402559</v>
      </c>
      <c r="I2415" s="7">
        <v>-9.30462395671172</v>
      </c>
      <c r="J2415" s="7">
        <v>-6.24829241558528</v>
      </c>
      <c r="K2415" s="8"/>
      <c r="L2415" s="8"/>
    </row>
    <row r="2416" ht="13.5" customHeight="1">
      <c r="A2416" s="7" t="s">
        <v>355</v>
      </c>
      <c r="B2416" s="7">
        <v>0.0</v>
      </c>
      <c r="C2416" s="7" t="s">
        <v>356</v>
      </c>
      <c r="D2416" s="7" t="s">
        <v>357</v>
      </c>
      <c r="E2416" s="7">
        <v>-25.6341729870167</v>
      </c>
      <c r="F2416" s="7">
        <v>2.47809562770569</v>
      </c>
      <c r="G2416" s="7">
        <v>3.33300926406971</v>
      </c>
      <c r="H2416" s="7">
        <v>-0.00151223907792169</v>
      </c>
      <c r="I2416" s="7">
        <v>-9.31141874891953</v>
      </c>
      <c r="J2416" s="7">
        <v>-6.25283946753334</v>
      </c>
      <c r="K2416" s="8"/>
      <c r="L2416" s="8"/>
    </row>
    <row r="2417" ht="13.5" customHeight="1">
      <c r="A2417" s="7" t="s">
        <v>355</v>
      </c>
      <c r="B2417" s="7">
        <v>1.75</v>
      </c>
      <c r="C2417" s="7" t="s">
        <v>356</v>
      </c>
      <c r="D2417" s="7" t="s">
        <v>357</v>
      </c>
      <c r="E2417" s="7">
        <v>-25.6510293506531</v>
      </c>
      <c r="F2417" s="7">
        <v>2.47980614718621</v>
      </c>
      <c r="G2417" s="7">
        <v>3.33527367965413</v>
      </c>
      <c r="H2417" s="7">
        <v>-0.00151329418181779</v>
      </c>
      <c r="I2417" s="7">
        <v>-9.31821354112734</v>
      </c>
      <c r="J2417" s="7">
        <v>-6.2573865194814</v>
      </c>
      <c r="K2417" s="8"/>
      <c r="L2417" s="8"/>
    </row>
    <row r="2418" ht="13.5" customHeight="1">
      <c r="A2418" s="7" t="s">
        <v>355</v>
      </c>
      <c r="B2418" s="7">
        <v>3.5</v>
      </c>
      <c r="C2418" s="7" t="s">
        <v>356</v>
      </c>
      <c r="D2418" s="7" t="s">
        <v>357</v>
      </c>
      <c r="E2418" s="7">
        <v>-25.6678857142895</v>
      </c>
      <c r="F2418" s="7">
        <v>2.48151666666673</v>
      </c>
      <c r="G2418" s="7">
        <v>3.33753809523855</v>
      </c>
      <c r="H2418" s="7">
        <v>-0.00151434928571389</v>
      </c>
      <c r="I2418" s="7">
        <v>-9.32500833333514</v>
      </c>
      <c r="J2418" s="7">
        <v>-6.26193357142946</v>
      </c>
      <c r="K2418" s="8"/>
      <c r="L2418" s="8"/>
    </row>
    <row r="2419" ht="13.5" customHeight="1">
      <c r="A2419" s="7" t="s">
        <v>355</v>
      </c>
      <c r="B2419" s="7">
        <v>0.0</v>
      </c>
      <c r="C2419" s="7" t="s">
        <v>358</v>
      </c>
      <c r="D2419" s="7" t="s">
        <v>357</v>
      </c>
      <c r="E2419" s="7">
        <v>-25.6847420779259</v>
      </c>
      <c r="F2419" s="7">
        <v>2.48322718614725</v>
      </c>
      <c r="G2419" s="7">
        <v>3.33980251082297</v>
      </c>
      <c r="H2419" s="7">
        <v>-0.00151540438960999</v>
      </c>
      <c r="I2419" s="7">
        <v>-9.33180312554295</v>
      </c>
      <c r="J2419" s="7">
        <v>-6.26648062337752</v>
      </c>
      <c r="K2419" s="8"/>
      <c r="L2419" s="8"/>
    </row>
    <row r="2420" ht="13.5" customHeight="1">
      <c r="A2420" s="7" t="s">
        <v>355</v>
      </c>
      <c r="B2420" s="7">
        <v>1.75</v>
      </c>
      <c r="C2420" s="7" t="s">
        <v>358</v>
      </c>
      <c r="D2420" s="7" t="s">
        <v>357</v>
      </c>
      <c r="E2420" s="7">
        <v>-25.7015984415623</v>
      </c>
      <c r="F2420" s="7">
        <v>2.48493770562777</v>
      </c>
      <c r="G2420" s="7">
        <v>3.34206692640739</v>
      </c>
      <c r="H2420" s="7">
        <v>-0.00151645949350609</v>
      </c>
      <c r="I2420" s="7">
        <v>-9.33859791775076</v>
      </c>
      <c r="J2420" s="7">
        <v>-6.27102767532558</v>
      </c>
      <c r="K2420" s="8"/>
      <c r="L2420" s="8"/>
    </row>
    <row r="2421" ht="13.5" customHeight="1">
      <c r="A2421" s="7" t="s">
        <v>355</v>
      </c>
      <c r="B2421" s="7">
        <v>3.5</v>
      </c>
      <c r="C2421" s="7" t="s">
        <v>358</v>
      </c>
      <c r="D2421" s="7" t="s">
        <v>357</v>
      </c>
      <c r="E2421" s="7">
        <v>-25.7184548051987</v>
      </c>
      <c r="F2421" s="7">
        <v>2.48664822510829</v>
      </c>
      <c r="G2421" s="7">
        <v>3.34433134199181</v>
      </c>
      <c r="H2421" s="7">
        <v>-0.00151751459740219</v>
      </c>
      <c r="I2421" s="7">
        <v>-9.34539270995857</v>
      </c>
      <c r="J2421" s="7">
        <v>-6.27557472727364</v>
      </c>
      <c r="K2421" s="8"/>
      <c r="L2421" s="8"/>
    </row>
    <row r="2422" ht="13.5" customHeight="1">
      <c r="A2422" s="7" t="s">
        <v>355</v>
      </c>
      <c r="B2422" s="7">
        <v>0.0</v>
      </c>
      <c r="C2422" s="7" t="s">
        <v>359</v>
      </c>
      <c r="D2422" s="7" t="s">
        <v>357</v>
      </c>
      <c r="E2422" s="7">
        <v>-25.7353111688351</v>
      </c>
      <c r="F2422" s="7">
        <v>2.48835874458881</v>
      </c>
      <c r="G2422" s="7">
        <v>3.34659575757623</v>
      </c>
      <c r="H2422" s="7">
        <v>-0.00151856970129829</v>
      </c>
      <c r="I2422" s="7">
        <v>-9.35218750216638</v>
      </c>
      <c r="J2422" s="7">
        <v>-6.2801217792217</v>
      </c>
      <c r="K2422" s="8"/>
      <c r="L2422" s="8"/>
    </row>
    <row r="2423" ht="13.5" customHeight="1">
      <c r="A2423" s="7" t="s">
        <v>355</v>
      </c>
      <c r="B2423" s="7">
        <v>1.75</v>
      </c>
      <c r="C2423" s="7" t="s">
        <v>359</v>
      </c>
      <c r="D2423" s="7" t="s">
        <v>357</v>
      </c>
      <c r="E2423" s="7">
        <v>-25.7521675324715</v>
      </c>
      <c r="F2423" s="7">
        <v>2.49006926406933</v>
      </c>
      <c r="G2423" s="7">
        <v>3.34886017316065</v>
      </c>
      <c r="H2423" s="7">
        <v>-0.00151962480519439</v>
      </c>
      <c r="I2423" s="7">
        <v>-9.35898229437419</v>
      </c>
      <c r="J2423" s="7">
        <v>-6.28466883116976</v>
      </c>
      <c r="K2423" s="8"/>
      <c r="L2423" s="8"/>
    </row>
    <row r="2424" ht="13.5" customHeight="1">
      <c r="A2424" s="7" t="s">
        <v>355</v>
      </c>
      <c r="B2424" s="7">
        <v>3.5</v>
      </c>
      <c r="C2424" s="7" t="s">
        <v>359</v>
      </c>
      <c r="D2424" s="7" t="s">
        <v>357</v>
      </c>
      <c r="E2424" s="7">
        <v>-25.7690238961079</v>
      </c>
      <c r="F2424" s="7">
        <v>2.49177978354985</v>
      </c>
      <c r="G2424" s="7">
        <v>3.35112458874507</v>
      </c>
      <c r="H2424" s="7">
        <v>-0.00152067990909049</v>
      </c>
      <c r="I2424" s="7">
        <v>-9.365777086582</v>
      </c>
      <c r="J2424" s="7">
        <v>-6.28921588311783</v>
      </c>
      <c r="K2424" s="8"/>
      <c r="L2424" s="8"/>
    </row>
    <row r="2425" ht="13.5" customHeight="1">
      <c r="A2425" s="7" t="s">
        <v>355</v>
      </c>
      <c r="B2425" s="7">
        <v>0.0</v>
      </c>
      <c r="C2425" s="7" t="s">
        <v>360</v>
      </c>
      <c r="D2425" s="7" t="s">
        <v>357</v>
      </c>
      <c r="E2425" s="7">
        <v>-25.7858802597443</v>
      </c>
      <c r="F2425" s="7">
        <v>2.49349030303037</v>
      </c>
      <c r="G2425" s="7">
        <v>3.35338900432949</v>
      </c>
      <c r="H2425" s="7">
        <v>-0.00152173501298659</v>
      </c>
      <c r="I2425" s="7">
        <v>-9.37257187878981</v>
      </c>
      <c r="J2425" s="7">
        <v>-6.29376293506589</v>
      </c>
      <c r="K2425" s="8"/>
      <c r="L2425" s="8"/>
    </row>
    <row r="2426" ht="13.5" customHeight="1">
      <c r="A2426" s="7" t="s">
        <v>355</v>
      </c>
      <c r="B2426" s="7">
        <v>1.75</v>
      </c>
      <c r="C2426" s="7" t="s">
        <v>360</v>
      </c>
      <c r="D2426" s="7" t="s">
        <v>357</v>
      </c>
      <c r="E2426" s="7">
        <v>-25.8027366233807</v>
      </c>
      <c r="F2426" s="7">
        <v>2.49520082251089</v>
      </c>
      <c r="G2426" s="7">
        <v>3.35565341991391</v>
      </c>
      <c r="H2426" s="7">
        <v>-0.00152279011688269</v>
      </c>
      <c r="I2426" s="7">
        <v>-9.37936667099762</v>
      </c>
      <c r="J2426" s="7">
        <v>-6.29830998701395</v>
      </c>
      <c r="K2426" s="8"/>
      <c r="L2426" s="8"/>
    </row>
    <row r="2427" ht="13.5" customHeight="1">
      <c r="A2427" s="7" t="s">
        <v>355</v>
      </c>
      <c r="B2427" s="7">
        <v>3.5</v>
      </c>
      <c r="C2427" s="7" t="s">
        <v>360</v>
      </c>
      <c r="D2427" s="7" t="s">
        <v>357</v>
      </c>
      <c r="E2427" s="7">
        <v>-25.8195929870171</v>
      </c>
      <c r="F2427" s="7">
        <v>2.49691134199141</v>
      </c>
      <c r="G2427" s="7">
        <v>3.35791783549833</v>
      </c>
      <c r="H2427" s="7">
        <v>-0.00152384522077879</v>
      </c>
      <c r="I2427" s="7">
        <v>-9.38616146320543</v>
      </c>
      <c r="J2427" s="7">
        <v>-6.30285703896201</v>
      </c>
      <c r="K2427" s="8"/>
      <c r="L2427" s="8"/>
    </row>
    <row r="2428" ht="13.5" customHeight="1">
      <c r="A2428" s="7" t="s">
        <v>355</v>
      </c>
      <c r="B2428" s="7">
        <v>0.0</v>
      </c>
      <c r="C2428" s="7" t="s">
        <v>361</v>
      </c>
      <c r="D2428" s="7" t="s">
        <v>357</v>
      </c>
      <c r="E2428" s="7">
        <v>-25.8364493506535</v>
      </c>
      <c r="F2428" s="7">
        <v>2.49862186147193</v>
      </c>
      <c r="G2428" s="7">
        <v>3.36018225108275</v>
      </c>
      <c r="H2428" s="7">
        <v>-0.00152490032467489</v>
      </c>
      <c r="I2428" s="7">
        <v>-9.39295625541324</v>
      </c>
      <c r="J2428" s="7">
        <v>-6.30740409091007</v>
      </c>
      <c r="K2428" s="8"/>
      <c r="L2428" s="8"/>
    </row>
    <row r="2429" ht="13.5" customHeight="1">
      <c r="A2429" s="7" t="s">
        <v>355</v>
      </c>
      <c r="B2429" s="7">
        <v>1.75</v>
      </c>
      <c r="C2429" s="7" t="s">
        <v>361</v>
      </c>
      <c r="D2429" s="7" t="s">
        <v>357</v>
      </c>
      <c r="E2429" s="7">
        <v>-25.8533057142899</v>
      </c>
      <c r="F2429" s="7">
        <v>2.50033238095245</v>
      </c>
      <c r="G2429" s="7">
        <v>3.36244666666717</v>
      </c>
      <c r="H2429" s="7">
        <v>-0.00152595542857099</v>
      </c>
      <c r="I2429" s="7">
        <v>-9.39975104762105</v>
      </c>
      <c r="J2429" s="7">
        <v>-6.31195114285813</v>
      </c>
      <c r="K2429" s="8"/>
      <c r="L2429" s="8"/>
    </row>
    <row r="2430" ht="13.5" customHeight="1">
      <c r="A2430" s="7" t="s">
        <v>355</v>
      </c>
      <c r="B2430" s="7">
        <v>3.5</v>
      </c>
      <c r="C2430" s="7" t="s">
        <v>361</v>
      </c>
      <c r="D2430" s="7" t="s">
        <v>357</v>
      </c>
      <c r="E2430" s="7">
        <v>-25.8701620779263</v>
      </c>
      <c r="F2430" s="7">
        <v>2.50204290043297</v>
      </c>
      <c r="G2430" s="7">
        <v>3.36471108225159</v>
      </c>
      <c r="H2430" s="7">
        <v>-0.00152701053246709</v>
      </c>
      <c r="I2430" s="7">
        <v>-9.40654583982886</v>
      </c>
      <c r="J2430" s="7">
        <v>-6.31649819480619</v>
      </c>
      <c r="K2430" s="8"/>
      <c r="L2430" s="8"/>
    </row>
    <row r="2431" ht="13.5" customHeight="1">
      <c r="A2431" s="7" t="s">
        <v>355</v>
      </c>
      <c r="B2431" s="7">
        <v>0.0</v>
      </c>
      <c r="C2431" s="7" t="s">
        <v>362</v>
      </c>
      <c r="D2431" s="7" t="s">
        <v>357</v>
      </c>
      <c r="E2431" s="7">
        <v>-25.8870184415627</v>
      </c>
      <c r="F2431" s="7">
        <v>2.50375341991349</v>
      </c>
      <c r="G2431" s="7">
        <v>3.36697549783601</v>
      </c>
      <c r="H2431" s="7">
        <v>-0.00152806563636319</v>
      </c>
      <c r="I2431" s="7">
        <v>-9.41334063203667</v>
      </c>
      <c r="J2431" s="7">
        <v>-6.32104524675425</v>
      </c>
      <c r="K2431" s="8"/>
      <c r="L2431" s="8"/>
    </row>
    <row r="2432" ht="13.5" customHeight="1">
      <c r="A2432" s="7" t="s">
        <v>355</v>
      </c>
      <c r="B2432" s="7">
        <v>1.75</v>
      </c>
      <c r="C2432" s="7" t="s">
        <v>362</v>
      </c>
      <c r="D2432" s="7" t="s">
        <v>357</v>
      </c>
      <c r="E2432" s="7">
        <v>-25.9038748051991</v>
      </c>
      <c r="F2432" s="7">
        <v>2.50546393939401</v>
      </c>
      <c r="G2432" s="7">
        <v>3.36923991342043</v>
      </c>
      <c r="H2432" s="7">
        <v>-0.00152912074025929</v>
      </c>
      <c r="I2432" s="7">
        <v>-9.42013542424448</v>
      </c>
      <c r="J2432" s="7">
        <v>-6.32559229870231</v>
      </c>
      <c r="K2432" s="8"/>
      <c r="L2432" s="8"/>
    </row>
    <row r="2433" ht="13.5" customHeight="1">
      <c r="A2433" s="7" t="s">
        <v>355</v>
      </c>
      <c r="B2433" s="7">
        <v>3.5</v>
      </c>
      <c r="C2433" s="7" t="s">
        <v>362</v>
      </c>
      <c r="D2433" s="7" t="s">
        <v>357</v>
      </c>
      <c r="E2433" s="7">
        <v>-25.9207311688355</v>
      </c>
      <c r="F2433" s="7">
        <v>2.50717445887453</v>
      </c>
      <c r="G2433" s="7">
        <v>3.37150432900485</v>
      </c>
      <c r="H2433" s="7">
        <v>-0.00153017584415539</v>
      </c>
      <c r="I2433" s="7">
        <v>-9.42693021645229</v>
      </c>
      <c r="J2433" s="7">
        <v>-6.33013935065037</v>
      </c>
      <c r="K2433" s="8"/>
      <c r="L2433" s="8"/>
    </row>
    <row r="2434" ht="13.5" customHeight="1">
      <c r="A2434" s="7" t="s">
        <v>355</v>
      </c>
      <c r="B2434" s="7">
        <v>0.0</v>
      </c>
      <c r="C2434" s="7" t="s">
        <v>363</v>
      </c>
      <c r="D2434" s="7" t="s">
        <v>357</v>
      </c>
      <c r="E2434" s="7">
        <v>-25.9375875324719</v>
      </c>
      <c r="F2434" s="7">
        <v>2.50888497835505</v>
      </c>
      <c r="G2434" s="7">
        <v>3.37376874458927</v>
      </c>
      <c r="H2434" s="7">
        <v>-0.00153123094805149</v>
      </c>
      <c r="I2434" s="7">
        <v>-9.4337250086601</v>
      </c>
      <c r="J2434" s="7">
        <v>-6.33468640259843</v>
      </c>
      <c r="K2434" s="8"/>
      <c r="L2434" s="8"/>
    </row>
    <row r="2435" ht="13.5" customHeight="1">
      <c r="A2435" s="7" t="s">
        <v>355</v>
      </c>
      <c r="B2435" s="7">
        <v>1.75</v>
      </c>
      <c r="C2435" s="7" t="s">
        <v>363</v>
      </c>
      <c r="D2435" s="7" t="s">
        <v>357</v>
      </c>
      <c r="E2435" s="7">
        <v>-25.9544438961083</v>
      </c>
      <c r="F2435" s="7">
        <v>2.51059549783557</v>
      </c>
      <c r="G2435" s="7">
        <v>3.37603316017369</v>
      </c>
      <c r="H2435" s="7">
        <v>-0.00153228605194759</v>
      </c>
      <c r="I2435" s="7">
        <v>-9.44051980086791</v>
      </c>
      <c r="J2435" s="7">
        <v>-6.33923345454649</v>
      </c>
      <c r="K2435" s="8"/>
      <c r="L2435" s="8"/>
    </row>
    <row r="2436" ht="13.5" customHeight="1">
      <c r="A2436" s="7" t="s">
        <v>355</v>
      </c>
      <c r="B2436" s="7">
        <v>3.5</v>
      </c>
      <c r="C2436" s="7" t="s">
        <v>363</v>
      </c>
      <c r="D2436" s="7" t="s">
        <v>357</v>
      </c>
      <c r="E2436" s="7">
        <v>-25.9713002597447</v>
      </c>
      <c r="F2436" s="7">
        <v>2.51230601731609</v>
      </c>
      <c r="G2436" s="7">
        <v>3.37829757575811</v>
      </c>
      <c r="H2436" s="7">
        <v>-0.00153334115584369</v>
      </c>
      <c r="I2436" s="7">
        <v>-9.44731459307572</v>
      </c>
      <c r="J2436" s="7">
        <v>-6.34378050649455</v>
      </c>
      <c r="K2436" s="8"/>
      <c r="L2436" s="8"/>
    </row>
    <row r="2437" ht="13.5" customHeight="1">
      <c r="A2437" s="7" t="s">
        <v>355</v>
      </c>
      <c r="B2437" s="7">
        <v>0.0</v>
      </c>
      <c r="C2437" s="7" t="s">
        <v>356</v>
      </c>
      <c r="D2437" s="7" t="s">
        <v>357</v>
      </c>
      <c r="E2437" s="7">
        <v>-25.9881566233811</v>
      </c>
      <c r="F2437" s="7">
        <v>2.51401653679661</v>
      </c>
      <c r="G2437" s="7">
        <v>3.38056199134253</v>
      </c>
      <c r="H2437" s="7">
        <v>-0.00153439625973979</v>
      </c>
      <c r="I2437" s="7">
        <v>-9.45410938528353</v>
      </c>
      <c r="J2437" s="7">
        <v>-6.34832755844261</v>
      </c>
      <c r="K2437" s="8"/>
      <c r="L2437" s="8"/>
    </row>
    <row r="2438" ht="13.5" customHeight="1">
      <c r="A2438" s="7" t="s">
        <v>355</v>
      </c>
      <c r="B2438" s="7">
        <v>1.75</v>
      </c>
      <c r="C2438" s="7" t="s">
        <v>356</v>
      </c>
      <c r="D2438" s="7" t="s">
        <v>357</v>
      </c>
      <c r="E2438" s="7">
        <v>-26.0050129870175</v>
      </c>
      <c r="F2438" s="7">
        <v>2.51572705627713</v>
      </c>
      <c r="G2438" s="7">
        <v>3.38282640692695</v>
      </c>
      <c r="H2438" s="7">
        <v>-0.00153545136363589</v>
      </c>
      <c r="I2438" s="7">
        <v>-9.46090417749134</v>
      </c>
      <c r="J2438" s="7">
        <v>-6.35287461039067</v>
      </c>
      <c r="K2438" s="8"/>
      <c r="L2438" s="8"/>
    </row>
    <row r="2439" ht="13.5" customHeight="1">
      <c r="A2439" s="7" t="s">
        <v>355</v>
      </c>
      <c r="B2439" s="7">
        <v>3.5</v>
      </c>
      <c r="C2439" s="7" t="s">
        <v>356</v>
      </c>
      <c r="D2439" s="7" t="s">
        <v>357</v>
      </c>
      <c r="E2439" s="7">
        <v>-26.0218693506539</v>
      </c>
      <c r="F2439" s="7">
        <v>2.51743757575765</v>
      </c>
      <c r="G2439" s="7">
        <v>3.38509082251137</v>
      </c>
      <c r="H2439" s="7">
        <v>-0.00153650646753199</v>
      </c>
      <c r="I2439" s="7">
        <v>-9.46769896969915</v>
      </c>
      <c r="J2439" s="7">
        <v>-6.35742166233873</v>
      </c>
      <c r="K2439" s="8"/>
      <c r="L2439" s="8"/>
    </row>
    <row r="2440" ht="13.5" customHeight="1">
      <c r="A2440" s="7" t="s">
        <v>355</v>
      </c>
      <c r="B2440" s="7">
        <v>0.0</v>
      </c>
      <c r="C2440" s="7" t="s">
        <v>358</v>
      </c>
      <c r="D2440" s="7" t="s">
        <v>357</v>
      </c>
      <c r="E2440" s="7">
        <v>-26.0387257142903</v>
      </c>
      <c r="F2440" s="7">
        <v>2.51914809523817</v>
      </c>
      <c r="G2440" s="7">
        <v>3.38735523809579</v>
      </c>
      <c r="H2440" s="7">
        <v>-0.00153756157142809</v>
      </c>
      <c r="I2440" s="7">
        <v>-9.47449376190696</v>
      </c>
      <c r="J2440" s="7">
        <v>-6.36196871428679</v>
      </c>
      <c r="K2440" s="8"/>
      <c r="L2440" s="8"/>
    </row>
    <row r="2441" ht="13.5" customHeight="1">
      <c r="A2441" s="7" t="s">
        <v>355</v>
      </c>
      <c r="B2441" s="7">
        <v>1.75</v>
      </c>
      <c r="C2441" s="7" t="s">
        <v>358</v>
      </c>
      <c r="D2441" s="7" t="s">
        <v>357</v>
      </c>
      <c r="E2441" s="7">
        <v>-26.0555820779267</v>
      </c>
      <c r="F2441" s="7">
        <v>2.52085861471869</v>
      </c>
      <c r="G2441" s="7">
        <v>3.38961965368021</v>
      </c>
      <c r="H2441" s="7">
        <v>-0.00153861667532419</v>
      </c>
      <c r="I2441" s="7">
        <v>-9.48128855411477</v>
      </c>
      <c r="J2441" s="7">
        <v>-6.36651576623486</v>
      </c>
      <c r="K2441" s="8"/>
      <c r="L2441" s="8"/>
    </row>
    <row r="2442" ht="13.5" customHeight="1">
      <c r="A2442" s="7" t="s">
        <v>355</v>
      </c>
      <c r="B2442" s="7">
        <v>3.5</v>
      </c>
      <c r="C2442" s="7" t="s">
        <v>358</v>
      </c>
      <c r="D2442" s="7" t="s">
        <v>357</v>
      </c>
      <c r="E2442" s="7">
        <v>-26.0724384415631</v>
      </c>
      <c r="F2442" s="7">
        <v>2.52256913419921</v>
      </c>
      <c r="G2442" s="7">
        <v>3.39188406926463</v>
      </c>
      <c r="H2442" s="7">
        <v>-0.00153967177922029</v>
      </c>
      <c r="I2442" s="7">
        <v>-9.48808334632258</v>
      </c>
      <c r="J2442" s="7">
        <v>-6.37106281818292</v>
      </c>
      <c r="K2442" s="8"/>
      <c r="L2442" s="8"/>
    </row>
    <row r="2443" ht="13.5" customHeight="1">
      <c r="A2443" s="7" t="s">
        <v>355</v>
      </c>
      <c r="B2443" s="7">
        <v>0.0</v>
      </c>
      <c r="C2443" s="7" t="s">
        <v>359</v>
      </c>
      <c r="D2443" s="7" t="s">
        <v>357</v>
      </c>
      <c r="E2443" s="7">
        <v>-26.0892948051995</v>
      </c>
      <c r="F2443" s="7">
        <v>2.52427965367973</v>
      </c>
      <c r="G2443" s="7">
        <v>3.39414848484905</v>
      </c>
      <c r="H2443" s="7">
        <v>-0.00154072688311639</v>
      </c>
      <c r="I2443" s="7">
        <v>-9.49487813853039</v>
      </c>
      <c r="J2443" s="7">
        <v>-6.37560987013098</v>
      </c>
      <c r="K2443" s="8"/>
      <c r="L2443" s="8"/>
    </row>
    <row r="2444" ht="13.5" customHeight="1">
      <c r="A2444" s="7" t="s">
        <v>355</v>
      </c>
      <c r="B2444" s="7">
        <v>1.75</v>
      </c>
      <c r="C2444" s="7" t="s">
        <v>359</v>
      </c>
      <c r="D2444" s="7" t="s">
        <v>357</v>
      </c>
      <c r="E2444" s="7">
        <v>-26.1061511688359</v>
      </c>
      <c r="F2444" s="7">
        <v>2.52599017316025</v>
      </c>
      <c r="G2444" s="7">
        <v>3.39641290043347</v>
      </c>
      <c r="H2444" s="7">
        <v>-0.00154178198701249</v>
      </c>
      <c r="I2444" s="7">
        <v>-9.5016729307382</v>
      </c>
      <c r="J2444" s="7">
        <v>-6.38015692207904</v>
      </c>
      <c r="K2444" s="8"/>
      <c r="L2444" s="8"/>
    </row>
    <row r="2445" ht="13.5" customHeight="1">
      <c r="A2445" s="7" t="s">
        <v>355</v>
      </c>
      <c r="B2445" s="7">
        <v>3.5</v>
      </c>
      <c r="C2445" s="7" t="s">
        <v>359</v>
      </c>
      <c r="D2445" s="7" t="s">
        <v>357</v>
      </c>
      <c r="E2445" s="7">
        <v>-26.1230075324723</v>
      </c>
      <c r="F2445" s="7">
        <v>2.52770069264077</v>
      </c>
      <c r="G2445" s="7">
        <v>3.39867731601789</v>
      </c>
      <c r="H2445" s="7">
        <v>-0.00154283709090859</v>
      </c>
      <c r="I2445" s="7">
        <v>-9.50846772294601</v>
      </c>
      <c r="J2445" s="7">
        <v>-6.3847039740271</v>
      </c>
      <c r="K2445" s="8"/>
      <c r="L2445" s="8"/>
    </row>
    <row r="2446" ht="13.5" customHeight="1">
      <c r="A2446" s="7" t="s">
        <v>355</v>
      </c>
      <c r="B2446" s="7">
        <v>0.0</v>
      </c>
      <c r="C2446" s="7" t="s">
        <v>360</v>
      </c>
      <c r="D2446" s="7" t="s">
        <v>357</v>
      </c>
      <c r="E2446" s="7">
        <v>-26.1398638961087</v>
      </c>
      <c r="F2446" s="7">
        <v>2.52941121212129</v>
      </c>
      <c r="G2446" s="7">
        <v>3.40094173160231</v>
      </c>
      <c r="H2446" s="7">
        <v>-0.00154389219480469</v>
      </c>
      <c r="I2446" s="7">
        <v>-9.51526251515382</v>
      </c>
      <c r="J2446" s="7">
        <v>-6.38925102597516</v>
      </c>
      <c r="K2446" s="8"/>
      <c r="L2446" s="8"/>
    </row>
    <row r="2447" ht="13.5" customHeight="1">
      <c r="A2447" s="7" t="s">
        <v>355</v>
      </c>
      <c r="B2447" s="7">
        <v>1.75</v>
      </c>
      <c r="C2447" s="7" t="s">
        <v>360</v>
      </c>
      <c r="D2447" s="7" t="s">
        <v>357</v>
      </c>
      <c r="E2447" s="7">
        <v>-26.1567202597451</v>
      </c>
      <c r="F2447" s="7">
        <v>2.53112173160181</v>
      </c>
      <c r="G2447" s="7">
        <v>3.40320614718673</v>
      </c>
      <c r="H2447" s="7">
        <v>-0.00154494729870079</v>
      </c>
      <c r="I2447" s="7">
        <v>-9.52205730736163</v>
      </c>
      <c r="J2447" s="7">
        <v>-6.39379807792322</v>
      </c>
      <c r="K2447" s="8"/>
      <c r="L2447" s="8"/>
    </row>
    <row r="2448" ht="13.5" customHeight="1">
      <c r="A2448" s="7" t="s">
        <v>355</v>
      </c>
      <c r="B2448" s="7">
        <v>3.5</v>
      </c>
      <c r="C2448" s="7" t="s">
        <v>360</v>
      </c>
      <c r="D2448" s="7" t="s">
        <v>357</v>
      </c>
      <c r="E2448" s="7">
        <v>-26.1735766233815</v>
      </c>
      <c r="F2448" s="7">
        <v>2.53283225108233</v>
      </c>
      <c r="G2448" s="7">
        <v>3.40547056277115</v>
      </c>
      <c r="H2448" s="7">
        <v>-0.00154600240259689</v>
      </c>
      <c r="I2448" s="7">
        <v>-9.52885209956944</v>
      </c>
      <c r="J2448" s="7">
        <v>-6.39834512987128</v>
      </c>
      <c r="K2448" s="8"/>
      <c r="L2448" s="8"/>
    </row>
    <row r="2449" ht="13.5" customHeight="1">
      <c r="A2449" s="7" t="s">
        <v>355</v>
      </c>
      <c r="B2449" s="7">
        <v>0.0</v>
      </c>
      <c r="C2449" s="7" t="s">
        <v>361</v>
      </c>
      <c r="D2449" s="7" t="s">
        <v>357</v>
      </c>
      <c r="E2449" s="7">
        <v>-26.1904329870179</v>
      </c>
      <c r="F2449" s="7">
        <v>2.53454277056285</v>
      </c>
      <c r="G2449" s="7">
        <v>3.40773497835557</v>
      </c>
      <c r="H2449" s="7">
        <v>-0.00154705750649299</v>
      </c>
      <c r="I2449" s="7">
        <v>-9.53564689177725</v>
      </c>
      <c r="J2449" s="7">
        <v>-6.40289218181934</v>
      </c>
      <c r="K2449" s="8"/>
      <c r="L2449" s="8"/>
    </row>
    <row r="2450" ht="13.5" customHeight="1">
      <c r="A2450" s="7" t="s">
        <v>355</v>
      </c>
      <c r="B2450" s="7">
        <v>1.75</v>
      </c>
      <c r="C2450" s="7" t="s">
        <v>361</v>
      </c>
      <c r="D2450" s="7" t="s">
        <v>357</v>
      </c>
      <c r="E2450" s="7">
        <v>-26.2072893506543</v>
      </c>
      <c r="F2450" s="7">
        <v>2.53625329004337</v>
      </c>
      <c r="G2450" s="7">
        <v>3.40999939393999</v>
      </c>
      <c r="H2450" s="7">
        <v>-0.00154811261038909</v>
      </c>
      <c r="I2450" s="7">
        <v>-9.54244168398506</v>
      </c>
      <c r="J2450" s="7">
        <v>-6.4074392337674</v>
      </c>
      <c r="K2450" s="8"/>
      <c r="L2450" s="8"/>
    </row>
    <row r="2451" ht="13.5" customHeight="1">
      <c r="A2451" s="7" t="s">
        <v>355</v>
      </c>
      <c r="B2451" s="7">
        <v>3.5</v>
      </c>
      <c r="C2451" s="7" t="s">
        <v>361</v>
      </c>
      <c r="D2451" s="7" t="s">
        <v>357</v>
      </c>
      <c r="E2451" s="7">
        <v>-26.2241457142907</v>
      </c>
      <c r="F2451" s="7">
        <v>2.53796380952389</v>
      </c>
      <c r="G2451" s="7">
        <v>3.41226380952441</v>
      </c>
      <c r="H2451" s="7">
        <v>-0.00154916771428519</v>
      </c>
      <c r="I2451" s="7">
        <v>-9.54923647619287</v>
      </c>
      <c r="J2451" s="7">
        <v>-6.41198628571546</v>
      </c>
      <c r="K2451" s="8"/>
      <c r="L2451" s="8"/>
    </row>
    <row r="2452" ht="13.5" customHeight="1">
      <c r="A2452" s="7" t="s">
        <v>355</v>
      </c>
      <c r="B2452" s="7">
        <v>0.0</v>
      </c>
      <c r="C2452" s="7" t="s">
        <v>362</v>
      </c>
      <c r="D2452" s="7" t="s">
        <v>357</v>
      </c>
      <c r="E2452" s="7">
        <v>-26.2410020779271</v>
      </c>
      <c r="F2452" s="7">
        <v>2.53967432900442</v>
      </c>
      <c r="G2452" s="7">
        <v>3.41452822510883</v>
      </c>
      <c r="H2452" s="7">
        <v>-0.00155022281818129</v>
      </c>
      <c r="I2452" s="7">
        <v>-9.55603126840068</v>
      </c>
      <c r="J2452" s="7">
        <v>-6.41653333766352</v>
      </c>
      <c r="K2452" s="8"/>
      <c r="L2452" s="8"/>
    </row>
    <row r="2453" ht="13.5" customHeight="1">
      <c r="A2453" s="7" t="s">
        <v>355</v>
      </c>
      <c r="B2453" s="7">
        <v>1.75</v>
      </c>
      <c r="C2453" s="7" t="s">
        <v>362</v>
      </c>
      <c r="D2453" s="7" t="s">
        <v>357</v>
      </c>
      <c r="E2453" s="7">
        <v>-26.2578584415635</v>
      </c>
      <c r="F2453" s="7">
        <v>2.54138484848494</v>
      </c>
      <c r="G2453" s="7">
        <v>3.41679264069325</v>
      </c>
      <c r="H2453" s="7">
        <v>-0.00155127792207739</v>
      </c>
      <c r="I2453" s="7">
        <v>-9.56282606060849</v>
      </c>
      <c r="J2453" s="7">
        <v>-6.42108038961158</v>
      </c>
      <c r="K2453" s="8"/>
      <c r="L2453" s="8"/>
    </row>
    <row r="2454" ht="13.5" customHeight="1">
      <c r="A2454" s="7" t="s">
        <v>355</v>
      </c>
      <c r="B2454" s="7">
        <v>3.5</v>
      </c>
      <c r="C2454" s="7" t="s">
        <v>362</v>
      </c>
      <c r="D2454" s="7" t="s">
        <v>357</v>
      </c>
      <c r="E2454" s="7">
        <v>-26.2747148051999</v>
      </c>
      <c r="F2454" s="7">
        <v>2.54309536796545</v>
      </c>
      <c r="G2454" s="7">
        <v>3.41905705627767</v>
      </c>
      <c r="H2454" s="7">
        <v>-0.00155233302597349</v>
      </c>
      <c r="I2454" s="7">
        <v>-9.5696208528163</v>
      </c>
      <c r="J2454" s="7">
        <v>-6.42562744155964</v>
      </c>
      <c r="K2454" s="8"/>
      <c r="L2454" s="8"/>
    </row>
    <row r="2455" ht="13.5" customHeight="1">
      <c r="A2455" s="7" t="s">
        <v>355</v>
      </c>
      <c r="B2455" s="7">
        <v>0.0</v>
      </c>
      <c r="C2455" s="7" t="s">
        <v>363</v>
      </c>
      <c r="D2455" s="7" t="s">
        <v>357</v>
      </c>
      <c r="E2455" s="7">
        <v>-26.2915711688363</v>
      </c>
      <c r="F2455" s="7">
        <v>2.54480588744597</v>
      </c>
      <c r="G2455" s="7">
        <v>3.4213214718621</v>
      </c>
      <c r="H2455" s="7">
        <v>-0.00155338812986959</v>
      </c>
      <c r="I2455" s="7">
        <v>-9.57641564502411</v>
      </c>
      <c r="J2455" s="7">
        <v>-6.4301744935077</v>
      </c>
      <c r="K2455" s="8"/>
      <c r="L2455" s="8"/>
    </row>
    <row r="2456" ht="13.5" customHeight="1">
      <c r="A2456" s="7" t="s">
        <v>355</v>
      </c>
      <c r="B2456" s="7">
        <v>1.75</v>
      </c>
      <c r="C2456" s="7" t="s">
        <v>363</v>
      </c>
      <c r="D2456" s="7" t="s">
        <v>357</v>
      </c>
      <c r="E2456" s="7">
        <v>-26.3084275324727</v>
      </c>
      <c r="F2456" s="7">
        <v>2.54651640692649</v>
      </c>
      <c r="G2456" s="7">
        <v>3.42358588744652</v>
      </c>
      <c r="H2456" s="7">
        <v>-0.00155444323376569</v>
      </c>
      <c r="I2456" s="7">
        <v>-9.58321043723192</v>
      </c>
      <c r="J2456" s="7">
        <v>-6.43472154545576</v>
      </c>
      <c r="K2456" s="8"/>
      <c r="L2456" s="8"/>
    </row>
    <row r="2457" ht="13.5" customHeight="1">
      <c r="A2457" s="7" t="s">
        <v>355</v>
      </c>
      <c r="B2457" s="7">
        <v>3.5</v>
      </c>
      <c r="C2457" s="7" t="s">
        <v>363</v>
      </c>
      <c r="D2457" s="7" t="s">
        <v>357</v>
      </c>
      <c r="E2457" s="7">
        <v>-26.3252838961091</v>
      </c>
      <c r="F2457" s="7">
        <v>2.54822692640701</v>
      </c>
      <c r="G2457" s="7">
        <v>3.42585030303094</v>
      </c>
      <c r="H2457" s="7">
        <v>-0.00155549833766179</v>
      </c>
      <c r="I2457" s="7">
        <v>-9.59000522943973</v>
      </c>
      <c r="J2457" s="7">
        <v>-6.43926859740383</v>
      </c>
      <c r="K2457" s="8"/>
      <c r="L2457" s="8"/>
    </row>
    <row r="2458" ht="13.5" customHeight="1">
      <c r="A2458" s="7" t="s">
        <v>355</v>
      </c>
      <c r="B2458" s="7">
        <v>0.0</v>
      </c>
      <c r="C2458" s="7" t="s">
        <v>356</v>
      </c>
      <c r="D2458" s="7" t="s">
        <v>357</v>
      </c>
      <c r="E2458" s="7">
        <v>-26.3421402597455</v>
      </c>
      <c r="F2458" s="7">
        <v>2.54993744588753</v>
      </c>
      <c r="G2458" s="7">
        <v>3.42811471861536</v>
      </c>
      <c r="H2458" s="7">
        <v>-0.00155655344155789</v>
      </c>
      <c r="I2458" s="7">
        <v>-9.59680002164754</v>
      </c>
      <c r="J2458" s="7">
        <v>-6.44381564935189</v>
      </c>
      <c r="K2458" s="8"/>
      <c r="L2458" s="8"/>
    </row>
    <row r="2459" ht="13.5" customHeight="1">
      <c r="A2459" s="7" t="s">
        <v>355</v>
      </c>
      <c r="B2459" s="7">
        <v>1.75</v>
      </c>
      <c r="C2459" s="7" t="s">
        <v>356</v>
      </c>
      <c r="D2459" s="7" t="s">
        <v>357</v>
      </c>
      <c r="E2459" s="7">
        <v>-26.3589966233819</v>
      </c>
      <c r="F2459" s="7">
        <v>2.55164796536805</v>
      </c>
      <c r="G2459" s="7">
        <v>3.43037913419978</v>
      </c>
      <c r="H2459" s="7">
        <v>-0.00155760854545399</v>
      </c>
      <c r="I2459" s="7">
        <v>-9.60359481385535</v>
      </c>
      <c r="J2459" s="7">
        <v>-6.44836270129995</v>
      </c>
      <c r="K2459" s="8"/>
      <c r="L2459" s="8"/>
    </row>
    <row r="2460" ht="13.5" customHeight="1">
      <c r="A2460" s="7" t="s">
        <v>355</v>
      </c>
      <c r="B2460" s="7">
        <v>3.5</v>
      </c>
      <c r="C2460" s="7" t="s">
        <v>356</v>
      </c>
      <c r="D2460" s="7" t="s">
        <v>357</v>
      </c>
      <c r="E2460" s="7">
        <v>-26.3758529870183</v>
      </c>
      <c r="F2460" s="7">
        <v>2.55335848484857</v>
      </c>
      <c r="G2460" s="7">
        <v>3.4326435497842</v>
      </c>
      <c r="H2460" s="7">
        <v>-0.00155866364935009</v>
      </c>
      <c r="I2460" s="7">
        <v>-9.61038960606315</v>
      </c>
      <c r="J2460" s="7">
        <v>-6.45290975324801</v>
      </c>
      <c r="K2460" s="8"/>
      <c r="L2460" s="8"/>
    </row>
    <row r="2461" ht="13.5" customHeight="1">
      <c r="A2461" s="7" t="s">
        <v>355</v>
      </c>
      <c r="B2461" s="7">
        <v>0.0</v>
      </c>
      <c r="C2461" s="7" t="s">
        <v>358</v>
      </c>
      <c r="D2461" s="7" t="s">
        <v>357</v>
      </c>
      <c r="E2461" s="7">
        <v>-26.3927093506547</v>
      </c>
      <c r="F2461" s="7">
        <v>2.55506900432909</v>
      </c>
      <c r="G2461" s="7">
        <v>3.43490796536862</v>
      </c>
      <c r="H2461" s="7">
        <v>-0.00155971875324619</v>
      </c>
      <c r="I2461" s="7">
        <v>-9.61718439827096</v>
      </c>
      <c r="J2461" s="7">
        <v>-6.45745680519607</v>
      </c>
      <c r="K2461" s="8"/>
      <c r="L2461" s="8"/>
    </row>
    <row r="2462" ht="13.5" customHeight="1">
      <c r="A2462" s="7" t="s">
        <v>355</v>
      </c>
      <c r="B2462" s="7">
        <v>1.75</v>
      </c>
      <c r="C2462" s="7" t="s">
        <v>358</v>
      </c>
      <c r="D2462" s="7" t="s">
        <v>357</v>
      </c>
      <c r="E2462" s="7">
        <v>-26.4095657142911</v>
      </c>
      <c r="F2462" s="7">
        <v>2.55677952380961</v>
      </c>
      <c r="G2462" s="7">
        <v>3.43717238095304</v>
      </c>
      <c r="H2462" s="7">
        <v>-0.00156077385714229</v>
      </c>
      <c r="I2462" s="7">
        <v>-9.62397919047877</v>
      </c>
      <c r="J2462" s="7">
        <v>-6.46200385714413</v>
      </c>
      <c r="K2462" s="8"/>
      <c r="L2462" s="8"/>
    </row>
    <row r="2463" ht="13.5" customHeight="1">
      <c r="A2463" s="7" t="s">
        <v>355</v>
      </c>
      <c r="B2463" s="7">
        <v>3.5</v>
      </c>
      <c r="C2463" s="7" t="s">
        <v>358</v>
      </c>
      <c r="D2463" s="7" t="s">
        <v>357</v>
      </c>
      <c r="E2463" s="7">
        <v>-26.4264220779275</v>
      </c>
      <c r="F2463" s="7">
        <v>2.55849004329013</v>
      </c>
      <c r="G2463" s="7">
        <v>3.43943679653746</v>
      </c>
      <c r="H2463" s="7">
        <v>-0.00156182896103839</v>
      </c>
      <c r="I2463" s="7">
        <v>-9.63077398268658</v>
      </c>
      <c r="J2463" s="7">
        <v>-6.46655090909219</v>
      </c>
      <c r="K2463" s="8"/>
      <c r="L2463" s="8"/>
    </row>
    <row r="2464" ht="13.5" customHeight="1">
      <c r="A2464" s="7" t="s">
        <v>355</v>
      </c>
      <c r="B2464" s="7">
        <v>0.0</v>
      </c>
      <c r="C2464" s="7" t="s">
        <v>359</v>
      </c>
      <c r="D2464" s="7" t="s">
        <v>357</v>
      </c>
      <c r="E2464" s="7">
        <v>-26.4432784415639</v>
      </c>
      <c r="F2464" s="7">
        <v>2.56020056277065</v>
      </c>
      <c r="G2464" s="7">
        <v>3.44170121212187</v>
      </c>
      <c r="H2464" s="7">
        <v>-0.00156288406493449</v>
      </c>
      <c r="I2464" s="7">
        <v>-9.63756877489439</v>
      </c>
      <c r="J2464" s="7">
        <v>-6.47109796104025</v>
      </c>
      <c r="K2464" s="8"/>
      <c r="L2464" s="8"/>
    </row>
    <row r="2465" ht="13.5" customHeight="1">
      <c r="A2465" s="7" t="s">
        <v>355</v>
      </c>
      <c r="B2465" s="7">
        <v>1.75</v>
      </c>
      <c r="C2465" s="7" t="s">
        <v>359</v>
      </c>
      <c r="D2465" s="7" t="s">
        <v>357</v>
      </c>
      <c r="E2465" s="7">
        <v>-26.4601348052003</v>
      </c>
      <c r="F2465" s="7">
        <v>2.56191108225118</v>
      </c>
      <c r="G2465" s="7">
        <v>3.44396562770629</v>
      </c>
      <c r="H2465" s="7">
        <v>-0.00156393916883059</v>
      </c>
      <c r="I2465" s="7">
        <v>-9.6443635671022</v>
      </c>
      <c r="J2465" s="7">
        <v>-6.47564501298831</v>
      </c>
      <c r="K2465" s="8"/>
      <c r="L2465" s="8"/>
    </row>
    <row r="2466" ht="13.5" customHeight="1">
      <c r="A2466" s="7" t="s">
        <v>355</v>
      </c>
      <c r="B2466" s="7">
        <v>3.5</v>
      </c>
      <c r="C2466" s="7" t="s">
        <v>359</v>
      </c>
      <c r="D2466" s="7" t="s">
        <v>357</v>
      </c>
      <c r="E2466" s="7">
        <v>-26.4769911688367</v>
      </c>
      <c r="F2466" s="7">
        <v>2.5636216017317</v>
      </c>
      <c r="G2466" s="7">
        <v>3.44623004329071</v>
      </c>
      <c r="H2466" s="7">
        <v>-0.00156499427272669</v>
      </c>
      <c r="I2466" s="7">
        <v>-9.65115835931001</v>
      </c>
      <c r="J2466" s="7">
        <v>-6.48019206493637</v>
      </c>
      <c r="K2466" s="8"/>
      <c r="L2466" s="8"/>
    </row>
    <row r="2467" ht="13.5" customHeight="1">
      <c r="A2467" s="7" t="s">
        <v>355</v>
      </c>
      <c r="B2467" s="7">
        <v>0.0</v>
      </c>
      <c r="C2467" s="7" t="s">
        <v>360</v>
      </c>
      <c r="D2467" s="7" t="s">
        <v>357</v>
      </c>
      <c r="E2467" s="7">
        <v>-26.4938475324731</v>
      </c>
      <c r="F2467" s="7">
        <v>2.56533212121222</v>
      </c>
      <c r="G2467" s="7">
        <v>3.44849445887513</v>
      </c>
      <c r="H2467" s="7">
        <v>-0.00156604937662279</v>
      </c>
      <c r="I2467" s="7">
        <v>-9.65795315151782</v>
      </c>
      <c r="J2467" s="7">
        <v>-6.48473911688443</v>
      </c>
      <c r="K2467" s="8"/>
      <c r="L2467" s="8"/>
    </row>
    <row r="2468" ht="13.5" customHeight="1">
      <c r="A2468" s="7" t="s">
        <v>355</v>
      </c>
      <c r="B2468" s="7">
        <v>1.75</v>
      </c>
      <c r="C2468" s="7" t="s">
        <v>360</v>
      </c>
      <c r="D2468" s="7" t="s">
        <v>357</v>
      </c>
      <c r="E2468" s="7">
        <v>-26.5107038961095</v>
      </c>
      <c r="F2468" s="7">
        <v>2.56704264069273</v>
      </c>
      <c r="G2468" s="7">
        <v>3.45075887445955</v>
      </c>
      <c r="H2468" s="7">
        <v>-0.00156710448051889</v>
      </c>
      <c r="I2468" s="7">
        <v>-9.66474794372563</v>
      </c>
      <c r="J2468" s="7">
        <v>-6.48928616883249</v>
      </c>
      <c r="K2468" s="8"/>
      <c r="L2468" s="8"/>
    </row>
    <row r="2469" ht="13.5" customHeight="1">
      <c r="A2469" s="7" t="s">
        <v>355</v>
      </c>
      <c r="B2469" s="7">
        <v>3.5</v>
      </c>
      <c r="C2469" s="7" t="s">
        <v>360</v>
      </c>
      <c r="D2469" s="7" t="s">
        <v>357</v>
      </c>
      <c r="E2469" s="7">
        <v>-26.5275602597459</v>
      </c>
      <c r="F2469" s="7">
        <v>2.56875316017325</v>
      </c>
      <c r="G2469" s="7">
        <v>3.45302329004398</v>
      </c>
      <c r="H2469" s="7">
        <v>-0.00156815958441499</v>
      </c>
      <c r="I2469" s="7">
        <v>-9.67154273593344</v>
      </c>
      <c r="J2469" s="7">
        <v>-6.49383322078055</v>
      </c>
      <c r="K2469" s="8"/>
      <c r="L2469" s="8"/>
    </row>
    <row r="2470" ht="13.5" customHeight="1">
      <c r="A2470" s="7" t="s">
        <v>355</v>
      </c>
      <c r="B2470" s="7">
        <v>0.0</v>
      </c>
      <c r="C2470" s="7" t="s">
        <v>361</v>
      </c>
      <c r="D2470" s="7" t="s">
        <v>357</v>
      </c>
      <c r="E2470" s="7">
        <v>-26.5444166233823</v>
      </c>
      <c r="F2470" s="7">
        <v>2.57046367965377</v>
      </c>
      <c r="G2470" s="7">
        <v>3.4552877056284</v>
      </c>
      <c r="H2470" s="7">
        <v>-0.00156921468831109</v>
      </c>
      <c r="I2470" s="7">
        <v>-9.67833752814125</v>
      </c>
      <c r="J2470" s="7">
        <v>-6.49838027272861</v>
      </c>
      <c r="K2470" s="8"/>
      <c r="L2470" s="8"/>
    </row>
    <row r="2471" ht="13.5" customHeight="1">
      <c r="A2471" s="7" t="s">
        <v>355</v>
      </c>
      <c r="B2471" s="7">
        <v>1.75</v>
      </c>
      <c r="C2471" s="7" t="s">
        <v>361</v>
      </c>
      <c r="D2471" s="7" t="s">
        <v>357</v>
      </c>
      <c r="E2471" s="7">
        <v>-26.5612729870187</v>
      </c>
      <c r="F2471" s="7">
        <v>2.57217419913429</v>
      </c>
      <c r="G2471" s="7">
        <v>3.45755212121282</v>
      </c>
      <c r="H2471" s="7">
        <v>-0.00157026979220719</v>
      </c>
      <c r="I2471" s="7">
        <v>-9.68513232034906</v>
      </c>
      <c r="J2471" s="7">
        <v>-6.50292732467667</v>
      </c>
      <c r="K2471" s="8"/>
      <c r="L2471" s="8"/>
    </row>
    <row r="2472" ht="13.5" customHeight="1">
      <c r="A2472" s="7" t="s">
        <v>355</v>
      </c>
      <c r="B2472" s="7">
        <v>3.5</v>
      </c>
      <c r="C2472" s="7" t="s">
        <v>361</v>
      </c>
      <c r="D2472" s="7" t="s">
        <v>357</v>
      </c>
      <c r="E2472" s="7">
        <v>-26.5781293506551</v>
      </c>
      <c r="F2472" s="7">
        <v>2.57388471861481</v>
      </c>
      <c r="G2472" s="7">
        <v>3.45981653679724</v>
      </c>
      <c r="H2472" s="7">
        <v>-0.00157132489610329</v>
      </c>
      <c r="I2472" s="7">
        <v>-9.69192711255687</v>
      </c>
      <c r="J2472" s="7">
        <v>-6.50747437662474</v>
      </c>
      <c r="K2472" s="8"/>
      <c r="L2472" s="8"/>
    </row>
    <row r="2473" ht="13.5" customHeight="1">
      <c r="A2473" s="7" t="s">
        <v>355</v>
      </c>
      <c r="B2473" s="7">
        <v>0.0</v>
      </c>
      <c r="C2473" s="7" t="s">
        <v>362</v>
      </c>
      <c r="D2473" s="7" t="s">
        <v>357</v>
      </c>
      <c r="E2473" s="7">
        <v>-26.5949857142915</v>
      </c>
      <c r="F2473" s="7">
        <v>2.57559523809533</v>
      </c>
      <c r="G2473" s="7">
        <v>3.46208095238166</v>
      </c>
      <c r="H2473" s="7">
        <v>-0.00157237999999939</v>
      </c>
      <c r="I2473" s="7">
        <v>-9.69872190476468</v>
      </c>
      <c r="J2473" s="7">
        <v>-6.51202142857279</v>
      </c>
      <c r="K2473" s="8"/>
      <c r="L2473" s="8"/>
    </row>
    <row r="2474" ht="13.5" customHeight="1">
      <c r="A2474" s="7" t="s">
        <v>355</v>
      </c>
      <c r="B2474" s="7">
        <v>1.75</v>
      </c>
      <c r="C2474" s="7" t="s">
        <v>362</v>
      </c>
      <c r="D2474" s="7" t="s">
        <v>357</v>
      </c>
      <c r="E2474" s="7">
        <v>-26.6118420779279</v>
      </c>
      <c r="F2474" s="7">
        <v>2.57730575757585</v>
      </c>
      <c r="G2474" s="7">
        <v>3.46434536796608</v>
      </c>
      <c r="H2474" s="7">
        <v>-0.00157343510389549</v>
      </c>
      <c r="I2474" s="7">
        <v>-9.70551669697249</v>
      </c>
      <c r="J2474" s="7">
        <v>-6.51656848052086</v>
      </c>
      <c r="K2474" s="8"/>
      <c r="L2474" s="8"/>
    </row>
    <row r="2475" ht="13.5" customHeight="1">
      <c r="A2475" s="7" t="s">
        <v>355</v>
      </c>
      <c r="B2475" s="7">
        <v>3.5</v>
      </c>
      <c r="C2475" s="7" t="s">
        <v>362</v>
      </c>
      <c r="D2475" s="7" t="s">
        <v>357</v>
      </c>
      <c r="E2475" s="7">
        <v>-26.6286984415643</v>
      </c>
      <c r="F2475" s="7">
        <v>2.57901627705637</v>
      </c>
      <c r="G2475" s="7">
        <v>3.4666097835505</v>
      </c>
      <c r="H2475" s="7">
        <v>-0.00157449020779159</v>
      </c>
      <c r="I2475" s="7">
        <v>-9.7123114891803</v>
      </c>
      <c r="J2475" s="7">
        <v>-6.52111553246892</v>
      </c>
      <c r="K2475" s="8"/>
      <c r="L2475" s="8"/>
    </row>
    <row r="2476" ht="13.5" customHeight="1">
      <c r="A2476" s="7" t="s">
        <v>355</v>
      </c>
      <c r="B2476" s="7">
        <v>0.0</v>
      </c>
      <c r="C2476" s="7" t="s">
        <v>363</v>
      </c>
      <c r="D2476" s="7" t="s">
        <v>357</v>
      </c>
      <c r="E2476" s="7">
        <v>-26.6455548052007</v>
      </c>
      <c r="F2476" s="7">
        <v>2.5807267965369</v>
      </c>
      <c r="G2476" s="7">
        <v>3.46887419913492</v>
      </c>
      <c r="H2476" s="7">
        <v>-0.00157554531168769</v>
      </c>
      <c r="I2476" s="7">
        <v>-9.71910628138811</v>
      </c>
      <c r="J2476" s="7">
        <v>-6.52566258441698</v>
      </c>
      <c r="K2476" s="8"/>
      <c r="L2476" s="8"/>
    </row>
    <row r="2477" ht="13.5" customHeight="1">
      <c r="A2477" s="7" t="s">
        <v>355</v>
      </c>
      <c r="B2477" s="7">
        <v>1.75</v>
      </c>
      <c r="C2477" s="7" t="s">
        <v>363</v>
      </c>
      <c r="D2477" s="7" t="s">
        <v>357</v>
      </c>
      <c r="E2477" s="7">
        <v>-26.6624111688371</v>
      </c>
      <c r="F2477" s="7">
        <v>2.58243731601742</v>
      </c>
      <c r="G2477" s="7">
        <v>3.47113861471933</v>
      </c>
      <c r="H2477" s="7">
        <v>-0.00157660041558379</v>
      </c>
      <c r="I2477" s="7">
        <v>-9.72590107359592</v>
      </c>
      <c r="J2477" s="7">
        <v>-6.53020963636504</v>
      </c>
      <c r="K2477" s="8"/>
      <c r="L2477" s="8"/>
    </row>
    <row r="2478" ht="13.5" customHeight="1">
      <c r="A2478" s="7" t="s">
        <v>355</v>
      </c>
      <c r="B2478" s="7">
        <v>3.5</v>
      </c>
      <c r="C2478" s="7" t="s">
        <v>363</v>
      </c>
      <c r="D2478" s="7" t="s">
        <v>357</v>
      </c>
      <c r="E2478" s="7">
        <v>-26.6792675324735</v>
      </c>
      <c r="F2478" s="7">
        <v>2.58414783549794</v>
      </c>
      <c r="G2478" s="7">
        <v>3.47340303030376</v>
      </c>
      <c r="H2478" s="7">
        <v>-0.00157765551947989</v>
      </c>
      <c r="I2478" s="7">
        <v>-9.73269586580373</v>
      </c>
      <c r="J2478" s="7">
        <v>-6.5347566883131</v>
      </c>
      <c r="K2478" s="8"/>
      <c r="L2478" s="8"/>
    </row>
    <row r="2479" ht="13.5" customHeight="1">
      <c r="A2479" s="7" t="s">
        <v>355</v>
      </c>
      <c r="B2479" s="7">
        <v>0.0</v>
      </c>
      <c r="C2479" s="7" t="s">
        <v>356</v>
      </c>
      <c r="D2479" s="7" t="s">
        <v>357</v>
      </c>
      <c r="E2479" s="7">
        <v>-26.6961238961099</v>
      </c>
      <c r="F2479" s="7">
        <v>2.58585835497846</v>
      </c>
      <c r="G2479" s="7">
        <v>3.47566744588817</v>
      </c>
      <c r="H2479" s="7">
        <v>-0.00157871062337599</v>
      </c>
      <c r="I2479" s="7">
        <v>-9.73949065801154</v>
      </c>
      <c r="J2479" s="7">
        <v>-6.53930374026116</v>
      </c>
      <c r="K2479" s="8"/>
      <c r="L2479" s="8"/>
    </row>
    <row r="2480" ht="13.5" customHeight="1">
      <c r="A2480" s="7" t="s">
        <v>355</v>
      </c>
      <c r="B2480" s="7">
        <v>1.75</v>
      </c>
      <c r="C2480" s="7" t="s">
        <v>356</v>
      </c>
      <c r="D2480" s="7" t="s">
        <v>357</v>
      </c>
      <c r="E2480" s="7">
        <v>-26.7129802597463</v>
      </c>
      <c r="F2480" s="7">
        <v>2.58756887445898</v>
      </c>
      <c r="G2480" s="7">
        <v>3.47793186147259</v>
      </c>
      <c r="H2480" s="7">
        <v>-0.00157976572727209</v>
      </c>
      <c r="I2480" s="7">
        <v>-9.74628545021935</v>
      </c>
      <c r="J2480" s="7">
        <v>-6.54385079220922</v>
      </c>
      <c r="K2480" s="8"/>
      <c r="L2480" s="8"/>
    </row>
    <row r="2481" ht="13.5" customHeight="1">
      <c r="A2481" s="7" t="s">
        <v>355</v>
      </c>
      <c r="B2481" s="7">
        <v>3.5</v>
      </c>
      <c r="C2481" s="7" t="s">
        <v>356</v>
      </c>
      <c r="D2481" s="7" t="s">
        <v>357</v>
      </c>
      <c r="E2481" s="7">
        <v>-26.7298366233827</v>
      </c>
      <c r="F2481" s="7">
        <v>2.5892793939395</v>
      </c>
      <c r="G2481" s="7">
        <v>3.48019627705701</v>
      </c>
      <c r="H2481" s="7">
        <v>-0.00158082083116819</v>
      </c>
      <c r="I2481" s="7">
        <v>-9.75308024242716</v>
      </c>
      <c r="J2481" s="7">
        <v>-6.54839784415728</v>
      </c>
      <c r="K2481" s="8"/>
      <c r="L2481" s="8"/>
    </row>
    <row r="2482" ht="13.5" customHeight="1">
      <c r="A2482" s="7" t="s">
        <v>355</v>
      </c>
      <c r="B2482" s="7">
        <v>0.0</v>
      </c>
      <c r="C2482" s="7" t="s">
        <v>358</v>
      </c>
      <c r="D2482" s="7" t="s">
        <v>357</v>
      </c>
      <c r="E2482" s="7">
        <v>-26.7466929870191</v>
      </c>
      <c r="F2482" s="7">
        <v>2.59098991342002</v>
      </c>
      <c r="G2482" s="7">
        <v>3.48246069264143</v>
      </c>
      <c r="H2482" s="7">
        <v>-0.00158187593506429</v>
      </c>
      <c r="I2482" s="7">
        <v>-9.75987503463497</v>
      </c>
      <c r="J2482" s="7">
        <v>-6.55294489610534</v>
      </c>
      <c r="K2482" s="8"/>
      <c r="L2482" s="8"/>
    </row>
    <row r="2483" ht="13.5" customHeight="1">
      <c r="A2483" s="7" t="s">
        <v>355</v>
      </c>
      <c r="B2483" s="7">
        <v>1.75</v>
      </c>
      <c r="C2483" s="7" t="s">
        <v>358</v>
      </c>
      <c r="D2483" s="7" t="s">
        <v>357</v>
      </c>
      <c r="E2483" s="7">
        <v>-26.7635493506555</v>
      </c>
      <c r="F2483" s="7">
        <v>2.59270043290054</v>
      </c>
      <c r="G2483" s="7">
        <v>3.48472510822586</v>
      </c>
      <c r="H2483" s="7">
        <v>-0.00158293103896039</v>
      </c>
      <c r="I2483" s="7">
        <v>-9.76666982684278</v>
      </c>
      <c r="J2483" s="7">
        <v>-6.5574919480534</v>
      </c>
      <c r="K2483" s="8"/>
      <c r="L2483" s="8"/>
    </row>
    <row r="2484" ht="13.5" customHeight="1">
      <c r="A2484" s="7" t="s">
        <v>355</v>
      </c>
      <c r="B2484" s="7">
        <v>3.5</v>
      </c>
      <c r="C2484" s="7" t="s">
        <v>358</v>
      </c>
      <c r="D2484" s="7" t="s">
        <v>357</v>
      </c>
      <c r="E2484" s="7">
        <v>-26.7804057142919</v>
      </c>
      <c r="F2484" s="7">
        <v>2.59441095238106</v>
      </c>
      <c r="G2484" s="7">
        <v>3.48698952381028</v>
      </c>
      <c r="H2484" s="7">
        <v>-0.00158398614285649</v>
      </c>
      <c r="I2484" s="7">
        <v>-9.77346461905059</v>
      </c>
      <c r="J2484" s="7">
        <v>-6.56203900000146</v>
      </c>
      <c r="K2484" s="8"/>
      <c r="L2484" s="8"/>
    </row>
    <row r="2485" ht="13.5" customHeight="1">
      <c r="A2485" s="7" t="s">
        <v>355</v>
      </c>
      <c r="B2485" s="7">
        <v>0.0</v>
      </c>
      <c r="C2485" s="7" t="s">
        <v>359</v>
      </c>
      <c r="D2485" s="7" t="s">
        <v>357</v>
      </c>
      <c r="E2485" s="7">
        <v>-26.7972620779283</v>
      </c>
      <c r="F2485" s="7">
        <v>2.59612147186158</v>
      </c>
      <c r="G2485" s="7">
        <v>3.4892539393947</v>
      </c>
      <c r="H2485" s="7">
        <v>-0.00158504124675259</v>
      </c>
      <c r="I2485" s="7">
        <v>-9.7802594112584</v>
      </c>
      <c r="J2485" s="7">
        <v>-6.56658605194952</v>
      </c>
      <c r="K2485" s="8"/>
      <c r="L2485" s="8"/>
    </row>
    <row r="2486" ht="13.5" customHeight="1">
      <c r="A2486" s="7" t="s">
        <v>355</v>
      </c>
      <c r="B2486" s="7">
        <v>1.75</v>
      </c>
      <c r="C2486" s="7" t="s">
        <v>359</v>
      </c>
      <c r="D2486" s="7" t="s">
        <v>357</v>
      </c>
      <c r="E2486" s="7">
        <v>-26.8141184415647</v>
      </c>
      <c r="F2486" s="7">
        <v>2.5978319913421</v>
      </c>
      <c r="G2486" s="7">
        <v>3.49151835497912</v>
      </c>
      <c r="H2486" s="7">
        <v>-0.00158609635064869</v>
      </c>
      <c r="I2486" s="7">
        <v>-9.78705420346621</v>
      </c>
      <c r="J2486" s="7">
        <v>-6.57113310389758</v>
      </c>
      <c r="K2486" s="8"/>
      <c r="L2486" s="8"/>
    </row>
    <row r="2487" ht="13.5" customHeight="1">
      <c r="A2487" s="7" t="s">
        <v>355</v>
      </c>
      <c r="B2487" s="7">
        <v>3.5</v>
      </c>
      <c r="C2487" s="7" t="s">
        <v>359</v>
      </c>
      <c r="D2487" s="7" t="s">
        <v>357</v>
      </c>
      <c r="E2487" s="7">
        <v>-26.8309748052011</v>
      </c>
      <c r="F2487" s="7">
        <v>2.59954251082262</v>
      </c>
      <c r="G2487" s="7">
        <v>3.49378277056354</v>
      </c>
      <c r="H2487" s="7">
        <v>-0.00158715145454479</v>
      </c>
      <c r="I2487" s="7">
        <v>-9.79384899567402</v>
      </c>
      <c r="J2487" s="7">
        <v>-6.57568015584564</v>
      </c>
      <c r="K2487" s="8"/>
      <c r="L2487" s="8"/>
    </row>
    <row r="2488" ht="13.5" customHeight="1">
      <c r="A2488" s="7" t="s">
        <v>355</v>
      </c>
      <c r="B2488" s="7">
        <v>0.0</v>
      </c>
      <c r="C2488" s="7" t="s">
        <v>360</v>
      </c>
      <c r="D2488" s="7" t="s">
        <v>357</v>
      </c>
      <c r="E2488" s="7">
        <v>-26.8478311688375</v>
      </c>
      <c r="F2488" s="7">
        <v>2.60125303030314</v>
      </c>
      <c r="G2488" s="7">
        <v>3.49604718614796</v>
      </c>
      <c r="H2488" s="7">
        <v>-0.00158820655844089</v>
      </c>
      <c r="I2488" s="7">
        <v>-9.80064378788183</v>
      </c>
      <c r="J2488" s="7">
        <v>-6.5802272077937</v>
      </c>
      <c r="K2488" s="8"/>
      <c r="L2488" s="8"/>
    </row>
    <row r="2489" ht="13.5" customHeight="1">
      <c r="A2489" s="7" t="s">
        <v>355</v>
      </c>
      <c r="B2489" s="7">
        <v>1.75</v>
      </c>
      <c r="C2489" s="7" t="s">
        <v>360</v>
      </c>
      <c r="D2489" s="7" t="s">
        <v>357</v>
      </c>
      <c r="E2489" s="7">
        <v>-26.8646875324739</v>
      </c>
      <c r="F2489" s="7">
        <v>2.60296354978366</v>
      </c>
      <c r="G2489" s="7">
        <v>3.49831160173238</v>
      </c>
      <c r="H2489" s="7">
        <v>-0.00158926166233699</v>
      </c>
      <c r="I2489" s="7">
        <v>-9.80743858008964</v>
      </c>
      <c r="J2489" s="7">
        <v>-6.58477425974176</v>
      </c>
      <c r="K2489" s="8"/>
      <c r="L2489" s="8"/>
    </row>
    <row r="2490" ht="13.5" customHeight="1">
      <c r="A2490" s="7" t="s">
        <v>355</v>
      </c>
      <c r="B2490" s="7">
        <v>3.5</v>
      </c>
      <c r="C2490" s="7" t="s">
        <v>360</v>
      </c>
      <c r="D2490" s="7" t="s">
        <v>357</v>
      </c>
      <c r="E2490" s="7">
        <v>-26.8815438961103</v>
      </c>
      <c r="F2490" s="7">
        <v>2.60467406926418</v>
      </c>
      <c r="G2490" s="7">
        <v>3.5005760173168</v>
      </c>
      <c r="H2490" s="7">
        <v>-0.00159031676623309</v>
      </c>
      <c r="I2490" s="7">
        <v>-9.81423337229745</v>
      </c>
      <c r="J2490" s="7">
        <v>-6.58932131168983</v>
      </c>
      <c r="K2490" s="8"/>
      <c r="L2490" s="8"/>
    </row>
    <row r="2491" ht="13.5" customHeight="1">
      <c r="A2491" s="7" t="s">
        <v>355</v>
      </c>
      <c r="B2491" s="7">
        <v>0.0</v>
      </c>
      <c r="C2491" s="7" t="s">
        <v>361</v>
      </c>
      <c r="D2491" s="7" t="s">
        <v>357</v>
      </c>
      <c r="E2491" s="7">
        <v>-26.8984002597467</v>
      </c>
      <c r="F2491" s="7">
        <v>2.6063845887447</v>
      </c>
      <c r="G2491" s="7">
        <v>3.50284043290122</v>
      </c>
      <c r="H2491" s="7">
        <v>-0.00159137187012919</v>
      </c>
      <c r="I2491" s="7">
        <v>-9.82102816450526</v>
      </c>
      <c r="J2491" s="7">
        <v>-6.59386836363789</v>
      </c>
      <c r="K2491" s="8"/>
      <c r="L2491" s="8"/>
    </row>
    <row r="2492" ht="13.5" customHeight="1">
      <c r="A2492" s="7" t="s">
        <v>355</v>
      </c>
      <c r="B2492" s="7">
        <v>1.75</v>
      </c>
      <c r="C2492" s="7" t="s">
        <v>361</v>
      </c>
      <c r="D2492" s="7" t="s">
        <v>357</v>
      </c>
      <c r="E2492" s="7">
        <v>-26.9152566233831</v>
      </c>
      <c r="F2492" s="7">
        <v>2.60809510822522</v>
      </c>
      <c r="G2492" s="7">
        <v>3.50510484848564</v>
      </c>
      <c r="H2492" s="7">
        <v>-0.00159242697402529</v>
      </c>
      <c r="I2492" s="7">
        <v>-9.82782295671307</v>
      </c>
      <c r="J2492" s="7">
        <v>-6.59841541558595</v>
      </c>
      <c r="K2492" s="8"/>
      <c r="L2492" s="8"/>
    </row>
    <row r="2493" ht="13.5" customHeight="1">
      <c r="A2493" s="7" t="s">
        <v>355</v>
      </c>
      <c r="B2493" s="7">
        <v>3.5</v>
      </c>
      <c r="C2493" s="7" t="s">
        <v>361</v>
      </c>
      <c r="D2493" s="7" t="s">
        <v>357</v>
      </c>
      <c r="E2493" s="7">
        <v>-26.9321129870195</v>
      </c>
      <c r="F2493" s="7">
        <v>2.60980562770574</v>
      </c>
      <c r="G2493" s="7">
        <v>3.5073692640700598</v>
      </c>
      <c r="H2493" s="7">
        <v>-0.00159348207792139</v>
      </c>
      <c r="I2493" s="7">
        <v>-9.83461774892088</v>
      </c>
      <c r="J2493" s="7">
        <v>-6.60296246753401</v>
      </c>
      <c r="K2493" s="8"/>
      <c r="L2493" s="8"/>
    </row>
    <row r="2494" ht="13.5" customHeight="1">
      <c r="A2494" s="7" t="s">
        <v>355</v>
      </c>
      <c r="B2494" s="7">
        <v>0.0</v>
      </c>
      <c r="C2494" s="7" t="s">
        <v>362</v>
      </c>
      <c r="D2494" s="7" t="s">
        <v>357</v>
      </c>
      <c r="E2494" s="7">
        <v>-26.9489693506559</v>
      </c>
      <c r="F2494" s="7">
        <v>2.61151614718626</v>
      </c>
      <c r="G2494" s="7">
        <v>3.50963367965448</v>
      </c>
      <c r="H2494" s="7">
        <v>-0.00159453718181749</v>
      </c>
      <c r="I2494" s="7">
        <v>-9.84141254112869</v>
      </c>
      <c r="J2494" s="7">
        <v>-6.60750951948207</v>
      </c>
      <c r="K2494" s="8"/>
      <c r="L2494" s="8"/>
    </row>
    <row r="2495" ht="13.5" customHeight="1">
      <c r="A2495" s="7" t="s">
        <v>355</v>
      </c>
      <c r="B2495" s="7">
        <v>1.75</v>
      </c>
      <c r="C2495" s="7" t="s">
        <v>362</v>
      </c>
      <c r="D2495" s="7" t="s">
        <v>357</v>
      </c>
      <c r="E2495" s="7">
        <v>-26.9658257142923</v>
      </c>
      <c r="F2495" s="7">
        <v>2.61322666666678</v>
      </c>
      <c r="G2495" s="7">
        <v>3.5118980952389</v>
      </c>
      <c r="H2495" s="7">
        <v>-0.00159559228571359</v>
      </c>
      <c r="I2495" s="7">
        <v>-9.8482073333365</v>
      </c>
      <c r="J2495" s="7">
        <v>-6.61205657143013</v>
      </c>
      <c r="K2495" s="8"/>
      <c r="L2495" s="8"/>
    </row>
    <row r="2496" ht="13.5" customHeight="1">
      <c r="A2496" s="7" t="s">
        <v>355</v>
      </c>
      <c r="B2496" s="7">
        <v>3.5</v>
      </c>
      <c r="C2496" s="7" t="s">
        <v>362</v>
      </c>
      <c r="D2496" s="7" t="s">
        <v>357</v>
      </c>
      <c r="E2496" s="7">
        <v>-26.9826820779287</v>
      </c>
      <c r="F2496" s="7">
        <v>2.6149371861473</v>
      </c>
      <c r="G2496" s="7">
        <v>3.51416251082332</v>
      </c>
      <c r="H2496" s="7">
        <v>-0.00159664738960969</v>
      </c>
      <c r="I2496" s="7">
        <v>-9.85500212554431</v>
      </c>
      <c r="J2496" s="7">
        <v>-6.61660362337819</v>
      </c>
      <c r="K2496" s="8"/>
      <c r="L2496" s="8"/>
    </row>
    <row r="2497" ht="13.5" customHeight="1">
      <c r="A2497" s="7" t="s">
        <v>355</v>
      </c>
      <c r="B2497" s="7">
        <v>0.0</v>
      </c>
      <c r="C2497" s="7" t="s">
        <v>363</v>
      </c>
      <c r="D2497" s="7" t="s">
        <v>357</v>
      </c>
      <c r="E2497" s="7">
        <v>-26.9995384415651</v>
      </c>
      <c r="F2497" s="7">
        <v>2.61664770562782</v>
      </c>
      <c r="G2497" s="7">
        <v>3.51642692640774</v>
      </c>
      <c r="H2497" s="7">
        <v>-0.00159770249350579</v>
      </c>
      <c r="I2497" s="7">
        <v>-9.86179691775212</v>
      </c>
      <c r="J2497" s="7">
        <v>-6.62115067532625</v>
      </c>
      <c r="K2497" s="8"/>
      <c r="L2497" s="8"/>
    </row>
    <row r="2498" ht="13.5" customHeight="1">
      <c r="A2498" s="7" t="s">
        <v>355</v>
      </c>
      <c r="B2498" s="7">
        <v>1.75</v>
      </c>
      <c r="C2498" s="7" t="s">
        <v>363</v>
      </c>
      <c r="D2498" s="7" t="s">
        <v>357</v>
      </c>
      <c r="E2498" s="7">
        <v>-27.0163948052015</v>
      </c>
      <c r="F2498" s="7">
        <v>2.61835822510834</v>
      </c>
      <c r="G2498" s="7">
        <v>3.51869134199216</v>
      </c>
      <c r="H2498" s="7">
        <v>-0.0015987575974019</v>
      </c>
      <c r="I2498" s="7">
        <v>-9.86859170995993</v>
      </c>
      <c r="J2498" s="7">
        <v>-6.62569772727431</v>
      </c>
      <c r="K2498" s="8"/>
      <c r="L2498" s="8"/>
    </row>
    <row r="2499" ht="13.5" customHeight="1">
      <c r="A2499" s="7" t="s">
        <v>355</v>
      </c>
      <c r="B2499" s="7">
        <v>3.5</v>
      </c>
      <c r="C2499" s="7" t="s">
        <v>363</v>
      </c>
      <c r="D2499" s="7" t="s">
        <v>357</v>
      </c>
      <c r="E2499" s="7">
        <v>-27.0332511688379</v>
      </c>
      <c r="F2499" s="7">
        <v>2.62006874458886</v>
      </c>
      <c r="G2499" s="7">
        <v>3.52095575757658</v>
      </c>
      <c r="H2499" s="7">
        <v>-0.00159981270129799</v>
      </c>
      <c r="I2499" s="7">
        <v>-9.87538650216774</v>
      </c>
      <c r="J2499" s="7">
        <v>-6.63024477922237</v>
      </c>
      <c r="K2499" s="8"/>
      <c r="L2499" s="8"/>
    </row>
    <row r="2500" ht="13.5" customHeight="1">
      <c r="A2500" s="7" t="s">
        <v>355</v>
      </c>
      <c r="B2500" s="7">
        <v>0.0</v>
      </c>
      <c r="C2500" s="7" t="s">
        <v>356</v>
      </c>
      <c r="D2500" s="7" t="s">
        <v>357</v>
      </c>
      <c r="E2500" s="7">
        <v>-27.0501075324743</v>
      </c>
      <c r="F2500" s="7">
        <v>2.6217792640693798</v>
      </c>
      <c r="G2500" s="7">
        <v>3.523220173161</v>
      </c>
      <c r="H2500" s="7">
        <v>-0.00160086780519409</v>
      </c>
      <c r="I2500" s="7">
        <v>-9.88218129437555</v>
      </c>
      <c r="J2500" s="7">
        <v>-6.63479183117043</v>
      </c>
      <c r="K2500" s="8"/>
      <c r="L2500" s="8"/>
    </row>
    <row r="2501" ht="13.5" customHeight="1">
      <c r="A2501" s="7" t="s">
        <v>355</v>
      </c>
      <c r="B2501" s="7">
        <v>1.75</v>
      </c>
      <c r="C2501" s="7" t="s">
        <v>356</v>
      </c>
      <c r="D2501" s="7" t="s">
        <v>357</v>
      </c>
      <c r="E2501" s="7">
        <v>-27.0669638961107</v>
      </c>
      <c r="F2501" s="7">
        <v>2.6234897835499</v>
      </c>
      <c r="G2501" s="7">
        <v>3.52548458874542</v>
      </c>
      <c r="H2501" s="7">
        <v>-0.0016019229090902</v>
      </c>
      <c r="I2501" s="7">
        <v>-9.88897608658336</v>
      </c>
      <c r="J2501" s="7">
        <v>-6.63933888311849</v>
      </c>
      <c r="K2501" s="8"/>
      <c r="L2501" s="8"/>
    </row>
    <row r="2502" ht="13.5" customHeight="1">
      <c r="A2502" s="7" t="s">
        <v>355</v>
      </c>
      <c r="B2502" s="7">
        <v>3.5</v>
      </c>
      <c r="C2502" s="7" t="s">
        <v>356</v>
      </c>
      <c r="D2502" s="7" t="s">
        <v>357</v>
      </c>
      <c r="E2502" s="7">
        <v>-27.0838202597471</v>
      </c>
      <c r="F2502" s="7">
        <v>2.62520030303042</v>
      </c>
      <c r="G2502" s="7">
        <v>3.52774900432984</v>
      </c>
      <c r="H2502" s="7">
        <v>-0.00160297801298629</v>
      </c>
      <c r="I2502" s="7">
        <v>-9.89577087879117</v>
      </c>
      <c r="J2502" s="7">
        <v>-6.64388593506655</v>
      </c>
      <c r="K2502" s="8"/>
      <c r="L2502" s="8"/>
    </row>
    <row r="2503" ht="13.5" customHeight="1">
      <c r="A2503" s="7" t="s">
        <v>355</v>
      </c>
      <c r="B2503" s="7">
        <v>0.0</v>
      </c>
      <c r="C2503" s="7" t="s">
        <v>358</v>
      </c>
      <c r="D2503" s="7" t="s">
        <v>357</v>
      </c>
      <c r="E2503" s="7">
        <v>-27.1006766233835</v>
      </c>
      <c r="F2503" s="7">
        <v>2.62691082251094</v>
      </c>
      <c r="G2503" s="7">
        <v>3.53001341991426</v>
      </c>
      <c r="H2503" s="7">
        <v>-0.00160403311688239</v>
      </c>
      <c r="I2503" s="7">
        <v>-9.90256567099898</v>
      </c>
      <c r="J2503" s="7">
        <v>-6.64843298701461</v>
      </c>
      <c r="K2503" s="8"/>
      <c r="L2503" s="8"/>
    </row>
    <row r="2504" ht="13.5" customHeight="1">
      <c r="A2504" s="7" t="s">
        <v>355</v>
      </c>
      <c r="B2504" s="7">
        <v>1.75</v>
      </c>
      <c r="C2504" s="7" t="s">
        <v>358</v>
      </c>
      <c r="D2504" s="7" t="s">
        <v>357</v>
      </c>
      <c r="E2504" s="7">
        <v>-27.1175329870199</v>
      </c>
      <c r="F2504" s="7">
        <v>2.62862134199146</v>
      </c>
      <c r="G2504" s="7">
        <v>3.53227783549868</v>
      </c>
      <c r="H2504" s="7">
        <v>-0.0016050882207785</v>
      </c>
      <c r="I2504" s="7">
        <v>-9.90936046320679</v>
      </c>
      <c r="J2504" s="7">
        <v>-6.65298003896267</v>
      </c>
      <c r="K2504" s="8"/>
      <c r="L2504" s="8"/>
    </row>
    <row r="2505" ht="13.5" customHeight="1">
      <c r="A2505" s="7" t="s">
        <v>355</v>
      </c>
      <c r="B2505" s="7">
        <v>3.5</v>
      </c>
      <c r="C2505" s="7" t="s">
        <v>358</v>
      </c>
      <c r="D2505" s="7" t="s">
        <v>357</v>
      </c>
      <c r="E2505" s="7">
        <v>-27.1343893506563</v>
      </c>
      <c r="F2505" s="7">
        <v>2.63033186147198</v>
      </c>
      <c r="G2505" s="7">
        <v>3.5345422510831</v>
      </c>
      <c r="H2505" s="7">
        <v>-0.00160614332467459</v>
      </c>
      <c r="I2505" s="7">
        <v>-9.91615525541459</v>
      </c>
      <c r="J2505" s="7">
        <v>-6.65752709091073</v>
      </c>
      <c r="K2505" s="8"/>
      <c r="L2505" s="8"/>
    </row>
    <row r="2506" ht="13.5" customHeight="1">
      <c r="A2506" s="7" t="s">
        <v>355</v>
      </c>
      <c r="B2506" s="7">
        <v>0.0</v>
      </c>
      <c r="C2506" s="7" t="s">
        <v>359</v>
      </c>
      <c r="D2506" s="7" t="s">
        <v>357</v>
      </c>
      <c r="E2506" s="7">
        <v>-27.1512457142927</v>
      </c>
      <c r="F2506" s="7">
        <v>2.6320423809525</v>
      </c>
      <c r="G2506" s="7">
        <v>3.53680666666752</v>
      </c>
      <c r="H2506" s="7">
        <v>-0.00160719842857069</v>
      </c>
      <c r="I2506" s="7">
        <v>-9.9229500476224</v>
      </c>
      <c r="J2506" s="7">
        <v>-6.66207414285879</v>
      </c>
      <c r="K2506" s="8"/>
      <c r="L2506" s="8"/>
    </row>
    <row r="2507" ht="13.5" customHeight="1">
      <c r="A2507" s="7" t="s">
        <v>355</v>
      </c>
      <c r="B2507" s="7">
        <v>1.75</v>
      </c>
      <c r="C2507" s="7" t="s">
        <v>359</v>
      </c>
      <c r="D2507" s="7" t="s">
        <v>357</v>
      </c>
      <c r="E2507" s="7">
        <v>-27.1681020779291</v>
      </c>
      <c r="F2507" s="7">
        <v>2.63375290043302</v>
      </c>
      <c r="G2507" s="7">
        <v>3.53907108225194</v>
      </c>
      <c r="H2507" s="7">
        <v>-0.00160825353246679</v>
      </c>
      <c r="I2507" s="7">
        <v>-9.92974483983021</v>
      </c>
      <c r="J2507" s="7">
        <v>-6.66662119480686</v>
      </c>
      <c r="K2507" s="8"/>
      <c r="L2507" s="8"/>
    </row>
    <row r="2508" ht="13.5" customHeight="1">
      <c r="A2508" s="7" t="s">
        <v>355</v>
      </c>
      <c r="B2508" s="7">
        <v>3.5</v>
      </c>
      <c r="C2508" s="7" t="s">
        <v>359</v>
      </c>
      <c r="D2508" s="7" t="s">
        <v>357</v>
      </c>
      <c r="E2508" s="7">
        <v>-27.1849584415655</v>
      </c>
      <c r="F2508" s="7">
        <v>2.63546341991354</v>
      </c>
      <c r="G2508" s="7">
        <v>3.54133549783636</v>
      </c>
      <c r="H2508" s="7">
        <v>-0.00160930863636289</v>
      </c>
      <c r="I2508" s="7">
        <v>-9.93653963203802</v>
      </c>
      <c r="J2508" s="7">
        <v>-6.67116824675492</v>
      </c>
      <c r="K2508" s="8"/>
      <c r="L2508" s="8"/>
    </row>
    <row r="2509" ht="13.5" customHeight="1">
      <c r="A2509" s="7" t="s">
        <v>355</v>
      </c>
      <c r="B2509" s="7">
        <v>0.0</v>
      </c>
      <c r="C2509" s="7" t="s">
        <v>360</v>
      </c>
      <c r="D2509" s="7" t="s">
        <v>357</v>
      </c>
      <c r="E2509" s="7">
        <v>-27.2018148052019</v>
      </c>
      <c r="F2509" s="7">
        <v>2.63717393939406</v>
      </c>
      <c r="G2509" s="7">
        <v>3.54359991342078</v>
      </c>
      <c r="H2509" s="7">
        <v>-0.001610363740259</v>
      </c>
      <c r="I2509" s="7">
        <v>-9.94333442424583</v>
      </c>
      <c r="J2509" s="7">
        <v>-6.67571529870298</v>
      </c>
      <c r="K2509" s="8"/>
      <c r="L2509" s="8"/>
    </row>
    <row r="2510" ht="13.5" customHeight="1">
      <c r="A2510" s="7" t="s">
        <v>355</v>
      </c>
      <c r="B2510" s="7">
        <v>1.75</v>
      </c>
      <c r="C2510" s="7" t="s">
        <v>360</v>
      </c>
      <c r="D2510" s="7" t="s">
        <v>357</v>
      </c>
      <c r="E2510" s="7">
        <v>-27.2186711688383</v>
      </c>
      <c r="F2510" s="7">
        <v>2.63888445887458</v>
      </c>
      <c r="G2510" s="7">
        <v>3.5458643290052</v>
      </c>
      <c r="H2510" s="7">
        <v>-0.0016114188441551</v>
      </c>
      <c r="I2510" s="7">
        <v>-9.95012921645364</v>
      </c>
      <c r="J2510" s="7">
        <v>-6.68026235065104</v>
      </c>
      <c r="K2510" s="8"/>
      <c r="L2510" s="8"/>
    </row>
    <row r="2511" ht="13.5" customHeight="1">
      <c r="A2511" s="7" t="s">
        <v>355</v>
      </c>
      <c r="B2511" s="7">
        <v>3.5</v>
      </c>
      <c r="C2511" s="7" t="s">
        <v>360</v>
      </c>
      <c r="D2511" s="7" t="s">
        <v>357</v>
      </c>
      <c r="E2511" s="7">
        <v>-27.2355275324747</v>
      </c>
      <c r="F2511" s="7">
        <v>2.6405949783551</v>
      </c>
      <c r="G2511" s="7">
        <v>3.54812874458962</v>
      </c>
      <c r="H2511" s="7">
        <v>-0.0016124739480512</v>
      </c>
      <c r="I2511" s="7">
        <v>-9.95692400866145</v>
      </c>
      <c r="J2511" s="7">
        <v>-6.6848094025991</v>
      </c>
      <c r="K2511" s="8"/>
      <c r="L2511" s="8"/>
    </row>
    <row r="2512" ht="13.5" customHeight="1">
      <c r="A2512" s="7" t="s">
        <v>355</v>
      </c>
      <c r="B2512" s="7">
        <v>0.0</v>
      </c>
      <c r="C2512" s="7" t="s">
        <v>361</v>
      </c>
      <c r="D2512" s="7" t="s">
        <v>357</v>
      </c>
      <c r="E2512" s="7">
        <v>-27.2523838961111</v>
      </c>
      <c r="F2512" s="7">
        <v>2.64230549783562</v>
      </c>
      <c r="G2512" s="7">
        <v>3.55039316017404</v>
      </c>
      <c r="H2512" s="7">
        <v>-0.0016135290519473</v>
      </c>
      <c r="I2512" s="7">
        <v>-9.96371880086926</v>
      </c>
      <c r="J2512" s="7">
        <v>-6.68935645454716</v>
      </c>
      <c r="K2512" s="8"/>
      <c r="L2512" s="8"/>
    </row>
    <row r="2513" ht="13.5" customHeight="1">
      <c r="A2513" s="7" t="s">
        <v>355</v>
      </c>
      <c r="B2513" s="7">
        <v>1.75</v>
      </c>
      <c r="C2513" s="7" t="s">
        <v>361</v>
      </c>
      <c r="D2513" s="7" t="s">
        <v>357</v>
      </c>
      <c r="E2513" s="7">
        <v>-27.2692402597475</v>
      </c>
      <c r="F2513" s="7">
        <v>2.64401601731614</v>
      </c>
      <c r="G2513" s="7">
        <v>3.55265757575846</v>
      </c>
      <c r="H2513" s="7">
        <v>-0.0016145841558434</v>
      </c>
      <c r="I2513" s="7">
        <v>-9.97051359307707</v>
      </c>
      <c r="J2513" s="7">
        <v>-6.69390350649522</v>
      </c>
      <c r="K2513" s="8"/>
      <c r="L2513" s="8"/>
    </row>
    <row r="2514" ht="13.5" customHeight="1">
      <c r="A2514" s="7" t="s">
        <v>355</v>
      </c>
      <c r="B2514" s="7">
        <v>3.5</v>
      </c>
      <c r="C2514" s="7" t="s">
        <v>361</v>
      </c>
      <c r="D2514" s="7" t="s">
        <v>357</v>
      </c>
      <c r="E2514" s="7">
        <v>-27.2860966233839</v>
      </c>
      <c r="F2514" s="7">
        <v>2.64572653679666</v>
      </c>
      <c r="G2514" s="7">
        <v>3.55492199134288</v>
      </c>
      <c r="H2514" s="7">
        <v>-0.0016156392597395</v>
      </c>
      <c r="I2514" s="7">
        <v>-9.97730838528488</v>
      </c>
      <c r="J2514" s="7">
        <v>-6.69845055844328</v>
      </c>
      <c r="K2514" s="8"/>
      <c r="L2514" s="8"/>
    </row>
    <row r="2515" ht="13.5" customHeight="1">
      <c r="A2515" s="7" t="s">
        <v>355</v>
      </c>
      <c r="B2515" s="7">
        <v>0.0</v>
      </c>
      <c r="C2515" s="7" t="s">
        <v>362</v>
      </c>
      <c r="D2515" s="7" t="s">
        <v>357</v>
      </c>
      <c r="E2515" s="7">
        <v>-27.3029529870203</v>
      </c>
      <c r="F2515" s="7">
        <v>2.64743705627718</v>
      </c>
      <c r="G2515" s="7">
        <v>3.5571864069273</v>
      </c>
      <c r="H2515" s="7">
        <v>-0.0016166943636356</v>
      </c>
      <c r="I2515" s="7">
        <v>-9.98410317749269</v>
      </c>
      <c r="J2515" s="7">
        <v>-6.70299761039134</v>
      </c>
      <c r="K2515" s="8"/>
      <c r="L2515" s="8"/>
    </row>
    <row r="2516" ht="13.5" customHeight="1">
      <c r="A2516" s="7" t="s">
        <v>355</v>
      </c>
      <c r="B2516" s="7">
        <v>1.75</v>
      </c>
      <c r="C2516" s="7" t="s">
        <v>362</v>
      </c>
      <c r="D2516" s="7" t="s">
        <v>357</v>
      </c>
      <c r="E2516" s="7">
        <v>-27.3198093506567</v>
      </c>
      <c r="F2516" s="7">
        <v>2.6491475757577</v>
      </c>
      <c r="G2516" s="7">
        <v>3.55945082251172</v>
      </c>
      <c r="H2516" s="7">
        <v>-0.0016177494675317</v>
      </c>
      <c r="I2516" s="7">
        <v>-9.9908979697005</v>
      </c>
      <c r="J2516" s="7">
        <v>-6.7075446623394</v>
      </c>
      <c r="K2516" s="8"/>
      <c r="L2516" s="8"/>
    </row>
    <row r="2517" ht="13.5" customHeight="1">
      <c r="A2517" s="7" t="s">
        <v>355</v>
      </c>
      <c r="B2517" s="7">
        <v>3.5</v>
      </c>
      <c r="C2517" s="7" t="s">
        <v>362</v>
      </c>
      <c r="D2517" s="7" t="s">
        <v>357</v>
      </c>
      <c r="E2517" s="7">
        <v>-27.3366657142931</v>
      </c>
      <c r="F2517" s="7">
        <v>2.65085809523822</v>
      </c>
      <c r="G2517" s="7">
        <v>3.56171523809614</v>
      </c>
      <c r="H2517" s="7">
        <v>-0.0016188045714278</v>
      </c>
      <c r="I2517" s="7">
        <v>-9.99769276190831</v>
      </c>
      <c r="J2517" s="7">
        <v>-6.71209171428746</v>
      </c>
      <c r="K2517" s="8"/>
      <c r="L2517" s="8"/>
    </row>
    <row r="2518" ht="13.5" customHeight="1">
      <c r="A2518" s="7" t="s">
        <v>355</v>
      </c>
      <c r="B2518" s="7">
        <v>0.0</v>
      </c>
      <c r="C2518" s="7" t="s">
        <v>363</v>
      </c>
      <c r="D2518" s="7" t="s">
        <v>357</v>
      </c>
      <c r="E2518" s="7">
        <v>-27.3535220779295</v>
      </c>
      <c r="F2518" s="7">
        <v>2.65256861471874</v>
      </c>
      <c r="G2518" s="7">
        <v>3.56397965368056</v>
      </c>
      <c r="H2518" s="7">
        <v>-0.0016198596753239</v>
      </c>
      <c r="I2518" s="7">
        <v>-10.0044875541161</v>
      </c>
      <c r="J2518" s="7">
        <v>-6.71663876623552</v>
      </c>
      <c r="K2518" s="8"/>
      <c r="L2518" s="8"/>
    </row>
    <row r="2519" ht="13.5" customHeight="1">
      <c r="A2519" s="7" t="s">
        <v>355</v>
      </c>
      <c r="B2519" s="7">
        <v>1.75</v>
      </c>
      <c r="C2519" s="7" t="s">
        <v>363</v>
      </c>
      <c r="D2519" s="7" t="s">
        <v>357</v>
      </c>
      <c r="E2519" s="7">
        <v>-27.3703784415659</v>
      </c>
      <c r="F2519" s="7">
        <v>2.65427913419926</v>
      </c>
      <c r="G2519" s="7">
        <v>3.56624406926498</v>
      </c>
      <c r="H2519" s="7">
        <v>-0.00162091477922</v>
      </c>
      <c r="I2519" s="7">
        <v>-10.0112823463239</v>
      </c>
      <c r="J2519" s="7">
        <v>-6.72118581818358</v>
      </c>
      <c r="K2519" s="8"/>
      <c r="L2519" s="8"/>
    </row>
    <row r="2520" ht="13.5" customHeight="1">
      <c r="A2520" s="7" t="s">
        <v>355</v>
      </c>
      <c r="B2520" s="7">
        <v>3.5</v>
      </c>
      <c r="C2520" s="7" t="s">
        <v>363</v>
      </c>
      <c r="D2520" s="7" t="s">
        <v>357</v>
      </c>
      <c r="E2520" s="7">
        <v>-27.3872348052023</v>
      </c>
      <c r="F2520" s="7">
        <v>2.65598965367978</v>
      </c>
      <c r="G2520" s="7">
        <v>3.5685084848494</v>
      </c>
      <c r="H2520" s="7">
        <v>-0.0016219698831161</v>
      </c>
      <c r="I2520" s="7">
        <v>-10.0180771385317</v>
      </c>
      <c r="J2520" s="7">
        <v>-6.72573287013164</v>
      </c>
      <c r="K2520" s="8"/>
      <c r="L2520" s="8"/>
    </row>
    <row r="2521" ht="13.5" customHeight="1">
      <c r="A2521" s="7" t="s">
        <v>355</v>
      </c>
      <c r="B2521" s="7">
        <v>0.0</v>
      </c>
      <c r="C2521" s="7" t="s">
        <v>356</v>
      </c>
      <c r="D2521" s="7" t="s">
        <v>357</v>
      </c>
      <c r="E2521" s="7">
        <v>-27.4040911688387</v>
      </c>
      <c r="F2521" s="7">
        <v>2.6577001731603</v>
      </c>
      <c r="G2521" s="7">
        <v>3.57077290043382</v>
      </c>
      <c r="H2521" s="7">
        <v>-0.0016230249870122</v>
      </c>
      <c r="I2521" s="7">
        <v>-10.0248719307395</v>
      </c>
      <c r="J2521" s="7">
        <v>-6.7302799220797</v>
      </c>
      <c r="K2521" s="8"/>
      <c r="L2521" s="8"/>
    </row>
    <row r="2522" ht="13.5" customHeight="1">
      <c r="A2522" s="7" t="s">
        <v>355</v>
      </c>
      <c r="B2522" s="7">
        <v>1.75</v>
      </c>
      <c r="C2522" s="7" t="s">
        <v>356</v>
      </c>
      <c r="D2522" s="7" t="s">
        <v>357</v>
      </c>
      <c r="E2522" s="7">
        <v>-27.4209475324751</v>
      </c>
      <c r="F2522" s="7">
        <v>2.65941069264082</v>
      </c>
      <c r="G2522" s="7">
        <v>3.57303731601824</v>
      </c>
      <c r="H2522" s="7">
        <v>-0.0016240800909083</v>
      </c>
      <c r="I2522" s="7">
        <v>-10.0316667229474</v>
      </c>
      <c r="J2522" s="7">
        <v>-6.73482697402777</v>
      </c>
      <c r="K2522" s="8"/>
      <c r="L2522" s="8"/>
    </row>
    <row r="2523" ht="13.5" customHeight="1">
      <c r="A2523" s="7" t="s">
        <v>355</v>
      </c>
      <c r="B2523" s="7">
        <v>3.5</v>
      </c>
      <c r="C2523" s="7" t="s">
        <v>356</v>
      </c>
      <c r="D2523" s="7" t="s">
        <v>357</v>
      </c>
      <c r="E2523" s="7">
        <v>-27.4378038961115</v>
      </c>
      <c r="F2523" s="7">
        <v>2.66112121212134</v>
      </c>
      <c r="G2523" s="7">
        <v>3.57530173160266</v>
      </c>
      <c r="H2523" s="7">
        <v>-0.0016251351948044</v>
      </c>
      <c r="I2523" s="7">
        <v>-10.0384615151552</v>
      </c>
      <c r="J2523" s="7">
        <v>-6.73937402597582</v>
      </c>
      <c r="K2523" s="8"/>
      <c r="L2523" s="8"/>
    </row>
    <row r="2524" ht="13.5" customHeight="1">
      <c r="A2524" s="7" t="s">
        <v>355</v>
      </c>
      <c r="B2524" s="7">
        <v>0.0</v>
      </c>
      <c r="C2524" s="7" t="s">
        <v>358</v>
      </c>
      <c r="D2524" s="7" t="s">
        <v>357</v>
      </c>
      <c r="E2524" s="7">
        <v>-27.4546602597479</v>
      </c>
      <c r="F2524" s="7">
        <v>2.66283173160186</v>
      </c>
      <c r="G2524" s="7">
        <v>3.57756614718708</v>
      </c>
      <c r="H2524" s="7">
        <v>-0.0016261902987005</v>
      </c>
      <c r="I2524" s="7">
        <v>-10.045256307363</v>
      </c>
      <c r="J2524" s="7">
        <v>-6.74392107792389</v>
      </c>
      <c r="K2524" s="8"/>
      <c r="L2524" s="8"/>
    </row>
    <row r="2525" ht="13.5" customHeight="1">
      <c r="A2525" s="7" t="s">
        <v>355</v>
      </c>
      <c r="B2525" s="7">
        <v>1.75</v>
      </c>
      <c r="C2525" s="7" t="s">
        <v>358</v>
      </c>
      <c r="D2525" s="7" t="s">
        <v>357</v>
      </c>
      <c r="E2525" s="7">
        <v>-27.4715166233843</v>
      </c>
      <c r="F2525" s="7">
        <v>2.66454225108238</v>
      </c>
      <c r="G2525" s="7">
        <v>3.5798305627715</v>
      </c>
      <c r="H2525" s="7">
        <v>-0.0016272454025966</v>
      </c>
      <c r="I2525" s="7">
        <v>-10.0520510995708</v>
      </c>
      <c r="J2525" s="7">
        <v>-6.74846812987195</v>
      </c>
      <c r="K2525" s="8"/>
      <c r="L2525" s="8"/>
    </row>
    <row r="2526" ht="13.5" customHeight="1">
      <c r="A2526" s="7" t="s">
        <v>355</v>
      </c>
      <c r="B2526" s="7">
        <v>3.5</v>
      </c>
      <c r="C2526" s="7" t="s">
        <v>358</v>
      </c>
      <c r="D2526" s="7" t="s">
        <v>357</v>
      </c>
      <c r="E2526" s="7">
        <v>-27.4883729870207</v>
      </c>
      <c r="F2526" s="7">
        <v>2.6662527705629</v>
      </c>
      <c r="G2526" s="7">
        <v>3.58209497835592</v>
      </c>
      <c r="H2526" s="7">
        <v>-0.0016283005064927</v>
      </c>
      <c r="I2526" s="7">
        <v>-10.0588458917786</v>
      </c>
      <c r="J2526" s="7">
        <v>-6.75301518182001</v>
      </c>
      <c r="K2526" s="8"/>
      <c r="L2526" s="8"/>
    </row>
    <row r="2527" ht="13.5" customHeight="1">
      <c r="A2527" s="7" t="s">
        <v>355</v>
      </c>
      <c r="B2527" s="7">
        <v>0.0</v>
      </c>
      <c r="C2527" s="7" t="s">
        <v>359</v>
      </c>
      <c r="D2527" s="7" t="s">
        <v>357</v>
      </c>
      <c r="E2527" s="7">
        <v>-27.5052293506571</v>
      </c>
      <c r="F2527" s="7">
        <v>2.66796329004342</v>
      </c>
      <c r="G2527" s="7">
        <v>3.58435939394034</v>
      </c>
      <c r="H2527" s="7">
        <v>-0.0016293556103888</v>
      </c>
      <c r="I2527" s="7">
        <v>-10.0656406839864</v>
      </c>
      <c r="J2527" s="7">
        <v>-6.75756223376807</v>
      </c>
      <c r="K2527" s="8"/>
      <c r="L2527" s="8"/>
    </row>
    <row r="2528" ht="13.5" customHeight="1">
      <c r="A2528" s="7" t="s">
        <v>355</v>
      </c>
      <c r="B2528" s="7">
        <v>1.75</v>
      </c>
      <c r="C2528" s="7" t="s">
        <v>359</v>
      </c>
      <c r="D2528" s="7" t="s">
        <v>357</v>
      </c>
      <c r="E2528" s="7">
        <v>-27.5220857142935</v>
      </c>
      <c r="F2528" s="7">
        <v>2.66967380952394</v>
      </c>
      <c r="G2528" s="7">
        <v>3.58662380952476</v>
      </c>
      <c r="H2528" s="7">
        <v>-0.0016304107142849</v>
      </c>
      <c r="I2528" s="7">
        <v>-10.0724354761942</v>
      </c>
      <c r="J2528" s="7">
        <v>-6.76210928571613</v>
      </c>
      <c r="K2528" s="8"/>
      <c r="L2528" s="8"/>
    </row>
    <row r="2529" ht="13.5" customHeight="1">
      <c r="A2529" s="7" t="s">
        <v>355</v>
      </c>
      <c r="B2529" s="7">
        <v>3.5</v>
      </c>
      <c r="C2529" s="7" t="s">
        <v>359</v>
      </c>
      <c r="D2529" s="7" t="s">
        <v>357</v>
      </c>
      <c r="E2529" s="7">
        <v>-27.5389420779299</v>
      </c>
      <c r="F2529" s="7">
        <v>2.67138432900446</v>
      </c>
      <c r="G2529" s="7">
        <v>3.58888822510918</v>
      </c>
      <c r="H2529" s="7">
        <v>-0.001631465818181</v>
      </c>
      <c r="I2529" s="7">
        <v>-10.079230268402</v>
      </c>
      <c r="J2529" s="7">
        <v>-6.76665633766419</v>
      </c>
      <c r="K2529" s="8"/>
      <c r="L2529" s="8"/>
    </row>
    <row r="2530" ht="13.5" customHeight="1">
      <c r="A2530" s="7" t="s">
        <v>355</v>
      </c>
      <c r="B2530" s="7">
        <v>0.0</v>
      </c>
      <c r="C2530" s="7" t="s">
        <v>360</v>
      </c>
      <c r="D2530" s="7" t="s">
        <v>357</v>
      </c>
      <c r="E2530" s="7">
        <v>-27.5557984415663</v>
      </c>
      <c r="F2530" s="7">
        <v>2.67309484848498</v>
      </c>
      <c r="G2530" s="7">
        <v>3.5911526406936</v>
      </c>
      <c r="H2530" s="7">
        <v>-0.0016325209220771</v>
      </c>
      <c r="I2530" s="7">
        <v>-10.0860250606098</v>
      </c>
      <c r="J2530" s="7">
        <v>-6.77120338961225</v>
      </c>
      <c r="K2530" s="8"/>
      <c r="L2530" s="8"/>
    </row>
    <row r="2531" ht="13.5" customHeight="1">
      <c r="A2531" s="7" t="s">
        <v>355</v>
      </c>
      <c r="B2531" s="7">
        <v>1.75</v>
      </c>
      <c r="C2531" s="7" t="s">
        <v>360</v>
      </c>
      <c r="D2531" s="7" t="s">
        <v>357</v>
      </c>
      <c r="E2531" s="7">
        <v>-27.5726548052027</v>
      </c>
      <c r="F2531" s="7">
        <v>2.6748053679655</v>
      </c>
      <c r="G2531" s="7">
        <v>3.59341705627802</v>
      </c>
      <c r="H2531" s="7">
        <v>-0.0016335760259732</v>
      </c>
      <c r="I2531" s="7">
        <v>-10.0928198528176</v>
      </c>
      <c r="J2531" s="7">
        <v>-6.77575044156031</v>
      </c>
      <c r="K2531" s="8"/>
      <c r="L2531" s="8"/>
    </row>
    <row r="2532" ht="13.5" customHeight="1">
      <c r="A2532" s="7" t="s">
        <v>355</v>
      </c>
      <c r="B2532" s="7">
        <v>3.5</v>
      </c>
      <c r="C2532" s="7" t="s">
        <v>360</v>
      </c>
      <c r="D2532" s="7" t="s">
        <v>357</v>
      </c>
      <c r="E2532" s="7">
        <v>-27.5895111688391</v>
      </c>
      <c r="F2532" s="7">
        <v>2.67651588744602</v>
      </c>
      <c r="G2532" s="7">
        <v>3.59568147186244</v>
      </c>
      <c r="H2532" s="7">
        <v>-0.0016346311298693</v>
      </c>
      <c r="I2532" s="7">
        <v>-10.0996146450255</v>
      </c>
      <c r="J2532" s="7">
        <v>-6.78029749350837</v>
      </c>
      <c r="K2532" s="8"/>
      <c r="L2532" s="8"/>
    </row>
    <row r="2533" ht="13.5" customHeight="1">
      <c r="A2533" s="7" t="s">
        <v>355</v>
      </c>
      <c r="B2533" s="7">
        <v>0.0</v>
      </c>
      <c r="C2533" s="7" t="s">
        <v>361</v>
      </c>
      <c r="D2533" s="7" t="s">
        <v>357</v>
      </c>
      <c r="E2533" s="7">
        <v>-27.6063675324755</v>
      </c>
      <c r="F2533" s="7">
        <v>2.67822640692654</v>
      </c>
      <c r="G2533" s="7">
        <v>3.59794588744686</v>
      </c>
      <c r="H2533" s="7">
        <v>-0.0016356862337654</v>
      </c>
      <c r="I2533" s="7">
        <v>-10.1064094372333</v>
      </c>
      <c r="J2533" s="7">
        <v>-6.78484454545643</v>
      </c>
      <c r="K2533" s="8"/>
      <c r="L2533" s="8"/>
    </row>
    <row r="2534" ht="13.5" customHeight="1">
      <c r="A2534" s="7" t="s">
        <v>355</v>
      </c>
      <c r="B2534" s="7">
        <v>1.75</v>
      </c>
      <c r="C2534" s="7" t="s">
        <v>361</v>
      </c>
      <c r="D2534" s="7" t="s">
        <v>357</v>
      </c>
      <c r="E2534" s="7">
        <v>-27.6232238961119</v>
      </c>
      <c r="F2534" s="7">
        <v>2.67993692640706</v>
      </c>
      <c r="G2534" s="7">
        <v>3.60021030303128</v>
      </c>
      <c r="H2534" s="7">
        <v>-0.0016367413376615</v>
      </c>
      <c r="I2534" s="7">
        <v>-10.1132042294411</v>
      </c>
      <c r="J2534" s="7">
        <v>-6.78939159740449</v>
      </c>
      <c r="K2534" s="8"/>
      <c r="L2534" s="8"/>
    </row>
    <row r="2535" ht="13.5" customHeight="1">
      <c r="A2535" s="7" t="s">
        <v>355</v>
      </c>
      <c r="B2535" s="7">
        <v>3.5</v>
      </c>
      <c r="C2535" s="7" t="s">
        <v>361</v>
      </c>
      <c r="D2535" s="7" t="s">
        <v>357</v>
      </c>
      <c r="E2535" s="7">
        <v>-27.6400802597483</v>
      </c>
      <c r="F2535" s="7">
        <v>2.68164744588758</v>
      </c>
      <c r="G2535" s="7">
        <v>3.6024747186157</v>
      </c>
      <c r="H2535" s="7">
        <v>-0.0016377964415576</v>
      </c>
      <c r="I2535" s="7">
        <v>-10.1199990216489</v>
      </c>
      <c r="J2535" s="7">
        <v>-6.79393864935255</v>
      </c>
      <c r="K2535" s="8"/>
      <c r="L2535" s="8"/>
    </row>
    <row r="2536" ht="13.5" customHeight="1">
      <c r="A2536" s="7" t="s">
        <v>355</v>
      </c>
      <c r="B2536" s="7">
        <v>0.0</v>
      </c>
      <c r="C2536" s="7" t="s">
        <v>362</v>
      </c>
      <c r="D2536" s="7" t="s">
        <v>357</v>
      </c>
      <c r="E2536" s="7">
        <v>-27.6569366233847</v>
      </c>
      <c r="F2536" s="7">
        <v>2.6833579653681</v>
      </c>
      <c r="G2536" s="7">
        <v>3.60473913420012</v>
      </c>
      <c r="H2536" s="7">
        <v>-0.0016388515454537</v>
      </c>
      <c r="I2536" s="7">
        <v>-10.1267938138567</v>
      </c>
      <c r="J2536" s="7">
        <v>-6.79848570130061</v>
      </c>
      <c r="K2536" s="8"/>
      <c r="L2536" s="8"/>
    </row>
    <row r="2537" ht="13.5" customHeight="1">
      <c r="A2537" s="7" t="s">
        <v>355</v>
      </c>
      <c r="B2537" s="7">
        <v>1.75</v>
      </c>
      <c r="C2537" s="7" t="s">
        <v>362</v>
      </c>
      <c r="D2537" s="7" t="s">
        <v>357</v>
      </c>
      <c r="E2537" s="7">
        <v>-27.6737929870211</v>
      </c>
      <c r="F2537" s="7">
        <v>2.68506848484862</v>
      </c>
      <c r="G2537" s="7">
        <v>3.60700354978454</v>
      </c>
      <c r="H2537" s="7">
        <v>-0.0016399066493498</v>
      </c>
      <c r="I2537" s="7">
        <v>-10.1335886060645</v>
      </c>
      <c r="J2537" s="7">
        <v>-6.80303275324867</v>
      </c>
      <c r="K2537" s="8"/>
      <c r="L2537" s="8"/>
    </row>
    <row r="2538" ht="13.5" customHeight="1">
      <c r="A2538" s="7" t="s">
        <v>355</v>
      </c>
      <c r="B2538" s="7">
        <v>3.5</v>
      </c>
      <c r="C2538" s="7" t="s">
        <v>362</v>
      </c>
      <c r="D2538" s="7" t="s">
        <v>357</v>
      </c>
      <c r="E2538" s="7">
        <v>-27.6906493506575</v>
      </c>
      <c r="F2538" s="7">
        <v>2.68677900432914</v>
      </c>
      <c r="G2538" s="7">
        <v>3.60926796536896</v>
      </c>
      <c r="H2538" s="7">
        <v>-0.0016409617532459</v>
      </c>
      <c r="I2538" s="7">
        <v>-10.1403833982723</v>
      </c>
      <c r="J2538" s="7">
        <v>-6.80757980519673</v>
      </c>
      <c r="K2538" s="8"/>
      <c r="L2538" s="8"/>
    </row>
    <row r="2539" ht="13.5" customHeight="1">
      <c r="A2539" s="7" t="s">
        <v>355</v>
      </c>
      <c r="B2539" s="7">
        <v>0.0</v>
      </c>
      <c r="C2539" s="7" t="s">
        <v>363</v>
      </c>
      <c r="D2539" s="7" t="s">
        <v>357</v>
      </c>
      <c r="E2539" s="7">
        <v>-27.7075057142939</v>
      </c>
      <c r="F2539" s="7">
        <v>2.68848952380966</v>
      </c>
      <c r="G2539" s="7">
        <v>3.61153238095338</v>
      </c>
      <c r="H2539" s="7">
        <v>-0.001642016857142</v>
      </c>
      <c r="I2539" s="7">
        <v>-10.1471781904801</v>
      </c>
      <c r="J2539" s="7">
        <v>-6.81212685714479</v>
      </c>
      <c r="K2539" s="8"/>
      <c r="L2539" s="8"/>
    </row>
    <row r="2540" ht="13.5" customHeight="1">
      <c r="A2540" s="7" t="s">
        <v>355</v>
      </c>
      <c r="B2540" s="7">
        <v>1.75</v>
      </c>
      <c r="C2540" s="7" t="s">
        <v>363</v>
      </c>
      <c r="D2540" s="7" t="s">
        <v>357</v>
      </c>
      <c r="E2540" s="7">
        <v>-27.7243620779303</v>
      </c>
      <c r="F2540" s="7">
        <v>2.69020004329018</v>
      </c>
      <c r="G2540" s="7">
        <v>3.6137967965378</v>
      </c>
      <c r="H2540" s="7">
        <v>-0.0016430719610381</v>
      </c>
      <c r="I2540" s="7">
        <v>-10.1539729826879</v>
      </c>
      <c r="J2540" s="7">
        <v>-6.81667390909286</v>
      </c>
      <c r="K2540" s="8"/>
      <c r="L2540" s="8"/>
    </row>
    <row r="2541" ht="13.5" customHeight="1">
      <c r="A2541" s="7" t="s">
        <v>355</v>
      </c>
      <c r="B2541" s="7">
        <v>3.5</v>
      </c>
      <c r="C2541" s="7" t="s">
        <v>363</v>
      </c>
      <c r="D2541" s="7" t="s">
        <v>357</v>
      </c>
      <c r="E2541" s="7">
        <v>-27.7412184415667</v>
      </c>
      <c r="F2541" s="7">
        <v>2.6919105627707</v>
      </c>
      <c r="G2541" s="7">
        <v>3.61606121212222</v>
      </c>
      <c r="H2541" s="7">
        <v>-0.0016441270649342</v>
      </c>
      <c r="I2541" s="7">
        <v>-10.1607677748957</v>
      </c>
      <c r="J2541" s="7">
        <v>-6.82122096104092</v>
      </c>
      <c r="K2541" s="8"/>
      <c r="L2541" s="8"/>
    </row>
    <row r="2542" ht="13.5" customHeight="1">
      <c r="A2542" s="7" t="s">
        <v>355</v>
      </c>
      <c r="B2542" s="7">
        <v>0.0</v>
      </c>
      <c r="C2542" s="7" t="s">
        <v>356</v>
      </c>
      <c r="D2542" s="7" t="s">
        <v>357</v>
      </c>
      <c r="E2542" s="7">
        <v>-27.7580748052031</v>
      </c>
      <c r="F2542" s="7">
        <v>2.69362108225122</v>
      </c>
      <c r="G2542" s="7">
        <v>3.61832562770664</v>
      </c>
      <c r="H2542" s="7">
        <v>-0.0016451821688303</v>
      </c>
      <c r="I2542" s="7">
        <v>-10.1675625671036</v>
      </c>
      <c r="J2542" s="7">
        <v>-6.82576801298898</v>
      </c>
      <c r="K2542" s="8"/>
      <c r="L2542" s="8"/>
    </row>
    <row r="2543" ht="13.5" customHeight="1">
      <c r="A2543" s="7" t="s">
        <v>355</v>
      </c>
      <c r="B2543" s="7">
        <v>1.75</v>
      </c>
      <c r="C2543" s="7" t="s">
        <v>356</v>
      </c>
      <c r="D2543" s="7" t="s">
        <v>357</v>
      </c>
      <c r="E2543" s="7">
        <v>-27.7749311688395</v>
      </c>
      <c r="F2543" s="7">
        <v>2.69533160173174</v>
      </c>
      <c r="G2543" s="7">
        <v>3.62059004329106</v>
      </c>
      <c r="H2543" s="7">
        <v>-0.0016462372727264</v>
      </c>
      <c r="I2543" s="7">
        <v>-10.1743573593114</v>
      </c>
      <c r="J2543" s="7">
        <v>-6.83031506493704</v>
      </c>
      <c r="K2543" s="8"/>
      <c r="L2543" s="8"/>
    </row>
    <row r="2544" ht="13.5" customHeight="1">
      <c r="A2544" s="7" t="s">
        <v>355</v>
      </c>
      <c r="B2544" s="7">
        <v>3.5</v>
      </c>
      <c r="C2544" s="7" t="s">
        <v>356</v>
      </c>
      <c r="D2544" s="7" t="s">
        <v>357</v>
      </c>
      <c r="E2544" s="7">
        <v>-27.7917875324759</v>
      </c>
      <c r="F2544" s="7">
        <v>2.69704212121226</v>
      </c>
      <c r="G2544" s="7">
        <v>3.62285445887548</v>
      </c>
      <c r="H2544" s="7">
        <v>-0.0016472923766225</v>
      </c>
      <c r="I2544" s="7">
        <v>-10.1811521515192</v>
      </c>
      <c r="J2544" s="7">
        <v>-6.8348621168851</v>
      </c>
      <c r="K2544" s="8"/>
      <c r="L2544" s="8"/>
    </row>
    <row r="2545" ht="13.5" customHeight="1">
      <c r="A2545" s="7" t="s">
        <v>355</v>
      </c>
      <c r="B2545" s="7">
        <v>0.0</v>
      </c>
      <c r="C2545" s="7" t="s">
        <v>358</v>
      </c>
      <c r="D2545" s="7" t="s">
        <v>357</v>
      </c>
      <c r="E2545" s="7">
        <v>-27.8086438961123</v>
      </c>
      <c r="F2545" s="7">
        <v>2.69875264069278</v>
      </c>
      <c r="G2545" s="7">
        <v>3.6251188744599</v>
      </c>
      <c r="H2545" s="7">
        <v>-0.0016483474805186</v>
      </c>
      <c r="I2545" s="7">
        <v>-10.187946943727</v>
      </c>
      <c r="J2545" s="7">
        <v>-6.83940916883316</v>
      </c>
      <c r="K2545" s="8"/>
      <c r="L2545" s="8"/>
    </row>
    <row r="2546" ht="13.5" customHeight="1">
      <c r="A2546" s="7" t="s">
        <v>355</v>
      </c>
      <c r="B2546" s="7">
        <v>1.75</v>
      </c>
      <c r="C2546" s="7" t="s">
        <v>358</v>
      </c>
      <c r="D2546" s="7" t="s">
        <v>357</v>
      </c>
      <c r="E2546" s="7">
        <v>-27.8255002597487</v>
      </c>
      <c r="F2546" s="7">
        <v>2.7004631601733</v>
      </c>
      <c r="G2546" s="7">
        <v>3.62738329004432</v>
      </c>
      <c r="H2546" s="7">
        <v>-0.0016494025844147</v>
      </c>
      <c r="I2546" s="7">
        <v>-10.1947417359348</v>
      </c>
      <c r="J2546" s="7">
        <v>-6.84395622078122</v>
      </c>
      <c r="K2546" s="8"/>
      <c r="L2546" s="8"/>
    </row>
    <row r="2547" ht="13.5" customHeight="1">
      <c r="A2547" s="7" t="s">
        <v>355</v>
      </c>
      <c r="B2547" s="7">
        <v>3.5</v>
      </c>
      <c r="C2547" s="7" t="s">
        <v>358</v>
      </c>
      <c r="D2547" s="7" t="s">
        <v>357</v>
      </c>
      <c r="E2547" s="7">
        <v>-27.8423566233851</v>
      </c>
      <c r="F2547" s="7">
        <v>2.70217367965382</v>
      </c>
      <c r="G2547" s="7">
        <v>3.62964770562874</v>
      </c>
      <c r="H2547" s="7">
        <v>-0.0016504576883108</v>
      </c>
      <c r="I2547" s="7">
        <v>-10.2015365281426</v>
      </c>
      <c r="J2547" s="7">
        <v>-6.84850327272928</v>
      </c>
      <c r="K2547" s="8"/>
      <c r="L2547" s="8"/>
    </row>
    <row r="2548" ht="13.5" customHeight="1">
      <c r="A2548" s="7" t="s">
        <v>355</v>
      </c>
      <c r="B2548" s="7">
        <v>0.0</v>
      </c>
      <c r="C2548" s="7" t="s">
        <v>359</v>
      </c>
      <c r="D2548" s="7" t="s">
        <v>357</v>
      </c>
      <c r="E2548" s="7">
        <v>-27.8592129870215</v>
      </c>
      <c r="F2548" s="7">
        <v>2.70388419913434</v>
      </c>
      <c r="G2548" s="7">
        <v>3.63191212121316</v>
      </c>
      <c r="H2548" s="7">
        <v>-0.0016515127922069</v>
      </c>
      <c r="I2548" s="7">
        <v>-10.2083313203504</v>
      </c>
      <c r="J2548" s="7">
        <v>-6.85305032467734</v>
      </c>
      <c r="K2548" s="8"/>
      <c r="L2548" s="8"/>
    </row>
    <row r="2549" ht="13.5" customHeight="1">
      <c r="A2549" s="7" t="s">
        <v>355</v>
      </c>
      <c r="B2549" s="7">
        <v>1.75</v>
      </c>
      <c r="C2549" s="7" t="s">
        <v>359</v>
      </c>
      <c r="D2549" s="7" t="s">
        <v>357</v>
      </c>
      <c r="E2549" s="7">
        <v>-27.8760693506579</v>
      </c>
      <c r="F2549" s="7">
        <v>2.70559471861486</v>
      </c>
      <c r="G2549" s="7">
        <v>3.63417653679758</v>
      </c>
      <c r="H2549" s="7">
        <v>-0.001652567896103</v>
      </c>
      <c r="I2549" s="7">
        <v>-10.2151261125582</v>
      </c>
      <c r="J2549" s="7">
        <v>-6.8575973766254</v>
      </c>
      <c r="K2549" s="8"/>
      <c r="L2549" s="8"/>
    </row>
    <row r="2550" ht="13.5" customHeight="1">
      <c r="A2550" s="7" t="s">
        <v>355</v>
      </c>
      <c r="B2550" s="7">
        <v>3.5</v>
      </c>
      <c r="C2550" s="7" t="s">
        <v>359</v>
      </c>
      <c r="D2550" s="7" t="s">
        <v>357</v>
      </c>
      <c r="E2550" s="7">
        <v>-27.8929257142943</v>
      </c>
      <c r="F2550" s="7">
        <v>2.70730523809538</v>
      </c>
      <c r="G2550" s="7">
        <v>3.636440952382</v>
      </c>
      <c r="H2550" s="7">
        <v>-0.0016536229999991</v>
      </c>
      <c r="I2550" s="7">
        <v>-10.221920904766</v>
      </c>
      <c r="J2550" s="7">
        <v>-6.86214442857346</v>
      </c>
      <c r="K2550" s="8"/>
      <c r="L2550" s="8"/>
    </row>
    <row r="2551" ht="13.5" customHeight="1">
      <c r="A2551" s="7" t="s">
        <v>355</v>
      </c>
      <c r="B2551" s="7">
        <v>0.0</v>
      </c>
      <c r="C2551" s="7" t="s">
        <v>360</v>
      </c>
      <c r="D2551" s="7" t="s">
        <v>357</v>
      </c>
      <c r="E2551" s="7">
        <v>-27.9097820779307</v>
      </c>
      <c r="F2551" s="7">
        <v>2.7090157575759</v>
      </c>
      <c r="G2551" s="7">
        <v>3.63870536796642</v>
      </c>
      <c r="H2551" s="7">
        <v>-0.0016546781038952</v>
      </c>
      <c r="I2551" s="7">
        <v>-10.2287156969738</v>
      </c>
      <c r="J2551" s="7">
        <v>-6.86669148052152</v>
      </c>
      <c r="K2551" s="8"/>
      <c r="L2551" s="8"/>
    </row>
    <row r="2552" ht="13.5" customHeight="1">
      <c r="A2552" s="7" t="s">
        <v>355</v>
      </c>
      <c r="B2552" s="7">
        <v>1.75</v>
      </c>
      <c r="C2552" s="7" t="s">
        <v>360</v>
      </c>
      <c r="D2552" s="7" t="s">
        <v>357</v>
      </c>
      <c r="E2552" s="7">
        <v>-27.9266384415671</v>
      </c>
      <c r="F2552" s="7">
        <v>2.71072627705642</v>
      </c>
      <c r="G2552" s="7">
        <v>3.64096978355084</v>
      </c>
      <c r="H2552" s="7">
        <v>-0.0016557332077913</v>
      </c>
      <c r="I2552" s="7">
        <v>-10.2355104891816</v>
      </c>
      <c r="J2552" s="7">
        <v>-6.87123853246958</v>
      </c>
      <c r="K2552" s="8"/>
      <c r="L2552" s="8"/>
    </row>
    <row r="2553" ht="13.5" customHeight="1">
      <c r="A2553" s="7" t="s">
        <v>355</v>
      </c>
      <c r="B2553" s="7">
        <v>3.5</v>
      </c>
      <c r="C2553" s="7" t="s">
        <v>360</v>
      </c>
      <c r="D2553" s="7" t="s">
        <v>357</v>
      </c>
      <c r="E2553" s="7">
        <v>-27.9434948052035</v>
      </c>
      <c r="F2553" s="7">
        <v>2.71243679653694</v>
      </c>
      <c r="G2553" s="7">
        <v>3.64323419913526</v>
      </c>
      <c r="H2553" s="7">
        <v>-0.0016567883116874</v>
      </c>
      <c r="I2553" s="7">
        <v>-10.2423052813895</v>
      </c>
      <c r="J2553" s="7">
        <v>-6.87578558441764</v>
      </c>
      <c r="K2553" s="8"/>
      <c r="L2553" s="8"/>
    </row>
    <row r="2554" ht="13.5" customHeight="1">
      <c r="A2554" s="7" t="s">
        <v>355</v>
      </c>
      <c r="B2554" s="7">
        <v>0.0</v>
      </c>
      <c r="C2554" s="7" t="s">
        <v>361</v>
      </c>
      <c r="D2554" s="7" t="s">
        <v>357</v>
      </c>
      <c r="E2554" s="7">
        <v>-27.9603511688399</v>
      </c>
      <c r="F2554" s="7">
        <v>2.71414731601746</v>
      </c>
      <c r="G2554" s="7">
        <v>3.64549861471968</v>
      </c>
      <c r="H2554" s="7">
        <v>-0.0016578434155835</v>
      </c>
      <c r="I2554" s="7">
        <v>-10.2491000735973</v>
      </c>
      <c r="J2554" s="7">
        <v>-6.8803326363657</v>
      </c>
      <c r="K2554" s="8"/>
      <c r="L2554" s="8"/>
    </row>
    <row r="2555" ht="13.5" customHeight="1">
      <c r="A2555" s="7" t="s">
        <v>355</v>
      </c>
      <c r="B2555" s="7">
        <v>1.75</v>
      </c>
      <c r="C2555" s="7" t="s">
        <v>361</v>
      </c>
      <c r="D2555" s="7" t="s">
        <v>357</v>
      </c>
      <c r="E2555" s="7">
        <v>-27.9772075324763</v>
      </c>
      <c r="F2555" s="7">
        <v>2.71585783549798</v>
      </c>
      <c r="G2555" s="7">
        <v>3.6477630303041</v>
      </c>
      <c r="H2555" s="7">
        <v>-0.0016588985194796</v>
      </c>
      <c r="I2555" s="7">
        <v>-10.2558948658051</v>
      </c>
      <c r="J2555" s="7">
        <v>-6.88487968831376</v>
      </c>
      <c r="K2555" s="8"/>
      <c r="L2555" s="8"/>
    </row>
    <row r="2556" ht="13.5" customHeight="1">
      <c r="A2556" s="7" t="s">
        <v>355</v>
      </c>
      <c r="B2556" s="7">
        <v>3.5</v>
      </c>
      <c r="C2556" s="7" t="s">
        <v>361</v>
      </c>
      <c r="D2556" s="7" t="s">
        <v>357</v>
      </c>
      <c r="E2556" s="7">
        <v>-27.9940638961127</v>
      </c>
      <c r="F2556" s="7">
        <v>2.7175683549785</v>
      </c>
      <c r="G2556" s="7">
        <v>3.65002744588852</v>
      </c>
      <c r="H2556" s="7">
        <v>-0.0016599536233757</v>
      </c>
      <c r="I2556" s="7">
        <v>-10.2626896580129</v>
      </c>
      <c r="J2556" s="7">
        <v>-6.88942674026182</v>
      </c>
      <c r="K2556" s="8"/>
      <c r="L2556" s="8"/>
    </row>
    <row r="2557" ht="13.5" customHeight="1">
      <c r="A2557" s="7" t="s">
        <v>355</v>
      </c>
      <c r="B2557" s="7">
        <v>0.0</v>
      </c>
      <c r="C2557" s="7" t="s">
        <v>362</v>
      </c>
      <c r="D2557" s="7" t="s">
        <v>357</v>
      </c>
      <c r="E2557" s="7">
        <v>-28.0109202597491</v>
      </c>
      <c r="F2557" s="7">
        <v>2.71927887445902</v>
      </c>
      <c r="G2557" s="7">
        <v>3.65229186147294</v>
      </c>
      <c r="H2557" s="7">
        <v>-0.0016610087272718</v>
      </c>
      <c r="I2557" s="7">
        <v>-10.2694844502207</v>
      </c>
      <c r="J2557" s="7">
        <v>-6.89397379220989</v>
      </c>
      <c r="K2557" s="8"/>
      <c r="L2557" s="8"/>
    </row>
    <row r="2558" ht="13.5" customHeight="1">
      <c r="A2558" s="7" t="s">
        <v>355</v>
      </c>
      <c r="B2558" s="7">
        <v>1.75</v>
      </c>
      <c r="C2558" s="7" t="s">
        <v>362</v>
      </c>
      <c r="D2558" s="7" t="s">
        <v>357</v>
      </c>
      <c r="E2558" s="7">
        <v>-28.0277766233855</v>
      </c>
      <c r="F2558" s="7">
        <v>2.72098939393954</v>
      </c>
      <c r="G2558" s="7">
        <v>3.65455627705736</v>
      </c>
      <c r="H2558" s="7">
        <v>-0.0016620638311679</v>
      </c>
      <c r="I2558" s="7">
        <v>-10.2762792424285</v>
      </c>
      <c r="J2558" s="7">
        <v>-6.89852084415795</v>
      </c>
      <c r="K2558" s="8"/>
      <c r="L2558" s="8"/>
    </row>
    <row r="2559" ht="13.5" customHeight="1">
      <c r="A2559" s="7" t="s">
        <v>355</v>
      </c>
      <c r="B2559" s="7">
        <v>3.5</v>
      </c>
      <c r="C2559" s="7" t="s">
        <v>362</v>
      </c>
      <c r="D2559" s="7" t="s">
        <v>357</v>
      </c>
      <c r="E2559" s="7">
        <v>-28.0446329870219</v>
      </c>
      <c r="F2559" s="7">
        <v>2.72269991342006</v>
      </c>
      <c r="G2559" s="7">
        <v>3.65682069264178</v>
      </c>
      <c r="H2559" s="7">
        <v>-0.001663118935064</v>
      </c>
      <c r="I2559" s="7">
        <v>-10.2830740346363</v>
      </c>
      <c r="J2559" s="7">
        <v>-6.90306789610601</v>
      </c>
      <c r="K2559" s="8"/>
      <c r="L2559" s="8"/>
    </row>
    <row r="2560" ht="13.5" customHeight="1">
      <c r="A2560" s="7" t="s">
        <v>355</v>
      </c>
      <c r="B2560" s="7">
        <v>0.0</v>
      </c>
      <c r="C2560" s="7" t="s">
        <v>363</v>
      </c>
      <c r="D2560" s="7" t="s">
        <v>357</v>
      </c>
      <c r="E2560" s="7">
        <v>-28.0614893506583</v>
      </c>
      <c r="F2560" s="7">
        <v>2.72441043290058</v>
      </c>
      <c r="G2560" s="7">
        <v>3.6590851082262</v>
      </c>
      <c r="H2560" s="7">
        <v>-0.0016641740389601</v>
      </c>
      <c r="I2560" s="7">
        <v>-10.2898688268441</v>
      </c>
      <c r="J2560" s="7">
        <v>-6.90761494805407</v>
      </c>
      <c r="K2560" s="8"/>
      <c r="L2560" s="8"/>
    </row>
    <row r="2561" ht="13.5" customHeight="1">
      <c r="A2561" s="7" t="s">
        <v>355</v>
      </c>
      <c r="B2561" s="7">
        <v>1.75</v>
      </c>
      <c r="C2561" s="7" t="s">
        <v>363</v>
      </c>
      <c r="D2561" s="7" t="s">
        <v>357</v>
      </c>
      <c r="E2561" s="7">
        <v>-28.0783457142947</v>
      </c>
      <c r="F2561" s="7">
        <v>2.7261209523811</v>
      </c>
      <c r="G2561" s="7">
        <v>3.66134952381062</v>
      </c>
      <c r="H2561" s="7">
        <v>-0.0016652291428562</v>
      </c>
      <c r="I2561" s="7">
        <v>-10.2966636190519</v>
      </c>
      <c r="J2561" s="7">
        <v>-6.91216200000213</v>
      </c>
      <c r="K2561" s="8"/>
      <c r="L2561" s="8"/>
    </row>
    <row r="2562" ht="13.5" customHeight="1">
      <c r="A2562" s="7" t="s">
        <v>355</v>
      </c>
      <c r="B2562" s="7">
        <v>3.5</v>
      </c>
      <c r="C2562" s="7" t="s">
        <v>363</v>
      </c>
      <c r="D2562" s="7" t="s">
        <v>357</v>
      </c>
      <c r="E2562" s="7">
        <v>-28.0952020779311</v>
      </c>
      <c r="F2562" s="7">
        <v>2.72783147186162</v>
      </c>
      <c r="G2562" s="7">
        <v>3.66361393939504</v>
      </c>
      <c r="H2562" s="7">
        <v>-0.0016662842467523</v>
      </c>
      <c r="I2562" s="7">
        <v>-10.3034584112597</v>
      </c>
      <c r="J2562" s="7">
        <v>-6.91670905195019</v>
      </c>
      <c r="K2562" s="8"/>
      <c r="L2562" s="8"/>
    </row>
    <row r="2563" ht="13.5" customHeight="1">
      <c r="A2563" s="7" t="s">
        <v>355</v>
      </c>
      <c r="B2563" s="7">
        <v>0.0</v>
      </c>
      <c r="C2563" s="7" t="s">
        <v>356</v>
      </c>
      <c r="D2563" s="7" t="s">
        <v>357</v>
      </c>
      <c r="E2563" s="7">
        <v>-28.1120584415675</v>
      </c>
      <c r="F2563" s="7">
        <v>2.72954199134214</v>
      </c>
      <c r="G2563" s="7">
        <v>3.66587835497946</v>
      </c>
      <c r="H2563" s="7">
        <v>-0.0016673393506484</v>
      </c>
      <c r="I2563" s="7">
        <v>-10.3102532034676</v>
      </c>
      <c r="J2563" s="7">
        <v>-6.92125610389825</v>
      </c>
      <c r="K2563" s="8"/>
      <c r="L2563" s="8"/>
    </row>
    <row r="2564" ht="13.5" customHeight="1">
      <c r="A2564" s="7" t="s">
        <v>355</v>
      </c>
      <c r="B2564" s="7">
        <v>1.75</v>
      </c>
      <c r="C2564" s="7" t="s">
        <v>356</v>
      </c>
      <c r="D2564" s="7" t="s">
        <v>357</v>
      </c>
      <c r="E2564" s="7">
        <v>-28.1289148052039</v>
      </c>
      <c r="F2564" s="7">
        <v>2.73125251082266</v>
      </c>
      <c r="G2564" s="7">
        <v>3.66814277056388</v>
      </c>
      <c r="H2564" s="7">
        <v>-0.0016683944545445</v>
      </c>
      <c r="I2564" s="7">
        <v>-10.3170479956754</v>
      </c>
      <c r="J2564" s="7">
        <v>-6.92580315584631</v>
      </c>
      <c r="K2564" s="8"/>
      <c r="L2564" s="8"/>
    </row>
    <row r="2565" ht="13.5" customHeight="1">
      <c r="A2565" s="7" t="s">
        <v>355</v>
      </c>
      <c r="B2565" s="7">
        <v>3.5</v>
      </c>
      <c r="C2565" s="7" t="s">
        <v>356</v>
      </c>
      <c r="D2565" s="7" t="s">
        <v>357</v>
      </c>
      <c r="E2565" s="7">
        <v>-28.1457711688403</v>
      </c>
      <c r="F2565" s="7">
        <v>2.73296303030318</v>
      </c>
      <c r="G2565" s="7">
        <v>3.6704071861483</v>
      </c>
      <c r="H2565" s="7">
        <v>-0.0016694495584406</v>
      </c>
      <c r="I2565" s="7">
        <v>-10.3238427878832</v>
      </c>
      <c r="J2565" s="7">
        <v>-6.93035020779437</v>
      </c>
      <c r="K2565" s="8"/>
      <c r="L2565" s="8"/>
    </row>
    <row r="2566" ht="13.5" customHeight="1">
      <c r="A2566" s="7" t="s">
        <v>355</v>
      </c>
      <c r="B2566" s="7">
        <v>0.0</v>
      </c>
      <c r="C2566" s="7" t="s">
        <v>358</v>
      </c>
      <c r="D2566" s="7" t="s">
        <v>357</v>
      </c>
      <c r="E2566" s="7">
        <v>-28.1626275324767</v>
      </c>
      <c r="F2566" s="7">
        <v>2.7346735497837</v>
      </c>
      <c r="G2566" s="7">
        <v>3.67267160173272</v>
      </c>
      <c r="H2566" s="7">
        <v>-0.0016705046623367</v>
      </c>
      <c r="I2566" s="7">
        <v>-10.330637580091</v>
      </c>
      <c r="J2566" s="7">
        <v>-6.93489725974243</v>
      </c>
      <c r="K2566" s="8"/>
      <c r="L2566" s="8"/>
    </row>
    <row r="2567" ht="13.5" customHeight="1">
      <c r="A2567" s="7" t="s">
        <v>355</v>
      </c>
      <c r="B2567" s="7">
        <v>1.75</v>
      </c>
      <c r="C2567" s="7" t="s">
        <v>358</v>
      </c>
      <c r="D2567" s="7" t="s">
        <v>357</v>
      </c>
      <c r="E2567" s="7">
        <v>-28.1794838961131</v>
      </c>
      <c r="F2567" s="7">
        <v>2.73638406926422</v>
      </c>
      <c r="G2567" s="7">
        <v>3.67493601731714</v>
      </c>
      <c r="H2567" s="7">
        <v>-0.0016715597662328</v>
      </c>
      <c r="I2567" s="7">
        <v>-10.3374323722988</v>
      </c>
      <c r="J2567" s="7">
        <v>-6.93944431169049</v>
      </c>
      <c r="K2567" s="8"/>
      <c r="L2567" s="8"/>
    </row>
    <row r="2568" ht="13.5" customHeight="1">
      <c r="A2568" s="7" t="s">
        <v>355</v>
      </c>
      <c r="B2568" s="7">
        <v>3.5</v>
      </c>
      <c r="C2568" s="7" t="s">
        <v>358</v>
      </c>
      <c r="D2568" s="7" t="s">
        <v>357</v>
      </c>
      <c r="E2568" s="7">
        <v>-28.1963402597495</v>
      </c>
      <c r="F2568" s="7">
        <v>2.73809458874474</v>
      </c>
      <c r="G2568" s="7">
        <v>3.67720043290156</v>
      </c>
      <c r="H2568" s="7">
        <v>-0.0016726148701289</v>
      </c>
      <c r="I2568" s="7">
        <v>-10.3442271645066</v>
      </c>
      <c r="J2568" s="7">
        <v>-6.94399136363855</v>
      </c>
      <c r="K2568" s="8"/>
      <c r="L2568" s="8"/>
    </row>
    <row r="2569" ht="13.5" customHeight="1">
      <c r="A2569" s="7" t="s">
        <v>355</v>
      </c>
      <c r="B2569" s="7">
        <v>0.0</v>
      </c>
      <c r="C2569" s="7" t="s">
        <v>359</v>
      </c>
      <c r="D2569" s="7" t="s">
        <v>357</v>
      </c>
      <c r="E2569" s="7">
        <v>-28.2131966233859</v>
      </c>
      <c r="F2569" s="7">
        <v>2.73980510822526</v>
      </c>
      <c r="G2569" s="7">
        <v>3.67946484848598</v>
      </c>
      <c r="H2569" s="7">
        <v>-0.001673669974025</v>
      </c>
      <c r="I2569" s="7">
        <v>-10.3510219567144</v>
      </c>
      <c r="J2569" s="7">
        <v>-6.94853841558661</v>
      </c>
      <c r="K2569" s="8"/>
      <c r="L2569" s="8"/>
    </row>
    <row r="2570" ht="13.5" customHeight="1">
      <c r="A2570" s="7" t="s">
        <v>355</v>
      </c>
      <c r="B2570" s="7">
        <v>1.75</v>
      </c>
      <c r="C2570" s="7" t="s">
        <v>359</v>
      </c>
      <c r="D2570" s="7" t="s">
        <v>357</v>
      </c>
      <c r="E2570" s="7">
        <v>-28.2300529870223</v>
      </c>
      <c r="F2570" s="7">
        <v>2.74151562770578</v>
      </c>
      <c r="G2570" s="7">
        <v>3.6817292640704</v>
      </c>
      <c r="H2570" s="7">
        <v>-0.0016747250779211</v>
      </c>
      <c r="I2570" s="7">
        <v>-10.3578167489222</v>
      </c>
      <c r="J2570" s="7">
        <v>-6.95308546753467</v>
      </c>
      <c r="K2570" s="8"/>
      <c r="L2570" s="8"/>
    </row>
    <row r="2571" ht="13.5" customHeight="1">
      <c r="A2571" s="7" t="s">
        <v>355</v>
      </c>
      <c r="B2571" s="7">
        <v>3.5</v>
      </c>
      <c r="C2571" s="7" t="s">
        <v>359</v>
      </c>
      <c r="D2571" s="7" t="s">
        <v>357</v>
      </c>
      <c r="E2571" s="7">
        <v>-28.2469093506587</v>
      </c>
      <c r="F2571" s="7">
        <v>2.7432261471863</v>
      </c>
      <c r="G2571" s="7">
        <v>3.68399367965482</v>
      </c>
      <c r="H2571" s="7">
        <v>-0.0016757801818172</v>
      </c>
      <c r="I2571" s="7">
        <v>-10.36461154113</v>
      </c>
      <c r="J2571" s="7">
        <v>-6.95763251948273</v>
      </c>
      <c r="K2571" s="8"/>
      <c r="L2571" s="8"/>
    </row>
    <row r="2572" ht="13.5" customHeight="1">
      <c r="A2572" s="7" t="s">
        <v>355</v>
      </c>
      <c r="B2572" s="7">
        <v>0.0</v>
      </c>
      <c r="C2572" s="7" t="s">
        <v>360</v>
      </c>
      <c r="D2572" s="7" t="s">
        <v>357</v>
      </c>
      <c r="E2572" s="7">
        <v>-28.2637657142951</v>
      </c>
      <c r="F2572" s="7">
        <v>2.74493666666682</v>
      </c>
      <c r="G2572" s="7">
        <v>3.68625809523924</v>
      </c>
      <c r="H2572" s="7">
        <v>-0.0016768352857133</v>
      </c>
      <c r="I2572" s="7">
        <v>-10.3714063333379</v>
      </c>
      <c r="J2572" s="7">
        <v>-6.96217957143079</v>
      </c>
      <c r="K2572" s="8"/>
      <c r="L2572" s="8"/>
    </row>
    <row r="2573" ht="13.5" customHeight="1">
      <c r="A2573" s="7" t="s">
        <v>355</v>
      </c>
      <c r="B2573" s="7">
        <v>1.75</v>
      </c>
      <c r="C2573" s="7" t="s">
        <v>360</v>
      </c>
      <c r="D2573" s="7" t="s">
        <v>357</v>
      </c>
      <c r="E2573" s="7">
        <v>-28.2806220779315</v>
      </c>
      <c r="F2573" s="7">
        <v>2.74664718614734</v>
      </c>
      <c r="G2573" s="7">
        <v>3.68852251082366</v>
      </c>
      <c r="H2573" s="7">
        <v>-0.0016778903896094</v>
      </c>
      <c r="I2573" s="7">
        <v>-10.3782011255457</v>
      </c>
      <c r="J2573" s="7">
        <v>-6.96672662337886</v>
      </c>
      <c r="K2573" s="8"/>
      <c r="L2573" s="8"/>
    </row>
    <row r="2574" ht="13.5" customHeight="1">
      <c r="A2574" s="7" t="s">
        <v>355</v>
      </c>
      <c r="B2574" s="7">
        <v>3.5</v>
      </c>
      <c r="C2574" s="7" t="s">
        <v>360</v>
      </c>
      <c r="D2574" s="7" t="s">
        <v>357</v>
      </c>
      <c r="E2574" s="7">
        <v>-28.2974784415679</v>
      </c>
      <c r="F2574" s="7">
        <v>2.74835770562786</v>
      </c>
      <c r="G2574" s="7">
        <v>3.69078692640808</v>
      </c>
      <c r="H2574" s="7">
        <v>-0.0016789454935055</v>
      </c>
      <c r="I2574" s="7">
        <v>-10.3849959177535</v>
      </c>
      <c r="J2574" s="7">
        <v>-6.97127367532692</v>
      </c>
      <c r="K2574" s="8"/>
      <c r="L2574" s="8"/>
    </row>
    <row r="2575" ht="13.5" customHeight="1">
      <c r="A2575" s="7" t="s">
        <v>355</v>
      </c>
      <c r="B2575" s="7">
        <v>0.0</v>
      </c>
      <c r="C2575" s="7" t="s">
        <v>361</v>
      </c>
      <c r="D2575" s="7" t="s">
        <v>357</v>
      </c>
      <c r="E2575" s="7">
        <v>-28.3143348052043</v>
      </c>
      <c r="F2575" s="7">
        <v>2.75006822510838</v>
      </c>
      <c r="G2575" s="7">
        <v>3.6930513419925</v>
      </c>
      <c r="H2575" s="7">
        <v>-0.0016800005974016</v>
      </c>
      <c r="I2575" s="7">
        <v>-10.3917907099613</v>
      </c>
      <c r="J2575" s="7">
        <v>-6.97582072727498</v>
      </c>
      <c r="K2575" s="8"/>
      <c r="L2575" s="8"/>
    </row>
    <row r="2576" ht="13.5" customHeight="1">
      <c r="A2576" s="7" t="s">
        <v>355</v>
      </c>
      <c r="B2576" s="7">
        <v>1.75</v>
      </c>
      <c r="C2576" s="7" t="s">
        <v>361</v>
      </c>
      <c r="D2576" s="7" t="s">
        <v>357</v>
      </c>
      <c r="E2576" s="7">
        <v>-28.3311911688407</v>
      </c>
      <c r="F2576" s="7">
        <v>2.7517787445889</v>
      </c>
      <c r="G2576" s="7">
        <v>3.69531575757692</v>
      </c>
      <c r="H2576" s="7">
        <v>-0.0016810557012977</v>
      </c>
      <c r="I2576" s="7">
        <v>-10.3985855021691</v>
      </c>
      <c r="J2576" s="7">
        <v>-6.98036777922304</v>
      </c>
      <c r="K2576" s="8"/>
      <c r="L2576" s="8"/>
    </row>
    <row r="2577" ht="13.5" customHeight="1">
      <c r="A2577" s="7" t="s">
        <v>355</v>
      </c>
      <c r="B2577" s="7">
        <v>3.5</v>
      </c>
      <c r="C2577" s="7" t="s">
        <v>361</v>
      </c>
      <c r="D2577" s="7" t="s">
        <v>357</v>
      </c>
      <c r="E2577" s="7">
        <v>-28.3480475324771</v>
      </c>
      <c r="F2577" s="7">
        <v>2.75348926406942</v>
      </c>
      <c r="G2577" s="7">
        <v>3.69758017316134</v>
      </c>
      <c r="H2577" s="7">
        <v>-0.0016821108051938</v>
      </c>
      <c r="I2577" s="7">
        <v>-10.4053802943769</v>
      </c>
      <c r="J2577" s="7">
        <v>-6.9849148311711</v>
      </c>
      <c r="K2577" s="8"/>
      <c r="L2577" s="8"/>
    </row>
    <row r="2578" ht="13.5" customHeight="1">
      <c r="A2578" s="7" t="s">
        <v>355</v>
      </c>
      <c r="B2578" s="7">
        <v>0.0</v>
      </c>
      <c r="C2578" s="7" t="s">
        <v>362</v>
      </c>
      <c r="D2578" s="7" t="s">
        <v>357</v>
      </c>
      <c r="E2578" s="7">
        <v>-28.3649038961135</v>
      </c>
      <c r="F2578" s="7">
        <v>2.75519978354994</v>
      </c>
      <c r="G2578" s="7">
        <v>3.69984458874576</v>
      </c>
      <c r="H2578" s="7">
        <v>-0.0016831659090899</v>
      </c>
      <c r="I2578" s="7">
        <v>-10.4121750865847</v>
      </c>
      <c r="J2578" s="7">
        <v>-6.98946188311916</v>
      </c>
      <c r="K2578" s="8"/>
      <c r="L2578" s="8"/>
    </row>
    <row r="2579" ht="13.5" customHeight="1">
      <c r="A2579" s="7" t="s">
        <v>355</v>
      </c>
      <c r="B2579" s="7">
        <v>1.75</v>
      </c>
      <c r="C2579" s="7" t="s">
        <v>362</v>
      </c>
      <c r="D2579" s="7" t="s">
        <v>357</v>
      </c>
      <c r="E2579" s="7">
        <v>-28.3817602597499</v>
      </c>
      <c r="F2579" s="7">
        <v>2.75691030303046</v>
      </c>
      <c r="G2579" s="7">
        <v>3.70210900433018</v>
      </c>
      <c r="H2579" s="7">
        <v>-0.001684221012986</v>
      </c>
      <c r="I2579" s="7">
        <v>-10.4189698787925</v>
      </c>
      <c r="J2579" s="7">
        <v>-6.99400893506722</v>
      </c>
      <c r="K2579" s="8"/>
      <c r="L2579" s="8"/>
    </row>
    <row r="2580" ht="13.5" customHeight="1">
      <c r="A2580" s="7" t="s">
        <v>355</v>
      </c>
      <c r="B2580" s="7">
        <v>3.5</v>
      </c>
      <c r="C2580" s="7" t="s">
        <v>362</v>
      </c>
      <c r="D2580" s="7" t="s">
        <v>357</v>
      </c>
      <c r="E2580" s="7">
        <v>-28.3986166233863</v>
      </c>
      <c r="F2580" s="7">
        <v>2.75862082251098</v>
      </c>
      <c r="G2580" s="7">
        <v>3.7043734199146</v>
      </c>
      <c r="H2580" s="7">
        <v>-0.0016852761168821</v>
      </c>
      <c r="I2580" s="7">
        <v>-10.4257646710003</v>
      </c>
      <c r="J2580" s="7">
        <v>-6.99855598701528</v>
      </c>
      <c r="K2580" s="8"/>
      <c r="L2580" s="8"/>
    </row>
    <row r="2581" ht="13.5" customHeight="1">
      <c r="A2581" s="7" t="s">
        <v>355</v>
      </c>
      <c r="B2581" s="7">
        <v>0.0</v>
      </c>
      <c r="C2581" s="7" t="s">
        <v>363</v>
      </c>
      <c r="D2581" s="7" t="s">
        <v>357</v>
      </c>
      <c r="E2581" s="7">
        <v>-28.4154729870227</v>
      </c>
      <c r="F2581" s="7">
        <v>2.7603313419915</v>
      </c>
      <c r="G2581" s="7">
        <v>3.70663783549902</v>
      </c>
      <c r="H2581" s="7">
        <v>-0.0016863312207782</v>
      </c>
      <c r="I2581" s="7">
        <v>-10.4325594632081</v>
      </c>
      <c r="J2581" s="7">
        <v>-7.00310303896334</v>
      </c>
      <c r="K2581" s="8"/>
      <c r="L2581" s="8"/>
    </row>
    <row r="2582" ht="13.5" customHeight="1">
      <c r="A2582" s="7" t="s">
        <v>355</v>
      </c>
      <c r="B2582" s="7">
        <v>1.75</v>
      </c>
      <c r="C2582" s="7" t="s">
        <v>363</v>
      </c>
      <c r="D2582" s="7" t="s">
        <v>357</v>
      </c>
      <c r="E2582" s="7">
        <v>-28.4323293506591</v>
      </c>
      <c r="F2582" s="7">
        <v>2.76204186147202</v>
      </c>
      <c r="G2582" s="7">
        <v>3.70890225108344</v>
      </c>
      <c r="H2582" s="7">
        <v>-0.0016873863246743</v>
      </c>
      <c r="I2582" s="7">
        <v>-10.4393542554159</v>
      </c>
      <c r="J2582" s="7">
        <v>-7.0076500909114</v>
      </c>
      <c r="K2582" s="8"/>
      <c r="L2582" s="8"/>
    </row>
    <row r="2583" ht="13.5" customHeight="1">
      <c r="A2583" s="7" t="s">
        <v>355</v>
      </c>
      <c r="B2583" s="7">
        <v>3.5</v>
      </c>
      <c r="C2583" s="7" t="s">
        <v>363</v>
      </c>
      <c r="D2583" s="7" t="s">
        <v>357</v>
      </c>
      <c r="E2583" s="7">
        <v>-28.4491857142955</v>
      </c>
      <c r="F2583" s="7">
        <v>2.76375238095254</v>
      </c>
      <c r="G2583" s="7">
        <v>3.71116666666786</v>
      </c>
      <c r="H2583" s="7">
        <v>-0.0016884414285704</v>
      </c>
      <c r="I2583" s="7">
        <v>-10.4461490476238</v>
      </c>
      <c r="J2583" s="7">
        <v>-7.01219714285946</v>
      </c>
      <c r="K2583" s="8"/>
      <c r="L2583" s="8"/>
    </row>
    <row r="2584" ht="13.5" customHeight="1">
      <c r="A2584" s="7" t="s">
        <v>355</v>
      </c>
      <c r="B2584" s="7">
        <v>0.0</v>
      </c>
      <c r="C2584" s="7" t="s">
        <v>356</v>
      </c>
      <c r="D2584" s="7" t="s">
        <v>357</v>
      </c>
      <c r="E2584" s="7">
        <v>-28.4660420779319</v>
      </c>
      <c r="F2584" s="7">
        <v>2.76546290043306</v>
      </c>
      <c r="G2584" s="7">
        <v>3.71343108225228</v>
      </c>
      <c r="H2584" s="7">
        <v>-0.0016894965324665</v>
      </c>
      <c r="I2584" s="7">
        <v>-10.4529438398316</v>
      </c>
      <c r="J2584" s="7">
        <v>-7.01674419480752</v>
      </c>
      <c r="K2584" s="8"/>
      <c r="L2584" s="8"/>
    </row>
    <row r="2585" ht="13.5" customHeight="1">
      <c r="A2585" s="7" t="s">
        <v>355</v>
      </c>
      <c r="B2585" s="7">
        <v>1.75</v>
      </c>
      <c r="C2585" s="7" t="s">
        <v>356</v>
      </c>
      <c r="D2585" s="7" t="s">
        <v>357</v>
      </c>
      <c r="E2585" s="7">
        <v>-28.4828984415683</v>
      </c>
      <c r="F2585" s="7">
        <v>2.76717341991358</v>
      </c>
      <c r="G2585" s="7">
        <v>3.7156954978367</v>
      </c>
      <c r="H2585" s="7">
        <v>-0.0016905516363626</v>
      </c>
      <c r="I2585" s="7">
        <v>-10.4597386320394</v>
      </c>
      <c r="J2585" s="7">
        <v>-7.02129124675558</v>
      </c>
      <c r="K2585" s="8"/>
      <c r="L2585" s="8"/>
    </row>
    <row r="2586" ht="13.5" customHeight="1">
      <c r="A2586" s="7" t="s">
        <v>355</v>
      </c>
      <c r="B2586" s="7">
        <v>3.5</v>
      </c>
      <c r="C2586" s="7" t="s">
        <v>356</v>
      </c>
      <c r="D2586" s="7" t="s">
        <v>357</v>
      </c>
      <c r="E2586" s="7">
        <v>-28.4997548052047</v>
      </c>
      <c r="F2586" s="7">
        <v>2.7688839393941</v>
      </c>
      <c r="G2586" s="7">
        <v>3.71795991342112</v>
      </c>
      <c r="H2586" s="7">
        <v>-0.0016916067402587</v>
      </c>
      <c r="I2586" s="7">
        <v>-10.4665334242472</v>
      </c>
      <c r="J2586" s="7">
        <v>-7.02583829870364</v>
      </c>
      <c r="K2586" s="8"/>
      <c r="L2586" s="8"/>
    </row>
    <row r="2587" ht="13.5" customHeight="1">
      <c r="A2587" s="7" t="s">
        <v>355</v>
      </c>
      <c r="B2587" s="7">
        <v>0.0</v>
      </c>
      <c r="C2587" s="7" t="s">
        <v>358</v>
      </c>
      <c r="D2587" s="7" t="s">
        <v>357</v>
      </c>
      <c r="E2587" s="7">
        <v>-28.5166111688411</v>
      </c>
      <c r="F2587" s="7">
        <v>2.77059445887462</v>
      </c>
      <c r="G2587" s="7">
        <v>3.72022432900554</v>
      </c>
      <c r="H2587" s="7">
        <v>-0.0016926618441548</v>
      </c>
      <c r="I2587" s="7">
        <v>-10.473328216455</v>
      </c>
      <c r="J2587" s="7">
        <v>-7.0303853506517</v>
      </c>
      <c r="K2587" s="8"/>
      <c r="L2587" s="8"/>
    </row>
    <row r="2588" ht="13.5" customHeight="1">
      <c r="A2588" s="7" t="s">
        <v>355</v>
      </c>
      <c r="B2588" s="7">
        <v>1.75</v>
      </c>
      <c r="C2588" s="7" t="s">
        <v>358</v>
      </c>
      <c r="D2588" s="7" t="s">
        <v>357</v>
      </c>
      <c r="E2588" s="7">
        <v>-28.5334675324775</v>
      </c>
      <c r="F2588" s="7">
        <v>2.77230497835514</v>
      </c>
      <c r="G2588" s="7">
        <v>3.72248874458996</v>
      </c>
      <c r="H2588" s="7">
        <v>-0.0016937169480509</v>
      </c>
      <c r="I2588" s="7">
        <v>-10.4801230086628</v>
      </c>
      <c r="J2588" s="7">
        <v>-7.03493240259976</v>
      </c>
      <c r="K2588" s="8"/>
      <c r="L2588" s="8"/>
    </row>
    <row r="2589" ht="13.5" customHeight="1">
      <c r="A2589" s="7" t="s">
        <v>355</v>
      </c>
      <c r="B2589" s="7">
        <v>3.5</v>
      </c>
      <c r="C2589" s="7" t="s">
        <v>358</v>
      </c>
      <c r="D2589" s="7" t="s">
        <v>357</v>
      </c>
      <c r="E2589" s="7">
        <v>-28.5503238961139</v>
      </c>
      <c r="F2589" s="7">
        <v>2.77401549783566</v>
      </c>
      <c r="G2589" s="7">
        <v>3.72475316017438</v>
      </c>
      <c r="H2589" s="7">
        <v>-0.001694772051947</v>
      </c>
      <c r="I2589" s="7">
        <v>-10.4869178008706</v>
      </c>
      <c r="J2589" s="7">
        <v>-7.03947945454782</v>
      </c>
      <c r="K2589" s="8"/>
      <c r="L2589" s="8"/>
    </row>
    <row r="2590" ht="13.5" customHeight="1">
      <c r="A2590" s="7" t="s">
        <v>355</v>
      </c>
      <c r="B2590" s="7">
        <v>0.0</v>
      </c>
      <c r="C2590" s="7" t="s">
        <v>359</v>
      </c>
      <c r="D2590" s="7" t="s">
        <v>357</v>
      </c>
      <c r="E2590" s="7">
        <v>-28.5671802597503</v>
      </c>
      <c r="F2590" s="7">
        <v>2.77572601731618</v>
      </c>
      <c r="G2590" s="7">
        <v>3.7270175757588</v>
      </c>
      <c r="H2590" s="7">
        <v>-0.0016958271558431</v>
      </c>
      <c r="I2590" s="7">
        <v>-10.4937125930784</v>
      </c>
      <c r="J2590" s="7">
        <v>-7.04402650649589</v>
      </c>
      <c r="K2590" s="8"/>
      <c r="L2590" s="8"/>
    </row>
    <row r="2591" ht="13.5" customHeight="1">
      <c r="A2591" s="7" t="s">
        <v>355</v>
      </c>
      <c r="B2591" s="7">
        <v>1.75</v>
      </c>
      <c r="C2591" s="7" t="s">
        <v>359</v>
      </c>
      <c r="D2591" s="7" t="s">
        <v>357</v>
      </c>
      <c r="E2591" s="7">
        <v>-28.5840366233867</v>
      </c>
      <c r="F2591" s="7">
        <v>2.7774365367967</v>
      </c>
      <c r="G2591" s="7">
        <v>3.72928199134322</v>
      </c>
      <c r="H2591" s="7">
        <v>-0.0016968822597392</v>
      </c>
      <c r="I2591" s="7">
        <v>-10.5005073852862</v>
      </c>
      <c r="J2591" s="7">
        <v>-7.04857355844395</v>
      </c>
      <c r="K2591" s="8"/>
      <c r="L2591" s="8"/>
    </row>
    <row r="2592" ht="13.5" customHeight="1">
      <c r="A2592" s="7" t="s">
        <v>355</v>
      </c>
      <c r="B2592" s="7">
        <v>3.5</v>
      </c>
      <c r="C2592" s="7" t="s">
        <v>359</v>
      </c>
      <c r="D2592" s="7" t="s">
        <v>357</v>
      </c>
      <c r="E2592" s="7">
        <v>-28.6008929870231</v>
      </c>
      <c r="F2592" s="7">
        <v>2.77914705627722</v>
      </c>
      <c r="G2592" s="7">
        <v>3.73154640692764</v>
      </c>
      <c r="H2592" s="7">
        <v>-0.0016979373636353</v>
      </c>
      <c r="I2592" s="7">
        <v>-10.507302177494</v>
      </c>
      <c r="J2592" s="7">
        <v>-7.05312061039201</v>
      </c>
      <c r="K2592" s="8"/>
      <c r="L2592" s="8"/>
    </row>
    <row r="2593" ht="13.5" customHeight="1">
      <c r="A2593" s="7" t="s">
        <v>355</v>
      </c>
      <c r="B2593" s="7">
        <v>0.0</v>
      </c>
      <c r="C2593" s="7" t="s">
        <v>360</v>
      </c>
      <c r="D2593" s="7" t="s">
        <v>357</v>
      </c>
      <c r="E2593" s="7">
        <v>-28.6177493506595</v>
      </c>
      <c r="F2593" s="7">
        <v>2.78085757575774</v>
      </c>
      <c r="G2593" s="7">
        <v>3.73381082251206</v>
      </c>
      <c r="H2593" s="7">
        <v>-0.0016989924675314</v>
      </c>
      <c r="I2593" s="7">
        <v>-10.5140969697018</v>
      </c>
      <c r="J2593" s="7">
        <v>-7.05766766234007</v>
      </c>
      <c r="K2593" s="8"/>
      <c r="L2593" s="8"/>
    </row>
    <row r="2594" ht="13.5" customHeight="1">
      <c r="A2594" s="7" t="s">
        <v>355</v>
      </c>
      <c r="B2594" s="7">
        <v>1.75</v>
      </c>
      <c r="C2594" s="7" t="s">
        <v>360</v>
      </c>
      <c r="D2594" s="7" t="s">
        <v>357</v>
      </c>
      <c r="E2594" s="7">
        <v>-28.6346057142959</v>
      </c>
      <c r="F2594" s="7">
        <v>2.78256809523826</v>
      </c>
      <c r="G2594" s="7">
        <v>3.73607523809648</v>
      </c>
      <c r="H2594" s="7">
        <v>-0.0017000475714275</v>
      </c>
      <c r="I2594" s="7">
        <v>-10.5208917619097</v>
      </c>
      <c r="J2594" s="7">
        <v>-7.06221471428813</v>
      </c>
      <c r="K2594" s="8"/>
      <c r="L2594" s="8"/>
    </row>
    <row r="2595" ht="13.5" customHeight="1">
      <c r="A2595" s="7" t="s">
        <v>355</v>
      </c>
      <c r="B2595" s="7">
        <v>3.5</v>
      </c>
      <c r="C2595" s="7" t="s">
        <v>360</v>
      </c>
      <c r="D2595" s="7" t="s">
        <v>357</v>
      </c>
      <c r="E2595" s="7">
        <v>-28.6514620779323</v>
      </c>
      <c r="F2595" s="7">
        <v>2.78427861471878</v>
      </c>
      <c r="G2595" s="7">
        <v>3.7383396536809</v>
      </c>
      <c r="H2595" s="7">
        <v>-0.0017011026753236</v>
      </c>
      <c r="I2595" s="7">
        <v>-10.5276865541175</v>
      </c>
      <c r="J2595" s="7">
        <v>-7.06676176623619</v>
      </c>
      <c r="K2595" s="8"/>
      <c r="L2595" s="8"/>
    </row>
    <row r="2596" ht="13.5" customHeight="1">
      <c r="A2596" s="7" t="s">
        <v>355</v>
      </c>
      <c r="B2596" s="7">
        <v>0.0</v>
      </c>
      <c r="C2596" s="7" t="s">
        <v>361</v>
      </c>
      <c r="D2596" s="7" t="s">
        <v>357</v>
      </c>
      <c r="E2596" s="7">
        <v>-28.6683184415687</v>
      </c>
      <c r="F2596" s="7">
        <v>2.7859891341993</v>
      </c>
      <c r="G2596" s="7">
        <v>3.74060406926532</v>
      </c>
      <c r="H2596" s="7">
        <v>-0.0017021577792197</v>
      </c>
      <c r="I2596" s="7">
        <v>-10.5344813463253</v>
      </c>
      <c r="J2596" s="7">
        <v>-7.07130881818425</v>
      </c>
      <c r="K2596" s="8"/>
      <c r="L2596" s="8"/>
    </row>
    <row r="2597" ht="13.5" customHeight="1">
      <c r="A2597" s="7" t="s">
        <v>355</v>
      </c>
      <c r="B2597" s="7">
        <v>1.75</v>
      </c>
      <c r="C2597" s="7" t="s">
        <v>361</v>
      </c>
      <c r="D2597" s="7" t="s">
        <v>357</v>
      </c>
      <c r="E2597" s="7">
        <v>-28.6851748052051</v>
      </c>
      <c r="F2597" s="7">
        <v>2.78769965367982</v>
      </c>
      <c r="G2597" s="7">
        <v>3.74286848484974</v>
      </c>
      <c r="H2597" s="7">
        <v>-0.0017032128831158</v>
      </c>
      <c r="I2597" s="7">
        <v>-10.5412761385331</v>
      </c>
      <c r="J2597" s="7">
        <v>-7.07585587013231</v>
      </c>
      <c r="K2597" s="8"/>
      <c r="L2597" s="8"/>
    </row>
    <row r="2598" ht="13.5" customHeight="1">
      <c r="A2598" s="7" t="s">
        <v>355</v>
      </c>
      <c r="B2598" s="7">
        <v>3.5</v>
      </c>
      <c r="C2598" s="7" t="s">
        <v>361</v>
      </c>
      <c r="D2598" s="7" t="s">
        <v>357</v>
      </c>
      <c r="E2598" s="7">
        <v>-28.7020311688415</v>
      </c>
      <c r="F2598" s="7">
        <v>2.78941017316034</v>
      </c>
      <c r="G2598" s="7">
        <v>3.74513290043416</v>
      </c>
      <c r="H2598" s="7">
        <v>-0.0017042679870119</v>
      </c>
      <c r="I2598" s="7">
        <v>-10.5480709307409</v>
      </c>
      <c r="J2598" s="7">
        <v>-7.08040292208037</v>
      </c>
      <c r="K2598" s="8"/>
      <c r="L2598" s="8"/>
    </row>
    <row r="2599" ht="13.5" customHeight="1">
      <c r="A2599" s="7" t="s">
        <v>355</v>
      </c>
      <c r="B2599" s="7">
        <v>0.0</v>
      </c>
      <c r="C2599" s="7" t="s">
        <v>362</v>
      </c>
      <c r="D2599" s="7" t="s">
        <v>357</v>
      </c>
      <c r="E2599" s="7">
        <v>-28.7188875324779</v>
      </c>
      <c r="F2599" s="7">
        <v>2.79112069264086</v>
      </c>
      <c r="G2599" s="7">
        <v>3.74739731601858</v>
      </c>
      <c r="H2599" s="7">
        <v>-0.001705323090908</v>
      </c>
      <c r="I2599" s="7">
        <v>-10.5548657229487</v>
      </c>
      <c r="J2599" s="7">
        <v>-7.08494997402843</v>
      </c>
      <c r="K2599" s="8"/>
      <c r="L2599" s="8"/>
    </row>
    <row r="2600" ht="13.5" customHeight="1">
      <c r="A2600" s="7" t="s">
        <v>355</v>
      </c>
      <c r="B2600" s="7">
        <v>1.75</v>
      </c>
      <c r="C2600" s="7" t="s">
        <v>362</v>
      </c>
      <c r="D2600" s="7" t="s">
        <v>357</v>
      </c>
      <c r="E2600" s="7">
        <v>-28.7357438961143</v>
      </c>
      <c r="F2600" s="7">
        <v>2.79283121212138</v>
      </c>
      <c r="G2600" s="7">
        <v>3.749661731603</v>
      </c>
      <c r="H2600" s="7">
        <v>-0.0017063781948041</v>
      </c>
      <c r="I2600" s="7">
        <v>-10.5616605151565</v>
      </c>
      <c r="J2600" s="7">
        <v>-7.08949702597649</v>
      </c>
      <c r="K2600" s="8"/>
      <c r="L2600" s="8"/>
    </row>
    <row r="2601" ht="13.5" customHeight="1">
      <c r="A2601" s="7" t="s">
        <v>355</v>
      </c>
      <c r="B2601" s="7">
        <v>3.5</v>
      </c>
      <c r="C2601" s="7" t="s">
        <v>362</v>
      </c>
      <c r="D2601" s="7" t="s">
        <v>357</v>
      </c>
      <c r="E2601" s="7">
        <v>-28.7526002597507</v>
      </c>
      <c r="F2601" s="7">
        <v>2.7945417316019</v>
      </c>
      <c r="G2601" s="7">
        <v>3.75192614718742</v>
      </c>
      <c r="H2601" s="7">
        <v>-0.0017074332987002</v>
      </c>
      <c r="I2601" s="7">
        <v>-10.5684553073643</v>
      </c>
      <c r="J2601" s="7">
        <v>-7.09404407792455</v>
      </c>
      <c r="K2601" s="8"/>
      <c r="L2601" s="8"/>
    </row>
    <row r="2602" ht="13.5" customHeight="1">
      <c r="A2602" s="7" t="s">
        <v>355</v>
      </c>
      <c r="B2602" s="7">
        <v>0.0</v>
      </c>
      <c r="C2602" s="7" t="s">
        <v>363</v>
      </c>
      <c r="D2602" s="7" t="s">
        <v>357</v>
      </c>
      <c r="E2602" s="7">
        <v>-28.7694566233871</v>
      </c>
      <c r="F2602" s="7">
        <v>2.79625225108242</v>
      </c>
      <c r="G2602" s="7">
        <v>3.75419056277184</v>
      </c>
      <c r="H2602" s="7">
        <v>-0.0017084884025963</v>
      </c>
      <c r="I2602" s="7">
        <v>-10.5752500995721</v>
      </c>
      <c r="J2602" s="7">
        <v>-7.09859112987261</v>
      </c>
      <c r="K2602" s="8"/>
      <c r="L2602" s="8"/>
    </row>
    <row r="2603" ht="13.5" customHeight="1">
      <c r="A2603" s="7" t="s">
        <v>355</v>
      </c>
      <c r="B2603" s="7">
        <v>1.75</v>
      </c>
      <c r="C2603" s="7" t="s">
        <v>363</v>
      </c>
      <c r="D2603" s="7" t="s">
        <v>357</v>
      </c>
      <c r="E2603" s="7">
        <v>-28.7863129870235</v>
      </c>
      <c r="F2603" s="7">
        <v>2.79796277056294</v>
      </c>
      <c r="G2603" s="7">
        <v>3.75645497835626</v>
      </c>
      <c r="H2603" s="7">
        <v>-0.0017095435064924</v>
      </c>
      <c r="I2603" s="7">
        <v>-10.5820448917799</v>
      </c>
      <c r="J2603" s="7">
        <v>-7.10313818182067</v>
      </c>
      <c r="K2603" s="8"/>
      <c r="L2603" s="8"/>
    </row>
    <row r="2604" ht="13.5" customHeight="1">
      <c r="A2604" s="7" t="s">
        <v>355</v>
      </c>
      <c r="B2604" s="7">
        <v>3.5</v>
      </c>
      <c r="C2604" s="7" t="s">
        <v>363</v>
      </c>
      <c r="D2604" s="7" t="s">
        <v>357</v>
      </c>
      <c r="E2604" s="7">
        <v>-28.8031693506599</v>
      </c>
      <c r="F2604" s="7">
        <v>2.79967329004346</v>
      </c>
      <c r="G2604" s="7">
        <v>3.75871939394068</v>
      </c>
      <c r="H2604" s="7">
        <v>-0.0017105986103885</v>
      </c>
      <c r="I2604" s="7">
        <v>-10.5888396839878</v>
      </c>
      <c r="J2604" s="7">
        <v>-7.10768523376873</v>
      </c>
      <c r="K2604" s="8"/>
      <c r="L2604" s="8"/>
    </row>
    <row r="2605" ht="13.5" customHeight="1">
      <c r="A2605" s="7" t="s">
        <v>355</v>
      </c>
      <c r="B2605" s="7">
        <v>0.0</v>
      </c>
      <c r="C2605" s="7" t="s">
        <v>356</v>
      </c>
      <c r="D2605" s="7" t="s">
        <v>357</v>
      </c>
      <c r="E2605" s="7">
        <v>-28.8200257142963</v>
      </c>
      <c r="F2605" s="7">
        <v>2.80138380952398</v>
      </c>
      <c r="G2605" s="7">
        <v>3.7609838095251</v>
      </c>
      <c r="H2605" s="7">
        <v>-0.0017116537142846</v>
      </c>
      <c r="I2605" s="7">
        <v>-10.5956344761956</v>
      </c>
      <c r="J2605" s="7">
        <v>-7.11223228571679</v>
      </c>
      <c r="K2605" s="8"/>
      <c r="L2605" s="8"/>
    </row>
    <row r="2606" ht="13.5" customHeight="1">
      <c r="A2606" s="7" t="s">
        <v>355</v>
      </c>
      <c r="B2606" s="7">
        <v>1.75</v>
      </c>
      <c r="C2606" s="7" t="s">
        <v>356</v>
      </c>
      <c r="D2606" s="7" t="s">
        <v>357</v>
      </c>
      <c r="E2606" s="7">
        <v>-28.8368820779327</v>
      </c>
      <c r="F2606" s="7">
        <v>2.8030943290045</v>
      </c>
      <c r="G2606" s="7">
        <v>3.76324822510952</v>
      </c>
      <c r="H2606" s="7">
        <v>-0.0017127088181807</v>
      </c>
      <c r="I2606" s="7">
        <v>-10.6024292684034</v>
      </c>
      <c r="J2606" s="7">
        <v>-7.11677933766485</v>
      </c>
      <c r="K2606" s="8"/>
      <c r="L2606" s="8"/>
    </row>
    <row r="2607" ht="13.5" customHeight="1">
      <c r="A2607" s="7" t="s">
        <v>355</v>
      </c>
      <c r="B2607" s="7">
        <v>3.5</v>
      </c>
      <c r="C2607" s="7" t="s">
        <v>356</v>
      </c>
      <c r="D2607" s="7" t="s">
        <v>357</v>
      </c>
      <c r="E2607" s="7">
        <v>-28.8537384415691</v>
      </c>
      <c r="F2607" s="7">
        <v>2.80480484848502</v>
      </c>
      <c r="G2607" s="7">
        <v>3.76551264069394</v>
      </c>
      <c r="H2607" s="7">
        <v>-0.0017137639220768</v>
      </c>
      <c r="I2607" s="7">
        <v>-10.6092240606112</v>
      </c>
      <c r="J2607" s="7">
        <v>-7.12132638961292</v>
      </c>
      <c r="K2607" s="8"/>
      <c r="L2607" s="8"/>
    </row>
    <row r="2608" ht="13.5" customHeight="1">
      <c r="A2608" s="7" t="s">
        <v>355</v>
      </c>
      <c r="B2608" s="7">
        <v>0.0</v>
      </c>
      <c r="C2608" s="7" t="s">
        <v>358</v>
      </c>
      <c r="D2608" s="7" t="s">
        <v>357</v>
      </c>
      <c r="E2608" s="7">
        <v>-28.8705948052055</v>
      </c>
      <c r="F2608" s="7">
        <v>2.80651536796554</v>
      </c>
      <c r="G2608" s="7">
        <v>3.76777705627836</v>
      </c>
      <c r="H2608" s="7">
        <v>-0.0017148190259729</v>
      </c>
      <c r="I2608" s="7">
        <v>-10.616018852819</v>
      </c>
      <c r="J2608" s="7">
        <v>-7.12587344156098</v>
      </c>
      <c r="K2608" s="8"/>
      <c r="L2608" s="8"/>
    </row>
    <row r="2609" ht="13.5" customHeight="1">
      <c r="A2609" s="7" t="s">
        <v>355</v>
      </c>
      <c r="B2609" s="7">
        <v>1.75</v>
      </c>
      <c r="C2609" s="7" t="s">
        <v>358</v>
      </c>
      <c r="D2609" s="7" t="s">
        <v>357</v>
      </c>
      <c r="E2609" s="7">
        <v>-28.8874511688419</v>
      </c>
      <c r="F2609" s="7">
        <v>2.80822588744606</v>
      </c>
      <c r="G2609" s="7">
        <v>3.77004147186278</v>
      </c>
      <c r="H2609" s="7">
        <v>-0.001715874129869</v>
      </c>
      <c r="I2609" s="7">
        <v>-10.6228136450268</v>
      </c>
      <c r="J2609" s="7">
        <v>-7.13042049350904</v>
      </c>
      <c r="K2609" s="8"/>
      <c r="L2609" s="8"/>
    </row>
    <row r="2610" ht="13.5" customHeight="1">
      <c r="A2610" s="7" t="s">
        <v>355</v>
      </c>
      <c r="B2610" s="7">
        <v>3.5</v>
      </c>
      <c r="C2610" s="7" t="s">
        <v>358</v>
      </c>
      <c r="D2610" s="7" t="s">
        <v>357</v>
      </c>
      <c r="E2610" s="7">
        <v>-28.9043075324783</v>
      </c>
      <c r="F2610" s="7">
        <v>2.80993640692658</v>
      </c>
      <c r="G2610" s="7">
        <v>3.7723058874472</v>
      </c>
      <c r="H2610" s="7">
        <v>-0.0017169292337651</v>
      </c>
      <c r="I2610" s="7">
        <v>-10.6296084372346</v>
      </c>
      <c r="J2610" s="7">
        <v>-7.1349675454571</v>
      </c>
      <c r="K2610" s="8"/>
      <c r="L2610" s="8"/>
    </row>
    <row r="2611" ht="13.5" customHeight="1">
      <c r="A2611" s="7" t="s">
        <v>355</v>
      </c>
      <c r="B2611" s="7">
        <v>0.0</v>
      </c>
      <c r="C2611" s="7" t="s">
        <v>359</v>
      </c>
      <c r="D2611" s="7" t="s">
        <v>357</v>
      </c>
      <c r="E2611" s="7">
        <v>-28.9211638961147</v>
      </c>
      <c r="F2611" s="7">
        <v>2.8116469264071</v>
      </c>
      <c r="G2611" s="7">
        <v>3.77457030303162</v>
      </c>
      <c r="H2611" s="7">
        <v>-0.0017179843376612</v>
      </c>
      <c r="I2611" s="7">
        <v>-10.6364032294424</v>
      </c>
      <c r="J2611" s="7">
        <v>-7.13951459740516</v>
      </c>
      <c r="K2611" s="8"/>
      <c r="L2611" s="8"/>
    </row>
    <row r="2612" ht="13.5" customHeight="1">
      <c r="A2612" s="7" t="s">
        <v>355</v>
      </c>
      <c r="B2612" s="7">
        <v>1.75</v>
      </c>
      <c r="C2612" s="7" t="s">
        <v>359</v>
      </c>
      <c r="D2612" s="7" t="s">
        <v>357</v>
      </c>
      <c r="E2612" s="7">
        <v>-28.9380202597511</v>
      </c>
      <c r="F2612" s="7">
        <v>2.81335744588762</v>
      </c>
      <c r="G2612" s="7">
        <v>3.77683471861604</v>
      </c>
      <c r="H2612" s="7">
        <v>-0.0017190394415573</v>
      </c>
      <c r="I2612" s="7">
        <v>-10.6431980216502</v>
      </c>
      <c r="J2612" s="7">
        <v>-7.14406164935322</v>
      </c>
      <c r="K2612" s="8"/>
      <c r="L2612" s="8"/>
    </row>
    <row r="2613" ht="13.5" customHeight="1">
      <c r="A2613" s="7" t="s">
        <v>355</v>
      </c>
      <c r="B2613" s="7">
        <v>3.5</v>
      </c>
      <c r="C2613" s="7" t="s">
        <v>359</v>
      </c>
      <c r="D2613" s="7" t="s">
        <v>357</v>
      </c>
      <c r="E2613" s="7">
        <v>-28.9548766233875</v>
      </c>
      <c r="F2613" s="7">
        <v>2.81506796536814</v>
      </c>
      <c r="G2613" s="7">
        <v>3.77909913420046</v>
      </c>
      <c r="H2613" s="7">
        <v>-0.0017200945454534</v>
      </c>
      <c r="I2613" s="7">
        <v>-10.649992813858</v>
      </c>
      <c r="J2613" s="7">
        <v>-7.14860870130128</v>
      </c>
      <c r="K2613" s="8"/>
      <c r="L2613" s="8"/>
    </row>
    <row r="2614" ht="13.5" customHeight="1">
      <c r="A2614" s="7" t="s">
        <v>355</v>
      </c>
      <c r="B2614" s="7">
        <v>0.0</v>
      </c>
      <c r="C2614" s="7" t="s">
        <v>360</v>
      </c>
      <c r="D2614" s="7" t="s">
        <v>357</v>
      </c>
      <c r="E2614" s="7">
        <v>-28.9717329870239</v>
      </c>
      <c r="F2614" s="7">
        <v>2.81677848484866</v>
      </c>
      <c r="G2614" s="7">
        <v>3.78136354978488</v>
      </c>
      <c r="H2614" s="7">
        <v>-0.0017211496493495</v>
      </c>
      <c r="I2614" s="7">
        <v>-10.6567876060659</v>
      </c>
      <c r="J2614" s="7">
        <v>-7.15315575324934</v>
      </c>
      <c r="K2614" s="8"/>
      <c r="L2614" s="8"/>
    </row>
    <row r="2615" ht="13.5" customHeight="1">
      <c r="A2615" s="7" t="s">
        <v>355</v>
      </c>
      <c r="B2615" s="7">
        <v>1.75</v>
      </c>
      <c r="C2615" s="7" t="s">
        <v>360</v>
      </c>
      <c r="D2615" s="7" t="s">
        <v>357</v>
      </c>
      <c r="E2615" s="7">
        <v>-28.9885893506603</v>
      </c>
      <c r="F2615" s="7">
        <v>2.81848900432918</v>
      </c>
      <c r="G2615" s="7">
        <v>3.7836279653693</v>
      </c>
      <c r="H2615" s="7">
        <v>-0.0017222047532456</v>
      </c>
      <c r="I2615" s="7">
        <v>-10.6635823982737</v>
      </c>
      <c r="J2615" s="7">
        <v>-7.1577028051974</v>
      </c>
      <c r="K2615" s="8"/>
      <c r="L2615" s="8"/>
    </row>
    <row r="2616" ht="13.5" customHeight="1">
      <c r="A2616" s="7" t="s">
        <v>355</v>
      </c>
      <c r="B2616" s="7">
        <v>3.5</v>
      </c>
      <c r="C2616" s="7" t="s">
        <v>360</v>
      </c>
      <c r="D2616" s="7" t="s">
        <v>357</v>
      </c>
      <c r="E2616" s="7">
        <v>-29.0054457142967</v>
      </c>
      <c r="F2616" s="7">
        <v>2.8201995238097</v>
      </c>
      <c r="G2616" s="7">
        <v>3.78589238095372</v>
      </c>
      <c r="H2616" s="7">
        <v>-0.0017232598571417</v>
      </c>
      <c r="I2616" s="7">
        <v>-10.6703771904815</v>
      </c>
      <c r="J2616" s="7">
        <v>-7.16224985714546</v>
      </c>
      <c r="K2616" s="8"/>
      <c r="L2616" s="8"/>
    </row>
    <row r="2617" ht="13.5" customHeight="1">
      <c r="A2617" s="7" t="s">
        <v>355</v>
      </c>
      <c r="B2617" s="7">
        <v>0.0</v>
      </c>
      <c r="C2617" s="7" t="s">
        <v>361</v>
      </c>
      <c r="D2617" s="7" t="s">
        <v>357</v>
      </c>
      <c r="E2617" s="7">
        <v>-29.0223020779331</v>
      </c>
      <c r="F2617" s="7">
        <v>2.82191004329022</v>
      </c>
      <c r="G2617" s="7">
        <v>3.78815679653814</v>
      </c>
      <c r="H2617" s="7">
        <v>-0.0017243149610378</v>
      </c>
      <c r="I2617" s="7">
        <v>-10.6771719826893</v>
      </c>
      <c r="J2617" s="7">
        <v>-7.16679690909352</v>
      </c>
      <c r="K2617" s="8"/>
      <c r="L2617" s="8"/>
    </row>
    <row r="2618" ht="13.5" customHeight="1">
      <c r="A2618" s="7" t="s">
        <v>355</v>
      </c>
      <c r="B2618" s="7">
        <v>1.75</v>
      </c>
      <c r="C2618" s="7" t="s">
        <v>361</v>
      </c>
      <c r="D2618" s="7" t="s">
        <v>357</v>
      </c>
      <c r="E2618" s="7">
        <v>-29.0391584415695</v>
      </c>
      <c r="F2618" s="7">
        <v>2.82362056277074</v>
      </c>
      <c r="G2618" s="7">
        <v>3.79042121212256</v>
      </c>
      <c r="H2618" s="7">
        <v>-0.0017253700649339</v>
      </c>
      <c r="I2618" s="7">
        <v>-10.6839667748971</v>
      </c>
      <c r="J2618" s="7">
        <v>-7.17134396104158</v>
      </c>
      <c r="K2618" s="8"/>
      <c r="L2618" s="8"/>
    </row>
    <row r="2619" ht="13.5" customHeight="1">
      <c r="A2619" s="7" t="s">
        <v>355</v>
      </c>
      <c r="B2619" s="7">
        <v>3.5</v>
      </c>
      <c r="C2619" s="7" t="s">
        <v>361</v>
      </c>
      <c r="D2619" s="7" t="s">
        <v>357</v>
      </c>
      <c r="E2619" s="7">
        <v>-29.0560148052059</v>
      </c>
      <c r="F2619" s="7">
        <v>2.82533108225126</v>
      </c>
      <c r="G2619" s="7">
        <v>3.79268562770698</v>
      </c>
      <c r="H2619" s="7">
        <v>-0.00172642516883</v>
      </c>
      <c r="I2619" s="7">
        <v>-10.6907615671049</v>
      </c>
      <c r="J2619" s="7">
        <v>-7.17589101298964</v>
      </c>
      <c r="K2619" s="8"/>
      <c r="L2619" s="8"/>
    </row>
    <row r="2620" ht="13.5" customHeight="1">
      <c r="A2620" s="7" t="s">
        <v>355</v>
      </c>
      <c r="B2620" s="7">
        <v>0.0</v>
      </c>
      <c r="C2620" s="7" t="s">
        <v>362</v>
      </c>
      <c r="D2620" s="7" t="s">
        <v>357</v>
      </c>
      <c r="E2620" s="7">
        <v>-29.0728711688423</v>
      </c>
      <c r="F2620" s="7">
        <v>2.82704160173178</v>
      </c>
      <c r="G2620" s="7">
        <v>3.7949500432914</v>
      </c>
      <c r="H2620" s="7">
        <v>-0.0017274802727261</v>
      </c>
      <c r="I2620" s="7">
        <v>-10.6975563593127</v>
      </c>
      <c r="J2620" s="7">
        <v>-7.1804380649377</v>
      </c>
      <c r="K2620" s="8"/>
      <c r="L2620" s="8"/>
    </row>
    <row r="2621" ht="13.5" customHeight="1">
      <c r="A2621" s="7" t="s">
        <v>355</v>
      </c>
      <c r="B2621" s="7">
        <v>1.75</v>
      </c>
      <c r="C2621" s="7" t="s">
        <v>362</v>
      </c>
      <c r="D2621" s="7" t="s">
        <v>357</v>
      </c>
      <c r="E2621" s="7">
        <v>-29.0897275324787</v>
      </c>
      <c r="F2621" s="7">
        <v>2.8287521212123</v>
      </c>
      <c r="G2621" s="7">
        <v>3.79721445887582</v>
      </c>
      <c r="H2621" s="7">
        <v>-0.0017285353766222</v>
      </c>
      <c r="I2621" s="7">
        <v>-10.7043511515205</v>
      </c>
      <c r="J2621" s="7">
        <v>-7.18498511688576</v>
      </c>
      <c r="K2621" s="8"/>
      <c r="L2621" s="8"/>
    </row>
    <row r="2622" ht="13.5" customHeight="1">
      <c r="A2622" s="7" t="s">
        <v>355</v>
      </c>
      <c r="B2622" s="7">
        <v>3.5</v>
      </c>
      <c r="C2622" s="7" t="s">
        <v>362</v>
      </c>
      <c r="D2622" s="7" t="s">
        <v>357</v>
      </c>
      <c r="E2622" s="7">
        <v>-29.1065838961151</v>
      </c>
      <c r="F2622" s="7">
        <v>2.83046264069282</v>
      </c>
      <c r="G2622" s="7">
        <v>3.79947887446024</v>
      </c>
      <c r="H2622" s="7">
        <v>-0.0017295904805183</v>
      </c>
      <c r="I2622" s="7">
        <v>-10.7111459437283</v>
      </c>
      <c r="J2622" s="7">
        <v>-7.18953216883382</v>
      </c>
      <c r="K2622" s="8"/>
      <c r="L2622" s="8"/>
    </row>
    <row r="2623" ht="13.5" customHeight="1">
      <c r="A2623" s="7" t="s">
        <v>355</v>
      </c>
      <c r="B2623" s="7">
        <v>0.0</v>
      </c>
      <c r="C2623" s="7" t="s">
        <v>363</v>
      </c>
      <c r="D2623" s="7" t="s">
        <v>357</v>
      </c>
      <c r="E2623" s="7">
        <v>-29.1234402597515</v>
      </c>
      <c r="F2623" s="7">
        <v>2.83217316017334</v>
      </c>
      <c r="G2623" s="7">
        <v>3.80174329004466</v>
      </c>
      <c r="H2623" s="7">
        <v>-0.0017306455844144</v>
      </c>
      <c r="I2623" s="7">
        <v>-10.7179407359361</v>
      </c>
      <c r="J2623" s="7">
        <v>-7.19407922078188</v>
      </c>
      <c r="K2623" s="8"/>
      <c r="L2623" s="8"/>
    </row>
    <row r="2624" ht="13.5" customHeight="1">
      <c r="A2624" s="7" t="s">
        <v>355</v>
      </c>
      <c r="B2624" s="7">
        <v>1.75</v>
      </c>
      <c r="C2624" s="7" t="s">
        <v>363</v>
      </c>
      <c r="D2624" s="7" t="s">
        <v>357</v>
      </c>
      <c r="E2624" s="7">
        <v>-29.1402966233879</v>
      </c>
      <c r="F2624" s="7">
        <v>2.83388367965386</v>
      </c>
      <c r="G2624" s="7">
        <v>3.80400770562908</v>
      </c>
      <c r="H2624" s="7">
        <v>-0.00173170068831051</v>
      </c>
      <c r="I2624" s="7">
        <v>-10.724735528144</v>
      </c>
      <c r="J2624" s="7">
        <v>-7.19862627272995</v>
      </c>
      <c r="K2624" s="8"/>
      <c r="L2624" s="8"/>
    </row>
    <row r="2625" ht="13.5" customHeight="1">
      <c r="A2625" s="7" t="s">
        <v>355</v>
      </c>
      <c r="B2625" s="7">
        <v>3.5</v>
      </c>
      <c r="C2625" s="7" t="s">
        <v>363</v>
      </c>
      <c r="D2625" s="7" t="s">
        <v>357</v>
      </c>
      <c r="E2625" s="7">
        <v>-29.1571529870243</v>
      </c>
      <c r="F2625" s="7">
        <v>2.83559419913438</v>
      </c>
      <c r="G2625" s="7">
        <v>3.8062721212135</v>
      </c>
      <c r="H2625" s="7">
        <v>-0.0017327557922066</v>
      </c>
      <c r="I2625" s="7">
        <v>-10.7315303203518</v>
      </c>
      <c r="J2625" s="7">
        <v>-7.20317332467801</v>
      </c>
      <c r="K2625" s="8"/>
      <c r="L2625" s="8"/>
    </row>
    <row r="2626" ht="13.5" customHeight="1">
      <c r="A2626" s="7" t="s">
        <v>355</v>
      </c>
      <c r="B2626" s="7">
        <v>0.0</v>
      </c>
      <c r="C2626" s="7" t="s">
        <v>356</v>
      </c>
      <c r="D2626" s="7" t="s">
        <v>357</v>
      </c>
      <c r="E2626" s="7">
        <v>-29.1740093506607</v>
      </c>
      <c r="F2626" s="7">
        <v>2.8373047186149</v>
      </c>
      <c r="G2626" s="7">
        <v>3.80853653679792</v>
      </c>
      <c r="H2626" s="7">
        <v>-0.0017338108961027</v>
      </c>
      <c r="I2626" s="7">
        <v>-10.7383251125596</v>
      </c>
      <c r="J2626" s="7">
        <v>-7.20772037662607</v>
      </c>
      <c r="K2626" s="8"/>
      <c r="L2626" s="8"/>
    </row>
    <row r="2627" ht="13.5" customHeight="1">
      <c r="A2627" s="7" t="s">
        <v>355</v>
      </c>
      <c r="B2627" s="7">
        <v>1.75</v>
      </c>
      <c r="C2627" s="7" t="s">
        <v>356</v>
      </c>
      <c r="D2627" s="7" t="s">
        <v>357</v>
      </c>
      <c r="E2627" s="7">
        <v>-29.1908657142971</v>
      </c>
      <c r="F2627" s="7">
        <v>2.83901523809542</v>
      </c>
      <c r="G2627" s="7">
        <v>3.81080095238234</v>
      </c>
      <c r="H2627" s="7">
        <v>-0.00173486599999881</v>
      </c>
      <c r="I2627" s="7">
        <v>-10.7451199047674</v>
      </c>
      <c r="J2627" s="7">
        <v>-7.21226742857413</v>
      </c>
      <c r="K2627" s="8"/>
      <c r="L2627" s="8"/>
    </row>
    <row r="2628" ht="13.5" customHeight="1">
      <c r="A2628" s="7" t="s">
        <v>355</v>
      </c>
      <c r="B2628" s="7">
        <v>3.5</v>
      </c>
      <c r="C2628" s="7" t="s">
        <v>356</v>
      </c>
      <c r="D2628" s="7" t="s">
        <v>357</v>
      </c>
      <c r="E2628" s="7">
        <v>-29.2077220779335</v>
      </c>
      <c r="F2628" s="7">
        <v>2.84072575757594</v>
      </c>
      <c r="G2628" s="7">
        <v>3.81306536796676</v>
      </c>
      <c r="H2628" s="7">
        <v>-0.0017359211038949</v>
      </c>
      <c r="I2628" s="7">
        <v>-10.7519146969752</v>
      </c>
      <c r="J2628" s="7">
        <v>-7.21681448052219</v>
      </c>
      <c r="K2628" s="8"/>
      <c r="L2628" s="8"/>
    </row>
    <row r="2629" ht="13.5" customHeight="1">
      <c r="A2629" s="7" t="s">
        <v>355</v>
      </c>
      <c r="B2629" s="7">
        <v>0.0</v>
      </c>
      <c r="C2629" s="7" t="s">
        <v>358</v>
      </c>
      <c r="D2629" s="7" t="s">
        <v>357</v>
      </c>
      <c r="E2629" s="7">
        <v>-29.2245784415699</v>
      </c>
      <c r="F2629" s="7">
        <v>2.84243627705646</v>
      </c>
      <c r="G2629" s="7">
        <v>3.81532978355118</v>
      </c>
      <c r="H2629" s="7">
        <v>-0.001736976207791</v>
      </c>
      <c r="I2629" s="7">
        <v>-10.758709489183</v>
      </c>
      <c r="J2629" s="7">
        <v>-7.22136153247025</v>
      </c>
      <c r="K2629" s="8"/>
      <c r="L2629" s="8"/>
    </row>
    <row r="2630" ht="13.5" customHeight="1">
      <c r="A2630" s="7" t="s">
        <v>355</v>
      </c>
      <c r="B2630" s="7">
        <v>1.75</v>
      </c>
      <c r="C2630" s="7" t="s">
        <v>358</v>
      </c>
      <c r="D2630" s="7" t="s">
        <v>357</v>
      </c>
      <c r="E2630" s="7">
        <v>-29.2414348052063</v>
      </c>
      <c r="F2630" s="7">
        <v>2.84414679653698</v>
      </c>
      <c r="G2630" s="7">
        <v>3.8175941991356</v>
      </c>
      <c r="H2630" s="7">
        <v>-0.00173803131168711</v>
      </c>
      <c r="I2630" s="7">
        <v>-10.7655042813908</v>
      </c>
      <c r="J2630" s="7">
        <v>-7.22590858441831</v>
      </c>
      <c r="K2630" s="8"/>
      <c r="L2630" s="8"/>
    </row>
    <row r="2631" ht="13.5" customHeight="1">
      <c r="A2631" s="7" t="s">
        <v>355</v>
      </c>
      <c r="B2631" s="7">
        <v>3.5</v>
      </c>
      <c r="C2631" s="7" t="s">
        <v>358</v>
      </c>
      <c r="D2631" s="7" t="s">
        <v>357</v>
      </c>
      <c r="E2631" s="7">
        <v>-29.2582911688427</v>
      </c>
      <c r="F2631" s="7">
        <v>2.8458573160175</v>
      </c>
      <c r="G2631" s="7">
        <v>3.81985861472002</v>
      </c>
      <c r="H2631" s="7">
        <v>-0.0017390864155832</v>
      </c>
      <c r="I2631" s="7">
        <v>-10.7722990735986</v>
      </c>
      <c r="J2631" s="7">
        <v>-7.23045563636637</v>
      </c>
      <c r="K2631" s="8"/>
      <c r="L2631" s="8"/>
    </row>
    <row r="2632" ht="13.5" customHeight="1">
      <c r="A2632" s="7" t="s">
        <v>355</v>
      </c>
      <c r="B2632" s="7">
        <v>0.0</v>
      </c>
      <c r="C2632" s="7" t="s">
        <v>359</v>
      </c>
      <c r="D2632" s="7" t="s">
        <v>357</v>
      </c>
      <c r="E2632" s="7">
        <v>-29.2751475324791</v>
      </c>
      <c r="F2632" s="7">
        <v>2.84756783549802</v>
      </c>
      <c r="G2632" s="7">
        <v>3.82212303030444</v>
      </c>
      <c r="H2632" s="7">
        <v>-0.00174014151947931</v>
      </c>
      <c r="I2632" s="7">
        <v>-10.7790938658064</v>
      </c>
      <c r="J2632" s="7">
        <v>-7.23500268831443</v>
      </c>
      <c r="K2632" s="8"/>
      <c r="L2632" s="8"/>
    </row>
    <row r="2633" ht="13.5" customHeight="1">
      <c r="A2633" s="7" t="s">
        <v>355</v>
      </c>
      <c r="B2633" s="7">
        <v>1.75</v>
      </c>
      <c r="C2633" s="7" t="s">
        <v>359</v>
      </c>
      <c r="D2633" s="7" t="s">
        <v>357</v>
      </c>
      <c r="E2633" s="7">
        <v>-29.2920038961155</v>
      </c>
      <c r="F2633" s="7">
        <v>2.84927835497854</v>
      </c>
      <c r="G2633" s="7">
        <v>3.82438744588886</v>
      </c>
      <c r="H2633" s="7">
        <v>-0.0017411966233754</v>
      </c>
      <c r="I2633" s="7">
        <v>-10.7858886580142</v>
      </c>
      <c r="J2633" s="7">
        <v>-7.23954974026249</v>
      </c>
      <c r="K2633" s="8"/>
      <c r="L2633" s="8"/>
    </row>
    <row r="2634" ht="13.5" customHeight="1">
      <c r="A2634" s="7" t="s">
        <v>355</v>
      </c>
      <c r="B2634" s="7">
        <v>3.5</v>
      </c>
      <c r="C2634" s="7" t="s">
        <v>359</v>
      </c>
      <c r="D2634" s="7" t="s">
        <v>357</v>
      </c>
      <c r="E2634" s="7">
        <v>-29.3088602597519</v>
      </c>
      <c r="F2634" s="7">
        <v>2.85098887445906</v>
      </c>
      <c r="G2634" s="7">
        <v>3.82665186147328</v>
      </c>
      <c r="H2634" s="7">
        <v>-0.0017422517272715</v>
      </c>
      <c r="I2634" s="7">
        <v>-10.7926834502221</v>
      </c>
      <c r="J2634" s="7">
        <v>-7.24409679221055</v>
      </c>
      <c r="K2634" s="8"/>
      <c r="L2634" s="8"/>
    </row>
    <row r="2635" ht="13.5" customHeight="1">
      <c r="A2635" s="7" t="s">
        <v>355</v>
      </c>
      <c r="B2635" s="7">
        <v>0.0</v>
      </c>
      <c r="C2635" s="7" t="s">
        <v>360</v>
      </c>
      <c r="D2635" s="7" t="s">
        <v>357</v>
      </c>
      <c r="E2635" s="7">
        <v>-29.3257166233883</v>
      </c>
      <c r="F2635" s="7">
        <v>2.85269939393958</v>
      </c>
      <c r="G2635" s="7">
        <v>3.8289162770577</v>
      </c>
      <c r="H2635" s="7">
        <v>-0.00174330683116761</v>
      </c>
      <c r="I2635" s="7">
        <v>-10.7994782424299</v>
      </c>
      <c r="J2635" s="7">
        <v>-7.24864384415861</v>
      </c>
      <c r="K2635" s="8"/>
      <c r="L2635" s="8"/>
    </row>
    <row r="2636" ht="13.5" customHeight="1">
      <c r="A2636" s="7" t="s">
        <v>355</v>
      </c>
      <c r="B2636" s="7">
        <v>1.75</v>
      </c>
      <c r="C2636" s="7" t="s">
        <v>360</v>
      </c>
      <c r="D2636" s="7" t="s">
        <v>357</v>
      </c>
      <c r="E2636" s="7">
        <v>-29.3425729870247</v>
      </c>
      <c r="F2636" s="7">
        <v>2.8544099134201</v>
      </c>
      <c r="G2636" s="7">
        <v>3.83118069264212</v>
      </c>
      <c r="H2636" s="7">
        <v>-0.00174436193506371</v>
      </c>
      <c r="I2636" s="7">
        <v>-10.8062730346377</v>
      </c>
      <c r="J2636" s="7">
        <v>-7.25319089610667</v>
      </c>
      <c r="K2636" s="8"/>
      <c r="L2636" s="8"/>
    </row>
    <row r="2637" ht="13.5" customHeight="1">
      <c r="A2637" s="7" t="s">
        <v>355</v>
      </c>
      <c r="B2637" s="7">
        <v>3.5</v>
      </c>
      <c r="C2637" s="7" t="s">
        <v>360</v>
      </c>
      <c r="D2637" s="7" t="s">
        <v>357</v>
      </c>
      <c r="E2637" s="7">
        <v>-29.3594293506611</v>
      </c>
      <c r="F2637" s="7">
        <v>2.85612043290062</v>
      </c>
      <c r="G2637" s="7">
        <v>3.83344510822654</v>
      </c>
      <c r="H2637" s="7">
        <v>-0.00174541703895981</v>
      </c>
      <c r="I2637" s="7">
        <v>-10.8130678268455</v>
      </c>
      <c r="J2637" s="7">
        <v>-7.25773794805473</v>
      </c>
      <c r="K2637" s="8"/>
      <c r="L2637" s="8"/>
    </row>
    <row r="2638" ht="13.5" customHeight="1">
      <c r="A2638" s="7" t="s">
        <v>355</v>
      </c>
      <c r="B2638" s="7">
        <v>0.0</v>
      </c>
      <c r="C2638" s="7" t="s">
        <v>361</v>
      </c>
      <c r="D2638" s="7" t="s">
        <v>357</v>
      </c>
      <c r="E2638" s="7">
        <v>-29.3762857142975</v>
      </c>
      <c r="F2638" s="7">
        <v>2.85783095238114</v>
      </c>
      <c r="G2638" s="7">
        <v>3.83570952381096</v>
      </c>
      <c r="H2638" s="7">
        <v>-0.00174647214285591</v>
      </c>
      <c r="I2638" s="7">
        <v>-10.8198626190533</v>
      </c>
      <c r="J2638" s="7">
        <v>-7.26228500000279</v>
      </c>
      <c r="K2638" s="8"/>
      <c r="L2638" s="8"/>
    </row>
    <row r="2639" ht="13.5" customHeight="1">
      <c r="A2639" s="7" t="s">
        <v>355</v>
      </c>
      <c r="B2639" s="7">
        <v>1.75</v>
      </c>
      <c r="C2639" s="7" t="s">
        <v>361</v>
      </c>
      <c r="D2639" s="7" t="s">
        <v>357</v>
      </c>
      <c r="E2639" s="7">
        <v>-29.3931420779339</v>
      </c>
      <c r="F2639" s="7">
        <v>2.85954147186166</v>
      </c>
      <c r="G2639" s="7">
        <v>3.83797393939538</v>
      </c>
      <c r="H2639" s="7">
        <v>-0.00174752724675201</v>
      </c>
      <c r="I2639" s="7">
        <v>-10.8266574112611</v>
      </c>
      <c r="J2639" s="7">
        <v>-7.26683205195085</v>
      </c>
      <c r="K2639" s="8"/>
      <c r="L2639" s="8"/>
    </row>
    <row r="2640" ht="13.5" customHeight="1">
      <c r="A2640" s="7" t="s">
        <v>355</v>
      </c>
      <c r="B2640" s="7">
        <v>3.5</v>
      </c>
      <c r="C2640" s="7" t="s">
        <v>361</v>
      </c>
      <c r="D2640" s="7" t="s">
        <v>357</v>
      </c>
      <c r="E2640" s="7">
        <v>-29.4099984415703</v>
      </c>
      <c r="F2640" s="7">
        <v>2.86125199134218</v>
      </c>
      <c r="G2640" s="7">
        <v>3.8402383549798</v>
      </c>
      <c r="H2640" s="7">
        <v>-0.00174858235064811</v>
      </c>
      <c r="I2640" s="7">
        <v>-10.8334522034689</v>
      </c>
      <c r="J2640" s="7">
        <v>-7.27137910389892</v>
      </c>
      <c r="K2640" s="8"/>
      <c r="L2640" s="8"/>
    </row>
    <row r="2641" ht="13.5" customHeight="1">
      <c r="A2641" s="7" t="s">
        <v>355</v>
      </c>
      <c r="B2641" s="7">
        <v>0.0</v>
      </c>
      <c r="C2641" s="7" t="s">
        <v>362</v>
      </c>
      <c r="D2641" s="7" t="s">
        <v>357</v>
      </c>
      <c r="E2641" s="7">
        <v>-29.4268548052067</v>
      </c>
      <c r="F2641" s="7">
        <v>2.8629625108227</v>
      </c>
      <c r="G2641" s="7">
        <v>3.84250277056422</v>
      </c>
      <c r="H2641" s="7">
        <v>-0.00174963745454421</v>
      </c>
      <c r="I2641" s="7">
        <v>-10.8402469956767</v>
      </c>
      <c r="J2641" s="7">
        <v>-7.27592615584698</v>
      </c>
      <c r="K2641" s="8"/>
      <c r="L2641" s="8"/>
    </row>
    <row r="2642" ht="13.5" customHeight="1">
      <c r="A2642" s="7" t="s">
        <v>355</v>
      </c>
      <c r="B2642" s="7">
        <v>1.75</v>
      </c>
      <c r="C2642" s="7" t="s">
        <v>362</v>
      </c>
      <c r="D2642" s="7" t="s">
        <v>357</v>
      </c>
      <c r="E2642" s="7">
        <v>-29.4437111688431</v>
      </c>
      <c r="F2642" s="7">
        <v>2.86467303030322</v>
      </c>
      <c r="G2642" s="7">
        <v>3.84476718614864</v>
      </c>
      <c r="H2642" s="7">
        <v>-0.00175069255844031</v>
      </c>
      <c r="I2642" s="7">
        <v>-10.8470417878845</v>
      </c>
      <c r="J2642" s="7">
        <v>-7.28047320779504</v>
      </c>
      <c r="K2642" s="8"/>
      <c r="L2642" s="8"/>
    </row>
    <row r="2643" ht="13.5" customHeight="1">
      <c r="A2643" s="7" t="s">
        <v>355</v>
      </c>
      <c r="B2643" s="7">
        <v>3.5</v>
      </c>
      <c r="C2643" s="7" t="s">
        <v>362</v>
      </c>
      <c r="D2643" s="7" t="s">
        <v>357</v>
      </c>
      <c r="E2643" s="7">
        <v>-29.4605675324795</v>
      </c>
      <c r="F2643" s="7">
        <v>2.86638354978374</v>
      </c>
      <c r="G2643" s="7">
        <v>3.84703160173306</v>
      </c>
      <c r="H2643" s="7">
        <v>-0.00175174766233641</v>
      </c>
      <c r="I2643" s="7">
        <v>-10.8538365800923</v>
      </c>
      <c r="J2643" s="7">
        <v>-7.2850202597431</v>
      </c>
      <c r="K2643" s="8"/>
      <c r="L2643" s="8"/>
    </row>
    <row r="2644" ht="13.5" customHeight="1">
      <c r="A2644" s="7" t="s">
        <v>355</v>
      </c>
      <c r="B2644" s="7">
        <v>0.0</v>
      </c>
      <c r="C2644" s="7" t="s">
        <v>363</v>
      </c>
      <c r="D2644" s="7" t="s">
        <v>357</v>
      </c>
      <c r="E2644" s="7">
        <v>-29.4774238961159</v>
      </c>
      <c r="F2644" s="7">
        <v>2.86809406926426</v>
      </c>
      <c r="G2644" s="7">
        <v>3.84929601731748</v>
      </c>
      <c r="H2644" s="7">
        <v>-0.00175280276623251</v>
      </c>
      <c r="I2644" s="7">
        <v>-10.8606313723001</v>
      </c>
      <c r="J2644" s="7">
        <v>-7.28956731169116</v>
      </c>
      <c r="K2644" s="8"/>
      <c r="L2644" s="8"/>
    </row>
    <row r="2645" ht="13.5" customHeight="1">
      <c r="A2645" s="7" t="s">
        <v>355</v>
      </c>
      <c r="B2645" s="7">
        <v>1.75</v>
      </c>
      <c r="C2645" s="7" t="s">
        <v>363</v>
      </c>
      <c r="D2645" s="7" t="s">
        <v>357</v>
      </c>
      <c r="E2645" s="7">
        <v>-29.4942802597523</v>
      </c>
      <c r="F2645" s="7">
        <v>2.86980458874478</v>
      </c>
      <c r="G2645" s="7">
        <v>3.8515604329019</v>
      </c>
      <c r="H2645" s="7">
        <v>-0.00175385787012861</v>
      </c>
      <c r="I2645" s="7">
        <v>-10.867426164508</v>
      </c>
      <c r="J2645" s="7">
        <v>-7.29411436363922</v>
      </c>
      <c r="K2645" s="8"/>
      <c r="L2645" s="8"/>
    </row>
    <row r="2646" ht="13.5" customHeight="1">
      <c r="A2646" s="7" t="s">
        <v>355</v>
      </c>
      <c r="B2646" s="7">
        <v>3.5</v>
      </c>
      <c r="C2646" s="7" t="s">
        <v>363</v>
      </c>
      <c r="D2646" s="7" t="s">
        <v>357</v>
      </c>
      <c r="E2646" s="7">
        <v>-29.5111366233887</v>
      </c>
      <c r="F2646" s="7">
        <v>2.8715151082253</v>
      </c>
      <c r="G2646" s="7">
        <v>3.85382484848632</v>
      </c>
      <c r="H2646" s="7">
        <v>-0.00175491297402471</v>
      </c>
      <c r="I2646" s="7">
        <v>-10.8742209567158</v>
      </c>
      <c r="J2646" s="7">
        <v>-7.29866141558728</v>
      </c>
      <c r="K2646" s="8"/>
      <c r="L2646" s="8"/>
    </row>
    <row r="2647" ht="13.5" customHeight="1">
      <c r="A2647" s="7" t="s">
        <v>355</v>
      </c>
      <c r="B2647" s="7">
        <v>0.0</v>
      </c>
      <c r="C2647" s="7" t="s">
        <v>356</v>
      </c>
      <c r="D2647" s="7" t="s">
        <v>357</v>
      </c>
      <c r="E2647" s="7">
        <v>-29.5279929870251</v>
      </c>
      <c r="F2647" s="7">
        <v>2.87322562770582</v>
      </c>
      <c r="G2647" s="7">
        <v>3.85608926407074</v>
      </c>
      <c r="H2647" s="7">
        <v>-0.00175596807792081</v>
      </c>
      <c r="I2647" s="7">
        <v>-10.8810157489236</v>
      </c>
      <c r="J2647" s="7">
        <v>-7.30320846753534</v>
      </c>
      <c r="K2647" s="8"/>
      <c r="L2647" s="8"/>
    </row>
    <row r="2648" ht="13.5" customHeight="1">
      <c r="A2648" s="7" t="s">
        <v>355</v>
      </c>
      <c r="B2648" s="7">
        <v>1.75</v>
      </c>
      <c r="C2648" s="7" t="s">
        <v>356</v>
      </c>
      <c r="D2648" s="7" t="s">
        <v>357</v>
      </c>
      <c r="E2648" s="7">
        <v>-29.5448493506615</v>
      </c>
      <c r="F2648" s="7">
        <v>2.87493614718634</v>
      </c>
      <c r="G2648" s="7">
        <v>3.85835367965516</v>
      </c>
      <c r="H2648" s="7">
        <v>-0.00175702318181691</v>
      </c>
      <c r="I2648" s="7">
        <v>-10.8878105411314</v>
      </c>
      <c r="J2648" s="7">
        <v>-7.3077555194834</v>
      </c>
      <c r="K2648" s="8"/>
      <c r="L2648" s="8"/>
    </row>
    <row r="2649" ht="13.5" customHeight="1">
      <c r="A2649" s="7" t="s">
        <v>355</v>
      </c>
      <c r="B2649" s="7">
        <v>3.5</v>
      </c>
      <c r="C2649" s="7" t="s">
        <v>356</v>
      </c>
      <c r="D2649" s="7" t="s">
        <v>357</v>
      </c>
      <c r="E2649" s="7">
        <v>-29.5617057142979</v>
      </c>
      <c r="F2649" s="7">
        <v>2.87664666666686</v>
      </c>
      <c r="G2649" s="7">
        <v>3.86061809523958</v>
      </c>
      <c r="H2649" s="7">
        <v>-0.00175807828571301</v>
      </c>
      <c r="I2649" s="7">
        <v>-10.8946053333392</v>
      </c>
      <c r="J2649" s="7">
        <v>-7.31230257143146</v>
      </c>
      <c r="K2649" s="8"/>
      <c r="L2649" s="8"/>
    </row>
    <row r="2650" ht="13.5" customHeight="1">
      <c r="A2650" s="7" t="s">
        <v>355</v>
      </c>
      <c r="B2650" s="7">
        <v>0.0</v>
      </c>
      <c r="C2650" s="7" t="s">
        <v>358</v>
      </c>
      <c r="D2650" s="7" t="s">
        <v>357</v>
      </c>
      <c r="E2650" s="7">
        <v>-29.5785620779343</v>
      </c>
      <c r="F2650" s="7">
        <v>2.87835718614738</v>
      </c>
      <c r="G2650" s="7">
        <v>3.862882510824</v>
      </c>
      <c r="H2650" s="7">
        <v>-0.00175913338960911</v>
      </c>
      <c r="I2650" s="7">
        <v>-10.901400125547</v>
      </c>
      <c r="J2650" s="7">
        <v>-7.31684962337952</v>
      </c>
      <c r="K2650" s="8"/>
      <c r="L2650" s="8"/>
    </row>
    <row r="2651" ht="13.5" customHeight="1">
      <c r="A2651" s="7" t="s">
        <v>355</v>
      </c>
      <c r="B2651" s="7">
        <v>1.75</v>
      </c>
      <c r="C2651" s="7" t="s">
        <v>358</v>
      </c>
      <c r="D2651" s="7" t="s">
        <v>357</v>
      </c>
      <c r="E2651" s="7">
        <v>-29.5954184415707</v>
      </c>
      <c r="F2651" s="7">
        <v>2.8800677056279</v>
      </c>
      <c r="G2651" s="7">
        <v>3.86514692640842</v>
      </c>
      <c r="H2651" s="7">
        <v>-0.00176018849350521</v>
      </c>
      <c r="I2651" s="7">
        <v>-10.9081949177548</v>
      </c>
      <c r="J2651" s="7">
        <v>-7.32139667532758</v>
      </c>
      <c r="K2651" s="8"/>
      <c r="L2651" s="8"/>
    </row>
    <row r="2652" ht="13.5" customHeight="1">
      <c r="A2652" s="7" t="s">
        <v>355</v>
      </c>
      <c r="B2652" s="7">
        <v>3.5</v>
      </c>
      <c r="C2652" s="7" t="s">
        <v>358</v>
      </c>
      <c r="D2652" s="7" t="s">
        <v>357</v>
      </c>
      <c r="E2652" s="7">
        <v>-29.6122748052071</v>
      </c>
      <c r="F2652" s="7">
        <v>2.88177822510842</v>
      </c>
      <c r="G2652" s="7">
        <v>3.86741134199284</v>
      </c>
      <c r="H2652" s="7">
        <v>-0.00176124359740131</v>
      </c>
      <c r="I2652" s="7">
        <v>-10.9149897099626</v>
      </c>
      <c r="J2652" s="7">
        <v>-7.32594372727564</v>
      </c>
      <c r="K2652" s="8"/>
      <c r="L2652" s="8"/>
    </row>
    <row r="2653" ht="13.5" customHeight="1">
      <c r="A2653" s="7" t="s">
        <v>355</v>
      </c>
      <c r="B2653" s="7">
        <v>0.0</v>
      </c>
      <c r="C2653" s="7" t="s">
        <v>359</v>
      </c>
      <c r="D2653" s="7" t="s">
        <v>357</v>
      </c>
      <c r="E2653" s="7">
        <v>-29.6291311688435</v>
      </c>
      <c r="F2653" s="7">
        <v>2.88348874458894</v>
      </c>
      <c r="G2653" s="7">
        <v>3.86967575757726</v>
      </c>
      <c r="H2653" s="7">
        <v>-0.00176229870129741</v>
      </c>
      <c r="I2653" s="7">
        <v>-10.9217845021704</v>
      </c>
      <c r="J2653" s="7">
        <v>-7.3304907792237</v>
      </c>
      <c r="K2653" s="8"/>
      <c r="L2653" s="8"/>
    </row>
    <row r="2654" ht="13.5" customHeight="1">
      <c r="A2654" s="7" t="s">
        <v>355</v>
      </c>
      <c r="B2654" s="7">
        <v>1.75</v>
      </c>
      <c r="C2654" s="7" t="s">
        <v>359</v>
      </c>
      <c r="D2654" s="7" t="s">
        <v>357</v>
      </c>
      <c r="E2654" s="7">
        <v>-29.6459875324799</v>
      </c>
      <c r="F2654" s="7">
        <v>2.88519926406946</v>
      </c>
      <c r="G2654" s="7">
        <v>3.87194017316168</v>
      </c>
      <c r="H2654" s="7">
        <v>-0.00176335380519351</v>
      </c>
      <c r="I2654" s="7">
        <v>-10.9285792943782</v>
      </c>
      <c r="J2654" s="7">
        <v>-7.33503783117176</v>
      </c>
      <c r="K2654" s="8"/>
      <c r="L2654" s="8"/>
    </row>
    <row r="2655" ht="13.5" customHeight="1">
      <c r="A2655" s="7" t="s">
        <v>355</v>
      </c>
      <c r="B2655" s="7">
        <v>3.5</v>
      </c>
      <c r="C2655" s="7" t="s">
        <v>359</v>
      </c>
      <c r="D2655" s="7" t="s">
        <v>357</v>
      </c>
      <c r="E2655" s="7">
        <v>-29.6628438961163</v>
      </c>
      <c r="F2655" s="7">
        <v>2.88690978354998</v>
      </c>
      <c r="G2655" s="7">
        <v>3.8742045887461</v>
      </c>
      <c r="H2655" s="7">
        <v>-0.00176440890908961</v>
      </c>
      <c r="I2655" s="7">
        <v>-10.9353740865861</v>
      </c>
      <c r="J2655" s="7">
        <v>-7.33958488311982</v>
      </c>
      <c r="K2655" s="8"/>
      <c r="L2655" s="8"/>
    </row>
    <row r="2656" ht="13.5" customHeight="1">
      <c r="A2656" s="7" t="s">
        <v>355</v>
      </c>
      <c r="B2656" s="7">
        <v>0.0</v>
      </c>
      <c r="C2656" s="7" t="s">
        <v>360</v>
      </c>
      <c r="D2656" s="7" t="s">
        <v>357</v>
      </c>
      <c r="E2656" s="7">
        <v>-29.6797002597527</v>
      </c>
      <c r="F2656" s="7">
        <v>2.8886203030305</v>
      </c>
      <c r="G2656" s="7">
        <v>3.87646900433052</v>
      </c>
      <c r="H2656" s="7">
        <v>-0.00176546401298571</v>
      </c>
      <c r="I2656" s="7">
        <v>-10.9421688787939</v>
      </c>
      <c r="J2656" s="7">
        <v>-7.34413193506788</v>
      </c>
      <c r="K2656" s="8"/>
      <c r="L2656" s="8"/>
    </row>
    <row r="2657" ht="13.5" customHeight="1">
      <c r="A2657" s="7" t="s">
        <v>355</v>
      </c>
      <c r="B2657" s="7">
        <v>1.75</v>
      </c>
      <c r="C2657" s="7" t="s">
        <v>360</v>
      </c>
      <c r="D2657" s="7" t="s">
        <v>357</v>
      </c>
      <c r="E2657" s="7">
        <v>-29.696556623389</v>
      </c>
      <c r="F2657" s="7">
        <v>2.89033082251102</v>
      </c>
      <c r="G2657" s="7">
        <v>3.87873341991494</v>
      </c>
      <c r="H2657" s="7">
        <v>-0.00176651911688181</v>
      </c>
      <c r="I2657" s="7">
        <v>-10.9489636710017</v>
      </c>
      <c r="J2657" s="7">
        <v>-7.34867898701595</v>
      </c>
      <c r="K2657" s="8"/>
      <c r="L2657" s="8"/>
    </row>
    <row r="2658" ht="13.5" customHeight="1">
      <c r="A2658" s="7" t="s">
        <v>355</v>
      </c>
      <c r="B2658" s="7">
        <v>3.5</v>
      </c>
      <c r="C2658" s="7" t="s">
        <v>360</v>
      </c>
      <c r="D2658" s="7" t="s">
        <v>357</v>
      </c>
      <c r="E2658" s="7">
        <v>-29.7134129870254</v>
      </c>
      <c r="F2658" s="7">
        <v>2.89204134199154</v>
      </c>
      <c r="G2658" s="7">
        <v>3.88099783549936</v>
      </c>
      <c r="H2658" s="7">
        <v>-0.00176757422077791</v>
      </c>
      <c r="I2658" s="7">
        <v>-10.9557584632095</v>
      </c>
      <c r="J2658" s="7">
        <v>-7.35322603896401</v>
      </c>
      <c r="K2658" s="8"/>
      <c r="L2658" s="8"/>
    </row>
    <row r="2659" ht="13.5" customHeight="1">
      <c r="A2659" s="7" t="s">
        <v>355</v>
      </c>
      <c r="B2659" s="7">
        <v>0.0</v>
      </c>
      <c r="C2659" s="7" t="s">
        <v>361</v>
      </c>
      <c r="D2659" s="7" t="s">
        <v>357</v>
      </c>
      <c r="E2659" s="7">
        <v>-29.7302693506618</v>
      </c>
      <c r="F2659" s="7">
        <v>2.89375186147206</v>
      </c>
      <c r="G2659" s="7">
        <v>3.88326225108378</v>
      </c>
      <c r="H2659" s="7">
        <v>-0.00176862932467401</v>
      </c>
      <c r="I2659" s="7">
        <v>-10.9625532554173</v>
      </c>
      <c r="J2659" s="7">
        <v>-7.35777309091207</v>
      </c>
      <c r="K2659" s="8"/>
      <c r="L2659" s="8"/>
    </row>
    <row r="2660" ht="13.5" customHeight="1">
      <c r="A2660" s="7" t="s">
        <v>355</v>
      </c>
      <c r="B2660" s="7">
        <v>1.75</v>
      </c>
      <c r="C2660" s="7" t="s">
        <v>361</v>
      </c>
      <c r="D2660" s="7" t="s">
        <v>357</v>
      </c>
      <c r="E2660" s="7">
        <v>-29.7471257142982</v>
      </c>
      <c r="F2660" s="7">
        <v>2.89546238095258</v>
      </c>
      <c r="G2660" s="7">
        <v>3.8855266666682</v>
      </c>
      <c r="H2660" s="7">
        <v>-0.00176968442857011</v>
      </c>
      <c r="I2660" s="7">
        <v>-10.9693480476251</v>
      </c>
      <c r="J2660" s="7">
        <v>-7.36232014286013</v>
      </c>
      <c r="K2660" s="8"/>
      <c r="L2660" s="8"/>
    </row>
    <row r="2661" ht="13.5" customHeight="1">
      <c r="A2661" s="7" t="s">
        <v>355</v>
      </c>
      <c r="B2661" s="7">
        <v>3.5</v>
      </c>
      <c r="C2661" s="7" t="s">
        <v>361</v>
      </c>
      <c r="D2661" s="7" t="s">
        <v>357</v>
      </c>
      <c r="E2661" s="7">
        <v>-29.7639820779346</v>
      </c>
      <c r="F2661" s="7">
        <v>2.8971729004331</v>
      </c>
      <c r="G2661" s="7">
        <v>3.88779108225262</v>
      </c>
      <c r="H2661" s="7">
        <v>-0.00177073953246621</v>
      </c>
      <c r="I2661" s="7">
        <v>-10.9761428398329</v>
      </c>
      <c r="J2661" s="7">
        <v>-7.36686719480819</v>
      </c>
      <c r="K2661" s="8"/>
      <c r="L2661" s="8"/>
    </row>
    <row r="2662" ht="13.5" customHeight="1">
      <c r="A2662" s="7" t="s">
        <v>355</v>
      </c>
      <c r="B2662" s="7">
        <v>0.0</v>
      </c>
      <c r="C2662" s="7" t="s">
        <v>362</v>
      </c>
      <c r="D2662" s="7" t="s">
        <v>357</v>
      </c>
      <c r="E2662" s="7">
        <v>-29.780838441571</v>
      </c>
      <c r="F2662" s="7">
        <v>2.89888341991362</v>
      </c>
      <c r="G2662" s="7">
        <v>3.89005549783704</v>
      </c>
      <c r="H2662" s="7">
        <v>-0.00177179463636231</v>
      </c>
      <c r="I2662" s="7">
        <v>-10.9829376320407</v>
      </c>
      <c r="J2662" s="7">
        <v>-7.37141424675625</v>
      </c>
      <c r="K2662" s="8"/>
      <c r="L2662" s="8"/>
    </row>
    <row r="2663" ht="13.5" customHeight="1">
      <c r="A2663" s="7" t="s">
        <v>355</v>
      </c>
      <c r="B2663" s="7">
        <v>1.75</v>
      </c>
      <c r="C2663" s="7" t="s">
        <v>362</v>
      </c>
      <c r="D2663" s="7" t="s">
        <v>357</v>
      </c>
      <c r="E2663" s="7">
        <v>-29.7976948052074</v>
      </c>
      <c r="F2663" s="7">
        <v>2.90059393939414</v>
      </c>
      <c r="G2663" s="7">
        <v>3.89231991342146</v>
      </c>
      <c r="H2663" s="7">
        <v>-0.00177284974025841</v>
      </c>
      <c r="I2663" s="7">
        <v>-10.9897324242485</v>
      </c>
      <c r="J2663" s="7">
        <v>-7.37596129870431</v>
      </c>
      <c r="K2663" s="8"/>
      <c r="L2663" s="8"/>
    </row>
    <row r="2664" ht="13.5" customHeight="1">
      <c r="A2664" s="7" t="s">
        <v>355</v>
      </c>
      <c r="B2664" s="7">
        <v>3.5</v>
      </c>
      <c r="C2664" s="7" t="s">
        <v>362</v>
      </c>
      <c r="D2664" s="7" t="s">
        <v>357</v>
      </c>
      <c r="E2664" s="7">
        <v>-29.8145511688438</v>
      </c>
      <c r="F2664" s="7">
        <v>2.90230445887466</v>
      </c>
      <c r="G2664" s="7">
        <v>3.89458432900588</v>
      </c>
      <c r="H2664" s="7">
        <v>-0.00177390484415451</v>
      </c>
      <c r="I2664" s="7">
        <v>-10.9965272164564</v>
      </c>
      <c r="J2664" s="7">
        <v>-7.38050835065237</v>
      </c>
      <c r="K2664" s="8"/>
      <c r="L2664" s="8"/>
    </row>
    <row r="2665" ht="13.5" customHeight="1">
      <c r="A2665" s="7" t="s">
        <v>355</v>
      </c>
      <c r="B2665" s="7">
        <v>0.0</v>
      </c>
      <c r="C2665" s="7" t="s">
        <v>363</v>
      </c>
      <c r="D2665" s="7" t="s">
        <v>357</v>
      </c>
      <c r="E2665" s="7">
        <v>-29.8314075324802</v>
      </c>
      <c r="F2665" s="7">
        <v>2.90401497835518</v>
      </c>
      <c r="G2665" s="7">
        <v>3.8968487445903</v>
      </c>
      <c r="H2665" s="7">
        <v>-0.00177495994805061</v>
      </c>
      <c r="I2665" s="7">
        <v>-11.0033220086642</v>
      </c>
      <c r="J2665" s="7">
        <v>-7.38505540260043</v>
      </c>
      <c r="K2665" s="8"/>
      <c r="L2665" s="8"/>
    </row>
    <row r="2666" ht="13.5" customHeight="1">
      <c r="A2666" s="7" t="s">
        <v>355</v>
      </c>
      <c r="B2666" s="7">
        <v>1.75</v>
      </c>
      <c r="C2666" s="7" t="s">
        <v>363</v>
      </c>
      <c r="D2666" s="7" t="s">
        <v>357</v>
      </c>
      <c r="E2666" s="7">
        <v>-29.8482638961166</v>
      </c>
      <c r="F2666" s="7">
        <v>2.9057254978357</v>
      </c>
      <c r="G2666" s="7">
        <v>3.89911316017472</v>
      </c>
      <c r="H2666" s="7">
        <v>-0.00177601505194671</v>
      </c>
      <c r="I2666" s="7">
        <v>-11.010116800872</v>
      </c>
      <c r="J2666" s="7">
        <v>-7.38960245454849</v>
      </c>
      <c r="K2666" s="8"/>
      <c r="L2666" s="8"/>
    </row>
    <row r="2667" ht="13.5" customHeight="1">
      <c r="A2667" s="7" t="s">
        <v>355</v>
      </c>
      <c r="B2667" s="7">
        <v>3.5</v>
      </c>
      <c r="C2667" s="7" t="s">
        <v>363</v>
      </c>
      <c r="D2667" s="7" t="s">
        <v>357</v>
      </c>
      <c r="E2667" s="7">
        <v>-29.865120259753</v>
      </c>
      <c r="F2667" s="7">
        <v>2.90743601731622</v>
      </c>
      <c r="G2667" s="7">
        <v>3.90137757575914</v>
      </c>
      <c r="H2667" s="7">
        <v>-0.00177707015584281</v>
      </c>
      <c r="I2667" s="7">
        <v>-11.0169115930798</v>
      </c>
      <c r="J2667" s="7">
        <v>-7.39414950649655</v>
      </c>
      <c r="K2667" s="8"/>
      <c r="L2667" s="8"/>
    </row>
    <row r="2668" ht="13.5" customHeight="1">
      <c r="A2668" s="7" t="s">
        <v>355</v>
      </c>
      <c r="B2668" s="7">
        <v>0.0</v>
      </c>
      <c r="C2668" s="7" t="s">
        <v>356</v>
      </c>
      <c r="D2668" s="7" t="s">
        <v>357</v>
      </c>
      <c r="E2668" s="7">
        <v>-29.8819766233894</v>
      </c>
      <c r="F2668" s="7">
        <v>2.90914653679674</v>
      </c>
      <c r="G2668" s="7">
        <v>3.90364199134356</v>
      </c>
      <c r="H2668" s="7">
        <v>-0.00177812525973891</v>
      </c>
      <c r="I2668" s="7">
        <v>-11.0237063852876</v>
      </c>
      <c r="J2668" s="7">
        <v>-7.39869655844461</v>
      </c>
      <c r="K2668" s="8"/>
      <c r="L2668" s="8"/>
    </row>
    <row r="2669" ht="13.5" customHeight="1">
      <c r="A2669" s="7" t="s">
        <v>355</v>
      </c>
      <c r="B2669" s="7">
        <v>1.75</v>
      </c>
      <c r="C2669" s="7" t="s">
        <v>356</v>
      </c>
      <c r="D2669" s="7" t="s">
        <v>357</v>
      </c>
      <c r="E2669" s="7">
        <v>-29.8988329870259</v>
      </c>
      <c r="F2669" s="7">
        <v>2.91085705627726</v>
      </c>
      <c r="G2669" s="7">
        <v>3.90590640692798</v>
      </c>
      <c r="H2669" s="7">
        <v>-0.00177918036363501</v>
      </c>
      <c r="I2669" s="7">
        <v>-11.0305011774954</v>
      </c>
      <c r="J2669" s="7">
        <v>-7.40324361039267</v>
      </c>
      <c r="K2669" s="8"/>
      <c r="L2669" s="8"/>
    </row>
    <row r="2670" ht="13.5" customHeight="1">
      <c r="A2670" s="7" t="s">
        <v>355</v>
      </c>
      <c r="B2670" s="7">
        <v>3.5</v>
      </c>
      <c r="C2670" s="7" t="s">
        <v>356</v>
      </c>
      <c r="D2670" s="7" t="s">
        <v>357</v>
      </c>
      <c r="E2670" s="7">
        <v>-29.9156893506623</v>
      </c>
      <c r="F2670" s="7">
        <v>2.91256757575778</v>
      </c>
      <c r="G2670" s="7">
        <v>3.9081708225124</v>
      </c>
      <c r="H2670" s="7">
        <v>-0.00178023546753111</v>
      </c>
      <c r="I2670" s="7">
        <v>-11.0372959697032</v>
      </c>
      <c r="J2670" s="7">
        <v>-7.40779066234073</v>
      </c>
      <c r="K2670" s="8"/>
      <c r="L2670" s="8"/>
    </row>
    <row r="2671" ht="13.5" customHeight="1">
      <c r="A2671" s="7" t="s">
        <v>355</v>
      </c>
      <c r="B2671" s="7">
        <v>0.0</v>
      </c>
      <c r="C2671" s="7" t="s">
        <v>358</v>
      </c>
      <c r="D2671" s="7" t="s">
        <v>357</v>
      </c>
      <c r="E2671" s="7">
        <v>-29.9325457142987</v>
      </c>
      <c r="F2671" s="7">
        <v>2.9142780952383</v>
      </c>
      <c r="G2671" s="7">
        <v>3.91043523809682</v>
      </c>
      <c r="H2671" s="7">
        <v>-0.00178129057142721</v>
      </c>
      <c r="I2671" s="7">
        <v>-11.044090761911</v>
      </c>
      <c r="J2671" s="7">
        <v>-7.41233771428879</v>
      </c>
      <c r="K2671" s="8"/>
      <c r="L2671" s="8"/>
    </row>
    <row r="2672" ht="13.5" customHeight="1">
      <c r="A2672" s="7" t="s">
        <v>355</v>
      </c>
      <c r="B2672" s="7">
        <v>1.75</v>
      </c>
      <c r="C2672" s="7" t="s">
        <v>358</v>
      </c>
      <c r="D2672" s="7" t="s">
        <v>357</v>
      </c>
      <c r="E2672" s="7">
        <v>-29.9494020779351</v>
      </c>
      <c r="F2672" s="7">
        <v>2.91598861471882</v>
      </c>
      <c r="G2672" s="7">
        <v>3.91269965368124</v>
      </c>
      <c r="H2672" s="7">
        <v>-0.00178234567532331</v>
      </c>
      <c r="I2672" s="7">
        <v>-11.0508855541188</v>
      </c>
      <c r="J2672" s="7">
        <v>-7.41688476623685</v>
      </c>
      <c r="K2672" s="8"/>
      <c r="L2672" s="8"/>
    </row>
    <row r="2673" ht="13.5" customHeight="1">
      <c r="A2673" s="7" t="s">
        <v>355</v>
      </c>
      <c r="B2673" s="7">
        <v>3.5</v>
      </c>
      <c r="C2673" s="7" t="s">
        <v>358</v>
      </c>
      <c r="D2673" s="7" t="s">
        <v>357</v>
      </c>
      <c r="E2673" s="7">
        <v>-29.9662584415715</v>
      </c>
      <c r="F2673" s="7">
        <v>2.91769913419934</v>
      </c>
      <c r="G2673" s="7">
        <v>3.91496406926566</v>
      </c>
      <c r="H2673" s="7">
        <v>-0.00178340077921941</v>
      </c>
      <c r="I2673" s="7">
        <v>-11.0576803463266</v>
      </c>
      <c r="J2673" s="7">
        <v>-7.42143181818491</v>
      </c>
      <c r="K2673" s="8"/>
      <c r="L2673" s="8"/>
    </row>
    <row r="2674" ht="13.5" customHeight="1">
      <c r="A2674" s="7" t="s">
        <v>355</v>
      </c>
      <c r="B2674" s="7">
        <v>0.0</v>
      </c>
      <c r="C2674" s="7" t="s">
        <v>359</v>
      </c>
      <c r="D2674" s="7" t="s">
        <v>357</v>
      </c>
      <c r="E2674" s="7">
        <v>-29.9831148052079</v>
      </c>
      <c r="F2674" s="7">
        <v>2.91940965367986</v>
      </c>
      <c r="G2674" s="7">
        <v>3.91722848485008</v>
      </c>
      <c r="H2674" s="7">
        <v>-0.00178445588311551</v>
      </c>
      <c r="I2674" s="7">
        <v>-11.0644751385344</v>
      </c>
      <c r="J2674" s="7">
        <v>-7.42597887013298</v>
      </c>
      <c r="K2674" s="8"/>
      <c r="L2674" s="8"/>
    </row>
    <row r="2675" ht="13.5" customHeight="1">
      <c r="A2675" s="7" t="s">
        <v>355</v>
      </c>
      <c r="B2675" s="7">
        <v>1.75</v>
      </c>
      <c r="C2675" s="7" t="s">
        <v>359</v>
      </c>
      <c r="D2675" s="7" t="s">
        <v>357</v>
      </c>
      <c r="E2675" s="7">
        <v>-29.9999711688443</v>
      </c>
      <c r="F2675" s="7">
        <v>2.92112017316038</v>
      </c>
      <c r="G2675" s="7">
        <v>3.9194929004345</v>
      </c>
      <c r="H2675" s="7">
        <v>-0.00178551098701161</v>
      </c>
      <c r="I2675" s="7">
        <v>-11.0712699307423</v>
      </c>
      <c r="J2675" s="7">
        <v>-7.43052592208104</v>
      </c>
      <c r="K2675" s="8"/>
      <c r="L2675" s="8"/>
    </row>
    <row r="2676" ht="13.5" customHeight="1">
      <c r="A2676" s="7" t="s">
        <v>355</v>
      </c>
      <c r="B2676" s="7">
        <v>3.5</v>
      </c>
      <c r="C2676" s="7" t="s">
        <v>359</v>
      </c>
      <c r="D2676" s="7" t="s">
        <v>357</v>
      </c>
      <c r="E2676" s="7">
        <v>-30.0168275324807</v>
      </c>
      <c r="F2676" s="7">
        <v>2.9228306926409</v>
      </c>
      <c r="G2676" s="7">
        <v>3.92175731601892</v>
      </c>
      <c r="H2676" s="7">
        <v>-0.00178656609090771</v>
      </c>
      <c r="I2676" s="7">
        <v>-11.0780647229501</v>
      </c>
      <c r="J2676" s="7">
        <v>-7.4350729740291</v>
      </c>
      <c r="K2676" s="8"/>
      <c r="L2676" s="8"/>
    </row>
    <row r="2677" ht="13.5" customHeight="1">
      <c r="A2677" s="7" t="s">
        <v>355</v>
      </c>
      <c r="B2677" s="7">
        <v>0.0</v>
      </c>
      <c r="C2677" s="7" t="s">
        <v>360</v>
      </c>
      <c r="D2677" s="7" t="s">
        <v>357</v>
      </c>
      <c r="E2677" s="7">
        <v>-30.0336838961171</v>
      </c>
      <c r="F2677" s="7">
        <v>2.92454121212142</v>
      </c>
      <c r="G2677" s="7">
        <v>3.92402173160334</v>
      </c>
      <c r="H2677" s="7">
        <v>-0.00178762119480381</v>
      </c>
      <c r="I2677" s="7">
        <v>-11.0848595151579</v>
      </c>
      <c r="J2677" s="7">
        <v>-7.43962002597716</v>
      </c>
      <c r="K2677" s="8"/>
      <c r="L2677" s="8"/>
    </row>
    <row r="2678" ht="13.5" customHeight="1">
      <c r="A2678" s="7" t="s">
        <v>355</v>
      </c>
      <c r="B2678" s="7">
        <v>1.75</v>
      </c>
      <c r="C2678" s="7" t="s">
        <v>360</v>
      </c>
      <c r="D2678" s="7" t="s">
        <v>357</v>
      </c>
      <c r="E2678" s="7">
        <v>-30.0505402597535</v>
      </c>
      <c r="F2678" s="7">
        <v>2.92625173160194</v>
      </c>
      <c r="G2678" s="7">
        <v>3.92628614718776</v>
      </c>
      <c r="H2678" s="7">
        <v>-0.00178867629869991</v>
      </c>
      <c r="I2678" s="7">
        <v>-11.0916543073657</v>
      </c>
      <c r="J2678" s="7">
        <v>-7.44416707792522</v>
      </c>
      <c r="K2678" s="8"/>
      <c r="L2678" s="8"/>
    </row>
    <row r="2679" ht="13.5" customHeight="1">
      <c r="A2679" s="7" t="s">
        <v>355</v>
      </c>
      <c r="B2679" s="7">
        <v>3.5</v>
      </c>
      <c r="C2679" s="7" t="s">
        <v>360</v>
      </c>
      <c r="D2679" s="7" t="s">
        <v>357</v>
      </c>
      <c r="E2679" s="7">
        <v>-30.0673966233899</v>
      </c>
      <c r="F2679" s="7">
        <v>2.92796225108246</v>
      </c>
      <c r="G2679" s="7">
        <v>3.92855056277218</v>
      </c>
      <c r="H2679" s="7">
        <v>-0.00178973140259601</v>
      </c>
      <c r="I2679" s="7">
        <v>-11.0984490995735</v>
      </c>
      <c r="J2679" s="7">
        <v>-7.44871412987328</v>
      </c>
      <c r="K2679" s="8"/>
      <c r="L2679" s="8"/>
    </row>
    <row r="2680" ht="13.5" customHeight="1">
      <c r="A2680" s="7" t="s">
        <v>355</v>
      </c>
      <c r="B2680" s="7">
        <v>0.0</v>
      </c>
      <c r="C2680" s="7" t="s">
        <v>361</v>
      </c>
      <c r="D2680" s="7" t="s">
        <v>357</v>
      </c>
      <c r="E2680" s="7">
        <v>-30.0842529870263</v>
      </c>
      <c r="F2680" s="7">
        <v>2.92967277056298</v>
      </c>
      <c r="G2680" s="7">
        <v>3.9308149783566</v>
      </c>
      <c r="H2680" s="7">
        <v>-0.00179078650649211</v>
      </c>
      <c r="I2680" s="7">
        <v>-11.1052438917813</v>
      </c>
      <c r="J2680" s="7">
        <v>-7.45326118182134</v>
      </c>
      <c r="K2680" s="8"/>
      <c r="L2680" s="8"/>
    </row>
    <row r="2681" ht="13.5" customHeight="1">
      <c r="A2681" s="7" t="s">
        <v>355</v>
      </c>
      <c r="B2681" s="7">
        <v>1.75</v>
      </c>
      <c r="C2681" s="7" t="s">
        <v>361</v>
      </c>
      <c r="D2681" s="7" t="s">
        <v>357</v>
      </c>
      <c r="E2681" s="7">
        <v>-30.1011093506627</v>
      </c>
      <c r="F2681" s="7">
        <v>2.9313832900435</v>
      </c>
      <c r="G2681" s="7">
        <v>3.93307939394102</v>
      </c>
      <c r="H2681" s="7">
        <v>-0.00179184161038821</v>
      </c>
      <c r="I2681" s="7">
        <v>-11.1120386839891</v>
      </c>
      <c r="J2681" s="7">
        <v>-7.4578082337694</v>
      </c>
      <c r="K2681" s="8"/>
      <c r="L2681" s="8"/>
    </row>
    <row r="2682" ht="13.5" customHeight="1">
      <c r="A2682" s="7" t="s">
        <v>355</v>
      </c>
      <c r="B2682" s="7">
        <v>3.5</v>
      </c>
      <c r="C2682" s="7" t="s">
        <v>361</v>
      </c>
      <c r="D2682" s="7" t="s">
        <v>357</v>
      </c>
      <c r="E2682" s="7">
        <v>-30.1179657142991</v>
      </c>
      <c r="F2682" s="7">
        <v>2.93309380952402</v>
      </c>
      <c r="G2682" s="7">
        <v>3.93534380952544</v>
      </c>
      <c r="H2682" s="7">
        <v>-0.00179289671428431</v>
      </c>
      <c r="I2682" s="7">
        <v>-11.1188334761969</v>
      </c>
      <c r="J2682" s="7">
        <v>-7.46235528571746</v>
      </c>
      <c r="K2682" s="8"/>
      <c r="L2682" s="8"/>
    </row>
    <row r="2683" ht="13.5" customHeight="1">
      <c r="A2683" s="7" t="s">
        <v>355</v>
      </c>
      <c r="B2683" s="7">
        <v>0.0</v>
      </c>
      <c r="C2683" s="7" t="s">
        <v>362</v>
      </c>
      <c r="D2683" s="7" t="s">
        <v>357</v>
      </c>
      <c r="E2683" s="7">
        <v>-30.1348220779354</v>
      </c>
      <c r="F2683" s="7">
        <v>2.93480432900454</v>
      </c>
      <c r="G2683" s="7">
        <v>3.93760822510986</v>
      </c>
      <c r="H2683" s="7">
        <v>-0.00179395181818041</v>
      </c>
      <c r="I2683" s="7">
        <v>-11.1256282684047</v>
      </c>
      <c r="J2683" s="7">
        <v>-7.46690233766552</v>
      </c>
      <c r="K2683" s="8"/>
      <c r="L2683" s="8"/>
    </row>
    <row r="2684" ht="13.5" customHeight="1">
      <c r="A2684" s="7" t="s">
        <v>355</v>
      </c>
      <c r="B2684" s="7">
        <v>1.75</v>
      </c>
      <c r="C2684" s="7" t="s">
        <v>362</v>
      </c>
      <c r="D2684" s="7" t="s">
        <v>357</v>
      </c>
      <c r="E2684" s="7">
        <v>-30.1516784415718</v>
      </c>
      <c r="F2684" s="7">
        <v>2.93651484848506</v>
      </c>
      <c r="G2684" s="7">
        <v>3.93987264069428</v>
      </c>
      <c r="H2684" s="7">
        <v>-0.00179500692207651</v>
      </c>
      <c r="I2684" s="7">
        <v>-11.1324230606125</v>
      </c>
      <c r="J2684" s="7">
        <v>-7.47144938961358</v>
      </c>
      <c r="K2684" s="8"/>
      <c r="L2684" s="8"/>
    </row>
    <row r="2685" ht="13.5" customHeight="1">
      <c r="A2685" s="7" t="s">
        <v>355</v>
      </c>
      <c r="B2685" s="7">
        <v>3.5</v>
      </c>
      <c r="C2685" s="7" t="s">
        <v>362</v>
      </c>
      <c r="D2685" s="7" t="s">
        <v>357</v>
      </c>
      <c r="E2685" s="7">
        <v>-30.1685348052082</v>
      </c>
      <c r="F2685" s="7">
        <v>2.93822536796558</v>
      </c>
      <c r="G2685" s="7">
        <v>3.9421370562787</v>
      </c>
      <c r="H2685" s="7">
        <v>-0.00179606202597261</v>
      </c>
      <c r="I2685" s="7">
        <v>-11.1392178528203</v>
      </c>
      <c r="J2685" s="7">
        <v>-7.47599644156164</v>
      </c>
      <c r="K2685" s="8"/>
      <c r="L2685" s="8"/>
    </row>
    <row r="2686" ht="13.5" customHeight="1">
      <c r="A2686" s="7" t="s">
        <v>355</v>
      </c>
      <c r="B2686" s="7">
        <v>0.0</v>
      </c>
      <c r="C2686" s="7" t="s">
        <v>363</v>
      </c>
      <c r="D2686" s="7" t="s">
        <v>357</v>
      </c>
      <c r="E2686" s="7">
        <v>-30.1853911688446</v>
      </c>
      <c r="F2686" s="7">
        <v>2.9399358874461</v>
      </c>
      <c r="G2686" s="7">
        <v>3.94440147186312</v>
      </c>
      <c r="H2686" s="7">
        <v>-0.00179711712986871</v>
      </c>
      <c r="I2686" s="7">
        <v>-11.1460126450282</v>
      </c>
      <c r="J2686" s="7">
        <v>-7.4805434935097</v>
      </c>
      <c r="K2686" s="8"/>
      <c r="L2686" s="8"/>
    </row>
    <row r="2687" ht="13.5" customHeight="1">
      <c r="A2687" s="7" t="s">
        <v>355</v>
      </c>
      <c r="B2687" s="7">
        <v>1.75</v>
      </c>
      <c r="C2687" s="7" t="s">
        <v>363</v>
      </c>
      <c r="D2687" s="7" t="s">
        <v>357</v>
      </c>
      <c r="E2687" s="7">
        <v>-30.202247532481</v>
      </c>
      <c r="F2687" s="7">
        <v>2.94164640692662</v>
      </c>
      <c r="G2687" s="7">
        <v>3.94666588744754</v>
      </c>
      <c r="H2687" s="7">
        <v>-0.00179817223376481</v>
      </c>
      <c r="I2687" s="7">
        <v>-11.152807437236</v>
      </c>
      <c r="J2687" s="7">
        <v>-7.48509054545776</v>
      </c>
      <c r="K2687" s="8"/>
      <c r="L2687" s="8"/>
    </row>
    <row r="2688" ht="13.5" customHeight="1">
      <c r="A2688" s="7" t="s">
        <v>355</v>
      </c>
      <c r="B2688" s="7">
        <v>3.5</v>
      </c>
      <c r="C2688" s="7" t="s">
        <v>363</v>
      </c>
      <c r="D2688" s="7" t="s">
        <v>357</v>
      </c>
      <c r="E2688" s="7">
        <v>-30.2191038961175</v>
      </c>
      <c r="F2688" s="7">
        <v>2.94335692640714</v>
      </c>
      <c r="G2688" s="7">
        <v>3.94893030303196</v>
      </c>
      <c r="H2688" s="7">
        <v>-0.00179922733766091</v>
      </c>
      <c r="I2688" s="7">
        <v>-11.1596022294438</v>
      </c>
      <c r="J2688" s="7">
        <v>-7.48963759740582</v>
      </c>
      <c r="K2688" s="8"/>
      <c r="L2688" s="8"/>
    </row>
    <row r="2689" ht="13.5" customHeight="1">
      <c r="A2689" s="7" t="s">
        <v>355</v>
      </c>
      <c r="B2689" s="7">
        <v>0.0</v>
      </c>
      <c r="C2689" s="7" t="s">
        <v>356</v>
      </c>
      <c r="D2689" s="7" t="s">
        <v>357</v>
      </c>
      <c r="E2689" s="7">
        <v>-30.2359602597539</v>
      </c>
      <c r="F2689" s="7">
        <v>2.94506744588766</v>
      </c>
      <c r="G2689" s="7">
        <v>3.95119471861638</v>
      </c>
      <c r="H2689" s="7">
        <v>-0.00180028244155701</v>
      </c>
      <c r="I2689" s="7">
        <v>-11.1663970216516</v>
      </c>
      <c r="J2689" s="7">
        <v>-7.49418464935388</v>
      </c>
      <c r="K2689" s="8"/>
      <c r="L2689" s="8"/>
    </row>
    <row r="2690" ht="13.5" customHeight="1">
      <c r="A2690" s="7" t="s">
        <v>355</v>
      </c>
      <c r="B2690" s="7">
        <v>1.75</v>
      </c>
      <c r="C2690" s="7" t="s">
        <v>356</v>
      </c>
      <c r="D2690" s="7" t="s">
        <v>357</v>
      </c>
      <c r="E2690" s="7">
        <v>-30.2528166233903</v>
      </c>
      <c r="F2690" s="7">
        <v>2.94677796536818</v>
      </c>
      <c r="G2690" s="7">
        <v>3.9534591342008</v>
      </c>
      <c r="H2690" s="7">
        <v>-0.00180133754545311</v>
      </c>
      <c r="I2690" s="7">
        <v>-11.1731918138594</v>
      </c>
      <c r="J2690" s="7">
        <v>-7.49873170130195</v>
      </c>
      <c r="K2690" s="8"/>
      <c r="L2690" s="8"/>
    </row>
    <row r="2691" ht="13.5" customHeight="1">
      <c r="A2691" s="7" t="s">
        <v>355</v>
      </c>
      <c r="B2691" s="7">
        <v>3.5</v>
      </c>
      <c r="C2691" s="7" t="s">
        <v>356</v>
      </c>
      <c r="D2691" s="7" t="s">
        <v>357</v>
      </c>
      <c r="E2691" s="7">
        <v>-30.2696729870267</v>
      </c>
      <c r="F2691" s="7">
        <v>2.9484884848487</v>
      </c>
      <c r="G2691" s="7">
        <v>3.95572354978522</v>
      </c>
      <c r="H2691" s="7">
        <v>-0.00180239264934921</v>
      </c>
      <c r="I2691" s="7">
        <v>-11.1799866060672</v>
      </c>
      <c r="J2691" s="7">
        <v>-7.50327875325001</v>
      </c>
      <c r="K2691" s="8"/>
      <c r="L2691" s="8"/>
    </row>
    <row r="2692" ht="13.5" customHeight="1">
      <c r="A2692" s="7" t="s">
        <v>355</v>
      </c>
      <c r="B2692" s="7">
        <v>0.0</v>
      </c>
      <c r="C2692" s="7" t="s">
        <v>358</v>
      </c>
      <c r="D2692" s="7" t="s">
        <v>357</v>
      </c>
      <c r="E2692" s="7">
        <v>-30.2865293506631</v>
      </c>
      <c r="F2692" s="7">
        <v>2.95019900432922</v>
      </c>
      <c r="G2692" s="7">
        <v>3.95798796536964</v>
      </c>
      <c r="H2692" s="7">
        <v>-0.00180344775324531</v>
      </c>
      <c r="I2692" s="7">
        <v>-11.186781398275</v>
      </c>
      <c r="J2692" s="7">
        <v>-7.50782580519807</v>
      </c>
      <c r="K2692" s="8"/>
      <c r="L2692" s="8"/>
    </row>
    <row r="2693" ht="13.5" customHeight="1">
      <c r="A2693" s="7" t="s">
        <v>355</v>
      </c>
      <c r="B2693" s="7">
        <v>1.75</v>
      </c>
      <c r="C2693" s="7" t="s">
        <v>358</v>
      </c>
      <c r="D2693" s="7" t="s">
        <v>357</v>
      </c>
      <c r="E2693" s="7">
        <v>-30.3033857142995</v>
      </c>
      <c r="F2693" s="7">
        <v>2.95190952380974</v>
      </c>
      <c r="G2693" s="7">
        <v>3.96025238095406</v>
      </c>
      <c r="H2693" s="7">
        <v>-0.00180450285714141</v>
      </c>
      <c r="I2693" s="7">
        <v>-11.1935761904828</v>
      </c>
      <c r="J2693" s="7">
        <v>-7.51237285714613</v>
      </c>
      <c r="K2693" s="8"/>
      <c r="L2693" s="8"/>
    </row>
    <row r="2694" ht="13.5" customHeight="1">
      <c r="A2694" s="7" t="s">
        <v>355</v>
      </c>
      <c r="B2694" s="7">
        <v>3.5</v>
      </c>
      <c r="C2694" s="7" t="s">
        <v>358</v>
      </c>
      <c r="D2694" s="7" t="s">
        <v>357</v>
      </c>
      <c r="E2694" s="7">
        <v>-30.3202420779359</v>
      </c>
      <c r="F2694" s="7">
        <v>2.95362004329026</v>
      </c>
      <c r="G2694" s="7">
        <v>3.96251679653848</v>
      </c>
      <c r="H2694" s="7">
        <v>-0.00180555796103751</v>
      </c>
      <c r="I2694" s="7">
        <v>-11.2003709826906</v>
      </c>
      <c r="J2694" s="7">
        <v>-7.51691990909419</v>
      </c>
      <c r="K2694" s="8"/>
      <c r="L2694" s="8"/>
    </row>
    <row r="2695" ht="13.5" customHeight="1">
      <c r="A2695" s="7" t="s">
        <v>355</v>
      </c>
      <c r="B2695" s="7">
        <v>0.0</v>
      </c>
      <c r="C2695" s="7" t="s">
        <v>359</v>
      </c>
      <c r="D2695" s="7" t="s">
        <v>357</v>
      </c>
      <c r="E2695" s="7">
        <v>-30.3370984415723</v>
      </c>
      <c r="F2695" s="7">
        <v>2.95533056277078</v>
      </c>
      <c r="G2695" s="7">
        <v>3.9647812121229</v>
      </c>
      <c r="H2695" s="7">
        <v>-0.00180661306493361</v>
      </c>
      <c r="I2695" s="7">
        <v>-11.2071657748984</v>
      </c>
      <c r="J2695" s="7">
        <v>-7.52146696104225</v>
      </c>
      <c r="K2695" s="8"/>
      <c r="L2695" s="8"/>
    </row>
    <row r="2696" ht="13.5" customHeight="1">
      <c r="A2696" s="7" t="s">
        <v>355</v>
      </c>
      <c r="B2696" s="7">
        <v>1.75</v>
      </c>
      <c r="C2696" s="7" t="s">
        <v>359</v>
      </c>
      <c r="D2696" s="7" t="s">
        <v>357</v>
      </c>
      <c r="E2696" s="7">
        <v>-30.3539548052087</v>
      </c>
      <c r="F2696" s="7">
        <v>2.9570410822513</v>
      </c>
      <c r="G2696" s="7">
        <v>3.96704562770732</v>
      </c>
      <c r="H2696" s="7">
        <v>-0.00180766816882971</v>
      </c>
      <c r="I2696" s="7">
        <v>-11.2139605671063</v>
      </c>
      <c r="J2696" s="7">
        <v>-7.52601401299031</v>
      </c>
      <c r="K2696" s="8"/>
      <c r="L2696" s="8"/>
    </row>
    <row r="2697" ht="13.5" customHeight="1">
      <c r="A2697" s="7" t="s">
        <v>355</v>
      </c>
      <c r="B2697" s="7">
        <v>3.5</v>
      </c>
      <c r="C2697" s="7" t="s">
        <v>359</v>
      </c>
      <c r="D2697" s="7" t="s">
        <v>357</v>
      </c>
      <c r="E2697" s="7">
        <v>-30.3708111688451</v>
      </c>
      <c r="F2697" s="7">
        <v>2.95875160173182</v>
      </c>
      <c r="G2697" s="7">
        <v>3.96931004329174</v>
      </c>
      <c r="H2697" s="7">
        <v>-0.00180872327272581</v>
      </c>
      <c r="I2697" s="7">
        <v>-11.2207553593141</v>
      </c>
      <c r="J2697" s="7">
        <v>-7.53056106493837</v>
      </c>
      <c r="K2697" s="8"/>
      <c r="L2697" s="8"/>
    </row>
    <row r="2698" ht="13.5" customHeight="1">
      <c r="A2698" s="7" t="s">
        <v>355</v>
      </c>
      <c r="B2698" s="7">
        <v>0.0</v>
      </c>
      <c r="C2698" s="7" t="s">
        <v>360</v>
      </c>
      <c r="D2698" s="7" t="s">
        <v>357</v>
      </c>
      <c r="E2698" s="7">
        <v>-30.3876675324815</v>
      </c>
      <c r="F2698" s="7">
        <v>2.96046212121234</v>
      </c>
      <c r="G2698" s="7">
        <v>3.97157445887616</v>
      </c>
      <c r="H2698" s="7">
        <v>-0.00180977837662191</v>
      </c>
      <c r="I2698" s="7">
        <v>-11.2275501515219</v>
      </c>
      <c r="J2698" s="7">
        <v>-7.53510811688643</v>
      </c>
      <c r="K2698" s="8"/>
      <c r="L2698" s="8"/>
    </row>
    <row r="2699" ht="13.5" customHeight="1">
      <c r="A2699" s="7" t="s">
        <v>355</v>
      </c>
      <c r="B2699" s="7">
        <v>1.75</v>
      </c>
      <c r="C2699" s="7" t="s">
        <v>360</v>
      </c>
      <c r="D2699" s="7" t="s">
        <v>357</v>
      </c>
      <c r="E2699" s="7">
        <v>-30.4045238961179</v>
      </c>
      <c r="F2699" s="7">
        <v>2.96217264069286</v>
      </c>
      <c r="G2699" s="7">
        <v>3.97383887446058</v>
      </c>
      <c r="H2699" s="7">
        <v>-0.00181083348051801</v>
      </c>
      <c r="I2699" s="7">
        <v>-11.2343449437297</v>
      </c>
      <c r="J2699" s="7">
        <v>-7.53965516883449</v>
      </c>
      <c r="K2699" s="8"/>
      <c r="L2699" s="8"/>
    </row>
    <row r="2700" ht="13.5" customHeight="1">
      <c r="A2700" s="7" t="s">
        <v>355</v>
      </c>
      <c r="B2700" s="7">
        <v>3.5</v>
      </c>
      <c r="C2700" s="7" t="s">
        <v>360</v>
      </c>
      <c r="D2700" s="7" t="s">
        <v>357</v>
      </c>
      <c r="E2700" s="7">
        <v>-30.4213802597543</v>
      </c>
      <c r="F2700" s="7">
        <v>2.96388316017338</v>
      </c>
      <c r="G2700" s="7">
        <v>3.976103290045</v>
      </c>
      <c r="H2700" s="7">
        <v>-0.00181188858441411</v>
      </c>
      <c r="I2700" s="7">
        <v>-11.2411397359375</v>
      </c>
      <c r="J2700" s="7">
        <v>-7.54420222078255</v>
      </c>
      <c r="K2700" s="8"/>
      <c r="L2700" s="8"/>
    </row>
    <row r="2701" ht="13.5" customHeight="1">
      <c r="A2701" s="7" t="s">
        <v>355</v>
      </c>
      <c r="B2701" s="7">
        <v>0.0</v>
      </c>
      <c r="C2701" s="7" t="s">
        <v>361</v>
      </c>
      <c r="D2701" s="7" t="s">
        <v>357</v>
      </c>
      <c r="E2701" s="7">
        <v>-30.4382366233907</v>
      </c>
      <c r="F2701" s="7">
        <v>2.9655936796539</v>
      </c>
      <c r="G2701" s="7">
        <v>3.97836770562942</v>
      </c>
      <c r="H2701" s="7">
        <v>-0.00181294368831021</v>
      </c>
      <c r="I2701" s="7">
        <v>-11.2479345281453</v>
      </c>
      <c r="J2701" s="7">
        <v>-7.54874927273061</v>
      </c>
      <c r="K2701" s="8"/>
      <c r="L2701" s="8"/>
    </row>
    <row r="2702" ht="13.5" customHeight="1">
      <c r="A2702" s="7" t="s">
        <v>355</v>
      </c>
      <c r="B2702" s="7">
        <v>1.75</v>
      </c>
      <c r="C2702" s="7" t="s">
        <v>361</v>
      </c>
      <c r="D2702" s="7" t="s">
        <v>357</v>
      </c>
      <c r="E2702" s="7">
        <v>-30.4550929870271</v>
      </c>
      <c r="F2702" s="7">
        <v>2.96730419913442</v>
      </c>
      <c r="G2702" s="7">
        <v>3.98063212121384</v>
      </c>
      <c r="H2702" s="7">
        <v>-0.00181399879220631</v>
      </c>
      <c r="I2702" s="7">
        <v>-11.2547293203531</v>
      </c>
      <c r="J2702" s="7">
        <v>-7.55329632467867</v>
      </c>
      <c r="K2702" s="8"/>
      <c r="L2702" s="8"/>
    </row>
    <row r="2703" ht="13.5" customHeight="1">
      <c r="A2703" s="7" t="s">
        <v>355</v>
      </c>
      <c r="B2703" s="7">
        <v>3.5</v>
      </c>
      <c r="C2703" s="7" t="s">
        <v>361</v>
      </c>
      <c r="D2703" s="7" t="s">
        <v>357</v>
      </c>
      <c r="E2703" s="7">
        <v>-30.4719493506635</v>
      </c>
      <c r="F2703" s="7">
        <v>2.96901471861494</v>
      </c>
      <c r="G2703" s="7">
        <v>3.98289653679826</v>
      </c>
      <c r="H2703" s="7">
        <v>-0.00181505389610241</v>
      </c>
      <c r="I2703" s="7">
        <v>-11.2615241125609</v>
      </c>
      <c r="J2703" s="7">
        <v>-7.55784337662673</v>
      </c>
      <c r="K2703" s="8"/>
      <c r="L2703" s="8"/>
    </row>
    <row r="2704" ht="13.5" customHeight="1">
      <c r="A2704" s="7" t="s">
        <v>355</v>
      </c>
      <c r="B2704" s="7">
        <v>0.0</v>
      </c>
      <c r="C2704" s="7" t="s">
        <v>362</v>
      </c>
      <c r="D2704" s="7" t="s">
        <v>357</v>
      </c>
      <c r="E2704" s="7">
        <v>-30.4888057142999</v>
      </c>
      <c r="F2704" s="7">
        <v>2.97072523809546</v>
      </c>
      <c r="G2704" s="7">
        <v>3.98516095238268</v>
      </c>
      <c r="H2704" s="7">
        <v>-0.00181610899999851</v>
      </c>
      <c r="I2704" s="7">
        <v>-11.2683189047687</v>
      </c>
      <c r="J2704" s="7">
        <v>-7.56239042857479</v>
      </c>
      <c r="K2704" s="8"/>
      <c r="L2704" s="8"/>
    </row>
    <row r="2705" ht="13.5" customHeight="1">
      <c r="A2705" s="7" t="s">
        <v>355</v>
      </c>
      <c r="B2705" s="7">
        <v>1.75</v>
      </c>
      <c r="C2705" s="7" t="s">
        <v>362</v>
      </c>
      <c r="D2705" s="7" t="s">
        <v>357</v>
      </c>
      <c r="E2705" s="7">
        <v>-30.5056620779363</v>
      </c>
      <c r="F2705" s="7">
        <v>2.97243575757598</v>
      </c>
      <c r="G2705" s="7">
        <v>3.9874253679671</v>
      </c>
      <c r="H2705" s="7">
        <v>-0.00181716410389461</v>
      </c>
      <c r="I2705" s="7">
        <v>-11.2751136969766</v>
      </c>
      <c r="J2705" s="7">
        <v>-7.56693748052285</v>
      </c>
      <c r="K2705" s="8"/>
      <c r="L2705" s="8"/>
    </row>
    <row r="2706" ht="13.5" customHeight="1">
      <c r="A2706" s="7" t="s">
        <v>355</v>
      </c>
      <c r="B2706" s="7">
        <v>3.5</v>
      </c>
      <c r="C2706" s="7" t="s">
        <v>362</v>
      </c>
      <c r="D2706" s="7" t="s">
        <v>357</v>
      </c>
      <c r="E2706" s="7">
        <v>-30.5225184415727</v>
      </c>
      <c r="F2706" s="7">
        <v>2.9741462770565</v>
      </c>
      <c r="G2706" s="7">
        <v>3.98968978355152</v>
      </c>
      <c r="H2706" s="7">
        <v>-0.00181821920779071</v>
      </c>
      <c r="I2706" s="7">
        <v>-11.2819084891844</v>
      </c>
      <c r="J2706" s="7">
        <v>-7.57148453247091</v>
      </c>
      <c r="K2706" s="8"/>
      <c r="L2706" s="8"/>
    </row>
    <row r="2707" ht="13.5" customHeight="1">
      <c r="A2707" s="7" t="s">
        <v>355</v>
      </c>
      <c r="B2707" s="7">
        <v>0.0</v>
      </c>
      <c r="C2707" s="7" t="s">
        <v>363</v>
      </c>
      <c r="D2707" s="7" t="s">
        <v>357</v>
      </c>
      <c r="E2707" s="7">
        <v>-30.5393748052091</v>
      </c>
      <c r="F2707" s="7">
        <v>2.97585679653702</v>
      </c>
      <c r="G2707" s="7">
        <v>3.99195419913594</v>
      </c>
      <c r="H2707" s="7">
        <v>-0.00181927431168681</v>
      </c>
      <c r="I2707" s="7">
        <v>-11.2887032813922</v>
      </c>
      <c r="J2707" s="7">
        <v>-7.57603158441898</v>
      </c>
      <c r="K2707" s="8"/>
      <c r="L2707" s="8"/>
    </row>
    <row r="2708" ht="13.5" customHeight="1">
      <c r="A2708" s="7" t="s">
        <v>355</v>
      </c>
      <c r="B2708" s="7">
        <v>1.75</v>
      </c>
      <c r="C2708" s="7" t="s">
        <v>363</v>
      </c>
      <c r="D2708" s="7" t="s">
        <v>357</v>
      </c>
      <c r="E2708" s="7">
        <v>-30.5562311688454</v>
      </c>
      <c r="F2708" s="7">
        <v>2.97756731601754</v>
      </c>
      <c r="G2708" s="7">
        <v>3.99421861472036</v>
      </c>
      <c r="H2708" s="7">
        <v>-0.00182032941558291</v>
      </c>
      <c r="I2708" s="7">
        <v>-11.2954980736</v>
      </c>
      <c r="J2708" s="7">
        <v>-7.58057863636704</v>
      </c>
      <c r="K2708" s="8"/>
      <c r="L2708" s="8"/>
    </row>
    <row r="2709" ht="13.5" customHeight="1">
      <c r="A2709" s="7" t="s">
        <v>355</v>
      </c>
      <c r="B2709" s="7">
        <v>3.5</v>
      </c>
      <c r="C2709" s="7" t="s">
        <v>363</v>
      </c>
      <c r="D2709" s="7" t="s">
        <v>357</v>
      </c>
      <c r="E2709" s="7">
        <v>-30.5730875324818</v>
      </c>
      <c r="F2709" s="7">
        <v>2.97927783549806</v>
      </c>
      <c r="G2709" s="7">
        <v>3.99648303030478</v>
      </c>
      <c r="H2709" s="7">
        <v>-0.00182138451947901</v>
      </c>
      <c r="I2709" s="7">
        <v>-11.3022928658078</v>
      </c>
      <c r="J2709" s="7">
        <v>-7.5851256883151</v>
      </c>
      <c r="K2709" s="8"/>
      <c r="L2709" s="8"/>
    </row>
    <row r="2710" ht="13.5" customHeight="1">
      <c r="A2710" s="7" t="s">
        <v>355</v>
      </c>
      <c r="B2710" s="7">
        <v>0.0</v>
      </c>
      <c r="C2710" s="7" t="s">
        <v>356</v>
      </c>
      <c r="D2710" s="7" t="s">
        <v>357</v>
      </c>
      <c r="E2710" s="7">
        <v>-30.5899438961182</v>
      </c>
      <c r="F2710" s="7">
        <v>2.98098835497858</v>
      </c>
      <c r="G2710" s="7">
        <v>3.9987474458892</v>
      </c>
      <c r="H2710" s="7">
        <v>-0.00182243962337511</v>
      </c>
      <c r="I2710" s="7">
        <v>-11.3090876580156</v>
      </c>
      <c r="J2710" s="7">
        <v>-7.58967274026316</v>
      </c>
      <c r="K2710" s="8"/>
      <c r="L2710" s="8"/>
    </row>
    <row r="2711" ht="13.5" customHeight="1">
      <c r="A2711" s="7" t="s">
        <v>355</v>
      </c>
      <c r="B2711" s="7">
        <v>1.75</v>
      </c>
      <c r="C2711" s="7" t="s">
        <v>356</v>
      </c>
      <c r="D2711" s="7" t="s">
        <v>357</v>
      </c>
      <c r="E2711" s="7">
        <v>-30.6068002597546</v>
      </c>
      <c r="F2711" s="7">
        <v>2.9826988744591</v>
      </c>
      <c r="G2711" s="7">
        <v>4.00101186147362</v>
      </c>
      <c r="H2711" s="7">
        <v>-0.00182349472727121</v>
      </c>
      <c r="I2711" s="7">
        <v>-11.3158824502234</v>
      </c>
      <c r="J2711" s="7">
        <v>-7.59421979221122</v>
      </c>
      <c r="K2711" s="8"/>
      <c r="L2711" s="8"/>
    </row>
    <row r="2712" ht="13.5" customHeight="1">
      <c r="A2712" s="7" t="s">
        <v>355</v>
      </c>
      <c r="B2712" s="7">
        <v>3.5</v>
      </c>
      <c r="C2712" s="7" t="s">
        <v>356</v>
      </c>
      <c r="D2712" s="7" t="s">
        <v>357</v>
      </c>
      <c r="E2712" s="7">
        <v>-30.623656623391</v>
      </c>
      <c r="F2712" s="7">
        <v>2.98440939393962</v>
      </c>
      <c r="G2712" s="7">
        <v>4.00327627705804</v>
      </c>
      <c r="H2712" s="7">
        <v>-0.00182454983116731</v>
      </c>
      <c r="I2712" s="7">
        <v>-11.3226772424312</v>
      </c>
      <c r="J2712" s="7">
        <v>-7.59876684415928</v>
      </c>
      <c r="K2712" s="8"/>
      <c r="L2712" s="8"/>
    </row>
    <row r="2713" ht="13.5" customHeight="1">
      <c r="A2713" s="7" t="s">
        <v>355</v>
      </c>
      <c r="B2713" s="7">
        <v>0.0</v>
      </c>
      <c r="C2713" s="7" t="s">
        <v>358</v>
      </c>
      <c r="D2713" s="7" t="s">
        <v>357</v>
      </c>
      <c r="E2713" s="7">
        <v>-30.6405129870274</v>
      </c>
      <c r="F2713" s="7">
        <v>2.98611991342014</v>
      </c>
      <c r="G2713" s="7">
        <v>4.00554069264246</v>
      </c>
      <c r="H2713" s="7">
        <v>-0.00182560493506341</v>
      </c>
      <c r="I2713" s="7">
        <v>-11.329472034639</v>
      </c>
      <c r="J2713" s="7">
        <v>-7.60331389610734</v>
      </c>
      <c r="K2713" s="8"/>
      <c r="L2713" s="8"/>
    </row>
    <row r="2714" ht="13.5" customHeight="1">
      <c r="A2714" s="7" t="s">
        <v>355</v>
      </c>
      <c r="B2714" s="7">
        <v>1.75</v>
      </c>
      <c r="C2714" s="7" t="s">
        <v>358</v>
      </c>
      <c r="D2714" s="7" t="s">
        <v>357</v>
      </c>
      <c r="E2714" s="7">
        <v>-30.6573693506638</v>
      </c>
      <c r="F2714" s="7">
        <v>2.98783043290066</v>
      </c>
      <c r="G2714" s="7">
        <v>4.00780510822688</v>
      </c>
      <c r="H2714" s="7">
        <v>-0.00182666003895951</v>
      </c>
      <c r="I2714" s="7">
        <v>-11.3362668268468</v>
      </c>
      <c r="J2714" s="7">
        <v>-7.6078609480554</v>
      </c>
      <c r="K2714" s="8"/>
      <c r="L2714" s="8"/>
    </row>
    <row r="2715" ht="13.5" customHeight="1">
      <c r="A2715" s="7" t="s">
        <v>355</v>
      </c>
      <c r="B2715" s="7">
        <v>3.5</v>
      </c>
      <c r="C2715" s="7" t="s">
        <v>358</v>
      </c>
      <c r="D2715" s="7" t="s">
        <v>357</v>
      </c>
      <c r="E2715" s="7">
        <v>-30.6742257143002</v>
      </c>
      <c r="F2715" s="7">
        <v>2.98954095238118</v>
      </c>
      <c r="G2715" s="7">
        <v>4.0100695238113</v>
      </c>
      <c r="H2715" s="7">
        <v>-0.00182771514285561</v>
      </c>
      <c r="I2715" s="7">
        <v>-11.3430616190546</v>
      </c>
      <c r="J2715" s="7">
        <v>-7.61240800000346</v>
      </c>
      <c r="K2715" s="8"/>
      <c r="L2715" s="8"/>
    </row>
    <row r="2716" ht="13.5" customHeight="1">
      <c r="A2716" s="7" t="s">
        <v>355</v>
      </c>
      <c r="B2716" s="7">
        <v>0.0</v>
      </c>
      <c r="C2716" s="7" t="s">
        <v>359</v>
      </c>
      <c r="D2716" s="7" t="s">
        <v>357</v>
      </c>
      <c r="E2716" s="7">
        <v>-30.6910820779366</v>
      </c>
      <c r="F2716" s="7">
        <v>2.9912514718617</v>
      </c>
      <c r="G2716" s="7">
        <v>4.01233393939572</v>
      </c>
      <c r="H2716" s="7">
        <v>-0.00182877024675171</v>
      </c>
      <c r="I2716" s="7">
        <v>-11.3498564112624</v>
      </c>
      <c r="J2716" s="7">
        <v>-7.61695505195152</v>
      </c>
      <c r="K2716" s="8"/>
      <c r="L2716" s="8"/>
    </row>
    <row r="2717" ht="13.5" customHeight="1">
      <c r="A2717" s="7" t="s">
        <v>355</v>
      </c>
      <c r="B2717" s="7">
        <v>1.75</v>
      </c>
      <c r="C2717" s="7" t="s">
        <v>359</v>
      </c>
      <c r="D2717" s="7" t="s">
        <v>357</v>
      </c>
      <c r="E2717" s="7">
        <v>-30.707938441573</v>
      </c>
      <c r="F2717" s="7">
        <v>2.99296199134222</v>
      </c>
      <c r="G2717" s="7">
        <v>4.01459835498014</v>
      </c>
      <c r="H2717" s="7">
        <v>-0.00182982535064781</v>
      </c>
      <c r="I2717" s="7">
        <v>-11.3566512034703</v>
      </c>
      <c r="J2717" s="7">
        <v>-7.62150210389958</v>
      </c>
      <c r="K2717" s="8"/>
      <c r="L2717" s="8"/>
    </row>
    <row r="2718" ht="13.5" customHeight="1">
      <c r="A2718" s="7" t="s">
        <v>355</v>
      </c>
      <c r="B2718" s="7">
        <v>3.5</v>
      </c>
      <c r="C2718" s="7" t="s">
        <v>359</v>
      </c>
      <c r="D2718" s="7" t="s">
        <v>357</v>
      </c>
      <c r="E2718" s="7">
        <v>-30.7247948052094</v>
      </c>
      <c r="F2718" s="7">
        <v>2.99467251082274</v>
      </c>
      <c r="G2718" s="7">
        <v>4.01686277056456</v>
      </c>
      <c r="H2718" s="7">
        <v>-0.00183088045454391</v>
      </c>
      <c r="I2718" s="7">
        <v>-11.3634459956781</v>
      </c>
      <c r="J2718" s="7">
        <v>-7.62604915584764</v>
      </c>
      <c r="K2718" s="8"/>
      <c r="L2718" s="8"/>
    </row>
    <row r="2719" ht="13.5" customHeight="1">
      <c r="A2719" s="7" t="s">
        <v>355</v>
      </c>
      <c r="B2719" s="7">
        <v>0.0</v>
      </c>
      <c r="C2719" s="7" t="s">
        <v>360</v>
      </c>
      <c r="D2719" s="7" t="s">
        <v>357</v>
      </c>
      <c r="E2719" s="7">
        <v>-30.7416511688458</v>
      </c>
      <c r="F2719" s="7">
        <v>2.99638303030326</v>
      </c>
      <c r="G2719" s="7">
        <v>4.01912718614898</v>
      </c>
      <c r="H2719" s="7">
        <v>-0.00183193555844001</v>
      </c>
      <c r="I2719" s="7">
        <v>-11.3702407878859</v>
      </c>
      <c r="J2719" s="7">
        <v>-7.6305962077957</v>
      </c>
      <c r="K2719" s="8"/>
      <c r="L2719" s="8"/>
    </row>
    <row r="2720" ht="13.5" customHeight="1">
      <c r="A2720" s="7" t="s">
        <v>355</v>
      </c>
      <c r="B2720" s="7">
        <v>1.75</v>
      </c>
      <c r="C2720" s="7" t="s">
        <v>360</v>
      </c>
      <c r="D2720" s="7" t="s">
        <v>357</v>
      </c>
      <c r="E2720" s="7">
        <v>-30.7585075324822</v>
      </c>
      <c r="F2720" s="7">
        <v>2.99809354978378</v>
      </c>
      <c r="G2720" s="7">
        <v>4.0213916017334</v>
      </c>
      <c r="H2720" s="7">
        <v>-0.00183299066233611</v>
      </c>
      <c r="I2720" s="7">
        <v>-11.3770355800937</v>
      </c>
      <c r="J2720" s="7">
        <v>-7.63514325974376</v>
      </c>
      <c r="K2720" s="8"/>
      <c r="L2720" s="8"/>
    </row>
    <row r="2721" ht="13.5" customHeight="1">
      <c r="A2721" s="7" t="s">
        <v>355</v>
      </c>
      <c r="B2721" s="7">
        <v>3.5</v>
      </c>
      <c r="C2721" s="7" t="s">
        <v>360</v>
      </c>
      <c r="D2721" s="7" t="s">
        <v>357</v>
      </c>
      <c r="E2721" s="7">
        <v>-30.7753638961186</v>
      </c>
      <c r="F2721" s="7">
        <v>2.9998040692643</v>
      </c>
      <c r="G2721" s="7">
        <v>4.02365601731782</v>
      </c>
      <c r="H2721" s="7">
        <v>-0.00183404576623221</v>
      </c>
      <c r="I2721" s="7">
        <v>-11.3838303723015</v>
      </c>
      <c r="J2721" s="7">
        <v>-7.63969031169182</v>
      </c>
      <c r="K2721" s="8"/>
      <c r="L2721" s="8"/>
    </row>
    <row r="2722" ht="13.5" customHeight="1">
      <c r="A2722" s="7" t="s">
        <v>355</v>
      </c>
      <c r="B2722" s="7">
        <v>0.0</v>
      </c>
      <c r="C2722" s="7" t="s">
        <v>361</v>
      </c>
      <c r="D2722" s="7" t="s">
        <v>357</v>
      </c>
      <c r="E2722" s="7">
        <v>-30.792220259755</v>
      </c>
      <c r="F2722" s="7">
        <v>3.00151458874482</v>
      </c>
      <c r="G2722" s="7">
        <v>4.02592043290224</v>
      </c>
      <c r="H2722" s="7">
        <v>-0.00183510087012831</v>
      </c>
      <c r="I2722" s="7">
        <v>-11.3906251645093</v>
      </c>
      <c r="J2722" s="7">
        <v>-7.64423736363988</v>
      </c>
      <c r="K2722" s="8"/>
      <c r="L2722" s="8"/>
    </row>
    <row r="2723" ht="13.5" customHeight="1">
      <c r="A2723" s="7" t="s">
        <v>355</v>
      </c>
      <c r="B2723" s="7">
        <v>1.75</v>
      </c>
      <c r="C2723" s="7" t="s">
        <v>361</v>
      </c>
      <c r="D2723" s="7" t="s">
        <v>357</v>
      </c>
      <c r="E2723" s="7">
        <v>-30.8090766233914</v>
      </c>
      <c r="F2723" s="7">
        <v>3.00322510822534</v>
      </c>
      <c r="G2723" s="7">
        <v>4.02818484848666</v>
      </c>
      <c r="H2723" s="7">
        <v>-0.00183615597402441</v>
      </c>
      <c r="I2723" s="7">
        <v>-11.3974199567171</v>
      </c>
      <c r="J2723" s="7">
        <v>-7.64878441558794</v>
      </c>
      <c r="K2723" s="8"/>
      <c r="L2723" s="8"/>
    </row>
    <row r="2724" ht="13.5" customHeight="1">
      <c r="A2724" s="7" t="s">
        <v>355</v>
      </c>
      <c r="B2724" s="7">
        <v>3.5</v>
      </c>
      <c r="C2724" s="7" t="s">
        <v>361</v>
      </c>
      <c r="D2724" s="7" t="s">
        <v>357</v>
      </c>
      <c r="E2724" s="7">
        <v>-30.8259329870278</v>
      </c>
      <c r="F2724" s="7">
        <v>3.00493562770586</v>
      </c>
      <c r="G2724" s="7">
        <v>4.03044926407108</v>
      </c>
      <c r="H2724" s="7">
        <v>-0.00183721107792051</v>
      </c>
      <c r="I2724" s="7">
        <v>-11.4042147489249</v>
      </c>
      <c r="J2724" s="7">
        <v>-7.65333146753601</v>
      </c>
      <c r="K2724" s="8"/>
      <c r="L2724" s="8"/>
    </row>
    <row r="2725" ht="13.5" customHeight="1">
      <c r="A2725" s="7" t="s">
        <v>355</v>
      </c>
      <c r="B2725" s="7">
        <v>0.0</v>
      </c>
      <c r="C2725" s="7" t="s">
        <v>362</v>
      </c>
      <c r="D2725" s="7" t="s">
        <v>357</v>
      </c>
      <c r="E2725" s="7">
        <v>-30.8427893506642</v>
      </c>
      <c r="F2725" s="7">
        <v>3.00664614718638</v>
      </c>
      <c r="G2725" s="7">
        <v>4.0327136796555</v>
      </c>
      <c r="H2725" s="7">
        <v>-0.00183826618181661</v>
      </c>
      <c r="I2725" s="7">
        <v>-11.4110095411327</v>
      </c>
      <c r="J2725" s="7">
        <v>-7.65787851948407</v>
      </c>
      <c r="K2725" s="8"/>
      <c r="L2725" s="8"/>
    </row>
    <row r="2726" ht="13.5" customHeight="1">
      <c r="A2726" s="7" t="s">
        <v>355</v>
      </c>
      <c r="B2726" s="7">
        <v>1.75</v>
      </c>
      <c r="C2726" s="7" t="s">
        <v>362</v>
      </c>
      <c r="D2726" s="7" t="s">
        <v>357</v>
      </c>
      <c r="E2726" s="7">
        <v>-30.8596457143006</v>
      </c>
      <c r="F2726" s="7">
        <v>3.0083566666669</v>
      </c>
      <c r="G2726" s="7">
        <v>4.03497809523992</v>
      </c>
      <c r="H2726" s="7">
        <v>-0.00183932128571271</v>
      </c>
      <c r="I2726" s="7">
        <v>-11.4178043333405</v>
      </c>
      <c r="J2726" s="7">
        <v>-7.66242557143213</v>
      </c>
      <c r="K2726" s="8"/>
      <c r="L2726" s="8"/>
    </row>
    <row r="2727" ht="13.5" customHeight="1">
      <c r="A2727" s="7" t="s">
        <v>355</v>
      </c>
      <c r="B2727" s="7">
        <v>3.5</v>
      </c>
      <c r="C2727" s="7" t="s">
        <v>362</v>
      </c>
      <c r="D2727" s="7" t="s">
        <v>357</v>
      </c>
      <c r="E2727" s="7">
        <v>-30.876502077937</v>
      </c>
      <c r="F2727" s="7">
        <v>3.01006718614742</v>
      </c>
      <c r="G2727" s="7">
        <v>4.03724251082434</v>
      </c>
      <c r="H2727" s="7">
        <v>-0.00184037638960881</v>
      </c>
      <c r="I2727" s="7">
        <v>-11.4245991255484</v>
      </c>
      <c r="J2727" s="7">
        <v>-7.66697262338019</v>
      </c>
      <c r="K2727" s="8"/>
      <c r="L2727" s="8"/>
    </row>
    <row r="2728" ht="13.5" customHeight="1">
      <c r="A2728" s="7" t="s">
        <v>355</v>
      </c>
      <c r="B2728" s="7">
        <v>0.0</v>
      </c>
      <c r="C2728" s="7" t="s">
        <v>363</v>
      </c>
      <c r="D2728" s="7" t="s">
        <v>357</v>
      </c>
      <c r="E2728" s="7">
        <v>-30.8933584415734</v>
      </c>
      <c r="F2728" s="7">
        <v>3.01177770562794</v>
      </c>
      <c r="G2728" s="7">
        <v>4.03950692640876</v>
      </c>
      <c r="H2728" s="7">
        <v>-0.00184143149350491</v>
      </c>
      <c r="I2728" s="7">
        <v>-11.4313939177562</v>
      </c>
      <c r="J2728" s="7">
        <v>-7.67151967532825</v>
      </c>
      <c r="K2728" s="8"/>
      <c r="L2728" s="8"/>
    </row>
    <row r="2729" ht="13.5" customHeight="1">
      <c r="A2729" s="7" t="s">
        <v>355</v>
      </c>
      <c r="B2729" s="7">
        <v>1.75</v>
      </c>
      <c r="C2729" s="7" t="s">
        <v>363</v>
      </c>
      <c r="D2729" s="7" t="s">
        <v>357</v>
      </c>
      <c r="E2729" s="7">
        <v>-30.9102148052098</v>
      </c>
      <c r="F2729" s="7">
        <v>3.01348822510846</v>
      </c>
      <c r="G2729" s="7">
        <v>4.04177134199318</v>
      </c>
      <c r="H2729" s="7">
        <v>-0.00184248659740101</v>
      </c>
      <c r="I2729" s="7">
        <v>-11.438188709964</v>
      </c>
      <c r="J2729" s="7">
        <v>-7.67606672727631</v>
      </c>
      <c r="K2729" s="8"/>
      <c r="L2729" s="8"/>
    </row>
    <row r="2730" ht="13.5" customHeight="1">
      <c r="A2730" s="7" t="s">
        <v>355</v>
      </c>
      <c r="B2730" s="7">
        <v>3.5</v>
      </c>
      <c r="C2730" s="7" t="s">
        <v>363</v>
      </c>
      <c r="D2730" s="7" t="s">
        <v>357</v>
      </c>
      <c r="E2730" s="7">
        <v>-30.9270711688462</v>
      </c>
      <c r="F2730" s="7">
        <v>3.01519874458898</v>
      </c>
      <c r="G2730" s="7">
        <v>4.0440357575776</v>
      </c>
      <c r="H2730" s="7">
        <v>-0.00184354170129711</v>
      </c>
      <c r="I2730" s="7">
        <v>-11.4449835021718</v>
      </c>
      <c r="J2730" s="7">
        <v>-7.68061377922437</v>
      </c>
      <c r="K2730" s="8"/>
      <c r="L2730" s="8"/>
    </row>
    <row r="2731" ht="13.5" customHeight="1">
      <c r="A2731" s="7" t="s">
        <v>355</v>
      </c>
      <c r="B2731" s="7">
        <v>0.0</v>
      </c>
      <c r="C2731" s="7" t="s">
        <v>356</v>
      </c>
      <c r="D2731" s="7" t="s">
        <v>357</v>
      </c>
      <c r="E2731" s="7">
        <v>-30.9439275324826</v>
      </c>
      <c r="F2731" s="7">
        <v>3.0169092640695</v>
      </c>
      <c r="G2731" s="7">
        <v>4.04630017316202</v>
      </c>
      <c r="H2731" s="7">
        <v>-0.00184459680519321</v>
      </c>
      <c r="I2731" s="7">
        <v>-11.4517782943796</v>
      </c>
      <c r="J2731" s="7">
        <v>-7.68516083117243</v>
      </c>
      <c r="K2731" s="8"/>
      <c r="L2731" s="8"/>
    </row>
    <row r="2732" ht="13.5" customHeight="1">
      <c r="A2732" s="7" t="s">
        <v>355</v>
      </c>
      <c r="B2732" s="7">
        <v>1.75</v>
      </c>
      <c r="C2732" s="7" t="s">
        <v>356</v>
      </c>
      <c r="D2732" s="7" t="s">
        <v>357</v>
      </c>
      <c r="E2732" s="7">
        <v>-30.960783896119</v>
      </c>
      <c r="F2732" s="7">
        <v>3.01861978355002</v>
      </c>
      <c r="G2732" s="7">
        <v>4.04856458874644</v>
      </c>
      <c r="H2732" s="7">
        <v>-0.00184565190908931</v>
      </c>
      <c r="I2732" s="7">
        <v>-11.4585730865874</v>
      </c>
      <c r="J2732" s="7">
        <v>-7.68970788312049</v>
      </c>
      <c r="K2732" s="8"/>
      <c r="L2732" s="8"/>
    </row>
    <row r="2733" ht="13.5" customHeight="1">
      <c r="A2733" s="7" t="s">
        <v>355</v>
      </c>
      <c r="B2733" s="7">
        <v>3.5</v>
      </c>
      <c r="C2733" s="7" t="s">
        <v>356</v>
      </c>
      <c r="D2733" s="7" t="s">
        <v>357</v>
      </c>
      <c r="E2733" s="7">
        <v>-30.9776402597554</v>
      </c>
      <c r="F2733" s="7">
        <v>3.02033030303054</v>
      </c>
      <c r="G2733" s="7">
        <v>4.05082900433086</v>
      </c>
      <c r="H2733" s="7">
        <v>-0.00184670701298541</v>
      </c>
      <c r="I2733" s="7">
        <v>-11.4653678787952</v>
      </c>
      <c r="J2733" s="7">
        <v>-7.69425493506855</v>
      </c>
      <c r="K2733" s="8"/>
      <c r="L2733" s="8"/>
    </row>
    <row r="2734" ht="13.5" customHeight="1">
      <c r="A2734" s="7" t="s">
        <v>355</v>
      </c>
      <c r="B2734" s="7">
        <v>0.0</v>
      </c>
      <c r="C2734" s="7" t="s">
        <v>358</v>
      </c>
      <c r="D2734" s="7" t="s">
        <v>357</v>
      </c>
      <c r="E2734" s="7">
        <v>-30.9944966233918</v>
      </c>
      <c r="F2734" s="7">
        <v>3.02204082251106</v>
      </c>
      <c r="G2734" s="7">
        <v>4.05309341991528</v>
      </c>
      <c r="H2734" s="7">
        <v>-0.00184776211688151</v>
      </c>
      <c r="I2734" s="7">
        <v>-11.472162671003</v>
      </c>
      <c r="J2734" s="7">
        <v>-7.69880198701661</v>
      </c>
      <c r="K2734" s="8"/>
      <c r="L2734" s="8"/>
    </row>
    <row r="2735" ht="13.5" customHeight="1">
      <c r="A2735" s="7" t="s">
        <v>355</v>
      </c>
      <c r="B2735" s="7">
        <v>1.75</v>
      </c>
      <c r="C2735" s="7" t="s">
        <v>358</v>
      </c>
      <c r="D2735" s="7" t="s">
        <v>357</v>
      </c>
      <c r="E2735" s="7">
        <v>-31.0113529870282</v>
      </c>
      <c r="F2735" s="7">
        <v>3.02375134199158</v>
      </c>
      <c r="G2735" s="7">
        <v>4.0553578354997</v>
      </c>
      <c r="H2735" s="7">
        <v>-0.00184881722077761</v>
      </c>
      <c r="I2735" s="7">
        <v>-11.4789574632108</v>
      </c>
      <c r="J2735" s="7">
        <v>-7.70334903896467</v>
      </c>
      <c r="K2735" s="8"/>
      <c r="L2735" s="8"/>
    </row>
    <row r="2736" ht="13.5" customHeight="1">
      <c r="A2736" s="7" t="s">
        <v>355</v>
      </c>
      <c r="B2736" s="7">
        <v>3.5</v>
      </c>
      <c r="C2736" s="7" t="s">
        <v>358</v>
      </c>
      <c r="D2736" s="7" t="s">
        <v>357</v>
      </c>
      <c r="E2736" s="7">
        <v>-31.0282093506646</v>
      </c>
      <c r="F2736" s="7">
        <v>3.0254618614721</v>
      </c>
      <c r="G2736" s="7">
        <v>4.05762225108412</v>
      </c>
      <c r="H2736" s="7">
        <v>-0.00184987232467371</v>
      </c>
      <c r="I2736" s="7">
        <v>-11.4857522554186</v>
      </c>
      <c r="J2736" s="7">
        <v>-7.70789609091273</v>
      </c>
      <c r="K2736" s="8"/>
      <c r="L2736" s="8"/>
    </row>
    <row r="2737" ht="13.5" customHeight="1">
      <c r="A2737" s="7" t="s">
        <v>355</v>
      </c>
      <c r="B2737" s="7">
        <v>0.0</v>
      </c>
      <c r="C2737" s="7" t="s">
        <v>359</v>
      </c>
      <c r="D2737" s="7" t="s">
        <v>357</v>
      </c>
      <c r="E2737" s="7">
        <v>-31.045065714301</v>
      </c>
      <c r="F2737" s="7">
        <v>3.02717238095262</v>
      </c>
      <c r="G2737" s="7">
        <v>4.05988666666854</v>
      </c>
      <c r="H2737" s="7">
        <v>-0.00185092742856981</v>
      </c>
      <c r="I2737" s="7">
        <v>-11.4925470476265</v>
      </c>
      <c r="J2737" s="7">
        <v>-7.71244314286079</v>
      </c>
      <c r="K2737" s="8"/>
      <c r="L2737" s="8"/>
    </row>
    <row r="2738" ht="13.5" customHeight="1">
      <c r="A2738" s="7" t="s">
        <v>355</v>
      </c>
      <c r="B2738" s="7">
        <v>1.75</v>
      </c>
      <c r="C2738" s="7" t="s">
        <v>359</v>
      </c>
      <c r="D2738" s="7" t="s">
        <v>357</v>
      </c>
      <c r="E2738" s="7">
        <v>-31.0619220779374</v>
      </c>
      <c r="F2738" s="7">
        <v>3.02888290043314</v>
      </c>
      <c r="G2738" s="7">
        <v>4.06215108225296</v>
      </c>
      <c r="H2738" s="7">
        <v>-0.00185198253246591</v>
      </c>
      <c r="I2738" s="7">
        <v>-11.4993418398343</v>
      </c>
      <c r="J2738" s="7">
        <v>-7.71699019480885</v>
      </c>
      <c r="K2738" s="8"/>
      <c r="L2738" s="8"/>
    </row>
    <row r="2739" ht="13.5" customHeight="1">
      <c r="A2739" s="7" t="s">
        <v>355</v>
      </c>
      <c r="B2739" s="7">
        <v>3.5</v>
      </c>
      <c r="C2739" s="7" t="s">
        <v>359</v>
      </c>
      <c r="D2739" s="7" t="s">
        <v>357</v>
      </c>
      <c r="E2739" s="7">
        <v>-31.0787784415738</v>
      </c>
      <c r="F2739" s="7">
        <v>3.03059341991366</v>
      </c>
      <c r="G2739" s="7">
        <v>4.06441549783738</v>
      </c>
      <c r="H2739" s="7">
        <v>-0.00185303763636201</v>
      </c>
      <c r="I2739" s="7">
        <v>-11.5061366320421</v>
      </c>
      <c r="J2739" s="7">
        <v>-7.72153724675691</v>
      </c>
      <c r="K2739" s="8"/>
      <c r="L2739" s="8"/>
    </row>
    <row r="2740" ht="13.5" customHeight="1">
      <c r="A2740" s="7" t="s">
        <v>355</v>
      </c>
      <c r="B2740" s="7">
        <v>0.0</v>
      </c>
      <c r="C2740" s="7" t="s">
        <v>360</v>
      </c>
      <c r="D2740" s="7" t="s">
        <v>357</v>
      </c>
      <c r="E2740" s="7">
        <v>-31.0956348052102</v>
      </c>
      <c r="F2740" s="7">
        <v>3.03230393939418</v>
      </c>
      <c r="G2740" s="7">
        <v>4.0666799134218</v>
      </c>
      <c r="H2740" s="7">
        <v>-0.00185409274025811</v>
      </c>
      <c r="I2740" s="7">
        <v>-11.5129314242499</v>
      </c>
      <c r="J2740" s="7">
        <v>-7.72608429870498</v>
      </c>
      <c r="K2740" s="8"/>
      <c r="L2740" s="8"/>
    </row>
    <row r="2741" ht="13.5" customHeight="1">
      <c r="A2741" s="7" t="s">
        <v>355</v>
      </c>
      <c r="B2741" s="7">
        <v>1.75</v>
      </c>
      <c r="C2741" s="7" t="s">
        <v>360</v>
      </c>
      <c r="D2741" s="7" t="s">
        <v>357</v>
      </c>
      <c r="E2741" s="7">
        <v>-31.1124911688466</v>
      </c>
      <c r="F2741" s="7">
        <v>3.0340144588747</v>
      </c>
      <c r="G2741" s="7">
        <v>4.06894432900622</v>
      </c>
      <c r="H2741" s="7">
        <v>-0.00185514784415421</v>
      </c>
      <c r="I2741" s="7">
        <v>-11.5197262164577</v>
      </c>
      <c r="J2741" s="7">
        <v>-7.73063135065304</v>
      </c>
      <c r="K2741" s="8"/>
      <c r="L2741" s="8"/>
    </row>
    <row r="2742" ht="13.5" customHeight="1">
      <c r="A2742" s="7" t="s">
        <v>355</v>
      </c>
      <c r="B2742" s="7">
        <v>3.5</v>
      </c>
      <c r="C2742" s="7" t="s">
        <v>360</v>
      </c>
      <c r="D2742" s="7" t="s">
        <v>357</v>
      </c>
      <c r="E2742" s="7">
        <v>-31.129347532483</v>
      </c>
      <c r="F2742" s="7">
        <v>3.03572497835522</v>
      </c>
      <c r="G2742" s="7">
        <v>4.07120874459064</v>
      </c>
      <c r="H2742" s="7">
        <v>-0.00185620294805031</v>
      </c>
      <c r="I2742" s="7">
        <v>-11.5265210086655</v>
      </c>
      <c r="J2742" s="7">
        <v>-7.7351784026011</v>
      </c>
      <c r="K2742" s="8"/>
      <c r="L2742" s="8"/>
    </row>
    <row r="2743" ht="13.5" customHeight="1">
      <c r="A2743" s="7" t="s">
        <v>355</v>
      </c>
      <c r="B2743" s="7">
        <v>0.0</v>
      </c>
      <c r="C2743" s="7" t="s">
        <v>361</v>
      </c>
      <c r="D2743" s="7" t="s">
        <v>357</v>
      </c>
      <c r="E2743" s="7">
        <v>-31.1462038961194</v>
      </c>
      <c r="F2743" s="7">
        <v>3.03743549783574</v>
      </c>
      <c r="G2743" s="7">
        <v>4.07347316017506</v>
      </c>
      <c r="H2743" s="7">
        <v>-0.00185725805194641</v>
      </c>
      <c r="I2743" s="7">
        <v>-11.5333158008733</v>
      </c>
      <c r="J2743" s="7">
        <v>-7.73972545454916</v>
      </c>
      <c r="K2743" s="8"/>
      <c r="L2743" s="8"/>
    </row>
    <row r="2744" ht="13.5" customHeight="1">
      <c r="A2744" s="7" t="s">
        <v>355</v>
      </c>
      <c r="B2744" s="7">
        <v>1.75</v>
      </c>
      <c r="C2744" s="7" t="s">
        <v>361</v>
      </c>
      <c r="D2744" s="7" t="s">
        <v>357</v>
      </c>
      <c r="E2744" s="7">
        <v>-31.1630602597558</v>
      </c>
      <c r="F2744" s="7">
        <v>3.03914601731626</v>
      </c>
      <c r="G2744" s="7">
        <v>4.07573757575948</v>
      </c>
      <c r="H2744" s="7">
        <v>-0.00185831315584251</v>
      </c>
      <c r="I2744" s="7">
        <v>-11.5401105930811</v>
      </c>
      <c r="J2744" s="7">
        <v>-7.74427250649722</v>
      </c>
      <c r="K2744" s="8"/>
      <c r="L2744" s="8"/>
    </row>
    <row r="2745" ht="13.5" customHeight="1">
      <c r="A2745" s="7" t="s">
        <v>355</v>
      </c>
      <c r="B2745" s="7">
        <v>3.5</v>
      </c>
      <c r="C2745" s="7" t="s">
        <v>361</v>
      </c>
      <c r="D2745" s="7" t="s">
        <v>357</v>
      </c>
      <c r="E2745" s="7">
        <v>-31.1799166233922</v>
      </c>
      <c r="F2745" s="7">
        <v>3.04085653679679</v>
      </c>
      <c r="G2745" s="7">
        <v>4.0780019913439</v>
      </c>
      <c r="H2745" s="7">
        <v>-0.00185936825973861</v>
      </c>
      <c r="I2745" s="7">
        <v>-11.5469053852889</v>
      </c>
      <c r="J2745" s="7">
        <v>-7.74881955844528</v>
      </c>
      <c r="K2745" s="8"/>
      <c r="L2745" s="8"/>
    </row>
    <row r="2746" ht="13.5" customHeight="1">
      <c r="A2746" s="7" t="s">
        <v>355</v>
      </c>
      <c r="B2746" s="7">
        <v>0.0</v>
      </c>
      <c r="C2746" s="7" t="s">
        <v>362</v>
      </c>
      <c r="D2746" s="7" t="s">
        <v>357</v>
      </c>
      <c r="E2746" s="7">
        <v>-31.1967729870286</v>
      </c>
      <c r="F2746" s="7">
        <v>3.0425670562773</v>
      </c>
      <c r="G2746" s="7">
        <v>4.08026640692832</v>
      </c>
      <c r="H2746" s="7">
        <v>-0.00186042336363471</v>
      </c>
      <c r="I2746" s="7">
        <v>-11.5537001774967</v>
      </c>
      <c r="J2746" s="7">
        <v>-7.75336661039334</v>
      </c>
      <c r="K2746" s="8"/>
      <c r="L2746" s="8"/>
    </row>
    <row r="2747" ht="13.5" customHeight="1">
      <c r="A2747" s="7" t="s">
        <v>355</v>
      </c>
      <c r="B2747" s="7">
        <v>1.75</v>
      </c>
      <c r="C2747" s="7" t="s">
        <v>362</v>
      </c>
      <c r="D2747" s="7" t="s">
        <v>357</v>
      </c>
      <c r="E2747" s="7">
        <v>-31.213629350665</v>
      </c>
      <c r="F2747" s="7">
        <v>3.04427757575782</v>
      </c>
      <c r="G2747" s="7">
        <v>4.08253082251274</v>
      </c>
      <c r="H2747" s="7">
        <v>-0.00186147846753081</v>
      </c>
      <c r="I2747" s="7">
        <v>-11.5604949697046</v>
      </c>
      <c r="J2747" s="7">
        <v>-7.7579136623414</v>
      </c>
      <c r="K2747" s="8"/>
      <c r="L2747" s="8"/>
    </row>
    <row r="2748" ht="13.5" customHeight="1">
      <c r="A2748" s="7" t="s">
        <v>355</v>
      </c>
      <c r="B2748" s="7">
        <v>3.5</v>
      </c>
      <c r="C2748" s="7" t="s">
        <v>362</v>
      </c>
      <c r="D2748" s="7" t="s">
        <v>357</v>
      </c>
      <c r="E2748" s="7">
        <v>-31.2304857143014</v>
      </c>
      <c r="F2748" s="7">
        <v>3.04598809523834</v>
      </c>
      <c r="G2748" s="7">
        <v>4.08479523809716</v>
      </c>
      <c r="H2748" s="7">
        <v>-0.00186253357142691</v>
      </c>
      <c r="I2748" s="7">
        <v>-11.5672897619124</v>
      </c>
      <c r="J2748" s="7">
        <v>-7.76246071428946</v>
      </c>
      <c r="K2748" s="8"/>
      <c r="L2748" s="8"/>
    </row>
    <row r="2749" ht="13.5" customHeight="1">
      <c r="A2749" s="7" t="s">
        <v>355</v>
      </c>
      <c r="B2749" s="7">
        <v>0.0</v>
      </c>
      <c r="C2749" s="7" t="s">
        <v>363</v>
      </c>
      <c r="D2749" s="7" t="s">
        <v>357</v>
      </c>
      <c r="E2749" s="7">
        <v>-31.2473420779378</v>
      </c>
      <c r="F2749" s="7">
        <v>3.04769861471886</v>
      </c>
      <c r="G2749" s="7">
        <v>4.08705965368158</v>
      </c>
      <c r="H2749" s="7">
        <v>-0.00186358867532301</v>
      </c>
      <c r="I2749" s="7">
        <v>-11.5740845541202</v>
      </c>
      <c r="J2749" s="7">
        <v>-7.76700776623752</v>
      </c>
      <c r="K2749" s="8"/>
      <c r="L2749" s="8"/>
    </row>
    <row r="2750" ht="13.5" customHeight="1">
      <c r="A2750" s="7" t="s">
        <v>355</v>
      </c>
      <c r="B2750" s="7">
        <v>1.75</v>
      </c>
      <c r="C2750" s="7" t="s">
        <v>363</v>
      </c>
      <c r="D2750" s="7" t="s">
        <v>357</v>
      </c>
      <c r="E2750" s="7">
        <v>-31.2641984415742</v>
      </c>
      <c r="F2750" s="7">
        <v>3.04940913419938</v>
      </c>
      <c r="G2750" s="7">
        <v>4.089324069266</v>
      </c>
      <c r="H2750" s="7">
        <v>-0.00186464377921912</v>
      </c>
      <c r="I2750" s="7">
        <v>-11.580879346328</v>
      </c>
      <c r="J2750" s="7">
        <v>-7.77155481818558</v>
      </c>
      <c r="K2750" s="8"/>
      <c r="L2750" s="8"/>
    </row>
    <row r="2751" ht="13.5" customHeight="1">
      <c r="A2751" s="7" t="s">
        <v>355</v>
      </c>
      <c r="B2751" s="7">
        <v>3.5</v>
      </c>
      <c r="C2751" s="7" t="s">
        <v>363</v>
      </c>
      <c r="D2751" s="7" t="s">
        <v>357</v>
      </c>
      <c r="E2751" s="7">
        <v>-31.2810548052106</v>
      </c>
      <c r="F2751" s="7">
        <v>3.0511196536799</v>
      </c>
      <c r="G2751" s="7">
        <v>4.09158848485042</v>
      </c>
      <c r="H2751" s="7">
        <v>-0.00186569888311521</v>
      </c>
      <c r="I2751" s="7">
        <v>-11.5876741385358</v>
      </c>
      <c r="J2751" s="7">
        <v>-7.77610187013364</v>
      </c>
      <c r="K2751" s="8"/>
      <c r="L2751" s="8"/>
    </row>
    <row r="2752" ht="13.5" customHeight="1">
      <c r="A2752" s="7" t="s">
        <v>355</v>
      </c>
      <c r="B2752" s="7">
        <v>0.0</v>
      </c>
      <c r="C2752" s="7" t="s">
        <v>356</v>
      </c>
      <c r="D2752" s="7" t="s">
        <v>357</v>
      </c>
      <c r="E2752" s="7">
        <v>-31.297911168847</v>
      </c>
      <c r="F2752" s="7">
        <v>3.05283017316042</v>
      </c>
      <c r="G2752" s="7">
        <v>4.09385290043484</v>
      </c>
      <c r="H2752" s="7">
        <v>-0.00186675398701131</v>
      </c>
      <c r="I2752" s="7">
        <v>-11.5944689307436</v>
      </c>
      <c r="J2752" s="7">
        <v>-7.7806489220817</v>
      </c>
      <c r="K2752" s="8"/>
      <c r="L2752" s="8"/>
    </row>
    <row r="2753" ht="13.5" customHeight="1">
      <c r="A2753" s="7" t="s">
        <v>355</v>
      </c>
      <c r="B2753" s="7">
        <v>1.75</v>
      </c>
      <c r="C2753" s="7" t="s">
        <v>356</v>
      </c>
      <c r="D2753" s="7" t="s">
        <v>357</v>
      </c>
      <c r="E2753" s="7">
        <v>-31.3147675324834</v>
      </c>
      <c r="F2753" s="7">
        <v>3.05454069264094</v>
      </c>
      <c r="G2753" s="7">
        <v>4.09611731601926</v>
      </c>
      <c r="H2753" s="7">
        <v>-0.00186780909090742</v>
      </c>
      <c r="I2753" s="7">
        <v>-11.6012637229514</v>
      </c>
      <c r="J2753" s="7">
        <v>-7.78519597402976</v>
      </c>
      <c r="K2753" s="8"/>
      <c r="L2753" s="8"/>
    </row>
    <row r="2754" ht="13.5" customHeight="1">
      <c r="A2754" s="7" t="s">
        <v>355</v>
      </c>
      <c r="B2754" s="7">
        <v>3.5</v>
      </c>
      <c r="C2754" s="7" t="s">
        <v>356</v>
      </c>
      <c r="D2754" s="7" t="s">
        <v>357</v>
      </c>
      <c r="E2754" s="7">
        <v>-31.3316238961198</v>
      </c>
      <c r="F2754" s="7">
        <v>3.05625121212146</v>
      </c>
      <c r="G2754" s="7">
        <v>4.09838173160368</v>
      </c>
      <c r="H2754" s="7">
        <v>-0.00186886419480351</v>
      </c>
      <c r="I2754" s="7">
        <v>-11.6080585151592</v>
      </c>
      <c r="J2754" s="7">
        <v>-7.78974302597782</v>
      </c>
      <c r="K2754" s="8"/>
      <c r="L2754" s="8"/>
    </row>
    <row r="2755" ht="13.5" customHeight="1">
      <c r="A2755" s="7" t="s">
        <v>355</v>
      </c>
      <c r="B2755" s="7">
        <v>0.0</v>
      </c>
      <c r="C2755" s="7" t="s">
        <v>358</v>
      </c>
      <c r="D2755" s="7" t="s">
        <v>357</v>
      </c>
      <c r="E2755" s="7">
        <v>-31.3484802597562</v>
      </c>
      <c r="F2755" s="7">
        <v>3.05796173160198</v>
      </c>
      <c r="G2755" s="7">
        <v>4.1006461471881</v>
      </c>
      <c r="H2755" s="7">
        <v>-0.00186991929869962</v>
      </c>
      <c r="I2755" s="7">
        <v>-11.614853307367</v>
      </c>
      <c r="J2755" s="7">
        <v>-7.79429007792588</v>
      </c>
      <c r="K2755" s="8"/>
      <c r="L2755" s="8"/>
    </row>
    <row r="2756" ht="13.5" customHeight="1">
      <c r="A2756" s="7" t="s">
        <v>355</v>
      </c>
      <c r="B2756" s="7">
        <v>1.75</v>
      </c>
      <c r="C2756" s="7" t="s">
        <v>358</v>
      </c>
      <c r="D2756" s="7" t="s">
        <v>357</v>
      </c>
      <c r="E2756" s="7">
        <v>-31.3653366233926</v>
      </c>
      <c r="F2756" s="7">
        <v>3.0596722510825</v>
      </c>
      <c r="G2756" s="7">
        <v>4.10291056277252</v>
      </c>
      <c r="H2756" s="7">
        <v>-0.00187097440259571</v>
      </c>
      <c r="I2756" s="7">
        <v>-11.6216480995748</v>
      </c>
      <c r="J2756" s="7">
        <v>-7.79883712987394</v>
      </c>
      <c r="K2756" s="8"/>
      <c r="L2756" s="8"/>
    </row>
    <row r="2757" ht="13.5" customHeight="1">
      <c r="A2757" s="7" t="s">
        <v>355</v>
      </c>
      <c r="B2757" s="7">
        <v>3.5</v>
      </c>
      <c r="C2757" s="7" t="s">
        <v>358</v>
      </c>
      <c r="D2757" s="7" t="s">
        <v>357</v>
      </c>
      <c r="E2757" s="7">
        <v>-31.382192987029</v>
      </c>
      <c r="F2757" s="7">
        <v>3.06138277056302</v>
      </c>
      <c r="G2757" s="7">
        <v>4.10517497835694</v>
      </c>
      <c r="H2757" s="7">
        <v>-0.00187202950649181</v>
      </c>
      <c r="I2757" s="7">
        <v>-11.6284428917827</v>
      </c>
      <c r="J2757" s="7">
        <v>-7.80338418182201</v>
      </c>
      <c r="K2757" s="8"/>
      <c r="L2757" s="8"/>
    </row>
    <row r="2758" ht="13.5" customHeight="1">
      <c r="A2758" s="7" t="s">
        <v>355</v>
      </c>
      <c r="B2758" s="7">
        <v>0.0</v>
      </c>
      <c r="C2758" s="7" t="s">
        <v>359</v>
      </c>
      <c r="D2758" s="7" t="s">
        <v>357</v>
      </c>
      <c r="E2758" s="7">
        <v>-31.3990493506654</v>
      </c>
      <c r="F2758" s="7">
        <v>3.06309329004355</v>
      </c>
      <c r="G2758" s="7">
        <v>4.10743939394136</v>
      </c>
      <c r="H2758" s="7">
        <v>-0.00187308461038792</v>
      </c>
      <c r="I2758" s="7">
        <v>-11.6352376839905</v>
      </c>
      <c r="J2758" s="7">
        <v>-7.80793123377007</v>
      </c>
      <c r="K2758" s="8"/>
      <c r="L2758" s="8"/>
    </row>
    <row r="2759" ht="13.5" customHeight="1">
      <c r="A2759" s="7" t="s">
        <v>355</v>
      </c>
      <c r="B2759" s="7">
        <v>1.75</v>
      </c>
      <c r="C2759" s="7" t="s">
        <v>359</v>
      </c>
      <c r="D2759" s="7" t="s">
        <v>357</v>
      </c>
      <c r="E2759" s="7">
        <v>-31.4159057143018</v>
      </c>
      <c r="F2759" s="7">
        <v>3.06480380952407</v>
      </c>
      <c r="G2759" s="7">
        <v>4.10970380952578</v>
      </c>
      <c r="H2759" s="7">
        <v>-0.00187413971428401</v>
      </c>
      <c r="I2759" s="7">
        <v>-11.6420324761983</v>
      </c>
      <c r="J2759" s="7">
        <v>-7.81247828571813</v>
      </c>
      <c r="K2759" s="8"/>
      <c r="L2759" s="8"/>
    </row>
    <row r="2760" ht="13.5" customHeight="1">
      <c r="A2760" s="7" t="s">
        <v>355</v>
      </c>
      <c r="B2760" s="7">
        <v>3.5</v>
      </c>
      <c r="C2760" s="7" t="s">
        <v>359</v>
      </c>
      <c r="D2760" s="7" t="s">
        <v>357</v>
      </c>
      <c r="E2760" s="7">
        <v>-31.4327620779382</v>
      </c>
      <c r="F2760" s="7">
        <v>3.06651432900459</v>
      </c>
      <c r="G2760" s="7">
        <v>4.1119682251102</v>
      </c>
      <c r="H2760" s="7">
        <v>-0.00187519481818011</v>
      </c>
      <c r="I2760" s="7">
        <v>-11.6488272684061</v>
      </c>
      <c r="J2760" s="7">
        <v>-7.81702533766619</v>
      </c>
      <c r="K2760" s="8"/>
      <c r="L2760" s="8"/>
    </row>
    <row r="2761" ht="13.5" customHeight="1">
      <c r="A2761" s="7" t="s">
        <v>355</v>
      </c>
      <c r="B2761" s="7">
        <v>0.0</v>
      </c>
      <c r="C2761" s="7" t="s">
        <v>360</v>
      </c>
      <c r="D2761" s="7" t="s">
        <v>357</v>
      </c>
      <c r="E2761" s="7">
        <v>-31.4496184415746</v>
      </c>
      <c r="F2761" s="7">
        <v>3.06822484848511</v>
      </c>
      <c r="G2761" s="7">
        <v>4.11423264069462</v>
      </c>
      <c r="H2761" s="7">
        <v>-0.00187624992207622</v>
      </c>
      <c r="I2761" s="7">
        <v>-11.6556220606139</v>
      </c>
      <c r="J2761" s="7">
        <v>-7.82157238961425</v>
      </c>
      <c r="K2761" s="8"/>
      <c r="L2761" s="8"/>
    </row>
    <row r="2762" ht="13.5" customHeight="1">
      <c r="A2762" s="7" t="s">
        <v>355</v>
      </c>
      <c r="B2762" s="7">
        <v>1.75</v>
      </c>
      <c r="C2762" s="7" t="s">
        <v>360</v>
      </c>
      <c r="D2762" s="7" t="s">
        <v>357</v>
      </c>
      <c r="E2762" s="7">
        <v>-31.466474805211</v>
      </c>
      <c r="F2762" s="7">
        <v>3.06993536796562</v>
      </c>
      <c r="G2762" s="7">
        <v>4.11649705627904</v>
      </c>
      <c r="H2762" s="7">
        <v>-0.00187730502597232</v>
      </c>
      <c r="I2762" s="7">
        <v>-11.6624168528217</v>
      </c>
      <c r="J2762" s="7">
        <v>-7.82611944156231</v>
      </c>
      <c r="K2762" s="8"/>
      <c r="L2762" s="8"/>
    </row>
    <row r="2763" ht="13.5" customHeight="1">
      <c r="A2763" s="7" t="s">
        <v>355</v>
      </c>
      <c r="B2763" s="7">
        <v>3.5</v>
      </c>
      <c r="C2763" s="7" t="s">
        <v>360</v>
      </c>
      <c r="D2763" s="7" t="s">
        <v>357</v>
      </c>
      <c r="E2763" s="7">
        <v>-31.4833311688474</v>
      </c>
      <c r="F2763" s="7">
        <v>3.07164588744614</v>
      </c>
      <c r="G2763" s="7">
        <v>4.11876147186346</v>
      </c>
      <c r="H2763" s="7">
        <v>-0.00187836012986842</v>
      </c>
      <c r="I2763" s="7">
        <v>-11.6692116450295</v>
      </c>
      <c r="J2763" s="7">
        <v>-7.83066649351037</v>
      </c>
      <c r="K2763" s="8"/>
      <c r="L2763" s="8"/>
    </row>
    <row r="2764" ht="13.5" customHeight="1">
      <c r="A2764" s="7" t="s">
        <v>355</v>
      </c>
      <c r="B2764" s="7">
        <v>0.0</v>
      </c>
      <c r="C2764" s="7" t="s">
        <v>361</v>
      </c>
      <c r="D2764" s="7" t="s">
        <v>357</v>
      </c>
      <c r="E2764" s="7">
        <v>-31.5001875324838</v>
      </c>
      <c r="F2764" s="7">
        <v>3.07335640692666</v>
      </c>
      <c r="G2764" s="7">
        <v>4.12102588744788</v>
      </c>
      <c r="H2764" s="7">
        <v>-0.00187941523376452</v>
      </c>
      <c r="I2764" s="7">
        <v>-11.6760064372373</v>
      </c>
      <c r="J2764" s="7">
        <v>-7.83521354545843</v>
      </c>
      <c r="K2764" s="8"/>
      <c r="L2764" s="8"/>
    </row>
    <row r="2765" ht="13.5" customHeight="1">
      <c r="A2765" s="7" t="s">
        <v>355</v>
      </c>
      <c r="B2765" s="7">
        <v>1.75</v>
      </c>
      <c r="C2765" s="7" t="s">
        <v>361</v>
      </c>
      <c r="D2765" s="7" t="s">
        <v>357</v>
      </c>
      <c r="E2765" s="7">
        <v>-31.5170438961202</v>
      </c>
      <c r="F2765" s="7">
        <v>3.07506692640718</v>
      </c>
      <c r="G2765" s="7">
        <v>4.1232903030323</v>
      </c>
      <c r="H2765" s="7">
        <v>-0.00188047033766062</v>
      </c>
      <c r="I2765" s="7">
        <v>-11.6828012294451</v>
      </c>
      <c r="J2765" s="7">
        <v>-7.83976059740649</v>
      </c>
      <c r="K2765" s="8"/>
      <c r="L2765" s="8"/>
    </row>
    <row r="2766" ht="13.5" customHeight="1">
      <c r="A2766" s="7" t="s">
        <v>355</v>
      </c>
      <c r="B2766" s="7">
        <v>3.5</v>
      </c>
      <c r="C2766" s="7" t="s">
        <v>361</v>
      </c>
      <c r="D2766" s="7" t="s">
        <v>357</v>
      </c>
      <c r="E2766" s="7">
        <v>-31.5339002597566</v>
      </c>
      <c r="F2766" s="7">
        <v>3.0767774458877</v>
      </c>
      <c r="G2766" s="7">
        <v>4.12555471861672</v>
      </c>
      <c r="H2766" s="7">
        <v>-0.00188152544155672</v>
      </c>
      <c r="I2766" s="7">
        <v>-11.6895960216529</v>
      </c>
      <c r="J2766" s="7">
        <v>-7.84430764935455</v>
      </c>
      <c r="K2766" s="8"/>
      <c r="L2766" s="8"/>
    </row>
    <row r="2767" ht="13.5" customHeight="1">
      <c r="A2767" s="7" t="s">
        <v>355</v>
      </c>
      <c r="B2767" s="7">
        <v>0.0</v>
      </c>
      <c r="C2767" s="7" t="s">
        <v>362</v>
      </c>
      <c r="D2767" s="7" t="s">
        <v>357</v>
      </c>
      <c r="E2767" s="7">
        <v>-31.550756623393</v>
      </c>
      <c r="F2767" s="7">
        <v>3.07848796536822</v>
      </c>
      <c r="G2767" s="7">
        <v>4.12781913420114</v>
      </c>
      <c r="H2767" s="7">
        <v>-0.00188258054545282</v>
      </c>
      <c r="I2767" s="7">
        <v>-11.6963908138607</v>
      </c>
      <c r="J2767" s="7">
        <v>-7.84885470130261</v>
      </c>
      <c r="K2767" s="8"/>
      <c r="L2767" s="8"/>
    </row>
    <row r="2768" ht="13.5" customHeight="1">
      <c r="A2768" s="7" t="s">
        <v>355</v>
      </c>
      <c r="B2768" s="7">
        <v>1.75</v>
      </c>
      <c r="C2768" s="7" t="s">
        <v>362</v>
      </c>
      <c r="D2768" s="7" t="s">
        <v>357</v>
      </c>
      <c r="E2768" s="7">
        <v>-31.5676129870294</v>
      </c>
      <c r="F2768" s="7">
        <v>3.08019848484874</v>
      </c>
      <c r="G2768" s="7">
        <v>4.13008354978556</v>
      </c>
      <c r="H2768" s="7">
        <v>-0.00188363564934892</v>
      </c>
      <c r="I2768" s="7">
        <v>-11.7031856060686</v>
      </c>
      <c r="J2768" s="7">
        <v>-7.85340175325067</v>
      </c>
      <c r="K2768" s="8"/>
      <c r="L2768" s="8"/>
    </row>
    <row r="2769" ht="13.5" customHeight="1">
      <c r="A2769" s="7" t="s">
        <v>355</v>
      </c>
      <c r="B2769" s="7">
        <v>3.5</v>
      </c>
      <c r="C2769" s="7" t="s">
        <v>362</v>
      </c>
      <c r="D2769" s="7" t="s">
        <v>357</v>
      </c>
      <c r="E2769" s="7">
        <v>-31.5844693506658</v>
      </c>
      <c r="F2769" s="7">
        <v>3.08190900432927</v>
      </c>
      <c r="G2769" s="7">
        <v>4.13234796536998</v>
      </c>
      <c r="H2769" s="7">
        <v>-0.00188469075324502</v>
      </c>
      <c r="I2769" s="7">
        <v>-11.7099803982764</v>
      </c>
      <c r="J2769" s="7">
        <v>-7.85794880519873</v>
      </c>
      <c r="K2769" s="8"/>
      <c r="L2769" s="8"/>
    </row>
    <row r="2770" ht="13.5" customHeight="1">
      <c r="A2770" s="7" t="s">
        <v>355</v>
      </c>
      <c r="B2770" s="7">
        <v>0.0</v>
      </c>
      <c r="C2770" s="7" t="s">
        <v>363</v>
      </c>
      <c r="D2770" s="7" t="s">
        <v>357</v>
      </c>
      <c r="E2770" s="7">
        <v>-31.6013257143022</v>
      </c>
      <c r="F2770" s="7">
        <v>3.08361952380979</v>
      </c>
      <c r="G2770" s="7">
        <v>4.1346123809544</v>
      </c>
      <c r="H2770" s="7">
        <v>-0.00188574585714112</v>
      </c>
      <c r="I2770" s="7">
        <v>-11.7167751904842</v>
      </c>
      <c r="J2770" s="7">
        <v>-7.86249585714679</v>
      </c>
      <c r="K2770" s="8"/>
      <c r="L2770" s="8"/>
    </row>
    <row r="2771" ht="13.5" customHeight="1">
      <c r="A2771" s="7" t="s">
        <v>355</v>
      </c>
      <c r="B2771" s="7">
        <v>1.75</v>
      </c>
      <c r="C2771" s="7" t="s">
        <v>363</v>
      </c>
      <c r="D2771" s="7" t="s">
        <v>357</v>
      </c>
      <c r="E2771" s="7">
        <v>-31.6181820779386</v>
      </c>
      <c r="F2771" s="7">
        <v>3.08533004329031</v>
      </c>
      <c r="G2771" s="7">
        <v>4.13687679653882</v>
      </c>
      <c r="H2771" s="7">
        <v>-0.00188680096103722</v>
      </c>
      <c r="I2771" s="7">
        <v>-11.723569982692</v>
      </c>
      <c r="J2771" s="7">
        <v>-7.86704290909485</v>
      </c>
      <c r="K2771" s="8"/>
      <c r="L2771" s="8"/>
    </row>
    <row r="2772" ht="13.5" customHeight="1">
      <c r="A2772" s="7" t="s">
        <v>355</v>
      </c>
      <c r="B2772" s="7">
        <v>3.5</v>
      </c>
      <c r="C2772" s="7" t="s">
        <v>363</v>
      </c>
      <c r="D2772" s="7" t="s">
        <v>357</v>
      </c>
      <c r="E2772" s="7">
        <v>-31.635038441575</v>
      </c>
      <c r="F2772" s="7">
        <v>3.08704056277083</v>
      </c>
      <c r="G2772" s="7">
        <v>4.13914121212324</v>
      </c>
      <c r="H2772" s="7">
        <v>-0.00188785606493332</v>
      </c>
      <c r="I2772" s="7">
        <v>-11.7303647748998</v>
      </c>
      <c r="J2772" s="7">
        <v>-7.87158996104291</v>
      </c>
      <c r="K2772" s="8"/>
      <c r="L2772" s="8"/>
    </row>
    <row r="2773" ht="13.5" customHeight="1">
      <c r="A2773" s="7" t="s">
        <v>355</v>
      </c>
      <c r="B2773" s="7">
        <v>0.0</v>
      </c>
      <c r="C2773" s="7" t="s">
        <v>356</v>
      </c>
      <c r="D2773" s="7" t="s">
        <v>357</v>
      </c>
      <c r="E2773" s="7">
        <v>-31.6518948052114</v>
      </c>
      <c r="F2773" s="7">
        <v>3.08875108225135</v>
      </c>
      <c r="G2773" s="7">
        <v>4.14140562770766</v>
      </c>
      <c r="H2773" s="7">
        <v>-0.00188891116882942</v>
      </c>
      <c r="I2773" s="7">
        <v>-11.7371595671076</v>
      </c>
      <c r="J2773" s="7">
        <v>-7.87613701299097</v>
      </c>
      <c r="K2773" s="8"/>
      <c r="L2773" s="8"/>
    </row>
    <row r="2774" ht="13.5" customHeight="1">
      <c r="A2774" s="7" t="s">
        <v>355</v>
      </c>
      <c r="B2774" s="7">
        <v>1.75</v>
      </c>
      <c r="C2774" s="7" t="s">
        <v>356</v>
      </c>
      <c r="D2774" s="7" t="s">
        <v>357</v>
      </c>
      <c r="E2774" s="7">
        <v>-31.6687511688478</v>
      </c>
      <c r="F2774" s="7">
        <v>3.09046160173187</v>
      </c>
      <c r="G2774" s="7">
        <v>4.14367004329208</v>
      </c>
      <c r="H2774" s="7">
        <v>-0.00188996627272552</v>
      </c>
      <c r="I2774" s="7">
        <v>-11.7439543593154</v>
      </c>
      <c r="J2774" s="7">
        <v>-7.88068406493904</v>
      </c>
      <c r="K2774" s="8"/>
      <c r="L2774" s="8"/>
    </row>
    <row r="2775" ht="13.5" customHeight="1">
      <c r="A2775" s="7" t="s">
        <v>355</v>
      </c>
      <c r="B2775" s="7">
        <v>3.5</v>
      </c>
      <c r="C2775" s="7" t="s">
        <v>356</v>
      </c>
      <c r="D2775" s="7" t="s">
        <v>357</v>
      </c>
      <c r="E2775" s="7">
        <v>-31.6856075324842</v>
      </c>
      <c r="F2775" s="7">
        <v>3.09217212121239</v>
      </c>
      <c r="G2775" s="7">
        <v>4.1459344588765</v>
      </c>
      <c r="H2775" s="7">
        <v>-0.00189102137662162</v>
      </c>
      <c r="I2775" s="7">
        <v>-11.7507491515232</v>
      </c>
      <c r="J2775" s="7">
        <v>-7.8852311168871</v>
      </c>
      <c r="K2775" s="8"/>
      <c r="L2775" s="8"/>
    </row>
    <row r="2776" ht="13.5" customHeight="1">
      <c r="A2776" s="7" t="s">
        <v>355</v>
      </c>
      <c r="B2776" s="7">
        <v>0.0</v>
      </c>
      <c r="C2776" s="7" t="s">
        <v>358</v>
      </c>
      <c r="D2776" s="7" t="s">
        <v>357</v>
      </c>
      <c r="E2776" s="7">
        <v>-31.7024638961206</v>
      </c>
      <c r="F2776" s="7">
        <v>3.09388264069291</v>
      </c>
      <c r="G2776" s="7">
        <v>4.14819887446092</v>
      </c>
      <c r="H2776" s="7">
        <v>-0.00189207648051772</v>
      </c>
      <c r="I2776" s="7">
        <v>-11.757543943731</v>
      </c>
      <c r="J2776" s="7">
        <v>-7.88977816883516</v>
      </c>
      <c r="K2776" s="8"/>
      <c r="L2776" s="8"/>
    </row>
    <row r="2777" ht="13.5" customHeight="1">
      <c r="A2777" s="7" t="s">
        <v>355</v>
      </c>
      <c r="B2777" s="7">
        <v>1.75</v>
      </c>
      <c r="C2777" s="7" t="s">
        <v>358</v>
      </c>
      <c r="D2777" s="7" t="s">
        <v>357</v>
      </c>
      <c r="E2777" s="7">
        <v>-31.719320259757</v>
      </c>
      <c r="F2777" s="7">
        <v>3.09559316017343</v>
      </c>
      <c r="G2777" s="7">
        <v>4.15046329004534</v>
      </c>
      <c r="H2777" s="7">
        <v>-0.00189313158441382</v>
      </c>
      <c r="I2777" s="7">
        <v>-11.7643387359388</v>
      </c>
      <c r="J2777" s="7">
        <v>-7.89432522078322</v>
      </c>
      <c r="K2777" s="8"/>
      <c r="L2777" s="8"/>
    </row>
    <row r="2778" ht="13.5" customHeight="1">
      <c r="A2778" s="7" t="s">
        <v>355</v>
      </c>
      <c r="B2778" s="7">
        <v>3.5</v>
      </c>
      <c r="C2778" s="7" t="s">
        <v>358</v>
      </c>
      <c r="D2778" s="7" t="s">
        <v>357</v>
      </c>
      <c r="E2778" s="7">
        <v>-31.7361766233934</v>
      </c>
      <c r="F2778" s="7">
        <v>3.09730367965395</v>
      </c>
      <c r="G2778" s="7">
        <v>4.15272770562976</v>
      </c>
      <c r="H2778" s="7">
        <v>-0.00189418668830992</v>
      </c>
      <c r="I2778" s="7">
        <v>-11.7711335281467</v>
      </c>
      <c r="J2778" s="7">
        <v>-7.89887227273128</v>
      </c>
      <c r="K2778" s="8"/>
      <c r="L2778" s="8"/>
    </row>
    <row r="2779" ht="13.5" customHeight="1">
      <c r="A2779" s="7" t="s">
        <v>355</v>
      </c>
      <c r="B2779" s="7">
        <v>0.0</v>
      </c>
      <c r="C2779" s="7" t="s">
        <v>359</v>
      </c>
      <c r="D2779" s="7" t="s">
        <v>357</v>
      </c>
      <c r="E2779" s="7">
        <v>-31.7530329870298</v>
      </c>
      <c r="F2779" s="7">
        <v>3.09901419913447</v>
      </c>
      <c r="G2779" s="7">
        <v>4.15499212121418</v>
      </c>
      <c r="H2779" s="7">
        <v>-0.00189524179220602</v>
      </c>
      <c r="I2779" s="7">
        <v>-11.7779283203545</v>
      </c>
      <c r="J2779" s="7">
        <v>-7.90341932467934</v>
      </c>
      <c r="K2779" s="8"/>
      <c r="L2779" s="8"/>
    </row>
    <row r="2780" ht="13.5" customHeight="1">
      <c r="A2780" s="7" t="s">
        <v>355</v>
      </c>
      <c r="B2780" s="7">
        <v>1.75</v>
      </c>
      <c r="C2780" s="7" t="s">
        <v>359</v>
      </c>
      <c r="D2780" s="7" t="s">
        <v>357</v>
      </c>
      <c r="E2780" s="7">
        <v>-31.7698893506662</v>
      </c>
      <c r="F2780" s="7">
        <v>3.10072471861499</v>
      </c>
      <c r="G2780" s="7">
        <v>4.1572565367986</v>
      </c>
      <c r="H2780" s="7">
        <v>-0.00189629689610212</v>
      </c>
      <c r="I2780" s="7">
        <v>-11.7847231125623</v>
      </c>
      <c r="J2780" s="7">
        <v>-7.9079663766274</v>
      </c>
      <c r="K2780" s="8"/>
      <c r="L2780" s="8"/>
    </row>
    <row r="2781" ht="13.5" customHeight="1">
      <c r="A2781" s="7" t="s">
        <v>355</v>
      </c>
      <c r="B2781" s="7">
        <v>3.5</v>
      </c>
      <c r="C2781" s="7" t="s">
        <v>359</v>
      </c>
      <c r="D2781" s="7" t="s">
        <v>357</v>
      </c>
      <c r="E2781" s="7">
        <v>-31.7867457143026</v>
      </c>
      <c r="F2781" s="7">
        <v>3.10243523809551</v>
      </c>
      <c r="G2781" s="7">
        <v>4.15952095238302</v>
      </c>
      <c r="H2781" s="7">
        <v>-0.00189735199999822</v>
      </c>
      <c r="I2781" s="7">
        <v>-11.7915179047701</v>
      </c>
      <c r="J2781" s="7">
        <v>-7.91251342857546</v>
      </c>
      <c r="K2781" s="8"/>
      <c r="L2781" s="8"/>
    </row>
    <row r="2782" ht="13.5" customHeight="1">
      <c r="A2782" s="7" t="s">
        <v>355</v>
      </c>
      <c r="B2782" s="7">
        <v>0.0</v>
      </c>
      <c r="C2782" s="7" t="s">
        <v>360</v>
      </c>
      <c r="D2782" s="7" t="s">
        <v>357</v>
      </c>
      <c r="E2782" s="7">
        <v>-31.803602077939</v>
      </c>
      <c r="F2782" s="7">
        <v>3.10414575757603</v>
      </c>
      <c r="G2782" s="7">
        <v>4.16178536796744</v>
      </c>
      <c r="H2782" s="7">
        <v>-0.00189840710389432</v>
      </c>
      <c r="I2782" s="7">
        <v>-11.7983126969779</v>
      </c>
      <c r="J2782" s="7">
        <v>-7.91706048052352</v>
      </c>
      <c r="K2782" s="8"/>
      <c r="L2782" s="8"/>
    </row>
    <row r="2783" ht="13.5" customHeight="1">
      <c r="A2783" s="7" t="s">
        <v>355</v>
      </c>
      <c r="B2783" s="7">
        <v>1.75</v>
      </c>
      <c r="C2783" s="7" t="s">
        <v>360</v>
      </c>
      <c r="D2783" s="7" t="s">
        <v>357</v>
      </c>
      <c r="E2783" s="7">
        <v>-31.8204584415754</v>
      </c>
      <c r="F2783" s="7">
        <v>3.10585627705655</v>
      </c>
      <c r="G2783" s="7">
        <v>4.16404978355187</v>
      </c>
      <c r="H2783" s="7">
        <v>-0.00189946220779042</v>
      </c>
      <c r="I2783" s="7">
        <v>-11.8051074891857</v>
      </c>
      <c r="J2783" s="7">
        <v>-7.92160753247158</v>
      </c>
      <c r="K2783" s="8"/>
      <c r="L2783" s="8"/>
    </row>
    <row r="2784" ht="13.5" customHeight="1">
      <c r="A2784" s="7" t="s">
        <v>355</v>
      </c>
      <c r="B2784" s="7">
        <v>3.5</v>
      </c>
      <c r="C2784" s="7" t="s">
        <v>360</v>
      </c>
      <c r="D2784" s="7" t="s">
        <v>357</v>
      </c>
      <c r="E2784" s="7">
        <v>-31.8373148052118</v>
      </c>
      <c r="F2784" s="7">
        <v>3.10756679653707</v>
      </c>
      <c r="G2784" s="7">
        <v>4.16631419913629</v>
      </c>
      <c r="H2784" s="7">
        <v>-0.00190051731168652</v>
      </c>
      <c r="I2784" s="7">
        <v>-11.8119022813935</v>
      </c>
      <c r="J2784" s="7">
        <v>-7.92615458441964</v>
      </c>
      <c r="K2784" s="8"/>
      <c r="L2784" s="8"/>
    </row>
    <row r="2785" ht="13.5" customHeight="1">
      <c r="A2785" s="7" t="s">
        <v>355</v>
      </c>
      <c r="B2785" s="7">
        <v>0.0</v>
      </c>
      <c r="C2785" s="7" t="s">
        <v>361</v>
      </c>
      <c r="D2785" s="7" t="s">
        <v>357</v>
      </c>
      <c r="E2785" s="7">
        <v>-31.8541711688482</v>
      </c>
      <c r="F2785" s="7">
        <v>3.10927731601759</v>
      </c>
      <c r="G2785" s="7">
        <v>4.16857861472071</v>
      </c>
      <c r="H2785" s="7">
        <v>-0.00190157241558262</v>
      </c>
      <c r="I2785" s="7">
        <v>-11.8186970736013</v>
      </c>
      <c r="J2785" s="7">
        <v>-7.9307016363677</v>
      </c>
      <c r="K2785" s="8"/>
      <c r="L2785" s="8"/>
    </row>
    <row r="2786" ht="13.5" customHeight="1">
      <c r="A2786" s="7" t="s">
        <v>355</v>
      </c>
      <c r="B2786" s="7">
        <v>1.75</v>
      </c>
      <c r="C2786" s="7" t="s">
        <v>361</v>
      </c>
      <c r="D2786" s="7" t="s">
        <v>357</v>
      </c>
      <c r="E2786" s="7">
        <v>-31.8710275324846</v>
      </c>
      <c r="F2786" s="7">
        <v>3.11098783549811</v>
      </c>
      <c r="G2786" s="7">
        <v>4.17084303030513</v>
      </c>
      <c r="H2786" s="7">
        <v>-0.00190262751947872</v>
      </c>
      <c r="I2786" s="7">
        <v>-11.8254918658091</v>
      </c>
      <c r="J2786" s="7">
        <v>-7.93524868831576</v>
      </c>
      <c r="K2786" s="8"/>
      <c r="L2786" s="8"/>
    </row>
    <row r="2787" ht="13.5" customHeight="1">
      <c r="A2787" s="7" t="s">
        <v>355</v>
      </c>
      <c r="B2787" s="7">
        <v>3.5</v>
      </c>
      <c r="C2787" s="7" t="s">
        <v>361</v>
      </c>
      <c r="D2787" s="7" t="s">
        <v>357</v>
      </c>
      <c r="E2787" s="7">
        <v>-31.887883896121</v>
      </c>
      <c r="F2787" s="7">
        <v>3.11269835497863</v>
      </c>
      <c r="G2787" s="7">
        <v>4.17310744588955</v>
      </c>
      <c r="H2787" s="7">
        <v>-0.00190368262337482</v>
      </c>
      <c r="I2787" s="7">
        <v>-11.8322866580169</v>
      </c>
      <c r="J2787" s="7">
        <v>-7.93979574026382</v>
      </c>
      <c r="K2787" s="8"/>
      <c r="L2787" s="8"/>
    </row>
    <row r="2788" ht="13.5" customHeight="1">
      <c r="A2788" s="7" t="s">
        <v>355</v>
      </c>
      <c r="B2788" s="7">
        <v>0.0</v>
      </c>
      <c r="C2788" s="7" t="s">
        <v>362</v>
      </c>
      <c r="D2788" s="7" t="s">
        <v>357</v>
      </c>
      <c r="E2788" s="7">
        <v>-31.9047402597574</v>
      </c>
      <c r="F2788" s="7">
        <v>3.11440887445915</v>
      </c>
      <c r="G2788" s="7">
        <v>4.17537186147397</v>
      </c>
      <c r="H2788" s="7">
        <v>-0.00190473772727092</v>
      </c>
      <c r="I2788" s="7">
        <v>-11.8390814502248</v>
      </c>
      <c r="J2788" s="7">
        <v>-7.94434279221188</v>
      </c>
      <c r="K2788" s="8"/>
      <c r="L2788" s="8"/>
    </row>
    <row r="2789" ht="13.5" customHeight="1">
      <c r="A2789" s="7" t="s">
        <v>355</v>
      </c>
      <c r="B2789" s="7">
        <v>1.75</v>
      </c>
      <c r="C2789" s="7" t="s">
        <v>362</v>
      </c>
      <c r="D2789" s="7" t="s">
        <v>357</v>
      </c>
      <c r="E2789" s="7">
        <v>-31.9215966233938</v>
      </c>
      <c r="F2789" s="7">
        <v>3.11611939393967</v>
      </c>
      <c r="G2789" s="7">
        <v>4.17763627705839</v>
      </c>
      <c r="H2789" s="7">
        <v>-0.00190579283116702</v>
      </c>
      <c r="I2789" s="7">
        <v>-11.8458762424326</v>
      </c>
      <c r="J2789" s="7">
        <v>-7.94888984415994</v>
      </c>
      <c r="K2789" s="8"/>
      <c r="L2789" s="8"/>
    </row>
    <row r="2790" ht="13.5" customHeight="1">
      <c r="A2790" s="7" t="s">
        <v>355</v>
      </c>
      <c r="B2790" s="7">
        <v>3.5</v>
      </c>
      <c r="C2790" s="7" t="s">
        <v>362</v>
      </c>
      <c r="D2790" s="7" t="s">
        <v>357</v>
      </c>
      <c r="E2790" s="7">
        <v>-31.9384529870302</v>
      </c>
      <c r="F2790" s="7">
        <v>3.11782991342019</v>
      </c>
      <c r="G2790" s="7">
        <v>4.17990069264281</v>
      </c>
      <c r="H2790" s="7">
        <v>-0.00190684793506312</v>
      </c>
      <c r="I2790" s="7">
        <v>-11.8526710346404</v>
      </c>
      <c r="J2790" s="7">
        <v>-7.953436896108</v>
      </c>
      <c r="K2790" s="8"/>
      <c r="L2790" s="8"/>
    </row>
    <row r="2791" ht="13.5" customHeight="1">
      <c r="A2791" s="7" t="s">
        <v>355</v>
      </c>
      <c r="B2791" s="7">
        <v>0.0</v>
      </c>
      <c r="C2791" s="7" t="s">
        <v>363</v>
      </c>
      <c r="D2791" s="7" t="s">
        <v>357</v>
      </c>
      <c r="E2791" s="7">
        <v>-31.9553093506666</v>
      </c>
      <c r="F2791" s="7">
        <v>3.11954043290071</v>
      </c>
      <c r="G2791" s="7">
        <v>4.18216510822723</v>
      </c>
      <c r="H2791" s="7">
        <v>-0.00190790303895922</v>
      </c>
      <c r="I2791" s="7">
        <v>-11.8594658268482</v>
      </c>
      <c r="J2791" s="7">
        <v>-7.95798394805607</v>
      </c>
      <c r="K2791" s="8"/>
      <c r="L2791" s="8"/>
    </row>
    <row r="2792" ht="13.5" customHeight="1">
      <c r="A2792" s="7" t="s">
        <v>355</v>
      </c>
      <c r="B2792" s="7">
        <v>1.75</v>
      </c>
      <c r="C2792" s="7" t="s">
        <v>363</v>
      </c>
      <c r="D2792" s="7" t="s">
        <v>357</v>
      </c>
      <c r="E2792" s="7">
        <v>-31.972165714303</v>
      </c>
      <c r="F2792" s="7">
        <v>3.12125095238123</v>
      </c>
      <c r="G2792" s="7">
        <v>4.18442952381165</v>
      </c>
      <c r="H2792" s="7">
        <v>-0.00190895814285532</v>
      </c>
      <c r="I2792" s="7">
        <v>-11.866260619056</v>
      </c>
      <c r="J2792" s="7">
        <v>-7.96253100000413</v>
      </c>
      <c r="K2792" s="8"/>
      <c r="L2792" s="8"/>
    </row>
    <row r="2793" ht="13.5" customHeight="1">
      <c r="A2793" s="7" t="s">
        <v>355</v>
      </c>
      <c r="B2793" s="7">
        <v>3.5</v>
      </c>
      <c r="C2793" s="7" t="s">
        <v>363</v>
      </c>
      <c r="D2793" s="7" t="s">
        <v>357</v>
      </c>
      <c r="E2793" s="7">
        <v>-31.9890220779394</v>
      </c>
      <c r="F2793" s="7">
        <v>3.12296147186175</v>
      </c>
      <c r="G2793" s="7">
        <v>4.18669393939607</v>
      </c>
      <c r="H2793" s="7">
        <v>-0.00191001324675142</v>
      </c>
      <c r="I2793" s="7">
        <v>-11.8730554112638</v>
      </c>
      <c r="J2793" s="7">
        <v>-7.96707805195219</v>
      </c>
      <c r="K2793" s="8"/>
      <c r="L2793" s="8"/>
    </row>
    <row r="2794" ht="13.5" customHeight="1">
      <c r="A2794" s="7" t="s">
        <v>355</v>
      </c>
      <c r="B2794" s="7">
        <v>0.0</v>
      </c>
      <c r="C2794" s="7" t="s">
        <v>356</v>
      </c>
      <c r="D2794" s="7" t="s">
        <v>357</v>
      </c>
      <c r="E2794" s="7">
        <v>-32.0058784415758</v>
      </c>
      <c r="F2794" s="7">
        <v>3.12467199134227</v>
      </c>
      <c r="G2794" s="7">
        <v>4.18895835498049</v>
      </c>
      <c r="H2794" s="7">
        <v>-0.00191106835064752</v>
      </c>
      <c r="I2794" s="7">
        <v>-11.8798502034716</v>
      </c>
      <c r="J2794" s="7">
        <v>-7.97162510390025</v>
      </c>
      <c r="K2794" s="8"/>
      <c r="L2794" s="8"/>
    </row>
    <row r="2795" ht="13.5" customHeight="1">
      <c r="A2795" s="7" t="s">
        <v>355</v>
      </c>
      <c r="B2795" s="7">
        <v>1.75</v>
      </c>
      <c r="C2795" s="7" t="s">
        <v>356</v>
      </c>
      <c r="D2795" s="7" t="s">
        <v>357</v>
      </c>
      <c r="E2795" s="7">
        <v>-32.0227348052122</v>
      </c>
      <c r="F2795" s="7">
        <v>3.12638251082279</v>
      </c>
      <c r="G2795" s="7">
        <v>4.19122277056491</v>
      </c>
      <c r="H2795" s="7">
        <v>-0.00191212345454362</v>
      </c>
      <c r="I2795" s="7">
        <v>-11.8866449956794</v>
      </c>
      <c r="J2795" s="7">
        <v>-7.97617215584831</v>
      </c>
      <c r="K2795" s="8"/>
      <c r="L2795" s="8"/>
    </row>
    <row r="2796" ht="13.5" customHeight="1">
      <c r="A2796" s="7" t="s">
        <v>355</v>
      </c>
      <c r="B2796" s="7">
        <v>3.5</v>
      </c>
      <c r="C2796" s="7" t="s">
        <v>356</v>
      </c>
      <c r="D2796" s="7" t="s">
        <v>357</v>
      </c>
      <c r="E2796" s="7">
        <v>-32.0395911688486</v>
      </c>
      <c r="F2796" s="7">
        <v>3.12809303030331</v>
      </c>
      <c r="G2796" s="7">
        <v>4.19348718614933</v>
      </c>
      <c r="H2796" s="7">
        <v>-0.00191317855843972</v>
      </c>
      <c r="I2796" s="7">
        <v>-11.8934397878872</v>
      </c>
      <c r="J2796" s="7">
        <v>-7.98071920779637</v>
      </c>
      <c r="K2796" s="8"/>
      <c r="L2796" s="8"/>
    </row>
    <row r="2797" ht="13.5" customHeight="1">
      <c r="A2797" s="7" t="s">
        <v>355</v>
      </c>
      <c r="B2797" s="7">
        <v>0.0</v>
      </c>
      <c r="C2797" s="7" t="s">
        <v>358</v>
      </c>
      <c r="D2797" s="7" t="s">
        <v>357</v>
      </c>
      <c r="E2797" s="7">
        <v>-32.056447532485</v>
      </c>
      <c r="F2797" s="7">
        <v>3.12980354978383</v>
      </c>
      <c r="G2797" s="7">
        <v>4.19575160173375</v>
      </c>
      <c r="H2797" s="7">
        <v>-0.00191423366233582</v>
      </c>
      <c r="I2797" s="7">
        <v>-11.900234580095</v>
      </c>
      <c r="J2797" s="7">
        <v>-7.98526625974443</v>
      </c>
      <c r="K2797" s="8"/>
      <c r="L2797" s="8"/>
    </row>
    <row r="2798" ht="13.5" customHeight="1">
      <c r="A2798" s="7" t="s">
        <v>355</v>
      </c>
      <c r="B2798" s="7">
        <v>1.75</v>
      </c>
      <c r="C2798" s="7" t="s">
        <v>358</v>
      </c>
      <c r="D2798" s="7" t="s">
        <v>357</v>
      </c>
      <c r="E2798" s="7">
        <v>-32.0733038961214</v>
      </c>
      <c r="F2798" s="7">
        <v>3.13151406926435</v>
      </c>
      <c r="G2798" s="7">
        <v>4.19801601731817</v>
      </c>
      <c r="H2798" s="7">
        <v>-0.00191528876623192</v>
      </c>
      <c r="I2798" s="7">
        <v>-11.9070293723029</v>
      </c>
      <c r="J2798" s="7">
        <v>-7.98981331169249</v>
      </c>
      <c r="K2798" s="8"/>
      <c r="L2798" s="8"/>
    </row>
    <row r="2799" ht="13.5" customHeight="1">
      <c r="A2799" s="7" t="s">
        <v>355</v>
      </c>
      <c r="B2799" s="7">
        <v>3.5</v>
      </c>
      <c r="C2799" s="7" t="s">
        <v>358</v>
      </c>
      <c r="D2799" s="7" t="s">
        <v>357</v>
      </c>
      <c r="E2799" s="7">
        <v>-32.0901602597578</v>
      </c>
      <c r="F2799" s="7">
        <v>3.13322458874487</v>
      </c>
      <c r="G2799" s="7">
        <v>4.20028043290259</v>
      </c>
      <c r="H2799" s="7">
        <v>-0.00191634387012802</v>
      </c>
      <c r="I2799" s="7">
        <v>-11.9138241645107</v>
      </c>
      <c r="J2799" s="7">
        <v>-7.99436036364055</v>
      </c>
      <c r="K2799" s="8"/>
      <c r="L2799" s="8"/>
    </row>
    <row r="2800" ht="13.5" customHeight="1">
      <c r="A2800" s="7" t="s">
        <v>355</v>
      </c>
      <c r="B2800" s="7">
        <v>0.0</v>
      </c>
      <c r="C2800" s="7" t="s">
        <v>359</v>
      </c>
      <c r="D2800" s="7" t="s">
        <v>357</v>
      </c>
      <c r="E2800" s="7">
        <v>-32.1070166233942</v>
      </c>
      <c r="F2800" s="7">
        <v>3.13493510822539</v>
      </c>
      <c r="G2800" s="7">
        <v>4.20254484848701</v>
      </c>
      <c r="H2800" s="7">
        <v>-0.00191739897402412</v>
      </c>
      <c r="I2800" s="7">
        <v>-11.9206189567185</v>
      </c>
      <c r="J2800" s="7">
        <v>-7.99890741558861</v>
      </c>
      <c r="K2800" s="8"/>
      <c r="L2800" s="8"/>
    </row>
    <row r="2801" ht="13.5" customHeight="1">
      <c r="A2801" s="7" t="s">
        <v>355</v>
      </c>
      <c r="B2801" s="7">
        <v>1.75</v>
      </c>
      <c r="C2801" s="7" t="s">
        <v>359</v>
      </c>
      <c r="D2801" s="7" t="s">
        <v>357</v>
      </c>
      <c r="E2801" s="7">
        <v>-32.1238729870306</v>
      </c>
      <c r="F2801" s="7">
        <v>3.13664562770591</v>
      </c>
      <c r="G2801" s="7">
        <v>4.20480926407143</v>
      </c>
      <c r="H2801" s="7">
        <v>-0.00191845407792022</v>
      </c>
      <c r="I2801" s="7">
        <v>-11.9274137489263</v>
      </c>
      <c r="J2801" s="7">
        <v>-8.00345446753667</v>
      </c>
      <c r="K2801" s="8"/>
      <c r="L2801" s="8"/>
    </row>
    <row r="2802" ht="13.5" customHeight="1">
      <c r="A2802" s="7" t="s">
        <v>355</v>
      </c>
      <c r="B2802" s="7">
        <v>3.5</v>
      </c>
      <c r="C2802" s="7" t="s">
        <v>359</v>
      </c>
      <c r="D2802" s="7" t="s">
        <v>357</v>
      </c>
      <c r="E2802" s="7">
        <v>-32.140729350667</v>
      </c>
      <c r="F2802" s="7">
        <v>3.13835614718643</v>
      </c>
      <c r="G2802" s="7">
        <v>4.20707367965585</v>
      </c>
      <c r="H2802" s="7">
        <v>-0.00191950918181632</v>
      </c>
      <c r="I2802" s="7">
        <v>-11.9342085411341</v>
      </c>
      <c r="J2802" s="7">
        <v>-8.00800151948473</v>
      </c>
      <c r="K2802" s="8"/>
      <c r="L2802" s="8"/>
    </row>
    <row r="2803" ht="13.5" customHeight="1">
      <c r="A2803" s="7" t="s">
        <v>355</v>
      </c>
      <c r="B2803" s="7">
        <v>0.0</v>
      </c>
      <c r="C2803" s="7" t="s">
        <v>360</v>
      </c>
      <c r="D2803" s="7" t="s">
        <v>357</v>
      </c>
      <c r="E2803" s="7">
        <v>-32.1575857143034</v>
      </c>
      <c r="F2803" s="7">
        <v>3.14006666666695</v>
      </c>
      <c r="G2803" s="7">
        <v>4.20933809524027</v>
      </c>
      <c r="H2803" s="7">
        <v>-0.00192056428571242</v>
      </c>
      <c r="I2803" s="7">
        <v>-11.9410033333419</v>
      </c>
      <c r="J2803" s="7">
        <v>-8.01254857143279</v>
      </c>
      <c r="K2803" s="8"/>
      <c r="L2803" s="8"/>
    </row>
    <row r="2804" ht="13.5" customHeight="1">
      <c r="A2804" s="7" t="s">
        <v>355</v>
      </c>
      <c r="B2804" s="7">
        <v>1.75</v>
      </c>
      <c r="C2804" s="7" t="s">
        <v>360</v>
      </c>
      <c r="D2804" s="7" t="s">
        <v>357</v>
      </c>
      <c r="E2804" s="7">
        <v>-32.1744420779398</v>
      </c>
      <c r="F2804" s="7">
        <v>3.14177718614747</v>
      </c>
      <c r="G2804" s="7">
        <v>4.21160251082469</v>
      </c>
      <c r="H2804" s="7">
        <v>-0.00192161938960852</v>
      </c>
      <c r="I2804" s="7">
        <v>-11.9477981255497</v>
      </c>
      <c r="J2804" s="7">
        <v>-8.01709562338085</v>
      </c>
      <c r="K2804" s="8"/>
      <c r="L2804" s="8"/>
    </row>
    <row r="2805" ht="13.5" customHeight="1">
      <c r="A2805" s="7" t="s">
        <v>355</v>
      </c>
      <c r="B2805" s="7">
        <v>3.5</v>
      </c>
      <c r="C2805" s="7" t="s">
        <v>360</v>
      </c>
      <c r="D2805" s="7" t="s">
        <v>357</v>
      </c>
      <c r="E2805" s="7">
        <v>-32.1912984415762</v>
      </c>
      <c r="F2805" s="7">
        <v>3.14348770562799</v>
      </c>
      <c r="G2805" s="7">
        <v>4.21386692640911</v>
      </c>
      <c r="H2805" s="7">
        <v>-0.00192267449350462</v>
      </c>
      <c r="I2805" s="7">
        <v>-11.9545929177575</v>
      </c>
      <c r="J2805" s="7">
        <v>-8.02164267532891</v>
      </c>
      <c r="K2805" s="8"/>
      <c r="L2805" s="8"/>
    </row>
    <row r="2806" ht="13.5" customHeight="1">
      <c r="A2806" s="7" t="s">
        <v>355</v>
      </c>
      <c r="B2806" s="7">
        <v>0.0</v>
      </c>
      <c r="C2806" s="7" t="s">
        <v>361</v>
      </c>
      <c r="D2806" s="7" t="s">
        <v>357</v>
      </c>
      <c r="E2806" s="7">
        <v>-32.2081548052126</v>
      </c>
      <c r="F2806" s="7">
        <v>3.14519822510851</v>
      </c>
      <c r="G2806" s="7">
        <v>4.21613134199353</v>
      </c>
      <c r="H2806" s="7">
        <v>-0.00192372959740072</v>
      </c>
      <c r="I2806" s="7">
        <v>-11.9613877099653</v>
      </c>
      <c r="J2806" s="7">
        <v>-8.02618972727697</v>
      </c>
      <c r="K2806" s="8"/>
      <c r="L2806" s="8"/>
    </row>
    <row r="2807" ht="13.5" customHeight="1">
      <c r="A2807" s="7" t="s">
        <v>355</v>
      </c>
      <c r="B2807" s="7">
        <v>1.75</v>
      </c>
      <c r="C2807" s="7" t="s">
        <v>361</v>
      </c>
      <c r="D2807" s="7" t="s">
        <v>357</v>
      </c>
      <c r="E2807" s="7">
        <v>-32.225011168849</v>
      </c>
      <c r="F2807" s="7">
        <v>3.14690874458903</v>
      </c>
      <c r="G2807" s="7">
        <v>4.21839575757795</v>
      </c>
      <c r="H2807" s="7">
        <v>-0.00192478470129682</v>
      </c>
      <c r="I2807" s="7">
        <v>-11.9681825021731</v>
      </c>
      <c r="J2807" s="7">
        <v>-8.03073677922504</v>
      </c>
      <c r="K2807" s="8"/>
      <c r="L2807" s="8"/>
    </row>
    <row r="2808" ht="13.5" customHeight="1">
      <c r="A2808" s="7" t="s">
        <v>355</v>
      </c>
      <c r="B2808" s="7">
        <v>3.5</v>
      </c>
      <c r="C2808" s="7" t="s">
        <v>361</v>
      </c>
      <c r="D2808" s="7" t="s">
        <v>357</v>
      </c>
      <c r="E2808" s="7">
        <v>-32.2418675324854</v>
      </c>
      <c r="F2808" s="7">
        <v>3.14861926406955</v>
      </c>
      <c r="G2808" s="7">
        <v>4.22066017316237</v>
      </c>
      <c r="H2808" s="7">
        <v>-0.00192583980519292</v>
      </c>
      <c r="I2808" s="7">
        <v>-11.9749772943809</v>
      </c>
      <c r="J2808" s="7">
        <v>-8.0352838311731</v>
      </c>
      <c r="K2808" s="8"/>
      <c r="L2808" s="8"/>
    </row>
    <row r="2809" ht="13.5" customHeight="1">
      <c r="A2809" s="7" t="s">
        <v>355</v>
      </c>
      <c r="B2809" s="7">
        <v>0.0</v>
      </c>
      <c r="C2809" s="7" t="s">
        <v>362</v>
      </c>
      <c r="D2809" s="7" t="s">
        <v>357</v>
      </c>
      <c r="E2809" s="7">
        <v>-32.2587238961218</v>
      </c>
      <c r="F2809" s="7">
        <v>3.15032978355007</v>
      </c>
      <c r="G2809" s="7">
        <v>4.22292458874679</v>
      </c>
      <c r="H2809" s="7">
        <v>-0.00192689490908902</v>
      </c>
      <c r="I2809" s="7">
        <v>-11.9817720865888</v>
      </c>
      <c r="J2809" s="7">
        <v>-8.03983088312116</v>
      </c>
      <c r="K2809" s="8"/>
      <c r="L2809" s="8"/>
    </row>
    <row r="2810" ht="13.5" customHeight="1">
      <c r="A2810" s="7" t="s">
        <v>355</v>
      </c>
      <c r="B2810" s="7">
        <v>1.75</v>
      </c>
      <c r="C2810" s="7" t="s">
        <v>362</v>
      </c>
      <c r="D2810" s="7" t="s">
        <v>357</v>
      </c>
      <c r="E2810" s="7">
        <v>-32.2755802597582</v>
      </c>
      <c r="F2810" s="7">
        <v>3.15204030303059</v>
      </c>
      <c r="G2810" s="7">
        <v>4.22518900433121</v>
      </c>
      <c r="H2810" s="7">
        <v>-0.00192795001298512</v>
      </c>
      <c r="I2810" s="7">
        <v>-11.9885668787966</v>
      </c>
      <c r="J2810" s="7">
        <v>-8.04437793506922</v>
      </c>
      <c r="K2810" s="8"/>
      <c r="L2810" s="8"/>
    </row>
    <row r="2811" ht="13.5" customHeight="1">
      <c r="A2811" s="7" t="s">
        <v>355</v>
      </c>
      <c r="B2811" s="7">
        <v>3.5</v>
      </c>
      <c r="C2811" s="7" t="s">
        <v>362</v>
      </c>
      <c r="D2811" s="7" t="s">
        <v>357</v>
      </c>
      <c r="E2811" s="7">
        <v>-32.2924366233946</v>
      </c>
      <c r="F2811" s="7">
        <v>3.15375082251111</v>
      </c>
      <c r="G2811" s="7">
        <v>4.22745341991563</v>
      </c>
      <c r="H2811" s="7">
        <v>-0.00192900511688122</v>
      </c>
      <c r="I2811" s="7">
        <v>-11.9953616710044</v>
      </c>
      <c r="J2811" s="7">
        <v>-8.04892498701728</v>
      </c>
      <c r="K2811" s="8"/>
      <c r="L2811" s="8"/>
    </row>
    <row r="2812" ht="13.5" customHeight="1">
      <c r="A2812" s="7" t="s">
        <v>355</v>
      </c>
      <c r="B2812" s="7">
        <v>0.0</v>
      </c>
      <c r="C2812" s="7" t="s">
        <v>363</v>
      </c>
      <c r="D2812" s="7" t="s">
        <v>357</v>
      </c>
      <c r="E2812" s="7">
        <v>-32.309292987031</v>
      </c>
      <c r="F2812" s="7">
        <v>3.15546134199163</v>
      </c>
      <c r="G2812" s="7">
        <v>4.22971783550005</v>
      </c>
      <c r="H2812" s="7">
        <v>-0.00193006022077732</v>
      </c>
      <c r="I2812" s="7">
        <v>-12.0021564632122</v>
      </c>
      <c r="J2812" s="7">
        <v>-8.05347203896534</v>
      </c>
      <c r="K2812" s="8"/>
      <c r="L2812" s="8"/>
    </row>
    <row r="2813" ht="13.5" customHeight="1">
      <c r="A2813" s="7" t="s">
        <v>355</v>
      </c>
      <c r="B2813" s="7">
        <v>1.75</v>
      </c>
      <c r="C2813" s="7" t="s">
        <v>363</v>
      </c>
      <c r="D2813" s="7" t="s">
        <v>357</v>
      </c>
      <c r="E2813" s="7">
        <v>-32.3261493506674</v>
      </c>
      <c r="F2813" s="7">
        <v>3.15717186147215</v>
      </c>
      <c r="G2813" s="7">
        <v>4.23198225108447</v>
      </c>
      <c r="H2813" s="7">
        <v>-0.00193111532467342</v>
      </c>
      <c r="I2813" s="7">
        <v>-12.00895125542</v>
      </c>
      <c r="J2813" s="7">
        <v>-8.0580190909134</v>
      </c>
      <c r="K2813" s="8"/>
      <c r="L2813" s="8"/>
    </row>
    <row r="2814" ht="13.5" customHeight="1">
      <c r="A2814" s="7" t="s">
        <v>355</v>
      </c>
      <c r="B2814" s="7">
        <v>3.5</v>
      </c>
      <c r="C2814" s="7" t="s">
        <v>363</v>
      </c>
      <c r="D2814" s="7" t="s">
        <v>357</v>
      </c>
      <c r="E2814" s="7">
        <v>-32.3430057143038</v>
      </c>
      <c r="F2814" s="7">
        <v>3.15888238095267</v>
      </c>
      <c r="G2814" s="7">
        <v>4.23424666666889</v>
      </c>
      <c r="H2814" s="7">
        <v>-0.00193217042856952</v>
      </c>
      <c r="I2814" s="7">
        <v>-12.0157460476278</v>
      </c>
      <c r="J2814" s="7">
        <v>-8.06256614286146</v>
      </c>
      <c r="K2814" s="8"/>
      <c r="L2814" s="8"/>
    </row>
    <row r="2815" ht="13.5" customHeight="1">
      <c r="A2815" s="7" t="s">
        <v>355</v>
      </c>
      <c r="B2815" s="7">
        <v>0.0</v>
      </c>
      <c r="C2815" s="7" t="s">
        <v>356</v>
      </c>
      <c r="D2815" s="7" t="s">
        <v>357</v>
      </c>
      <c r="E2815" s="7">
        <v>-32.3598620779402</v>
      </c>
      <c r="F2815" s="7">
        <v>3.16059290043319</v>
      </c>
      <c r="G2815" s="7">
        <v>4.23651108225331</v>
      </c>
      <c r="H2815" s="7">
        <v>-0.00193322553246562</v>
      </c>
      <c r="I2815" s="7">
        <v>-12.0225408398356</v>
      </c>
      <c r="J2815" s="7">
        <v>-8.06711319480952</v>
      </c>
      <c r="K2815" s="8"/>
      <c r="L2815" s="8"/>
    </row>
    <row r="2816" ht="13.5" customHeight="1">
      <c r="A2816" s="7" t="s">
        <v>355</v>
      </c>
      <c r="B2816" s="7">
        <v>1.75</v>
      </c>
      <c r="C2816" s="7" t="s">
        <v>356</v>
      </c>
      <c r="D2816" s="7" t="s">
        <v>357</v>
      </c>
      <c r="E2816" s="7">
        <v>-32.3767184415766</v>
      </c>
      <c r="F2816" s="7">
        <v>3.16230341991371</v>
      </c>
      <c r="G2816" s="7">
        <v>4.23877549783773</v>
      </c>
      <c r="H2816" s="7">
        <v>-0.00193428063636172</v>
      </c>
      <c r="I2816" s="7">
        <v>-12.0293356320434</v>
      </c>
      <c r="J2816" s="7">
        <v>-8.07166024675758</v>
      </c>
      <c r="K2816" s="8"/>
      <c r="L2816" s="8"/>
    </row>
    <row r="2817" ht="13.5" customHeight="1">
      <c r="A2817" s="7" t="s">
        <v>355</v>
      </c>
      <c r="B2817" s="7">
        <v>3.5</v>
      </c>
      <c r="C2817" s="7" t="s">
        <v>356</v>
      </c>
      <c r="D2817" s="7" t="s">
        <v>357</v>
      </c>
      <c r="E2817" s="7">
        <v>-32.393574805213</v>
      </c>
      <c r="F2817" s="7">
        <v>3.16401393939423</v>
      </c>
      <c r="G2817" s="7">
        <v>4.24103991342215</v>
      </c>
      <c r="H2817" s="7">
        <v>-0.00193533574025782</v>
      </c>
      <c r="I2817" s="7">
        <v>-12.0361304242512</v>
      </c>
      <c r="J2817" s="7">
        <v>-8.07620729870564</v>
      </c>
      <c r="K2817" s="8"/>
      <c r="L2817" s="8"/>
    </row>
    <row r="2818" ht="13.5" customHeight="1">
      <c r="A2818" s="7" t="s">
        <v>355</v>
      </c>
      <c r="B2818" s="7">
        <v>0.0</v>
      </c>
      <c r="C2818" s="7" t="s">
        <v>358</v>
      </c>
      <c r="D2818" s="7" t="s">
        <v>357</v>
      </c>
      <c r="E2818" s="7">
        <v>-32.4104311688494</v>
      </c>
      <c r="F2818" s="7">
        <v>3.16572445887475</v>
      </c>
      <c r="G2818" s="7">
        <v>4.24330432900657</v>
      </c>
      <c r="H2818" s="7">
        <v>-0.00193639084415392</v>
      </c>
      <c r="I2818" s="7">
        <v>-12.0429252164591</v>
      </c>
      <c r="J2818" s="7">
        <v>-8.0807543506537</v>
      </c>
      <c r="K2818" s="8"/>
      <c r="L2818" s="8"/>
    </row>
    <row r="2819" ht="13.5" customHeight="1">
      <c r="A2819" s="7" t="s">
        <v>355</v>
      </c>
      <c r="B2819" s="7">
        <v>1.75</v>
      </c>
      <c r="C2819" s="7" t="s">
        <v>358</v>
      </c>
      <c r="D2819" s="7" t="s">
        <v>357</v>
      </c>
      <c r="E2819" s="7">
        <v>-32.4272875324858</v>
      </c>
      <c r="F2819" s="7">
        <v>3.16743497835527</v>
      </c>
      <c r="G2819" s="7">
        <v>4.24556874459099</v>
      </c>
      <c r="H2819" s="7">
        <v>-0.00193744594805002</v>
      </c>
      <c r="I2819" s="7">
        <v>-12.0497200086669</v>
      </c>
      <c r="J2819" s="7">
        <v>-8.08530140260176</v>
      </c>
      <c r="K2819" s="8"/>
      <c r="L2819" s="8"/>
    </row>
    <row r="2820" ht="13.5" customHeight="1">
      <c r="A2820" s="7" t="s">
        <v>355</v>
      </c>
      <c r="B2820" s="7">
        <v>3.5</v>
      </c>
      <c r="C2820" s="7" t="s">
        <v>358</v>
      </c>
      <c r="D2820" s="7" t="s">
        <v>357</v>
      </c>
      <c r="E2820" s="7">
        <v>-32.4441438961222</v>
      </c>
      <c r="F2820" s="7">
        <v>3.16914549783579</v>
      </c>
      <c r="G2820" s="7">
        <v>4.24783316017541</v>
      </c>
      <c r="H2820" s="7">
        <v>-0.00193850105194612</v>
      </c>
      <c r="I2820" s="7">
        <v>-12.0565148008747</v>
      </c>
      <c r="J2820" s="7">
        <v>-8.08984845454982</v>
      </c>
      <c r="K2820" s="8"/>
      <c r="L2820" s="8"/>
    </row>
    <row r="2821" ht="13.5" customHeight="1">
      <c r="A2821" s="7" t="s">
        <v>355</v>
      </c>
      <c r="B2821" s="7">
        <v>0.0</v>
      </c>
      <c r="C2821" s="7" t="s">
        <v>359</v>
      </c>
      <c r="D2821" s="7" t="s">
        <v>357</v>
      </c>
      <c r="E2821" s="7">
        <v>-32.4610002597586</v>
      </c>
      <c r="F2821" s="7">
        <v>3.17085601731631</v>
      </c>
      <c r="G2821" s="7">
        <v>4.25009757575983</v>
      </c>
      <c r="H2821" s="7">
        <v>-0.00193955615584222</v>
      </c>
      <c r="I2821" s="7">
        <v>-12.0633095930825</v>
      </c>
      <c r="J2821" s="7">
        <v>-8.09439550649788</v>
      </c>
      <c r="K2821" s="8"/>
      <c r="L2821" s="8"/>
    </row>
    <row r="2822" ht="13.5" customHeight="1">
      <c r="A2822" s="7" t="s">
        <v>355</v>
      </c>
      <c r="B2822" s="7">
        <v>1.75</v>
      </c>
      <c r="C2822" s="7" t="s">
        <v>359</v>
      </c>
      <c r="D2822" s="7" t="s">
        <v>357</v>
      </c>
      <c r="E2822" s="7">
        <v>-32.477856623395</v>
      </c>
      <c r="F2822" s="7">
        <v>3.17256653679683</v>
      </c>
      <c r="G2822" s="7">
        <v>4.25236199134425</v>
      </c>
      <c r="H2822" s="7">
        <v>-0.00194061125973832</v>
      </c>
      <c r="I2822" s="7">
        <v>-12.0701043852903</v>
      </c>
      <c r="J2822" s="7">
        <v>-8.09894255844594</v>
      </c>
      <c r="K2822" s="8"/>
      <c r="L2822" s="8"/>
    </row>
    <row r="2823" ht="13.5" customHeight="1">
      <c r="A2823" s="7" t="s">
        <v>355</v>
      </c>
      <c r="B2823" s="7">
        <v>3.5</v>
      </c>
      <c r="C2823" s="7" t="s">
        <v>359</v>
      </c>
      <c r="D2823" s="7" t="s">
        <v>357</v>
      </c>
      <c r="E2823" s="7">
        <v>-32.4947129870314</v>
      </c>
      <c r="F2823" s="7">
        <v>3.17427705627735</v>
      </c>
      <c r="G2823" s="7">
        <v>4.25462640692867</v>
      </c>
      <c r="H2823" s="7">
        <v>-0.00194166636363442</v>
      </c>
      <c r="I2823" s="7">
        <v>-12.0768991774981</v>
      </c>
      <c r="J2823" s="7">
        <v>-8.103489610394</v>
      </c>
      <c r="K2823" s="8"/>
      <c r="L2823" s="8"/>
    </row>
    <row r="2824" ht="13.5" customHeight="1">
      <c r="A2824" s="7" t="s">
        <v>355</v>
      </c>
      <c r="B2824" s="7">
        <v>0.0</v>
      </c>
      <c r="C2824" s="7" t="s">
        <v>360</v>
      </c>
      <c r="D2824" s="7" t="s">
        <v>357</v>
      </c>
      <c r="E2824" s="7">
        <v>-32.5115693506678</v>
      </c>
      <c r="F2824" s="7">
        <v>3.17598757575787</v>
      </c>
      <c r="G2824" s="7">
        <v>4.25689082251309</v>
      </c>
      <c r="H2824" s="7">
        <v>-0.00194272146753052</v>
      </c>
      <c r="I2824" s="7">
        <v>-12.0836939697059</v>
      </c>
      <c r="J2824" s="7">
        <v>-8.10803666234207</v>
      </c>
      <c r="K2824" s="8"/>
      <c r="L2824" s="8"/>
    </row>
    <row r="2825" ht="13.5" customHeight="1">
      <c r="A2825" s="7" t="s">
        <v>355</v>
      </c>
      <c r="B2825" s="7">
        <v>1.75</v>
      </c>
      <c r="C2825" s="7" t="s">
        <v>360</v>
      </c>
      <c r="D2825" s="7" t="s">
        <v>357</v>
      </c>
      <c r="E2825" s="7">
        <v>-32.5284257143042</v>
      </c>
      <c r="F2825" s="7">
        <v>3.17769809523839</v>
      </c>
      <c r="G2825" s="7">
        <v>4.25915523809751</v>
      </c>
      <c r="H2825" s="7">
        <v>-0.00194377657142662</v>
      </c>
      <c r="I2825" s="7">
        <v>-12.0904887619137</v>
      </c>
      <c r="J2825" s="7">
        <v>-8.11258371429013</v>
      </c>
      <c r="K2825" s="8"/>
      <c r="L2825" s="8"/>
    </row>
    <row r="2826" ht="13.5" customHeight="1">
      <c r="A2826" s="7" t="s">
        <v>355</v>
      </c>
      <c r="B2826" s="7">
        <v>3.5</v>
      </c>
      <c r="C2826" s="7" t="s">
        <v>360</v>
      </c>
      <c r="D2826" s="7" t="s">
        <v>357</v>
      </c>
      <c r="E2826" s="7">
        <v>-32.5452820779406</v>
      </c>
      <c r="F2826" s="7">
        <v>3.17940861471891</v>
      </c>
      <c r="G2826" s="7">
        <v>4.26141965368193</v>
      </c>
      <c r="H2826" s="7">
        <v>-0.00194483167532272</v>
      </c>
      <c r="I2826" s="7">
        <v>-12.0972835541215</v>
      </c>
      <c r="J2826" s="7">
        <v>-8.11713076623819</v>
      </c>
      <c r="K2826" s="8"/>
      <c r="L2826" s="8"/>
    </row>
    <row r="2827" ht="13.5" customHeight="1">
      <c r="A2827" s="7" t="s">
        <v>355</v>
      </c>
      <c r="B2827" s="7">
        <v>0.0</v>
      </c>
      <c r="C2827" s="7" t="s">
        <v>361</v>
      </c>
      <c r="D2827" s="7" t="s">
        <v>357</v>
      </c>
      <c r="E2827" s="7">
        <v>-32.562138441577</v>
      </c>
      <c r="F2827" s="7">
        <v>3.18111913419943</v>
      </c>
      <c r="G2827" s="7">
        <v>4.26368406926635</v>
      </c>
      <c r="H2827" s="7">
        <v>-0.00194588677921882</v>
      </c>
      <c r="I2827" s="7">
        <v>-12.1040783463293</v>
      </c>
      <c r="J2827" s="7">
        <v>-8.12167781818625</v>
      </c>
      <c r="K2827" s="8"/>
      <c r="L2827" s="8"/>
    </row>
    <row r="2828" ht="13.5" customHeight="1">
      <c r="A2828" s="7" t="s">
        <v>355</v>
      </c>
      <c r="B2828" s="7">
        <v>1.75</v>
      </c>
      <c r="C2828" s="7" t="s">
        <v>361</v>
      </c>
      <c r="D2828" s="7" t="s">
        <v>357</v>
      </c>
      <c r="E2828" s="7">
        <v>-32.5789948052134</v>
      </c>
      <c r="F2828" s="7">
        <v>3.18282965367995</v>
      </c>
      <c r="G2828" s="7">
        <v>4.26594848485077</v>
      </c>
      <c r="H2828" s="7">
        <v>-0.00194694188311492</v>
      </c>
      <c r="I2828" s="7">
        <v>-12.1108731385371</v>
      </c>
      <c r="J2828" s="7">
        <v>-8.12622487013431</v>
      </c>
      <c r="K2828" s="8"/>
      <c r="L2828" s="8"/>
    </row>
    <row r="2829" ht="13.5" customHeight="1">
      <c r="A2829" s="7" t="s">
        <v>355</v>
      </c>
      <c r="B2829" s="7">
        <v>3.5</v>
      </c>
      <c r="C2829" s="7" t="s">
        <v>361</v>
      </c>
      <c r="D2829" s="7" t="s">
        <v>357</v>
      </c>
      <c r="E2829" s="7">
        <v>-32.5958511688498</v>
      </c>
      <c r="F2829" s="7">
        <v>3.18454017316047</v>
      </c>
      <c r="G2829" s="7">
        <v>4.26821290043519</v>
      </c>
      <c r="H2829" s="7">
        <v>-0.00194799698701102</v>
      </c>
      <c r="I2829" s="7">
        <v>-12.117667930745</v>
      </c>
      <c r="J2829" s="7">
        <v>-8.13077192208237</v>
      </c>
      <c r="K2829" s="8"/>
      <c r="L2829" s="8"/>
    </row>
    <row r="2830" ht="13.5" customHeight="1">
      <c r="A2830" s="7" t="s">
        <v>355</v>
      </c>
      <c r="B2830" s="7">
        <v>0.0</v>
      </c>
      <c r="C2830" s="7" t="s">
        <v>362</v>
      </c>
      <c r="D2830" s="7" t="s">
        <v>357</v>
      </c>
      <c r="E2830" s="7">
        <v>-32.6127075324862</v>
      </c>
      <c r="F2830" s="7">
        <v>3.18625069264099</v>
      </c>
      <c r="G2830" s="7">
        <v>4.27047731601961</v>
      </c>
      <c r="H2830" s="7">
        <v>-0.00194905209090712</v>
      </c>
      <c r="I2830" s="7">
        <v>-12.1244627229528</v>
      </c>
      <c r="J2830" s="7">
        <v>-8.13531897403043</v>
      </c>
      <c r="K2830" s="8"/>
      <c r="L2830" s="8"/>
    </row>
    <row r="2831" ht="13.5" customHeight="1">
      <c r="A2831" s="7" t="s">
        <v>355</v>
      </c>
      <c r="B2831" s="7">
        <v>1.75</v>
      </c>
      <c r="C2831" s="7" t="s">
        <v>362</v>
      </c>
      <c r="D2831" s="7" t="s">
        <v>357</v>
      </c>
      <c r="E2831" s="7">
        <v>-32.6295638961226</v>
      </c>
      <c r="F2831" s="7">
        <v>3.18796121212151</v>
      </c>
      <c r="G2831" s="7">
        <v>4.27274173160403</v>
      </c>
      <c r="H2831" s="7">
        <v>-0.00195010719480322</v>
      </c>
      <c r="I2831" s="7">
        <v>-12.1312575151606</v>
      </c>
      <c r="J2831" s="7">
        <v>-8.13986602597849</v>
      </c>
      <c r="K2831" s="8"/>
      <c r="L2831" s="8"/>
    </row>
    <row r="2832" ht="13.5" customHeight="1">
      <c r="A2832" s="7" t="s">
        <v>355</v>
      </c>
      <c r="B2832" s="7">
        <v>3.5</v>
      </c>
      <c r="C2832" s="7" t="s">
        <v>362</v>
      </c>
      <c r="D2832" s="7" t="s">
        <v>357</v>
      </c>
      <c r="E2832" s="7">
        <v>-32.646420259759</v>
      </c>
      <c r="F2832" s="7">
        <v>3.18967173160203</v>
      </c>
      <c r="G2832" s="7">
        <v>4.27500614718845</v>
      </c>
      <c r="H2832" s="7">
        <v>-0.00195116229869932</v>
      </c>
      <c r="I2832" s="7">
        <v>-12.1380523073684</v>
      </c>
      <c r="J2832" s="7">
        <v>-8.14441307792655</v>
      </c>
      <c r="K2832" s="8"/>
      <c r="L2832" s="8"/>
    </row>
    <row r="2833" ht="13.5" customHeight="1">
      <c r="A2833" s="7" t="s">
        <v>355</v>
      </c>
      <c r="B2833" s="7">
        <v>0.0</v>
      </c>
      <c r="C2833" s="7" t="s">
        <v>363</v>
      </c>
      <c r="D2833" s="7" t="s">
        <v>357</v>
      </c>
      <c r="E2833" s="7">
        <v>-32.6632766233954</v>
      </c>
      <c r="F2833" s="7">
        <v>3.19138225108255</v>
      </c>
      <c r="G2833" s="7">
        <v>4.27727056277287</v>
      </c>
      <c r="H2833" s="7">
        <v>-0.00195221740259542</v>
      </c>
      <c r="I2833" s="7">
        <v>-12.1448470995762</v>
      </c>
      <c r="J2833" s="7">
        <v>-8.14896012987461</v>
      </c>
      <c r="K2833" s="8"/>
      <c r="L2833" s="8"/>
    </row>
    <row r="2834" ht="13.5" customHeight="1">
      <c r="A2834" s="7" t="s">
        <v>355</v>
      </c>
      <c r="B2834" s="7">
        <v>1.75</v>
      </c>
      <c r="C2834" s="7" t="s">
        <v>363</v>
      </c>
      <c r="D2834" s="7" t="s">
        <v>357</v>
      </c>
      <c r="E2834" s="7">
        <v>-32.6801329870318</v>
      </c>
      <c r="F2834" s="7">
        <v>3.19309277056307</v>
      </c>
      <c r="G2834" s="7">
        <v>4.27953497835729</v>
      </c>
      <c r="H2834" s="7">
        <v>-0.00195327250649152</v>
      </c>
      <c r="I2834" s="7">
        <v>-12.151641891784</v>
      </c>
      <c r="J2834" s="7">
        <v>-8.15350718182267</v>
      </c>
      <c r="K2834" s="8"/>
      <c r="L2834" s="8"/>
    </row>
    <row r="2835" ht="13.5" customHeight="1">
      <c r="A2835" s="7" t="s">
        <v>355</v>
      </c>
      <c r="B2835" s="7">
        <v>3.5</v>
      </c>
      <c r="C2835" s="7" t="s">
        <v>363</v>
      </c>
      <c r="D2835" s="7" t="s">
        <v>357</v>
      </c>
      <c r="E2835" s="7">
        <v>-32.6969893506682</v>
      </c>
      <c r="F2835" s="7">
        <v>3.19480329004359</v>
      </c>
      <c r="G2835" s="7">
        <v>4.28179939394171</v>
      </c>
      <c r="H2835" s="7">
        <v>-0.00195432761038762</v>
      </c>
      <c r="I2835" s="7">
        <v>-12.1584366839918</v>
      </c>
      <c r="J2835" s="7">
        <v>-8.15805423377073</v>
      </c>
      <c r="K2835" s="8"/>
      <c r="L2835" s="8"/>
    </row>
    <row r="2836" ht="13.5" customHeight="1">
      <c r="A2836" s="7" t="s">
        <v>355</v>
      </c>
      <c r="B2836" s="7">
        <v>0.0</v>
      </c>
      <c r="C2836" s="7" t="s">
        <v>356</v>
      </c>
      <c r="D2836" s="7" t="s">
        <v>357</v>
      </c>
      <c r="E2836" s="7">
        <v>-32.7138457143046</v>
      </c>
      <c r="F2836" s="7">
        <v>3.19651380952411</v>
      </c>
      <c r="G2836" s="7">
        <v>4.28406380952613</v>
      </c>
      <c r="H2836" s="7">
        <v>-0.00195538271428372</v>
      </c>
      <c r="I2836" s="7">
        <v>-12.1652314761996</v>
      </c>
      <c r="J2836" s="7">
        <v>-8.16260128571879</v>
      </c>
      <c r="K2836" s="8"/>
      <c r="L2836" s="8"/>
    </row>
    <row r="2837" ht="13.5" customHeight="1">
      <c r="A2837" s="7" t="s">
        <v>355</v>
      </c>
      <c r="B2837" s="7">
        <v>1.75</v>
      </c>
      <c r="C2837" s="7" t="s">
        <v>356</v>
      </c>
      <c r="D2837" s="7" t="s">
        <v>357</v>
      </c>
      <c r="E2837" s="7">
        <v>-32.730702077941</v>
      </c>
      <c r="F2837" s="7">
        <v>3.19822432900463</v>
      </c>
      <c r="G2837" s="7">
        <v>4.28632822511055</v>
      </c>
      <c r="H2837" s="7">
        <v>-0.00195643781817982</v>
      </c>
      <c r="I2837" s="7">
        <v>-12.1720262684074</v>
      </c>
      <c r="J2837" s="7">
        <v>-8.16714833766685</v>
      </c>
      <c r="K2837" s="8"/>
      <c r="L2837" s="8"/>
    </row>
    <row r="2838" ht="13.5" customHeight="1">
      <c r="A2838" s="7" t="s">
        <v>355</v>
      </c>
      <c r="B2838" s="7">
        <v>3.5</v>
      </c>
      <c r="C2838" s="7" t="s">
        <v>356</v>
      </c>
      <c r="D2838" s="7" t="s">
        <v>357</v>
      </c>
      <c r="E2838" s="7">
        <v>-32.7475584415774</v>
      </c>
      <c r="F2838" s="7">
        <v>3.19993484848515</v>
      </c>
      <c r="G2838" s="7">
        <v>4.28859264069497</v>
      </c>
      <c r="H2838" s="7">
        <v>-0.00195749292207592</v>
      </c>
      <c r="I2838" s="7">
        <v>-12.1788210606152</v>
      </c>
      <c r="J2838" s="7">
        <v>-8.17169538961491</v>
      </c>
      <c r="K2838" s="8"/>
      <c r="L2838" s="8"/>
    </row>
    <row r="2839" ht="13.5" customHeight="1">
      <c r="A2839" s="7" t="s">
        <v>355</v>
      </c>
      <c r="B2839" s="7">
        <v>0.0</v>
      </c>
      <c r="C2839" s="7" t="s">
        <v>358</v>
      </c>
      <c r="D2839" s="7" t="s">
        <v>357</v>
      </c>
      <c r="E2839" s="7">
        <v>-32.7644148052138</v>
      </c>
      <c r="F2839" s="7">
        <v>3.20164536796567</v>
      </c>
      <c r="G2839" s="7">
        <v>4.29085705627939</v>
      </c>
      <c r="H2839" s="7">
        <v>-0.00195854802597202</v>
      </c>
      <c r="I2839" s="7">
        <v>-12.1856158528231</v>
      </c>
      <c r="J2839" s="7">
        <v>-8.17624244156297</v>
      </c>
      <c r="K2839" s="8"/>
      <c r="L2839" s="8"/>
    </row>
    <row r="2840" ht="13.5" customHeight="1">
      <c r="A2840" s="7" t="s">
        <v>355</v>
      </c>
      <c r="B2840" s="7">
        <v>1.75</v>
      </c>
      <c r="C2840" s="7" t="s">
        <v>358</v>
      </c>
      <c r="D2840" s="7" t="s">
        <v>357</v>
      </c>
      <c r="E2840" s="7">
        <v>-32.7812711688502</v>
      </c>
      <c r="F2840" s="7">
        <v>3.20335588744619</v>
      </c>
      <c r="G2840" s="7">
        <v>4.29312147186381</v>
      </c>
      <c r="H2840" s="7">
        <v>-0.00195960312986812</v>
      </c>
      <c r="I2840" s="7">
        <v>-12.1924106450309</v>
      </c>
      <c r="J2840" s="7">
        <v>-8.18078949351103</v>
      </c>
      <c r="K2840" s="8"/>
      <c r="L2840" s="8"/>
    </row>
    <row r="2841" ht="13.5" customHeight="1">
      <c r="A2841" s="7" t="s">
        <v>355</v>
      </c>
      <c r="B2841" s="7">
        <v>3.5</v>
      </c>
      <c r="C2841" s="7" t="s">
        <v>358</v>
      </c>
      <c r="D2841" s="7" t="s">
        <v>357</v>
      </c>
      <c r="E2841" s="7">
        <v>-32.7981275324866</v>
      </c>
      <c r="F2841" s="7">
        <v>3.20506640692671</v>
      </c>
      <c r="G2841" s="7">
        <v>4.29538588744823</v>
      </c>
      <c r="H2841" s="7">
        <v>-0.00196065823376422</v>
      </c>
      <c r="I2841" s="7">
        <v>-12.1992054372387</v>
      </c>
      <c r="J2841" s="7">
        <v>-8.1853365454591</v>
      </c>
      <c r="K2841" s="8"/>
      <c r="L2841" s="8"/>
    </row>
    <row r="2842" ht="13.5" customHeight="1">
      <c r="A2842" s="7" t="s">
        <v>355</v>
      </c>
      <c r="B2842" s="7">
        <v>0.0</v>
      </c>
      <c r="C2842" s="7" t="s">
        <v>359</v>
      </c>
      <c r="D2842" s="7" t="s">
        <v>357</v>
      </c>
      <c r="E2842" s="7">
        <v>-32.814983896123</v>
      </c>
      <c r="F2842" s="7">
        <v>3.20677692640723</v>
      </c>
      <c r="G2842" s="7">
        <v>4.29765030303265</v>
      </c>
      <c r="H2842" s="7">
        <v>-0.00196171333766032</v>
      </c>
      <c r="I2842" s="7">
        <v>-12.2060002294465</v>
      </c>
      <c r="J2842" s="7">
        <v>-8.18988359740716</v>
      </c>
      <c r="K2842" s="8"/>
      <c r="L2842" s="8"/>
    </row>
    <row r="2843" ht="13.5" customHeight="1">
      <c r="A2843" s="7" t="s">
        <v>355</v>
      </c>
      <c r="B2843" s="7">
        <v>1.75</v>
      </c>
      <c r="C2843" s="7" t="s">
        <v>359</v>
      </c>
      <c r="D2843" s="7" t="s">
        <v>357</v>
      </c>
      <c r="E2843" s="7">
        <v>-32.8318402597594</v>
      </c>
      <c r="F2843" s="7">
        <v>3.20848744588775</v>
      </c>
      <c r="G2843" s="7">
        <v>4.29991471861707</v>
      </c>
      <c r="H2843" s="7">
        <v>-0.00196276844155642</v>
      </c>
      <c r="I2843" s="7">
        <v>-12.2127950216543</v>
      </c>
      <c r="J2843" s="7">
        <v>-8.19443064935522</v>
      </c>
      <c r="K2843" s="8"/>
      <c r="L2843" s="8"/>
    </row>
    <row r="2844" ht="13.5" customHeight="1">
      <c r="A2844" s="7" t="s">
        <v>355</v>
      </c>
      <c r="B2844" s="7">
        <v>3.5</v>
      </c>
      <c r="C2844" s="7" t="s">
        <v>359</v>
      </c>
      <c r="D2844" s="7" t="s">
        <v>357</v>
      </c>
      <c r="E2844" s="7">
        <v>-32.8486966233958</v>
      </c>
      <c r="F2844" s="7">
        <v>3.21019796536827</v>
      </c>
      <c r="G2844" s="7">
        <v>4.30217913420149</v>
      </c>
      <c r="H2844" s="7">
        <v>-0.00196382354545252</v>
      </c>
      <c r="I2844" s="7">
        <v>-12.2195898138621</v>
      </c>
      <c r="J2844" s="7">
        <v>-8.19897770130328</v>
      </c>
      <c r="K2844" s="8"/>
      <c r="L2844" s="8"/>
    </row>
    <row r="2845" ht="13.5" customHeight="1">
      <c r="A2845" s="7" t="s">
        <v>355</v>
      </c>
      <c r="B2845" s="7">
        <v>0.0</v>
      </c>
      <c r="C2845" s="7" t="s">
        <v>360</v>
      </c>
      <c r="D2845" s="7" t="s">
        <v>357</v>
      </c>
      <c r="E2845" s="7">
        <v>-32.8655529870322</v>
      </c>
      <c r="F2845" s="7">
        <v>3.21190848484879</v>
      </c>
      <c r="G2845" s="7">
        <v>4.30444354978591</v>
      </c>
      <c r="H2845" s="7">
        <v>-0.00196487864934862</v>
      </c>
      <c r="I2845" s="7">
        <v>-12.2263846060699</v>
      </c>
      <c r="J2845" s="7">
        <v>-8.20352475325134</v>
      </c>
      <c r="K2845" s="8"/>
      <c r="L2845" s="8"/>
    </row>
    <row r="2846" ht="13.5" customHeight="1">
      <c r="A2846" s="7" t="s">
        <v>355</v>
      </c>
      <c r="B2846" s="7">
        <v>1.75</v>
      </c>
      <c r="C2846" s="7" t="s">
        <v>360</v>
      </c>
      <c r="D2846" s="7" t="s">
        <v>357</v>
      </c>
      <c r="E2846" s="7">
        <v>-32.8824093506686</v>
      </c>
      <c r="F2846" s="7">
        <v>3.21361900432931</v>
      </c>
      <c r="G2846" s="7">
        <v>4.30670796537033</v>
      </c>
      <c r="H2846" s="7">
        <v>-0.00196593375324472</v>
      </c>
      <c r="I2846" s="7">
        <v>-12.2331793982777</v>
      </c>
      <c r="J2846" s="7">
        <v>-8.2080718051994</v>
      </c>
      <c r="K2846" s="8"/>
      <c r="L2846" s="8"/>
    </row>
    <row r="2847" ht="13.5" customHeight="1">
      <c r="A2847" s="7" t="s">
        <v>355</v>
      </c>
      <c r="B2847" s="7">
        <v>3.5</v>
      </c>
      <c r="C2847" s="7" t="s">
        <v>360</v>
      </c>
      <c r="D2847" s="7" t="s">
        <v>357</v>
      </c>
      <c r="E2847" s="7">
        <v>-32.899265714305</v>
      </c>
      <c r="F2847" s="7">
        <v>3.21532952380983</v>
      </c>
      <c r="G2847" s="7">
        <v>4.30897238095475</v>
      </c>
      <c r="H2847" s="7">
        <v>-0.00196698885714082</v>
      </c>
      <c r="I2847" s="7">
        <v>-12.2399741904855</v>
      </c>
      <c r="J2847" s="7">
        <v>-8.21261885714746</v>
      </c>
      <c r="K2847" s="8"/>
      <c r="L2847" s="8"/>
    </row>
    <row r="2848" ht="13.5" customHeight="1">
      <c r="A2848" s="7" t="s">
        <v>355</v>
      </c>
      <c r="B2848" s="7">
        <v>0.0</v>
      </c>
      <c r="C2848" s="7" t="s">
        <v>361</v>
      </c>
      <c r="D2848" s="7" t="s">
        <v>357</v>
      </c>
      <c r="E2848" s="7">
        <v>-32.9161220779414</v>
      </c>
      <c r="F2848" s="7">
        <v>3.21704004329035</v>
      </c>
      <c r="G2848" s="7">
        <v>4.31123679653917</v>
      </c>
      <c r="H2848" s="7">
        <v>-0.00196804396103692</v>
      </c>
      <c r="I2848" s="7">
        <v>-12.2467689826933</v>
      </c>
      <c r="J2848" s="7">
        <v>-8.21716590909552</v>
      </c>
      <c r="K2848" s="8"/>
      <c r="L2848" s="8"/>
    </row>
    <row r="2849" ht="13.5" customHeight="1">
      <c r="A2849" s="7" t="s">
        <v>355</v>
      </c>
      <c r="B2849" s="7">
        <v>1.75</v>
      </c>
      <c r="C2849" s="7" t="s">
        <v>361</v>
      </c>
      <c r="D2849" s="7" t="s">
        <v>357</v>
      </c>
      <c r="E2849" s="7">
        <v>-32.9329784415778</v>
      </c>
      <c r="F2849" s="7">
        <v>3.21875056277087</v>
      </c>
      <c r="G2849" s="7">
        <v>4.31350121212359</v>
      </c>
      <c r="H2849" s="7">
        <v>-0.00196909906493302</v>
      </c>
      <c r="I2849" s="7">
        <v>-12.2535637749011</v>
      </c>
      <c r="J2849" s="7">
        <v>-8.22171296104358</v>
      </c>
      <c r="K2849" s="8"/>
      <c r="L2849" s="8"/>
    </row>
    <row r="2850" ht="13.5" customHeight="1">
      <c r="A2850" s="7" t="s">
        <v>355</v>
      </c>
      <c r="B2850" s="7">
        <v>3.5</v>
      </c>
      <c r="C2850" s="7" t="s">
        <v>361</v>
      </c>
      <c r="D2850" s="7" t="s">
        <v>357</v>
      </c>
      <c r="E2850" s="7">
        <v>-32.9498348052142</v>
      </c>
      <c r="F2850" s="7">
        <v>3.22046108225139</v>
      </c>
      <c r="G2850" s="7">
        <v>4.31576562770801</v>
      </c>
      <c r="H2850" s="7">
        <v>-0.00197015416882912</v>
      </c>
      <c r="I2850" s="7">
        <v>-12.260358567109</v>
      </c>
      <c r="J2850" s="7">
        <v>-8.22626001299164</v>
      </c>
      <c r="K2850" s="8"/>
      <c r="L2850" s="8"/>
    </row>
    <row r="2851" ht="13.5" customHeight="1">
      <c r="A2851" s="7" t="s">
        <v>355</v>
      </c>
      <c r="B2851" s="7">
        <v>0.0</v>
      </c>
      <c r="C2851" s="7" t="s">
        <v>362</v>
      </c>
      <c r="D2851" s="7" t="s">
        <v>357</v>
      </c>
      <c r="E2851" s="7">
        <v>-32.9666911688506</v>
      </c>
      <c r="F2851" s="7">
        <v>3.22217160173191</v>
      </c>
      <c r="G2851" s="7">
        <v>4.31803004329243</v>
      </c>
      <c r="H2851" s="7">
        <v>-0.00197120927272522</v>
      </c>
      <c r="I2851" s="7">
        <v>-12.2671533593168</v>
      </c>
      <c r="J2851" s="7">
        <v>-8.2308070649397</v>
      </c>
      <c r="K2851" s="8"/>
      <c r="L2851" s="8"/>
    </row>
    <row r="2852" ht="13.5" customHeight="1">
      <c r="A2852" s="7" t="s">
        <v>355</v>
      </c>
      <c r="B2852" s="7">
        <v>1.75</v>
      </c>
      <c r="C2852" s="7" t="s">
        <v>362</v>
      </c>
      <c r="D2852" s="7" t="s">
        <v>357</v>
      </c>
      <c r="E2852" s="7">
        <v>-32.983547532487</v>
      </c>
      <c r="F2852" s="7">
        <v>3.22388212121243</v>
      </c>
      <c r="G2852" s="7">
        <v>4.32029445887685</v>
      </c>
      <c r="H2852" s="7">
        <v>-0.00197226437662132</v>
      </c>
      <c r="I2852" s="7">
        <v>-12.2739481515246</v>
      </c>
      <c r="J2852" s="7">
        <v>-8.23535411688776</v>
      </c>
      <c r="K2852" s="8"/>
      <c r="L2852" s="8"/>
    </row>
    <row r="2853" ht="13.5" customHeight="1">
      <c r="A2853" s="7" t="s">
        <v>355</v>
      </c>
      <c r="B2853" s="7">
        <v>3.5</v>
      </c>
      <c r="C2853" s="7" t="s">
        <v>362</v>
      </c>
      <c r="D2853" s="7" t="s">
        <v>357</v>
      </c>
      <c r="E2853" s="7">
        <v>-33.0004038961234</v>
      </c>
      <c r="F2853" s="7">
        <v>3.22559264069295</v>
      </c>
      <c r="G2853" s="7">
        <v>4.32255887446127</v>
      </c>
      <c r="H2853" s="7">
        <v>-0.00197331948051742</v>
      </c>
      <c r="I2853" s="7">
        <v>-12.2807429437324</v>
      </c>
      <c r="J2853" s="7">
        <v>-8.23990116883582</v>
      </c>
      <c r="K2853" s="8"/>
      <c r="L2853" s="8"/>
    </row>
    <row r="2854" ht="13.5" customHeight="1">
      <c r="A2854" s="7" t="s">
        <v>355</v>
      </c>
      <c r="B2854" s="7">
        <v>0.0</v>
      </c>
      <c r="C2854" s="7" t="s">
        <v>363</v>
      </c>
      <c r="D2854" s="7" t="s">
        <v>357</v>
      </c>
      <c r="E2854" s="7">
        <v>-33.0172602597598</v>
      </c>
      <c r="F2854" s="7">
        <v>3.22730316017347</v>
      </c>
      <c r="G2854" s="7">
        <v>4.32482329004569</v>
      </c>
      <c r="H2854" s="7">
        <v>-0.00197437458441352</v>
      </c>
      <c r="I2854" s="7">
        <v>-12.2875377359402</v>
      </c>
      <c r="J2854" s="7">
        <v>-8.24444822078388</v>
      </c>
      <c r="K2854" s="8"/>
      <c r="L2854" s="8"/>
    </row>
    <row r="2855" ht="13.5" customHeight="1">
      <c r="A2855" s="7" t="s">
        <v>355</v>
      </c>
      <c r="B2855" s="7">
        <v>1.75</v>
      </c>
      <c r="C2855" s="7" t="s">
        <v>363</v>
      </c>
      <c r="D2855" s="7" t="s">
        <v>357</v>
      </c>
      <c r="E2855" s="7">
        <v>-33.0341166233962</v>
      </c>
      <c r="F2855" s="7">
        <v>3.22901367965399</v>
      </c>
      <c r="G2855" s="7">
        <v>4.32708770563011</v>
      </c>
      <c r="H2855" s="7">
        <v>-0.00197542968830962</v>
      </c>
      <c r="I2855" s="7">
        <v>-12.294332528148</v>
      </c>
      <c r="J2855" s="7">
        <v>-8.24899527273194</v>
      </c>
      <c r="K2855" s="8"/>
      <c r="L2855" s="8"/>
    </row>
    <row r="2856" ht="13.5" customHeight="1">
      <c r="A2856" s="7" t="s">
        <v>355</v>
      </c>
      <c r="B2856" s="7">
        <v>3.5</v>
      </c>
      <c r="C2856" s="7" t="s">
        <v>363</v>
      </c>
      <c r="D2856" s="7" t="s">
        <v>357</v>
      </c>
      <c r="E2856" s="7">
        <v>-33.0509729870326</v>
      </c>
      <c r="F2856" s="7">
        <v>3.23072419913451</v>
      </c>
      <c r="G2856" s="7">
        <v>4.32935212121453</v>
      </c>
      <c r="H2856" s="7">
        <v>-0.00197648479220572</v>
      </c>
      <c r="I2856" s="7">
        <v>-12.3011273203558</v>
      </c>
      <c r="J2856" s="7">
        <v>-8.25354232468</v>
      </c>
      <c r="K2856" s="8"/>
      <c r="L2856" s="8"/>
    </row>
    <row r="2857" ht="13.5" customHeight="1">
      <c r="A2857" s="7" t="s">
        <v>355</v>
      </c>
      <c r="B2857" s="7">
        <v>0.0</v>
      </c>
      <c r="C2857" s="7" t="s">
        <v>356</v>
      </c>
      <c r="D2857" s="7" t="s">
        <v>357</v>
      </c>
      <c r="E2857" s="7">
        <v>-33.067829350669</v>
      </c>
      <c r="F2857" s="7">
        <v>3.23243471861503</v>
      </c>
      <c r="G2857" s="7">
        <v>4.33161653679895</v>
      </c>
      <c r="H2857" s="7">
        <v>-0.00197753989610182</v>
      </c>
      <c r="I2857" s="7">
        <v>-12.3079221125636</v>
      </c>
      <c r="J2857" s="7">
        <v>-8.25808937662807</v>
      </c>
      <c r="K2857" s="8"/>
      <c r="L2857" s="8"/>
    </row>
    <row r="2858" ht="13.5" customHeight="1">
      <c r="A2858" s="7" t="s">
        <v>355</v>
      </c>
      <c r="B2858" s="7">
        <v>1.75</v>
      </c>
      <c r="C2858" s="7" t="s">
        <v>356</v>
      </c>
      <c r="D2858" s="7" t="s">
        <v>357</v>
      </c>
      <c r="E2858" s="7">
        <v>-33.0846857143054</v>
      </c>
      <c r="F2858" s="7">
        <v>3.23414523809555</v>
      </c>
      <c r="G2858" s="7">
        <v>4.33388095238337</v>
      </c>
      <c r="H2858" s="7">
        <v>-0.00197859499999792</v>
      </c>
      <c r="I2858" s="7">
        <v>-12.3147169047714</v>
      </c>
      <c r="J2858" s="7">
        <v>-8.26263642857613</v>
      </c>
      <c r="K2858" s="8"/>
      <c r="L2858" s="8"/>
    </row>
    <row r="2859" ht="13.5" customHeight="1">
      <c r="A2859" s="7" t="s">
        <v>355</v>
      </c>
      <c r="B2859" s="7">
        <v>3.5</v>
      </c>
      <c r="C2859" s="7" t="s">
        <v>356</v>
      </c>
      <c r="D2859" s="7" t="s">
        <v>357</v>
      </c>
      <c r="E2859" s="7">
        <v>-33.1015420779418</v>
      </c>
      <c r="F2859" s="7">
        <v>3.23585575757607</v>
      </c>
      <c r="G2859" s="7">
        <v>4.33614536796779</v>
      </c>
      <c r="H2859" s="7">
        <v>-0.00197965010389402</v>
      </c>
      <c r="I2859" s="7">
        <v>-12.3215116969793</v>
      </c>
      <c r="J2859" s="7">
        <v>-8.26718348052419</v>
      </c>
      <c r="K2859" s="8"/>
      <c r="L2859" s="8"/>
    </row>
    <row r="2860" ht="13.5" customHeight="1">
      <c r="A2860" s="7" t="s">
        <v>355</v>
      </c>
      <c r="B2860" s="7">
        <v>0.0</v>
      </c>
      <c r="C2860" s="7" t="s">
        <v>358</v>
      </c>
      <c r="D2860" s="7" t="s">
        <v>357</v>
      </c>
      <c r="E2860" s="7">
        <v>-33.1183984415782</v>
      </c>
      <c r="F2860" s="7">
        <v>3.23756627705659</v>
      </c>
      <c r="G2860" s="7">
        <v>4.33840978355221</v>
      </c>
      <c r="H2860" s="7">
        <v>-0.00198070520779012</v>
      </c>
      <c r="I2860" s="7">
        <v>-12.3283064891871</v>
      </c>
      <c r="J2860" s="7">
        <v>-8.27173053247225</v>
      </c>
      <c r="K2860" s="8"/>
      <c r="L2860" s="8"/>
    </row>
    <row r="2861" ht="13.5" customHeight="1">
      <c r="A2861" s="7" t="s">
        <v>355</v>
      </c>
      <c r="B2861" s="7">
        <v>1.75</v>
      </c>
      <c r="C2861" s="7" t="s">
        <v>358</v>
      </c>
      <c r="D2861" s="7" t="s">
        <v>357</v>
      </c>
      <c r="E2861" s="7">
        <v>-33.1352548052146</v>
      </c>
      <c r="F2861" s="7">
        <v>3.23927679653711</v>
      </c>
      <c r="G2861" s="7">
        <v>4.34067419913663</v>
      </c>
      <c r="H2861" s="7">
        <v>-0.00198176031168622</v>
      </c>
      <c r="I2861" s="7">
        <v>-12.3351012813949</v>
      </c>
      <c r="J2861" s="7">
        <v>-8.27627758442031</v>
      </c>
      <c r="K2861" s="8"/>
      <c r="L2861" s="8"/>
    </row>
    <row r="2862" ht="13.5" customHeight="1">
      <c r="A2862" s="7" t="s">
        <v>355</v>
      </c>
      <c r="B2862" s="7">
        <v>3.5</v>
      </c>
      <c r="C2862" s="7" t="s">
        <v>358</v>
      </c>
      <c r="D2862" s="7" t="s">
        <v>357</v>
      </c>
      <c r="E2862" s="7">
        <v>-33.152111168851</v>
      </c>
      <c r="F2862" s="7">
        <v>3.24098731601763</v>
      </c>
      <c r="G2862" s="7">
        <v>4.34293861472105</v>
      </c>
      <c r="H2862" s="7">
        <v>-0.00198281541558232</v>
      </c>
      <c r="I2862" s="7">
        <v>-12.3418960736027</v>
      </c>
      <c r="J2862" s="7">
        <v>-8.28082463636837</v>
      </c>
      <c r="K2862" s="8"/>
      <c r="L2862" s="8"/>
    </row>
    <row r="2863" ht="13.5" customHeight="1">
      <c r="A2863" s="7" t="s">
        <v>355</v>
      </c>
      <c r="B2863" s="7">
        <v>0.0</v>
      </c>
      <c r="C2863" s="7" t="s">
        <v>359</v>
      </c>
      <c r="D2863" s="7" t="s">
        <v>357</v>
      </c>
      <c r="E2863" s="7">
        <v>-33.1689675324874</v>
      </c>
      <c r="F2863" s="7">
        <v>3.24269783549815</v>
      </c>
      <c r="G2863" s="7">
        <v>4.34520303030547</v>
      </c>
      <c r="H2863" s="7">
        <v>-0.00198387051947842</v>
      </c>
      <c r="I2863" s="7">
        <v>-12.3486908658105</v>
      </c>
      <c r="J2863" s="7">
        <v>-8.28537168831643</v>
      </c>
      <c r="K2863" s="8"/>
      <c r="L2863" s="8"/>
    </row>
    <row r="2864" ht="13.5" customHeight="1">
      <c r="A2864" s="7" t="s">
        <v>355</v>
      </c>
      <c r="B2864" s="7">
        <v>1.75</v>
      </c>
      <c r="C2864" s="7" t="s">
        <v>359</v>
      </c>
      <c r="D2864" s="7" t="s">
        <v>357</v>
      </c>
      <c r="E2864" s="7">
        <v>-33.1858238961238</v>
      </c>
      <c r="F2864" s="7">
        <v>3.24440835497867</v>
      </c>
      <c r="G2864" s="7">
        <v>4.34746744588989</v>
      </c>
      <c r="H2864" s="7">
        <v>-0.00198492562337452</v>
      </c>
      <c r="I2864" s="7">
        <v>-12.3554856580183</v>
      </c>
      <c r="J2864" s="7">
        <v>-8.28991874026449</v>
      </c>
      <c r="K2864" s="8"/>
      <c r="L2864" s="8"/>
    </row>
    <row r="2865" ht="13.5" customHeight="1">
      <c r="A2865" s="7" t="s">
        <v>355</v>
      </c>
      <c r="B2865" s="7">
        <v>3.5</v>
      </c>
      <c r="C2865" s="7" t="s">
        <v>359</v>
      </c>
      <c r="D2865" s="7" t="s">
        <v>357</v>
      </c>
      <c r="E2865" s="7">
        <v>-33.2026802597602</v>
      </c>
      <c r="F2865" s="7">
        <v>3.24611887445919</v>
      </c>
      <c r="G2865" s="7">
        <v>4.34973186147431</v>
      </c>
      <c r="H2865" s="7">
        <v>-0.00198598072727062</v>
      </c>
      <c r="I2865" s="7">
        <v>-12.3622804502261</v>
      </c>
      <c r="J2865" s="7">
        <v>-8.29446579221255</v>
      </c>
      <c r="K2865" s="8"/>
      <c r="L2865" s="8"/>
    </row>
    <row r="2866" ht="13.5" customHeight="1">
      <c r="A2866" s="7" t="s">
        <v>355</v>
      </c>
      <c r="B2866" s="7">
        <v>0.0</v>
      </c>
      <c r="C2866" s="7" t="s">
        <v>360</v>
      </c>
      <c r="D2866" s="7" t="s">
        <v>357</v>
      </c>
      <c r="E2866" s="7">
        <v>-33.2195366233966</v>
      </c>
      <c r="F2866" s="7">
        <v>3.24782939393971</v>
      </c>
      <c r="G2866" s="7">
        <v>4.35199627705873</v>
      </c>
      <c r="H2866" s="7">
        <v>-0.00198703583116672</v>
      </c>
      <c r="I2866" s="7">
        <v>-12.3690752424339</v>
      </c>
      <c r="J2866" s="7">
        <v>-8.29901284416061</v>
      </c>
      <c r="K2866" s="8"/>
      <c r="L2866" s="8"/>
    </row>
    <row r="2867" ht="13.5" customHeight="1">
      <c r="A2867" s="7" t="s">
        <v>355</v>
      </c>
      <c r="B2867" s="7">
        <v>1.75</v>
      </c>
      <c r="C2867" s="7" t="s">
        <v>360</v>
      </c>
      <c r="D2867" s="7" t="s">
        <v>357</v>
      </c>
      <c r="E2867" s="7">
        <v>-33.236392987033</v>
      </c>
      <c r="F2867" s="7">
        <v>3.24953991342023</v>
      </c>
      <c r="G2867" s="7">
        <v>4.35426069264315</v>
      </c>
      <c r="H2867" s="7">
        <v>-0.00198809093506282</v>
      </c>
      <c r="I2867" s="7">
        <v>-12.3758700346417</v>
      </c>
      <c r="J2867" s="7">
        <v>-8.30355989610867</v>
      </c>
      <c r="K2867" s="8"/>
      <c r="L2867" s="8"/>
    </row>
    <row r="2868" ht="13.5" customHeight="1">
      <c r="A2868" s="7" t="s">
        <v>355</v>
      </c>
      <c r="B2868" s="7">
        <v>3.5</v>
      </c>
      <c r="C2868" s="7" t="s">
        <v>360</v>
      </c>
      <c r="D2868" s="7" t="s">
        <v>357</v>
      </c>
      <c r="E2868" s="7">
        <v>-33.2532493506694</v>
      </c>
      <c r="F2868" s="7">
        <v>3.25125043290075</v>
      </c>
      <c r="G2868" s="7">
        <v>4.35652510822757</v>
      </c>
      <c r="H2868" s="7">
        <v>-0.00198914603895892</v>
      </c>
      <c r="I2868" s="7">
        <v>-12.3826648268495</v>
      </c>
      <c r="J2868" s="7">
        <v>-8.30810694805673</v>
      </c>
      <c r="K2868" s="8"/>
      <c r="L2868" s="8"/>
    </row>
    <row r="2869" ht="13.5" customHeight="1">
      <c r="A2869" s="7" t="s">
        <v>355</v>
      </c>
      <c r="B2869" s="7">
        <v>0.0</v>
      </c>
      <c r="C2869" s="7" t="s">
        <v>361</v>
      </c>
      <c r="D2869" s="7" t="s">
        <v>357</v>
      </c>
      <c r="E2869" s="7">
        <v>-33.2701057143058</v>
      </c>
      <c r="F2869" s="7">
        <v>3.25296095238127</v>
      </c>
      <c r="G2869" s="7">
        <v>4.35878952381199</v>
      </c>
      <c r="H2869" s="7">
        <v>-0.00199020114285502</v>
      </c>
      <c r="I2869" s="7">
        <v>-12.3894596190573</v>
      </c>
      <c r="J2869" s="7">
        <v>-8.31265400000479</v>
      </c>
      <c r="K2869" s="8"/>
      <c r="L2869" s="8"/>
    </row>
    <row r="2870" ht="13.5" customHeight="1">
      <c r="A2870" s="7" t="s">
        <v>355</v>
      </c>
      <c r="B2870" s="7">
        <v>1.75</v>
      </c>
      <c r="C2870" s="7" t="s">
        <v>361</v>
      </c>
      <c r="D2870" s="7" t="s">
        <v>357</v>
      </c>
      <c r="E2870" s="7">
        <v>-33.2869620779422</v>
      </c>
      <c r="F2870" s="7">
        <v>3.25467147186179</v>
      </c>
      <c r="G2870" s="7">
        <v>4.36105393939641</v>
      </c>
      <c r="H2870" s="7">
        <v>-0.00199125624675112</v>
      </c>
      <c r="I2870" s="7">
        <v>-12.3962544112652</v>
      </c>
      <c r="J2870" s="7">
        <v>-8.31720105195285</v>
      </c>
      <c r="K2870" s="8"/>
      <c r="L2870" s="8"/>
    </row>
    <row r="2871" ht="13.5" customHeight="1">
      <c r="A2871" s="7" t="s">
        <v>355</v>
      </c>
      <c r="B2871" s="7">
        <v>3.5</v>
      </c>
      <c r="C2871" s="7" t="s">
        <v>361</v>
      </c>
      <c r="D2871" s="7" t="s">
        <v>357</v>
      </c>
      <c r="E2871" s="7">
        <v>-33.3038184415786</v>
      </c>
      <c r="F2871" s="7">
        <v>3.25638199134231</v>
      </c>
      <c r="G2871" s="7">
        <v>4.36331835498083</v>
      </c>
      <c r="H2871" s="7">
        <v>-0.00199231135064722</v>
      </c>
      <c r="I2871" s="7">
        <v>-12.403049203473</v>
      </c>
      <c r="J2871" s="7">
        <v>-8.32174810390091</v>
      </c>
      <c r="K2871" s="8"/>
      <c r="L2871" s="8"/>
    </row>
    <row r="2872" ht="13.5" customHeight="1">
      <c r="A2872" s="7" t="s">
        <v>355</v>
      </c>
      <c r="B2872" s="7">
        <v>0.0</v>
      </c>
      <c r="C2872" s="7" t="s">
        <v>362</v>
      </c>
      <c r="D2872" s="7" t="s">
        <v>357</v>
      </c>
      <c r="E2872" s="7">
        <v>-33.320674805215</v>
      </c>
      <c r="F2872" s="7">
        <v>3.25809251082283</v>
      </c>
      <c r="G2872" s="7">
        <v>4.36558277056525</v>
      </c>
      <c r="H2872" s="7">
        <v>-0.00199336645454332</v>
      </c>
      <c r="I2872" s="7">
        <v>-12.4098439956808</v>
      </c>
      <c r="J2872" s="7">
        <v>-8.32629515584897</v>
      </c>
      <c r="K2872" s="8"/>
      <c r="L2872" s="8"/>
    </row>
    <row r="2873" ht="13.5" customHeight="1">
      <c r="A2873" s="7" t="s">
        <v>355</v>
      </c>
      <c r="B2873" s="7">
        <v>1.75</v>
      </c>
      <c r="C2873" s="7" t="s">
        <v>362</v>
      </c>
      <c r="D2873" s="7" t="s">
        <v>357</v>
      </c>
      <c r="E2873" s="7">
        <v>-33.3375311688514</v>
      </c>
      <c r="F2873" s="7">
        <v>3.25980303030335</v>
      </c>
      <c r="G2873" s="7">
        <v>4.36784718614967</v>
      </c>
      <c r="H2873" s="7">
        <v>-0.00199442155843942</v>
      </c>
      <c r="I2873" s="7">
        <v>-12.4166387878886</v>
      </c>
      <c r="J2873" s="7">
        <v>-8.33084220779703</v>
      </c>
      <c r="K2873" s="8"/>
      <c r="L2873" s="8"/>
    </row>
    <row r="2874" ht="13.5" customHeight="1">
      <c r="A2874" s="7" t="s">
        <v>355</v>
      </c>
      <c r="B2874" s="7">
        <v>3.5</v>
      </c>
      <c r="C2874" s="7" t="s">
        <v>362</v>
      </c>
      <c r="D2874" s="7" t="s">
        <v>357</v>
      </c>
      <c r="E2874" s="7">
        <v>-33.3543875324878</v>
      </c>
      <c r="F2874" s="7">
        <v>3.26151354978387</v>
      </c>
      <c r="G2874" s="7">
        <v>4.37011160173409</v>
      </c>
      <c r="H2874" s="7">
        <v>-0.00199547666233552</v>
      </c>
      <c r="I2874" s="7">
        <v>-12.4234335800964</v>
      </c>
      <c r="J2874" s="7">
        <v>-8.3353892597451</v>
      </c>
      <c r="K2874" s="8"/>
      <c r="L2874" s="8"/>
    </row>
    <row r="2875" ht="13.5" customHeight="1">
      <c r="A2875" s="7" t="s">
        <v>355</v>
      </c>
      <c r="B2875" s="7">
        <v>0.0</v>
      </c>
      <c r="C2875" s="7" t="s">
        <v>363</v>
      </c>
      <c r="D2875" s="7" t="s">
        <v>357</v>
      </c>
      <c r="E2875" s="7">
        <v>-33.3712438961242</v>
      </c>
      <c r="F2875" s="7">
        <v>3.26322406926439</v>
      </c>
      <c r="G2875" s="7">
        <v>4.37237601731851</v>
      </c>
      <c r="H2875" s="7">
        <v>-0.00199653176623163</v>
      </c>
      <c r="I2875" s="7">
        <v>-12.4302283723042</v>
      </c>
      <c r="J2875" s="7">
        <v>-8.33993631169316</v>
      </c>
      <c r="K2875" s="8"/>
      <c r="L2875" s="8"/>
    </row>
    <row r="2876" ht="13.5" customHeight="1">
      <c r="A2876" s="7" t="s">
        <v>355</v>
      </c>
      <c r="B2876" s="7">
        <v>1.75</v>
      </c>
      <c r="C2876" s="7" t="s">
        <v>363</v>
      </c>
      <c r="D2876" s="7" t="s">
        <v>357</v>
      </c>
      <c r="E2876" s="7">
        <v>-33.3881002597606</v>
      </c>
      <c r="F2876" s="7">
        <v>3.26493458874491</v>
      </c>
      <c r="G2876" s="7">
        <v>4.37464043290293</v>
      </c>
      <c r="H2876" s="7">
        <v>-0.00199758687012773</v>
      </c>
      <c r="I2876" s="7">
        <v>-12.437023164512</v>
      </c>
      <c r="J2876" s="7">
        <v>-8.34448336364122</v>
      </c>
      <c r="K2876" s="8"/>
      <c r="L2876" s="8"/>
    </row>
    <row r="2877" ht="13.5" customHeight="1">
      <c r="A2877" s="7" t="s">
        <v>355</v>
      </c>
      <c r="B2877" s="7">
        <v>3.5</v>
      </c>
      <c r="C2877" s="7" t="s">
        <v>363</v>
      </c>
      <c r="D2877" s="7" t="s">
        <v>357</v>
      </c>
      <c r="E2877" s="7">
        <v>-33.404956623397</v>
      </c>
      <c r="F2877" s="7">
        <v>3.26664510822543</v>
      </c>
      <c r="G2877" s="7">
        <v>4.37690484848735</v>
      </c>
      <c r="H2877" s="7">
        <v>-0.00199864197402382</v>
      </c>
      <c r="I2877" s="7">
        <v>-12.4438179567198</v>
      </c>
      <c r="J2877" s="7">
        <v>-8.34903041558928</v>
      </c>
      <c r="K2877" s="8"/>
      <c r="L2877" s="8"/>
    </row>
    <row r="2878" ht="13.5" customHeight="1">
      <c r="A2878" s="7" t="s">
        <v>355</v>
      </c>
      <c r="B2878" s="7">
        <v>0.0</v>
      </c>
      <c r="C2878" s="7" t="s">
        <v>356</v>
      </c>
      <c r="D2878" s="7" t="s">
        <v>357</v>
      </c>
      <c r="E2878" s="7">
        <v>-33.4218129870334</v>
      </c>
      <c r="F2878" s="7">
        <v>3.26835562770595</v>
      </c>
      <c r="G2878" s="7">
        <v>4.37916926407177</v>
      </c>
      <c r="H2878" s="7">
        <v>-0.00199969707791992</v>
      </c>
      <c r="I2878" s="7">
        <v>-12.4506127489276</v>
      </c>
      <c r="J2878" s="7">
        <v>-8.35357746753734</v>
      </c>
      <c r="K2878" s="8"/>
      <c r="L2878" s="8"/>
    </row>
    <row r="2879" ht="13.5" customHeight="1">
      <c r="A2879" s="7" t="s">
        <v>355</v>
      </c>
      <c r="B2879" s="7">
        <v>1.75</v>
      </c>
      <c r="C2879" s="7" t="s">
        <v>356</v>
      </c>
      <c r="D2879" s="7" t="s">
        <v>357</v>
      </c>
      <c r="E2879" s="7">
        <v>-33.4386693506698</v>
      </c>
      <c r="F2879" s="7">
        <v>3.27006614718647</v>
      </c>
      <c r="G2879" s="7">
        <v>4.38143367965619</v>
      </c>
      <c r="H2879" s="7">
        <v>-0.00200075218181603</v>
      </c>
      <c r="I2879" s="7">
        <v>-12.4574075411354</v>
      </c>
      <c r="J2879" s="7">
        <v>-8.3581245194854</v>
      </c>
      <c r="K2879" s="8"/>
      <c r="L2879" s="8"/>
    </row>
    <row r="2880" ht="13.5" customHeight="1">
      <c r="A2880" s="7" t="s">
        <v>355</v>
      </c>
      <c r="B2880" s="7">
        <v>3.5</v>
      </c>
      <c r="C2880" s="7" t="s">
        <v>356</v>
      </c>
      <c r="D2880" s="7" t="s">
        <v>357</v>
      </c>
      <c r="E2880" s="7">
        <v>-33.4555257143062</v>
      </c>
      <c r="F2880" s="7">
        <v>3.27177666666699</v>
      </c>
      <c r="G2880" s="7">
        <v>4.38369809524061</v>
      </c>
      <c r="H2880" s="7">
        <v>-0.00200180728571212</v>
      </c>
      <c r="I2880" s="7">
        <v>-12.4642023333433</v>
      </c>
      <c r="J2880" s="7">
        <v>-8.36267157143346</v>
      </c>
      <c r="K2880" s="8"/>
      <c r="L2880" s="8"/>
    </row>
    <row r="2881" ht="13.5" customHeight="1">
      <c r="A2881" s="7" t="s">
        <v>355</v>
      </c>
      <c r="B2881" s="7">
        <v>0.0</v>
      </c>
      <c r="C2881" s="7" t="s">
        <v>358</v>
      </c>
      <c r="D2881" s="7" t="s">
        <v>357</v>
      </c>
      <c r="E2881" s="7">
        <v>-33.4723820779426</v>
      </c>
      <c r="F2881" s="7">
        <v>3.27348718614751</v>
      </c>
      <c r="G2881" s="7">
        <v>4.38596251082503</v>
      </c>
      <c r="H2881" s="7">
        <v>-0.00200286238960822</v>
      </c>
      <c r="I2881" s="7">
        <v>-12.4709971255511</v>
      </c>
      <c r="J2881" s="7">
        <v>-8.36721862338152</v>
      </c>
      <c r="K2881" s="8"/>
      <c r="L2881" s="8"/>
    </row>
    <row r="2882" ht="13.5" customHeight="1">
      <c r="A2882" s="7" t="s">
        <v>355</v>
      </c>
      <c r="B2882" s="7">
        <v>1.75</v>
      </c>
      <c r="C2882" s="7" t="s">
        <v>358</v>
      </c>
      <c r="D2882" s="7" t="s">
        <v>357</v>
      </c>
      <c r="E2882" s="7">
        <v>-33.489238441579</v>
      </c>
      <c r="F2882" s="7">
        <v>3.27519770562803</v>
      </c>
      <c r="G2882" s="7">
        <v>4.38822692640945</v>
      </c>
      <c r="H2882" s="7">
        <v>-0.00200391749350433</v>
      </c>
      <c r="I2882" s="7">
        <v>-12.4777919177589</v>
      </c>
      <c r="J2882" s="7">
        <v>-8.37176567532958</v>
      </c>
      <c r="K2882" s="8"/>
      <c r="L2882" s="8"/>
    </row>
    <row r="2883" ht="13.5" customHeight="1">
      <c r="A2883" s="7" t="s">
        <v>355</v>
      </c>
      <c r="B2883" s="7">
        <v>3.5</v>
      </c>
      <c r="C2883" s="7" t="s">
        <v>358</v>
      </c>
      <c r="D2883" s="7" t="s">
        <v>357</v>
      </c>
      <c r="E2883" s="7">
        <v>-33.5060948052154</v>
      </c>
      <c r="F2883" s="7">
        <v>3.27690822510855</v>
      </c>
      <c r="G2883" s="7">
        <v>4.39049134199387</v>
      </c>
      <c r="H2883" s="7">
        <v>-0.00200497259740042</v>
      </c>
      <c r="I2883" s="7">
        <v>-12.4845867099667</v>
      </c>
      <c r="J2883" s="7">
        <v>-8.37631272727764</v>
      </c>
      <c r="K2883" s="8"/>
      <c r="L2883" s="8"/>
    </row>
    <row r="2884" ht="13.5" customHeight="1">
      <c r="A2884" s="7" t="s">
        <v>355</v>
      </c>
      <c r="B2884" s="7">
        <v>0.0</v>
      </c>
      <c r="C2884" s="7" t="s">
        <v>359</v>
      </c>
      <c r="D2884" s="7" t="s">
        <v>357</v>
      </c>
      <c r="E2884" s="7">
        <v>-33.5229511688518</v>
      </c>
      <c r="F2884" s="7">
        <v>3.27861874458907</v>
      </c>
      <c r="G2884" s="7">
        <v>4.39275575757829</v>
      </c>
      <c r="H2884" s="7">
        <v>-0.00200602770129652</v>
      </c>
      <c r="I2884" s="7">
        <v>-12.4913815021745</v>
      </c>
      <c r="J2884" s="7">
        <v>-8.3808597792257</v>
      </c>
      <c r="K2884" s="8"/>
      <c r="L2884" s="8"/>
    </row>
    <row r="2885" ht="13.5" customHeight="1">
      <c r="A2885" s="7" t="s">
        <v>355</v>
      </c>
      <c r="B2885" s="7">
        <v>1.75</v>
      </c>
      <c r="C2885" s="7" t="s">
        <v>359</v>
      </c>
      <c r="D2885" s="7" t="s">
        <v>357</v>
      </c>
      <c r="E2885" s="7">
        <v>-33.5398075324882</v>
      </c>
      <c r="F2885" s="7">
        <v>3.28032926406959</v>
      </c>
      <c r="G2885" s="7">
        <v>4.39502017316271</v>
      </c>
      <c r="H2885" s="7">
        <v>-0.00200708280519262</v>
      </c>
      <c r="I2885" s="7">
        <v>-12.4981762943823</v>
      </c>
      <c r="J2885" s="7">
        <v>-8.38540683117376</v>
      </c>
      <c r="K2885" s="8"/>
      <c r="L2885" s="8"/>
    </row>
    <row r="2886" ht="13.5" customHeight="1">
      <c r="A2886" s="7" t="s">
        <v>355</v>
      </c>
      <c r="B2886" s="7">
        <v>3.5</v>
      </c>
      <c r="C2886" s="7" t="s">
        <v>359</v>
      </c>
      <c r="D2886" s="7" t="s">
        <v>357</v>
      </c>
      <c r="E2886" s="7">
        <v>-33.5566638961246</v>
      </c>
      <c r="F2886" s="7">
        <v>3.28203978355011</v>
      </c>
      <c r="G2886" s="7">
        <v>4.39728458874713</v>
      </c>
      <c r="H2886" s="7">
        <v>-0.00200813790908872</v>
      </c>
      <c r="I2886" s="7">
        <v>-12.5049710865901</v>
      </c>
      <c r="J2886" s="7">
        <v>-8.38995388312182</v>
      </c>
      <c r="K2886" s="8"/>
      <c r="L2886" s="8"/>
    </row>
    <row r="2887" ht="13.5" customHeight="1">
      <c r="A2887" s="7" t="s">
        <v>355</v>
      </c>
      <c r="B2887" s="7">
        <v>0.0</v>
      </c>
      <c r="C2887" s="7" t="s">
        <v>360</v>
      </c>
      <c r="D2887" s="7" t="s">
        <v>357</v>
      </c>
      <c r="E2887" s="7">
        <v>-33.573520259761</v>
      </c>
      <c r="F2887" s="7">
        <v>3.28375030303063</v>
      </c>
      <c r="G2887" s="7">
        <v>4.39954900433155</v>
      </c>
      <c r="H2887" s="7">
        <v>-0.00200919301298483</v>
      </c>
      <c r="I2887" s="7">
        <v>-12.5117658787979</v>
      </c>
      <c r="J2887" s="7">
        <v>-8.39450093506988</v>
      </c>
      <c r="K2887" s="8"/>
      <c r="L2887" s="8"/>
    </row>
    <row r="2888" ht="13.5" customHeight="1">
      <c r="A2888" s="7" t="s">
        <v>355</v>
      </c>
      <c r="B2888" s="7">
        <v>1.75</v>
      </c>
      <c r="C2888" s="7" t="s">
        <v>360</v>
      </c>
      <c r="D2888" s="7" t="s">
        <v>357</v>
      </c>
      <c r="E2888" s="7">
        <v>-33.5903766233974</v>
      </c>
      <c r="F2888" s="7">
        <v>3.28546082251115</v>
      </c>
      <c r="G2888" s="7">
        <v>4.40181341991597</v>
      </c>
      <c r="H2888" s="7">
        <v>-0.00201024811688093</v>
      </c>
      <c r="I2888" s="7">
        <v>-12.5185606710057</v>
      </c>
      <c r="J2888" s="7">
        <v>-8.39904798701794</v>
      </c>
      <c r="K2888" s="8"/>
      <c r="L2888" s="8"/>
    </row>
    <row r="2889" ht="13.5" customHeight="1">
      <c r="A2889" s="7" t="s">
        <v>355</v>
      </c>
      <c r="B2889" s="7">
        <v>3.5</v>
      </c>
      <c r="C2889" s="7" t="s">
        <v>360</v>
      </c>
      <c r="D2889" s="7" t="s">
        <v>357</v>
      </c>
      <c r="E2889" s="7">
        <v>-33.6072329870338</v>
      </c>
      <c r="F2889" s="7">
        <v>3.28717134199167</v>
      </c>
      <c r="G2889" s="7">
        <v>4.40407783550039</v>
      </c>
      <c r="H2889" s="7">
        <v>-0.00201130322077703</v>
      </c>
      <c r="I2889" s="7">
        <v>-12.5253554632135</v>
      </c>
      <c r="J2889" s="7">
        <v>-8.403595038966</v>
      </c>
      <c r="K2889" s="8"/>
      <c r="L2889" s="8"/>
    </row>
    <row r="2890" ht="13.5" customHeight="1">
      <c r="A2890" s="7" t="s">
        <v>355</v>
      </c>
      <c r="B2890" s="7">
        <v>0.0</v>
      </c>
      <c r="C2890" s="7" t="s">
        <v>361</v>
      </c>
      <c r="D2890" s="7" t="s">
        <v>357</v>
      </c>
      <c r="E2890" s="7">
        <v>-33.6240893506702</v>
      </c>
      <c r="F2890" s="7">
        <v>3.28888186147219</v>
      </c>
      <c r="G2890" s="7">
        <v>4.40634225108481</v>
      </c>
      <c r="H2890" s="7">
        <v>-0.00201235832467313</v>
      </c>
      <c r="I2890" s="7">
        <v>-12.5321502554213</v>
      </c>
      <c r="J2890" s="7">
        <v>-8.40814209091406</v>
      </c>
      <c r="K2890" s="8"/>
      <c r="L2890" s="8"/>
    </row>
    <row r="2891" ht="13.5" customHeight="1">
      <c r="A2891" s="7" t="s">
        <v>355</v>
      </c>
      <c r="B2891" s="7">
        <v>1.75</v>
      </c>
      <c r="C2891" s="7" t="s">
        <v>361</v>
      </c>
      <c r="D2891" s="7" t="s">
        <v>357</v>
      </c>
      <c r="E2891" s="7">
        <v>-33.6409457143066</v>
      </c>
      <c r="F2891" s="7">
        <v>3.29059238095271</v>
      </c>
      <c r="G2891" s="7">
        <v>4.40860666666923</v>
      </c>
      <c r="H2891" s="7">
        <v>-0.00201341342856923</v>
      </c>
      <c r="I2891" s="7">
        <v>-12.5389450476292</v>
      </c>
      <c r="J2891" s="7">
        <v>-8.41268914286213</v>
      </c>
      <c r="K2891" s="8"/>
      <c r="L2891" s="8"/>
    </row>
    <row r="2892" ht="13.5" customHeight="1">
      <c r="A2892" s="7" t="s">
        <v>355</v>
      </c>
      <c r="B2892" s="7">
        <v>3.5</v>
      </c>
      <c r="C2892" s="7" t="s">
        <v>361</v>
      </c>
      <c r="D2892" s="7" t="s">
        <v>357</v>
      </c>
      <c r="E2892" s="7">
        <v>-33.657802077943</v>
      </c>
      <c r="F2892" s="7">
        <v>3.29230290043323</v>
      </c>
      <c r="G2892" s="7">
        <v>4.41087108225365</v>
      </c>
      <c r="H2892" s="7">
        <v>-0.00201446853246533</v>
      </c>
      <c r="I2892" s="7">
        <v>-12.545739839837</v>
      </c>
      <c r="J2892" s="7">
        <v>-8.41723619481019</v>
      </c>
      <c r="K2892" s="8"/>
      <c r="L2892" s="8"/>
    </row>
    <row r="2893" ht="13.5" customHeight="1">
      <c r="A2893" s="7" t="s">
        <v>355</v>
      </c>
      <c r="B2893" s="7">
        <v>0.0</v>
      </c>
      <c r="C2893" s="7" t="s">
        <v>362</v>
      </c>
      <c r="D2893" s="7" t="s">
        <v>357</v>
      </c>
      <c r="E2893" s="7">
        <v>-33.6746584415794</v>
      </c>
      <c r="F2893" s="7">
        <v>3.29401341991375</v>
      </c>
      <c r="G2893" s="7">
        <v>4.41313549783807</v>
      </c>
      <c r="H2893" s="7">
        <v>-0.00201552363636143</v>
      </c>
      <c r="I2893" s="7">
        <v>-12.5525346320448</v>
      </c>
      <c r="J2893" s="7">
        <v>-8.42178324675825</v>
      </c>
      <c r="K2893" s="8"/>
      <c r="L2893" s="8"/>
    </row>
    <row r="2894" ht="13.5" customHeight="1">
      <c r="A2894" s="7" t="s">
        <v>355</v>
      </c>
      <c r="B2894" s="7">
        <v>1.75</v>
      </c>
      <c r="C2894" s="7" t="s">
        <v>362</v>
      </c>
      <c r="D2894" s="7" t="s">
        <v>357</v>
      </c>
      <c r="E2894" s="7">
        <v>-33.6915148052158</v>
      </c>
      <c r="F2894" s="7">
        <v>3.29572393939427</v>
      </c>
      <c r="G2894" s="7">
        <v>4.41539991342249</v>
      </c>
      <c r="H2894" s="7">
        <v>-0.00201657874025753</v>
      </c>
      <c r="I2894" s="7">
        <v>-12.5593294242526</v>
      </c>
      <c r="J2894" s="7">
        <v>-8.42633029870631</v>
      </c>
      <c r="K2894" s="8"/>
      <c r="L2894" s="8"/>
    </row>
    <row r="2895" ht="13.5" customHeight="1">
      <c r="A2895" s="7" t="s">
        <v>355</v>
      </c>
      <c r="B2895" s="7">
        <v>3.5</v>
      </c>
      <c r="C2895" s="7" t="s">
        <v>362</v>
      </c>
      <c r="D2895" s="7" t="s">
        <v>357</v>
      </c>
      <c r="E2895" s="7">
        <v>-33.7083711688522</v>
      </c>
      <c r="F2895" s="7">
        <v>3.29743445887479</v>
      </c>
      <c r="G2895" s="7">
        <v>4.41766432900691</v>
      </c>
      <c r="H2895" s="7">
        <v>-0.00201763384415363</v>
      </c>
      <c r="I2895" s="7">
        <v>-12.5661242164604</v>
      </c>
      <c r="J2895" s="7">
        <v>-8.43087735065437</v>
      </c>
      <c r="K2895" s="8"/>
      <c r="L2895" s="8"/>
    </row>
    <row r="2896" ht="13.5" customHeight="1">
      <c r="A2896" s="7" t="s">
        <v>355</v>
      </c>
      <c r="B2896" s="7">
        <v>0.0</v>
      </c>
      <c r="C2896" s="7" t="s">
        <v>363</v>
      </c>
      <c r="D2896" s="7" t="s">
        <v>357</v>
      </c>
      <c r="E2896" s="7">
        <v>-33.7252275324886</v>
      </c>
      <c r="F2896" s="7">
        <v>3.29914497835531</v>
      </c>
      <c r="G2896" s="7">
        <v>4.41992874459133</v>
      </c>
      <c r="H2896" s="7">
        <v>-0.00201868894804973</v>
      </c>
      <c r="I2896" s="7">
        <v>-12.5729190086682</v>
      </c>
      <c r="J2896" s="7">
        <v>-8.43542440260243</v>
      </c>
      <c r="K2896" s="8"/>
      <c r="L2896" s="8"/>
    </row>
    <row r="2897" ht="13.5" customHeight="1">
      <c r="A2897" s="7" t="s">
        <v>355</v>
      </c>
      <c r="B2897" s="7">
        <v>1.75</v>
      </c>
      <c r="C2897" s="7" t="s">
        <v>363</v>
      </c>
      <c r="D2897" s="7" t="s">
        <v>357</v>
      </c>
      <c r="E2897" s="7">
        <v>-33.742083896125</v>
      </c>
      <c r="F2897" s="7">
        <v>3.30085549783583</v>
      </c>
      <c r="G2897" s="7">
        <v>4.42219316017575</v>
      </c>
      <c r="H2897" s="7">
        <v>-0.00201974405194583</v>
      </c>
      <c r="I2897" s="7">
        <v>-12.579713800876</v>
      </c>
      <c r="J2897" s="7">
        <v>-8.43997145455049</v>
      </c>
      <c r="K2897" s="8"/>
      <c r="L2897" s="8"/>
    </row>
    <row r="2898" ht="13.5" customHeight="1">
      <c r="A2898" s="7" t="s">
        <v>355</v>
      </c>
      <c r="B2898" s="7">
        <v>3.5</v>
      </c>
      <c r="C2898" s="7" t="s">
        <v>363</v>
      </c>
      <c r="D2898" s="7" t="s">
        <v>357</v>
      </c>
      <c r="E2898" s="7">
        <v>-33.7589402597614</v>
      </c>
      <c r="F2898" s="7">
        <v>3.30256601731635</v>
      </c>
      <c r="G2898" s="7">
        <v>4.42445757576017</v>
      </c>
      <c r="H2898" s="7">
        <v>-0.00202079915584193</v>
      </c>
      <c r="I2898" s="7">
        <v>-12.5865085930838</v>
      </c>
      <c r="J2898" s="7">
        <v>-8.44451850649855</v>
      </c>
      <c r="K2898" s="8"/>
      <c r="L2898" s="8"/>
    </row>
    <row r="2899" ht="13.5" customHeight="1">
      <c r="A2899" s="7" t="s">
        <v>355</v>
      </c>
      <c r="B2899" s="7">
        <v>0.0</v>
      </c>
      <c r="C2899" s="7" t="s">
        <v>356</v>
      </c>
      <c r="D2899" s="7" t="s">
        <v>357</v>
      </c>
      <c r="E2899" s="7">
        <v>-33.7757966233978</v>
      </c>
      <c r="F2899" s="7">
        <v>3.30427653679687</v>
      </c>
      <c r="G2899" s="7">
        <v>4.42672199134459</v>
      </c>
      <c r="H2899" s="7">
        <v>-0.00202185425973803</v>
      </c>
      <c r="I2899" s="7">
        <v>-12.5933033852916</v>
      </c>
      <c r="J2899" s="7">
        <v>-8.44906555844661</v>
      </c>
      <c r="K2899" s="8"/>
      <c r="L2899" s="8"/>
    </row>
    <row r="2900" ht="13.5" customHeight="1">
      <c r="A2900" s="7" t="s">
        <v>355</v>
      </c>
      <c r="B2900" s="7">
        <v>1.75</v>
      </c>
      <c r="C2900" s="7" t="s">
        <v>356</v>
      </c>
      <c r="D2900" s="7" t="s">
        <v>357</v>
      </c>
      <c r="E2900" s="7">
        <v>-33.7926529870342</v>
      </c>
      <c r="F2900" s="7">
        <v>3.30598705627739</v>
      </c>
      <c r="G2900" s="7">
        <v>4.42898640692901</v>
      </c>
      <c r="H2900" s="7">
        <v>-0.00202290936363413</v>
      </c>
      <c r="I2900" s="7">
        <v>-12.6000981774994</v>
      </c>
      <c r="J2900" s="7">
        <v>-8.45361261039467</v>
      </c>
      <c r="K2900" s="8"/>
      <c r="L2900" s="8"/>
    </row>
    <row r="2901" ht="13.5" customHeight="1">
      <c r="A2901" s="7" t="s">
        <v>355</v>
      </c>
      <c r="B2901" s="7">
        <v>3.5</v>
      </c>
      <c r="C2901" s="7" t="s">
        <v>356</v>
      </c>
      <c r="D2901" s="7" t="s">
        <v>357</v>
      </c>
      <c r="E2901" s="7">
        <v>-33.8095093506706</v>
      </c>
      <c r="F2901" s="7">
        <v>3.30769757575791</v>
      </c>
      <c r="G2901" s="7">
        <v>4.43125082251343</v>
      </c>
      <c r="H2901" s="7">
        <v>-0.00202396446753023</v>
      </c>
      <c r="I2901" s="7">
        <v>-12.6068929697073</v>
      </c>
      <c r="J2901" s="7">
        <v>-8.45815966234273</v>
      </c>
      <c r="K2901" s="8"/>
      <c r="L2901" s="8"/>
    </row>
    <row r="2902" ht="13.5" customHeight="1">
      <c r="A2902" s="7" t="s">
        <v>355</v>
      </c>
      <c r="B2902" s="7">
        <v>0.0</v>
      </c>
      <c r="C2902" s="7" t="s">
        <v>358</v>
      </c>
      <c r="D2902" s="7" t="s">
        <v>357</v>
      </c>
      <c r="E2902" s="7">
        <v>-33.826365714307</v>
      </c>
      <c r="F2902" s="7">
        <v>3.30940809523843</v>
      </c>
      <c r="G2902" s="7">
        <v>4.43351523809785</v>
      </c>
      <c r="H2902" s="7">
        <v>-0.00202501957142633</v>
      </c>
      <c r="I2902" s="7">
        <v>-12.6136877619151</v>
      </c>
      <c r="J2902" s="7">
        <v>-8.46270671429079</v>
      </c>
      <c r="K2902" s="8"/>
      <c r="L2902" s="8"/>
    </row>
    <row r="2903" ht="13.5" customHeight="1">
      <c r="A2903" s="7" t="s">
        <v>355</v>
      </c>
      <c r="B2903" s="7">
        <v>1.75</v>
      </c>
      <c r="C2903" s="7" t="s">
        <v>358</v>
      </c>
      <c r="D2903" s="7" t="s">
        <v>357</v>
      </c>
      <c r="E2903" s="7">
        <v>-33.8432220779434</v>
      </c>
      <c r="F2903" s="7">
        <v>3.31111861471895</v>
      </c>
      <c r="G2903" s="7">
        <v>4.43577965368227</v>
      </c>
      <c r="H2903" s="7">
        <v>-0.00202607467532243</v>
      </c>
      <c r="I2903" s="7">
        <v>-12.6204825541229</v>
      </c>
      <c r="J2903" s="7">
        <v>-8.46725376623885</v>
      </c>
      <c r="K2903" s="8"/>
      <c r="L2903" s="8"/>
    </row>
    <row r="2904" ht="13.5" customHeight="1">
      <c r="A2904" s="7" t="s">
        <v>355</v>
      </c>
      <c r="B2904" s="7">
        <v>3.5</v>
      </c>
      <c r="C2904" s="7" t="s">
        <v>358</v>
      </c>
      <c r="D2904" s="7" t="s">
        <v>357</v>
      </c>
      <c r="E2904" s="7">
        <v>-33.8600784415798</v>
      </c>
      <c r="F2904" s="7">
        <v>3.31282913419947</v>
      </c>
      <c r="G2904" s="7">
        <v>4.43804406926669</v>
      </c>
      <c r="H2904" s="7">
        <v>-0.00202712977921853</v>
      </c>
      <c r="I2904" s="7">
        <v>-12.6272773463307</v>
      </c>
      <c r="J2904" s="7">
        <v>-8.47180081818691</v>
      </c>
      <c r="K2904" s="8"/>
      <c r="L2904" s="8"/>
    </row>
    <row r="2905" ht="13.5" customHeight="1">
      <c r="A2905" s="7" t="s">
        <v>355</v>
      </c>
      <c r="B2905" s="7">
        <v>0.0</v>
      </c>
      <c r="C2905" s="7" t="s">
        <v>359</v>
      </c>
      <c r="D2905" s="7" t="s">
        <v>357</v>
      </c>
      <c r="E2905" s="7">
        <v>-33.8769348052162</v>
      </c>
      <c r="F2905" s="7">
        <v>3.31453965367999</v>
      </c>
      <c r="G2905" s="7">
        <v>4.44030848485111</v>
      </c>
      <c r="H2905" s="7">
        <v>-0.00202818488311463</v>
      </c>
      <c r="I2905" s="7">
        <v>-12.6340721385385</v>
      </c>
      <c r="J2905" s="7">
        <v>-8.47634787013497</v>
      </c>
      <c r="K2905" s="8"/>
      <c r="L2905" s="8"/>
    </row>
    <row r="2906" ht="13.5" customHeight="1">
      <c r="A2906" s="7" t="s">
        <v>355</v>
      </c>
      <c r="B2906" s="7">
        <v>1.75</v>
      </c>
      <c r="C2906" s="7" t="s">
        <v>359</v>
      </c>
      <c r="D2906" s="7" t="s">
        <v>357</v>
      </c>
      <c r="E2906" s="7">
        <v>-33.8937911688526</v>
      </c>
      <c r="F2906" s="7">
        <v>3.31625017316051</v>
      </c>
      <c r="G2906" s="7">
        <v>4.44257290043553</v>
      </c>
      <c r="H2906" s="7">
        <v>-0.00202923998701073</v>
      </c>
      <c r="I2906" s="7">
        <v>-12.6408669307463</v>
      </c>
      <c r="J2906" s="7">
        <v>-8.48089492208303</v>
      </c>
      <c r="K2906" s="8"/>
      <c r="L2906" s="8"/>
    </row>
    <row r="2907" ht="13.5" customHeight="1">
      <c r="A2907" s="7" t="s">
        <v>355</v>
      </c>
      <c r="B2907" s="7">
        <v>3.5</v>
      </c>
      <c r="C2907" s="7" t="s">
        <v>359</v>
      </c>
      <c r="D2907" s="7" t="s">
        <v>357</v>
      </c>
      <c r="E2907" s="7">
        <v>-33.910647532489</v>
      </c>
      <c r="F2907" s="7">
        <v>3.31796069264103</v>
      </c>
      <c r="G2907" s="7">
        <v>4.44483731601995</v>
      </c>
      <c r="H2907" s="7">
        <v>-0.00203029509090683</v>
      </c>
      <c r="I2907" s="7">
        <v>-12.6476617229541</v>
      </c>
      <c r="J2907" s="7">
        <v>-8.48544197403109</v>
      </c>
      <c r="K2907" s="8"/>
      <c r="L2907" s="8"/>
    </row>
    <row r="2908" ht="13.5" customHeight="1">
      <c r="A2908" s="7" t="s">
        <v>355</v>
      </c>
      <c r="B2908" s="7">
        <v>0.0</v>
      </c>
      <c r="C2908" s="7" t="s">
        <v>360</v>
      </c>
      <c r="D2908" s="7" t="s">
        <v>357</v>
      </c>
      <c r="E2908" s="7">
        <v>-33.9275038961254</v>
      </c>
      <c r="F2908" s="7">
        <v>3.31967121212155</v>
      </c>
      <c r="G2908" s="7">
        <v>4.44710173160437</v>
      </c>
      <c r="H2908" s="7">
        <v>-0.00203135019480293</v>
      </c>
      <c r="I2908" s="7">
        <v>-12.6544565151619</v>
      </c>
      <c r="J2908" s="7">
        <v>-8.48998902597916</v>
      </c>
      <c r="K2908" s="8"/>
      <c r="L2908" s="8"/>
    </row>
    <row r="2909" ht="13.5" customHeight="1">
      <c r="A2909" s="7" t="s">
        <v>355</v>
      </c>
      <c r="B2909" s="7">
        <v>1.75</v>
      </c>
      <c r="C2909" s="7" t="s">
        <v>360</v>
      </c>
      <c r="D2909" s="7" t="s">
        <v>357</v>
      </c>
      <c r="E2909" s="7">
        <v>-33.9443602597618</v>
      </c>
      <c r="F2909" s="7">
        <v>3.32138173160207</v>
      </c>
      <c r="G2909" s="7">
        <v>4.44936614718879</v>
      </c>
      <c r="H2909" s="7">
        <v>-0.00203240529869903</v>
      </c>
      <c r="I2909" s="7">
        <v>-12.6612513073697</v>
      </c>
      <c r="J2909" s="7">
        <v>-8.49453607792722</v>
      </c>
      <c r="K2909" s="8"/>
      <c r="L2909" s="8"/>
    </row>
    <row r="2910" ht="13.5" customHeight="1">
      <c r="A2910" s="7" t="s">
        <v>355</v>
      </c>
      <c r="B2910" s="7">
        <v>3.5</v>
      </c>
      <c r="C2910" s="7" t="s">
        <v>360</v>
      </c>
      <c r="D2910" s="7" t="s">
        <v>357</v>
      </c>
      <c r="E2910" s="7">
        <v>-33.9612166233982</v>
      </c>
      <c r="F2910" s="7">
        <v>3.32309225108259</v>
      </c>
      <c r="G2910" s="7">
        <v>4.45163056277321</v>
      </c>
      <c r="H2910" s="7">
        <v>-0.00203346040259513</v>
      </c>
      <c r="I2910" s="7">
        <v>-12.6680460995775</v>
      </c>
      <c r="J2910" s="7">
        <v>-8.49908312987528</v>
      </c>
      <c r="K2910" s="8"/>
      <c r="L2910" s="8"/>
    </row>
    <row r="2911" ht="13.5" customHeight="1">
      <c r="A2911" s="7" t="s">
        <v>355</v>
      </c>
      <c r="B2911" s="7">
        <v>0.0</v>
      </c>
      <c r="C2911" s="7" t="s">
        <v>361</v>
      </c>
      <c r="D2911" s="7" t="s">
        <v>357</v>
      </c>
      <c r="E2911" s="7">
        <v>-33.9780729870346</v>
      </c>
      <c r="F2911" s="7">
        <v>3.32480277056311</v>
      </c>
      <c r="G2911" s="7">
        <v>4.45389497835763</v>
      </c>
      <c r="H2911" s="7">
        <v>-0.00203451550649123</v>
      </c>
      <c r="I2911" s="7">
        <v>-12.6748408917854</v>
      </c>
      <c r="J2911" s="7">
        <v>-8.50363018182334</v>
      </c>
      <c r="K2911" s="8"/>
      <c r="L2911" s="8"/>
    </row>
    <row r="2912" ht="13.5" customHeight="1">
      <c r="A2912" s="7" t="s">
        <v>355</v>
      </c>
      <c r="B2912" s="7">
        <v>1.75</v>
      </c>
      <c r="C2912" s="7" t="s">
        <v>361</v>
      </c>
      <c r="D2912" s="7" t="s">
        <v>357</v>
      </c>
      <c r="E2912" s="7">
        <v>-33.994929350671</v>
      </c>
      <c r="F2912" s="7">
        <v>3.32651329004363</v>
      </c>
      <c r="G2912" s="7">
        <v>4.45615939394205</v>
      </c>
      <c r="H2912" s="7">
        <v>-0.00203557061038733</v>
      </c>
      <c r="I2912" s="7">
        <v>-12.6816356839932</v>
      </c>
      <c r="J2912" s="7">
        <v>-8.5081772337714</v>
      </c>
      <c r="K2912" s="8"/>
      <c r="L2912" s="8"/>
    </row>
    <row r="2913" ht="13.5" customHeight="1">
      <c r="A2913" s="7" t="s">
        <v>355</v>
      </c>
      <c r="B2913" s="7">
        <v>3.5</v>
      </c>
      <c r="C2913" s="7" t="s">
        <v>361</v>
      </c>
      <c r="D2913" s="7" t="s">
        <v>357</v>
      </c>
      <c r="E2913" s="7">
        <v>-34.0117857143074</v>
      </c>
      <c r="F2913" s="7">
        <v>3.32822380952415</v>
      </c>
      <c r="G2913" s="7">
        <v>4.45842380952647</v>
      </c>
      <c r="H2913" s="7">
        <v>-0.00203662571428343</v>
      </c>
      <c r="I2913" s="7">
        <v>-12.688430476201</v>
      </c>
      <c r="J2913" s="7">
        <v>-8.51272428571946</v>
      </c>
      <c r="K2913" s="8"/>
      <c r="L2913" s="8"/>
    </row>
    <row r="2914" ht="13.5" customHeight="1">
      <c r="A2914" s="7" t="s">
        <v>355</v>
      </c>
      <c r="B2914" s="7">
        <v>0.0</v>
      </c>
      <c r="C2914" s="7" t="s">
        <v>362</v>
      </c>
      <c r="D2914" s="7" t="s">
        <v>357</v>
      </c>
      <c r="E2914" s="7">
        <v>-34.0286420779438</v>
      </c>
      <c r="F2914" s="7">
        <v>3.32993432900467</v>
      </c>
      <c r="G2914" s="7">
        <v>4.46068822511089</v>
      </c>
      <c r="H2914" s="7">
        <v>-0.00203768081817953</v>
      </c>
      <c r="I2914" s="7">
        <v>-12.6952252684088</v>
      </c>
      <c r="J2914" s="7">
        <v>-8.51727133766752</v>
      </c>
      <c r="K2914" s="8"/>
      <c r="L2914" s="8"/>
    </row>
    <row r="2915" ht="13.5" customHeight="1">
      <c r="A2915" s="7" t="s">
        <v>355</v>
      </c>
      <c r="B2915" s="7">
        <v>1.75</v>
      </c>
      <c r="C2915" s="7" t="s">
        <v>362</v>
      </c>
      <c r="D2915" s="7" t="s">
        <v>357</v>
      </c>
      <c r="E2915" s="7">
        <v>-34.0454984415802</v>
      </c>
      <c r="F2915" s="7">
        <v>3.33164484848519</v>
      </c>
      <c r="G2915" s="7">
        <v>4.46295264069531</v>
      </c>
      <c r="H2915" s="7">
        <v>-0.00203873592207563</v>
      </c>
      <c r="I2915" s="7">
        <v>-12.7020200606166</v>
      </c>
      <c r="J2915" s="7">
        <v>-8.52181838961558</v>
      </c>
      <c r="K2915" s="8"/>
      <c r="L2915" s="8"/>
    </row>
    <row r="2916" ht="13.5" customHeight="1">
      <c r="A2916" s="7" t="s">
        <v>355</v>
      </c>
      <c r="B2916" s="7">
        <v>3.5</v>
      </c>
      <c r="C2916" s="7" t="s">
        <v>362</v>
      </c>
      <c r="D2916" s="7" t="s">
        <v>357</v>
      </c>
      <c r="E2916" s="7">
        <v>-34.0623548052166</v>
      </c>
      <c r="F2916" s="7">
        <v>3.33335536796571</v>
      </c>
      <c r="G2916" s="7">
        <v>4.46521705627973</v>
      </c>
      <c r="H2916" s="7">
        <v>-0.00203979102597173</v>
      </c>
      <c r="I2916" s="7">
        <v>-12.7088148528244</v>
      </c>
      <c r="J2916" s="7">
        <v>-8.52636544156364</v>
      </c>
      <c r="K2916" s="8"/>
      <c r="L2916" s="8"/>
    </row>
    <row r="2917" ht="13.5" customHeight="1">
      <c r="A2917" s="7" t="s">
        <v>355</v>
      </c>
      <c r="B2917" s="7">
        <v>0.0</v>
      </c>
      <c r="C2917" s="7" t="s">
        <v>363</v>
      </c>
      <c r="D2917" s="7" t="s">
        <v>357</v>
      </c>
      <c r="E2917" s="7">
        <v>-34.079211168853</v>
      </c>
      <c r="F2917" s="7">
        <v>3.33506588744623</v>
      </c>
      <c r="G2917" s="7">
        <v>4.46748147186415</v>
      </c>
      <c r="H2917" s="7">
        <v>-0.00204084612986783</v>
      </c>
      <c r="I2917" s="7">
        <v>-12.7156096450322</v>
      </c>
      <c r="J2917" s="7">
        <v>-8.5309124935117</v>
      </c>
      <c r="K2917" s="8"/>
      <c r="L2917" s="8"/>
    </row>
    <row r="2918" ht="13.5" customHeight="1">
      <c r="A2918" s="7" t="s">
        <v>355</v>
      </c>
      <c r="B2918" s="7">
        <v>1.75</v>
      </c>
      <c r="C2918" s="7" t="s">
        <v>363</v>
      </c>
      <c r="D2918" s="7" t="s">
        <v>357</v>
      </c>
      <c r="E2918" s="7">
        <v>-34.0960675324894</v>
      </c>
      <c r="F2918" s="7">
        <v>3.33677640692675</v>
      </c>
      <c r="G2918" s="7">
        <v>4.46974588744857</v>
      </c>
      <c r="H2918" s="7">
        <v>-0.00204190123376393</v>
      </c>
      <c r="I2918" s="7">
        <v>-12.72240443724</v>
      </c>
      <c r="J2918" s="7">
        <v>-8.53545954545976</v>
      </c>
      <c r="K2918" s="8"/>
      <c r="L2918" s="8"/>
    </row>
    <row r="2919" ht="13.5" customHeight="1">
      <c r="A2919" s="7" t="s">
        <v>355</v>
      </c>
      <c r="B2919" s="7">
        <v>3.5</v>
      </c>
      <c r="C2919" s="7" t="s">
        <v>363</v>
      </c>
      <c r="D2919" s="7" t="s">
        <v>357</v>
      </c>
      <c r="E2919" s="7">
        <v>-34.1129238961258</v>
      </c>
      <c r="F2919" s="7">
        <v>3.33848692640727</v>
      </c>
      <c r="G2919" s="7">
        <v>4.47201030303299</v>
      </c>
      <c r="H2919" s="7">
        <v>-0.00204295633766003</v>
      </c>
      <c r="I2919" s="7">
        <v>-12.7291992294478</v>
      </c>
      <c r="J2919" s="7">
        <v>-8.54000659740782</v>
      </c>
      <c r="K2919" s="8"/>
      <c r="L2919" s="8"/>
    </row>
    <row r="2920" ht="13.5" customHeight="1">
      <c r="A2920" s="7" t="s">
        <v>355</v>
      </c>
      <c r="B2920" s="7">
        <v>0.0</v>
      </c>
      <c r="C2920" s="7" t="s">
        <v>356</v>
      </c>
      <c r="D2920" s="7" t="s">
        <v>357</v>
      </c>
      <c r="E2920" s="7">
        <v>-34.1297802597622</v>
      </c>
      <c r="F2920" s="7">
        <v>3.34019744588779</v>
      </c>
      <c r="G2920" s="7">
        <v>4.47427471861741</v>
      </c>
      <c r="H2920" s="7">
        <v>-0.00204401144155613</v>
      </c>
      <c r="I2920" s="7">
        <v>-12.7359940216556</v>
      </c>
      <c r="J2920" s="7">
        <v>-8.54455364935588</v>
      </c>
      <c r="K2920" s="8"/>
      <c r="L2920" s="8"/>
    </row>
    <row r="2921" ht="13.5" customHeight="1">
      <c r="A2921" s="7" t="s">
        <v>355</v>
      </c>
      <c r="B2921" s="7">
        <v>1.75</v>
      </c>
      <c r="C2921" s="7" t="s">
        <v>356</v>
      </c>
      <c r="D2921" s="7" t="s">
        <v>357</v>
      </c>
      <c r="E2921" s="7">
        <v>-34.1466366233986</v>
      </c>
      <c r="F2921" s="7">
        <v>3.34190796536831</v>
      </c>
      <c r="G2921" s="7">
        <v>4.47653913420183</v>
      </c>
      <c r="H2921" s="7">
        <v>-0.00204506654545223</v>
      </c>
      <c r="I2921" s="7">
        <v>-12.7427888138635</v>
      </c>
      <c r="J2921" s="7">
        <v>-8.54910070130394</v>
      </c>
      <c r="K2921" s="8"/>
      <c r="L2921" s="8"/>
    </row>
    <row r="2922" ht="13.5" customHeight="1">
      <c r="A2922" s="7" t="s">
        <v>355</v>
      </c>
      <c r="B2922" s="7">
        <v>3.5</v>
      </c>
      <c r="C2922" s="7" t="s">
        <v>356</v>
      </c>
      <c r="D2922" s="7" t="s">
        <v>357</v>
      </c>
      <c r="E2922" s="7">
        <v>-34.163492987035</v>
      </c>
      <c r="F2922" s="7">
        <v>3.34361848484883</v>
      </c>
      <c r="G2922" s="7">
        <v>4.47880354978625</v>
      </c>
      <c r="H2922" s="7">
        <v>-0.00204612164934833</v>
      </c>
      <c r="I2922" s="7">
        <v>-12.7495836060713</v>
      </c>
      <c r="J2922" s="7">
        <v>-8.553647753252</v>
      </c>
      <c r="K2922" s="8"/>
      <c r="L2922" s="8"/>
    </row>
    <row r="2923" ht="13.5" customHeight="1">
      <c r="A2923" s="7" t="s">
        <v>355</v>
      </c>
      <c r="B2923" s="7">
        <v>0.0</v>
      </c>
      <c r="C2923" s="7" t="s">
        <v>358</v>
      </c>
      <c r="D2923" s="7" t="s">
        <v>357</v>
      </c>
      <c r="E2923" s="7">
        <v>-34.1803493506714</v>
      </c>
      <c r="F2923" s="7">
        <v>3.34532900432935</v>
      </c>
      <c r="G2923" s="7">
        <v>4.48106796537067</v>
      </c>
      <c r="H2923" s="7">
        <v>-0.00204717675324443</v>
      </c>
      <c r="I2923" s="7">
        <v>-12.7563783982791</v>
      </c>
      <c r="J2923" s="7">
        <v>-8.55819480520006</v>
      </c>
      <c r="K2923" s="8"/>
      <c r="L2923" s="8"/>
    </row>
    <row r="2924" ht="13.5" customHeight="1">
      <c r="A2924" s="7" t="s">
        <v>355</v>
      </c>
      <c r="B2924" s="7">
        <v>1.75</v>
      </c>
      <c r="C2924" s="7" t="s">
        <v>358</v>
      </c>
      <c r="D2924" s="7" t="s">
        <v>357</v>
      </c>
      <c r="E2924" s="7">
        <v>-34.1972057143078</v>
      </c>
      <c r="F2924" s="7">
        <v>3.34703952380987</v>
      </c>
      <c r="G2924" s="7">
        <v>4.48333238095509</v>
      </c>
      <c r="H2924" s="7">
        <v>-0.00204823185714053</v>
      </c>
      <c r="I2924" s="7">
        <v>-12.7631731904869</v>
      </c>
      <c r="J2924" s="7">
        <v>-8.56274185714813</v>
      </c>
      <c r="K2924" s="8"/>
      <c r="L2924" s="8"/>
    </row>
    <row r="2925" ht="13.5" customHeight="1">
      <c r="A2925" s="7" t="s">
        <v>355</v>
      </c>
      <c r="B2925" s="7">
        <v>3.5</v>
      </c>
      <c r="C2925" s="7" t="s">
        <v>358</v>
      </c>
      <c r="D2925" s="7" t="s">
        <v>357</v>
      </c>
      <c r="E2925" s="7">
        <v>-34.2140620779442</v>
      </c>
      <c r="F2925" s="7">
        <v>3.34875004329039</v>
      </c>
      <c r="G2925" s="7">
        <v>4.48559679653951</v>
      </c>
      <c r="H2925" s="7">
        <v>-0.00204928696103663</v>
      </c>
      <c r="I2925" s="7">
        <v>-12.7699679826947</v>
      </c>
      <c r="J2925" s="7">
        <v>-8.56728890909619</v>
      </c>
      <c r="K2925" s="8"/>
      <c r="L2925" s="8"/>
    </row>
    <row r="2926" ht="13.5" customHeight="1">
      <c r="A2926" s="7" t="s">
        <v>355</v>
      </c>
      <c r="B2926" s="7">
        <v>0.0</v>
      </c>
      <c r="C2926" s="7" t="s">
        <v>359</v>
      </c>
      <c r="D2926" s="7" t="s">
        <v>357</v>
      </c>
      <c r="E2926" s="7">
        <v>-34.2309184415806</v>
      </c>
      <c r="F2926" s="7">
        <v>3.35046056277091</v>
      </c>
      <c r="G2926" s="7">
        <v>4.48786121212393</v>
      </c>
      <c r="H2926" s="7">
        <v>-0.00205034206493273</v>
      </c>
      <c r="I2926" s="7">
        <v>-12.7767627749025</v>
      </c>
      <c r="J2926" s="7">
        <v>-8.57183596104425</v>
      </c>
      <c r="K2926" s="8"/>
      <c r="L2926" s="8"/>
    </row>
    <row r="2927" ht="13.5" customHeight="1">
      <c r="A2927" s="7" t="s">
        <v>355</v>
      </c>
      <c r="B2927" s="7">
        <v>1.75</v>
      </c>
      <c r="C2927" s="7" t="s">
        <v>359</v>
      </c>
      <c r="D2927" s="7" t="s">
        <v>357</v>
      </c>
      <c r="E2927" s="7">
        <v>-34.247774805217</v>
      </c>
      <c r="F2927" s="7">
        <v>3.35217108225143</v>
      </c>
      <c r="G2927" s="7">
        <v>4.49012562770835</v>
      </c>
      <c r="H2927" s="7">
        <v>-0.00205139716882883</v>
      </c>
      <c r="I2927" s="7">
        <v>-12.7835575671103</v>
      </c>
      <c r="J2927" s="7">
        <v>-8.57638301299231</v>
      </c>
      <c r="K2927" s="8"/>
      <c r="L2927" s="8"/>
    </row>
    <row r="2928" ht="13.5" customHeight="1">
      <c r="A2928" s="7" t="s">
        <v>355</v>
      </c>
      <c r="B2928" s="7">
        <v>3.5</v>
      </c>
      <c r="C2928" s="7" t="s">
        <v>359</v>
      </c>
      <c r="D2928" s="7" t="s">
        <v>357</v>
      </c>
      <c r="E2928" s="7">
        <v>-34.2646311688534</v>
      </c>
      <c r="F2928" s="7">
        <v>3.35388160173195</v>
      </c>
      <c r="G2928" s="7">
        <v>4.49239004329277</v>
      </c>
      <c r="H2928" s="7">
        <v>-0.00205245227272493</v>
      </c>
      <c r="I2928" s="7">
        <v>-12.7903523593181</v>
      </c>
      <c r="J2928" s="7">
        <v>-8.58093006494037</v>
      </c>
      <c r="K2928" s="8"/>
      <c r="L2928" s="8"/>
    </row>
    <row r="2929" ht="13.5" customHeight="1">
      <c r="A2929" s="7" t="s">
        <v>355</v>
      </c>
      <c r="B2929" s="7">
        <v>0.0</v>
      </c>
      <c r="C2929" s="7" t="s">
        <v>360</v>
      </c>
      <c r="D2929" s="7" t="s">
        <v>357</v>
      </c>
      <c r="E2929" s="7">
        <v>-34.2814875324898</v>
      </c>
      <c r="F2929" s="7">
        <v>3.35559212121247</v>
      </c>
      <c r="G2929" s="7">
        <v>4.49465445887719</v>
      </c>
      <c r="H2929" s="7">
        <v>-0.00205350737662103</v>
      </c>
      <c r="I2929" s="7">
        <v>-12.7971471515259</v>
      </c>
      <c r="J2929" s="7">
        <v>-8.58547711688843</v>
      </c>
      <c r="K2929" s="8"/>
      <c r="L2929" s="8"/>
    </row>
    <row r="2930" ht="13.5" customHeight="1">
      <c r="A2930" s="7" t="s">
        <v>355</v>
      </c>
      <c r="B2930" s="7">
        <v>1.75</v>
      </c>
      <c r="C2930" s="7" t="s">
        <v>360</v>
      </c>
      <c r="D2930" s="7" t="s">
        <v>357</v>
      </c>
      <c r="E2930" s="7">
        <v>-34.2983438961262</v>
      </c>
      <c r="F2930" s="7">
        <v>3.35730264069299</v>
      </c>
      <c r="G2930" s="7">
        <v>4.49691887446161</v>
      </c>
      <c r="H2930" s="7">
        <v>-0.00205456248051713</v>
      </c>
      <c r="I2930" s="7">
        <v>-12.8039419437337</v>
      </c>
      <c r="J2930" s="7">
        <v>-8.59002416883649</v>
      </c>
      <c r="K2930" s="8"/>
      <c r="L2930" s="8"/>
    </row>
    <row r="2931" ht="13.5" customHeight="1">
      <c r="A2931" s="7" t="s">
        <v>355</v>
      </c>
      <c r="B2931" s="7">
        <v>3.5</v>
      </c>
      <c r="C2931" s="7" t="s">
        <v>360</v>
      </c>
      <c r="D2931" s="7" t="s">
        <v>357</v>
      </c>
      <c r="E2931" s="7">
        <v>-34.3152002597626</v>
      </c>
      <c r="F2931" s="7">
        <v>3.35901316017351</v>
      </c>
      <c r="G2931" s="7">
        <v>4.49918329004603</v>
      </c>
      <c r="H2931" s="7">
        <v>-0.00205561758441323</v>
      </c>
      <c r="I2931" s="7">
        <v>-12.8107367359415</v>
      </c>
      <c r="J2931" s="7">
        <v>-8.59457122078455</v>
      </c>
      <c r="K2931" s="8"/>
      <c r="L2931" s="8"/>
    </row>
    <row r="2932" ht="13.5" customHeight="1">
      <c r="A2932" s="7" t="s">
        <v>355</v>
      </c>
      <c r="B2932" s="7">
        <v>0.0</v>
      </c>
      <c r="C2932" s="7" t="s">
        <v>361</v>
      </c>
      <c r="D2932" s="7" t="s">
        <v>357</v>
      </c>
      <c r="E2932" s="7">
        <v>-34.332056623399</v>
      </c>
      <c r="F2932" s="7">
        <v>3.36072367965403</v>
      </c>
      <c r="G2932" s="7">
        <v>4.50144770563045</v>
      </c>
      <c r="H2932" s="7">
        <v>-0.00205667268830933</v>
      </c>
      <c r="I2932" s="7">
        <v>-12.8175315281494</v>
      </c>
      <c r="J2932" s="7">
        <v>-8.59911827273261</v>
      </c>
      <c r="K2932" s="8"/>
      <c r="L2932" s="8"/>
    </row>
    <row r="2933" ht="13.5" customHeight="1">
      <c r="A2933" s="7" t="s">
        <v>355</v>
      </c>
      <c r="B2933" s="7">
        <v>1.75</v>
      </c>
      <c r="C2933" s="7" t="s">
        <v>361</v>
      </c>
      <c r="D2933" s="7" t="s">
        <v>357</v>
      </c>
      <c r="E2933" s="7">
        <v>-34.3489129870354</v>
      </c>
      <c r="F2933" s="7">
        <v>3.36243419913455</v>
      </c>
      <c r="G2933" s="7">
        <v>4.50371212121487</v>
      </c>
      <c r="H2933" s="7">
        <v>-0.00205772779220543</v>
      </c>
      <c r="I2933" s="7">
        <v>-12.8243263203572</v>
      </c>
      <c r="J2933" s="7">
        <v>-8.60366532468067</v>
      </c>
      <c r="K2933" s="8"/>
      <c r="L2933" s="8"/>
    </row>
    <row r="2934" ht="13.5" customHeight="1">
      <c r="A2934" s="7" t="s">
        <v>355</v>
      </c>
      <c r="B2934" s="7">
        <v>3.5</v>
      </c>
      <c r="C2934" s="7" t="s">
        <v>361</v>
      </c>
      <c r="D2934" s="7" t="s">
        <v>357</v>
      </c>
      <c r="E2934" s="7">
        <v>-34.3657693506718</v>
      </c>
      <c r="F2934" s="7">
        <v>3.36414471861507</v>
      </c>
      <c r="G2934" s="7">
        <v>4.50597653679929</v>
      </c>
      <c r="H2934" s="7">
        <v>-0.00205878289610153</v>
      </c>
      <c r="I2934" s="7">
        <v>-12.831121112565</v>
      </c>
      <c r="J2934" s="7">
        <v>-8.60821237662873</v>
      </c>
      <c r="K2934" s="8"/>
      <c r="L2934" s="8"/>
    </row>
    <row r="2935" ht="13.5" customHeight="1">
      <c r="A2935" s="7" t="s">
        <v>355</v>
      </c>
      <c r="B2935" s="7">
        <v>0.0</v>
      </c>
      <c r="C2935" s="7" t="s">
        <v>362</v>
      </c>
      <c r="D2935" s="7" t="s">
        <v>357</v>
      </c>
      <c r="E2935" s="7">
        <v>-34.3826257143082</v>
      </c>
      <c r="F2935" s="7">
        <v>3.36585523809559</v>
      </c>
      <c r="G2935" s="7">
        <v>4.50824095238371</v>
      </c>
      <c r="H2935" s="7">
        <v>-0.00205983799999763</v>
      </c>
      <c r="I2935" s="7">
        <v>-12.8379159047728</v>
      </c>
      <c r="J2935" s="7">
        <v>-8.61275942857679</v>
      </c>
      <c r="K2935" s="8"/>
      <c r="L2935" s="8"/>
    </row>
    <row r="2936" ht="13.5" customHeight="1">
      <c r="A2936" s="7" t="s">
        <v>355</v>
      </c>
      <c r="B2936" s="7">
        <v>1.75</v>
      </c>
      <c r="C2936" s="7" t="s">
        <v>362</v>
      </c>
      <c r="D2936" s="7" t="s">
        <v>357</v>
      </c>
      <c r="E2936" s="7">
        <v>-34.3994820779446</v>
      </c>
      <c r="F2936" s="7">
        <v>3.36756575757611</v>
      </c>
      <c r="G2936" s="7">
        <v>4.51050536796813</v>
      </c>
      <c r="H2936" s="7">
        <v>-0.00206089310389373</v>
      </c>
      <c r="I2936" s="7">
        <v>-12.8447106969806</v>
      </c>
      <c r="J2936" s="7">
        <v>-8.61730648052485</v>
      </c>
      <c r="K2936" s="8"/>
      <c r="L2936" s="8"/>
    </row>
    <row r="2937" ht="13.5" customHeight="1">
      <c r="A2937" s="7" t="s">
        <v>355</v>
      </c>
      <c r="B2937" s="7">
        <v>3.5</v>
      </c>
      <c r="C2937" s="7" t="s">
        <v>362</v>
      </c>
      <c r="D2937" s="7" t="s">
        <v>357</v>
      </c>
      <c r="E2937" s="7">
        <v>-34.416338441581</v>
      </c>
      <c r="F2937" s="7">
        <v>3.36927627705663</v>
      </c>
      <c r="G2937" s="7">
        <v>4.51276978355255</v>
      </c>
      <c r="H2937" s="7">
        <v>-0.00206194820778983</v>
      </c>
      <c r="I2937" s="7">
        <v>-12.8515054891884</v>
      </c>
      <c r="J2937" s="7">
        <v>-8.62185353247291</v>
      </c>
      <c r="K2937" s="8"/>
      <c r="L2937" s="8"/>
    </row>
    <row r="2938" ht="13.5" customHeight="1">
      <c r="A2938" s="7" t="s">
        <v>355</v>
      </c>
      <c r="B2938" s="7">
        <v>0.0</v>
      </c>
      <c r="C2938" s="7" t="s">
        <v>363</v>
      </c>
      <c r="D2938" s="7" t="s">
        <v>357</v>
      </c>
      <c r="E2938" s="7">
        <v>-34.4331948052174</v>
      </c>
      <c r="F2938" s="7">
        <v>3.37098679653715</v>
      </c>
      <c r="G2938" s="7">
        <v>4.51503419913697</v>
      </c>
      <c r="H2938" s="7">
        <v>-0.00206300331168593</v>
      </c>
      <c r="I2938" s="7">
        <v>-12.8583002813962</v>
      </c>
      <c r="J2938" s="7">
        <v>-8.62640058442097</v>
      </c>
      <c r="K2938" s="8"/>
      <c r="L2938" s="8"/>
    </row>
    <row r="2939" ht="13.5" customHeight="1">
      <c r="A2939" s="7" t="s">
        <v>355</v>
      </c>
      <c r="B2939" s="7">
        <v>1.75</v>
      </c>
      <c r="C2939" s="7" t="s">
        <v>363</v>
      </c>
      <c r="D2939" s="7" t="s">
        <v>357</v>
      </c>
      <c r="E2939" s="7">
        <v>-34.4500511688538</v>
      </c>
      <c r="F2939" s="7">
        <v>3.37269731601767</v>
      </c>
      <c r="G2939" s="7">
        <v>4.51729861472139</v>
      </c>
      <c r="H2939" s="7">
        <v>-0.00206405841558203</v>
      </c>
      <c r="I2939" s="7">
        <v>-12.865095073604</v>
      </c>
      <c r="J2939" s="7">
        <v>-8.63094763636903</v>
      </c>
      <c r="K2939" s="8"/>
      <c r="L2939" s="8"/>
    </row>
    <row r="2940" ht="13.5" customHeight="1">
      <c r="A2940" s="7" t="s">
        <v>355</v>
      </c>
      <c r="B2940" s="7">
        <v>3.5</v>
      </c>
      <c r="C2940" s="7" t="s">
        <v>363</v>
      </c>
      <c r="D2940" s="7" t="s">
        <v>357</v>
      </c>
      <c r="E2940" s="7">
        <v>-34.4669075324902</v>
      </c>
      <c r="F2940" s="7">
        <v>3.37440783549819</v>
      </c>
      <c r="G2940" s="7">
        <v>4.51956303030581</v>
      </c>
      <c r="H2940" s="7">
        <v>-0.00206511351947813</v>
      </c>
      <c r="I2940" s="7">
        <v>-12.8718898658118</v>
      </c>
      <c r="J2940" s="7">
        <v>-8.63549468831709</v>
      </c>
      <c r="K2940" s="8"/>
      <c r="L2940" s="8"/>
    </row>
    <row r="2941" ht="13.5" customHeight="1">
      <c r="A2941" s="7" t="s">
        <v>355</v>
      </c>
      <c r="B2941" s="7">
        <v>0.0</v>
      </c>
      <c r="C2941" s="7" t="s">
        <v>356</v>
      </c>
      <c r="D2941" s="7" t="s">
        <v>357</v>
      </c>
      <c r="E2941" s="7">
        <v>-34.4837638961266</v>
      </c>
      <c r="F2941" s="7">
        <v>3.37611835497871</v>
      </c>
      <c r="G2941" s="7">
        <v>4.52182744589023</v>
      </c>
      <c r="H2941" s="7">
        <v>-0.00206616862337423</v>
      </c>
      <c r="I2941" s="7">
        <v>-12.8786846580196</v>
      </c>
      <c r="J2941" s="7">
        <v>-8.64004174026516</v>
      </c>
      <c r="K2941" s="8"/>
      <c r="L2941" s="8"/>
    </row>
    <row r="2942" ht="13.5" customHeight="1">
      <c r="A2942" s="7" t="s">
        <v>355</v>
      </c>
      <c r="B2942" s="7">
        <v>1.75</v>
      </c>
      <c r="C2942" s="7" t="s">
        <v>356</v>
      </c>
      <c r="D2942" s="7" t="s">
        <v>357</v>
      </c>
      <c r="E2942" s="7">
        <v>-34.500620259763</v>
      </c>
      <c r="F2942" s="7">
        <v>3.37782887445923</v>
      </c>
      <c r="G2942" s="7">
        <v>4.52409186147465</v>
      </c>
      <c r="H2942" s="7">
        <v>-0.00206722372727033</v>
      </c>
      <c r="I2942" s="7">
        <v>-12.8854794502275</v>
      </c>
      <c r="J2942" s="7">
        <v>-8.64458879221322</v>
      </c>
      <c r="K2942" s="8"/>
      <c r="L2942" s="8"/>
    </row>
    <row r="2943" ht="13.5" customHeight="1">
      <c r="A2943" s="7" t="s">
        <v>355</v>
      </c>
      <c r="B2943" s="7">
        <v>3.5</v>
      </c>
      <c r="C2943" s="7" t="s">
        <v>356</v>
      </c>
      <c r="D2943" s="7" t="s">
        <v>357</v>
      </c>
      <c r="E2943" s="7">
        <v>-34.5174766233994</v>
      </c>
      <c r="F2943" s="7">
        <v>3.37953939393975</v>
      </c>
      <c r="G2943" s="7">
        <v>4.52635627705907</v>
      </c>
      <c r="H2943" s="7">
        <v>-0.00206827883116643</v>
      </c>
      <c r="I2943" s="7">
        <v>-12.8922742424353</v>
      </c>
      <c r="J2943" s="7">
        <v>-8.64913584416128</v>
      </c>
      <c r="K2943" s="8"/>
      <c r="L2943" s="8"/>
    </row>
    <row r="2944" ht="13.5" customHeight="1">
      <c r="A2944" s="7" t="s">
        <v>355</v>
      </c>
      <c r="B2944" s="7">
        <v>0.0</v>
      </c>
      <c r="C2944" s="7" t="s">
        <v>358</v>
      </c>
      <c r="D2944" s="7" t="s">
        <v>357</v>
      </c>
      <c r="E2944" s="7">
        <v>-34.5343329870358</v>
      </c>
      <c r="F2944" s="7">
        <v>3.38124991342027</v>
      </c>
      <c r="G2944" s="7">
        <v>4.52862069264349</v>
      </c>
      <c r="H2944" s="7">
        <v>-0.00206933393506253</v>
      </c>
      <c r="I2944" s="7">
        <v>-12.8990690346431</v>
      </c>
      <c r="J2944" s="7">
        <v>-8.65368289610934</v>
      </c>
      <c r="K2944" s="8"/>
      <c r="L2944" s="8"/>
    </row>
    <row r="2945" ht="13.5" customHeight="1">
      <c r="A2945" s="7" t="s">
        <v>355</v>
      </c>
      <c r="B2945" s="7">
        <v>1.75</v>
      </c>
      <c r="C2945" s="7" t="s">
        <v>358</v>
      </c>
      <c r="D2945" s="7" t="s">
        <v>357</v>
      </c>
      <c r="E2945" s="7">
        <v>-34.5511893506722</v>
      </c>
      <c r="F2945" s="7">
        <v>3.38296043290079</v>
      </c>
      <c r="G2945" s="7">
        <v>4.53088510822791</v>
      </c>
      <c r="H2945" s="7">
        <v>-0.00207038903895863</v>
      </c>
      <c r="I2945" s="7">
        <v>-12.9058638268509</v>
      </c>
      <c r="J2945" s="7">
        <v>-8.6582299480574</v>
      </c>
      <c r="K2945" s="8"/>
      <c r="L2945" s="8"/>
    </row>
    <row r="2946" ht="13.5" customHeight="1">
      <c r="A2946" s="7" t="s">
        <v>355</v>
      </c>
      <c r="B2946" s="7">
        <v>3.5</v>
      </c>
      <c r="C2946" s="7" t="s">
        <v>358</v>
      </c>
      <c r="D2946" s="7" t="s">
        <v>357</v>
      </c>
      <c r="E2946" s="7">
        <v>-34.5680457143086</v>
      </c>
      <c r="F2946" s="7">
        <v>3.38467095238131</v>
      </c>
      <c r="G2946" s="7">
        <v>4.53314952381233</v>
      </c>
      <c r="H2946" s="7">
        <v>-0.00207144414285473</v>
      </c>
      <c r="I2946" s="7">
        <v>-12.9126586190587</v>
      </c>
      <c r="J2946" s="7">
        <v>-8.66277700000546</v>
      </c>
      <c r="K2946" s="8"/>
      <c r="L2946" s="8"/>
    </row>
    <row r="2947" ht="13.5" customHeight="1">
      <c r="A2947" s="7" t="s">
        <v>355</v>
      </c>
      <c r="B2947" s="7">
        <v>0.0</v>
      </c>
      <c r="C2947" s="7" t="s">
        <v>359</v>
      </c>
      <c r="D2947" s="7" t="s">
        <v>357</v>
      </c>
      <c r="E2947" s="7">
        <v>-34.584902077945</v>
      </c>
      <c r="F2947" s="7">
        <v>3.38638147186183</v>
      </c>
      <c r="G2947" s="7">
        <v>4.53541393939675</v>
      </c>
      <c r="H2947" s="7">
        <v>-0.00207249924675083</v>
      </c>
      <c r="I2947" s="7">
        <v>-12.9194534112665</v>
      </c>
      <c r="J2947" s="7">
        <v>-8.66732405195352</v>
      </c>
      <c r="K2947" s="8"/>
      <c r="L2947" s="8"/>
    </row>
    <row r="2948" ht="13.5" customHeight="1">
      <c r="A2948" s="7" t="s">
        <v>355</v>
      </c>
      <c r="B2948" s="7">
        <v>1.75</v>
      </c>
      <c r="C2948" s="7" t="s">
        <v>359</v>
      </c>
      <c r="D2948" s="7" t="s">
        <v>357</v>
      </c>
      <c r="E2948" s="7">
        <v>-34.6017584415814</v>
      </c>
      <c r="F2948" s="7">
        <v>3.38809199134235</v>
      </c>
      <c r="G2948" s="7">
        <v>4.53767835498117</v>
      </c>
      <c r="H2948" s="7">
        <v>-0.00207355435064693</v>
      </c>
      <c r="I2948" s="7">
        <v>-12.9262482034743</v>
      </c>
      <c r="J2948" s="7">
        <v>-8.67187110390158</v>
      </c>
      <c r="K2948" s="8"/>
      <c r="L2948" s="8"/>
    </row>
    <row r="2949" ht="13.5" customHeight="1">
      <c r="A2949" s="7" t="s">
        <v>355</v>
      </c>
      <c r="B2949" s="7">
        <v>3.5</v>
      </c>
      <c r="C2949" s="7" t="s">
        <v>359</v>
      </c>
      <c r="D2949" s="7" t="s">
        <v>357</v>
      </c>
      <c r="E2949" s="7">
        <v>-34.6186148052178</v>
      </c>
      <c r="F2949" s="7">
        <v>3.38980251082287</v>
      </c>
      <c r="G2949" s="7">
        <v>4.53994277056559</v>
      </c>
      <c r="H2949" s="7">
        <v>-0.00207460945454303</v>
      </c>
      <c r="I2949" s="7">
        <v>-12.9330429956821</v>
      </c>
      <c r="J2949" s="7">
        <v>-8.67641815584964</v>
      </c>
      <c r="K2949" s="8"/>
      <c r="L2949" s="8"/>
    </row>
    <row r="2950" ht="13.5" customHeight="1">
      <c r="A2950" s="7" t="s">
        <v>355</v>
      </c>
      <c r="B2950" s="7">
        <v>0.0</v>
      </c>
      <c r="C2950" s="7" t="s">
        <v>360</v>
      </c>
      <c r="D2950" s="7" t="s">
        <v>357</v>
      </c>
      <c r="E2950" s="7">
        <v>-34.6354711688542</v>
      </c>
      <c r="F2950" s="7">
        <v>3.39151303030339</v>
      </c>
      <c r="G2950" s="7">
        <v>4.54220718615001</v>
      </c>
      <c r="H2950" s="7">
        <v>-0.00207566455843913</v>
      </c>
      <c r="I2950" s="7">
        <v>-12.9398377878899</v>
      </c>
      <c r="J2950" s="7">
        <v>-8.6809652077977</v>
      </c>
      <c r="K2950" s="8"/>
      <c r="L2950" s="8"/>
    </row>
    <row r="2951" ht="13.5" customHeight="1">
      <c r="A2951" s="7" t="s">
        <v>355</v>
      </c>
      <c r="B2951" s="7">
        <v>1.75</v>
      </c>
      <c r="C2951" s="7" t="s">
        <v>360</v>
      </c>
      <c r="D2951" s="7" t="s">
        <v>357</v>
      </c>
      <c r="E2951" s="7">
        <v>-34.6523275324906</v>
      </c>
      <c r="F2951" s="7">
        <v>3.39322354978391</v>
      </c>
      <c r="G2951" s="7">
        <v>4.54447160173443</v>
      </c>
      <c r="H2951" s="7">
        <v>-0.00207671966233523</v>
      </c>
      <c r="I2951" s="7">
        <v>-12.9466325800977</v>
      </c>
      <c r="J2951" s="7">
        <v>-8.68551225974576</v>
      </c>
      <c r="K2951" s="8"/>
      <c r="L2951" s="8"/>
    </row>
    <row r="2952" ht="13.5" customHeight="1">
      <c r="A2952" s="7" t="s">
        <v>355</v>
      </c>
      <c r="B2952" s="7">
        <v>3.5</v>
      </c>
      <c r="C2952" s="7" t="s">
        <v>360</v>
      </c>
      <c r="D2952" s="7" t="s">
        <v>357</v>
      </c>
      <c r="E2952" s="7">
        <v>-34.669183896127</v>
      </c>
      <c r="F2952" s="7">
        <v>3.39493406926443</v>
      </c>
      <c r="G2952" s="7">
        <v>4.54673601731885</v>
      </c>
      <c r="H2952" s="7">
        <v>-0.00207777476623133</v>
      </c>
      <c r="I2952" s="7">
        <v>-12.9534273723056</v>
      </c>
      <c r="J2952" s="7">
        <v>-8.69005931169382</v>
      </c>
      <c r="K2952" s="8"/>
      <c r="L2952" s="8"/>
    </row>
    <row r="2953" ht="13.5" customHeight="1">
      <c r="A2953" s="7" t="s">
        <v>355</v>
      </c>
      <c r="B2953" s="7">
        <v>0.0</v>
      </c>
      <c r="C2953" s="7" t="s">
        <v>361</v>
      </c>
      <c r="D2953" s="7" t="s">
        <v>357</v>
      </c>
      <c r="E2953" s="7">
        <v>-34.6860402597634</v>
      </c>
      <c r="F2953" s="7">
        <v>3.39664458874495</v>
      </c>
      <c r="G2953" s="7">
        <v>4.54900043290327</v>
      </c>
      <c r="H2953" s="7">
        <v>-0.00207882987012743</v>
      </c>
      <c r="I2953" s="7">
        <v>-12.9602221645134</v>
      </c>
      <c r="J2953" s="7">
        <v>-8.69460636364188</v>
      </c>
      <c r="K2953" s="8"/>
      <c r="L2953" s="8"/>
    </row>
    <row r="2954" ht="13.5" customHeight="1">
      <c r="A2954" s="7" t="s">
        <v>355</v>
      </c>
      <c r="B2954" s="7">
        <v>1.75</v>
      </c>
      <c r="C2954" s="7" t="s">
        <v>361</v>
      </c>
      <c r="D2954" s="7" t="s">
        <v>357</v>
      </c>
      <c r="E2954" s="7">
        <v>-34.7028966233998</v>
      </c>
      <c r="F2954" s="7">
        <v>3.39835510822547</v>
      </c>
      <c r="G2954" s="7">
        <v>4.55126484848769</v>
      </c>
      <c r="H2954" s="7">
        <v>-0.00207988497402353</v>
      </c>
      <c r="I2954" s="7">
        <v>-12.9670169567212</v>
      </c>
      <c r="J2954" s="7">
        <v>-8.69915341558994</v>
      </c>
      <c r="K2954" s="8"/>
      <c r="L2954" s="8"/>
    </row>
    <row r="2955" ht="13.5" customHeight="1">
      <c r="A2955" s="7" t="s">
        <v>355</v>
      </c>
      <c r="B2955" s="7">
        <v>3.5</v>
      </c>
      <c r="C2955" s="7" t="s">
        <v>361</v>
      </c>
      <c r="D2955" s="7" t="s">
        <v>357</v>
      </c>
      <c r="E2955" s="7">
        <v>-34.7197529870362</v>
      </c>
      <c r="F2955" s="7">
        <v>3.40006562770599</v>
      </c>
      <c r="G2955" s="7">
        <v>4.55352926407211</v>
      </c>
      <c r="H2955" s="7">
        <v>-0.00208094007791963</v>
      </c>
      <c r="I2955" s="7">
        <v>-12.973811748929</v>
      </c>
      <c r="J2955" s="7">
        <v>-8.703700467538</v>
      </c>
      <c r="K2955" s="8"/>
      <c r="L2955" s="8"/>
    </row>
    <row r="2956" ht="13.5" customHeight="1">
      <c r="A2956" s="7" t="s">
        <v>355</v>
      </c>
      <c r="B2956" s="7">
        <v>0.0</v>
      </c>
      <c r="C2956" s="7" t="s">
        <v>362</v>
      </c>
      <c r="D2956" s="7" t="s">
        <v>357</v>
      </c>
      <c r="E2956" s="7">
        <v>-34.7366093506726</v>
      </c>
      <c r="F2956" s="7">
        <v>3.40177614718651</v>
      </c>
      <c r="G2956" s="7">
        <v>4.55579367965653</v>
      </c>
      <c r="H2956" s="7">
        <v>-0.00208199518181573</v>
      </c>
      <c r="I2956" s="7">
        <v>-12.9806065411368</v>
      </c>
      <c r="J2956" s="7">
        <v>-8.70824751948606</v>
      </c>
      <c r="K2956" s="8"/>
      <c r="L2956" s="8"/>
    </row>
    <row r="2957" ht="13.5" customHeight="1">
      <c r="A2957" s="7" t="s">
        <v>355</v>
      </c>
      <c r="B2957" s="7">
        <v>1.75</v>
      </c>
      <c r="C2957" s="7" t="s">
        <v>362</v>
      </c>
      <c r="D2957" s="7" t="s">
        <v>357</v>
      </c>
      <c r="E2957" s="7">
        <v>-34.753465714309</v>
      </c>
      <c r="F2957" s="7">
        <v>3.40348666666703</v>
      </c>
      <c r="G2957" s="7">
        <v>4.55805809524095</v>
      </c>
      <c r="H2957" s="7">
        <v>-0.00208305028571183</v>
      </c>
      <c r="I2957" s="7">
        <v>-12.9874013333446</v>
      </c>
      <c r="J2957" s="7">
        <v>-8.71279457143412</v>
      </c>
      <c r="K2957" s="8"/>
      <c r="L2957" s="8"/>
    </row>
    <row r="2958" ht="13.5" customHeight="1">
      <c r="A2958" s="7" t="s">
        <v>355</v>
      </c>
      <c r="B2958" s="7">
        <v>3.5</v>
      </c>
      <c r="C2958" s="7" t="s">
        <v>362</v>
      </c>
      <c r="D2958" s="7" t="s">
        <v>357</v>
      </c>
      <c r="E2958" s="7">
        <v>-34.7703220779454</v>
      </c>
      <c r="F2958" s="7">
        <v>3.40519718614755</v>
      </c>
      <c r="G2958" s="7">
        <v>4.56032251082537</v>
      </c>
      <c r="H2958" s="7">
        <v>-0.00208410538960793</v>
      </c>
      <c r="I2958" s="7">
        <v>-12.9941961255524</v>
      </c>
      <c r="J2958" s="7">
        <v>-8.71734162338219</v>
      </c>
      <c r="K2958" s="8"/>
      <c r="L2958" s="8"/>
    </row>
    <row r="2959" ht="13.5" customHeight="1">
      <c r="A2959" s="7" t="s">
        <v>355</v>
      </c>
      <c r="B2959" s="7">
        <v>0.0</v>
      </c>
      <c r="C2959" s="7" t="s">
        <v>363</v>
      </c>
      <c r="D2959" s="7" t="s">
        <v>357</v>
      </c>
      <c r="E2959" s="7">
        <v>-34.7871784415818</v>
      </c>
      <c r="F2959" s="7">
        <v>3.40690770562807</v>
      </c>
      <c r="G2959" s="7">
        <v>4.56258692640979</v>
      </c>
      <c r="H2959" s="7">
        <v>-0.00208516049350403</v>
      </c>
      <c r="I2959" s="7">
        <v>-13.0009909177602</v>
      </c>
      <c r="J2959" s="7">
        <v>-8.72188867533025</v>
      </c>
      <c r="K2959" s="8"/>
      <c r="L2959" s="8"/>
    </row>
    <row r="2960" ht="13.5" customHeight="1">
      <c r="A2960" s="7" t="s">
        <v>355</v>
      </c>
      <c r="B2960" s="7">
        <v>1.75</v>
      </c>
      <c r="C2960" s="7" t="s">
        <v>363</v>
      </c>
      <c r="D2960" s="7" t="s">
        <v>357</v>
      </c>
      <c r="E2960" s="7">
        <v>-34.8040348052182</v>
      </c>
      <c r="F2960" s="7">
        <v>3.40861822510859</v>
      </c>
      <c r="G2960" s="7">
        <v>4.56485134199421</v>
      </c>
      <c r="H2960" s="7">
        <v>-0.00208621559740013</v>
      </c>
      <c r="I2960" s="7">
        <v>-13.007785709968</v>
      </c>
      <c r="J2960" s="7">
        <v>-8.72643572727831</v>
      </c>
      <c r="K2960" s="8"/>
      <c r="L2960" s="8"/>
    </row>
    <row r="2961" ht="13.5" customHeight="1">
      <c r="A2961" s="7" t="s">
        <v>355</v>
      </c>
      <c r="B2961" s="7">
        <v>3.5</v>
      </c>
      <c r="C2961" s="7" t="s">
        <v>363</v>
      </c>
      <c r="D2961" s="7" t="s">
        <v>357</v>
      </c>
      <c r="E2961" s="7">
        <v>-34.8208911688546</v>
      </c>
      <c r="F2961" s="7">
        <v>3.41032874458911</v>
      </c>
      <c r="G2961" s="7">
        <v>4.56711575757863</v>
      </c>
      <c r="H2961" s="7">
        <v>-0.00208727070129623</v>
      </c>
      <c r="I2961" s="7">
        <v>-13.0145805021758</v>
      </c>
      <c r="J2961" s="7">
        <v>-8.73098277922637</v>
      </c>
      <c r="K2961" s="8"/>
      <c r="L2961" s="8"/>
    </row>
    <row r="2962" ht="13.5" customHeight="1">
      <c r="A2962" s="7" t="s">
        <v>355</v>
      </c>
      <c r="B2962" s="7">
        <v>0.0</v>
      </c>
      <c r="C2962" s="7" t="s">
        <v>356</v>
      </c>
      <c r="D2962" s="7" t="s">
        <v>357</v>
      </c>
      <c r="E2962" s="7">
        <v>-34.837747532491</v>
      </c>
      <c r="F2962" s="7">
        <v>3.41203926406963</v>
      </c>
      <c r="G2962" s="7">
        <v>4.56938017316305</v>
      </c>
      <c r="H2962" s="7">
        <v>-0.00208832580519233</v>
      </c>
      <c r="I2962" s="7">
        <v>-13.0213752943837</v>
      </c>
      <c r="J2962" s="7">
        <v>-8.73552983117443</v>
      </c>
      <c r="K2962" s="8"/>
      <c r="L2962" s="8"/>
    </row>
    <row r="2963" ht="13.5" customHeight="1">
      <c r="A2963" s="7" t="s">
        <v>355</v>
      </c>
      <c r="B2963" s="7">
        <v>1.75</v>
      </c>
      <c r="C2963" s="7" t="s">
        <v>356</v>
      </c>
      <c r="D2963" s="7" t="s">
        <v>357</v>
      </c>
      <c r="E2963" s="7">
        <v>-34.8546038961274</v>
      </c>
      <c r="F2963" s="7">
        <v>3.41374978355015</v>
      </c>
      <c r="G2963" s="7">
        <v>4.57164458874747</v>
      </c>
      <c r="H2963" s="7">
        <v>-0.00208938090908843</v>
      </c>
      <c r="I2963" s="7">
        <v>-13.0281700865915</v>
      </c>
      <c r="J2963" s="7">
        <v>-8.74007688312249</v>
      </c>
      <c r="K2963" s="8"/>
      <c r="L2963" s="8"/>
    </row>
    <row r="2964" ht="13.5" customHeight="1">
      <c r="A2964" s="7" t="s">
        <v>355</v>
      </c>
      <c r="B2964" s="7">
        <v>3.5</v>
      </c>
      <c r="C2964" s="7" t="s">
        <v>356</v>
      </c>
      <c r="D2964" s="7" t="s">
        <v>357</v>
      </c>
      <c r="E2964" s="7">
        <v>-34.8714602597638</v>
      </c>
      <c r="F2964" s="7">
        <v>3.41546030303067</v>
      </c>
      <c r="G2964" s="7">
        <v>4.57390900433189</v>
      </c>
      <c r="H2964" s="7">
        <v>-0.00209043601298453</v>
      </c>
      <c r="I2964" s="7">
        <v>-13.0349648787993</v>
      </c>
      <c r="J2964" s="7">
        <v>-8.74462393507055</v>
      </c>
      <c r="K2964" s="8"/>
      <c r="L2964" s="8"/>
    </row>
    <row r="2965" ht="13.5" customHeight="1">
      <c r="A2965" s="7" t="s">
        <v>355</v>
      </c>
      <c r="B2965" s="7">
        <v>0.0</v>
      </c>
      <c r="C2965" s="7" t="s">
        <v>358</v>
      </c>
      <c r="D2965" s="7" t="s">
        <v>357</v>
      </c>
      <c r="E2965" s="7">
        <v>-34.8883166234002</v>
      </c>
      <c r="F2965" s="7">
        <v>3.41717082251119</v>
      </c>
      <c r="G2965" s="7">
        <v>4.57617341991631</v>
      </c>
      <c r="H2965" s="7">
        <v>-0.00209149111688063</v>
      </c>
      <c r="I2965" s="7">
        <v>-13.0417596710071</v>
      </c>
      <c r="J2965" s="7">
        <v>-8.74917098701861</v>
      </c>
      <c r="K2965" s="8"/>
      <c r="L2965" s="8"/>
    </row>
    <row r="2966" ht="13.5" customHeight="1">
      <c r="A2966" s="7" t="s">
        <v>355</v>
      </c>
      <c r="B2966" s="7">
        <v>1.75</v>
      </c>
      <c r="C2966" s="7" t="s">
        <v>358</v>
      </c>
      <c r="D2966" s="7" t="s">
        <v>357</v>
      </c>
      <c r="E2966" s="7">
        <v>-34.9051729870366</v>
      </c>
      <c r="F2966" s="7">
        <v>3.41888134199171</v>
      </c>
      <c r="G2966" s="7">
        <v>4.57843783550073</v>
      </c>
      <c r="H2966" s="7">
        <v>-0.00209254622077673</v>
      </c>
      <c r="I2966" s="7">
        <v>-13.0485544632149</v>
      </c>
      <c r="J2966" s="7">
        <v>-8.75371803896667</v>
      </c>
      <c r="K2966" s="8"/>
      <c r="L2966" s="8"/>
    </row>
    <row r="2967" ht="13.5" customHeight="1">
      <c r="A2967" s="7" t="s">
        <v>355</v>
      </c>
      <c r="B2967" s="7">
        <v>3.5</v>
      </c>
      <c r="C2967" s="7" t="s">
        <v>358</v>
      </c>
      <c r="D2967" s="7" t="s">
        <v>357</v>
      </c>
      <c r="E2967" s="7">
        <v>-34.922029350673</v>
      </c>
      <c r="F2967" s="7">
        <v>3.42059186147223</v>
      </c>
      <c r="G2967" s="7">
        <v>4.58070225108515</v>
      </c>
      <c r="H2967" s="7">
        <v>-0.00209360132467283</v>
      </c>
      <c r="I2967" s="7">
        <v>-13.0553492554227</v>
      </c>
      <c r="J2967" s="7">
        <v>-8.75826509091473</v>
      </c>
      <c r="K2967" s="8"/>
      <c r="L2967" s="8"/>
    </row>
    <row r="2968" ht="13.5" customHeight="1">
      <c r="A2968" s="7" t="s">
        <v>355</v>
      </c>
      <c r="B2968" s="7">
        <v>0.0</v>
      </c>
      <c r="C2968" s="7" t="s">
        <v>359</v>
      </c>
      <c r="D2968" s="7" t="s">
        <v>357</v>
      </c>
      <c r="E2968" s="7">
        <v>-34.9388857143094</v>
      </c>
      <c r="F2968" s="7">
        <v>3.42230238095275</v>
      </c>
      <c r="G2968" s="7">
        <v>4.58296666666957</v>
      </c>
      <c r="H2968" s="7">
        <v>-0.00209465642856893</v>
      </c>
      <c r="I2968" s="7">
        <v>-13.0621440476305</v>
      </c>
      <c r="J2968" s="7">
        <v>-8.76281214286279</v>
      </c>
      <c r="K2968" s="8"/>
      <c r="L2968" s="8"/>
    </row>
    <row r="2969" ht="13.5" customHeight="1">
      <c r="A2969" s="7" t="s">
        <v>355</v>
      </c>
      <c r="B2969" s="7">
        <v>1.75</v>
      </c>
      <c r="C2969" s="7" t="s">
        <v>359</v>
      </c>
      <c r="D2969" s="7" t="s">
        <v>357</v>
      </c>
      <c r="E2969" s="7">
        <v>-34.9557420779458</v>
      </c>
      <c r="F2969" s="7">
        <v>3.42401290043327</v>
      </c>
      <c r="G2969" s="7">
        <v>4.58523108225399</v>
      </c>
      <c r="H2969" s="7">
        <v>-0.00209571153246503</v>
      </c>
      <c r="I2969" s="7">
        <v>-13.0689388398383</v>
      </c>
      <c r="J2969" s="7">
        <v>-8.76735919481085</v>
      </c>
      <c r="K2969" s="8"/>
      <c r="L2969" s="8"/>
    </row>
    <row r="2970" ht="13.5" customHeight="1">
      <c r="A2970" s="7" t="s">
        <v>355</v>
      </c>
      <c r="B2970" s="7">
        <v>3.5</v>
      </c>
      <c r="C2970" s="7" t="s">
        <v>359</v>
      </c>
      <c r="D2970" s="7" t="s">
        <v>357</v>
      </c>
      <c r="E2970" s="7">
        <v>-34.9725984415822</v>
      </c>
      <c r="F2970" s="7">
        <v>3.42572341991379</v>
      </c>
      <c r="G2970" s="7">
        <v>4.58749549783841</v>
      </c>
      <c r="H2970" s="7">
        <v>-0.00209676663636113</v>
      </c>
      <c r="I2970" s="7">
        <v>-13.0757336320461</v>
      </c>
      <c r="J2970" s="7">
        <v>-8.77190624675891</v>
      </c>
      <c r="K2970" s="8"/>
      <c r="L2970" s="8"/>
    </row>
    <row r="2971" ht="13.5" customHeight="1">
      <c r="A2971" s="7" t="s">
        <v>355</v>
      </c>
      <c r="B2971" s="7">
        <v>0.0</v>
      </c>
      <c r="C2971" s="7" t="s">
        <v>360</v>
      </c>
      <c r="D2971" s="7" t="s">
        <v>357</v>
      </c>
      <c r="E2971" s="7">
        <v>-34.9894548052186</v>
      </c>
      <c r="F2971" s="7">
        <v>3.42743393939431</v>
      </c>
      <c r="G2971" s="7">
        <v>4.58975991342283</v>
      </c>
      <c r="H2971" s="7">
        <v>-0.00209782174025723</v>
      </c>
      <c r="I2971" s="7">
        <v>-13.0825284242539</v>
      </c>
      <c r="J2971" s="7">
        <v>-8.77645329870697</v>
      </c>
      <c r="K2971" s="8"/>
      <c r="L2971" s="8"/>
    </row>
    <row r="2972" ht="13.5" customHeight="1">
      <c r="A2972" s="7" t="s">
        <v>355</v>
      </c>
      <c r="B2972" s="7">
        <v>1.75</v>
      </c>
      <c r="C2972" s="7" t="s">
        <v>360</v>
      </c>
      <c r="D2972" s="7" t="s">
        <v>357</v>
      </c>
      <c r="E2972" s="7">
        <v>-35.006311168855</v>
      </c>
      <c r="F2972" s="7">
        <v>3.42914445887483</v>
      </c>
      <c r="G2972" s="7">
        <v>4.59202432900725</v>
      </c>
      <c r="H2972" s="7">
        <v>-0.00209887684415333</v>
      </c>
      <c r="I2972" s="7">
        <v>-13.0893232164618</v>
      </c>
      <c r="J2972" s="7">
        <v>-8.78100035065503</v>
      </c>
      <c r="K2972" s="8"/>
      <c r="L2972" s="8"/>
    </row>
    <row r="2973" ht="13.5" customHeight="1">
      <c r="A2973" s="7" t="s">
        <v>355</v>
      </c>
      <c r="B2973" s="7">
        <v>3.5</v>
      </c>
      <c r="C2973" s="7" t="s">
        <v>360</v>
      </c>
      <c r="D2973" s="7" t="s">
        <v>357</v>
      </c>
      <c r="E2973" s="7">
        <v>-35.0231675324914</v>
      </c>
      <c r="F2973" s="7">
        <v>3.43085497835535</v>
      </c>
      <c r="G2973" s="7">
        <v>4.59428874459167</v>
      </c>
      <c r="H2973" s="7">
        <v>-0.00209993194804943</v>
      </c>
      <c r="I2973" s="7">
        <v>-13.0961180086696</v>
      </c>
      <c r="J2973" s="7">
        <v>-8.78554740260309</v>
      </c>
      <c r="K2973" s="8"/>
      <c r="L2973" s="8"/>
    </row>
    <row r="2974" ht="13.5" customHeight="1">
      <c r="A2974" s="7" t="s">
        <v>355</v>
      </c>
      <c r="B2974" s="7">
        <v>0.0</v>
      </c>
      <c r="C2974" s="7" t="s">
        <v>361</v>
      </c>
      <c r="D2974" s="7" t="s">
        <v>357</v>
      </c>
      <c r="E2974" s="7">
        <v>-35.0400238961278</v>
      </c>
      <c r="F2974" s="7">
        <v>3.43256549783587</v>
      </c>
      <c r="G2974" s="7">
        <v>4.59655316017609</v>
      </c>
      <c r="H2974" s="7">
        <v>-0.00210098705194553</v>
      </c>
      <c r="I2974" s="7">
        <v>-13.1029128008774</v>
      </c>
      <c r="J2974" s="7">
        <v>-8.79009445455116</v>
      </c>
      <c r="K2974" s="8"/>
      <c r="L2974" s="8"/>
    </row>
    <row r="2975" ht="13.5" customHeight="1">
      <c r="A2975" s="7" t="s">
        <v>355</v>
      </c>
      <c r="B2975" s="7">
        <v>1.75</v>
      </c>
      <c r="C2975" s="7" t="s">
        <v>361</v>
      </c>
      <c r="D2975" s="7" t="s">
        <v>357</v>
      </c>
      <c r="E2975" s="7">
        <v>-35.0568802597642</v>
      </c>
      <c r="F2975" s="7">
        <v>3.43427601731639</v>
      </c>
      <c r="G2975" s="7">
        <v>4.59881757576051</v>
      </c>
      <c r="H2975" s="7">
        <v>-0.00210204215584163</v>
      </c>
      <c r="I2975" s="7">
        <v>-13.1097075930852</v>
      </c>
      <c r="J2975" s="7">
        <v>-8.79464150649922</v>
      </c>
      <c r="K2975" s="8"/>
      <c r="L2975" s="8"/>
    </row>
    <row r="2976" ht="13.5" customHeight="1">
      <c r="A2976" s="7" t="s">
        <v>355</v>
      </c>
      <c r="B2976" s="7">
        <v>3.5</v>
      </c>
      <c r="C2976" s="7" t="s">
        <v>361</v>
      </c>
      <c r="D2976" s="7" t="s">
        <v>357</v>
      </c>
      <c r="E2976" s="7">
        <v>-35.0737366234006</v>
      </c>
      <c r="F2976" s="7">
        <v>3.43598653679691</v>
      </c>
      <c r="G2976" s="7">
        <v>4.60108199134493</v>
      </c>
      <c r="H2976" s="7">
        <v>-0.00210309725973773</v>
      </c>
      <c r="I2976" s="7">
        <v>-13.116502385293</v>
      </c>
      <c r="J2976" s="7">
        <v>-8.79918855844728</v>
      </c>
      <c r="K2976" s="8"/>
      <c r="L2976" s="8"/>
    </row>
    <row r="2977" ht="13.5" customHeight="1">
      <c r="A2977" s="7" t="s">
        <v>355</v>
      </c>
      <c r="B2977" s="7">
        <v>0.0</v>
      </c>
      <c r="C2977" s="7" t="s">
        <v>362</v>
      </c>
      <c r="D2977" s="7" t="s">
        <v>357</v>
      </c>
      <c r="E2977" s="7">
        <v>-35.090592987037</v>
      </c>
      <c r="F2977" s="7">
        <v>3.43769705627743</v>
      </c>
      <c r="G2977" s="7">
        <v>4.60334640692935</v>
      </c>
      <c r="H2977" s="7">
        <v>-0.00210415236363383</v>
      </c>
      <c r="I2977" s="7">
        <v>-13.1232971775008</v>
      </c>
      <c r="J2977" s="7">
        <v>-8.80373561039534</v>
      </c>
      <c r="K2977" s="8"/>
      <c r="L2977" s="8"/>
    </row>
    <row r="2978" ht="13.5" customHeight="1">
      <c r="A2978" s="7" t="s">
        <v>355</v>
      </c>
      <c r="B2978" s="7">
        <v>1.75</v>
      </c>
      <c r="C2978" s="7" t="s">
        <v>362</v>
      </c>
      <c r="D2978" s="7" t="s">
        <v>357</v>
      </c>
      <c r="E2978" s="7">
        <v>-35.1074493506734</v>
      </c>
      <c r="F2978" s="7">
        <v>3.43940757575795</v>
      </c>
      <c r="G2978" s="7">
        <v>4.60561082251377</v>
      </c>
      <c r="H2978" s="7">
        <v>-0.00210520746752993</v>
      </c>
      <c r="I2978" s="7">
        <v>-13.1300919697086</v>
      </c>
      <c r="J2978" s="7">
        <v>-8.8082826623434</v>
      </c>
      <c r="K2978" s="8"/>
      <c r="L2978" s="8"/>
    </row>
    <row r="2979" ht="13.5" customHeight="1">
      <c r="A2979" s="7" t="s">
        <v>355</v>
      </c>
      <c r="B2979" s="7">
        <v>3.5</v>
      </c>
      <c r="C2979" s="7" t="s">
        <v>362</v>
      </c>
      <c r="D2979" s="7" t="s">
        <v>357</v>
      </c>
      <c r="E2979" s="7">
        <v>-35.1243057143098</v>
      </c>
      <c r="F2979" s="7">
        <v>3.44111809523847</v>
      </c>
      <c r="G2979" s="7">
        <v>4.60787523809819</v>
      </c>
      <c r="H2979" s="7">
        <v>-0.00210626257142603</v>
      </c>
      <c r="I2979" s="7">
        <v>-13.1368867619164</v>
      </c>
      <c r="J2979" s="7">
        <v>-8.81282971429146</v>
      </c>
      <c r="K2979" s="8"/>
      <c r="L2979" s="8"/>
    </row>
    <row r="2980" ht="13.5" customHeight="1">
      <c r="A2980" s="7" t="s">
        <v>355</v>
      </c>
      <c r="B2980" s="7">
        <v>0.0</v>
      </c>
      <c r="C2980" s="7" t="s">
        <v>363</v>
      </c>
      <c r="D2980" s="7" t="s">
        <v>357</v>
      </c>
      <c r="E2980" s="7">
        <v>-35.1411620779462</v>
      </c>
      <c r="F2980" s="7">
        <v>3.44282861471899</v>
      </c>
      <c r="G2980" s="7">
        <v>4.61013965368261</v>
      </c>
      <c r="H2980" s="7">
        <v>-0.00210731767532213</v>
      </c>
      <c r="I2980" s="7">
        <v>-13.1436815541242</v>
      </c>
      <c r="J2980" s="7">
        <v>-8.81737676623952</v>
      </c>
      <c r="K2980" s="8"/>
      <c r="L2980" s="8"/>
    </row>
    <row r="2981" ht="13.5" customHeight="1">
      <c r="A2981" s="7" t="s">
        <v>355</v>
      </c>
      <c r="B2981" s="7">
        <v>1.75</v>
      </c>
      <c r="C2981" s="7" t="s">
        <v>363</v>
      </c>
      <c r="D2981" s="7" t="s">
        <v>357</v>
      </c>
      <c r="E2981" s="7">
        <v>-35.1580184415826</v>
      </c>
      <c r="F2981" s="7">
        <v>3.44453913419951</v>
      </c>
      <c r="G2981" s="7">
        <v>4.61240406926703</v>
      </c>
      <c r="H2981" s="7">
        <v>-0.00210837277921823</v>
      </c>
      <c r="I2981" s="7">
        <v>-13.150476346332</v>
      </c>
      <c r="J2981" s="7">
        <v>-8.82192381818758</v>
      </c>
      <c r="K2981" s="8"/>
      <c r="L2981" s="8"/>
    </row>
    <row r="2982" ht="13.5" customHeight="1">
      <c r="A2982" s="7" t="s">
        <v>355</v>
      </c>
      <c r="B2982" s="7">
        <v>3.5</v>
      </c>
      <c r="C2982" s="7" t="s">
        <v>363</v>
      </c>
      <c r="D2982" s="7" t="s">
        <v>357</v>
      </c>
      <c r="E2982" s="7">
        <v>-35.174874805219</v>
      </c>
      <c r="F2982" s="7">
        <v>3.44624965368003</v>
      </c>
      <c r="G2982" s="7">
        <v>4.61466848485145</v>
      </c>
      <c r="H2982" s="7">
        <v>-0.00210942788311433</v>
      </c>
      <c r="I2982" s="7">
        <v>-13.1572711385398</v>
      </c>
      <c r="J2982" s="7">
        <v>-8.82647087013564</v>
      </c>
      <c r="K2982" s="8"/>
      <c r="L2982" s="8"/>
    </row>
    <row r="2983" ht="13.5" customHeight="1">
      <c r="A2983" s="7" t="s">
        <v>355</v>
      </c>
      <c r="B2983" s="7">
        <v>0.0</v>
      </c>
      <c r="C2983" s="7" t="s">
        <v>356</v>
      </c>
      <c r="D2983" s="7" t="s">
        <v>357</v>
      </c>
      <c r="E2983" s="7">
        <v>-35.1917311688554</v>
      </c>
      <c r="F2983" s="7">
        <v>3.44796017316055</v>
      </c>
      <c r="G2983" s="7">
        <v>4.61693290043587</v>
      </c>
      <c r="H2983" s="7">
        <v>-0.00211048298701043</v>
      </c>
      <c r="I2983" s="7">
        <v>-13.1640659307477</v>
      </c>
      <c r="J2983" s="7">
        <v>-8.8310179220837</v>
      </c>
      <c r="K2983" s="8"/>
      <c r="L2983" s="8"/>
    </row>
    <row r="2984" ht="13.5" customHeight="1">
      <c r="A2984" s="7" t="s">
        <v>355</v>
      </c>
      <c r="B2984" s="7">
        <v>1.75</v>
      </c>
      <c r="C2984" s="7" t="s">
        <v>356</v>
      </c>
      <c r="D2984" s="7" t="s">
        <v>357</v>
      </c>
      <c r="E2984" s="7">
        <v>-35.2085875324918</v>
      </c>
      <c r="F2984" s="7">
        <v>3.44967069264107</v>
      </c>
      <c r="G2984" s="7">
        <v>4.61919731602029</v>
      </c>
      <c r="H2984" s="7">
        <v>-0.00211153809090653</v>
      </c>
      <c r="I2984" s="7">
        <v>-13.1708607229555</v>
      </c>
      <c r="J2984" s="7">
        <v>-8.83556497403176</v>
      </c>
      <c r="K2984" s="8"/>
      <c r="L2984" s="8"/>
    </row>
    <row r="2985" ht="13.5" customHeight="1">
      <c r="A2985" s="7" t="s">
        <v>355</v>
      </c>
      <c r="B2985" s="7">
        <v>3.5</v>
      </c>
      <c r="C2985" s="7" t="s">
        <v>356</v>
      </c>
      <c r="D2985" s="7" t="s">
        <v>357</v>
      </c>
      <c r="E2985" s="7">
        <v>-35.2254438961282</v>
      </c>
      <c r="F2985" s="7">
        <v>3.45138121212159</v>
      </c>
      <c r="G2985" s="7">
        <v>4.62146173160471</v>
      </c>
      <c r="H2985" s="7">
        <v>-0.00211259319480263</v>
      </c>
      <c r="I2985" s="7">
        <v>-13.1776555151633</v>
      </c>
      <c r="J2985" s="7">
        <v>-8.84011202597982</v>
      </c>
      <c r="K2985" s="8"/>
      <c r="L2985" s="8"/>
    </row>
    <row r="2986" ht="13.5" customHeight="1">
      <c r="A2986" s="7" t="s">
        <v>355</v>
      </c>
      <c r="B2986" s="7">
        <v>0.0</v>
      </c>
      <c r="C2986" s="7" t="s">
        <v>358</v>
      </c>
      <c r="D2986" s="7" t="s">
        <v>357</v>
      </c>
      <c r="E2986" s="7">
        <v>-35.2423002597646</v>
      </c>
      <c r="F2986" s="7">
        <v>3.45309173160211</v>
      </c>
      <c r="G2986" s="7">
        <v>4.62372614718913</v>
      </c>
      <c r="H2986" s="7">
        <v>-0.00211364829869873</v>
      </c>
      <c r="I2986" s="7">
        <v>-13.1844503073711</v>
      </c>
      <c r="J2986" s="7">
        <v>-8.84465907792788</v>
      </c>
      <c r="K2986" s="8"/>
      <c r="L2986" s="8"/>
    </row>
    <row r="2987" ht="13.5" customHeight="1">
      <c r="A2987" s="7" t="s">
        <v>355</v>
      </c>
      <c r="B2987" s="7">
        <v>1.75</v>
      </c>
      <c r="C2987" s="7" t="s">
        <v>358</v>
      </c>
      <c r="D2987" s="7" t="s">
        <v>357</v>
      </c>
      <c r="E2987" s="7">
        <v>-35.259156623401</v>
      </c>
      <c r="F2987" s="7">
        <v>3.45480225108263</v>
      </c>
      <c r="G2987" s="7">
        <v>4.62599056277355</v>
      </c>
      <c r="H2987" s="7">
        <v>-0.00211470340259483</v>
      </c>
      <c r="I2987" s="7">
        <v>-13.1912450995789</v>
      </c>
      <c r="J2987" s="7">
        <v>-8.84920612987594</v>
      </c>
      <c r="K2987" s="8"/>
      <c r="L2987" s="8"/>
    </row>
    <row r="2988" ht="13.5" customHeight="1">
      <c r="A2988" s="7" t="s">
        <v>355</v>
      </c>
      <c r="B2988" s="7">
        <v>3.5</v>
      </c>
      <c r="C2988" s="7" t="s">
        <v>358</v>
      </c>
      <c r="D2988" s="7" t="s">
        <v>357</v>
      </c>
      <c r="E2988" s="7">
        <v>-35.2760129870374</v>
      </c>
      <c r="F2988" s="7">
        <v>3.45651277056315</v>
      </c>
      <c r="G2988" s="7">
        <v>4.62825497835797</v>
      </c>
      <c r="H2988" s="7">
        <v>-0.00211575850649093</v>
      </c>
      <c r="I2988" s="7">
        <v>-13.1980398917867</v>
      </c>
      <c r="J2988" s="7">
        <v>-8.853753181824</v>
      </c>
      <c r="K2988" s="8"/>
      <c r="L2988" s="8"/>
    </row>
    <row r="2989" ht="13.5" customHeight="1">
      <c r="A2989" s="7" t="s">
        <v>355</v>
      </c>
      <c r="B2989" s="7">
        <v>0.0</v>
      </c>
      <c r="C2989" s="7" t="s">
        <v>359</v>
      </c>
      <c r="D2989" s="7" t="s">
        <v>357</v>
      </c>
      <c r="E2989" s="7">
        <v>-35.2928693506738</v>
      </c>
      <c r="F2989" s="7">
        <v>3.45822329004367</v>
      </c>
      <c r="G2989" s="7">
        <v>4.63051939394239</v>
      </c>
      <c r="H2989" s="7">
        <v>-0.00211681361038703</v>
      </c>
      <c r="I2989" s="7">
        <v>-13.2048346839945</v>
      </c>
      <c r="J2989" s="7">
        <v>-8.85830023377206</v>
      </c>
      <c r="K2989" s="8"/>
      <c r="L2989" s="8"/>
    </row>
    <row r="2990" ht="13.5" customHeight="1">
      <c r="A2990" s="7" t="s">
        <v>355</v>
      </c>
      <c r="B2990" s="7">
        <v>1.75</v>
      </c>
      <c r="C2990" s="7" t="s">
        <v>359</v>
      </c>
      <c r="D2990" s="7" t="s">
        <v>357</v>
      </c>
      <c r="E2990" s="7">
        <v>-35.3097257143102</v>
      </c>
      <c r="F2990" s="7">
        <v>3.45993380952419</v>
      </c>
      <c r="G2990" s="7">
        <v>4.63278380952681</v>
      </c>
      <c r="H2990" s="7">
        <v>-0.00211786871428313</v>
      </c>
      <c r="I2990" s="7">
        <v>-13.2116294762023</v>
      </c>
      <c r="J2990" s="7">
        <v>-8.86284728572012</v>
      </c>
      <c r="K2990" s="8"/>
      <c r="L2990" s="8"/>
    </row>
    <row r="2991" ht="13.5" customHeight="1">
      <c r="A2991" s="7" t="s">
        <v>355</v>
      </c>
      <c r="B2991" s="7">
        <v>3.5</v>
      </c>
      <c r="C2991" s="7" t="s">
        <v>359</v>
      </c>
      <c r="D2991" s="7" t="s">
        <v>357</v>
      </c>
      <c r="E2991" s="7">
        <v>-35.3265820779466</v>
      </c>
      <c r="F2991" s="7">
        <v>3.46164432900471</v>
      </c>
      <c r="G2991" s="7">
        <v>4.63504822511123</v>
      </c>
      <c r="H2991" s="7">
        <v>-0.00211892381817923</v>
      </c>
      <c r="I2991" s="7">
        <v>-13.2184242684101</v>
      </c>
      <c r="J2991" s="7">
        <v>-8.86739433766819</v>
      </c>
      <c r="K2991" s="8"/>
      <c r="L2991" s="8"/>
    </row>
    <row r="2992" ht="13.5" customHeight="1">
      <c r="A2992" s="7" t="s">
        <v>355</v>
      </c>
      <c r="B2992" s="7">
        <v>0.0</v>
      </c>
      <c r="C2992" s="7" t="s">
        <v>360</v>
      </c>
      <c r="D2992" s="7" t="s">
        <v>357</v>
      </c>
      <c r="E2992" s="7">
        <v>-35.343438441583</v>
      </c>
      <c r="F2992" s="7">
        <v>3.46335484848523</v>
      </c>
      <c r="G2992" s="7">
        <v>4.63731264069565</v>
      </c>
      <c r="H2992" s="7">
        <v>-0.00211997892207533</v>
      </c>
      <c r="I2992" s="7">
        <v>-13.2252190606179</v>
      </c>
      <c r="J2992" s="7">
        <v>-8.87194138961625</v>
      </c>
      <c r="K2992" s="8"/>
      <c r="L2992" s="8"/>
    </row>
    <row r="2993" ht="13.5" customHeight="1">
      <c r="A2993" s="7" t="s">
        <v>355</v>
      </c>
      <c r="B2993" s="7">
        <v>1.75</v>
      </c>
      <c r="C2993" s="7" t="s">
        <v>360</v>
      </c>
      <c r="D2993" s="7" t="s">
        <v>357</v>
      </c>
      <c r="E2993" s="7">
        <v>-35.3602948052194</v>
      </c>
      <c r="F2993" s="7">
        <v>3.46506536796575</v>
      </c>
      <c r="G2993" s="7">
        <v>4.6395770562800696</v>
      </c>
      <c r="H2993" s="7">
        <v>-0.00212103402597143</v>
      </c>
      <c r="I2993" s="7">
        <v>-13.2320138528258</v>
      </c>
      <c r="J2993" s="7">
        <v>-8.87648844156431</v>
      </c>
      <c r="K2993" s="8"/>
      <c r="L2993" s="8"/>
    </row>
    <row r="2994" ht="13.5" customHeight="1">
      <c r="A2994" s="7" t="s">
        <v>355</v>
      </c>
      <c r="B2994" s="7">
        <v>3.5</v>
      </c>
      <c r="C2994" s="7" t="s">
        <v>360</v>
      </c>
      <c r="D2994" s="7" t="s">
        <v>357</v>
      </c>
      <c r="E2994" s="7">
        <v>-35.3771511688558</v>
      </c>
      <c r="F2994" s="7">
        <v>3.46677588744627</v>
      </c>
      <c r="G2994" s="7">
        <v>4.64184147186449</v>
      </c>
      <c r="H2994" s="7">
        <v>-0.00212208912986753</v>
      </c>
      <c r="I2994" s="7">
        <v>-13.2388086450336</v>
      </c>
      <c r="J2994" s="7">
        <v>-8.88103549351237</v>
      </c>
      <c r="K2994" s="8"/>
      <c r="L2994" s="8"/>
    </row>
    <row r="2995" ht="13.5" customHeight="1">
      <c r="A2995" s="7" t="s">
        <v>355</v>
      </c>
      <c r="B2995" s="7">
        <v>0.0</v>
      </c>
      <c r="C2995" s="7" t="s">
        <v>361</v>
      </c>
      <c r="D2995" s="7" t="s">
        <v>357</v>
      </c>
      <c r="E2995" s="7">
        <v>-35.3940075324922</v>
      </c>
      <c r="F2995" s="7">
        <v>3.46848640692679</v>
      </c>
      <c r="G2995" s="7">
        <v>4.64410588744891</v>
      </c>
      <c r="H2995" s="7">
        <v>-0.00212314423376363</v>
      </c>
      <c r="I2995" s="7">
        <v>-13.2456034372414</v>
      </c>
      <c r="J2995" s="7">
        <v>-8.88558254546043</v>
      </c>
      <c r="K2995" s="8"/>
      <c r="L2995" s="8"/>
    </row>
    <row r="2996" ht="13.5" customHeight="1">
      <c r="A2996" s="7" t="s">
        <v>355</v>
      </c>
      <c r="B2996" s="7">
        <v>1.75</v>
      </c>
      <c r="C2996" s="7" t="s">
        <v>361</v>
      </c>
      <c r="D2996" s="7" t="s">
        <v>357</v>
      </c>
      <c r="E2996" s="7">
        <v>-35.4108638961286</v>
      </c>
      <c r="F2996" s="7">
        <v>3.47019692640731</v>
      </c>
      <c r="G2996" s="7">
        <v>4.64637030303333</v>
      </c>
      <c r="H2996" s="7">
        <v>-0.00212419933765973</v>
      </c>
      <c r="I2996" s="7">
        <v>-13.2523982294492</v>
      </c>
      <c r="J2996" s="7">
        <v>-8.89012959740849</v>
      </c>
      <c r="K2996" s="8"/>
      <c r="L2996" s="8"/>
    </row>
    <row r="2997" ht="13.5" customHeight="1">
      <c r="A2997" s="7" t="s">
        <v>355</v>
      </c>
      <c r="B2997" s="7">
        <v>3.5</v>
      </c>
      <c r="C2997" s="7" t="s">
        <v>361</v>
      </c>
      <c r="D2997" s="7" t="s">
        <v>357</v>
      </c>
      <c r="E2997" s="7">
        <v>-35.427720259765</v>
      </c>
      <c r="F2997" s="7">
        <v>3.47190744588783</v>
      </c>
      <c r="G2997" s="7">
        <v>4.64863471861775</v>
      </c>
      <c r="H2997" s="7">
        <v>-0.00212525444155583</v>
      </c>
      <c r="I2997" s="7">
        <v>-13.259193021657</v>
      </c>
      <c r="J2997" s="7">
        <v>-8.89467664935655</v>
      </c>
      <c r="K2997" s="8"/>
      <c r="L2997" s="8"/>
    </row>
    <row r="2998" ht="13.5" customHeight="1">
      <c r="A2998" s="7" t="s">
        <v>355</v>
      </c>
      <c r="B2998" s="7">
        <v>0.0</v>
      </c>
      <c r="C2998" s="7" t="s">
        <v>362</v>
      </c>
      <c r="D2998" s="7" t="s">
        <v>357</v>
      </c>
      <c r="E2998" s="7">
        <v>-35.4445766234014</v>
      </c>
      <c r="F2998" s="7">
        <v>3.47361796536835</v>
      </c>
      <c r="G2998" s="7">
        <v>4.65089913420217</v>
      </c>
      <c r="H2998" s="7">
        <v>-0.00212630954545193</v>
      </c>
      <c r="I2998" s="7">
        <v>-13.2659878138648</v>
      </c>
      <c r="J2998" s="7">
        <v>-8.89922370130461</v>
      </c>
      <c r="K2998" s="8"/>
      <c r="L2998" s="8"/>
    </row>
    <row r="2999" ht="13.5" customHeight="1">
      <c r="A2999" s="7" t="s">
        <v>355</v>
      </c>
      <c r="B2999" s="7">
        <v>1.75</v>
      </c>
      <c r="C2999" s="7" t="s">
        <v>362</v>
      </c>
      <c r="D2999" s="7" t="s">
        <v>357</v>
      </c>
      <c r="E2999" s="7">
        <v>-35.4614329870378</v>
      </c>
      <c r="F2999" s="7">
        <v>3.47532848484887</v>
      </c>
      <c r="G2999" s="7">
        <v>4.65316354978659</v>
      </c>
      <c r="H2999" s="7">
        <v>-0.00212736464934803</v>
      </c>
      <c r="I2999" s="7">
        <v>-13.2727826060726</v>
      </c>
      <c r="J2999" s="7">
        <v>-8.90377075325267</v>
      </c>
      <c r="K2999" s="8"/>
      <c r="L2999" s="8"/>
    </row>
    <row r="3000" ht="13.5" customHeight="1">
      <c r="A3000" s="7" t="s">
        <v>355</v>
      </c>
      <c r="B3000" s="7">
        <v>3.5</v>
      </c>
      <c r="C3000" s="7" t="s">
        <v>362</v>
      </c>
      <c r="D3000" s="7" t="s">
        <v>357</v>
      </c>
      <c r="E3000" s="7">
        <v>-35.4782893506742</v>
      </c>
      <c r="F3000" s="7">
        <v>3.47703900432939</v>
      </c>
      <c r="G3000" s="7">
        <v>4.65542796537101</v>
      </c>
      <c r="H3000" s="7">
        <v>-0.00212841975324413</v>
      </c>
      <c r="I3000" s="7">
        <v>-13.2795773982804</v>
      </c>
      <c r="J3000" s="7">
        <v>-8.90831780520073</v>
      </c>
      <c r="K3000" s="8"/>
      <c r="L3000" s="8"/>
    </row>
    <row r="3001" ht="13.5" customHeight="1">
      <c r="A3001" s="7" t="s">
        <v>355</v>
      </c>
      <c r="B3001" s="7">
        <v>0.0</v>
      </c>
      <c r="C3001" s="7" t="s">
        <v>363</v>
      </c>
      <c r="D3001" s="7" t="s">
        <v>357</v>
      </c>
      <c r="E3001" s="7">
        <v>-35.4951457143106</v>
      </c>
      <c r="F3001" s="7">
        <v>3.47874952380991</v>
      </c>
      <c r="G3001" s="7">
        <v>4.65769238095543</v>
      </c>
      <c r="H3001" s="7">
        <v>-0.00212947485714023</v>
      </c>
      <c r="I3001" s="7">
        <v>-13.2863721904882</v>
      </c>
      <c r="J3001" s="7">
        <v>-8.91286485714879</v>
      </c>
      <c r="K3001" s="8"/>
      <c r="L3001" s="8"/>
    </row>
    <row r="3002" ht="13.5" customHeight="1">
      <c r="A3002" s="7" t="s">
        <v>355</v>
      </c>
      <c r="B3002" s="7">
        <v>1.75</v>
      </c>
      <c r="C3002" s="7" t="s">
        <v>363</v>
      </c>
      <c r="D3002" s="7" t="s">
        <v>357</v>
      </c>
      <c r="E3002" s="7">
        <v>-35.512002077947</v>
      </c>
      <c r="F3002" s="7">
        <v>3.48046004329043</v>
      </c>
      <c r="G3002" s="7">
        <v>4.65995679653985</v>
      </c>
      <c r="H3002" s="7">
        <v>-0.00213052996103634</v>
      </c>
      <c r="I3002" s="7">
        <v>-13.2931669826961</v>
      </c>
      <c r="J3002" s="7">
        <v>-8.91741190909685</v>
      </c>
      <c r="K3002" s="8"/>
      <c r="L3002" s="8"/>
    </row>
    <row r="3003" ht="13.5" customHeight="1">
      <c r="A3003" s="7" t="s">
        <v>355</v>
      </c>
      <c r="B3003" s="7">
        <v>3.5</v>
      </c>
      <c r="C3003" s="7" t="s">
        <v>363</v>
      </c>
      <c r="D3003" s="7" t="s">
        <v>357</v>
      </c>
      <c r="E3003" s="7">
        <v>-35.5288584415834</v>
      </c>
      <c r="F3003" s="7">
        <v>3.48217056277095</v>
      </c>
      <c r="G3003" s="7">
        <v>4.66222121212427</v>
      </c>
      <c r="H3003" s="7">
        <v>-0.00213158506493243</v>
      </c>
      <c r="I3003" s="7">
        <v>-13.2999617749039</v>
      </c>
      <c r="J3003" s="7">
        <v>-8.92195896104491</v>
      </c>
      <c r="K3003" s="8"/>
      <c r="L3003" s="8"/>
    </row>
    <row r="3004" ht="13.5" customHeight="1">
      <c r="A3004" s="7" t="s">
        <v>355</v>
      </c>
      <c r="B3004" s="7">
        <v>0.0</v>
      </c>
      <c r="C3004" s="7" t="s">
        <v>356</v>
      </c>
      <c r="D3004" s="7" t="s">
        <v>357</v>
      </c>
      <c r="E3004" s="7">
        <v>-35.5457148052198</v>
      </c>
      <c r="F3004" s="7">
        <v>3.48388108225147</v>
      </c>
      <c r="G3004" s="7">
        <v>4.66448562770869</v>
      </c>
      <c r="H3004" s="7">
        <v>-0.00213264016882853</v>
      </c>
      <c r="I3004" s="7">
        <v>-13.3067565671117</v>
      </c>
      <c r="J3004" s="7">
        <v>-8.92650601299297</v>
      </c>
      <c r="K3004" s="8"/>
      <c r="L3004" s="8"/>
    </row>
    <row r="3005" ht="13.5" customHeight="1">
      <c r="A3005" s="7" t="s">
        <v>355</v>
      </c>
      <c r="B3005" s="7">
        <v>1.75</v>
      </c>
      <c r="C3005" s="7" t="s">
        <v>356</v>
      </c>
      <c r="D3005" s="7" t="s">
        <v>357</v>
      </c>
      <c r="E3005" s="7">
        <v>-35.5625711688562</v>
      </c>
      <c r="F3005" s="7">
        <v>3.48559160173199</v>
      </c>
      <c r="G3005" s="7">
        <v>4.66675004329311</v>
      </c>
      <c r="H3005" s="7">
        <v>-0.00213369527272464</v>
      </c>
      <c r="I3005" s="7">
        <v>-13.3135513593195</v>
      </c>
      <c r="J3005" s="7">
        <v>-8.93105306494103</v>
      </c>
      <c r="K3005" s="8"/>
      <c r="L3005" s="8"/>
    </row>
    <row r="3006" ht="13.5" customHeight="1">
      <c r="A3006" s="7" t="s">
        <v>355</v>
      </c>
      <c r="B3006" s="7">
        <v>3.5</v>
      </c>
      <c r="C3006" s="7" t="s">
        <v>356</v>
      </c>
      <c r="D3006" s="7" t="s">
        <v>357</v>
      </c>
      <c r="E3006" s="7">
        <v>-35.5794275324926</v>
      </c>
      <c r="F3006" s="7">
        <v>3.48730212121251</v>
      </c>
      <c r="G3006" s="7">
        <v>4.66901445887753</v>
      </c>
      <c r="H3006" s="7">
        <v>-0.00213475037662073</v>
      </c>
      <c r="I3006" s="7">
        <v>-13.3203461515273</v>
      </c>
      <c r="J3006" s="7">
        <v>-8.93560011688909</v>
      </c>
      <c r="K3006" s="8"/>
      <c r="L3006" s="8"/>
    </row>
    <row r="3007" ht="13.5" customHeight="1">
      <c r="A3007" s="7" t="s">
        <v>355</v>
      </c>
      <c r="B3007" s="7">
        <v>0.0</v>
      </c>
      <c r="C3007" s="7" t="s">
        <v>358</v>
      </c>
      <c r="D3007" s="7" t="s">
        <v>357</v>
      </c>
      <c r="E3007" s="7">
        <v>-35.596283896129</v>
      </c>
      <c r="F3007" s="7">
        <v>3.48901264069303</v>
      </c>
      <c r="G3007" s="7">
        <v>4.67127887446195</v>
      </c>
      <c r="H3007" s="7">
        <v>-0.00213580548051683</v>
      </c>
      <c r="I3007" s="7">
        <v>-13.3271409437351</v>
      </c>
      <c r="J3007" s="7">
        <v>-8.94014716883715</v>
      </c>
      <c r="K3007" s="8"/>
      <c r="L3007" s="8"/>
    </row>
    <row r="3008" ht="13.5" customHeight="1">
      <c r="A3008" s="7" t="s">
        <v>355</v>
      </c>
      <c r="B3008" s="7">
        <v>1.75</v>
      </c>
      <c r="C3008" s="7" t="s">
        <v>358</v>
      </c>
      <c r="D3008" s="7" t="s">
        <v>357</v>
      </c>
      <c r="E3008" s="7">
        <v>-35.6131402597654</v>
      </c>
      <c r="F3008" s="7">
        <v>3.49072316017355</v>
      </c>
      <c r="G3008" s="7">
        <v>4.67354329004637</v>
      </c>
      <c r="H3008" s="7">
        <v>-0.00213686058441293</v>
      </c>
      <c r="I3008" s="7">
        <v>-13.3339357359429</v>
      </c>
      <c r="J3008" s="7">
        <v>-8.94469422078522</v>
      </c>
      <c r="K3008" s="8"/>
      <c r="L3008" s="8"/>
    </row>
    <row r="3009" ht="13.5" customHeight="1">
      <c r="A3009" s="7" t="s">
        <v>355</v>
      </c>
      <c r="B3009" s="7">
        <v>3.5</v>
      </c>
      <c r="C3009" s="7" t="s">
        <v>358</v>
      </c>
      <c r="D3009" s="7" t="s">
        <v>357</v>
      </c>
      <c r="E3009" s="7">
        <v>-35.6299966234018</v>
      </c>
      <c r="F3009" s="7">
        <v>3.49243367965407</v>
      </c>
      <c r="G3009" s="7">
        <v>4.67580770563079</v>
      </c>
      <c r="H3009" s="7">
        <v>-0.00213791568830903</v>
      </c>
      <c r="I3009" s="7">
        <v>-13.3407305281507</v>
      </c>
      <c r="J3009" s="7">
        <v>-8.94924127273328</v>
      </c>
      <c r="K3009" s="8"/>
      <c r="L3009" s="8"/>
    </row>
    <row r="3010" ht="13.5" customHeight="1">
      <c r="A3010" s="7" t="s">
        <v>355</v>
      </c>
      <c r="B3010" s="7">
        <v>0.0</v>
      </c>
      <c r="C3010" s="7" t="s">
        <v>359</v>
      </c>
      <c r="D3010" s="7" t="s">
        <v>357</v>
      </c>
      <c r="E3010" s="7">
        <v>-35.6468529870382</v>
      </c>
      <c r="F3010" s="7">
        <v>3.49414419913459</v>
      </c>
      <c r="G3010" s="7">
        <v>4.67807212121521</v>
      </c>
      <c r="H3010" s="7">
        <v>-0.00213897079220513</v>
      </c>
      <c r="I3010" s="7">
        <v>-13.3475253203585</v>
      </c>
      <c r="J3010" s="7">
        <v>-8.95378832468134</v>
      </c>
      <c r="K3010" s="8"/>
      <c r="L3010" s="8"/>
    </row>
    <row r="3011" ht="13.5" customHeight="1">
      <c r="A3011" s="7" t="s">
        <v>355</v>
      </c>
      <c r="B3011" s="7">
        <v>1.75</v>
      </c>
      <c r="C3011" s="7" t="s">
        <v>359</v>
      </c>
      <c r="D3011" s="7" t="s">
        <v>357</v>
      </c>
      <c r="E3011" s="7">
        <v>-35.6637093506746</v>
      </c>
      <c r="F3011" s="7">
        <v>3.49585471861511</v>
      </c>
      <c r="G3011" s="7">
        <v>4.68033653679963</v>
      </c>
      <c r="H3011" s="7">
        <v>-0.00214002589610124</v>
      </c>
      <c r="I3011" s="7">
        <v>-13.3543201125663</v>
      </c>
      <c r="J3011" s="7">
        <v>-8.9583353766294</v>
      </c>
      <c r="K3011" s="8"/>
      <c r="L3011" s="8"/>
    </row>
    <row r="3012" ht="13.5" customHeight="1">
      <c r="A3012" s="7" t="s">
        <v>355</v>
      </c>
      <c r="B3012" s="7">
        <v>3.5</v>
      </c>
      <c r="C3012" s="7" t="s">
        <v>359</v>
      </c>
      <c r="D3012" s="7" t="s">
        <v>357</v>
      </c>
      <c r="E3012" s="7">
        <v>-35.680565714311</v>
      </c>
      <c r="F3012" s="7">
        <v>3.49756523809563</v>
      </c>
      <c r="G3012" s="7">
        <v>4.68260095238405</v>
      </c>
      <c r="H3012" s="7">
        <v>-0.00214108099999734</v>
      </c>
      <c r="I3012" s="7">
        <v>-13.3611149047741</v>
      </c>
      <c r="J3012" s="7">
        <v>-8.96288242857746</v>
      </c>
      <c r="K3012" s="8"/>
      <c r="L3012" s="8"/>
    </row>
    <row r="3013" ht="13.5" customHeight="1">
      <c r="A3013" s="7" t="s">
        <v>355</v>
      </c>
      <c r="B3013" s="7">
        <v>0.0</v>
      </c>
      <c r="C3013" s="7" t="s">
        <v>360</v>
      </c>
      <c r="D3013" s="7" t="s">
        <v>357</v>
      </c>
      <c r="E3013" s="7">
        <v>-35.6974220779474</v>
      </c>
      <c r="F3013" s="7">
        <v>3.49927575757615</v>
      </c>
      <c r="G3013" s="7">
        <v>4.68486536796847</v>
      </c>
      <c r="H3013" s="7">
        <v>-0.00214213610389344</v>
      </c>
      <c r="I3013" s="7">
        <v>-13.367909696982</v>
      </c>
      <c r="J3013" s="7">
        <v>-8.96742948052552</v>
      </c>
      <c r="K3013" s="8"/>
      <c r="L3013" s="8"/>
    </row>
    <row r="3014" ht="13.5" customHeight="1">
      <c r="A3014" s="7" t="s">
        <v>355</v>
      </c>
      <c r="B3014" s="7">
        <v>1.75</v>
      </c>
      <c r="C3014" s="7" t="s">
        <v>360</v>
      </c>
      <c r="D3014" s="7" t="s">
        <v>357</v>
      </c>
      <c r="E3014" s="7">
        <v>-35.7142784415838</v>
      </c>
      <c r="F3014" s="7">
        <v>3.50098627705667</v>
      </c>
      <c r="G3014" s="7">
        <v>4.68712978355289</v>
      </c>
      <c r="H3014" s="7">
        <v>-0.00214319120778954</v>
      </c>
      <c r="I3014" s="7">
        <v>-13.3747044891898</v>
      </c>
      <c r="J3014" s="7">
        <v>-8.97197653247358</v>
      </c>
      <c r="K3014" s="8"/>
      <c r="L3014" s="8"/>
    </row>
    <row r="3015" ht="13.5" customHeight="1">
      <c r="A3015" s="7" t="s">
        <v>355</v>
      </c>
      <c r="B3015" s="7">
        <v>3.5</v>
      </c>
      <c r="C3015" s="7" t="s">
        <v>360</v>
      </c>
      <c r="D3015" s="7" t="s">
        <v>357</v>
      </c>
      <c r="E3015" s="7">
        <v>-35.7311348052202</v>
      </c>
      <c r="F3015" s="7">
        <v>3.50269679653719</v>
      </c>
      <c r="G3015" s="7">
        <v>4.68939419913731</v>
      </c>
      <c r="H3015" s="7">
        <v>-0.00214424631168564</v>
      </c>
      <c r="I3015" s="7">
        <v>-13.3814992813976</v>
      </c>
      <c r="J3015" s="7">
        <v>-8.97652358442164</v>
      </c>
      <c r="K3015" s="8"/>
      <c r="L3015" s="8"/>
    </row>
    <row r="3016" ht="13.5" customHeight="1">
      <c r="A3016" s="7" t="s">
        <v>355</v>
      </c>
      <c r="B3016" s="7">
        <v>0.0</v>
      </c>
      <c r="C3016" s="7" t="s">
        <v>361</v>
      </c>
      <c r="D3016" s="7" t="s">
        <v>357</v>
      </c>
      <c r="E3016" s="7">
        <v>-35.7479911688566</v>
      </c>
      <c r="F3016" s="7">
        <v>3.50440731601771</v>
      </c>
      <c r="G3016" s="7">
        <v>4.69165861472173</v>
      </c>
      <c r="H3016" s="7">
        <v>-0.00214530141558174</v>
      </c>
      <c r="I3016" s="7">
        <v>-13.3882940736054</v>
      </c>
      <c r="J3016" s="7">
        <v>-8.9810706363697</v>
      </c>
      <c r="K3016" s="8"/>
      <c r="L3016" s="8"/>
    </row>
    <row r="3017" ht="13.5" customHeight="1">
      <c r="A3017" s="7" t="s">
        <v>355</v>
      </c>
      <c r="B3017" s="7">
        <v>1.75</v>
      </c>
      <c r="C3017" s="7" t="s">
        <v>361</v>
      </c>
      <c r="D3017" s="7" t="s">
        <v>357</v>
      </c>
      <c r="E3017" s="7">
        <v>-35.764847532493</v>
      </c>
      <c r="F3017" s="7">
        <v>3.50611783549823</v>
      </c>
      <c r="G3017" s="7">
        <v>4.69392303030615</v>
      </c>
      <c r="H3017" s="7">
        <v>-0.00214635651947784</v>
      </c>
      <c r="I3017" s="7">
        <v>-13.3950888658132</v>
      </c>
      <c r="J3017" s="7">
        <v>-8.98561768831776</v>
      </c>
      <c r="K3017" s="8"/>
      <c r="L3017" s="8"/>
    </row>
    <row r="3018" ht="13.5" customHeight="1">
      <c r="A3018" s="7" t="s">
        <v>355</v>
      </c>
      <c r="B3018" s="7">
        <v>3.5</v>
      </c>
      <c r="C3018" s="7" t="s">
        <v>361</v>
      </c>
      <c r="D3018" s="7" t="s">
        <v>357</v>
      </c>
      <c r="E3018" s="7">
        <v>-35.7817038961294</v>
      </c>
      <c r="F3018" s="7">
        <v>3.50782835497875</v>
      </c>
      <c r="G3018" s="7">
        <v>4.69618744589057</v>
      </c>
      <c r="H3018" s="7">
        <v>-0.00214741162337394</v>
      </c>
      <c r="I3018" s="7">
        <v>-13.401883658021</v>
      </c>
      <c r="J3018" s="7">
        <v>-8.99016474026582</v>
      </c>
      <c r="K3018" s="8"/>
      <c r="L3018" s="8"/>
    </row>
    <row r="3019" ht="13.5" customHeight="1">
      <c r="A3019" s="7" t="s">
        <v>355</v>
      </c>
      <c r="B3019" s="7">
        <v>0.0</v>
      </c>
      <c r="C3019" s="7" t="s">
        <v>362</v>
      </c>
      <c r="D3019" s="7" t="s">
        <v>357</v>
      </c>
      <c r="E3019" s="7">
        <v>-35.7985602597658</v>
      </c>
      <c r="F3019" s="7">
        <v>3.50953887445927</v>
      </c>
      <c r="G3019" s="7">
        <v>4.69845186147499</v>
      </c>
      <c r="H3019" s="7">
        <v>-0.00214846672727004</v>
      </c>
      <c r="I3019" s="7">
        <v>-13.4086784502288</v>
      </c>
      <c r="J3019" s="7">
        <v>-8.99471179221388</v>
      </c>
      <c r="K3019" s="8"/>
      <c r="L3019" s="8"/>
    </row>
    <row r="3020" ht="13.5" customHeight="1">
      <c r="A3020" s="7" t="s">
        <v>355</v>
      </c>
      <c r="B3020" s="7">
        <v>1.75</v>
      </c>
      <c r="C3020" s="7" t="s">
        <v>362</v>
      </c>
      <c r="D3020" s="7" t="s">
        <v>357</v>
      </c>
      <c r="E3020" s="7">
        <v>-35.8154166234022</v>
      </c>
      <c r="F3020" s="7">
        <v>3.51124939393979</v>
      </c>
      <c r="G3020" s="7">
        <v>4.70071627705941</v>
      </c>
      <c r="H3020" s="7">
        <v>-0.00214952183116614</v>
      </c>
      <c r="I3020" s="7">
        <v>-13.4154732424366</v>
      </c>
      <c r="J3020" s="7">
        <v>-8.99925884416194</v>
      </c>
      <c r="K3020" s="8"/>
      <c r="L3020" s="8"/>
    </row>
    <row r="3021" ht="13.5" customHeight="1">
      <c r="A3021" s="7" t="s">
        <v>355</v>
      </c>
      <c r="B3021" s="7">
        <v>3.5</v>
      </c>
      <c r="C3021" s="7" t="s">
        <v>362</v>
      </c>
      <c r="D3021" s="7" t="s">
        <v>357</v>
      </c>
      <c r="E3021" s="7">
        <v>-35.8322729870386</v>
      </c>
      <c r="F3021" s="7">
        <v>3.51295991342031</v>
      </c>
      <c r="G3021" s="7">
        <v>4.70298069264383</v>
      </c>
      <c r="H3021" s="7">
        <v>-0.00215057693506224</v>
      </c>
      <c r="I3021" s="7">
        <v>-13.4222680346444</v>
      </c>
      <c r="J3021" s="7">
        <v>-9.00380589611</v>
      </c>
      <c r="K3021" s="8"/>
      <c r="L3021" s="8"/>
    </row>
    <row r="3022" ht="13.5" customHeight="1">
      <c r="A3022" s="7" t="s">
        <v>355</v>
      </c>
      <c r="B3022" s="7">
        <v>0.0</v>
      </c>
      <c r="C3022" s="7" t="s">
        <v>363</v>
      </c>
      <c r="D3022" s="7" t="s">
        <v>357</v>
      </c>
      <c r="E3022" s="7">
        <v>-35.849129350675</v>
      </c>
      <c r="F3022" s="7">
        <v>3.51467043290083</v>
      </c>
      <c r="G3022" s="7">
        <v>4.70524510822825</v>
      </c>
      <c r="H3022" s="7">
        <v>-0.00215163203895834</v>
      </c>
      <c r="I3022" s="7">
        <v>-13.4290628268522</v>
      </c>
      <c r="J3022" s="7">
        <v>-9.00835294805806</v>
      </c>
      <c r="K3022" s="8"/>
      <c r="L3022" s="8"/>
    </row>
    <row r="3023" ht="13.5" customHeight="1">
      <c r="A3023" s="7" t="s">
        <v>355</v>
      </c>
      <c r="B3023" s="7">
        <v>1.75</v>
      </c>
      <c r="C3023" s="7" t="s">
        <v>363</v>
      </c>
      <c r="D3023" s="7" t="s">
        <v>357</v>
      </c>
      <c r="E3023" s="7">
        <v>-35.8659857143114</v>
      </c>
      <c r="F3023" s="7">
        <v>3.51638095238135</v>
      </c>
      <c r="G3023" s="7">
        <v>4.70750952381267</v>
      </c>
      <c r="H3023" s="7">
        <v>-0.00215268714285444</v>
      </c>
      <c r="I3023" s="7">
        <v>-13.43585761906</v>
      </c>
      <c r="J3023" s="7">
        <v>-9.01290000000612</v>
      </c>
      <c r="K3023" s="8"/>
      <c r="L3023" s="8"/>
    </row>
    <row r="3024" ht="13.5" customHeight="1">
      <c r="A3024" s="7" t="s">
        <v>355</v>
      </c>
      <c r="B3024" s="7">
        <v>3.5</v>
      </c>
      <c r="C3024" s="7" t="s">
        <v>363</v>
      </c>
      <c r="D3024" s="7" t="s">
        <v>357</v>
      </c>
      <c r="E3024" s="7">
        <v>-35.8828420779478</v>
      </c>
      <c r="F3024" s="7">
        <v>3.51809147186187</v>
      </c>
      <c r="G3024" s="7">
        <v>4.70977393939709</v>
      </c>
      <c r="H3024" s="7">
        <v>-0.00215374224675054</v>
      </c>
      <c r="I3024" s="7">
        <v>-13.4426524112679</v>
      </c>
      <c r="J3024" s="7">
        <v>-9.01744705195419</v>
      </c>
      <c r="K3024" s="8"/>
      <c r="L3024" s="8"/>
    </row>
    <row r="3025" ht="13.5" customHeight="1">
      <c r="A3025" s="7" t="s">
        <v>355</v>
      </c>
      <c r="B3025" s="7">
        <v>0.0</v>
      </c>
      <c r="C3025" s="7" t="s">
        <v>356</v>
      </c>
      <c r="D3025" s="7" t="s">
        <v>357</v>
      </c>
      <c r="E3025" s="7">
        <v>-35.8996984415842</v>
      </c>
      <c r="F3025" s="7">
        <v>3.51980199134239</v>
      </c>
      <c r="G3025" s="7">
        <v>4.71203835498151</v>
      </c>
      <c r="H3025" s="7">
        <v>-0.00215479735064664</v>
      </c>
      <c r="I3025" s="7">
        <v>-13.4494472034757</v>
      </c>
      <c r="J3025" s="7">
        <v>-9.02199410390225</v>
      </c>
      <c r="K3025" s="8"/>
      <c r="L3025" s="8"/>
    </row>
    <row r="3026" ht="13.5" customHeight="1">
      <c r="A3026" s="7" t="s">
        <v>355</v>
      </c>
      <c r="B3026" s="7">
        <v>1.75</v>
      </c>
      <c r="C3026" s="7" t="s">
        <v>356</v>
      </c>
      <c r="D3026" s="7" t="s">
        <v>357</v>
      </c>
      <c r="E3026" s="7">
        <v>-35.9165548052206</v>
      </c>
      <c r="F3026" s="7">
        <v>3.52151251082291</v>
      </c>
      <c r="G3026" s="7">
        <v>4.71430277056593</v>
      </c>
      <c r="H3026" s="7">
        <v>-0.00215585245454274</v>
      </c>
      <c r="I3026" s="7">
        <v>-13.4562419956835</v>
      </c>
      <c r="J3026" s="7">
        <v>-9.02654115585031</v>
      </c>
      <c r="K3026" s="8"/>
      <c r="L3026" s="8"/>
    </row>
    <row r="3027" ht="13.5" customHeight="1">
      <c r="A3027" s="7" t="s">
        <v>355</v>
      </c>
      <c r="B3027" s="7">
        <v>3.5</v>
      </c>
      <c r="C3027" s="7" t="s">
        <v>356</v>
      </c>
      <c r="D3027" s="7" t="s">
        <v>357</v>
      </c>
      <c r="E3027" s="7">
        <v>-35.933411168857</v>
      </c>
      <c r="F3027" s="7">
        <v>3.52322303030343</v>
      </c>
      <c r="G3027" s="7">
        <v>4.71656718615035</v>
      </c>
      <c r="H3027" s="7">
        <v>-0.00215690755843884</v>
      </c>
      <c r="I3027" s="7">
        <v>-13.4630367878913</v>
      </c>
      <c r="J3027" s="7">
        <v>-9.03108820779837</v>
      </c>
      <c r="K3027" s="8"/>
      <c r="L3027" s="8"/>
    </row>
    <row r="3028" ht="13.5" customHeight="1">
      <c r="A3028" s="7" t="s">
        <v>355</v>
      </c>
      <c r="B3028" s="7">
        <v>0.0</v>
      </c>
      <c r="C3028" s="7" t="s">
        <v>358</v>
      </c>
      <c r="D3028" s="7" t="s">
        <v>357</v>
      </c>
      <c r="E3028" s="7">
        <v>-35.9502675324934</v>
      </c>
      <c r="F3028" s="7">
        <v>3.52493354978395</v>
      </c>
      <c r="G3028" s="7">
        <v>4.71883160173476</v>
      </c>
      <c r="H3028" s="7">
        <v>-0.00215796266233493</v>
      </c>
      <c r="I3028" s="7">
        <v>-13.4698315800989</v>
      </c>
      <c r="J3028" s="7">
        <v>-9.03563525974661</v>
      </c>
      <c r="K3028" s="8"/>
      <c r="L3028" s="8"/>
    </row>
    <row r="3029" ht="13.5" customHeight="1">
      <c r="A3029" s="7" t="s">
        <v>355</v>
      </c>
      <c r="B3029" s="7">
        <v>1.75</v>
      </c>
      <c r="C3029" s="7" t="s">
        <v>358</v>
      </c>
      <c r="D3029" s="7" t="s">
        <v>357</v>
      </c>
      <c r="E3029" s="7">
        <v>-35.9671238961298</v>
      </c>
      <c r="F3029" s="7">
        <v>3.52664406926447</v>
      </c>
      <c r="G3029" s="7">
        <v>4.72109601731918</v>
      </c>
      <c r="H3029" s="7">
        <v>-0.00215901776623103</v>
      </c>
      <c r="I3029" s="7">
        <v>-13.4766263723067</v>
      </c>
      <c r="J3029" s="7">
        <v>-9.04018231169468</v>
      </c>
      <c r="K3029" s="8"/>
      <c r="L3029" s="8"/>
    </row>
    <row r="3030" ht="13.5" customHeight="1">
      <c r="A3030" s="7" t="s">
        <v>355</v>
      </c>
      <c r="B3030" s="7">
        <v>3.5</v>
      </c>
      <c r="C3030" s="7" t="s">
        <v>358</v>
      </c>
      <c r="D3030" s="7" t="s">
        <v>357</v>
      </c>
      <c r="E3030" s="7">
        <v>-35.9839802597662</v>
      </c>
      <c r="F3030" s="7">
        <v>3.52835458874499</v>
      </c>
      <c r="G3030" s="7">
        <v>4.7233604329036</v>
      </c>
      <c r="H3030" s="7">
        <v>-0.00216007287012713</v>
      </c>
      <c r="I3030" s="7">
        <v>-13.4834211645145</v>
      </c>
      <c r="J3030" s="7">
        <v>-9.04472936364275</v>
      </c>
      <c r="K3030" s="8"/>
      <c r="L3030" s="8"/>
    </row>
    <row r="3031" ht="13.5" customHeight="1">
      <c r="A3031" s="7" t="s">
        <v>355</v>
      </c>
      <c r="B3031" s="7">
        <v>0.0</v>
      </c>
      <c r="C3031" s="7" t="s">
        <v>359</v>
      </c>
      <c r="D3031" s="7" t="s">
        <v>357</v>
      </c>
      <c r="E3031" s="7">
        <v>-36.0008366234026</v>
      </c>
      <c r="F3031" s="7">
        <v>3.53006510822551</v>
      </c>
      <c r="G3031" s="7">
        <v>4.72562484848802</v>
      </c>
      <c r="H3031" s="7">
        <v>-0.00216112797402323</v>
      </c>
      <c r="I3031" s="7">
        <v>-13.4902159567223</v>
      </c>
      <c r="J3031" s="7">
        <v>-9.04927641559082</v>
      </c>
      <c r="K3031" s="8"/>
      <c r="L3031" s="8"/>
    </row>
    <row r="3032" ht="13.5" customHeight="1">
      <c r="A3032" s="7" t="s">
        <v>355</v>
      </c>
      <c r="B3032" s="7">
        <v>1.75</v>
      </c>
      <c r="C3032" s="7" t="s">
        <v>359</v>
      </c>
      <c r="D3032" s="7" t="s">
        <v>357</v>
      </c>
      <c r="E3032" s="7">
        <v>-36.017692987039</v>
      </c>
      <c r="F3032" s="7">
        <v>3.53177562770603</v>
      </c>
      <c r="G3032" s="7">
        <v>4.72788926407244</v>
      </c>
      <c r="H3032" s="7">
        <v>-0.00216218307791933</v>
      </c>
      <c r="I3032" s="7">
        <v>-13.4970107489301</v>
      </c>
      <c r="J3032" s="7">
        <v>-9.05382346753889</v>
      </c>
      <c r="K3032" s="8"/>
      <c r="L3032" s="8"/>
    </row>
    <row r="3033" ht="13.5" customHeight="1">
      <c r="A3033" s="7" t="s">
        <v>355</v>
      </c>
      <c r="B3033" s="7">
        <v>3.5</v>
      </c>
      <c r="C3033" s="7" t="s">
        <v>359</v>
      </c>
      <c r="D3033" s="7" t="s">
        <v>357</v>
      </c>
      <c r="E3033" s="7">
        <v>-36.0345493506754</v>
      </c>
      <c r="F3033" s="7">
        <v>3.53348614718655</v>
      </c>
      <c r="G3033" s="7">
        <v>4.73015367965686</v>
      </c>
      <c r="H3033" s="7">
        <v>-0.00216323818181543</v>
      </c>
      <c r="I3033" s="7">
        <v>-13.5038055411379</v>
      </c>
      <c r="J3033" s="7">
        <v>-9.05837051948696</v>
      </c>
      <c r="K3033" s="8"/>
      <c r="L3033" s="8"/>
    </row>
    <row r="3034" ht="13.5" customHeight="1">
      <c r="A3034" s="7" t="s">
        <v>355</v>
      </c>
      <c r="B3034" s="7">
        <v>0.0</v>
      </c>
      <c r="C3034" s="7" t="s">
        <v>360</v>
      </c>
      <c r="D3034" s="7" t="s">
        <v>357</v>
      </c>
      <c r="E3034" s="7">
        <v>-36.0514057143118</v>
      </c>
      <c r="F3034" s="7">
        <v>3.53519666666707</v>
      </c>
      <c r="G3034" s="7">
        <v>4.73241809524128</v>
      </c>
      <c r="H3034" s="7">
        <v>-0.00216429328571153</v>
      </c>
      <c r="I3034" s="7">
        <v>-13.5106003333457</v>
      </c>
      <c r="J3034" s="7">
        <v>-9.06291757143503</v>
      </c>
      <c r="K3034" s="8"/>
      <c r="L3034" s="8"/>
    </row>
    <row r="3035" ht="13.5" customHeight="1">
      <c r="A3035" s="7" t="s">
        <v>355</v>
      </c>
      <c r="B3035" s="7">
        <v>1.75</v>
      </c>
      <c r="C3035" s="7" t="s">
        <v>360</v>
      </c>
      <c r="D3035" s="7" t="s">
        <v>357</v>
      </c>
      <c r="E3035" s="7">
        <v>-36.0682620779482</v>
      </c>
      <c r="F3035" s="7">
        <v>3.53690718614759</v>
      </c>
      <c r="G3035" s="7">
        <v>4.7346825108257</v>
      </c>
      <c r="H3035" s="7">
        <v>-0.00216534838960763</v>
      </c>
      <c r="I3035" s="7">
        <v>-13.5173951255535</v>
      </c>
      <c r="J3035" s="7">
        <v>-9.0674646233831</v>
      </c>
      <c r="K3035" s="8"/>
      <c r="L3035" s="8"/>
    </row>
    <row r="3036" ht="13.5" customHeight="1">
      <c r="A3036" s="7" t="s">
        <v>355</v>
      </c>
      <c r="B3036" s="7">
        <v>3.5</v>
      </c>
      <c r="C3036" s="7" t="s">
        <v>360</v>
      </c>
      <c r="D3036" s="7" t="s">
        <v>357</v>
      </c>
      <c r="E3036" s="7">
        <v>-36.0851184415846</v>
      </c>
      <c r="F3036" s="7">
        <v>3.53861770562811</v>
      </c>
      <c r="G3036" s="7">
        <v>4.73694692641012</v>
      </c>
      <c r="H3036" s="7">
        <v>-0.00216640349350373</v>
      </c>
      <c r="I3036" s="7">
        <v>-13.5241899177613</v>
      </c>
      <c r="J3036" s="7">
        <v>-9.07201167533117</v>
      </c>
      <c r="K3036" s="8"/>
      <c r="L3036" s="8"/>
    </row>
    <row r="3037" ht="13.5" customHeight="1">
      <c r="A3037" s="7" t="s">
        <v>355</v>
      </c>
      <c r="B3037" s="7">
        <v>0.0</v>
      </c>
      <c r="C3037" s="7" t="s">
        <v>361</v>
      </c>
      <c r="D3037" s="7" t="s">
        <v>357</v>
      </c>
      <c r="E3037" s="7">
        <v>-36.101974805221</v>
      </c>
      <c r="F3037" s="7">
        <v>3.54032822510863</v>
      </c>
      <c r="G3037" s="7">
        <v>4.73921134199454</v>
      </c>
      <c r="H3037" s="7">
        <v>-0.00216745859739983</v>
      </c>
      <c r="I3037" s="7">
        <v>-13.5309847099691</v>
      </c>
      <c r="J3037" s="7">
        <v>-9.07655872727923</v>
      </c>
      <c r="K3037" s="8"/>
      <c r="L3037" s="8"/>
    </row>
    <row r="3038" ht="13.5" customHeight="1">
      <c r="A3038" s="7" t="s">
        <v>355</v>
      </c>
      <c r="B3038" s="7">
        <v>1.75</v>
      </c>
      <c r="C3038" s="7" t="s">
        <v>361</v>
      </c>
      <c r="D3038" s="7" t="s">
        <v>357</v>
      </c>
      <c r="E3038" s="7">
        <v>-36.1188311688574</v>
      </c>
      <c r="F3038" s="7">
        <v>3.54203874458915</v>
      </c>
      <c r="G3038" s="7">
        <v>4.74147575757896</v>
      </c>
      <c r="H3038" s="7">
        <v>-0.00216851370129593</v>
      </c>
      <c r="I3038" s="7">
        <v>-13.5377795021769</v>
      </c>
      <c r="J3038" s="7">
        <v>-9.0811057792273</v>
      </c>
      <c r="K3038" s="8"/>
      <c r="L3038" s="8"/>
    </row>
    <row r="3039" ht="13.5" customHeight="1">
      <c r="A3039" s="7" t="s">
        <v>355</v>
      </c>
      <c r="B3039" s="7">
        <v>3.5</v>
      </c>
      <c r="C3039" s="7" t="s">
        <v>361</v>
      </c>
      <c r="D3039" s="7" t="s">
        <v>357</v>
      </c>
      <c r="E3039" s="7">
        <v>-36.1356875324938</v>
      </c>
      <c r="F3039" s="7">
        <v>3.54374926406967</v>
      </c>
      <c r="G3039" s="7">
        <v>4.74374017316338</v>
      </c>
      <c r="H3039" s="7">
        <v>-0.00216956880519203</v>
      </c>
      <c r="I3039" s="7">
        <v>-13.5445742943847</v>
      </c>
      <c r="J3039" s="7">
        <v>-9.08565283117537</v>
      </c>
      <c r="K3039" s="8"/>
      <c r="L3039" s="8"/>
    </row>
    <row r="3040" ht="13.5" customHeight="1">
      <c r="A3040" s="7" t="s">
        <v>355</v>
      </c>
      <c r="B3040" s="7">
        <v>0.0</v>
      </c>
      <c r="C3040" s="7" t="s">
        <v>362</v>
      </c>
      <c r="D3040" s="7" t="s">
        <v>357</v>
      </c>
      <c r="E3040" s="7">
        <v>-36.1525438961302</v>
      </c>
      <c r="F3040" s="7">
        <v>3.54545978355019</v>
      </c>
      <c r="G3040" s="7">
        <v>4.7460045887478</v>
      </c>
      <c r="H3040" s="7">
        <v>-0.00217062390908813</v>
      </c>
      <c r="I3040" s="7">
        <v>-13.5513690865925</v>
      </c>
      <c r="J3040" s="7">
        <v>-9.09019988312344</v>
      </c>
      <c r="K3040" s="8"/>
      <c r="L3040" s="8"/>
    </row>
    <row r="3041" ht="13.5" customHeight="1">
      <c r="A3041" s="7" t="s">
        <v>355</v>
      </c>
      <c r="B3041" s="7">
        <v>1.75</v>
      </c>
      <c r="C3041" s="7" t="s">
        <v>362</v>
      </c>
      <c r="D3041" s="7" t="s">
        <v>357</v>
      </c>
      <c r="E3041" s="7">
        <v>-36.1694002597666</v>
      </c>
      <c r="F3041" s="7">
        <v>3.54717030303071</v>
      </c>
      <c r="G3041" s="7">
        <v>4.74826900433222</v>
      </c>
      <c r="H3041" s="7">
        <v>-0.00217167901298423</v>
      </c>
      <c r="I3041" s="7">
        <v>-13.5581638788003</v>
      </c>
      <c r="J3041" s="7">
        <v>-9.09474693507151</v>
      </c>
      <c r="K3041" s="8"/>
      <c r="L3041" s="8"/>
    </row>
    <row r="3042" ht="13.5" customHeight="1">
      <c r="A3042" s="7" t="s">
        <v>355</v>
      </c>
      <c r="B3042" s="7">
        <v>3.5</v>
      </c>
      <c r="C3042" s="7" t="s">
        <v>362</v>
      </c>
      <c r="D3042" s="7" t="s">
        <v>357</v>
      </c>
      <c r="E3042" s="7">
        <v>-36.186256623403</v>
      </c>
      <c r="F3042" s="7">
        <v>3.54888082251123</v>
      </c>
      <c r="G3042" s="7">
        <v>4.75053341991664</v>
      </c>
      <c r="H3042" s="7">
        <v>-0.00217273411688033</v>
      </c>
      <c r="I3042" s="7">
        <v>-13.5649586710081</v>
      </c>
      <c r="J3042" s="7">
        <v>-9.09929398701958</v>
      </c>
      <c r="K3042" s="8"/>
      <c r="L3042" s="8"/>
    </row>
    <row r="3043" ht="13.5" customHeight="1">
      <c r="A3043" s="7" t="s">
        <v>355</v>
      </c>
      <c r="B3043" s="7">
        <v>0.0</v>
      </c>
      <c r="C3043" s="7" t="s">
        <v>363</v>
      </c>
      <c r="D3043" s="7" t="s">
        <v>357</v>
      </c>
      <c r="E3043" s="7">
        <v>-36.2031129870394</v>
      </c>
      <c r="F3043" s="7">
        <v>3.55059134199175</v>
      </c>
      <c r="G3043" s="7">
        <v>4.75279783550106</v>
      </c>
      <c r="H3043" s="7">
        <v>-0.00217378922077643</v>
      </c>
      <c r="I3043" s="7">
        <v>-13.5717534632159</v>
      </c>
      <c r="J3043" s="7">
        <v>-9.10384103896765</v>
      </c>
      <c r="K3043" s="8"/>
      <c r="L3043" s="8"/>
    </row>
    <row r="3044" ht="13.5" customHeight="1">
      <c r="A3044" s="7" t="s">
        <v>355</v>
      </c>
      <c r="B3044" s="7">
        <v>1.75</v>
      </c>
      <c r="C3044" s="7" t="s">
        <v>363</v>
      </c>
      <c r="D3044" s="7" t="s">
        <v>357</v>
      </c>
      <c r="E3044" s="7">
        <v>-36.2199693506758</v>
      </c>
      <c r="F3044" s="7">
        <v>3.55230186147227</v>
      </c>
      <c r="G3044" s="7">
        <v>4.75506225108547</v>
      </c>
      <c r="H3044" s="7">
        <v>-0.00217484432467252</v>
      </c>
      <c r="I3044" s="7">
        <v>-13.5785482554237</v>
      </c>
      <c r="J3044" s="7">
        <v>-9.10838809091572</v>
      </c>
      <c r="K3044" s="8"/>
      <c r="L3044" s="8"/>
    </row>
    <row r="3045" ht="13.5" customHeight="1">
      <c r="A3045" s="7" t="s">
        <v>355</v>
      </c>
      <c r="B3045" s="7">
        <v>3.5</v>
      </c>
      <c r="C3045" s="7" t="s">
        <v>363</v>
      </c>
      <c r="D3045" s="7" t="s">
        <v>357</v>
      </c>
      <c r="E3045" s="7">
        <v>-36.2368257143122</v>
      </c>
      <c r="F3045" s="7">
        <v>3.55401238095279</v>
      </c>
      <c r="G3045" s="7">
        <v>4.75732666666989</v>
      </c>
      <c r="H3045" s="7">
        <v>-0.00217589942856862</v>
      </c>
      <c r="I3045" s="7">
        <v>-13.5853430476315</v>
      </c>
      <c r="J3045" s="7">
        <v>-9.11293514286379</v>
      </c>
      <c r="K3045" s="8"/>
      <c r="L3045" s="8"/>
    </row>
    <row r="3046" ht="13.5" customHeight="1">
      <c r="A3046" s="7" t="s">
        <v>355</v>
      </c>
      <c r="B3046" s="7">
        <v>0.0</v>
      </c>
      <c r="C3046" s="7" t="s">
        <v>356</v>
      </c>
      <c r="D3046" s="7" t="s">
        <v>357</v>
      </c>
      <c r="E3046" s="7">
        <v>-36.2536820779486</v>
      </c>
      <c r="F3046" s="7">
        <v>3.55572290043331</v>
      </c>
      <c r="G3046" s="7">
        <v>4.75959108225431</v>
      </c>
      <c r="H3046" s="7">
        <v>-0.00217695453246472</v>
      </c>
      <c r="I3046" s="7">
        <v>-13.5921378398393</v>
      </c>
      <c r="J3046" s="7">
        <v>-9.11748219481186</v>
      </c>
      <c r="K3046" s="8"/>
      <c r="L3046" s="8"/>
    </row>
    <row r="3047" ht="13.5" customHeight="1">
      <c r="A3047" s="7" t="s">
        <v>355</v>
      </c>
      <c r="B3047" s="7">
        <v>1.75</v>
      </c>
      <c r="C3047" s="7" t="s">
        <v>356</v>
      </c>
      <c r="D3047" s="7" t="s">
        <v>357</v>
      </c>
      <c r="E3047" s="7">
        <v>-36.270538441585</v>
      </c>
      <c r="F3047" s="7">
        <v>3.55743341991383</v>
      </c>
      <c r="G3047" s="7">
        <v>4.76185549783873</v>
      </c>
      <c r="H3047" s="7">
        <v>-0.00217800963636082</v>
      </c>
      <c r="I3047" s="7">
        <v>-13.5989326320471</v>
      </c>
      <c r="J3047" s="7">
        <v>-9.12202924675993</v>
      </c>
      <c r="K3047" s="8"/>
      <c r="L3047" s="8"/>
    </row>
    <row r="3048" ht="13.5" customHeight="1">
      <c r="A3048" s="7" t="s">
        <v>355</v>
      </c>
      <c r="B3048" s="7">
        <v>3.5</v>
      </c>
      <c r="C3048" s="7" t="s">
        <v>356</v>
      </c>
      <c r="D3048" s="7" t="s">
        <v>357</v>
      </c>
      <c r="E3048" s="7">
        <v>-36.2873948052214</v>
      </c>
      <c r="F3048" s="7">
        <v>3.55914393939435</v>
      </c>
      <c r="G3048" s="7">
        <v>4.76411991342315</v>
      </c>
      <c r="H3048" s="7">
        <v>-0.00217906474025692</v>
      </c>
      <c r="I3048" s="7">
        <v>-13.6057274242549</v>
      </c>
      <c r="J3048" s="7">
        <v>-9.126576298708</v>
      </c>
      <c r="K3048" s="8"/>
      <c r="L3048" s="8"/>
    </row>
    <row r="3049" ht="13.5" customHeight="1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8"/>
      <c r="L3049" s="8"/>
    </row>
    <row r="3050" ht="13.5" customHeight="1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8"/>
      <c r="L3050" s="8"/>
    </row>
    <row r="3051" ht="13.5" customHeight="1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8"/>
      <c r="L3051" s="8"/>
    </row>
    <row r="3052" ht="13.5" customHeight="1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8"/>
      <c r="L3052" s="8"/>
    </row>
    <row r="3053" ht="13.5" customHeight="1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8"/>
      <c r="L3053" s="8"/>
    </row>
    <row r="3054" ht="13.5" customHeight="1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8"/>
      <c r="L3054" s="8"/>
    </row>
    <row r="3055" ht="13.5" customHeight="1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8"/>
      <c r="L3055" s="8"/>
    </row>
    <row r="3056" ht="13.5" customHeight="1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8"/>
      <c r="L3056" s="8"/>
    </row>
    <row r="3057" ht="13.5" customHeight="1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8"/>
      <c r="L3057" s="8"/>
    </row>
    <row r="3058" ht="13.5" customHeight="1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8"/>
      <c r="L3058" s="8"/>
    </row>
    <row r="3059" ht="13.5" customHeight="1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8"/>
      <c r="L3059" s="8"/>
    </row>
    <row r="3060" ht="13.5" customHeight="1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8"/>
      <c r="L3060" s="8"/>
    </row>
    <row r="3061" ht="13.5" customHeight="1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8"/>
      <c r="L3061" s="8"/>
    </row>
    <row r="3062" ht="13.5" customHeight="1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8"/>
      <c r="L3062" s="8"/>
    </row>
    <row r="3063" ht="13.5" customHeight="1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8"/>
      <c r="L3063" s="8"/>
    </row>
    <row r="3064" ht="13.5" customHeight="1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8"/>
      <c r="L3064" s="8"/>
    </row>
    <row r="3065" ht="13.5" customHeight="1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8"/>
      <c r="L3065" s="8"/>
    </row>
    <row r="3066" ht="13.5" customHeight="1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8"/>
      <c r="L3066" s="8"/>
    </row>
    <row r="3067" ht="13.5" customHeight="1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8"/>
      <c r="L3067" s="8"/>
    </row>
    <row r="3068" ht="13.5" customHeight="1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8"/>
      <c r="L3068" s="8"/>
    </row>
    <row r="3069" ht="13.5" customHeight="1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8"/>
      <c r="L3069" s="8"/>
    </row>
    <row r="3070" ht="13.5" customHeight="1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8"/>
      <c r="L3070" s="8"/>
    </row>
    <row r="3071" ht="13.5" customHeight="1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8"/>
      <c r="L3071" s="8"/>
    </row>
    <row r="3072" ht="13.5" customHeight="1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8"/>
      <c r="L3072" s="8"/>
    </row>
    <row r="3073" ht="13.5" customHeight="1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8"/>
      <c r="L3073" s="8"/>
    </row>
    <row r="3074" ht="13.5" customHeight="1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8"/>
      <c r="L3074" s="8"/>
    </row>
    <row r="3075" ht="13.5" customHeight="1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8"/>
      <c r="L3075" s="8"/>
    </row>
    <row r="3076" ht="13.5" customHeight="1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8"/>
      <c r="L3076" s="8"/>
    </row>
    <row r="3077" ht="13.5" customHeight="1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8"/>
      <c r="L3077" s="8"/>
    </row>
    <row r="3078" ht="13.5" customHeight="1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8"/>
      <c r="L3078" s="8"/>
    </row>
    <row r="3079" ht="13.5" customHeight="1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8"/>
      <c r="L3079" s="8"/>
    </row>
    <row r="3080" ht="13.5" customHeight="1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8"/>
      <c r="L3080" s="8"/>
    </row>
    <row r="3081" ht="13.5" customHeight="1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8"/>
      <c r="L3081" s="8"/>
    </row>
    <row r="3082" ht="13.5" customHeight="1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8"/>
      <c r="L3082" s="8"/>
    </row>
    <row r="3083" ht="13.5" customHeight="1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8"/>
      <c r="L3083" s="8"/>
    </row>
    <row r="3084" ht="13.5" customHeight="1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8"/>
      <c r="L3084" s="8"/>
    </row>
    <row r="3085" ht="13.5" customHeight="1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8"/>
      <c r="L3085" s="8"/>
    </row>
    <row r="3086" ht="13.5" customHeight="1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8"/>
      <c r="L3086" s="8"/>
    </row>
    <row r="3087" ht="13.5" customHeight="1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8"/>
      <c r="L3087" s="8"/>
    </row>
    <row r="3088" ht="13.5" customHeight="1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8"/>
      <c r="L3088" s="8"/>
    </row>
    <row r="3089" ht="13.5" customHeight="1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8"/>
      <c r="L3089" s="8"/>
    </row>
    <row r="3090" ht="13.5" customHeight="1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8"/>
      <c r="L3090" s="8"/>
    </row>
    <row r="3091" ht="13.5" customHeight="1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8"/>
      <c r="L3091" s="8"/>
    </row>
    <row r="3092" ht="13.5" customHeight="1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8"/>
      <c r="L3092" s="8"/>
    </row>
    <row r="3093" ht="13.5" customHeight="1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8"/>
      <c r="L3093" s="8"/>
    </row>
    <row r="3094" ht="13.5" customHeight="1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8"/>
      <c r="L3094" s="8"/>
    </row>
    <row r="3095" ht="13.5" customHeight="1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8"/>
      <c r="L3095" s="8"/>
    </row>
    <row r="3096" ht="13.5" customHeight="1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8"/>
      <c r="L3096" s="8"/>
    </row>
    <row r="3097" ht="13.5" customHeight="1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8"/>
      <c r="L3097" s="8"/>
    </row>
    <row r="3098" ht="13.5" customHeight="1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8"/>
      <c r="L3098" s="8"/>
    </row>
    <row r="3099" ht="13.5" customHeight="1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8"/>
      <c r="L3099" s="8"/>
    </row>
    <row r="3100" ht="13.5" customHeight="1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8"/>
      <c r="L3100" s="8"/>
    </row>
    <row r="3101" ht="13.5" customHeight="1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8"/>
      <c r="L3101" s="8"/>
    </row>
    <row r="3102" ht="13.5" customHeight="1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8"/>
      <c r="L3102" s="8"/>
    </row>
    <row r="3103" ht="13.5" customHeight="1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8"/>
      <c r="L3103" s="8"/>
    </row>
    <row r="3104" ht="13.5" customHeight="1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8"/>
      <c r="L3104" s="8"/>
    </row>
    <row r="3105" ht="13.5" customHeight="1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8"/>
      <c r="L3105" s="8"/>
    </row>
    <row r="3106" ht="13.5" customHeight="1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8"/>
      <c r="L3106" s="8"/>
    </row>
    <row r="3107" ht="13.5" customHeight="1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8"/>
      <c r="L3107" s="8"/>
    </row>
    <row r="3108" ht="13.5" customHeight="1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8"/>
      <c r="L3108" s="8"/>
    </row>
    <row r="3109" ht="13.5" customHeight="1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8"/>
      <c r="L3109" s="8"/>
    </row>
    <row r="3110" ht="13.5" customHeight="1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8"/>
      <c r="L3110" s="8"/>
    </row>
    <row r="3111" ht="13.5" customHeight="1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8"/>
      <c r="L3111" s="8"/>
    </row>
    <row r="3112" ht="13.5" customHeight="1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8"/>
      <c r="L3112" s="8"/>
    </row>
    <row r="3113" ht="13.5" customHeight="1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8"/>
      <c r="L3113" s="8"/>
    </row>
    <row r="3114" ht="13.5" customHeight="1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8"/>
      <c r="L3114" s="8"/>
    </row>
    <row r="3115" ht="13.5" customHeight="1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8"/>
      <c r="L3115" s="8"/>
    </row>
    <row r="3116" ht="13.5" customHeight="1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8"/>
      <c r="L3116" s="8"/>
    </row>
    <row r="3117" ht="13.5" customHeight="1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8"/>
      <c r="L3117" s="8"/>
    </row>
    <row r="3118" ht="13.5" customHeight="1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8"/>
      <c r="L3118" s="8"/>
    </row>
    <row r="3119" ht="13.5" customHeight="1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8"/>
      <c r="L3119" s="8"/>
    </row>
    <row r="3120" ht="13.5" customHeight="1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8"/>
      <c r="L3120" s="8"/>
    </row>
    <row r="3121" ht="13.5" customHeight="1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8"/>
      <c r="L3121" s="8"/>
    </row>
    <row r="3122" ht="13.5" customHeight="1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8"/>
      <c r="L3122" s="8"/>
    </row>
    <row r="3123" ht="13.5" customHeight="1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8"/>
      <c r="L3123" s="8"/>
    </row>
    <row r="3124" ht="13.5" customHeight="1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8"/>
      <c r="L3124" s="8"/>
    </row>
    <row r="3125" ht="13.5" customHeight="1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8"/>
      <c r="L3125" s="8"/>
    </row>
    <row r="3126" ht="13.5" customHeight="1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8"/>
      <c r="L3126" s="8"/>
    </row>
    <row r="3127" ht="13.5" customHeight="1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8"/>
      <c r="L3127" s="8"/>
    </row>
    <row r="3128" ht="13.5" customHeight="1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8"/>
      <c r="L3128" s="8"/>
    </row>
    <row r="3129" ht="13.5" customHeight="1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8"/>
      <c r="L3129" s="8"/>
    </row>
    <row r="3130" ht="13.5" customHeight="1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8"/>
      <c r="L3130" s="8"/>
    </row>
    <row r="3131" ht="13.5" customHeight="1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8"/>
      <c r="L3131" s="8"/>
    </row>
    <row r="3132" ht="13.5" customHeight="1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8"/>
      <c r="L3132" s="8"/>
    </row>
    <row r="3133" ht="13.5" customHeight="1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8"/>
      <c r="L3133" s="8"/>
    </row>
    <row r="3134" ht="13.5" customHeight="1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8"/>
      <c r="L3134" s="8"/>
    </row>
    <row r="3135" ht="13.5" customHeight="1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8"/>
      <c r="L3135" s="8"/>
    </row>
    <row r="3136" ht="13.5" customHeight="1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8"/>
      <c r="L3136" s="8"/>
    </row>
    <row r="3137" ht="13.5" customHeight="1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8"/>
      <c r="L3137" s="8"/>
    </row>
    <row r="3138" ht="13.5" customHeight="1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8"/>
      <c r="L3138" s="8"/>
    </row>
    <row r="3139" ht="13.5" customHeight="1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8"/>
      <c r="L3139" s="8"/>
    </row>
    <row r="3140" ht="13.5" customHeight="1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8"/>
      <c r="L3140" s="8"/>
    </row>
    <row r="3141" ht="13.5" customHeight="1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8"/>
      <c r="L3141" s="8"/>
    </row>
    <row r="3142" ht="13.5" customHeight="1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8"/>
      <c r="L3142" s="8"/>
    </row>
    <row r="3143" ht="13.5" customHeight="1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8"/>
      <c r="L3143" s="8"/>
    </row>
    <row r="3144" ht="13.5" customHeight="1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8"/>
      <c r="L3144" s="8"/>
    </row>
    <row r="3145" ht="13.5" customHeight="1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8"/>
      <c r="L3145" s="8"/>
    </row>
    <row r="3146" ht="13.5" customHeight="1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8"/>
      <c r="L3146" s="8"/>
    </row>
    <row r="3147" ht="13.5" customHeight="1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8"/>
      <c r="L3147" s="8"/>
    </row>
    <row r="3148" ht="13.5" customHeight="1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8"/>
      <c r="L3148" s="8"/>
    </row>
    <row r="3149" ht="13.5" customHeight="1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8"/>
      <c r="L3149" s="8"/>
    </row>
    <row r="3150" ht="13.5" customHeight="1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8"/>
      <c r="L3150" s="8"/>
    </row>
    <row r="3151" ht="13.5" customHeight="1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8"/>
      <c r="L3151" s="8"/>
    </row>
    <row r="3152" ht="13.5" customHeight="1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8"/>
      <c r="L3152" s="8"/>
    </row>
    <row r="3153" ht="13.5" customHeight="1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8"/>
      <c r="L3153" s="8"/>
    </row>
    <row r="3154" ht="13.5" customHeight="1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8"/>
      <c r="L3154" s="8"/>
    </row>
    <row r="3155" ht="13.5" customHeight="1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8"/>
      <c r="L3155" s="8"/>
    </row>
    <row r="3156" ht="13.5" customHeight="1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8"/>
      <c r="L3156" s="8"/>
    </row>
    <row r="3157" ht="13.5" customHeight="1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8"/>
      <c r="L3157" s="8"/>
    </row>
    <row r="3158" ht="13.5" customHeight="1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8"/>
      <c r="L3158" s="8"/>
    </row>
    <row r="3159" ht="13.5" customHeight="1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8"/>
      <c r="L3159" s="8"/>
    </row>
    <row r="3160" ht="13.5" customHeight="1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8"/>
      <c r="L3160" s="8"/>
    </row>
    <row r="3161" ht="13.5" customHeight="1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8"/>
      <c r="L3161" s="8"/>
    </row>
    <row r="3162" ht="13.5" customHeight="1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8"/>
      <c r="L3162" s="8"/>
    </row>
    <row r="3163" ht="13.5" customHeight="1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8"/>
      <c r="L3163" s="8"/>
    </row>
    <row r="3164" ht="13.5" customHeight="1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8"/>
      <c r="L3164" s="8"/>
    </row>
    <row r="3165" ht="13.5" customHeight="1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8"/>
      <c r="L3165" s="8"/>
    </row>
    <row r="3166" ht="13.5" customHeight="1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8"/>
      <c r="L3166" s="8"/>
    </row>
    <row r="3167" ht="13.5" customHeight="1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8"/>
      <c r="L3167" s="8"/>
    </row>
    <row r="3168" ht="13.5" customHeight="1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8"/>
      <c r="L3168" s="8"/>
    </row>
    <row r="3169" ht="13.5" customHeight="1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8"/>
      <c r="L3169" s="8"/>
    </row>
    <row r="3170" ht="13.5" customHeight="1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8"/>
      <c r="L3170" s="8"/>
    </row>
    <row r="3171" ht="13.5" customHeight="1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8"/>
      <c r="L3171" s="8"/>
    </row>
    <row r="3172" ht="13.5" customHeight="1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8"/>
      <c r="L3172" s="8"/>
    </row>
    <row r="3173" ht="13.5" customHeight="1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8"/>
      <c r="L3173" s="8"/>
    </row>
    <row r="3174" ht="13.5" customHeight="1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8"/>
      <c r="L3174" s="8"/>
    </row>
    <row r="3175" ht="13.5" customHeight="1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8"/>
      <c r="L3175" s="8"/>
    </row>
    <row r="3176" ht="13.5" customHeight="1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8"/>
      <c r="L3176" s="8"/>
    </row>
    <row r="3177" ht="13.5" customHeight="1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8"/>
      <c r="L3177" s="8"/>
    </row>
    <row r="3178" ht="13.5" customHeight="1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8"/>
      <c r="L3178" s="8"/>
    </row>
    <row r="3179" ht="13.5" customHeight="1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8"/>
      <c r="L3179" s="8"/>
    </row>
    <row r="3180" ht="13.5" customHeight="1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8"/>
      <c r="L3180" s="8"/>
    </row>
    <row r="3181" ht="13.5" customHeight="1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8"/>
      <c r="L3181" s="8"/>
    </row>
    <row r="3182" ht="13.5" customHeight="1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8"/>
      <c r="L3182" s="8"/>
    </row>
    <row r="3183" ht="13.5" customHeight="1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8"/>
      <c r="L3183" s="8"/>
    </row>
    <row r="3184" ht="13.5" customHeight="1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8"/>
      <c r="L3184" s="8"/>
    </row>
    <row r="3185" ht="13.5" customHeight="1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8"/>
      <c r="L3185" s="8"/>
    </row>
    <row r="3186" ht="13.5" customHeight="1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8"/>
      <c r="L3186" s="8"/>
    </row>
    <row r="3187" ht="13.5" customHeight="1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8"/>
      <c r="L3187" s="8"/>
    </row>
    <row r="3188" ht="13.5" customHeight="1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8"/>
      <c r="L3188" s="8"/>
    </row>
    <row r="3189" ht="13.5" customHeight="1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8"/>
      <c r="L3189" s="8"/>
    </row>
    <row r="3190" ht="13.5" customHeight="1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8"/>
      <c r="L3190" s="8"/>
    </row>
    <row r="3191" ht="13.5" customHeight="1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8"/>
      <c r="L3191" s="8"/>
    </row>
    <row r="3192" ht="13.5" customHeight="1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8"/>
      <c r="L3192" s="8"/>
    </row>
    <row r="3193" ht="13.5" customHeight="1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8"/>
      <c r="L3193" s="8"/>
    </row>
    <row r="3194" ht="13.5" customHeight="1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8"/>
      <c r="L3194" s="8"/>
    </row>
    <row r="3195" ht="13.5" customHeight="1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8"/>
      <c r="L3195" s="8"/>
    </row>
    <row r="3196" ht="13.5" customHeight="1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8"/>
      <c r="L3196" s="8"/>
    </row>
    <row r="3197" ht="13.5" customHeight="1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8"/>
      <c r="L3197" s="8"/>
    </row>
    <row r="3198" ht="13.5" customHeight="1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8"/>
      <c r="L3198" s="8"/>
    </row>
    <row r="3199" ht="13.5" customHeight="1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8"/>
      <c r="L3199" s="8"/>
    </row>
    <row r="3200" ht="13.5" customHeight="1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8"/>
      <c r="L3200" s="8"/>
    </row>
    <row r="3201" ht="13.5" customHeight="1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8"/>
      <c r="L3201" s="8"/>
    </row>
    <row r="3202" ht="13.5" customHeight="1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8"/>
      <c r="L3202" s="8"/>
    </row>
    <row r="3203" ht="13.5" customHeight="1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8"/>
      <c r="L3203" s="8"/>
    </row>
    <row r="3204" ht="13.5" customHeight="1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8"/>
      <c r="L3204" s="8"/>
    </row>
    <row r="3205" ht="13.5" customHeight="1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8"/>
      <c r="L3205" s="8"/>
    </row>
    <row r="3206" ht="13.5" customHeight="1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8"/>
      <c r="L3206" s="8"/>
    </row>
    <row r="3207" ht="13.5" customHeight="1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8"/>
      <c r="L3207" s="8"/>
    </row>
    <row r="3208" ht="13.5" customHeight="1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8"/>
      <c r="L3208" s="8"/>
    </row>
    <row r="3209" ht="13.5" customHeight="1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8"/>
      <c r="L3209" s="8"/>
    </row>
    <row r="3210" ht="13.5" customHeight="1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8"/>
      <c r="L3210" s="8"/>
    </row>
    <row r="3211" ht="13.5" customHeight="1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8"/>
      <c r="L3211" s="8"/>
    </row>
    <row r="3212" ht="13.5" customHeight="1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8"/>
      <c r="L3212" s="8"/>
    </row>
    <row r="3213" ht="13.5" customHeight="1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8"/>
      <c r="L3213" s="8"/>
    </row>
    <row r="3214" ht="13.5" customHeight="1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8"/>
      <c r="L3214" s="8"/>
    </row>
    <row r="3215" ht="13.5" customHeight="1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8"/>
      <c r="L3215" s="8"/>
    </row>
    <row r="3216" ht="13.5" customHeight="1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8"/>
      <c r="L3216" s="8"/>
    </row>
    <row r="3217" ht="13.5" customHeight="1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8"/>
      <c r="L3217" s="8"/>
    </row>
    <row r="3218" ht="13.5" customHeight="1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8"/>
      <c r="L3218" s="8"/>
    </row>
    <row r="3219" ht="13.5" customHeight="1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8"/>
      <c r="L3219" s="8"/>
    </row>
    <row r="3220" ht="13.5" customHeight="1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8"/>
      <c r="L3220" s="8"/>
    </row>
    <row r="3221" ht="13.5" customHeight="1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8"/>
      <c r="L3221" s="8"/>
    </row>
    <row r="3222" ht="13.5" customHeight="1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8"/>
      <c r="L3222" s="8"/>
    </row>
    <row r="3223" ht="13.5" customHeight="1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8"/>
      <c r="L3223" s="8"/>
    </row>
    <row r="3224" ht="13.5" customHeight="1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8"/>
      <c r="L3224" s="8"/>
    </row>
    <row r="3225" ht="13.5" customHeight="1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8"/>
      <c r="L3225" s="8"/>
    </row>
    <row r="3226" ht="13.5" customHeight="1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8"/>
      <c r="L3226" s="8"/>
    </row>
    <row r="3227" ht="13.5" customHeight="1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8"/>
      <c r="L3227" s="8"/>
    </row>
    <row r="3228" ht="13.5" customHeight="1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8"/>
      <c r="L3228" s="8"/>
    </row>
    <row r="3229" ht="13.5" customHeight="1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8"/>
      <c r="L3229" s="8"/>
    </row>
    <row r="3230" ht="13.5" customHeight="1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8"/>
      <c r="L3230" s="8"/>
    </row>
    <row r="3231" ht="13.5" customHeight="1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8"/>
      <c r="L3231" s="8"/>
    </row>
    <row r="3232" ht="13.5" customHeight="1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8"/>
      <c r="L3232" s="8"/>
    </row>
    <row r="3233" ht="13.5" customHeight="1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8"/>
      <c r="L3233" s="8"/>
    </row>
    <row r="3234" ht="13.5" customHeight="1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8"/>
      <c r="L3234" s="8"/>
    </row>
    <row r="3235" ht="13.5" customHeight="1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8"/>
      <c r="L3235" s="8"/>
    </row>
    <row r="3236" ht="13.5" customHeight="1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8"/>
      <c r="L3236" s="8"/>
    </row>
    <row r="3237" ht="13.5" customHeight="1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8"/>
      <c r="L3237" s="8"/>
    </row>
    <row r="3238" ht="13.5" customHeight="1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8"/>
      <c r="L3238" s="8"/>
    </row>
    <row r="3239" ht="13.5" customHeight="1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8"/>
      <c r="L3239" s="8"/>
    </row>
    <row r="3240" ht="13.5" customHeight="1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8"/>
      <c r="L3240" s="8"/>
    </row>
    <row r="3241" ht="13.5" customHeight="1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8"/>
      <c r="L3241" s="8"/>
    </row>
    <row r="3242" ht="13.5" customHeight="1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8"/>
      <c r="L3242" s="8"/>
    </row>
    <row r="3243" ht="13.5" customHeight="1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8"/>
      <c r="L3243" s="8"/>
    </row>
    <row r="3244" ht="13.5" customHeight="1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8"/>
      <c r="L3244" s="8"/>
    </row>
    <row r="3245" ht="13.5" customHeight="1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8"/>
      <c r="L3245" s="8"/>
    </row>
    <row r="3246" ht="13.5" customHeight="1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8"/>
      <c r="L3246" s="8"/>
    </row>
    <row r="3247" ht="13.5" customHeight="1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8"/>
      <c r="L3247" s="8"/>
    </row>
    <row r="3248" ht="13.5" customHeight="1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8"/>
      <c r="L3248" s="8"/>
    </row>
  </sheetData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0"/>
    <col customWidth="1" min="2" max="2" width="8.86"/>
    <col customWidth="1" min="3" max="3" width="12.86"/>
    <col customWidth="1" min="4" max="4" width="14.14"/>
    <col customWidth="1" min="5" max="5" width="12.43"/>
    <col customWidth="1" min="6" max="7" width="10.14"/>
    <col customWidth="1" min="8" max="8" width="10.86"/>
    <col customWidth="1" min="9" max="9" width="10.29"/>
    <col customWidth="1" min="10" max="10" width="10.0"/>
    <col customWidth="1" min="11" max="12" width="9.14"/>
  </cols>
  <sheetData>
    <row r="1" ht="24.0" customHeight="1">
      <c r="A1" s="9" t="s">
        <v>364</v>
      </c>
      <c r="B1" s="10"/>
      <c r="C1" s="10"/>
      <c r="D1" s="10"/>
      <c r="E1" s="11"/>
      <c r="F1" s="11"/>
      <c r="G1" s="11"/>
      <c r="H1" s="11"/>
      <c r="I1" s="11"/>
      <c r="J1" s="11"/>
      <c r="K1" s="11"/>
      <c r="L1" s="11"/>
    </row>
    <row r="2" ht="19.5" customHeight="1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5</v>
      </c>
      <c r="L2" s="12" t="s">
        <v>9</v>
      </c>
    </row>
    <row r="3" ht="19.5" customHeight="1">
      <c r="A3" s="13" t="str">
        <f>Solieusap!A3</f>
        <v>Text</v>
      </c>
      <c r="B3" s="13" t="str">
        <f>Solieusap!B3</f>
        <v>m</v>
      </c>
      <c r="C3" s="13" t="str">
        <f>Solieusap!C3</f>
        <v>Text</v>
      </c>
      <c r="D3" s="13" t="str">
        <f>Solieusap!D3</f>
        <v>Text</v>
      </c>
      <c r="E3" s="13" t="str">
        <f>Solieusap!E3</f>
        <v>Tonf</v>
      </c>
      <c r="F3" s="13" t="str">
        <f>Solieusap!F3</f>
        <v>Tonf</v>
      </c>
      <c r="G3" s="13" t="str">
        <f>Solieusap!G3</f>
        <v>Tonf</v>
      </c>
      <c r="H3" s="13" t="str">
        <f>Solieusap!H3</f>
        <v>Tonf-m</v>
      </c>
      <c r="I3" s="13" t="str">
        <f>Solieusap!I3</f>
        <v>Tonf-m</v>
      </c>
      <c r="J3" s="13" t="str">
        <f>Solieusap!J3</f>
        <v>Tonf-m</v>
      </c>
      <c r="K3" s="13" t="str">
        <f t="shared" ref="K3:K4000" si="1">E3</f>
        <v>Tonf</v>
      </c>
      <c r="L3" s="13" t="str">
        <f t="shared" ref="L3:L4000" si="2">I3</f>
        <v>Tonf-m</v>
      </c>
    </row>
    <row r="4" ht="16.5" customHeight="1">
      <c r="A4" s="14" t="str">
        <f>Solieusap!A4</f>
        <v>8</v>
      </c>
      <c r="B4" s="15">
        <f>Solieusap!B4</f>
        <v>0</v>
      </c>
      <c r="C4" s="14" t="str">
        <f>Solieusap!C4</f>
        <v>DEAD1</v>
      </c>
      <c r="D4" s="14" t="str">
        <f>Solieusap!D4</f>
        <v>LinStatic</v>
      </c>
      <c r="E4" s="16">
        <f>ABS(Solieusap!E4)</f>
        <v>14.2145</v>
      </c>
      <c r="F4" s="16">
        <f>ABS(Solieusap!F4)</f>
        <v>0.0735</v>
      </c>
      <c r="G4" s="16">
        <f>ABS(Solieusap!G4)</f>
        <v>0.1697</v>
      </c>
      <c r="H4" s="16">
        <f>ABS(Solieusap!H4)</f>
        <v>0.00091</v>
      </c>
      <c r="I4" s="16">
        <f>ABS(Solieusap!I4)</f>
        <v>0.25052</v>
      </c>
      <c r="J4" s="16">
        <f>ABS(Solieusap!J4)</f>
        <v>0.05993</v>
      </c>
      <c r="K4" s="16">
        <f t="shared" si="1"/>
        <v>14.2145</v>
      </c>
      <c r="L4" s="16">
        <f t="shared" si="2"/>
        <v>0.25052</v>
      </c>
    </row>
    <row r="5" ht="16.5" customHeight="1">
      <c r="A5" s="14" t="str">
        <f>Solieusap!A5</f>
        <v>8</v>
      </c>
      <c r="B5" s="15">
        <f>Solieusap!B5</f>
        <v>1.35</v>
      </c>
      <c r="C5" s="14" t="str">
        <f>Solieusap!C5</f>
        <v>DEAD1</v>
      </c>
      <c r="D5" s="14" t="str">
        <f>Solieusap!D5</f>
        <v>LinStatic</v>
      </c>
      <c r="E5" s="16">
        <f>ABS(Solieusap!E5)</f>
        <v>14.066</v>
      </c>
      <c r="F5" s="16">
        <f>ABS(Solieusap!F5)</f>
        <v>0.0735</v>
      </c>
      <c r="G5" s="16">
        <f>ABS(Solieusap!G5)</f>
        <v>0.1697</v>
      </c>
      <c r="H5" s="16">
        <f>ABS(Solieusap!H5)</f>
        <v>0.00091</v>
      </c>
      <c r="I5" s="16">
        <f>ABS(Solieusap!I5)</f>
        <v>0.02136</v>
      </c>
      <c r="J5" s="16">
        <f>ABS(Solieusap!J5)</f>
        <v>0.03923</v>
      </c>
      <c r="K5" s="16">
        <f t="shared" si="1"/>
        <v>14.066</v>
      </c>
      <c r="L5" s="16">
        <f t="shared" si="2"/>
        <v>0.02136</v>
      </c>
    </row>
    <row r="6" ht="16.5" customHeight="1">
      <c r="A6" s="14" t="str">
        <f>Solieusap!A6</f>
        <v>8</v>
      </c>
      <c r="B6" s="15">
        <f>Solieusap!B6</f>
        <v>2.7</v>
      </c>
      <c r="C6" s="14" t="str">
        <f>Solieusap!C6</f>
        <v>DEAD1</v>
      </c>
      <c r="D6" s="14" t="str">
        <f>Solieusap!D6</f>
        <v>LinStatic</v>
      </c>
      <c r="E6" s="16">
        <f>ABS(Solieusap!E6)</f>
        <v>13.9175</v>
      </c>
      <c r="F6" s="16">
        <f>ABS(Solieusap!F6)</f>
        <v>0.0735</v>
      </c>
      <c r="G6" s="16">
        <f>ABS(Solieusap!G6)</f>
        <v>0.1697</v>
      </c>
      <c r="H6" s="16">
        <f>ABS(Solieusap!H6)</f>
        <v>0.00091</v>
      </c>
      <c r="I6" s="16">
        <f>ABS(Solieusap!I6)</f>
        <v>0.20781</v>
      </c>
      <c r="J6" s="16">
        <f>ABS(Solieusap!J6)</f>
        <v>0.13839</v>
      </c>
      <c r="K6" s="16">
        <f t="shared" si="1"/>
        <v>13.9175</v>
      </c>
      <c r="L6" s="16">
        <f t="shared" si="2"/>
        <v>0.20781</v>
      </c>
    </row>
    <row r="7" ht="16.5" customHeight="1">
      <c r="A7" s="14" t="str">
        <f>Solieusap!A7</f>
        <v>9</v>
      </c>
      <c r="B7" s="15">
        <f>Solieusap!B7</f>
        <v>0</v>
      </c>
      <c r="C7" s="14" t="str">
        <f>Solieusap!C7</f>
        <v>DEAD1</v>
      </c>
      <c r="D7" s="14" t="str">
        <f>Solieusap!D7</f>
        <v>LinStatic</v>
      </c>
      <c r="E7" s="16">
        <f>ABS(Solieusap!E7)</f>
        <v>11.4545</v>
      </c>
      <c r="F7" s="16">
        <f>ABS(Solieusap!F7)</f>
        <v>0.1018</v>
      </c>
      <c r="G7" s="16">
        <f>ABS(Solieusap!G7)</f>
        <v>0.0452</v>
      </c>
      <c r="H7" s="16">
        <f>ABS(Solieusap!H7)</f>
        <v>0.00067</v>
      </c>
      <c r="I7" s="16">
        <f>ABS(Solieusap!I7)</f>
        <v>0.0864</v>
      </c>
      <c r="J7" s="16">
        <f>ABS(Solieusap!J7)</f>
        <v>0.18376</v>
      </c>
      <c r="K7" s="16">
        <f t="shared" si="1"/>
        <v>11.4545</v>
      </c>
      <c r="L7" s="16">
        <f t="shared" si="2"/>
        <v>0.0864</v>
      </c>
    </row>
    <row r="8" ht="16.5" customHeight="1">
      <c r="A8" s="14" t="str">
        <f>Solieusap!A8</f>
        <v>9</v>
      </c>
      <c r="B8" s="15">
        <f>Solieusap!B8</f>
        <v>1.8</v>
      </c>
      <c r="C8" s="14" t="str">
        <f>Solieusap!C8</f>
        <v>DEAD1</v>
      </c>
      <c r="D8" s="14" t="str">
        <f>Solieusap!D8</f>
        <v>LinStatic</v>
      </c>
      <c r="E8" s="16">
        <f>ABS(Solieusap!E8)</f>
        <v>11.2565</v>
      </c>
      <c r="F8" s="16">
        <f>ABS(Solieusap!F8)</f>
        <v>0.1018</v>
      </c>
      <c r="G8" s="16">
        <f>ABS(Solieusap!G8)</f>
        <v>0.0452</v>
      </c>
      <c r="H8" s="16">
        <f>ABS(Solieusap!H8)</f>
        <v>0.00067</v>
      </c>
      <c r="I8" s="16">
        <f>ABS(Solieusap!I8)</f>
        <v>0.0051</v>
      </c>
      <c r="J8" s="16">
        <f>ABS(Solieusap!J8)</f>
        <v>0.00053</v>
      </c>
      <c r="K8" s="16">
        <f t="shared" si="1"/>
        <v>11.2565</v>
      </c>
      <c r="L8" s="16">
        <f t="shared" si="2"/>
        <v>0.0051</v>
      </c>
    </row>
    <row r="9" ht="16.5" customHeight="1">
      <c r="A9" s="14" t="str">
        <f>Solieusap!A9</f>
        <v>9</v>
      </c>
      <c r="B9" s="15">
        <f>Solieusap!B9</f>
        <v>3.6</v>
      </c>
      <c r="C9" s="14" t="str">
        <f>Solieusap!C9</f>
        <v>DEAD1</v>
      </c>
      <c r="D9" s="14" t="str">
        <f>Solieusap!D9</f>
        <v>LinStatic</v>
      </c>
      <c r="E9" s="16">
        <f>ABS(Solieusap!E9)</f>
        <v>11.0585</v>
      </c>
      <c r="F9" s="16">
        <f>ABS(Solieusap!F9)</f>
        <v>0.1018</v>
      </c>
      <c r="G9" s="16">
        <f>ABS(Solieusap!G9)</f>
        <v>0.0452</v>
      </c>
      <c r="H9" s="16">
        <f>ABS(Solieusap!H9)</f>
        <v>0.00067</v>
      </c>
      <c r="I9" s="16">
        <f>ABS(Solieusap!I9)</f>
        <v>0.0762</v>
      </c>
      <c r="J9" s="16">
        <f>ABS(Solieusap!J9)</f>
        <v>0.18269</v>
      </c>
      <c r="K9" s="16">
        <f t="shared" si="1"/>
        <v>11.0585</v>
      </c>
      <c r="L9" s="16">
        <f t="shared" si="2"/>
        <v>0.0762</v>
      </c>
    </row>
    <row r="10" ht="16.5" customHeight="1">
      <c r="A10" s="14" t="str">
        <f>Solieusap!A10</f>
        <v>10</v>
      </c>
      <c r="B10" s="15">
        <f>Solieusap!B10</f>
        <v>0</v>
      </c>
      <c r="C10" s="14" t="str">
        <f>Solieusap!C10</f>
        <v>DEAD1</v>
      </c>
      <c r="D10" s="14" t="str">
        <f>Solieusap!D10</f>
        <v>LinStatic</v>
      </c>
      <c r="E10" s="16">
        <f>ABS(Solieusap!E10)</f>
        <v>8.5072</v>
      </c>
      <c r="F10" s="16">
        <f>ABS(Solieusap!F10)</f>
        <v>0.0838</v>
      </c>
      <c r="G10" s="16">
        <f>ABS(Solieusap!G10)</f>
        <v>0.0071</v>
      </c>
      <c r="H10" s="16">
        <f>ABS(Solieusap!H10)</f>
        <v>0.00168</v>
      </c>
      <c r="I10" s="16">
        <f>ABS(Solieusap!I10)</f>
        <v>0.00387</v>
      </c>
      <c r="J10" s="16">
        <f>ABS(Solieusap!J10)</f>
        <v>0.16818</v>
      </c>
      <c r="K10" s="16">
        <f t="shared" si="1"/>
        <v>8.5072</v>
      </c>
      <c r="L10" s="16">
        <f t="shared" si="2"/>
        <v>0.00387</v>
      </c>
    </row>
    <row r="11" ht="16.5" customHeight="1">
      <c r="A11" s="14" t="str">
        <f>Solieusap!A11</f>
        <v>10</v>
      </c>
      <c r="B11" s="15">
        <f>Solieusap!B11</f>
        <v>1.8</v>
      </c>
      <c r="C11" s="14" t="str">
        <f>Solieusap!C11</f>
        <v>DEAD1</v>
      </c>
      <c r="D11" s="14" t="str">
        <f>Solieusap!D11</f>
        <v>LinStatic</v>
      </c>
      <c r="E11" s="16">
        <f>ABS(Solieusap!E11)</f>
        <v>8.3092</v>
      </c>
      <c r="F11" s="16">
        <f>ABS(Solieusap!F11)</f>
        <v>0.0838</v>
      </c>
      <c r="G11" s="16">
        <f>ABS(Solieusap!G11)</f>
        <v>0.0071</v>
      </c>
      <c r="H11" s="16">
        <f>ABS(Solieusap!H11)</f>
        <v>0.00168</v>
      </c>
      <c r="I11" s="16">
        <f>ABS(Solieusap!I11)</f>
        <v>0.00899</v>
      </c>
      <c r="J11" s="16">
        <f>ABS(Solieusap!J11)</f>
        <v>0.01732</v>
      </c>
      <c r="K11" s="16">
        <f t="shared" si="1"/>
        <v>8.3092</v>
      </c>
      <c r="L11" s="16">
        <f t="shared" si="2"/>
        <v>0.00899</v>
      </c>
    </row>
    <row r="12" ht="16.5" customHeight="1">
      <c r="A12" s="14" t="str">
        <f>Solieusap!A12</f>
        <v>10</v>
      </c>
      <c r="B12" s="15">
        <f>Solieusap!B12</f>
        <v>3.6</v>
      </c>
      <c r="C12" s="14" t="str">
        <f>Solieusap!C12</f>
        <v>DEAD1</v>
      </c>
      <c r="D12" s="14" t="str">
        <f>Solieusap!D12</f>
        <v>LinStatic</v>
      </c>
      <c r="E12" s="16">
        <f>ABS(Solieusap!E12)</f>
        <v>8.1112</v>
      </c>
      <c r="F12" s="16">
        <f>ABS(Solieusap!F12)</f>
        <v>0.0838</v>
      </c>
      <c r="G12" s="16">
        <f>ABS(Solieusap!G12)</f>
        <v>0.0071</v>
      </c>
      <c r="H12" s="16">
        <f>ABS(Solieusap!H12)</f>
        <v>0.00168</v>
      </c>
      <c r="I12" s="16">
        <f>ABS(Solieusap!I12)</f>
        <v>0.02185</v>
      </c>
      <c r="J12" s="16">
        <f>ABS(Solieusap!J12)</f>
        <v>0.13355</v>
      </c>
      <c r="K12" s="16">
        <f t="shared" si="1"/>
        <v>8.1112</v>
      </c>
      <c r="L12" s="16">
        <f t="shared" si="2"/>
        <v>0.02185</v>
      </c>
    </row>
    <row r="13" ht="16.5" customHeight="1">
      <c r="A13" s="14" t="str">
        <f>Solieusap!A13</f>
        <v>140</v>
      </c>
      <c r="B13" s="15">
        <f>Solieusap!B13</f>
        <v>0</v>
      </c>
      <c r="C13" s="14" t="str">
        <f>Solieusap!C13</f>
        <v>DEAD1</v>
      </c>
      <c r="D13" s="14" t="str">
        <f>Solieusap!D13</f>
        <v>LinStatic</v>
      </c>
      <c r="E13" s="16">
        <f>ABS(Solieusap!E13)</f>
        <v>12.7038</v>
      </c>
      <c r="F13" s="16">
        <f>ABS(Solieusap!F13)</f>
        <v>0.0978</v>
      </c>
      <c r="G13" s="16">
        <f>ABS(Solieusap!G13)</f>
        <v>0.1609</v>
      </c>
      <c r="H13" s="16">
        <f>ABS(Solieusap!H13)</f>
        <v>0.00043</v>
      </c>
      <c r="I13" s="16">
        <f>ABS(Solieusap!I13)</f>
        <v>0.24683</v>
      </c>
      <c r="J13" s="16">
        <f>ABS(Solieusap!J13)</f>
        <v>0.093</v>
      </c>
      <c r="K13" s="16">
        <f t="shared" si="1"/>
        <v>12.7038</v>
      </c>
      <c r="L13" s="16">
        <f t="shared" si="2"/>
        <v>0.24683</v>
      </c>
    </row>
    <row r="14" ht="16.5" customHeight="1">
      <c r="A14" s="14" t="str">
        <f>Solieusap!A14</f>
        <v>140</v>
      </c>
      <c r="B14" s="15">
        <f>Solieusap!B14</f>
        <v>1.35</v>
      </c>
      <c r="C14" s="14" t="str">
        <f>Solieusap!C14</f>
        <v>DEAD1</v>
      </c>
      <c r="D14" s="14" t="str">
        <f>Solieusap!D14</f>
        <v>LinStatic</v>
      </c>
      <c r="E14" s="16">
        <f>ABS(Solieusap!E14)</f>
        <v>12.5553</v>
      </c>
      <c r="F14" s="16">
        <f>ABS(Solieusap!F14)</f>
        <v>0.0978</v>
      </c>
      <c r="G14" s="16">
        <f>ABS(Solieusap!G14)</f>
        <v>0.1609</v>
      </c>
      <c r="H14" s="16">
        <f>ABS(Solieusap!H14)</f>
        <v>0.00043</v>
      </c>
      <c r="I14" s="16">
        <f>ABS(Solieusap!I14)</f>
        <v>0.02957</v>
      </c>
      <c r="J14" s="16">
        <f>ABS(Solieusap!J14)</f>
        <v>0.03899</v>
      </c>
      <c r="K14" s="16">
        <f t="shared" si="1"/>
        <v>12.5553</v>
      </c>
      <c r="L14" s="16">
        <f t="shared" si="2"/>
        <v>0.02957</v>
      </c>
    </row>
    <row r="15" ht="16.5" customHeight="1">
      <c r="A15" s="14" t="str">
        <f>Solieusap!A15</f>
        <v>140</v>
      </c>
      <c r="B15" s="15">
        <f>Solieusap!B15</f>
        <v>2.7</v>
      </c>
      <c r="C15" s="14" t="str">
        <f>Solieusap!C15</f>
        <v>DEAD1</v>
      </c>
      <c r="D15" s="14" t="str">
        <f>Solieusap!D15</f>
        <v>LinStatic</v>
      </c>
      <c r="E15" s="16">
        <f>ABS(Solieusap!E15)</f>
        <v>12.4068</v>
      </c>
      <c r="F15" s="16">
        <f>ABS(Solieusap!F15)</f>
        <v>0.0978</v>
      </c>
      <c r="G15" s="16">
        <f>ABS(Solieusap!G15)</f>
        <v>0.1609</v>
      </c>
      <c r="H15" s="16">
        <f>ABS(Solieusap!H15)</f>
        <v>0.00043</v>
      </c>
      <c r="I15" s="16">
        <f>ABS(Solieusap!I15)</f>
        <v>0.18768</v>
      </c>
      <c r="J15" s="16">
        <f>ABS(Solieusap!J15)</f>
        <v>0.17097</v>
      </c>
      <c r="K15" s="16">
        <f t="shared" si="1"/>
        <v>12.4068</v>
      </c>
      <c r="L15" s="16">
        <f t="shared" si="2"/>
        <v>0.18768</v>
      </c>
    </row>
    <row r="16" ht="16.5" customHeight="1">
      <c r="A16" s="14" t="str">
        <f>Solieusap!A16</f>
        <v>141</v>
      </c>
      <c r="B16" s="15">
        <f>Solieusap!B16</f>
        <v>0</v>
      </c>
      <c r="C16" s="14" t="str">
        <f>Solieusap!C16</f>
        <v>DEAD1</v>
      </c>
      <c r="D16" s="14" t="str">
        <f>Solieusap!D16</f>
        <v>LinStatic</v>
      </c>
      <c r="E16" s="16">
        <f>ABS(Solieusap!E16)</f>
        <v>9.864</v>
      </c>
      <c r="F16" s="16">
        <f>ABS(Solieusap!F16)</f>
        <v>0.0965</v>
      </c>
      <c r="G16" s="16">
        <f>ABS(Solieusap!G16)</f>
        <v>0.0788</v>
      </c>
      <c r="H16" s="16">
        <f>ABS(Solieusap!H16)</f>
        <v>0.00041</v>
      </c>
      <c r="I16" s="16">
        <f>ABS(Solieusap!I16)</f>
        <v>0.14137</v>
      </c>
      <c r="J16" s="16">
        <f>ABS(Solieusap!J16)</f>
        <v>0.17042</v>
      </c>
      <c r="K16" s="16">
        <f t="shared" si="1"/>
        <v>9.864</v>
      </c>
      <c r="L16" s="16">
        <f t="shared" si="2"/>
        <v>0.14137</v>
      </c>
    </row>
    <row r="17" ht="16.5" customHeight="1">
      <c r="A17" s="14" t="str">
        <f>Solieusap!A17</f>
        <v>141</v>
      </c>
      <c r="B17" s="15">
        <f>Solieusap!B17</f>
        <v>1.8</v>
      </c>
      <c r="C17" s="14" t="str">
        <f>Solieusap!C17</f>
        <v>DEAD1</v>
      </c>
      <c r="D17" s="14" t="str">
        <f>Solieusap!D17</f>
        <v>LinStatic</v>
      </c>
      <c r="E17" s="16">
        <f>ABS(Solieusap!E17)</f>
        <v>9.666</v>
      </c>
      <c r="F17" s="16">
        <f>ABS(Solieusap!F17)</f>
        <v>0.0965</v>
      </c>
      <c r="G17" s="16">
        <f>ABS(Solieusap!G17)</f>
        <v>0.0788</v>
      </c>
      <c r="H17" s="16">
        <f>ABS(Solieusap!H17)</f>
        <v>0.00041</v>
      </c>
      <c r="I17" s="16">
        <f>ABS(Solieusap!I17)</f>
        <v>0.0004</v>
      </c>
      <c r="J17" s="16">
        <f>ABS(Solieusap!J17)</f>
        <v>0.00331</v>
      </c>
      <c r="K17" s="16">
        <f t="shared" si="1"/>
        <v>9.666</v>
      </c>
      <c r="L17" s="16">
        <f t="shared" si="2"/>
        <v>0.0004</v>
      </c>
    </row>
    <row r="18" ht="16.5" customHeight="1">
      <c r="A18" s="14" t="str">
        <f>Solieusap!A18</f>
        <v>141</v>
      </c>
      <c r="B18" s="15">
        <f>Solieusap!B18</f>
        <v>3.6</v>
      </c>
      <c r="C18" s="14" t="str">
        <f>Solieusap!C18</f>
        <v>DEAD1</v>
      </c>
      <c r="D18" s="14" t="str">
        <f>Solieusap!D18</f>
        <v>LinStatic</v>
      </c>
      <c r="E18" s="16">
        <f>ABS(Solieusap!E18)</f>
        <v>9.468</v>
      </c>
      <c r="F18" s="16">
        <f>ABS(Solieusap!F18)</f>
        <v>0.0965</v>
      </c>
      <c r="G18" s="16">
        <f>ABS(Solieusap!G18)</f>
        <v>0.0788</v>
      </c>
      <c r="H18" s="16">
        <f>ABS(Solieusap!H18)</f>
        <v>0.00041</v>
      </c>
      <c r="I18" s="16">
        <f>ABS(Solieusap!I18)</f>
        <v>0.14217</v>
      </c>
      <c r="J18" s="16">
        <f>ABS(Solieusap!J18)</f>
        <v>0.17704</v>
      </c>
      <c r="K18" s="16">
        <f t="shared" si="1"/>
        <v>9.468</v>
      </c>
      <c r="L18" s="16">
        <f t="shared" si="2"/>
        <v>0.14217</v>
      </c>
    </row>
    <row r="19" ht="16.5" customHeight="1">
      <c r="A19" s="14" t="str">
        <f>Solieusap!A19</f>
        <v>142</v>
      </c>
      <c r="B19" s="15">
        <f>Solieusap!B19</f>
        <v>0</v>
      </c>
      <c r="C19" s="14" t="str">
        <f>Solieusap!C19</f>
        <v>DEAD1</v>
      </c>
      <c r="D19" s="14" t="str">
        <f>Solieusap!D19</f>
        <v>LinStatic</v>
      </c>
      <c r="E19" s="16">
        <f>ABS(Solieusap!E19)</f>
        <v>6.7312</v>
      </c>
      <c r="F19" s="16">
        <f>ABS(Solieusap!F19)</f>
        <v>0.0587</v>
      </c>
      <c r="G19" s="16">
        <f>ABS(Solieusap!G19)</f>
        <v>0.0962</v>
      </c>
      <c r="H19" s="16">
        <f>ABS(Solieusap!H19)</f>
        <v>0.01121</v>
      </c>
      <c r="I19" s="16">
        <f>ABS(Solieusap!I19)</f>
        <v>0.17799</v>
      </c>
      <c r="J19" s="16">
        <f>ABS(Solieusap!J19)</f>
        <v>0.12657</v>
      </c>
      <c r="K19" s="16">
        <f t="shared" si="1"/>
        <v>6.7312</v>
      </c>
      <c r="L19" s="16">
        <f t="shared" si="2"/>
        <v>0.17799</v>
      </c>
    </row>
    <row r="20" ht="16.5" customHeight="1">
      <c r="A20" s="14" t="str">
        <f>Solieusap!A20</f>
        <v>142</v>
      </c>
      <c r="B20" s="15">
        <f>Solieusap!B20</f>
        <v>1.8</v>
      </c>
      <c r="C20" s="14" t="str">
        <f>Solieusap!C20</f>
        <v>DEAD1</v>
      </c>
      <c r="D20" s="14" t="str">
        <f>Solieusap!D20</f>
        <v>LinStatic</v>
      </c>
      <c r="E20" s="16">
        <f>ABS(Solieusap!E20)</f>
        <v>6.5332</v>
      </c>
      <c r="F20" s="16">
        <f>ABS(Solieusap!F20)</f>
        <v>0.0587</v>
      </c>
      <c r="G20" s="16">
        <f>ABS(Solieusap!G20)</f>
        <v>0.0962</v>
      </c>
      <c r="H20" s="16">
        <f>ABS(Solieusap!H20)</f>
        <v>0.01121</v>
      </c>
      <c r="I20" s="16">
        <f>ABS(Solieusap!I20)</f>
        <v>0.0048</v>
      </c>
      <c r="J20" s="16">
        <f>ABS(Solieusap!J20)</f>
        <v>0.0209</v>
      </c>
      <c r="K20" s="16">
        <f t="shared" si="1"/>
        <v>6.5332</v>
      </c>
      <c r="L20" s="16">
        <f t="shared" si="2"/>
        <v>0.0048</v>
      </c>
    </row>
    <row r="21" ht="16.5" customHeight="1">
      <c r="A21" s="14" t="str">
        <f>Solieusap!A21</f>
        <v>142</v>
      </c>
      <c r="B21" s="15">
        <f>Solieusap!B21</f>
        <v>3.6</v>
      </c>
      <c r="C21" s="14" t="str">
        <f>Solieusap!C21</f>
        <v>DEAD1</v>
      </c>
      <c r="D21" s="14" t="str">
        <f>Solieusap!D21</f>
        <v>LinStatic</v>
      </c>
      <c r="E21" s="16">
        <f>ABS(Solieusap!E21)</f>
        <v>6.3352</v>
      </c>
      <c r="F21" s="16">
        <f>ABS(Solieusap!F21)</f>
        <v>0.0587</v>
      </c>
      <c r="G21" s="16">
        <f>ABS(Solieusap!G21)</f>
        <v>0.0962</v>
      </c>
      <c r="H21" s="16">
        <f>ABS(Solieusap!H21)</f>
        <v>0.01121</v>
      </c>
      <c r="I21" s="16">
        <f>ABS(Solieusap!I21)</f>
        <v>0.16838</v>
      </c>
      <c r="J21" s="16">
        <f>ABS(Solieusap!J21)</f>
        <v>0.08478</v>
      </c>
      <c r="K21" s="16">
        <f t="shared" si="1"/>
        <v>6.3352</v>
      </c>
      <c r="L21" s="16">
        <f t="shared" si="2"/>
        <v>0.16838</v>
      </c>
    </row>
    <row r="22" ht="16.5" customHeight="1">
      <c r="A22" s="14" t="str">
        <f>Solieusap!A22</f>
        <v>143</v>
      </c>
      <c r="B22" s="15">
        <f>Solieusap!B22</f>
        <v>0</v>
      </c>
      <c r="C22" s="14" t="str">
        <f>Solieusap!C22</f>
        <v>DEAD1</v>
      </c>
      <c r="D22" s="14" t="str">
        <f>Solieusap!D22</f>
        <v>LinStatic</v>
      </c>
      <c r="E22" s="16">
        <f>ABS(Solieusap!E22)</f>
        <v>11.8632</v>
      </c>
      <c r="F22" s="16">
        <f>ABS(Solieusap!F22)</f>
        <v>0.0976</v>
      </c>
      <c r="G22" s="16">
        <f>ABS(Solieusap!G22)</f>
        <v>0.1592</v>
      </c>
      <c r="H22" s="16">
        <f>ABS(Solieusap!H22)</f>
        <v>0.00041</v>
      </c>
      <c r="I22" s="16">
        <f>ABS(Solieusap!I22)</f>
        <v>0.24548</v>
      </c>
      <c r="J22" s="16">
        <f>ABS(Solieusap!J22)</f>
        <v>0.0927</v>
      </c>
      <c r="K22" s="16">
        <f t="shared" si="1"/>
        <v>11.8632</v>
      </c>
      <c r="L22" s="16">
        <f t="shared" si="2"/>
        <v>0.24548</v>
      </c>
    </row>
    <row r="23" ht="16.5" customHeight="1">
      <c r="A23" s="14" t="str">
        <f>Solieusap!A23</f>
        <v>143</v>
      </c>
      <c r="B23" s="15">
        <f>Solieusap!B23</f>
        <v>1.35</v>
      </c>
      <c r="C23" s="14" t="str">
        <f>Solieusap!C23</f>
        <v>DEAD1</v>
      </c>
      <c r="D23" s="14" t="str">
        <f>Solieusap!D23</f>
        <v>LinStatic</v>
      </c>
      <c r="E23" s="16">
        <f>ABS(Solieusap!E23)</f>
        <v>11.7147</v>
      </c>
      <c r="F23" s="16">
        <f>ABS(Solieusap!F23)</f>
        <v>0.0976</v>
      </c>
      <c r="G23" s="16">
        <f>ABS(Solieusap!G23)</f>
        <v>0.1592</v>
      </c>
      <c r="H23" s="16">
        <f>ABS(Solieusap!H23)</f>
        <v>0.00041</v>
      </c>
      <c r="I23" s="16">
        <f>ABS(Solieusap!I23)</f>
        <v>0.03059</v>
      </c>
      <c r="J23" s="16">
        <f>ABS(Solieusap!J23)</f>
        <v>0.03905</v>
      </c>
      <c r="K23" s="16">
        <f t="shared" si="1"/>
        <v>11.7147</v>
      </c>
      <c r="L23" s="16">
        <f t="shared" si="2"/>
        <v>0.03059</v>
      </c>
    </row>
    <row r="24" ht="16.5" customHeight="1">
      <c r="A24" s="14" t="str">
        <f>Solieusap!A24</f>
        <v>143</v>
      </c>
      <c r="B24" s="15">
        <f>Solieusap!B24</f>
        <v>2.7</v>
      </c>
      <c r="C24" s="14" t="str">
        <f>Solieusap!C24</f>
        <v>DEAD1</v>
      </c>
      <c r="D24" s="14" t="str">
        <f>Solieusap!D24</f>
        <v>LinStatic</v>
      </c>
      <c r="E24" s="16">
        <f>ABS(Solieusap!E24)</f>
        <v>11.5662</v>
      </c>
      <c r="F24" s="16">
        <f>ABS(Solieusap!F24)</f>
        <v>0.0976</v>
      </c>
      <c r="G24" s="16">
        <f>ABS(Solieusap!G24)</f>
        <v>0.1592</v>
      </c>
      <c r="H24" s="16">
        <f>ABS(Solieusap!H24)</f>
        <v>0.00041</v>
      </c>
      <c r="I24" s="16">
        <f>ABS(Solieusap!I24)</f>
        <v>0.1843</v>
      </c>
      <c r="J24" s="16">
        <f>ABS(Solieusap!J24)</f>
        <v>0.17079</v>
      </c>
      <c r="K24" s="16">
        <f t="shared" si="1"/>
        <v>11.5662</v>
      </c>
      <c r="L24" s="16">
        <f t="shared" si="2"/>
        <v>0.1843</v>
      </c>
    </row>
    <row r="25" ht="16.5" customHeight="1">
      <c r="A25" s="14" t="str">
        <f>Solieusap!A25</f>
        <v>144</v>
      </c>
      <c r="B25" s="15">
        <f>Solieusap!B25</f>
        <v>0</v>
      </c>
      <c r="C25" s="14" t="str">
        <f>Solieusap!C25</f>
        <v>DEAD1</v>
      </c>
      <c r="D25" s="14" t="str">
        <f>Solieusap!D25</f>
        <v>LinStatic</v>
      </c>
      <c r="E25" s="16">
        <f>ABS(Solieusap!E25)</f>
        <v>9.0172</v>
      </c>
      <c r="F25" s="16">
        <f>ABS(Solieusap!F25)</f>
        <v>0.0971</v>
      </c>
      <c r="G25" s="16">
        <f>ABS(Solieusap!G25)</f>
        <v>0.0836</v>
      </c>
      <c r="H25" s="16">
        <f>ABS(Solieusap!H25)</f>
        <v>0.00049</v>
      </c>
      <c r="I25" s="16">
        <f>ABS(Solieusap!I25)</f>
        <v>0.14787</v>
      </c>
      <c r="J25" s="16">
        <f>ABS(Solieusap!J25)</f>
        <v>0.17048</v>
      </c>
      <c r="K25" s="16">
        <f t="shared" si="1"/>
        <v>9.0172</v>
      </c>
      <c r="L25" s="16">
        <f t="shared" si="2"/>
        <v>0.14787</v>
      </c>
    </row>
    <row r="26" ht="16.5" customHeight="1">
      <c r="A26" s="14" t="str">
        <f>Solieusap!A26</f>
        <v>144</v>
      </c>
      <c r="B26" s="15">
        <f>Solieusap!B26</f>
        <v>1.8</v>
      </c>
      <c r="C26" s="14" t="str">
        <f>Solieusap!C26</f>
        <v>DEAD1</v>
      </c>
      <c r="D26" s="14" t="str">
        <f>Solieusap!D26</f>
        <v>LinStatic</v>
      </c>
      <c r="E26" s="16">
        <f>ABS(Solieusap!E26)</f>
        <v>8.8192</v>
      </c>
      <c r="F26" s="16">
        <f>ABS(Solieusap!F26)</f>
        <v>0.0971</v>
      </c>
      <c r="G26" s="16">
        <f>ABS(Solieusap!G26)</f>
        <v>0.0836</v>
      </c>
      <c r="H26" s="16">
        <f>ABS(Solieusap!H26)</f>
        <v>0.00049</v>
      </c>
      <c r="I26" s="16">
        <f>ABS(Solieusap!I26)</f>
        <v>0.00259</v>
      </c>
      <c r="J26" s="16">
        <f>ABS(Solieusap!J26)</f>
        <v>0.00425</v>
      </c>
      <c r="K26" s="16">
        <f t="shared" si="1"/>
        <v>8.8192</v>
      </c>
      <c r="L26" s="16">
        <f t="shared" si="2"/>
        <v>0.00259</v>
      </c>
    </row>
    <row r="27" ht="16.5" customHeight="1">
      <c r="A27" s="14" t="str">
        <f>Solieusap!A27</f>
        <v>144</v>
      </c>
      <c r="B27" s="15">
        <f>Solieusap!B27</f>
        <v>3.6</v>
      </c>
      <c r="C27" s="14" t="str">
        <f>Solieusap!C27</f>
        <v>DEAD1</v>
      </c>
      <c r="D27" s="14" t="str">
        <f>Solieusap!D27</f>
        <v>LinStatic</v>
      </c>
      <c r="E27" s="16">
        <f>ABS(Solieusap!E27)</f>
        <v>8.6212</v>
      </c>
      <c r="F27" s="16">
        <f>ABS(Solieusap!F27)</f>
        <v>0.0971</v>
      </c>
      <c r="G27" s="16">
        <f>ABS(Solieusap!G27)</f>
        <v>0.0836</v>
      </c>
      <c r="H27" s="16">
        <f>ABS(Solieusap!H27)</f>
        <v>0.00049</v>
      </c>
      <c r="I27" s="16">
        <f>ABS(Solieusap!I27)</f>
        <v>0.15306</v>
      </c>
      <c r="J27" s="16">
        <f>ABS(Solieusap!J27)</f>
        <v>0.17898</v>
      </c>
      <c r="K27" s="16">
        <f t="shared" si="1"/>
        <v>8.6212</v>
      </c>
      <c r="L27" s="16">
        <f t="shared" si="2"/>
        <v>0.15306</v>
      </c>
    </row>
    <row r="28" ht="16.5" customHeight="1">
      <c r="A28" s="14" t="str">
        <f>Solieusap!A28</f>
        <v>145</v>
      </c>
      <c r="B28" s="15">
        <f>Solieusap!B28</f>
        <v>0</v>
      </c>
      <c r="C28" s="14" t="str">
        <f>Solieusap!C28</f>
        <v>DEAD1</v>
      </c>
      <c r="D28" s="14" t="str">
        <f>Solieusap!D28</f>
        <v>LinStatic</v>
      </c>
      <c r="E28" s="16">
        <f>ABS(Solieusap!E28)</f>
        <v>5.8861</v>
      </c>
      <c r="F28" s="16">
        <f>ABS(Solieusap!F28)</f>
        <v>0.0443</v>
      </c>
      <c r="G28" s="16">
        <f>ABS(Solieusap!G28)</f>
        <v>0.0831</v>
      </c>
      <c r="H28" s="16">
        <f>ABS(Solieusap!H28)</f>
        <v>0.00464</v>
      </c>
      <c r="I28" s="16">
        <f>ABS(Solieusap!I28)</f>
        <v>0.15738</v>
      </c>
      <c r="J28" s="16">
        <f>ABS(Solieusap!J28)</f>
        <v>0.10912</v>
      </c>
      <c r="K28" s="16">
        <f t="shared" si="1"/>
        <v>5.8861</v>
      </c>
      <c r="L28" s="16">
        <f t="shared" si="2"/>
        <v>0.15738</v>
      </c>
    </row>
    <row r="29" ht="16.5" customHeight="1">
      <c r="A29" s="14" t="str">
        <f>Solieusap!A29</f>
        <v>145</v>
      </c>
      <c r="B29" s="15">
        <f>Solieusap!B29</f>
        <v>1.8</v>
      </c>
      <c r="C29" s="14" t="str">
        <f>Solieusap!C29</f>
        <v>DEAD1</v>
      </c>
      <c r="D29" s="14" t="str">
        <f>Solieusap!D29</f>
        <v>LinStatic</v>
      </c>
      <c r="E29" s="16">
        <f>ABS(Solieusap!E29)</f>
        <v>5.6881</v>
      </c>
      <c r="F29" s="16">
        <f>ABS(Solieusap!F29)</f>
        <v>0.0443</v>
      </c>
      <c r="G29" s="16">
        <f>ABS(Solieusap!G29)</f>
        <v>0.0831</v>
      </c>
      <c r="H29" s="16">
        <f>ABS(Solieusap!H29)</f>
        <v>0.00464</v>
      </c>
      <c r="I29" s="16">
        <f>ABS(Solieusap!I29)</f>
        <v>0.00787</v>
      </c>
      <c r="J29" s="16">
        <f>ABS(Solieusap!J29)</f>
        <v>0.0293</v>
      </c>
      <c r="K29" s="16">
        <f t="shared" si="1"/>
        <v>5.6881</v>
      </c>
      <c r="L29" s="16">
        <f t="shared" si="2"/>
        <v>0.00787</v>
      </c>
    </row>
    <row r="30" ht="16.5" customHeight="1">
      <c r="A30" s="14" t="str">
        <f>Solieusap!A30</f>
        <v>145</v>
      </c>
      <c r="B30" s="15">
        <f>Solieusap!B30</f>
        <v>3.6</v>
      </c>
      <c r="C30" s="14" t="str">
        <f>Solieusap!C30</f>
        <v>DEAD1</v>
      </c>
      <c r="D30" s="14" t="str">
        <f>Solieusap!D30</f>
        <v>LinStatic</v>
      </c>
      <c r="E30" s="16">
        <f>ABS(Solieusap!E30)</f>
        <v>5.4901</v>
      </c>
      <c r="F30" s="16">
        <f>ABS(Solieusap!F30)</f>
        <v>0.0443</v>
      </c>
      <c r="G30" s="16">
        <f>ABS(Solieusap!G30)</f>
        <v>0.0831</v>
      </c>
      <c r="H30" s="16">
        <f>ABS(Solieusap!H30)</f>
        <v>0.00464</v>
      </c>
      <c r="I30" s="16">
        <f>ABS(Solieusap!I30)</f>
        <v>0.14164</v>
      </c>
      <c r="J30" s="16">
        <f>ABS(Solieusap!J30)</f>
        <v>0.05051</v>
      </c>
      <c r="K30" s="16">
        <f t="shared" si="1"/>
        <v>5.4901</v>
      </c>
      <c r="L30" s="16">
        <f t="shared" si="2"/>
        <v>0.14164</v>
      </c>
    </row>
    <row r="31" ht="16.5" customHeight="1">
      <c r="A31" s="14" t="str">
        <f>Solieusap!A31</f>
        <v>146</v>
      </c>
      <c r="B31" s="15">
        <f>Solieusap!B31</f>
        <v>0</v>
      </c>
      <c r="C31" s="14" t="str">
        <f>Solieusap!C31</f>
        <v>DEAD1</v>
      </c>
      <c r="D31" s="14" t="str">
        <f>Solieusap!D31</f>
        <v>LinStatic</v>
      </c>
      <c r="E31" s="16">
        <f>ABS(Solieusap!E31)</f>
        <v>13.4491</v>
      </c>
      <c r="F31" s="16">
        <f>ABS(Solieusap!F31)</f>
        <v>0.0734</v>
      </c>
      <c r="G31" s="16">
        <f>ABS(Solieusap!G31)</f>
        <v>0.1665</v>
      </c>
      <c r="H31" s="16">
        <f>ABS(Solieusap!H31)</f>
        <v>0.00089</v>
      </c>
      <c r="I31" s="16">
        <f>ABS(Solieusap!I31)</f>
        <v>0.24797</v>
      </c>
      <c r="J31" s="16">
        <f>ABS(Solieusap!J31)</f>
        <v>0.06001</v>
      </c>
      <c r="K31" s="16">
        <f t="shared" si="1"/>
        <v>13.4491</v>
      </c>
      <c r="L31" s="16">
        <f t="shared" si="2"/>
        <v>0.24797</v>
      </c>
    </row>
    <row r="32" ht="16.5" customHeight="1">
      <c r="A32" s="14" t="str">
        <f>Solieusap!A32</f>
        <v>146</v>
      </c>
      <c r="B32" s="15">
        <f>Solieusap!B32</f>
        <v>1.35</v>
      </c>
      <c r="C32" s="14" t="str">
        <f>Solieusap!C32</f>
        <v>DEAD1</v>
      </c>
      <c r="D32" s="14" t="str">
        <f>Solieusap!D32</f>
        <v>LinStatic</v>
      </c>
      <c r="E32" s="16">
        <f>ABS(Solieusap!E32)</f>
        <v>13.3006</v>
      </c>
      <c r="F32" s="16">
        <f>ABS(Solieusap!F32)</f>
        <v>0.0734</v>
      </c>
      <c r="G32" s="16">
        <f>ABS(Solieusap!G32)</f>
        <v>0.1665</v>
      </c>
      <c r="H32" s="16">
        <f>ABS(Solieusap!H32)</f>
        <v>0.00089</v>
      </c>
      <c r="I32" s="16">
        <f>ABS(Solieusap!I32)</f>
        <v>0.02318</v>
      </c>
      <c r="J32" s="16">
        <f>ABS(Solieusap!J32)</f>
        <v>0.03906</v>
      </c>
      <c r="K32" s="16">
        <f t="shared" si="1"/>
        <v>13.3006</v>
      </c>
      <c r="L32" s="16">
        <f t="shared" si="2"/>
        <v>0.02318</v>
      </c>
    </row>
    <row r="33" ht="16.5" customHeight="1">
      <c r="A33" s="14" t="str">
        <f>Solieusap!A33</f>
        <v>146</v>
      </c>
      <c r="B33" s="15">
        <f>Solieusap!B33</f>
        <v>2.7</v>
      </c>
      <c r="C33" s="14" t="str">
        <f>Solieusap!C33</f>
        <v>DEAD1</v>
      </c>
      <c r="D33" s="14" t="str">
        <f>Solieusap!D33</f>
        <v>LinStatic</v>
      </c>
      <c r="E33" s="16">
        <f>ABS(Solieusap!E33)</f>
        <v>13.1521</v>
      </c>
      <c r="F33" s="16">
        <f>ABS(Solieusap!F33)</f>
        <v>0.0734</v>
      </c>
      <c r="G33" s="16">
        <f>ABS(Solieusap!G33)</f>
        <v>0.1665</v>
      </c>
      <c r="H33" s="16">
        <f>ABS(Solieusap!H33)</f>
        <v>0.00089</v>
      </c>
      <c r="I33" s="16">
        <f>ABS(Solieusap!I33)</f>
        <v>0.20162</v>
      </c>
      <c r="J33" s="16">
        <f>ABS(Solieusap!J33)</f>
        <v>0.13813</v>
      </c>
      <c r="K33" s="16">
        <f t="shared" si="1"/>
        <v>13.1521</v>
      </c>
      <c r="L33" s="16">
        <f t="shared" si="2"/>
        <v>0.20162</v>
      </c>
    </row>
    <row r="34" ht="16.5" customHeight="1">
      <c r="A34" s="14" t="str">
        <f>Solieusap!A34</f>
        <v>147</v>
      </c>
      <c r="B34" s="15">
        <f>Solieusap!B34</f>
        <v>0</v>
      </c>
      <c r="C34" s="14" t="str">
        <f>Solieusap!C34</f>
        <v>DEAD1</v>
      </c>
      <c r="D34" s="14" t="str">
        <f>Solieusap!D34</f>
        <v>LinStatic</v>
      </c>
      <c r="E34" s="16">
        <f>ABS(Solieusap!E34)</f>
        <v>10.6756</v>
      </c>
      <c r="F34" s="16">
        <f>ABS(Solieusap!F34)</f>
        <v>0.1027</v>
      </c>
      <c r="G34" s="16">
        <f>ABS(Solieusap!G34)</f>
        <v>0.052</v>
      </c>
      <c r="H34" s="16">
        <f>ABS(Solieusap!H34)</f>
        <v>0.00076</v>
      </c>
      <c r="I34" s="16">
        <f>ABS(Solieusap!I34)</f>
        <v>0.0961</v>
      </c>
      <c r="J34" s="16">
        <f>ABS(Solieusap!J34)</f>
        <v>0.18527</v>
      </c>
      <c r="K34" s="16">
        <f t="shared" si="1"/>
        <v>10.6756</v>
      </c>
      <c r="L34" s="16">
        <f t="shared" si="2"/>
        <v>0.0961</v>
      </c>
    </row>
    <row r="35" ht="16.5" customHeight="1">
      <c r="A35" s="14" t="str">
        <f>Solieusap!A35</f>
        <v>147</v>
      </c>
      <c r="B35" s="15">
        <f>Solieusap!B35</f>
        <v>1.8</v>
      </c>
      <c r="C35" s="14" t="str">
        <f>Solieusap!C35</f>
        <v>DEAD1</v>
      </c>
      <c r="D35" s="14" t="str">
        <f>Solieusap!D35</f>
        <v>LinStatic</v>
      </c>
      <c r="E35" s="16">
        <f>ABS(Solieusap!E35)</f>
        <v>10.4776</v>
      </c>
      <c r="F35" s="16">
        <f>ABS(Solieusap!F35)</f>
        <v>0.1027</v>
      </c>
      <c r="G35" s="16">
        <f>ABS(Solieusap!G35)</f>
        <v>0.052</v>
      </c>
      <c r="H35" s="16">
        <f>ABS(Solieusap!H35)</f>
        <v>0.00076</v>
      </c>
      <c r="I35" s="16">
        <f>ABS(Solieusap!I35)</f>
        <v>0.00248</v>
      </c>
      <c r="J35" s="16">
        <f>ABS(Solieusap!J35)</f>
        <v>0.00042</v>
      </c>
      <c r="K35" s="16">
        <f t="shared" si="1"/>
        <v>10.4776</v>
      </c>
      <c r="L35" s="16">
        <f t="shared" si="2"/>
        <v>0.00248</v>
      </c>
    </row>
    <row r="36" ht="16.5" customHeight="1">
      <c r="A36" s="14" t="str">
        <f>Solieusap!A36</f>
        <v>147</v>
      </c>
      <c r="B36" s="15">
        <f>Solieusap!B36</f>
        <v>3.6</v>
      </c>
      <c r="C36" s="14" t="str">
        <f>Solieusap!C36</f>
        <v>DEAD1</v>
      </c>
      <c r="D36" s="14" t="str">
        <f>Solieusap!D36</f>
        <v>LinStatic</v>
      </c>
      <c r="E36" s="16">
        <f>ABS(Solieusap!E36)</f>
        <v>10.2796</v>
      </c>
      <c r="F36" s="16">
        <f>ABS(Solieusap!F36)</f>
        <v>0.1027</v>
      </c>
      <c r="G36" s="16">
        <f>ABS(Solieusap!G36)</f>
        <v>0.052</v>
      </c>
      <c r="H36" s="16">
        <f>ABS(Solieusap!H36)</f>
        <v>0.00076</v>
      </c>
      <c r="I36" s="16">
        <f>ABS(Solieusap!I36)</f>
        <v>0.09114</v>
      </c>
      <c r="J36" s="16">
        <f>ABS(Solieusap!J36)</f>
        <v>0.18443</v>
      </c>
      <c r="K36" s="16">
        <f t="shared" si="1"/>
        <v>10.2796</v>
      </c>
      <c r="L36" s="16">
        <f t="shared" si="2"/>
        <v>0.09114</v>
      </c>
    </row>
    <row r="37" ht="16.5" customHeight="1">
      <c r="A37" s="14" t="str">
        <f>Solieusap!A37</f>
        <v>148</v>
      </c>
      <c r="B37" s="15">
        <f>Solieusap!B37</f>
        <v>0</v>
      </c>
      <c r="C37" s="14" t="str">
        <f>Solieusap!C37</f>
        <v>DEAD1</v>
      </c>
      <c r="D37" s="14" t="str">
        <f>Solieusap!D37</f>
        <v>LinStatic</v>
      </c>
      <c r="E37" s="16">
        <f>ABS(Solieusap!E37)</f>
        <v>7.691</v>
      </c>
      <c r="F37" s="16">
        <f>ABS(Solieusap!F37)</f>
        <v>0.0823</v>
      </c>
      <c r="G37" s="16">
        <f>ABS(Solieusap!G37)</f>
        <v>0.00007255</v>
      </c>
      <c r="H37" s="16">
        <f>ABS(Solieusap!H37)</f>
        <v>0.00123</v>
      </c>
      <c r="I37" s="16">
        <f>ABS(Solieusap!I37)</f>
        <v>0.01208</v>
      </c>
      <c r="J37" s="16">
        <f>ABS(Solieusap!J37)</f>
        <v>0.16833</v>
      </c>
      <c r="K37" s="16">
        <f t="shared" si="1"/>
        <v>7.691</v>
      </c>
      <c r="L37" s="16">
        <f t="shared" si="2"/>
        <v>0.01208</v>
      </c>
    </row>
    <row r="38" ht="16.5" customHeight="1">
      <c r="A38" s="14" t="str">
        <f>Solieusap!A38</f>
        <v>148</v>
      </c>
      <c r="B38" s="15">
        <f>Solieusap!B38</f>
        <v>1.8</v>
      </c>
      <c r="C38" s="14" t="str">
        <f>Solieusap!C38</f>
        <v>DEAD1</v>
      </c>
      <c r="D38" s="14" t="str">
        <f>Solieusap!D38</f>
        <v>LinStatic</v>
      </c>
      <c r="E38" s="16">
        <f>ABS(Solieusap!E38)</f>
        <v>7.493</v>
      </c>
      <c r="F38" s="16">
        <f>ABS(Solieusap!F38)</f>
        <v>0.0823</v>
      </c>
      <c r="G38" s="16">
        <f>ABS(Solieusap!G38)</f>
        <v>0.00007255</v>
      </c>
      <c r="H38" s="16">
        <f>ABS(Solieusap!H38)</f>
        <v>0.00123</v>
      </c>
      <c r="I38" s="16">
        <f>ABS(Solieusap!I38)</f>
        <v>0.01221</v>
      </c>
      <c r="J38" s="16">
        <f>ABS(Solieusap!J38)</f>
        <v>0.02022</v>
      </c>
      <c r="K38" s="16">
        <f t="shared" si="1"/>
        <v>7.493</v>
      </c>
      <c r="L38" s="16">
        <f t="shared" si="2"/>
        <v>0.01221</v>
      </c>
    </row>
    <row r="39" ht="16.5" customHeight="1">
      <c r="A39" s="14" t="str">
        <f>Solieusap!A39</f>
        <v>148</v>
      </c>
      <c r="B39" s="15">
        <f>Solieusap!B39</f>
        <v>3.6</v>
      </c>
      <c r="C39" s="14" t="str">
        <f>Solieusap!C39</f>
        <v>DEAD1</v>
      </c>
      <c r="D39" s="14" t="str">
        <f>Solieusap!D39</f>
        <v>LinStatic</v>
      </c>
      <c r="E39" s="16">
        <f>ABS(Solieusap!E39)</f>
        <v>7.295</v>
      </c>
      <c r="F39" s="16">
        <f>ABS(Solieusap!F39)</f>
        <v>0.0823</v>
      </c>
      <c r="G39" s="16">
        <f>ABS(Solieusap!G39)</f>
        <v>0.00007255</v>
      </c>
      <c r="H39" s="16">
        <f>ABS(Solieusap!H39)</f>
        <v>0.00123</v>
      </c>
      <c r="I39" s="16">
        <f>ABS(Solieusap!I39)</f>
        <v>0.01235</v>
      </c>
      <c r="J39" s="16">
        <f>ABS(Solieusap!J39)</f>
        <v>0.12789</v>
      </c>
      <c r="K39" s="16">
        <f t="shared" si="1"/>
        <v>7.295</v>
      </c>
      <c r="L39" s="16">
        <f t="shared" si="2"/>
        <v>0.01235</v>
      </c>
    </row>
    <row r="40" ht="16.5" customHeight="1">
      <c r="A40" s="14" t="str">
        <f>Solieusap!A40</f>
        <v>149</v>
      </c>
      <c r="B40" s="15">
        <f>Solieusap!B40</f>
        <v>0</v>
      </c>
      <c r="C40" s="14" t="str">
        <f>Solieusap!C40</f>
        <v>DEAD1</v>
      </c>
      <c r="D40" s="14" t="str">
        <f>Solieusap!D40</f>
        <v>LinStatic</v>
      </c>
      <c r="E40" s="16">
        <f>ABS(Solieusap!E40)</f>
        <v>17.0102</v>
      </c>
      <c r="F40" s="16">
        <f>ABS(Solieusap!F40)</f>
        <v>0.0791</v>
      </c>
      <c r="G40" s="16">
        <f>ABS(Solieusap!G40)</f>
        <v>0.2093</v>
      </c>
      <c r="H40" s="16">
        <f>ABS(Solieusap!H40)</f>
        <v>0.00036</v>
      </c>
      <c r="I40" s="16">
        <f>ABS(Solieusap!I40)</f>
        <v>0.28588</v>
      </c>
      <c r="J40" s="16">
        <f>ABS(Solieusap!J40)</f>
        <v>0.0676</v>
      </c>
      <c r="K40" s="16">
        <f t="shared" si="1"/>
        <v>17.0102</v>
      </c>
      <c r="L40" s="16">
        <f t="shared" si="2"/>
        <v>0.28588</v>
      </c>
    </row>
    <row r="41" ht="16.5" customHeight="1">
      <c r="A41" s="14" t="str">
        <f>Solieusap!A41</f>
        <v>149</v>
      </c>
      <c r="B41" s="15">
        <f>Solieusap!B41</f>
        <v>1.35</v>
      </c>
      <c r="C41" s="14" t="str">
        <f>Solieusap!C41</f>
        <v>DEAD1</v>
      </c>
      <c r="D41" s="14" t="str">
        <f>Solieusap!D41</f>
        <v>LinStatic</v>
      </c>
      <c r="E41" s="16">
        <f>ABS(Solieusap!E41)</f>
        <v>16.8617</v>
      </c>
      <c r="F41" s="16">
        <f>ABS(Solieusap!F41)</f>
        <v>0.0791</v>
      </c>
      <c r="G41" s="16">
        <f>ABS(Solieusap!G41)</f>
        <v>0.2093</v>
      </c>
      <c r="H41" s="16">
        <f>ABS(Solieusap!H41)</f>
        <v>0.00036</v>
      </c>
      <c r="I41" s="16">
        <f>ABS(Solieusap!I41)</f>
        <v>0.00336</v>
      </c>
      <c r="J41" s="16">
        <f>ABS(Solieusap!J41)</f>
        <v>0.03912</v>
      </c>
      <c r="K41" s="16">
        <f t="shared" si="1"/>
        <v>16.8617</v>
      </c>
      <c r="L41" s="16">
        <f t="shared" si="2"/>
        <v>0.00336</v>
      </c>
    </row>
    <row r="42" ht="16.5" customHeight="1">
      <c r="A42" s="14" t="str">
        <f>Solieusap!A42</f>
        <v>149</v>
      </c>
      <c r="B42" s="15">
        <f>Solieusap!B42</f>
        <v>2.7</v>
      </c>
      <c r="C42" s="14" t="str">
        <f>Solieusap!C42</f>
        <v>DEAD1</v>
      </c>
      <c r="D42" s="14" t="str">
        <f>Solieusap!D42</f>
        <v>LinStatic</v>
      </c>
      <c r="E42" s="16">
        <f>ABS(Solieusap!E42)</f>
        <v>16.7132</v>
      </c>
      <c r="F42" s="16">
        <f>ABS(Solieusap!F42)</f>
        <v>0.0791</v>
      </c>
      <c r="G42" s="16">
        <f>ABS(Solieusap!G42)</f>
        <v>0.2093</v>
      </c>
      <c r="H42" s="16">
        <f>ABS(Solieusap!H42)</f>
        <v>0.00036</v>
      </c>
      <c r="I42" s="16">
        <f>ABS(Solieusap!I42)</f>
        <v>0.27916</v>
      </c>
      <c r="J42" s="16">
        <f>ABS(Solieusap!J42)</f>
        <v>0.14584</v>
      </c>
      <c r="K42" s="16">
        <f t="shared" si="1"/>
        <v>16.7132</v>
      </c>
      <c r="L42" s="16">
        <f t="shared" si="2"/>
        <v>0.27916</v>
      </c>
    </row>
    <row r="43" ht="16.5" customHeight="1">
      <c r="A43" s="14" t="str">
        <f>Solieusap!A43</f>
        <v>150</v>
      </c>
      <c r="B43" s="15">
        <f>Solieusap!B43</f>
        <v>0</v>
      </c>
      <c r="C43" s="14" t="str">
        <f>Solieusap!C43</f>
        <v>DEAD1</v>
      </c>
      <c r="D43" s="14" t="str">
        <f>Solieusap!D43</f>
        <v>LinStatic</v>
      </c>
      <c r="E43" s="16">
        <f>ABS(Solieusap!E43)</f>
        <v>11.9388</v>
      </c>
      <c r="F43" s="16">
        <f>ABS(Solieusap!F43)</f>
        <v>0.1051</v>
      </c>
      <c r="G43" s="16">
        <f>ABS(Solieusap!G43)</f>
        <v>0.0068</v>
      </c>
      <c r="H43" s="16">
        <f>ABS(Solieusap!H43)</f>
        <v>0.00031</v>
      </c>
      <c r="I43" s="16">
        <f>ABS(Solieusap!I43)</f>
        <v>0.01362</v>
      </c>
      <c r="J43" s="16">
        <f>ABS(Solieusap!J43)</f>
        <v>0.186</v>
      </c>
      <c r="K43" s="16">
        <f t="shared" si="1"/>
        <v>11.9388</v>
      </c>
      <c r="L43" s="16">
        <f t="shared" si="2"/>
        <v>0.01362</v>
      </c>
    </row>
    <row r="44" ht="16.5" customHeight="1">
      <c r="A44" s="14" t="str">
        <f>Solieusap!A44</f>
        <v>150</v>
      </c>
      <c r="B44" s="15">
        <f>Solieusap!B44</f>
        <v>1.8</v>
      </c>
      <c r="C44" s="14" t="str">
        <f>Solieusap!C44</f>
        <v>DEAD1</v>
      </c>
      <c r="D44" s="14" t="str">
        <f>Solieusap!D44</f>
        <v>LinStatic</v>
      </c>
      <c r="E44" s="16">
        <f>ABS(Solieusap!E44)</f>
        <v>11.7408</v>
      </c>
      <c r="F44" s="16">
        <f>ABS(Solieusap!F44)</f>
        <v>0.1051</v>
      </c>
      <c r="G44" s="16">
        <f>ABS(Solieusap!G44)</f>
        <v>0.0068</v>
      </c>
      <c r="H44" s="16">
        <f>ABS(Solieusap!H44)</f>
        <v>0.00031</v>
      </c>
      <c r="I44" s="16">
        <f>ABS(Solieusap!I44)</f>
        <v>0.00141</v>
      </c>
      <c r="J44" s="16">
        <f>ABS(Solieusap!J44)</f>
        <v>0.0032</v>
      </c>
      <c r="K44" s="16">
        <f t="shared" si="1"/>
        <v>11.7408</v>
      </c>
      <c r="L44" s="16">
        <f t="shared" si="2"/>
        <v>0.00141</v>
      </c>
    </row>
    <row r="45" ht="16.5" customHeight="1">
      <c r="A45" s="14" t="str">
        <f>Solieusap!A45</f>
        <v>150</v>
      </c>
      <c r="B45" s="15">
        <f>Solieusap!B45</f>
        <v>3.6</v>
      </c>
      <c r="C45" s="14" t="str">
        <f>Solieusap!C45</f>
        <v>DEAD1</v>
      </c>
      <c r="D45" s="14" t="str">
        <f>Solieusap!D45</f>
        <v>LinStatic</v>
      </c>
      <c r="E45" s="16">
        <f>ABS(Solieusap!E45)</f>
        <v>11.5428</v>
      </c>
      <c r="F45" s="16">
        <f>ABS(Solieusap!F45)</f>
        <v>0.1051</v>
      </c>
      <c r="G45" s="16">
        <f>ABS(Solieusap!G45)</f>
        <v>0.0068</v>
      </c>
      <c r="H45" s="16">
        <f>ABS(Solieusap!H45)</f>
        <v>0.00031</v>
      </c>
      <c r="I45" s="16">
        <f>ABS(Solieusap!I45)</f>
        <v>0.01079</v>
      </c>
      <c r="J45" s="16">
        <f>ABS(Solieusap!J45)</f>
        <v>0.19241</v>
      </c>
      <c r="K45" s="16">
        <f t="shared" si="1"/>
        <v>11.5428</v>
      </c>
      <c r="L45" s="16">
        <f t="shared" si="2"/>
        <v>0.01079</v>
      </c>
    </row>
    <row r="46" ht="16.5" customHeight="1">
      <c r="A46" s="14" t="str">
        <f>Solieusap!A46</f>
        <v>151</v>
      </c>
      <c r="B46" s="15">
        <f>Solieusap!B46</f>
        <v>0</v>
      </c>
      <c r="C46" s="14" t="str">
        <f>Solieusap!C46</f>
        <v>DEAD1</v>
      </c>
      <c r="D46" s="14" t="str">
        <f>Solieusap!D46</f>
        <v>LinStatic</v>
      </c>
      <c r="E46" s="16">
        <f>ABS(Solieusap!E46)</f>
        <v>6.7431</v>
      </c>
      <c r="F46" s="16">
        <f>ABS(Solieusap!F46)</f>
        <v>0.1352</v>
      </c>
      <c r="G46" s="16">
        <f>ABS(Solieusap!G46)</f>
        <v>0.0255</v>
      </c>
      <c r="H46" s="16">
        <f>ABS(Solieusap!H46)</f>
        <v>0.00155</v>
      </c>
      <c r="I46" s="16">
        <f>ABS(Solieusap!I46)</f>
        <v>0.05018</v>
      </c>
      <c r="J46" s="16">
        <f>ABS(Solieusap!J46)</f>
        <v>0.23107</v>
      </c>
      <c r="K46" s="16">
        <f t="shared" si="1"/>
        <v>6.7431</v>
      </c>
      <c r="L46" s="16">
        <f t="shared" si="2"/>
        <v>0.05018</v>
      </c>
    </row>
    <row r="47" ht="16.5" customHeight="1">
      <c r="A47" s="14" t="str">
        <f>Solieusap!A47</f>
        <v>151</v>
      </c>
      <c r="B47" s="15">
        <f>Solieusap!B47</f>
        <v>1.8</v>
      </c>
      <c r="C47" s="14" t="str">
        <f>Solieusap!C47</f>
        <v>DEAD1</v>
      </c>
      <c r="D47" s="14" t="str">
        <f>Solieusap!D47</f>
        <v>LinStatic</v>
      </c>
      <c r="E47" s="16">
        <f>ABS(Solieusap!E47)</f>
        <v>6.5451</v>
      </c>
      <c r="F47" s="16">
        <f>ABS(Solieusap!F47)</f>
        <v>0.1352</v>
      </c>
      <c r="G47" s="16">
        <f>ABS(Solieusap!G47)</f>
        <v>0.0255</v>
      </c>
      <c r="H47" s="16">
        <f>ABS(Solieusap!H47)</f>
        <v>0.00155</v>
      </c>
      <c r="I47" s="16">
        <f>ABS(Solieusap!I47)</f>
        <v>0.00427</v>
      </c>
      <c r="J47" s="16">
        <f>ABS(Solieusap!J47)</f>
        <v>0.01237</v>
      </c>
      <c r="K47" s="16">
        <f t="shared" si="1"/>
        <v>6.5451</v>
      </c>
      <c r="L47" s="16">
        <f t="shared" si="2"/>
        <v>0.00427</v>
      </c>
    </row>
    <row r="48" ht="16.5" customHeight="1">
      <c r="A48" s="14" t="str">
        <f>Solieusap!A48</f>
        <v>151</v>
      </c>
      <c r="B48" s="15">
        <f>Solieusap!B48</f>
        <v>3.6</v>
      </c>
      <c r="C48" s="14" t="str">
        <f>Solieusap!C48</f>
        <v>DEAD1</v>
      </c>
      <c r="D48" s="14" t="str">
        <f>Solieusap!D48</f>
        <v>LinStatic</v>
      </c>
      <c r="E48" s="16">
        <f>ABS(Solieusap!E48)</f>
        <v>6.3471</v>
      </c>
      <c r="F48" s="16">
        <f>ABS(Solieusap!F48)</f>
        <v>0.1352</v>
      </c>
      <c r="G48" s="16">
        <f>ABS(Solieusap!G48)</f>
        <v>0.0255</v>
      </c>
      <c r="H48" s="16">
        <f>ABS(Solieusap!H48)</f>
        <v>0.00155</v>
      </c>
      <c r="I48" s="16">
        <f>ABS(Solieusap!I48)</f>
        <v>0.04163</v>
      </c>
      <c r="J48" s="16">
        <f>ABS(Solieusap!J48)</f>
        <v>0.25582</v>
      </c>
      <c r="K48" s="16">
        <f t="shared" si="1"/>
        <v>6.3471</v>
      </c>
      <c r="L48" s="16">
        <f t="shared" si="2"/>
        <v>0.04163</v>
      </c>
    </row>
    <row r="49" ht="16.5" customHeight="1">
      <c r="A49" s="14" t="str">
        <f>Solieusap!A49</f>
        <v>152</v>
      </c>
      <c r="B49" s="15">
        <f>Solieusap!B49</f>
        <v>0</v>
      </c>
      <c r="C49" s="14" t="str">
        <f>Solieusap!C49</f>
        <v>DEAD1</v>
      </c>
      <c r="D49" s="14" t="str">
        <f>Solieusap!D49</f>
        <v>LinStatic</v>
      </c>
      <c r="E49" s="16">
        <f>ABS(Solieusap!E49)</f>
        <v>26.6881</v>
      </c>
      <c r="F49" s="16">
        <f>ABS(Solieusap!F49)</f>
        <v>0.0719</v>
      </c>
      <c r="G49" s="16">
        <f>ABS(Solieusap!G49)</f>
        <v>0.2179</v>
      </c>
      <c r="H49" s="16">
        <f>ABS(Solieusap!H49)</f>
        <v>0.00094</v>
      </c>
      <c r="I49" s="16">
        <f>ABS(Solieusap!I49)</f>
        <v>0.29781</v>
      </c>
      <c r="J49" s="16">
        <f>ABS(Solieusap!J49)</f>
        <v>0.06697</v>
      </c>
      <c r="K49" s="16">
        <f t="shared" si="1"/>
        <v>26.6881</v>
      </c>
      <c r="L49" s="16">
        <f t="shared" si="2"/>
        <v>0.29781</v>
      </c>
    </row>
    <row r="50" ht="16.5" customHeight="1">
      <c r="A50" s="14" t="str">
        <f>Solieusap!A50</f>
        <v>152</v>
      </c>
      <c r="B50" s="15">
        <f>Solieusap!B50</f>
        <v>1.35</v>
      </c>
      <c r="C50" s="14" t="str">
        <f>Solieusap!C50</f>
        <v>DEAD1</v>
      </c>
      <c r="D50" s="14" t="str">
        <f>Solieusap!D50</f>
        <v>LinStatic</v>
      </c>
      <c r="E50" s="16">
        <f>ABS(Solieusap!E50)</f>
        <v>26.5396</v>
      </c>
      <c r="F50" s="16">
        <f>ABS(Solieusap!F50)</f>
        <v>0.0719</v>
      </c>
      <c r="G50" s="16">
        <f>ABS(Solieusap!G50)</f>
        <v>0.2179</v>
      </c>
      <c r="H50" s="16">
        <f>ABS(Solieusap!H50)</f>
        <v>0.00094</v>
      </c>
      <c r="I50" s="16">
        <f>ABS(Solieusap!I50)</f>
        <v>0.00365</v>
      </c>
      <c r="J50" s="16">
        <f>ABS(Solieusap!J50)</f>
        <v>0.03004</v>
      </c>
      <c r="K50" s="16">
        <f t="shared" si="1"/>
        <v>26.5396</v>
      </c>
      <c r="L50" s="16">
        <f t="shared" si="2"/>
        <v>0.00365</v>
      </c>
    </row>
    <row r="51" ht="16.5" customHeight="1">
      <c r="A51" s="14" t="str">
        <f>Solieusap!A51</f>
        <v>152</v>
      </c>
      <c r="B51" s="15">
        <f>Solieusap!B51</f>
        <v>2.7</v>
      </c>
      <c r="C51" s="14" t="str">
        <f>Solieusap!C51</f>
        <v>DEAD1</v>
      </c>
      <c r="D51" s="14" t="str">
        <f>Solieusap!D51</f>
        <v>LinStatic</v>
      </c>
      <c r="E51" s="16">
        <f>ABS(Solieusap!E51)</f>
        <v>26.3911</v>
      </c>
      <c r="F51" s="16">
        <f>ABS(Solieusap!F51)</f>
        <v>0.0719</v>
      </c>
      <c r="G51" s="16">
        <f>ABS(Solieusap!G51)</f>
        <v>0.2179</v>
      </c>
      <c r="H51" s="16">
        <f>ABS(Solieusap!H51)</f>
        <v>0.00094</v>
      </c>
      <c r="I51" s="16">
        <f>ABS(Solieusap!I51)</f>
        <v>0.29051</v>
      </c>
      <c r="J51" s="16">
        <f>ABS(Solieusap!J51)</f>
        <v>0.12706</v>
      </c>
      <c r="K51" s="16">
        <f t="shared" si="1"/>
        <v>26.3911</v>
      </c>
      <c r="L51" s="16">
        <f t="shared" si="2"/>
        <v>0.29051</v>
      </c>
    </row>
    <row r="52" ht="16.5" customHeight="1">
      <c r="A52" s="14" t="str">
        <f>Solieusap!A52</f>
        <v>153</v>
      </c>
      <c r="B52" s="15">
        <f>Solieusap!B52</f>
        <v>0</v>
      </c>
      <c r="C52" s="14" t="str">
        <f>Solieusap!C52</f>
        <v>DEAD1</v>
      </c>
      <c r="D52" s="14" t="str">
        <f>Solieusap!D52</f>
        <v>LinStatic</v>
      </c>
      <c r="E52" s="16">
        <f>ABS(Solieusap!E52)</f>
        <v>20.9526</v>
      </c>
      <c r="F52" s="16">
        <f>ABS(Solieusap!F52)</f>
        <v>0.0787</v>
      </c>
      <c r="G52" s="16">
        <f>ABS(Solieusap!G52)</f>
        <v>0.008</v>
      </c>
      <c r="H52" s="16">
        <f>ABS(Solieusap!H52)</f>
        <v>0.0007</v>
      </c>
      <c r="I52" s="16">
        <f>ABS(Solieusap!I52)</f>
        <v>0.01801</v>
      </c>
      <c r="J52" s="16">
        <f>ABS(Solieusap!J52)</f>
        <v>0.13743</v>
      </c>
      <c r="K52" s="16">
        <f t="shared" si="1"/>
        <v>20.9526</v>
      </c>
      <c r="L52" s="16">
        <f t="shared" si="2"/>
        <v>0.01801</v>
      </c>
    </row>
    <row r="53" ht="16.5" customHeight="1">
      <c r="A53" s="14" t="str">
        <f>Solieusap!A53</f>
        <v>153</v>
      </c>
      <c r="B53" s="15">
        <f>Solieusap!B53</f>
        <v>1.8</v>
      </c>
      <c r="C53" s="14" t="str">
        <f>Solieusap!C53</f>
        <v>DEAD1</v>
      </c>
      <c r="D53" s="14" t="str">
        <f>Solieusap!D53</f>
        <v>LinStatic</v>
      </c>
      <c r="E53" s="16">
        <f>ABS(Solieusap!E53)</f>
        <v>20.7546</v>
      </c>
      <c r="F53" s="16">
        <f>ABS(Solieusap!F53)</f>
        <v>0.0787</v>
      </c>
      <c r="G53" s="16">
        <f>ABS(Solieusap!G53)</f>
        <v>0.008</v>
      </c>
      <c r="H53" s="16">
        <f>ABS(Solieusap!H53)</f>
        <v>0.0007</v>
      </c>
      <c r="I53" s="16">
        <f>ABS(Solieusap!I53)</f>
        <v>0.0036</v>
      </c>
      <c r="J53" s="16">
        <f>ABS(Solieusap!J53)</f>
        <v>0.00414</v>
      </c>
      <c r="K53" s="16">
        <f t="shared" si="1"/>
        <v>20.7546</v>
      </c>
      <c r="L53" s="16">
        <f t="shared" si="2"/>
        <v>0.0036</v>
      </c>
    </row>
    <row r="54" ht="16.5" customHeight="1">
      <c r="A54" s="14" t="str">
        <f>Solieusap!A54</f>
        <v>153</v>
      </c>
      <c r="B54" s="15">
        <f>Solieusap!B54</f>
        <v>3.6</v>
      </c>
      <c r="C54" s="14" t="str">
        <f>Solieusap!C54</f>
        <v>DEAD1</v>
      </c>
      <c r="D54" s="14" t="str">
        <f>Solieusap!D54</f>
        <v>LinStatic</v>
      </c>
      <c r="E54" s="16">
        <f>ABS(Solieusap!E54)</f>
        <v>20.5566</v>
      </c>
      <c r="F54" s="16">
        <f>ABS(Solieusap!F54)</f>
        <v>0.0787</v>
      </c>
      <c r="G54" s="16">
        <f>ABS(Solieusap!G54)</f>
        <v>0.008</v>
      </c>
      <c r="H54" s="16">
        <f>ABS(Solieusap!H54)</f>
        <v>0.0007</v>
      </c>
      <c r="I54" s="16">
        <f>ABS(Solieusap!I54)</f>
        <v>0.01082</v>
      </c>
      <c r="J54" s="16">
        <f>ABS(Solieusap!J54)</f>
        <v>0.14572</v>
      </c>
      <c r="K54" s="16">
        <f t="shared" si="1"/>
        <v>20.5566</v>
      </c>
      <c r="L54" s="16">
        <f t="shared" si="2"/>
        <v>0.01082</v>
      </c>
    </row>
    <row r="55" ht="16.5" customHeight="1">
      <c r="A55" s="14" t="str">
        <f>Solieusap!A55</f>
        <v>154</v>
      </c>
      <c r="B55" s="15">
        <f>Solieusap!B55</f>
        <v>0</v>
      </c>
      <c r="C55" s="14" t="str">
        <f>Solieusap!C55</f>
        <v>DEAD1</v>
      </c>
      <c r="D55" s="14" t="str">
        <f>Solieusap!D55</f>
        <v>LinStatic</v>
      </c>
      <c r="E55" s="16">
        <f>ABS(Solieusap!E55)</f>
        <v>15.5201</v>
      </c>
      <c r="F55" s="16">
        <f>ABS(Solieusap!F55)</f>
        <v>0.1019</v>
      </c>
      <c r="G55" s="16">
        <f>ABS(Solieusap!G55)</f>
        <v>0.0527</v>
      </c>
      <c r="H55" s="16">
        <f>ABS(Solieusap!H55)</f>
        <v>0.00883</v>
      </c>
      <c r="I55" s="16">
        <f>ABS(Solieusap!I55)</f>
        <v>0.07695</v>
      </c>
      <c r="J55" s="16">
        <f>ABS(Solieusap!J55)</f>
        <v>0.18115</v>
      </c>
      <c r="K55" s="16">
        <f t="shared" si="1"/>
        <v>15.5201</v>
      </c>
      <c r="L55" s="16">
        <f t="shared" si="2"/>
        <v>0.07695</v>
      </c>
    </row>
    <row r="56" ht="16.5" customHeight="1">
      <c r="A56" s="14" t="str">
        <f>Solieusap!A56</f>
        <v>154</v>
      </c>
      <c r="B56" s="15">
        <f>Solieusap!B56</f>
        <v>1.8</v>
      </c>
      <c r="C56" s="14" t="str">
        <f>Solieusap!C56</f>
        <v>DEAD1</v>
      </c>
      <c r="D56" s="14" t="str">
        <f>Solieusap!D56</f>
        <v>LinStatic</v>
      </c>
      <c r="E56" s="16">
        <f>ABS(Solieusap!E56)</f>
        <v>15.3221</v>
      </c>
      <c r="F56" s="16">
        <f>ABS(Solieusap!F56)</f>
        <v>0.1019</v>
      </c>
      <c r="G56" s="16">
        <f>ABS(Solieusap!G56)</f>
        <v>0.0527</v>
      </c>
      <c r="H56" s="16">
        <f>ABS(Solieusap!H56)</f>
        <v>0.00883</v>
      </c>
      <c r="I56" s="16">
        <f>ABS(Solieusap!I56)</f>
        <v>0.01786</v>
      </c>
      <c r="J56" s="16">
        <f>ABS(Solieusap!J56)</f>
        <v>0.00233</v>
      </c>
      <c r="K56" s="16">
        <f t="shared" si="1"/>
        <v>15.3221</v>
      </c>
      <c r="L56" s="16">
        <f t="shared" si="2"/>
        <v>0.01786</v>
      </c>
    </row>
    <row r="57" ht="16.5" customHeight="1">
      <c r="A57" s="14" t="str">
        <f>Solieusap!A57</f>
        <v>154</v>
      </c>
      <c r="B57" s="15">
        <f>Solieusap!B57</f>
        <v>3.6</v>
      </c>
      <c r="C57" s="14" t="str">
        <f>Solieusap!C57</f>
        <v>DEAD1</v>
      </c>
      <c r="D57" s="14" t="str">
        <f>Solieusap!D57</f>
        <v>LinStatic</v>
      </c>
      <c r="E57" s="16">
        <f>ABS(Solieusap!E57)</f>
        <v>15.1241</v>
      </c>
      <c r="F57" s="16">
        <f>ABS(Solieusap!F57)</f>
        <v>0.1019</v>
      </c>
      <c r="G57" s="16">
        <f>ABS(Solieusap!G57)</f>
        <v>0.0527</v>
      </c>
      <c r="H57" s="16">
        <f>ABS(Solieusap!H57)</f>
        <v>0.00883</v>
      </c>
      <c r="I57" s="16">
        <f>ABS(Solieusap!I57)</f>
        <v>0.11267</v>
      </c>
      <c r="J57" s="16">
        <f>ABS(Solieusap!J57)</f>
        <v>0.18581</v>
      </c>
      <c r="K57" s="16">
        <f t="shared" si="1"/>
        <v>15.1241</v>
      </c>
      <c r="L57" s="16">
        <f t="shared" si="2"/>
        <v>0.11267</v>
      </c>
    </row>
    <row r="58" ht="16.5" customHeight="1">
      <c r="A58" s="14" t="str">
        <f>Solieusap!A58</f>
        <v>155</v>
      </c>
      <c r="B58" s="15">
        <f>Solieusap!B58</f>
        <v>0</v>
      </c>
      <c r="C58" s="14" t="str">
        <f>Solieusap!C58</f>
        <v>DEAD1</v>
      </c>
      <c r="D58" s="14" t="str">
        <f>Solieusap!D58</f>
        <v>LinStatic</v>
      </c>
      <c r="E58" s="16">
        <f>ABS(Solieusap!E58)</f>
        <v>13.6967</v>
      </c>
      <c r="F58" s="16">
        <f>ABS(Solieusap!F58)</f>
        <v>0.0544</v>
      </c>
      <c r="G58" s="16">
        <f>ABS(Solieusap!G58)</f>
        <v>0.2222</v>
      </c>
      <c r="H58" s="16">
        <f>ABS(Solieusap!H58)</f>
        <v>0.0003</v>
      </c>
      <c r="I58" s="16">
        <f>ABS(Solieusap!I58)</f>
        <v>0.30377</v>
      </c>
      <c r="J58" s="16">
        <f>ABS(Solieusap!J58)</f>
        <v>0.04615</v>
      </c>
      <c r="K58" s="16">
        <f t="shared" si="1"/>
        <v>13.6967</v>
      </c>
      <c r="L58" s="16">
        <f t="shared" si="2"/>
        <v>0.30377</v>
      </c>
    </row>
    <row r="59" ht="16.5" customHeight="1">
      <c r="A59" s="14" t="str">
        <f>Solieusap!A59</f>
        <v>155</v>
      </c>
      <c r="B59" s="15">
        <f>Solieusap!B59</f>
        <v>1.35</v>
      </c>
      <c r="C59" s="14" t="str">
        <f>Solieusap!C59</f>
        <v>DEAD1</v>
      </c>
      <c r="D59" s="14" t="str">
        <f>Solieusap!D59</f>
        <v>LinStatic</v>
      </c>
      <c r="E59" s="16">
        <f>ABS(Solieusap!E59)</f>
        <v>13.5482</v>
      </c>
      <c r="F59" s="16">
        <f>ABS(Solieusap!F59)</f>
        <v>0.0544</v>
      </c>
      <c r="G59" s="16">
        <f>ABS(Solieusap!G59)</f>
        <v>0.2222</v>
      </c>
      <c r="H59" s="16">
        <f>ABS(Solieusap!H59)</f>
        <v>0.0003</v>
      </c>
      <c r="I59" s="16">
        <f>ABS(Solieusap!I59)</f>
        <v>0.00382</v>
      </c>
      <c r="J59" s="16">
        <f>ABS(Solieusap!J59)</f>
        <v>0.02731</v>
      </c>
      <c r="K59" s="16">
        <f t="shared" si="1"/>
        <v>13.5482</v>
      </c>
      <c r="L59" s="16">
        <f t="shared" si="2"/>
        <v>0.00382</v>
      </c>
    </row>
    <row r="60" ht="16.5" customHeight="1">
      <c r="A60" s="14" t="str">
        <f>Solieusap!A60</f>
        <v>155</v>
      </c>
      <c r="B60" s="15">
        <f>Solieusap!B60</f>
        <v>2.7</v>
      </c>
      <c r="C60" s="14" t="str">
        <f>Solieusap!C60</f>
        <v>DEAD1</v>
      </c>
      <c r="D60" s="14" t="str">
        <f>Solieusap!D60</f>
        <v>LinStatic</v>
      </c>
      <c r="E60" s="16">
        <f>ABS(Solieusap!E60)</f>
        <v>13.3997</v>
      </c>
      <c r="F60" s="16">
        <f>ABS(Solieusap!F60)</f>
        <v>0.0544</v>
      </c>
      <c r="G60" s="16">
        <f>ABS(Solieusap!G60)</f>
        <v>0.2222</v>
      </c>
      <c r="H60" s="16">
        <f>ABS(Solieusap!H60)</f>
        <v>0.0003</v>
      </c>
      <c r="I60" s="16">
        <f>ABS(Solieusap!I60)</f>
        <v>0.29612</v>
      </c>
      <c r="J60" s="16">
        <f>ABS(Solieusap!J60)</f>
        <v>0.10077</v>
      </c>
      <c r="K60" s="16">
        <f t="shared" si="1"/>
        <v>13.3997</v>
      </c>
      <c r="L60" s="16">
        <f t="shared" si="2"/>
        <v>0.29612</v>
      </c>
    </row>
    <row r="61" ht="16.5" customHeight="1">
      <c r="A61" s="14" t="str">
        <f>Solieusap!A61</f>
        <v>156</v>
      </c>
      <c r="B61" s="15">
        <f>Solieusap!B61</f>
        <v>0</v>
      </c>
      <c r="C61" s="14" t="str">
        <f>Solieusap!C61</f>
        <v>DEAD1</v>
      </c>
      <c r="D61" s="14" t="str">
        <f>Solieusap!D61</f>
        <v>LinStatic</v>
      </c>
      <c r="E61" s="16">
        <f>ABS(Solieusap!E61)</f>
        <v>8.9456</v>
      </c>
      <c r="F61" s="16">
        <f>ABS(Solieusap!F61)</f>
        <v>0.0456</v>
      </c>
      <c r="G61" s="16">
        <f>ABS(Solieusap!G61)</f>
        <v>0.0164</v>
      </c>
      <c r="H61" s="16">
        <f>ABS(Solieusap!H61)</f>
        <v>0.00022</v>
      </c>
      <c r="I61" s="16">
        <f>ABS(Solieusap!I61)</f>
        <v>0.02944</v>
      </c>
      <c r="J61" s="16">
        <f>ABS(Solieusap!J61)</f>
        <v>0.09674</v>
      </c>
      <c r="K61" s="16">
        <f t="shared" si="1"/>
        <v>8.9456</v>
      </c>
      <c r="L61" s="16">
        <f t="shared" si="2"/>
        <v>0.02944</v>
      </c>
    </row>
    <row r="62" ht="16.5" customHeight="1">
      <c r="A62" s="14" t="str">
        <f>Solieusap!A62</f>
        <v>156</v>
      </c>
      <c r="B62" s="15">
        <f>Solieusap!B62</f>
        <v>1.8</v>
      </c>
      <c r="C62" s="14" t="str">
        <f>Solieusap!C62</f>
        <v>DEAD1</v>
      </c>
      <c r="D62" s="14" t="str">
        <f>Solieusap!D62</f>
        <v>LinStatic</v>
      </c>
      <c r="E62" s="16">
        <f>ABS(Solieusap!E62)</f>
        <v>8.7476</v>
      </c>
      <c r="F62" s="16">
        <f>ABS(Solieusap!F62)</f>
        <v>0.0456</v>
      </c>
      <c r="G62" s="16">
        <f>ABS(Solieusap!G62)</f>
        <v>0.0164</v>
      </c>
      <c r="H62" s="16">
        <f>ABS(Solieusap!H62)</f>
        <v>0.00022</v>
      </c>
      <c r="I62" s="16">
        <f>ABS(Solieusap!I62)</f>
        <v>0.00000405</v>
      </c>
      <c r="J62" s="16">
        <f>ABS(Solieusap!J62)</f>
        <v>0.01468</v>
      </c>
      <c r="K62" s="16">
        <f t="shared" si="1"/>
        <v>8.7476</v>
      </c>
      <c r="L62" s="16">
        <f t="shared" si="2"/>
        <v>0.00000405</v>
      </c>
    </row>
    <row r="63" ht="16.5" customHeight="1">
      <c r="A63" s="14" t="str">
        <f>Solieusap!A63</f>
        <v>156</v>
      </c>
      <c r="B63" s="15">
        <f>Solieusap!B63</f>
        <v>3.6</v>
      </c>
      <c r="C63" s="14" t="str">
        <f>Solieusap!C63</f>
        <v>DEAD1</v>
      </c>
      <c r="D63" s="14" t="str">
        <f>Solieusap!D63</f>
        <v>LinStatic</v>
      </c>
      <c r="E63" s="16">
        <f>ABS(Solieusap!E63)</f>
        <v>8.5496</v>
      </c>
      <c r="F63" s="16">
        <f>ABS(Solieusap!F63)</f>
        <v>0.0456</v>
      </c>
      <c r="G63" s="16">
        <f>ABS(Solieusap!G63)</f>
        <v>0.0164</v>
      </c>
      <c r="H63" s="16">
        <f>ABS(Solieusap!H63)</f>
        <v>0.00022</v>
      </c>
      <c r="I63" s="16">
        <f>ABS(Solieusap!I63)</f>
        <v>0.02943</v>
      </c>
      <c r="J63" s="16">
        <f>ABS(Solieusap!J63)</f>
        <v>0.06739</v>
      </c>
      <c r="K63" s="16">
        <f t="shared" si="1"/>
        <v>8.5496</v>
      </c>
      <c r="L63" s="16">
        <f t="shared" si="2"/>
        <v>0.02943</v>
      </c>
    </row>
    <row r="64" ht="16.5" customHeight="1">
      <c r="A64" s="14" t="str">
        <f>Solieusap!A64</f>
        <v>157</v>
      </c>
      <c r="B64" s="15">
        <f>Solieusap!B64</f>
        <v>0</v>
      </c>
      <c r="C64" s="14" t="str">
        <f>Solieusap!C64</f>
        <v>DEAD1</v>
      </c>
      <c r="D64" s="14" t="str">
        <f>Solieusap!D64</f>
        <v>LinStatic</v>
      </c>
      <c r="E64" s="16">
        <f>ABS(Solieusap!E64)</f>
        <v>4.1984</v>
      </c>
      <c r="F64" s="16">
        <f>ABS(Solieusap!F64)</f>
        <v>0.0197</v>
      </c>
      <c r="G64" s="16">
        <f>ABS(Solieusap!G64)</f>
        <v>0.0493</v>
      </c>
      <c r="H64" s="16">
        <f>ABS(Solieusap!H64)</f>
        <v>0.00361</v>
      </c>
      <c r="I64" s="16">
        <f>ABS(Solieusap!I64)</f>
        <v>0.0791</v>
      </c>
      <c r="J64" s="16">
        <f>ABS(Solieusap!J64)</f>
        <v>0.01828</v>
      </c>
      <c r="K64" s="16">
        <f t="shared" si="1"/>
        <v>4.1984</v>
      </c>
      <c r="L64" s="16">
        <f t="shared" si="2"/>
        <v>0.0791</v>
      </c>
    </row>
    <row r="65" ht="16.5" customHeight="1">
      <c r="A65" s="14" t="str">
        <f>Solieusap!A65</f>
        <v>157</v>
      </c>
      <c r="B65" s="15">
        <f>Solieusap!B65</f>
        <v>1.8</v>
      </c>
      <c r="C65" s="14" t="str">
        <f>Solieusap!C65</f>
        <v>DEAD1</v>
      </c>
      <c r="D65" s="14" t="str">
        <f>Solieusap!D65</f>
        <v>LinStatic</v>
      </c>
      <c r="E65" s="16">
        <f>ABS(Solieusap!E65)</f>
        <v>4.0004</v>
      </c>
      <c r="F65" s="16">
        <f>ABS(Solieusap!F65)</f>
        <v>0.0197</v>
      </c>
      <c r="G65" s="16">
        <f>ABS(Solieusap!G65)</f>
        <v>0.0493</v>
      </c>
      <c r="H65" s="16">
        <f>ABS(Solieusap!H65)</f>
        <v>0.00361</v>
      </c>
      <c r="I65" s="16">
        <f>ABS(Solieusap!I65)</f>
        <v>0.00962</v>
      </c>
      <c r="J65" s="16">
        <f>ABS(Solieusap!J65)</f>
        <v>0.01717</v>
      </c>
      <c r="K65" s="16">
        <f t="shared" si="1"/>
        <v>4.0004</v>
      </c>
      <c r="L65" s="16">
        <f t="shared" si="2"/>
        <v>0.00962</v>
      </c>
    </row>
    <row r="66" ht="16.5" customHeight="1">
      <c r="A66" s="14" t="str">
        <f>Solieusap!A66</f>
        <v>157</v>
      </c>
      <c r="B66" s="15">
        <f>Solieusap!B66</f>
        <v>3.6</v>
      </c>
      <c r="C66" s="14" t="str">
        <f>Solieusap!C66</f>
        <v>DEAD1</v>
      </c>
      <c r="D66" s="14" t="str">
        <f>Solieusap!D66</f>
        <v>LinStatic</v>
      </c>
      <c r="E66" s="16">
        <f>ABS(Solieusap!E66)</f>
        <v>3.8024</v>
      </c>
      <c r="F66" s="16">
        <f>ABS(Solieusap!F66)</f>
        <v>0.0197</v>
      </c>
      <c r="G66" s="16">
        <f>ABS(Solieusap!G66)</f>
        <v>0.0493</v>
      </c>
      <c r="H66" s="16">
        <f>ABS(Solieusap!H66)</f>
        <v>0.00361</v>
      </c>
      <c r="I66" s="16">
        <f>ABS(Solieusap!I66)</f>
        <v>0.09833</v>
      </c>
      <c r="J66" s="16">
        <f>ABS(Solieusap!J66)</f>
        <v>0.05263</v>
      </c>
      <c r="K66" s="16">
        <f t="shared" si="1"/>
        <v>3.8024</v>
      </c>
      <c r="L66" s="16">
        <f t="shared" si="2"/>
        <v>0.09833</v>
      </c>
    </row>
    <row r="67" ht="16.5" customHeight="1">
      <c r="A67" s="14" t="str">
        <f>Solieusap!A67</f>
        <v>158</v>
      </c>
      <c r="B67" s="15">
        <f>Solieusap!B67</f>
        <v>0</v>
      </c>
      <c r="C67" s="14" t="str">
        <f>Solieusap!C67</f>
        <v>DEAD1</v>
      </c>
      <c r="D67" s="14" t="str">
        <f>Solieusap!D67</f>
        <v>LinStatic</v>
      </c>
      <c r="E67" s="16">
        <f>ABS(Solieusap!E67)</f>
        <v>20.9269</v>
      </c>
      <c r="F67" s="16">
        <f>ABS(Solieusap!F67)</f>
        <v>0.0725</v>
      </c>
      <c r="G67" s="16">
        <f>ABS(Solieusap!G67)</f>
        <v>0.6877</v>
      </c>
      <c r="H67" s="16">
        <f>ABS(Solieusap!H67)</f>
        <v>0.00094</v>
      </c>
      <c r="I67" s="16">
        <f>ABS(Solieusap!I67)</f>
        <v>0.72394</v>
      </c>
      <c r="J67" s="16">
        <f>ABS(Solieusap!J67)</f>
        <v>0.06557</v>
      </c>
      <c r="K67" s="16">
        <f t="shared" si="1"/>
        <v>20.9269</v>
      </c>
      <c r="L67" s="16">
        <f t="shared" si="2"/>
        <v>0.72394</v>
      </c>
    </row>
    <row r="68" ht="16.5" customHeight="1">
      <c r="A68" s="14" t="str">
        <f>Solieusap!A68</f>
        <v>158</v>
      </c>
      <c r="B68" s="15">
        <f>Solieusap!B68</f>
        <v>1.35</v>
      </c>
      <c r="C68" s="14" t="str">
        <f>Solieusap!C68</f>
        <v>DEAD1</v>
      </c>
      <c r="D68" s="14" t="str">
        <f>Solieusap!D68</f>
        <v>LinStatic</v>
      </c>
      <c r="E68" s="16">
        <f>ABS(Solieusap!E68)</f>
        <v>20.7784</v>
      </c>
      <c r="F68" s="16">
        <f>ABS(Solieusap!F68)</f>
        <v>0.0725</v>
      </c>
      <c r="G68" s="16">
        <f>ABS(Solieusap!G68)</f>
        <v>0.6877</v>
      </c>
      <c r="H68" s="16">
        <f>ABS(Solieusap!H68)</f>
        <v>0.00094</v>
      </c>
      <c r="I68" s="16">
        <f>ABS(Solieusap!I68)</f>
        <v>0.2045</v>
      </c>
      <c r="J68" s="16">
        <f>ABS(Solieusap!J68)</f>
        <v>0.0323</v>
      </c>
      <c r="K68" s="16">
        <f t="shared" si="1"/>
        <v>20.7784</v>
      </c>
      <c r="L68" s="16">
        <f t="shared" si="2"/>
        <v>0.2045</v>
      </c>
    </row>
    <row r="69" ht="16.5" customHeight="1">
      <c r="A69" s="14" t="str">
        <f>Solieusap!A69</f>
        <v>158</v>
      </c>
      <c r="B69" s="15">
        <f>Solieusap!B69</f>
        <v>2.7</v>
      </c>
      <c r="C69" s="14" t="str">
        <f>Solieusap!C69</f>
        <v>DEAD1</v>
      </c>
      <c r="D69" s="14" t="str">
        <f>Solieusap!D69</f>
        <v>LinStatic</v>
      </c>
      <c r="E69" s="16">
        <f>ABS(Solieusap!E69)</f>
        <v>20.6299</v>
      </c>
      <c r="F69" s="16">
        <f>ABS(Solieusap!F69)</f>
        <v>0.0725</v>
      </c>
      <c r="G69" s="16">
        <f>ABS(Solieusap!G69)</f>
        <v>0.6877</v>
      </c>
      <c r="H69" s="16">
        <f>ABS(Solieusap!H69)</f>
        <v>0.00094</v>
      </c>
      <c r="I69" s="16">
        <f>ABS(Solieusap!I69)</f>
        <v>1.13294</v>
      </c>
      <c r="J69" s="16">
        <f>ABS(Solieusap!J69)</f>
        <v>0.13017</v>
      </c>
      <c r="K69" s="16">
        <f t="shared" si="1"/>
        <v>20.6299</v>
      </c>
      <c r="L69" s="16">
        <f t="shared" si="2"/>
        <v>1.13294</v>
      </c>
    </row>
    <row r="70" ht="16.5" customHeight="1">
      <c r="A70" s="14" t="str">
        <f>Solieusap!A70</f>
        <v>159</v>
      </c>
      <c r="B70" s="15">
        <f>Solieusap!B70</f>
        <v>0</v>
      </c>
      <c r="C70" s="14" t="str">
        <f>Solieusap!C70</f>
        <v>DEAD1</v>
      </c>
      <c r="D70" s="14" t="str">
        <f>Solieusap!D70</f>
        <v>LinStatic</v>
      </c>
      <c r="E70" s="16">
        <f>ABS(Solieusap!E70)</f>
        <v>11.6606</v>
      </c>
      <c r="F70" s="16">
        <f>ABS(Solieusap!F70)</f>
        <v>0.072</v>
      </c>
      <c r="G70" s="16">
        <f>ABS(Solieusap!G70)</f>
        <v>0.3489</v>
      </c>
      <c r="H70" s="16">
        <f>ABS(Solieusap!H70)</f>
        <v>0.00065</v>
      </c>
      <c r="I70" s="16">
        <f>ABS(Solieusap!I70)</f>
        <v>0.71691</v>
      </c>
      <c r="J70" s="16">
        <f>ABS(Solieusap!J70)</f>
        <v>0.13417</v>
      </c>
      <c r="K70" s="16">
        <f t="shared" si="1"/>
        <v>11.6606</v>
      </c>
      <c r="L70" s="16">
        <f t="shared" si="2"/>
        <v>0.71691</v>
      </c>
    </row>
    <row r="71" ht="16.5" customHeight="1">
      <c r="A71" s="14" t="str">
        <f>Solieusap!A71</f>
        <v>159</v>
      </c>
      <c r="B71" s="15">
        <f>Solieusap!B71</f>
        <v>1.8</v>
      </c>
      <c r="C71" s="14" t="str">
        <f>Solieusap!C71</f>
        <v>DEAD1</v>
      </c>
      <c r="D71" s="14" t="str">
        <f>Solieusap!D71</f>
        <v>LinStatic</v>
      </c>
      <c r="E71" s="16">
        <f>ABS(Solieusap!E71)</f>
        <v>11.4626</v>
      </c>
      <c r="F71" s="16">
        <f>ABS(Solieusap!F71)</f>
        <v>0.072</v>
      </c>
      <c r="G71" s="16">
        <f>ABS(Solieusap!G71)</f>
        <v>0.3489</v>
      </c>
      <c r="H71" s="16">
        <f>ABS(Solieusap!H71)</f>
        <v>0.00065</v>
      </c>
      <c r="I71" s="16">
        <f>ABS(Solieusap!I71)</f>
        <v>0.08894</v>
      </c>
      <c r="J71" s="16">
        <f>ABS(Solieusap!J71)</f>
        <v>0.00456</v>
      </c>
      <c r="K71" s="16">
        <f t="shared" si="1"/>
        <v>11.4626</v>
      </c>
      <c r="L71" s="16">
        <f t="shared" si="2"/>
        <v>0.08894</v>
      </c>
    </row>
    <row r="72" ht="16.5" customHeight="1">
      <c r="A72" s="14" t="str">
        <f>Solieusap!A72</f>
        <v>159</v>
      </c>
      <c r="B72" s="15">
        <f>Solieusap!B72</f>
        <v>3.6</v>
      </c>
      <c r="C72" s="14" t="str">
        <f>Solieusap!C72</f>
        <v>DEAD1</v>
      </c>
      <c r="D72" s="14" t="str">
        <f>Solieusap!D72</f>
        <v>LinStatic</v>
      </c>
      <c r="E72" s="16">
        <f>ABS(Solieusap!E72)</f>
        <v>11.2646</v>
      </c>
      <c r="F72" s="16">
        <f>ABS(Solieusap!F72)</f>
        <v>0.072</v>
      </c>
      <c r="G72" s="16">
        <f>ABS(Solieusap!G72)</f>
        <v>0.3489</v>
      </c>
      <c r="H72" s="16">
        <f>ABS(Solieusap!H72)</f>
        <v>0.00065</v>
      </c>
      <c r="I72" s="16">
        <f>ABS(Solieusap!I72)</f>
        <v>0.53903</v>
      </c>
      <c r="J72" s="16">
        <f>ABS(Solieusap!J72)</f>
        <v>0.12505</v>
      </c>
      <c r="K72" s="16">
        <f t="shared" si="1"/>
        <v>11.2646</v>
      </c>
      <c r="L72" s="16">
        <f t="shared" si="2"/>
        <v>0.53903</v>
      </c>
    </row>
    <row r="73" ht="16.5" customHeight="1">
      <c r="A73" s="14" t="str">
        <f>Solieusap!A73</f>
        <v>160</v>
      </c>
      <c r="B73" s="15">
        <f>Solieusap!B73</f>
        <v>0</v>
      </c>
      <c r="C73" s="14" t="str">
        <f>Solieusap!C73</f>
        <v>DEAD1</v>
      </c>
      <c r="D73" s="14" t="str">
        <f>Solieusap!D73</f>
        <v>LinStatic</v>
      </c>
      <c r="E73" s="16">
        <f>ABS(Solieusap!E73)</f>
        <v>3.1071</v>
      </c>
      <c r="F73" s="16">
        <f>ABS(Solieusap!F73)</f>
        <v>0.0452</v>
      </c>
      <c r="G73" s="16">
        <f>ABS(Solieusap!G73)</f>
        <v>0.0625</v>
      </c>
      <c r="H73" s="16">
        <f>ABS(Solieusap!H73)</f>
        <v>0.00146</v>
      </c>
      <c r="I73" s="16">
        <f>ABS(Solieusap!I73)</f>
        <v>0.18503</v>
      </c>
      <c r="J73" s="16">
        <f>ABS(Solieusap!J73)</f>
        <v>0.10031</v>
      </c>
      <c r="K73" s="16">
        <f t="shared" si="1"/>
        <v>3.1071</v>
      </c>
      <c r="L73" s="16">
        <f t="shared" si="2"/>
        <v>0.18503</v>
      </c>
    </row>
    <row r="74" ht="16.5" customHeight="1">
      <c r="A74" s="14" t="str">
        <f>Solieusap!A74</f>
        <v>160</v>
      </c>
      <c r="B74" s="15">
        <f>Solieusap!B74</f>
        <v>1.8</v>
      </c>
      <c r="C74" s="14" t="str">
        <f>Solieusap!C74</f>
        <v>DEAD1</v>
      </c>
      <c r="D74" s="14" t="str">
        <f>Solieusap!D74</f>
        <v>LinStatic</v>
      </c>
      <c r="E74" s="16">
        <f>ABS(Solieusap!E74)</f>
        <v>2.9091</v>
      </c>
      <c r="F74" s="16">
        <f>ABS(Solieusap!F74)</f>
        <v>0.0452</v>
      </c>
      <c r="G74" s="16">
        <f>ABS(Solieusap!G74)</f>
        <v>0.0625</v>
      </c>
      <c r="H74" s="16">
        <f>ABS(Solieusap!H74)</f>
        <v>0.00146</v>
      </c>
      <c r="I74" s="16">
        <f>ABS(Solieusap!I74)</f>
        <v>0.07255</v>
      </c>
      <c r="J74" s="16">
        <f>ABS(Solieusap!J74)</f>
        <v>0.01898</v>
      </c>
      <c r="K74" s="16">
        <f t="shared" si="1"/>
        <v>2.9091</v>
      </c>
      <c r="L74" s="16">
        <f t="shared" si="2"/>
        <v>0.07255</v>
      </c>
    </row>
    <row r="75" ht="16.5" customHeight="1">
      <c r="A75" s="14" t="str">
        <f>Solieusap!A75</f>
        <v>160</v>
      </c>
      <c r="B75" s="15">
        <f>Solieusap!B75</f>
        <v>3.6</v>
      </c>
      <c r="C75" s="14" t="str">
        <f>Solieusap!C75</f>
        <v>DEAD1</v>
      </c>
      <c r="D75" s="14" t="str">
        <f>Solieusap!D75</f>
        <v>LinStatic</v>
      </c>
      <c r="E75" s="16">
        <f>ABS(Solieusap!E75)</f>
        <v>2.7111</v>
      </c>
      <c r="F75" s="16">
        <f>ABS(Solieusap!F75)</f>
        <v>0.0452</v>
      </c>
      <c r="G75" s="16">
        <f>ABS(Solieusap!G75)</f>
        <v>0.0625</v>
      </c>
      <c r="H75" s="16">
        <f>ABS(Solieusap!H75)</f>
        <v>0.00146</v>
      </c>
      <c r="I75" s="16">
        <f>ABS(Solieusap!I75)</f>
        <v>0.03994</v>
      </c>
      <c r="J75" s="16">
        <f>ABS(Solieusap!J75)</f>
        <v>0.06235</v>
      </c>
      <c r="K75" s="16">
        <f t="shared" si="1"/>
        <v>2.7111</v>
      </c>
      <c r="L75" s="16">
        <f t="shared" si="2"/>
        <v>0.03994</v>
      </c>
    </row>
    <row r="76" ht="16.5" customHeight="1">
      <c r="A76" s="14" t="str">
        <f>Solieusap!A76</f>
        <v>161</v>
      </c>
      <c r="B76" s="15">
        <f>Solieusap!B76</f>
        <v>0</v>
      </c>
      <c r="C76" s="14" t="str">
        <f>Solieusap!C76</f>
        <v>DEAD1</v>
      </c>
      <c r="D76" s="14" t="str">
        <f>Solieusap!D76</f>
        <v>LinStatic</v>
      </c>
      <c r="E76" s="16">
        <f>ABS(Solieusap!E76)</f>
        <v>20.9329</v>
      </c>
      <c r="F76" s="16">
        <f>ABS(Solieusap!F76)</f>
        <v>0.0723</v>
      </c>
      <c r="G76" s="16">
        <f>ABS(Solieusap!G76)</f>
        <v>0.6879</v>
      </c>
      <c r="H76" s="16">
        <f>ABS(Solieusap!H76)</f>
        <v>0.00092</v>
      </c>
      <c r="I76" s="16">
        <f>ABS(Solieusap!I76)</f>
        <v>0.7241</v>
      </c>
      <c r="J76" s="16">
        <f>ABS(Solieusap!J76)</f>
        <v>0.06538</v>
      </c>
      <c r="K76" s="16">
        <f t="shared" si="1"/>
        <v>20.9329</v>
      </c>
      <c r="L76" s="16">
        <f t="shared" si="2"/>
        <v>0.7241</v>
      </c>
    </row>
    <row r="77" ht="16.5" customHeight="1">
      <c r="A77" s="14" t="str">
        <f>Solieusap!A77</f>
        <v>161</v>
      </c>
      <c r="B77" s="15">
        <f>Solieusap!B77</f>
        <v>1.35</v>
      </c>
      <c r="C77" s="14" t="str">
        <f>Solieusap!C77</f>
        <v>DEAD1</v>
      </c>
      <c r="D77" s="14" t="str">
        <f>Solieusap!D77</f>
        <v>LinStatic</v>
      </c>
      <c r="E77" s="16">
        <f>ABS(Solieusap!E77)</f>
        <v>20.7844</v>
      </c>
      <c r="F77" s="16">
        <f>ABS(Solieusap!F77)</f>
        <v>0.0723</v>
      </c>
      <c r="G77" s="16">
        <f>ABS(Solieusap!G77)</f>
        <v>0.6879</v>
      </c>
      <c r="H77" s="16">
        <f>ABS(Solieusap!H77)</f>
        <v>0.00092</v>
      </c>
      <c r="I77" s="16">
        <f>ABS(Solieusap!I77)</f>
        <v>0.20453</v>
      </c>
      <c r="J77" s="16">
        <f>ABS(Solieusap!J77)</f>
        <v>0.03228</v>
      </c>
      <c r="K77" s="16">
        <f t="shared" si="1"/>
        <v>20.7844</v>
      </c>
      <c r="L77" s="16">
        <f t="shared" si="2"/>
        <v>0.20453</v>
      </c>
    </row>
    <row r="78" ht="16.5" customHeight="1">
      <c r="A78" s="14" t="str">
        <f>Solieusap!A78</f>
        <v>161</v>
      </c>
      <c r="B78" s="15">
        <f>Solieusap!B78</f>
        <v>2.7</v>
      </c>
      <c r="C78" s="14" t="str">
        <f>Solieusap!C78</f>
        <v>DEAD1</v>
      </c>
      <c r="D78" s="14" t="str">
        <f>Solieusap!D78</f>
        <v>LinStatic</v>
      </c>
      <c r="E78" s="16">
        <f>ABS(Solieusap!E78)</f>
        <v>20.6359</v>
      </c>
      <c r="F78" s="16">
        <f>ABS(Solieusap!F78)</f>
        <v>0.0723</v>
      </c>
      <c r="G78" s="16">
        <f>ABS(Solieusap!G78)</f>
        <v>0.6879</v>
      </c>
      <c r="H78" s="16">
        <f>ABS(Solieusap!H78)</f>
        <v>0.00092</v>
      </c>
      <c r="I78" s="16">
        <f>ABS(Solieusap!I78)</f>
        <v>1.13316</v>
      </c>
      <c r="J78" s="16">
        <f>ABS(Solieusap!J78)</f>
        <v>0.12995</v>
      </c>
      <c r="K78" s="16">
        <f t="shared" si="1"/>
        <v>20.6359</v>
      </c>
      <c r="L78" s="16">
        <f t="shared" si="2"/>
        <v>1.13316</v>
      </c>
    </row>
    <row r="79" ht="16.5" customHeight="1">
      <c r="A79" s="14" t="str">
        <f>Solieusap!A79</f>
        <v>162</v>
      </c>
      <c r="B79" s="15">
        <f>Solieusap!B79</f>
        <v>0</v>
      </c>
      <c r="C79" s="14" t="str">
        <f>Solieusap!C79</f>
        <v>DEAD1</v>
      </c>
      <c r="D79" s="14" t="str">
        <f>Solieusap!D79</f>
        <v>LinStatic</v>
      </c>
      <c r="E79" s="16">
        <f>ABS(Solieusap!E79)</f>
        <v>11.6669</v>
      </c>
      <c r="F79" s="16">
        <f>ABS(Solieusap!F79)</f>
        <v>0.0722</v>
      </c>
      <c r="G79" s="16">
        <f>ABS(Solieusap!G79)</f>
        <v>0.3491</v>
      </c>
      <c r="H79" s="16">
        <f>ABS(Solieusap!H79)</f>
        <v>0.00075</v>
      </c>
      <c r="I79" s="16">
        <f>ABS(Solieusap!I79)</f>
        <v>0.7174</v>
      </c>
      <c r="J79" s="16">
        <f>ABS(Solieusap!J79)</f>
        <v>0.13395</v>
      </c>
      <c r="K79" s="16">
        <f t="shared" si="1"/>
        <v>11.6669</v>
      </c>
      <c r="L79" s="16">
        <f t="shared" si="2"/>
        <v>0.7174</v>
      </c>
    </row>
    <row r="80" ht="16.5" customHeight="1">
      <c r="A80" s="14" t="str">
        <f>Solieusap!A80</f>
        <v>162</v>
      </c>
      <c r="B80" s="15">
        <f>Solieusap!B80</f>
        <v>1.8</v>
      </c>
      <c r="C80" s="14" t="str">
        <f>Solieusap!C80</f>
        <v>DEAD1</v>
      </c>
      <c r="D80" s="14" t="str">
        <f>Solieusap!D80</f>
        <v>LinStatic</v>
      </c>
      <c r="E80" s="16">
        <f>ABS(Solieusap!E80)</f>
        <v>11.4689</v>
      </c>
      <c r="F80" s="16">
        <f>ABS(Solieusap!F80)</f>
        <v>0.0722</v>
      </c>
      <c r="G80" s="16">
        <f>ABS(Solieusap!G80)</f>
        <v>0.3491</v>
      </c>
      <c r="H80" s="16">
        <f>ABS(Solieusap!H80)</f>
        <v>0.00075</v>
      </c>
      <c r="I80" s="16">
        <f>ABS(Solieusap!I80)</f>
        <v>0.08899</v>
      </c>
      <c r="J80" s="16">
        <f>ABS(Solieusap!J80)</f>
        <v>0.00402</v>
      </c>
      <c r="K80" s="16">
        <f t="shared" si="1"/>
        <v>11.4689</v>
      </c>
      <c r="L80" s="16">
        <f t="shared" si="2"/>
        <v>0.08899</v>
      </c>
    </row>
    <row r="81" ht="16.5" customHeight="1">
      <c r="A81" s="14" t="str">
        <f>Solieusap!A81</f>
        <v>162</v>
      </c>
      <c r="B81" s="15">
        <f>Solieusap!B81</f>
        <v>3.6</v>
      </c>
      <c r="C81" s="14" t="str">
        <f>Solieusap!C81</f>
        <v>DEAD1</v>
      </c>
      <c r="D81" s="14" t="str">
        <f>Solieusap!D81</f>
        <v>LinStatic</v>
      </c>
      <c r="E81" s="16">
        <f>ABS(Solieusap!E81)</f>
        <v>11.2709</v>
      </c>
      <c r="F81" s="16">
        <f>ABS(Solieusap!F81)</f>
        <v>0.0722</v>
      </c>
      <c r="G81" s="16">
        <f>ABS(Solieusap!G81)</f>
        <v>0.3491</v>
      </c>
      <c r="H81" s="16">
        <f>ABS(Solieusap!H81)</f>
        <v>0.00075</v>
      </c>
      <c r="I81" s="16">
        <f>ABS(Solieusap!I81)</f>
        <v>0.53942</v>
      </c>
      <c r="J81" s="16">
        <f>ABS(Solieusap!J81)</f>
        <v>0.12592</v>
      </c>
      <c r="K81" s="16">
        <f t="shared" si="1"/>
        <v>11.2709</v>
      </c>
      <c r="L81" s="16">
        <f t="shared" si="2"/>
        <v>0.53942</v>
      </c>
    </row>
    <row r="82" ht="16.5" customHeight="1">
      <c r="A82" s="14" t="str">
        <f>Solieusap!A82</f>
        <v>163</v>
      </c>
      <c r="B82" s="15">
        <f>Solieusap!B82</f>
        <v>0</v>
      </c>
      <c r="C82" s="14" t="str">
        <f>Solieusap!C82</f>
        <v>DEAD1</v>
      </c>
      <c r="D82" s="14" t="str">
        <f>Solieusap!D82</f>
        <v>LinStatic</v>
      </c>
      <c r="E82" s="16">
        <f>ABS(Solieusap!E82)</f>
        <v>3.1133</v>
      </c>
      <c r="F82" s="16">
        <f>ABS(Solieusap!F82)</f>
        <v>0.0235</v>
      </c>
      <c r="G82" s="16">
        <f>ABS(Solieusap!G82)</f>
        <v>0.0637</v>
      </c>
      <c r="H82" s="16">
        <f>ABS(Solieusap!H82)</f>
        <v>0.00245</v>
      </c>
      <c r="I82" s="16">
        <f>ABS(Solieusap!I82)</f>
        <v>0.18722</v>
      </c>
      <c r="J82" s="16">
        <f>ABS(Solieusap!J82)</f>
        <v>0.06093</v>
      </c>
      <c r="K82" s="16">
        <f t="shared" si="1"/>
        <v>3.1133</v>
      </c>
      <c r="L82" s="16">
        <f t="shared" si="2"/>
        <v>0.18722</v>
      </c>
    </row>
    <row r="83" ht="16.5" customHeight="1">
      <c r="A83" s="14" t="str">
        <f>Solieusap!A83</f>
        <v>163</v>
      </c>
      <c r="B83" s="15">
        <f>Solieusap!B83</f>
        <v>1.8</v>
      </c>
      <c r="C83" s="14" t="str">
        <f>Solieusap!C83</f>
        <v>DEAD1</v>
      </c>
      <c r="D83" s="14" t="str">
        <f>Solieusap!D83</f>
        <v>LinStatic</v>
      </c>
      <c r="E83" s="16">
        <f>ABS(Solieusap!E83)</f>
        <v>2.9153</v>
      </c>
      <c r="F83" s="16">
        <f>ABS(Solieusap!F83)</f>
        <v>0.0235</v>
      </c>
      <c r="G83" s="16">
        <f>ABS(Solieusap!G83)</f>
        <v>0.0637</v>
      </c>
      <c r="H83" s="16">
        <f>ABS(Solieusap!H83)</f>
        <v>0.00245</v>
      </c>
      <c r="I83" s="16">
        <f>ABS(Solieusap!I83)</f>
        <v>0.07259</v>
      </c>
      <c r="J83" s="16">
        <f>ABS(Solieusap!J83)</f>
        <v>0.01858</v>
      </c>
      <c r="K83" s="16">
        <f t="shared" si="1"/>
        <v>2.9153</v>
      </c>
      <c r="L83" s="16">
        <f t="shared" si="2"/>
        <v>0.07259</v>
      </c>
    </row>
    <row r="84" ht="16.5" customHeight="1">
      <c r="A84" s="14" t="str">
        <f>Solieusap!A84</f>
        <v>163</v>
      </c>
      <c r="B84" s="15">
        <f>Solieusap!B84</f>
        <v>3.6</v>
      </c>
      <c r="C84" s="14" t="str">
        <f>Solieusap!C84</f>
        <v>DEAD1</v>
      </c>
      <c r="D84" s="14" t="str">
        <f>Solieusap!D84</f>
        <v>LinStatic</v>
      </c>
      <c r="E84" s="16">
        <f>ABS(Solieusap!E84)</f>
        <v>2.7173</v>
      </c>
      <c r="F84" s="16">
        <f>ABS(Solieusap!F84)</f>
        <v>0.0235</v>
      </c>
      <c r="G84" s="16">
        <f>ABS(Solieusap!G84)</f>
        <v>0.0637</v>
      </c>
      <c r="H84" s="16">
        <f>ABS(Solieusap!H84)</f>
        <v>0.00245</v>
      </c>
      <c r="I84" s="16">
        <f>ABS(Solieusap!I84)</f>
        <v>0.04203</v>
      </c>
      <c r="J84" s="16">
        <f>ABS(Solieusap!J84)</f>
        <v>0.02376</v>
      </c>
      <c r="K84" s="16">
        <f t="shared" si="1"/>
        <v>2.7173</v>
      </c>
      <c r="L84" s="16">
        <f t="shared" si="2"/>
        <v>0.04203</v>
      </c>
    </row>
    <row r="85" ht="16.5" customHeight="1">
      <c r="A85" s="14" t="str">
        <f>Solieusap!A85</f>
        <v>164</v>
      </c>
      <c r="B85" s="15">
        <f>Solieusap!B85</f>
        <v>0</v>
      </c>
      <c r="C85" s="14" t="str">
        <f>Solieusap!C85</f>
        <v>DEAD1</v>
      </c>
      <c r="D85" s="14" t="str">
        <f>Solieusap!D85</f>
        <v>LinStatic</v>
      </c>
      <c r="E85" s="16">
        <f>ABS(Solieusap!E85)</f>
        <v>13.672</v>
      </c>
      <c r="F85" s="16">
        <f>ABS(Solieusap!F85)</f>
        <v>0.0541</v>
      </c>
      <c r="G85" s="16">
        <f>ABS(Solieusap!G85)</f>
        <v>0.2224</v>
      </c>
      <c r="H85" s="16">
        <f>ABS(Solieusap!H85)</f>
        <v>0.00028</v>
      </c>
      <c r="I85" s="16">
        <f>ABS(Solieusap!I85)</f>
        <v>0.30415</v>
      </c>
      <c r="J85" s="16">
        <f>ABS(Solieusap!J85)</f>
        <v>0.04594</v>
      </c>
      <c r="K85" s="16">
        <f t="shared" si="1"/>
        <v>13.672</v>
      </c>
      <c r="L85" s="16">
        <f t="shared" si="2"/>
        <v>0.30415</v>
      </c>
    </row>
    <row r="86" ht="16.5" customHeight="1">
      <c r="A86" s="14" t="str">
        <f>Solieusap!A86</f>
        <v>164</v>
      </c>
      <c r="B86" s="15">
        <f>Solieusap!B86</f>
        <v>1.35</v>
      </c>
      <c r="C86" s="14" t="str">
        <f>Solieusap!C86</f>
        <v>DEAD1</v>
      </c>
      <c r="D86" s="14" t="str">
        <f>Solieusap!D86</f>
        <v>LinStatic</v>
      </c>
      <c r="E86" s="16">
        <f>ABS(Solieusap!E86)</f>
        <v>13.5235</v>
      </c>
      <c r="F86" s="16">
        <f>ABS(Solieusap!F86)</f>
        <v>0.0541</v>
      </c>
      <c r="G86" s="16">
        <f>ABS(Solieusap!G86)</f>
        <v>0.2224</v>
      </c>
      <c r="H86" s="16">
        <f>ABS(Solieusap!H86)</f>
        <v>0.00028</v>
      </c>
      <c r="I86" s="16">
        <f>ABS(Solieusap!I86)</f>
        <v>0.00386</v>
      </c>
      <c r="J86" s="16">
        <f>ABS(Solieusap!J86)</f>
        <v>0.02711</v>
      </c>
      <c r="K86" s="16">
        <f t="shared" si="1"/>
        <v>13.5235</v>
      </c>
      <c r="L86" s="16">
        <f t="shared" si="2"/>
        <v>0.00386</v>
      </c>
    </row>
    <row r="87" ht="16.5" customHeight="1">
      <c r="A87" s="14" t="str">
        <f>Solieusap!A87</f>
        <v>164</v>
      </c>
      <c r="B87" s="15">
        <f>Solieusap!B87</f>
        <v>2.7</v>
      </c>
      <c r="C87" s="14" t="str">
        <f>Solieusap!C87</f>
        <v>DEAD1</v>
      </c>
      <c r="D87" s="14" t="str">
        <f>Solieusap!D87</f>
        <v>LinStatic</v>
      </c>
      <c r="E87" s="16">
        <f>ABS(Solieusap!E87)</f>
        <v>13.375</v>
      </c>
      <c r="F87" s="16">
        <f>ABS(Solieusap!F87)</f>
        <v>0.0541</v>
      </c>
      <c r="G87" s="16">
        <f>ABS(Solieusap!G87)</f>
        <v>0.2224</v>
      </c>
      <c r="H87" s="16">
        <f>ABS(Solieusap!H87)</f>
        <v>0.00028</v>
      </c>
      <c r="I87" s="16">
        <f>ABS(Solieusap!I87)</f>
        <v>0.29643</v>
      </c>
      <c r="J87" s="16">
        <f>ABS(Solieusap!J87)</f>
        <v>0.10016</v>
      </c>
      <c r="K87" s="16">
        <f t="shared" si="1"/>
        <v>13.375</v>
      </c>
      <c r="L87" s="16">
        <f t="shared" si="2"/>
        <v>0.29643</v>
      </c>
    </row>
    <row r="88" ht="16.5" customHeight="1">
      <c r="A88" s="14" t="str">
        <f>Solieusap!A88</f>
        <v>165</v>
      </c>
      <c r="B88" s="15">
        <f>Solieusap!B88</f>
        <v>0</v>
      </c>
      <c r="C88" s="14" t="str">
        <f>Solieusap!C88</f>
        <v>DEAD1</v>
      </c>
      <c r="D88" s="14" t="str">
        <f>Solieusap!D88</f>
        <v>LinStatic</v>
      </c>
      <c r="E88" s="16">
        <f>ABS(Solieusap!E88)</f>
        <v>8.9174</v>
      </c>
      <c r="F88" s="16">
        <f>ABS(Solieusap!F88)</f>
        <v>0.0442</v>
      </c>
      <c r="G88" s="16">
        <f>ABS(Solieusap!G88)</f>
        <v>0.0162</v>
      </c>
      <c r="H88" s="16">
        <f>ABS(Solieusap!H88)</f>
        <v>0.00032</v>
      </c>
      <c r="I88" s="16">
        <f>ABS(Solieusap!I88)</f>
        <v>0.0288</v>
      </c>
      <c r="J88" s="16">
        <f>ABS(Solieusap!J88)</f>
        <v>0.09522</v>
      </c>
      <c r="K88" s="16">
        <f t="shared" si="1"/>
        <v>8.9174</v>
      </c>
      <c r="L88" s="16">
        <f t="shared" si="2"/>
        <v>0.0288</v>
      </c>
    </row>
    <row r="89" ht="16.5" customHeight="1">
      <c r="A89" s="14" t="str">
        <f>Solieusap!A89</f>
        <v>165</v>
      </c>
      <c r="B89" s="15">
        <f>Solieusap!B89</f>
        <v>1.8</v>
      </c>
      <c r="C89" s="14" t="str">
        <f>Solieusap!C89</f>
        <v>DEAD1</v>
      </c>
      <c r="D89" s="14" t="str">
        <f>Solieusap!D89</f>
        <v>LinStatic</v>
      </c>
      <c r="E89" s="16">
        <f>ABS(Solieusap!E89)</f>
        <v>8.7194</v>
      </c>
      <c r="F89" s="16">
        <f>ABS(Solieusap!F89)</f>
        <v>0.0442</v>
      </c>
      <c r="G89" s="16">
        <f>ABS(Solieusap!G89)</f>
        <v>0.0162</v>
      </c>
      <c r="H89" s="16">
        <f>ABS(Solieusap!H89)</f>
        <v>0.00032</v>
      </c>
      <c r="I89" s="16">
        <f>ABS(Solieusap!I89)</f>
        <v>0.00045</v>
      </c>
      <c r="J89" s="16">
        <f>ABS(Solieusap!J89)</f>
        <v>0.01563</v>
      </c>
      <c r="K89" s="16">
        <f t="shared" si="1"/>
        <v>8.7194</v>
      </c>
      <c r="L89" s="16">
        <f t="shared" si="2"/>
        <v>0.00045</v>
      </c>
    </row>
    <row r="90" ht="16.5" customHeight="1">
      <c r="A90" s="14" t="str">
        <f>Solieusap!A90</f>
        <v>165</v>
      </c>
      <c r="B90" s="15">
        <f>Solieusap!B90</f>
        <v>3.6</v>
      </c>
      <c r="C90" s="14" t="str">
        <f>Solieusap!C90</f>
        <v>DEAD1</v>
      </c>
      <c r="D90" s="14" t="str">
        <f>Solieusap!D90</f>
        <v>LinStatic</v>
      </c>
      <c r="E90" s="16">
        <f>ABS(Solieusap!E90)</f>
        <v>8.5214</v>
      </c>
      <c r="F90" s="16">
        <f>ABS(Solieusap!F90)</f>
        <v>0.0442</v>
      </c>
      <c r="G90" s="16">
        <f>ABS(Solieusap!G90)</f>
        <v>0.0162</v>
      </c>
      <c r="H90" s="16">
        <f>ABS(Solieusap!H90)</f>
        <v>0.00032</v>
      </c>
      <c r="I90" s="16">
        <f>ABS(Solieusap!I90)</f>
        <v>0.0297</v>
      </c>
      <c r="J90" s="16">
        <f>ABS(Solieusap!J90)</f>
        <v>0.06396</v>
      </c>
      <c r="K90" s="16">
        <f t="shared" si="1"/>
        <v>8.5214</v>
      </c>
      <c r="L90" s="16">
        <f t="shared" si="2"/>
        <v>0.0297</v>
      </c>
    </row>
    <row r="91" ht="16.5" customHeight="1">
      <c r="A91" s="14" t="str">
        <f>Solieusap!A91</f>
        <v>166</v>
      </c>
      <c r="B91" s="15">
        <f>Solieusap!B91</f>
        <v>0</v>
      </c>
      <c r="C91" s="14" t="str">
        <f>Solieusap!C91</f>
        <v>DEAD1</v>
      </c>
      <c r="D91" s="14" t="str">
        <f>Solieusap!D91</f>
        <v>LinStatic</v>
      </c>
      <c r="E91" s="16">
        <f>ABS(Solieusap!E91)</f>
        <v>4.172</v>
      </c>
      <c r="F91" s="16">
        <f>ABS(Solieusap!F91)</f>
        <v>0.0014</v>
      </c>
      <c r="G91" s="16">
        <f>ABS(Solieusap!G91)</f>
        <v>0.0408</v>
      </c>
      <c r="H91" s="16">
        <f>ABS(Solieusap!H91)</f>
        <v>0.00047</v>
      </c>
      <c r="I91" s="16">
        <f>ABS(Solieusap!I91)</f>
        <v>0.06429</v>
      </c>
      <c r="J91" s="16">
        <f>ABS(Solieusap!J91)</f>
        <v>0.01939</v>
      </c>
      <c r="K91" s="16">
        <f t="shared" si="1"/>
        <v>4.172</v>
      </c>
      <c r="L91" s="16">
        <f t="shared" si="2"/>
        <v>0.06429</v>
      </c>
    </row>
    <row r="92" ht="16.5" customHeight="1">
      <c r="A92" s="14" t="str">
        <f>Solieusap!A92</f>
        <v>166</v>
      </c>
      <c r="B92" s="15">
        <f>Solieusap!B92</f>
        <v>1.8</v>
      </c>
      <c r="C92" s="14" t="str">
        <f>Solieusap!C92</f>
        <v>DEAD1</v>
      </c>
      <c r="D92" s="14" t="str">
        <f>Solieusap!D92</f>
        <v>LinStatic</v>
      </c>
      <c r="E92" s="16">
        <f>ABS(Solieusap!E92)</f>
        <v>3.974</v>
      </c>
      <c r="F92" s="16">
        <f>ABS(Solieusap!F92)</f>
        <v>0.0014</v>
      </c>
      <c r="G92" s="16">
        <f>ABS(Solieusap!G92)</f>
        <v>0.0408</v>
      </c>
      <c r="H92" s="16">
        <f>ABS(Solieusap!H92)</f>
        <v>0.00047</v>
      </c>
      <c r="I92" s="16">
        <f>ABS(Solieusap!I92)</f>
        <v>0.00917</v>
      </c>
      <c r="J92" s="16">
        <f>ABS(Solieusap!J92)</f>
        <v>0.01691</v>
      </c>
      <c r="K92" s="16">
        <f t="shared" si="1"/>
        <v>3.974</v>
      </c>
      <c r="L92" s="16">
        <f t="shared" si="2"/>
        <v>0.00917</v>
      </c>
    </row>
    <row r="93" ht="16.5" customHeight="1">
      <c r="A93" s="14" t="str">
        <f>Solieusap!A93</f>
        <v>166</v>
      </c>
      <c r="B93" s="15">
        <f>Solieusap!B93</f>
        <v>3.6</v>
      </c>
      <c r="C93" s="14" t="str">
        <f>Solieusap!C93</f>
        <v>DEAD1</v>
      </c>
      <c r="D93" s="14" t="str">
        <f>Solieusap!D93</f>
        <v>LinStatic</v>
      </c>
      <c r="E93" s="16">
        <f>ABS(Solieusap!E93)</f>
        <v>3.776</v>
      </c>
      <c r="F93" s="16">
        <f>ABS(Solieusap!F93)</f>
        <v>0.0014</v>
      </c>
      <c r="G93" s="16">
        <f>ABS(Solieusap!G93)</f>
        <v>0.0408</v>
      </c>
      <c r="H93" s="16">
        <f>ABS(Solieusap!H93)</f>
        <v>0.00047</v>
      </c>
      <c r="I93" s="16">
        <f>ABS(Solieusap!I93)</f>
        <v>0.08262</v>
      </c>
      <c r="J93" s="16">
        <f>ABS(Solieusap!J93)</f>
        <v>0.01444</v>
      </c>
      <c r="K93" s="16">
        <f t="shared" si="1"/>
        <v>3.776</v>
      </c>
      <c r="L93" s="16">
        <f t="shared" si="2"/>
        <v>0.08262</v>
      </c>
    </row>
    <row r="94" ht="16.5" customHeight="1">
      <c r="A94" s="14" t="str">
        <f>Solieusap!A94</f>
        <v>167</v>
      </c>
      <c r="B94" s="15">
        <f>Solieusap!B94</f>
        <v>0</v>
      </c>
      <c r="C94" s="14" t="str">
        <f>Solieusap!C94</f>
        <v>DEAD1</v>
      </c>
      <c r="D94" s="14" t="str">
        <f>Solieusap!D94</f>
        <v>LinStatic</v>
      </c>
      <c r="E94" s="16">
        <f>ABS(Solieusap!E94)</f>
        <v>27.0752</v>
      </c>
      <c r="F94" s="16">
        <f>ABS(Solieusap!F94)</f>
        <v>0.0728</v>
      </c>
      <c r="G94" s="16">
        <f>ABS(Solieusap!G94)</f>
        <v>0.218</v>
      </c>
      <c r="H94" s="16">
        <f>ABS(Solieusap!H94)</f>
        <v>0.00092</v>
      </c>
      <c r="I94" s="16">
        <f>ABS(Solieusap!I94)</f>
        <v>0.29812</v>
      </c>
      <c r="J94" s="16">
        <f>ABS(Solieusap!J94)</f>
        <v>0.06773</v>
      </c>
      <c r="K94" s="16">
        <f t="shared" si="1"/>
        <v>27.0752</v>
      </c>
      <c r="L94" s="16">
        <f t="shared" si="2"/>
        <v>0.29812</v>
      </c>
    </row>
    <row r="95" ht="16.5" customHeight="1">
      <c r="A95" s="14" t="str">
        <f>Solieusap!A95</f>
        <v>167</v>
      </c>
      <c r="B95" s="15">
        <f>Solieusap!B95</f>
        <v>1.35</v>
      </c>
      <c r="C95" s="14" t="str">
        <f>Solieusap!C95</f>
        <v>DEAD1</v>
      </c>
      <c r="D95" s="14" t="str">
        <f>Solieusap!D95</f>
        <v>LinStatic</v>
      </c>
      <c r="E95" s="16">
        <f>ABS(Solieusap!E95)</f>
        <v>26.9267</v>
      </c>
      <c r="F95" s="16">
        <f>ABS(Solieusap!F95)</f>
        <v>0.0728</v>
      </c>
      <c r="G95" s="16">
        <f>ABS(Solieusap!G95)</f>
        <v>0.218</v>
      </c>
      <c r="H95" s="16">
        <f>ABS(Solieusap!H95)</f>
        <v>0.00092</v>
      </c>
      <c r="I95" s="16">
        <f>ABS(Solieusap!I95)</f>
        <v>0.00381</v>
      </c>
      <c r="J95" s="16">
        <f>ABS(Solieusap!J95)</f>
        <v>0.03052</v>
      </c>
      <c r="K95" s="16">
        <f t="shared" si="1"/>
        <v>26.9267</v>
      </c>
      <c r="L95" s="16">
        <f t="shared" si="2"/>
        <v>0.00381</v>
      </c>
    </row>
    <row r="96" ht="16.5" customHeight="1">
      <c r="A96" s="14" t="str">
        <f>Solieusap!A96</f>
        <v>167</v>
      </c>
      <c r="B96" s="15">
        <f>Solieusap!B96</f>
        <v>2.7</v>
      </c>
      <c r="C96" s="14" t="str">
        <f>Solieusap!C96</f>
        <v>DEAD1</v>
      </c>
      <c r="D96" s="14" t="str">
        <f>Solieusap!D96</f>
        <v>LinStatic</v>
      </c>
      <c r="E96" s="16">
        <f>ABS(Solieusap!E96)</f>
        <v>26.7782</v>
      </c>
      <c r="F96" s="16">
        <f>ABS(Solieusap!F96)</f>
        <v>0.0728</v>
      </c>
      <c r="G96" s="16">
        <f>ABS(Solieusap!G96)</f>
        <v>0.218</v>
      </c>
      <c r="H96" s="16">
        <f>ABS(Solieusap!H96)</f>
        <v>0.00092</v>
      </c>
      <c r="I96" s="16">
        <f>ABS(Solieusap!I96)</f>
        <v>0.29049</v>
      </c>
      <c r="J96" s="16">
        <f>ABS(Solieusap!J96)</f>
        <v>0.12877</v>
      </c>
      <c r="K96" s="16">
        <f t="shared" si="1"/>
        <v>26.7782</v>
      </c>
      <c r="L96" s="16">
        <f t="shared" si="2"/>
        <v>0.29049</v>
      </c>
    </row>
    <row r="97" ht="16.5" customHeight="1">
      <c r="A97" s="14" t="str">
        <f>Solieusap!A97</f>
        <v>168</v>
      </c>
      <c r="B97" s="15">
        <f>Solieusap!B97</f>
        <v>0</v>
      </c>
      <c r="C97" s="14" t="str">
        <f>Solieusap!C97</f>
        <v>DEAD1</v>
      </c>
      <c r="D97" s="14" t="str">
        <f>Solieusap!D97</f>
        <v>LinStatic</v>
      </c>
      <c r="E97" s="16">
        <f>ABS(Solieusap!E97)</f>
        <v>21.3555</v>
      </c>
      <c r="F97" s="16">
        <f>ABS(Solieusap!F97)</f>
        <v>0.0801</v>
      </c>
      <c r="G97" s="16">
        <f>ABS(Solieusap!G97)</f>
        <v>0.008</v>
      </c>
      <c r="H97" s="16">
        <f>ABS(Solieusap!H97)</f>
        <v>0.0008</v>
      </c>
      <c r="I97" s="16">
        <f>ABS(Solieusap!I97)</f>
        <v>0.01748</v>
      </c>
      <c r="J97" s="16">
        <f>ABS(Solieusap!J97)</f>
        <v>0.13948</v>
      </c>
      <c r="K97" s="16">
        <f t="shared" si="1"/>
        <v>21.3555</v>
      </c>
      <c r="L97" s="16">
        <f t="shared" si="2"/>
        <v>0.01748</v>
      </c>
    </row>
    <row r="98" ht="16.5" customHeight="1">
      <c r="A98" s="14" t="str">
        <f>Solieusap!A98</f>
        <v>168</v>
      </c>
      <c r="B98" s="15">
        <f>Solieusap!B98</f>
        <v>1.8</v>
      </c>
      <c r="C98" s="14" t="str">
        <f>Solieusap!C98</f>
        <v>DEAD1</v>
      </c>
      <c r="D98" s="14" t="str">
        <f>Solieusap!D98</f>
        <v>LinStatic</v>
      </c>
      <c r="E98" s="16">
        <f>ABS(Solieusap!E98)</f>
        <v>21.1575</v>
      </c>
      <c r="F98" s="16">
        <f>ABS(Solieusap!F98)</f>
        <v>0.0801</v>
      </c>
      <c r="G98" s="16">
        <f>ABS(Solieusap!G98)</f>
        <v>0.008</v>
      </c>
      <c r="H98" s="16">
        <f>ABS(Solieusap!H98)</f>
        <v>0.0008</v>
      </c>
      <c r="I98" s="16">
        <f>ABS(Solieusap!I98)</f>
        <v>0.00304</v>
      </c>
      <c r="J98" s="16">
        <f>ABS(Solieusap!J98)</f>
        <v>0.00472</v>
      </c>
      <c r="K98" s="16">
        <f t="shared" si="1"/>
        <v>21.1575</v>
      </c>
      <c r="L98" s="16">
        <f t="shared" si="2"/>
        <v>0.00304</v>
      </c>
    </row>
    <row r="99" ht="16.5" customHeight="1">
      <c r="A99" s="14" t="str">
        <f>Solieusap!A99</f>
        <v>168</v>
      </c>
      <c r="B99" s="15">
        <f>Solieusap!B99</f>
        <v>3.6</v>
      </c>
      <c r="C99" s="14" t="str">
        <f>Solieusap!C99</f>
        <v>DEAD1</v>
      </c>
      <c r="D99" s="14" t="str">
        <f>Solieusap!D99</f>
        <v>LinStatic</v>
      </c>
      <c r="E99" s="16">
        <f>ABS(Solieusap!E99)</f>
        <v>20.9595</v>
      </c>
      <c r="F99" s="16">
        <f>ABS(Solieusap!F99)</f>
        <v>0.0801</v>
      </c>
      <c r="G99" s="16">
        <f>ABS(Solieusap!G99)</f>
        <v>0.008</v>
      </c>
      <c r="H99" s="16">
        <f>ABS(Solieusap!H99)</f>
        <v>0.0008</v>
      </c>
      <c r="I99" s="16">
        <f>ABS(Solieusap!I99)</f>
        <v>0.0114</v>
      </c>
      <c r="J99" s="16">
        <f>ABS(Solieusap!J99)</f>
        <v>0.14893</v>
      </c>
      <c r="K99" s="16">
        <f t="shared" si="1"/>
        <v>20.9595</v>
      </c>
      <c r="L99" s="16">
        <f t="shared" si="2"/>
        <v>0.0114</v>
      </c>
    </row>
    <row r="100" ht="16.5" customHeight="1">
      <c r="A100" s="14" t="str">
        <f>Solieusap!A100</f>
        <v>169</v>
      </c>
      <c r="B100" s="15">
        <f>Solieusap!B100</f>
        <v>0</v>
      </c>
      <c r="C100" s="14" t="str">
        <f>Solieusap!C100</f>
        <v>DEAD1</v>
      </c>
      <c r="D100" s="14" t="str">
        <f>Solieusap!D100</f>
        <v>LinStatic</v>
      </c>
      <c r="E100" s="16">
        <f>ABS(Solieusap!E100)</f>
        <v>15.9545</v>
      </c>
      <c r="F100" s="16">
        <f>ABS(Solieusap!F100)</f>
        <v>0.0865</v>
      </c>
      <c r="G100" s="16">
        <f>ABS(Solieusap!G100)</f>
        <v>0.0299</v>
      </c>
      <c r="H100" s="16">
        <f>ABS(Solieusap!H100)</f>
        <v>0.0122</v>
      </c>
      <c r="I100" s="16">
        <f>ABS(Solieusap!I100)</f>
        <v>0.04192</v>
      </c>
      <c r="J100" s="16">
        <f>ABS(Solieusap!J100)</f>
        <v>0.14979</v>
      </c>
      <c r="K100" s="16">
        <f t="shared" si="1"/>
        <v>15.9545</v>
      </c>
      <c r="L100" s="16">
        <f t="shared" si="2"/>
        <v>0.04192</v>
      </c>
    </row>
    <row r="101" ht="16.5" customHeight="1">
      <c r="A101" s="14" t="str">
        <f>Solieusap!A101</f>
        <v>169</v>
      </c>
      <c r="B101" s="15">
        <f>Solieusap!B101</f>
        <v>1.8</v>
      </c>
      <c r="C101" s="14" t="str">
        <f>Solieusap!C101</f>
        <v>DEAD1</v>
      </c>
      <c r="D101" s="14" t="str">
        <f>Solieusap!D101</f>
        <v>LinStatic</v>
      </c>
      <c r="E101" s="16">
        <f>ABS(Solieusap!E101)</f>
        <v>15.7565</v>
      </c>
      <c r="F101" s="16">
        <f>ABS(Solieusap!F101)</f>
        <v>0.0865</v>
      </c>
      <c r="G101" s="16">
        <f>ABS(Solieusap!G101)</f>
        <v>0.0299</v>
      </c>
      <c r="H101" s="16">
        <f>ABS(Solieusap!H101)</f>
        <v>0.0122</v>
      </c>
      <c r="I101" s="16">
        <f>ABS(Solieusap!I101)</f>
        <v>0.01193</v>
      </c>
      <c r="J101" s="16">
        <f>ABS(Solieusap!J101)</f>
        <v>0.00594</v>
      </c>
      <c r="K101" s="16">
        <f t="shared" si="1"/>
        <v>15.7565</v>
      </c>
      <c r="L101" s="16">
        <f t="shared" si="2"/>
        <v>0.01193</v>
      </c>
    </row>
    <row r="102" ht="16.5" customHeight="1">
      <c r="A102" s="14" t="str">
        <f>Solieusap!A102</f>
        <v>169</v>
      </c>
      <c r="B102" s="15">
        <f>Solieusap!B102</f>
        <v>3.6</v>
      </c>
      <c r="C102" s="14" t="str">
        <f>Solieusap!C102</f>
        <v>DEAD1</v>
      </c>
      <c r="D102" s="14" t="str">
        <f>Solieusap!D102</f>
        <v>LinStatic</v>
      </c>
      <c r="E102" s="16">
        <f>ABS(Solieusap!E102)</f>
        <v>15.5585</v>
      </c>
      <c r="F102" s="16">
        <f>ABS(Solieusap!F102)</f>
        <v>0.0865</v>
      </c>
      <c r="G102" s="16">
        <f>ABS(Solieusap!G102)</f>
        <v>0.0299</v>
      </c>
      <c r="H102" s="16">
        <f>ABS(Solieusap!H102)</f>
        <v>0.0122</v>
      </c>
      <c r="I102" s="16">
        <f>ABS(Solieusap!I102)</f>
        <v>0.06577</v>
      </c>
      <c r="J102" s="16">
        <f>ABS(Solieusap!J102)</f>
        <v>0.16167</v>
      </c>
      <c r="K102" s="16">
        <f t="shared" si="1"/>
        <v>15.5585</v>
      </c>
      <c r="L102" s="16">
        <f t="shared" si="2"/>
        <v>0.06577</v>
      </c>
    </row>
    <row r="103" ht="16.5" customHeight="1">
      <c r="A103" s="14" t="str">
        <f>Solieusap!A103</f>
        <v>170</v>
      </c>
      <c r="B103" s="15">
        <f>Solieusap!B103</f>
        <v>0</v>
      </c>
      <c r="C103" s="14" t="str">
        <f>Solieusap!C103</f>
        <v>DEAD1</v>
      </c>
      <c r="D103" s="14" t="str">
        <f>Solieusap!D103</f>
        <v>LinStatic</v>
      </c>
      <c r="E103" s="16">
        <f>ABS(Solieusap!E103)</f>
        <v>18.3864</v>
      </c>
      <c r="F103" s="16">
        <f>ABS(Solieusap!F103)</f>
        <v>0.0789</v>
      </c>
      <c r="G103" s="16">
        <f>ABS(Solieusap!G103)</f>
        <v>0.2102</v>
      </c>
      <c r="H103" s="16">
        <f>ABS(Solieusap!H103)</f>
        <v>0.00034</v>
      </c>
      <c r="I103" s="16">
        <f>ABS(Solieusap!I103)</f>
        <v>0.28707</v>
      </c>
      <c r="J103" s="16">
        <f>ABS(Solieusap!J103)</f>
        <v>0.06748</v>
      </c>
      <c r="K103" s="16">
        <f t="shared" si="1"/>
        <v>18.3864</v>
      </c>
      <c r="L103" s="16">
        <f t="shared" si="2"/>
        <v>0.28707</v>
      </c>
    </row>
    <row r="104" ht="16.5" customHeight="1">
      <c r="A104" s="14" t="str">
        <f>Solieusap!A104</f>
        <v>170</v>
      </c>
      <c r="B104" s="15">
        <f>Solieusap!B104</f>
        <v>1.35</v>
      </c>
      <c r="C104" s="14" t="str">
        <f>Solieusap!C104</f>
        <v>DEAD1</v>
      </c>
      <c r="D104" s="14" t="str">
        <f>Solieusap!D104</f>
        <v>LinStatic</v>
      </c>
      <c r="E104" s="16">
        <f>ABS(Solieusap!E104)</f>
        <v>18.2379</v>
      </c>
      <c r="F104" s="16">
        <f>ABS(Solieusap!F104)</f>
        <v>0.0789</v>
      </c>
      <c r="G104" s="16">
        <f>ABS(Solieusap!G104)</f>
        <v>0.2102</v>
      </c>
      <c r="H104" s="16">
        <f>ABS(Solieusap!H104)</f>
        <v>0.00034</v>
      </c>
      <c r="I104" s="16">
        <f>ABS(Solieusap!I104)</f>
        <v>0.00327</v>
      </c>
      <c r="J104" s="16">
        <f>ABS(Solieusap!J104)</f>
        <v>0.03897</v>
      </c>
      <c r="K104" s="16">
        <f t="shared" si="1"/>
        <v>18.2379</v>
      </c>
      <c r="L104" s="16">
        <f t="shared" si="2"/>
        <v>0.00327</v>
      </c>
    </row>
    <row r="105" ht="16.5" customHeight="1">
      <c r="A105" s="14" t="str">
        <f>Solieusap!A105</f>
        <v>170</v>
      </c>
      <c r="B105" s="15">
        <f>Solieusap!B105</f>
        <v>2.7</v>
      </c>
      <c r="C105" s="14" t="str">
        <f>Solieusap!C105</f>
        <v>DEAD1</v>
      </c>
      <c r="D105" s="14" t="str">
        <f>Solieusap!D105</f>
        <v>LinStatic</v>
      </c>
      <c r="E105" s="16">
        <f>ABS(Solieusap!E105)</f>
        <v>18.0894</v>
      </c>
      <c r="F105" s="16">
        <f>ABS(Solieusap!F105)</f>
        <v>0.0789</v>
      </c>
      <c r="G105" s="16">
        <f>ABS(Solieusap!G105)</f>
        <v>0.2102</v>
      </c>
      <c r="H105" s="16">
        <f>ABS(Solieusap!H105)</f>
        <v>0.00034</v>
      </c>
      <c r="I105" s="16">
        <f>ABS(Solieusap!I105)</f>
        <v>0.28053</v>
      </c>
      <c r="J105" s="16">
        <f>ABS(Solieusap!J105)</f>
        <v>0.14543</v>
      </c>
      <c r="K105" s="16">
        <f t="shared" si="1"/>
        <v>18.0894</v>
      </c>
      <c r="L105" s="16">
        <f t="shared" si="2"/>
        <v>0.28053</v>
      </c>
    </row>
    <row r="106" ht="16.5" customHeight="1">
      <c r="A106" s="14" t="str">
        <f>Solieusap!A106</f>
        <v>171</v>
      </c>
      <c r="B106" s="15">
        <f>Solieusap!B106</f>
        <v>0</v>
      </c>
      <c r="C106" s="14" t="str">
        <f>Solieusap!C106</f>
        <v>DEAD1</v>
      </c>
      <c r="D106" s="14" t="str">
        <f>Solieusap!D106</f>
        <v>LinStatic</v>
      </c>
      <c r="E106" s="16">
        <f>ABS(Solieusap!E106)</f>
        <v>13.3514</v>
      </c>
      <c r="F106" s="16">
        <f>ABS(Solieusap!F106)</f>
        <v>0.0999</v>
      </c>
      <c r="G106" s="16">
        <f>ABS(Solieusap!G106)</f>
        <v>0.0024</v>
      </c>
      <c r="H106" s="16">
        <f>ABS(Solieusap!H106)</f>
        <v>0.00039</v>
      </c>
      <c r="I106" s="16">
        <f>ABS(Solieusap!I106)</f>
        <v>0.00702</v>
      </c>
      <c r="J106" s="16">
        <f>ABS(Solieusap!J106)</f>
        <v>0.17995</v>
      </c>
      <c r="K106" s="16">
        <f t="shared" si="1"/>
        <v>13.3514</v>
      </c>
      <c r="L106" s="16">
        <f t="shared" si="2"/>
        <v>0.00702</v>
      </c>
    </row>
    <row r="107" ht="16.5" customHeight="1">
      <c r="A107" s="14" t="str">
        <f>Solieusap!A107</f>
        <v>171</v>
      </c>
      <c r="B107" s="15">
        <f>Solieusap!B107</f>
        <v>1.8</v>
      </c>
      <c r="C107" s="14" t="str">
        <f>Solieusap!C107</f>
        <v>DEAD1</v>
      </c>
      <c r="D107" s="14" t="str">
        <f>Solieusap!D107</f>
        <v>LinStatic</v>
      </c>
      <c r="E107" s="16">
        <f>ABS(Solieusap!E107)</f>
        <v>13.1534</v>
      </c>
      <c r="F107" s="16">
        <f>ABS(Solieusap!F107)</f>
        <v>0.0999</v>
      </c>
      <c r="G107" s="16">
        <f>ABS(Solieusap!G107)</f>
        <v>0.0024</v>
      </c>
      <c r="H107" s="16">
        <f>ABS(Solieusap!H107)</f>
        <v>0.00039</v>
      </c>
      <c r="I107" s="16">
        <f>ABS(Solieusap!I107)</f>
        <v>0.00273</v>
      </c>
      <c r="J107" s="16">
        <f>ABS(Solieusap!J107)</f>
        <v>0.00016</v>
      </c>
      <c r="K107" s="16">
        <f t="shared" si="1"/>
        <v>13.1534</v>
      </c>
      <c r="L107" s="16">
        <f t="shared" si="2"/>
        <v>0.00273</v>
      </c>
    </row>
    <row r="108" ht="16.5" customHeight="1">
      <c r="A108" s="14" t="str">
        <f>Solieusap!A108</f>
        <v>171</v>
      </c>
      <c r="B108" s="15">
        <f>Solieusap!B108</f>
        <v>3.6</v>
      </c>
      <c r="C108" s="14" t="str">
        <f>Solieusap!C108</f>
        <v>DEAD1</v>
      </c>
      <c r="D108" s="14" t="str">
        <f>Solieusap!D108</f>
        <v>LinStatic</v>
      </c>
      <c r="E108" s="16">
        <f>ABS(Solieusap!E108)</f>
        <v>12.9554</v>
      </c>
      <c r="F108" s="16">
        <f>ABS(Solieusap!F108)</f>
        <v>0.0999</v>
      </c>
      <c r="G108" s="16">
        <f>ABS(Solieusap!G108)</f>
        <v>0.0024</v>
      </c>
      <c r="H108" s="16">
        <f>ABS(Solieusap!H108)</f>
        <v>0.00039</v>
      </c>
      <c r="I108" s="16">
        <f>ABS(Solieusap!I108)</f>
        <v>0.00157</v>
      </c>
      <c r="J108" s="16">
        <f>ABS(Solieusap!J108)</f>
        <v>0.17963</v>
      </c>
      <c r="K108" s="16">
        <f t="shared" si="1"/>
        <v>12.9554</v>
      </c>
      <c r="L108" s="16">
        <f t="shared" si="2"/>
        <v>0.00157</v>
      </c>
    </row>
    <row r="109" ht="16.5" customHeight="1">
      <c r="A109" s="14" t="str">
        <f>Solieusap!A109</f>
        <v>172</v>
      </c>
      <c r="B109" s="15">
        <f>Solieusap!B109</f>
        <v>0</v>
      </c>
      <c r="C109" s="14" t="str">
        <f>Solieusap!C109</f>
        <v>DEAD1</v>
      </c>
      <c r="D109" s="14" t="str">
        <f>Solieusap!D109</f>
        <v>LinStatic</v>
      </c>
      <c r="E109" s="16">
        <f>ABS(Solieusap!E109)</f>
        <v>8.2179</v>
      </c>
      <c r="F109" s="16">
        <f>ABS(Solieusap!F109)</f>
        <v>0.1826</v>
      </c>
      <c r="G109" s="16">
        <f>ABS(Solieusap!G109)</f>
        <v>0.0008321</v>
      </c>
      <c r="H109" s="16">
        <f>ABS(Solieusap!H109)</f>
        <v>0.00482</v>
      </c>
      <c r="I109" s="16">
        <f>ABS(Solieusap!I109)</f>
        <v>0.01007</v>
      </c>
      <c r="J109" s="16">
        <f>ABS(Solieusap!J109)</f>
        <v>0.29836</v>
      </c>
      <c r="K109" s="16">
        <f t="shared" si="1"/>
        <v>8.2179</v>
      </c>
      <c r="L109" s="16">
        <f t="shared" si="2"/>
        <v>0.01007</v>
      </c>
    </row>
    <row r="110" ht="16.5" customHeight="1">
      <c r="A110" s="14" t="str">
        <f>Solieusap!A110</f>
        <v>172</v>
      </c>
      <c r="B110" s="15">
        <f>Solieusap!B110</f>
        <v>1.8</v>
      </c>
      <c r="C110" s="14" t="str">
        <f>Solieusap!C110</f>
        <v>DEAD1</v>
      </c>
      <c r="D110" s="14" t="str">
        <f>Solieusap!D110</f>
        <v>LinStatic</v>
      </c>
      <c r="E110" s="16">
        <f>ABS(Solieusap!E110)</f>
        <v>8.0199</v>
      </c>
      <c r="F110" s="16">
        <f>ABS(Solieusap!F110)</f>
        <v>0.1826</v>
      </c>
      <c r="G110" s="16">
        <f>ABS(Solieusap!G110)</f>
        <v>0.0008321</v>
      </c>
      <c r="H110" s="16">
        <f>ABS(Solieusap!H110)</f>
        <v>0.00482</v>
      </c>
      <c r="I110" s="16">
        <f>ABS(Solieusap!I110)</f>
        <v>0.01157</v>
      </c>
      <c r="J110" s="16">
        <f>ABS(Solieusap!J110)</f>
        <v>0.03024</v>
      </c>
      <c r="K110" s="16">
        <f t="shared" si="1"/>
        <v>8.0199</v>
      </c>
      <c r="L110" s="16">
        <f t="shared" si="2"/>
        <v>0.01157</v>
      </c>
    </row>
    <row r="111" ht="16.5" customHeight="1">
      <c r="A111" s="14" t="str">
        <f>Solieusap!A111</f>
        <v>172</v>
      </c>
      <c r="B111" s="15">
        <f>Solieusap!B111</f>
        <v>3.6</v>
      </c>
      <c r="C111" s="14" t="str">
        <f>Solieusap!C111</f>
        <v>DEAD1</v>
      </c>
      <c r="D111" s="14" t="str">
        <f>Solieusap!D111</f>
        <v>LinStatic</v>
      </c>
      <c r="E111" s="16">
        <f>ABS(Solieusap!E111)</f>
        <v>7.8219</v>
      </c>
      <c r="F111" s="16">
        <f>ABS(Solieusap!F111)</f>
        <v>0.1826</v>
      </c>
      <c r="G111" s="16">
        <f>ABS(Solieusap!G111)</f>
        <v>0.0008321</v>
      </c>
      <c r="H111" s="16">
        <f>ABS(Solieusap!H111)</f>
        <v>0.00482</v>
      </c>
      <c r="I111" s="16">
        <f>ABS(Solieusap!I111)</f>
        <v>0.01307</v>
      </c>
      <c r="J111" s="16">
        <f>ABS(Solieusap!J111)</f>
        <v>0.35884</v>
      </c>
      <c r="K111" s="16">
        <f t="shared" si="1"/>
        <v>7.8219</v>
      </c>
      <c r="L111" s="16">
        <f t="shared" si="2"/>
        <v>0.01307</v>
      </c>
    </row>
    <row r="112" ht="16.5" customHeight="1">
      <c r="A112" s="14" t="str">
        <f>Solieusap!A112</f>
        <v>173</v>
      </c>
      <c r="B112" s="15">
        <f>Solieusap!B112</f>
        <v>0</v>
      </c>
      <c r="C112" s="14" t="str">
        <f>Solieusap!C112</f>
        <v>DEAD1</v>
      </c>
      <c r="D112" s="14" t="str">
        <f>Solieusap!D112</f>
        <v>LinStatic</v>
      </c>
      <c r="E112" s="16">
        <f>ABS(Solieusap!E112)</f>
        <v>16.0129</v>
      </c>
      <c r="F112" s="16">
        <f>ABS(Solieusap!F112)</f>
        <v>0.0762</v>
      </c>
      <c r="G112" s="16">
        <f>ABS(Solieusap!G112)</f>
        <v>0.2228</v>
      </c>
      <c r="H112" s="16">
        <f>ABS(Solieusap!H112)</f>
        <v>0.00093</v>
      </c>
      <c r="I112" s="16">
        <f>ABS(Solieusap!I112)</f>
        <v>0.29808</v>
      </c>
      <c r="J112" s="16">
        <f>ABS(Solieusap!J112)</f>
        <v>0.06757</v>
      </c>
      <c r="K112" s="16">
        <f t="shared" si="1"/>
        <v>16.0129</v>
      </c>
      <c r="L112" s="16">
        <f t="shared" si="2"/>
        <v>0.29808</v>
      </c>
    </row>
    <row r="113" ht="16.5" customHeight="1">
      <c r="A113" s="14" t="str">
        <f>Solieusap!A113</f>
        <v>173</v>
      </c>
      <c r="B113" s="15">
        <f>Solieusap!B113</f>
        <v>1.35</v>
      </c>
      <c r="C113" s="14" t="str">
        <f>Solieusap!C113</f>
        <v>DEAD1</v>
      </c>
      <c r="D113" s="14" t="str">
        <f>Solieusap!D113</f>
        <v>LinStatic</v>
      </c>
      <c r="E113" s="16">
        <f>ABS(Solieusap!E113)</f>
        <v>15.8644</v>
      </c>
      <c r="F113" s="16">
        <f>ABS(Solieusap!F113)</f>
        <v>0.0762</v>
      </c>
      <c r="G113" s="16">
        <f>ABS(Solieusap!G113)</f>
        <v>0.2228</v>
      </c>
      <c r="H113" s="16">
        <f>ABS(Solieusap!H113)</f>
        <v>0.00093</v>
      </c>
      <c r="I113" s="16">
        <f>ABS(Solieusap!I113)</f>
        <v>0.00274</v>
      </c>
      <c r="J113" s="16">
        <f>ABS(Solieusap!J113)</f>
        <v>0.03527</v>
      </c>
      <c r="K113" s="16">
        <f t="shared" si="1"/>
        <v>15.8644</v>
      </c>
      <c r="L113" s="16">
        <f t="shared" si="2"/>
        <v>0.00274</v>
      </c>
    </row>
    <row r="114" ht="16.5" customHeight="1">
      <c r="A114" s="14" t="str">
        <f>Solieusap!A114</f>
        <v>173</v>
      </c>
      <c r="B114" s="15">
        <f>Solieusap!B114</f>
        <v>2.7</v>
      </c>
      <c r="C114" s="14" t="str">
        <f>Solieusap!C114</f>
        <v>DEAD1</v>
      </c>
      <c r="D114" s="14" t="str">
        <f>Solieusap!D114</f>
        <v>LinStatic</v>
      </c>
      <c r="E114" s="16">
        <f>ABS(Solieusap!E114)</f>
        <v>15.7159</v>
      </c>
      <c r="F114" s="16">
        <f>ABS(Solieusap!F114)</f>
        <v>0.0762</v>
      </c>
      <c r="G114" s="16">
        <f>ABS(Solieusap!G114)</f>
        <v>0.2228</v>
      </c>
      <c r="H114" s="16">
        <f>ABS(Solieusap!H114)</f>
        <v>0.00093</v>
      </c>
      <c r="I114" s="16">
        <f>ABS(Solieusap!I114)</f>
        <v>0.30356</v>
      </c>
      <c r="J114" s="16">
        <f>ABS(Solieusap!J114)</f>
        <v>0.13812</v>
      </c>
      <c r="K114" s="16">
        <f t="shared" si="1"/>
        <v>15.7159</v>
      </c>
      <c r="L114" s="16">
        <f t="shared" si="2"/>
        <v>0.30356</v>
      </c>
    </row>
    <row r="115" ht="16.5" customHeight="1">
      <c r="A115" s="14" t="str">
        <f>Solieusap!A115</f>
        <v>174</v>
      </c>
      <c r="B115" s="15">
        <f>Solieusap!B115</f>
        <v>0</v>
      </c>
      <c r="C115" s="14" t="str">
        <f>Solieusap!C115</f>
        <v>DEAD1</v>
      </c>
      <c r="D115" s="14" t="str">
        <f>Solieusap!D115</f>
        <v>LinStatic</v>
      </c>
      <c r="E115" s="16">
        <f>ABS(Solieusap!E115)</f>
        <v>12.3388</v>
      </c>
      <c r="F115" s="16">
        <f>ABS(Solieusap!F115)</f>
        <v>0.0755</v>
      </c>
      <c r="G115" s="16">
        <f>ABS(Solieusap!G115)</f>
        <v>0.0119</v>
      </c>
      <c r="H115" s="16">
        <f>ABS(Solieusap!H115)</f>
        <v>0.00069</v>
      </c>
      <c r="I115" s="16">
        <f>ABS(Solieusap!I115)</f>
        <v>0.01777</v>
      </c>
      <c r="J115" s="16">
        <f>ABS(Solieusap!J115)</f>
        <v>0.14345</v>
      </c>
      <c r="K115" s="16">
        <f t="shared" si="1"/>
        <v>12.3388</v>
      </c>
      <c r="L115" s="16">
        <f t="shared" si="2"/>
        <v>0.01777</v>
      </c>
    </row>
    <row r="116" ht="16.5" customHeight="1">
      <c r="A116" s="14" t="str">
        <f>Solieusap!A116</f>
        <v>174</v>
      </c>
      <c r="B116" s="15">
        <f>Solieusap!B116</f>
        <v>1.8</v>
      </c>
      <c r="C116" s="14" t="str">
        <f>Solieusap!C116</f>
        <v>DEAD1</v>
      </c>
      <c r="D116" s="14" t="str">
        <f>Solieusap!D116</f>
        <v>LinStatic</v>
      </c>
      <c r="E116" s="16">
        <f>ABS(Solieusap!E116)</f>
        <v>12.1408</v>
      </c>
      <c r="F116" s="16">
        <f>ABS(Solieusap!F116)</f>
        <v>0.0755</v>
      </c>
      <c r="G116" s="16">
        <f>ABS(Solieusap!G116)</f>
        <v>0.0119</v>
      </c>
      <c r="H116" s="16">
        <f>ABS(Solieusap!H116)</f>
        <v>0.00069</v>
      </c>
      <c r="I116" s="16">
        <f>ABS(Solieusap!I116)</f>
        <v>0.00365</v>
      </c>
      <c r="J116" s="16">
        <f>ABS(Solieusap!J116)</f>
        <v>0.0075</v>
      </c>
      <c r="K116" s="16">
        <f t="shared" si="1"/>
        <v>12.1408</v>
      </c>
      <c r="L116" s="16">
        <f t="shared" si="2"/>
        <v>0.00365</v>
      </c>
    </row>
    <row r="117" ht="16.5" customHeight="1">
      <c r="A117" s="14" t="str">
        <f>Solieusap!A117</f>
        <v>174</v>
      </c>
      <c r="B117" s="15">
        <f>Solieusap!B117</f>
        <v>3.6</v>
      </c>
      <c r="C117" s="14" t="str">
        <f>Solieusap!C117</f>
        <v>DEAD1</v>
      </c>
      <c r="D117" s="14" t="str">
        <f>Solieusap!D117</f>
        <v>LinStatic</v>
      </c>
      <c r="E117" s="16">
        <f>ABS(Solieusap!E117)</f>
        <v>11.9428</v>
      </c>
      <c r="F117" s="16">
        <f>ABS(Solieusap!F117)</f>
        <v>0.0755</v>
      </c>
      <c r="G117" s="16">
        <f>ABS(Solieusap!G117)</f>
        <v>0.0119</v>
      </c>
      <c r="H117" s="16">
        <f>ABS(Solieusap!H117)</f>
        <v>0.00069</v>
      </c>
      <c r="I117" s="16">
        <f>ABS(Solieusap!I117)</f>
        <v>0.02507</v>
      </c>
      <c r="J117" s="16">
        <f>ABS(Solieusap!J117)</f>
        <v>0.12846</v>
      </c>
      <c r="K117" s="16">
        <f t="shared" si="1"/>
        <v>11.9428</v>
      </c>
      <c r="L117" s="16">
        <f t="shared" si="2"/>
        <v>0.02507</v>
      </c>
    </row>
    <row r="118" ht="16.5" customHeight="1">
      <c r="A118" s="14" t="str">
        <f>Solieusap!A118</f>
        <v>175</v>
      </c>
      <c r="B118" s="15">
        <f>Solieusap!B118</f>
        <v>0</v>
      </c>
      <c r="C118" s="14" t="str">
        <f>Solieusap!C118</f>
        <v>DEAD1</v>
      </c>
      <c r="D118" s="14" t="str">
        <f>Solieusap!D118</f>
        <v>LinStatic</v>
      </c>
      <c r="E118" s="16">
        <f>ABS(Solieusap!E118)</f>
        <v>8.5626</v>
      </c>
      <c r="F118" s="16">
        <f>ABS(Solieusap!F118)</f>
        <v>0.2079</v>
      </c>
      <c r="G118" s="16">
        <f>ABS(Solieusap!G118)</f>
        <v>0.0662</v>
      </c>
      <c r="H118" s="16">
        <f>ABS(Solieusap!H118)</f>
        <v>0.00047</v>
      </c>
      <c r="I118" s="16">
        <f>ABS(Solieusap!I118)</f>
        <v>0.11491</v>
      </c>
      <c r="J118" s="16">
        <f>ABS(Solieusap!J118)</f>
        <v>0.33247</v>
      </c>
      <c r="K118" s="16">
        <f t="shared" si="1"/>
        <v>8.5626</v>
      </c>
      <c r="L118" s="16">
        <f t="shared" si="2"/>
        <v>0.11491</v>
      </c>
    </row>
    <row r="119" ht="16.5" customHeight="1">
      <c r="A119" s="14" t="str">
        <f>Solieusap!A119</f>
        <v>175</v>
      </c>
      <c r="B119" s="15">
        <f>Solieusap!B119</f>
        <v>1.8</v>
      </c>
      <c r="C119" s="14" t="str">
        <f>Solieusap!C119</f>
        <v>DEAD1</v>
      </c>
      <c r="D119" s="14" t="str">
        <f>Solieusap!D119</f>
        <v>LinStatic</v>
      </c>
      <c r="E119" s="16">
        <f>ABS(Solieusap!E119)</f>
        <v>8.3646</v>
      </c>
      <c r="F119" s="16">
        <f>ABS(Solieusap!F119)</f>
        <v>0.2079</v>
      </c>
      <c r="G119" s="16">
        <f>ABS(Solieusap!G119)</f>
        <v>0.0662</v>
      </c>
      <c r="H119" s="16">
        <f>ABS(Solieusap!H119)</f>
        <v>0.00047</v>
      </c>
      <c r="I119" s="16">
        <f>ABS(Solieusap!I119)</f>
        <v>0.00423</v>
      </c>
      <c r="J119" s="16">
        <f>ABS(Solieusap!J119)</f>
        <v>0.04181</v>
      </c>
      <c r="K119" s="16">
        <f t="shared" si="1"/>
        <v>8.3646</v>
      </c>
      <c r="L119" s="16">
        <f t="shared" si="2"/>
        <v>0.00423</v>
      </c>
    </row>
    <row r="120" ht="16.5" customHeight="1">
      <c r="A120" s="14" t="str">
        <f>Solieusap!A120</f>
        <v>175</v>
      </c>
      <c r="B120" s="15">
        <f>Solieusap!B120</f>
        <v>3.6</v>
      </c>
      <c r="C120" s="14" t="str">
        <f>Solieusap!C120</f>
        <v>DEAD1</v>
      </c>
      <c r="D120" s="14" t="str">
        <f>Solieusap!D120</f>
        <v>LinStatic</v>
      </c>
      <c r="E120" s="16">
        <f>ABS(Solieusap!E120)</f>
        <v>8.1666</v>
      </c>
      <c r="F120" s="16">
        <f>ABS(Solieusap!F120)</f>
        <v>0.2079</v>
      </c>
      <c r="G120" s="16">
        <f>ABS(Solieusap!G120)</f>
        <v>0.0662</v>
      </c>
      <c r="H120" s="16">
        <f>ABS(Solieusap!H120)</f>
        <v>0.00047</v>
      </c>
      <c r="I120" s="16">
        <f>ABS(Solieusap!I120)</f>
        <v>0.12337</v>
      </c>
      <c r="J120" s="16">
        <f>ABS(Solieusap!J120)</f>
        <v>0.41609</v>
      </c>
      <c r="K120" s="16">
        <f t="shared" si="1"/>
        <v>8.1666</v>
      </c>
      <c r="L120" s="16">
        <f t="shared" si="2"/>
        <v>0.12337</v>
      </c>
    </row>
    <row r="121" ht="16.5" customHeight="1">
      <c r="A121" s="14" t="str">
        <f>Solieusap!A121</f>
        <v>176</v>
      </c>
      <c r="B121" s="15">
        <f>Solieusap!B121</f>
        <v>0</v>
      </c>
      <c r="C121" s="14" t="str">
        <f>Solieusap!C121</f>
        <v>DEAD1</v>
      </c>
      <c r="D121" s="14" t="str">
        <f>Solieusap!D121</f>
        <v>LinStatic</v>
      </c>
      <c r="E121" s="16">
        <f>ABS(Solieusap!E121)</f>
        <v>18.0624</v>
      </c>
      <c r="F121" s="16">
        <f>ABS(Solieusap!F121)</f>
        <v>0.0459</v>
      </c>
      <c r="G121" s="16">
        <f>ABS(Solieusap!G121)</f>
        <v>0.2365</v>
      </c>
      <c r="H121" s="16">
        <f>ABS(Solieusap!H121)</f>
        <v>0.00031</v>
      </c>
      <c r="I121" s="16">
        <f>ABS(Solieusap!I121)</f>
        <v>0.31451</v>
      </c>
      <c r="J121" s="16">
        <f>ABS(Solieusap!J121)</f>
        <v>0.04128</v>
      </c>
      <c r="K121" s="16">
        <f t="shared" si="1"/>
        <v>18.0624</v>
      </c>
      <c r="L121" s="16">
        <f t="shared" si="2"/>
        <v>0.31451</v>
      </c>
    </row>
    <row r="122" ht="16.5" customHeight="1">
      <c r="A122" s="14" t="str">
        <f>Solieusap!A122</f>
        <v>176</v>
      </c>
      <c r="B122" s="15">
        <f>Solieusap!B122</f>
        <v>1.35</v>
      </c>
      <c r="C122" s="14" t="str">
        <f>Solieusap!C122</f>
        <v>DEAD1</v>
      </c>
      <c r="D122" s="14" t="str">
        <f>Solieusap!D122</f>
        <v>LinStatic</v>
      </c>
      <c r="E122" s="16">
        <f>ABS(Solieusap!E122)</f>
        <v>17.9139</v>
      </c>
      <c r="F122" s="16">
        <f>ABS(Solieusap!F122)</f>
        <v>0.0459</v>
      </c>
      <c r="G122" s="16">
        <f>ABS(Solieusap!G122)</f>
        <v>0.2365</v>
      </c>
      <c r="H122" s="16">
        <f>ABS(Solieusap!H122)</f>
        <v>0.00031</v>
      </c>
      <c r="I122" s="16">
        <f>ABS(Solieusap!I122)</f>
        <v>0.00474</v>
      </c>
      <c r="J122" s="16">
        <f>ABS(Solieusap!J122)</f>
        <v>0.02062</v>
      </c>
      <c r="K122" s="16">
        <f t="shared" si="1"/>
        <v>17.9139</v>
      </c>
      <c r="L122" s="16">
        <f t="shared" si="2"/>
        <v>0.00474</v>
      </c>
    </row>
    <row r="123" ht="16.5" customHeight="1">
      <c r="A123" s="14" t="str">
        <f>Solieusap!A123</f>
        <v>176</v>
      </c>
      <c r="B123" s="15">
        <f>Solieusap!B123</f>
        <v>2.7</v>
      </c>
      <c r="C123" s="14" t="str">
        <f>Solieusap!C123</f>
        <v>DEAD1</v>
      </c>
      <c r="D123" s="14" t="str">
        <f>Solieusap!D123</f>
        <v>LinStatic</v>
      </c>
      <c r="E123" s="16">
        <f>ABS(Solieusap!E123)</f>
        <v>17.7654</v>
      </c>
      <c r="F123" s="16">
        <f>ABS(Solieusap!F123)</f>
        <v>0.0459</v>
      </c>
      <c r="G123" s="16">
        <f>ABS(Solieusap!G123)</f>
        <v>0.2365</v>
      </c>
      <c r="H123" s="16">
        <f>ABS(Solieusap!H123)</f>
        <v>0.00031</v>
      </c>
      <c r="I123" s="16">
        <f>ABS(Solieusap!I123)</f>
        <v>0.324</v>
      </c>
      <c r="J123" s="16">
        <f>ABS(Solieusap!J123)</f>
        <v>0.08252</v>
      </c>
      <c r="K123" s="16">
        <f t="shared" si="1"/>
        <v>17.7654</v>
      </c>
      <c r="L123" s="16">
        <f t="shared" si="2"/>
        <v>0.324</v>
      </c>
    </row>
    <row r="124" ht="16.5" customHeight="1">
      <c r="A124" s="14" t="str">
        <f>Solieusap!A124</f>
        <v>177</v>
      </c>
      <c r="B124" s="15">
        <f>Solieusap!B124</f>
        <v>0</v>
      </c>
      <c r="C124" s="14" t="str">
        <f>Solieusap!C124</f>
        <v>DEAD1</v>
      </c>
      <c r="D124" s="14" t="str">
        <f>Solieusap!D124</f>
        <v>LinStatic</v>
      </c>
      <c r="E124" s="16">
        <f>ABS(Solieusap!E124)</f>
        <v>12.6207</v>
      </c>
      <c r="F124" s="16">
        <f>ABS(Solieusap!F124)</f>
        <v>0.0552</v>
      </c>
      <c r="G124" s="16">
        <f>ABS(Solieusap!G124)</f>
        <v>0.0198</v>
      </c>
      <c r="H124" s="16">
        <f>ABS(Solieusap!H124)</f>
        <v>0.00025</v>
      </c>
      <c r="I124" s="16">
        <f>ABS(Solieusap!I124)</f>
        <v>0.02776</v>
      </c>
      <c r="J124" s="16">
        <f>ABS(Solieusap!J124)</f>
        <v>0.09671</v>
      </c>
      <c r="K124" s="16">
        <f t="shared" si="1"/>
        <v>12.6207</v>
      </c>
      <c r="L124" s="16">
        <f t="shared" si="2"/>
        <v>0.02776</v>
      </c>
    </row>
    <row r="125" ht="16.5" customHeight="1">
      <c r="A125" s="14" t="str">
        <f>Solieusap!A125</f>
        <v>177</v>
      </c>
      <c r="B125" s="15">
        <f>Solieusap!B125</f>
        <v>1.8</v>
      </c>
      <c r="C125" s="14" t="str">
        <f>Solieusap!C125</f>
        <v>DEAD1</v>
      </c>
      <c r="D125" s="14" t="str">
        <f>Solieusap!D125</f>
        <v>LinStatic</v>
      </c>
      <c r="E125" s="16">
        <f>ABS(Solieusap!E125)</f>
        <v>12.4227</v>
      </c>
      <c r="F125" s="16">
        <f>ABS(Solieusap!F125)</f>
        <v>0.0552</v>
      </c>
      <c r="G125" s="16">
        <f>ABS(Solieusap!G125)</f>
        <v>0.0198</v>
      </c>
      <c r="H125" s="16">
        <f>ABS(Solieusap!H125)</f>
        <v>0.00025</v>
      </c>
      <c r="I125" s="16">
        <f>ABS(Solieusap!I125)</f>
        <v>0.0079</v>
      </c>
      <c r="J125" s="16">
        <f>ABS(Solieusap!J125)</f>
        <v>0.00272</v>
      </c>
      <c r="K125" s="16">
        <f t="shared" si="1"/>
        <v>12.4227</v>
      </c>
      <c r="L125" s="16">
        <f t="shared" si="2"/>
        <v>0.0079</v>
      </c>
    </row>
    <row r="126" ht="16.5" customHeight="1">
      <c r="A126" s="14" t="str">
        <f>Solieusap!A126</f>
        <v>177</v>
      </c>
      <c r="B126" s="15">
        <f>Solieusap!B126</f>
        <v>3.6</v>
      </c>
      <c r="C126" s="14" t="str">
        <f>Solieusap!C126</f>
        <v>DEAD1</v>
      </c>
      <c r="D126" s="14" t="str">
        <f>Solieusap!D126</f>
        <v>LinStatic</v>
      </c>
      <c r="E126" s="16">
        <f>ABS(Solieusap!E126)</f>
        <v>12.2247</v>
      </c>
      <c r="F126" s="16">
        <f>ABS(Solieusap!F126)</f>
        <v>0.0552</v>
      </c>
      <c r="G126" s="16">
        <f>ABS(Solieusap!G126)</f>
        <v>0.0198</v>
      </c>
      <c r="H126" s="16">
        <f>ABS(Solieusap!H126)</f>
        <v>0.00025</v>
      </c>
      <c r="I126" s="16">
        <f>ABS(Solieusap!I126)</f>
        <v>0.04357</v>
      </c>
      <c r="J126" s="16">
        <f>ABS(Solieusap!J126)</f>
        <v>0.10215</v>
      </c>
      <c r="K126" s="16">
        <f t="shared" si="1"/>
        <v>12.2247</v>
      </c>
      <c r="L126" s="16">
        <f t="shared" si="2"/>
        <v>0.04357</v>
      </c>
    </row>
    <row r="127" ht="16.5" customHeight="1">
      <c r="A127" s="14" t="str">
        <f>Solieusap!A127</f>
        <v>178</v>
      </c>
      <c r="B127" s="15">
        <f>Solieusap!B127</f>
        <v>0</v>
      </c>
      <c r="C127" s="14" t="str">
        <f>Solieusap!C127</f>
        <v>DEAD1</v>
      </c>
      <c r="D127" s="14" t="str">
        <f>Solieusap!D127</f>
        <v>LinStatic</v>
      </c>
      <c r="E127" s="16">
        <f>ABS(Solieusap!E127)</f>
        <v>6.9281</v>
      </c>
      <c r="F127" s="16">
        <f>ABS(Solieusap!F127)</f>
        <v>0.0266</v>
      </c>
      <c r="G127" s="16">
        <f>ABS(Solieusap!G127)</f>
        <v>0.0352</v>
      </c>
      <c r="H127" s="16">
        <f>ABS(Solieusap!H127)</f>
        <v>0.00183</v>
      </c>
      <c r="I127" s="16">
        <f>ABS(Solieusap!I127)</f>
        <v>0.02364</v>
      </c>
      <c r="J127" s="16">
        <f>ABS(Solieusap!J127)</f>
        <v>0.03646</v>
      </c>
      <c r="K127" s="16">
        <f t="shared" si="1"/>
        <v>6.9281</v>
      </c>
      <c r="L127" s="16">
        <f t="shared" si="2"/>
        <v>0.02364</v>
      </c>
    </row>
    <row r="128" ht="16.5" customHeight="1">
      <c r="A128" s="14" t="str">
        <f>Solieusap!A128</f>
        <v>178</v>
      </c>
      <c r="B128" s="15">
        <f>Solieusap!B128</f>
        <v>1.8</v>
      </c>
      <c r="C128" s="14" t="str">
        <f>Solieusap!C128</f>
        <v>DEAD1</v>
      </c>
      <c r="D128" s="14" t="str">
        <f>Solieusap!D128</f>
        <v>LinStatic</v>
      </c>
      <c r="E128" s="16">
        <f>ABS(Solieusap!E128)</f>
        <v>6.7301</v>
      </c>
      <c r="F128" s="16">
        <f>ABS(Solieusap!F128)</f>
        <v>0.0266</v>
      </c>
      <c r="G128" s="16">
        <f>ABS(Solieusap!G128)</f>
        <v>0.0352</v>
      </c>
      <c r="H128" s="16">
        <f>ABS(Solieusap!H128)</f>
        <v>0.00183</v>
      </c>
      <c r="I128" s="16">
        <f>ABS(Solieusap!I128)</f>
        <v>0.03979</v>
      </c>
      <c r="J128" s="16">
        <f>ABS(Solieusap!J128)</f>
        <v>0.01148</v>
      </c>
      <c r="K128" s="16">
        <f t="shared" si="1"/>
        <v>6.7301</v>
      </c>
      <c r="L128" s="16">
        <f t="shared" si="2"/>
        <v>0.03979</v>
      </c>
    </row>
    <row r="129" ht="16.5" customHeight="1">
      <c r="A129" s="14" t="str">
        <f>Solieusap!A129</f>
        <v>178</v>
      </c>
      <c r="B129" s="15">
        <f>Solieusap!B129</f>
        <v>3.6</v>
      </c>
      <c r="C129" s="14" t="str">
        <f>Solieusap!C129</f>
        <v>DEAD1</v>
      </c>
      <c r="D129" s="14" t="str">
        <f>Solieusap!D129</f>
        <v>LinStatic</v>
      </c>
      <c r="E129" s="16">
        <f>ABS(Solieusap!E129)</f>
        <v>6.5321</v>
      </c>
      <c r="F129" s="16">
        <f>ABS(Solieusap!F129)</f>
        <v>0.0266</v>
      </c>
      <c r="G129" s="16">
        <f>ABS(Solieusap!G129)</f>
        <v>0.0352</v>
      </c>
      <c r="H129" s="16">
        <f>ABS(Solieusap!H129)</f>
        <v>0.00183</v>
      </c>
      <c r="I129" s="16">
        <f>ABS(Solieusap!I129)</f>
        <v>0.10322</v>
      </c>
      <c r="J129" s="16">
        <f>ABS(Solieusap!J129)</f>
        <v>0.05942</v>
      </c>
      <c r="K129" s="16">
        <f t="shared" si="1"/>
        <v>6.5321</v>
      </c>
      <c r="L129" s="16">
        <f t="shared" si="2"/>
        <v>0.10322</v>
      </c>
    </row>
    <row r="130" ht="16.5" customHeight="1">
      <c r="A130" s="14" t="str">
        <f>Solieusap!A130</f>
        <v>179</v>
      </c>
      <c r="B130" s="15">
        <f>Solieusap!B130</f>
        <v>0</v>
      </c>
      <c r="C130" s="14" t="str">
        <f>Solieusap!C130</f>
        <v>DEAD1</v>
      </c>
      <c r="D130" s="14" t="str">
        <f>Solieusap!D130</f>
        <v>LinStatic</v>
      </c>
      <c r="E130" s="16">
        <f>ABS(Solieusap!E130)</f>
        <v>13.3998</v>
      </c>
      <c r="F130" s="16">
        <f>ABS(Solieusap!F130)</f>
        <v>0.0203</v>
      </c>
      <c r="G130" s="16">
        <f>ABS(Solieusap!G130)</f>
        <v>0.2304</v>
      </c>
      <c r="H130" s="16">
        <f>ABS(Solieusap!H130)</f>
        <v>0.001</v>
      </c>
      <c r="I130" s="16">
        <f>ABS(Solieusap!I130)</f>
        <v>0.31138</v>
      </c>
      <c r="J130" s="16">
        <f>ABS(Solieusap!J130)</f>
        <v>0.01793</v>
      </c>
      <c r="K130" s="16">
        <f t="shared" si="1"/>
        <v>13.3998</v>
      </c>
      <c r="L130" s="16">
        <f t="shared" si="2"/>
        <v>0.31138</v>
      </c>
    </row>
    <row r="131" ht="16.5" customHeight="1">
      <c r="A131" s="14" t="str">
        <f>Solieusap!A131</f>
        <v>179</v>
      </c>
      <c r="B131" s="15">
        <f>Solieusap!B131</f>
        <v>1.35</v>
      </c>
      <c r="C131" s="14" t="str">
        <f>Solieusap!C131</f>
        <v>DEAD1</v>
      </c>
      <c r="D131" s="14" t="str">
        <f>Solieusap!D131</f>
        <v>LinStatic</v>
      </c>
      <c r="E131" s="16">
        <f>ABS(Solieusap!E131)</f>
        <v>13.2513</v>
      </c>
      <c r="F131" s="16">
        <f>ABS(Solieusap!F131)</f>
        <v>0.0203</v>
      </c>
      <c r="G131" s="16">
        <f>ABS(Solieusap!G131)</f>
        <v>0.2304</v>
      </c>
      <c r="H131" s="16">
        <f>ABS(Solieusap!H131)</f>
        <v>0.001</v>
      </c>
      <c r="I131" s="16">
        <f>ABS(Solieusap!I131)</f>
        <v>0.00036</v>
      </c>
      <c r="J131" s="16">
        <f>ABS(Solieusap!J131)</f>
        <v>0.00944</v>
      </c>
      <c r="K131" s="16">
        <f t="shared" si="1"/>
        <v>13.2513</v>
      </c>
      <c r="L131" s="16">
        <f t="shared" si="2"/>
        <v>0.00036</v>
      </c>
    </row>
    <row r="132" ht="16.5" customHeight="1">
      <c r="A132" s="14" t="str">
        <f>Solieusap!A132</f>
        <v>179</v>
      </c>
      <c r="B132" s="15">
        <f>Solieusap!B132</f>
        <v>2.7</v>
      </c>
      <c r="C132" s="14" t="str">
        <f>Solieusap!C132</f>
        <v>DEAD1</v>
      </c>
      <c r="D132" s="14" t="str">
        <f>Solieusap!D132</f>
        <v>LinStatic</v>
      </c>
      <c r="E132" s="16">
        <f>ABS(Solieusap!E132)</f>
        <v>13.1028</v>
      </c>
      <c r="F132" s="16">
        <f>ABS(Solieusap!F132)</f>
        <v>0.0203</v>
      </c>
      <c r="G132" s="16">
        <f>ABS(Solieusap!G132)</f>
        <v>0.2304</v>
      </c>
      <c r="H132" s="16">
        <f>ABS(Solieusap!H132)</f>
        <v>0.001</v>
      </c>
      <c r="I132" s="16">
        <f>ABS(Solieusap!I132)</f>
        <v>0.31067</v>
      </c>
      <c r="J132" s="16">
        <f>ABS(Solieusap!J132)</f>
        <v>0.0368</v>
      </c>
      <c r="K132" s="16">
        <f t="shared" si="1"/>
        <v>13.1028</v>
      </c>
      <c r="L132" s="16">
        <f t="shared" si="2"/>
        <v>0.31067</v>
      </c>
    </row>
    <row r="133" ht="16.5" customHeight="1">
      <c r="A133" s="14" t="str">
        <f>Solieusap!A133</f>
        <v>180</v>
      </c>
      <c r="B133" s="15">
        <f>Solieusap!B133</f>
        <v>0</v>
      </c>
      <c r="C133" s="14" t="str">
        <f>Solieusap!C133</f>
        <v>DEAD1</v>
      </c>
      <c r="D133" s="14" t="str">
        <f>Solieusap!D133</f>
        <v>LinStatic</v>
      </c>
      <c r="E133" s="16">
        <f>ABS(Solieusap!E133)</f>
        <v>8.484</v>
      </c>
      <c r="F133" s="16">
        <f>ABS(Solieusap!F133)</f>
        <v>0.0158</v>
      </c>
      <c r="G133" s="16">
        <f>ABS(Solieusap!G133)</f>
        <v>0.0006031</v>
      </c>
      <c r="H133" s="16">
        <f>ABS(Solieusap!H133)</f>
        <v>0.00073</v>
      </c>
      <c r="I133" s="16">
        <f>ABS(Solieusap!I133)</f>
        <v>0.0056</v>
      </c>
      <c r="J133" s="16">
        <f>ABS(Solieusap!J133)</f>
        <v>0.03318</v>
      </c>
      <c r="K133" s="16">
        <f t="shared" si="1"/>
        <v>8.484</v>
      </c>
      <c r="L133" s="16">
        <f t="shared" si="2"/>
        <v>0.0056</v>
      </c>
    </row>
    <row r="134" ht="16.5" customHeight="1">
      <c r="A134" s="14" t="str">
        <f>Solieusap!A134</f>
        <v>180</v>
      </c>
      <c r="B134" s="15">
        <f>Solieusap!B134</f>
        <v>1.8</v>
      </c>
      <c r="C134" s="14" t="str">
        <f>Solieusap!C134</f>
        <v>DEAD1</v>
      </c>
      <c r="D134" s="14" t="str">
        <f>Solieusap!D134</f>
        <v>LinStatic</v>
      </c>
      <c r="E134" s="16">
        <f>ABS(Solieusap!E134)</f>
        <v>8.286</v>
      </c>
      <c r="F134" s="16">
        <f>ABS(Solieusap!F134)</f>
        <v>0.0158</v>
      </c>
      <c r="G134" s="16">
        <f>ABS(Solieusap!G134)</f>
        <v>0.0006031</v>
      </c>
      <c r="H134" s="16">
        <f>ABS(Solieusap!H134)</f>
        <v>0.00073</v>
      </c>
      <c r="I134" s="16">
        <f>ABS(Solieusap!I134)</f>
        <v>0.00451</v>
      </c>
      <c r="J134" s="16">
        <f>ABS(Solieusap!J134)</f>
        <v>0.00467</v>
      </c>
      <c r="K134" s="16">
        <f t="shared" si="1"/>
        <v>8.286</v>
      </c>
      <c r="L134" s="16">
        <f t="shared" si="2"/>
        <v>0.00451</v>
      </c>
    </row>
    <row r="135" ht="16.5" customHeight="1">
      <c r="A135" s="14" t="str">
        <f>Solieusap!A135</f>
        <v>180</v>
      </c>
      <c r="B135" s="15">
        <f>Solieusap!B135</f>
        <v>3.6</v>
      </c>
      <c r="C135" s="14" t="str">
        <f>Solieusap!C135</f>
        <v>DEAD1</v>
      </c>
      <c r="D135" s="14" t="str">
        <f>Solieusap!D135</f>
        <v>LinStatic</v>
      </c>
      <c r="E135" s="16">
        <f>ABS(Solieusap!E135)</f>
        <v>8.088</v>
      </c>
      <c r="F135" s="16">
        <f>ABS(Solieusap!F135)</f>
        <v>0.0158</v>
      </c>
      <c r="G135" s="16">
        <f>ABS(Solieusap!G135)</f>
        <v>0.0006031</v>
      </c>
      <c r="H135" s="16">
        <f>ABS(Solieusap!H135)</f>
        <v>0.00073</v>
      </c>
      <c r="I135" s="16">
        <f>ABS(Solieusap!I135)</f>
        <v>0.00343</v>
      </c>
      <c r="J135" s="16">
        <f>ABS(Solieusap!J135)</f>
        <v>0.02383</v>
      </c>
      <c r="K135" s="16">
        <f t="shared" si="1"/>
        <v>8.088</v>
      </c>
      <c r="L135" s="16">
        <f t="shared" si="2"/>
        <v>0.00343</v>
      </c>
    </row>
    <row r="136" ht="16.5" customHeight="1">
      <c r="A136" s="14" t="str">
        <f>Solieusap!A136</f>
        <v>181</v>
      </c>
      <c r="B136" s="15">
        <f>Solieusap!B136</f>
        <v>0</v>
      </c>
      <c r="C136" s="14" t="str">
        <f>Solieusap!C136</f>
        <v>DEAD1</v>
      </c>
      <c r="D136" s="14" t="str">
        <f>Solieusap!D136</f>
        <v>LinStatic</v>
      </c>
      <c r="E136" s="16">
        <f>ABS(Solieusap!E136)</f>
        <v>3.1421</v>
      </c>
      <c r="F136" s="16">
        <f>ABS(Solieusap!F136)</f>
        <v>0.0538</v>
      </c>
      <c r="G136" s="16">
        <f>ABS(Solieusap!G136)</f>
        <v>0.0228</v>
      </c>
      <c r="H136" s="16">
        <f>ABS(Solieusap!H136)</f>
        <v>0.00108</v>
      </c>
      <c r="I136" s="16">
        <f>ABS(Solieusap!I136)</f>
        <v>0.03039</v>
      </c>
      <c r="J136" s="16">
        <f>ABS(Solieusap!J136)</f>
        <v>0.09385</v>
      </c>
      <c r="K136" s="16">
        <f t="shared" si="1"/>
        <v>3.1421</v>
      </c>
      <c r="L136" s="16">
        <f t="shared" si="2"/>
        <v>0.03039</v>
      </c>
    </row>
    <row r="137" ht="16.5" customHeight="1">
      <c r="A137" s="14" t="str">
        <f>Solieusap!A137</f>
        <v>181</v>
      </c>
      <c r="B137" s="15">
        <f>Solieusap!B137</f>
        <v>1.8</v>
      </c>
      <c r="C137" s="14" t="str">
        <f>Solieusap!C137</f>
        <v>DEAD1</v>
      </c>
      <c r="D137" s="14" t="str">
        <f>Solieusap!D137</f>
        <v>LinStatic</v>
      </c>
      <c r="E137" s="16">
        <f>ABS(Solieusap!E137)</f>
        <v>2.9441</v>
      </c>
      <c r="F137" s="16">
        <f>ABS(Solieusap!F137)</f>
        <v>0.0538</v>
      </c>
      <c r="G137" s="16">
        <f>ABS(Solieusap!G137)</f>
        <v>0.0228</v>
      </c>
      <c r="H137" s="16">
        <f>ABS(Solieusap!H137)</f>
        <v>0.00108</v>
      </c>
      <c r="I137" s="16">
        <f>ABS(Solieusap!I137)</f>
        <v>0.01063</v>
      </c>
      <c r="J137" s="16">
        <f>ABS(Solieusap!J137)</f>
        <v>0.00298</v>
      </c>
      <c r="K137" s="16">
        <f t="shared" si="1"/>
        <v>2.9441</v>
      </c>
      <c r="L137" s="16">
        <f t="shared" si="2"/>
        <v>0.01063</v>
      </c>
    </row>
    <row r="138" ht="16.5" customHeight="1">
      <c r="A138" s="14" t="str">
        <f>Solieusap!A138</f>
        <v>181</v>
      </c>
      <c r="B138" s="15">
        <f>Solieusap!B138</f>
        <v>3.6</v>
      </c>
      <c r="C138" s="14" t="str">
        <f>Solieusap!C138</f>
        <v>DEAD1</v>
      </c>
      <c r="D138" s="14" t="str">
        <f>Solieusap!D138</f>
        <v>LinStatic</v>
      </c>
      <c r="E138" s="16">
        <f>ABS(Solieusap!E138)</f>
        <v>2.7461</v>
      </c>
      <c r="F138" s="16">
        <f>ABS(Solieusap!F138)</f>
        <v>0.0538</v>
      </c>
      <c r="G138" s="16">
        <f>ABS(Solieusap!G138)</f>
        <v>0.0228</v>
      </c>
      <c r="H138" s="16">
        <f>ABS(Solieusap!H138)</f>
        <v>0.00108</v>
      </c>
      <c r="I138" s="16">
        <f>ABS(Solieusap!I138)</f>
        <v>0.05165</v>
      </c>
      <c r="J138" s="16">
        <f>ABS(Solieusap!J138)</f>
        <v>0.09982</v>
      </c>
      <c r="K138" s="16">
        <f t="shared" si="1"/>
        <v>2.7461</v>
      </c>
      <c r="L138" s="16">
        <f t="shared" si="2"/>
        <v>0.05165</v>
      </c>
    </row>
    <row r="139" ht="16.5" customHeight="1">
      <c r="A139" s="14" t="str">
        <f>Solieusap!A139</f>
        <v>182</v>
      </c>
      <c r="B139" s="15">
        <f>Solieusap!B139</f>
        <v>0</v>
      </c>
      <c r="C139" s="14" t="str">
        <f>Solieusap!C139</f>
        <v>DEAD1</v>
      </c>
      <c r="D139" s="14" t="str">
        <f>Solieusap!D139</f>
        <v>LinStatic</v>
      </c>
      <c r="E139" s="16">
        <f>ABS(Solieusap!E139)</f>
        <v>12.6124</v>
      </c>
      <c r="F139" s="16">
        <f>ABS(Solieusap!F139)</f>
        <v>0.0207</v>
      </c>
      <c r="G139" s="16">
        <f>ABS(Solieusap!G139)</f>
        <v>0.1676</v>
      </c>
      <c r="H139" s="16">
        <f>ABS(Solieusap!H139)</f>
        <v>0.00026</v>
      </c>
      <c r="I139" s="16">
        <f>ABS(Solieusap!I139)</f>
        <v>0.25866</v>
      </c>
      <c r="J139" s="16">
        <f>ABS(Solieusap!J139)</f>
        <v>0.01841</v>
      </c>
      <c r="K139" s="16">
        <f t="shared" si="1"/>
        <v>12.6124</v>
      </c>
      <c r="L139" s="16">
        <f t="shared" si="2"/>
        <v>0.25866</v>
      </c>
    </row>
    <row r="140" ht="16.5" customHeight="1">
      <c r="A140" s="14" t="str">
        <f>Solieusap!A140</f>
        <v>182</v>
      </c>
      <c r="B140" s="15">
        <f>Solieusap!B140</f>
        <v>1.35</v>
      </c>
      <c r="C140" s="14" t="str">
        <f>Solieusap!C140</f>
        <v>DEAD1</v>
      </c>
      <c r="D140" s="14" t="str">
        <f>Solieusap!D140</f>
        <v>LinStatic</v>
      </c>
      <c r="E140" s="16">
        <f>ABS(Solieusap!E140)</f>
        <v>12.4639</v>
      </c>
      <c r="F140" s="16">
        <f>ABS(Solieusap!F140)</f>
        <v>0.0207</v>
      </c>
      <c r="G140" s="16">
        <f>ABS(Solieusap!G140)</f>
        <v>0.1676</v>
      </c>
      <c r="H140" s="16">
        <f>ABS(Solieusap!H140)</f>
        <v>0.00026</v>
      </c>
      <c r="I140" s="16">
        <f>ABS(Solieusap!I140)</f>
        <v>0.03236</v>
      </c>
      <c r="J140" s="16">
        <f>ABS(Solieusap!J140)</f>
        <v>0.0095</v>
      </c>
      <c r="K140" s="16">
        <f t="shared" si="1"/>
        <v>12.4639</v>
      </c>
      <c r="L140" s="16">
        <f t="shared" si="2"/>
        <v>0.03236</v>
      </c>
    </row>
    <row r="141" ht="16.5" customHeight="1">
      <c r="A141" s="14" t="str">
        <f>Solieusap!A141</f>
        <v>182</v>
      </c>
      <c r="B141" s="15">
        <f>Solieusap!B141</f>
        <v>2.7</v>
      </c>
      <c r="C141" s="14" t="str">
        <f>Solieusap!C141</f>
        <v>DEAD1</v>
      </c>
      <c r="D141" s="14" t="str">
        <f>Solieusap!D141</f>
        <v>LinStatic</v>
      </c>
      <c r="E141" s="16">
        <f>ABS(Solieusap!E141)</f>
        <v>12.3154</v>
      </c>
      <c r="F141" s="16">
        <f>ABS(Solieusap!F141)</f>
        <v>0.0207</v>
      </c>
      <c r="G141" s="16">
        <f>ABS(Solieusap!G141)</f>
        <v>0.1676</v>
      </c>
      <c r="H141" s="16">
        <f>ABS(Solieusap!H141)</f>
        <v>0.00026</v>
      </c>
      <c r="I141" s="16">
        <f>ABS(Solieusap!I141)</f>
        <v>0.19395</v>
      </c>
      <c r="J141" s="16">
        <f>ABS(Solieusap!J141)</f>
        <v>0.03741</v>
      </c>
      <c r="K141" s="16">
        <f t="shared" si="1"/>
        <v>12.3154</v>
      </c>
      <c r="L141" s="16">
        <f t="shared" si="2"/>
        <v>0.19395</v>
      </c>
    </row>
    <row r="142" ht="16.5" customHeight="1">
      <c r="A142" s="14" t="str">
        <f>Solieusap!A142</f>
        <v>183</v>
      </c>
      <c r="B142" s="15">
        <f>Solieusap!B142</f>
        <v>0</v>
      </c>
      <c r="C142" s="14" t="str">
        <f>Solieusap!C142</f>
        <v>DEAD1</v>
      </c>
      <c r="D142" s="14" t="str">
        <f>Solieusap!D142</f>
        <v>LinStatic</v>
      </c>
      <c r="E142" s="16">
        <f>ABS(Solieusap!E142)</f>
        <v>8.8593</v>
      </c>
      <c r="F142" s="16">
        <f>ABS(Solieusap!F142)</f>
        <v>0.022</v>
      </c>
      <c r="G142" s="16">
        <f>ABS(Solieusap!G142)</f>
        <v>0.0585</v>
      </c>
      <c r="H142" s="16">
        <f>ABS(Solieusap!H142)</f>
        <v>0.00022</v>
      </c>
      <c r="I142" s="16">
        <f>ABS(Solieusap!I142)</f>
        <v>0.12453</v>
      </c>
      <c r="J142" s="16">
        <f>ABS(Solieusap!J142)</f>
        <v>0.04065</v>
      </c>
      <c r="K142" s="16">
        <f t="shared" si="1"/>
        <v>8.8593</v>
      </c>
      <c r="L142" s="16">
        <f t="shared" si="2"/>
        <v>0.12453</v>
      </c>
    </row>
    <row r="143" ht="16.5" customHeight="1">
      <c r="A143" s="14" t="str">
        <f>Solieusap!A143</f>
        <v>183</v>
      </c>
      <c r="B143" s="15">
        <f>Solieusap!B143</f>
        <v>1.8</v>
      </c>
      <c r="C143" s="14" t="str">
        <f>Solieusap!C143</f>
        <v>DEAD1</v>
      </c>
      <c r="D143" s="14" t="str">
        <f>Solieusap!D143</f>
        <v>LinStatic</v>
      </c>
      <c r="E143" s="16">
        <f>ABS(Solieusap!E143)</f>
        <v>8.6613</v>
      </c>
      <c r="F143" s="16">
        <f>ABS(Solieusap!F143)</f>
        <v>0.022</v>
      </c>
      <c r="G143" s="16">
        <f>ABS(Solieusap!G143)</f>
        <v>0.0585</v>
      </c>
      <c r="H143" s="16">
        <f>ABS(Solieusap!H143)</f>
        <v>0.00022</v>
      </c>
      <c r="I143" s="16">
        <f>ABS(Solieusap!I143)</f>
        <v>0.01924</v>
      </c>
      <c r="J143" s="16">
        <f>ABS(Solieusap!J143)</f>
        <v>0.00097</v>
      </c>
      <c r="K143" s="16">
        <f t="shared" si="1"/>
        <v>8.6613</v>
      </c>
      <c r="L143" s="16">
        <f t="shared" si="2"/>
        <v>0.01924</v>
      </c>
    </row>
    <row r="144" ht="16.5" customHeight="1">
      <c r="A144" s="14" t="str">
        <f>Solieusap!A144</f>
        <v>183</v>
      </c>
      <c r="B144" s="15">
        <f>Solieusap!B144</f>
        <v>3.6</v>
      </c>
      <c r="C144" s="14" t="str">
        <f>Solieusap!C144</f>
        <v>DEAD1</v>
      </c>
      <c r="D144" s="14" t="str">
        <f>Solieusap!D144</f>
        <v>LinStatic</v>
      </c>
      <c r="E144" s="16">
        <f>ABS(Solieusap!E144)</f>
        <v>8.4633</v>
      </c>
      <c r="F144" s="16">
        <f>ABS(Solieusap!F144)</f>
        <v>0.022</v>
      </c>
      <c r="G144" s="16">
        <f>ABS(Solieusap!G144)</f>
        <v>0.0585</v>
      </c>
      <c r="H144" s="16">
        <f>ABS(Solieusap!H144)</f>
        <v>0.00022</v>
      </c>
      <c r="I144" s="16">
        <f>ABS(Solieusap!I144)</f>
        <v>0.08605</v>
      </c>
      <c r="J144" s="16">
        <f>ABS(Solieusap!J144)</f>
        <v>0.03871</v>
      </c>
      <c r="K144" s="16">
        <f t="shared" si="1"/>
        <v>8.4633</v>
      </c>
      <c r="L144" s="16">
        <f t="shared" si="2"/>
        <v>0.08605</v>
      </c>
    </row>
    <row r="145" ht="16.5" customHeight="1">
      <c r="A145" s="14" t="str">
        <f>Solieusap!A145</f>
        <v>184</v>
      </c>
      <c r="B145" s="15">
        <f>Solieusap!B145</f>
        <v>0</v>
      </c>
      <c r="C145" s="14" t="str">
        <f>Solieusap!C145</f>
        <v>DEAD1</v>
      </c>
      <c r="D145" s="14" t="str">
        <f>Solieusap!D145</f>
        <v>LinStatic</v>
      </c>
      <c r="E145" s="16">
        <f>ABS(Solieusap!E145)</f>
        <v>3.5786</v>
      </c>
      <c r="F145" s="16">
        <f>ABS(Solieusap!F145)</f>
        <v>0.0032</v>
      </c>
      <c r="G145" s="16">
        <f>ABS(Solieusap!G145)</f>
        <v>0.0467</v>
      </c>
      <c r="H145" s="16">
        <f>ABS(Solieusap!H145)</f>
        <v>0.00037</v>
      </c>
      <c r="I145" s="16">
        <f>ABS(Solieusap!I145)</f>
        <v>0.0822</v>
      </c>
      <c r="J145" s="16">
        <f>ABS(Solieusap!J145)</f>
        <v>0.00371</v>
      </c>
      <c r="K145" s="16">
        <f t="shared" si="1"/>
        <v>3.5786</v>
      </c>
      <c r="L145" s="16">
        <f t="shared" si="2"/>
        <v>0.0822</v>
      </c>
    </row>
    <row r="146" ht="16.5" customHeight="1">
      <c r="A146" s="14" t="str">
        <f>Solieusap!A146</f>
        <v>184</v>
      </c>
      <c r="B146" s="15">
        <f>Solieusap!B146</f>
        <v>1.8</v>
      </c>
      <c r="C146" s="14" t="str">
        <f>Solieusap!C146</f>
        <v>DEAD1</v>
      </c>
      <c r="D146" s="14" t="str">
        <f>Solieusap!D146</f>
        <v>LinStatic</v>
      </c>
      <c r="E146" s="16">
        <f>ABS(Solieusap!E146)</f>
        <v>3.3806</v>
      </c>
      <c r="F146" s="16">
        <f>ABS(Solieusap!F146)</f>
        <v>0.0032</v>
      </c>
      <c r="G146" s="16">
        <f>ABS(Solieusap!G146)</f>
        <v>0.0467</v>
      </c>
      <c r="H146" s="16">
        <f>ABS(Solieusap!H146)</f>
        <v>0.00037</v>
      </c>
      <c r="I146" s="16">
        <f>ABS(Solieusap!I146)</f>
        <v>0.00179</v>
      </c>
      <c r="J146" s="16">
        <f>ABS(Solieusap!J146)</f>
        <v>0.00197</v>
      </c>
      <c r="K146" s="16">
        <f t="shared" si="1"/>
        <v>3.3806</v>
      </c>
      <c r="L146" s="16">
        <f t="shared" si="2"/>
        <v>0.00179</v>
      </c>
    </row>
    <row r="147" ht="16.5" customHeight="1">
      <c r="A147" s="14" t="str">
        <f>Solieusap!A147</f>
        <v>184</v>
      </c>
      <c r="B147" s="15">
        <f>Solieusap!B147</f>
        <v>3.6</v>
      </c>
      <c r="C147" s="14" t="str">
        <f>Solieusap!C147</f>
        <v>DEAD1</v>
      </c>
      <c r="D147" s="14" t="str">
        <f>Solieusap!D147</f>
        <v>LinStatic</v>
      </c>
      <c r="E147" s="16">
        <f>ABS(Solieusap!E147)</f>
        <v>3.1826</v>
      </c>
      <c r="F147" s="16">
        <f>ABS(Solieusap!F147)</f>
        <v>0.0032</v>
      </c>
      <c r="G147" s="16">
        <f>ABS(Solieusap!G147)</f>
        <v>0.0467</v>
      </c>
      <c r="H147" s="16">
        <f>ABS(Solieusap!H147)</f>
        <v>0.00037</v>
      </c>
      <c r="I147" s="16">
        <f>ABS(Solieusap!I147)</f>
        <v>0.08579</v>
      </c>
      <c r="J147" s="16">
        <f>ABS(Solieusap!J147)</f>
        <v>0.00764</v>
      </c>
      <c r="K147" s="16">
        <f t="shared" si="1"/>
        <v>3.1826</v>
      </c>
      <c r="L147" s="16">
        <f t="shared" si="2"/>
        <v>0.08579</v>
      </c>
    </row>
    <row r="148" ht="16.5" customHeight="1">
      <c r="A148" s="14" t="str">
        <f>Solieusap!A148</f>
        <v>185</v>
      </c>
      <c r="B148" s="15">
        <f>Solieusap!B148</f>
        <v>0</v>
      </c>
      <c r="C148" s="14" t="str">
        <f>Solieusap!C148</f>
        <v>DEAD1</v>
      </c>
      <c r="D148" s="14" t="str">
        <f>Solieusap!D148</f>
        <v>LinStatic</v>
      </c>
      <c r="E148" s="16">
        <f>ABS(Solieusap!E148)</f>
        <v>12.6118</v>
      </c>
      <c r="F148" s="16">
        <f>ABS(Solieusap!F148)</f>
        <v>0.0208</v>
      </c>
      <c r="G148" s="16">
        <f>ABS(Solieusap!G148)</f>
        <v>0.1677</v>
      </c>
      <c r="H148" s="16">
        <f>ABS(Solieusap!H148)</f>
        <v>0.00028</v>
      </c>
      <c r="I148" s="16">
        <f>ABS(Solieusap!I148)</f>
        <v>0.25875</v>
      </c>
      <c r="J148" s="16">
        <f>ABS(Solieusap!J148)</f>
        <v>0.01855</v>
      </c>
      <c r="K148" s="16">
        <f t="shared" si="1"/>
        <v>12.6118</v>
      </c>
      <c r="L148" s="16">
        <f t="shared" si="2"/>
        <v>0.25875</v>
      </c>
    </row>
    <row r="149" ht="16.5" customHeight="1">
      <c r="A149" s="14" t="str">
        <f>Solieusap!A149</f>
        <v>185</v>
      </c>
      <c r="B149" s="15">
        <f>Solieusap!B149</f>
        <v>1.35</v>
      </c>
      <c r="C149" s="14" t="str">
        <f>Solieusap!C149</f>
        <v>DEAD1</v>
      </c>
      <c r="D149" s="14" t="str">
        <f>Solieusap!D149</f>
        <v>LinStatic</v>
      </c>
      <c r="E149" s="16">
        <f>ABS(Solieusap!E149)</f>
        <v>12.4633</v>
      </c>
      <c r="F149" s="16">
        <f>ABS(Solieusap!F149)</f>
        <v>0.0208</v>
      </c>
      <c r="G149" s="16">
        <f>ABS(Solieusap!G149)</f>
        <v>0.1677</v>
      </c>
      <c r="H149" s="16">
        <f>ABS(Solieusap!H149)</f>
        <v>0.00028</v>
      </c>
      <c r="I149" s="16">
        <f>ABS(Solieusap!I149)</f>
        <v>0.03237</v>
      </c>
      <c r="J149" s="16">
        <f>ABS(Solieusap!J149)</f>
        <v>0.00953</v>
      </c>
      <c r="K149" s="16">
        <f t="shared" si="1"/>
        <v>12.4633</v>
      </c>
      <c r="L149" s="16">
        <f t="shared" si="2"/>
        <v>0.03237</v>
      </c>
    </row>
    <row r="150" ht="16.5" customHeight="1">
      <c r="A150" s="14" t="str">
        <f>Solieusap!A150</f>
        <v>185</v>
      </c>
      <c r="B150" s="15">
        <f>Solieusap!B150</f>
        <v>2.7</v>
      </c>
      <c r="C150" s="14" t="str">
        <f>Solieusap!C150</f>
        <v>DEAD1</v>
      </c>
      <c r="D150" s="14" t="str">
        <f>Solieusap!D150</f>
        <v>LinStatic</v>
      </c>
      <c r="E150" s="16">
        <f>ABS(Solieusap!E150)</f>
        <v>12.3148</v>
      </c>
      <c r="F150" s="16">
        <f>ABS(Solieusap!F150)</f>
        <v>0.0208</v>
      </c>
      <c r="G150" s="16">
        <f>ABS(Solieusap!G150)</f>
        <v>0.1677</v>
      </c>
      <c r="H150" s="16">
        <f>ABS(Solieusap!H150)</f>
        <v>0.00028</v>
      </c>
      <c r="I150" s="16">
        <f>ABS(Solieusap!I150)</f>
        <v>0.19401</v>
      </c>
      <c r="J150" s="16">
        <f>ABS(Solieusap!J150)</f>
        <v>0.03762</v>
      </c>
      <c r="K150" s="16">
        <f t="shared" si="1"/>
        <v>12.3148</v>
      </c>
      <c r="L150" s="16">
        <f t="shared" si="2"/>
        <v>0.19401</v>
      </c>
    </row>
    <row r="151" ht="16.5" customHeight="1">
      <c r="A151" s="14" t="str">
        <f>Solieusap!A151</f>
        <v>186</v>
      </c>
      <c r="B151" s="15">
        <f>Solieusap!B151</f>
        <v>0</v>
      </c>
      <c r="C151" s="14" t="str">
        <f>Solieusap!C151</f>
        <v>DEAD1</v>
      </c>
      <c r="D151" s="14" t="str">
        <f>Solieusap!D151</f>
        <v>LinStatic</v>
      </c>
      <c r="E151" s="16">
        <f>ABS(Solieusap!E151)</f>
        <v>8.8583</v>
      </c>
      <c r="F151" s="16">
        <f>ABS(Solieusap!F151)</f>
        <v>0.0209</v>
      </c>
      <c r="G151" s="16">
        <f>ABS(Solieusap!G151)</f>
        <v>0.0583</v>
      </c>
      <c r="H151" s="16">
        <f>ABS(Solieusap!H151)</f>
        <v>0.00012</v>
      </c>
      <c r="I151" s="16">
        <f>ABS(Solieusap!I151)</f>
        <v>0.12415</v>
      </c>
      <c r="J151" s="16">
        <f>ABS(Solieusap!J151)</f>
        <v>0.03917</v>
      </c>
      <c r="K151" s="16">
        <f t="shared" si="1"/>
        <v>8.8583</v>
      </c>
      <c r="L151" s="16">
        <f t="shared" si="2"/>
        <v>0.12415</v>
      </c>
    </row>
    <row r="152" ht="16.5" customHeight="1">
      <c r="A152" s="14" t="str">
        <f>Solieusap!A152</f>
        <v>186</v>
      </c>
      <c r="B152" s="15">
        <f>Solieusap!B152</f>
        <v>1.8</v>
      </c>
      <c r="C152" s="14" t="str">
        <f>Solieusap!C152</f>
        <v>DEAD1</v>
      </c>
      <c r="D152" s="14" t="str">
        <f>Solieusap!D152</f>
        <v>LinStatic</v>
      </c>
      <c r="E152" s="16">
        <f>ABS(Solieusap!E152)</f>
        <v>8.6603</v>
      </c>
      <c r="F152" s="16">
        <f>ABS(Solieusap!F152)</f>
        <v>0.0209</v>
      </c>
      <c r="G152" s="16">
        <f>ABS(Solieusap!G152)</f>
        <v>0.0583</v>
      </c>
      <c r="H152" s="16">
        <f>ABS(Solieusap!H152)</f>
        <v>0.00012</v>
      </c>
      <c r="I152" s="16">
        <f>ABS(Solieusap!I152)</f>
        <v>0.01923</v>
      </c>
      <c r="J152" s="16">
        <f>ABS(Solieusap!J152)</f>
        <v>0.00163</v>
      </c>
      <c r="K152" s="16">
        <f t="shared" si="1"/>
        <v>8.6603</v>
      </c>
      <c r="L152" s="16">
        <f t="shared" si="2"/>
        <v>0.01923</v>
      </c>
    </row>
    <row r="153" ht="16.5" customHeight="1">
      <c r="A153" s="14" t="str">
        <f>Solieusap!A153</f>
        <v>186</v>
      </c>
      <c r="B153" s="15">
        <f>Solieusap!B153</f>
        <v>3.6</v>
      </c>
      <c r="C153" s="14" t="str">
        <f>Solieusap!C153</f>
        <v>DEAD1</v>
      </c>
      <c r="D153" s="14" t="str">
        <f>Solieusap!D153</f>
        <v>LinStatic</v>
      </c>
      <c r="E153" s="16">
        <f>ABS(Solieusap!E153)</f>
        <v>8.4623</v>
      </c>
      <c r="F153" s="16">
        <f>ABS(Solieusap!F153)</f>
        <v>0.0209</v>
      </c>
      <c r="G153" s="16">
        <f>ABS(Solieusap!G153)</f>
        <v>0.0583</v>
      </c>
      <c r="H153" s="16">
        <f>ABS(Solieusap!H153)</f>
        <v>0.00012</v>
      </c>
      <c r="I153" s="16">
        <f>ABS(Solieusap!I153)</f>
        <v>0.08569</v>
      </c>
      <c r="J153" s="16">
        <f>ABS(Solieusap!J153)</f>
        <v>0.0359</v>
      </c>
      <c r="K153" s="16">
        <f t="shared" si="1"/>
        <v>8.4623</v>
      </c>
      <c r="L153" s="16">
        <f t="shared" si="2"/>
        <v>0.08569</v>
      </c>
    </row>
    <row r="154" ht="16.5" customHeight="1">
      <c r="A154" s="14" t="str">
        <f>Solieusap!A154</f>
        <v>187</v>
      </c>
      <c r="B154" s="15">
        <f>Solieusap!B154</f>
        <v>0</v>
      </c>
      <c r="C154" s="14" t="str">
        <f>Solieusap!C154</f>
        <v>DEAD1</v>
      </c>
      <c r="D154" s="14" t="str">
        <f>Solieusap!D154</f>
        <v>LinStatic</v>
      </c>
      <c r="E154" s="16">
        <f>ABS(Solieusap!E154)</f>
        <v>3.5819</v>
      </c>
      <c r="F154" s="16">
        <f>ABS(Solieusap!F154)</f>
        <v>0.0282</v>
      </c>
      <c r="G154" s="16">
        <f>ABS(Solieusap!G154)</f>
        <v>0.0455</v>
      </c>
      <c r="H154" s="16">
        <f>ABS(Solieusap!H154)</f>
        <v>0.0003</v>
      </c>
      <c r="I154" s="16">
        <f>ABS(Solieusap!I154)</f>
        <v>0.08002</v>
      </c>
      <c r="J154" s="16">
        <f>ABS(Solieusap!J154)</f>
        <v>0.04826</v>
      </c>
      <c r="K154" s="16">
        <f t="shared" si="1"/>
        <v>3.5819</v>
      </c>
      <c r="L154" s="16">
        <f t="shared" si="2"/>
        <v>0.08002</v>
      </c>
    </row>
    <row r="155" ht="16.5" customHeight="1">
      <c r="A155" s="14" t="str">
        <f>Solieusap!A155</f>
        <v>187</v>
      </c>
      <c r="B155" s="15">
        <f>Solieusap!B155</f>
        <v>1.8</v>
      </c>
      <c r="C155" s="14" t="str">
        <f>Solieusap!C155</f>
        <v>DEAD1</v>
      </c>
      <c r="D155" s="14" t="str">
        <f>Solieusap!D155</f>
        <v>LinStatic</v>
      </c>
      <c r="E155" s="16">
        <f>ABS(Solieusap!E155)</f>
        <v>3.3839</v>
      </c>
      <c r="F155" s="16">
        <f>ABS(Solieusap!F155)</f>
        <v>0.0282</v>
      </c>
      <c r="G155" s="16">
        <f>ABS(Solieusap!G155)</f>
        <v>0.0455</v>
      </c>
      <c r="H155" s="16">
        <f>ABS(Solieusap!H155)</f>
        <v>0.0003</v>
      </c>
      <c r="I155" s="16">
        <f>ABS(Solieusap!I155)</f>
        <v>0.00185</v>
      </c>
      <c r="J155" s="16">
        <f>ABS(Solieusap!J155)</f>
        <v>0.00256</v>
      </c>
      <c r="K155" s="16">
        <f t="shared" si="1"/>
        <v>3.3839</v>
      </c>
      <c r="L155" s="16">
        <f t="shared" si="2"/>
        <v>0.00185</v>
      </c>
    </row>
    <row r="156" ht="16.5" customHeight="1">
      <c r="A156" s="14" t="str">
        <f>Solieusap!A156</f>
        <v>187</v>
      </c>
      <c r="B156" s="15">
        <f>Solieusap!B156</f>
        <v>3.6</v>
      </c>
      <c r="C156" s="14" t="str">
        <f>Solieusap!C156</f>
        <v>DEAD1</v>
      </c>
      <c r="D156" s="14" t="str">
        <f>Solieusap!D156</f>
        <v>LinStatic</v>
      </c>
      <c r="E156" s="16">
        <f>ABS(Solieusap!E156)</f>
        <v>3.1859</v>
      </c>
      <c r="F156" s="16">
        <f>ABS(Solieusap!F156)</f>
        <v>0.0282</v>
      </c>
      <c r="G156" s="16">
        <f>ABS(Solieusap!G156)</f>
        <v>0.0455</v>
      </c>
      <c r="H156" s="16">
        <f>ABS(Solieusap!H156)</f>
        <v>0.0003</v>
      </c>
      <c r="I156" s="16">
        <f>ABS(Solieusap!I156)</f>
        <v>0.08372</v>
      </c>
      <c r="J156" s="16">
        <f>ABS(Solieusap!J156)</f>
        <v>0.05338</v>
      </c>
      <c r="K156" s="16">
        <f t="shared" si="1"/>
        <v>3.1859</v>
      </c>
      <c r="L156" s="16">
        <f t="shared" si="2"/>
        <v>0.08372</v>
      </c>
    </row>
    <row r="157" ht="16.5" customHeight="1">
      <c r="A157" s="14" t="str">
        <f>Solieusap!A157</f>
        <v>188</v>
      </c>
      <c r="B157" s="15">
        <f>Solieusap!B157</f>
        <v>0</v>
      </c>
      <c r="C157" s="14" t="str">
        <f>Solieusap!C157</f>
        <v>DEAD1</v>
      </c>
      <c r="D157" s="14" t="str">
        <f>Solieusap!D157</f>
        <v>LinStatic</v>
      </c>
      <c r="E157" s="16">
        <f>ABS(Solieusap!E157)</f>
        <v>13.3969</v>
      </c>
      <c r="F157" s="16">
        <f>ABS(Solieusap!F157)</f>
        <v>0.0203</v>
      </c>
      <c r="G157" s="16">
        <f>ABS(Solieusap!G157)</f>
        <v>0.2307</v>
      </c>
      <c r="H157" s="16">
        <f>ABS(Solieusap!H157)</f>
        <v>0.00098</v>
      </c>
      <c r="I157" s="16">
        <f>ABS(Solieusap!I157)</f>
        <v>0.3118</v>
      </c>
      <c r="J157" s="16">
        <f>ABS(Solieusap!J157)</f>
        <v>0.01793</v>
      </c>
      <c r="K157" s="16">
        <f t="shared" si="1"/>
        <v>13.3969</v>
      </c>
      <c r="L157" s="16">
        <f t="shared" si="2"/>
        <v>0.3118</v>
      </c>
    </row>
    <row r="158" ht="16.5" customHeight="1">
      <c r="A158" s="14" t="str">
        <f>Solieusap!A158</f>
        <v>188</v>
      </c>
      <c r="B158" s="15">
        <f>Solieusap!B158</f>
        <v>1.35</v>
      </c>
      <c r="C158" s="14" t="str">
        <f>Solieusap!C158</f>
        <v>DEAD1</v>
      </c>
      <c r="D158" s="14" t="str">
        <f>Solieusap!D158</f>
        <v>LinStatic</v>
      </c>
      <c r="E158" s="16">
        <f>ABS(Solieusap!E158)</f>
        <v>13.2484</v>
      </c>
      <c r="F158" s="16">
        <f>ABS(Solieusap!F158)</f>
        <v>0.0203</v>
      </c>
      <c r="G158" s="16">
        <f>ABS(Solieusap!G158)</f>
        <v>0.2307</v>
      </c>
      <c r="H158" s="16">
        <f>ABS(Solieusap!H158)</f>
        <v>0.00098</v>
      </c>
      <c r="I158" s="16">
        <f>ABS(Solieusap!I158)</f>
        <v>0.00038</v>
      </c>
      <c r="J158" s="16">
        <f>ABS(Solieusap!J158)</f>
        <v>0.00948</v>
      </c>
      <c r="K158" s="16">
        <f t="shared" si="1"/>
        <v>13.2484</v>
      </c>
      <c r="L158" s="16">
        <f t="shared" si="2"/>
        <v>0.00038</v>
      </c>
    </row>
    <row r="159" ht="16.5" customHeight="1">
      <c r="A159" s="14" t="str">
        <f>Solieusap!A159</f>
        <v>188</v>
      </c>
      <c r="B159" s="15">
        <f>Solieusap!B159</f>
        <v>2.7</v>
      </c>
      <c r="C159" s="14" t="str">
        <f>Solieusap!C159</f>
        <v>DEAD1</v>
      </c>
      <c r="D159" s="14" t="str">
        <f>Solieusap!D159</f>
        <v>LinStatic</v>
      </c>
      <c r="E159" s="16">
        <f>ABS(Solieusap!E159)</f>
        <v>13.0999</v>
      </c>
      <c r="F159" s="16">
        <f>ABS(Solieusap!F159)</f>
        <v>0.0203</v>
      </c>
      <c r="G159" s="16">
        <f>ABS(Solieusap!G159)</f>
        <v>0.2307</v>
      </c>
      <c r="H159" s="16">
        <f>ABS(Solieusap!H159)</f>
        <v>0.00098</v>
      </c>
      <c r="I159" s="16">
        <f>ABS(Solieusap!I159)</f>
        <v>0.31104</v>
      </c>
      <c r="J159" s="16">
        <f>ABS(Solieusap!J159)</f>
        <v>0.03689</v>
      </c>
      <c r="K159" s="16">
        <f t="shared" si="1"/>
        <v>13.0999</v>
      </c>
      <c r="L159" s="16">
        <f t="shared" si="2"/>
        <v>0.31104</v>
      </c>
    </row>
    <row r="160" ht="16.5" customHeight="1">
      <c r="A160" s="14" t="str">
        <f>Solieusap!A160</f>
        <v>189</v>
      </c>
      <c r="B160" s="15">
        <f>Solieusap!B160</f>
        <v>0</v>
      </c>
      <c r="C160" s="14" t="str">
        <f>Solieusap!C160</f>
        <v>DEAD1</v>
      </c>
      <c r="D160" s="14" t="str">
        <f>Solieusap!D160</f>
        <v>LinStatic</v>
      </c>
      <c r="E160" s="16">
        <f>ABS(Solieusap!E160)</f>
        <v>8.4827</v>
      </c>
      <c r="F160" s="16">
        <f>ABS(Solieusap!F160)</f>
        <v>0.0174</v>
      </c>
      <c r="G160" s="16">
        <f>ABS(Solieusap!G160)</f>
        <v>0.0001291</v>
      </c>
      <c r="H160" s="16">
        <f>ABS(Solieusap!H160)</f>
        <v>0.00083</v>
      </c>
      <c r="I160" s="16">
        <f>ABS(Solieusap!I160)</f>
        <v>0.00418</v>
      </c>
      <c r="J160" s="16">
        <f>ABS(Solieusap!J160)</f>
        <v>0.0352</v>
      </c>
      <c r="K160" s="16">
        <f t="shared" si="1"/>
        <v>8.4827</v>
      </c>
      <c r="L160" s="16">
        <f t="shared" si="2"/>
        <v>0.00418</v>
      </c>
    </row>
    <row r="161" ht="16.5" customHeight="1">
      <c r="A161" s="14" t="str">
        <f>Solieusap!A161</f>
        <v>189</v>
      </c>
      <c r="B161" s="15">
        <f>Solieusap!B161</f>
        <v>1.8</v>
      </c>
      <c r="C161" s="14" t="str">
        <f>Solieusap!C161</f>
        <v>DEAD1</v>
      </c>
      <c r="D161" s="14" t="str">
        <f>Solieusap!D161</f>
        <v>LinStatic</v>
      </c>
      <c r="E161" s="16">
        <f>ABS(Solieusap!E161)</f>
        <v>8.2847</v>
      </c>
      <c r="F161" s="16">
        <f>ABS(Solieusap!F161)</f>
        <v>0.0174</v>
      </c>
      <c r="G161" s="16">
        <f>ABS(Solieusap!G161)</f>
        <v>0.0001291</v>
      </c>
      <c r="H161" s="16">
        <f>ABS(Solieusap!H161)</f>
        <v>0.00083</v>
      </c>
      <c r="I161" s="16">
        <f>ABS(Solieusap!I161)</f>
        <v>0.00442</v>
      </c>
      <c r="J161" s="16">
        <f>ABS(Solieusap!J161)</f>
        <v>0.0039</v>
      </c>
      <c r="K161" s="16">
        <f t="shared" si="1"/>
        <v>8.2847</v>
      </c>
      <c r="L161" s="16">
        <f t="shared" si="2"/>
        <v>0.00442</v>
      </c>
    </row>
    <row r="162" ht="16.5" customHeight="1">
      <c r="A162" s="14" t="str">
        <f>Solieusap!A162</f>
        <v>189</v>
      </c>
      <c r="B162" s="15">
        <f>Solieusap!B162</f>
        <v>3.6</v>
      </c>
      <c r="C162" s="14" t="str">
        <f>Solieusap!C162</f>
        <v>DEAD1</v>
      </c>
      <c r="D162" s="14" t="str">
        <f>Solieusap!D162</f>
        <v>LinStatic</v>
      </c>
      <c r="E162" s="16">
        <f>ABS(Solieusap!E162)</f>
        <v>8.0867</v>
      </c>
      <c r="F162" s="16">
        <f>ABS(Solieusap!F162)</f>
        <v>0.0174</v>
      </c>
      <c r="G162" s="16">
        <f>ABS(Solieusap!G162)</f>
        <v>0.0001291</v>
      </c>
      <c r="H162" s="16">
        <f>ABS(Solieusap!H162)</f>
        <v>0.00083</v>
      </c>
      <c r="I162" s="16">
        <f>ABS(Solieusap!I162)</f>
        <v>0.00465</v>
      </c>
      <c r="J162" s="16">
        <f>ABS(Solieusap!J162)</f>
        <v>0.0274</v>
      </c>
      <c r="K162" s="16">
        <f t="shared" si="1"/>
        <v>8.0867</v>
      </c>
      <c r="L162" s="16">
        <f t="shared" si="2"/>
        <v>0.00465</v>
      </c>
    </row>
    <row r="163" ht="16.5" customHeight="1">
      <c r="A163" s="14" t="str">
        <f>Solieusap!A163</f>
        <v>190</v>
      </c>
      <c r="B163" s="15">
        <f>Solieusap!B163</f>
        <v>0</v>
      </c>
      <c r="C163" s="14" t="str">
        <f>Solieusap!C163</f>
        <v>DEAD1</v>
      </c>
      <c r="D163" s="14" t="str">
        <f>Solieusap!D163</f>
        <v>LinStatic</v>
      </c>
      <c r="E163" s="16">
        <f>ABS(Solieusap!E163)</f>
        <v>3.1378</v>
      </c>
      <c r="F163" s="16">
        <f>ABS(Solieusap!F163)</f>
        <v>0.0281</v>
      </c>
      <c r="G163" s="16">
        <f>ABS(Solieusap!G163)</f>
        <v>0.0138</v>
      </c>
      <c r="H163" s="16">
        <f>ABS(Solieusap!H163)</f>
        <v>0.00119</v>
      </c>
      <c r="I163" s="16">
        <f>ABS(Solieusap!I163)</f>
        <v>0.01426</v>
      </c>
      <c r="J163" s="16">
        <f>ABS(Solieusap!J163)</f>
        <v>0.0486</v>
      </c>
      <c r="K163" s="16">
        <f t="shared" si="1"/>
        <v>3.1378</v>
      </c>
      <c r="L163" s="16">
        <f t="shared" si="2"/>
        <v>0.01426</v>
      </c>
    </row>
    <row r="164" ht="16.5" customHeight="1">
      <c r="A164" s="14" t="str">
        <f>Solieusap!A164</f>
        <v>190</v>
      </c>
      <c r="B164" s="15">
        <f>Solieusap!B164</f>
        <v>1.8</v>
      </c>
      <c r="C164" s="14" t="str">
        <f>Solieusap!C164</f>
        <v>DEAD1</v>
      </c>
      <c r="D164" s="14" t="str">
        <f>Solieusap!D164</f>
        <v>LinStatic</v>
      </c>
      <c r="E164" s="16">
        <f>ABS(Solieusap!E164)</f>
        <v>2.9398</v>
      </c>
      <c r="F164" s="16">
        <f>ABS(Solieusap!F164)</f>
        <v>0.0281</v>
      </c>
      <c r="G164" s="16">
        <f>ABS(Solieusap!G164)</f>
        <v>0.0138</v>
      </c>
      <c r="H164" s="16">
        <f>ABS(Solieusap!H164)</f>
        <v>0.00119</v>
      </c>
      <c r="I164" s="16">
        <f>ABS(Solieusap!I164)</f>
        <v>0.01066</v>
      </c>
      <c r="J164" s="16">
        <f>ABS(Solieusap!J164)</f>
        <v>0.00206</v>
      </c>
      <c r="K164" s="16">
        <f t="shared" si="1"/>
        <v>2.9398</v>
      </c>
      <c r="L164" s="16">
        <f t="shared" si="2"/>
        <v>0.01066</v>
      </c>
    </row>
    <row r="165" ht="16.5" customHeight="1">
      <c r="A165" s="14" t="str">
        <f>Solieusap!A165</f>
        <v>190</v>
      </c>
      <c r="B165" s="15">
        <f>Solieusap!B165</f>
        <v>3.6</v>
      </c>
      <c r="C165" s="14" t="str">
        <f>Solieusap!C165</f>
        <v>DEAD1</v>
      </c>
      <c r="D165" s="14" t="str">
        <f>Solieusap!D165</f>
        <v>LinStatic</v>
      </c>
      <c r="E165" s="16">
        <f>ABS(Solieusap!E165)</f>
        <v>2.7418</v>
      </c>
      <c r="F165" s="16">
        <f>ABS(Solieusap!F165)</f>
        <v>0.0281</v>
      </c>
      <c r="G165" s="16">
        <f>ABS(Solieusap!G165)</f>
        <v>0.0138</v>
      </c>
      <c r="H165" s="16">
        <f>ABS(Solieusap!H165)</f>
        <v>0.00119</v>
      </c>
      <c r="I165" s="16">
        <f>ABS(Solieusap!I165)</f>
        <v>0.03558</v>
      </c>
      <c r="J165" s="16">
        <f>ABS(Solieusap!J165)</f>
        <v>0.05273</v>
      </c>
      <c r="K165" s="16">
        <f t="shared" si="1"/>
        <v>2.7418</v>
      </c>
      <c r="L165" s="16">
        <f t="shared" si="2"/>
        <v>0.03558</v>
      </c>
    </row>
    <row r="166" ht="16.5" customHeight="1">
      <c r="A166" s="14" t="str">
        <f>Solieusap!A166</f>
        <v>191</v>
      </c>
      <c r="B166" s="15">
        <f>Solieusap!B166</f>
        <v>0</v>
      </c>
      <c r="C166" s="14" t="str">
        <f>Solieusap!C166</f>
        <v>DEAD1</v>
      </c>
      <c r="D166" s="14" t="str">
        <f>Solieusap!D166</f>
        <v>LinStatic</v>
      </c>
      <c r="E166" s="16">
        <f>ABS(Solieusap!E166)</f>
        <v>17.9089</v>
      </c>
      <c r="F166" s="16">
        <f>ABS(Solieusap!F166)</f>
        <v>0.0455</v>
      </c>
      <c r="G166" s="16">
        <f>ABS(Solieusap!G166)</f>
        <v>0.2374</v>
      </c>
      <c r="H166" s="16">
        <f>ABS(Solieusap!H166)</f>
        <v>0.00029</v>
      </c>
      <c r="I166" s="16">
        <f>ABS(Solieusap!I166)</f>
        <v>0.31557</v>
      </c>
      <c r="J166" s="16">
        <f>ABS(Solieusap!J166)</f>
        <v>0.04099</v>
      </c>
      <c r="K166" s="16">
        <f t="shared" si="1"/>
        <v>17.9089</v>
      </c>
      <c r="L166" s="16">
        <f t="shared" si="2"/>
        <v>0.31557</v>
      </c>
    </row>
    <row r="167" ht="16.5" customHeight="1">
      <c r="A167" s="14" t="str">
        <f>Solieusap!A167</f>
        <v>191</v>
      </c>
      <c r="B167" s="15">
        <f>Solieusap!B167</f>
        <v>1.35</v>
      </c>
      <c r="C167" s="14" t="str">
        <f>Solieusap!C167</f>
        <v>DEAD1</v>
      </c>
      <c r="D167" s="14" t="str">
        <f>Solieusap!D167</f>
        <v>LinStatic</v>
      </c>
      <c r="E167" s="16">
        <f>ABS(Solieusap!E167)</f>
        <v>17.7604</v>
      </c>
      <c r="F167" s="16">
        <f>ABS(Solieusap!F167)</f>
        <v>0.0455</v>
      </c>
      <c r="G167" s="16">
        <f>ABS(Solieusap!G167)</f>
        <v>0.2374</v>
      </c>
      <c r="H167" s="16">
        <f>ABS(Solieusap!H167)</f>
        <v>0.00029</v>
      </c>
      <c r="I167" s="16">
        <f>ABS(Solieusap!I167)</f>
        <v>0.00495</v>
      </c>
      <c r="J167" s="16">
        <f>ABS(Solieusap!J167)</f>
        <v>0.02043</v>
      </c>
      <c r="K167" s="16">
        <f t="shared" si="1"/>
        <v>17.7604</v>
      </c>
      <c r="L167" s="16">
        <f t="shared" si="2"/>
        <v>0.00495</v>
      </c>
    </row>
    <row r="168" ht="16.5" customHeight="1">
      <c r="A168" s="14" t="str">
        <f>Solieusap!A168</f>
        <v>191</v>
      </c>
      <c r="B168" s="15">
        <f>Solieusap!B168</f>
        <v>2.7</v>
      </c>
      <c r="C168" s="14" t="str">
        <f>Solieusap!C168</f>
        <v>DEAD1</v>
      </c>
      <c r="D168" s="14" t="str">
        <f>Solieusap!D168</f>
        <v>LinStatic</v>
      </c>
      <c r="E168" s="16">
        <f>ABS(Solieusap!E168)</f>
        <v>17.6119</v>
      </c>
      <c r="F168" s="16">
        <f>ABS(Solieusap!F168)</f>
        <v>0.0455</v>
      </c>
      <c r="G168" s="16">
        <f>ABS(Solieusap!G168)</f>
        <v>0.2374</v>
      </c>
      <c r="H168" s="16">
        <f>ABS(Solieusap!H168)</f>
        <v>0.00029</v>
      </c>
      <c r="I168" s="16">
        <f>ABS(Solieusap!I168)</f>
        <v>0.32547</v>
      </c>
      <c r="J168" s="16">
        <f>ABS(Solieusap!J168)</f>
        <v>0.08185</v>
      </c>
      <c r="K168" s="16">
        <f t="shared" si="1"/>
        <v>17.6119</v>
      </c>
      <c r="L168" s="16">
        <f t="shared" si="2"/>
        <v>0.32547</v>
      </c>
    </row>
    <row r="169" ht="16.5" customHeight="1">
      <c r="A169" s="14" t="str">
        <f>Solieusap!A169</f>
        <v>192</v>
      </c>
      <c r="B169" s="15">
        <f>Solieusap!B169</f>
        <v>0</v>
      </c>
      <c r="C169" s="14" t="str">
        <f>Solieusap!C169</f>
        <v>DEAD1</v>
      </c>
      <c r="D169" s="14" t="str">
        <f>Solieusap!D169</f>
        <v>LinStatic</v>
      </c>
      <c r="E169" s="16">
        <f>ABS(Solieusap!E169)</f>
        <v>12.4537</v>
      </c>
      <c r="F169" s="16">
        <f>ABS(Solieusap!F169)</f>
        <v>0.0538</v>
      </c>
      <c r="G169" s="16">
        <f>ABS(Solieusap!G169)</f>
        <v>0.0216</v>
      </c>
      <c r="H169" s="16">
        <f>ABS(Solieusap!H169)</f>
        <v>0.00033</v>
      </c>
      <c r="I169" s="16">
        <f>ABS(Solieusap!I169)</f>
        <v>0.03105</v>
      </c>
      <c r="J169" s="16">
        <f>ABS(Solieusap!J169)</f>
        <v>0.09463</v>
      </c>
      <c r="K169" s="16">
        <f t="shared" si="1"/>
        <v>12.4537</v>
      </c>
      <c r="L169" s="16">
        <f t="shared" si="2"/>
        <v>0.03105</v>
      </c>
    </row>
    <row r="170" ht="16.5" customHeight="1">
      <c r="A170" s="14" t="str">
        <f>Solieusap!A170</f>
        <v>192</v>
      </c>
      <c r="B170" s="15">
        <f>Solieusap!B170</f>
        <v>1.8</v>
      </c>
      <c r="C170" s="14" t="str">
        <f>Solieusap!C170</f>
        <v>DEAD1</v>
      </c>
      <c r="D170" s="14" t="str">
        <f>Solieusap!D170</f>
        <v>LinStatic</v>
      </c>
      <c r="E170" s="16">
        <f>ABS(Solieusap!E170)</f>
        <v>12.2557</v>
      </c>
      <c r="F170" s="16">
        <f>ABS(Solieusap!F170)</f>
        <v>0.0538</v>
      </c>
      <c r="G170" s="16">
        <f>ABS(Solieusap!G170)</f>
        <v>0.0216</v>
      </c>
      <c r="H170" s="16">
        <f>ABS(Solieusap!H170)</f>
        <v>0.00033</v>
      </c>
      <c r="I170" s="16">
        <f>ABS(Solieusap!I170)</f>
        <v>0.0079</v>
      </c>
      <c r="J170" s="16">
        <f>ABS(Solieusap!J170)</f>
        <v>0.00225</v>
      </c>
      <c r="K170" s="16">
        <f t="shared" si="1"/>
        <v>12.2557</v>
      </c>
      <c r="L170" s="16">
        <f t="shared" si="2"/>
        <v>0.0079</v>
      </c>
    </row>
    <row r="171" ht="16.5" customHeight="1">
      <c r="A171" s="14" t="str">
        <f>Solieusap!A171</f>
        <v>192</v>
      </c>
      <c r="B171" s="15">
        <f>Solieusap!B171</f>
        <v>3.6</v>
      </c>
      <c r="C171" s="14" t="str">
        <f>Solieusap!C171</f>
        <v>DEAD1</v>
      </c>
      <c r="D171" s="14" t="str">
        <f>Solieusap!D171</f>
        <v>LinStatic</v>
      </c>
      <c r="E171" s="16">
        <f>ABS(Solieusap!E171)</f>
        <v>12.0577</v>
      </c>
      <c r="F171" s="16">
        <f>ABS(Solieusap!F171)</f>
        <v>0.0538</v>
      </c>
      <c r="G171" s="16">
        <f>ABS(Solieusap!G171)</f>
        <v>0.0216</v>
      </c>
      <c r="H171" s="16">
        <f>ABS(Solieusap!H171)</f>
        <v>0.00033</v>
      </c>
      <c r="I171" s="16">
        <f>ABS(Solieusap!I171)</f>
        <v>0.04685</v>
      </c>
      <c r="J171" s="16">
        <f>ABS(Solieusap!J171)</f>
        <v>0.09914</v>
      </c>
      <c r="K171" s="16">
        <f t="shared" si="1"/>
        <v>12.0577</v>
      </c>
      <c r="L171" s="16">
        <f t="shared" si="2"/>
        <v>0.04685</v>
      </c>
    </row>
    <row r="172" ht="16.5" customHeight="1">
      <c r="A172" s="14" t="str">
        <f>Solieusap!A172</f>
        <v>193</v>
      </c>
      <c r="B172" s="15">
        <f>Solieusap!B172</f>
        <v>0</v>
      </c>
      <c r="C172" s="14" t="str">
        <f>Solieusap!C172</f>
        <v>DEAD1</v>
      </c>
      <c r="D172" s="14" t="str">
        <f>Solieusap!D172</f>
        <v>LinStatic</v>
      </c>
      <c r="E172" s="16">
        <f>ABS(Solieusap!E172)</f>
        <v>6.7331</v>
      </c>
      <c r="F172" s="16">
        <f>ABS(Solieusap!F172)</f>
        <v>0.0494</v>
      </c>
      <c r="G172" s="16">
        <f>ABS(Solieusap!G172)</f>
        <v>0.0203</v>
      </c>
      <c r="H172" s="16">
        <f>ABS(Solieusap!H172)</f>
        <v>0.00094</v>
      </c>
      <c r="I172" s="16">
        <f>ABS(Solieusap!I172)</f>
        <v>0.00274</v>
      </c>
      <c r="J172" s="16">
        <f>ABS(Solieusap!J172)</f>
        <v>0.07909</v>
      </c>
      <c r="K172" s="16">
        <f t="shared" si="1"/>
        <v>6.7331</v>
      </c>
      <c r="L172" s="16">
        <f t="shared" si="2"/>
        <v>0.00274</v>
      </c>
    </row>
    <row r="173" ht="16.5" customHeight="1">
      <c r="A173" s="14" t="str">
        <f>Solieusap!A173</f>
        <v>193</v>
      </c>
      <c r="B173" s="15">
        <f>Solieusap!B173</f>
        <v>1.8</v>
      </c>
      <c r="C173" s="14" t="str">
        <f>Solieusap!C173</f>
        <v>DEAD1</v>
      </c>
      <c r="D173" s="14" t="str">
        <f>Solieusap!D173</f>
        <v>LinStatic</v>
      </c>
      <c r="E173" s="16">
        <f>ABS(Solieusap!E173)</f>
        <v>6.5351</v>
      </c>
      <c r="F173" s="16">
        <f>ABS(Solieusap!F173)</f>
        <v>0.0494</v>
      </c>
      <c r="G173" s="16">
        <f>ABS(Solieusap!G173)</f>
        <v>0.0203</v>
      </c>
      <c r="H173" s="16">
        <f>ABS(Solieusap!H173)</f>
        <v>0.00094</v>
      </c>
      <c r="I173" s="16">
        <f>ABS(Solieusap!I173)</f>
        <v>0.03934</v>
      </c>
      <c r="J173" s="16">
        <f>ABS(Solieusap!J173)</f>
        <v>0.00989</v>
      </c>
      <c r="K173" s="16">
        <f t="shared" si="1"/>
        <v>6.5351</v>
      </c>
      <c r="L173" s="16">
        <f t="shared" si="2"/>
        <v>0.03934</v>
      </c>
    </row>
    <row r="174" ht="16.5" customHeight="1">
      <c r="A174" s="14" t="str">
        <f>Solieusap!A174</f>
        <v>193</v>
      </c>
      <c r="B174" s="15">
        <f>Solieusap!B174</f>
        <v>3.6</v>
      </c>
      <c r="C174" s="14" t="str">
        <f>Solieusap!C174</f>
        <v>DEAD1</v>
      </c>
      <c r="D174" s="14" t="str">
        <f>Solieusap!D174</f>
        <v>LinStatic</v>
      </c>
      <c r="E174" s="16">
        <f>ABS(Solieusap!E174)</f>
        <v>6.3371</v>
      </c>
      <c r="F174" s="16">
        <f>ABS(Solieusap!F174)</f>
        <v>0.0494</v>
      </c>
      <c r="G174" s="16">
        <f>ABS(Solieusap!G174)</f>
        <v>0.0203</v>
      </c>
      <c r="H174" s="16">
        <f>ABS(Solieusap!H174)</f>
        <v>0.00094</v>
      </c>
      <c r="I174" s="16">
        <f>ABS(Solieusap!I174)</f>
        <v>0.07594</v>
      </c>
      <c r="J174" s="16">
        <f>ABS(Solieusap!J174)</f>
        <v>0.09888</v>
      </c>
      <c r="K174" s="16">
        <f t="shared" si="1"/>
        <v>6.3371</v>
      </c>
      <c r="L174" s="16">
        <f t="shared" si="2"/>
        <v>0.07594</v>
      </c>
    </row>
    <row r="175" ht="16.5" customHeight="1">
      <c r="A175" s="14" t="str">
        <f>Solieusap!A175</f>
        <v>194</v>
      </c>
      <c r="B175" s="15">
        <f>Solieusap!B175</f>
        <v>0</v>
      </c>
      <c r="C175" s="14" t="str">
        <f>Solieusap!C175</f>
        <v>DEAD1</v>
      </c>
      <c r="D175" s="14" t="str">
        <f>Solieusap!D175</f>
        <v>LinStatic</v>
      </c>
      <c r="E175" s="16">
        <f>ABS(Solieusap!E175)</f>
        <v>15.3773</v>
      </c>
      <c r="F175" s="16">
        <f>ABS(Solieusap!F175)</f>
        <v>0.0759</v>
      </c>
      <c r="G175" s="16">
        <f>ABS(Solieusap!G175)</f>
        <v>0.2239</v>
      </c>
      <c r="H175" s="16">
        <f>ABS(Solieusap!H175)</f>
        <v>0.00091</v>
      </c>
      <c r="I175" s="16">
        <f>ABS(Solieusap!I175)</f>
        <v>0.2994</v>
      </c>
      <c r="J175" s="16">
        <f>ABS(Solieusap!J175)</f>
        <v>0.0673</v>
      </c>
      <c r="K175" s="16">
        <f t="shared" si="1"/>
        <v>15.3773</v>
      </c>
      <c r="L175" s="16">
        <f t="shared" si="2"/>
        <v>0.2994</v>
      </c>
    </row>
    <row r="176" ht="16.5" customHeight="1">
      <c r="A176" s="14" t="str">
        <f>Solieusap!A176</f>
        <v>194</v>
      </c>
      <c r="B176" s="15">
        <f>Solieusap!B176</f>
        <v>1.35</v>
      </c>
      <c r="C176" s="14" t="str">
        <f>Solieusap!C176</f>
        <v>DEAD1</v>
      </c>
      <c r="D176" s="14" t="str">
        <f>Solieusap!D176</f>
        <v>LinStatic</v>
      </c>
      <c r="E176" s="16">
        <f>ABS(Solieusap!E176)</f>
        <v>15.2288</v>
      </c>
      <c r="F176" s="16">
        <f>ABS(Solieusap!F176)</f>
        <v>0.0759</v>
      </c>
      <c r="G176" s="16">
        <f>ABS(Solieusap!G176)</f>
        <v>0.2239</v>
      </c>
      <c r="H176" s="16">
        <f>ABS(Solieusap!H176)</f>
        <v>0.00091</v>
      </c>
      <c r="I176" s="16">
        <f>ABS(Solieusap!I176)</f>
        <v>0.00289</v>
      </c>
      <c r="J176" s="16">
        <f>ABS(Solieusap!J176)</f>
        <v>0.03517</v>
      </c>
      <c r="K176" s="16">
        <f t="shared" si="1"/>
        <v>15.2288</v>
      </c>
      <c r="L176" s="16">
        <f t="shared" si="2"/>
        <v>0.00289</v>
      </c>
    </row>
    <row r="177" ht="16.5" customHeight="1">
      <c r="A177" s="14" t="str">
        <f>Solieusap!A177</f>
        <v>194</v>
      </c>
      <c r="B177" s="15">
        <f>Solieusap!B177</f>
        <v>2.7</v>
      </c>
      <c r="C177" s="14" t="str">
        <f>Solieusap!C177</f>
        <v>DEAD1</v>
      </c>
      <c r="D177" s="14" t="str">
        <f>Solieusap!D177</f>
        <v>LinStatic</v>
      </c>
      <c r="E177" s="16">
        <f>ABS(Solieusap!E177)</f>
        <v>15.0803</v>
      </c>
      <c r="F177" s="16">
        <f>ABS(Solieusap!F177)</f>
        <v>0.0759</v>
      </c>
      <c r="G177" s="16">
        <f>ABS(Solieusap!G177)</f>
        <v>0.2239</v>
      </c>
      <c r="H177" s="16">
        <f>ABS(Solieusap!H177)</f>
        <v>0.00091</v>
      </c>
      <c r="I177" s="16">
        <f>ABS(Solieusap!I177)</f>
        <v>0.30519</v>
      </c>
      <c r="J177" s="16">
        <f>ABS(Solieusap!J177)</f>
        <v>0.13763</v>
      </c>
      <c r="K177" s="16">
        <f t="shared" si="1"/>
        <v>15.0803</v>
      </c>
      <c r="L177" s="16">
        <f t="shared" si="2"/>
        <v>0.30519</v>
      </c>
    </row>
    <row r="178" ht="16.5" customHeight="1">
      <c r="A178" s="14" t="str">
        <f>Solieusap!A178</f>
        <v>195</v>
      </c>
      <c r="B178" s="15">
        <f>Solieusap!B178</f>
        <v>0</v>
      </c>
      <c r="C178" s="14" t="str">
        <f>Solieusap!C178</f>
        <v>DEAD1</v>
      </c>
      <c r="D178" s="14" t="str">
        <f>Solieusap!D178</f>
        <v>LinStatic</v>
      </c>
      <c r="E178" s="16">
        <f>ABS(Solieusap!E178)</f>
        <v>11.6553</v>
      </c>
      <c r="F178" s="16">
        <f>ABS(Solieusap!F178)</f>
        <v>0.0803</v>
      </c>
      <c r="G178" s="16">
        <f>ABS(Solieusap!G178)</f>
        <v>0.0151</v>
      </c>
      <c r="H178" s="16">
        <f>ABS(Solieusap!H178)</f>
        <v>0.0008</v>
      </c>
      <c r="I178" s="16">
        <f>ABS(Solieusap!I178)</f>
        <v>0.02298</v>
      </c>
      <c r="J178" s="16">
        <f>ABS(Solieusap!J178)</f>
        <v>0.14912</v>
      </c>
      <c r="K178" s="16">
        <f t="shared" si="1"/>
        <v>11.6553</v>
      </c>
      <c r="L178" s="16">
        <f t="shared" si="2"/>
        <v>0.02298</v>
      </c>
    </row>
    <row r="179" ht="16.5" customHeight="1">
      <c r="A179" s="14" t="str">
        <f>Solieusap!A179</f>
        <v>195</v>
      </c>
      <c r="B179" s="15">
        <f>Solieusap!B179</f>
        <v>1.8</v>
      </c>
      <c r="C179" s="14" t="str">
        <f>Solieusap!C179</f>
        <v>DEAD1</v>
      </c>
      <c r="D179" s="14" t="str">
        <f>Solieusap!D179</f>
        <v>LinStatic</v>
      </c>
      <c r="E179" s="16">
        <f>ABS(Solieusap!E179)</f>
        <v>11.4573</v>
      </c>
      <c r="F179" s="16">
        <f>ABS(Solieusap!F179)</f>
        <v>0.0803</v>
      </c>
      <c r="G179" s="16">
        <f>ABS(Solieusap!G179)</f>
        <v>0.0151</v>
      </c>
      <c r="H179" s="16">
        <f>ABS(Solieusap!H179)</f>
        <v>0.0008</v>
      </c>
      <c r="I179" s="16">
        <f>ABS(Solieusap!I179)</f>
        <v>0.00411</v>
      </c>
      <c r="J179" s="16">
        <f>ABS(Solieusap!J179)</f>
        <v>0.00453</v>
      </c>
      <c r="K179" s="16">
        <f t="shared" si="1"/>
        <v>11.4573</v>
      </c>
      <c r="L179" s="16">
        <f t="shared" si="2"/>
        <v>0.00411</v>
      </c>
    </row>
    <row r="180" ht="16.5" customHeight="1">
      <c r="A180" s="14" t="str">
        <f>Solieusap!A180</f>
        <v>195</v>
      </c>
      <c r="B180" s="15">
        <f>Solieusap!B180</f>
        <v>3.6</v>
      </c>
      <c r="C180" s="14" t="str">
        <f>Solieusap!C180</f>
        <v>DEAD1</v>
      </c>
      <c r="D180" s="14" t="str">
        <f>Solieusap!D180</f>
        <v>LinStatic</v>
      </c>
      <c r="E180" s="16">
        <f>ABS(Solieusap!E180)</f>
        <v>11.2593</v>
      </c>
      <c r="F180" s="16">
        <f>ABS(Solieusap!F180)</f>
        <v>0.0803</v>
      </c>
      <c r="G180" s="16">
        <f>ABS(Solieusap!G180)</f>
        <v>0.0151</v>
      </c>
      <c r="H180" s="16">
        <f>ABS(Solieusap!H180)</f>
        <v>0.0008</v>
      </c>
      <c r="I180" s="16">
        <f>ABS(Solieusap!I180)</f>
        <v>0.03121</v>
      </c>
      <c r="J180" s="16">
        <f>ABS(Solieusap!J180)</f>
        <v>0.14006</v>
      </c>
      <c r="K180" s="16">
        <f t="shared" si="1"/>
        <v>11.2593</v>
      </c>
      <c r="L180" s="16">
        <f t="shared" si="2"/>
        <v>0.03121</v>
      </c>
    </row>
    <row r="181" ht="16.5" customHeight="1">
      <c r="A181" s="14" t="str">
        <f>Solieusap!A181</f>
        <v>196</v>
      </c>
      <c r="B181" s="15">
        <f>Solieusap!B181</f>
        <v>0</v>
      </c>
      <c r="C181" s="14" t="str">
        <f>Solieusap!C181</f>
        <v>DEAD1</v>
      </c>
      <c r="D181" s="14" t="str">
        <f>Solieusap!D181</f>
        <v>LinStatic</v>
      </c>
      <c r="E181" s="16">
        <f>ABS(Solieusap!E181)</f>
        <v>7.7639</v>
      </c>
      <c r="F181" s="16">
        <f>ABS(Solieusap!F181)</f>
        <v>0.1653</v>
      </c>
      <c r="G181" s="16">
        <f>ABS(Solieusap!G181)</f>
        <v>0.0444</v>
      </c>
      <c r="H181" s="16">
        <f>ABS(Solieusap!H181)</f>
        <v>0.0028</v>
      </c>
      <c r="I181" s="16">
        <f>ABS(Solieusap!I181)</f>
        <v>0.07807</v>
      </c>
      <c r="J181" s="16">
        <f>ABS(Solieusap!J181)</f>
        <v>0.26956</v>
      </c>
      <c r="K181" s="16">
        <f t="shared" si="1"/>
        <v>7.7639</v>
      </c>
      <c r="L181" s="16">
        <f t="shared" si="2"/>
        <v>0.07807</v>
      </c>
    </row>
    <row r="182" ht="16.5" customHeight="1">
      <c r="A182" s="14" t="str">
        <f>Solieusap!A182</f>
        <v>196</v>
      </c>
      <c r="B182" s="15">
        <f>Solieusap!B182</f>
        <v>1.8</v>
      </c>
      <c r="C182" s="14" t="str">
        <f>Solieusap!C182</f>
        <v>DEAD1</v>
      </c>
      <c r="D182" s="14" t="str">
        <f>Solieusap!D182</f>
        <v>LinStatic</v>
      </c>
      <c r="E182" s="16">
        <f>ABS(Solieusap!E182)</f>
        <v>7.5659</v>
      </c>
      <c r="F182" s="16">
        <f>ABS(Solieusap!F182)</f>
        <v>0.1653</v>
      </c>
      <c r="G182" s="16">
        <f>ABS(Solieusap!G182)</f>
        <v>0.0444</v>
      </c>
      <c r="H182" s="16">
        <f>ABS(Solieusap!H182)</f>
        <v>0.0028</v>
      </c>
      <c r="I182" s="16">
        <f>ABS(Solieusap!I182)</f>
        <v>0.0018</v>
      </c>
      <c r="J182" s="16">
        <f>ABS(Solieusap!J182)</f>
        <v>0.02803</v>
      </c>
      <c r="K182" s="16">
        <f t="shared" si="1"/>
        <v>7.5659</v>
      </c>
      <c r="L182" s="16">
        <f t="shared" si="2"/>
        <v>0.0018</v>
      </c>
    </row>
    <row r="183" ht="16.5" customHeight="1">
      <c r="A183" s="14" t="str">
        <f>Solieusap!A183</f>
        <v>196</v>
      </c>
      <c r="B183" s="15">
        <f>Solieusap!B183</f>
        <v>3.6</v>
      </c>
      <c r="C183" s="14" t="str">
        <f>Solieusap!C183</f>
        <v>DEAD1</v>
      </c>
      <c r="D183" s="14" t="str">
        <f>Solieusap!D183</f>
        <v>LinStatic</v>
      </c>
      <c r="E183" s="16">
        <f>ABS(Solieusap!E183)</f>
        <v>7.3679</v>
      </c>
      <c r="F183" s="16">
        <f>ABS(Solieusap!F183)</f>
        <v>0.1653</v>
      </c>
      <c r="G183" s="16">
        <f>ABS(Solieusap!G183)</f>
        <v>0.0444</v>
      </c>
      <c r="H183" s="16">
        <f>ABS(Solieusap!H183)</f>
        <v>0.0028</v>
      </c>
      <c r="I183" s="16">
        <f>ABS(Solieusap!I183)</f>
        <v>0.08166</v>
      </c>
      <c r="J183" s="16">
        <f>ABS(Solieusap!J183)</f>
        <v>0.32561</v>
      </c>
      <c r="K183" s="16">
        <f t="shared" si="1"/>
        <v>7.3679</v>
      </c>
      <c r="L183" s="16">
        <f t="shared" si="2"/>
        <v>0.08166</v>
      </c>
    </row>
    <row r="184" ht="16.5" customHeight="1">
      <c r="A184" s="14" t="str">
        <f>Solieusap!A184</f>
        <v>197</v>
      </c>
      <c r="B184" s="15">
        <f>Solieusap!B184</f>
        <v>0</v>
      </c>
      <c r="C184" s="14" t="str">
        <f>Solieusap!C184</f>
        <v>DEAD1</v>
      </c>
      <c r="D184" s="14" t="str">
        <f>Solieusap!D184</f>
        <v>LinStatic</v>
      </c>
      <c r="E184" s="16">
        <f>ABS(Solieusap!E184)</f>
        <v>15.5252</v>
      </c>
      <c r="F184" s="16">
        <f>ABS(Solieusap!F184)</f>
        <v>0.0769</v>
      </c>
      <c r="G184" s="16">
        <f>ABS(Solieusap!G184)</f>
        <v>0.195</v>
      </c>
      <c r="H184" s="16">
        <f>ABS(Solieusap!H184)</f>
        <v>0.00035</v>
      </c>
      <c r="I184" s="16">
        <f>ABS(Solieusap!I184)</f>
        <v>0.27322</v>
      </c>
      <c r="J184" s="16">
        <f>ABS(Solieusap!J184)</f>
        <v>0.06943</v>
      </c>
      <c r="K184" s="16">
        <f t="shared" si="1"/>
        <v>15.5252</v>
      </c>
      <c r="L184" s="16">
        <f t="shared" si="2"/>
        <v>0.27322</v>
      </c>
    </row>
    <row r="185" ht="16.5" customHeight="1">
      <c r="A185" s="14" t="str">
        <f>Solieusap!A185</f>
        <v>197</v>
      </c>
      <c r="B185" s="15">
        <f>Solieusap!B185</f>
        <v>1.35</v>
      </c>
      <c r="C185" s="14" t="str">
        <f>Solieusap!C185</f>
        <v>DEAD1</v>
      </c>
      <c r="D185" s="14" t="str">
        <f>Solieusap!D185</f>
        <v>LinStatic</v>
      </c>
      <c r="E185" s="16">
        <f>ABS(Solieusap!E185)</f>
        <v>15.3767</v>
      </c>
      <c r="F185" s="16">
        <f>ABS(Solieusap!F185)</f>
        <v>0.0769</v>
      </c>
      <c r="G185" s="16">
        <f>ABS(Solieusap!G185)</f>
        <v>0.195</v>
      </c>
      <c r="H185" s="16">
        <f>ABS(Solieusap!H185)</f>
        <v>0.00035</v>
      </c>
      <c r="I185" s="16">
        <f>ABS(Solieusap!I185)</f>
        <v>0.01001</v>
      </c>
      <c r="J185" s="16">
        <f>ABS(Solieusap!J185)</f>
        <v>0.03437</v>
      </c>
      <c r="K185" s="16">
        <f t="shared" si="1"/>
        <v>15.3767</v>
      </c>
      <c r="L185" s="16">
        <f t="shared" si="2"/>
        <v>0.01001</v>
      </c>
    </row>
    <row r="186" ht="16.5" customHeight="1">
      <c r="A186" s="14" t="str">
        <f>Solieusap!A186</f>
        <v>197</v>
      </c>
      <c r="B186" s="15">
        <f>Solieusap!B186</f>
        <v>2.7</v>
      </c>
      <c r="C186" s="14" t="str">
        <f>Solieusap!C186</f>
        <v>DEAD1</v>
      </c>
      <c r="D186" s="14" t="str">
        <f>Solieusap!D186</f>
        <v>LinStatic</v>
      </c>
      <c r="E186" s="16">
        <f>ABS(Solieusap!E186)</f>
        <v>15.2282</v>
      </c>
      <c r="F186" s="16">
        <f>ABS(Solieusap!F186)</f>
        <v>0.0769</v>
      </c>
      <c r="G186" s="16">
        <f>ABS(Solieusap!G186)</f>
        <v>0.195</v>
      </c>
      <c r="H186" s="16">
        <f>ABS(Solieusap!H186)</f>
        <v>0.00035</v>
      </c>
      <c r="I186" s="16">
        <f>ABS(Solieusap!I186)</f>
        <v>0.2532</v>
      </c>
      <c r="J186" s="16">
        <f>ABS(Solieusap!J186)</f>
        <v>0.13816</v>
      </c>
      <c r="K186" s="16">
        <f t="shared" si="1"/>
        <v>15.2282</v>
      </c>
      <c r="L186" s="16">
        <f t="shared" si="2"/>
        <v>0.2532</v>
      </c>
    </row>
    <row r="187" ht="16.5" customHeight="1">
      <c r="A187" s="14" t="str">
        <f>Solieusap!A187</f>
        <v>198</v>
      </c>
      <c r="B187" s="15">
        <f>Solieusap!B187</f>
        <v>0</v>
      </c>
      <c r="C187" s="14" t="str">
        <f>Solieusap!C187</f>
        <v>DEAD1</v>
      </c>
      <c r="D187" s="14" t="str">
        <f>Solieusap!D187</f>
        <v>LinStatic</v>
      </c>
      <c r="E187" s="16">
        <f>ABS(Solieusap!E187)</f>
        <v>11.4052</v>
      </c>
      <c r="F187" s="16">
        <f>ABS(Solieusap!F187)</f>
        <v>0.0749</v>
      </c>
      <c r="G187" s="16">
        <f>ABS(Solieusap!G187)</f>
        <v>0.027</v>
      </c>
      <c r="H187" s="16">
        <f>ABS(Solieusap!H187)</f>
        <v>0.0003</v>
      </c>
      <c r="I187" s="16">
        <f>ABS(Solieusap!I187)</f>
        <v>0.04786</v>
      </c>
      <c r="J187" s="16">
        <f>ABS(Solieusap!J187)</f>
        <v>0.1406</v>
      </c>
      <c r="K187" s="16">
        <f t="shared" si="1"/>
        <v>11.4052</v>
      </c>
      <c r="L187" s="16">
        <f t="shared" si="2"/>
        <v>0.04786</v>
      </c>
    </row>
    <row r="188" ht="16.5" customHeight="1">
      <c r="A188" s="14" t="str">
        <f>Solieusap!A188</f>
        <v>198</v>
      </c>
      <c r="B188" s="15">
        <f>Solieusap!B188</f>
        <v>1.8</v>
      </c>
      <c r="C188" s="14" t="str">
        <f>Solieusap!C188</f>
        <v>DEAD1</v>
      </c>
      <c r="D188" s="14" t="str">
        <f>Solieusap!D188</f>
        <v>LinStatic</v>
      </c>
      <c r="E188" s="16">
        <f>ABS(Solieusap!E188)</f>
        <v>11.2072</v>
      </c>
      <c r="F188" s="16">
        <f>ABS(Solieusap!F188)</f>
        <v>0.0749</v>
      </c>
      <c r="G188" s="16">
        <f>ABS(Solieusap!G188)</f>
        <v>0.027</v>
      </c>
      <c r="H188" s="16">
        <f>ABS(Solieusap!H188)</f>
        <v>0.0003</v>
      </c>
      <c r="I188" s="16">
        <f>ABS(Solieusap!I188)</f>
        <v>0.00078</v>
      </c>
      <c r="J188" s="16">
        <f>ABS(Solieusap!J188)</f>
        <v>0.00584</v>
      </c>
      <c r="K188" s="16">
        <f t="shared" si="1"/>
        <v>11.2072</v>
      </c>
      <c r="L188" s="16">
        <f t="shared" si="2"/>
        <v>0.00078</v>
      </c>
    </row>
    <row r="189" ht="16.5" customHeight="1">
      <c r="A189" s="14" t="str">
        <f>Solieusap!A189</f>
        <v>198</v>
      </c>
      <c r="B189" s="15">
        <f>Solieusap!B189</f>
        <v>3.6</v>
      </c>
      <c r="C189" s="14" t="str">
        <f>Solieusap!C189</f>
        <v>DEAD1</v>
      </c>
      <c r="D189" s="14" t="str">
        <f>Solieusap!D189</f>
        <v>LinStatic</v>
      </c>
      <c r="E189" s="16">
        <f>ABS(Solieusap!E189)</f>
        <v>11.0092</v>
      </c>
      <c r="F189" s="16">
        <f>ABS(Solieusap!F189)</f>
        <v>0.0749</v>
      </c>
      <c r="G189" s="16">
        <f>ABS(Solieusap!G189)</f>
        <v>0.027</v>
      </c>
      <c r="H189" s="16">
        <f>ABS(Solieusap!H189)</f>
        <v>0.0003</v>
      </c>
      <c r="I189" s="16">
        <f>ABS(Solieusap!I189)</f>
        <v>0.04942</v>
      </c>
      <c r="J189" s="16">
        <f>ABS(Solieusap!J189)</f>
        <v>0.12893</v>
      </c>
      <c r="K189" s="16">
        <f t="shared" si="1"/>
        <v>11.0092</v>
      </c>
      <c r="L189" s="16">
        <f t="shared" si="2"/>
        <v>0.04942</v>
      </c>
    </row>
    <row r="190" ht="16.5" customHeight="1">
      <c r="A190" s="14" t="str">
        <f>Solieusap!A190</f>
        <v>199</v>
      </c>
      <c r="B190" s="15">
        <f>Solieusap!B190</f>
        <v>0</v>
      </c>
      <c r="C190" s="14" t="str">
        <f>Solieusap!C190</f>
        <v>DEAD1</v>
      </c>
      <c r="D190" s="14" t="str">
        <f>Solieusap!D190</f>
        <v>LinStatic</v>
      </c>
      <c r="E190" s="16">
        <f>ABS(Solieusap!E190)</f>
        <v>7.0134</v>
      </c>
      <c r="F190" s="16">
        <f>ABS(Solieusap!F190)</f>
        <v>0.1703</v>
      </c>
      <c r="G190" s="16">
        <f>ABS(Solieusap!G190)</f>
        <v>0.0123</v>
      </c>
      <c r="H190" s="16">
        <f>ABS(Solieusap!H190)</f>
        <v>0.00868</v>
      </c>
      <c r="I190" s="16">
        <f>ABS(Solieusap!I190)</f>
        <v>0.02213</v>
      </c>
      <c r="J190" s="16">
        <f>ABS(Solieusap!J190)</f>
        <v>0.27572</v>
      </c>
      <c r="K190" s="16">
        <f t="shared" si="1"/>
        <v>7.0134</v>
      </c>
      <c r="L190" s="16">
        <f t="shared" si="2"/>
        <v>0.02213</v>
      </c>
    </row>
    <row r="191" ht="16.5" customHeight="1">
      <c r="A191" s="14" t="str">
        <f>Solieusap!A191</f>
        <v>199</v>
      </c>
      <c r="B191" s="15">
        <f>Solieusap!B191</f>
        <v>1.8</v>
      </c>
      <c r="C191" s="14" t="str">
        <f>Solieusap!C191</f>
        <v>DEAD1</v>
      </c>
      <c r="D191" s="14" t="str">
        <f>Solieusap!D191</f>
        <v>LinStatic</v>
      </c>
      <c r="E191" s="16">
        <f>ABS(Solieusap!E191)</f>
        <v>6.8154</v>
      </c>
      <c r="F191" s="16">
        <f>ABS(Solieusap!F191)</f>
        <v>0.1703</v>
      </c>
      <c r="G191" s="16">
        <f>ABS(Solieusap!G191)</f>
        <v>0.0123</v>
      </c>
      <c r="H191" s="16">
        <f>ABS(Solieusap!H191)</f>
        <v>0.00868</v>
      </c>
      <c r="I191" s="16">
        <f>ABS(Solieusap!I191)</f>
        <v>0.00000496</v>
      </c>
      <c r="J191" s="16">
        <f>ABS(Solieusap!J191)</f>
        <v>0.03081</v>
      </c>
      <c r="K191" s="16">
        <f t="shared" si="1"/>
        <v>6.8154</v>
      </c>
      <c r="L191" s="16">
        <f t="shared" si="2"/>
        <v>0.00000496</v>
      </c>
    </row>
    <row r="192" ht="16.5" customHeight="1">
      <c r="A192" s="14" t="str">
        <f>Solieusap!A192</f>
        <v>199</v>
      </c>
      <c r="B192" s="15">
        <f>Solieusap!B192</f>
        <v>3.6</v>
      </c>
      <c r="C192" s="14" t="str">
        <f>Solieusap!C192</f>
        <v>DEAD1</v>
      </c>
      <c r="D192" s="14" t="str">
        <f>Solieusap!D192</f>
        <v>LinStatic</v>
      </c>
      <c r="E192" s="16">
        <f>ABS(Solieusap!E192)</f>
        <v>6.6174</v>
      </c>
      <c r="F192" s="16">
        <f>ABS(Solieusap!F192)</f>
        <v>0.1703</v>
      </c>
      <c r="G192" s="16">
        <f>ABS(Solieusap!G192)</f>
        <v>0.0123</v>
      </c>
      <c r="H192" s="16">
        <f>ABS(Solieusap!H192)</f>
        <v>0.00868</v>
      </c>
      <c r="I192" s="16">
        <f>ABS(Solieusap!I192)</f>
        <v>0.02214</v>
      </c>
      <c r="J192" s="16">
        <f>ABS(Solieusap!J192)</f>
        <v>0.33733</v>
      </c>
      <c r="K192" s="16">
        <f t="shared" si="1"/>
        <v>6.6174</v>
      </c>
      <c r="L192" s="16">
        <f t="shared" si="2"/>
        <v>0.02214</v>
      </c>
    </row>
    <row r="193" ht="16.5" customHeight="1">
      <c r="A193" s="14" t="str">
        <f>Solieusap!A193</f>
        <v>200</v>
      </c>
      <c r="B193" s="15">
        <f>Solieusap!B193</f>
        <v>0</v>
      </c>
      <c r="C193" s="14" t="str">
        <f>Solieusap!C193</f>
        <v>DEAD1</v>
      </c>
      <c r="D193" s="14" t="str">
        <f>Solieusap!D193</f>
        <v>LinStatic</v>
      </c>
      <c r="E193" s="16">
        <f>ABS(Solieusap!E193)</f>
        <v>17.5754</v>
      </c>
      <c r="F193" s="16">
        <f>ABS(Solieusap!F193)</f>
        <v>0.0417</v>
      </c>
      <c r="G193" s="16">
        <f>ABS(Solieusap!G193)</f>
        <v>0.2101</v>
      </c>
      <c r="H193" s="16">
        <f>ABS(Solieusap!H193)</f>
        <v>0.00093</v>
      </c>
      <c r="I193" s="16">
        <f>ABS(Solieusap!I193)</f>
        <v>0.29104</v>
      </c>
      <c r="J193" s="16">
        <f>ABS(Solieusap!J193)</f>
        <v>0.03651</v>
      </c>
      <c r="K193" s="16">
        <f t="shared" si="1"/>
        <v>17.5754</v>
      </c>
      <c r="L193" s="16">
        <f t="shared" si="2"/>
        <v>0.29104</v>
      </c>
    </row>
    <row r="194" ht="16.5" customHeight="1">
      <c r="A194" s="14" t="str">
        <f>Solieusap!A194</f>
        <v>200</v>
      </c>
      <c r="B194" s="15">
        <f>Solieusap!B194</f>
        <v>1.35</v>
      </c>
      <c r="C194" s="14" t="str">
        <f>Solieusap!C194</f>
        <v>DEAD1</v>
      </c>
      <c r="D194" s="14" t="str">
        <f>Solieusap!D194</f>
        <v>LinStatic</v>
      </c>
      <c r="E194" s="16">
        <f>ABS(Solieusap!E194)</f>
        <v>17.4269</v>
      </c>
      <c r="F194" s="16">
        <f>ABS(Solieusap!F194)</f>
        <v>0.0417</v>
      </c>
      <c r="G194" s="16">
        <f>ABS(Solieusap!G194)</f>
        <v>0.2101</v>
      </c>
      <c r="H194" s="16">
        <f>ABS(Solieusap!H194)</f>
        <v>0.00093</v>
      </c>
      <c r="I194" s="16">
        <f>ABS(Solieusap!I194)</f>
        <v>0.00734</v>
      </c>
      <c r="J194" s="16">
        <f>ABS(Solieusap!J194)</f>
        <v>0.01982</v>
      </c>
      <c r="K194" s="16">
        <f t="shared" si="1"/>
        <v>17.4269</v>
      </c>
      <c r="L194" s="16">
        <f t="shared" si="2"/>
        <v>0.00734</v>
      </c>
    </row>
    <row r="195" ht="16.5" customHeight="1">
      <c r="A195" s="14" t="str">
        <f>Solieusap!A195</f>
        <v>200</v>
      </c>
      <c r="B195" s="15">
        <f>Solieusap!B195</f>
        <v>2.7</v>
      </c>
      <c r="C195" s="14" t="str">
        <f>Solieusap!C195</f>
        <v>DEAD1</v>
      </c>
      <c r="D195" s="14" t="str">
        <f>Solieusap!D195</f>
        <v>LinStatic</v>
      </c>
      <c r="E195" s="16">
        <f>ABS(Solieusap!E195)</f>
        <v>17.2784</v>
      </c>
      <c r="F195" s="16">
        <f>ABS(Solieusap!F195)</f>
        <v>0.0417</v>
      </c>
      <c r="G195" s="16">
        <f>ABS(Solieusap!G195)</f>
        <v>0.2101</v>
      </c>
      <c r="H195" s="16">
        <f>ABS(Solieusap!H195)</f>
        <v>0.00093</v>
      </c>
      <c r="I195" s="16">
        <f>ABS(Solieusap!I195)</f>
        <v>0.27636</v>
      </c>
      <c r="J195" s="16">
        <f>ABS(Solieusap!J195)</f>
        <v>0.07615</v>
      </c>
      <c r="K195" s="16">
        <f t="shared" si="1"/>
        <v>17.2784</v>
      </c>
      <c r="L195" s="16">
        <f t="shared" si="2"/>
        <v>0.27636</v>
      </c>
    </row>
    <row r="196" ht="16.5" customHeight="1">
      <c r="A196" s="14" t="str">
        <f>Solieusap!A196</f>
        <v>201</v>
      </c>
      <c r="B196" s="15">
        <f>Solieusap!B196</f>
        <v>0</v>
      </c>
      <c r="C196" s="14" t="str">
        <f>Solieusap!C196</f>
        <v>DEAD1</v>
      </c>
      <c r="D196" s="14" t="str">
        <f>Solieusap!D196</f>
        <v>LinStatic</v>
      </c>
      <c r="E196" s="16">
        <f>ABS(Solieusap!E196)</f>
        <v>11.9753</v>
      </c>
      <c r="F196" s="16">
        <f>ABS(Solieusap!F196)</f>
        <v>0.0534</v>
      </c>
      <c r="G196" s="16">
        <f>ABS(Solieusap!G196)</f>
        <v>0.024</v>
      </c>
      <c r="H196" s="16">
        <f>ABS(Solieusap!H196)</f>
        <v>0.00069</v>
      </c>
      <c r="I196" s="16">
        <f>ABS(Solieusap!I196)</f>
        <v>0.04277</v>
      </c>
      <c r="J196" s="16">
        <f>ABS(Solieusap!J196)</f>
        <v>0.0939</v>
      </c>
      <c r="K196" s="16">
        <f t="shared" si="1"/>
        <v>11.9753</v>
      </c>
      <c r="L196" s="16">
        <f t="shared" si="2"/>
        <v>0.04277</v>
      </c>
    </row>
    <row r="197" ht="16.5" customHeight="1">
      <c r="A197" s="14" t="str">
        <f>Solieusap!A197</f>
        <v>201</v>
      </c>
      <c r="B197" s="15">
        <f>Solieusap!B197</f>
        <v>1.8</v>
      </c>
      <c r="C197" s="14" t="str">
        <f>Solieusap!C197</f>
        <v>DEAD1</v>
      </c>
      <c r="D197" s="14" t="str">
        <f>Solieusap!D197</f>
        <v>LinStatic</v>
      </c>
      <c r="E197" s="16">
        <f>ABS(Solieusap!E197)</f>
        <v>11.7773</v>
      </c>
      <c r="F197" s="16">
        <f>ABS(Solieusap!F197)</f>
        <v>0.0534</v>
      </c>
      <c r="G197" s="16">
        <f>ABS(Solieusap!G197)</f>
        <v>0.024</v>
      </c>
      <c r="H197" s="16">
        <f>ABS(Solieusap!H197)</f>
        <v>0.00069</v>
      </c>
      <c r="I197" s="16">
        <f>ABS(Solieusap!I197)</f>
        <v>0.0005</v>
      </c>
      <c r="J197" s="16">
        <f>ABS(Solieusap!J197)</f>
        <v>0.00219</v>
      </c>
      <c r="K197" s="16">
        <f t="shared" si="1"/>
        <v>11.7773</v>
      </c>
      <c r="L197" s="16">
        <f t="shared" si="2"/>
        <v>0.0005</v>
      </c>
    </row>
    <row r="198" ht="16.5" customHeight="1">
      <c r="A198" s="14" t="str">
        <f>Solieusap!A198</f>
        <v>201</v>
      </c>
      <c r="B198" s="15">
        <f>Solieusap!B198</f>
        <v>3.6</v>
      </c>
      <c r="C198" s="14" t="str">
        <f>Solieusap!C198</f>
        <v>DEAD1</v>
      </c>
      <c r="D198" s="14" t="str">
        <f>Solieusap!D198</f>
        <v>LinStatic</v>
      </c>
      <c r="E198" s="16">
        <f>ABS(Solieusap!E198)</f>
        <v>11.5793</v>
      </c>
      <c r="F198" s="16">
        <f>ABS(Solieusap!F198)</f>
        <v>0.0534</v>
      </c>
      <c r="G198" s="16">
        <f>ABS(Solieusap!G198)</f>
        <v>0.024</v>
      </c>
      <c r="H198" s="16">
        <f>ABS(Solieusap!H198)</f>
        <v>0.00069</v>
      </c>
      <c r="I198" s="16">
        <f>ABS(Solieusap!I198)</f>
        <v>0.04377</v>
      </c>
      <c r="J198" s="16">
        <f>ABS(Solieusap!J198)</f>
        <v>0.09828</v>
      </c>
      <c r="K198" s="16">
        <f t="shared" si="1"/>
        <v>11.5793</v>
      </c>
      <c r="L198" s="16">
        <f t="shared" si="2"/>
        <v>0.04377</v>
      </c>
    </row>
    <row r="199" ht="16.5" customHeight="1">
      <c r="A199" s="14" t="str">
        <f>Solieusap!A199</f>
        <v>202</v>
      </c>
      <c r="B199" s="15">
        <f>Solieusap!B199</f>
        <v>0</v>
      </c>
      <c r="C199" s="14" t="str">
        <f>Solieusap!C199</f>
        <v>DEAD1</v>
      </c>
      <c r="D199" s="14" t="str">
        <f>Solieusap!D199</f>
        <v>LinStatic</v>
      </c>
      <c r="E199" s="16">
        <f>ABS(Solieusap!E199)</f>
        <v>6.4629</v>
      </c>
      <c r="F199" s="16">
        <f>ABS(Solieusap!F199)</f>
        <v>0.0365</v>
      </c>
      <c r="G199" s="16">
        <f>ABS(Solieusap!G199)</f>
        <v>0.0556</v>
      </c>
      <c r="H199" s="16">
        <f>ABS(Solieusap!H199)</f>
        <v>0.00646</v>
      </c>
      <c r="I199" s="16">
        <f>ABS(Solieusap!I199)</f>
        <v>0.0556</v>
      </c>
      <c r="J199" s="16">
        <f>ABS(Solieusap!J199)</f>
        <v>0.05593</v>
      </c>
      <c r="K199" s="16">
        <f t="shared" si="1"/>
        <v>6.4629</v>
      </c>
      <c r="L199" s="16">
        <f t="shared" si="2"/>
        <v>0.0556</v>
      </c>
    </row>
    <row r="200" ht="16.5" customHeight="1">
      <c r="A200" s="14" t="str">
        <f>Solieusap!A200</f>
        <v>202</v>
      </c>
      <c r="B200" s="15">
        <f>Solieusap!B200</f>
        <v>1.8</v>
      </c>
      <c r="C200" s="14" t="str">
        <f>Solieusap!C200</f>
        <v>DEAD1</v>
      </c>
      <c r="D200" s="14" t="str">
        <f>Solieusap!D200</f>
        <v>LinStatic</v>
      </c>
      <c r="E200" s="16">
        <f>ABS(Solieusap!E200)</f>
        <v>6.2649</v>
      </c>
      <c r="F200" s="16">
        <f>ABS(Solieusap!F200)</f>
        <v>0.0365</v>
      </c>
      <c r="G200" s="16">
        <f>ABS(Solieusap!G200)</f>
        <v>0.0556</v>
      </c>
      <c r="H200" s="16">
        <f>ABS(Solieusap!H200)</f>
        <v>0.00646</v>
      </c>
      <c r="I200" s="16">
        <f>ABS(Solieusap!I200)</f>
        <v>0.04454</v>
      </c>
      <c r="J200" s="16">
        <f>ABS(Solieusap!J200)</f>
        <v>0.00983</v>
      </c>
      <c r="K200" s="16">
        <f t="shared" si="1"/>
        <v>6.2649</v>
      </c>
      <c r="L200" s="16">
        <f t="shared" si="2"/>
        <v>0.04454</v>
      </c>
    </row>
    <row r="201" ht="16.5" customHeight="1">
      <c r="A201" s="14" t="str">
        <f>Solieusap!A201</f>
        <v>202</v>
      </c>
      <c r="B201" s="15">
        <f>Solieusap!B201</f>
        <v>3.6</v>
      </c>
      <c r="C201" s="14" t="str">
        <f>Solieusap!C201</f>
        <v>DEAD1</v>
      </c>
      <c r="D201" s="14" t="str">
        <f>Solieusap!D201</f>
        <v>LinStatic</v>
      </c>
      <c r="E201" s="16">
        <f>ABS(Solieusap!E201)</f>
        <v>6.0669</v>
      </c>
      <c r="F201" s="16">
        <f>ABS(Solieusap!F201)</f>
        <v>0.0365</v>
      </c>
      <c r="G201" s="16">
        <f>ABS(Solieusap!G201)</f>
        <v>0.0556</v>
      </c>
      <c r="H201" s="16">
        <f>ABS(Solieusap!H201)</f>
        <v>0.00646</v>
      </c>
      <c r="I201" s="16">
        <f>ABS(Solieusap!I201)</f>
        <v>0.14468</v>
      </c>
      <c r="J201" s="16">
        <f>ABS(Solieusap!J201)</f>
        <v>0.07559</v>
      </c>
      <c r="K201" s="16">
        <f t="shared" si="1"/>
        <v>6.0669</v>
      </c>
      <c r="L201" s="16">
        <f t="shared" si="2"/>
        <v>0.14468</v>
      </c>
    </row>
    <row r="202" ht="16.5" customHeight="1">
      <c r="A202" s="14" t="str">
        <f>Solieusap!A202</f>
        <v>203</v>
      </c>
      <c r="B202" s="15">
        <f>Solieusap!B202</f>
        <v>0</v>
      </c>
      <c r="C202" s="14" t="str">
        <f>Solieusap!C202</f>
        <v>DEAD1</v>
      </c>
      <c r="D202" s="14" t="str">
        <f>Solieusap!D202</f>
        <v>LinStatic</v>
      </c>
      <c r="E202" s="16">
        <f>ABS(Solieusap!E202)</f>
        <v>13.7317</v>
      </c>
      <c r="F202" s="16">
        <f>ABS(Solieusap!F202)</f>
        <v>0.0245</v>
      </c>
      <c r="G202" s="16">
        <f>ABS(Solieusap!G202)</f>
        <v>0.2167</v>
      </c>
      <c r="H202" s="16">
        <f>ABS(Solieusap!H202)</f>
        <v>0.0002</v>
      </c>
      <c r="I202" s="16">
        <f>ABS(Solieusap!I202)</f>
        <v>0.29919</v>
      </c>
      <c r="J202" s="16">
        <f>ABS(Solieusap!J202)</f>
        <v>0.02259</v>
      </c>
      <c r="K202" s="16">
        <f t="shared" si="1"/>
        <v>13.7317</v>
      </c>
      <c r="L202" s="16">
        <f t="shared" si="2"/>
        <v>0.29919</v>
      </c>
    </row>
    <row r="203" ht="16.5" customHeight="1">
      <c r="A203" s="14" t="str">
        <f>Solieusap!A203</f>
        <v>203</v>
      </c>
      <c r="B203" s="15">
        <f>Solieusap!B203</f>
        <v>1.35</v>
      </c>
      <c r="C203" s="14" t="str">
        <f>Solieusap!C203</f>
        <v>DEAD1</v>
      </c>
      <c r="D203" s="14" t="str">
        <f>Solieusap!D203</f>
        <v>LinStatic</v>
      </c>
      <c r="E203" s="16">
        <f>ABS(Solieusap!E203)</f>
        <v>13.5832</v>
      </c>
      <c r="F203" s="16">
        <f>ABS(Solieusap!F203)</f>
        <v>0.0245</v>
      </c>
      <c r="G203" s="16">
        <f>ABS(Solieusap!G203)</f>
        <v>0.2167</v>
      </c>
      <c r="H203" s="16">
        <f>ABS(Solieusap!H203)</f>
        <v>0.0002</v>
      </c>
      <c r="I203" s="16">
        <f>ABS(Solieusap!I203)</f>
        <v>0.00658</v>
      </c>
      <c r="J203" s="16">
        <f>ABS(Solieusap!J203)</f>
        <v>0.01055</v>
      </c>
      <c r="K203" s="16">
        <f t="shared" si="1"/>
        <v>13.5832</v>
      </c>
      <c r="L203" s="16">
        <f t="shared" si="2"/>
        <v>0.00658</v>
      </c>
    </row>
    <row r="204" ht="16.5" customHeight="1">
      <c r="A204" s="14" t="str">
        <f>Solieusap!A204</f>
        <v>203</v>
      </c>
      <c r="B204" s="15">
        <f>Solieusap!B204</f>
        <v>2.7</v>
      </c>
      <c r="C204" s="14" t="str">
        <f>Solieusap!C204</f>
        <v>DEAD1</v>
      </c>
      <c r="D204" s="14" t="str">
        <f>Solieusap!D204</f>
        <v>LinStatic</v>
      </c>
      <c r="E204" s="16">
        <f>ABS(Solieusap!E204)</f>
        <v>13.4347</v>
      </c>
      <c r="F204" s="16">
        <f>ABS(Solieusap!F204)</f>
        <v>0.0245</v>
      </c>
      <c r="G204" s="16">
        <f>ABS(Solieusap!G204)</f>
        <v>0.2167</v>
      </c>
      <c r="H204" s="16">
        <f>ABS(Solieusap!H204)</f>
        <v>0.0002</v>
      </c>
      <c r="I204" s="16">
        <f>ABS(Solieusap!I204)</f>
        <v>0.28602</v>
      </c>
      <c r="J204" s="16">
        <f>ABS(Solieusap!J204)</f>
        <v>0.04369</v>
      </c>
      <c r="K204" s="16">
        <f t="shared" si="1"/>
        <v>13.4347</v>
      </c>
      <c r="L204" s="16">
        <f t="shared" si="2"/>
        <v>0.28602</v>
      </c>
    </row>
    <row r="205" ht="16.5" customHeight="1">
      <c r="A205" s="14" t="str">
        <f>Solieusap!A205</f>
        <v>204</v>
      </c>
      <c r="B205" s="15">
        <f>Solieusap!B205</f>
        <v>0</v>
      </c>
      <c r="C205" s="14" t="str">
        <f>Solieusap!C205</f>
        <v>DEAD1</v>
      </c>
      <c r="D205" s="14" t="str">
        <f>Solieusap!D205</f>
        <v>LinStatic</v>
      </c>
      <c r="E205" s="16">
        <f>ABS(Solieusap!E205)</f>
        <v>8.3813</v>
      </c>
      <c r="F205" s="16">
        <f>ABS(Solieusap!F205)</f>
        <v>0.0193</v>
      </c>
      <c r="G205" s="16">
        <f>ABS(Solieusap!G205)</f>
        <v>0.0218</v>
      </c>
      <c r="H205" s="16">
        <f>ABS(Solieusap!H205)</f>
        <v>0.00016</v>
      </c>
      <c r="I205" s="16">
        <f>ABS(Solieusap!I205)</f>
        <v>0.04024</v>
      </c>
      <c r="J205" s="16">
        <f>ABS(Solieusap!J205)</f>
        <v>0.0385</v>
      </c>
      <c r="K205" s="16">
        <f t="shared" si="1"/>
        <v>8.3813</v>
      </c>
      <c r="L205" s="16">
        <f t="shared" si="2"/>
        <v>0.04024</v>
      </c>
    </row>
    <row r="206" ht="16.5" customHeight="1">
      <c r="A206" s="14" t="str">
        <f>Solieusap!A206</f>
        <v>204</v>
      </c>
      <c r="B206" s="15">
        <f>Solieusap!B206</f>
        <v>1.8</v>
      </c>
      <c r="C206" s="14" t="str">
        <f>Solieusap!C206</f>
        <v>DEAD1</v>
      </c>
      <c r="D206" s="14" t="str">
        <f>Solieusap!D206</f>
        <v>LinStatic</v>
      </c>
      <c r="E206" s="16">
        <f>ABS(Solieusap!E206)</f>
        <v>8.1833</v>
      </c>
      <c r="F206" s="16">
        <f>ABS(Solieusap!F206)</f>
        <v>0.0193</v>
      </c>
      <c r="G206" s="16">
        <f>ABS(Solieusap!G206)</f>
        <v>0.0218</v>
      </c>
      <c r="H206" s="16">
        <f>ABS(Solieusap!H206)</f>
        <v>0.00016</v>
      </c>
      <c r="I206" s="16">
        <f>ABS(Solieusap!I206)</f>
        <v>0.00101</v>
      </c>
      <c r="J206" s="16">
        <f>ABS(Solieusap!J206)</f>
        <v>0.00382</v>
      </c>
      <c r="K206" s="16">
        <f t="shared" si="1"/>
        <v>8.1833</v>
      </c>
      <c r="L206" s="16">
        <f t="shared" si="2"/>
        <v>0.00101</v>
      </c>
    </row>
    <row r="207" ht="16.5" customHeight="1">
      <c r="A207" s="14" t="str">
        <f>Solieusap!A207</f>
        <v>204</v>
      </c>
      <c r="B207" s="15">
        <f>Solieusap!B207</f>
        <v>3.6</v>
      </c>
      <c r="C207" s="14" t="str">
        <f>Solieusap!C207</f>
        <v>DEAD1</v>
      </c>
      <c r="D207" s="14" t="str">
        <f>Solieusap!D207</f>
        <v>LinStatic</v>
      </c>
      <c r="E207" s="16">
        <f>ABS(Solieusap!E207)</f>
        <v>7.9853</v>
      </c>
      <c r="F207" s="16">
        <f>ABS(Solieusap!F207)</f>
        <v>0.0193</v>
      </c>
      <c r="G207" s="16">
        <f>ABS(Solieusap!G207)</f>
        <v>0.0218</v>
      </c>
      <c r="H207" s="16">
        <f>ABS(Solieusap!H207)</f>
        <v>0.00016</v>
      </c>
      <c r="I207" s="16">
        <f>ABS(Solieusap!I207)</f>
        <v>0.03822</v>
      </c>
      <c r="J207" s="16">
        <f>ABS(Solieusap!J207)</f>
        <v>0.03086</v>
      </c>
      <c r="K207" s="16">
        <f t="shared" si="1"/>
        <v>7.9853</v>
      </c>
      <c r="L207" s="16">
        <f t="shared" si="2"/>
        <v>0.03822</v>
      </c>
    </row>
    <row r="208" ht="16.5" customHeight="1">
      <c r="A208" s="14" t="str">
        <f>Solieusap!A208</f>
        <v>205</v>
      </c>
      <c r="B208" s="15">
        <f>Solieusap!B208</f>
        <v>0</v>
      </c>
      <c r="C208" s="14" t="str">
        <f>Solieusap!C208</f>
        <v>DEAD1</v>
      </c>
      <c r="D208" s="14" t="str">
        <f>Solieusap!D208</f>
        <v>LinStatic</v>
      </c>
      <c r="E208" s="16">
        <f>ABS(Solieusap!E208)</f>
        <v>3.0368</v>
      </c>
      <c r="F208" s="16">
        <f>ABS(Solieusap!F208)</f>
        <v>0.0461</v>
      </c>
      <c r="G208" s="16">
        <f>ABS(Solieusap!G208)</f>
        <v>0.0096</v>
      </c>
      <c r="H208" s="16">
        <f>ABS(Solieusap!H208)</f>
        <v>0.00542</v>
      </c>
      <c r="I208" s="16">
        <f>ABS(Solieusap!I208)</f>
        <v>0.02962</v>
      </c>
      <c r="J208" s="16">
        <f>ABS(Solieusap!J208)</f>
        <v>0.07991</v>
      </c>
      <c r="K208" s="16">
        <f t="shared" si="1"/>
        <v>3.0368</v>
      </c>
      <c r="L208" s="16">
        <f t="shared" si="2"/>
        <v>0.02962</v>
      </c>
    </row>
    <row r="209" ht="16.5" customHeight="1">
      <c r="A209" s="14" t="str">
        <f>Solieusap!A209</f>
        <v>205</v>
      </c>
      <c r="B209" s="15">
        <f>Solieusap!B209</f>
        <v>1.8</v>
      </c>
      <c r="C209" s="14" t="str">
        <f>Solieusap!C209</f>
        <v>DEAD1</v>
      </c>
      <c r="D209" s="14" t="str">
        <f>Solieusap!D209</f>
        <v>LinStatic</v>
      </c>
      <c r="E209" s="16">
        <f>ABS(Solieusap!E209)</f>
        <v>2.8388</v>
      </c>
      <c r="F209" s="16">
        <f>ABS(Solieusap!F209)</f>
        <v>0.0461</v>
      </c>
      <c r="G209" s="16">
        <f>ABS(Solieusap!G209)</f>
        <v>0.0096</v>
      </c>
      <c r="H209" s="16">
        <f>ABS(Solieusap!H209)</f>
        <v>0.00542</v>
      </c>
      <c r="I209" s="16">
        <f>ABS(Solieusap!I209)</f>
        <v>0.01229</v>
      </c>
      <c r="J209" s="16">
        <f>ABS(Solieusap!J209)</f>
        <v>0.00315</v>
      </c>
      <c r="K209" s="16">
        <f t="shared" si="1"/>
        <v>2.8388</v>
      </c>
      <c r="L209" s="16">
        <f t="shared" si="2"/>
        <v>0.01229</v>
      </c>
    </row>
    <row r="210" ht="16.5" customHeight="1">
      <c r="A210" s="14" t="str">
        <f>Solieusap!A210</f>
        <v>205</v>
      </c>
      <c r="B210" s="15">
        <f>Solieusap!B210</f>
        <v>3.6</v>
      </c>
      <c r="C210" s="14" t="str">
        <f>Solieusap!C210</f>
        <v>DEAD1</v>
      </c>
      <c r="D210" s="14" t="str">
        <f>Solieusap!D210</f>
        <v>LinStatic</v>
      </c>
      <c r="E210" s="16">
        <f>ABS(Solieusap!E210)</f>
        <v>2.6408</v>
      </c>
      <c r="F210" s="16">
        <f>ABS(Solieusap!F210)</f>
        <v>0.0461</v>
      </c>
      <c r="G210" s="16">
        <f>ABS(Solieusap!G210)</f>
        <v>0.0096</v>
      </c>
      <c r="H210" s="16">
        <f>ABS(Solieusap!H210)</f>
        <v>0.00542</v>
      </c>
      <c r="I210" s="16">
        <f>ABS(Solieusap!I210)</f>
        <v>0.00503</v>
      </c>
      <c r="J210" s="16">
        <f>ABS(Solieusap!J210)</f>
        <v>0.08622</v>
      </c>
      <c r="K210" s="16">
        <f t="shared" si="1"/>
        <v>2.6408</v>
      </c>
      <c r="L210" s="16">
        <f t="shared" si="2"/>
        <v>0.00503</v>
      </c>
    </row>
    <row r="211" ht="16.5" customHeight="1">
      <c r="A211" s="14" t="str">
        <f>Solieusap!A211</f>
        <v>206</v>
      </c>
      <c r="B211" s="15">
        <f>Solieusap!B211</f>
        <v>0</v>
      </c>
      <c r="C211" s="14" t="str">
        <f>Solieusap!C211</f>
        <v>DEAD1</v>
      </c>
      <c r="D211" s="14" t="str">
        <f>Solieusap!D211</f>
        <v>LinStatic</v>
      </c>
      <c r="E211" s="16">
        <f>ABS(Solieusap!E211)</f>
        <v>15.3661</v>
      </c>
      <c r="F211" s="16">
        <f>ABS(Solieusap!F211)</f>
        <v>0.0188</v>
      </c>
      <c r="G211" s="16">
        <f>ABS(Solieusap!G211)</f>
        <v>0.2369</v>
      </c>
      <c r="H211" s="16">
        <f>ABS(Solieusap!H211)</f>
        <v>0.0006</v>
      </c>
      <c r="I211" s="16">
        <f>ABS(Solieusap!I211)</f>
        <v>0.32018</v>
      </c>
      <c r="J211" s="16">
        <f>ABS(Solieusap!J211)</f>
        <v>0.01655</v>
      </c>
      <c r="K211" s="16">
        <f t="shared" si="1"/>
        <v>15.3661</v>
      </c>
      <c r="L211" s="16">
        <f t="shared" si="2"/>
        <v>0.32018</v>
      </c>
    </row>
    <row r="212" ht="16.5" customHeight="1">
      <c r="A212" s="14" t="str">
        <f>Solieusap!A212</f>
        <v>206</v>
      </c>
      <c r="B212" s="15">
        <f>Solieusap!B212</f>
        <v>1.35</v>
      </c>
      <c r="C212" s="14" t="str">
        <f>Solieusap!C212</f>
        <v>DEAD1</v>
      </c>
      <c r="D212" s="14" t="str">
        <f>Solieusap!D212</f>
        <v>LinStatic</v>
      </c>
      <c r="E212" s="16">
        <f>ABS(Solieusap!E212)</f>
        <v>15.2176</v>
      </c>
      <c r="F212" s="16">
        <f>ABS(Solieusap!F212)</f>
        <v>0.0188</v>
      </c>
      <c r="G212" s="16">
        <f>ABS(Solieusap!G212)</f>
        <v>0.2369</v>
      </c>
      <c r="H212" s="16">
        <f>ABS(Solieusap!H212)</f>
        <v>0.0006</v>
      </c>
      <c r="I212" s="16">
        <f>ABS(Solieusap!I212)</f>
        <v>0.00042</v>
      </c>
      <c r="J212" s="16">
        <f>ABS(Solieusap!J212)</f>
        <v>0.00883</v>
      </c>
      <c r="K212" s="16">
        <f t="shared" si="1"/>
        <v>15.2176</v>
      </c>
      <c r="L212" s="16">
        <f t="shared" si="2"/>
        <v>0.00042</v>
      </c>
    </row>
    <row r="213" ht="16.5" customHeight="1">
      <c r="A213" s="14" t="str">
        <f>Solieusap!A213</f>
        <v>206</v>
      </c>
      <c r="B213" s="15">
        <f>Solieusap!B213</f>
        <v>2.7</v>
      </c>
      <c r="C213" s="14" t="str">
        <f>Solieusap!C213</f>
        <v>DEAD1</v>
      </c>
      <c r="D213" s="14" t="str">
        <f>Solieusap!D213</f>
        <v>LinStatic</v>
      </c>
      <c r="E213" s="16">
        <f>ABS(Solieusap!E213)</f>
        <v>15.0691</v>
      </c>
      <c r="F213" s="16">
        <f>ABS(Solieusap!F213)</f>
        <v>0.0188</v>
      </c>
      <c r="G213" s="16">
        <f>ABS(Solieusap!G213)</f>
        <v>0.2369</v>
      </c>
      <c r="H213" s="16">
        <f>ABS(Solieusap!H213)</f>
        <v>0.0006</v>
      </c>
      <c r="I213" s="16">
        <f>ABS(Solieusap!I213)</f>
        <v>0.31933</v>
      </c>
      <c r="J213" s="16">
        <f>ABS(Solieusap!J213)</f>
        <v>0.03421</v>
      </c>
      <c r="K213" s="16">
        <f t="shared" si="1"/>
        <v>15.0691</v>
      </c>
      <c r="L213" s="16">
        <f t="shared" si="2"/>
        <v>0.31933</v>
      </c>
    </row>
    <row r="214" ht="16.5" customHeight="1">
      <c r="A214" s="14" t="str">
        <f>Solieusap!A214</f>
        <v>207</v>
      </c>
      <c r="B214" s="15">
        <f>Solieusap!B214</f>
        <v>0</v>
      </c>
      <c r="C214" s="14" t="str">
        <f>Solieusap!C214</f>
        <v>DEAD1</v>
      </c>
      <c r="D214" s="14" t="str">
        <f>Solieusap!D214</f>
        <v>LinStatic</v>
      </c>
      <c r="E214" s="16">
        <f>ABS(Solieusap!E214)</f>
        <v>8.9845</v>
      </c>
      <c r="F214" s="16">
        <f>ABS(Solieusap!F214)</f>
        <v>0.0205</v>
      </c>
      <c r="G214" s="16">
        <f>ABS(Solieusap!G214)</f>
        <v>0.0164</v>
      </c>
      <c r="H214" s="16">
        <f>ABS(Solieusap!H214)</f>
        <v>0.0004</v>
      </c>
      <c r="I214" s="16">
        <f>ABS(Solieusap!I214)</f>
        <v>0.02615</v>
      </c>
      <c r="J214" s="16">
        <f>ABS(Solieusap!J214)</f>
        <v>0.03779</v>
      </c>
      <c r="K214" s="16">
        <f t="shared" si="1"/>
        <v>8.9845</v>
      </c>
      <c r="L214" s="16">
        <f t="shared" si="2"/>
        <v>0.02615</v>
      </c>
    </row>
    <row r="215" ht="16.5" customHeight="1">
      <c r="A215" s="14" t="str">
        <f>Solieusap!A215</f>
        <v>207</v>
      </c>
      <c r="B215" s="15">
        <f>Solieusap!B215</f>
        <v>1.8</v>
      </c>
      <c r="C215" s="14" t="str">
        <f>Solieusap!C215</f>
        <v>DEAD1</v>
      </c>
      <c r="D215" s="14" t="str">
        <f>Solieusap!D215</f>
        <v>LinStatic</v>
      </c>
      <c r="E215" s="16">
        <f>ABS(Solieusap!E215)</f>
        <v>8.7865</v>
      </c>
      <c r="F215" s="16">
        <f>ABS(Solieusap!F215)</f>
        <v>0.0205</v>
      </c>
      <c r="G215" s="16">
        <f>ABS(Solieusap!G215)</f>
        <v>0.0164</v>
      </c>
      <c r="H215" s="16">
        <f>ABS(Solieusap!H215)</f>
        <v>0.0004</v>
      </c>
      <c r="I215" s="16">
        <f>ABS(Solieusap!I215)</f>
        <v>0.00333</v>
      </c>
      <c r="J215" s="16">
        <f>ABS(Solieusap!J215)</f>
        <v>0.00095</v>
      </c>
      <c r="K215" s="16">
        <f t="shared" si="1"/>
        <v>8.7865</v>
      </c>
      <c r="L215" s="16">
        <f t="shared" si="2"/>
        <v>0.00333</v>
      </c>
    </row>
    <row r="216" ht="16.5" customHeight="1">
      <c r="A216" s="14" t="str">
        <f>Solieusap!A216</f>
        <v>207</v>
      </c>
      <c r="B216" s="15">
        <f>Solieusap!B216</f>
        <v>3.6</v>
      </c>
      <c r="C216" s="14" t="str">
        <f>Solieusap!C216</f>
        <v>DEAD1</v>
      </c>
      <c r="D216" s="14" t="str">
        <f>Solieusap!D216</f>
        <v>LinStatic</v>
      </c>
      <c r="E216" s="16">
        <f>ABS(Solieusap!E216)</f>
        <v>8.5885</v>
      </c>
      <c r="F216" s="16">
        <f>ABS(Solieusap!F216)</f>
        <v>0.0205</v>
      </c>
      <c r="G216" s="16">
        <f>ABS(Solieusap!G216)</f>
        <v>0.0164</v>
      </c>
      <c r="H216" s="16">
        <f>ABS(Solieusap!H216)</f>
        <v>0.0004</v>
      </c>
      <c r="I216" s="16">
        <f>ABS(Solieusap!I216)</f>
        <v>0.0328</v>
      </c>
      <c r="J216" s="16">
        <f>ABS(Solieusap!J216)</f>
        <v>0.03589</v>
      </c>
      <c r="K216" s="16">
        <f t="shared" si="1"/>
        <v>8.5885</v>
      </c>
      <c r="L216" s="16">
        <f t="shared" si="2"/>
        <v>0.0328</v>
      </c>
    </row>
    <row r="217" ht="16.5" customHeight="1">
      <c r="A217" s="14" t="str">
        <f>Solieusap!A217</f>
        <v>208</v>
      </c>
      <c r="B217" s="15">
        <f>Solieusap!B217</f>
        <v>0</v>
      </c>
      <c r="C217" s="14" t="str">
        <f>Solieusap!C217</f>
        <v>DEAD1</v>
      </c>
      <c r="D217" s="14" t="str">
        <f>Solieusap!D217</f>
        <v>LinStatic</v>
      </c>
      <c r="E217" s="16">
        <f>ABS(Solieusap!E217)</f>
        <v>3.1205</v>
      </c>
      <c r="F217" s="16">
        <f>ABS(Solieusap!F217)</f>
        <v>0.0107</v>
      </c>
      <c r="G217" s="16">
        <f>ABS(Solieusap!G217)</f>
        <v>0.0201</v>
      </c>
      <c r="H217" s="16">
        <f>ABS(Solieusap!H217)</f>
        <v>0.00259</v>
      </c>
      <c r="I217" s="16">
        <f>ABS(Solieusap!I217)</f>
        <v>0.04664</v>
      </c>
      <c r="J217" s="16">
        <f>ABS(Solieusap!J217)</f>
        <v>0.01706</v>
      </c>
      <c r="K217" s="16">
        <f t="shared" si="1"/>
        <v>3.1205</v>
      </c>
      <c r="L217" s="16">
        <f t="shared" si="2"/>
        <v>0.04664</v>
      </c>
    </row>
    <row r="218" ht="16.5" customHeight="1">
      <c r="A218" s="14" t="str">
        <f>Solieusap!A218</f>
        <v>208</v>
      </c>
      <c r="B218" s="15">
        <f>Solieusap!B218</f>
        <v>1.8</v>
      </c>
      <c r="C218" s="14" t="str">
        <f>Solieusap!C218</f>
        <v>DEAD1</v>
      </c>
      <c r="D218" s="14" t="str">
        <f>Solieusap!D218</f>
        <v>LinStatic</v>
      </c>
      <c r="E218" s="16">
        <f>ABS(Solieusap!E218)</f>
        <v>2.9225</v>
      </c>
      <c r="F218" s="16">
        <f>ABS(Solieusap!F218)</f>
        <v>0.0107</v>
      </c>
      <c r="G218" s="16">
        <f>ABS(Solieusap!G218)</f>
        <v>0.0201</v>
      </c>
      <c r="H218" s="16">
        <f>ABS(Solieusap!H218)</f>
        <v>0.00259</v>
      </c>
      <c r="I218" s="16">
        <f>ABS(Solieusap!I218)</f>
        <v>0.01051</v>
      </c>
      <c r="J218" s="16">
        <f>ABS(Solieusap!J218)</f>
        <v>0.00224</v>
      </c>
      <c r="K218" s="16">
        <f t="shared" si="1"/>
        <v>2.9225</v>
      </c>
      <c r="L218" s="16">
        <f t="shared" si="2"/>
        <v>0.01051</v>
      </c>
    </row>
    <row r="219" ht="16.5" customHeight="1">
      <c r="A219" s="14" t="str">
        <f>Solieusap!A219</f>
        <v>208</v>
      </c>
      <c r="B219" s="15">
        <f>Solieusap!B219</f>
        <v>3.6</v>
      </c>
      <c r="C219" s="14" t="str">
        <f>Solieusap!C219</f>
        <v>DEAD1</v>
      </c>
      <c r="D219" s="14" t="str">
        <f>Solieusap!D219</f>
        <v>LinStatic</v>
      </c>
      <c r="E219" s="16">
        <f>ABS(Solieusap!E219)</f>
        <v>2.7245</v>
      </c>
      <c r="F219" s="16">
        <f>ABS(Solieusap!F219)</f>
        <v>0.0107</v>
      </c>
      <c r="G219" s="16">
        <f>ABS(Solieusap!G219)</f>
        <v>0.0201</v>
      </c>
      <c r="H219" s="16">
        <f>ABS(Solieusap!H219)</f>
        <v>0.00259</v>
      </c>
      <c r="I219" s="16">
        <f>ABS(Solieusap!I219)</f>
        <v>0.02562</v>
      </c>
      <c r="J219" s="16">
        <f>ABS(Solieusap!J219)</f>
        <v>0.02153</v>
      </c>
      <c r="K219" s="16">
        <f t="shared" si="1"/>
        <v>2.7245</v>
      </c>
      <c r="L219" s="16">
        <f t="shared" si="2"/>
        <v>0.02562</v>
      </c>
    </row>
    <row r="220" ht="16.5" customHeight="1">
      <c r="A220" s="14" t="str">
        <f>Solieusap!A220</f>
        <v>209</v>
      </c>
      <c r="B220" s="15">
        <f>Solieusap!B220</f>
        <v>0</v>
      </c>
      <c r="C220" s="14" t="str">
        <f>Solieusap!C220</f>
        <v>DEAD1</v>
      </c>
      <c r="D220" s="14" t="str">
        <f>Solieusap!D220</f>
        <v>LinStatic</v>
      </c>
      <c r="E220" s="16">
        <f>ABS(Solieusap!E220)</f>
        <v>15.3725</v>
      </c>
      <c r="F220" s="16">
        <f>ABS(Solieusap!F220)</f>
        <v>0.019</v>
      </c>
      <c r="G220" s="16">
        <f>ABS(Solieusap!G220)</f>
        <v>0.2369</v>
      </c>
      <c r="H220" s="16">
        <f>ABS(Solieusap!H220)</f>
        <v>0.00058</v>
      </c>
      <c r="I220" s="16">
        <f>ABS(Solieusap!I220)</f>
        <v>0.32027</v>
      </c>
      <c r="J220" s="16">
        <f>ABS(Solieusap!J220)</f>
        <v>0.0168</v>
      </c>
      <c r="K220" s="16">
        <f t="shared" si="1"/>
        <v>15.3725</v>
      </c>
      <c r="L220" s="16">
        <f t="shared" si="2"/>
        <v>0.32027</v>
      </c>
    </row>
    <row r="221" ht="16.5" customHeight="1">
      <c r="A221" s="14" t="str">
        <f>Solieusap!A221</f>
        <v>209</v>
      </c>
      <c r="B221" s="15">
        <f>Solieusap!B221</f>
        <v>1.35</v>
      </c>
      <c r="C221" s="14" t="str">
        <f>Solieusap!C221</f>
        <v>DEAD1</v>
      </c>
      <c r="D221" s="14" t="str">
        <f>Solieusap!D221</f>
        <v>LinStatic</v>
      </c>
      <c r="E221" s="16">
        <f>ABS(Solieusap!E221)</f>
        <v>15.224</v>
      </c>
      <c r="F221" s="16">
        <f>ABS(Solieusap!F221)</f>
        <v>0.019</v>
      </c>
      <c r="G221" s="16">
        <f>ABS(Solieusap!G221)</f>
        <v>0.2369</v>
      </c>
      <c r="H221" s="16">
        <f>ABS(Solieusap!H221)</f>
        <v>0.00058</v>
      </c>
      <c r="I221" s="16">
        <f>ABS(Solieusap!I221)</f>
        <v>0.00044</v>
      </c>
      <c r="J221" s="16">
        <f>ABS(Solieusap!J221)</f>
        <v>0.00886</v>
      </c>
      <c r="K221" s="16">
        <f t="shared" si="1"/>
        <v>15.224</v>
      </c>
      <c r="L221" s="16">
        <f t="shared" si="2"/>
        <v>0.00044</v>
      </c>
    </row>
    <row r="222" ht="16.5" customHeight="1">
      <c r="A222" s="14" t="str">
        <f>Solieusap!A222</f>
        <v>209</v>
      </c>
      <c r="B222" s="15">
        <f>Solieusap!B222</f>
        <v>2.7</v>
      </c>
      <c r="C222" s="14" t="str">
        <f>Solieusap!C222</f>
        <v>DEAD1</v>
      </c>
      <c r="D222" s="14" t="str">
        <f>Solieusap!D222</f>
        <v>LinStatic</v>
      </c>
      <c r="E222" s="16">
        <f>ABS(Solieusap!E222)</f>
        <v>15.0755</v>
      </c>
      <c r="F222" s="16">
        <f>ABS(Solieusap!F222)</f>
        <v>0.019</v>
      </c>
      <c r="G222" s="16">
        <f>ABS(Solieusap!G222)</f>
        <v>0.2369</v>
      </c>
      <c r="H222" s="16">
        <f>ABS(Solieusap!H222)</f>
        <v>0.00058</v>
      </c>
      <c r="I222" s="16">
        <f>ABS(Solieusap!I222)</f>
        <v>0.31939</v>
      </c>
      <c r="J222" s="16">
        <f>ABS(Solieusap!J222)</f>
        <v>0.03451</v>
      </c>
      <c r="K222" s="16">
        <f t="shared" si="1"/>
        <v>15.0755</v>
      </c>
      <c r="L222" s="16">
        <f t="shared" si="2"/>
        <v>0.31939</v>
      </c>
    </row>
    <row r="223" ht="16.5" customHeight="1">
      <c r="A223" s="14" t="str">
        <f>Solieusap!A223</f>
        <v>210</v>
      </c>
      <c r="B223" s="15">
        <f>Solieusap!B223</f>
        <v>0</v>
      </c>
      <c r="C223" s="14" t="str">
        <f>Solieusap!C223</f>
        <v>DEAD1</v>
      </c>
      <c r="D223" s="14" t="str">
        <f>Solieusap!D223</f>
        <v>LinStatic</v>
      </c>
      <c r="E223" s="16">
        <f>ABS(Solieusap!E223)</f>
        <v>8.9903</v>
      </c>
      <c r="F223" s="16">
        <f>ABS(Solieusap!F223)</f>
        <v>0.0201</v>
      </c>
      <c r="G223" s="16">
        <f>ABS(Solieusap!G223)</f>
        <v>0.0162</v>
      </c>
      <c r="H223" s="16">
        <f>ABS(Solieusap!H223)</f>
        <v>0.00049</v>
      </c>
      <c r="I223" s="16">
        <f>ABS(Solieusap!I223)</f>
        <v>0.02579</v>
      </c>
      <c r="J223" s="16">
        <f>ABS(Solieusap!J223)</f>
        <v>0.03743</v>
      </c>
      <c r="K223" s="16">
        <f t="shared" si="1"/>
        <v>8.9903</v>
      </c>
      <c r="L223" s="16">
        <f t="shared" si="2"/>
        <v>0.02579</v>
      </c>
    </row>
    <row r="224" ht="16.5" customHeight="1">
      <c r="A224" s="14" t="str">
        <f>Solieusap!A224</f>
        <v>210</v>
      </c>
      <c r="B224" s="15">
        <f>Solieusap!B224</f>
        <v>1.8</v>
      </c>
      <c r="C224" s="14" t="str">
        <f>Solieusap!C224</f>
        <v>DEAD1</v>
      </c>
      <c r="D224" s="14" t="str">
        <f>Solieusap!D224</f>
        <v>LinStatic</v>
      </c>
      <c r="E224" s="16">
        <f>ABS(Solieusap!E224)</f>
        <v>8.7923</v>
      </c>
      <c r="F224" s="16">
        <f>ABS(Solieusap!F224)</f>
        <v>0.0201</v>
      </c>
      <c r="G224" s="16">
        <f>ABS(Solieusap!G224)</f>
        <v>0.0162</v>
      </c>
      <c r="H224" s="16">
        <f>ABS(Solieusap!H224)</f>
        <v>0.00049</v>
      </c>
      <c r="I224" s="16">
        <f>ABS(Solieusap!I224)</f>
        <v>0.00334</v>
      </c>
      <c r="J224" s="16">
        <f>ABS(Solieusap!J224)</f>
        <v>0.00126</v>
      </c>
      <c r="K224" s="16">
        <f t="shared" si="1"/>
        <v>8.7923</v>
      </c>
      <c r="L224" s="16">
        <f t="shared" si="2"/>
        <v>0.00334</v>
      </c>
    </row>
    <row r="225" ht="16.5" customHeight="1">
      <c r="A225" s="14" t="str">
        <f>Solieusap!A225</f>
        <v>210</v>
      </c>
      <c r="B225" s="15">
        <f>Solieusap!B225</f>
        <v>3.6</v>
      </c>
      <c r="C225" s="14" t="str">
        <f>Solieusap!C225</f>
        <v>DEAD1</v>
      </c>
      <c r="D225" s="14" t="str">
        <f>Solieusap!D225</f>
        <v>LinStatic</v>
      </c>
      <c r="E225" s="16">
        <f>ABS(Solieusap!E225)</f>
        <v>8.5943</v>
      </c>
      <c r="F225" s="16">
        <f>ABS(Solieusap!F225)</f>
        <v>0.0201</v>
      </c>
      <c r="G225" s="16">
        <f>ABS(Solieusap!G225)</f>
        <v>0.0162</v>
      </c>
      <c r="H225" s="16">
        <f>ABS(Solieusap!H225)</f>
        <v>0.00049</v>
      </c>
      <c r="I225" s="16">
        <f>ABS(Solieusap!I225)</f>
        <v>0.03248</v>
      </c>
      <c r="J225" s="16">
        <f>ABS(Solieusap!J225)</f>
        <v>0.03492</v>
      </c>
      <c r="K225" s="16">
        <f t="shared" si="1"/>
        <v>8.5943</v>
      </c>
      <c r="L225" s="16">
        <f t="shared" si="2"/>
        <v>0.03248</v>
      </c>
    </row>
    <row r="226" ht="16.5" customHeight="1">
      <c r="A226" s="14" t="str">
        <f>Solieusap!A226</f>
        <v>211</v>
      </c>
      <c r="B226" s="15">
        <f>Solieusap!B226</f>
        <v>0</v>
      </c>
      <c r="C226" s="14" t="str">
        <f>Solieusap!C226</f>
        <v>DEAD1</v>
      </c>
      <c r="D226" s="14" t="str">
        <f>Solieusap!D226</f>
        <v>LinStatic</v>
      </c>
      <c r="E226" s="16">
        <f>ABS(Solieusap!E226)</f>
        <v>3.1275</v>
      </c>
      <c r="F226" s="16">
        <f>ABS(Solieusap!F226)</f>
        <v>0.0229</v>
      </c>
      <c r="G226" s="16">
        <f>ABS(Solieusap!G226)</f>
        <v>0.0188</v>
      </c>
      <c r="H226" s="16">
        <f>ABS(Solieusap!H226)</f>
        <v>0.00098</v>
      </c>
      <c r="I226" s="16">
        <f>ABS(Solieusap!I226)</f>
        <v>0.04438</v>
      </c>
      <c r="J226" s="16">
        <f>ABS(Solieusap!J226)</f>
        <v>0.03826</v>
      </c>
      <c r="K226" s="16">
        <f t="shared" si="1"/>
        <v>3.1275</v>
      </c>
      <c r="L226" s="16">
        <f t="shared" si="2"/>
        <v>0.04438</v>
      </c>
    </row>
    <row r="227" ht="16.5" customHeight="1">
      <c r="A227" s="14" t="str">
        <f>Solieusap!A227</f>
        <v>211</v>
      </c>
      <c r="B227" s="15">
        <f>Solieusap!B227</f>
        <v>1.8</v>
      </c>
      <c r="C227" s="14" t="str">
        <f>Solieusap!C227</f>
        <v>DEAD1</v>
      </c>
      <c r="D227" s="14" t="str">
        <f>Solieusap!D227</f>
        <v>LinStatic</v>
      </c>
      <c r="E227" s="16">
        <f>ABS(Solieusap!E227)</f>
        <v>2.9295</v>
      </c>
      <c r="F227" s="16">
        <f>ABS(Solieusap!F227)</f>
        <v>0.0229</v>
      </c>
      <c r="G227" s="16">
        <f>ABS(Solieusap!G227)</f>
        <v>0.0188</v>
      </c>
      <c r="H227" s="16">
        <f>ABS(Solieusap!H227)</f>
        <v>0.00098</v>
      </c>
      <c r="I227" s="16">
        <f>ABS(Solieusap!I227)</f>
        <v>0.01053</v>
      </c>
      <c r="J227" s="16">
        <f>ABS(Solieusap!J227)</f>
        <v>0.00291</v>
      </c>
      <c r="K227" s="16">
        <f t="shared" si="1"/>
        <v>2.9295</v>
      </c>
      <c r="L227" s="16">
        <f t="shared" si="2"/>
        <v>0.01053</v>
      </c>
    </row>
    <row r="228" ht="16.5" customHeight="1">
      <c r="A228" s="14" t="str">
        <f>Solieusap!A228</f>
        <v>211</v>
      </c>
      <c r="B228" s="15">
        <f>Solieusap!B228</f>
        <v>3.6</v>
      </c>
      <c r="C228" s="14" t="str">
        <f>Solieusap!C228</f>
        <v>DEAD1</v>
      </c>
      <c r="D228" s="14" t="str">
        <f>Solieusap!D228</f>
        <v>LinStatic</v>
      </c>
      <c r="E228" s="16">
        <f>ABS(Solieusap!E228)</f>
        <v>2.7315</v>
      </c>
      <c r="F228" s="16">
        <f>ABS(Solieusap!F228)</f>
        <v>0.0229</v>
      </c>
      <c r="G228" s="16">
        <f>ABS(Solieusap!G228)</f>
        <v>0.0188</v>
      </c>
      <c r="H228" s="16">
        <f>ABS(Solieusap!H228)</f>
        <v>0.00098</v>
      </c>
      <c r="I228" s="16">
        <f>ABS(Solieusap!I228)</f>
        <v>0.02332</v>
      </c>
      <c r="J228" s="16">
        <f>ABS(Solieusap!J228)</f>
        <v>0.04407</v>
      </c>
      <c r="K228" s="16">
        <f t="shared" si="1"/>
        <v>2.7315</v>
      </c>
      <c r="L228" s="16">
        <f t="shared" si="2"/>
        <v>0.02332</v>
      </c>
    </row>
    <row r="229" ht="16.5" customHeight="1">
      <c r="A229" s="14" t="str">
        <f>Solieusap!A229</f>
        <v>212</v>
      </c>
      <c r="B229" s="15">
        <f>Solieusap!B229</f>
        <v>0</v>
      </c>
      <c r="C229" s="14" t="str">
        <f>Solieusap!C229</f>
        <v>DEAD1</v>
      </c>
      <c r="D229" s="14" t="str">
        <f>Solieusap!D229</f>
        <v>LinStatic</v>
      </c>
      <c r="E229" s="16">
        <f>ABS(Solieusap!E229)</f>
        <v>13.7305</v>
      </c>
      <c r="F229" s="16">
        <f>ABS(Solieusap!F229)</f>
        <v>0.0246</v>
      </c>
      <c r="G229" s="16">
        <f>ABS(Solieusap!G229)</f>
        <v>0.2171</v>
      </c>
      <c r="H229" s="16">
        <f>ABS(Solieusap!H229)</f>
        <v>0.00018</v>
      </c>
      <c r="I229" s="16">
        <f>ABS(Solieusap!I229)</f>
        <v>0.29963</v>
      </c>
      <c r="J229" s="16">
        <f>ABS(Solieusap!J229)</f>
        <v>0.02259</v>
      </c>
      <c r="K229" s="16">
        <f t="shared" si="1"/>
        <v>13.7305</v>
      </c>
      <c r="L229" s="16">
        <f t="shared" si="2"/>
        <v>0.29963</v>
      </c>
    </row>
    <row r="230" ht="16.5" customHeight="1">
      <c r="A230" s="14" t="str">
        <f>Solieusap!A230</f>
        <v>212</v>
      </c>
      <c r="B230" s="15">
        <f>Solieusap!B230</f>
        <v>1.35</v>
      </c>
      <c r="C230" s="14" t="str">
        <f>Solieusap!C230</f>
        <v>DEAD1</v>
      </c>
      <c r="D230" s="14" t="str">
        <f>Solieusap!D230</f>
        <v>LinStatic</v>
      </c>
      <c r="E230" s="16">
        <f>ABS(Solieusap!E230)</f>
        <v>13.582</v>
      </c>
      <c r="F230" s="16">
        <f>ABS(Solieusap!F230)</f>
        <v>0.0246</v>
      </c>
      <c r="G230" s="16">
        <f>ABS(Solieusap!G230)</f>
        <v>0.2171</v>
      </c>
      <c r="H230" s="16">
        <f>ABS(Solieusap!H230)</f>
        <v>0.00018</v>
      </c>
      <c r="I230" s="16">
        <f>ABS(Solieusap!I230)</f>
        <v>0.00659</v>
      </c>
      <c r="J230" s="16">
        <f>ABS(Solieusap!J230)</f>
        <v>0.01066</v>
      </c>
      <c r="K230" s="16">
        <f t="shared" si="1"/>
        <v>13.582</v>
      </c>
      <c r="L230" s="16">
        <f t="shared" si="2"/>
        <v>0.00659</v>
      </c>
    </row>
    <row r="231" ht="16.5" customHeight="1">
      <c r="A231" s="14" t="str">
        <f>Solieusap!A231</f>
        <v>212</v>
      </c>
      <c r="B231" s="15">
        <f>Solieusap!B231</f>
        <v>2.7</v>
      </c>
      <c r="C231" s="14" t="str">
        <f>Solieusap!C231</f>
        <v>DEAD1</v>
      </c>
      <c r="D231" s="14" t="str">
        <f>Solieusap!D231</f>
        <v>LinStatic</v>
      </c>
      <c r="E231" s="16">
        <f>ABS(Solieusap!E231)</f>
        <v>13.4335</v>
      </c>
      <c r="F231" s="16">
        <f>ABS(Solieusap!F231)</f>
        <v>0.0246</v>
      </c>
      <c r="G231" s="16">
        <f>ABS(Solieusap!G231)</f>
        <v>0.2171</v>
      </c>
      <c r="H231" s="16">
        <f>ABS(Solieusap!H231)</f>
        <v>0.00018</v>
      </c>
      <c r="I231" s="16">
        <f>ABS(Solieusap!I231)</f>
        <v>0.28644</v>
      </c>
      <c r="J231" s="16">
        <f>ABS(Solieusap!J231)</f>
        <v>0.04391</v>
      </c>
      <c r="K231" s="16">
        <f t="shared" si="1"/>
        <v>13.4335</v>
      </c>
      <c r="L231" s="16">
        <f t="shared" si="2"/>
        <v>0.28644</v>
      </c>
    </row>
    <row r="232" ht="16.5" customHeight="1">
      <c r="A232" s="14" t="str">
        <f>Solieusap!A232</f>
        <v>213</v>
      </c>
      <c r="B232" s="15">
        <f>Solieusap!B232</f>
        <v>0</v>
      </c>
      <c r="C232" s="14" t="str">
        <f>Solieusap!C232</f>
        <v>DEAD1</v>
      </c>
      <c r="D232" s="14" t="str">
        <f>Solieusap!D232</f>
        <v>LinStatic</v>
      </c>
      <c r="E232" s="16">
        <f>ABS(Solieusap!E232)</f>
        <v>8.382</v>
      </c>
      <c r="F232" s="16">
        <f>ABS(Solieusap!F232)</f>
        <v>0.0203</v>
      </c>
      <c r="G232" s="16">
        <f>ABS(Solieusap!G232)</f>
        <v>0.021</v>
      </c>
      <c r="H232" s="16">
        <f>ABS(Solieusap!H232)</f>
        <v>0.00025</v>
      </c>
      <c r="I232" s="16">
        <f>ABS(Solieusap!I232)</f>
        <v>0.03875</v>
      </c>
      <c r="J232" s="16">
        <f>ABS(Solieusap!J232)</f>
        <v>0.03983</v>
      </c>
      <c r="K232" s="16">
        <f t="shared" si="1"/>
        <v>8.382</v>
      </c>
      <c r="L232" s="16">
        <f t="shared" si="2"/>
        <v>0.03875</v>
      </c>
    </row>
    <row r="233" ht="16.5" customHeight="1">
      <c r="A233" s="14" t="str">
        <f>Solieusap!A233</f>
        <v>213</v>
      </c>
      <c r="B233" s="15">
        <f>Solieusap!B233</f>
        <v>1.8</v>
      </c>
      <c r="C233" s="14" t="str">
        <f>Solieusap!C233</f>
        <v>DEAD1</v>
      </c>
      <c r="D233" s="14" t="str">
        <f>Solieusap!D233</f>
        <v>LinStatic</v>
      </c>
      <c r="E233" s="16">
        <f>ABS(Solieusap!E233)</f>
        <v>8.184</v>
      </c>
      <c r="F233" s="16">
        <f>ABS(Solieusap!F233)</f>
        <v>0.0203</v>
      </c>
      <c r="G233" s="16">
        <f>ABS(Solieusap!G233)</f>
        <v>0.021</v>
      </c>
      <c r="H233" s="16">
        <f>ABS(Solieusap!H233)</f>
        <v>0.00025</v>
      </c>
      <c r="I233" s="16">
        <f>ABS(Solieusap!I233)</f>
        <v>0.00093</v>
      </c>
      <c r="J233" s="16">
        <f>ABS(Solieusap!J233)</f>
        <v>0.00333</v>
      </c>
      <c r="K233" s="16">
        <f t="shared" si="1"/>
        <v>8.184</v>
      </c>
      <c r="L233" s="16">
        <f t="shared" si="2"/>
        <v>0.00093</v>
      </c>
    </row>
    <row r="234" ht="16.5" customHeight="1">
      <c r="A234" s="14" t="str">
        <f>Solieusap!A234</f>
        <v>213</v>
      </c>
      <c r="B234" s="15">
        <f>Solieusap!B234</f>
        <v>3.6</v>
      </c>
      <c r="C234" s="14" t="str">
        <f>Solieusap!C234</f>
        <v>DEAD1</v>
      </c>
      <c r="D234" s="14" t="str">
        <f>Solieusap!D234</f>
        <v>LinStatic</v>
      </c>
      <c r="E234" s="16">
        <f>ABS(Solieusap!E234)</f>
        <v>7.986</v>
      </c>
      <c r="F234" s="16">
        <f>ABS(Solieusap!F234)</f>
        <v>0.0203</v>
      </c>
      <c r="G234" s="16">
        <f>ABS(Solieusap!G234)</f>
        <v>0.021</v>
      </c>
      <c r="H234" s="16">
        <f>ABS(Solieusap!H234)</f>
        <v>0.00025</v>
      </c>
      <c r="I234" s="16">
        <f>ABS(Solieusap!I234)</f>
        <v>0.03688</v>
      </c>
      <c r="J234" s="16">
        <f>ABS(Solieusap!J234)</f>
        <v>0.03317</v>
      </c>
      <c r="K234" s="16">
        <f t="shared" si="1"/>
        <v>7.986</v>
      </c>
      <c r="L234" s="16">
        <f t="shared" si="2"/>
        <v>0.03688</v>
      </c>
    </row>
    <row r="235" ht="16.5" customHeight="1">
      <c r="A235" s="14" t="str">
        <f>Solieusap!A235</f>
        <v>214</v>
      </c>
      <c r="B235" s="15">
        <f>Solieusap!B235</f>
        <v>0</v>
      </c>
      <c r="C235" s="14" t="str">
        <f>Solieusap!C235</f>
        <v>DEAD1</v>
      </c>
      <c r="D235" s="14" t="str">
        <f>Solieusap!D235</f>
        <v>LinStatic</v>
      </c>
      <c r="E235" s="16">
        <f>ABS(Solieusap!E235)</f>
        <v>3.039</v>
      </c>
      <c r="F235" s="16">
        <f>ABS(Solieusap!F235)</f>
        <v>0.0346</v>
      </c>
      <c r="G235" s="16">
        <f>ABS(Solieusap!G235)</f>
        <v>0.0008736</v>
      </c>
      <c r="H235" s="16">
        <f>ABS(Solieusap!H235)</f>
        <v>0.00228</v>
      </c>
      <c r="I235" s="16">
        <f>ABS(Solieusap!I235)</f>
        <v>0.01366</v>
      </c>
      <c r="J235" s="16">
        <f>ABS(Solieusap!J235)</f>
        <v>0.06005</v>
      </c>
      <c r="K235" s="16">
        <f t="shared" si="1"/>
        <v>3.039</v>
      </c>
      <c r="L235" s="16">
        <f t="shared" si="2"/>
        <v>0.01366</v>
      </c>
    </row>
    <row r="236" ht="16.5" customHeight="1">
      <c r="A236" s="14" t="str">
        <f>Solieusap!A236</f>
        <v>214</v>
      </c>
      <c r="B236" s="15">
        <f>Solieusap!B236</f>
        <v>1.8</v>
      </c>
      <c r="C236" s="14" t="str">
        <f>Solieusap!C236</f>
        <v>DEAD1</v>
      </c>
      <c r="D236" s="14" t="str">
        <f>Solieusap!D236</f>
        <v>LinStatic</v>
      </c>
      <c r="E236" s="16">
        <f>ABS(Solieusap!E236)</f>
        <v>2.841</v>
      </c>
      <c r="F236" s="16">
        <f>ABS(Solieusap!F236)</f>
        <v>0.0346</v>
      </c>
      <c r="G236" s="16">
        <f>ABS(Solieusap!G236)</f>
        <v>0.0008736</v>
      </c>
      <c r="H236" s="16">
        <f>ABS(Solieusap!H236)</f>
        <v>0.00228</v>
      </c>
      <c r="I236" s="16">
        <f>ABS(Solieusap!I236)</f>
        <v>0.01209</v>
      </c>
      <c r="J236" s="16">
        <f>ABS(Solieusap!J236)</f>
        <v>0.0022</v>
      </c>
      <c r="K236" s="16">
        <f t="shared" si="1"/>
        <v>2.841</v>
      </c>
      <c r="L236" s="16">
        <f t="shared" si="2"/>
        <v>0.01209</v>
      </c>
    </row>
    <row r="237" ht="16.5" customHeight="1">
      <c r="A237" s="14" t="str">
        <f>Solieusap!A237</f>
        <v>214</v>
      </c>
      <c r="B237" s="15">
        <f>Solieusap!B237</f>
        <v>3.6</v>
      </c>
      <c r="C237" s="14" t="str">
        <f>Solieusap!C237</f>
        <v>DEAD1</v>
      </c>
      <c r="D237" s="14" t="str">
        <f>Solieusap!D237</f>
        <v>LinStatic</v>
      </c>
      <c r="E237" s="16">
        <f>ABS(Solieusap!E237)</f>
        <v>2.643</v>
      </c>
      <c r="F237" s="16">
        <f>ABS(Solieusap!F237)</f>
        <v>0.0346</v>
      </c>
      <c r="G237" s="16">
        <f>ABS(Solieusap!G237)</f>
        <v>0.0008736</v>
      </c>
      <c r="H237" s="16">
        <f>ABS(Solieusap!H237)</f>
        <v>0.00228</v>
      </c>
      <c r="I237" s="16">
        <f>ABS(Solieusap!I237)</f>
        <v>0.01051</v>
      </c>
      <c r="J237" s="16">
        <f>ABS(Solieusap!J237)</f>
        <v>0.06446</v>
      </c>
      <c r="K237" s="16">
        <f t="shared" si="1"/>
        <v>2.643</v>
      </c>
      <c r="L237" s="16">
        <f t="shared" si="2"/>
        <v>0.01051</v>
      </c>
    </row>
    <row r="238" ht="16.5" customHeight="1">
      <c r="A238" s="14" t="str">
        <f>Solieusap!A238</f>
        <v>215</v>
      </c>
      <c r="B238" s="15">
        <f>Solieusap!B238</f>
        <v>0</v>
      </c>
      <c r="C238" s="14" t="str">
        <f>Solieusap!C238</f>
        <v>DEAD1</v>
      </c>
      <c r="D238" s="14" t="str">
        <f>Solieusap!D238</f>
        <v>LinStatic</v>
      </c>
      <c r="E238" s="16">
        <f>ABS(Solieusap!E238)</f>
        <v>17.4091</v>
      </c>
      <c r="F238" s="16">
        <f>ABS(Solieusap!F238)</f>
        <v>0.0416</v>
      </c>
      <c r="G238" s="16">
        <f>ABS(Solieusap!G238)</f>
        <v>0.2106</v>
      </c>
      <c r="H238" s="16">
        <f>ABS(Solieusap!H238)</f>
        <v>0.00091</v>
      </c>
      <c r="I238" s="16">
        <f>ABS(Solieusap!I238)</f>
        <v>0.29162</v>
      </c>
      <c r="J238" s="16">
        <f>ABS(Solieusap!J238)</f>
        <v>0.03644</v>
      </c>
      <c r="K238" s="16">
        <f t="shared" si="1"/>
        <v>17.4091</v>
      </c>
      <c r="L238" s="16">
        <f t="shared" si="2"/>
        <v>0.29162</v>
      </c>
    </row>
    <row r="239" ht="16.5" customHeight="1">
      <c r="A239" s="14" t="str">
        <f>Solieusap!A239</f>
        <v>215</v>
      </c>
      <c r="B239" s="15">
        <f>Solieusap!B239</f>
        <v>1.35</v>
      </c>
      <c r="C239" s="14" t="str">
        <f>Solieusap!C239</f>
        <v>DEAD1</v>
      </c>
      <c r="D239" s="14" t="str">
        <f>Solieusap!D239</f>
        <v>LinStatic</v>
      </c>
      <c r="E239" s="16">
        <f>ABS(Solieusap!E239)</f>
        <v>17.2606</v>
      </c>
      <c r="F239" s="16">
        <f>ABS(Solieusap!F239)</f>
        <v>0.0416</v>
      </c>
      <c r="G239" s="16">
        <f>ABS(Solieusap!G239)</f>
        <v>0.2106</v>
      </c>
      <c r="H239" s="16">
        <f>ABS(Solieusap!H239)</f>
        <v>0.00091</v>
      </c>
      <c r="I239" s="16">
        <f>ABS(Solieusap!I239)</f>
        <v>0.00737</v>
      </c>
      <c r="J239" s="16">
        <f>ABS(Solieusap!J239)</f>
        <v>0.01968</v>
      </c>
      <c r="K239" s="16">
        <f t="shared" si="1"/>
        <v>17.2606</v>
      </c>
      <c r="L239" s="16">
        <f t="shared" si="2"/>
        <v>0.00737</v>
      </c>
    </row>
    <row r="240" ht="16.5" customHeight="1">
      <c r="A240" s="14" t="str">
        <f>Solieusap!A240</f>
        <v>215</v>
      </c>
      <c r="B240" s="15">
        <f>Solieusap!B240</f>
        <v>2.7</v>
      </c>
      <c r="C240" s="14" t="str">
        <f>Solieusap!C240</f>
        <v>DEAD1</v>
      </c>
      <c r="D240" s="14" t="str">
        <f>Solieusap!D240</f>
        <v>LinStatic</v>
      </c>
      <c r="E240" s="16">
        <f>ABS(Solieusap!E240)</f>
        <v>17.1121</v>
      </c>
      <c r="F240" s="16">
        <f>ABS(Solieusap!F240)</f>
        <v>0.0416</v>
      </c>
      <c r="G240" s="16">
        <f>ABS(Solieusap!G240)</f>
        <v>0.2106</v>
      </c>
      <c r="H240" s="16">
        <f>ABS(Solieusap!H240)</f>
        <v>0.00091</v>
      </c>
      <c r="I240" s="16">
        <f>ABS(Solieusap!I240)</f>
        <v>0.27687</v>
      </c>
      <c r="J240" s="16">
        <f>ABS(Solieusap!J240)</f>
        <v>0.0758</v>
      </c>
      <c r="K240" s="16">
        <f t="shared" si="1"/>
        <v>17.1121</v>
      </c>
      <c r="L240" s="16">
        <f t="shared" si="2"/>
        <v>0.27687</v>
      </c>
    </row>
    <row r="241" ht="16.5" customHeight="1">
      <c r="A241" s="14" t="str">
        <f>Solieusap!A241</f>
        <v>216</v>
      </c>
      <c r="B241" s="15">
        <f>Solieusap!B241</f>
        <v>0</v>
      </c>
      <c r="C241" s="14" t="str">
        <f>Solieusap!C241</f>
        <v>DEAD1</v>
      </c>
      <c r="D241" s="14" t="str">
        <f>Solieusap!D241</f>
        <v>LinStatic</v>
      </c>
      <c r="E241" s="16">
        <f>ABS(Solieusap!E241)</f>
        <v>11.8158</v>
      </c>
      <c r="F241" s="16">
        <f>ABS(Solieusap!F241)</f>
        <v>0.0529</v>
      </c>
      <c r="G241" s="16">
        <f>ABS(Solieusap!G241)</f>
        <v>0.0231</v>
      </c>
      <c r="H241" s="16">
        <f>ABS(Solieusap!H241)</f>
        <v>0.00079</v>
      </c>
      <c r="I241" s="16">
        <f>ABS(Solieusap!I241)</f>
        <v>0.04086</v>
      </c>
      <c r="J241" s="16">
        <f>ABS(Solieusap!J241)</f>
        <v>0.09317</v>
      </c>
      <c r="K241" s="16">
        <f t="shared" si="1"/>
        <v>11.8158</v>
      </c>
      <c r="L241" s="16">
        <f t="shared" si="2"/>
        <v>0.04086</v>
      </c>
    </row>
    <row r="242" ht="16.5" customHeight="1">
      <c r="A242" s="14" t="str">
        <f>Solieusap!A242</f>
        <v>216</v>
      </c>
      <c r="B242" s="15">
        <f>Solieusap!B242</f>
        <v>1.8</v>
      </c>
      <c r="C242" s="14" t="str">
        <f>Solieusap!C242</f>
        <v>DEAD1</v>
      </c>
      <c r="D242" s="14" t="str">
        <f>Solieusap!D242</f>
        <v>LinStatic</v>
      </c>
      <c r="E242" s="16">
        <f>ABS(Solieusap!E242)</f>
        <v>11.6178</v>
      </c>
      <c r="F242" s="16">
        <f>ABS(Solieusap!F242)</f>
        <v>0.0529</v>
      </c>
      <c r="G242" s="16">
        <f>ABS(Solieusap!G242)</f>
        <v>0.0231</v>
      </c>
      <c r="H242" s="16">
        <f>ABS(Solieusap!H242)</f>
        <v>0.00079</v>
      </c>
      <c r="I242" s="16">
        <f>ABS(Solieusap!I242)</f>
        <v>0.00065</v>
      </c>
      <c r="J242" s="16">
        <f>ABS(Solieusap!J242)</f>
        <v>0.00208</v>
      </c>
      <c r="K242" s="16">
        <f t="shared" si="1"/>
        <v>11.6178</v>
      </c>
      <c r="L242" s="16">
        <f t="shared" si="2"/>
        <v>0.00065</v>
      </c>
    </row>
    <row r="243" ht="16.5" customHeight="1">
      <c r="A243" s="14" t="str">
        <f>Solieusap!A243</f>
        <v>216</v>
      </c>
      <c r="B243" s="15">
        <f>Solieusap!B243</f>
        <v>3.6</v>
      </c>
      <c r="C243" s="14" t="str">
        <f>Solieusap!C243</f>
        <v>DEAD1</v>
      </c>
      <c r="D243" s="14" t="str">
        <f>Solieusap!D243</f>
        <v>LinStatic</v>
      </c>
      <c r="E243" s="16">
        <f>ABS(Solieusap!E243)</f>
        <v>11.4198</v>
      </c>
      <c r="F243" s="16">
        <f>ABS(Solieusap!F243)</f>
        <v>0.0529</v>
      </c>
      <c r="G243" s="16">
        <f>ABS(Solieusap!G243)</f>
        <v>0.0231</v>
      </c>
      <c r="H243" s="16">
        <f>ABS(Solieusap!H243)</f>
        <v>0.00079</v>
      </c>
      <c r="I243" s="16">
        <f>ABS(Solieusap!I243)</f>
        <v>0.04217</v>
      </c>
      <c r="J243" s="16">
        <f>ABS(Solieusap!J243)</f>
        <v>0.09733</v>
      </c>
      <c r="K243" s="16">
        <f t="shared" si="1"/>
        <v>11.4198</v>
      </c>
      <c r="L243" s="16">
        <f t="shared" si="2"/>
        <v>0.04217</v>
      </c>
    </row>
    <row r="244" ht="16.5" customHeight="1">
      <c r="A244" s="14" t="str">
        <f>Solieusap!A244</f>
        <v>217</v>
      </c>
      <c r="B244" s="15">
        <f>Solieusap!B244</f>
        <v>0</v>
      </c>
      <c r="C244" s="14" t="str">
        <f>Solieusap!C244</f>
        <v>DEAD1</v>
      </c>
      <c r="D244" s="14" t="str">
        <f>Solieusap!D244</f>
        <v>LinStatic</v>
      </c>
      <c r="E244" s="16">
        <f>ABS(Solieusap!E244)</f>
        <v>6.3159</v>
      </c>
      <c r="F244" s="16">
        <f>ABS(Solieusap!F244)</f>
        <v>0.0456</v>
      </c>
      <c r="G244" s="16">
        <f>ABS(Solieusap!G244)</f>
        <v>0.0658</v>
      </c>
      <c r="H244" s="16">
        <f>ABS(Solieusap!H244)</f>
        <v>0.00249</v>
      </c>
      <c r="I244" s="16">
        <f>ABS(Solieusap!I244)</f>
        <v>0.07524</v>
      </c>
      <c r="J244" s="16">
        <f>ABS(Solieusap!J244)</f>
        <v>0.07349</v>
      </c>
      <c r="K244" s="16">
        <f t="shared" si="1"/>
        <v>6.3159</v>
      </c>
      <c r="L244" s="16">
        <f t="shared" si="2"/>
        <v>0.07524</v>
      </c>
    </row>
    <row r="245" ht="16.5" customHeight="1">
      <c r="A245" s="14" t="str">
        <f>Solieusap!A245</f>
        <v>217</v>
      </c>
      <c r="B245" s="15">
        <f>Solieusap!B245</f>
        <v>1.8</v>
      </c>
      <c r="C245" s="14" t="str">
        <f>Solieusap!C245</f>
        <v>DEAD1</v>
      </c>
      <c r="D245" s="14" t="str">
        <f>Solieusap!D245</f>
        <v>LinStatic</v>
      </c>
      <c r="E245" s="16">
        <f>ABS(Solieusap!E245)</f>
        <v>6.1179</v>
      </c>
      <c r="F245" s="16">
        <f>ABS(Solieusap!F245)</f>
        <v>0.0456</v>
      </c>
      <c r="G245" s="16">
        <f>ABS(Solieusap!G245)</f>
        <v>0.0658</v>
      </c>
      <c r="H245" s="16">
        <f>ABS(Solieusap!H245)</f>
        <v>0.00249</v>
      </c>
      <c r="I245" s="16">
        <f>ABS(Solieusap!I245)</f>
        <v>0.04326</v>
      </c>
      <c r="J245" s="16">
        <f>ABS(Solieusap!J245)</f>
        <v>0.00864</v>
      </c>
      <c r="K245" s="16">
        <f t="shared" si="1"/>
        <v>6.1179</v>
      </c>
      <c r="L245" s="16">
        <f t="shared" si="2"/>
        <v>0.04326</v>
      </c>
    </row>
    <row r="246" ht="16.5" customHeight="1">
      <c r="A246" s="14" t="str">
        <f>Solieusap!A246</f>
        <v>217</v>
      </c>
      <c r="B246" s="15">
        <f>Solieusap!B246</f>
        <v>3.6</v>
      </c>
      <c r="C246" s="14" t="str">
        <f>Solieusap!C246</f>
        <v>DEAD1</v>
      </c>
      <c r="D246" s="14" t="str">
        <f>Solieusap!D246</f>
        <v>LinStatic</v>
      </c>
      <c r="E246" s="16">
        <f>ABS(Solieusap!E246)</f>
        <v>5.9199</v>
      </c>
      <c r="F246" s="16">
        <f>ABS(Solieusap!F246)</f>
        <v>0.0456</v>
      </c>
      <c r="G246" s="16">
        <f>ABS(Solieusap!G246)</f>
        <v>0.0658</v>
      </c>
      <c r="H246" s="16">
        <f>ABS(Solieusap!H246)</f>
        <v>0.00249</v>
      </c>
      <c r="I246" s="16">
        <f>ABS(Solieusap!I246)</f>
        <v>0.16176</v>
      </c>
      <c r="J246" s="16">
        <f>ABS(Solieusap!J246)</f>
        <v>0.09078</v>
      </c>
      <c r="K246" s="16">
        <f t="shared" si="1"/>
        <v>5.9199</v>
      </c>
      <c r="L246" s="16">
        <f t="shared" si="2"/>
        <v>0.16176</v>
      </c>
    </row>
    <row r="247" ht="16.5" customHeight="1">
      <c r="A247" s="14" t="str">
        <f>Solieusap!A247</f>
        <v>218</v>
      </c>
      <c r="B247" s="15">
        <f>Solieusap!B247</f>
        <v>0</v>
      </c>
      <c r="C247" s="14" t="str">
        <f>Solieusap!C247</f>
        <v>DEAD1</v>
      </c>
      <c r="D247" s="14" t="str">
        <f>Solieusap!D247</f>
        <v>LinStatic</v>
      </c>
      <c r="E247" s="16">
        <f>ABS(Solieusap!E247)</f>
        <v>15.4306</v>
      </c>
      <c r="F247" s="16">
        <f>ABS(Solieusap!F247)</f>
        <v>0.0762</v>
      </c>
      <c r="G247" s="16">
        <f>ABS(Solieusap!G247)</f>
        <v>0.1935</v>
      </c>
      <c r="H247" s="16">
        <f>ABS(Solieusap!H247)</f>
        <v>0.00033</v>
      </c>
      <c r="I247" s="16">
        <f>ABS(Solieusap!I247)</f>
        <v>0.27227</v>
      </c>
      <c r="J247" s="16">
        <f>ABS(Solieusap!J247)</f>
        <v>0.06879</v>
      </c>
      <c r="K247" s="16">
        <f t="shared" si="1"/>
        <v>15.4306</v>
      </c>
      <c r="L247" s="16">
        <f t="shared" si="2"/>
        <v>0.27227</v>
      </c>
    </row>
    <row r="248" ht="16.5" customHeight="1">
      <c r="A248" s="14" t="str">
        <f>Solieusap!A248</f>
        <v>218</v>
      </c>
      <c r="B248" s="15">
        <f>Solieusap!B248</f>
        <v>1.35</v>
      </c>
      <c r="C248" s="14" t="str">
        <f>Solieusap!C248</f>
        <v>DEAD1</v>
      </c>
      <c r="D248" s="14" t="str">
        <f>Solieusap!D248</f>
        <v>LinStatic</v>
      </c>
      <c r="E248" s="16">
        <f>ABS(Solieusap!E248)</f>
        <v>15.2821</v>
      </c>
      <c r="F248" s="16">
        <f>ABS(Solieusap!F248)</f>
        <v>0.0762</v>
      </c>
      <c r="G248" s="16">
        <f>ABS(Solieusap!G248)</f>
        <v>0.1935</v>
      </c>
      <c r="H248" s="16">
        <f>ABS(Solieusap!H248)</f>
        <v>0.00033</v>
      </c>
      <c r="I248" s="16">
        <f>ABS(Solieusap!I248)</f>
        <v>0.01102</v>
      </c>
      <c r="J248" s="16">
        <f>ABS(Solieusap!J248)</f>
        <v>0.03414</v>
      </c>
      <c r="K248" s="16">
        <f t="shared" si="1"/>
        <v>15.2821</v>
      </c>
      <c r="L248" s="16">
        <f t="shared" si="2"/>
        <v>0.01102</v>
      </c>
    </row>
    <row r="249" ht="16.5" customHeight="1">
      <c r="A249" s="14" t="str">
        <f>Solieusap!A249</f>
        <v>218</v>
      </c>
      <c r="B249" s="15">
        <f>Solieusap!B249</f>
        <v>2.7</v>
      </c>
      <c r="C249" s="14" t="str">
        <f>Solieusap!C249</f>
        <v>DEAD1</v>
      </c>
      <c r="D249" s="14" t="str">
        <f>Solieusap!D249</f>
        <v>LinStatic</v>
      </c>
      <c r="E249" s="16">
        <f>ABS(Solieusap!E249)</f>
        <v>15.1336</v>
      </c>
      <c r="F249" s="16">
        <f>ABS(Solieusap!F249)</f>
        <v>0.0762</v>
      </c>
      <c r="G249" s="16">
        <f>ABS(Solieusap!G249)</f>
        <v>0.1935</v>
      </c>
      <c r="H249" s="16">
        <f>ABS(Solieusap!H249)</f>
        <v>0.00033</v>
      </c>
      <c r="I249" s="16">
        <f>ABS(Solieusap!I249)</f>
        <v>0.25023</v>
      </c>
      <c r="J249" s="16">
        <f>ABS(Solieusap!J249)</f>
        <v>0.13706</v>
      </c>
      <c r="K249" s="16">
        <f t="shared" si="1"/>
        <v>15.1336</v>
      </c>
      <c r="L249" s="16">
        <f t="shared" si="2"/>
        <v>0.25023</v>
      </c>
    </row>
    <row r="250" ht="16.5" customHeight="1">
      <c r="A250" s="14" t="str">
        <f>Solieusap!A250</f>
        <v>219</v>
      </c>
      <c r="B250" s="15">
        <f>Solieusap!B250</f>
        <v>0</v>
      </c>
      <c r="C250" s="14" t="str">
        <f>Solieusap!C250</f>
        <v>DEAD1</v>
      </c>
      <c r="D250" s="14" t="str">
        <f>Solieusap!D250</f>
        <v>LinStatic</v>
      </c>
      <c r="E250" s="16">
        <f>ABS(Solieusap!E250)</f>
        <v>11.3373</v>
      </c>
      <c r="F250" s="16">
        <f>ABS(Solieusap!F250)</f>
        <v>0.077</v>
      </c>
      <c r="G250" s="16">
        <f>ABS(Solieusap!G250)</f>
        <v>0.0287</v>
      </c>
      <c r="H250" s="16">
        <f>ABS(Solieusap!H250)</f>
        <v>0.00037</v>
      </c>
      <c r="I250" s="16">
        <f>ABS(Solieusap!I250)</f>
        <v>0.05015</v>
      </c>
      <c r="J250" s="16">
        <f>ABS(Solieusap!J250)</f>
        <v>0.14278</v>
      </c>
      <c r="K250" s="16">
        <f t="shared" si="1"/>
        <v>11.3373</v>
      </c>
      <c r="L250" s="16">
        <f t="shared" si="2"/>
        <v>0.05015</v>
      </c>
    </row>
    <row r="251" ht="16.5" customHeight="1">
      <c r="A251" s="14" t="str">
        <f>Solieusap!A251</f>
        <v>219</v>
      </c>
      <c r="B251" s="15">
        <f>Solieusap!B251</f>
        <v>1.8</v>
      </c>
      <c r="C251" s="14" t="str">
        <f>Solieusap!C251</f>
        <v>DEAD1</v>
      </c>
      <c r="D251" s="14" t="str">
        <f>Solieusap!D251</f>
        <v>LinStatic</v>
      </c>
      <c r="E251" s="16">
        <f>ABS(Solieusap!E251)</f>
        <v>11.1393</v>
      </c>
      <c r="F251" s="16">
        <f>ABS(Solieusap!F251)</f>
        <v>0.077</v>
      </c>
      <c r="G251" s="16">
        <f>ABS(Solieusap!G251)</f>
        <v>0.0287</v>
      </c>
      <c r="H251" s="16">
        <f>ABS(Solieusap!H251)</f>
        <v>0.00037</v>
      </c>
      <c r="I251" s="16">
        <f>ABS(Solieusap!I251)</f>
        <v>0.00148</v>
      </c>
      <c r="J251" s="16">
        <f>ABS(Solieusap!J251)</f>
        <v>0.00415</v>
      </c>
      <c r="K251" s="16">
        <f t="shared" si="1"/>
        <v>11.1393</v>
      </c>
      <c r="L251" s="16">
        <f t="shared" si="2"/>
        <v>0.00148</v>
      </c>
    </row>
    <row r="252" ht="16.5" customHeight="1">
      <c r="A252" s="14" t="str">
        <f>Solieusap!A252</f>
        <v>219</v>
      </c>
      <c r="B252" s="15">
        <f>Solieusap!B252</f>
        <v>3.6</v>
      </c>
      <c r="C252" s="14" t="str">
        <f>Solieusap!C252</f>
        <v>DEAD1</v>
      </c>
      <c r="D252" s="14" t="str">
        <f>Solieusap!D252</f>
        <v>LinStatic</v>
      </c>
      <c r="E252" s="16">
        <f>ABS(Solieusap!E252)</f>
        <v>10.9413</v>
      </c>
      <c r="F252" s="16">
        <f>ABS(Solieusap!F252)</f>
        <v>0.077</v>
      </c>
      <c r="G252" s="16">
        <f>ABS(Solieusap!G252)</f>
        <v>0.0287</v>
      </c>
      <c r="H252" s="16">
        <f>ABS(Solieusap!H252)</f>
        <v>0.00037</v>
      </c>
      <c r="I252" s="16">
        <f>ABS(Solieusap!I252)</f>
        <v>0.05311</v>
      </c>
      <c r="J252" s="16">
        <f>ABS(Solieusap!J252)</f>
        <v>0.13448</v>
      </c>
      <c r="K252" s="16">
        <f t="shared" si="1"/>
        <v>10.9413</v>
      </c>
      <c r="L252" s="16">
        <f t="shared" si="2"/>
        <v>0.05311</v>
      </c>
    </row>
    <row r="253" ht="16.5" customHeight="1">
      <c r="A253" s="14" t="str">
        <f>Solieusap!A253</f>
        <v>220</v>
      </c>
      <c r="B253" s="15">
        <f>Solieusap!B253</f>
        <v>0</v>
      </c>
      <c r="C253" s="14" t="str">
        <f>Solieusap!C253</f>
        <v>DEAD1</v>
      </c>
      <c r="D253" s="14" t="str">
        <f>Solieusap!D253</f>
        <v>LinStatic</v>
      </c>
      <c r="E253" s="16">
        <f>ABS(Solieusap!E253)</f>
        <v>7.0425</v>
      </c>
      <c r="F253" s="16">
        <f>ABS(Solieusap!F253)</f>
        <v>0.144</v>
      </c>
      <c r="G253" s="16">
        <f>ABS(Solieusap!G253)</f>
        <v>0.0132</v>
      </c>
      <c r="H253" s="16">
        <f>ABS(Solieusap!H253)</f>
        <v>0.00258</v>
      </c>
      <c r="I253" s="16">
        <f>ABS(Solieusap!I253)</f>
        <v>0.02032</v>
      </c>
      <c r="J253" s="16">
        <f>ABS(Solieusap!J253)</f>
        <v>0.24038</v>
      </c>
      <c r="K253" s="16">
        <f t="shared" si="1"/>
        <v>7.0425</v>
      </c>
      <c r="L253" s="16">
        <f t="shared" si="2"/>
        <v>0.02032</v>
      </c>
    </row>
    <row r="254" ht="16.5" customHeight="1">
      <c r="A254" s="14" t="str">
        <f>Solieusap!A254</f>
        <v>220</v>
      </c>
      <c r="B254" s="15">
        <f>Solieusap!B254</f>
        <v>1.8</v>
      </c>
      <c r="C254" s="14" t="str">
        <f>Solieusap!C254</f>
        <v>DEAD1</v>
      </c>
      <c r="D254" s="14" t="str">
        <f>Solieusap!D254</f>
        <v>LinStatic</v>
      </c>
      <c r="E254" s="16">
        <f>ABS(Solieusap!E254)</f>
        <v>6.8445</v>
      </c>
      <c r="F254" s="16">
        <f>ABS(Solieusap!F254)</f>
        <v>0.144</v>
      </c>
      <c r="G254" s="16">
        <f>ABS(Solieusap!G254)</f>
        <v>0.0132</v>
      </c>
      <c r="H254" s="16">
        <f>ABS(Solieusap!H254)</f>
        <v>0.00258</v>
      </c>
      <c r="I254" s="16">
        <f>ABS(Solieusap!I254)</f>
        <v>0.00351</v>
      </c>
      <c r="J254" s="16">
        <f>ABS(Solieusap!J254)</f>
        <v>0.01874</v>
      </c>
      <c r="K254" s="16">
        <f t="shared" si="1"/>
        <v>6.8445</v>
      </c>
      <c r="L254" s="16">
        <f t="shared" si="2"/>
        <v>0.00351</v>
      </c>
    </row>
    <row r="255" ht="16.5" customHeight="1">
      <c r="A255" s="14" t="str">
        <f>Solieusap!A255</f>
        <v>220</v>
      </c>
      <c r="B255" s="15">
        <f>Solieusap!B255</f>
        <v>3.6</v>
      </c>
      <c r="C255" s="14" t="str">
        <f>Solieusap!C255</f>
        <v>DEAD1</v>
      </c>
      <c r="D255" s="14" t="str">
        <f>Solieusap!D255</f>
        <v>LinStatic</v>
      </c>
      <c r="E255" s="16">
        <f>ABS(Solieusap!E255)</f>
        <v>6.6465</v>
      </c>
      <c r="F255" s="16">
        <f>ABS(Solieusap!F255)</f>
        <v>0.144</v>
      </c>
      <c r="G255" s="16">
        <f>ABS(Solieusap!G255)</f>
        <v>0.0132</v>
      </c>
      <c r="H255" s="16">
        <f>ABS(Solieusap!H255)</f>
        <v>0.00258</v>
      </c>
      <c r="I255" s="16">
        <f>ABS(Solieusap!I255)</f>
        <v>0.02734</v>
      </c>
      <c r="J255" s="16">
        <f>ABS(Solieusap!J255)</f>
        <v>0.27786</v>
      </c>
      <c r="K255" s="16">
        <f t="shared" si="1"/>
        <v>6.6465</v>
      </c>
      <c r="L255" s="16">
        <f t="shared" si="2"/>
        <v>0.02734</v>
      </c>
    </row>
    <row r="256" ht="16.5" customHeight="1">
      <c r="A256" s="14" t="str">
        <f>Solieusap!A256</f>
        <v>221</v>
      </c>
      <c r="B256" s="15">
        <f>Solieusap!B256</f>
        <v>0</v>
      </c>
      <c r="C256" s="14" t="str">
        <f>Solieusap!C256</f>
        <v>DEAD1</v>
      </c>
      <c r="D256" s="14" t="str">
        <f>Solieusap!D256</f>
        <v>LinStatic</v>
      </c>
      <c r="E256" s="16">
        <f>ABS(Solieusap!E256)</f>
        <v>24.8386</v>
      </c>
      <c r="F256" s="16">
        <f>ABS(Solieusap!F256)</f>
        <v>0.0774</v>
      </c>
      <c r="G256" s="16">
        <f>ABS(Solieusap!G256)</f>
        <v>0.2042</v>
      </c>
      <c r="H256" s="16">
        <f>ABS(Solieusap!H256)</f>
        <v>0.00098</v>
      </c>
      <c r="I256" s="16">
        <f>ABS(Solieusap!I256)</f>
        <v>0.28139</v>
      </c>
      <c r="J256" s="16">
        <f>ABS(Solieusap!J256)</f>
        <v>0.0725</v>
      </c>
      <c r="K256" s="16">
        <f t="shared" si="1"/>
        <v>24.8386</v>
      </c>
      <c r="L256" s="16">
        <f t="shared" si="2"/>
        <v>0.28139</v>
      </c>
    </row>
    <row r="257" ht="16.5" customHeight="1">
      <c r="A257" s="14" t="str">
        <f>Solieusap!A257</f>
        <v>221</v>
      </c>
      <c r="B257" s="15">
        <f>Solieusap!B257</f>
        <v>1.35</v>
      </c>
      <c r="C257" s="14" t="str">
        <f>Solieusap!C257</f>
        <v>DEAD1</v>
      </c>
      <c r="D257" s="14" t="str">
        <f>Solieusap!D257</f>
        <v>LinStatic</v>
      </c>
      <c r="E257" s="16">
        <f>ABS(Solieusap!E257)</f>
        <v>24.6901</v>
      </c>
      <c r="F257" s="16">
        <f>ABS(Solieusap!F257)</f>
        <v>0.0774</v>
      </c>
      <c r="G257" s="16">
        <f>ABS(Solieusap!G257)</f>
        <v>0.2042</v>
      </c>
      <c r="H257" s="16">
        <f>ABS(Solieusap!H257)</f>
        <v>0.00098</v>
      </c>
      <c r="I257" s="16">
        <f>ABS(Solieusap!I257)</f>
        <v>0.00578</v>
      </c>
      <c r="J257" s="16">
        <f>ABS(Solieusap!J257)</f>
        <v>0.03196</v>
      </c>
      <c r="K257" s="16">
        <f t="shared" si="1"/>
        <v>24.6901</v>
      </c>
      <c r="L257" s="16">
        <f t="shared" si="2"/>
        <v>0.00578</v>
      </c>
    </row>
    <row r="258" ht="16.5" customHeight="1">
      <c r="A258" s="14" t="str">
        <f>Solieusap!A258</f>
        <v>221</v>
      </c>
      <c r="B258" s="15">
        <f>Solieusap!B258</f>
        <v>2.7</v>
      </c>
      <c r="C258" s="14" t="str">
        <f>Solieusap!C258</f>
        <v>DEAD1</v>
      </c>
      <c r="D258" s="14" t="str">
        <f>Solieusap!D258</f>
        <v>LinStatic</v>
      </c>
      <c r="E258" s="16">
        <f>ABS(Solieusap!E258)</f>
        <v>24.5416</v>
      </c>
      <c r="F258" s="16">
        <f>ABS(Solieusap!F258)</f>
        <v>0.0774</v>
      </c>
      <c r="G258" s="16">
        <f>ABS(Solieusap!G258)</f>
        <v>0.2042</v>
      </c>
      <c r="H258" s="16">
        <f>ABS(Solieusap!H258)</f>
        <v>0.00098</v>
      </c>
      <c r="I258" s="16">
        <f>ABS(Solieusap!I258)</f>
        <v>0.26982</v>
      </c>
      <c r="J258" s="16">
        <f>ABS(Solieusap!J258)</f>
        <v>0.13642</v>
      </c>
      <c r="K258" s="16">
        <f t="shared" si="1"/>
        <v>24.5416</v>
      </c>
      <c r="L258" s="16">
        <f t="shared" si="2"/>
        <v>0.26982</v>
      </c>
    </row>
    <row r="259" ht="16.5" customHeight="1">
      <c r="A259" s="14" t="str">
        <f>Solieusap!A259</f>
        <v>222</v>
      </c>
      <c r="B259" s="15">
        <f>Solieusap!B259</f>
        <v>0</v>
      </c>
      <c r="C259" s="14" t="str">
        <f>Solieusap!C259</f>
        <v>DEAD1</v>
      </c>
      <c r="D259" s="14" t="str">
        <f>Solieusap!D259</f>
        <v>LinStatic</v>
      </c>
      <c r="E259" s="16">
        <f>ABS(Solieusap!E259)</f>
        <v>21.9747</v>
      </c>
      <c r="F259" s="16">
        <f>ABS(Solieusap!F259)</f>
        <v>0.0733</v>
      </c>
      <c r="G259" s="16">
        <f>ABS(Solieusap!G259)</f>
        <v>0.0177</v>
      </c>
      <c r="H259" s="16">
        <f>ABS(Solieusap!H259)</f>
        <v>0.00074</v>
      </c>
      <c r="I259" s="16">
        <f>ABS(Solieusap!I259)</f>
        <v>0.03042</v>
      </c>
      <c r="J259" s="16">
        <f>ABS(Solieusap!J259)</f>
        <v>0.13357</v>
      </c>
      <c r="K259" s="16">
        <f t="shared" si="1"/>
        <v>21.9747</v>
      </c>
      <c r="L259" s="16">
        <f t="shared" si="2"/>
        <v>0.03042</v>
      </c>
    </row>
    <row r="260" ht="16.5" customHeight="1">
      <c r="A260" s="14" t="str">
        <f>Solieusap!A260</f>
        <v>222</v>
      </c>
      <c r="B260" s="15">
        <f>Solieusap!B260</f>
        <v>1.8</v>
      </c>
      <c r="C260" s="14" t="str">
        <f>Solieusap!C260</f>
        <v>DEAD1</v>
      </c>
      <c r="D260" s="14" t="str">
        <f>Solieusap!D260</f>
        <v>LinStatic</v>
      </c>
      <c r="E260" s="16">
        <f>ABS(Solieusap!E260)</f>
        <v>21.7767</v>
      </c>
      <c r="F260" s="16">
        <f>ABS(Solieusap!F260)</f>
        <v>0.0733</v>
      </c>
      <c r="G260" s="16">
        <f>ABS(Solieusap!G260)</f>
        <v>0.0177</v>
      </c>
      <c r="H260" s="16">
        <f>ABS(Solieusap!H260)</f>
        <v>0.00074</v>
      </c>
      <c r="I260" s="16">
        <f>ABS(Solieusap!I260)</f>
        <v>0.00151</v>
      </c>
      <c r="J260" s="16">
        <f>ABS(Solieusap!J260)</f>
        <v>0.00163</v>
      </c>
      <c r="K260" s="16">
        <f t="shared" si="1"/>
        <v>21.7767</v>
      </c>
      <c r="L260" s="16">
        <f t="shared" si="2"/>
        <v>0.00151</v>
      </c>
    </row>
    <row r="261" ht="16.5" customHeight="1">
      <c r="A261" s="14" t="str">
        <f>Solieusap!A261</f>
        <v>222</v>
      </c>
      <c r="B261" s="15">
        <f>Solieusap!B261</f>
        <v>3.6</v>
      </c>
      <c r="C261" s="14" t="str">
        <f>Solieusap!C261</f>
        <v>DEAD1</v>
      </c>
      <c r="D261" s="14" t="str">
        <f>Solieusap!D261</f>
        <v>LinStatic</v>
      </c>
      <c r="E261" s="16">
        <f>ABS(Solieusap!E261)</f>
        <v>21.5787</v>
      </c>
      <c r="F261" s="16">
        <f>ABS(Solieusap!F261)</f>
        <v>0.0733</v>
      </c>
      <c r="G261" s="16">
        <f>ABS(Solieusap!G261)</f>
        <v>0.0177</v>
      </c>
      <c r="H261" s="16">
        <f>ABS(Solieusap!H261)</f>
        <v>0.00074</v>
      </c>
      <c r="I261" s="16">
        <f>ABS(Solieusap!I261)</f>
        <v>0.03345</v>
      </c>
      <c r="J261" s="16">
        <f>ABS(Solieusap!J261)</f>
        <v>0.1303</v>
      </c>
      <c r="K261" s="16">
        <f t="shared" si="1"/>
        <v>21.5787</v>
      </c>
      <c r="L261" s="16">
        <f t="shared" si="2"/>
        <v>0.03345</v>
      </c>
    </row>
    <row r="262" ht="16.5" customHeight="1">
      <c r="A262" s="14" t="str">
        <f>Solieusap!A262</f>
        <v>223</v>
      </c>
      <c r="B262" s="15">
        <f>Solieusap!B262</f>
        <v>0</v>
      </c>
      <c r="C262" s="14" t="str">
        <f>Solieusap!C262</f>
        <v>DEAD1</v>
      </c>
      <c r="D262" s="14" t="str">
        <f>Solieusap!D262</f>
        <v>LinStatic</v>
      </c>
      <c r="E262" s="16">
        <f>ABS(Solieusap!E262)</f>
        <v>19.1697</v>
      </c>
      <c r="F262" s="16">
        <f>ABS(Solieusap!F262)</f>
        <v>0.0405</v>
      </c>
      <c r="G262" s="16">
        <f>ABS(Solieusap!G262)</f>
        <v>0.0105</v>
      </c>
      <c r="H262" s="16">
        <f>ABS(Solieusap!H262)</f>
        <v>0.00627</v>
      </c>
      <c r="I262" s="16">
        <f>ABS(Solieusap!I262)</f>
        <v>0.00353</v>
      </c>
      <c r="J262" s="16">
        <f>ABS(Solieusap!J262)</f>
        <v>0.08878</v>
      </c>
      <c r="K262" s="16">
        <f t="shared" si="1"/>
        <v>19.1697</v>
      </c>
      <c r="L262" s="16">
        <f t="shared" si="2"/>
        <v>0.00353</v>
      </c>
    </row>
    <row r="263" ht="16.5" customHeight="1">
      <c r="A263" s="14" t="str">
        <f>Solieusap!A263</f>
        <v>223</v>
      </c>
      <c r="B263" s="15">
        <f>Solieusap!B263</f>
        <v>1.8</v>
      </c>
      <c r="C263" s="14" t="str">
        <f>Solieusap!C263</f>
        <v>DEAD1</v>
      </c>
      <c r="D263" s="14" t="str">
        <f>Solieusap!D263</f>
        <v>LinStatic</v>
      </c>
      <c r="E263" s="16">
        <f>ABS(Solieusap!E263)</f>
        <v>18.9717</v>
      </c>
      <c r="F263" s="16">
        <f>ABS(Solieusap!F263)</f>
        <v>0.0405</v>
      </c>
      <c r="G263" s="16">
        <f>ABS(Solieusap!G263)</f>
        <v>0.0105</v>
      </c>
      <c r="H263" s="16">
        <f>ABS(Solieusap!H263)</f>
        <v>0.00627</v>
      </c>
      <c r="I263" s="16">
        <f>ABS(Solieusap!I263)</f>
        <v>0.0154</v>
      </c>
      <c r="J263" s="16">
        <f>ABS(Solieusap!J263)</f>
        <v>0.01589</v>
      </c>
      <c r="K263" s="16">
        <f t="shared" si="1"/>
        <v>18.9717</v>
      </c>
      <c r="L263" s="16">
        <f t="shared" si="2"/>
        <v>0.0154</v>
      </c>
    </row>
    <row r="264" ht="16.5" customHeight="1">
      <c r="A264" s="14" t="str">
        <f>Solieusap!A264</f>
        <v>223</v>
      </c>
      <c r="B264" s="15">
        <f>Solieusap!B264</f>
        <v>3.6</v>
      </c>
      <c r="C264" s="14" t="str">
        <f>Solieusap!C264</f>
        <v>DEAD1</v>
      </c>
      <c r="D264" s="14" t="str">
        <f>Solieusap!D264</f>
        <v>LinStatic</v>
      </c>
      <c r="E264" s="16">
        <f>ABS(Solieusap!E264)</f>
        <v>18.7737</v>
      </c>
      <c r="F264" s="16">
        <f>ABS(Solieusap!F264)</f>
        <v>0.0405</v>
      </c>
      <c r="G264" s="16">
        <f>ABS(Solieusap!G264)</f>
        <v>0.0105</v>
      </c>
      <c r="H264" s="16">
        <f>ABS(Solieusap!H264)</f>
        <v>0.00627</v>
      </c>
      <c r="I264" s="16">
        <f>ABS(Solieusap!I264)</f>
        <v>0.03432</v>
      </c>
      <c r="J264" s="16">
        <f>ABS(Solieusap!J264)</f>
        <v>0.057</v>
      </c>
      <c r="K264" s="16">
        <f t="shared" si="1"/>
        <v>18.7737</v>
      </c>
      <c r="L264" s="16">
        <f t="shared" si="2"/>
        <v>0.03432</v>
      </c>
    </row>
    <row r="265" ht="16.5" customHeight="1">
      <c r="A265" s="14" t="str">
        <f>Solieusap!A265</f>
        <v>224</v>
      </c>
      <c r="B265" s="15">
        <f>Solieusap!B265</f>
        <v>0</v>
      </c>
      <c r="C265" s="14" t="str">
        <f>Solieusap!C265</f>
        <v>DEAD1</v>
      </c>
      <c r="D265" s="14" t="str">
        <f>Solieusap!D265</f>
        <v>LinStatic</v>
      </c>
      <c r="E265" s="16">
        <f>ABS(Solieusap!E265)</f>
        <v>17.6682</v>
      </c>
      <c r="F265" s="16">
        <f>ABS(Solieusap!F265)</f>
        <v>0.0448</v>
      </c>
      <c r="G265" s="16">
        <f>ABS(Solieusap!G265)</f>
        <v>0.2274</v>
      </c>
      <c r="H265" s="16">
        <f>ABS(Solieusap!H265)</f>
        <v>0.00029</v>
      </c>
      <c r="I265" s="16">
        <f>ABS(Solieusap!I265)</f>
        <v>0.30647</v>
      </c>
      <c r="J265" s="16">
        <f>ABS(Solieusap!J265)</f>
        <v>0.03689</v>
      </c>
      <c r="K265" s="16">
        <f t="shared" si="1"/>
        <v>17.6682</v>
      </c>
      <c r="L265" s="16">
        <f t="shared" si="2"/>
        <v>0.30647</v>
      </c>
    </row>
    <row r="266" ht="16.5" customHeight="1">
      <c r="A266" s="14" t="str">
        <f>Solieusap!A266</f>
        <v>224</v>
      </c>
      <c r="B266" s="15">
        <f>Solieusap!B266</f>
        <v>1.35</v>
      </c>
      <c r="C266" s="14" t="str">
        <f>Solieusap!C266</f>
        <v>DEAD1</v>
      </c>
      <c r="D266" s="14" t="str">
        <f>Solieusap!D266</f>
        <v>LinStatic</v>
      </c>
      <c r="E266" s="16">
        <f>ABS(Solieusap!E266)</f>
        <v>17.5197</v>
      </c>
      <c r="F266" s="16">
        <f>ABS(Solieusap!F266)</f>
        <v>0.0448</v>
      </c>
      <c r="G266" s="16">
        <f>ABS(Solieusap!G266)</f>
        <v>0.2274</v>
      </c>
      <c r="H266" s="16">
        <f>ABS(Solieusap!H266)</f>
        <v>0.00029</v>
      </c>
      <c r="I266" s="16">
        <f>ABS(Solieusap!I266)</f>
        <v>0.00058</v>
      </c>
      <c r="J266" s="16">
        <f>ABS(Solieusap!J266)</f>
        <v>0.02357</v>
      </c>
      <c r="K266" s="16">
        <f t="shared" si="1"/>
        <v>17.5197</v>
      </c>
      <c r="L266" s="16">
        <f t="shared" si="2"/>
        <v>0.00058</v>
      </c>
    </row>
    <row r="267" ht="16.5" customHeight="1">
      <c r="A267" s="14" t="str">
        <f>Solieusap!A267</f>
        <v>224</v>
      </c>
      <c r="B267" s="15">
        <f>Solieusap!B267</f>
        <v>2.7</v>
      </c>
      <c r="C267" s="14" t="str">
        <f>Solieusap!C267</f>
        <v>DEAD1</v>
      </c>
      <c r="D267" s="14" t="str">
        <f>Solieusap!D267</f>
        <v>LinStatic</v>
      </c>
      <c r="E267" s="16">
        <f>ABS(Solieusap!E267)</f>
        <v>17.3712</v>
      </c>
      <c r="F267" s="16">
        <f>ABS(Solieusap!F267)</f>
        <v>0.0448</v>
      </c>
      <c r="G267" s="16">
        <f>ABS(Solieusap!G267)</f>
        <v>0.2274</v>
      </c>
      <c r="H267" s="16">
        <f>ABS(Solieusap!H267)</f>
        <v>0.00029</v>
      </c>
      <c r="I267" s="16">
        <f>ABS(Solieusap!I267)</f>
        <v>0.30764</v>
      </c>
      <c r="J267" s="16">
        <f>ABS(Solieusap!J267)</f>
        <v>0.08403</v>
      </c>
      <c r="K267" s="16">
        <f t="shared" si="1"/>
        <v>17.3712</v>
      </c>
      <c r="L267" s="16">
        <f t="shared" si="2"/>
        <v>0.30764</v>
      </c>
    </row>
    <row r="268" ht="16.5" customHeight="1">
      <c r="A268" s="14" t="str">
        <f>Solieusap!A268</f>
        <v>225</v>
      </c>
      <c r="B268" s="15">
        <f>Solieusap!B268</f>
        <v>0</v>
      </c>
      <c r="C268" s="14" t="str">
        <f>Solieusap!C268</f>
        <v>DEAD1</v>
      </c>
      <c r="D268" s="14" t="str">
        <f>Solieusap!D268</f>
        <v>LinStatic</v>
      </c>
      <c r="E268" s="16">
        <f>ABS(Solieusap!E268)</f>
        <v>13.5422</v>
      </c>
      <c r="F268" s="16">
        <f>ABS(Solieusap!F268)</f>
        <v>0.0686</v>
      </c>
      <c r="G268" s="16">
        <f>ABS(Solieusap!G268)</f>
        <v>0.0053</v>
      </c>
      <c r="H268" s="16">
        <f>ABS(Solieusap!H268)</f>
        <v>0.00024</v>
      </c>
      <c r="I268" s="16">
        <f>ABS(Solieusap!I268)</f>
        <v>0.00421</v>
      </c>
      <c r="J268" s="16">
        <f>ABS(Solieusap!J268)</f>
        <v>0.11898</v>
      </c>
      <c r="K268" s="16">
        <f t="shared" si="1"/>
        <v>13.5422</v>
      </c>
      <c r="L268" s="16">
        <f t="shared" si="2"/>
        <v>0.00421</v>
      </c>
    </row>
    <row r="269" ht="16.5" customHeight="1">
      <c r="A269" s="14" t="str">
        <f>Solieusap!A269</f>
        <v>225</v>
      </c>
      <c r="B269" s="15">
        <f>Solieusap!B269</f>
        <v>1.8</v>
      </c>
      <c r="C269" s="14" t="str">
        <f>Solieusap!C269</f>
        <v>DEAD1</v>
      </c>
      <c r="D269" s="14" t="str">
        <f>Solieusap!D269</f>
        <v>LinStatic</v>
      </c>
      <c r="E269" s="16">
        <f>ABS(Solieusap!E269)</f>
        <v>13.3442</v>
      </c>
      <c r="F269" s="16">
        <f>ABS(Solieusap!F269)</f>
        <v>0.0686</v>
      </c>
      <c r="G269" s="16">
        <f>ABS(Solieusap!G269)</f>
        <v>0.0053</v>
      </c>
      <c r="H269" s="16">
        <f>ABS(Solieusap!H269)</f>
        <v>0.00024</v>
      </c>
      <c r="I269" s="16">
        <f>ABS(Solieusap!I269)</f>
        <v>0.00537</v>
      </c>
      <c r="J269" s="16">
        <f>ABS(Solieusap!J269)</f>
        <v>0.00441</v>
      </c>
      <c r="K269" s="16">
        <f t="shared" si="1"/>
        <v>13.3442</v>
      </c>
      <c r="L269" s="16">
        <f t="shared" si="2"/>
        <v>0.00537</v>
      </c>
    </row>
    <row r="270" ht="16.5" customHeight="1">
      <c r="A270" s="14" t="str">
        <f>Solieusap!A270</f>
        <v>225</v>
      </c>
      <c r="B270" s="15">
        <f>Solieusap!B270</f>
        <v>3.6</v>
      </c>
      <c r="C270" s="14" t="str">
        <f>Solieusap!C270</f>
        <v>DEAD1</v>
      </c>
      <c r="D270" s="14" t="str">
        <f>Solieusap!D270</f>
        <v>LinStatic</v>
      </c>
      <c r="E270" s="16">
        <f>ABS(Solieusap!E270)</f>
        <v>13.1462</v>
      </c>
      <c r="F270" s="16">
        <f>ABS(Solieusap!F270)</f>
        <v>0.0686</v>
      </c>
      <c r="G270" s="16">
        <f>ABS(Solieusap!G270)</f>
        <v>0.0053</v>
      </c>
      <c r="H270" s="16">
        <f>ABS(Solieusap!H270)</f>
        <v>0.00024</v>
      </c>
      <c r="I270" s="16">
        <f>ABS(Solieusap!I270)</f>
        <v>0.01495</v>
      </c>
      <c r="J270" s="16">
        <f>ABS(Solieusap!J270)</f>
        <v>0.12781</v>
      </c>
      <c r="K270" s="16">
        <f t="shared" si="1"/>
        <v>13.1462</v>
      </c>
      <c r="L270" s="16">
        <f t="shared" si="2"/>
        <v>0.01495</v>
      </c>
    </row>
    <row r="271" ht="16.5" customHeight="1">
      <c r="A271" s="14" t="str">
        <f>Solieusap!A271</f>
        <v>226</v>
      </c>
      <c r="B271" s="15">
        <f>Solieusap!B271</f>
        <v>0</v>
      </c>
      <c r="C271" s="14" t="str">
        <f>Solieusap!C271</f>
        <v>DEAD1</v>
      </c>
      <c r="D271" s="14" t="str">
        <f>Solieusap!D271</f>
        <v>LinStatic</v>
      </c>
      <c r="E271" s="16">
        <f>ABS(Solieusap!E271)</f>
        <v>9.4684</v>
      </c>
      <c r="F271" s="16">
        <f>ABS(Solieusap!F271)</f>
        <v>0.1153</v>
      </c>
      <c r="G271" s="16">
        <f>ABS(Solieusap!G271)</f>
        <v>0.0435</v>
      </c>
      <c r="H271" s="16">
        <f>ABS(Solieusap!H271)</f>
        <v>0.00405</v>
      </c>
      <c r="I271" s="16">
        <f>ABS(Solieusap!I271)</f>
        <v>0.07594</v>
      </c>
      <c r="J271" s="16">
        <f>ABS(Solieusap!J271)</f>
        <v>0.19716</v>
      </c>
      <c r="K271" s="16">
        <f t="shared" si="1"/>
        <v>9.4684</v>
      </c>
      <c r="L271" s="16">
        <f t="shared" si="2"/>
        <v>0.07594</v>
      </c>
    </row>
    <row r="272" ht="16.5" customHeight="1">
      <c r="A272" s="14" t="str">
        <f>Solieusap!A272</f>
        <v>226</v>
      </c>
      <c r="B272" s="15">
        <f>Solieusap!B272</f>
        <v>1.8</v>
      </c>
      <c r="C272" s="14" t="str">
        <f>Solieusap!C272</f>
        <v>DEAD1</v>
      </c>
      <c r="D272" s="14" t="str">
        <f>Solieusap!D272</f>
        <v>LinStatic</v>
      </c>
      <c r="E272" s="16">
        <f>ABS(Solieusap!E272)</f>
        <v>9.2704</v>
      </c>
      <c r="F272" s="16">
        <f>ABS(Solieusap!F272)</f>
        <v>0.1153</v>
      </c>
      <c r="G272" s="16">
        <f>ABS(Solieusap!G272)</f>
        <v>0.0435</v>
      </c>
      <c r="H272" s="16">
        <f>ABS(Solieusap!H272)</f>
        <v>0.00405</v>
      </c>
      <c r="I272" s="16">
        <f>ABS(Solieusap!I272)</f>
        <v>0.00234</v>
      </c>
      <c r="J272" s="16">
        <f>ABS(Solieusap!J272)</f>
        <v>0.01043</v>
      </c>
      <c r="K272" s="16">
        <f t="shared" si="1"/>
        <v>9.2704</v>
      </c>
      <c r="L272" s="16">
        <f t="shared" si="2"/>
        <v>0.00234</v>
      </c>
    </row>
    <row r="273" ht="16.5" customHeight="1">
      <c r="A273" s="14" t="str">
        <f>Solieusap!A273</f>
        <v>226</v>
      </c>
      <c r="B273" s="15">
        <f>Solieusap!B273</f>
        <v>3.6</v>
      </c>
      <c r="C273" s="14" t="str">
        <f>Solieusap!C273</f>
        <v>DEAD1</v>
      </c>
      <c r="D273" s="14" t="str">
        <f>Solieusap!D273</f>
        <v>LinStatic</v>
      </c>
      <c r="E273" s="16">
        <f>ABS(Solieusap!E273)</f>
        <v>9.0724</v>
      </c>
      <c r="F273" s="16">
        <f>ABS(Solieusap!F273)</f>
        <v>0.1153</v>
      </c>
      <c r="G273" s="16">
        <f>ABS(Solieusap!G273)</f>
        <v>0.0435</v>
      </c>
      <c r="H273" s="16">
        <f>ABS(Solieusap!H273)</f>
        <v>0.00405</v>
      </c>
      <c r="I273" s="16">
        <f>ABS(Solieusap!I273)</f>
        <v>0.08061</v>
      </c>
      <c r="J273" s="16">
        <f>ABS(Solieusap!J273)</f>
        <v>0.21802</v>
      </c>
      <c r="K273" s="16">
        <f t="shared" si="1"/>
        <v>9.0724</v>
      </c>
      <c r="L273" s="16">
        <f t="shared" si="2"/>
        <v>0.08061</v>
      </c>
    </row>
    <row r="274" ht="16.5" customHeight="1">
      <c r="A274" s="14" t="str">
        <f>Solieusap!A274</f>
        <v>227</v>
      </c>
      <c r="B274" s="15">
        <f>Solieusap!B274</f>
        <v>0</v>
      </c>
      <c r="C274" s="14" t="str">
        <f>Solieusap!C274</f>
        <v>DEAD1</v>
      </c>
      <c r="D274" s="14" t="str">
        <f>Solieusap!D274</f>
        <v>LinStatic</v>
      </c>
      <c r="E274" s="16">
        <f>ABS(Solieusap!E274)</f>
        <v>11.5923</v>
      </c>
      <c r="F274" s="16">
        <f>ABS(Solieusap!F274)</f>
        <v>0.0275</v>
      </c>
      <c r="G274" s="16">
        <f>ABS(Solieusap!G274)</f>
        <v>0.2356</v>
      </c>
      <c r="H274" s="16">
        <f>ABS(Solieusap!H274)</f>
        <v>0.0009</v>
      </c>
      <c r="I274" s="16">
        <f>ABS(Solieusap!I274)</f>
        <v>0.31589</v>
      </c>
      <c r="J274" s="16">
        <f>ABS(Solieusap!J274)</f>
        <v>0.02723</v>
      </c>
      <c r="K274" s="16">
        <f t="shared" si="1"/>
        <v>11.5923</v>
      </c>
      <c r="L274" s="16">
        <f t="shared" si="2"/>
        <v>0.31589</v>
      </c>
    </row>
    <row r="275" ht="16.5" customHeight="1">
      <c r="A275" s="14" t="str">
        <f>Solieusap!A275</f>
        <v>227</v>
      </c>
      <c r="B275" s="15">
        <f>Solieusap!B275</f>
        <v>1.35</v>
      </c>
      <c r="C275" s="14" t="str">
        <f>Solieusap!C275</f>
        <v>DEAD1</v>
      </c>
      <c r="D275" s="14" t="str">
        <f>Solieusap!D275</f>
        <v>LinStatic</v>
      </c>
      <c r="E275" s="16">
        <f>ABS(Solieusap!E275)</f>
        <v>11.4438</v>
      </c>
      <c r="F275" s="16">
        <f>ABS(Solieusap!F275)</f>
        <v>0.0275</v>
      </c>
      <c r="G275" s="16">
        <f>ABS(Solieusap!G275)</f>
        <v>0.2356</v>
      </c>
      <c r="H275" s="16">
        <f>ABS(Solieusap!H275)</f>
        <v>0.0009</v>
      </c>
      <c r="I275" s="16">
        <f>ABS(Solieusap!I275)</f>
        <v>0.00216</v>
      </c>
      <c r="J275" s="16">
        <f>ABS(Solieusap!J275)</f>
        <v>0.00996</v>
      </c>
      <c r="K275" s="16">
        <f t="shared" si="1"/>
        <v>11.4438</v>
      </c>
      <c r="L275" s="16">
        <f t="shared" si="2"/>
        <v>0.00216</v>
      </c>
    </row>
    <row r="276" ht="16.5" customHeight="1">
      <c r="A276" s="14" t="str">
        <f>Solieusap!A276</f>
        <v>227</v>
      </c>
      <c r="B276" s="15">
        <f>Solieusap!B276</f>
        <v>2.7</v>
      </c>
      <c r="C276" s="14" t="str">
        <f>Solieusap!C276</f>
        <v>DEAD1</v>
      </c>
      <c r="D276" s="14" t="str">
        <f>Solieusap!D276</f>
        <v>LinStatic</v>
      </c>
      <c r="E276" s="16">
        <f>ABS(Solieusap!E276)</f>
        <v>11.2953</v>
      </c>
      <c r="F276" s="16">
        <f>ABS(Solieusap!F276)</f>
        <v>0.0275</v>
      </c>
      <c r="G276" s="16">
        <f>ABS(Solieusap!G276)</f>
        <v>0.2356</v>
      </c>
      <c r="H276" s="16">
        <f>ABS(Solieusap!H276)</f>
        <v>0.0009</v>
      </c>
      <c r="I276" s="16">
        <f>ABS(Solieusap!I276)</f>
        <v>0.32022</v>
      </c>
      <c r="J276" s="16">
        <f>ABS(Solieusap!J276)</f>
        <v>0.04714</v>
      </c>
      <c r="K276" s="16">
        <f t="shared" si="1"/>
        <v>11.2953</v>
      </c>
      <c r="L276" s="16">
        <f t="shared" si="2"/>
        <v>0.32022</v>
      </c>
    </row>
    <row r="277" ht="16.5" customHeight="1">
      <c r="A277" s="14" t="str">
        <f>Solieusap!A277</f>
        <v>228</v>
      </c>
      <c r="B277" s="15">
        <f>Solieusap!B277</f>
        <v>0</v>
      </c>
      <c r="C277" s="14" t="str">
        <f>Solieusap!C277</f>
        <v>DEAD1</v>
      </c>
      <c r="D277" s="14" t="str">
        <f>Solieusap!D277</f>
        <v>LinStatic</v>
      </c>
      <c r="E277" s="16">
        <f>ABS(Solieusap!E277)</f>
        <v>7.6927</v>
      </c>
      <c r="F277" s="16">
        <f>ABS(Solieusap!F277)</f>
        <v>0.0164</v>
      </c>
      <c r="G277" s="16">
        <f>ABS(Solieusap!G277)</f>
        <v>0.0136</v>
      </c>
      <c r="H277" s="16">
        <f>ABS(Solieusap!H277)</f>
        <v>0.00066</v>
      </c>
      <c r="I277" s="16">
        <f>ABS(Solieusap!I277)</f>
        <v>0.01521</v>
      </c>
      <c r="J277" s="16">
        <f>ABS(Solieusap!J277)</f>
        <v>0.03304</v>
      </c>
      <c r="K277" s="16">
        <f t="shared" si="1"/>
        <v>7.6927</v>
      </c>
      <c r="L277" s="16">
        <f t="shared" si="2"/>
        <v>0.01521</v>
      </c>
    </row>
    <row r="278" ht="16.5" customHeight="1">
      <c r="A278" s="14" t="str">
        <f>Solieusap!A278</f>
        <v>228</v>
      </c>
      <c r="B278" s="15">
        <f>Solieusap!B278</f>
        <v>1.8</v>
      </c>
      <c r="C278" s="14" t="str">
        <f>Solieusap!C278</f>
        <v>DEAD1</v>
      </c>
      <c r="D278" s="14" t="str">
        <f>Solieusap!D278</f>
        <v>LinStatic</v>
      </c>
      <c r="E278" s="16">
        <f>ABS(Solieusap!E278)</f>
        <v>7.4947</v>
      </c>
      <c r="F278" s="16">
        <f>ABS(Solieusap!F278)</f>
        <v>0.0164</v>
      </c>
      <c r="G278" s="16">
        <f>ABS(Solieusap!G278)</f>
        <v>0.0136</v>
      </c>
      <c r="H278" s="16">
        <f>ABS(Solieusap!H278)</f>
        <v>0.00066</v>
      </c>
      <c r="I278" s="16">
        <f>ABS(Solieusap!I278)</f>
        <v>0.00921</v>
      </c>
      <c r="J278" s="16">
        <f>ABS(Solieusap!J278)</f>
        <v>0.00361</v>
      </c>
      <c r="K278" s="16">
        <f t="shared" si="1"/>
        <v>7.4947</v>
      </c>
      <c r="L278" s="16">
        <f t="shared" si="2"/>
        <v>0.00921</v>
      </c>
    </row>
    <row r="279" ht="16.5" customHeight="1">
      <c r="A279" s="14" t="str">
        <f>Solieusap!A279</f>
        <v>228</v>
      </c>
      <c r="B279" s="15">
        <f>Solieusap!B279</f>
        <v>3.6</v>
      </c>
      <c r="C279" s="14" t="str">
        <f>Solieusap!C279</f>
        <v>DEAD1</v>
      </c>
      <c r="D279" s="14" t="str">
        <f>Solieusap!D279</f>
        <v>LinStatic</v>
      </c>
      <c r="E279" s="16">
        <f>ABS(Solieusap!E279)</f>
        <v>7.2967</v>
      </c>
      <c r="F279" s="16">
        <f>ABS(Solieusap!F279)</f>
        <v>0.0164</v>
      </c>
      <c r="G279" s="16">
        <f>ABS(Solieusap!G279)</f>
        <v>0.0136</v>
      </c>
      <c r="H279" s="16">
        <f>ABS(Solieusap!H279)</f>
        <v>0.00066</v>
      </c>
      <c r="I279" s="16">
        <f>ABS(Solieusap!I279)</f>
        <v>0.03362</v>
      </c>
      <c r="J279" s="16">
        <f>ABS(Solieusap!J279)</f>
        <v>0.02583</v>
      </c>
      <c r="K279" s="16">
        <f t="shared" si="1"/>
        <v>7.2967</v>
      </c>
      <c r="L279" s="16">
        <f t="shared" si="2"/>
        <v>0.03362</v>
      </c>
    </row>
    <row r="280" ht="16.5" customHeight="1">
      <c r="A280" s="14" t="str">
        <f>Solieusap!A280</f>
        <v>229</v>
      </c>
      <c r="B280" s="15">
        <f>Solieusap!B280</f>
        <v>0</v>
      </c>
      <c r="C280" s="14" t="str">
        <f>Solieusap!C280</f>
        <v>DEAD1</v>
      </c>
      <c r="D280" s="14" t="str">
        <f>Solieusap!D280</f>
        <v>LinStatic</v>
      </c>
      <c r="E280" s="16">
        <f>ABS(Solieusap!E280)</f>
        <v>3.7036</v>
      </c>
      <c r="F280" s="16">
        <f>ABS(Solieusap!F280)</f>
        <v>0.0078</v>
      </c>
      <c r="G280" s="16">
        <f>ABS(Solieusap!G280)</f>
        <v>0.0271</v>
      </c>
      <c r="H280" s="16">
        <f>ABS(Solieusap!H280)</f>
        <v>0.00718</v>
      </c>
      <c r="I280" s="16">
        <f>ABS(Solieusap!I280)</f>
        <v>0.04648</v>
      </c>
      <c r="J280" s="16">
        <f>ABS(Solieusap!J280)</f>
        <v>0.0139</v>
      </c>
      <c r="K280" s="16">
        <f t="shared" si="1"/>
        <v>3.7036</v>
      </c>
      <c r="L280" s="16">
        <f t="shared" si="2"/>
        <v>0.04648</v>
      </c>
    </row>
    <row r="281" ht="16.5" customHeight="1">
      <c r="A281" s="14" t="str">
        <f>Solieusap!A281</f>
        <v>229</v>
      </c>
      <c r="B281" s="15">
        <f>Solieusap!B281</f>
        <v>1.8</v>
      </c>
      <c r="C281" s="14" t="str">
        <f>Solieusap!C281</f>
        <v>DEAD1</v>
      </c>
      <c r="D281" s="14" t="str">
        <f>Solieusap!D281</f>
        <v>LinStatic</v>
      </c>
      <c r="E281" s="16">
        <f>ABS(Solieusap!E281)</f>
        <v>3.5056</v>
      </c>
      <c r="F281" s="16">
        <f>ABS(Solieusap!F281)</f>
        <v>0.0078</v>
      </c>
      <c r="G281" s="16">
        <f>ABS(Solieusap!G281)</f>
        <v>0.0271</v>
      </c>
      <c r="H281" s="16">
        <f>ABS(Solieusap!H281)</f>
        <v>0.00718</v>
      </c>
      <c r="I281" s="16">
        <f>ABS(Solieusap!I281)</f>
        <v>0.00225</v>
      </c>
      <c r="J281" s="16">
        <f>ABS(Solieusap!J281)</f>
        <v>0.00014</v>
      </c>
      <c r="K281" s="16">
        <f t="shared" si="1"/>
        <v>3.5056</v>
      </c>
      <c r="L281" s="16">
        <f t="shared" si="2"/>
        <v>0.00225</v>
      </c>
    </row>
    <row r="282" ht="16.5" customHeight="1">
      <c r="A282" s="14" t="str">
        <f>Solieusap!A282</f>
        <v>229</v>
      </c>
      <c r="B282" s="15">
        <f>Solieusap!B282</f>
        <v>3.6</v>
      </c>
      <c r="C282" s="14" t="str">
        <f>Solieusap!C282</f>
        <v>DEAD1</v>
      </c>
      <c r="D282" s="14" t="str">
        <f>Solieusap!D282</f>
        <v>LinStatic</v>
      </c>
      <c r="E282" s="16">
        <f>ABS(Solieusap!E282)</f>
        <v>3.3076</v>
      </c>
      <c r="F282" s="16">
        <f>ABS(Solieusap!F282)</f>
        <v>0.0078</v>
      </c>
      <c r="G282" s="16">
        <f>ABS(Solieusap!G282)</f>
        <v>0.0271</v>
      </c>
      <c r="H282" s="16">
        <f>ABS(Solieusap!H282)</f>
        <v>0.00718</v>
      </c>
      <c r="I282" s="16">
        <f>ABS(Solieusap!I282)</f>
        <v>0.05097</v>
      </c>
      <c r="J282" s="16">
        <f>ABS(Solieusap!J282)</f>
        <v>0.01419</v>
      </c>
      <c r="K282" s="16">
        <f t="shared" si="1"/>
        <v>3.3076</v>
      </c>
      <c r="L282" s="16">
        <f t="shared" si="2"/>
        <v>0.05097</v>
      </c>
    </row>
    <row r="283" ht="16.5" customHeight="1">
      <c r="A283" s="14" t="str">
        <f>Solieusap!A283</f>
        <v>230</v>
      </c>
      <c r="B283" s="15">
        <f>Solieusap!B283</f>
        <v>0</v>
      </c>
      <c r="C283" s="14" t="str">
        <f>Solieusap!C283</f>
        <v>DEAD1</v>
      </c>
      <c r="D283" s="14" t="str">
        <f>Solieusap!D283</f>
        <v>LinStatic</v>
      </c>
      <c r="E283" s="16">
        <f>ABS(Solieusap!E283)</f>
        <v>11.8089</v>
      </c>
      <c r="F283" s="16">
        <f>ABS(Solieusap!F283)</f>
        <v>0.0191</v>
      </c>
      <c r="G283" s="16">
        <f>ABS(Solieusap!G283)</f>
        <v>0.2396</v>
      </c>
      <c r="H283" s="16">
        <f>ABS(Solieusap!H283)</f>
        <v>0.00015</v>
      </c>
      <c r="I283" s="16">
        <f>ABS(Solieusap!I283)</f>
        <v>0.32223</v>
      </c>
      <c r="J283" s="16">
        <f>ABS(Solieusap!J283)</f>
        <v>0.01616</v>
      </c>
      <c r="K283" s="16">
        <f t="shared" si="1"/>
        <v>11.8089</v>
      </c>
      <c r="L283" s="16">
        <f t="shared" si="2"/>
        <v>0.32223</v>
      </c>
    </row>
    <row r="284" ht="16.5" customHeight="1">
      <c r="A284" s="14" t="str">
        <f>Solieusap!A284</f>
        <v>230</v>
      </c>
      <c r="B284" s="15">
        <f>Solieusap!B284</f>
        <v>1.35</v>
      </c>
      <c r="C284" s="14" t="str">
        <f>Solieusap!C284</f>
        <v>DEAD1</v>
      </c>
      <c r="D284" s="14" t="str">
        <f>Solieusap!D284</f>
        <v>LinStatic</v>
      </c>
      <c r="E284" s="16">
        <f>ABS(Solieusap!E284)</f>
        <v>11.6604</v>
      </c>
      <c r="F284" s="16">
        <f>ABS(Solieusap!F284)</f>
        <v>0.0191</v>
      </c>
      <c r="G284" s="16">
        <f>ABS(Solieusap!G284)</f>
        <v>0.2396</v>
      </c>
      <c r="H284" s="16">
        <f>ABS(Solieusap!H284)</f>
        <v>0.00015</v>
      </c>
      <c r="I284" s="16">
        <f>ABS(Solieusap!I284)</f>
        <v>0.00119</v>
      </c>
      <c r="J284" s="16">
        <f>ABS(Solieusap!J284)</f>
        <v>0.00966</v>
      </c>
      <c r="K284" s="16">
        <f t="shared" si="1"/>
        <v>11.6604</v>
      </c>
      <c r="L284" s="16">
        <f t="shared" si="2"/>
        <v>0.00119</v>
      </c>
    </row>
    <row r="285" ht="16.5" customHeight="1">
      <c r="A285" s="14" t="str">
        <f>Solieusap!A285</f>
        <v>230</v>
      </c>
      <c r="B285" s="15">
        <f>Solieusap!B285</f>
        <v>2.7</v>
      </c>
      <c r="C285" s="14" t="str">
        <f>Solieusap!C285</f>
        <v>DEAD1</v>
      </c>
      <c r="D285" s="14" t="str">
        <f>Solieusap!D285</f>
        <v>LinStatic</v>
      </c>
      <c r="E285" s="16">
        <f>ABS(Solieusap!E285)</f>
        <v>11.5119</v>
      </c>
      <c r="F285" s="16">
        <f>ABS(Solieusap!F285)</f>
        <v>0.0191</v>
      </c>
      <c r="G285" s="16">
        <f>ABS(Solieusap!G285)</f>
        <v>0.2396</v>
      </c>
      <c r="H285" s="16">
        <f>ABS(Solieusap!H285)</f>
        <v>0.00015</v>
      </c>
      <c r="I285" s="16">
        <f>ABS(Solieusap!I285)</f>
        <v>0.32461</v>
      </c>
      <c r="J285" s="16">
        <f>ABS(Solieusap!J285)</f>
        <v>0.03549</v>
      </c>
      <c r="K285" s="16">
        <f t="shared" si="1"/>
        <v>11.5119</v>
      </c>
      <c r="L285" s="16">
        <f t="shared" si="2"/>
        <v>0.32461</v>
      </c>
    </row>
    <row r="286" ht="16.5" customHeight="1">
      <c r="A286" s="14" t="str">
        <f>Solieusap!A286</f>
        <v>231</v>
      </c>
      <c r="B286" s="15">
        <f>Solieusap!B286</f>
        <v>0</v>
      </c>
      <c r="C286" s="14" t="str">
        <f>Solieusap!C286</f>
        <v>DEAD1</v>
      </c>
      <c r="D286" s="14" t="str">
        <f>Solieusap!D286</f>
        <v>LinStatic</v>
      </c>
      <c r="E286" s="16">
        <f>ABS(Solieusap!E286)</f>
        <v>7.5536</v>
      </c>
      <c r="F286" s="16">
        <f>ABS(Solieusap!F286)</f>
        <v>0.022</v>
      </c>
      <c r="G286" s="16">
        <f>ABS(Solieusap!G286)</f>
        <v>0.013</v>
      </c>
      <c r="H286" s="16">
        <f>ABS(Solieusap!H286)</f>
        <v>0.00014</v>
      </c>
      <c r="I286" s="16">
        <f>ABS(Solieusap!I286)</f>
        <v>0.0116</v>
      </c>
      <c r="J286" s="16">
        <f>ABS(Solieusap!J286)</f>
        <v>0.0411</v>
      </c>
      <c r="K286" s="16">
        <f t="shared" si="1"/>
        <v>7.5536</v>
      </c>
      <c r="L286" s="16">
        <f t="shared" si="2"/>
        <v>0.0116</v>
      </c>
    </row>
    <row r="287" ht="16.5" customHeight="1">
      <c r="A287" s="14" t="str">
        <f>Solieusap!A287</f>
        <v>231</v>
      </c>
      <c r="B287" s="15">
        <f>Solieusap!B287</f>
        <v>1.8</v>
      </c>
      <c r="C287" s="14" t="str">
        <f>Solieusap!C287</f>
        <v>DEAD1</v>
      </c>
      <c r="D287" s="14" t="str">
        <f>Solieusap!D287</f>
        <v>LinStatic</v>
      </c>
      <c r="E287" s="16">
        <f>ABS(Solieusap!E287)</f>
        <v>7.3556</v>
      </c>
      <c r="F287" s="16">
        <f>ABS(Solieusap!F287)</f>
        <v>0.022</v>
      </c>
      <c r="G287" s="16">
        <f>ABS(Solieusap!G287)</f>
        <v>0.013</v>
      </c>
      <c r="H287" s="16">
        <f>ABS(Solieusap!H287)</f>
        <v>0.00014</v>
      </c>
      <c r="I287" s="16">
        <f>ABS(Solieusap!I287)</f>
        <v>0.0118</v>
      </c>
      <c r="J287" s="16">
        <f>ABS(Solieusap!J287)</f>
        <v>0.00154</v>
      </c>
      <c r="K287" s="16">
        <f t="shared" si="1"/>
        <v>7.3556</v>
      </c>
      <c r="L287" s="16">
        <f t="shared" si="2"/>
        <v>0.0118</v>
      </c>
    </row>
    <row r="288" ht="16.5" customHeight="1">
      <c r="A288" s="14" t="str">
        <f>Solieusap!A288</f>
        <v>231</v>
      </c>
      <c r="B288" s="15">
        <f>Solieusap!B288</f>
        <v>3.6</v>
      </c>
      <c r="C288" s="14" t="str">
        <f>Solieusap!C288</f>
        <v>DEAD1</v>
      </c>
      <c r="D288" s="14" t="str">
        <f>Solieusap!D288</f>
        <v>LinStatic</v>
      </c>
      <c r="E288" s="16">
        <f>ABS(Solieusap!E288)</f>
        <v>7.1576</v>
      </c>
      <c r="F288" s="16">
        <f>ABS(Solieusap!F288)</f>
        <v>0.022</v>
      </c>
      <c r="G288" s="16">
        <f>ABS(Solieusap!G288)</f>
        <v>0.013</v>
      </c>
      <c r="H288" s="16">
        <f>ABS(Solieusap!H288)</f>
        <v>0.00014</v>
      </c>
      <c r="I288" s="16">
        <f>ABS(Solieusap!I288)</f>
        <v>0.03521</v>
      </c>
      <c r="J288" s="16">
        <f>ABS(Solieusap!J288)</f>
        <v>0.03802</v>
      </c>
      <c r="K288" s="16">
        <f t="shared" si="1"/>
        <v>7.1576</v>
      </c>
      <c r="L288" s="16">
        <f t="shared" si="2"/>
        <v>0.03521</v>
      </c>
    </row>
    <row r="289" ht="16.5" customHeight="1">
      <c r="A289" s="14" t="str">
        <f>Solieusap!A289</f>
        <v>232</v>
      </c>
      <c r="B289" s="15">
        <f>Solieusap!B289</f>
        <v>0</v>
      </c>
      <c r="C289" s="14" t="str">
        <f>Solieusap!C289</f>
        <v>DEAD1</v>
      </c>
      <c r="D289" s="14" t="str">
        <f>Solieusap!D289</f>
        <v>LinStatic</v>
      </c>
      <c r="E289" s="16">
        <f>ABS(Solieusap!E289)</f>
        <v>3.2834</v>
      </c>
      <c r="F289" s="16">
        <f>ABS(Solieusap!F289)</f>
        <v>0.0338</v>
      </c>
      <c r="G289" s="16">
        <f>ABS(Solieusap!G289)</f>
        <v>0.0268</v>
      </c>
      <c r="H289" s="16">
        <f>ABS(Solieusap!H289)</f>
        <v>0.00019</v>
      </c>
      <c r="I289" s="16">
        <f>ABS(Solieusap!I289)</f>
        <v>0.04414</v>
      </c>
      <c r="J289" s="16">
        <f>ABS(Solieusap!J289)</f>
        <v>0.05885</v>
      </c>
      <c r="K289" s="16">
        <f t="shared" si="1"/>
        <v>3.2834</v>
      </c>
      <c r="L289" s="16">
        <f t="shared" si="2"/>
        <v>0.04414</v>
      </c>
    </row>
    <row r="290" ht="16.5" customHeight="1">
      <c r="A290" s="14" t="str">
        <f>Solieusap!A290</f>
        <v>232</v>
      </c>
      <c r="B290" s="15">
        <f>Solieusap!B290</f>
        <v>1.8</v>
      </c>
      <c r="C290" s="14" t="str">
        <f>Solieusap!C290</f>
        <v>DEAD1</v>
      </c>
      <c r="D290" s="14" t="str">
        <f>Solieusap!D290</f>
        <v>LinStatic</v>
      </c>
      <c r="E290" s="16">
        <f>ABS(Solieusap!E290)</f>
        <v>3.0854</v>
      </c>
      <c r="F290" s="16">
        <f>ABS(Solieusap!F290)</f>
        <v>0.0338</v>
      </c>
      <c r="G290" s="16">
        <f>ABS(Solieusap!G290)</f>
        <v>0.0268</v>
      </c>
      <c r="H290" s="16">
        <f>ABS(Solieusap!H290)</f>
        <v>0.00019</v>
      </c>
      <c r="I290" s="16">
        <f>ABS(Solieusap!I290)</f>
        <v>0.00417</v>
      </c>
      <c r="J290" s="16">
        <f>ABS(Solieusap!J290)</f>
        <v>0.00202</v>
      </c>
      <c r="K290" s="16">
        <f t="shared" si="1"/>
        <v>3.0854</v>
      </c>
      <c r="L290" s="16">
        <f t="shared" si="2"/>
        <v>0.00417</v>
      </c>
    </row>
    <row r="291" ht="16.5" customHeight="1">
      <c r="A291" s="14" t="str">
        <f>Solieusap!A291</f>
        <v>232</v>
      </c>
      <c r="B291" s="15">
        <f>Solieusap!B291</f>
        <v>3.6</v>
      </c>
      <c r="C291" s="14" t="str">
        <f>Solieusap!C291</f>
        <v>DEAD1</v>
      </c>
      <c r="D291" s="14" t="str">
        <f>Solieusap!D291</f>
        <v>LinStatic</v>
      </c>
      <c r="E291" s="16">
        <f>ABS(Solieusap!E291)</f>
        <v>2.8874</v>
      </c>
      <c r="F291" s="16">
        <f>ABS(Solieusap!F291)</f>
        <v>0.0338</v>
      </c>
      <c r="G291" s="16">
        <f>ABS(Solieusap!G291)</f>
        <v>0.0268</v>
      </c>
      <c r="H291" s="16">
        <f>ABS(Solieusap!H291)</f>
        <v>0.00019</v>
      </c>
      <c r="I291" s="16">
        <f>ABS(Solieusap!I291)</f>
        <v>0.05248</v>
      </c>
      <c r="J291" s="16">
        <f>ABS(Solieusap!J291)</f>
        <v>0.06289</v>
      </c>
      <c r="K291" s="16">
        <f t="shared" si="1"/>
        <v>2.8874</v>
      </c>
      <c r="L291" s="16">
        <f t="shared" si="2"/>
        <v>0.05248</v>
      </c>
    </row>
    <row r="292" ht="16.5" customHeight="1">
      <c r="A292" s="14" t="str">
        <f>Solieusap!A292</f>
        <v>233</v>
      </c>
      <c r="B292" s="15">
        <f>Solieusap!B292</f>
        <v>0</v>
      </c>
      <c r="C292" s="14" t="str">
        <f>Solieusap!C292</f>
        <v>DEAD1</v>
      </c>
      <c r="D292" s="14" t="str">
        <f>Solieusap!D292</f>
        <v>LinStatic</v>
      </c>
      <c r="E292" s="16">
        <f>ABS(Solieusap!E292)</f>
        <v>11.8292</v>
      </c>
      <c r="F292" s="16">
        <f>ABS(Solieusap!F292)</f>
        <v>0.0194</v>
      </c>
      <c r="G292" s="16">
        <f>ABS(Solieusap!G292)</f>
        <v>0.2396</v>
      </c>
      <c r="H292" s="16">
        <f>ABS(Solieusap!H292)</f>
        <v>0.00017</v>
      </c>
      <c r="I292" s="16">
        <f>ABS(Solieusap!I292)</f>
        <v>0.32231</v>
      </c>
      <c r="J292" s="16">
        <f>ABS(Solieusap!J292)</f>
        <v>0.0166</v>
      </c>
      <c r="K292" s="16">
        <f t="shared" si="1"/>
        <v>11.8292</v>
      </c>
      <c r="L292" s="16">
        <f t="shared" si="2"/>
        <v>0.32231</v>
      </c>
    </row>
    <row r="293" ht="16.5" customHeight="1">
      <c r="A293" s="14" t="str">
        <f>Solieusap!A293</f>
        <v>233</v>
      </c>
      <c r="B293" s="15">
        <f>Solieusap!B293</f>
        <v>1.35</v>
      </c>
      <c r="C293" s="14" t="str">
        <f>Solieusap!C293</f>
        <v>DEAD1</v>
      </c>
      <c r="D293" s="14" t="str">
        <f>Solieusap!D293</f>
        <v>LinStatic</v>
      </c>
      <c r="E293" s="16">
        <f>ABS(Solieusap!E293)</f>
        <v>11.6807</v>
      </c>
      <c r="F293" s="16">
        <f>ABS(Solieusap!F293)</f>
        <v>0.0194</v>
      </c>
      <c r="G293" s="16">
        <f>ABS(Solieusap!G293)</f>
        <v>0.2396</v>
      </c>
      <c r="H293" s="16">
        <f>ABS(Solieusap!H293)</f>
        <v>0.00017</v>
      </c>
      <c r="I293" s="16">
        <f>ABS(Solieusap!I293)</f>
        <v>0.00117</v>
      </c>
      <c r="J293" s="16">
        <f>ABS(Solieusap!J293)</f>
        <v>0.00966</v>
      </c>
      <c r="K293" s="16">
        <f t="shared" si="1"/>
        <v>11.6807</v>
      </c>
      <c r="L293" s="16">
        <f t="shared" si="2"/>
        <v>0.00117</v>
      </c>
    </row>
    <row r="294" ht="16.5" customHeight="1">
      <c r="A294" s="14" t="str">
        <f>Solieusap!A294</f>
        <v>233</v>
      </c>
      <c r="B294" s="15">
        <f>Solieusap!B294</f>
        <v>2.7</v>
      </c>
      <c r="C294" s="14" t="str">
        <f>Solieusap!C294</f>
        <v>DEAD1</v>
      </c>
      <c r="D294" s="14" t="str">
        <f>Solieusap!D294</f>
        <v>LinStatic</v>
      </c>
      <c r="E294" s="16">
        <f>ABS(Solieusap!E294)</f>
        <v>11.5322</v>
      </c>
      <c r="F294" s="16">
        <f>ABS(Solieusap!F294)</f>
        <v>0.0194</v>
      </c>
      <c r="G294" s="16">
        <f>ABS(Solieusap!G294)</f>
        <v>0.2396</v>
      </c>
      <c r="H294" s="16">
        <f>ABS(Solieusap!H294)</f>
        <v>0.00017</v>
      </c>
      <c r="I294" s="16">
        <f>ABS(Solieusap!I294)</f>
        <v>0.32466</v>
      </c>
      <c r="J294" s="16">
        <f>ABS(Solieusap!J294)</f>
        <v>0.03591</v>
      </c>
      <c r="K294" s="16">
        <f t="shared" si="1"/>
        <v>11.5322</v>
      </c>
      <c r="L294" s="16">
        <f t="shared" si="2"/>
        <v>0.32466</v>
      </c>
    </row>
    <row r="295" ht="16.5" customHeight="1">
      <c r="A295" s="14" t="str">
        <f>Solieusap!A295</f>
        <v>234</v>
      </c>
      <c r="B295" s="15">
        <f>Solieusap!B295</f>
        <v>0</v>
      </c>
      <c r="C295" s="14" t="str">
        <f>Solieusap!C295</f>
        <v>DEAD1</v>
      </c>
      <c r="D295" s="14" t="str">
        <f>Solieusap!D295</f>
        <v>LinStatic</v>
      </c>
      <c r="E295" s="16">
        <f>ABS(Solieusap!E295)</f>
        <v>7.5734</v>
      </c>
      <c r="F295" s="16">
        <f>ABS(Solieusap!F295)</f>
        <v>0.0234</v>
      </c>
      <c r="G295" s="16">
        <f>ABS(Solieusap!G295)</f>
        <v>0.0131</v>
      </c>
      <c r="H295" s="16">
        <f>ABS(Solieusap!H295)</f>
        <v>0.00004536</v>
      </c>
      <c r="I295" s="16">
        <f>ABS(Solieusap!I295)</f>
        <v>0.01187</v>
      </c>
      <c r="J295" s="16">
        <f>ABS(Solieusap!J295)</f>
        <v>0.04311</v>
      </c>
      <c r="K295" s="16">
        <f t="shared" si="1"/>
        <v>7.5734</v>
      </c>
      <c r="L295" s="16">
        <f t="shared" si="2"/>
        <v>0.01187</v>
      </c>
    </row>
    <row r="296" ht="16.5" customHeight="1">
      <c r="A296" s="14" t="str">
        <f>Solieusap!A296</f>
        <v>234</v>
      </c>
      <c r="B296" s="15">
        <f>Solieusap!B296</f>
        <v>1.8</v>
      </c>
      <c r="C296" s="14" t="str">
        <f>Solieusap!C296</f>
        <v>DEAD1</v>
      </c>
      <c r="D296" s="14" t="str">
        <f>Solieusap!D296</f>
        <v>LinStatic</v>
      </c>
      <c r="E296" s="16">
        <f>ABS(Solieusap!E296)</f>
        <v>7.3754</v>
      </c>
      <c r="F296" s="16">
        <f>ABS(Solieusap!F296)</f>
        <v>0.0234</v>
      </c>
      <c r="G296" s="16">
        <f>ABS(Solieusap!G296)</f>
        <v>0.0131</v>
      </c>
      <c r="H296" s="16">
        <f>ABS(Solieusap!H296)</f>
        <v>0.00004536</v>
      </c>
      <c r="I296" s="16">
        <f>ABS(Solieusap!I296)</f>
        <v>0.01175</v>
      </c>
      <c r="J296" s="16">
        <f>ABS(Solieusap!J296)</f>
        <v>0.00101</v>
      </c>
      <c r="K296" s="16">
        <f t="shared" si="1"/>
        <v>7.3754</v>
      </c>
      <c r="L296" s="16">
        <f t="shared" si="2"/>
        <v>0.01175</v>
      </c>
    </row>
    <row r="297" ht="16.5" customHeight="1">
      <c r="A297" s="14" t="str">
        <f>Solieusap!A297</f>
        <v>234</v>
      </c>
      <c r="B297" s="15">
        <f>Solieusap!B297</f>
        <v>3.6</v>
      </c>
      <c r="C297" s="14" t="str">
        <f>Solieusap!C297</f>
        <v>DEAD1</v>
      </c>
      <c r="D297" s="14" t="str">
        <f>Solieusap!D297</f>
        <v>LinStatic</v>
      </c>
      <c r="E297" s="16">
        <f>ABS(Solieusap!E297)</f>
        <v>7.1774</v>
      </c>
      <c r="F297" s="16">
        <f>ABS(Solieusap!F297)</f>
        <v>0.0234</v>
      </c>
      <c r="G297" s="16">
        <f>ABS(Solieusap!G297)</f>
        <v>0.0131</v>
      </c>
      <c r="H297" s="16">
        <f>ABS(Solieusap!H297)</f>
        <v>0.00004536</v>
      </c>
      <c r="I297" s="16">
        <f>ABS(Solieusap!I297)</f>
        <v>0.03538</v>
      </c>
      <c r="J297" s="16">
        <f>ABS(Solieusap!J297)</f>
        <v>0.04108</v>
      </c>
      <c r="K297" s="16">
        <f t="shared" si="1"/>
        <v>7.1774</v>
      </c>
      <c r="L297" s="16">
        <f t="shared" si="2"/>
        <v>0.03538</v>
      </c>
    </row>
    <row r="298" ht="16.5" customHeight="1">
      <c r="A298" s="14" t="str">
        <f>Solieusap!A298</f>
        <v>235</v>
      </c>
      <c r="B298" s="15">
        <f>Solieusap!B298</f>
        <v>0</v>
      </c>
      <c r="C298" s="14" t="str">
        <f>Solieusap!C298</f>
        <v>DEAD1</v>
      </c>
      <c r="D298" s="14" t="str">
        <f>Solieusap!D298</f>
        <v>LinStatic</v>
      </c>
      <c r="E298" s="16">
        <f>ABS(Solieusap!E298)</f>
        <v>3.2969</v>
      </c>
      <c r="F298" s="16">
        <f>ABS(Solieusap!F298)</f>
        <v>0.0189</v>
      </c>
      <c r="G298" s="16">
        <f>ABS(Solieusap!G298)</f>
        <v>0.0279</v>
      </c>
      <c r="H298" s="16">
        <f>ABS(Solieusap!H298)</f>
        <v>0.00094</v>
      </c>
      <c r="I298" s="16">
        <f>ABS(Solieusap!I298)</f>
        <v>0.04608</v>
      </c>
      <c r="J298" s="16">
        <f>ABS(Solieusap!J298)</f>
        <v>0.03174</v>
      </c>
      <c r="K298" s="16">
        <f t="shared" si="1"/>
        <v>3.2969</v>
      </c>
      <c r="L298" s="16">
        <f t="shared" si="2"/>
        <v>0.04608</v>
      </c>
    </row>
    <row r="299" ht="16.5" customHeight="1">
      <c r="A299" s="14" t="str">
        <f>Solieusap!A299</f>
        <v>235</v>
      </c>
      <c r="B299" s="15">
        <f>Solieusap!B299</f>
        <v>1.8</v>
      </c>
      <c r="C299" s="14" t="str">
        <f>Solieusap!C299</f>
        <v>DEAD1</v>
      </c>
      <c r="D299" s="14" t="str">
        <f>Solieusap!D299</f>
        <v>LinStatic</v>
      </c>
      <c r="E299" s="16">
        <f>ABS(Solieusap!E299)</f>
        <v>3.0989</v>
      </c>
      <c r="F299" s="16">
        <f>ABS(Solieusap!F299)</f>
        <v>0.0189</v>
      </c>
      <c r="G299" s="16">
        <f>ABS(Solieusap!G299)</f>
        <v>0.0279</v>
      </c>
      <c r="H299" s="16">
        <f>ABS(Solieusap!H299)</f>
        <v>0.00094</v>
      </c>
      <c r="I299" s="16">
        <f>ABS(Solieusap!I299)</f>
        <v>0.00414</v>
      </c>
      <c r="J299" s="16">
        <f>ABS(Solieusap!J299)</f>
        <v>0.00223</v>
      </c>
      <c r="K299" s="16">
        <f t="shared" si="1"/>
        <v>3.0989</v>
      </c>
      <c r="L299" s="16">
        <f t="shared" si="2"/>
        <v>0.00414</v>
      </c>
    </row>
    <row r="300" ht="16.5" customHeight="1">
      <c r="A300" s="14" t="str">
        <f>Solieusap!A300</f>
        <v>235</v>
      </c>
      <c r="B300" s="15">
        <f>Solieusap!B300</f>
        <v>3.6</v>
      </c>
      <c r="C300" s="14" t="str">
        <f>Solieusap!C300</f>
        <v>DEAD1</v>
      </c>
      <c r="D300" s="14" t="str">
        <f>Solieusap!D300</f>
        <v>LinStatic</v>
      </c>
      <c r="E300" s="16">
        <f>ABS(Solieusap!E300)</f>
        <v>2.9009</v>
      </c>
      <c r="F300" s="16">
        <f>ABS(Solieusap!F300)</f>
        <v>0.0189</v>
      </c>
      <c r="G300" s="16">
        <f>ABS(Solieusap!G300)</f>
        <v>0.0279</v>
      </c>
      <c r="H300" s="16">
        <f>ABS(Solieusap!H300)</f>
        <v>0.00094</v>
      </c>
      <c r="I300" s="16">
        <f>ABS(Solieusap!I300)</f>
        <v>0.05435</v>
      </c>
      <c r="J300" s="16">
        <f>ABS(Solieusap!J300)</f>
        <v>0.0362</v>
      </c>
      <c r="K300" s="16">
        <f t="shared" si="1"/>
        <v>2.9009</v>
      </c>
      <c r="L300" s="16">
        <f t="shared" si="2"/>
        <v>0.05435</v>
      </c>
    </row>
    <row r="301" ht="16.5" customHeight="1">
      <c r="A301" s="14" t="str">
        <f>Solieusap!A301</f>
        <v>236</v>
      </c>
      <c r="B301" s="15">
        <f>Solieusap!B301</f>
        <v>0</v>
      </c>
      <c r="C301" s="14" t="str">
        <f>Solieusap!C301</f>
        <v>DEAD1</v>
      </c>
      <c r="D301" s="14" t="str">
        <f>Solieusap!D301</f>
        <v>LinStatic</v>
      </c>
      <c r="E301" s="16">
        <f>ABS(Solieusap!E301)</f>
        <v>11.552</v>
      </c>
      <c r="F301" s="16">
        <f>ABS(Solieusap!F301)</f>
        <v>0.0279</v>
      </c>
      <c r="G301" s="16">
        <f>ABS(Solieusap!G301)</f>
        <v>0.2359</v>
      </c>
      <c r="H301" s="16">
        <f>ABS(Solieusap!H301)</f>
        <v>0.00088</v>
      </c>
      <c r="I301" s="16">
        <f>ABS(Solieusap!I301)</f>
        <v>0.31635</v>
      </c>
      <c r="J301" s="16">
        <f>ABS(Solieusap!J301)</f>
        <v>0.02743</v>
      </c>
      <c r="K301" s="16">
        <f t="shared" si="1"/>
        <v>11.552</v>
      </c>
      <c r="L301" s="16">
        <f t="shared" si="2"/>
        <v>0.31635</v>
      </c>
    </row>
    <row r="302" ht="16.5" customHeight="1">
      <c r="A302" s="14" t="str">
        <f>Solieusap!A302</f>
        <v>236</v>
      </c>
      <c r="B302" s="15">
        <f>Solieusap!B302</f>
        <v>1.35</v>
      </c>
      <c r="C302" s="14" t="str">
        <f>Solieusap!C302</f>
        <v>DEAD1</v>
      </c>
      <c r="D302" s="14" t="str">
        <f>Solieusap!D302</f>
        <v>LinStatic</v>
      </c>
      <c r="E302" s="16">
        <f>ABS(Solieusap!E302)</f>
        <v>11.4035</v>
      </c>
      <c r="F302" s="16">
        <f>ABS(Solieusap!F302)</f>
        <v>0.0279</v>
      </c>
      <c r="G302" s="16">
        <f>ABS(Solieusap!G302)</f>
        <v>0.2359</v>
      </c>
      <c r="H302" s="16">
        <f>ABS(Solieusap!H302)</f>
        <v>0.00088</v>
      </c>
      <c r="I302" s="16">
        <f>ABS(Solieusap!I302)</f>
        <v>0.00216</v>
      </c>
      <c r="J302" s="16">
        <f>ABS(Solieusap!J302)</f>
        <v>0.01029</v>
      </c>
      <c r="K302" s="16">
        <f t="shared" si="1"/>
        <v>11.4035</v>
      </c>
      <c r="L302" s="16">
        <f t="shared" si="2"/>
        <v>0.00216</v>
      </c>
    </row>
    <row r="303" ht="16.5" customHeight="1">
      <c r="A303" s="14" t="str">
        <f>Solieusap!A303</f>
        <v>236</v>
      </c>
      <c r="B303" s="15">
        <f>Solieusap!B303</f>
        <v>2.7</v>
      </c>
      <c r="C303" s="14" t="str">
        <f>Solieusap!C303</f>
        <v>DEAD1</v>
      </c>
      <c r="D303" s="14" t="str">
        <f>Solieusap!D303</f>
        <v>LinStatic</v>
      </c>
      <c r="E303" s="16">
        <f>ABS(Solieusap!E303)</f>
        <v>11.255</v>
      </c>
      <c r="F303" s="16">
        <f>ABS(Solieusap!F303)</f>
        <v>0.0279</v>
      </c>
      <c r="G303" s="16">
        <f>ABS(Solieusap!G303)</f>
        <v>0.2359</v>
      </c>
      <c r="H303" s="16">
        <f>ABS(Solieusap!H303)</f>
        <v>0.00088</v>
      </c>
      <c r="I303" s="16">
        <f>ABS(Solieusap!I303)</f>
        <v>0.32067</v>
      </c>
      <c r="J303" s="16">
        <f>ABS(Solieusap!J303)</f>
        <v>0.04801</v>
      </c>
      <c r="K303" s="16">
        <f t="shared" si="1"/>
        <v>11.255</v>
      </c>
      <c r="L303" s="16">
        <f t="shared" si="2"/>
        <v>0.32067</v>
      </c>
    </row>
    <row r="304" ht="16.5" customHeight="1">
      <c r="A304" s="14" t="str">
        <f>Solieusap!A304</f>
        <v>237</v>
      </c>
      <c r="B304" s="15">
        <f>Solieusap!B304</f>
        <v>0</v>
      </c>
      <c r="C304" s="14" t="str">
        <f>Solieusap!C304</f>
        <v>DEAD1</v>
      </c>
      <c r="D304" s="14" t="str">
        <f>Solieusap!D304</f>
        <v>LinStatic</v>
      </c>
      <c r="E304" s="16">
        <f>ABS(Solieusap!E304)</f>
        <v>7.657</v>
      </c>
      <c r="F304" s="16">
        <f>ABS(Solieusap!F304)</f>
        <v>0.0165</v>
      </c>
      <c r="G304" s="16">
        <f>ABS(Solieusap!G304)</f>
        <v>0.0138</v>
      </c>
      <c r="H304" s="16">
        <f>ABS(Solieusap!H304)</f>
        <v>0.00076</v>
      </c>
      <c r="I304" s="16">
        <f>ABS(Solieusap!I304)</f>
        <v>0.01612</v>
      </c>
      <c r="J304" s="16">
        <f>ABS(Solieusap!J304)</f>
        <v>0.03338</v>
      </c>
      <c r="K304" s="16">
        <f t="shared" si="1"/>
        <v>7.657</v>
      </c>
      <c r="L304" s="16">
        <f t="shared" si="2"/>
        <v>0.01612</v>
      </c>
    </row>
    <row r="305" ht="16.5" customHeight="1">
      <c r="A305" s="14" t="str">
        <f>Solieusap!A305</f>
        <v>237</v>
      </c>
      <c r="B305" s="15">
        <f>Solieusap!B305</f>
        <v>1.8</v>
      </c>
      <c r="C305" s="14" t="str">
        <f>Solieusap!C305</f>
        <v>DEAD1</v>
      </c>
      <c r="D305" s="14" t="str">
        <f>Solieusap!D305</f>
        <v>LinStatic</v>
      </c>
      <c r="E305" s="16">
        <f>ABS(Solieusap!E305)</f>
        <v>7.459</v>
      </c>
      <c r="F305" s="16">
        <f>ABS(Solieusap!F305)</f>
        <v>0.0165</v>
      </c>
      <c r="G305" s="16">
        <f>ABS(Solieusap!G305)</f>
        <v>0.0138</v>
      </c>
      <c r="H305" s="16">
        <f>ABS(Solieusap!H305)</f>
        <v>0.00076</v>
      </c>
      <c r="I305" s="16">
        <f>ABS(Solieusap!I305)</f>
        <v>0.00881</v>
      </c>
      <c r="J305" s="16">
        <f>ABS(Solieusap!J305)</f>
        <v>0.0037</v>
      </c>
      <c r="K305" s="16">
        <f t="shared" si="1"/>
        <v>7.459</v>
      </c>
      <c r="L305" s="16">
        <f t="shared" si="2"/>
        <v>0.00881</v>
      </c>
    </row>
    <row r="306" ht="16.5" customHeight="1">
      <c r="A306" s="14" t="str">
        <f>Solieusap!A306</f>
        <v>237</v>
      </c>
      <c r="B306" s="15">
        <f>Solieusap!B306</f>
        <v>3.6</v>
      </c>
      <c r="C306" s="14" t="str">
        <f>Solieusap!C306</f>
        <v>DEAD1</v>
      </c>
      <c r="D306" s="14" t="str">
        <f>Solieusap!D306</f>
        <v>LinStatic</v>
      </c>
      <c r="E306" s="16">
        <f>ABS(Solieusap!E306)</f>
        <v>7.261</v>
      </c>
      <c r="F306" s="16">
        <f>ABS(Solieusap!F306)</f>
        <v>0.0165</v>
      </c>
      <c r="G306" s="16">
        <f>ABS(Solieusap!G306)</f>
        <v>0.0138</v>
      </c>
      <c r="H306" s="16">
        <f>ABS(Solieusap!H306)</f>
        <v>0.00076</v>
      </c>
      <c r="I306" s="16">
        <f>ABS(Solieusap!I306)</f>
        <v>0.03374</v>
      </c>
      <c r="J306" s="16">
        <f>ABS(Solieusap!J306)</f>
        <v>0.02599</v>
      </c>
      <c r="K306" s="16">
        <f t="shared" si="1"/>
        <v>7.261</v>
      </c>
      <c r="L306" s="16">
        <f t="shared" si="2"/>
        <v>0.03374</v>
      </c>
    </row>
    <row r="307" ht="16.5" customHeight="1">
      <c r="A307" s="14" t="str">
        <f>Solieusap!A307</f>
        <v>238</v>
      </c>
      <c r="B307" s="15">
        <f>Solieusap!B307</f>
        <v>0</v>
      </c>
      <c r="C307" s="14" t="str">
        <f>Solieusap!C307</f>
        <v>DEAD1</v>
      </c>
      <c r="D307" s="14" t="str">
        <f>Solieusap!D307</f>
        <v>LinStatic</v>
      </c>
      <c r="E307" s="16">
        <f>ABS(Solieusap!E307)</f>
        <v>3.6816</v>
      </c>
      <c r="F307" s="16">
        <f>ABS(Solieusap!F307)</f>
        <v>0.0102</v>
      </c>
      <c r="G307" s="16">
        <f>ABS(Solieusap!G307)</f>
        <v>0.0355</v>
      </c>
      <c r="H307" s="16">
        <f>ABS(Solieusap!H307)</f>
        <v>0.0064</v>
      </c>
      <c r="I307" s="16">
        <f>ABS(Solieusap!I307)</f>
        <v>0.06145</v>
      </c>
      <c r="J307" s="16">
        <f>ABS(Solieusap!J307)</f>
        <v>0.01827</v>
      </c>
      <c r="K307" s="16">
        <f t="shared" si="1"/>
        <v>3.6816</v>
      </c>
      <c r="L307" s="16">
        <f t="shared" si="2"/>
        <v>0.06145</v>
      </c>
    </row>
    <row r="308" ht="16.5" customHeight="1">
      <c r="A308" s="14" t="str">
        <f>Solieusap!A308</f>
        <v>238</v>
      </c>
      <c r="B308" s="15">
        <f>Solieusap!B308</f>
        <v>1.8</v>
      </c>
      <c r="C308" s="14" t="str">
        <f>Solieusap!C308</f>
        <v>DEAD1</v>
      </c>
      <c r="D308" s="14" t="str">
        <f>Solieusap!D308</f>
        <v>LinStatic</v>
      </c>
      <c r="E308" s="16">
        <f>ABS(Solieusap!E308)</f>
        <v>3.4836</v>
      </c>
      <c r="F308" s="16">
        <f>ABS(Solieusap!F308)</f>
        <v>0.0102</v>
      </c>
      <c r="G308" s="16">
        <f>ABS(Solieusap!G308)</f>
        <v>0.0355</v>
      </c>
      <c r="H308" s="16">
        <f>ABS(Solieusap!H308)</f>
        <v>0.0064</v>
      </c>
      <c r="I308" s="16">
        <f>ABS(Solieusap!I308)</f>
        <v>0.00247</v>
      </c>
      <c r="J308" s="16">
        <f>ABS(Solieusap!J308)</f>
        <v>0.00008109</v>
      </c>
      <c r="K308" s="16">
        <f t="shared" si="1"/>
        <v>3.4836</v>
      </c>
      <c r="L308" s="16">
        <f t="shared" si="2"/>
        <v>0.00247</v>
      </c>
    </row>
    <row r="309" ht="16.5" customHeight="1">
      <c r="A309" s="14" t="str">
        <f>Solieusap!A309</f>
        <v>238</v>
      </c>
      <c r="B309" s="15">
        <f>Solieusap!B309</f>
        <v>3.6</v>
      </c>
      <c r="C309" s="14" t="str">
        <f>Solieusap!C309</f>
        <v>DEAD1</v>
      </c>
      <c r="D309" s="14" t="str">
        <f>Solieusap!D309</f>
        <v>LinStatic</v>
      </c>
      <c r="E309" s="16">
        <f>ABS(Solieusap!E309)</f>
        <v>3.2856</v>
      </c>
      <c r="F309" s="16">
        <f>ABS(Solieusap!F309)</f>
        <v>0.0102</v>
      </c>
      <c r="G309" s="16">
        <f>ABS(Solieusap!G309)</f>
        <v>0.0355</v>
      </c>
      <c r="H309" s="16">
        <f>ABS(Solieusap!H309)</f>
        <v>0.0064</v>
      </c>
      <c r="I309" s="16">
        <f>ABS(Solieusap!I309)</f>
        <v>0.0664</v>
      </c>
      <c r="J309" s="16">
        <f>ABS(Solieusap!J309)</f>
        <v>0.01843</v>
      </c>
      <c r="K309" s="16">
        <f t="shared" si="1"/>
        <v>3.2856</v>
      </c>
      <c r="L309" s="16">
        <f t="shared" si="2"/>
        <v>0.0664</v>
      </c>
    </row>
    <row r="310" ht="16.5" customHeight="1">
      <c r="A310" s="14" t="str">
        <f>Solieusap!A310</f>
        <v>239</v>
      </c>
      <c r="B310" s="15">
        <f>Solieusap!B310</f>
        <v>0</v>
      </c>
      <c r="C310" s="14" t="str">
        <f>Solieusap!C310</f>
        <v>DEAD1</v>
      </c>
      <c r="D310" s="14" t="str">
        <f>Solieusap!D310</f>
        <v>LinStatic</v>
      </c>
      <c r="E310" s="16">
        <f>ABS(Solieusap!E310)</f>
        <v>17.2583</v>
      </c>
      <c r="F310" s="16">
        <f>ABS(Solieusap!F310)</f>
        <v>0.0449</v>
      </c>
      <c r="G310" s="16">
        <f>ABS(Solieusap!G310)</f>
        <v>0.2282</v>
      </c>
      <c r="H310" s="16">
        <f>ABS(Solieusap!H310)</f>
        <v>0.00027</v>
      </c>
      <c r="I310" s="16">
        <f>ABS(Solieusap!I310)</f>
        <v>0.30737</v>
      </c>
      <c r="J310" s="16">
        <f>ABS(Solieusap!J310)</f>
        <v>0.03711</v>
      </c>
      <c r="K310" s="16">
        <f t="shared" si="1"/>
        <v>17.2583</v>
      </c>
      <c r="L310" s="16">
        <f t="shared" si="2"/>
        <v>0.30737</v>
      </c>
    </row>
    <row r="311" ht="16.5" customHeight="1">
      <c r="A311" s="14" t="str">
        <f>Solieusap!A311</f>
        <v>239</v>
      </c>
      <c r="B311" s="15">
        <f>Solieusap!B311</f>
        <v>1.35</v>
      </c>
      <c r="C311" s="14" t="str">
        <f>Solieusap!C311</f>
        <v>DEAD1</v>
      </c>
      <c r="D311" s="14" t="str">
        <f>Solieusap!D311</f>
        <v>LinStatic</v>
      </c>
      <c r="E311" s="16">
        <f>ABS(Solieusap!E311)</f>
        <v>17.1098</v>
      </c>
      <c r="F311" s="16">
        <f>ABS(Solieusap!F311)</f>
        <v>0.0449</v>
      </c>
      <c r="G311" s="16">
        <f>ABS(Solieusap!G311)</f>
        <v>0.2282</v>
      </c>
      <c r="H311" s="16">
        <f>ABS(Solieusap!H311)</f>
        <v>0.00027</v>
      </c>
      <c r="I311" s="16">
        <f>ABS(Solieusap!I311)</f>
        <v>0.00072</v>
      </c>
      <c r="J311" s="16">
        <f>ABS(Solieusap!J311)</f>
        <v>0.02346</v>
      </c>
      <c r="K311" s="16">
        <f t="shared" si="1"/>
        <v>17.1098</v>
      </c>
      <c r="L311" s="16">
        <f t="shared" si="2"/>
        <v>0.00072</v>
      </c>
    </row>
    <row r="312" ht="16.5" customHeight="1">
      <c r="A312" s="14" t="str">
        <f>Solieusap!A312</f>
        <v>239</v>
      </c>
      <c r="B312" s="15">
        <f>Solieusap!B312</f>
        <v>2.7</v>
      </c>
      <c r="C312" s="14" t="str">
        <f>Solieusap!C312</f>
        <v>DEAD1</v>
      </c>
      <c r="D312" s="14" t="str">
        <f>Solieusap!D312</f>
        <v>LinStatic</v>
      </c>
      <c r="E312" s="16">
        <f>ABS(Solieusap!E312)</f>
        <v>16.9613</v>
      </c>
      <c r="F312" s="16">
        <f>ABS(Solieusap!F312)</f>
        <v>0.0449</v>
      </c>
      <c r="G312" s="16">
        <f>ABS(Solieusap!G312)</f>
        <v>0.2282</v>
      </c>
      <c r="H312" s="16">
        <f>ABS(Solieusap!H312)</f>
        <v>0.00027</v>
      </c>
      <c r="I312" s="16">
        <f>ABS(Solieusap!I312)</f>
        <v>0.30881</v>
      </c>
      <c r="J312" s="16">
        <f>ABS(Solieusap!J312)</f>
        <v>0.08402</v>
      </c>
      <c r="K312" s="16">
        <f t="shared" si="1"/>
        <v>16.9613</v>
      </c>
      <c r="L312" s="16">
        <f t="shared" si="2"/>
        <v>0.30881</v>
      </c>
    </row>
    <row r="313" ht="16.5" customHeight="1">
      <c r="A313" s="14" t="str">
        <f>Solieusap!A313</f>
        <v>240</v>
      </c>
      <c r="B313" s="15">
        <f>Solieusap!B313</f>
        <v>0</v>
      </c>
      <c r="C313" s="14" t="str">
        <f>Solieusap!C313</f>
        <v>DEAD1</v>
      </c>
      <c r="D313" s="14" t="str">
        <f>Solieusap!D313</f>
        <v>LinStatic</v>
      </c>
      <c r="E313" s="16">
        <f>ABS(Solieusap!E313)</f>
        <v>13.1228</v>
      </c>
      <c r="F313" s="16">
        <f>ABS(Solieusap!F313)</f>
        <v>0.0693</v>
      </c>
      <c r="G313" s="16">
        <f>ABS(Solieusap!G313)</f>
        <v>0.0064</v>
      </c>
      <c r="H313" s="16">
        <f>ABS(Solieusap!H313)</f>
        <v>0.00032</v>
      </c>
      <c r="I313" s="16">
        <f>ABS(Solieusap!I313)</f>
        <v>0.00654</v>
      </c>
      <c r="J313" s="16">
        <f>ABS(Solieusap!J313)</f>
        <v>0.11997</v>
      </c>
      <c r="K313" s="16">
        <f t="shared" si="1"/>
        <v>13.1228</v>
      </c>
      <c r="L313" s="16">
        <f t="shared" si="2"/>
        <v>0.00654</v>
      </c>
    </row>
    <row r="314" ht="16.5" customHeight="1">
      <c r="A314" s="14" t="str">
        <f>Solieusap!A314</f>
        <v>240</v>
      </c>
      <c r="B314" s="15">
        <f>Solieusap!B314</f>
        <v>1.8</v>
      </c>
      <c r="C314" s="14" t="str">
        <f>Solieusap!C314</f>
        <v>DEAD1</v>
      </c>
      <c r="D314" s="14" t="str">
        <f>Solieusap!D314</f>
        <v>LinStatic</v>
      </c>
      <c r="E314" s="16">
        <f>ABS(Solieusap!E314)</f>
        <v>12.9248</v>
      </c>
      <c r="F314" s="16">
        <f>ABS(Solieusap!F314)</f>
        <v>0.0693</v>
      </c>
      <c r="G314" s="16">
        <f>ABS(Solieusap!G314)</f>
        <v>0.0064</v>
      </c>
      <c r="H314" s="16">
        <f>ABS(Solieusap!H314)</f>
        <v>0.00032</v>
      </c>
      <c r="I314" s="16">
        <f>ABS(Solieusap!I314)</f>
        <v>0.00505</v>
      </c>
      <c r="J314" s="16">
        <f>ABS(Solieusap!J314)</f>
        <v>0.00469</v>
      </c>
      <c r="K314" s="16">
        <f t="shared" si="1"/>
        <v>12.9248</v>
      </c>
      <c r="L314" s="16">
        <f t="shared" si="2"/>
        <v>0.00505</v>
      </c>
    </row>
    <row r="315" ht="16.5" customHeight="1">
      <c r="A315" s="14" t="str">
        <f>Solieusap!A315</f>
        <v>240</v>
      </c>
      <c r="B315" s="15">
        <f>Solieusap!B315</f>
        <v>3.6</v>
      </c>
      <c r="C315" s="14" t="str">
        <f>Solieusap!C315</f>
        <v>DEAD1</v>
      </c>
      <c r="D315" s="14" t="str">
        <f>Solieusap!D315</f>
        <v>LinStatic</v>
      </c>
      <c r="E315" s="16">
        <f>ABS(Solieusap!E315)</f>
        <v>12.7268</v>
      </c>
      <c r="F315" s="16">
        <f>ABS(Solieusap!F315)</f>
        <v>0.0693</v>
      </c>
      <c r="G315" s="16">
        <f>ABS(Solieusap!G315)</f>
        <v>0.0064</v>
      </c>
      <c r="H315" s="16">
        <f>ABS(Solieusap!H315)</f>
        <v>0.00032</v>
      </c>
      <c r="I315" s="16">
        <f>ABS(Solieusap!I315)</f>
        <v>0.01664</v>
      </c>
      <c r="J315" s="16">
        <f>ABS(Solieusap!J315)</f>
        <v>0.12935</v>
      </c>
      <c r="K315" s="16">
        <f t="shared" si="1"/>
        <v>12.7268</v>
      </c>
      <c r="L315" s="16">
        <f t="shared" si="2"/>
        <v>0.01664</v>
      </c>
    </row>
    <row r="316" ht="16.5" customHeight="1">
      <c r="A316" s="14" t="str">
        <f>Solieusap!A316</f>
        <v>241</v>
      </c>
      <c r="B316" s="15">
        <f>Solieusap!B316</f>
        <v>0</v>
      </c>
      <c r="C316" s="14" t="str">
        <f>Solieusap!C316</f>
        <v>DEAD1</v>
      </c>
      <c r="D316" s="14" t="str">
        <f>Solieusap!D316</f>
        <v>LinStatic</v>
      </c>
      <c r="E316" s="16">
        <f>ABS(Solieusap!E316)</f>
        <v>9.0138</v>
      </c>
      <c r="F316" s="16">
        <f>ABS(Solieusap!F316)</f>
        <v>0.0986</v>
      </c>
      <c r="G316" s="16">
        <f>ABS(Solieusap!G316)</f>
        <v>0.0557</v>
      </c>
      <c r="H316" s="16">
        <f>ABS(Solieusap!H316)</f>
        <v>0.00275</v>
      </c>
      <c r="I316" s="16">
        <f>ABS(Solieusap!I316)</f>
        <v>0.09712</v>
      </c>
      <c r="J316" s="16">
        <f>ABS(Solieusap!J316)</f>
        <v>0.16717</v>
      </c>
      <c r="K316" s="16">
        <f t="shared" si="1"/>
        <v>9.0138</v>
      </c>
      <c r="L316" s="16">
        <f t="shared" si="2"/>
        <v>0.09712</v>
      </c>
    </row>
    <row r="317" ht="16.5" customHeight="1">
      <c r="A317" s="14" t="str">
        <f>Solieusap!A317</f>
        <v>241</v>
      </c>
      <c r="B317" s="15">
        <f>Solieusap!B317</f>
        <v>1.8</v>
      </c>
      <c r="C317" s="14" t="str">
        <f>Solieusap!C317</f>
        <v>DEAD1</v>
      </c>
      <c r="D317" s="14" t="str">
        <f>Solieusap!D317</f>
        <v>LinStatic</v>
      </c>
      <c r="E317" s="16">
        <f>ABS(Solieusap!E317)</f>
        <v>8.8158</v>
      </c>
      <c r="F317" s="16">
        <f>ABS(Solieusap!F317)</f>
        <v>0.0986</v>
      </c>
      <c r="G317" s="16">
        <f>ABS(Solieusap!G317)</f>
        <v>0.0557</v>
      </c>
      <c r="H317" s="16">
        <f>ABS(Solieusap!H317)</f>
        <v>0.00275</v>
      </c>
      <c r="I317" s="16">
        <f>ABS(Solieusap!I317)</f>
        <v>0.00319</v>
      </c>
      <c r="J317" s="16">
        <f>ABS(Solieusap!J317)</f>
        <v>0.01034</v>
      </c>
      <c r="K317" s="16">
        <f t="shared" si="1"/>
        <v>8.8158</v>
      </c>
      <c r="L317" s="16">
        <f t="shared" si="2"/>
        <v>0.00319</v>
      </c>
    </row>
    <row r="318" ht="16.5" customHeight="1">
      <c r="A318" s="14" t="str">
        <f>Solieusap!A318</f>
        <v>241</v>
      </c>
      <c r="B318" s="15">
        <f>Solieusap!B318</f>
        <v>3.6</v>
      </c>
      <c r="C318" s="14" t="str">
        <f>Solieusap!C318</f>
        <v>DEAD1</v>
      </c>
      <c r="D318" s="14" t="str">
        <f>Solieusap!D318</f>
        <v>LinStatic</v>
      </c>
      <c r="E318" s="16">
        <f>ABS(Solieusap!E318)</f>
        <v>8.6178</v>
      </c>
      <c r="F318" s="16">
        <f>ABS(Solieusap!F318)</f>
        <v>0.0986</v>
      </c>
      <c r="G318" s="16">
        <f>ABS(Solieusap!G318)</f>
        <v>0.0557</v>
      </c>
      <c r="H318" s="16">
        <f>ABS(Solieusap!H318)</f>
        <v>0.00275</v>
      </c>
      <c r="I318" s="16">
        <f>ABS(Solieusap!I318)</f>
        <v>0.10351</v>
      </c>
      <c r="J318" s="16">
        <f>ABS(Solieusap!J318)</f>
        <v>0.18784</v>
      </c>
      <c r="K318" s="16">
        <f t="shared" si="1"/>
        <v>8.6178</v>
      </c>
      <c r="L318" s="16">
        <f t="shared" si="2"/>
        <v>0.10351</v>
      </c>
    </row>
    <row r="319" ht="16.5" customHeight="1">
      <c r="A319" s="14" t="str">
        <f>Solieusap!A319</f>
        <v>242</v>
      </c>
      <c r="B319" s="15">
        <f>Solieusap!B319</f>
        <v>0</v>
      </c>
      <c r="C319" s="14" t="str">
        <f>Solieusap!C319</f>
        <v>DEAD1</v>
      </c>
      <c r="D319" s="14" t="str">
        <f>Solieusap!D319</f>
        <v>LinStatic</v>
      </c>
      <c r="E319" s="16">
        <f>ABS(Solieusap!E319)</f>
        <v>25.351</v>
      </c>
      <c r="F319" s="16">
        <f>ABS(Solieusap!F319)</f>
        <v>0.0765</v>
      </c>
      <c r="G319" s="16">
        <f>ABS(Solieusap!G319)</f>
        <v>0.2042</v>
      </c>
      <c r="H319" s="16">
        <f>ABS(Solieusap!H319)</f>
        <v>0.00096</v>
      </c>
      <c r="I319" s="16">
        <f>ABS(Solieusap!I319)</f>
        <v>0.28182</v>
      </c>
      <c r="J319" s="16">
        <f>ABS(Solieusap!J319)</f>
        <v>0.07154</v>
      </c>
      <c r="K319" s="16">
        <f t="shared" si="1"/>
        <v>25.351</v>
      </c>
      <c r="L319" s="16">
        <f t="shared" si="2"/>
        <v>0.28182</v>
      </c>
    </row>
    <row r="320" ht="16.5" customHeight="1">
      <c r="A320" s="14" t="str">
        <f>Solieusap!A320</f>
        <v>242</v>
      </c>
      <c r="B320" s="15">
        <f>Solieusap!B320</f>
        <v>1.35</v>
      </c>
      <c r="C320" s="14" t="str">
        <f>Solieusap!C320</f>
        <v>DEAD1</v>
      </c>
      <c r="D320" s="14" t="str">
        <f>Solieusap!D320</f>
        <v>LinStatic</v>
      </c>
      <c r="E320" s="16">
        <f>ABS(Solieusap!E320)</f>
        <v>25.2025</v>
      </c>
      <c r="F320" s="16">
        <f>ABS(Solieusap!F320)</f>
        <v>0.0765</v>
      </c>
      <c r="G320" s="16">
        <f>ABS(Solieusap!G320)</f>
        <v>0.2042</v>
      </c>
      <c r="H320" s="16">
        <f>ABS(Solieusap!H320)</f>
        <v>0.00096</v>
      </c>
      <c r="I320" s="16">
        <f>ABS(Solieusap!I320)</f>
        <v>0.00609</v>
      </c>
      <c r="J320" s="16">
        <f>ABS(Solieusap!J320)</f>
        <v>0.0317</v>
      </c>
      <c r="K320" s="16">
        <f t="shared" si="1"/>
        <v>25.2025</v>
      </c>
      <c r="L320" s="16">
        <f t="shared" si="2"/>
        <v>0.00609</v>
      </c>
    </row>
    <row r="321" ht="16.5" customHeight="1">
      <c r="A321" s="14" t="str">
        <f>Solieusap!A321</f>
        <v>242</v>
      </c>
      <c r="B321" s="15">
        <f>Solieusap!B321</f>
        <v>2.7</v>
      </c>
      <c r="C321" s="14" t="str">
        <f>Solieusap!C321</f>
        <v>DEAD1</v>
      </c>
      <c r="D321" s="14" t="str">
        <f>Solieusap!D321</f>
        <v>LinStatic</v>
      </c>
      <c r="E321" s="16">
        <f>ABS(Solieusap!E321)</f>
        <v>25.054</v>
      </c>
      <c r="F321" s="16">
        <f>ABS(Solieusap!F321)</f>
        <v>0.0765</v>
      </c>
      <c r="G321" s="16">
        <f>ABS(Solieusap!G321)</f>
        <v>0.2042</v>
      </c>
      <c r="H321" s="16">
        <f>ABS(Solieusap!H321)</f>
        <v>0.00096</v>
      </c>
      <c r="I321" s="16">
        <f>ABS(Solieusap!I321)</f>
        <v>0.26964</v>
      </c>
      <c r="J321" s="16">
        <f>ABS(Solieusap!J321)</f>
        <v>0.13494</v>
      </c>
      <c r="K321" s="16">
        <f t="shared" si="1"/>
        <v>25.054</v>
      </c>
      <c r="L321" s="16">
        <f t="shared" si="2"/>
        <v>0.26964</v>
      </c>
    </row>
    <row r="322" ht="16.5" customHeight="1">
      <c r="A322" s="14" t="str">
        <f>Solieusap!A322</f>
        <v>243</v>
      </c>
      <c r="B322" s="15">
        <f>Solieusap!B322</f>
        <v>0</v>
      </c>
      <c r="C322" s="14" t="str">
        <f>Solieusap!C322</f>
        <v>DEAD1</v>
      </c>
      <c r="D322" s="14" t="str">
        <f>Solieusap!D322</f>
        <v>LinStatic</v>
      </c>
      <c r="E322" s="16">
        <f>ABS(Solieusap!E322)</f>
        <v>22.4878</v>
      </c>
      <c r="F322" s="16">
        <f>ABS(Solieusap!F322)</f>
        <v>0.0699</v>
      </c>
      <c r="G322" s="16">
        <f>ABS(Solieusap!G322)</f>
        <v>0.0171</v>
      </c>
      <c r="H322" s="16">
        <f>ABS(Solieusap!H322)</f>
        <v>0.00084</v>
      </c>
      <c r="I322" s="16">
        <f>ABS(Solieusap!I322)</f>
        <v>0.02886</v>
      </c>
      <c r="J322" s="16">
        <f>ABS(Solieusap!J322)</f>
        <v>0.12881</v>
      </c>
      <c r="K322" s="16">
        <f t="shared" si="1"/>
        <v>22.4878</v>
      </c>
      <c r="L322" s="16">
        <f t="shared" si="2"/>
        <v>0.02886</v>
      </c>
    </row>
    <row r="323" ht="16.5" customHeight="1">
      <c r="A323" s="14" t="str">
        <f>Solieusap!A323</f>
        <v>243</v>
      </c>
      <c r="B323" s="15">
        <f>Solieusap!B323</f>
        <v>1.8</v>
      </c>
      <c r="C323" s="14" t="str">
        <f>Solieusap!C323</f>
        <v>DEAD1</v>
      </c>
      <c r="D323" s="14" t="str">
        <f>Solieusap!D323</f>
        <v>LinStatic</v>
      </c>
      <c r="E323" s="16">
        <f>ABS(Solieusap!E323)</f>
        <v>22.2898</v>
      </c>
      <c r="F323" s="16">
        <f>ABS(Solieusap!F323)</f>
        <v>0.0699</v>
      </c>
      <c r="G323" s="16">
        <f>ABS(Solieusap!G323)</f>
        <v>0.0171</v>
      </c>
      <c r="H323" s="16">
        <f>ABS(Solieusap!H323)</f>
        <v>0.00084</v>
      </c>
      <c r="I323" s="16">
        <f>ABS(Solieusap!I323)</f>
        <v>0.00185</v>
      </c>
      <c r="J323" s="16">
        <f>ABS(Solieusap!J323)</f>
        <v>0.00298</v>
      </c>
      <c r="K323" s="16">
        <f t="shared" si="1"/>
        <v>22.2898</v>
      </c>
      <c r="L323" s="16">
        <f t="shared" si="2"/>
        <v>0.00185</v>
      </c>
    </row>
    <row r="324" ht="16.5" customHeight="1">
      <c r="A324" s="14" t="str">
        <f>Solieusap!A324</f>
        <v>243</v>
      </c>
      <c r="B324" s="15">
        <f>Solieusap!B324</f>
        <v>3.6</v>
      </c>
      <c r="C324" s="14" t="str">
        <f>Solieusap!C324</f>
        <v>DEAD1</v>
      </c>
      <c r="D324" s="14" t="str">
        <f>Solieusap!D324</f>
        <v>LinStatic</v>
      </c>
      <c r="E324" s="16">
        <f>ABS(Solieusap!E324)</f>
        <v>22.0918</v>
      </c>
      <c r="F324" s="16">
        <f>ABS(Solieusap!F324)</f>
        <v>0.0699</v>
      </c>
      <c r="G324" s="16">
        <f>ABS(Solieusap!G324)</f>
        <v>0.0171</v>
      </c>
      <c r="H324" s="16">
        <f>ABS(Solieusap!H324)</f>
        <v>0.00084</v>
      </c>
      <c r="I324" s="16">
        <f>ABS(Solieusap!I324)</f>
        <v>0.03257</v>
      </c>
      <c r="J324" s="16">
        <f>ABS(Solieusap!J324)</f>
        <v>0.12285</v>
      </c>
      <c r="K324" s="16">
        <f t="shared" si="1"/>
        <v>22.0918</v>
      </c>
      <c r="L324" s="16">
        <f t="shared" si="2"/>
        <v>0.03257</v>
      </c>
    </row>
    <row r="325" ht="16.5" customHeight="1">
      <c r="A325" s="14" t="str">
        <f>Solieusap!A325</f>
        <v>244</v>
      </c>
      <c r="B325" s="15">
        <f>Solieusap!B325</f>
        <v>0</v>
      </c>
      <c r="C325" s="14" t="str">
        <f>Solieusap!C325</f>
        <v>DEAD1</v>
      </c>
      <c r="D325" s="14" t="str">
        <f>Solieusap!D325</f>
        <v>LinStatic</v>
      </c>
      <c r="E325" s="16">
        <f>ABS(Solieusap!E325)</f>
        <v>19.6805</v>
      </c>
      <c r="F325" s="16">
        <f>ABS(Solieusap!F325)</f>
        <v>0.0478</v>
      </c>
      <c r="G325" s="16">
        <f>ABS(Solieusap!G325)</f>
        <v>0.0095</v>
      </c>
      <c r="H325" s="16">
        <f>ABS(Solieusap!H325)</f>
        <v>0.00465</v>
      </c>
      <c r="I325" s="16">
        <f>ABS(Solieusap!I325)</f>
        <v>0.00183</v>
      </c>
      <c r="J325" s="16">
        <f>ABS(Solieusap!J325)</f>
        <v>0.10407</v>
      </c>
      <c r="K325" s="16">
        <f t="shared" si="1"/>
        <v>19.6805</v>
      </c>
      <c r="L325" s="16">
        <f t="shared" si="2"/>
        <v>0.00183</v>
      </c>
    </row>
    <row r="326" ht="16.5" customHeight="1">
      <c r="A326" s="14" t="str">
        <f>Solieusap!A326</f>
        <v>244</v>
      </c>
      <c r="B326" s="15">
        <f>Solieusap!B326</f>
        <v>1.8</v>
      </c>
      <c r="C326" s="14" t="str">
        <f>Solieusap!C326</f>
        <v>DEAD1</v>
      </c>
      <c r="D326" s="14" t="str">
        <f>Solieusap!D326</f>
        <v>LinStatic</v>
      </c>
      <c r="E326" s="16">
        <f>ABS(Solieusap!E326)</f>
        <v>19.4825</v>
      </c>
      <c r="F326" s="16">
        <f>ABS(Solieusap!F326)</f>
        <v>0.0478</v>
      </c>
      <c r="G326" s="16">
        <f>ABS(Solieusap!G326)</f>
        <v>0.0095</v>
      </c>
      <c r="H326" s="16">
        <f>ABS(Solieusap!H326)</f>
        <v>0.00465</v>
      </c>
      <c r="I326" s="16">
        <f>ABS(Solieusap!I326)</f>
        <v>0.01521</v>
      </c>
      <c r="J326" s="16">
        <f>ABS(Solieusap!J326)</f>
        <v>0.01797</v>
      </c>
      <c r="K326" s="16">
        <f t="shared" si="1"/>
        <v>19.4825</v>
      </c>
      <c r="L326" s="16">
        <f t="shared" si="2"/>
        <v>0.01521</v>
      </c>
    </row>
    <row r="327" ht="16.5" customHeight="1">
      <c r="A327" s="14" t="str">
        <f>Solieusap!A327</f>
        <v>244</v>
      </c>
      <c r="B327" s="15">
        <f>Solieusap!B327</f>
        <v>3.6</v>
      </c>
      <c r="C327" s="14" t="str">
        <f>Solieusap!C327</f>
        <v>DEAD1</v>
      </c>
      <c r="D327" s="14" t="str">
        <f>Solieusap!D327</f>
        <v>LinStatic</v>
      </c>
      <c r="E327" s="16">
        <f>ABS(Solieusap!E327)</f>
        <v>19.2845</v>
      </c>
      <c r="F327" s="16">
        <f>ABS(Solieusap!F327)</f>
        <v>0.0478</v>
      </c>
      <c r="G327" s="16">
        <f>ABS(Solieusap!G327)</f>
        <v>0.0095</v>
      </c>
      <c r="H327" s="16">
        <f>ABS(Solieusap!H327)</f>
        <v>0.00465</v>
      </c>
      <c r="I327" s="16">
        <f>ABS(Solieusap!I327)</f>
        <v>0.03226</v>
      </c>
      <c r="J327" s="16">
        <f>ABS(Solieusap!J327)</f>
        <v>0.06813</v>
      </c>
      <c r="K327" s="16">
        <f t="shared" si="1"/>
        <v>19.2845</v>
      </c>
      <c r="L327" s="16">
        <f t="shared" si="2"/>
        <v>0.03226</v>
      </c>
    </row>
    <row r="328" ht="16.5" customHeight="1">
      <c r="A328" s="14" t="str">
        <f>Solieusap!A328</f>
        <v>271</v>
      </c>
      <c r="B328" s="15">
        <f>Solieusap!B328</f>
        <v>0</v>
      </c>
      <c r="C328" s="14" t="str">
        <f>Solieusap!C328</f>
        <v>DEAD1</v>
      </c>
      <c r="D328" s="14" t="str">
        <f>Solieusap!D328</f>
        <v>LinStatic</v>
      </c>
      <c r="E328" s="16">
        <f>ABS(Solieusap!E328)</f>
        <v>6.0732</v>
      </c>
      <c r="F328" s="16">
        <f>ABS(Solieusap!F328)</f>
        <v>0.3675</v>
      </c>
      <c r="G328" s="16">
        <f>ABS(Solieusap!G328)</f>
        <v>0.0088</v>
      </c>
      <c r="H328" s="16">
        <f>ABS(Solieusap!H328)</f>
        <v>0.08551</v>
      </c>
      <c r="I328" s="16">
        <f>ABS(Solieusap!I328)</f>
        <v>0.0311</v>
      </c>
      <c r="J328" s="16">
        <f>ABS(Solieusap!J328)</f>
        <v>0.26319</v>
      </c>
      <c r="K328" s="16">
        <f t="shared" si="1"/>
        <v>6.0732</v>
      </c>
      <c r="L328" s="16">
        <f t="shared" si="2"/>
        <v>0.0311</v>
      </c>
    </row>
    <row r="329" ht="16.5" customHeight="1">
      <c r="A329" s="14" t="str">
        <f>Solieusap!A329</f>
        <v>271</v>
      </c>
      <c r="B329" s="15">
        <f>Solieusap!B329</f>
        <v>0.5</v>
      </c>
      <c r="C329" s="14" t="str">
        <f>Solieusap!C329</f>
        <v>DEAD1</v>
      </c>
      <c r="D329" s="14" t="str">
        <f>Solieusap!D329</f>
        <v>LinStatic</v>
      </c>
      <c r="E329" s="16">
        <f>ABS(Solieusap!E329)</f>
        <v>6.0732</v>
      </c>
      <c r="F329" s="16">
        <f>ABS(Solieusap!F329)</f>
        <v>0.2713</v>
      </c>
      <c r="G329" s="16">
        <f>ABS(Solieusap!G329)</f>
        <v>0.0088</v>
      </c>
      <c r="H329" s="16">
        <f>ABS(Solieusap!H329)</f>
        <v>0.08551</v>
      </c>
      <c r="I329" s="16">
        <f>ABS(Solieusap!I329)</f>
        <v>0.02669</v>
      </c>
      <c r="J329" s="16">
        <f>ABS(Solieusap!J329)</f>
        <v>0.1035</v>
      </c>
      <c r="K329" s="16">
        <f t="shared" si="1"/>
        <v>6.0732</v>
      </c>
      <c r="L329" s="16">
        <f t="shared" si="2"/>
        <v>0.02669</v>
      </c>
    </row>
    <row r="330" ht="16.5" customHeight="1">
      <c r="A330" s="14" t="str">
        <f>Solieusap!A330</f>
        <v>271</v>
      </c>
      <c r="B330" s="15">
        <f>Solieusap!B330</f>
        <v>1</v>
      </c>
      <c r="C330" s="14" t="str">
        <f>Solieusap!C330</f>
        <v>DEAD1</v>
      </c>
      <c r="D330" s="14" t="str">
        <f>Solieusap!D330</f>
        <v>LinStatic</v>
      </c>
      <c r="E330" s="16">
        <f>ABS(Solieusap!E330)</f>
        <v>6.0732</v>
      </c>
      <c r="F330" s="16">
        <f>ABS(Solieusap!F330)</f>
        <v>0.175</v>
      </c>
      <c r="G330" s="16">
        <f>ABS(Solieusap!G330)</f>
        <v>0.0088</v>
      </c>
      <c r="H330" s="16">
        <f>ABS(Solieusap!H330)</f>
        <v>0.08551</v>
      </c>
      <c r="I330" s="16">
        <f>ABS(Solieusap!I330)</f>
        <v>0.02227</v>
      </c>
      <c r="J330" s="16">
        <f>ABS(Solieusap!J330)</f>
        <v>0.00806</v>
      </c>
      <c r="K330" s="16">
        <f t="shared" si="1"/>
        <v>6.0732</v>
      </c>
      <c r="L330" s="16">
        <f t="shared" si="2"/>
        <v>0.02227</v>
      </c>
    </row>
    <row r="331" ht="16.5" customHeight="1">
      <c r="A331" s="14" t="str">
        <f>Solieusap!A331</f>
        <v>271</v>
      </c>
      <c r="B331" s="15">
        <f>Solieusap!B331</f>
        <v>1.5</v>
      </c>
      <c r="C331" s="14" t="str">
        <f>Solieusap!C331</f>
        <v>DEAD1</v>
      </c>
      <c r="D331" s="14" t="str">
        <f>Solieusap!D331</f>
        <v>LinStatic</v>
      </c>
      <c r="E331" s="16">
        <f>ABS(Solieusap!E331)</f>
        <v>6.0732</v>
      </c>
      <c r="F331" s="16">
        <f>ABS(Solieusap!F331)</f>
        <v>0.0788</v>
      </c>
      <c r="G331" s="16">
        <f>ABS(Solieusap!G331)</f>
        <v>0.0088</v>
      </c>
      <c r="H331" s="16">
        <f>ABS(Solieusap!H331)</f>
        <v>0.08551</v>
      </c>
      <c r="I331" s="16">
        <f>ABS(Solieusap!I331)</f>
        <v>0.01786</v>
      </c>
      <c r="J331" s="16">
        <f>ABS(Solieusap!J331)</f>
        <v>0.0715</v>
      </c>
      <c r="K331" s="16">
        <f t="shared" si="1"/>
        <v>6.0732</v>
      </c>
      <c r="L331" s="16">
        <f t="shared" si="2"/>
        <v>0.01786</v>
      </c>
    </row>
    <row r="332" ht="16.5" customHeight="1">
      <c r="A332" s="14" t="str">
        <f>Solieusap!A332</f>
        <v>271</v>
      </c>
      <c r="B332" s="15">
        <f>Solieusap!B332</f>
        <v>2</v>
      </c>
      <c r="C332" s="14" t="str">
        <f>Solieusap!C332</f>
        <v>DEAD1</v>
      </c>
      <c r="D332" s="14" t="str">
        <f>Solieusap!D332</f>
        <v>LinStatic</v>
      </c>
      <c r="E332" s="16">
        <f>ABS(Solieusap!E332)</f>
        <v>6.0732</v>
      </c>
      <c r="F332" s="16">
        <f>ABS(Solieusap!F332)</f>
        <v>0.0175</v>
      </c>
      <c r="G332" s="16">
        <f>ABS(Solieusap!G332)</f>
        <v>0.0088</v>
      </c>
      <c r="H332" s="16">
        <f>ABS(Solieusap!H332)</f>
        <v>0.08551</v>
      </c>
      <c r="I332" s="16">
        <f>ABS(Solieusap!I332)</f>
        <v>0.01344</v>
      </c>
      <c r="J332" s="16">
        <f>ABS(Solieusap!J332)</f>
        <v>0.08682</v>
      </c>
      <c r="K332" s="16">
        <f t="shared" si="1"/>
        <v>6.0732</v>
      </c>
      <c r="L332" s="16">
        <f t="shared" si="2"/>
        <v>0.01344</v>
      </c>
    </row>
    <row r="333" ht="16.5" customHeight="1">
      <c r="A333" s="14" t="str">
        <f>Solieusap!A333</f>
        <v>271</v>
      </c>
      <c r="B333" s="15">
        <f>Solieusap!B333</f>
        <v>2.5</v>
      </c>
      <c r="C333" s="14" t="str">
        <f>Solieusap!C333</f>
        <v>DEAD1</v>
      </c>
      <c r="D333" s="14" t="str">
        <f>Solieusap!D333</f>
        <v>LinStatic</v>
      </c>
      <c r="E333" s="16">
        <f>ABS(Solieusap!E333)</f>
        <v>6.0732</v>
      </c>
      <c r="F333" s="16">
        <f>ABS(Solieusap!F333)</f>
        <v>0.1137</v>
      </c>
      <c r="G333" s="16">
        <f>ABS(Solieusap!G333)</f>
        <v>0.0088</v>
      </c>
      <c r="H333" s="16">
        <f>ABS(Solieusap!H333)</f>
        <v>0.08551</v>
      </c>
      <c r="I333" s="16">
        <f>ABS(Solieusap!I333)</f>
        <v>0.00903</v>
      </c>
      <c r="J333" s="16">
        <f>ABS(Solieusap!J333)</f>
        <v>0.05401</v>
      </c>
      <c r="K333" s="16">
        <f t="shared" si="1"/>
        <v>6.0732</v>
      </c>
      <c r="L333" s="16">
        <f t="shared" si="2"/>
        <v>0.00903</v>
      </c>
    </row>
    <row r="334" ht="16.5" customHeight="1">
      <c r="A334" s="14" t="str">
        <f>Solieusap!A334</f>
        <v>271</v>
      </c>
      <c r="B334" s="15">
        <f>Solieusap!B334</f>
        <v>3</v>
      </c>
      <c r="C334" s="14" t="str">
        <f>Solieusap!C334</f>
        <v>DEAD1</v>
      </c>
      <c r="D334" s="14" t="str">
        <f>Solieusap!D334</f>
        <v>LinStatic</v>
      </c>
      <c r="E334" s="16">
        <f>ABS(Solieusap!E334)</f>
        <v>6.0732</v>
      </c>
      <c r="F334" s="16">
        <f>ABS(Solieusap!F334)</f>
        <v>0.21</v>
      </c>
      <c r="G334" s="16">
        <f>ABS(Solieusap!G334)</f>
        <v>0.0088</v>
      </c>
      <c r="H334" s="16">
        <f>ABS(Solieusap!H334)</f>
        <v>0.08551</v>
      </c>
      <c r="I334" s="16">
        <f>ABS(Solieusap!I334)</f>
        <v>0.00461</v>
      </c>
      <c r="J334" s="16">
        <f>ABS(Solieusap!J334)</f>
        <v>0.02692</v>
      </c>
      <c r="K334" s="16">
        <f t="shared" si="1"/>
        <v>6.0732</v>
      </c>
      <c r="L334" s="16">
        <f t="shared" si="2"/>
        <v>0.00461</v>
      </c>
    </row>
    <row r="335" ht="16.5" customHeight="1">
      <c r="A335" s="14" t="str">
        <f>Solieusap!A335</f>
        <v>271</v>
      </c>
      <c r="B335" s="15">
        <f>Solieusap!B335</f>
        <v>3.5</v>
      </c>
      <c r="C335" s="14" t="str">
        <f>Solieusap!C335</f>
        <v>DEAD1</v>
      </c>
      <c r="D335" s="14" t="str">
        <f>Solieusap!D335</f>
        <v>LinStatic</v>
      </c>
      <c r="E335" s="16">
        <f>ABS(Solieusap!E335)</f>
        <v>6.0732</v>
      </c>
      <c r="F335" s="16">
        <f>ABS(Solieusap!F335)</f>
        <v>0.3062</v>
      </c>
      <c r="G335" s="16">
        <f>ABS(Solieusap!G335)</f>
        <v>0.0088</v>
      </c>
      <c r="H335" s="16">
        <f>ABS(Solieusap!H335)</f>
        <v>0.08551</v>
      </c>
      <c r="I335" s="16">
        <f>ABS(Solieusap!I335)</f>
        <v>0.0002</v>
      </c>
      <c r="J335" s="16">
        <f>ABS(Solieusap!J335)</f>
        <v>0.15598</v>
      </c>
      <c r="K335" s="16">
        <f t="shared" si="1"/>
        <v>6.0732</v>
      </c>
      <c r="L335" s="16">
        <f t="shared" si="2"/>
        <v>0.0002</v>
      </c>
    </row>
    <row r="336" ht="16.5" customHeight="1">
      <c r="A336" s="14" t="str">
        <f>Solieusap!A336</f>
        <v>271</v>
      </c>
      <c r="B336" s="15">
        <f>Solieusap!B336</f>
        <v>4</v>
      </c>
      <c r="C336" s="14" t="str">
        <f>Solieusap!C336</f>
        <v>DEAD1</v>
      </c>
      <c r="D336" s="14" t="str">
        <f>Solieusap!D336</f>
        <v>LinStatic</v>
      </c>
      <c r="E336" s="16">
        <f>ABS(Solieusap!E336)</f>
        <v>6.0732</v>
      </c>
      <c r="F336" s="16">
        <f>ABS(Solieusap!F336)</f>
        <v>0.4025</v>
      </c>
      <c r="G336" s="16">
        <f>ABS(Solieusap!G336)</f>
        <v>0.0088</v>
      </c>
      <c r="H336" s="16">
        <f>ABS(Solieusap!H336)</f>
        <v>0.08551</v>
      </c>
      <c r="I336" s="16">
        <f>ABS(Solieusap!I336)</f>
        <v>0.00422</v>
      </c>
      <c r="J336" s="16">
        <f>ABS(Solieusap!J336)</f>
        <v>0.33317</v>
      </c>
      <c r="K336" s="16">
        <f t="shared" si="1"/>
        <v>6.0732</v>
      </c>
      <c r="L336" s="16">
        <f t="shared" si="2"/>
        <v>0.00422</v>
      </c>
    </row>
    <row r="337" ht="16.5" customHeight="1">
      <c r="A337" s="14" t="str">
        <f>Solieusap!A337</f>
        <v>276</v>
      </c>
      <c r="B337" s="15">
        <f>Solieusap!B337</f>
        <v>0</v>
      </c>
      <c r="C337" s="14" t="str">
        <f>Solieusap!C337</f>
        <v>DEAD1</v>
      </c>
      <c r="D337" s="14" t="str">
        <f>Solieusap!D337</f>
        <v>LinStatic</v>
      </c>
      <c r="E337" s="16">
        <f>ABS(Solieusap!E337)</f>
        <v>3.2602</v>
      </c>
      <c r="F337" s="16">
        <f>ABS(Solieusap!F337)</f>
        <v>0.227</v>
      </c>
      <c r="G337" s="16">
        <f>ABS(Solieusap!G337)</f>
        <v>0.0517</v>
      </c>
      <c r="H337" s="16">
        <f>ABS(Solieusap!H337)</f>
        <v>0.00929</v>
      </c>
      <c r="I337" s="16">
        <f>ABS(Solieusap!I337)</f>
        <v>0.08841</v>
      </c>
      <c r="J337" s="16">
        <f>ABS(Solieusap!J337)</f>
        <v>0.28791</v>
      </c>
      <c r="K337" s="16">
        <f t="shared" si="1"/>
        <v>3.2602</v>
      </c>
      <c r="L337" s="16">
        <f t="shared" si="2"/>
        <v>0.08841</v>
      </c>
    </row>
    <row r="338" ht="16.5" customHeight="1">
      <c r="A338" s="14" t="str">
        <f>Solieusap!A338</f>
        <v>276</v>
      </c>
      <c r="B338" s="15">
        <f>Solieusap!B338</f>
        <v>0.5</v>
      </c>
      <c r="C338" s="14" t="str">
        <f>Solieusap!C338</f>
        <v>DEAD1</v>
      </c>
      <c r="D338" s="14" t="str">
        <f>Solieusap!D338</f>
        <v>LinStatic</v>
      </c>
      <c r="E338" s="16">
        <f>ABS(Solieusap!E338)</f>
        <v>3.2602</v>
      </c>
      <c r="F338" s="16">
        <f>ABS(Solieusap!F338)</f>
        <v>0.1308</v>
      </c>
      <c r="G338" s="16">
        <f>ABS(Solieusap!G338)</f>
        <v>0.0517</v>
      </c>
      <c r="H338" s="16">
        <f>ABS(Solieusap!H338)</f>
        <v>0.00929</v>
      </c>
      <c r="I338" s="16">
        <f>ABS(Solieusap!I338)</f>
        <v>0.06254</v>
      </c>
      <c r="J338" s="16">
        <f>ABS(Solieusap!J338)</f>
        <v>0.19847</v>
      </c>
      <c r="K338" s="16">
        <f t="shared" si="1"/>
        <v>3.2602</v>
      </c>
      <c r="L338" s="16">
        <f t="shared" si="2"/>
        <v>0.06254</v>
      </c>
    </row>
    <row r="339" ht="16.5" customHeight="1">
      <c r="A339" s="14" t="str">
        <f>Solieusap!A339</f>
        <v>276</v>
      </c>
      <c r="B339" s="15">
        <f>Solieusap!B339</f>
        <v>1</v>
      </c>
      <c r="C339" s="14" t="str">
        <f>Solieusap!C339</f>
        <v>DEAD1</v>
      </c>
      <c r="D339" s="14" t="str">
        <f>Solieusap!D339</f>
        <v>LinStatic</v>
      </c>
      <c r="E339" s="16">
        <f>ABS(Solieusap!E339)</f>
        <v>3.2602</v>
      </c>
      <c r="F339" s="16">
        <f>ABS(Solieusap!F339)</f>
        <v>0.0345</v>
      </c>
      <c r="G339" s="16">
        <f>ABS(Solieusap!G339)</f>
        <v>0.0517</v>
      </c>
      <c r="H339" s="16">
        <f>ABS(Solieusap!H339)</f>
        <v>0.00929</v>
      </c>
      <c r="I339" s="16">
        <f>ABS(Solieusap!I339)</f>
        <v>0.03667</v>
      </c>
      <c r="J339" s="16">
        <f>ABS(Solieusap!J339)</f>
        <v>0.15716</v>
      </c>
      <c r="K339" s="16">
        <f t="shared" si="1"/>
        <v>3.2602</v>
      </c>
      <c r="L339" s="16">
        <f t="shared" si="2"/>
        <v>0.03667</v>
      </c>
    </row>
    <row r="340" ht="16.5" customHeight="1">
      <c r="A340" s="14" t="str">
        <f>Solieusap!A340</f>
        <v>276</v>
      </c>
      <c r="B340" s="15">
        <f>Solieusap!B340</f>
        <v>1.5</v>
      </c>
      <c r="C340" s="14" t="str">
        <f>Solieusap!C340</f>
        <v>DEAD1</v>
      </c>
      <c r="D340" s="14" t="str">
        <f>Solieusap!D340</f>
        <v>LinStatic</v>
      </c>
      <c r="E340" s="16">
        <f>ABS(Solieusap!E340)</f>
        <v>3.2602</v>
      </c>
      <c r="F340" s="16">
        <f>ABS(Solieusap!F340)</f>
        <v>0.0617</v>
      </c>
      <c r="G340" s="16">
        <f>ABS(Solieusap!G340)</f>
        <v>0.0517</v>
      </c>
      <c r="H340" s="16">
        <f>ABS(Solieusap!H340)</f>
        <v>0.00929</v>
      </c>
      <c r="I340" s="16">
        <f>ABS(Solieusap!I340)</f>
        <v>0.01081</v>
      </c>
      <c r="J340" s="16">
        <f>ABS(Solieusap!J340)</f>
        <v>0.16397</v>
      </c>
      <c r="K340" s="16">
        <f t="shared" si="1"/>
        <v>3.2602</v>
      </c>
      <c r="L340" s="16">
        <f t="shared" si="2"/>
        <v>0.01081</v>
      </c>
    </row>
    <row r="341" ht="16.5" customHeight="1">
      <c r="A341" s="14" t="str">
        <f>Solieusap!A341</f>
        <v>276</v>
      </c>
      <c r="B341" s="15">
        <f>Solieusap!B341</f>
        <v>2</v>
      </c>
      <c r="C341" s="14" t="str">
        <f>Solieusap!C341</f>
        <v>DEAD1</v>
      </c>
      <c r="D341" s="14" t="str">
        <f>Solieusap!D341</f>
        <v>LinStatic</v>
      </c>
      <c r="E341" s="16">
        <f>ABS(Solieusap!E341)</f>
        <v>3.2602</v>
      </c>
      <c r="F341" s="16">
        <f>ABS(Solieusap!F341)</f>
        <v>0.158</v>
      </c>
      <c r="G341" s="16">
        <f>ABS(Solieusap!G341)</f>
        <v>0.0517</v>
      </c>
      <c r="H341" s="16">
        <f>ABS(Solieusap!H341)</f>
        <v>0.00929</v>
      </c>
      <c r="I341" s="16">
        <f>ABS(Solieusap!I341)</f>
        <v>0.01506</v>
      </c>
      <c r="J341" s="16">
        <f>ABS(Solieusap!J341)</f>
        <v>0.2189</v>
      </c>
      <c r="K341" s="16">
        <f t="shared" si="1"/>
        <v>3.2602</v>
      </c>
      <c r="L341" s="16">
        <f t="shared" si="2"/>
        <v>0.01506</v>
      </c>
    </row>
    <row r="342" ht="16.5" customHeight="1">
      <c r="A342" s="14" t="str">
        <f>Solieusap!A342</f>
        <v>276</v>
      </c>
      <c r="B342" s="15">
        <f>Solieusap!B342</f>
        <v>2.5</v>
      </c>
      <c r="C342" s="14" t="str">
        <f>Solieusap!C342</f>
        <v>DEAD1</v>
      </c>
      <c r="D342" s="14" t="str">
        <f>Solieusap!D342</f>
        <v>LinStatic</v>
      </c>
      <c r="E342" s="16">
        <f>ABS(Solieusap!E342)</f>
        <v>3.2602</v>
      </c>
      <c r="F342" s="16">
        <f>ABS(Solieusap!F342)</f>
        <v>0.2542</v>
      </c>
      <c r="G342" s="16">
        <f>ABS(Solieusap!G342)</f>
        <v>0.0517</v>
      </c>
      <c r="H342" s="16">
        <f>ABS(Solieusap!H342)</f>
        <v>0.00929</v>
      </c>
      <c r="I342" s="16">
        <f>ABS(Solieusap!I342)</f>
        <v>0.04093</v>
      </c>
      <c r="J342" s="16">
        <f>ABS(Solieusap!J342)</f>
        <v>0.32196</v>
      </c>
      <c r="K342" s="16">
        <f t="shared" si="1"/>
        <v>3.2602</v>
      </c>
      <c r="L342" s="16">
        <f t="shared" si="2"/>
        <v>0.04093</v>
      </c>
    </row>
    <row r="343" ht="16.5" customHeight="1">
      <c r="A343" s="14" t="str">
        <f>Solieusap!A343</f>
        <v>276</v>
      </c>
      <c r="B343" s="15">
        <f>Solieusap!B343</f>
        <v>3</v>
      </c>
      <c r="C343" s="14" t="str">
        <f>Solieusap!C343</f>
        <v>DEAD1</v>
      </c>
      <c r="D343" s="14" t="str">
        <f>Solieusap!D343</f>
        <v>LinStatic</v>
      </c>
      <c r="E343" s="16">
        <f>ABS(Solieusap!E343)</f>
        <v>3.2602</v>
      </c>
      <c r="F343" s="16">
        <f>ABS(Solieusap!F343)</f>
        <v>0.3505</v>
      </c>
      <c r="G343" s="16">
        <f>ABS(Solieusap!G343)</f>
        <v>0.0517</v>
      </c>
      <c r="H343" s="16">
        <f>ABS(Solieusap!H343)</f>
        <v>0.00929</v>
      </c>
      <c r="I343" s="16">
        <f>ABS(Solieusap!I343)</f>
        <v>0.0668</v>
      </c>
      <c r="J343" s="16">
        <f>ABS(Solieusap!J343)</f>
        <v>0.47315</v>
      </c>
      <c r="K343" s="16">
        <f t="shared" si="1"/>
        <v>3.2602</v>
      </c>
      <c r="L343" s="16">
        <f t="shared" si="2"/>
        <v>0.0668</v>
      </c>
    </row>
    <row r="344" ht="16.5" customHeight="1">
      <c r="A344" s="14" t="str">
        <f>Solieusap!A344</f>
        <v>277</v>
      </c>
      <c r="B344" s="15">
        <f>Solieusap!B344</f>
        <v>0</v>
      </c>
      <c r="C344" s="14" t="str">
        <f>Solieusap!C344</f>
        <v>DEAD1</v>
      </c>
      <c r="D344" s="14" t="str">
        <f>Solieusap!D344</f>
        <v>LinStatic</v>
      </c>
      <c r="E344" s="16">
        <f>ABS(Solieusap!E344)</f>
        <v>3.2881</v>
      </c>
      <c r="F344" s="16">
        <f>ABS(Solieusap!F344)</f>
        <v>0.5447</v>
      </c>
      <c r="G344" s="16">
        <f>ABS(Solieusap!G344)</f>
        <v>0.0009373</v>
      </c>
      <c r="H344" s="16">
        <f>ABS(Solieusap!H344)</f>
        <v>0.00474</v>
      </c>
      <c r="I344" s="16">
        <f>ABS(Solieusap!I344)</f>
        <v>0.01454</v>
      </c>
      <c r="J344" s="16">
        <f>ABS(Solieusap!J344)</f>
        <v>0.48324</v>
      </c>
      <c r="K344" s="16">
        <f t="shared" si="1"/>
        <v>3.2881</v>
      </c>
      <c r="L344" s="16">
        <f t="shared" si="2"/>
        <v>0.01454</v>
      </c>
    </row>
    <row r="345" ht="16.5" customHeight="1">
      <c r="A345" s="14" t="str">
        <f>Solieusap!A345</f>
        <v>277</v>
      </c>
      <c r="B345" s="15">
        <f>Solieusap!B345</f>
        <v>0.5</v>
      </c>
      <c r="C345" s="14" t="str">
        <f>Solieusap!C345</f>
        <v>DEAD1</v>
      </c>
      <c r="D345" s="14" t="str">
        <f>Solieusap!D345</f>
        <v>LinStatic</v>
      </c>
      <c r="E345" s="16">
        <f>ABS(Solieusap!E345)</f>
        <v>3.2881</v>
      </c>
      <c r="F345" s="16">
        <f>ABS(Solieusap!F345)</f>
        <v>0.4484</v>
      </c>
      <c r="G345" s="16">
        <f>ABS(Solieusap!G345)</f>
        <v>0.0009373</v>
      </c>
      <c r="H345" s="16">
        <f>ABS(Solieusap!H345)</f>
        <v>0.00474</v>
      </c>
      <c r="I345" s="16">
        <f>ABS(Solieusap!I345)</f>
        <v>0.01407</v>
      </c>
      <c r="J345" s="16">
        <f>ABS(Solieusap!J345)</f>
        <v>0.23497</v>
      </c>
      <c r="K345" s="16">
        <f t="shared" si="1"/>
        <v>3.2881</v>
      </c>
      <c r="L345" s="16">
        <f t="shared" si="2"/>
        <v>0.01407</v>
      </c>
    </row>
    <row r="346" ht="16.5" customHeight="1">
      <c r="A346" s="14" t="str">
        <f>Solieusap!A346</f>
        <v>277</v>
      </c>
      <c r="B346" s="15">
        <f>Solieusap!B346</f>
        <v>1</v>
      </c>
      <c r="C346" s="14" t="str">
        <f>Solieusap!C346</f>
        <v>DEAD1</v>
      </c>
      <c r="D346" s="14" t="str">
        <f>Solieusap!D346</f>
        <v>LinStatic</v>
      </c>
      <c r="E346" s="16">
        <f>ABS(Solieusap!E346)</f>
        <v>3.2881</v>
      </c>
      <c r="F346" s="16">
        <f>ABS(Solieusap!F346)</f>
        <v>0.3522</v>
      </c>
      <c r="G346" s="16">
        <f>ABS(Solieusap!G346)</f>
        <v>0.0009373</v>
      </c>
      <c r="H346" s="16">
        <f>ABS(Solieusap!H346)</f>
        <v>0.00474</v>
      </c>
      <c r="I346" s="16">
        <f>ABS(Solieusap!I346)</f>
        <v>0.0136</v>
      </c>
      <c r="J346" s="16">
        <f>ABS(Solieusap!J346)</f>
        <v>0.03483</v>
      </c>
      <c r="K346" s="16">
        <f t="shared" si="1"/>
        <v>3.2881</v>
      </c>
      <c r="L346" s="16">
        <f t="shared" si="2"/>
        <v>0.0136</v>
      </c>
    </row>
    <row r="347" ht="16.5" customHeight="1">
      <c r="A347" s="14" t="str">
        <f>Solieusap!A347</f>
        <v>277</v>
      </c>
      <c r="B347" s="15">
        <f>Solieusap!B347</f>
        <v>1.5</v>
      </c>
      <c r="C347" s="14" t="str">
        <f>Solieusap!C347</f>
        <v>DEAD1</v>
      </c>
      <c r="D347" s="14" t="str">
        <f>Solieusap!D347</f>
        <v>LinStatic</v>
      </c>
      <c r="E347" s="16">
        <f>ABS(Solieusap!E347)</f>
        <v>3.2881</v>
      </c>
      <c r="F347" s="16">
        <f>ABS(Solieusap!F347)</f>
        <v>0.2559</v>
      </c>
      <c r="G347" s="16">
        <f>ABS(Solieusap!G347)</f>
        <v>0.0009373</v>
      </c>
      <c r="H347" s="16">
        <f>ABS(Solieusap!H347)</f>
        <v>0.00474</v>
      </c>
      <c r="I347" s="16">
        <f>ABS(Solieusap!I347)</f>
        <v>0.01313</v>
      </c>
      <c r="J347" s="16">
        <f>ABS(Solieusap!J347)</f>
        <v>0.11719</v>
      </c>
      <c r="K347" s="16">
        <f t="shared" si="1"/>
        <v>3.2881</v>
      </c>
      <c r="L347" s="16">
        <f t="shared" si="2"/>
        <v>0.01313</v>
      </c>
    </row>
    <row r="348" ht="16.5" customHeight="1">
      <c r="A348" s="14" t="str">
        <f>Solieusap!A348</f>
        <v>277</v>
      </c>
      <c r="B348" s="15">
        <f>Solieusap!B348</f>
        <v>2</v>
      </c>
      <c r="C348" s="14" t="str">
        <f>Solieusap!C348</f>
        <v>DEAD1</v>
      </c>
      <c r="D348" s="14" t="str">
        <f>Solieusap!D348</f>
        <v>LinStatic</v>
      </c>
      <c r="E348" s="16">
        <f>ABS(Solieusap!E348)</f>
        <v>3.2881</v>
      </c>
      <c r="F348" s="16">
        <f>ABS(Solieusap!F348)</f>
        <v>0.1597</v>
      </c>
      <c r="G348" s="16">
        <f>ABS(Solieusap!G348)</f>
        <v>0.0009373</v>
      </c>
      <c r="H348" s="16">
        <f>ABS(Solieusap!H348)</f>
        <v>0.00474</v>
      </c>
      <c r="I348" s="16">
        <f>ABS(Solieusap!I348)</f>
        <v>0.01266</v>
      </c>
      <c r="J348" s="16">
        <f>ABS(Solieusap!J348)</f>
        <v>0.22108</v>
      </c>
      <c r="K348" s="16">
        <f t="shared" si="1"/>
        <v>3.2881</v>
      </c>
      <c r="L348" s="16">
        <f t="shared" si="2"/>
        <v>0.01266</v>
      </c>
    </row>
    <row r="349" ht="16.5" customHeight="1">
      <c r="A349" s="14" t="str">
        <f>Solieusap!A349</f>
        <v>277</v>
      </c>
      <c r="B349" s="15">
        <f>Solieusap!B349</f>
        <v>2.5</v>
      </c>
      <c r="C349" s="14" t="str">
        <f>Solieusap!C349</f>
        <v>DEAD1</v>
      </c>
      <c r="D349" s="14" t="str">
        <f>Solieusap!D349</f>
        <v>LinStatic</v>
      </c>
      <c r="E349" s="16">
        <f>ABS(Solieusap!E349)</f>
        <v>3.2881</v>
      </c>
      <c r="F349" s="16">
        <f>ABS(Solieusap!F349)</f>
        <v>0.0634</v>
      </c>
      <c r="G349" s="16">
        <f>ABS(Solieusap!G349)</f>
        <v>0.0009373</v>
      </c>
      <c r="H349" s="16">
        <f>ABS(Solieusap!H349)</f>
        <v>0.00474</v>
      </c>
      <c r="I349" s="16">
        <f>ABS(Solieusap!I349)</f>
        <v>0.01219</v>
      </c>
      <c r="J349" s="16">
        <f>ABS(Solieusap!J349)</f>
        <v>0.27685</v>
      </c>
      <c r="K349" s="16">
        <f t="shared" si="1"/>
        <v>3.2881</v>
      </c>
      <c r="L349" s="16">
        <f t="shared" si="2"/>
        <v>0.01219</v>
      </c>
    </row>
    <row r="350" ht="16.5" customHeight="1">
      <c r="A350" s="14" t="str">
        <f>Solieusap!A350</f>
        <v>277</v>
      </c>
      <c r="B350" s="15">
        <f>Solieusap!B350</f>
        <v>3</v>
      </c>
      <c r="C350" s="14" t="str">
        <f>Solieusap!C350</f>
        <v>DEAD1</v>
      </c>
      <c r="D350" s="14" t="str">
        <f>Solieusap!D350</f>
        <v>LinStatic</v>
      </c>
      <c r="E350" s="16">
        <f>ABS(Solieusap!E350)</f>
        <v>3.2881</v>
      </c>
      <c r="F350" s="16">
        <f>ABS(Solieusap!F350)</f>
        <v>0.0328</v>
      </c>
      <c r="G350" s="16">
        <f>ABS(Solieusap!G350)</f>
        <v>0.0009373</v>
      </c>
      <c r="H350" s="16">
        <f>ABS(Solieusap!H350)</f>
        <v>0.00474</v>
      </c>
      <c r="I350" s="16">
        <f>ABS(Solieusap!I350)</f>
        <v>0.01172</v>
      </c>
      <c r="J350" s="16">
        <f>ABS(Solieusap!J350)</f>
        <v>0.28449</v>
      </c>
      <c r="K350" s="16">
        <f t="shared" si="1"/>
        <v>3.2881</v>
      </c>
      <c r="L350" s="16">
        <f t="shared" si="2"/>
        <v>0.01172</v>
      </c>
    </row>
    <row r="351" ht="16.5" customHeight="1">
      <c r="A351" s="14" t="str">
        <f>Solieusap!A351</f>
        <v>277</v>
      </c>
      <c r="B351" s="15">
        <f>Solieusap!B351</f>
        <v>3.5</v>
      </c>
      <c r="C351" s="14" t="str">
        <f>Solieusap!C351</f>
        <v>DEAD1</v>
      </c>
      <c r="D351" s="14" t="str">
        <f>Solieusap!D351</f>
        <v>LinStatic</v>
      </c>
      <c r="E351" s="16">
        <f>ABS(Solieusap!E351)</f>
        <v>3.2881</v>
      </c>
      <c r="F351" s="16">
        <f>ABS(Solieusap!F351)</f>
        <v>0.1291</v>
      </c>
      <c r="G351" s="16">
        <f>ABS(Solieusap!G351)</f>
        <v>0.0009373</v>
      </c>
      <c r="H351" s="16">
        <f>ABS(Solieusap!H351)</f>
        <v>0.00474</v>
      </c>
      <c r="I351" s="16">
        <f>ABS(Solieusap!I351)</f>
        <v>0.01126</v>
      </c>
      <c r="J351" s="16">
        <f>ABS(Solieusap!J351)</f>
        <v>0.24401</v>
      </c>
      <c r="K351" s="16">
        <f t="shared" si="1"/>
        <v>3.2881</v>
      </c>
      <c r="L351" s="16">
        <f t="shared" si="2"/>
        <v>0.01126</v>
      </c>
    </row>
    <row r="352" ht="16.5" customHeight="1">
      <c r="A352" s="14" t="str">
        <f>Solieusap!A352</f>
        <v>277</v>
      </c>
      <c r="B352" s="15">
        <f>Solieusap!B352</f>
        <v>4</v>
      </c>
      <c r="C352" s="14" t="str">
        <f>Solieusap!C352</f>
        <v>DEAD1</v>
      </c>
      <c r="D352" s="14" t="str">
        <f>Solieusap!D352</f>
        <v>LinStatic</v>
      </c>
      <c r="E352" s="16">
        <f>ABS(Solieusap!E352)</f>
        <v>3.2881</v>
      </c>
      <c r="F352" s="16">
        <f>ABS(Solieusap!F352)</f>
        <v>0.2253</v>
      </c>
      <c r="G352" s="16">
        <f>ABS(Solieusap!G352)</f>
        <v>0.0009373</v>
      </c>
      <c r="H352" s="16">
        <f>ABS(Solieusap!H352)</f>
        <v>0.00474</v>
      </c>
      <c r="I352" s="16">
        <f>ABS(Solieusap!I352)</f>
        <v>0.01079</v>
      </c>
      <c r="J352" s="16">
        <f>ABS(Solieusap!J352)</f>
        <v>0.1554</v>
      </c>
      <c r="K352" s="16">
        <f t="shared" si="1"/>
        <v>3.2881</v>
      </c>
      <c r="L352" s="16">
        <f t="shared" si="2"/>
        <v>0.01079</v>
      </c>
    </row>
    <row r="353" ht="16.5" customHeight="1">
      <c r="A353" s="14" t="str">
        <f>Solieusap!A353</f>
        <v>277</v>
      </c>
      <c r="B353" s="15">
        <f>Solieusap!B353</f>
        <v>4.5</v>
      </c>
      <c r="C353" s="14" t="str">
        <f>Solieusap!C353</f>
        <v>DEAD1</v>
      </c>
      <c r="D353" s="14" t="str">
        <f>Solieusap!D353</f>
        <v>LinStatic</v>
      </c>
      <c r="E353" s="16">
        <f>ABS(Solieusap!E353)</f>
        <v>3.2881</v>
      </c>
      <c r="F353" s="16">
        <f>ABS(Solieusap!F353)</f>
        <v>0.3216</v>
      </c>
      <c r="G353" s="16">
        <f>ABS(Solieusap!G353)</f>
        <v>0.0009373</v>
      </c>
      <c r="H353" s="16">
        <f>ABS(Solieusap!H353)</f>
        <v>0.00474</v>
      </c>
      <c r="I353" s="16">
        <f>ABS(Solieusap!I353)</f>
        <v>0.01032</v>
      </c>
      <c r="J353" s="16">
        <f>ABS(Solieusap!J353)</f>
        <v>0.01867</v>
      </c>
      <c r="K353" s="16">
        <f t="shared" si="1"/>
        <v>3.2881</v>
      </c>
      <c r="L353" s="16">
        <f t="shared" si="2"/>
        <v>0.01032</v>
      </c>
    </row>
    <row r="354" ht="16.5" customHeight="1">
      <c r="A354" s="14" t="str">
        <f>Solieusap!A354</f>
        <v>277</v>
      </c>
      <c r="B354" s="15">
        <f>Solieusap!B354</f>
        <v>5</v>
      </c>
      <c r="C354" s="14" t="str">
        <f>Solieusap!C354</f>
        <v>DEAD1</v>
      </c>
      <c r="D354" s="14" t="str">
        <f>Solieusap!D354</f>
        <v>LinStatic</v>
      </c>
      <c r="E354" s="16">
        <f>ABS(Solieusap!E354)</f>
        <v>3.2881</v>
      </c>
      <c r="F354" s="16">
        <f>ABS(Solieusap!F354)</f>
        <v>0.4178</v>
      </c>
      <c r="G354" s="16">
        <f>ABS(Solieusap!G354)</f>
        <v>0.0009373</v>
      </c>
      <c r="H354" s="16">
        <f>ABS(Solieusap!H354)</f>
        <v>0.00474</v>
      </c>
      <c r="I354" s="16">
        <f>ABS(Solieusap!I354)</f>
        <v>0.00985</v>
      </c>
      <c r="J354" s="16">
        <f>ABS(Solieusap!J354)</f>
        <v>0.16618</v>
      </c>
      <c r="K354" s="16">
        <f t="shared" si="1"/>
        <v>3.2881</v>
      </c>
      <c r="L354" s="16">
        <f t="shared" si="2"/>
        <v>0.00985</v>
      </c>
    </row>
    <row r="355" ht="16.5" customHeight="1">
      <c r="A355" s="14" t="str">
        <f>Solieusap!A355</f>
        <v>277</v>
      </c>
      <c r="B355" s="15">
        <f>Solieusap!B355</f>
        <v>5.5</v>
      </c>
      <c r="C355" s="14" t="str">
        <f>Solieusap!C355</f>
        <v>DEAD1</v>
      </c>
      <c r="D355" s="14" t="str">
        <f>Solieusap!D355</f>
        <v>LinStatic</v>
      </c>
      <c r="E355" s="16">
        <f>ABS(Solieusap!E355)</f>
        <v>3.2881</v>
      </c>
      <c r="F355" s="16">
        <f>ABS(Solieusap!F355)</f>
        <v>0.5141</v>
      </c>
      <c r="G355" s="16">
        <f>ABS(Solieusap!G355)</f>
        <v>0.0009373</v>
      </c>
      <c r="H355" s="16">
        <f>ABS(Solieusap!H355)</f>
        <v>0.00474</v>
      </c>
      <c r="I355" s="16">
        <f>ABS(Solieusap!I355)</f>
        <v>0.00938</v>
      </c>
      <c r="J355" s="16">
        <f>ABS(Solieusap!J355)</f>
        <v>0.39917</v>
      </c>
      <c r="K355" s="16">
        <f t="shared" si="1"/>
        <v>3.2881</v>
      </c>
      <c r="L355" s="16">
        <f t="shared" si="2"/>
        <v>0.00938</v>
      </c>
    </row>
    <row r="356" ht="16.5" customHeight="1">
      <c r="A356" s="14" t="str">
        <f>Solieusap!A356</f>
        <v>278</v>
      </c>
      <c r="B356" s="15">
        <f>Solieusap!B356</f>
        <v>0</v>
      </c>
      <c r="C356" s="14" t="str">
        <f>Solieusap!C356</f>
        <v>DEAD1</v>
      </c>
      <c r="D356" s="14" t="str">
        <f>Solieusap!D356</f>
        <v>LinStatic</v>
      </c>
      <c r="E356" s="16">
        <f>ABS(Solieusap!E356)</f>
        <v>3.2833</v>
      </c>
      <c r="F356" s="16">
        <f>ABS(Solieusap!F356)</f>
        <v>0.3896</v>
      </c>
      <c r="G356" s="16">
        <f>ABS(Solieusap!G356)</f>
        <v>0.0055</v>
      </c>
      <c r="H356" s="16">
        <f>ABS(Solieusap!H356)</f>
        <v>0.00017</v>
      </c>
      <c r="I356" s="16">
        <f>ABS(Solieusap!I356)</f>
        <v>0.01252</v>
      </c>
      <c r="J356" s="16">
        <f>ABS(Solieusap!J356)</f>
        <v>0.34392</v>
      </c>
      <c r="K356" s="16">
        <f t="shared" si="1"/>
        <v>3.2833</v>
      </c>
      <c r="L356" s="16">
        <f t="shared" si="2"/>
        <v>0.01252</v>
      </c>
    </row>
    <row r="357" ht="16.5" customHeight="1">
      <c r="A357" s="14" t="str">
        <f>Solieusap!A357</f>
        <v>278</v>
      </c>
      <c r="B357" s="15">
        <f>Solieusap!B357</f>
        <v>0.5</v>
      </c>
      <c r="C357" s="14" t="str">
        <f>Solieusap!C357</f>
        <v>DEAD1</v>
      </c>
      <c r="D357" s="14" t="str">
        <f>Solieusap!D357</f>
        <v>LinStatic</v>
      </c>
      <c r="E357" s="16">
        <f>ABS(Solieusap!E357)</f>
        <v>3.2833</v>
      </c>
      <c r="F357" s="16">
        <f>ABS(Solieusap!F357)</f>
        <v>0.2933</v>
      </c>
      <c r="G357" s="16">
        <f>ABS(Solieusap!G357)</f>
        <v>0.0055</v>
      </c>
      <c r="H357" s="16">
        <f>ABS(Solieusap!H357)</f>
        <v>0.00017</v>
      </c>
      <c r="I357" s="16">
        <f>ABS(Solieusap!I357)</f>
        <v>0.00978</v>
      </c>
      <c r="J357" s="16">
        <f>ABS(Solieusap!J357)</f>
        <v>0.17319</v>
      </c>
      <c r="K357" s="16">
        <f t="shared" si="1"/>
        <v>3.2833</v>
      </c>
      <c r="L357" s="16">
        <f t="shared" si="2"/>
        <v>0.00978</v>
      </c>
    </row>
    <row r="358" ht="16.5" customHeight="1">
      <c r="A358" s="14" t="str">
        <f>Solieusap!A358</f>
        <v>278</v>
      </c>
      <c r="B358" s="15">
        <f>Solieusap!B358</f>
        <v>1</v>
      </c>
      <c r="C358" s="14" t="str">
        <f>Solieusap!C358</f>
        <v>DEAD1</v>
      </c>
      <c r="D358" s="14" t="str">
        <f>Solieusap!D358</f>
        <v>LinStatic</v>
      </c>
      <c r="E358" s="16">
        <f>ABS(Solieusap!E358)</f>
        <v>3.2833</v>
      </c>
      <c r="F358" s="16">
        <f>ABS(Solieusap!F358)</f>
        <v>0.1971</v>
      </c>
      <c r="G358" s="16">
        <f>ABS(Solieusap!G358)</f>
        <v>0.0055</v>
      </c>
      <c r="H358" s="16">
        <f>ABS(Solieusap!H358)</f>
        <v>0.00017</v>
      </c>
      <c r="I358" s="16">
        <f>ABS(Solieusap!I358)</f>
        <v>0.00704</v>
      </c>
      <c r="J358" s="16">
        <f>ABS(Solieusap!J358)</f>
        <v>0.05058</v>
      </c>
      <c r="K358" s="16">
        <f t="shared" si="1"/>
        <v>3.2833</v>
      </c>
      <c r="L358" s="16">
        <f t="shared" si="2"/>
        <v>0.00704</v>
      </c>
    </row>
    <row r="359" ht="16.5" customHeight="1">
      <c r="A359" s="14" t="str">
        <f>Solieusap!A359</f>
        <v>278</v>
      </c>
      <c r="B359" s="15">
        <f>Solieusap!B359</f>
        <v>1.5</v>
      </c>
      <c r="C359" s="14" t="str">
        <f>Solieusap!C359</f>
        <v>DEAD1</v>
      </c>
      <c r="D359" s="14" t="str">
        <f>Solieusap!D359</f>
        <v>LinStatic</v>
      </c>
      <c r="E359" s="16">
        <f>ABS(Solieusap!E359)</f>
        <v>3.2833</v>
      </c>
      <c r="F359" s="16">
        <f>ABS(Solieusap!F359)</f>
        <v>0.1008</v>
      </c>
      <c r="G359" s="16">
        <f>ABS(Solieusap!G359)</f>
        <v>0.0055</v>
      </c>
      <c r="H359" s="16">
        <f>ABS(Solieusap!H359)</f>
        <v>0.00017</v>
      </c>
      <c r="I359" s="16">
        <f>ABS(Solieusap!I359)</f>
        <v>0.0043</v>
      </c>
      <c r="J359" s="16">
        <f>ABS(Solieusap!J359)</f>
        <v>0.0239</v>
      </c>
      <c r="K359" s="16">
        <f t="shared" si="1"/>
        <v>3.2833</v>
      </c>
      <c r="L359" s="16">
        <f t="shared" si="2"/>
        <v>0.0043</v>
      </c>
    </row>
    <row r="360" ht="16.5" customHeight="1">
      <c r="A360" s="14" t="str">
        <f>Solieusap!A360</f>
        <v>278</v>
      </c>
      <c r="B360" s="15">
        <f>Solieusap!B360</f>
        <v>2</v>
      </c>
      <c r="C360" s="14" t="str">
        <f>Solieusap!C360</f>
        <v>DEAD1</v>
      </c>
      <c r="D360" s="14" t="str">
        <f>Solieusap!D360</f>
        <v>LinStatic</v>
      </c>
      <c r="E360" s="16">
        <f>ABS(Solieusap!E360)</f>
        <v>3.2833</v>
      </c>
      <c r="F360" s="16">
        <f>ABS(Solieusap!F360)</f>
        <v>0.0046</v>
      </c>
      <c r="G360" s="16">
        <f>ABS(Solieusap!G360)</f>
        <v>0.0055</v>
      </c>
      <c r="H360" s="16">
        <f>ABS(Solieusap!H360)</f>
        <v>0.00017</v>
      </c>
      <c r="I360" s="16">
        <f>ABS(Solieusap!I360)</f>
        <v>0.00156</v>
      </c>
      <c r="J360" s="16">
        <f>ABS(Solieusap!J360)</f>
        <v>0.05026</v>
      </c>
      <c r="K360" s="16">
        <f t="shared" si="1"/>
        <v>3.2833</v>
      </c>
      <c r="L360" s="16">
        <f t="shared" si="2"/>
        <v>0.00156</v>
      </c>
    </row>
    <row r="361" ht="16.5" customHeight="1">
      <c r="A361" s="14" t="str">
        <f>Solieusap!A361</f>
        <v>278</v>
      </c>
      <c r="B361" s="15">
        <f>Solieusap!B361</f>
        <v>2.5</v>
      </c>
      <c r="C361" s="14" t="str">
        <f>Solieusap!C361</f>
        <v>DEAD1</v>
      </c>
      <c r="D361" s="14" t="str">
        <f>Solieusap!D361</f>
        <v>LinStatic</v>
      </c>
      <c r="E361" s="16">
        <f>ABS(Solieusap!E361)</f>
        <v>3.2833</v>
      </c>
      <c r="F361" s="16">
        <f>ABS(Solieusap!F361)</f>
        <v>0.0917</v>
      </c>
      <c r="G361" s="16">
        <f>ABS(Solieusap!G361)</f>
        <v>0.0055</v>
      </c>
      <c r="H361" s="16">
        <f>ABS(Solieusap!H361)</f>
        <v>0.00017</v>
      </c>
      <c r="I361" s="16">
        <f>ABS(Solieusap!I361)</f>
        <v>0.00118</v>
      </c>
      <c r="J361" s="16">
        <f>ABS(Solieusap!J361)</f>
        <v>0.02849</v>
      </c>
      <c r="K361" s="16">
        <f t="shared" si="1"/>
        <v>3.2833</v>
      </c>
      <c r="L361" s="16">
        <f t="shared" si="2"/>
        <v>0.00118</v>
      </c>
    </row>
    <row r="362" ht="16.5" customHeight="1">
      <c r="A362" s="14" t="str">
        <f>Solieusap!A362</f>
        <v>278</v>
      </c>
      <c r="B362" s="15">
        <f>Solieusap!B362</f>
        <v>3</v>
      </c>
      <c r="C362" s="14" t="str">
        <f>Solieusap!C362</f>
        <v>DEAD1</v>
      </c>
      <c r="D362" s="14" t="str">
        <f>Solieusap!D362</f>
        <v>LinStatic</v>
      </c>
      <c r="E362" s="16">
        <f>ABS(Solieusap!E362)</f>
        <v>3.2833</v>
      </c>
      <c r="F362" s="16">
        <f>ABS(Solieusap!F362)</f>
        <v>0.1879</v>
      </c>
      <c r="G362" s="16">
        <f>ABS(Solieusap!G362)</f>
        <v>0.0055</v>
      </c>
      <c r="H362" s="16">
        <f>ABS(Solieusap!H362)</f>
        <v>0.00017</v>
      </c>
      <c r="I362" s="16">
        <f>ABS(Solieusap!I362)</f>
        <v>0.00392</v>
      </c>
      <c r="J362" s="16">
        <f>ABS(Solieusap!J362)</f>
        <v>0.0414</v>
      </c>
      <c r="K362" s="16">
        <f t="shared" si="1"/>
        <v>3.2833</v>
      </c>
      <c r="L362" s="16">
        <f t="shared" si="2"/>
        <v>0.00392</v>
      </c>
    </row>
    <row r="363" ht="16.5" customHeight="1">
      <c r="A363" s="14" t="str">
        <f>Solieusap!A363</f>
        <v>278</v>
      </c>
      <c r="B363" s="15">
        <f>Solieusap!B363</f>
        <v>3.5</v>
      </c>
      <c r="C363" s="14" t="str">
        <f>Solieusap!C363</f>
        <v>DEAD1</v>
      </c>
      <c r="D363" s="14" t="str">
        <f>Solieusap!D363</f>
        <v>LinStatic</v>
      </c>
      <c r="E363" s="16">
        <f>ABS(Solieusap!E363)</f>
        <v>3.2833</v>
      </c>
      <c r="F363" s="16">
        <f>ABS(Solieusap!F363)</f>
        <v>0.2842</v>
      </c>
      <c r="G363" s="16">
        <f>ABS(Solieusap!G363)</f>
        <v>0.0055</v>
      </c>
      <c r="H363" s="16">
        <f>ABS(Solieusap!H363)</f>
        <v>0.00017</v>
      </c>
      <c r="I363" s="16">
        <f>ABS(Solieusap!I363)</f>
        <v>0.00666</v>
      </c>
      <c r="J363" s="16">
        <f>ABS(Solieusap!J363)</f>
        <v>0.15942</v>
      </c>
      <c r="K363" s="16">
        <f t="shared" si="1"/>
        <v>3.2833</v>
      </c>
      <c r="L363" s="16">
        <f t="shared" si="2"/>
        <v>0.00666</v>
      </c>
    </row>
    <row r="364" ht="16.5" customHeight="1">
      <c r="A364" s="14" t="str">
        <f>Solieusap!A364</f>
        <v>278</v>
      </c>
      <c r="B364" s="15">
        <f>Solieusap!B364</f>
        <v>4</v>
      </c>
      <c r="C364" s="14" t="str">
        <f>Solieusap!C364</f>
        <v>DEAD1</v>
      </c>
      <c r="D364" s="14" t="str">
        <f>Solieusap!D364</f>
        <v>LinStatic</v>
      </c>
      <c r="E364" s="16">
        <f>ABS(Solieusap!E364)</f>
        <v>3.2833</v>
      </c>
      <c r="F364" s="16">
        <f>ABS(Solieusap!F364)</f>
        <v>0.3804</v>
      </c>
      <c r="G364" s="16">
        <f>ABS(Solieusap!G364)</f>
        <v>0.0055</v>
      </c>
      <c r="H364" s="16">
        <f>ABS(Solieusap!H364)</f>
        <v>0.00017</v>
      </c>
      <c r="I364" s="16">
        <f>ABS(Solieusap!I364)</f>
        <v>0.0094</v>
      </c>
      <c r="J364" s="16">
        <f>ABS(Solieusap!J364)</f>
        <v>0.32556</v>
      </c>
      <c r="K364" s="16">
        <f t="shared" si="1"/>
        <v>3.2833</v>
      </c>
      <c r="L364" s="16">
        <f t="shared" si="2"/>
        <v>0.0094</v>
      </c>
    </row>
    <row r="365" ht="16.5" customHeight="1">
      <c r="A365" s="14" t="str">
        <f>Solieusap!A365</f>
        <v>279</v>
      </c>
      <c r="B365" s="15">
        <f>Solieusap!B365</f>
        <v>0</v>
      </c>
      <c r="C365" s="14" t="str">
        <f>Solieusap!C365</f>
        <v>DEAD1</v>
      </c>
      <c r="D365" s="14" t="str">
        <f>Solieusap!D365</f>
        <v>LinStatic</v>
      </c>
      <c r="E365" s="16">
        <f>ABS(Solieusap!E365)</f>
        <v>3.3231</v>
      </c>
      <c r="F365" s="16">
        <f>ABS(Solieusap!F365)</f>
        <v>0.516</v>
      </c>
      <c r="G365" s="16">
        <f>ABS(Solieusap!G365)</f>
        <v>0.0083</v>
      </c>
      <c r="H365" s="16">
        <f>ABS(Solieusap!H365)</f>
        <v>0.00466</v>
      </c>
      <c r="I365" s="16">
        <f>ABS(Solieusap!I365)</f>
        <v>0.01143</v>
      </c>
      <c r="J365" s="16">
        <f>ABS(Solieusap!J365)</f>
        <v>0.40837</v>
      </c>
      <c r="K365" s="16">
        <f t="shared" si="1"/>
        <v>3.3231</v>
      </c>
      <c r="L365" s="16">
        <f t="shared" si="2"/>
        <v>0.01143</v>
      </c>
    </row>
    <row r="366" ht="16.5" customHeight="1">
      <c r="A366" s="14" t="str">
        <f>Solieusap!A366</f>
        <v>279</v>
      </c>
      <c r="B366" s="15">
        <f>Solieusap!B366</f>
        <v>0.5</v>
      </c>
      <c r="C366" s="14" t="str">
        <f>Solieusap!C366</f>
        <v>DEAD1</v>
      </c>
      <c r="D366" s="14" t="str">
        <f>Solieusap!D366</f>
        <v>LinStatic</v>
      </c>
      <c r="E366" s="16">
        <f>ABS(Solieusap!E366)</f>
        <v>3.3231</v>
      </c>
      <c r="F366" s="16">
        <f>ABS(Solieusap!F366)</f>
        <v>0.4198</v>
      </c>
      <c r="G366" s="16">
        <f>ABS(Solieusap!G366)</f>
        <v>0.0083</v>
      </c>
      <c r="H366" s="16">
        <f>ABS(Solieusap!H366)</f>
        <v>0.00466</v>
      </c>
      <c r="I366" s="16">
        <f>ABS(Solieusap!I366)</f>
        <v>0.00728</v>
      </c>
      <c r="J366" s="16">
        <f>ABS(Solieusap!J366)</f>
        <v>0.17443</v>
      </c>
      <c r="K366" s="16">
        <f t="shared" si="1"/>
        <v>3.3231</v>
      </c>
      <c r="L366" s="16">
        <f t="shared" si="2"/>
        <v>0.00728</v>
      </c>
    </row>
    <row r="367" ht="16.5" customHeight="1">
      <c r="A367" s="14" t="str">
        <f>Solieusap!A367</f>
        <v>279</v>
      </c>
      <c r="B367" s="15">
        <f>Solieusap!B367</f>
        <v>1</v>
      </c>
      <c r="C367" s="14" t="str">
        <f>Solieusap!C367</f>
        <v>DEAD1</v>
      </c>
      <c r="D367" s="14" t="str">
        <f>Solieusap!D367</f>
        <v>LinStatic</v>
      </c>
      <c r="E367" s="16">
        <f>ABS(Solieusap!E367)</f>
        <v>3.3231</v>
      </c>
      <c r="F367" s="16">
        <f>ABS(Solieusap!F367)</f>
        <v>0.3235</v>
      </c>
      <c r="G367" s="16">
        <f>ABS(Solieusap!G367)</f>
        <v>0.0083</v>
      </c>
      <c r="H367" s="16">
        <f>ABS(Solieusap!H367)</f>
        <v>0.00466</v>
      </c>
      <c r="I367" s="16">
        <f>ABS(Solieusap!I367)</f>
        <v>0.00313</v>
      </c>
      <c r="J367" s="16">
        <f>ABS(Solieusap!J367)</f>
        <v>0.01139</v>
      </c>
      <c r="K367" s="16">
        <f t="shared" si="1"/>
        <v>3.3231</v>
      </c>
      <c r="L367" s="16">
        <f t="shared" si="2"/>
        <v>0.00313</v>
      </c>
    </row>
    <row r="368" ht="16.5" customHeight="1">
      <c r="A368" s="14" t="str">
        <f>Solieusap!A368</f>
        <v>279</v>
      </c>
      <c r="B368" s="15">
        <f>Solieusap!B368</f>
        <v>1.5</v>
      </c>
      <c r="C368" s="14" t="str">
        <f>Solieusap!C368</f>
        <v>DEAD1</v>
      </c>
      <c r="D368" s="14" t="str">
        <f>Solieusap!D368</f>
        <v>LinStatic</v>
      </c>
      <c r="E368" s="16">
        <f>ABS(Solieusap!E368)</f>
        <v>3.3231</v>
      </c>
      <c r="F368" s="16">
        <f>ABS(Solieusap!F368)</f>
        <v>0.2273</v>
      </c>
      <c r="G368" s="16">
        <f>ABS(Solieusap!G368)</f>
        <v>0.0083</v>
      </c>
      <c r="H368" s="16">
        <f>ABS(Solieusap!H368)</f>
        <v>0.00466</v>
      </c>
      <c r="I368" s="16">
        <f>ABS(Solieusap!I368)</f>
        <v>0.00102</v>
      </c>
      <c r="J368" s="16">
        <f>ABS(Solieusap!J368)</f>
        <v>0.14908</v>
      </c>
      <c r="K368" s="16">
        <f t="shared" si="1"/>
        <v>3.3231</v>
      </c>
      <c r="L368" s="16">
        <f t="shared" si="2"/>
        <v>0.00102</v>
      </c>
    </row>
    <row r="369" ht="16.5" customHeight="1">
      <c r="A369" s="14" t="str">
        <f>Solieusap!A369</f>
        <v>279</v>
      </c>
      <c r="B369" s="15">
        <f>Solieusap!B369</f>
        <v>2</v>
      </c>
      <c r="C369" s="14" t="str">
        <f>Solieusap!C369</f>
        <v>DEAD1</v>
      </c>
      <c r="D369" s="14" t="str">
        <f>Solieusap!D369</f>
        <v>LinStatic</v>
      </c>
      <c r="E369" s="16">
        <f>ABS(Solieusap!E369)</f>
        <v>3.3231</v>
      </c>
      <c r="F369" s="16">
        <f>ABS(Solieusap!F369)</f>
        <v>0.131</v>
      </c>
      <c r="G369" s="16">
        <f>ABS(Solieusap!G369)</f>
        <v>0.0083</v>
      </c>
      <c r="H369" s="16">
        <f>ABS(Solieusap!H369)</f>
        <v>0.00466</v>
      </c>
      <c r="I369" s="16">
        <f>ABS(Solieusap!I369)</f>
        <v>0.00517</v>
      </c>
      <c r="J369" s="16">
        <f>ABS(Solieusap!J369)</f>
        <v>0.23865</v>
      </c>
      <c r="K369" s="16">
        <f t="shared" si="1"/>
        <v>3.3231</v>
      </c>
      <c r="L369" s="16">
        <f t="shared" si="2"/>
        <v>0.00517</v>
      </c>
    </row>
    <row r="370" ht="16.5" customHeight="1">
      <c r="A370" s="14" t="str">
        <f>Solieusap!A370</f>
        <v>279</v>
      </c>
      <c r="B370" s="15">
        <f>Solieusap!B370</f>
        <v>2.5</v>
      </c>
      <c r="C370" s="14" t="str">
        <f>Solieusap!C370</f>
        <v>DEAD1</v>
      </c>
      <c r="D370" s="14" t="str">
        <f>Solieusap!D370</f>
        <v>LinStatic</v>
      </c>
      <c r="E370" s="16">
        <f>ABS(Solieusap!E370)</f>
        <v>3.3231</v>
      </c>
      <c r="F370" s="16">
        <f>ABS(Solieusap!F370)</f>
        <v>0.0348</v>
      </c>
      <c r="G370" s="16">
        <f>ABS(Solieusap!G370)</f>
        <v>0.0083</v>
      </c>
      <c r="H370" s="16">
        <f>ABS(Solieusap!H370)</f>
        <v>0.00466</v>
      </c>
      <c r="I370" s="16">
        <f>ABS(Solieusap!I370)</f>
        <v>0.00931</v>
      </c>
      <c r="J370" s="16">
        <f>ABS(Solieusap!J370)</f>
        <v>0.2801</v>
      </c>
      <c r="K370" s="16">
        <f t="shared" si="1"/>
        <v>3.3231</v>
      </c>
      <c r="L370" s="16">
        <f t="shared" si="2"/>
        <v>0.00931</v>
      </c>
    </row>
    <row r="371" ht="16.5" customHeight="1">
      <c r="A371" s="14" t="str">
        <f>Solieusap!A371</f>
        <v>279</v>
      </c>
      <c r="B371" s="15">
        <f>Solieusap!B371</f>
        <v>3</v>
      </c>
      <c r="C371" s="14" t="str">
        <f>Solieusap!C371</f>
        <v>DEAD1</v>
      </c>
      <c r="D371" s="14" t="str">
        <f>Solieusap!D371</f>
        <v>LinStatic</v>
      </c>
      <c r="E371" s="16">
        <f>ABS(Solieusap!E371)</f>
        <v>3.3231</v>
      </c>
      <c r="F371" s="16">
        <f>ABS(Solieusap!F371)</f>
        <v>0.0615</v>
      </c>
      <c r="G371" s="16">
        <f>ABS(Solieusap!G371)</f>
        <v>0.0083</v>
      </c>
      <c r="H371" s="16">
        <f>ABS(Solieusap!H371)</f>
        <v>0.00466</v>
      </c>
      <c r="I371" s="16">
        <f>ABS(Solieusap!I371)</f>
        <v>0.01346</v>
      </c>
      <c r="J371" s="16">
        <f>ABS(Solieusap!J371)</f>
        <v>0.27342</v>
      </c>
      <c r="K371" s="16">
        <f t="shared" si="1"/>
        <v>3.3231</v>
      </c>
      <c r="L371" s="16">
        <f t="shared" si="2"/>
        <v>0.01346</v>
      </c>
    </row>
    <row r="372" ht="16.5" customHeight="1">
      <c r="A372" s="14" t="str">
        <f>Solieusap!A372</f>
        <v>279</v>
      </c>
      <c r="B372" s="15">
        <f>Solieusap!B372</f>
        <v>3.5</v>
      </c>
      <c r="C372" s="14" t="str">
        <f>Solieusap!C372</f>
        <v>DEAD1</v>
      </c>
      <c r="D372" s="14" t="str">
        <f>Solieusap!D372</f>
        <v>LinStatic</v>
      </c>
      <c r="E372" s="16">
        <f>ABS(Solieusap!E372)</f>
        <v>3.3231</v>
      </c>
      <c r="F372" s="16">
        <f>ABS(Solieusap!F372)</f>
        <v>0.1577</v>
      </c>
      <c r="G372" s="16">
        <f>ABS(Solieusap!G372)</f>
        <v>0.0083</v>
      </c>
      <c r="H372" s="16">
        <f>ABS(Solieusap!H372)</f>
        <v>0.00466</v>
      </c>
      <c r="I372" s="16">
        <f>ABS(Solieusap!I372)</f>
        <v>0.01761</v>
      </c>
      <c r="J372" s="16">
        <f>ABS(Solieusap!J372)</f>
        <v>0.21861</v>
      </c>
      <c r="K372" s="16">
        <f t="shared" si="1"/>
        <v>3.3231</v>
      </c>
      <c r="L372" s="16">
        <f t="shared" si="2"/>
        <v>0.01761</v>
      </c>
    </row>
    <row r="373" ht="16.5" customHeight="1">
      <c r="A373" s="14" t="str">
        <f>Solieusap!A373</f>
        <v>279</v>
      </c>
      <c r="B373" s="15">
        <f>Solieusap!B373</f>
        <v>4</v>
      </c>
      <c r="C373" s="14" t="str">
        <f>Solieusap!C373</f>
        <v>DEAD1</v>
      </c>
      <c r="D373" s="14" t="str">
        <f>Solieusap!D373</f>
        <v>LinStatic</v>
      </c>
      <c r="E373" s="16">
        <f>ABS(Solieusap!E373)</f>
        <v>3.3231</v>
      </c>
      <c r="F373" s="16">
        <f>ABS(Solieusap!F373)</f>
        <v>0.254</v>
      </c>
      <c r="G373" s="16">
        <f>ABS(Solieusap!G373)</f>
        <v>0.0083</v>
      </c>
      <c r="H373" s="16">
        <f>ABS(Solieusap!H373)</f>
        <v>0.00466</v>
      </c>
      <c r="I373" s="16">
        <f>ABS(Solieusap!I373)</f>
        <v>0.02176</v>
      </c>
      <c r="J373" s="16">
        <f>ABS(Solieusap!J373)</f>
        <v>0.11568</v>
      </c>
      <c r="K373" s="16">
        <f t="shared" si="1"/>
        <v>3.3231</v>
      </c>
      <c r="L373" s="16">
        <f t="shared" si="2"/>
        <v>0.02176</v>
      </c>
    </row>
    <row r="374" ht="16.5" customHeight="1">
      <c r="A374" s="14" t="str">
        <f>Solieusap!A374</f>
        <v>279</v>
      </c>
      <c r="B374" s="15">
        <f>Solieusap!B374</f>
        <v>4.5</v>
      </c>
      <c r="C374" s="14" t="str">
        <f>Solieusap!C374</f>
        <v>DEAD1</v>
      </c>
      <c r="D374" s="14" t="str">
        <f>Solieusap!D374</f>
        <v>LinStatic</v>
      </c>
      <c r="E374" s="16">
        <f>ABS(Solieusap!E374)</f>
        <v>3.3231</v>
      </c>
      <c r="F374" s="16">
        <f>ABS(Solieusap!F374)</f>
        <v>0.3502</v>
      </c>
      <c r="G374" s="16">
        <f>ABS(Solieusap!G374)</f>
        <v>0.0083</v>
      </c>
      <c r="H374" s="16">
        <f>ABS(Solieusap!H374)</f>
        <v>0.00466</v>
      </c>
      <c r="I374" s="16">
        <f>ABS(Solieusap!I374)</f>
        <v>0.02591</v>
      </c>
      <c r="J374" s="16">
        <f>ABS(Solieusap!J374)</f>
        <v>0.03537</v>
      </c>
      <c r="K374" s="16">
        <f t="shared" si="1"/>
        <v>3.3231</v>
      </c>
      <c r="L374" s="16">
        <f t="shared" si="2"/>
        <v>0.02591</v>
      </c>
    </row>
    <row r="375" ht="16.5" customHeight="1">
      <c r="A375" s="14" t="str">
        <f>Solieusap!A375</f>
        <v>279</v>
      </c>
      <c r="B375" s="15">
        <f>Solieusap!B375</f>
        <v>5</v>
      </c>
      <c r="C375" s="14" t="str">
        <f>Solieusap!C375</f>
        <v>DEAD1</v>
      </c>
      <c r="D375" s="14" t="str">
        <f>Solieusap!D375</f>
        <v>LinStatic</v>
      </c>
      <c r="E375" s="16">
        <f>ABS(Solieusap!E375)</f>
        <v>3.3231</v>
      </c>
      <c r="F375" s="16">
        <f>ABS(Solieusap!F375)</f>
        <v>0.4465</v>
      </c>
      <c r="G375" s="16">
        <f>ABS(Solieusap!G375)</f>
        <v>0.0083</v>
      </c>
      <c r="H375" s="16">
        <f>ABS(Solieusap!H375)</f>
        <v>0.00466</v>
      </c>
      <c r="I375" s="16">
        <f>ABS(Solieusap!I375)</f>
        <v>0.03005</v>
      </c>
      <c r="J375" s="16">
        <f>ABS(Solieusap!J375)</f>
        <v>0.23455</v>
      </c>
      <c r="K375" s="16">
        <f t="shared" si="1"/>
        <v>3.3231</v>
      </c>
      <c r="L375" s="16">
        <f t="shared" si="2"/>
        <v>0.03005</v>
      </c>
    </row>
    <row r="376" ht="16.5" customHeight="1">
      <c r="A376" s="14" t="str">
        <f>Solieusap!A376</f>
        <v>279</v>
      </c>
      <c r="B376" s="15">
        <f>Solieusap!B376</f>
        <v>5.5</v>
      </c>
      <c r="C376" s="14" t="str">
        <f>Solieusap!C376</f>
        <v>DEAD1</v>
      </c>
      <c r="D376" s="14" t="str">
        <f>Solieusap!D376</f>
        <v>LinStatic</v>
      </c>
      <c r="E376" s="16">
        <f>ABS(Solieusap!E376)</f>
        <v>3.3231</v>
      </c>
      <c r="F376" s="16">
        <f>ABS(Solieusap!F376)</f>
        <v>0.5427</v>
      </c>
      <c r="G376" s="16">
        <f>ABS(Solieusap!G376)</f>
        <v>0.0083</v>
      </c>
      <c r="H376" s="16">
        <f>ABS(Solieusap!H376)</f>
        <v>0.00466</v>
      </c>
      <c r="I376" s="16">
        <f>ABS(Solieusap!I376)</f>
        <v>0.0342</v>
      </c>
      <c r="J376" s="16">
        <f>ABS(Solieusap!J376)</f>
        <v>0.48186</v>
      </c>
      <c r="K376" s="16">
        <f t="shared" si="1"/>
        <v>3.3231</v>
      </c>
      <c r="L376" s="16">
        <f t="shared" si="2"/>
        <v>0.0342</v>
      </c>
    </row>
    <row r="377" ht="16.5" customHeight="1">
      <c r="A377" s="14" t="str">
        <f>Solieusap!A377</f>
        <v>280</v>
      </c>
      <c r="B377" s="15">
        <f>Solieusap!B377</f>
        <v>0</v>
      </c>
      <c r="C377" s="14" t="str">
        <f>Solieusap!C377</f>
        <v>DEAD1</v>
      </c>
      <c r="D377" s="14" t="str">
        <f>Solieusap!D377</f>
        <v>LinStatic</v>
      </c>
      <c r="E377" s="16">
        <f>ABS(Solieusap!E377)</f>
        <v>3.334</v>
      </c>
      <c r="F377" s="16">
        <f>ABS(Solieusap!F377)</f>
        <v>0.377</v>
      </c>
      <c r="G377" s="16">
        <f>ABS(Solieusap!G377)</f>
        <v>0.0329</v>
      </c>
      <c r="H377" s="16">
        <f>ABS(Solieusap!H377)</f>
        <v>0.01111</v>
      </c>
      <c r="I377" s="16">
        <f>ABS(Solieusap!I377)</f>
        <v>0.04013</v>
      </c>
      <c r="J377" s="16">
        <f>ABS(Solieusap!J377)</f>
        <v>0.50977</v>
      </c>
      <c r="K377" s="16">
        <f t="shared" si="1"/>
        <v>3.334</v>
      </c>
      <c r="L377" s="16">
        <f t="shared" si="2"/>
        <v>0.04013</v>
      </c>
    </row>
    <row r="378" ht="16.5" customHeight="1">
      <c r="A378" s="14" t="str">
        <f>Solieusap!A378</f>
        <v>280</v>
      </c>
      <c r="B378" s="15">
        <f>Solieusap!B378</f>
        <v>0.5</v>
      </c>
      <c r="C378" s="14" t="str">
        <f>Solieusap!C378</f>
        <v>DEAD1</v>
      </c>
      <c r="D378" s="14" t="str">
        <f>Solieusap!D378</f>
        <v>LinStatic</v>
      </c>
      <c r="E378" s="16">
        <f>ABS(Solieusap!E378)</f>
        <v>3.334</v>
      </c>
      <c r="F378" s="16">
        <f>ABS(Solieusap!F378)</f>
        <v>0.2807</v>
      </c>
      <c r="G378" s="16">
        <f>ABS(Solieusap!G378)</f>
        <v>0.0329</v>
      </c>
      <c r="H378" s="16">
        <f>ABS(Solieusap!H378)</f>
        <v>0.01111</v>
      </c>
      <c r="I378" s="16">
        <f>ABS(Solieusap!I378)</f>
        <v>0.02368</v>
      </c>
      <c r="J378" s="16">
        <f>ABS(Solieusap!J378)</f>
        <v>0.34535</v>
      </c>
      <c r="K378" s="16">
        <f t="shared" si="1"/>
        <v>3.334</v>
      </c>
      <c r="L378" s="16">
        <f t="shared" si="2"/>
        <v>0.02368</v>
      </c>
    </row>
    <row r="379" ht="16.5" customHeight="1">
      <c r="A379" s="14" t="str">
        <f>Solieusap!A379</f>
        <v>280</v>
      </c>
      <c r="B379" s="15">
        <f>Solieusap!B379</f>
        <v>1</v>
      </c>
      <c r="C379" s="14" t="str">
        <f>Solieusap!C379</f>
        <v>DEAD1</v>
      </c>
      <c r="D379" s="14" t="str">
        <f>Solieusap!D379</f>
        <v>LinStatic</v>
      </c>
      <c r="E379" s="16">
        <f>ABS(Solieusap!E379)</f>
        <v>3.334</v>
      </c>
      <c r="F379" s="16">
        <f>ABS(Solieusap!F379)</f>
        <v>0.1845</v>
      </c>
      <c r="G379" s="16">
        <f>ABS(Solieusap!G379)</f>
        <v>0.0329</v>
      </c>
      <c r="H379" s="16">
        <f>ABS(Solieusap!H379)</f>
        <v>0.01111</v>
      </c>
      <c r="I379" s="16">
        <f>ABS(Solieusap!I379)</f>
        <v>0.00723</v>
      </c>
      <c r="J379" s="16">
        <f>ABS(Solieusap!J379)</f>
        <v>0.22905</v>
      </c>
      <c r="K379" s="16">
        <f t="shared" si="1"/>
        <v>3.334</v>
      </c>
      <c r="L379" s="16">
        <f t="shared" si="2"/>
        <v>0.00723</v>
      </c>
    </row>
    <row r="380" ht="16.5" customHeight="1">
      <c r="A380" s="14" t="str">
        <f>Solieusap!A380</f>
        <v>280</v>
      </c>
      <c r="B380" s="15">
        <f>Solieusap!B380</f>
        <v>1.5</v>
      </c>
      <c r="C380" s="14" t="str">
        <f>Solieusap!C380</f>
        <v>DEAD1</v>
      </c>
      <c r="D380" s="14" t="str">
        <f>Solieusap!D380</f>
        <v>LinStatic</v>
      </c>
      <c r="E380" s="16">
        <f>ABS(Solieusap!E380)</f>
        <v>3.334</v>
      </c>
      <c r="F380" s="16">
        <f>ABS(Solieusap!F380)</f>
        <v>0.0882</v>
      </c>
      <c r="G380" s="16">
        <f>ABS(Solieusap!G380)</f>
        <v>0.0329</v>
      </c>
      <c r="H380" s="16">
        <f>ABS(Solieusap!H380)</f>
        <v>0.01111</v>
      </c>
      <c r="I380" s="16">
        <f>ABS(Solieusap!I380)</f>
        <v>0.00922</v>
      </c>
      <c r="J380" s="16">
        <f>ABS(Solieusap!J380)</f>
        <v>0.16087</v>
      </c>
      <c r="K380" s="16">
        <f t="shared" si="1"/>
        <v>3.334</v>
      </c>
      <c r="L380" s="16">
        <f t="shared" si="2"/>
        <v>0.00922</v>
      </c>
    </row>
    <row r="381" ht="16.5" customHeight="1">
      <c r="A381" s="14" t="str">
        <f>Solieusap!A381</f>
        <v>280</v>
      </c>
      <c r="B381" s="15">
        <f>Solieusap!B381</f>
        <v>2</v>
      </c>
      <c r="C381" s="14" t="str">
        <f>Solieusap!C381</f>
        <v>DEAD1</v>
      </c>
      <c r="D381" s="14" t="str">
        <f>Solieusap!D381</f>
        <v>LinStatic</v>
      </c>
      <c r="E381" s="16">
        <f>ABS(Solieusap!E381)</f>
        <v>3.334</v>
      </c>
      <c r="F381" s="16">
        <f>ABS(Solieusap!F381)</f>
        <v>0.008</v>
      </c>
      <c r="G381" s="16">
        <f>ABS(Solieusap!G381)</f>
        <v>0.0329</v>
      </c>
      <c r="H381" s="16">
        <f>ABS(Solieusap!H381)</f>
        <v>0.01111</v>
      </c>
      <c r="I381" s="16">
        <f>ABS(Solieusap!I381)</f>
        <v>0.02567</v>
      </c>
      <c r="J381" s="16">
        <f>ABS(Solieusap!J381)</f>
        <v>0.14082</v>
      </c>
      <c r="K381" s="16">
        <f t="shared" si="1"/>
        <v>3.334</v>
      </c>
      <c r="L381" s="16">
        <f t="shared" si="2"/>
        <v>0.02567</v>
      </c>
    </row>
    <row r="382" ht="16.5" customHeight="1">
      <c r="A382" s="14" t="str">
        <f>Solieusap!A382</f>
        <v>280</v>
      </c>
      <c r="B382" s="15">
        <f>Solieusap!B382</f>
        <v>2.5</v>
      </c>
      <c r="C382" s="14" t="str">
        <f>Solieusap!C382</f>
        <v>DEAD1</v>
      </c>
      <c r="D382" s="14" t="str">
        <f>Solieusap!D382</f>
        <v>LinStatic</v>
      </c>
      <c r="E382" s="16">
        <f>ABS(Solieusap!E382)</f>
        <v>3.334</v>
      </c>
      <c r="F382" s="16">
        <f>ABS(Solieusap!F382)</f>
        <v>0.1043</v>
      </c>
      <c r="G382" s="16">
        <f>ABS(Solieusap!G382)</f>
        <v>0.0329</v>
      </c>
      <c r="H382" s="16">
        <f>ABS(Solieusap!H382)</f>
        <v>0.01111</v>
      </c>
      <c r="I382" s="16">
        <f>ABS(Solieusap!I382)</f>
        <v>0.04212</v>
      </c>
      <c r="J382" s="16">
        <f>ABS(Solieusap!J382)</f>
        <v>0.1689</v>
      </c>
      <c r="K382" s="16">
        <f t="shared" si="1"/>
        <v>3.334</v>
      </c>
      <c r="L382" s="16">
        <f t="shared" si="2"/>
        <v>0.04212</v>
      </c>
    </row>
    <row r="383" ht="16.5" customHeight="1">
      <c r="A383" s="14" t="str">
        <f>Solieusap!A383</f>
        <v>280</v>
      </c>
      <c r="B383" s="15">
        <f>Solieusap!B383</f>
        <v>3</v>
      </c>
      <c r="C383" s="14" t="str">
        <f>Solieusap!C383</f>
        <v>DEAD1</v>
      </c>
      <c r="D383" s="14" t="str">
        <f>Solieusap!D383</f>
        <v>LinStatic</v>
      </c>
      <c r="E383" s="16">
        <f>ABS(Solieusap!E383)</f>
        <v>3.334</v>
      </c>
      <c r="F383" s="16">
        <f>ABS(Solieusap!F383)</f>
        <v>0.2005</v>
      </c>
      <c r="G383" s="16">
        <f>ABS(Solieusap!G383)</f>
        <v>0.0329</v>
      </c>
      <c r="H383" s="16">
        <f>ABS(Solieusap!H383)</f>
        <v>0.01111</v>
      </c>
      <c r="I383" s="16">
        <f>ABS(Solieusap!I383)</f>
        <v>0.05857</v>
      </c>
      <c r="J383" s="16">
        <f>ABS(Solieusap!J383)</f>
        <v>0.2451</v>
      </c>
      <c r="K383" s="16">
        <f t="shared" si="1"/>
        <v>3.334</v>
      </c>
      <c r="L383" s="16">
        <f t="shared" si="2"/>
        <v>0.05857</v>
      </c>
    </row>
    <row r="384" ht="16.5" customHeight="1">
      <c r="A384" s="14" t="str">
        <f>Solieusap!A384</f>
        <v>282</v>
      </c>
      <c r="B384" s="15">
        <f>Solieusap!B384</f>
        <v>0</v>
      </c>
      <c r="C384" s="14" t="str">
        <f>Solieusap!C384</f>
        <v>DEAD1</v>
      </c>
      <c r="D384" s="14" t="str">
        <f>Solieusap!D384</f>
        <v>LinStatic</v>
      </c>
      <c r="E384" s="16">
        <f>ABS(Solieusap!E384)</f>
        <v>2.7872</v>
      </c>
      <c r="F384" s="16">
        <f>ABS(Solieusap!F384)</f>
        <v>0.2435</v>
      </c>
      <c r="G384" s="16">
        <f>ABS(Solieusap!G384)</f>
        <v>0.0276</v>
      </c>
      <c r="H384" s="16">
        <f>ABS(Solieusap!H384)</f>
        <v>0.07479</v>
      </c>
      <c r="I384" s="16">
        <f>ABS(Solieusap!I384)</f>
        <v>0.06063</v>
      </c>
      <c r="J384" s="16">
        <f>ABS(Solieusap!J384)</f>
        <v>0.0362</v>
      </c>
      <c r="K384" s="16">
        <f t="shared" si="1"/>
        <v>2.7872</v>
      </c>
      <c r="L384" s="16">
        <f t="shared" si="2"/>
        <v>0.06063</v>
      </c>
    </row>
    <row r="385" ht="16.5" customHeight="1">
      <c r="A385" s="14" t="str">
        <f>Solieusap!A385</f>
        <v>282</v>
      </c>
      <c r="B385" s="15">
        <f>Solieusap!B385</f>
        <v>0.5</v>
      </c>
      <c r="C385" s="14" t="str">
        <f>Solieusap!C385</f>
        <v>DEAD1</v>
      </c>
      <c r="D385" s="14" t="str">
        <f>Solieusap!D385</f>
        <v>LinStatic</v>
      </c>
      <c r="E385" s="16">
        <f>ABS(Solieusap!E385)</f>
        <v>2.7872</v>
      </c>
      <c r="F385" s="16">
        <f>ABS(Solieusap!F385)</f>
        <v>0.1472</v>
      </c>
      <c r="G385" s="16">
        <f>ABS(Solieusap!G385)</f>
        <v>0.0276</v>
      </c>
      <c r="H385" s="16">
        <f>ABS(Solieusap!H385)</f>
        <v>0.07479</v>
      </c>
      <c r="I385" s="16">
        <f>ABS(Solieusap!I385)</f>
        <v>0.04684</v>
      </c>
      <c r="J385" s="16">
        <f>ABS(Solieusap!J385)</f>
        <v>0.06149</v>
      </c>
      <c r="K385" s="16">
        <f t="shared" si="1"/>
        <v>2.7872</v>
      </c>
      <c r="L385" s="16">
        <f t="shared" si="2"/>
        <v>0.04684</v>
      </c>
    </row>
    <row r="386" ht="16.5" customHeight="1">
      <c r="A386" s="14" t="str">
        <f>Solieusap!A386</f>
        <v>282</v>
      </c>
      <c r="B386" s="15">
        <f>Solieusap!B386</f>
        <v>1</v>
      </c>
      <c r="C386" s="14" t="str">
        <f>Solieusap!C386</f>
        <v>DEAD1</v>
      </c>
      <c r="D386" s="14" t="str">
        <f>Solieusap!D386</f>
        <v>LinStatic</v>
      </c>
      <c r="E386" s="16">
        <f>ABS(Solieusap!E386)</f>
        <v>2.7872</v>
      </c>
      <c r="F386" s="16">
        <f>ABS(Solieusap!F386)</f>
        <v>0.051</v>
      </c>
      <c r="G386" s="16">
        <f>ABS(Solieusap!G386)</f>
        <v>0.0276</v>
      </c>
      <c r="H386" s="16">
        <f>ABS(Solieusap!H386)</f>
        <v>0.07479</v>
      </c>
      <c r="I386" s="16">
        <f>ABS(Solieusap!I386)</f>
        <v>0.03305</v>
      </c>
      <c r="J386" s="16">
        <f>ABS(Solieusap!J386)</f>
        <v>0.11105</v>
      </c>
      <c r="K386" s="16">
        <f t="shared" si="1"/>
        <v>2.7872</v>
      </c>
      <c r="L386" s="16">
        <f t="shared" si="2"/>
        <v>0.03305</v>
      </c>
    </row>
    <row r="387" ht="16.5" customHeight="1">
      <c r="A387" s="14" t="str">
        <f>Solieusap!A387</f>
        <v>282</v>
      </c>
      <c r="B387" s="15">
        <f>Solieusap!B387</f>
        <v>1.5</v>
      </c>
      <c r="C387" s="14" t="str">
        <f>Solieusap!C387</f>
        <v>DEAD1</v>
      </c>
      <c r="D387" s="14" t="str">
        <f>Solieusap!D387</f>
        <v>LinStatic</v>
      </c>
      <c r="E387" s="16">
        <f>ABS(Solieusap!E387)</f>
        <v>2.7872</v>
      </c>
      <c r="F387" s="16">
        <f>ABS(Solieusap!F387)</f>
        <v>0.0453</v>
      </c>
      <c r="G387" s="16">
        <f>ABS(Solieusap!G387)</f>
        <v>0.0276</v>
      </c>
      <c r="H387" s="16">
        <f>ABS(Solieusap!H387)</f>
        <v>0.07479</v>
      </c>
      <c r="I387" s="16">
        <f>ABS(Solieusap!I387)</f>
        <v>0.01926</v>
      </c>
      <c r="J387" s="16">
        <f>ABS(Solieusap!J387)</f>
        <v>0.11248</v>
      </c>
      <c r="K387" s="16">
        <f t="shared" si="1"/>
        <v>2.7872</v>
      </c>
      <c r="L387" s="16">
        <f t="shared" si="2"/>
        <v>0.01926</v>
      </c>
    </row>
    <row r="388" ht="16.5" customHeight="1">
      <c r="A388" s="14" t="str">
        <f>Solieusap!A388</f>
        <v>282</v>
      </c>
      <c r="B388" s="15">
        <f>Solieusap!B388</f>
        <v>2</v>
      </c>
      <c r="C388" s="14" t="str">
        <f>Solieusap!C388</f>
        <v>DEAD1</v>
      </c>
      <c r="D388" s="14" t="str">
        <f>Solieusap!D388</f>
        <v>LinStatic</v>
      </c>
      <c r="E388" s="16">
        <f>ABS(Solieusap!E388)</f>
        <v>2.7872</v>
      </c>
      <c r="F388" s="16">
        <f>ABS(Solieusap!F388)</f>
        <v>0.1415</v>
      </c>
      <c r="G388" s="16">
        <f>ABS(Solieusap!G388)</f>
        <v>0.0276</v>
      </c>
      <c r="H388" s="16">
        <f>ABS(Solieusap!H388)</f>
        <v>0.07479</v>
      </c>
      <c r="I388" s="16">
        <f>ABS(Solieusap!I388)</f>
        <v>0.00547</v>
      </c>
      <c r="J388" s="16">
        <f>ABS(Solieusap!J388)</f>
        <v>0.06579</v>
      </c>
      <c r="K388" s="16">
        <f t="shared" si="1"/>
        <v>2.7872</v>
      </c>
      <c r="L388" s="16">
        <f t="shared" si="2"/>
        <v>0.00547</v>
      </c>
    </row>
    <row r="389" ht="16.5" customHeight="1">
      <c r="A389" s="14" t="str">
        <f>Solieusap!A389</f>
        <v>282</v>
      </c>
      <c r="B389" s="15">
        <f>Solieusap!B389</f>
        <v>2.5</v>
      </c>
      <c r="C389" s="14" t="str">
        <f>Solieusap!C389</f>
        <v>DEAD1</v>
      </c>
      <c r="D389" s="14" t="str">
        <f>Solieusap!D389</f>
        <v>LinStatic</v>
      </c>
      <c r="E389" s="16">
        <f>ABS(Solieusap!E389)</f>
        <v>2.7872</v>
      </c>
      <c r="F389" s="16">
        <f>ABS(Solieusap!F389)</f>
        <v>0.2378</v>
      </c>
      <c r="G389" s="16">
        <f>ABS(Solieusap!G389)</f>
        <v>0.0276</v>
      </c>
      <c r="H389" s="16">
        <f>ABS(Solieusap!H389)</f>
        <v>0.07479</v>
      </c>
      <c r="I389" s="16">
        <f>ABS(Solieusap!I389)</f>
        <v>0.00832</v>
      </c>
      <c r="J389" s="16">
        <f>ABS(Solieusap!J389)</f>
        <v>0.02903</v>
      </c>
      <c r="K389" s="16">
        <f t="shared" si="1"/>
        <v>2.7872</v>
      </c>
      <c r="L389" s="16">
        <f t="shared" si="2"/>
        <v>0.00832</v>
      </c>
    </row>
    <row r="390" ht="16.5" customHeight="1">
      <c r="A390" s="14" t="str">
        <f>Solieusap!A390</f>
        <v>282</v>
      </c>
      <c r="B390" s="15">
        <f>Solieusap!B390</f>
        <v>3</v>
      </c>
      <c r="C390" s="14" t="str">
        <f>Solieusap!C390</f>
        <v>DEAD1</v>
      </c>
      <c r="D390" s="14" t="str">
        <f>Solieusap!D390</f>
        <v>LinStatic</v>
      </c>
      <c r="E390" s="16">
        <f>ABS(Solieusap!E390)</f>
        <v>2.7872</v>
      </c>
      <c r="F390" s="16">
        <f>ABS(Solieusap!F390)</f>
        <v>0.334</v>
      </c>
      <c r="G390" s="16">
        <f>ABS(Solieusap!G390)</f>
        <v>0.0276</v>
      </c>
      <c r="H390" s="16">
        <f>ABS(Solieusap!H390)</f>
        <v>0.07479</v>
      </c>
      <c r="I390" s="16">
        <f>ABS(Solieusap!I390)</f>
        <v>0.02212</v>
      </c>
      <c r="J390" s="16">
        <f>ABS(Solieusap!J390)</f>
        <v>0.17197</v>
      </c>
      <c r="K390" s="16">
        <f t="shared" si="1"/>
        <v>2.7872</v>
      </c>
      <c r="L390" s="16">
        <f t="shared" si="2"/>
        <v>0.02212</v>
      </c>
    </row>
    <row r="391" ht="16.5" customHeight="1">
      <c r="A391" s="14" t="str">
        <f>Solieusap!A391</f>
        <v>282</v>
      </c>
      <c r="B391" s="15">
        <f>Solieusap!B391</f>
        <v>3.5</v>
      </c>
      <c r="C391" s="14" t="str">
        <f>Solieusap!C391</f>
        <v>DEAD1</v>
      </c>
      <c r="D391" s="14" t="str">
        <f>Solieusap!D391</f>
        <v>LinStatic</v>
      </c>
      <c r="E391" s="16">
        <f>ABS(Solieusap!E391)</f>
        <v>2.7872</v>
      </c>
      <c r="F391" s="16">
        <f>ABS(Solieusap!F391)</f>
        <v>0.4303</v>
      </c>
      <c r="G391" s="16">
        <f>ABS(Solieusap!G391)</f>
        <v>0.0276</v>
      </c>
      <c r="H391" s="16">
        <f>ABS(Solieusap!H391)</f>
        <v>0.07479</v>
      </c>
      <c r="I391" s="16">
        <f>ABS(Solieusap!I391)</f>
        <v>0.03591</v>
      </c>
      <c r="J391" s="16">
        <f>ABS(Solieusap!J391)</f>
        <v>0.36303</v>
      </c>
      <c r="K391" s="16">
        <f t="shared" si="1"/>
        <v>2.7872</v>
      </c>
      <c r="L391" s="16">
        <f t="shared" si="2"/>
        <v>0.03591</v>
      </c>
    </row>
    <row r="392" ht="16.5" customHeight="1">
      <c r="A392" s="14" t="str">
        <f>Solieusap!A392</f>
        <v>282</v>
      </c>
      <c r="B392" s="15">
        <f>Solieusap!B392</f>
        <v>4</v>
      </c>
      <c r="C392" s="14" t="str">
        <f>Solieusap!C392</f>
        <v>DEAD1</v>
      </c>
      <c r="D392" s="14" t="str">
        <f>Solieusap!D392</f>
        <v>LinStatic</v>
      </c>
      <c r="E392" s="16">
        <f>ABS(Solieusap!E392)</f>
        <v>2.7872</v>
      </c>
      <c r="F392" s="16">
        <f>ABS(Solieusap!F392)</f>
        <v>0.5265</v>
      </c>
      <c r="G392" s="16">
        <f>ABS(Solieusap!G392)</f>
        <v>0.0276</v>
      </c>
      <c r="H392" s="16">
        <f>ABS(Solieusap!H392)</f>
        <v>0.07479</v>
      </c>
      <c r="I392" s="16">
        <f>ABS(Solieusap!I392)</f>
        <v>0.0497</v>
      </c>
      <c r="J392" s="16">
        <f>ABS(Solieusap!J392)</f>
        <v>0.60223</v>
      </c>
      <c r="K392" s="16">
        <f t="shared" si="1"/>
        <v>2.7872</v>
      </c>
      <c r="L392" s="16">
        <f t="shared" si="2"/>
        <v>0.0497</v>
      </c>
    </row>
    <row r="393" ht="16.5" customHeight="1">
      <c r="A393" s="14" t="str">
        <f>Solieusap!A393</f>
        <v>344</v>
      </c>
      <c r="B393" s="15">
        <f>Solieusap!B393</f>
        <v>0</v>
      </c>
      <c r="C393" s="14" t="str">
        <f>Solieusap!C393</f>
        <v>DEAD1</v>
      </c>
      <c r="D393" s="14" t="str">
        <f>Solieusap!D393</f>
        <v>LinStatic</v>
      </c>
      <c r="E393" s="16">
        <f>ABS(Solieusap!E393)</f>
        <v>1.4114</v>
      </c>
      <c r="F393" s="16">
        <f>ABS(Solieusap!F393)</f>
        <v>3.523</v>
      </c>
      <c r="G393" s="16">
        <f>ABS(Solieusap!G393)</f>
        <v>1.7892</v>
      </c>
      <c r="H393" s="16">
        <f>ABS(Solieusap!H393)</f>
        <v>0.06653</v>
      </c>
      <c r="I393" s="16">
        <f>ABS(Solieusap!I393)</f>
        <v>1.08531</v>
      </c>
      <c r="J393" s="16">
        <f>ABS(Solieusap!J393)</f>
        <v>2.40628</v>
      </c>
      <c r="K393" s="16">
        <f t="shared" si="1"/>
        <v>1.4114</v>
      </c>
      <c r="L393" s="16">
        <f t="shared" si="2"/>
        <v>1.08531</v>
      </c>
    </row>
    <row r="394" ht="16.5" customHeight="1">
      <c r="A394" s="14" t="str">
        <f>Solieusap!A394</f>
        <v>344</v>
      </c>
      <c r="B394" s="15">
        <f>Solieusap!B394</f>
        <v>0.5</v>
      </c>
      <c r="C394" s="14" t="str">
        <f>Solieusap!C394</f>
        <v>DEAD1</v>
      </c>
      <c r="D394" s="14" t="str">
        <f>Solieusap!D394</f>
        <v>LinStatic</v>
      </c>
      <c r="E394" s="16">
        <f>ABS(Solieusap!E394)</f>
        <v>1.4114</v>
      </c>
      <c r="F394" s="16">
        <f>ABS(Solieusap!F394)</f>
        <v>3.6193</v>
      </c>
      <c r="G394" s="16">
        <f>ABS(Solieusap!G394)</f>
        <v>1.7892</v>
      </c>
      <c r="H394" s="16">
        <f>ABS(Solieusap!H394)</f>
        <v>0.06653</v>
      </c>
      <c r="I394" s="16">
        <f>ABS(Solieusap!I394)</f>
        <v>0.19073</v>
      </c>
      <c r="J394" s="16">
        <f>ABS(Solieusap!J394)</f>
        <v>0.62071</v>
      </c>
      <c r="K394" s="16">
        <f t="shared" si="1"/>
        <v>1.4114</v>
      </c>
      <c r="L394" s="16">
        <f t="shared" si="2"/>
        <v>0.19073</v>
      </c>
    </row>
    <row r="395" ht="16.5" customHeight="1">
      <c r="A395" s="14" t="str">
        <f>Solieusap!A395</f>
        <v>344</v>
      </c>
      <c r="B395" s="15">
        <f>Solieusap!B395</f>
        <v>1</v>
      </c>
      <c r="C395" s="14" t="str">
        <f>Solieusap!C395</f>
        <v>DEAD1</v>
      </c>
      <c r="D395" s="14" t="str">
        <f>Solieusap!D395</f>
        <v>LinStatic</v>
      </c>
      <c r="E395" s="16">
        <f>ABS(Solieusap!E395)</f>
        <v>1.4114</v>
      </c>
      <c r="F395" s="16">
        <f>ABS(Solieusap!F395)</f>
        <v>3.7155</v>
      </c>
      <c r="G395" s="16">
        <f>ABS(Solieusap!G395)</f>
        <v>1.7892</v>
      </c>
      <c r="H395" s="16">
        <f>ABS(Solieusap!H395)</f>
        <v>0.06653</v>
      </c>
      <c r="I395" s="16">
        <f>ABS(Solieusap!I395)</f>
        <v>0.70386</v>
      </c>
      <c r="J395" s="16">
        <f>ABS(Solieusap!J395)</f>
        <v>1.21299</v>
      </c>
      <c r="K395" s="16">
        <f t="shared" si="1"/>
        <v>1.4114</v>
      </c>
      <c r="L395" s="16">
        <f t="shared" si="2"/>
        <v>0.70386</v>
      </c>
    </row>
    <row r="396" ht="16.5" customHeight="1">
      <c r="A396" s="14" t="str">
        <f>Solieusap!A396</f>
        <v>344</v>
      </c>
      <c r="B396" s="15">
        <f>Solieusap!B396</f>
        <v>22</v>
      </c>
      <c r="C396" s="14" t="str">
        <f>Solieusap!C396</f>
        <v>DEAD1</v>
      </c>
      <c r="D396" s="14" t="str">
        <f>Solieusap!D396</f>
        <v>LinStatic</v>
      </c>
      <c r="E396" s="16">
        <f>ABS(Solieusap!E396)</f>
        <v>1.3417</v>
      </c>
      <c r="F396" s="16">
        <f>ABS(Solieusap!F396)</f>
        <v>3.3681</v>
      </c>
      <c r="G396" s="16">
        <f>ABS(Solieusap!G396)</f>
        <v>1.7138</v>
      </c>
      <c r="H396" s="16">
        <f>ABS(Solieusap!H396)</f>
        <v>0.07659</v>
      </c>
      <c r="I396" s="16">
        <f>ABS(Solieusap!I396)</f>
        <v>0.67355</v>
      </c>
      <c r="J396" s="16">
        <f>ABS(Solieusap!J396)</f>
        <v>1.08921</v>
      </c>
      <c r="K396" s="16">
        <f t="shared" si="1"/>
        <v>1.3417</v>
      </c>
      <c r="L396" s="16">
        <f t="shared" si="2"/>
        <v>0.67355</v>
      </c>
    </row>
    <row r="397" ht="16.5" customHeight="1">
      <c r="A397" s="14" t="str">
        <f>Solieusap!A397</f>
        <v>344</v>
      </c>
      <c r="B397" s="15">
        <f>Solieusap!B397</f>
        <v>22.5</v>
      </c>
      <c r="C397" s="14" t="str">
        <f>Solieusap!C397</f>
        <v>DEAD1</v>
      </c>
      <c r="D397" s="14" t="str">
        <f>Solieusap!D397</f>
        <v>LinStatic</v>
      </c>
      <c r="E397" s="16">
        <f>ABS(Solieusap!E397)</f>
        <v>1.3417</v>
      </c>
      <c r="F397" s="16">
        <f>ABS(Solieusap!F397)</f>
        <v>3.2718</v>
      </c>
      <c r="G397" s="16">
        <f>ABS(Solieusap!G397)</f>
        <v>1.7138</v>
      </c>
      <c r="H397" s="16">
        <f>ABS(Solieusap!H397)</f>
        <v>0.07659</v>
      </c>
      <c r="I397" s="16">
        <f>ABS(Solieusap!I397)</f>
        <v>0.18336</v>
      </c>
      <c r="J397" s="16">
        <f>ABS(Solieusap!J397)</f>
        <v>0.57076</v>
      </c>
      <c r="K397" s="16">
        <f t="shared" si="1"/>
        <v>1.3417</v>
      </c>
      <c r="L397" s="16">
        <f t="shared" si="2"/>
        <v>0.18336</v>
      </c>
    </row>
    <row r="398" ht="16.5" customHeight="1">
      <c r="A398" s="14" t="str">
        <f>Solieusap!A398</f>
        <v>344</v>
      </c>
      <c r="B398" s="15">
        <f>Solieusap!B398</f>
        <v>23</v>
      </c>
      <c r="C398" s="14" t="str">
        <f>Solieusap!C398</f>
        <v>DEAD1</v>
      </c>
      <c r="D398" s="14" t="str">
        <f>Solieusap!D398</f>
        <v>LinStatic</v>
      </c>
      <c r="E398" s="16">
        <f>ABS(Solieusap!E398)</f>
        <v>1.3417</v>
      </c>
      <c r="F398" s="16">
        <f>ABS(Solieusap!F398)</f>
        <v>3.1756</v>
      </c>
      <c r="G398" s="16">
        <f>ABS(Solieusap!G398)</f>
        <v>1.7138</v>
      </c>
      <c r="H398" s="16">
        <f>ABS(Solieusap!H398)</f>
        <v>0.07659</v>
      </c>
      <c r="I398" s="16">
        <f>ABS(Solieusap!I398)</f>
        <v>1.04027</v>
      </c>
      <c r="J398" s="16">
        <f>ABS(Solieusap!J398)</f>
        <v>2.1826</v>
      </c>
      <c r="K398" s="16">
        <f t="shared" si="1"/>
        <v>1.3417</v>
      </c>
      <c r="L398" s="16">
        <f t="shared" si="2"/>
        <v>1.04027</v>
      </c>
    </row>
    <row r="399" ht="16.5" customHeight="1">
      <c r="A399" s="14" t="str">
        <f>Solieusap!A399</f>
        <v>352</v>
      </c>
      <c r="B399" s="15">
        <f>Solieusap!B399</f>
        <v>0</v>
      </c>
      <c r="C399" s="14" t="str">
        <f>Solieusap!C399</f>
        <v>DEAD1</v>
      </c>
      <c r="D399" s="14" t="str">
        <f>Solieusap!D399</f>
        <v>LinStatic</v>
      </c>
      <c r="E399" s="16">
        <f>ABS(Solieusap!E399)</f>
        <v>2.189</v>
      </c>
      <c r="F399" s="16">
        <f>ABS(Solieusap!F399)</f>
        <v>0.6319</v>
      </c>
      <c r="G399" s="16">
        <f>ABS(Solieusap!G399)</f>
        <v>0.0483</v>
      </c>
      <c r="H399" s="16">
        <f>ABS(Solieusap!H399)</f>
        <v>0.00651</v>
      </c>
      <c r="I399" s="16">
        <f>ABS(Solieusap!I399)</f>
        <v>0.08316</v>
      </c>
      <c r="J399" s="16">
        <f>ABS(Solieusap!J399)</f>
        <v>0.65241</v>
      </c>
      <c r="K399" s="16">
        <f t="shared" si="1"/>
        <v>2.189</v>
      </c>
      <c r="L399" s="16">
        <f t="shared" si="2"/>
        <v>0.08316</v>
      </c>
    </row>
    <row r="400" ht="16.5" customHeight="1">
      <c r="A400" s="14" t="str">
        <f>Solieusap!A400</f>
        <v>352</v>
      </c>
      <c r="B400" s="15">
        <f>Solieusap!B400</f>
        <v>0.5</v>
      </c>
      <c r="C400" s="14" t="str">
        <f>Solieusap!C400</f>
        <v>DEAD1</v>
      </c>
      <c r="D400" s="14" t="str">
        <f>Solieusap!D400</f>
        <v>LinStatic</v>
      </c>
      <c r="E400" s="16">
        <f>ABS(Solieusap!E400)</f>
        <v>2.189</v>
      </c>
      <c r="F400" s="16">
        <f>ABS(Solieusap!F400)</f>
        <v>0.5357</v>
      </c>
      <c r="G400" s="16">
        <f>ABS(Solieusap!G400)</f>
        <v>0.0483</v>
      </c>
      <c r="H400" s="16">
        <f>ABS(Solieusap!H400)</f>
        <v>0.00651</v>
      </c>
      <c r="I400" s="16">
        <f>ABS(Solieusap!I400)</f>
        <v>0.05902</v>
      </c>
      <c r="J400" s="16">
        <f>ABS(Solieusap!J400)</f>
        <v>0.36051</v>
      </c>
      <c r="K400" s="16">
        <f t="shared" si="1"/>
        <v>2.189</v>
      </c>
      <c r="L400" s="16">
        <f t="shared" si="2"/>
        <v>0.05902</v>
      </c>
    </row>
    <row r="401" ht="16.5" customHeight="1">
      <c r="A401" s="14" t="str">
        <f>Solieusap!A401</f>
        <v>352</v>
      </c>
      <c r="B401" s="15">
        <f>Solieusap!B401</f>
        <v>1</v>
      </c>
      <c r="C401" s="14" t="str">
        <f>Solieusap!C401</f>
        <v>DEAD1</v>
      </c>
      <c r="D401" s="14" t="str">
        <f>Solieusap!D401</f>
        <v>LinStatic</v>
      </c>
      <c r="E401" s="16">
        <f>ABS(Solieusap!E401)</f>
        <v>2.189</v>
      </c>
      <c r="F401" s="16">
        <f>ABS(Solieusap!F401)</f>
        <v>0.4394</v>
      </c>
      <c r="G401" s="16">
        <f>ABS(Solieusap!G401)</f>
        <v>0.0483</v>
      </c>
      <c r="H401" s="16">
        <f>ABS(Solieusap!H401)</f>
        <v>0.00651</v>
      </c>
      <c r="I401" s="16">
        <f>ABS(Solieusap!I401)</f>
        <v>0.03487</v>
      </c>
      <c r="J401" s="16">
        <f>ABS(Solieusap!J401)</f>
        <v>0.11674</v>
      </c>
      <c r="K401" s="16">
        <f t="shared" si="1"/>
        <v>2.189</v>
      </c>
      <c r="L401" s="16">
        <f t="shared" si="2"/>
        <v>0.03487</v>
      </c>
    </row>
    <row r="402" ht="16.5" customHeight="1">
      <c r="A402" s="14" t="str">
        <f>Solieusap!A402</f>
        <v>352</v>
      </c>
      <c r="B402" s="15">
        <f>Solieusap!B402</f>
        <v>1.5</v>
      </c>
      <c r="C402" s="14" t="str">
        <f>Solieusap!C402</f>
        <v>DEAD1</v>
      </c>
      <c r="D402" s="14" t="str">
        <f>Solieusap!D402</f>
        <v>LinStatic</v>
      </c>
      <c r="E402" s="16">
        <f>ABS(Solieusap!E402)</f>
        <v>2.189</v>
      </c>
      <c r="F402" s="16">
        <f>ABS(Solieusap!F402)</f>
        <v>0.3432</v>
      </c>
      <c r="G402" s="16">
        <f>ABS(Solieusap!G402)</f>
        <v>0.0483</v>
      </c>
      <c r="H402" s="16">
        <f>ABS(Solieusap!H402)</f>
        <v>0.00651</v>
      </c>
      <c r="I402" s="16">
        <f>ABS(Solieusap!I402)</f>
        <v>0.01073</v>
      </c>
      <c r="J402" s="16">
        <f>ABS(Solieusap!J402)</f>
        <v>0.07891</v>
      </c>
      <c r="K402" s="16">
        <f t="shared" si="1"/>
        <v>2.189</v>
      </c>
      <c r="L402" s="16">
        <f t="shared" si="2"/>
        <v>0.01073</v>
      </c>
    </row>
    <row r="403" ht="16.5" customHeight="1">
      <c r="A403" s="14" t="str">
        <f>Solieusap!A403</f>
        <v>352</v>
      </c>
      <c r="B403" s="15">
        <f>Solieusap!B403</f>
        <v>2</v>
      </c>
      <c r="C403" s="14" t="str">
        <f>Solieusap!C403</f>
        <v>DEAD1</v>
      </c>
      <c r="D403" s="14" t="str">
        <f>Solieusap!D403</f>
        <v>LinStatic</v>
      </c>
      <c r="E403" s="16">
        <f>ABS(Solieusap!E403)</f>
        <v>2.189</v>
      </c>
      <c r="F403" s="16">
        <f>ABS(Solieusap!F403)</f>
        <v>0.2469</v>
      </c>
      <c r="G403" s="16">
        <f>ABS(Solieusap!G403)</f>
        <v>0.0483</v>
      </c>
      <c r="H403" s="16">
        <f>ABS(Solieusap!H403)</f>
        <v>0.00651</v>
      </c>
      <c r="I403" s="16">
        <f>ABS(Solieusap!I403)</f>
        <v>0.01341</v>
      </c>
      <c r="J403" s="16">
        <f>ABS(Solieusap!J403)</f>
        <v>0.22643</v>
      </c>
      <c r="K403" s="16">
        <f t="shared" si="1"/>
        <v>2.189</v>
      </c>
      <c r="L403" s="16">
        <f t="shared" si="2"/>
        <v>0.01341</v>
      </c>
    </row>
    <row r="404" ht="16.5" customHeight="1">
      <c r="A404" s="14" t="str">
        <f>Solieusap!A404</f>
        <v>352</v>
      </c>
      <c r="B404" s="15">
        <f>Solieusap!B404</f>
        <v>2.5</v>
      </c>
      <c r="C404" s="14" t="str">
        <f>Solieusap!C404</f>
        <v>DEAD1</v>
      </c>
      <c r="D404" s="14" t="str">
        <f>Solieusap!D404</f>
        <v>LinStatic</v>
      </c>
      <c r="E404" s="16">
        <f>ABS(Solieusap!E404)</f>
        <v>2.189</v>
      </c>
      <c r="F404" s="16">
        <f>ABS(Solieusap!F404)</f>
        <v>0.1507</v>
      </c>
      <c r="G404" s="16">
        <f>ABS(Solieusap!G404)</f>
        <v>0.0483</v>
      </c>
      <c r="H404" s="16">
        <f>ABS(Solieusap!H404)</f>
        <v>0.00651</v>
      </c>
      <c r="I404" s="16">
        <f>ABS(Solieusap!I404)</f>
        <v>0.03755</v>
      </c>
      <c r="J404" s="16">
        <f>ABS(Solieusap!J404)</f>
        <v>0.32583</v>
      </c>
      <c r="K404" s="16">
        <f t="shared" si="1"/>
        <v>2.189</v>
      </c>
      <c r="L404" s="16">
        <f t="shared" si="2"/>
        <v>0.03755</v>
      </c>
    </row>
    <row r="405" ht="16.5" customHeight="1">
      <c r="A405" s="14" t="str">
        <f>Solieusap!A405</f>
        <v>352</v>
      </c>
      <c r="B405" s="15">
        <f>Solieusap!B405</f>
        <v>3</v>
      </c>
      <c r="C405" s="14" t="str">
        <f>Solieusap!C405</f>
        <v>DEAD1</v>
      </c>
      <c r="D405" s="14" t="str">
        <f>Solieusap!D405</f>
        <v>LinStatic</v>
      </c>
      <c r="E405" s="16">
        <f>ABS(Solieusap!E405)</f>
        <v>2.189</v>
      </c>
      <c r="F405" s="16">
        <f>ABS(Solieusap!F405)</f>
        <v>0.0544</v>
      </c>
      <c r="G405" s="16">
        <f>ABS(Solieusap!G405)</f>
        <v>0.0483</v>
      </c>
      <c r="H405" s="16">
        <f>ABS(Solieusap!H405)</f>
        <v>0.00651</v>
      </c>
      <c r="I405" s="16">
        <f>ABS(Solieusap!I405)</f>
        <v>0.06169</v>
      </c>
      <c r="J405" s="16">
        <f>ABS(Solieusap!J405)</f>
        <v>0.3771</v>
      </c>
      <c r="K405" s="16">
        <f t="shared" si="1"/>
        <v>2.189</v>
      </c>
      <c r="L405" s="16">
        <f t="shared" si="2"/>
        <v>0.06169</v>
      </c>
    </row>
    <row r="406" ht="16.5" customHeight="1">
      <c r="A406" s="14" t="str">
        <f>Solieusap!A406</f>
        <v>352</v>
      </c>
      <c r="B406" s="15">
        <f>Solieusap!B406</f>
        <v>3.5</v>
      </c>
      <c r="C406" s="14" t="str">
        <f>Solieusap!C406</f>
        <v>DEAD1</v>
      </c>
      <c r="D406" s="14" t="str">
        <f>Solieusap!D406</f>
        <v>LinStatic</v>
      </c>
      <c r="E406" s="16">
        <f>ABS(Solieusap!E406)</f>
        <v>2.189</v>
      </c>
      <c r="F406" s="16">
        <f>ABS(Solieusap!F406)</f>
        <v>0.0418</v>
      </c>
      <c r="G406" s="16">
        <f>ABS(Solieusap!G406)</f>
        <v>0.0483</v>
      </c>
      <c r="H406" s="16">
        <f>ABS(Solieusap!H406)</f>
        <v>0.00651</v>
      </c>
      <c r="I406" s="16">
        <f>ABS(Solieusap!I406)</f>
        <v>0.08583</v>
      </c>
      <c r="J406" s="16">
        <f>ABS(Solieusap!J406)</f>
        <v>0.38025</v>
      </c>
      <c r="K406" s="16">
        <f t="shared" si="1"/>
        <v>2.189</v>
      </c>
      <c r="L406" s="16">
        <f t="shared" si="2"/>
        <v>0.08583</v>
      </c>
    </row>
    <row r="407" ht="16.5" customHeight="1">
      <c r="A407" s="14" t="str">
        <f>Solieusap!A407</f>
        <v>352</v>
      </c>
      <c r="B407" s="15">
        <f>Solieusap!B407</f>
        <v>4</v>
      </c>
      <c r="C407" s="14" t="str">
        <f>Solieusap!C407</f>
        <v>DEAD1</v>
      </c>
      <c r="D407" s="14" t="str">
        <f>Solieusap!D407</f>
        <v>LinStatic</v>
      </c>
      <c r="E407" s="16">
        <f>ABS(Solieusap!E407)</f>
        <v>2.189</v>
      </c>
      <c r="F407" s="16">
        <f>ABS(Solieusap!F407)</f>
        <v>0.1381</v>
      </c>
      <c r="G407" s="16">
        <f>ABS(Solieusap!G407)</f>
        <v>0.0483</v>
      </c>
      <c r="H407" s="16">
        <f>ABS(Solieusap!H407)</f>
        <v>0.00651</v>
      </c>
      <c r="I407" s="16">
        <f>ABS(Solieusap!I407)</f>
        <v>0.10997</v>
      </c>
      <c r="J407" s="16">
        <f>ABS(Solieusap!J407)</f>
        <v>0.33527</v>
      </c>
      <c r="K407" s="16">
        <f t="shared" si="1"/>
        <v>2.189</v>
      </c>
      <c r="L407" s="16">
        <f t="shared" si="2"/>
        <v>0.10997</v>
      </c>
    </row>
    <row r="408" ht="16.5" customHeight="1">
      <c r="A408" s="14" t="str">
        <f>Solieusap!A408</f>
        <v>402</v>
      </c>
      <c r="B408" s="15">
        <f>Solieusap!B408</f>
        <v>0</v>
      </c>
      <c r="C408" s="14" t="str">
        <f>Solieusap!C408</f>
        <v>DEAD1</v>
      </c>
      <c r="D408" s="14" t="str">
        <f>Solieusap!D408</f>
        <v>LinStatic</v>
      </c>
      <c r="E408" s="16">
        <f>ABS(Solieusap!E408)</f>
        <v>2.9136</v>
      </c>
      <c r="F408" s="16">
        <f>ABS(Solieusap!F408)</f>
        <v>0.3777</v>
      </c>
      <c r="G408" s="16">
        <f>ABS(Solieusap!G408)</f>
        <v>0.0425</v>
      </c>
      <c r="H408" s="16">
        <f>ABS(Solieusap!H408)</f>
        <v>0.04721</v>
      </c>
      <c r="I408" s="16">
        <f>ABS(Solieusap!I408)</f>
        <v>0.10838</v>
      </c>
      <c r="J408" s="16">
        <f>ABS(Solieusap!J408)</f>
        <v>0.80987</v>
      </c>
      <c r="K408" s="16">
        <f t="shared" si="1"/>
        <v>2.9136</v>
      </c>
      <c r="L408" s="16">
        <f t="shared" si="2"/>
        <v>0.10838</v>
      </c>
    </row>
    <row r="409" ht="16.5" customHeight="1">
      <c r="A409" s="14" t="str">
        <f>Solieusap!A409</f>
        <v>402</v>
      </c>
      <c r="B409" s="15">
        <f>Solieusap!B409</f>
        <v>0.5</v>
      </c>
      <c r="C409" s="14" t="str">
        <f>Solieusap!C409</f>
        <v>DEAD1</v>
      </c>
      <c r="D409" s="14" t="str">
        <f>Solieusap!D409</f>
        <v>LinStatic</v>
      </c>
      <c r="E409" s="16">
        <f>ABS(Solieusap!E409)</f>
        <v>2.9136</v>
      </c>
      <c r="F409" s="16">
        <f>ABS(Solieusap!F409)</f>
        <v>0.4739</v>
      </c>
      <c r="G409" s="16">
        <f>ABS(Solieusap!G409)</f>
        <v>0.0425</v>
      </c>
      <c r="H409" s="16">
        <f>ABS(Solieusap!H409)</f>
        <v>0.04721</v>
      </c>
      <c r="I409" s="16">
        <f>ABS(Solieusap!I409)</f>
        <v>0.08711</v>
      </c>
      <c r="J409" s="16">
        <f>ABS(Solieusap!J409)</f>
        <v>0.59696</v>
      </c>
      <c r="K409" s="16">
        <f t="shared" si="1"/>
        <v>2.9136</v>
      </c>
      <c r="L409" s="16">
        <f t="shared" si="2"/>
        <v>0.08711</v>
      </c>
    </row>
    <row r="410" ht="16.5" customHeight="1">
      <c r="A410" s="14" t="str">
        <f>Solieusap!A410</f>
        <v>402</v>
      </c>
      <c r="B410" s="15">
        <f>Solieusap!B410</f>
        <v>1</v>
      </c>
      <c r="C410" s="14" t="str">
        <f>Solieusap!C410</f>
        <v>DEAD1</v>
      </c>
      <c r="D410" s="14" t="str">
        <f>Solieusap!D410</f>
        <v>LinStatic</v>
      </c>
      <c r="E410" s="16">
        <f>ABS(Solieusap!E410)</f>
        <v>2.9136</v>
      </c>
      <c r="F410" s="16">
        <f>ABS(Solieusap!F410)</f>
        <v>0.5702</v>
      </c>
      <c r="G410" s="16">
        <f>ABS(Solieusap!G410)</f>
        <v>0.0425</v>
      </c>
      <c r="H410" s="16">
        <f>ABS(Solieusap!H410)</f>
        <v>0.04721</v>
      </c>
      <c r="I410" s="16">
        <f>ABS(Solieusap!I410)</f>
        <v>0.06585</v>
      </c>
      <c r="J410" s="16">
        <f>ABS(Solieusap!J410)</f>
        <v>0.33594</v>
      </c>
      <c r="K410" s="16">
        <f t="shared" si="1"/>
        <v>2.9136</v>
      </c>
      <c r="L410" s="16">
        <f t="shared" si="2"/>
        <v>0.06585</v>
      </c>
    </row>
    <row r="411" ht="16.5" customHeight="1">
      <c r="A411" s="14" t="str">
        <f>Solieusap!A411</f>
        <v>402</v>
      </c>
      <c r="B411" s="15">
        <f>Solieusap!B411</f>
        <v>1.5</v>
      </c>
      <c r="C411" s="14" t="str">
        <f>Solieusap!C411</f>
        <v>DEAD1</v>
      </c>
      <c r="D411" s="14" t="str">
        <f>Solieusap!D411</f>
        <v>LinStatic</v>
      </c>
      <c r="E411" s="16">
        <f>ABS(Solieusap!E411)</f>
        <v>2.9136</v>
      </c>
      <c r="F411" s="16">
        <f>ABS(Solieusap!F411)</f>
        <v>0.6664</v>
      </c>
      <c r="G411" s="16">
        <f>ABS(Solieusap!G411)</f>
        <v>0.0425</v>
      </c>
      <c r="H411" s="16">
        <f>ABS(Solieusap!H411)</f>
        <v>0.04721</v>
      </c>
      <c r="I411" s="16">
        <f>ABS(Solieusap!I411)</f>
        <v>0.04459</v>
      </c>
      <c r="J411" s="16">
        <f>ABS(Solieusap!J411)</f>
        <v>0.02678</v>
      </c>
      <c r="K411" s="16">
        <f t="shared" si="1"/>
        <v>2.9136</v>
      </c>
      <c r="L411" s="16">
        <f t="shared" si="2"/>
        <v>0.04459</v>
      </c>
    </row>
    <row r="412" ht="16.5" customHeight="1">
      <c r="A412" s="14" t="str">
        <f>Solieusap!A412</f>
        <v>402</v>
      </c>
      <c r="B412" s="15">
        <f>Solieusap!B412</f>
        <v>2</v>
      </c>
      <c r="C412" s="14" t="str">
        <f>Solieusap!C412</f>
        <v>DEAD1</v>
      </c>
      <c r="D412" s="14" t="str">
        <f>Solieusap!D412</f>
        <v>LinStatic</v>
      </c>
      <c r="E412" s="16">
        <f>ABS(Solieusap!E412)</f>
        <v>2.9136</v>
      </c>
      <c r="F412" s="16">
        <f>ABS(Solieusap!F412)</f>
        <v>0.7627</v>
      </c>
      <c r="G412" s="16">
        <f>ABS(Solieusap!G412)</f>
        <v>0.0425</v>
      </c>
      <c r="H412" s="16">
        <f>ABS(Solieusap!H412)</f>
        <v>0.04721</v>
      </c>
      <c r="I412" s="16">
        <f>ABS(Solieusap!I412)</f>
        <v>0.02332</v>
      </c>
      <c r="J412" s="16">
        <f>ABS(Solieusap!J412)</f>
        <v>0.3305</v>
      </c>
      <c r="K412" s="16">
        <f t="shared" si="1"/>
        <v>2.9136</v>
      </c>
      <c r="L412" s="16">
        <f t="shared" si="2"/>
        <v>0.02332</v>
      </c>
    </row>
    <row r="413" ht="16.5" customHeight="1">
      <c r="A413" s="14" t="str">
        <f>Solieusap!A413</f>
        <v>404</v>
      </c>
      <c r="B413" s="15">
        <f>Solieusap!B413</f>
        <v>0</v>
      </c>
      <c r="C413" s="14" t="str">
        <f>Solieusap!C413</f>
        <v>DEAD1</v>
      </c>
      <c r="D413" s="14" t="str">
        <f>Solieusap!D413</f>
        <v>LinStatic</v>
      </c>
      <c r="E413" s="16">
        <f>ABS(Solieusap!E413)</f>
        <v>2.8359</v>
      </c>
      <c r="F413" s="16">
        <f>ABS(Solieusap!F413)</f>
        <v>0.6294</v>
      </c>
      <c r="G413" s="16">
        <f>ABS(Solieusap!G413)</f>
        <v>0.0379</v>
      </c>
      <c r="H413" s="16">
        <f>ABS(Solieusap!H413)</f>
        <v>0.06609</v>
      </c>
      <c r="I413" s="16">
        <f>ABS(Solieusap!I413)</f>
        <v>0.11546</v>
      </c>
      <c r="J413" s="16">
        <f>ABS(Solieusap!J413)</f>
        <v>1.05274</v>
      </c>
      <c r="K413" s="16">
        <f t="shared" si="1"/>
        <v>2.8359</v>
      </c>
      <c r="L413" s="16">
        <f t="shared" si="2"/>
        <v>0.11546</v>
      </c>
    </row>
    <row r="414" ht="16.5" customHeight="1">
      <c r="A414" s="14" t="str">
        <f>Solieusap!A414</f>
        <v>404</v>
      </c>
      <c r="B414" s="15">
        <f>Solieusap!B414</f>
        <v>0.5</v>
      </c>
      <c r="C414" s="14" t="str">
        <f>Solieusap!C414</f>
        <v>DEAD1</v>
      </c>
      <c r="D414" s="14" t="str">
        <f>Solieusap!D414</f>
        <v>LinStatic</v>
      </c>
      <c r="E414" s="16">
        <f>ABS(Solieusap!E414)</f>
        <v>2.8359</v>
      </c>
      <c r="F414" s="16">
        <f>ABS(Solieusap!F414)</f>
        <v>0.7256</v>
      </c>
      <c r="G414" s="16">
        <f>ABS(Solieusap!G414)</f>
        <v>0.0379</v>
      </c>
      <c r="H414" s="16">
        <f>ABS(Solieusap!H414)</f>
        <v>0.06609</v>
      </c>
      <c r="I414" s="16">
        <f>ABS(Solieusap!I414)</f>
        <v>0.0965</v>
      </c>
      <c r="J414" s="16">
        <f>ABS(Solieusap!J414)</f>
        <v>0.71399</v>
      </c>
      <c r="K414" s="16">
        <f t="shared" si="1"/>
        <v>2.8359</v>
      </c>
      <c r="L414" s="16">
        <f t="shared" si="2"/>
        <v>0.0965</v>
      </c>
    </row>
    <row r="415" ht="16.5" customHeight="1">
      <c r="A415" s="14" t="str">
        <f>Solieusap!A415</f>
        <v>404</v>
      </c>
      <c r="B415" s="15">
        <f>Solieusap!B415</f>
        <v>1</v>
      </c>
      <c r="C415" s="14" t="str">
        <f>Solieusap!C415</f>
        <v>DEAD1</v>
      </c>
      <c r="D415" s="14" t="str">
        <f>Solieusap!D415</f>
        <v>LinStatic</v>
      </c>
      <c r="E415" s="16">
        <f>ABS(Solieusap!E415)</f>
        <v>2.8359</v>
      </c>
      <c r="F415" s="16">
        <f>ABS(Solieusap!F415)</f>
        <v>0.8219</v>
      </c>
      <c r="G415" s="16">
        <f>ABS(Solieusap!G415)</f>
        <v>0.0379</v>
      </c>
      <c r="H415" s="16">
        <f>ABS(Solieusap!H415)</f>
        <v>0.06609</v>
      </c>
      <c r="I415" s="16">
        <f>ABS(Solieusap!I415)</f>
        <v>0.07754</v>
      </c>
      <c r="J415" s="16">
        <f>ABS(Solieusap!J415)</f>
        <v>0.32712</v>
      </c>
      <c r="K415" s="16">
        <f t="shared" si="1"/>
        <v>2.8359</v>
      </c>
      <c r="L415" s="16">
        <f t="shared" si="2"/>
        <v>0.07754</v>
      </c>
    </row>
    <row r="416" ht="16.5" customHeight="1">
      <c r="A416" s="14" t="str">
        <f>Solieusap!A416</f>
        <v>404</v>
      </c>
      <c r="B416" s="15">
        <f>Solieusap!B416</f>
        <v>1.5</v>
      </c>
      <c r="C416" s="14" t="str">
        <f>Solieusap!C416</f>
        <v>DEAD1</v>
      </c>
      <c r="D416" s="14" t="str">
        <f>Solieusap!D416</f>
        <v>LinStatic</v>
      </c>
      <c r="E416" s="16">
        <f>ABS(Solieusap!E416)</f>
        <v>2.8359</v>
      </c>
      <c r="F416" s="16">
        <f>ABS(Solieusap!F416)</f>
        <v>0.9181</v>
      </c>
      <c r="G416" s="16">
        <f>ABS(Solieusap!G416)</f>
        <v>0.0379</v>
      </c>
      <c r="H416" s="16">
        <f>ABS(Solieusap!H416)</f>
        <v>0.06609</v>
      </c>
      <c r="I416" s="16">
        <f>ABS(Solieusap!I416)</f>
        <v>0.05857</v>
      </c>
      <c r="J416" s="16">
        <f>ABS(Solieusap!J416)</f>
        <v>0.10789</v>
      </c>
      <c r="K416" s="16">
        <f t="shared" si="1"/>
        <v>2.8359</v>
      </c>
      <c r="L416" s="16">
        <f t="shared" si="2"/>
        <v>0.05857</v>
      </c>
    </row>
    <row r="417" ht="16.5" customHeight="1">
      <c r="A417" s="14" t="str">
        <f>Solieusap!A417</f>
        <v>404</v>
      </c>
      <c r="B417" s="15">
        <f>Solieusap!B417</f>
        <v>2</v>
      </c>
      <c r="C417" s="14" t="str">
        <f>Solieusap!C417</f>
        <v>DEAD1</v>
      </c>
      <c r="D417" s="14" t="str">
        <f>Solieusap!D417</f>
        <v>LinStatic</v>
      </c>
      <c r="E417" s="16">
        <f>ABS(Solieusap!E417)</f>
        <v>2.8359</v>
      </c>
      <c r="F417" s="16">
        <f>ABS(Solieusap!F417)</f>
        <v>1.0144</v>
      </c>
      <c r="G417" s="16">
        <f>ABS(Solieusap!G417)</f>
        <v>0.0379</v>
      </c>
      <c r="H417" s="16">
        <f>ABS(Solieusap!H417)</f>
        <v>0.06609</v>
      </c>
      <c r="I417" s="16">
        <f>ABS(Solieusap!I417)</f>
        <v>0.03961</v>
      </c>
      <c r="J417" s="16">
        <f>ABS(Solieusap!J417)</f>
        <v>0.59101</v>
      </c>
      <c r="K417" s="16">
        <f t="shared" si="1"/>
        <v>2.8359</v>
      </c>
      <c r="L417" s="16">
        <f t="shared" si="2"/>
        <v>0.03961</v>
      </c>
    </row>
    <row r="418" ht="16.5" customHeight="1">
      <c r="A418" s="14" t="str">
        <f>Solieusap!A418</f>
        <v>405</v>
      </c>
      <c r="B418" s="15">
        <f>Solieusap!B418</f>
        <v>0</v>
      </c>
      <c r="C418" s="14" t="str">
        <f>Solieusap!C418</f>
        <v>DEAD1</v>
      </c>
      <c r="D418" s="14" t="str">
        <f>Solieusap!D418</f>
        <v>LinStatic</v>
      </c>
      <c r="E418" s="16">
        <f>ABS(Solieusap!E418)</f>
        <v>5.2867</v>
      </c>
      <c r="F418" s="16">
        <f>ABS(Solieusap!F418)</f>
        <v>0.3565</v>
      </c>
      <c r="G418" s="16">
        <f>ABS(Solieusap!G418)</f>
        <v>0.013</v>
      </c>
      <c r="H418" s="16">
        <f>ABS(Solieusap!H418)</f>
        <v>0.02815</v>
      </c>
      <c r="I418" s="16">
        <f>ABS(Solieusap!I418)</f>
        <v>0.02847</v>
      </c>
      <c r="J418" s="16">
        <f>ABS(Solieusap!J418)</f>
        <v>0.43851</v>
      </c>
      <c r="K418" s="16">
        <f t="shared" si="1"/>
        <v>5.2867</v>
      </c>
      <c r="L418" s="16">
        <f t="shared" si="2"/>
        <v>0.02847</v>
      </c>
    </row>
    <row r="419" ht="16.5" customHeight="1">
      <c r="A419" s="14" t="str">
        <f>Solieusap!A419</f>
        <v>405</v>
      </c>
      <c r="B419" s="15">
        <f>Solieusap!B419</f>
        <v>0.5</v>
      </c>
      <c r="C419" s="14" t="str">
        <f>Solieusap!C419</f>
        <v>DEAD1</v>
      </c>
      <c r="D419" s="14" t="str">
        <f>Solieusap!D419</f>
        <v>LinStatic</v>
      </c>
      <c r="E419" s="16">
        <f>ABS(Solieusap!E419)</f>
        <v>5.2867</v>
      </c>
      <c r="F419" s="16">
        <f>ABS(Solieusap!F419)</f>
        <v>0.2602</v>
      </c>
      <c r="G419" s="16">
        <f>ABS(Solieusap!G419)</f>
        <v>0.013</v>
      </c>
      <c r="H419" s="16">
        <f>ABS(Solieusap!H419)</f>
        <v>0.02815</v>
      </c>
      <c r="I419" s="16">
        <f>ABS(Solieusap!I419)</f>
        <v>0.02197</v>
      </c>
      <c r="J419" s="16">
        <f>ABS(Solieusap!J419)</f>
        <v>0.28433</v>
      </c>
      <c r="K419" s="16">
        <f t="shared" si="1"/>
        <v>5.2867</v>
      </c>
      <c r="L419" s="16">
        <f t="shared" si="2"/>
        <v>0.02197</v>
      </c>
    </row>
    <row r="420" ht="16.5" customHeight="1">
      <c r="A420" s="14" t="str">
        <f>Solieusap!A420</f>
        <v>405</v>
      </c>
      <c r="B420" s="15">
        <f>Solieusap!B420</f>
        <v>1</v>
      </c>
      <c r="C420" s="14" t="str">
        <f>Solieusap!C420</f>
        <v>DEAD1</v>
      </c>
      <c r="D420" s="14" t="str">
        <f>Solieusap!D420</f>
        <v>LinStatic</v>
      </c>
      <c r="E420" s="16">
        <f>ABS(Solieusap!E420)</f>
        <v>5.2867</v>
      </c>
      <c r="F420" s="16">
        <f>ABS(Solieusap!F420)</f>
        <v>0.164</v>
      </c>
      <c r="G420" s="16">
        <f>ABS(Solieusap!G420)</f>
        <v>0.013</v>
      </c>
      <c r="H420" s="16">
        <f>ABS(Solieusap!H420)</f>
        <v>0.02815</v>
      </c>
      <c r="I420" s="16">
        <f>ABS(Solieusap!I420)</f>
        <v>0.01547</v>
      </c>
      <c r="J420" s="16">
        <f>ABS(Solieusap!J420)</f>
        <v>0.17828</v>
      </c>
      <c r="K420" s="16">
        <f t="shared" si="1"/>
        <v>5.2867</v>
      </c>
      <c r="L420" s="16">
        <f t="shared" si="2"/>
        <v>0.01547</v>
      </c>
    </row>
    <row r="421" ht="16.5" customHeight="1">
      <c r="A421" s="14" t="str">
        <f>Solieusap!A421</f>
        <v>405</v>
      </c>
      <c r="B421" s="15">
        <f>Solieusap!B421</f>
        <v>1.5</v>
      </c>
      <c r="C421" s="14" t="str">
        <f>Solieusap!C421</f>
        <v>DEAD1</v>
      </c>
      <c r="D421" s="14" t="str">
        <f>Solieusap!D421</f>
        <v>LinStatic</v>
      </c>
      <c r="E421" s="16">
        <f>ABS(Solieusap!E421)</f>
        <v>5.2867</v>
      </c>
      <c r="F421" s="16">
        <f>ABS(Solieusap!F421)</f>
        <v>0.0677</v>
      </c>
      <c r="G421" s="16">
        <f>ABS(Solieusap!G421)</f>
        <v>0.013</v>
      </c>
      <c r="H421" s="16">
        <f>ABS(Solieusap!H421)</f>
        <v>0.02815</v>
      </c>
      <c r="I421" s="16">
        <f>ABS(Solieusap!I421)</f>
        <v>0.00898</v>
      </c>
      <c r="J421" s="16">
        <f>ABS(Solieusap!J421)</f>
        <v>0.12036</v>
      </c>
      <c r="K421" s="16">
        <f t="shared" si="1"/>
        <v>5.2867</v>
      </c>
      <c r="L421" s="16">
        <f t="shared" si="2"/>
        <v>0.00898</v>
      </c>
    </row>
    <row r="422" ht="16.5" customHeight="1">
      <c r="A422" s="14" t="str">
        <f>Solieusap!A422</f>
        <v>405</v>
      </c>
      <c r="B422" s="15">
        <f>Solieusap!B422</f>
        <v>2</v>
      </c>
      <c r="C422" s="14" t="str">
        <f>Solieusap!C422</f>
        <v>DEAD1</v>
      </c>
      <c r="D422" s="14" t="str">
        <f>Solieusap!D422</f>
        <v>LinStatic</v>
      </c>
      <c r="E422" s="16">
        <f>ABS(Solieusap!E422)</f>
        <v>5.2867</v>
      </c>
      <c r="F422" s="16">
        <f>ABS(Solieusap!F422)</f>
        <v>0.0285</v>
      </c>
      <c r="G422" s="16">
        <f>ABS(Solieusap!G422)</f>
        <v>0.013</v>
      </c>
      <c r="H422" s="16">
        <f>ABS(Solieusap!H422)</f>
        <v>0.02815</v>
      </c>
      <c r="I422" s="16">
        <f>ABS(Solieusap!I422)</f>
        <v>0.00248</v>
      </c>
      <c r="J422" s="16">
        <f>ABS(Solieusap!J422)</f>
        <v>0.11056</v>
      </c>
      <c r="K422" s="16">
        <f t="shared" si="1"/>
        <v>5.2867</v>
      </c>
      <c r="L422" s="16">
        <f t="shared" si="2"/>
        <v>0.00248</v>
      </c>
    </row>
    <row r="423" ht="16.5" customHeight="1">
      <c r="A423" s="14" t="str">
        <f>Solieusap!A423</f>
        <v>406</v>
      </c>
      <c r="B423" s="15">
        <f>Solieusap!B423</f>
        <v>0</v>
      </c>
      <c r="C423" s="14" t="str">
        <f>Solieusap!C423</f>
        <v>DEAD1</v>
      </c>
      <c r="D423" s="14" t="str">
        <f>Solieusap!D423</f>
        <v>LinStatic</v>
      </c>
      <c r="E423" s="16">
        <f>ABS(Solieusap!E423)</f>
        <v>1.636</v>
      </c>
      <c r="F423" s="16">
        <f>ABS(Solieusap!F423)</f>
        <v>0.0377</v>
      </c>
      <c r="G423" s="16">
        <f>ABS(Solieusap!G423)</f>
        <v>0.0753</v>
      </c>
      <c r="H423" s="16">
        <f>ABS(Solieusap!H423)</f>
        <v>0.09822</v>
      </c>
      <c r="I423" s="16">
        <f>ABS(Solieusap!I423)</f>
        <v>0.04423</v>
      </c>
      <c r="J423" s="16">
        <f>ABS(Solieusap!J423)</f>
        <v>0.07896</v>
      </c>
      <c r="K423" s="16">
        <f t="shared" si="1"/>
        <v>1.636</v>
      </c>
      <c r="L423" s="16">
        <f t="shared" si="2"/>
        <v>0.04423</v>
      </c>
    </row>
    <row r="424" ht="16.5" customHeight="1">
      <c r="A424" s="14" t="str">
        <f>Solieusap!A424</f>
        <v>406</v>
      </c>
      <c r="B424" s="15">
        <f>Solieusap!B424</f>
        <v>0.5</v>
      </c>
      <c r="C424" s="14" t="str">
        <f>Solieusap!C424</f>
        <v>DEAD1</v>
      </c>
      <c r="D424" s="14" t="str">
        <f>Solieusap!D424</f>
        <v>LinStatic</v>
      </c>
      <c r="E424" s="16">
        <f>ABS(Solieusap!E424)</f>
        <v>1.636</v>
      </c>
      <c r="F424" s="16">
        <f>ABS(Solieusap!F424)</f>
        <v>0.1339</v>
      </c>
      <c r="G424" s="16">
        <f>ABS(Solieusap!G424)</f>
        <v>0.0753</v>
      </c>
      <c r="H424" s="16">
        <f>ABS(Solieusap!H424)</f>
        <v>0.09822</v>
      </c>
      <c r="I424" s="16">
        <f>ABS(Solieusap!I424)</f>
        <v>0.00657</v>
      </c>
      <c r="J424" s="16">
        <f>ABS(Solieusap!J424)</f>
        <v>0.03607</v>
      </c>
      <c r="K424" s="16">
        <f t="shared" si="1"/>
        <v>1.636</v>
      </c>
      <c r="L424" s="16">
        <f t="shared" si="2"/>
        <v>0.00657</v>
      </c>
    </row>
    <row r="425" ht="16.5" customHeight="1">
      <c r="A425" s="14" t="str">
        <f>Solieusap!A425</f>
        <v>406</v>
      </c>
      <c r="B425" s="15">
        <f>Solieusap!B425</f>
        <v>1</v>
      </c>
      <c r="C425" s="14" t="str">
        <f>Solieusap!C425</f>
        <v>DEAD1</v>
      </c>
      <c r="D425" s="14" t="str">
        <f>Solieusap!D425</f>
        <v>LinStatic</v>
      </c>
      <c r="E425" s="16">
        <f>ABS(Solieusap!E425)</f>
        <v>1.636</v>
      </c>
      <c r="F425" s="16">
        <f>ABS(Solieusap!F425)</f>
        <v>0.2302</v>
      </c>
      <c r="G425" s="16">
        <f>ABS(Solieusap!G425)</f>
        <v>0.0753</v>
      </c>
      <c r="H425" s="16">
        <f>ABS(Solieusap!H425)</f>
        <v>0.09822</v>
      </c>
      <c r="I425" s="16">
        <f>ABS(Solieusap!I425)</f>
        <v>0.03108</v>
      </c>
      <c r="J425" s="16">
        <f>ABS(Solieusap!J425)</f>
        <v>0.05495</v>
      </c>
      <c r="K425" s="16">
        <f t="shared" si="1"/>
        <v>1.636</v>
      </c>
      <c r="L425" s="16">
        <f t="shared" si="2"/>
        <v>0.03108</v>
      </c>
    </row>
    <row r="426" ht="16.5" customHeight="1">
      <c r="A426" s="14" t="str">
        <f>Solieusap!A426</f>
        <v>406</v>
      </c>
      <c r="B426" s="15">
        <f>Solieusap!B426</f>
        <v>1.5</v>
      </c>
      <c r="C426" s="14" t="str">
        <f>Solieusap!C426</f>
        <v>DEAD1</v>
      </c>
      <c r="D426" s="14" t="str">
        <f>Solieusap!D426</f>
        <v>LinStatic</v>
      </c>
      <c r="E426" s="16">
        <f>ABS(Solieusap!E426)</f>
        <v>1.636</v>
      </c>
      <c r="F426" s="16">
        <f>ABS(Solieusap!F426)</f>
        <v>0.3264</v>
      </c>
      <c r="G426" s="16">
        <f>ABS(Solieusap!G426)</f>
        <v>0.0753</v>
      </c>
      <c r="H426" s="16">
        <f>ABS(Solieusap!H426)</f>
        <v>0.09822</v>
      </c>
      <c r="I426" s="16">
        <f>ABS(Solieusap!I426)</f>
        <v>0.06874</v>
      </c>
      <c r="J426" s="16">
        <f>ABS(Solieusap!J426)</f>
        <v>0.19409</v>
      </c>
      <c r="K426" s="16">
        <f t="shared" si="1"/>
        <v>1.636</v>
      </c>
      <c r="L426" s="16">
        <f t="shared" si="2"/>
        <v>0.06874</v>
      </c>
    </row>
    <row r="427" ht="16.5" customHeight="1">
      <c r="A427" s="14" t="str">
        <f>Solieusap!A427</f>
        <v>406</v>
      </c>
      <c r="B427" s="15">
        <f>Solieusap!B427</f>
        <v>2</v>
      </c>
      <c r="C427" s="14" t="str">
        <f>Solieusap!C427</f>
        <v>DEAD1</v>
      </c>
      <c r="D427" s="14" t="str">
        <f>Solieusap!D427</f>
        <v>LinStatic</v>
      </c>
      <c r="E427" s="16">
        <f>ABS(Solieusap!E427)</f>
        <v>1.636</v>
      </c>
      <c r="F427" s="16">
        <f>ABS(Solieusap!F427)</f>
        <v>0.4227</v>
      </c>
      <c r="G427" s="16">
        <f>ABS(Solieusap!G427)</f>
        <v>0.0753</v>
      </c>
      <c r="H427" s="16">
        <f>ABS(Solieusap!H427)</f>
        <v>0.09822</v>
      </c>
      <c r="I427" s="16">
        <f>ABS(Solieusap!I427)</f>
        <v>0.10639</v>
      </c>
      <c r="J427" s="16">
        <f>ABS(Solieusap!J427)</f>
        <v>0.38135</v>
      </c>
      <c r="K427" s="16">
        <f t="shared" si="1"/>
        <v>1.636</v>
      </c>
      <c r="L427" s="16">
        <f t="shared" si="2"/>
        <v>0.10639</v>
      </c>
    </row>
    <row r="428" ht="16.5" customHeight="1">
      <c r="A428" s="14" t="str">
        <f>Solieusap!A428</f>
        <v>407</v>
      </c>
      <c r="B428" s="15">
        <f>Solieusap!B428</f>
        <v>0</v>
      </c>
      <c r="C428" s="14" t="str">
        <f>Solieusap!C428</f>
        <v>DEAD1</v>
      </c>
      <c r="D428" s="14" t="str">
        <f>Solieusap!D428</f>
        <v>LinStatic</v>
      </c>
      <c r="E428" s="16">
        <f>ABS(Solieusap!E428)</f>
        <v>1.6278</v>
      </c>
      <c r="F428" s="16">
        <f>ABS(Solieusap!F428)</f>
        <v>0.611</v>
      </c>
      <c r="G428" s="16">
        <f>ABS(Solieusap!G428)</f>
        <v>0.0119</v>
      </c>
      <c r="H428" s="16">
        <f>ABS(Solieusap!H428)</f>
        <v>0.1461</v>
      </c>
      <c r="I428" s="16">
        <f>ABS(Solieusap!I428)</f>
        <v>0.03381</v>
      </c>
      <c r="J428" s="16">
        <f>ABS(Solieusap!J428)</f>
        <v>0.50749</v>
      </c>
      <c r="K428" s="16">
        <f t="shared" si="1"/>
        <v>1.6278</v>
      </c>
      <c r="L428" s="16">
        <f t="shared" si="2"/>
        <v>0.03381</v>
      </c>
    </row>
    <row r="429" ht="16.5" customHeight="1">
      <c r="A429" s="14" t="str">
        <f>Solieusap!A429</f>
        <v>407</v>
      </c>
      <c r="B429" s="15">
        <f>Solieusap!B429</f>
        <v>0.5</v>
      </c>
      <c r="C429" s="14" t="str">
        <f>Solieusap!C429</f>
        <v>DEAD1</v>
      </c>
      <c r="D429" s="14" t="str">
        <f>Solieusap!D429</f>
        <v>LinStatic</v>
      </c>
      <c r="E429" s="16">
        <f>ABS(Solieusap!E429)</f>
        <v>1.6278</v>
      </c>
      <c r="F429" s="16">
        <f>ABS(Solieusap!F429)</f>
        <v>0.5147</v>
      </c>
      <c r="G429" s="16">
        <f>ABS(Solieusap!G429)</f>
        <v>0.0119</v>
      </c>
      <c r="H429" s="16">
        <f>ABS(Solieusap!H429)</f>
        <v>0.1461</v>
      </c>
      <c r="I429" s="16">
        <f>ABS(Solieusap!I429)</f>
        <v>0.03974</v>
      </c>
      <c r="J429" s="16">
        <f>ABS(Solieusap!J429)</f>
        <v>0.22606</v>
      </c>
      <c r="K429" s="16">
        <f t="shared" si="1"/>
        <v>1.6278</v>
      </c>
      <c r="L429" s="16">
        <f t="shared" si="2"/>
        <v>0.03974</v>
      </c>
    </row>
    <row r="430" ht="16.5" customHeight="1">
      <c r="A430" s="14" t="str">
        <f>Solieusap!A430</f>
        <v>407</v>
      </c>
      <c r="B430" s="15">
        <f>Solieusap!B430</f>
        <v>1</v>
      </c>
      <c r="C430" s="14" t="str">
        <f>Solieusap!C430</f>
        <v>DEAD1</v>
      </c>
      <c r="D430" s="14" t="str">
        <f>Solieusap!D430</f>
        <v>LinStatic</v>
      </c>
      <c r="E430" s="16">
        <f>ABS(Solieusap!E430)</f>
        <v>1.6278</v>
      </c>
      <c r="F430" s="16">
        <f>ABS(Solieusap!F430)</f>
        <v>0.4185</v>
      </c>
      <c r="G430" s="16">
        <f>ABS(Solieusap!G430)</f>
        <v>0.0119</v>
      </c>
      <c r="H430" s="16">
        <f>ABS(Solieusap!H430)</f>
        <v>0.1461</v>
      </c>
      <c r="I430" s="16">
        <f>ABS(Solieusap!I430)</f>
        <v>0.04568</v>
      </c>
      <c r="J430" s="16">
        <f>ABS(Solieusap!J430)</f>
        <v>0.00723</v>
      </c>
      <c r="K430" s="16">
        <f t="shared" si="1"/>
        <v>1.6278</v>
      </c>
      <c r="L430" s="16">
        <f t="shared" si="2"/>
        <v>0.04568</v>
      </c>
    </row>
    <row r="431" ht="16.5" customHeight="1">
      <c r="A431" s="14" t="str">
        <f>Solieusap!A431</f>
        <v>407</v>
      </c>
      <c r="B431" s="15">
        <f>Solieusap!B431</f>
        <v>1.5</v>
      </c>
      <c r="C431" s="14" t="str">
        <f>Solieusap!C431</f>
        <v>DEAD1</v>
      </c>
      <c r="D431" s="14" t="str">
        <f>Solieusap!D431</f>
        <v>LinStatic</v>
      </c>
      <c r="E431" s="16">
        <f>ABS(Solieusap!E431)</f>
        <v>1.6278</v>
      </c>
      <c r="F431" s="16">
        <f>ABS(Solieusap!F431)</f>
        <v>0.3222</v>
      </c>
      <c r="G431" s="16">
        <f>ABS(Solieusap!G431)</f>
        <v>0.0119</v>
      </c>
      <c r="H431" s="16">
        <f>ABS(Solieusap!H431)</f>
        <v>0.1461</v>
      </c>
      <c r="I431" s="16">
        <f>ABS(Solieusap!I431)</f>
        <v>0.05162</v>
      </c>
      <c r="J431" s="16">
        <f>ABS(Solieusap!J431)</f>
        <v>0.19241</v>
      </c>
      <c r="K431" s="16">
        <f t="shared" si="1"/>
        <v>1.6278</v>
      </c>
      <c r="L431" s="16">
        <f t="shared" si="2"/>
        <v>0.05162</v>
      </c>
    </row>
    <row r="432" ht="16.5" customHeight="1">
      <c r="A432" s="14" t="str">
        <f>Solieusap!A432</f>
        <v>407</v>
      </c>
      <c r="B432" s="15">
        <f>Solieusap!B432</f>
        <v>2</v>
      </c>
      <c r="C432" s="14" t="str">
        <f>Solieusap!C432</f>
        <v>DEAD1</v>
      </c>
      <c r="D432" s="14" t="str">
        <f>Solieusap!D432</f>
        <v>LinStatic</v>
      </c>
      <c r="E432" s="16">
        <f>ABS(Solieusap!E432)</f>
        <v>1.6278</v>
      </c>
      <c r="F432" s="16">
        <f>ABS(Solieusap!F432)</f>
        <v>0.226</v>
      </c>
      <c r="G432" s="16">
        <f>ABS(Solieusap!G432)</f>
        <v>0.0119</v>
      </c>
      <c r="H432" s="16">
        <f>ABS(Solieusap!H432)</f>
        <v>0.1461</v>
      </c>
      <c r="I432" s="16">
        <f>ABS(Solieusap!I432)</f>
        <v>0.05756</v>
      </c>
      <c r="J432" s="16">
        <f>ABS(Solieusap!J432)</f>
        <v>0.32945</v>
      </c>
      <c r="K432" s="16">
        <f t="shared" si="1"/>
        <v>1.6278</v>
      </c>
      <c r="L432" s="16">
        <f t="shared" si="2"/>
        <v>0.05756</v>
      </c>
    </row>
    <row r="433" ht="16.5" customHeight="1">
      <c r="A433" s="14" t="str">
        <f>Solieusap!A433</f>
        <v>408</v>
      </c>
      <c r="B433" s="15">
        <f>Solieusap!B433</f>
        <v>0</v>
      </c>
      <c r="C433" s="14" t="str">
        <f>Solieusap!C433</f>
        <v>DEAD1</v>
      </c>
      <c r="D433" s="14" t="str">
        <f>Solieusap!D433</f>
        <v>LinStatic</v>
      </c>
      <c r="E433" s="16">
        <f>ABS(Solieusap!E433)</f>
        <v>2.2859</v>
      </c>
      <c r="F433" s="16">
        <f>ABS(Solieusap!F433)</f>
        <v>0.1355</v>
      </c>
      <c r="G433" s="16">
        <f>ABS(Solieusap!G433)</f>
        <v>0.0115</v>
      </c>
      <c r="H433" s="16">
        <f>ABS(Solieusap!H433)</f>
        <v>0.03035</v>
      </c>
      <c r="I433" s="16">
        <f>ABS(Solieusap!I433)</f>
        <v>0.01076</v>
      </c>
      <c r="J433" s="16">
        <f>ABS(Solieusap!J433)</f>
        <v>0.04562</v>
      </c>
      <c r="K433" s="16">
        <f t="shared" si="1"/>
        <v>2.2859</v>
      </c>
      <c r="L433" s="16">
        <f t="shared" si="2"/>
        <v>0.01076</v>
      </c>
    </row>
    <row r="434" ht="16.5" customHeight="1">
      <c r="A434" s="14" t="str">
        <f>Solieusap!A434</f>
        <v>408</v>
      </c>
      <c r="B434" s="15">
        <f>Solieusap!B434</f>
        <v>0.5</v>
      </c>
      <c r="C434" s="14" t="str">
        <f>Solieusap!C434</f>
        <v>DEAD1</v>
      </c>
      <c r="D434" s="14" t="str">
        <f>Solieusap!D434</f>
        <v>LinStatic</v>
      </c>
      <c r="E434" s="16">
        <f>ABS(Solieusap!E434)</f>
        <v>2.2859</v>
      </c>
      <c r="F434" s="16">
        <f>ABS(Solieusap!F434)</f>
        <v>0.0393</v>
      </c>
      <c r="G434" s="16">
        <f>ABS(Solieusap!G434)</f>
        <v>0.0115</v>
      </c>
      <c r="H434" s="16">
        <f>ABS(Solieusap!H434)</f>
        <v>0.03035</v>
      </c>
      <c r="I434" s="16">
        <f>ABS(Solieusap!I434)</f>
        <v>0.01653</v>
      </c>
      <c r="J434" s="16">
        <f>ABS(Solieusap!J434)</f>
        <v>0.00192</v>
      </c>
      <c r="K434" s="16">
        <f t="shared" si="1"/>
        <v>2.2859</v>
      </c>
      <c r="L434" s="16">
        <f t="shared" si="2"/>
        <v>0.01653</v>
      </c>
    </row>
    <row r="435" ht="16.5" customHeight="1">
      <c r="A435" s="14" t="str">
        <f>Solieusap!A435</f>
        <v>408</v>
      </c>
      <c r="B435" s="15">
        <f>Solieusap!B435</f>
        <v>1</v>
      </c>
      <c r="C435" s="14" t="str">
        <f>Solieusap!C435</f>
        <v>DEAD1</v>
      </c>
      <c r="D435" s="14" t="str">
        <f>Solieusap!D435</f>
        <v>LinStatic</v>
      </c>
      <c r="E435" s="16">
        <f>ABS(Solieusap!E435)</f>
        <v>2.2859</v>
      </c>
      <c r="F435" s="16">
        <f>ABS(Solieusap!F435)</f>
        <v>0.057</v>
      </c>
      <c r="G435" s="16">
        <f>ABS(Solieusap!G435)</f>
        <v>0.0115</v>
      </c>
      <c r="H435" s="16">
        <f>ABS(Solieusap!H435)</f>
        <v>0.03035</v>
      </c>
      <c r="I435" s="16">
        <f>ABS(Solieusap!I435)</f>
        <v>0.0223</v>
      </c>
      <c r="J435" s="16">
        <f>ABS(Solieusap!J435)</f>
        <v>0.00634</v>
      </c>
      <c r="K435" s="16">
        <f t="shared" si="1"/>
        <v>2.2859</v>
      </c>
      <c r="L435" s="16">
        <f t="shared" si="2"/>
        <v>0.0223</v>
      </c>
    </row>
    <row r="436" ht="16.5" customHeight="1">
      <c r="A436" s="14" t="str">
        <f>Solieusap!A436</f>
        <v>408</v>
      </c>
      <c r="B436" s="15">
        <f>Solieusap!B436</f>
        <v>1.5</v>
      </c>
      <c r="C436" s="14" t="str">
        <f>Solieusap!C436</f>
        <v>DEAD1</v>
      </c>
      <c r="D436" s="14" t="str">
        <f>Solieusap!D436</f>
        <v>LinStatic</v>
      </c>
      <c r="E436" s="16">
        <f>ABS(Solieusap!E436)</f>
        <v>2.2859</v>
      </c>
      <c r="F436" s="16">
        <f>ABS(Solieusap!F436)</f>
        <v>0.1532</v>
      </c>
      <c r="G436" s="16">
        <f>ABS(Solieusap!G436)</f>
        <v>0.0115</v>
      </c>
      <c r="H436" s="16">
        <f>ABS(Solieusap!H436)</f>
        <v>0.03035</v>
      </c>
      <c r="I436" s="16">
        <f>ABS(Solieusap!I436)</f>
        <v>0.02806</v>
      </c>
      <c r="J436" s="16">
        <f>ABS(Solieusap!J436)</f>
        <v>0.05888</v>
      </c>
      <c r="K436" s="16">
        <f t="shared" si="1"/>
        <v>2.2859</v>
      </c>
      <c r="L436" s="16">
        <f t="shared" si="2"/>
        <v>0.02806</v>
      </c>
    </row>
    <row r="437" ht="16.5" customHeight="1">
      <c r="A437" s="14" t="str">
        <f>Solieusap!A437</f>
        <v>408</v>
      </c>
      <c r="B437" s="15">
        <f>Solieusap!B437</f>
        <v>2</v>
      </c>
      <c r="C437" s="14" t="str">
        <f>Solieusap!C437</f>
        <v>DEAD1</v>
      </c>
      <c r="D437" s="14" t="str">
        <f>Solieusap!D437</f>
        <v>LinStatic</v>
      </c>
      <c r="E437" s="16">
        <f>ABS(Solieusap!E437)</f>
        <v>2.2859</v>
      </c>
      <c r="F437" s="16">
        <f>ABS(Solieusap!F437)</f>
        <v>0.2495</v>
      </c>
      <c r="G437" s="16">
        <f>ABS(Solieusap!G437)</f>
        <v>0.0115</v>
      </c>
      <c r="H437" s="16">
        <f>ABS(Solieusap!H437)</f>
        <v>0.03035</v>
      </c>
      <c r="I437" s="16">
        <f>ABS(Solieusap!I437)</f>
        <v>0.03383</v>
      </c>
      <c r="J437" s="16">
        <f>ABS(Solieusap!J437)</f>
        <v>0.15955</v>
      </c>
      <c r="K437" s="16">
        <f t="shared" si="1"/>
        <v>2.2859</v>
      </c>
      <c r="L437" s="16">
        <f t="shared" si="2"/>
        <v>0.03383</v>
      </c>
    </row>
    <row r="438" ht="16.5" customHeight="1">
      <c r="A438" s="14" t="str">
        <f>Solieusap!A438</f>
        <v>409</v>
      </c>
      <c r="B438" s="15">
        <f>Solieusap!B438</f>
        <v>0</v>
      </c>
      <c r="C438" s="14" t="str">
        <f>Solieusap!C438</f>
        <v>DEAD1</v>
      </c>
      <c r="D438" s="14" t="str">
        <f>Solieusap!D438</f>
        <v>LinStatic</v>
      </c>
      <c r="E438" s="16">
        <f>ABS(Solieusap!E438)</f>
        <v>2.2887</v>
      </c>
      <c r="F438" s="16">
        <f>ABS(Solieusap!F438)</f>
        <v>0.2907</v>
      </c>
      <c r="G438" s="16">
        <f>ABS(Solieusap!G438)</f>
        <v>0.0565</v>
      </c>
      <c r="H438" s="16">
        <f>ABS(Solieusap!H438)</f>
        <v>0.05941</v>
      </c>
      <c r="I438" s="16">
        <f>ABS(Solieusap!I438)</f>
        <v>0.04497</v>
      </c>
      <c r="J438" s="16">
        <f>ABS(Solieusap!J438)</f>
        <v>0.18486</v>
      </c>
      <c r="K438" s="16">
        <f t="shared" si="1"/>
        <v>2.2887</v>
      </c>
      <c r="L438" s="16">
        <f t="shared" si="2"/>
        <v>0.04497</v>
      </c>
    </row>
    <row r="439" ht="16.5" customHeight="1">
      <c r="A439" s="14" t="str">
        <f>Solieusap!A439</f>
        <v>409</v>
      </c>
      <c r="B439" s="15">
        <f>Solieusap!B439</f>
        <v>0.5</v>
      </c>
      <c r="C439" s="14" t="str">
        <f>Solieusap!C439</f>
        <v>DEAD1</v>
      </c>
      <c r="D439" s="14" t="str">
        <f>Solieusap!D439</f>
        <v>LinStatic</v>
      </c>
      <c r="E439" s="16">
        <f>ABS(Solieusap!E439)</f>
        <v>2.2887</v>
      </c>
      <c r="F439" s="16">
        <f>ABS(Solieusap!F439)</f>
        <v>0.1945</v>
      </c>
      <c r="G439" s="16">
        <f>ABS(Solieusap!G439)</f>
        <v>0.0565</v>
      </c>
      <c r="H439" s="16">
        <f>ABS(Solieusap!H439)</f>
        <v>0.05941</v>
      </c>
      <c r="I439" s="16">
        <f>ABS(Solieusap!I439)</f>
        <v>0.0167</v>
      </c>
      <c r="J439" s="16">
        <f>ABS(Solieusap!J439)</f>
        <v>0.06357</v>
      </c>
      <c r="K439" s="16">
        <f t="shared" si="1"/>
        <v>2.2887</v>
      </c>
      <c r="L439" s="16">
        <f t="shared" si="2"/>
        <v>0.0167</v>
      </c>
    </row>
    <row r="440" ht="16.5" customHeight="1">
      <c r="A440" s="14" t="str">
        <f>Solieusap!A440</f>
        <v>409</v>
      </c>
      <c r="B440" s="15">
        <f>Solieusap!B440</f>
        <v>1</v>
      </c>
      <c r="C440" s="14" t="str">
        <f>Solieusap!C440</f>
        <v>DEAD1</v>
      </c>
      <c r="D440" s="14" t="str">
        <f>Solieusap!D440</f>
        <v>LinStatic</v>
      </c>
      <c r="E440" s="16">
        <f>ABS(Solieusap!E440)</f>
        <v>2.2887</v>
      </c>
      <c r="F440" s="16">
        <f>ABS(Solieusap!F440)</f>
        <v>0.0982</v>
      </c>
      <c r="G440" s="16">
        <f>ABS(Solieusap!G440)</f>
        <v>0.0565</v>
      </c>
      <c r="H440" s="16">
        <f>ABS(Solieusap!H440)</f>
        <v>0.05941</v>
      </c>
      <c r="I440" s="16">
        <f>ABS(Solieusap!I440)</f>
        <v>0.01158</v>
      </c>
      <c r="J440" s="16">
        <f>ABS(Solieusap!J440)</f>
        <v>0.00961</v>
      </c>
      <c r="K440" s="16">
        <f t="shared" si="1"/>
        <v>2.2887</v>
      </c>
      <c r="L440" s="16">
        <f t="shared" si="2"/>
        <v>0.01158</v>
      </c>
    </row>
    <row r="441" ht="16.5" customHeight="1">
      <c r="A441" s="14" t="str">
        <f>Solieusap!A441</f>
        <v>409</v>
      </c>
      <c r="B441" s="15">
        <f>Solieusap!B441</f>
        <v>1.5</v>
      </c>
      <c r="C441" s="14" t="str">
        <f>Solieusap!C441</f>
        <v>DEAD1</v>
      </c>
      <c r="D441" s="14" t="str">
        <f>Solieusap!D441</f>
        <v>LinStatic</v>
      </c>
      <c r="E441" s="16">
        <f>ABS(Solieusap!E441)</f>
        <v>2.2887</v>
      </c>
      <c r="F441" s="16">
        <f>ABS(Solieusap!F441)</f>
        <v>0.002</v>
      </c>
      <c r="G441" s="16">
        <f>ABS(Solieusap!G441)</f>
        <v>0.0565</v>
      </c>
      <c r="H441" s="16">
        <f>ABS(Solieusap!H441)</f>
        <v>0.05941</v>
      </c>
      <c r="I441" s="16">
        <f>ABS(Solieusap!I441)</f>
        <v>0.03985</v>
      </c>
      <c r="J441" s="16">
        <f>ABS(Solieusap!J441)</f>
        <v>0.03465</v>
      </c>
      <c r="K441" s="16">
        <f t="shared" si="1"/>
        <v>2.2887</v>
      </c>
      <c r="L441" s="16">
        <f t="shared" si="2"/>
        <v>0.03985</v>
      </c>
    </row>
    <row r="442" ht="16.5" customHeight="1">
      <c r="A442" s="14" t="str">
        <f>Solieusap!A442</f>
        <v>409</v>
      </c>
      <c r="B442" s="15">
        <f>Solieusap!B442</f>
        <v>2</v>
      </c>
      <c r="C442" s="14" t="str">
        <f>Solieusap!C442</f>
        <v>DEAD1</v>
      </c>
      <c r="D442" s="14" t="str">
        <f>Solieusap!D442</f>
        <v>LinStatic</v>
      </c>
      <c r="E442" s="16">
        <f>ABS(Solieusap!E442)</f>
        <v>2.2887</v>
      </c>
      <c r="F442" s="16">
        <f>ABS(Solieusap!F442)</f>
        <v>0.0943</v>
      </c>
      <c r="G442" s="16">
        <f>ABS(Solieusap!G442)</f>
        <v>0.0565</v>
      </c>
      <c r="H442" s="16">
        <f>ABS(Solieusap!H442)</f>
        <v>0.05941</v>
      </c>
      <c r="I442" s="16">
        <f>ABS(Solieusap!I442)</f>
        <v>0.06812</v>
      </c>
      <c r="J442" s="16">
        <f>ABS(Solieusap!J442)</f>
        <v>0.01157</v>
      </c>
      <c r="K442" s="16">
        <f t="shared" si="1"/>
        <v>2.2887</v>
      </c>
      <c r="L442" s="16">
        <f t="shared" si="2"/>
        <v>0.06812</v>
      </c>
    </row>
    <row r="443" ht="16.5" customHeight="1">
      <c r="A443" s="14" t="str">
        <f>Solieusap!A443</f>
        <v>410</v>
      </c>
      <c r="B443" s="15">
        <f>Solieusap!B443</f>
        <v>0</v>
      </c>
      <c r="C443" s="14" t="str">
        <f>Solieusap!C443</f>
        <v>DEAD1</v>
      </c>
      <c r="D443" s="14" t="str">
        <f>Solieusap!D443</f>
        <v>LinStatic</v>
      </c>
      <c r="E443" s="16">
        <f>ABS(Solieusap!E443)</f>
        <v>2.0975</v>
      </c>
      <c r="F443" s="16">
        <f>ABS(Solieusap!F443)</f>
        <v>0.1044</v>
      </c>
      <c r="G443" s="16">
        <f>ABS(Solieusap!G443)</f>
        <v>0.0183</v>
      </c>
      <c r="H443" s="16">
        <f>ABS(Solieusap!H443)</f>
        <v>0.03513</v>
      </c>
      <c r="I443" s="16">
        <f>ABS(Solieusap!I443)</f>
        <v>0.0233</v>
      </c>
      <c r="J443" s="16">
        <f>ABS(Solieusap!J443)</f>
        <v>0.01763</v>
      </c>
      <c r="K443" s="16">
        <f t="shared" si="1"/>
        <v>2.0975</v>
      </c>
      <c r="L443" s="16">
        <f t="shared" si="2"/>
        <v>0.0233</v>
      </c>
    </row>
    <row r="444" ht="16.5" customHeight="1">
      <c r="A444" s="14" t="str">
        <f>Solieusap!A444</f>
        <v>410</v>
      </c>
      <c r="B444" s="15">
        <f>Solieusap!B444</f>
        <v>0.5</v>
      </c>
      <c r="C444" s="14" t="str">
        <f>Solieusap!C444</f>
        <v>DEAD1</v>
      </c>
      <c r="D444" s="14" t="str">
        <f>Solieusap!D444</f>
        <v>LinStatic</v>
      </c>
      <c r="E444" s="16">
        <f>ABS(Solieusap!E444)</f>
        <v>2.0975</v>
      </c>
      <c r="F444" s="16">
        <f>ABS(Solieusap!F444)</f>
        <v>0.0081</v>
      </c>
      <c r="G444" s="16">
        <f>ABS(Solieusap!G444)</f>
        <v>0.0183</v>
      </c>
      <c r="H444" s="16">
        <f>ABS(Solieusap!H444)</f>
        <v>0.03513</v>
      </c>
      <c r="I444" s="16">
        <f>ABS(Solieusap!I444)</f>
        <v>0.01415</v>
      </c>
      <c r="J444" s="16">
        <f>ABS(Solieusap!J444)</f>
        <v>0.01049</v>
      </c>
      <c r="K444" s="16">
        <f t="shared" si="1"/>
        <v>2.0975</v>
      </c>
      <c r="L444" s="16">
        <f t="shared" si="2"/>
        <v>0.01415</v>
      </c>
    </row>
    <row r="445" ht="16.5" customHeight="1">
      <c r="A445" s="14" t="str">
        <f>Solieusap!A445</f>
        <v>410</v>
      </c>
      <c r="B445" s="15">
        <f>Solieusap!B445</f>
        <v>1</v>
      </c>
      <c r="C445" s="14" t="str">
        <f>Solieusap!C445</f>
        <v>DEAD1</v>
      </c>
      <c r="D445" s="14" t="str">
        <f>Solieusap!D445</f>
        <v>LinStatic</v>
      </c>
      <c r="E445" s="16">
        <f>ABS(Solieusap!E445)</f>
        <v>2.0975</v>
      </c>
      <c r="F445" s="16">
        <f>ABS(Solieusap!F445)</f>
        <v>0.0881</v>
      </c>
      <c r="G445" s="16">
        <f>ABS(Solieusap!G445)</f>
        <v>0.0183</v>
      </c>
      <c r="H445" s="16">
        <f>ABS(Solieusap!H445)</f>
        <v>0.03513</v>
      </c>
      <c r="I445" s="16">
        <f>ABS(Solieusap!I445)</f>
        <v>0.005</v>
      </c>
      <c r="J445" s="16">
        <f>ABS(Solieusap!J445)</f>
        <v>0.00951</v>
      </c>
      <c r="K445" s="16">
        <f t="shared" si="1"/>
        <v>2.0975</v>
      </c>
      <c r="L445" s="16">
        <f t="shared" si="2"/>
        <v>0.005</v>
      </c>
    </row>
    <row r="446" ht="16.5" customHeight="1">
      <c r="A446" s="14" t="str">
        <f>Solieusap!A446</f>
        <v>410</v>
      </c>
      <c r="B446" s="15">
        <f>Solieusap!B446</f>
        <v>1.5</v>
      </c>
      <c r="C446" s="14" t="str">
        <f>Solieusap!C446</f>
        <v>DEAD1</v>
      </c>
      <c r="D446" s="14" t="str">
        <f>Solieusap!D446</f>
        <v>LinStatic</v>
      </c>
      <c r="E446" s="16">
        <f>ABS(Solieusap!E446)</f>
        <v>2.0975</v>
      </c>
      <c r="F446" s="16">
        <f>ABS(Solieusap!F446)</f>
        <v>0.1844</v>
      </c>
      <c r="G446" s="16">
        <f>ABS(Solieusap!G446)</f>
        <v>0.0183</v>
      </c>
      <c r="H446" s="16">
        <f>ABS(Solieusap!H446)</f>
        <v>0.03513</v>
      </c>
      <c r="I446" s="16">
        <f>ABS(Solieusap!I446)</f>
        <v>0.00415</v>
      </c>
      <c r="J446" s="16">
        <f>ABS(Solieusap!J446)</f>
        <v>0.07763</v>
      </c>
      <c r="K446" s="16">
        <f t="shared" si="1"/>
        <v>2.0975</v>
      </c>
      <c r="L446" s="16">
        <f t="shared" si="2"/>
        <v>0.00415</v>
      </c>
    </row>
    <row r="447" ht="16.5" customHeight="1">
      <c r="A447" s="14" t="str">
        <f>Solieusap!A447</f>
        <v>410</v>
      </c>
      <c r="B447" s="15">
        <f>Solieusap!B447</f>
        <v>2</v>
      </c>
      <c r="C447" s="14" t="str">
        <f>Solieusap!C447</f>
        <v>DEAD1</v>
      </c>
      <c r="D447" s="14" t="str">
        <f>Solieusap!D447</f>
        <v>LinStatic</v>
      </c>
      <c r="E447" s="16">
        <f>ABS(Solieusap!E447)</f>
        <v>2.0975</v>
      </c>
      <c r="F447" s="16">
        <f>ABS(Solieusap!F447)</f>
        <v>0.2806</v>
      </c>
      <c r="G447" s="16">
        <f>ABS(Solieusap!G447)</f>
        <v>0.0183</v>
      </c>
      <c r="H447" s="16">
        <f>ABS(Solieusap!H447)</f>
        <v>0.03513</v>
      </c>
      <c r="I447" s="16">
        <f>ABS(Solieusap!I447)</f>
        <v>0.01331</v>
      </c>
      <c r="J447" s="16">
        <f>ABS(Solieusap!J447)</f>
        <v>0.19388</v>
      </c>
      <c r="K447" s="16">
        <f t="shared" si="1"/>
        <v>2.0975</v>
      </c>
      <c r="L447" s="16">
        <f t="shared" si="2"/>
        <v>0.01331</v>
      </c>
    </row>
    <row r="448" ht="16.5" customHeight="1">
      <c r="A448" s="14" t="str">
        <f>Solieusap!A448</f>
        <v>411</v>
      </c>
      <c r="B448" s="15">
        <f>Solieusap!B448</f>
        <v>0</v>
      </c>
      <c r="C448" s="14" t="str">
        <f>Solieusap!C448</f>
        <v>DEAD1</v>
      </c>
      <c r="D448" s="14" t="str">
        <f>Solieusap!D448</f>
        <v>LinStatic</v>
      </c>
      <c r="E448" s="16">
        <f>ABS(Solieusap!E448)</f>
        <v>2.0634</v>
      </c>
      <c r="F448" s="16">
        <f>ABS(Solieusap!F448)</f>
        <v>0.2721</v>
      </c>
      <c r="G448" s="16">
        <f>ABS(Solieusap!G448)</f>
        <v>0.0258</v>
      </c>
      <c r="H448" s="16">
        <f>ABS(Solieusap!H448)</f>
        <v>0.02905</v>
      </c>
      <c r="I448" s="16">
        <f>ABS(Solieusap!I448)</f>
        <v>0.02141</v>
      </c>
      <c r="J448" s="16">
        <f>ABS(Solieusap!J448)</f>
        <v>0.17706</v>
      </c>
      <c r="K448" s="16">
        <f t="shared" si="1"/>
        <v>2.0634</v>
      </c>
      <c r="L448" s="16">
        <f t="shared" si="2"/>
        <v>0.02141</v>
      </c>
    </row>
    <row r="449" ht="16.5" customHeight="1">
      <c r="A449" s="14" t="str">
        <f>Solieusap!A449</f>
        <v>411</v>
      </c>
      <c r="B449" s="15">
        <f>Solieusap!B449</f>
        <v>0.5</v>
      </c>
      <c r="C449" s="14" t="str">
        <f>Solieusap!C449</f>
        <v>DEAD1</v>
      </c>
      <c r="D449" s="14" t="str">
        <f>Solieusap!D449</f>
        <v>LinStatic</v>
      </c>
      <c r="E449" s="16">
        <f>ABS(Solieusap!E449)</f>
        <v>2.0634</v>
      </c>
      <c r="F449" s="16">
        <f>ABS(Solieusap!F449)</f>
        <v>0.1758</v>
      </c>
      <c r="G449" s="16">
        <f>ABS(Solieusap!G449)</f>
        <v>0.0258</v>
      </c>
      <c r="H449" s="16">
        <f>ABS(Solieusap!H449)</f>
        <v>0.02905</v>
      </c>
      <c r="I449" s="16">
        <f>ABS(Solieusap!I449)</f>
        <v>0.00851</v>
      </c>
      <c r="J449" s="16">
        <f>ABS(Solieusap!J449)</f>
        <v>0.06507</v>
      </c>
      <c r="K449" s="16">
        <f t="shared" si="1"/>
        <v>2.0634</v>
      </c>
      <c r="L449" s="16">
        <f t="shared" si="2"/>
        <v>0.00851</v>
      </c>
    </row>
    <row r="450" ht="16.5" customHeight="1">
      <c r="A450" s="14" t="str">
        <f>Solieusap!A450</f>
        <v>411</v>
      </c>
      <c r="B450" s="15">
        <f>Solieusap!B450</f>
        <v>1</v>
      </c>
      <c r="C450" s="14" t="str">
        <f>Solieusap!C450</f>
        <v>DEAD1</v>
      </c>
      <c r="D450" s="14" t="str">
        <f>Solieusap!D450</f>
        <v>LinStatic</v>
      </c>
      <c r="E450" s="16">
        <f>ABS(Solieusap!E450)</f>
        <v>2.0634</v>
      </c>
      <c r="F450" s="16">
        <f>ABS(Solieusap!F450)</f>
        <v>0.0796</v>
      </c>
      <c r="G450" s="16">
        <f>ABS(Solieusap!G450)</f>
        <v>0.0258</v>
      </c>
      <c r="H450" s="16">
        <f>ABS(Solieusap!H450)</f>
        <v>0.02905</v>
      </c>
      <c r="I450" s="16">
        <f>ABS(Solieusap!I450)</f>
        <v>0.00439</v>
      </c>
      <c r="J450" s="16">
        <f>ABS(Solieusap!J450)</f>
        <v>0.00121</v>
      </c>
      <c r="K450" s="16">
        <f t="shared" si="1"/>
        <v>2.0634</v>
      </c>
      <c r="L450" s="16">
        <f t="shared" si="2"/>
        <v>0.00439</v>
      </c>
    </row>
    <row r="451" ht="16.5" customHeight="1">
      <c r="A451" s="14" t="str">
        <f>Solieusap!A451</f>
        <v>411</v>
      </c>
      <c r="B451" s="15">
        <f>Solieusap!B451</f>
        <v>1.5</v>
      </c>
      <c r="C451" s="14" t="str">
        <f>Solieusap!C451</f>
        <v>DEAD1</v>
      </c>
      <c r="D451" s="14" t="str">
        <f>Solieusap!D451</f>
        <v>LinStatic</v>
      </c>
      <c r="E451" s="16">
        <f>ABS(Solieusap!E451)</f>
        <v>2.0634</v>
      </c>
      <c r="F451" s="16">
        <f>ABS(Solieusap!F451)</f>
        <v>0.0167</v>
      </c>
      <c r="G451" s="16">
        <f>ABS(Solieusap!G451)</f>
        <v>0.0258</v>
      </c>
      <c r="H451" s="16">
        <f>ABS(Solieusap!H451)</f>
        <v>0.02905</v>
      </c>
      <c r="I451" s="16">
        <f>ABS(Solieusap!I451)</f>
        <v>0.0173</v>
      </c>
      <c r="J451" s="16">
        <f>ABS(Solieusap!J451)</f>
        <v>0.01452</v>
      </c>
      <c r="K451" s="16">
        <f t="shared" si="1"/>
        <v>2.0634</v>
      </c>
      <c r="L451" s="16">
        <f t="shared" si="2"/>
        <v>0.0173</v>
      </c>
    </row>
    <row r="452" ht="16.5" customHeight="1">
      <c r="A452" s="14" t="str">
        <f>Solieusap!A452</f>
        <v>411</v>
      </c>
      <c r="B452" s="15">
        <f>Solieusap!B452</f>
        <v>2</v>
      </c>
      <c r="C452" s="14" t="str">
        <f>Solieusap!C452</f>
        <v>DEAD1</v>
      </c>
      <c r="D452" s="14" t="str">
        <f>Solieusap!D452</f>
        <v>LinStatic</v>
      </c>
      <c r="E452" s="16">
        <f>ABS(Solieusap!E452)</f>
        <v>2.0634</v>
      </c>
      <c r="F452" s="16">
        <f>ABS(Solieusap!F452)</f>
        <v>0.1129</v>
      </c>
      <c r="G452" s="16">
        <f>ABS(Solieusap!G452)</f>
        <v>0.0258</v>
      </c>
      <c r="H452" s="16">
        <f>ABS(Solieusap!H452)</f>
        <v>0.02905</v>
      </c>
      <c r="I452" s="16">
        <f>ABS(Solieusap!I452)</f>
        <v>0.0302</v>
      </c>
      <c r="J452" s="16">
        <f>ABS(Solieusap!J452)</f>
        <v>0.01787</v>
      </c>
      <c r="K452" s="16">
        <f t="shared" si="1"/>
        <v>2.0634</v>
      </c>
      <c r="L452" s="16">
        <f t="shared" si="2"/>
        <v>0.0302</v>
      </c>
    </row>
    <row r="453" ht="16.5" customHeight="1">
      <c r="A453" s="14" t="str">
        <f>Solieusap!A453</f>
        <v>412</v>
      </c>
      <c r="B453" s="15">
        <f>Solieusap!B453</f>
        <v>0</v>
      </c>
      <c r="C453" s="14" t="str">
        <f>Solieusap!C453</f>
        <v>DEAD1</v>
      </c>
      <c r="D453" s="14" t="str">
        <f>Solieusap!D453</f>
        <v>LinStatic</v>
      </c>
      <c r="E453" s="16">
        <f>ABS(Solieusap!E453)</f>
        <v>2.1076</v>
      </c>
      <c r="F453" s="16">
        <f>ABS(Solieusap!F453)</f>
        <v>0.1044</v>
      </c>
      <c r="G453" s="16">
        <f>ABS(Solieusap!G453)</f>
        <v>0.0113</v>
      </c>
      <c r="H453" s="16">
        <f>ABS(Solieusap!H453)</f>
        <v>0.0093</v>
      </c>
      <c r="I453" s="16">
        <f>ABS(Solieusap!I453)</f>
        <v>0.00386</v>
      </c>
      <c r="J453" s="16">
        <f>ABS(Solieusap!J453)</f>
        <v>0.01799</v>
      </c>
      <c r="K453" s="16">
        <f t="shared" si="1"/>
        <v>2.1076</v>
      </c>
      <c r="L453" s="16">
        <f t="shared" si="2"/>
        <v>0.00386</v>
      </c>
    </row>
    <row r="454" ht="16.5" customHeight="1">
      <c r="A454" s="14" t="str">
        <f>Solieusap!A454</f>
        <v>412</v>
      </c>
      <c r="B454" s="15">
        <f>Solieusap!B454</f>
        <v>0.5</v>
      </c>
      <c r="C454" s="14" t="str">
        <f>Solieusap!C454</f>
        <v>DEAD1</v>
      </c>
      <c r="D454" s="14" t="str">
        <f>Solieusap!D454</f>
        <v>LinStatic</v>
      </c>
      <c r="E454" s="16">
        <f>ABS(Solieusap!E454)</f>
        <v>2.1076</v>
      </c>
      <c r="F454" s="16">
        <f>ABS(Solieusap!F454)</f>
        <v>0.0081</v>
      </c>
      <c r="G454" s="16">
        <f>ABS(Solieusap!G454)</f>
        <v>0.0113</v>
      </c>
      <c r="H454" s="16">
        <f>ABS(Solieusap!H454)</f>
        <v>0.0093</v>
      </c>
      <c r="I454" s="16">
        <f>ABS(Solieusap!I454)</f>
        <v>0.00181</v>
      </c>
      <c r="J454" s="16">
        <f>ABS(Solieusap!J454)</f>
        <v>0.01015</v>
      </c>
      <c r="K454" s="16">
        <f t="shared" si="1"/>
        <v>2.1076</v>
      </c>
      <c r="L454" s="16">
        <f t="shared" si="2"/>
        <v>0.00181</v>
      </c>
    </row>
    <row r="455" ht="16.5" customHeight="1">
      <c r="A455" s="14" t="str">
        <f>Solieusap!A455</f>
        <v>412</v>
      </c>
      <c r="B455" s="15">
        <f>Solieusap!B455</f>
        <v>1</v>
      </c>
      <c r="C455" s="14" t="str">
        <f>Solieusap!C455</f>
        <v>DEAD1</v>
      </c>
      <c r="D455" s="14" t="str">
        <f>Solieusap!D455</f>
        <v>LinStatic</v>
      </c>
      <c r="E455" s="16">
        <f>ABS(Solieusap!E455)</f>
        <v>2.1076</v>
      </c>
      <c r="F455" s="16">
        <f>ABS(Solieusap!F455)</f>
        <v>0.0881</v>
      </c>
      <c r="G455" s="16">
        <f>ABS(Solieusap!G455)</f>
        <v>0.0113</v>
      </c>
      <c r="H455" s="16">
        <f>ABS(Solieusap!H455)</f>
        <v>0.0093</v>
      </c>
      <c r="I455" s="16">
        <f>ABS(Solieusap!I455)</f>
        <v>0.00747</v>
      </c>
      <c r="J455" s="16">
        <f>ABS(Solieusap!J455)</f>
        <v>0.00985</v>
      </c>
      <c r="K455" s="16">
        <f t="shared" si="1"/>
        <v>2.1076</v>
      </c>
      <c r="L455" s="16">
        <f t="shared" si="2"/>
        <v>0.00747</v>
      </c>
    </row>
    <row r="456" ht="16.5" customHeight="1">
      <c r="A456" s="14" t="str">
        <f>Solieusap!A456</f>
        <v>412</v>
      </c>
      <c r="B456" s="15">
        <f>Solieusap!B456</f>
        <v>1.5</v>
      </c>
      <c r="C456" s="14" t="str">
        <f>Solieusap!C456</f>
        <v>DEAD1</v>
      </c>
      <c r="D456" s="14" t="str">
        <f>Solieusap!D456</f>
        <v>LinStatic</v>
      </c>
      <c r="E456" s="16">
        <f>ABS(Solieusap!E456)</f>
        <v>2.1076</v>
      </c>
      <c r="F456" s="16">
        <f>ABS(Solieusap!F456)</f>
        <v>0.1844</v>
      </c>
      <c r="G456" s="16">
        <f>ABS(Solieusap!G456)</f>
        <v>0.0113</v>
      </c>
      <c r="H456" s="16">
        <f>ABS(Solieusap!H456)</f>
        <v>0.0093</v>
      </c>
      <c r="I456" s="16">
        <f>ABS(Solieusap!I456)</f>
        <v>0.01314</v>
      </c>
      <c r="J456" s="16">
        <f>ABS(Solieusap!J456)</f>
        <v>0.07796</v>
      </c>
      <c r="K456" s="16">
        <f t="shared" si="1"/>
        <v>2.1076</v>
      </c>
      <c r="L456" s="16">
        <f t="shared" si="2"/>
        <v>0.01314</v>
      </c>
    </row>
    <row r="457" ht="16.5" customHeight="1">
      <c r="A457" s="14" t="str">
        <f>Solieusap!A457</f>
        <v>412</v>
      </c>
      <c r="B457" s="15">
        <f>Solieusap!B457</f>
        <v>2</v>
      </c>
      <c r="C457" s="14" t="str">
        <f>Solieusap!C457</f>
        <v>DEAD1</v>
      </c>
      <c r="D457" s="14" t="str">
        <f>Solieusap!D457</f>
        <v>LinStatic</v>
      </c>
      <c r="E457" s="16">
        <f>ABS(Solieusap!E457)</f>
        <v>2.1076</v>
      </c>
      <c r="F457" s="16">
        <f>ABS(Solieusap!F457)</f>
        <v>0.2806</v>
      </c>
      <c r="G457" s="16">
        <f>ABS(Solieusap!G457)</f>
        <v>0.0113</v>
      </c>
      <c r="H457" s="16">
        <f>ABS(Solieusap!H457)</f>
        <v>0.0093</v>
      </c>
      <c r="I457" s="16">
        <f>ABS(Solieusap!I457)</f>
        <v>0.0188</v>
      </c>
      <c r="J457" s="16">
        <f>ABS(Solieusap!J457)</f>
        <v>0.1942</v>
      </c>
      <c r="K457" s="16">
        <f t="shared" si="1"/>
        <v>2.1076</v>
      </c>
      <c r="L457" s="16">
        <f t="shared" si="2"/>
        <v>0.0188</v>
      </c>
    </row>
    <row r="458" ht="16.5" customHeight="1">
      <c r="A458" s="14" t="str">
        <f>Solieusap!A458</f>
        <v>413</v>
      </c>
      <c r="B458" s="15">
        <f>Solieusap!B458</f>
        <v>0</v>
      </c>
      <c r="C458" s="14" t="str">
        <f>Solieusap!C458</f>
        <v>DEAD1</v>
      </c>
      <c r="D458" s="14" t="str">
        <f>Solieusap!D458</f>
        <v>LinStatic</v>
      </c>
      <c r="E458" s="16">
        <f>ABS(Solieusap!E458)</f>
        <v>2.0739</v>
      </c>
      <c r="F458" s="16">
        <f>ABS(Solieusap!F458)</f>
        <v>0.2733</v>
      </c>
      <c r="G458" s="16">
        <f>ABS(Solieusap!G458)</f>
        <v>0.0108</v>
      </c>
      <c r="H458" s="16">
        <f>ABS(Solieusap!H458)</f>
        <v>0.00377</v>
      </c>
      <c r="I458" s="16">
        <f>ABS(Solieusap!I458)</f>
        <v>0.02092</v>
      </c>
      <c r="J458" s="16">
        <f>ABS(Solieusap!J458)</f>
        <v>0.17821</v>
      </c>
      <c r="K458" s="16">
        <f t="shared" si="1"/>
        <v>2.0739</v>
      </c>
      <c r="L458" s="16">
        <f t="shared" si="2"/>
        <v>0.02092</v>
      </c>
    </row>
    <row r="459" ht="16.5" customHeight="1">
      <c r="A459" s="14" t="str">
        <f>Solieusap!A459</f>
        <v>413</v>
      </c>
      <c r="B459" s="15">
        <f>Solieusap!B459</f>
        <v>0.5</v>
      </c>
      <c r="C459" s="14" t="str">
        <f>Solieusap!C459</f>
        <v>DEAD1</v>
      </c>
      <c r="D459" s="14" t="str">
        <f>Solieusap!D459</f>
        <v>LinStatic</v>
      </c>
      <c r="E459" s="16">
        <f>ABS(Solieusap!E459)</f>
        <v>2.0739</v>
      </c>
      <c r="F459" s="16">
        <f>ABS(Solieusap!F459)</f>
        <v>0.1771</v>
      </c>
      <c r="G459" s="16">
        <f>ABS(Solieusap!G459)</f>
        <v>0.0108</v>
      </c>
      <c r="H459" s="16">
        <f>ABS(Solieusap!H459)</f>
        <v>0.00377</v>
      </c>
      <c r="I459" s="16">
        <f>ABS(Solieusap!I459)</f>
        <v>0.0155</v>
      </c>
      <c r="J459" s="16">
        <f>ABS(Solieusap!J459)</f>
        <v>0.06562</v>
      </c>
      <c r="K459" s="16">
        <f t="shared" si="1"/>
        <v>2.0739</v>
      </c>
      <c r="L459" s="16">
        <f t="shared" si="2"/>
        <v>0.0155</v>
      </c>
    </row>
    <row r="460" ht="16.5" customHeight="1">
      <c r="A460" s="14" t="str">
        <f>Solieusap!A460</f>
        <v>413</v>
      </c>
      <c r="B460" s="15">
        <f>Solieusap!B460</f>
        <v>1</v>
      </c>
      <c r="C460" s="14" t="str">
        <f>Solieusap!C460</f>
        <v>DEAD1</v>
      </c>
      <c r="D460" s="14" t="str">
        <f>Solieusap!D460</f>
        <v>LinStatic</v>
      </c>
      <c r="E460" s="16">
        <f>ABS(Solieusap!E460)</f>
        <v>2.0739</v>
      </c>
      <c r="F460" s="16">
        <f>ABS(Solieusap!F460)</f>
        <v>0.0808</v>
      </c>
      <c r="G460" s="16">
        <f>ABS(Solieusap!G460)</f>
        <v>0.0108</v>
      </c>
      <c r="H460" s="16">
        <f>ABS(Solieusap!H460)</f>
        <v>0.00377</v>
      </c>
      <c r="I460" s="16">
        <f>ABS(Solieusap!I460)</f>
        <v>0.01008</v>
      </c>
      <c r="J460" s="16">
        <f>ABS(Solieusap!J460)</f>
        <v>0.00115</v>
      </c>
      <c r="K460" s="16">
        <f t="shared" si="1"/>
        <v>2.0739</v>
      </c>
      <c r="L460" s="16">
        <f t="shared" si="2"/>
        <v>0.01008</v>
      </c>
    </row>
    <row r="461" ht="16.5" customHeight="1">
      <c r="A461" s="14" t="str">
        <f>Solieusap!A461</f>
        <v>413</v>
      </c>
      <c r="B461" s="15">
        <f>Solieusap!B461</f>
        <v>1.5</v>
      </c>
      <c r="C461" s="14" t="str">
        <f>Solieusap!C461</f>
        <v>DEAD1</v>
      </c>
      <c r="D461" s="14" t="str">
        <f>Solieusap!D461</f>
        <v>LinStatic</v>
      </c>
      <c r="E461" s="16">
        <f>ABS(Solieusap!E461)</f>
        <v>2.0739</v>
      </c>
      <c r="F461" s="16">
        <f>ABS(Solieusap!F461)</f>
        <v>0.0154</v>
      </c>
      <c r="G461" s="16">
        <f>ABS(Solieusap!G461)</f>
        <v>0.0108</v>
      </c>
      <c r="H461" s="16">
        <f>ABS(Solieusap!H461)</f>
        <v>0.00377</v>
      </c>
      <c r="I461" s="16">
        <f>ABS(Solieusap!I461)</f>
        <v>0.00466</v>
      </c>
      <c r="J461" s="16">
        <f>ABS(Solieusap!J461)</f>
        <v>0.01519</v>
      </c>
      <c r="K461" s="16">
        <f t="shared" si="1"/>
        <v>2.0739</v>
      </c>
      <c r="L461" s="16">
        <f t="shared" si="2"/>
        <v>0.00466</v>
      </c>
    </row>
    <row r="462" ht="16.5" customHeight="1">
      <c r="A462" s="14" t="str">
        <f>Solieusap!A462</f>
        <v>413</v>
      </c>
      <c r="B462" s="15">
        <f>Solieusap!B462</f>
        <v>2</v>
      </c>
      <c r="C462" s="14" t="str">
        <f>Solieusap!C462</f>
        <v>DEAD1</v>
      </c>
      <c r="D462" s="14" t="str">
        <f>Solieusap!D462</f>
        <v>LinStatic</v>
      </c>
      <c r="E462" s="16">
        <f>ABS(Solieusap!E462)</f>
        <v>2.0739</v>
      </c>
      <c r="F462" s="16">
        <f>ABS(Solieusap!F462)</f>
        <v>0.1117</v>
      </c>
      <c r="G462" s="16">
        <f>ABS(Solieusap!G462)</f>
        <v>0.0108</v>
      </c>
      <c r="H462" s="16">
        <f>ABS(Solieusap!H462)</f>
        <v>0.00377</v>
      </c>
      <c r="I462" s="16">
        <f>ABS(Solieusap!I462)</f>
        <v>0.00076</v>
      </c>
      <c r="J462" s="16">
        <f>ABS(Solieusap!J462)</f>
        <v>0.0166</v>
      </c>
      <c r="K462" s="16">
        <f t="shared" si="1"/>
        <v>2.0739</v>
      </c>
      <c r="L462" s="16">
        <f t="shared" si="2"/>
        <v>0.00076</v>
      </c>
    </row>
    <row r="463" ht="16.5" customHeight="1">
      <c r="A463" s="14" t="str">
        <f>Solieusap!A463</f>
        <v>414</v>
      </c>
      <c r="B463" s="15">
        <f>Solieusap!B463</f>
        <v>0</v>
      </c>
      <c r="C463" s="14" t="str">
        <f>Solieusap!C463</f>
        <v>DEAD1</v>
      </c>
      <c r="D463" s="14" t="str">
        <f>Solieusap!D463</f>
        <v>LinStatic</v>
      </c>
      <c r="E463" s="16">
        <f>ABS(Solieusap!E463)</f>
        <v>2.2587</v>
      </c>
      <c r="F463" s="16">
        <f>ABS(Solieusap!F463)</f>
        <v>0.1358</v>
      </c>
      <c r="G463" s="16">
        <f>ABS(Solieusap!G463)</f>
        <v>0.0182</v>
      </c>
      <c r="H463" s="16">
        <f>ABS(Solieusap!H463)</f>
        <v>0.00314</v>
      </c>
      <c r="I463" s="16">
        <f>ABS(Solieusap!I463)</f>
        <v>0.03827</v>
      </c>
      <c r="J463" s="16">
        <f>ABS(Solieusap!J463)</f>
        <v>0.0445</v>
      </c>
      <c r="K463" s="16">
        <f t="shared" si="1"/>
        <v>2.2587</v>
      </c>
      <c r="L463" s="16">
        <f t="shared" si="2"/>
        <v>0.03827</v>
      </c>
    </row>
    <row r="464" ht="16.5" customHeight="1">
      <c r="A464" s="14" t="str">
        <f>Solieusap!A464</f>
        <v>414</v>
      </c>
      <c r="B464" s="15">
        <f>Solieusap!B464</f>
        <v>0.5</v>
      </c>
      <c r="C464" s="14" t="str">
        <f>Solieusap!C464</f>
        <v>DEAD1</v>
      </c>
      <c r="D464" s="14" t="str">
        <f>Solieusap!D464</f>
        <v>LinStatic</v>
      </c>
      <c r="E464" s="16">
        <f>ABS(Solieusap!E464)</f>
        <v>2.2587</v>
      </c>
      <c r="F464" s="16">
        <f>ABS(Solieusap!F464)</f>
        <v>0.0396</v>
      </c>
      <c r="G464" s="16">
        <f>ABS(Solieusap!G464)</f>
        <v>0.0182</v>
      </c>
      <c r="H464" s="16">
        <f>ABS(Solieusap!H464)</f>
        <v>0.00314</v>
      </c>
      <c r="I464" s="16">
        <f>ABS(Solieusap!I464)</f>
        <v>0.02914</v>
      </c>
      <c r="J464" s="16">
        <f>ABS(Solieusap!J464)</f>
        <v>0.00067</v>
      </c>
      <c r="K464" s="16">
        <f t="shared" si="1"/>
        <v>2.2587</v>
      </c>
      <c r="L464" s="16">
        <f t="shared" si="2"/>
        <v>0.02914</v>
      </c>
    </row>
    <row r="465" ht="16.5" customHeight="1">
      <c r="A465" s="14" t="str">
        <f>Solieusap!A465</f>
        <v>414</v>
      </c>
      <c r="B465" s="15">
        <f>Solieusap!B465</f>
        <v>1</v>
      </c>
      <c r="C465" s="14" t="str">
        <f>Solieusap!C465</f>
        <v>DEAD1</v>
      </c>
      <c r="D465" s="14" t="str">
        <f>Solieusap!D465</f>
        <v>LinStatic</v>
      </c>
      <c r="E465" s="16">
        <f>ABS(Solieusap!E465)</f>
        <v>2.2587</v>
      </c>
      <c r="F465" s="16">
        <f>ABS(Solieusap!F465)</f>
        <v>0.0567</v>
      </c>
      <c r="G465" s="16">
        <f>ABS(Solieusap!G465)</f>
        <v>0.0182</v>
      </c>
      <c r="H465" s="16">
        <f>ABS(Solieusap!H465)</f>
        <v>0.00314</v>
      </c>
      <c r="I465" s="16">
        <f>ABS(Solieusap!I465)</f>
        <v>0.02002</v>
      </c>
      <c r="J465" s="16">
        <f>ABS(Solieusap!J465)</f>
        <v>0.00495</v>
      </c>
      <c r="K465" s="16">
        <f t="shared" si="1"/>
        <v>2.2587</v>
      </c>
      <c r="L465" s="16">
        <f t="shared" si="2"/>
        <v>0.02002</v>
      </c>
    </row>
    <row r="466" ht="16.5" customHeight="1">
      <c r="A466" s="14" t="str">
        <f>Solieusap!A466</f>
        <v>414</v>
      </c>
      <c r="B466" s="15">
        <f>Solieusap!B466</f>
        <v>1.5</v>
      </c>
      <c r="C466" s="14" t="str">
        <f>Solieusap!C466</f>
        <v>DEAD1</v>
      </c>
      <c r="D466" s="14" t="str">
        <f>Solieusap!D466</f>
        <v>LinStatic</v>
      </c>
      <c r="E466" s="16">
        <f>ABS(Solieusap!E466)</f>
        <v>2.2587</v>
      </c>
      <c r="F466" s="16">
        <f>ABS(Solieusap!F466)</f>
        <v>0.1529</v>
      </c>
      <c r="G466" s="16">
        <f>ABS(Solieusap!G466)</f>
        <v>0.0182</v>
      </c>
      <c r="H466" s="16">
        <f>ABS(Solieusap!H466)</f>
        <v>0.00314</v>
      </c>
      <c r="I466" s="16">
        <f>ABS(Solieusap!I466)</f>
        <v>0.01089</v>
      </c>
      <c r="J466" s="16">
        <f>ABS(Solieusap!J466)</f>
        <v>0.05737</v>
      </c>
      <c r="K466" s="16">
        <f t="shared" si="1"/>
        <v>2.2587</v>
      </c>
      <c r="L466" s="16">
        <f t="shared" si="2"/>
        <v>0.01089</v>
      </c>
    </row>
    <row r="467" ht="16.5" customHeight="1">
      <c r="A467" s="14" t="str">
        <f>Solieusap!A467</f>
        <v>414</v>
      </c>
      <c r="B467" s="15">
        <f>Solieusap!B467</f>
        <v>2</v>
      </c>
      <c r="C467" s="14" t="str">
        <f>Solieusap!C467</f>
        <v>DEAD1</v>
      </c>
      <c r="D467" s="14" t="str">
        <f>Solieusap!D467</f>
        <v>LinStatic</v>
      </c>
      <c r="E467" s="16">
        <f>ABS(Solieusap!E467)</f>
        <v>2.2587</v>
      </c>
      <c r="F467" s="16">
        <f>ABS(Solieusap!F467)</f>
        <v>0.2492</v>
      </c>
      <c r="G467" s="16">
        <f>ABS(Solieusap!G467)</f>
        <v>0.0182</v>
      </c>
      <c r="H467" s="16">
        <f>ABS(Solieusap!H467)</f>
        <v>0.00314</v>
      </c>
      <c r="I467" s="16">
        <f>ABS(Solieusap!I467)</f>
        <v>0.00177</v>
      </c>
      <c r="J467" s="16">
        <f>ABS(Solieusap!J467)</f>
        <v>0.1579</v>
      </c>
      <c r="K467" s="16">
        <f t="shared" si="1"/>
        <v>2.2587</v>
      </c>
      <c r="L467" s="16">
        <f t="shared" si="2"/>
        <v>0.00177</v>
      </c>
    </row>
    <row r="468" ht="16.5" customHeight="1">
      <c r="A468" s="14" t="str">
        <f>Solieusap!A468</f>
        <v>415</v>
      </c>
      <c r="B468" s="15">
        <f>Solieusap!B468</f>
        <v>0</v>
      </c>
      <c r="C468" s="14" t="str">
        <f>Solieusap!C468</f>
        <v>DEAD1</v>
      </c>
      <c r="D468" s="14" t="str">
        <f>Solieusap!D468</f>
        <v>LinStatic</v>
      </c>
      <c r="E468" s="16">
        <f>ABS(Solieusap!E468)</f>
        <v>2.2611</v>
      </c>
      <c r="F468" s="16">
        <f>ABS(Solieusap!F468)</f>
        <v>0.2875</v>
      </c>
      <c r="G468" s="16">
        <f>ABS(Solieusap!G468)</f>
        <v>0.0182</v>
      </c>
      <c r="H468" s="16">
        <f>ABS(Solieusap!H468)</f>
        <v>0.03252</v>
      </c>
      <c r="I468" s="16">
        <f>ABS(Solieusap!I468)</f>
        <v>0.0019</v>
      </c>
      <c r="J468" s="16">
        <f>ABS(Solieusap!J468)</f>
        <v>0.18169</v>
      </c>
      <c r="K468" s="16">
        <f t="shared" si="1"/>
        <v>2.2611</v>
      </c>
      <c r="L468" s="16">
        <f t="shared" si="2"/>
        <v>0.0019</v>
      </c>
    </row>
    <row r="469" ht="16.5" customHeight="1">
      <c r="A469" s="14" t="str">
        <f>Solieusap!A469</f>
        <v>415</v>
      </c>
      <c r="B469" s="15">
        <f>Solieusap!B469</f>
        <v>0.5</v>
      </c>
      <c r="C469" s="14" t="str">
        <f>Solieusap!C469</f>
        <v>DEAD1</v>
      </c>
      <c r="D469" s="14" t="str">
        <f>Solieusap!D469</f>
        <v>LinStatic</v>
      </c>
      <c r="E469" s="16">
        <f>ABS(Solieusap!E469)</f>
        <v>2.2611</v>
      </c>
      <c r="F469" s="16">
        <f>ABS(Solieusap!F469)</f>
        <v>0.1912</v>
      </c>
      <c r="G469" s="16">
        <f>ABS(Solieusap!G469)</f>
        <v>0.0182</v>
      </c>
      <c r="H469" s="16">
        <f>ABS(Solieusap!H469)</f>
        <v>0.03252</v>
      </c>
      <c r="I469" s="16">
        <f>ABS(Solieusap!I469)</f>
        <v>0.00718</v>
      </c>
      <c r="J469" s="16">
        <f>ABS(Solieusap!J469)</f>
        <v>0.06201</v>
      </c>
      <c r="K469" s="16">
        <f t="shared" si="1"/>
        <v>2.2611</v>
      </c>
      <c r="L469" s="16">
        <f t="shared" si="2"/>
        <v>0.00718</v>
      </c>
    </row>
    <row r="470" ht="16.5" customHeight="1">
      <c r="A470" s="14" t="str">
        <f>Solieusap!A470</f>
        <v>415</v>
      </c>
      <c r="B470" s="15">
        <f>Solieusap!B470</f>
        <v>1</v>
      </c>
      <c r="C470" s="14" t="str">
        <f>Solieusap!C470</f>
        <v>DEAD1</v>
      </c>
      <c r="D470" s="14" t="str">
        <f>Solieusap!D470</f>
        <v>LinStatic</v>
      </c>
      <c r="E470" s="16">
        <f>ABS(Solieusap!E470)</f>
        <v>2.2611</v>
      </c>
      <c r="F470" s="16">
        <f>ABS(Solieusap!F470)</f>
        <v>0.095</v>
      </c>
      <c r="G470" s="16">
        <f>ABS(Solieusap!G470)</f>
        <v>0.0182</v>
      </c>
      <c r="H470" s="16">
        <f>ABS(Solieusap!H470)</f>
        <v>0.03252</v>
      </c>
      <c r="I470" s="16">
        <f>ABS(Solieusap!I470)</f>
        <v>0.01626</v>
      </c>
      <c r="J470" s="16">
        <f>ABS(Solieusap!J470)</f>
        <v>0.00955</v>
      </c>
      <c r="K470" s="16">
        <f t="shared" si="1"/>
        <v>2.2611</v>
      </c>
      <c r="L470" s="16">
        <f t="shared" si="2"/>
        <v>0.01626</v>
      </c>
    </row>
    <row r="471" ht="16.5" customHeight="1">
      <c r="A471" s="14" t="str">
        <f>Solieusap!A471</f>
        <v>415</v>
      </c>
      <c r="B471" s="15">
        <f>Solieusap!B471</f>
        <v>1.5</v>
      </c>
      <c r="C471" s="14" t="str">
        <f>Solieusap!C471</f>
        <v>DEAD1</v>
      </c>
      <c r="D471" s="14" t="str">
        <f>Solieusap!D471</f>
        <v>LinStatic</v>
      </c>
      <c r="E471" s="16">
        <f>ABS(Solieusap!E471)</f>
        <v>2.2611</v>
      </c>
      <c r="F471" s="16">
        <f>ABS(Solieusap!F471)</f>
        <v>0.0013</v>
      </c>
      <c r="G471" s="16">
        <f>ABS(Solieusap!G471)</f>
        <v>0.0182</v>
      </c>
      <c r="H471" s="16">
        <f>ABS(Solieusap!H471)</f>
        <v>0.03252</v>
      </c>
      <c r="I471" s="16">
        <f>ABS(Solieusap!I471)</f>
        <v>0.02535</v>
      </c>
      <c r="J471" s="16">
        <f>ABS(Solieusap!J471)</f>
        <v>0.03298</v>
      </c>
      <c r="K471" s="16">
        <f t="shared" si="1"/>
        <v>2.2611</v>
      </c>
      <c r="L471" s="16">
        <f t="shared" si="2"/>
        <v>0.02535</v>
      </c>
    </row>
    <row r="472" ht="16.5" customHeight="1">
      <c r="A472" s="14" t="str">
        <f>Solieusap!A472</f>
        <v>415</v>
      </c>
      <c r="B472" s="15">
        <f>Solieusap!B472</f>
        <v>2</v>
      </c>
      <c r="C472" s="14" t="str">
        <f>Solieusap!C472</f>
        <v>DEAD1</v>
      </c>
      <c r="D472" s="14" t="str">
        <f>Solieusap!D472</f>
        <v>LinStatic</v>
      </c>
      <c r="E472" s="16">
        <f>ABS(Solieusap!E472)</f>
        <v>2.2611</v>
      </c>
      <c r="F472" s="16">
        <f>ABS(Solieusap!F472)</f>
        <v>0.0975</v>
      </c>
      <c r="G472" s="16">
        <f>ABS(Solieusap!G472)</f>
        <v>0.0182</v>
      </c>
      <c r="H472" s="16">
        <f>ABS(Solieusap!H472)</f>
        <v>0.03252</v>
      </c>
      <c r="I472" s="16">
        <f>ABS(Solieusap!I472)</f>
        <v>0.03443</v>
      </c>
      <c r="J472" s="16">
        <f>ABS(Solieusap!J472)</f>
        <v>0.00828</v>
      </c>
      <c r="K472" s="16">
        <f t="shared" si="1"/>
        <v>2.2611</v>
      </c>
      <c r="L472" s="16">
        <f t="shared" si="2"/>
        <v>0.03443</v>
      </c>
    </row>
    <row r="473" ht="16.5" customHeight="1">
      <c r="A473" s="14" t="str">
        <f>Solieusap!A473</f>
        <v>416</v>
      </c>
      <c r="B473" s="15">
        <f>Solieusap!B473</f>
        <v>0</v>
      </c>
      <c r="C473" s="14" t="str">
        <f>Solieusap!C473</f>
        <v>DEAD1</v>
      </c>
      <c r="D473" s="14" t="str">
        <f>Solieusap!D473</f>
        <v>LinStatic</v>
      </c>
      <c r="E473" s="16">
        <f>ABS(Solieusap!E473)</f>
        <v>1.6937</v>
      </c>
      <c r="F473" s="16">
        <f>ABS(Solieusap!F473)</f>
        <v>0.04</v>
      </c>
      <c r="G473" s="16">
        <f>ABS(Solieusap!G473)</f>
        <v>0.0971</v>
      </c>
      <c r="H473" s="16">
        <f>ABS(Solieusap!H473)</f>
        <v>0.06773</v>
      </c>
      <c r="I473" s="16">
        <f>ABS(Solieusap!I473)</f>
        <v>0.0656</v>
      </c>
      <c r="J473" s="16">
        <f>ABS(Solieusap!J473)</f>
        <v>0.07745</v>
      </c>
      <c r="K473" s="16">
        <f t="shared" si="1"/>
        <v>1.6937</v>
      </c>
      <c r="L473" s="16">
        <f t="shared" si="2"/>
        <v>0.0656</v>
      </c>
    </row>
    <row r="474" ht="16.5" customHeight="1">
      <c r="A474" s="14" t="str">
        <f>Solieusap!A474</f>
        <v>416</v>
      </c>
      <c r="B474" s="15">
        <f>Solieusap!B474</f>
        <v>0.5</v>
      </c>
      <c r="C474" s="14" t="str">
        <f>Solieusap!C474</f>
        <v>DEAD1</v>
      </c>
      <c r="D474" s="14" t="str">
        <f>Solieusap!D474</f>
        <v>LinStatic</v>
      </c>
      <c r="E474" s="16">
        <f>ABS(Solieusap!E474)</f>
        <v>1.6937</v>
      </c>
      <c r="F474" s="16">
        <f>ABS(Solieusap!F474)</f>
        <v>0.1363</v>
      </c>
      <c r="G474" s="16">
        <f>ABS(Solieusap!G474)</f>
        <v>0.0971</v>
      </c>
      <c r="H474" s="16">
        <f>ABS(Solieusap!H474)</f>
        <v>0.06773</v>
      </c>
      <c r="I474" s="16">
        <f>ABS(Solieusap!I474)</f>
        <v>0.01707</v>
      </c>
      <c r="J474" s="16">
        <f>ABS(Solieusap!J474)</f>
        <v>0.03337</v>
      </c>
      <c r="K474" s="16">
        <f t="shared" si="1"/>
        <v>1.6937</v>
      </c>
      <c r="L474" s="16">
        <f t="shared" si="2"/>
        <v>0.01707</v>
      </c>
    </row>
    <row r="475" ht="16.5" customHeight="1">
      <c r="A475" s="14" t="str">
        <f>Solieusap!A475</f>
        <v>416</v>
      </c>
      <c r="B475" s="15">
        <f>Solieusap!B475</f>
        <v>1</v>
      </c>
      <c r="C475" s="14" t="str">
        <f>Solieusap!C475</f>
        <v>DEAD1</v>
      </c>
      <c r="D475" s="14" t="str">
        <f>Solieusap!D475</f>
        <v>LinStatic</v>
      </c>
      <c r="E475" s="16">
        <f>ABS(Solieusap!E475)</f>
        <v>1.6937</v>
      </c>
      <c r="F475" s="16">
        <f>ABS(Solieusap!F475)</f>
        <v>0.2325</v>
      </c>
      <c r="G475" s="16">
        <f>ABS(Solieusap!G475)</f>
        <v>0.0971</v>
      </c>
      <c r="H475" s="16">
        <f>ABS(Solieusap!H475)</f>
        <v>0.06773</v>
      </c>
      <c r="I475" s="16">
        <f>ABS(Solieusap!I475)</f>
        <v>0.03146</v>
      </c>
      <c r="J475" s="16">
        <f>ABS(Solieusap!J475)</f>
        <v>0.05884</v>
      </c>
      <c r="K475" s="16">
        <f t="shared" si="1"/>
        <v>1.6937</v>
      </c>
      <c r="L475" s="16">
        <f t="shared" si="2"/>
        <v>0.03146</v>
      </c>
    </row>
    <row r="476" ht="16.5" customHeight="1">
      <c r="A476" s="14" t="str">
        <f>Solieusap!A476</f>
        <v>416</v>
      </c>
      <c r="B476" s="15">
        <f>Solieusap!B476</f>
        <v>1.5</v>
      </c>
      <c r="C476" s="14" t="str">
        <f>Solieusap!C476</f>
        <v>DEAD1</v>
      </c>
      <c r="D476" s="14" t="str">
        <f>Solieusap!D476</f>
        <v>LinStatic</v>
      </c>
      <c r="E476" s="16">
        <f>ABS(Solieusap!E476)</f>
        <v>1.6937</v>
      </c>
      <c r="F476" s="16">
        <f>ABS(Solieusap!F476)</f>
        <v>0.3288</v>
      </c>
      <c r="G476" s="16">
        <f>ABS(Solieusap!G476)</f>
        <v>0.0971</v>
      </c>
      <c r="H476" s="16">
        <f>ABS(Solieusap!H476)</f>
        <v>0.06773</v>
      </c>
      <c r="I476" s="16">
        <f>ABS(Solieusap!I476)</f>
        <v>0.08</v>
      </c>
      <c r="J476" s="16">
        <f>ABS(Solieusap!J476)</f>
        <v>0.19917</v>
      </c>
      <c r="K476" s="16">
        <f t="shared" si="1"/>
        <v>1.6937</v>
      </c>
      <c r="L476" s="16">
        <f t="shared" si="2"/>
        <v>0.08</v>
      </c>
    </row>
    <row r="477" ht="16.5" customHeight="1">
      <c r="A477" s="14" t="str">
        <f>Solieusap!A477</f>
        <v>416</v>
      </c>
      <c r="B477" s="15">
        <f>Solieusap!B477</f>
        <v>2</v>
      </c>
      <c r="C477" s="14" t="str">
        <f>Solieusap!C477</f>
        <v>DEAD1</v>
      </c>
      <c r="D477" s="14" t="str">
        <f>Solieusap!D477</f>
        <v>LinStatic</v>
      </c>
      <c r="E477" s="16">
        <f>ABS(Solieusap!E477)</f>
        <v>1.6937</v>
      </c>
      <c r="F477" s="16">
        <f>ABS(Solieusap!F477)</f>
        <v>0.425</v>
      </c>
      <c r="G477" s="16">
        <f>ABS(Solieusap!G477)</f>
        <v>0.0971</v>
      </c>
      <c r="H477" s="16">
        <f>ABS(Solieusap!H477)</f>
        <v>0.06773</v>
      </c>
      <c r="I477" s="16">
        <f>ABS(Solieusap!I477)</f>
        <v>0.12853</v>
      </c>
      <c r="J477" s="16">
        <f>ABS(Solieusap!J477)</f>
        <v>0.38763</v>
      </c>
      <c r="K477" s="16">
        <f t="shared" si="1"/>
        <v>1.6937</v>
      </c>
      <c r="L477" s="16">
        <f t="shared" si="2"/>
        <v>0.12853</v>
      </c>
    </row>
    <row r="478" ht="16.5" customHeight="1">
      <c r="A478" s="14" t="str">
        <f>Solieusap!A478</f>
        <v>417</v>
      </c>
      <c r="B478" s="15">
        <f>Solieusap!B478</f>
        <v>0</v>
      </c>
      <c r="C478" s="14" t="str">
        <f>Solieusap!C478</f>
        <v>DEAD1</v>
      </c>
      <c r="D478" s="14" t="str">
        <f>Solieusap!D478</f>
        <v>LinStatic</v>
      </c>
      <c r="E478" s="16">
        <f>ABS(Solieusap!E478)</f>
        <v>1.6745</v>
      </c>
      <c r="F478" s="16">
        <f>ABS(Solieusap!F478)</f>
        <v>0.6061</v>
      </c>
      <c r="G478" s="16">
        <f>ABS(Solieusap!G478)</f>
        <v>0.0196</v>
      </c>
      <c r="H478" s="16">
        <f>ABS(Solieusap!H478)</f>
        <v>0.11797</v>
      </c>
      <c r="I478" s="16">
        <f>ABS(Solieusap!I478)</f>
        <v>0.06968</v>
      </c>
      <c r="J478" s="16">
        <f>ABS(Solieusap!J478)</f>
        <v>0.50471</v>
      </c>
      <c r="K478" s="16">
        <f t="shared" si="1"/>
        <v>1.6745</v>
      </c>
      <c r="L478" s="16">
        <f t="shared" si="2"/>
        <v>0.06968</v>
      </c>
    </row>
    <row r="479" ht="16.5" customHeight="1">
      <c r="A479" s="14" t="str">
        <f>Solieusap!A479</f>
        <v>417</v>
      </c>
      <c r="B479" s="15">
        <f>Solieusap!B479</f>
        <v>0.5</v>
      </c>
      <c r="C479" s="14" t="str">
        <f>Solieusap!C479</f>
        <v>DEAD1</v>
      </c>
      <c r="D479" s="14" t="str">
        <f>Solieusap!D479</f>
        <v>LinStatic</v>
      </c>
      <c r="E479" s="16">
        <f>ABS(Solieusap!E479)</f>
        <v>1.6745</v>
      </c>
      <c r="F479" s="16">
        <f>ABS(Solieusap!F479)</f>
        <v>0.5098</v>
      </c>
      <c r="G479" s="16">
        <f>ABS(Solieusap!G479)</f>
        <v>0.0196</v>
      </c>
      <c r="H479" s="16">
        <f>ABS(Solieusap!H479)</f>
        <v>0.11797</v>
      </c>
      <c r="I479" s="16">
        <f>ABS(Solieusap!I479)</f>
        <v>0.05988</v>
      </c>
      <c r="J479" s="16">
        <f>ABS(Solieusap!J479)</f>
        <v>0.22575</v>
      </c>
      <c r="K479" s="16">
        <f t="shared" si="1"/>
        <v>1.6745</v>
      </c>
      <c r="L479" s="16">
        <f t="shared" si="2"/>
        <v>0.05988</v>
      </c>
    </row>
    <row r="480" ht="16.5" customHeight="1">
      <c r="A480" s="14" t="str">
        <f>Solieusap!A480</f>
        <v>417</v>
      </c>
      <c r="B480" s="15">
        <f>Solieusap!B480</f>
        <v>1</v>
      </c>
      <c r="C480" s="14" t="str">
        <f>Solieusap!C480</f>
        <v>DEAD1</v>
      </c>
      <c r="D480" s="14" t="str">
        <f>Solieusap!D480</f>
        <v>LinStatic</v>
      </c>
      <c r="E480" s="16">
        <f>ABS(Solieusap!E480)</f>
        <v>1.6745</v>
      </c>
      <c r="F480" s="16">
        <f>ABS(Solieusap!F480)</f>
        <v>0.4136</v>
      </c>
      <c r="G480" s="16">
        <f>ABS(Solieusap!G480)</f>
        <v>0.0196</v>
      </c>
      <c r="H480" s="16">
        <f>ABS(Solieusap!H480)</f>
        <v>0.11797</v>
      </c>
      <c r="I480" s="16">
        <f>ABS(Solieusap!I480)</f>
        <v>0.05007</v>
      </c>
      <c r="J480" s="16">
        <f>ABS(Solieusap!J480)</f>
        <v>0.0051</v>
      </c>
      <c r="K480" s="16">
        <f t="shared" si="1"/>
        <v>1.6745</v>
      </c>
      <c r="L480" s="16">
        <f t="shared" si="2"/>
        <v>0.05007</v>
      </c>
    </row>
    <row r="481" ht="16.5" customHeight="1">
      <c r="A481" s="14" t="str">
        <f>Solieusap!A481</f>
        <v>417</v>
      </c>
      <c r="B481" s="15">
        <f>Solieusap!B481</f>
        <v>1.5</v>
      </c>
      <c r="C481" s="14" t="str">
        <f>Solieusap!C481</f>
        <v>DEAD1</v>
      </c>
      <c r="D481" s="14" t="str">
        <f>Solieusap!D481</f>
        <v>LinStatic</v>
      </c>
      <c r="E481" s="16">
        <f>ABS(Solieusap!E481)</f>
        <v>1.6745</v>
      </c>
      <c r="F481" s="16">
        <f>ABS(Solieusap!F481)</f>
        <v>0.3173</v>
      </c>
      <c r="G481" s="16">
        <f>ABS(Solieusap!G481)</f>
        <v>0.0196</v>
      </c>
      <c r="H481" s="16">
        <f>ABS(Solieusap!H481)</f>
        <v>0.11797</v>
      </c>
      <c r="I481" s="16">
        <f>ABS(Solieusap!I481)</f>
        <v>0.04026</v>
      </c>
      <c r="J481" s="16">
        <f>ABS(Solieusap!J481)</f>
        <v>0.18781</v>
      </c>
      <c r="K481" s="16">
        <f t="shared" si="1"/>
        <v>1.6745</v>
      </c>
      <c r="L481" s="16">
        <f t="shared" si="2"/>
        <v>0.04026</v>
      </c>
    </row>
    <row r="482" ht="16.5" customHeight="1">
      <c r="A482" s="14" t="str">
        <f>Solieusap!A482</f>
        <v>417</v>
      </c>
      <c r="B482" s="15">
        <f>Solieusap!B482</f>
        <v>2</v>
      </c>
      <c r="C482" s="14" t="str">
        <f>Solieusap!C482</f>
        <v>DEAD1</v>
      </c>
      <c r="D482" s="14" t="str">
        <f>Solieusap!D482</f>
        <v>LinStatic</v>
      </c>
      <c r="E482" s="16">
        <f>ABS(Solieusap!E482)</f>
        <v>1.6745</v>
      </c>
      <c r="F482" s="16">
        <f>ABS(Solieusap!F482)</f>
        <v>0.2211</v>
      </c>
      <c r="G482" s="16">
        <f>ABS(Solieusap!G482)</f>
        <v>0.0196</v>
      </c>
      <c r="H482" s="16">
        <f>ABS(Solieusap!H482)</f>
        <v>0.11797</v>
      </c>
      <c r="I482" s="16">
        <f>ABS(Solieusap!I482)</f>
        <v>0.03045</v>
      </c>
      <c r="J482" s="16">
        <f>ABS(Solieusap!J482)</f>
        <v>0.3224</v>
      </c>
      <c r="K482" s="16">
        <f t="shared" si="1"/>
        <v>1.6745</v>
      </c>
      <c r="L482" s="16">
        <f t="shared" si="2"/>
        <v>0.03045</v>
      </c>
    </row>
    <row r="483" ht="16.5" customHeight="1">
      <c r="A483" s="14" t="str">
        <f>Solieusap!A483</f>
        <v>419</v>
      </c>
      <c r="B483" s="15">
        <f>Solieusap!B483</f>
        <v>0</v>
      </c>
      <c r="C483" s="14" t="str">
        <f>Solieusap!C483</f>
        <v>DEAD1</v>
      </c>
      <c r="D483" s="14" t="str">
        <f>Solieusap!D483</f>
        <v>LinStatic</v>
      </c>
      <c r="E483" s="16">
        <f>ABS(Solieusap!E483)</f>
        <v>2.7008</v>
      </c>
      <c r="F483" s="16">
        <f>ABS(Solieusap!F483)</f>
        <v>0.2989</v>
      </c>
      <c r="G483" s="16">
        <f>ABS(Solieusap!G483)</f>
        <v>0.0128</v>
      </c>
      <c r="H483" s="16">
        <f>ABS(Solieusap!H483)</f>
        <v>0.01338</v>
      </c>
      <c r="I483" s="16">
        <f>ABS(Solieusap!I483)</f>
        <v>0.02498</v>
      </c>
      <c r="J483" s="16">
        <f>ABS(Solieusap!J483)</f>
        <v>0.13252</v>
      </c>
      <c r="K483" s="16">
        <f t="shared" si="1"/>
        <v>2.7008</v>
      </c>
      <c r="L483" s="16">
        <f t="shared" si="2"/>
        <v>0.02498</v>
      </c>
    </row>
    <row r="484" ht="16.5" customHeight="1">
      <c r="A484" s="14" t="str">
        <f>Solieusap!A484</f>
        <v>419</v>
      </c>
      <c r="B484" s="15">
        <f>Solieusap!B484</f>
        <v>1.89011</v>
      </c>
      <c r="C484" s="14" t="str">
        <f>Solieusap!C484</f>
        <v>DEAD1</v>
      </c>
      <c r="D484" s="14" t="str">
        <f>Solieusap!D484</f>
        <v>LinStatic</v>
      </c>
      <c r="E484" s="16">
        <f>ABS(Solieusap!E484)</f>
        <v>2.9222</v>
      </c>
      <c r="F484" s="16">
        <f>ABS(Solieusap!F484)</f>
        <v>0.0102</v>
      </c>
      <c r="G484" s="16">
        <f>ABS(Solieusap!G484)</f>
        <v>0.0128</v>
      </c>
      <c r="H484" s="16">
        <f>ABS(Solieusap!H484)</f>
        <v>0.01338</v>
      </c>
      <c r="I484" s="16">
        <f>ABS(Solieusap!I484)</f>
        <v>0.00076</v>
      </c>
      <c r="J484" s="16">
        <f>ABS(Solieusap!J484)</f>
        <v>0.15956</v>
      </c>
      <c r="K484" s="16">
        <f t="shared" si="1"/>
        <v>2.9222</v>
      </c>
      <c r="L484" s="16">
        <f t="shared" si="2"/>
        <v>0.00076</v>
      </c>
    </row>
    <row r="485" ht="16.5" customHeight="1">
      <c r="A485" s="14" t="str">
        <f>Solieusap!A485</f>
        <v>419</v>
      </c>
      <c r="B485" s="15">
        <f>Solieusap!B485</f>
        <v>3.78021</v>
      </c>
      <c r="C485" s="14" t="str">
        <f>Solieusap!C485</f>
        <v>DEAD1</v>
      </c>
      <c r="D485" s="14" t="str">
        <f>Solieusap!D485</f>
        <v>LinStatic</v>
      </c>
      <c r="E485" s="16">
        <f>ABS(Solieusap!E485)</f>
        <v>3.1436</v>
      </c>
      <c r="F485" s="16">
        <f>ABS(Solieusap!F485)</f>
        <v>0.2786</v>
      </c>
      <c r="G485" s="16">
        <f>ABS(Solieusap!G485)</f>
        <v>0.0128</v>
      </c>
      <c r="H485" s="16">
        <f>ABS(Solieusap!H485)</f>
        <v>0.01338</v>
      </c>
      <c r="I485" s="16">
        <f>ABS(Solieusap!I485)</f>
        <v>0.02347</v>
      </c>
      <c r="J485" s="16">
        <f>ABS(Solieusap!J485)</f>
        <v>0.09413</v>
      </c>
      <c r="K485" s="16">
        <f t="shared" si="1"/>
        <v>3.1436</v>
      </c>
      <c r="L485" s="16">
        <f t="shared" si="2"/>
        <v>0.02347</v>
      </c>
    </row>
    <row r="486" ht="16.5" customHeight="1">
      <c r="A486" s="14" t="str">
        <f>Solieusap!A486</f>
        <v>420</v>
      </c>
      <c r="B486" s="15">
        <f>Solieusap!B486</f>
        <v>0</v>
      </c>
      <c r="C486" s="14" t="str">
        <f>Solieusap!C486</f>
        <v>DEAD1</v>
      </c>
      <c r="D486" s="14" t="str">
        <f>Solieusap!D486</f>
        <v>LinStatic</v>
      </c>
      <c r="E486" s="16">
        <f>ABS(Solieusap!E486)</f>
        <v>2.0306</v>
      </c>
      <c r="F486" s="16">
        <f>ABS(Solieusap!F486)</f>
        <v>0.2895</v>
      </c>
      <c r="G486" s="16">
        <f>ABS(Solieusap!G486)</f>
        <v>0.0132</v>
      </c>
      <c r="H486" s="16">
        <f>ABS(Solieusap!H486)</f>
        <v>0.00213</v>
      </c>
      <c r="I486" s="16">
        <f>ABS(Solieusap!I486)</f>
        <v>0.02169</v>
      </c>
      <c r="J486" s="16">
        <f>ABS(Solieusap!J486)</f>
        <v>0.09529</v>
      </c>
      <c r="K486" s="16">
        <f t="shared" si="1"/>
        <v>2.0306</v>
      </c>
      <c r="L486" s="16">
        <f t="shared" si="2"/>
        <v>0.02169</v>
      </c>
    </row>
    <row r="487" ht="16.5" customHeight="1">
      <c r="A487" s="14" t="str">
        <f>Solieusap!A487</f>
        <v>420</v>
      </c>
      <c r="B487" s="15">
        <f>Solieusap!B487</f>
        <v>1.89011</v>
      </c>
      <c r="C487" s="14" t="str">
        <f>Solieusap!C487</f>
        <v>DEAD1</v>
      </c>
      <c r="D487" s="14" t="str">
        <f>Solieusap!D487</f>
        <v>LinStatic</v>
      </c>
      <c r="E487" s="16">
        <f>ABS(Solieusap!E487)</f>
        <v>2.252</v>
      </c>
      <c r="F487" s="16">
        <f>ABS(Solieusap!F487)</f>
        <v>0.0007477</v>
      </c>
      <c r="G487" s="16">
        <f>ABS(Solieusap!G487)</f>
        <v>0.0132</v>
      </c>
      <c r="H487" s="16">
        <f>ABS(Solieusap!H487)</f>
        <v>0.00213</v>
      </c>
      <c r="I487" s="16">
        <f>ABS(Solieusap!I487)</f>
        <v>0.00318</v>
      </c>
      <c r="J487" s="16">
        <f>ABS(Solieusap!J487)</f>
        <v>0.17901</v>
      </c>
      <c r="K487" s="16">
        <f t="shared" si="1"/>
        <v>2.252</v>
      </c>
      <c r="L487" s="16">
        <f t="shared" si="2"/>
        <v>0.00318</v>
      </c>
    </row>
    <row r="488" ht="16.5" customHeight="1">
      <c r="A488" s="14" t="str">
        <f>Solieusap!A488</f>
        <v>420</v>
      </c>
      <c r="B488" s="15">
        <f>Solieusap!B488</f>
        <v>3.78021</v>
      </c>
      <c r="C488" s="14" t="str">
        <f>Solieusap!C488</f>
        <v>DEAD1</v>
      </c>
      <c r="D488" s="14" t="str">
        <f>Solieusap!D488</f>
        <v>LinStatic</v>
      </c>
      <c r="E488" s="16">
        <f>ABS(Solieusap!E488)</f>
        <v>2.4733</v>
      </c>
      <c r="F488" s="16">
        <f>ABS(Solieusap!F488)</f>
        <v>0.288</v>
      </c>
      <c r="G488" s="16">
        <f>ABS(Solieusap!G488)</f>
        <v>0.0132</v>
      </c>
      <c r="H488" s="16">
        <f>ABS(Solieusap!H488)</f>
        <v>0.00213</v>
      </c>
      <c r="I488" s="16">
        <f>ABS(Solieusap!I488)</f>
        <v>0.02806</v>
      </c>
      <c r="J488" s="16">
        <f>ABS(Solieusap!J488)</f>
        <v>0.09246</v>
      </c>
      <c r="K488" s="16">
        <f t="shared" si="1"/>
        <v>2.4733</v>
      </c>
      <c r="L488" s="16">
        <f t="shared" si="2"/>
        <v>0.02806</v>
      </c>
    </row>
    <row r="489" ht="16.5" customHeight="1">
      <c r="A489" s="14" t="str">
        <f>Solieusap!A489</f>
        <v>421</v>
      </c>
      <c r="B489" s="15">
        <f>Solieusap!B489</f>
        <v>0</v>
      </c>
      <c r="C489" s="14" t="str">
        <f>Solieusap!C489</f>
        <v>DEAD1</v>
      </c>
      <c r="D489" s="14" t="str">
        <f>Solieusap!D489</f>
        <v>LinStatic</v>
      </c>
      <c r="E489" s="16">
        <f>ABS(Solieusap!E489)</f>
        <v>2.4635</v>
      </c>
      <c r="F489" s="16">
        <f>ABS(Solieusap!F489)</f>
        <v>0.2881</v>
      </c>
      <c r="G489" s="16">
        <f>ABS(Solieusap!G489)</f>
        <v>0.0146</v>
      </c>
      <c r="H489" s="16">
        <f>ABS(Solieusap!H489)</f>
        <v>0.0006</v>
      </c>
      <c r="I489" s="16">
        <f>ABS(Solieusap!I489)</f>
        <v>0.03246</v>
      </c>
      <c r="J489" s="16">
        <f>ABS(Solieusap!J489)</f>
        <v>0.09207</v>
      </c>
      <c r="K489" s="16">
        <f t="shared" si="1"/>
        <v>2.4635</v>
      </c>
      <c r="L489" s="16">
        <f t="shared" si="2"/>
        <v>0.03246</v>
      </c>
    </row>
    <row r="490" ht="16.5" customHeight="1">
      <c r="A490" s="14" t="str">
        <f>Solieusap!A490</f>
        <v>421</v>
      </c>
      <c r="B490" s="15">
        <f>Solieusap!B490</f>
        <v>1.89011</v>
      </c>
      <c r="C490" s="14" t="str">
        <f>Solieusap!C490</f>
        <v>DEAD1</v>
      </c>
      <c r="D490" s="14" t="str">
        <f>Solieusap!D490</f>
        <v>LinStatic</v>
      </c>
      <c r="E490" s="16">
        <f>ABS(Solieusap!E490)</f>
        <v>2.2421</v>
      </c>
      <c r="F490" s="16">
        <f>ABS(Solieusap!F490)</f>
        <v>0.0006488</v>
      </c>
      <c r="G490" s="16">
        <f>ABS(Solieusap!G490)</f>
        <v>0.0146</v>
      </c>
      <c r="H490" s="16">
        <f>ABS(Solieusap!H490)</f>
        <v>0.0006</v>
      </c>
      <c r="I490" s="16">
        <f>ABS(Solieusap!I490)</f>
        <v>0.00488</v>
      </c>
      <c r="J490" s="16">
        <f>ABS(Solieusap!J490)</f>
        <v>0.17959</v>
      </c>
      <c r="K490" s="16">
        <f t="shared" si="1"/>
        <v>2.2421</v>
      </c>
      <c r="L490" s="16">
        <f t="shared" si="2"/>
        <v>0.00488</v>
      </c>
    </row>
    <row r="491" ht="16.5" customHeight="1">
      <c r="A491" s="14" t="str">
        <f>Solieusap!A491</f>
        <v>421</v>
      </c>
      <c r="B491" s="15">
        <f>Solieusap!B491</f>
        <v>3.78021</v>
      </c>
      <c r="C491" s="14" t="str">
        <f>Solieusap!C491</f>
        <v>DEAD1</v>
      </c>
      <c r="D491" s="14" t="str">
        <f>Solieusap!D491</f>
        <v>LinStatic</v>
      </c>
      <c r="E491" s="16">
        <f>ABS(Solieusap!E491)</f>
        <v>2.0208</v>
      </c>
      <c r="F491" s="16">
        <f>ABS(Solieusap!F491)</f>
        <v>0.2894</v>
      </c>
      <c r="G491" s="16">
        <f>ABS(Solieusap!G491)</f>
        <v>0.0146</v>
      </c>
      <c r="H491" s="16">
        <f>ABS(Solieusap!H491)</f>
        <v>0.0006</v>
      </c>
      <c r="I491" s="16">
        <f>ABS(Solieusap!I491)</f>
        <v>0.02271</v>
      </c>
      <c r="J491" s="16">
        <f>ABS(Solieusap!J491)</f>
        <v>0.09452</v>
      </c>
      <c r="K491" s="16">
        <f t="shared" si="1"/>
        <v>2.0208</v>
      </c>
      <c r="L491" s="16">
        <f t="shared" si="2"/>
        <v>0.02271</v>
      </c>
    </row>
    <row r="492" ht="16.5" customHeight="1">
      <c r="A492" s="14" t="str">
        <f>Solieusap!A492</f>
        <v>434</v>
      </c>
      <c r="B492" s="15">
        <f>Solieusap!B492</f>
        <v>0</v>
      </c>
      <c r="C492" s="14" t="str">
        <f>Solieusap!C492</f>
        <v>DEAD1</v>
      </c>
      <c r="D492" s="14" t="str">
        <f>Solieusap!D492</f>
        <v>LinStatic</v>
      </c>
      <c r="E492" s="16">
        <f>ABS(Solieusap!E492)</f>
        <v>2.7068</v>
      </c>
      <c r="F492" s="16">
        <f>ABS(Solieusap!F492)</f>
        <v>0.3012</v>
      </c>
      <c r="G492" s="16">
        <f>ABS(Solieusap!G492)</f>
        <v>0.0158</v>
      </c>
      <c r="H492" s="16">
        <f>ABS(Solieusap!H492)</f>
        <v>0.01382</v>
      </c>
      <c r="I492" s="16">
        <f>ABS(Solieusap!I492)</f>
        <v>0.02907</v>
      </c>
      <c r="J492" s="16">
        <f>ABS(Solieusap!J492)</f>
        <v>0.1358</v>
      </c>
      <c r="K492" s="16">
        <f t="shared" si="1"/>
        <v>2.7068</v>
      </c>
      <c r="L492" s="16">
        <f t="shared" si="2"/>
        <v>0.02907</v>
      </c>
    </row>
    <row r="493" ht="16.5" customHeight="1">
      <c r="A493" s="14" t="str">
        <f>Solieusap!A493</f>
        <v>434</v>
      </c>
      <c r="B493" s="15">
        <f>Solieusap!B493</f>
        <v>1.89011</v>
      </c>
      <c r="C493" s="14" t="str">
        <f>Solieusap!C493</f>
        <v>DEAD1</v>
      </c>
      <c r="D493" s="14" t="str">
        <f>Solieusap!D493</f>
        <v>LinStatic</v>
      </c>
      <c r="E493" s="16">
        <f>ABS(Solieusap!E493)</f>
        <v>2.9281</v>
      </c>
      <c r="F493" s="16">
        <f>ABS(Solieusap!F493)</f>
        <v>0.0124</v>
      </c>
      <c r="G493" s="16">
        <f>ABS(Solieusap!G493)</f>
        <v>0.0158</v>
      </c>
      <c r="H493" s="16">
        <f>ABS(Solieusap!H493)</f>
        <v>0.01382</v>
      </c>
      <c r="I493" s="16">
        <f>ABS(Solieusap!I493)</f>
        <v>0.00086</v>
      </c>
      <c r="J493" s="16">
        <f>ABS(Solieusap!J493)</f>
        <v>0.16062</v>
      </c>
      <c r="K493" s="16">
        <f t="shared" si="1"/>
        <v>2.9281</v>
      </c>
      <c r="L493" s="16">
        <f t="shared" si="2"/>
        <v>0.00086</v>
      </c>
    </row>
    <row r="494" ht="16.5" customHeight="1">
      <c r="A494" s="14" t="str">
        <f>Solieusap!A494</f>
        <v>434</v>
      </c>
      <c r="B494" s="15">
        <f>Solieusap!B494</f>
        <v>3.78021</v>
      </c>
      <c r="C494" s="14" t="str">
        <f>Solieusap!C494</f>
        <v>DEAD1</v>
      </c>
      <c r="D494" s="14" t="str">
        <f>Solieusap!D494</f>
        <v>LinStatic</v>
      </c>
      <c r="E494" s="16">
        <f>ABS(Solieusap!E494)</f>
        <v>3.1495</v>
      </c>
      <c r="F494" s="16">
        <f>ABS(Solieusap!F494)</f>
        <v>0.2763</v>
      </c>
      <c r="G494" s="16">
        <f>ABS(Solieusap!G494)</f>
        <v>0.0158</v>
      </c>
      <c r="H494" s="16">
        <f>ABS(Solieusap!H494)</f>
        <v>0.01382</v>
      </c>
      <c r="I494" s="16">
        <f>ABS(Solieusap!I494)</f>
        <v>0.03079</v>
      </c>
      <c r="J494" s="16">
        <f>ABS(Solieusap!J494)</f>
        <v>0.08874</v>
      </c>
      <c r="K494" s="16">
        <f t="shared" si="1"/>
        <v>3.1495</v>
      </c>
      <c r="L494" s="16">
        <f t="shared" si="2"/>
        <v>0.03079</v>
      </c>
    </row>
    <row r="495" ht="16.5" customHeight="1">
      <c r="A495" s="14" t="str">
        <f>Solieusap!A495</f>
        <v>437</v>
      </c>
      <c r="B495" s="15">
        <f>Solieusap!B495</f>
        <v>0</v>
      </c>
      <c r="C495" s="14" t="str">
        <f>Solieusap!C495</f>
        <v>DEAD1</v>
      </c>
      <c r="D495" s="14" t="str">
        <f>Solieusap!D495</f>
        <v>LinStatic</v>
      </c>
      <c r="E495" s="16">
        <f>ABS(Solieusap!E495)</f>
        <v>2.6038</v>
      </c>
      <c r="F495" s="16">
        <f>ABS(Solieusap!F495)</f>
        <v>0.4433</v>
      </c>
      <c r="G495" s="16">
        <f>ABS(Solieusap!G495)</f>
        <v>0.0007128</v>
      </c>
      <c r="H495" s="16">
        <f>ABS(Solieusap!H495)</f>
        <v>0.011</v>
      </c>
      <c r="I495" s="16">
        <f>ABS(Solieusap!I495)</f>
        <v>0.01228</v>
      </c>
      <c r="J495" s="16">
        <f>ABS(Solieusap!J495)</f>
        <v>0.29688</v>
      </c>
      <c r="K495" s="16">
        <f t="shared" si="1"/>
        <v>2.6038</v>
      </c>
      <c r="L495" s="16">
        <f t="shared" si="2"/>
        <v>0.01228</v>
      </c>
    </row>
    <row r="496" ht="16.5" customHeight="1">
      <c r="A496" s="14" t="str">
        <f>Solieusap!A496</f>
        <v>437</v>
      </c>
      <c r="B496" s="15">
        <f>Solieusap!B496</f>
        <v>2.41299</v>
      </c>
      <c r="C496" s="14" t="str">
        <f>Solieusap!C496</f>
        <v>DEAD1</v>
      </c>
      <c r="D496" s="14" t="str">
        <f>Solieusap!D496</f>
        <v>LinStatic</v>
      </c>
      <c r="E496" s="16">
        <f>ABS(Solieusap!E496)</f>
        <v>2.3824</v>
      </c>
      <c r="F496" s="16">
        <f>ABS(Solieusap!F496)</f>
        <v>0.0349</v>
      </c>
      <c r="G496" s="16">
        <f>ABS(Solieusap!G496)</f>
        <v>0.0007128</v>
      </c>
      <c r="H496" s="16">
        <f>ABS(Solieusap!H496)</f>
        <v>0.011</v>
      </c>
      <c r="I496" s="16">
        <f>ABS(Solieusap!I496)</f>
        <v>0.01056</v>
      </c>
      <c r="J496" s="16">
        <f>ABS(Solieusap!J496)</f>
        <v>0.28012</v>
      </c>
      <c r="K496" s="16">
        <f t="shared" si="1"/>
        <v>2.3824</v>
      </c>
      <c r="L496" s="16">
        <f t="shared" si="2"/>
        <v>0.01056</v>
      </c>
    </row>
    <row r="497" ht="16.5" customHeight="1">
      <c r="A497" s="14" t="str">
        <f>Solieusap!A497</f>
        <v>437</v>
      </c>
      <c r="B497" s="15">
        <f>Solieusap!B497</f>
        <v>4.82597</v>
      </c>
      <c r="C497" s="14" t="str">
        <f>Solieusap!C497</f>
        <v>DEAD1</v>
      </c>
      <c r="D497" s="14" t="str">
        <f>Solieusap!D497</f>
        <v>LinStatic</v>
      </c>
      <c r="E497" s="16">
        <f>ABS(Solieusap!E497)</f>
        <v>2.161</v>
      </c>
      <c r="F497" s="16">
        <f>ABS(Solieusap!F497)</f>
        <v>0.3734</v>
      </c>
      <c r="G497" s="16">
        <f>ABS(Solieusap!G497)</f>
        <v>0.0007128</v>
      </c>
      <c r="H497" s="16">
        <f>ABS(Solieusap!H497)</f>
        <v>0.011</v>
      </c>
      <c r="I497" s="16">
        <f>ABS(Solieusap!I497)</f>
        <v>0.00884</v>
      </c>
      <c r="J497" s="16">
        <f>ABS(Solieusap!J497)</f>
        <v>0.12823</v>
      </c>
      <c r="K497" s="16">
        <f t="shared" si="1"/>
        <v>2.161</v>
      </c>
      <c r="L497" s="16">
        <f t="shared" si="2"/>
        <v>0.00884</v>
      </c>
    </row>
    <row r="498" ht="16.5" customHeight="1">
      <c r="A498" s="14" t="str">
        <f>Solieusap!A498</f>
        <v>439</v>
      </c>
      <c r="B498" s="15">
        <f>Solieusap!B498</f>
        <v>0</v>
      </c>
      <c r="C498" s="14" t="str">
        <f>Solieusap!C498</f>
        <v>DEAD1</v>
      </c>
      <c r="D498" s="14" t="str">
        <f>Solieusap!D498</f>
        <v>LinStatic</v>
      </c>
      <c r="E498" s="16">
        <f>ABS(Solieusap!E498)</f>
        <v>2.8453</v>
      </c>
      <c r="F498" s="16">
        <f>ABS(Solieusap!F498)</f>
        <v>0.2435</v>
      </c>
      <c r="G498" s="16">
        <f>ABS(Solieusap!G498)</f>
        <v>0.0469</v>
      </c>
      <c r="H498" s="16">
        <f>ABS(Solieusap!H498)</f>
        <v>0.00643</v>
      </c>
      <c r="I498" s="16">
        <f>ABS(Solieusap!I498)</f>
        <v>0.07896</v>
      </c>
      <c r="J498" s="16">
        <f>ABS(Solieusap!J498)</f>
        <v>0.00334</v>
      </c>
      <c r="K498" s="16">
        <f t="shared" si="1"/>
        <v>2.8453</v>
      </c>
      <c r="L498" s="16">
        <f t="shared" si="2"/>
        <v>0.07896</v>
      </c>
    </row>
    <row r="499" ht="16.5" customHeight="1">
      <c r="A499" s="14" t="str">
        <f>Solieusap!A499</f>
        <v>439</v>
      </c>
      <c r="B499" s="15">
        <f>Solieusap!B499</f>
        <v>1.89011</v>
      </c>
      <c r="C499" s="14" t="str">
        <f>Solieusap!C499</f>
        <v>DEAD1</v>
      </c>
      <c r="D499" s="14" t="str">
        <f>Solieusap!D499</f>
        <v>LinStatic</v>
      </c>
      <c r="E499" s="16">
        <f>ABS(Solieusap!E499)</f>
        <v>3.0666</v>
      </c>
      <c r="F499" s="16">
        <f>ABS(Solieusap!F499)</f>
        <v>0.0453</v>
      </c>
      <c r="G499" s="16">
        <f>ABS(Solieusap!G499)</f>
        <v>0.0469</v>
      </c>
      <c r="H499" s="16">
        <f>ABS(Solieusap!H499)</f>
        <v>0.00643</v>
      </c>
      <c r="I499" s="16">
        <f>ABS(Solieusap!I499)</f>
        <v>0.00962</v>
      </c>
      <c r="J499" s="16">
        <f>ABS(Solieusap!J499)</f>
        <v>0.18398</v>
      </c>
      <c r="K499" s="16">
        <f t="shared" si="1"/>
        <v>3.0666</v>
      </c>
      <c r="L499" s="16">
        <f t="shared" si="2"/>
        <v>0.00962</v>
      </c>
    </row>
    <row r="500" ht="16.5" customHeight="1">
      <c r="A500" s="14" t="str">
        <f>Solieusap!A500</f>
        <v>439</v>
      </c>
      <c r="B500" s="15">
        <f>Solieusap!B500</f>
        <v>3.78021</v>
      </c>
      <c r="C500" s="14" t="str">
        <f>Solieusap!C500</f>
        <v>DEAD1</v>
      </c>
      <c r="D500" s="14" t="str">
        <f>Solieusap!D500</f>
        <v>LinStatic</v>
      </c>
      <c r="E500" s="16">
        <f>ABS(Solieusap!E500)</f>
        <v>3.288</v>
      </c>
      <c r="F500" s="16">
        <f>ABS(Solieusap!F500)</f>
        <v>0.334</v>
      </c>
      <c r="G500" s="16">
        <f>ABS(Solieusap!G500)</f>
        <v>0.0469</v>
      </c>
      <c r="H500" s="16">
        <f>ABS(Solieusap!H500)</f>
        <v>0.00643</v>
      </c>
      <c r="I500" s="16">
        <f>ABS(Solieusap!I500)</f>
        <v>0.09821</v>
      </c>
      <c r="J500" s="16">
        <f>ABS(Solieusap!J500)</f>
        <v>0.17447</v>
      </c>
      <c r="K500" s="16">
        <f t="shared" si="1"/>
        <v>3.288</v>
      </c>
      <c r="L500" s="16">
        <f t="shared" si="2"/>
        <v>0.09821</v>
      </c>
    </row>
    <row r="501" ht="16.5" customHeight="1">
      <c r="A501" s="14" t="str">
        <f>Solieusap!A501</f>
        <v>440</v>
      </c>
      <c r="B501" s="15">
        <f>Solieusap!B501</f>
        <v>0</v>
      </c>
      <c r="C501" s="14" t="str">
        <f>Solieusap!C501</f>
        <v>DEAD1</v>
      </c>
      <c r="D501" s="14" t="str">
        <f>Solieusap!D501</f>
        <v>LinStatic</v>
      </c>
      <c r="E501" s="16">
        <f>ABS(Solieusap!E501)</f>
        <v>1.9694</v>
      </c>
      <c r="F501" s="16">
        <f>ABS(Solieusap!F501)</f>
        <v>0.2812</v>
      </c>
      <c r="G501" s="16">
        <f>ABS(Solieusap!G501)</f>
        <v>0.0084</v>
      </c>
      <c r="H501" s="16">
        <f>ABS(Solieusap!H501)</f>
        <v>0.00807</v>
      </c>
      <c r="I501" s="16">
        <f>ABS(Solieusap!I501)</f>
        <v>0.01479</v>
      </c>
      <c r="J501" s="16">
        <f>ABS(Solieusap!J501)</f>
        <v>0.08917</v>
      </c>
      <c r="K501" s="16">
        <f t="shared" si="1"/>
        <v>1.9694</v>
      </c>
      <c r="L501" s="16">
        <f t="shared" si="2"/>
        <v>0.01479</v>
      </c>
    </row>
    <row r="502" ht="16.5" customHeight="1">
      <c r="A502" s="14" t="str">
        <f>Solieusap!A502</f>
        <v>440</v>
      </c>
      <c r="B502" s="15">
        <f>Solieusap!B502</f>
        <v>1.89011</v>
      </c>
      <c r="C502" s="14" t="str">
        <f>Solieusap!C502</f>
        <v>DEAD1</v>
      </c>
      <c r="D502" s="14" t="str">
        <f>Solieusap!D502</f>
        <v>LinStatic</v>
      </c>
      <c r="E502" s="16">
        <f>ABS(Solieusap!E502)</f>
        <v>2.1908</v>
      </c>
      <c r="F502" s="16">
        <f>ABS(Solieusap!F502)</f>
        <v>0.0075</v>
      </c>
      <c r="G502" s="16">
        <f>ABS(Solieusap!G502)</f>
        <v>0.0084</v>
      </c>
      <c r="H502" s="16">
        <f>ABS(Solieusap!H502)</f>
        <v>0.00807</v>
      </c>
      <c r="I502" s="16">
        <f>ABS(Solieusap!I502)</f>
        <v>0.00105</v>
      </c>
      <c r="J502" s="16">
        <f>ABS(Solieusap!J502)</f>
        <v>0.16946</v>
      </c>
      <c r="K502" s="16">
        <f t="shared" si="1"/>
        <v>2.1908</v>
      </c>
      <c r="L502" s="16">
        <f t="shared" si="2"/>
        <v>0.00105</v>
      </c>
    </row>
    <row r="503" ht="16.5" customHeight="1">
      <c r="A503" s="14" t="str">
        <f>Solieusap!A503</f>
        <v>440</v>
      </c>
      <c r="B503" s="15">
        <f>Solieusap!B503</f>
        <v>3.78021</v>
      </c>
      <c r="C503" s="14" t="str">
        <f>Solieusap!C503</f>
        <v>DEAD1</v>
      </c>
      <c r="D503" s="14" t="str">
        <f>Solieusap!D503</f>
        <v>LinStatic</v>
      </c>
      <c r="E503" s="16">
        <f>ABS(Solieusap!E503)</f>
        <v>2.4121</v>
      </c>
      <c r="F503" s="16">
        <f>ABS(Solieusap!F503)</f>
        <v>0.2963</v>
      </c>
      <c r="G503" s="16">
        <f>ABS(Solieusap!G503)</f>
        <v>0.0084</v>
      </c>
      <c r="H503" s="16">
        <f>ABS(Solieusap!H503)</f>
        <v>0.00807</v>
      </c>
      <c r="I503" s="16">
        <f>ABS(Solieusap!I503)</f>
        <v>0.01689</v>
      </c>
      <c r="J503" s="16">
        <f>ABS(Solieusap!J503)</f>
        <v>0.11767</v>
      </c>
      <c r="K503" s="16">
        <f t="shared" si="1"/>
        <v>2.4121</v>
      </c>
      <c r="L503" s="16">
        <f t="shared" si="2"/>
        <v>0.01689</v>
      </c>
    </row>
    <row r="504" ht="16.5" customHeight="1">
      <c r="A504" s="14" t="str">
        <f>Solieusap!A504</f>
        <v>442</v>
      </c>
      <c r="B504" s="15">
        <f>Solieusap!B504</f>
        <v>0</v>
      </c>
      <c r="C504" s="14" t="str">
        <f>Solieusap!C504</f>
        <v>DEAD1</v>
      </c>
      <c r="D504" s="14" t="str">
        <f>Solieusap!D504</f>
        <v>LinStatic</v>
      </c>
      <c r="E504" s="16">
        <f>ABS(Solieusap!E504)</f>
        <v>3.2915</v>
      </c>
      <c r="F504" s="16">
        <f>ABS(Solieusap!F504)</f>
        <v>0.3319</v>
      </c>
      <c r="G504" s="16">
        <f>ABS(Solieusap!G504)</f>
        <v>0.0379</v>
      </c>
      <c r="H504" s="16">
        <f>ABS(Solieusap!H504)</f>
        <v>0.00129</v>
      </c>
      <c r="I504" s="16">
        <f>ABS(Solieusap!I504)</f>
        <v>0.07701</v>
      </c>
      <c r="J504" s="16">
        <f>ABS(Solieusap!J504)</f>
        <v>0.17086</v>
      </c>
      <c r="K504" s="16">
        <f t="shared" si="1"/>
        <v>3.2915</v>
      </c>
      <c r="L504" s="16">
        <f t="shared" si="2"/>
        <v>0.07701</v>
      </c>
    </row>
    <row r="505" ht="16.5" customHeight="1">
      <c r="A505" s="14" t="str">
        <f>Solieusap!A505</f>
        <v>442</v>
      </c>
      <c r="B505" s="15">
        <f>Solieusap!B505</f>
        <v>1.89011</v>
      </c>
      <c r="C505" s="14" t="str">
        <f>Solieusap!C505</f>
        <v>DEAD1</v>
      </c>
      <c r="D505" s="14" t="str">
        <f>Solieusap!D505</f>
        <v>LinStatic</v>
      </c>
      <c r="E505" s="16">
        <f>ABS(Solieusap!E505)</f>
        <v>3.0702</v>
      </c>
      <c r="F505" s="16">
        <f>ABS(Solieusap!F505)</f>
        <v>0.0432</v>
      </c>
      <c r="G505" s="16">
        <f>ABS(Solieusap!G505)</f>
        <v>0.0379</v>
      </c>
      <c r="H505" s="16">
        <f>ABS(Solieusap!H505)</f>
        <v>0.00129</v>
      </c>
      <c r="I505" s="16">
        <f>ABS(Solieusap!I505)</f>
        <v>0.00539</v>
      </c>
      <c r="J505" s="16">
        <f>ABS(Solieusap!J505)</f>
        <v>0.1836</v>
      </c>
      <c r="K505" s="16">
        <f t="shared" si="1"/>
        <v>3.0702</v>
      </c>
      <c r="L505" s="16">
        <f t="shared" si="2"/>
        <v>0.00539</v>
      </c>
    </row>
    <row r="506" ht="16.5" customHeight="1">
      <c r="A506" s="14" t="str">
        <f>Solieusap!A506</f>
        <v>442</v>
      </c>
      <c r="B506" s="15">
        <f>Solieusap!B506</f>
        <v>3.78021</v>
      </c>
      <c r="C506" s="14" t="str">
        <f>Solieusap!C506</f>
        <v>DEAD1</v>
      </c>
      <c r="D506" s="14" t="str">
        <f>Solieusap!D506</f>
        <v>LinStatic</v>
      </c>
      <c r="E506" s="16">
        <f>ABS(Solieusap!E506)</f>
        <v>2.8488</v>
      </c>
      <c r="F506" s="16">
        <f>ABS(Solieusap!F506)</f>
        <v>0.2456</v>
      </c>
      <c r="G506" s="16">
        <f>ABS(Solieusap!G506)</f>
        <v>0.0379</v>
      </c>
      <c r="H506" s="16">
        <f>ABS(Solieusap!H506)</f>
        <v>0.00129</v>
      </c>
      <c r="I506" s="16">
        <f>ABS(Solieusap!I506)</f>
        <v>0.06624</v>
      </c>
      <c r="J506" s="16">
        <f>ABS(Solieusap!J506)</f>
        <v>0.00771</v>
      </c>
      <c r="K506" s="16">
        <f t="shared" si="1"/>
        <v>2.8488</v>
      </c>
      <c r="L506" s="16">
        <f t="shared" si="2"/>
        <v>0.06624</v>
      </c>
    </row>
    <row r="507" ht="16.5" customHeight="1">
      <c r="A507" s="14" t="str">
        <f>Solieusap!A507</f>
        <v>443</v>
      </c>
      <c r="B507" s="15">
        <f>Solieusap!B507</f>
        <v>0</v>
      </c>
      <c r="C507" s="14" t="str">
        <f>Solieusap!C507</f>
        <v>DEAD1</v>
      </c>
      <c r="D507" s="14" t="str">
        <f>Solieusap!D507</f>
        <v>LinStatic</v>
      </c>
      <c r="E507" s="16">
        <f>ABS(Solieusap!E507)</f>
        <v>2.6569</v>
      </c>
      <c r="F507" s="16">
        <f>ABS(Solieusap!F507)</f>
        <v>0.4376</v>
      </c>
      <c r="G507" s="16">
        <f>ABS(Solieusap!G507)</f>
        <v>0.0001798</v>
      </c>
      <c r="H507" s="16">
        <f>ABS(Solieusap!H507)</f>
        <v>0.01768</v>
      </c>
      <c r="I507" s="16">
        <f>ABS(Solieusap!I507)</f>
        <v>0.01052</v>
      </c>
      <c r="J507" s="16">
        <f>ABS(Solieusap!J507)</f>
        <v>0.28183</v>
      </c>
      <c r="K507" s="16">
        <f t="shared" si="1"/>
        <v>2.6569</v>
      </c>
      <c r="L507" s="16">
        <f t="shared" si="2"/>
        <v>0.01052</v>
      </c>
    </row>
    <row r="508" ht="16.5" customHeight="1">
      <c r="A508" s="14" t="str">
        <f>Solieusap!A508</f>
        <v>443</v>
      </c>
      <c r="B508" s="15">
        <f>Solieusap!B508</f>
        <v>2.41299</v>
      </c>
      <c r="C508" s="14" t="str">
        <f>Solieusap!C508</f>
        <v>DEAD1</v>
      </c>
      <c r="D508" s="14" t="str">
        <f>Solieusap!D508</f>
        <v>LinStatic</v>
      </c>
      <c r="E508" s="16">
        <f>ABS(Solieusap!E508)</f>
        <v>2.4356</v>
      </c>
      <c r="F508" s="16">
        <f>ABS(Solieusap!F508)</f>
        <v>0.0292</v>
      </c>
      <c r="G508" s="16">
        <f>ABS(Solieusap!G508)</f>
        <v>0.0001798</v>
      </c>
      <c r="H508" s="16">
        <f>ABS(Solieusap!H508)</f>
        <v>0.01768</v>
      </c>
      <c r="I508" s="16">
        <f>ABS(Solieusap!I508)</f>
        <v>0.01009</v>
      </c>
      <c r="J508" s="16">
        <f>ABS(Solieusap!J508)</f>
        <v>0.28133</v>
      </c>
      <c r="K508" s="16">
        <f t="shared" si="1"/>
        <v>2.4356</v>
      </c>
      <c r="L508" s="16">
        <f t="shared" si="2"/>
        <v>0.01009</v>
      </c>
    </row>
    <row r="509" ht="16.5" customHeight="1">
      <c r="A509" s="14" t="str">
        <f>Solieusap!A509</f>
        <v>443</v>
      </c>
      <c r="B509" s="15">
        <f>Solieusap!B509</f>
        <v>4.82597</v>
      </c>
      <c r="C509" s="14" t="str">
        <f>Solieusap!C509</f>
        <v>DEAD1</v>
      </c>
      <c r="D509" s="14" t="str">
        <f>Solieusap!D509</f>
        <v>LinStatic</v>
      </c>
      <c r="E509" s="16">
        <f>ABS(Solieusap!E509)</f>
        <v>2.2142</v>
      </c>
      <c r="F509" s="16">
        <f>ABS(Solieusap!F509)</f>
        <v>0.3791</v>
      </c>
      <c r="G509" s="16">
        <f>ABS(Solieusap!G509)</f>
        <v>0.0001798</v>
      </c>
      <c r="H509" s="16">
        <f>ABS(Solieusap!H509)</f>
        <v>0.01768</v>
      </c>
      <c r="I509" s="16">
        <f>ABS(Solieusap!I509)</f>
        <v>0.00966</v>
      </c>
      <c r="J509" s="16">
        <f>ABS(Solieusap!J509)</f>
        <v>0.14086</v>
      </c>
      <c r="K509" s="16">
        <f t="shared" si="1"/>
        <v>2.2142</v>
      </c>
      <c r="L509" s="16">
        <f t="shared" si="2"/>
        <v>0.00966</v>
      </c>
    </row>
    <row r="510" ht="16.5" customHeight="1">
      <c r="A510" s="14" t="str">
        <f>Solieusap!A510</f>
        <v>447</v>
      </c>
      <c r="B510" s="15">
        <f>Solieusap!B510</f>
        <v>0</v>
      </c>
      <c r="C510" s="14" t="str">
        <f>Solieusap!C510</f>
        <v>DEAD1</v>
      </c>
      <c r="D510" s="14" t="str">
        <f>Solieusap!D510</f>
        <v>LinStatic</v>
      </c>
      <c r="E510" s="16">
        <f>ABS(Solieusap!E510)</f>
        <v>7.2068</v>
      </c>
      <c r="F510" s="16">
        <f>ABS(Solieusap!F510)</f>
        <v>0.3342</v>
      </c>
      <c r="G510" s="16">
        <f>ABS(Solieusap!G510)</f>
        <v>0.072</v>
      </c>
      <c r="H510" s="16">
        <f>ABS(Solieusap!H510)</f>
        <v>0.06218</v>
      </c>
      <c r="I510" s="16">
        <f>ABS(Solieusap!I510)</f>
        <v>0.04082</v>
      </c>
      <c r="J510" s="16">
        <f>ABS(Solieusap!J510)</f>
        <v>0.3872</v>
      </c>
      <c r="K510" s="16">
        <f t="shared" si="1"/>
        <v>7.2068</v>
      </c>
      <c r="L510" s="16">
        <f t="shared" si="2"/>
        <v>0.04082</v>
      </c>
    </row>
    <row r="511" ht="16.5" customHeight="1">
      <c r="A511" s="14" t="str">
        <f>Solieusap!A511</f>
        <v>447</v>
      </c>
      <c r="B511" s="15">
        <f>Solieusap!B511</f>
        <v>1</v>
      </c>
      <c r="C511" s="14" t="str">
        <f>Solieusap!C511</f>
        <v>DEAD1</v>
      </c>
      <c r="D511" s="14" t="str">
        <f>Solieusap!D511</f>
        <v>LinStatic</v>
      </c>
      <c r="E511" s="16">
        <f>ABS(Solieusap!E511)</f>
        <v>7.3168</v>
      </c>
      <c r="F511" s="16">
        <f>ABS(Solieusap!F511)</f>
        <v>0.3342</v>
      </c>
      <c r="G511" s="16">
        <f>ABS(Solieusap!G511)</f>
        <v>0.072</v>
      </c>
      <c r="H511" s="16">
        <f>ABS(Solieusap!H511)</f>
        <v>0.06218</v>
      </c>
      <c r="I511" s="16">
        <f>ABS(Solieusap!I511)</f>
        <v>0.03117</v>
      </c>
      <c r="J511" s="16">
        <f>ABS(Solieusap!J511)</f>
        <v>0.05304</v>
      </c>
      <c r="K511" s="16">
        <f t="shared" si="1"/>
        <v>7.3168</v>
      </c>
      <c r="L511" s="16">
        <f t="shared" si="2"/>
        <v>0.03117</v>
      </c>
    </row>
    <row r="512" ht="16.5" customHeight="1">
      <c r="A512" s="14" t="str">
        <f>Solieusap!A512</f>
        <v>447</v>
      </c>
      <c r="B512" s="15">
        <f>Solieusap!B512</f>
        <v>1</v>
      </c>
      <c r="C512" s="14" t="str">
        <f>Solieusap!C512</f>
        <v>DEAD1</v>
      </c>
      <c r="D512" s="14" t="str">
        <f>Solieusap!D512</f>
        <v>LinStatic</v>
      </c>
      <c r="E512" s="16">
        <f>ABS(Solieusap!E512)</f>
        <v>8.3504</v>
      </c>
      <c r="F512" s="16">
        <f>ABS(Solieusap!F512)</f>
        <v>0.2707</v>
      </c>
      <c r="G512" s="16">
        <f>ABS(Solieusap!G512)</f>
        <v>0.0638</v>
      </c>
      <c r="H512" s="16">
        <f>ABS(Solieusap!H512)</f>
        <v>0.0104</v>
      </c>
      <c r="I512" s="16">
        <f>ABS(Solieusap!I512)</f>
        <v>0.09496</v>
      </c>
      <c r="J512" s="16">
        <f>ABS(Solieusap!J512)</f>
        <v>0.29737</v>
      </c>
      <c r="K512" s="16">
        <f t="shared" si="1"/>
        <v>8.3504</v>
      </c>
      <c r="L512" s="16">
        <f t="shared" si="2"/>
        <v>0.09496</v>
      </c>
    </row>
    <row r="513" ht="16.5" customHeight="1">
      <c r="A513" s="14" t="str">
        <f>Solieusap!A513</f>
        <v>447</v>
      </c>
      <c r="B513" s="15">
        <f>Solieusap!B513</f>
        <v>1.65</v>
      </c>
      <c r="C513" s="14" t="str">
        <f>Solieusap!C513</f>
        <v>DEAD1</v>
      </c>
      <c r="D513" s="14" t="str">
        <f>Solieusap!D513</f>
        <v>LinStatic</v>
      </c>
      <c r="E513" s="16">
        <f>ABS(Solieusap!E513)</f>
        <v>8.4219</v>
      </c>
      <c r="F513" s="16">
        <f>ABS(Solieusap!F513)</f>
        <v>0.2707</v>
      </c>
      <c r="G513" s="16">
        <f>ABS(Solieusap!G513)</f>
        <v>0.0638</v>
      </c>
      <c r="H513" s="16">
        <f>ABS(Solieusap!H513)</f>
        <v>0.0104</v>
      </c>
      <c r="I513" s="16">
        <f>ABS(Solieusap!I513)</f>
        <v>0.0535</v>
      </c>
      <c r="J513" s="16">
        <f>ABS(Solieusap!J513)</f>
        <v>0.1214</v>
      </c>
      <c r="K513" s="16">
        <f t="shared" si="1"/>
        <v>8.4219</v>
      </c>
      <c r="L513" s="16">
        <f t="shared" si="2"/>
        <v>0.0535</v>
      </c>
    </row>
    <row r="514" ht="16.5" customHeight="1">
      <c r="A514" s="14" t="str">
        <f>Solieusap!A514</f>
        <v>447</v>
      </c>
      <c r="B514" s="15">
        <f>Solieusap!B514</f>
        <v>3.3</v>
      </c>
      <c r="C514" s="14" t="str">
        <f>Solieusap!C514</f>
        <v>DEAD1</v>
      </c>
      <c r="D514" s="14" t="str">
        <f>Solieusap!D514</f>
        <v>LinStatic</v>
      </c>
      <c r="E514" s="16">
        <f>ABS(Solieusap!E514)</f>
        <v>8.6034</v>
      </c>
      <c r="F514" s="16">
        <f>ABS(Solieusap!F514)</f>
        <v>0.2707</v>
      </c>
      <c r="G514" s="16">
        <f>ABS(Solieusap!G514)</f>
        <v>0.0638</v>
      </c>
      <c r="H514" s="16">
        <f>ABS(Solieusap!H514)</f>
        <v>0.0104</v>
      </c>
      <c r="I514" s="16">
        <f>ABS(Solieusap!I514)</f>
        <v>0.05173</v>
      </c>
      <c r="J514" s="16">
        <f>ABS(Solieusap!J514)</f>
        <v>0.32529</v>
      </c>
      <c r="K514" s="16">
        <f t="shared" si="1"/>
        <v>8.6034</v>
      </c>
      <c r="L514" s="16">
        <f t="shared" si="2"/>
        <v>0.05173</v>
      </c>
    </row>
    <row r="515" ht="16.5" customHeight="1">
      <c r="A515" s="14" t="str">
        <f>Solieusap!A515</f>
        <v>448</v>
      </c>
      <c r="B515" s="15">
        <f>Solieusap!B515</f>
        <v>0</v>
      </c>
      <c r="C515" s="14" t="str">
        <f>Solieusap!C515</f>
        <v>DEAD1</v>
      </c>
      <c r="D515" s="14" t="str">
        <f>Solieusap!D515</f>
        <v>LinStatic</v>
      </c>
      <c r="E515" s="16">
        <f>ABS(Solieusap!E515)</f>
        <v>1.3402</v>
      </c>
      <c r="F515" s="16">
        <f>ABS(Solieusap!F515)</f>
        <v>0.0148</v>
      </c>
      <c r="G515" s="16">
        <f>ABS(Solieusap!G515)</f>
        <v>0.011</v>
      </c>
      <c r="H515" s="16">
        <f>ABS(Solieusap!H515)</f>
        <v>0.00028</v>
      </c>
      <c r="I515" s="16">
        <f>ABS(Solieusap!I515)</f>
        <v>0.00791</v>
      </c>
      <c r="J515" s="16">
        <f>ABS(Solieusap!J515)</f>
        <v>0.02947</v>
      </c>
      <c r="K515" s="16">
        <f t="shared" si="1"/>
        <v>1.3402</v>
      </c>
      <c r="L515" s="16">
        <f t="shared" si="2"/>
        <v>0.00791</v>
      </c>
    </row>
    <row r="516" ht="16.5" customHeight="1">
      <c r="A516" s="14" t="str">
        <f>Solieusap!A516</f>
        <v>448</v>
      </c>
      <c r="B516" s="15">
        <f>Solieusap!B516</f>
        <v>0.5</v>
      </c>
      <c r="C516" s="14" t="str">
        <f>Solieusap!C516</f>
        <v>DEAD1</v>
      </c>
      <c r="D516" s="14" t="str">
        <f>Solieusap!D516</f>
        <v>LinStatic</v>
      </c>
      <c r="E516" s="16">
        <f>ABS(Solieusap!E516)</f>
        <v>1.3952</v>
      </c>
      <c r="F516" s="16">
        <f>ABS(Solieusap!F516)</f>
        <v>0.0148</v>
      </c>
      <c r="G516" s="16">
        <f>ABS(Solieusap!G516)</f>
        <v>0.011</v>
      </c>
      <c r="H516" s="16">
        <f>ABS(Solieusap!H516)</f>
        <v>0.00028</v>
      </c>
      <c r="I516" s="16">
        <f>ABS(Solieusap!I516)</f>
        <v>0.00238</v>
      </c>
      <c r="J516" s="16">
        <f>ABS(Solieusap!J516)</f>
        <v>0.02206</v>
      </c>
      <c r="K516" s="16">
        <f t="shared" si="1"/>
        <v>1.3952</v>
      </c>
      <c r="L516" s="16">
        <f t="shared" si="2"/>
        <v>0.00238</v>
      </c>
    </row>
    <row r="517" ht="16.5" customHeight="1">
      <c r="A517" s="14" t="str">
        <f>Solieusap!A517</f>
        <v>448</v>
      </c>
      <c r="B517" s="15">
        <f>Solieusap!B517</f>
        <v>1</v>
      </c>
      <c r="C517" s="14" t="str">
        <f>Solieusap!C517</f>
        <v>DEAD1</v>
      </c>
      <c r="D517" s="14" t="str">
        <f>Solieusap!D517</f>
        <v>LinStatic</v>
      </c>
      <c r="E517" s="16">
        <f>ABS(Solieusap!E517)</f>
        <v>1.4502</v>
      </c>
      <c r="F517" s="16">
        <f>ABS(Solieusap!F517)</f>
        <v>0.0148</v>
      </c>
      <c r="G517" s="16">
        <f>ABS(Solieusap!G517)</f>
        <v>0.011</v>
      </c>
      <c r="H517" s="16">
        <f>ABS(Solieusap!H517)</f>
        <v>0.00028</v>
      </c>
      <c r="I517" s="16">
        <f>ABS(Solieusap!I517)</f>
        <v>0.00314</v>
      </c>
      <c r="J517" s="16">
        <f>ABS(Solieusap!J517)</f>
        <v>0.01466</v>
      </c>
      <c r="K517" s="16">
        <f t="shared" si="1"/>
        <v>1.4502</v>
      </c>
      <c r="L517" s="16">
        <f t="shared" si="2"/>
        <v>0.00314</v>
      </c>
    </row>
    <row r="518" ht="16.5" customHeight="1">
      <c r="A518" s="14" t="str">
        <f>Solieusap!A518</f>
        <v>450</v>
      </c>
      <c r="B518" s="15">
        <f>Solieusap!B518</f>
        <v>0</v>
      </c>
      <c r="C518" s="14" t="str">
        <f>Solieusap!C518</f>
        <v>DEAD1</v>
      </c>
      <c r="D518" s="14" t="str">
        <f>Solieusap!D518</f>
        <v>LinStatic</v>
      </c>
      <c r="E518" s="16">
        <f>ABS(Solieusap!E518)</f>
        <v>1.7042</v>
      </c>
      <c r="F518" s="16">
        <f>ABS(Solieusap!F518)</f>
        <v>0.036</v>
      </c>
      <c r="G518" s="16">
        <f>ABS(Solieusap!G518)</f>
        <v>0.006</v>
      </c>
      <c r="H518" s="16">
        <f>ABS(Solieusap!H518)</f>
        <v>0.00143</v>
      </c>
      <c r="I518" s="16">
        <f>ABS(Solieusap!I518)</f>
        <v>0.00208</v>
      </c>
      <c r="J518" s="16">
        <f>ABS(Solieusap!J518)</f>
        <v>0.05571</v>
      </c>
      <c r="K518" s="16">
        <f t="shared" si="1"/>
        <v>1.7042</v>
      </c>
      <c r="L518" s="16">
        <f t="shared" si="2"/>
        <v>0.00208</v>
      </c>
    </row>
    <row r="519" ht="16.5" customHeight="1">
      <c r="A519" s="14" t="str">
        <f>Solieusap!A519</f>
        <v>450</v>
      </c>
      <c r="B519" s="15">
        <f>Solieusap!B519</f>
        <v>0.5</v>
      </c>
      <c r="C519" s="14" t="str">
        <f>Solieusap!C519</f>
        <v>DEAD1</v>
      </c>
      <c r="D519" s="14" t="str">
        <f>Solieusap!D519</f>
        <v>LinStatic</v>
      </c>
      <c r="E519" s="16">
        <f>ABS(Solieusap!E519)</f>
        <v>1.7592</v>
      </c>
      <c r="F519" s="16">
        <f>ABS(Solieusap!F519)</f>
        <v>0.036</v>
      </c>
      <c r="G519" s="16">
        <f>ABS(Solieusap!G519)</f>
        <v>0.006</v>
      </c>
      <c r="H519" s="16">
        <f>ABS(Solieusap!H519)</f>
        <v>0.00143</v>
      </c>
      <c r="I519" s="16">
        <f>ABS(Solieusap!I519)</f>
        <v>0.00091</v>
      </c>
      <c r="J519" s="16">
        <f>ABS(Solieusap!J519)</f>
        <v>0.0377</v>
      </c>
      <c r="K519" s="16">
        <f t="shared" si="1"/>
        <v>1.7592</v>
      </c>
      <c r="L519" s="16">
        <f t="shared" si="2"/>
        <v>0.00091</v>
      </c>
    </row>
    <row r="520" ht="16.5" customHeight="1">
      <c r="A520" s="14" t="str">
        <f>Solieusap!A520</f>
        <v>450</v>
      </c>
      <c r="B520" s="15">
        <f>Solieusap!B520</f>
        <v>1</v>
      </c>
      <c r="C520" s="14" t="str">
        <f>Solieusap!C520</f>
        <v>DEAD1</v>
      </c>
      <c r="D520" s="14" t="str">
        <f>Solieusap!D520</f>
        <v>LinStatic</v>
      </c>
      <c r="E520" s="16">
        <f>ABS(Solieusap!E520)</f>
        <v>1.8142</v>
      </c>
      <c r="F520" s="16">
        <f>ABS(Solieusap!F520)</f>
        <v>0.036</v>
      </c>
      <c r="G520" s="16">
        <f>ABS(Solieusap!G520)</f>
        <v>0.006</v>
      </c>
      <c r="H520" s="16">
        <f>ABS(Solieusap!H520)</f>
        <v>0.00143</v>
      </c>
      <c r="I520" s="16">
        <f>ABS(Solieusap!I520)</f>
        <v>0.00391</v>
      </c>
      <c r="J520" s="16">
        <f>ABS(Solieusap!J520)</f>
        <v>0.01968</v>
      </c>
      <c r="K520" s="16">
        <f t="shared" si="1"/>
        <v>1.8142</v>
      </c>
      <c r="L520" s="16">
        <f t="shared" si="2"/>
        <v>0.00391</v>
      </c>
    </row>
    <row r="521" ht="16.5" customHeight="1">
      <c r="A521" s="14" t="str">
        <f>Solieusap!A521</f>
        <v>451</v>
      </c>
      <c r="B521" s="15">
        <f>Solieusap!B521</f>
        <v>0</v>
      </c>
      <c r="C521" s="14" t="str">
        <f>Solieusap!C521</f>
        <v>DEAD1</v>
      </c>
      <c r="D521" s="14" t="str">
        <f>Solieusap!D521</f>
        <v>LinStatic</v>
      </c>
      <c r="E521" s="16">
        <f>ABS(Solieusap!E521)</f>
        <v>2.3669</v>
      </c>
      <c r="F521" s="16">
        <f>ABS(Solieusap!F521)</f>
        <v>0.0801</v>
      </c>
      <c r="G521" s="16">
        <f>ABS(Solieusap!G521)</f>
        <v>0.0282</v>
      </c>
      <c r="H521" s="16">
        <f>ABS(Solieusap!H521)</f>
        <v>0.00668</v>
      </c>
      <c r="I521" s="16">
        <f>ABS(Solieusap!I521)</f>
        <v>0.02073</v>
      </c>
      <c r="J521" s="16">
        <f>ABS(Solieusap!J521)</f>
        <v>0.08386</v>
      </c>
      <c r="K521" s="16">
        <f t="shared" si="1"/>
        <v>2.3669</v>
      </c>
      <c r="L521" s="16">
        <f t="shared" si="2"/>
        <v>0.02073</v>
      </c>
    </row>
    <row r="522" ht="16.5" customHeight="1">
      <c r="A522" s="14" t="str">
        <f>Solieusap!A522</f>
        <v>451</v>
      </c>
      <c r="B522" s="15">
        <f>Solieusap!B522</f>
        <v>1.15</v>
      </c>
      <c r="C522" s="14" t="str">
        <f>Solieusap!C522</f>
        <v>DEAD1</v>
      </c>
      <c r="D522" s="14" t="str">
        <f>Solieusap!D522</f>
        <v>LinStatic</v>
      </c>
      <c r="E522" s="16">
        <f>ABS(Solieusap!E522)</f>
        <v>2.4934</v>
      </c>
      <c r="F522" s="16">
        <f>ABS(Solieusap!F522)</f>
        <v>0.0801</v>
      </c>
      <c r="G522" s="16">
        <f>ABS(Solieusap!G522)</f>
        <v>0.0282</v>
      </c>
      <c r="H522" s="16">
        <f>ABS(Solieusap!H522)</f>
        <v>0.00668</v>
      </c>
      <c r="I522" s="16">
        <f>ABS(Solieusap!I522)</f>
        <v>0.01166</v>
      </c>
      <c r="J522" s="16">
        <f>ABS(Solieusap!J522)</f>
        <v>0.00829</v>
      </c>
      <c r="K522" s="16">
        <f t="shared" si="1"/>
        <v>2.4934</v>
      </c>
      <c r="L522" s="16">
        <f t="shared" si="2"/>
        <v>0.01166</v>
      </c>
    </row>
    <row r="523" ht="16.5" customHeight="1">
      <c r="A523" s="14" t="str">
        <f>Solieusap!A523</f>
        <v>451</v>
      </c>
      <c r="B523" s="15">
        <f>Solieusap!B523</f>
        <v>2.3</v>
      </c>
      <c r="C523" s="14" t="str">
        <f>Solieusap!C523</f>
        <v>DEAD1</v>
      </c>
      <c r="D523" s="14" t="str">
        <f>Solieusap!D523</f>
        <v>LinStatic</v>
      </c>
      <c r="E523" s="16">
        <f>ABS(Solieusap!E523)</f>
        <v>2.6199</v>
      </c>
      <c r="F523" s="16">
        <f>ABS(Solieusap!F523)</f>
        <v>0.0801</v>
      </c>
      <c r="G523" s="16">
        <f>ABS(Solieusap!G523)</f>
        <v>0.0282</v>
      </c>
      <c r="H523" s="16">
        <f>ABS(Solieusap!H523)</f>
        <v>0.00668</v>
      </c>
      <c r="I523" s="16">
        <f>ABS(Solieusap!I523)</f>
        <v>0.04406</v>
      </c>
      <c r="J523" s="16">
        <f>ABS(Solieusap!J523)</f>
        <v>0.10045</v>
      </c>
      <c r="K523" s="16">
        <f t="shared" si="1"/>
        <v>2.6199</v>
      </c>
      <c r="L523" s="16">
        <f t="shared" si="2"/>
        <v>0.04406</v>
      </c>
    </row>
    <row r="524" ht="16.5" customHeight="1">
      <c r="A524" s="14" t="str">
        <f>Solieusap!A524</f>
        <v>452</v>
      </c>
      <c r="B524" s="15">
        <f>Solieusap!B524</f>
        <v>0</v>
      </c>
      <c r="C524" s="14" t="str">
        <f>Solieusap!C524</f>
        <v>DEAD1</v>
      </c>
      <c r="D524" s="14" t="str">
        <f>Solieusap!D524</f>
        <v>LinStatic</v>
      </c>
      <c r="E524" s="16">
        <f>ABS(Solieusap!E524)</f>
        <v>2.2434</v>
      </c>
      <c r="F524" s="16">
        <f>ABS(Solieusap!F524)</f>
        <v>0.0829</v>
      </c>
      <c r="G524" s="16">
        <f>ABS(Solieusap!G524)</f>
        <v>0.0139</v>
      </c>
      <c r="H524" s="16">
        <f>ABS(Solieusap!H524)</f>
        <v>0.01142</v>
      </c>
      <c r="I524" s="16">
        <f>ABS(Solieusap!I524)</f>
        <v>0.00977</v>
      </c>
      <c r="J524" s="16">
        <f>ABS(Solieusap!J524)</f>
        <v>0.0862</v>
      </c>
      <c r="K524" s="16">
        <f t="shared" si="1"/>
        <v>2.2434</v>
      </c>
      <c r="L524" s="16">
        <f t="shared" si="2"/>
        <v>0.00977</v>
      </c>
    </row>
    <row r="525" ht="16.5" customHeight="1">
      <c r="A525" s="14" t="str">
        <f>Solieusap!A525</f>
        <v>452</v>
      </c>
      <c r="B525" s="15">
        <f>Solieusap!B525</f>
        <v>1.15</v>
      </c>
      <c r="C525" s="14" t="str">
        <f>Solieusap!C525</f>
        <v>DEAD1</v>
      </c>
      <c r="D525" s="14" t="str">
        <f>Solieusap!D525</f>
        <v>LinStatic</v>
      </c>
      <c r="E525" s="16">
        <f>ABS(Solieusap!E525)</f>
        <v>2.1169</v>
      </c>
      <c r="F525" s="16">
        <f>ABS(Solieusap!F525)</f>
        <v>0.0829</v>
      </c>
      <c r="G525" s="16">
        <f>ABS(Solieusap!G525)</f>
        <v>0.0139</v>
      </c>
      <c r="H525" s="16">
        <f>ABS(Solieusap!H525)</f>
        <v>0.01142</v>
      </c>
      <c r="I525" s="16">
        <f>ABS(Solieusap!I525)</f>
        <v>0.0062</v>
      </c>
      <c r="J525" s="16">
        <f>ABS(Solieusap!J525)</f>
        <v>0.00911</v>
      </c>
      <c r="K525" s="16">
        <f t="shared" si="1"/>
        <v>2.1169</v>
      </c>
      <c r="L525" s="16">
        <f t="shared" si="2"/>
        <v>0.0062</v>
      </c>
    </row>
    <row r="526" ht="16.5" customHeight="1">
      <c r="A526" s="14" t="str">
        <f>Solieusap!A526</f>
        <v>452</v>
      </c>
      <c r="B526" s="15">
        <f>Solieusap!B526</f>
        <v>2.3</v>
      </c>
      <c r="C526" s="14" t="str">
        <f>Solieusap!C526</f>
        <v>DEAD1</v>
      </c>
      <c r="D526" s="14" t="str">
        <f>Solieusap!D526</f>
        <v>LinStatic</v>
      </c>
      <c r="E526" s="16">
        <f>ABS(Solieusap!E526)</f>
        <v>1.9904</v>
      </c>
      <c r="F526" s="16">
        <f>ABS(Solieusap!F526)</f>
        <v>0.0829</v>
      </c>
      <c r="G526" s="16">
        <f>ABS(Solieusap!G526)</f>
        <v>0.0139</v>
      </c>
      <c r="H526" s="16">
        <f>ABS(Solieusap!H526)</f>
        <v>0.01142</v>
      </c>
      <c r="I526" s="16">
        <f>ABS(Solieusap!I526)</f>
        <v>0.02217</v>
      </c>
      <c r="J526" s="16">
        <f>ABS(Solieusap!J526)</f>
        <v>0.10442</v>
      </c>
      <c r="K526" s="16">
        <f t="shared" si="1"/>
        <v>1.9904</v>
      </c>
      <c r="L526" s="16">
        <f t="shared" si="2"/>
        <v>0.02217</v>
      </c>
    </row>
    <row r="527" ht="16.5" customHeight="1">
      <c r="A527" s="14" t="str">
        <f>Solieusap!A527</f>
        <v>453</v>
      </c>
      <c r="B527" s="15">
        <f>Solieusap!B527</f>
        <v>0</v>
      </c>
      <c r="C527" s="14" t="str">
        <f>Solieusap!C527</f>
        <v>DEAD1</v>
      </c>
      <c r="D527" s="14" t="str">
        <f>Solieusap!D527</f>
        <v>LinStatic</v>
      </c>
      <c r="E527" s="16">
        <f>ABS(Solieusap!E527)</f>
        <v>2.6282</v>
      </c>
      <c r="F527" s="16">
        <f>ABS(Solieusap!F527)</f>
        <v>0.0105</v>
      </c>
      <c r="G527" s="16">
        <f>ABS(Solieusap!G527)</f>
        <v>0.0276</v>
      </c>
      <c r="H527" s="16">
        <f>ABS(Solieusap!H527)</f>
        <v>0.00477</v>
      </c>
      <c r="I527" s="16">
        <f>ABS(Solieusap!I527)</f>
        <v>0.0435</v>
      </c>
      <c r="J527" s="16">
        <f>ABS(Solieusap!J527)</f>
        <v>0.01725</v>
      </c>
      <c r="K527" s="16">
        <f t="shared" si="1"/>
        <v>2.6282</v>
      </c>
      <c r="L527" s="16">
        <f t="shared" si="2"/>
        <v>0.0435</v>
      </c>
    </row>
    <row r="528" ht="16.5" customHeight="1">
      <c r="A528" s="14" t="str">
        <f>Solieusap!A528</f>
        <v>453</v>
      </c>
      <c r="B528" s="15">
        <f>Solieusap!B528</f>
        <v>1.15</v>
      </c>
      <c r="C528" s="14" t="str">
        <f>Solieusap!C528</f>
        <v>DEAD1</v>
      </c>
      <c r="D528" s="14" t="str">
        <f>Solieusap!D528</f>
        <v>LinStatic</v>
      </c>
      <c r="E528" s="16">
        <f>ABS(Solieusap!E528)</f>
        <v>2.5017</v>
      </c>
      <c r="F528" s="16">
        <f>ABS(Solieusap!F528)</f>
        <v>0.0105</v>
      </c>
      <c r="G528" s="16">
        <f>ABS(Solieusap!G528)</f>
        <v>0.0276</v>
      </c>
      <c r="H528" s="16">
        <f>ABS(Solieusap!H528)</f>
        <v>0.00477</v>
      </c>
      <c r="I528" s="16">
        <f>ABS(Solieusap!I528)</f>
        <v>0.01178</v>
      </c>
      <c r="J528" s="16">
        <f>ABS(Solieusap!J528)</f>
        <v>0.00518</v>
      </c>
      <c r="K528" s="16">
        <f t="shared" si="1"/>
        <v>2.5017</v>
      </c>
      <c r="L528" s="16">
        <f t="shared" si="2"/>
        <v>0.01178</v>
      </c>
    </row>
    <row r="529" ht="16.5" customHeight="1">
      <c r="A529" s="14" t="str">
        <f>Solieusap!A529</f>
        <v>453</v>
      </c>
      <c r="B529" s="15">
        <f>Solieusap!B529</f>
        <v>2.3</v>
      </c>
      <c r="C529" s="14" t="str">
        <f>Solieusap!C529</f>
        <v>DEAD1</v>
      </c>
      <c r="D529" s="14" t="str">
        <f>Solieusap!D529</f>
        <v>LinStatic</v>
      </c>
      <c r="E529" s="16">
        <f>ABS(Solieusap!E529)</f>
        <v>2.3752</v>
      </c>
      <c r="F529" s="16">
        <f>ABS(Solieusap!F529)</f>
        <v>0.0105</v>
      </c>
      <c r="G529" s="16">
        <f>ABS(Solieusap!G529)</f>
        <v>0.0276</v>
      </c>
      <c r="H529" s="16">
        <f>ABS(Solieusap!H529)</f>
        <v>0.00477</v>
      </c>
      <c r="I529" s="16">
        <f>ABS(Solieusap!I529)</f>
        <v>0.01994</v>
      </c>
      <c r="J529" s="16">
        <f>ABS(Solieusap!J529)</f>
        <v>0.00689</v>
      </c>
      <c r="K529" s="16">
        <f t="shared" si="1"/>
        <v>2.3752</v>
      </c>
      <c r="L529" s="16">
        <f t="shared" si="2"/>
        <v>0.01994</v>
      </c>
    </row>
    <row r="530" ht="16.5" customHeight="1">
      <c r="A530" s="14" t="str">
        <f>Solieusap!A530</f>
        <v>454</v>
      </c>
      <c r="B530" s="15">
        <f>Solieusap!B530</f>
        <v>0</v>
      </c>
      <c r="C530" s="14" t="str">
        <f>Solieusap!C530</f>
        <v>DEAD1</v>
      </c>
      <c r="D530" s="14" t="str">
        <f>Solieusap!D530</f>
        <v>LinStatic</v>
      </c>
      <c r="E530" s="16">
        <f>ABS(Solieusap!E530)</f>
        <v>1.8212</v>
      </c>
      <c r="F530" s="16">
        <f>ABS(Solieusap!F530)</f>
        <v>0.0327</v>
      </c>
      <c r="G530" s="16">
        <f>ABS(Solieusap!G530)</f>
        <v>0.0061</v>
      </c>
      <c r="H530" s="16">
        <f>ABS(Solieusap!H530)</f>
        <v>0.00265</v>
      </c>
      <c r="I530" s="16">
        <f>ABS(Solieusap!I530)</f>
        <v>0.00395</v>
      </c>
      <c r="J530" s="16">
        <f>ABS(Solieusap!J530)</f>
        <v>0.00618</v>
      </c>
      <c r="K530" s="16">
        <f t="shared" si="1"/>
        <v>1.8212</v>
      </c>
      <c r="L530" s="16">
        <f t="shared" si="2"/>
        <v>0.00395</v>
      </c>
    </row>
    <row r="531" ht="16.5" customHeight="1">
      <c r="A531" s="14" t="str">
        <f>Solieusap!A531</f>
        <v>454</v>
      </c>
      <c r="B531" s="15">
        <f>Solieusap!B531</f>
        <v>0.5</v>
      </c>
      <c r="C531" s="14" t="str">
        <f>Solieusap!C531</f>
        <v>DEAD1</v>
      </c>
      <c r="D531" s="14" t="str">
        <f>Solieusap!D531</f>
        <v>LinStatic</v>
      </c>
      <c r="E531" s="16">
        <f>ABS(Solieusap!E531)</f>
        <v>1.7662</v>
      </c>
      <c r="F531" s="16">
        <f>ABS(Solieusap!F531)</f>
        <v>0.0327</v>
      </c>
      <c r="G531" s="16">
        <f>ABS(Solieusap!G531)</f>
        <v>0.0061</v>
      </c>
      <c r="H531" s="16">
        <f>ABS(Solieusap!H531)</f>
        <v>0.00265</v>
      </c>
      <c r="I531" s="16">
        <f>ABS(Solieusap!I531)</f>
        <v>0.0009</v>
      </c>
      <c r="J531" s="16">
        <f>ABS(Solieusap!J531)</f>
        <v>0.01015</v>
      </c>
      <c r="K531" s="16">
        <f t="shared" si="1"/>
        <v>1.7662</v>
      </c>
      <c r="L531" s="16">
        <f t="shared" si="2"/>
        <v>0.0009</v>
      </c>
    </row>
    <row r="532" ht="16.5" customHeight="1">
      <c r="A532" s="14" t="str">
        <f>Solieusap!A532</f>
        <v>454</v>
      </c>
      <c r="B532" s="15">
        <f>Solieusap!B532</f>
        <v>1</v>
      </c>
      <c r="C532" s="14" t="str">
        <f>Solieusap!C532</f>
        <v>DEAD1</v>
      </c>
      <c r="D532" s="14" t="str">
        <f>Solieusap!D532</f>
        <v>LinStatic</v>
      </c>
      <c r="E532" s="16">
        <f>ABS(Solieusap!E532)</f>
        <v>1.7112</v>
      </c>
      <c r="F532" s="16">
        <f>ABS(Solieusap!F532)</f>
        <v>0.0327</v>
      </c>
      <c r="G532" s="16">
        <f>ABS(Solieusap!G532)</f>
        <v>0.0061</v>
      </c>
      <c r="H532" s="16">
        <f>ABS(Solieusap!H532)</f>
        <v>0.00265</v>
      </c>
      <c r="I532" s="16">
        <f>ABS(Solieusap!I532)</f>
        <v>0.00216</v>
      </c>
      <c r="J532" s="16">
        <f>ABS(Solieusap!J532)</f>
        <v>0.02648</v>
      </c>
      <c r="K532" s="16">
        <f t="shared" si="1"/>
        <v>1.7112</v>
      </c>
      <c r="L532" s="16">
        <f t="shared" si="2"/>
        <v>0.00216</v>
      </c>
    </row>
    <row r="533" ht="16.5" customHeight="1">
      <c r="A533" s="14" t="str">
        <f>Solieusap!A533</f>
        <v>455</v>
      </c>
      <c r="B533" s="15">
        <f>Solieusap!B533</f>
        <v>0</v>
      </c>
      <c r="C533" s="14" t="str">
        <f>Solieusap!C533</f>
        <v>DEAD1</v>
      </c>
      <c r="D533" s="14" t="str">
        <f>Solieusap!D533</f>
        <v>LinStatic</v>
      </c>
      <c r="E533" s="16">
        <f>ABS(Solieusap!E533)</f>
        <v>2.2284</v>
      </c>
      <c r="F533" s="16">
        <f>ABS(Solieusap!F533)</f>
        <v>0.0116</v>
      </c>
      <c r="G533" s="16">
        <f>ABS(Solieusap!G533)</f>
        <v>0.013</v>
      </c>
      <c r="H533" s="16">
        <f>ABS(Solieusap!H533)</f>
        <v>0.00083</v>
      </c>
      <c r="I533" s="16">
        <f>ABS(Solieusap!I533)</f>
        <v>0.00901</v>
      </c>
      <c r="J533" s="16">
        <f>ABS(Solieusap!J533)</f>
        <v>0.0018</v>
      </c>
      <c r="K533" s="16">
        <f t="shared" si="1"/>
        <v>2.2284</v>
      </c>
      <c r="L533" s="16">
        <f t="shared" si="2"/>
        <v>0.00901</v>
      </c>
    </row>
    <row r="534" ht="16.5" customHeight="1">
      <c r="A534" s="14" t="str">
        <f>Solieusap!A534</f>
        <v>455</v>
      </c>
      <c r="B534" s="15">
        <f>Solieusap!B534</f>
        <v>1.15</v>
      </c>
      <c r="C534" s="14" t="str">
        <f>Solieusap!C534</f>
        <v>DEAD1</v>
      </c>
      <c r="D534" s="14" t="str">
        <f>Solieusap!D534</f>
        <v>LinStatic</v>
      </c>
      <c r="E534" s="16">
        <f>ABS(Solieusap!E534)</f>
        <v>2.1019</v>
      </c>
      <c r="F534" s="16">
        <f>ABS(Solieusap!F534)</f>
        <v>0.0116</v>
      </c>
      <c r="G534" s="16">
        <f>ABS(Solieusap!G534)</f>
        <v>0.013</v>
      </c>
      <c r="H534" s="16">
        <f>ABS(Solieusap!H534)</f>
        <v>0.00083</v>
      </c>
      <c r="I534" s="16">
        <f>ABS(Solieusap!I534)</f>
        <v>0.00593</v>
      </c>
      <c r="J534" s="16">
        <f>ABS(Solieusap!J534)</f>
        <v>0.01157</v>
      </c>
      <c r="K534" s="16">
        <f t="shared" si="1"/>
        <v>2.1019</v>
      </c>
      <c r="L534" s="16">
        <f t="shared" si="2"/>
        <v>0.00593</v>
      </c>
    </row>
    <row r="535" ht="16.5" customHeight="1">
      <c r="A535" s="14" t="str">
        <f>Solieusap!A535</f>
        <v>455</v>
      </c>
      <c r="B535" s="15">
        <f>Solieusap!B535</f>
        <v>2.3</v>
      </c>
      <c r="C535" s="14" t="str">
        <f>Solieusap!C535</f>
        <v>DEAD1</v>
      </c>
      <c r="D535" s="14" t="str">
        <f>Solieusap!D535</f>
        <v>LinStatic</v>
      </c>
      <c r="E535" s="16">
        <f>ABS(Solieusap!E535)</f>
        <v>1.9754</v>
      </c>
      <c r="F535" s="16">
        <f>ABS(Solieusap!F535)</f>
        <v>0.0116</v>
      </c>
      <c r="G535" s="16">
        <f>ABS(Solieusap!G535)</f>
        <v>0.013</v>
      </c>
      <c r="H535" s="16">
        <f>ABS(Solieusap!H535)</f>
        <v>0.00083</v>
      </c>
      <c r="I535" s="16">
        <f>ABS(Solieusap!I535)</f>
        <v>0.02087</v>
      </c>
      <c r="J535" s="16">
        <f>ABS(Solieusap!J535)</f>
        <v>0.02494</v>
      </c>
      <c r="K535" s="16">
        <f t="shared" si="1"/>
        <v>1.9754</v>
      </c>
      <c r="L535" s="16">
        <f t="shared" si="2"/>
        <v>0.02087</v>
      </c>
    </row>
    <row r="536" ht="16.5" customHeight="1">
      <c r="A536" s="14" t="str">
        <f>Solieusap!A536</f>
        <v>456</v>
      </c>
      <c r="B536" s="15">
        <f>Solieusap!B536</f>
        <v>0</v>
      </c>
      <c r="C536" s="14" t="str">
        <f>Solieusap!C536</f>
        <v>DEAD1</v>
      </c>
      <c r="D536" s="14" t="str">
        <f>Solieusap!D536</f>
        <v>LinStatic</v>
      </c>
      <c r="E536" s="16">
        <f>ABS(Solieusap!E536)</f>
        <v>1.4387</v>
      </c>
      <c r="F536" s="16">
        <f>ABS(Solieusap!F536)</f>
        <v>0.0117</v>
      </c>
      <c r="G536" s="16">
        <f>ABS(Solieusap!G536)</f>
        <v>0.0106</v>
      </c>
      <c r="H536" s="16">
        <f>ABS(Solieusap!H536)</f>
        <v>0.00097</v>
      </c>
      <c r="I536" s="16">
        <f>ABS(Solieusap!I536)</f>
        <v>0.00291</v>
      </c>
      <c r="J536" s="16">
        <f>ABS(Solieusap!J536)</f>
        <v>0.01071</v>
      </c>
      <c r="K536" s="16">
        <f t="shared" si="1"/>
        <v>1.4387</v>
      </c>
      <c r="L536" s="16">
        <f t="shared" si="2"/>
        <v>0.00291</v>
      </c>
    </row>
    <row r="537" ht="16.5" customHeight="1">
      <c r="A537" s="14" t="str">
        <f>Solieusap!A537</f>
        <v>456</v>
      </c>
      <c r="B537" s="15">
        <f>Solieusap!B537</f>
        <v>0.5</v>
      </c>
      <c r="C537" s="14" t="str">
        <f>Solieusap!C537</f>
        <v>DEAD1</v>
      </c>
      <c r="D537" s="14" t="str">
        <f>Solieusap!D537</f>
        <v>LinStatic</v>
      </c>
      <c r="E537" s="16">
        <f>ABS(Solieusap!E537)</f>
        <v>1.3837</v>
      </c>
      <c r="F537" s="16">
        <f>ABS(Solieusap!F537)</f>
        <v>0.0117</v>
      </c>
      <c r="G537" s="16">
        <f>ABS(Solieusap!G537)</f>
        <v>0.0106</v>
      </c>
      <c r="H537" s="16">
        <f>ABS(Solieusap!H537)</f>
        <v>0.00097</v>
      </c>
      <c r="I537" s="16">
        <f>ABS(Solieusap!I537)</f>
        <v>0.00236</v>
      </c>
      <c r="J537" s="16">
        <f>ABS(Solieusap!J537)</f>
        <v>0.00486</v>
      </c>
      <c r="K537" s="16">
        <f t="shared" si="1"/>
        <v>1.3837</v>
      </c>
      <c r="L537" s="16">
        <f t="shared" si="2"/>
        <v>0.00236</v>
      </c>
    </row>
    <row r="538" ht="16.5" customHeight="1">
      <c r="A538" s="14" t="str">
        <f>Solieusap!A538</f>
        <v>456</v>
      </c>
      <c r="B538" s="15">
        <f>Solieusap!B538</f>
        <v>1</v>
      </c>
      <c r="C538" s="14" t="str">
        <f>Solieusap!C538</f>
        <v>DEAD1</v>
      </c>
      <c r="D538" s="14" t="str">
        <f>Solieusap!D538</f>
        <v>LinStatic</v>
      </c>
      <c r="E538" s="16">
        <f>ABS(Solieusap!E538)</f>
        <v>1.3287</v>
      </c>
      <c r="F538" s="16">
        <f>ABS(Solieusap!F538)</f>
        <v>0.0117</v>
      </c>
      <c r="G538" s="16">
        <f>ABS(Solieusap!G538)</f>
        <v>0.0106</v>
      </c>
      <c r="H538" s="16">
        <f>ABS(Solieusap!H538)</f>
        <v>0.00097</v>
      </c>
      <c r="I538" s="16">
        <f>ABS(Solieusap!I538)</f>
        <v>0.00764</v>
      </c>
      <c r="J538" s="16">
        <f>ABS(Solieusap!J538)</f>
        <v>0.001</v>
      </c>
      <c r="K538" s="16">
        <f t="shared" si="1"/>
        <v>1.3287</v>
      </c>
      <c r="L538" s="16">
        <f t="shared" si="2"/>
        <v>0.00764</v>
      </c>
    </row>
    <row r="539" ht="16.5" customHeight="1">
      <c r="A539" s="14" t="str">
        <f>Solieusap!A539</f>
        <v>457</v>
      </c>
      <c r="B539" s="15">
        <f>Solieusap!B539</f>
        <v>0</v>
      </c>
      <c r="C539" s="14" t="str">
        <f>Solieusap!C539</f>
        <v>DEAD1</v>
      </c>
      <c r="D539" s="14" t="str">
        <f>Solieusap!D539</f>
        <v>LinStatic</v>
      </c>
      <c r="E539" s="16">
        <f>ABS(Solieusap!E539)</f>
        <v>8.373</v>
      </c>
      <c r="F539" s="16">
        <f>ABS(Solieusap!F539)</f>
        <v>0.1908</v>
      </c>
      <c r="G539" s="16">
        <f>ABS(Solieusap!G539)</f>
        <v>0.055</v>
      </c>
      <c r="H539" s="16">
        <f>ABS(Solieusap!H539)</f>
        <v>0.00171</v>
      </c>
      <c r="I539" s="16">
        <f>ABS(Solieusap!I539)</f>
        <v>0.04156</v>
      </c>
      <c r="J539" s="16">
        <f>ABS(Solieusap!J539)</f>
        <v>0.22879</v>
      </c>
      <c r="K539" s="16">
        <f t="shared" si="1"/>
        <v>8.373</v>
      </c>
      <c r="L539" s="16">
        <f t="shared" si="2"/>
        <v>0.04156</v>
      </c>
    </row>
    <row r="540" ht="16.5" customHeight="1">
      <c r="A540" s="14" t="str">
        <f>Solieusap!A540</f>
        <v>457</v>
      </c>
      <c r="B540" s="15">
        <f>Solieusap!B540</f>
        <v>1.15</v>
      </c>
      <c r="C540" s="14" t="str">
        <f>Solieusap!C540</f>
        <v>DEAD1</v>
      </c>
      <c r="D540" s="14" t="str">
        <f>Solieusap!D540</f>
        <v>LinStatic</v>
      </c>
      <c r="E540" s="16">
        <f>ABS(Solieusap!E540)</f>
        <v>8.2465</v>
      </c>
      <c r="F540" s="16">
        <f>ABS(Solieusap!F540)</f>
        <v>0.1908</v>
      </c>
      <c r="G540" s="16">
        <f>ABS(Solieusap!G540)</f>
        <v>0.055</v>
      </c>
      <c r="H540" s="16">
        <f>ABS(Solieusap!H540)</f>
        <v>0.00171</v>
      </c>
      <c r="I540" s="16">
        <f>ABS(Solieusap!I540)</f>
        <v>0.02165</v>
      </c>
      <c r="J540" s="16">
        <f>ABS(Solieusap!J540)</f>
        <v>0.00935</v>
      </c>
      <c r="K540" s="16">
        <f t="shared" si="1"/>
        <v>8.2465</v>
      </c>
      <c r="L540" s="16">
        <f t="shared" si="2"/>
        <v>0.02165</v>
      </c>
    </row>
    <row r="541" ht="16.5" customHeight="1">
      <c r="A541" s="14" t="str">
        <f>Solieusap!A541</f>
        <v>457</v>
      </c>
      <c r="B541" s="15">
        <f>Solieusap!B541</f>
        <v>2.3</v>
      </c>
      <c r="C541" s="14" t="str">
        <f>Solieusap!C541</f>
        <v>DEAD1</v>
      </c>
      <c r="D541" s="14" t="str">
        <f>Solieusap!D541</f>
        <v>LinStatic</v>
      </c>
      <c r="E541" s="16">
        <f>ABS(Solieusap!E541)</f>
        <v>8.12</v>
      </c>
      <c r="F541" s="16">
        <f>ABS(Solieusap!F541)</f>
        <v>0.1908</v>
      </c>
      <c r="G541" s="16">
        <f>ABS(Solieusap!G541)</f>
        <v>0.055</v>
      </c>
      <c r="H541" s="16">
        <f>ABS(Solieusap!H541)</f>
        <v>0.00171</v>
      </c>
      <c r="I541" s="16">
        <f>ABS(Solieusap!I541)</f>
        <v>0.08485</v>
      </c>
      <c r="J541" s="16">
        <f>ABS(Solieusap!J541)</f>
        <v>0.2101</v>
      </c>
      <c r="K541" s="16">
        <f t="shared" si="1"/>
        <v>8.12</v>
      </c>
      <c r="L541" s="16">
        <f t="shared" si="2"/>
        <v>0.08485</v>
      </c>
    </row>
    <row r="542" ht="16.5" customHeight="1">
      <c r="A542" s="14" t="str">
        <f>Solieusap!A542</f>
        <v>458</v>
      </c>
      <c r="B542" s="15">
        <f>Solieusap!B542</f>
        <v>0</v>
      </c>
      <c r="C542" s="14" t="str">
        <f>Solieusap!C542</f>
        <v>DEAD1</v>
      </c>
      <c r="D542" s="14" t="str">
        <f>Solieusap!D542</f>
        <v>LinStatic</v>
      </c>
      <c r="E542" s="16">
        <f>ABS(Solieusap!E542)</f>
        <v>7.0889</v>
      </c>
      <c r="F542" s="16">
        <f>ABS(Solieusap!F542)</f>
        <v>0.3075</v>
      </c>
      <c r="G542" s="16">
        <f>ABS(Solieusap!G542)</f>
        <v>0.0742</v>
      </c>
      <c r="H542" s="16">
        <f>ABS(Solieusap!H542)</f>
        <v>0.06055</v>
      </c>
      <c r="I542" s="16">
        <f>ABS(Solieusap!I542)</f>
        <v>0.03222</v>
      </c>
      <c r="J542" s="16">
        <f>ABS(Solieusap!J542)</f>
        <v>0.0244</v>
      </c>
      <c r="K542" s="16">
        <f t="shared" si="1"/>
        <v>7.0889</v>
      </c>
      <c r="L542" s="16">
        <f t="shared" si="2"/>
        <v>0.03222</v>
      </c>
    </row>
    <row r="543" ht="16.5" customHeight="1">
      <c r="A543" s="14" t="str">
        <f>Solieusap!A543</f>
        <v>458</v>
      </c>
      <c r="B543" s="15">
        <f>Solieusap!B543</f>
        <v>0.5</v>
      </c>
      <c r="C543" s="14" t="str">
        <f>Solieusap!C543</f>
        <v>DEAD1</v>
      </c>
      <c r="D543" s="14" t="str">
        <f>Solieusap!D543</f>
        <v>LinStatic</v>
      </c>
      <c r="E543" s="16">
        <f>ABS(Solieusap!E543)</f>
        <v>7.0339</v>
      </c>
      <c r="F543" s="16">
        <f>ABS(Solieusap!F543)</f>
        <v>0.3075</v>
      </c>
      <c r="G543" s="16">
        <f>ABS(Solieusap!G543)</f>
        <v>0.0742</v>
      </c>
      <c r="H543" s="16">
        <f>ABS(Solieusap!H543)</f>
        <v>0.06055</v>
      </c>
      <c r="I543" s="16">
        <f>ABS(Solieusap!I543)</f>
        <v>0.00489</v>
      </c>
      <c r="J543" s="16">
        <f>ABS(Solieusap!J543)</f>
        <v>0.17814</v>
      </c>
      <c r="K543" s="16">
        <f t="shared" si="1"/>
        <v>7.0339</v>
      </c>
      <c r="L543" s="16">
        <f t="shared" si="2"/>
        <v>0.00489</v>
      </c>
    </row>
    <row r="544" ht="16.5" customHeight="1">
      <c r="A544" s="14" t="str">
        <f>Solieusap!A544</f>
        <v>458</v>
      </c>
      <c r="B544" s="15">
        <f>Solieusap!B544</f>
        <v>1</v>
      </c>
      <c r="C544" s="14" t="str">
        <f>Solieusap!C544</f>
        <v>DEAD1</v>
      </c>
      <c r="D544" s="14" t="str">
        <f>Solieusap!D544</f>
        <v>LinStatic</v>
      </c>
      <c r="E544" s="16">
        <f>ABS(Solieusap!E544)</f>
        <v>6.9789</v>
      </c>
      <c r="F544" s="16">
        <f>ABS(Solieusap!F544)</f>
        <v>0.3075</v>
      </c>
      <c r="G544" s="16">
        <f>ABS(Solieusap!G544)</f>
        <v>0.0742</v>
      </c>
      <c r="H544" s="16">
        <f>ABS(Solieusap!H544)</f>
        <v>0.06055</v>
      </c>
      <c r="I544" s="16">
        <f>ABS(Solieusap!I544)</f>
        <v>0.042</v>
      </c>
      <c r="J544" s="16">
        <f>ABS(Solieusap!J544)</f>
        <v>0.33189</v>
      </c>
      <c r="K544" s="16">
        <f t="shared" si="1"/>
        <v>6.9789</v>
      </c>
      <c r="L544" s="16">
        <f t="shared" si="2"/>
        <v>0.042</v>
      </c>
    </row>
    <row r="545" ht="16.5" customHeight="1">
      <c r="A545" s="14" t="str">
        <f>Solieusap!A545</f>
        <v>459</v>
      </c>
      <c r="B545" s="15">
        <f>Solieusap!B545</f>
        <v>0</v>
      </c>
      <c r="C545" s="14" t="str">
        <f>Solieusap!C545</f>
        <v>DEAD1</v>
      </c>
      <c r="D545" s="14" t="str">
        <f>Solieusap!D545</f>
        <v>LinStatic</v>
      </c>
      <c r="E545" s="16">
        <f>ABS(Solieusap!E545)</f>
        <v>2.4142</v>
      </c>
      <c r="F545" s="16">
        <f>ABS(Solieusap!F545)</f>
        <v>0.2969</v>
      </c>
      <c r="G545" s="16">
        <f>ABS(Solieusap!G545)</f>
        <v>0.0005345</v>
      </c>
      <c r="H545" s="16">
        <f>ABS(Solieusap!H545)</f>
        <v>0.0044</v>
      </c>
      <c r="I545" s="16">
        <f>ABS(Solieusap!I545)</f>
        <v>0.00212</v>
      </c>
      <c r="J545" s="16">
        <f>ABS(Solieusap!J545)</f>
        <v>0.11832</v>
      </c>
      <c r="K545" s="16">
        <f t="shared" si="1"/>
        <v>2.4142</v>
      </c>
      <c r="L545" s="16">
        <f t="shared" si="2"/>
        <v>0.00212</v>
      </c>
    </row>
    <row r="546" ht="16.5" customHeight="1">
      <c r="A546" s="14" t="str">
        <f>Solieusap!A546</f>
        <v>459</v>
      </c>
      <c r="B546" s="15">
        <f>Solieusap!B546</f>
        <v>1.89011</v>
      </c>
      <c r="C546" s="14" t="str">
        <f>Solieusap!C546</f>
        <v>DEAD1</v>
      </c>
      <c r="D546" s="14" t="str">
        <f>Solieusap!D546</f>
        <v>LinStatic</v>
      </c>
      <c r="E546" s="16">
        <f>ABS(Solieusap!E546)</f>
        <v>2.1928</v>
      </c>
      <c r="F546" s="16">
        <f>ABS(Solieusap!F546)</f>
        <v>0.0082</v>
      </c>
      <c r="G546" s="16">
        <f>ABS(Solieusap!G546)</f>
        <v>0.0005345</v>
      </c>
      <c r="H546" s="16">
        <f>ABS(Solieusap!H546)</f>
        <v>0.0044</v>
      </c>
      <c r="I546" s="16">
        <f>ABS(Solieusap!I546)</f>
        <v>0.00313</v>
      </c>
      <c r="J546" s="16">
        <f>ABS(Solieusap!J546)</f>
        <v>0.17005</v>
      </c>
      <c r="K546" s="16">
        <f t="shared" si="1"/>
        <v>2.1928</v>
      </c>
      <c r="L546" s="16">
        <f t="shared" si="2"/>
        <v>0.00313</v>
      </c>
    </row>
    <row r="547" ht="16.5" customHeight="1">
      <c r="A547" s="14" t="str">
        <f>Solieusap!A547</f>
        <v>459</v>
      </c>
      <c r="B547" s="15">
        <f>Solieusap!B547</f>
        <v>3.78021</v>
      </c>
      <c r="C547" s="14" t="str">
        <f>Solieusap!C547</f>
        <v>DEAD1</v>
      </c>
      <c r="D547" s="14" t="str">
        <f>Solieusap!D547</f>
        <v>LinStatic</v>
      </c>
      <c r="E547" s="16">
        <f>ABS(Solieusap!E547)</f>
        <v>1.9714</v>
      </c>
      <c r="F547" s="16">
        <f>ABS(Solieusap!F547)</f>
        <v>0.2806</v>
      </c>
      <c r="G547" s="16">
        <f>ABS(Solieusap!G547)</f>
        <v>0.0005345</v>
      </c>
      <c r="H547" s="16">
        <f>ABS(Solieusap!H547)</f>
        <v>0.0044</v>
      </c>
      <c r="I547" s="16">
        <f>ABS(Solieusap!I547)</f>
        <v>0.00414</v>
      </c>
      <c r="J547" s="16">
        <f>ABS(Solieusap!J547)</f>
        <v>0.08734</v>
      </c>
      <c r="K547" s="16">
        <f t="shared" si="1"/>
        <v>1.9714</v>
      </c>
      <c r="L547" s="16">
        <f t="shared" si="2"/>
        <v>0.00414</v>
      </c>
    </row>
    <row r="548" ht="16.5" customHeight="1">
      <c r="A548" s="14" t="str">
        <f>Solieusap!A548</f>
        <v>461</v>
      </c>
      <c r="B548" s="15">
        <f>Solieusap!B548</f>
        <v>0</v>
      </c>
      <c r="C548" s="14" t="str">
        <f>Solieusap!C548</f>
        <v>DEAD1</v>
      </c>
      <c r="D548" s="14" t="str">
        <f>Solieusap!D548</f>
        <v>LinStatic</v>
      </c>
      <c r="E548" s="16">
        <f>ABS(Solieusap!E548)</f>
        <v>7.5156</v>
      </c>
      <c r="F548" s="16">
        <f>ABS(Solieusap!F548)</f>
        <v>0.3752</v>
      </c>
      <c r="G548" s="16">
        <f>ABS(Solieusap!G548)</f>
        <v>0.0367</v>
      </c>
      <c r="H548" s="16">
        <f>ABS(Solieusap!H548)</f>
        <v>0.01642</v>
      </c>
      <c r="I548" s="16">
        <f>ABS(Solieusap!I548)</f>
        <v>0.06387</v>
      </c>
      <c r="J548" s="16">
        <f>ABS(Solieusap!J548)</f>
        <v>0.11074</v>
      </c>
      <c r="K548" s="16">
        <f t="shared" si="1"/>
        <v>7.5156</v>
      </c>
      <c r="L548" s="16">
        <f t="shared" si="2"/>
        <v>0.06387</v>
      </c>
    </row>
    <row r="549" ht="16.5" customHeight="1">
      <c r="A549" s="14" t="str">
        <f>Solieusap!A549</f>
        <v>461</v>
      </c>
      <c r="B549" s="15">
        <f>Solieusap!B549</f>
        <v>1.95512</v>
      </c>
      <c r="C549" s="14" t="str">
        <f>Solieusap!C549</f>
        <v>DEAD1</v>
      </c>
      <c r="D549" s="14" t="str">
        <f>Solieusap!D549</f>
        <v>LinStatic</v>
      </c>
      <c r="E549" s="16">
        <f>ABS(Solieusap!E549)</f>
        <v>7.7369</v>
      </c>
      <c r="F549" s="16">
        <f>ABS(Solieusap!F549)</f>
        <v>0.0709</v>
      </c>
      <c r="G549" s="16">
        <f>ABS(Solieusap!G549)</f>
        <v>0.0367</v>
      </c>
      <c r="H549" s="16">
        <f>ABS(Solieusap!H549)</f>
        <v>0.01642</v>
      </c>
      <c r="I549" s="16">
        <f>ABS(Solieusap!I549)</f>
        <v>0.00784</v>
      </c>
      <c r="J549" s="16">
        <f>ABS(Solieusap!J549)</f>
        <v>0.32533</v>
      </c>
      <c r="K549" s="16">
        <f t="shared" si="1"/>
        <v>7.7369</v>
      </c>
      <c r="L549" s="16">
        <f t="shared" si="2"/>
        <v>0.00784</v>
      </c>
    </row>
    <row r="550" ht="16.5" customHeight="1">
      <c r="A550" s="14" t="str">
        <f>Solieusap!A550</f>
        <v>461</v>
      </c>
      <c r="B550" s="15">
        <f>Solieusap!B550</f>
        <v>3.91024</v>
      </c>
      <c r="C550" s="14" t="str">
        <f>Solieusap!C550</f>
        <v>DEAD1</v>
      </c>
      <c r="D550" s="14" t="str">
        <f>Solieusap!D550</f>
        <v>LinStatic</v>
      </c>
      <c r="E550" s="16">
        <f>ABS(Solieusap!E550)</f>
        <v>7.9583</v>
      </c>
      <c r="F550" s="16">
        <f>ABS(Solieusap!F550)</f>
        <v>0.2335</v>
      </c>
      <c r="G550" s="16">
        <f>ABS(Solieusap!G550)</f>
        <v>0.0367</v>
      </c>
      <c r="H550" s="16">
        <f>ABS(Solieusap!H550)</f>
        <v>0.01642</v>
      </c>
      <c r="I550" s="16">
        <f>ABS(Solieusap!I550)</f>
        <v>0.07954</v>
      </c>
      <c r="J550" s="16">
        <f>ABS(Solieusap!J550)</f>
        <v>0.16632</v>
      </c>
      <c r="K550" s="16">
        <f t="shared" si="1"/>
        <v>7.9583</v>
      </c>
      <c r="L550" s="16">
        <f t="shared" si="2"/>
        <v>0.07954</v>
      </c>
    </row>
    <row r="551" ht="16.5" customHeight="1">
      <c r="A551" s="14" t="str">
        <f>Solieusap!A551</f>
        <v>462</v>
      </c>
      <c r="B551" s="15">
        <f>Solieusap!B551</f>
        <v>0</v>
      </c>
      <c r="C551" s="14" t="str">
        <f>Solieusap!C551</f>
        <v>DEAD1</v>
      </c>
      <c r="D551" s="14" t="str">
        <f>Solieusap!D551</f>
        <v>LinStatic</v>
      </c>
      <c r="E551" s="16">
        <f>ABS(Solieusap!E551)</f>
        <v>7.8026</v>
      </c>
      <c r="F551" s="16">
        <f>ABS(Solieusap!F551)</f>
        <v>0.1972</v>
      </c>
      <c r="G551" s="16">
        <f>ABS(Solieusap!G551)</f>
        <v>0.0383</v>
      </c>
      <c r="H551" s="16">
        <f>ABS(Solieusap!H551)</f>
        <v>0.08157</v>
      </c>
      <c r="I551" s="16">
        <f>ABS(Solieusap!I551)</f>
        <v>0.09554</v>
      </c>
      <c r="J551" s="16">
        <f>ABS(Solieusap!J551)</f>
        <v>0.13188</v>
      </c>
      <c r="K551" s="16">
        <f t="shared" si="1"/>
        <v>7.8026</v>
      </c>
      <c r="L551" s="16">
        <f t="shared" si="2"/>
        <v>0.09554</v>
      </c>
    </row>
    <row r="552" ht="16.5" customHeight="1">
      <c r="A552" s="14" t="str">
        <f>Solieusap!A552</f>
        <v>462</v>
      </c>
      <c r="B552" s="15">
        <f>Solieusap!B552</f>
        <v>1.95512</v>
      </c>
      <c r="C552" s="14" t="str">
        <f>Solieusap!C552</f>
        <v>DEAD1</v>
      </c>
      <c r="D552" s="14" t="str">
        <f>Solieusap!D552</f>
        <v>LinStatic</v>
      </c>
      <c r="E552" s="16">
        <f>ABS(Solieusap!E552)</f>
        <v>8.024</v>
      </c>
      <c r="F552" s="16">
        <f>ABS(Solieusap!F552)</f>
        <v>0.1072</v>
      </c>
      <c r="G552" s="16">
        <f>ABS(Solieusap!G552)</f>
        <v>0.0383</v>
      </c>
      <c r="H552" s="16">
        <f>ABS(Solieusap!H552)</f>
        <v>0.08157</v>
      </c>
      <c r="I552" s="16">
        <f>ABS(Solieusap!I552)</f>
        <v>0.02067</v>
      </c>
      <c r="J552" s="16">
        <f>ABS(Solieusap!J552)</f>
        <v>0.21982</v>
      </c>
      <c r="K552" s="16">
        <f t="shared" si="1"/>
        <v>8.024</v>
      </c>
      <c r="L552" s="16">
        <f t="shared" si="2"/>
        <v>0.02067</v>
      </c>
    </row>
    <row r="553" ht="16.5" customHeight="1">
      <c r="A553" s="14" t="str">
        <f>Solieusap!A553</f>
        <v>462</v>
      </c>
      <c r="B553" s="15">
        <f>Solieusap!B553</f>
        <v>3.91024</v>
      </c>
      <c r="C553" s="14" t="str">
        <f>Solieusap!C553</f>
        <v>DEAD1</v>
      </c>
      <c r="D553" s="14" t="str">
        <f>Solieusap!D553</f>
        <v>LinStatic</v>
      </c>
      <c r="E553" s="16">
        <f>ABS(Solieusap!E553)</f>
        <v>8.2453</v>
      </c>
      <c r="F553" s="16">
        <f>ABS(Solieusap!F553)</f>
        <v>0.4116</v>
      </c>
      <c r="G553" s="16">
        <f>ABS(Solieusap!G553)</f>
        <v>0.0383</v>
      </c>
      <c r="H553" s="16">
        <f>ABS(Solieusap!H553)</f>
        <v>0.08157</v>
      </c>
      <c r="I553" s="16">
        <f>ABS(Solieusap!I553)</f>
        <v>0.0542</v>
      </c>
      <c r="J553" s="16">
        <f>ABS(Solieusap!J553)</f>
        <v>0.28731</v>
      </c>
      <c r="K553" s="16">
        <f t="shared" si="1"/>
        <v>8.2453</v>
      </c>
      <c r="L553" s="16">
        <f t="shared" si="2"/>
        <v>0.0542</v>
      </c>
    </row>
    <row r="554" ht="16.5" customHeight="1">
      <c r="A554" s="14" t="str">
        <f>Solieusap!A554</f>
        <v>463</v>
      </c>
      <c r="B554" s="15">
        <f>Solieusap!B554</f>
        <v>0</v>
      </c>
      <c r="C554" s="14" t="str">
        <f>Solieusap!C554</f>
        <v>DEAD1</v>
      </c>
      <c r="D554" s="14" t="str">
        <f>Solieusap!D554</f>
        <v>LinStatic</v>
      </c>
      <c r="E554" s="16">
        <f>ABS(Solieusap!E554)</f>
        <v>11.6802</v>
      </c>
      <c r="F554" s="16">
        <f>ABS(Solieusap!F554)</f>
        <v>0.6157</v>
      </c>
      <c r="G554" s="16">
        <f>ABS(Solieusap!G554)</f>
        <v>0.0476</v>
      </c>
      <c r="H554" s="16">
        <f>ABS(Solieusap!H554)</f>
        <v>0.00821</v>
      </c>
      <c r="I554" s="16">
        <f>ABS(Solieusap!I554)</f>
        <v>0.06556</v>
      </c>
      <c r="J554" s="16">
        <f>ABS(Solieusap!J554)</f>
        <v>0.49638</v>
      </c>
      <c r="K554" s="16">
        <f t="shared" si="1"/>
        <v>11.6802</v>
      </c>
      <c r="L554" s="16">
        <f t="shared" si="2"/>
        <v>0.06556</v>
      </c>
    </row>
    <row r="555" ht="16.5" customHeight="1">
      <c r="A555" s="14" t="str">
        <f>Solieusap!A555</f>
        <v>463</v>
      </c>
      <c r="B555" s="15">
        <f>Solieusap!B555</f>
        <v>1.95512</v>
      </c>
      <c r="C555" s="14" t="str">
        <f>Solieusap!C555</f>
        <v>DEAD1</v>
      </c>
      <c r="D555" s="14" t="str">
        <f>Solieusap!D555</f>
        <v>LinStatic</v>
      </c>
      <c r="E555" s="16">
        <f>ABS(Solieusap!E555)</f>
        <v>11.4588</v>
      </c>
      <c r="F555" s="16">
        <f>ABS(Solieusap!F555)</f>
        <v>0.3113</v>
      </c>
      <c r="G555" s="16">
        <f>ABS(Solieusap!G555)</f>
        <v>0.0476</v>
      </c>
      <c r="H555" s="16">
        <f>ABS(Solieusap!H555)</f>
        <v>0.00821</v>
      </c>
      <c r="I555" s="16">
        <f>ABS(Solieusap!I555)</f>
        <v>0.02744</v>
      </c>
      <c r="J555" s="16">
        <f>ABS(Solieusap!J555)</f>
        <v>0.40976</v>
      </c>
      <c r="K555" s="16">
        <f t="shared" si="1"/>
        <v>11.4588</v>
      </c>
      <c r="L555" s="16">
        <f t="shared" si="2"/>
        <v>0.02744</v>
      </c>
    </row>
    <row r="556" ht="16.5" customHeight="1">
      <c r="A556" s="14" t="str">
        <f>Solieusap!A556</f>
        <v>463</v>
      </c>
      <c r="B556" s="15">
        <f>Solieusap!B556</f>
        <v>3.91024</v>
      </c>
      <c r="C556" s="14" t="str">
        <f>Solieusap!C556</f>
        <v>DEAD1</v>
      </c>
      <c r="D556" s="14" t="str">
        <f>Solieusap!D556</f>
        <v>LinStatic</v>
      </c>
      <c r="E556" s="16">
        <f>ABS(Solieusap!E556)</f>
        <v>11.2374</v>
      </c>
      <c r="F556" s="16">
        <f>ABS(Solieusap!F556)</f>
        <v>0.0069</v>
      </c>
      <c r="G556" s="16">
        <f>ABS(Solieusap!G556)</f>
        <v>0.0476</v>
      </c>
      <c r="H556" s="16">
        <f>ABS(Solieusap!H556)</f>
        <v>0.00821</v>
      </c>
      <c r="I556" s="16">
        <f>ABS(Solieusap!I556)</f>
        <v>0.12044</v>
      </c>
      <c r="J556" s="16">
        <f>ABS(Solieusap!J556)</f>
        <v>0.72082</v>
      </c>
      <c r="K556" s="16">
        <f t="shared" si="1"/>
        <v>11.2374</v>
      </c>
      <c r="L556" s="16">
        <f t="shared" si="2"/>
        <v>0.12044</v>
      </c>
    </row>
    <row r="557" ht="16.5" customHeight="1">
      <c r="A557" s="14" t="str">
        <f>Solieusap!A557</f>
        <v>464</v>
      </c>
      <c r="B557" s="15">
        <f>Solieusap!B557</f>
        <v>0</v>
      </c>
      <c r="C557" s="14" t="str">
        <f>Solieusap!C557</f>
        <v>DEAD1</v>
      </c>
      <c r="D557" s="14" t="str">
        <f>Solieusap!D557</f>
        <v>LinStatic</v>
      </c>
      <c r="E557" s="16">
        <f>ABS(Solieusap!E557)</f>
        <v>7.003</v>
      </c>
      <c r="F557" s="16">
        <f>ABS(Solieusap!F557)</f>
        <v>0.3329</v>
      </c>
      <c r="G557" s="16">
        <f>ABS(Solieusap!G557)</f>
        <v>0.0121</v>
      </c>
      <c r="H557" s="16">
        <f>ABS(Solieusap!H557)</f>
        <v>0.00347</v>
      </c>
      <c r="I557" s="16">
        <f>ABS(Solieusap!I557)</f>
        <v>0.01159</v>
      </c>
      <c r="J557" s="16">
        <f>ABS(Solieusap!J557)</f>
        <v>0.09699</v>
      </c>
      <c r="K557" s="16">
        <f t="shared" si="1"/>
        <v>7.003</v>
      </c>
      <c r="L557" s="16">
        <f t="shared" si="2"/>
        <v>0.01159</v>
      </c>
    </row>
    <row r="558" ht="16.5" customHeight="1">
      <c r="A558" s="14" t="str">
        <f>Solieusap!A558</f>
        <v>464</v>
      </c>
      <c r="B558" s="15">
        <f>Solieusap!B558</f>
        <v>1.11803</v>
      </c>
      <c r="C558" s="14" t="str">
        <f>Solieusap!C558</f>
        <v>DEAD1</v>
      </c>
      <c r="D558" s="14" t="str">
        <f>Solieusap!D558</f>
        <v>LinStatic</v>
      </c>
      <c r="E558" s="16">
        <f>ABS(Solieusap!E558)</f>
        <v>6.9068</v>
      </c>
      <c r="F558" s="16">
        <f>ABS(Solieusap!F558)</f>
        <v>0.1404</v>
      </c>
      <c r="G558" s="16">
        <f>ABS(Solieusap!G558)</f>
        <v>0.0121</v>
      </c>
      <c r="H558" s="16">
        <f>ABS(Solieusap!H558)</f>
        <v>0.00347</v>
      </c>
      <c r="I558" s="16">
        <f>ABS(Solieusap!I558)</f>
        <v>0.00197</v>
      </c>
      <c r="J558" s="16">
        <f>ABS(Solieusap!J558)</f>
        <v>0.36154</v>
      </c>
      <c r="K558" s="16">
        <f t="shared" si="1"/>
        <v>6.9068</v>
      </c>
      <c r="L558" s="16">
        <f t="shared" si="2"/>
        <v>0.00197</v>
      </c>
    </row>
    <row r="559" ht="16.5" customHeight="1">
      <c r="A559" s="14" t="str">
        <f>Solieusap!A559</f>
        <v>464</v>
      </c>
      <c r="B559" s="15">
        <f>Solieusap!B559</f>
        <v>2.23607</v>
      </c>
      <c r="C559" s="14" t="str">
        <f>Solieusap!C559</f>
        <v>DEAD1</v>
      </c>
      <c r="D559" s="14" t="str">
        <f>Solieusap!D559</f>
        <v>LinStatic</v>
      </c>
      <c r="E559" s="16">
        <f>ABS(Solieusap!E559)</f>
        <v>6.8105</v>
      </c>
      <c r="F559" s="16">
        <f>ABS(Solieusap!F559)</f>
        <v>0.0521</v>
      </c>
      <c r="G559" s="16">
        <f>ABS(Solieusap!G559)</f>
        <v>0.0121</v>
      </c>
      <c r="H559" s="16">
        <f>ABS(Solieusap!H559)</f>
        <v>0.00347</v>
      </c>
      <c r="I559" s="16">
        <f>ABS(Solieusap!I559)</f>
        <v>0.01554</v>
      </c>
      <c r="J559" s="16">
        <f>ABS(Solieusap!J559)</f>
        <v>0.41087</v>
      </c>
      <c r="K559" s="16">
        <f t="shared" si="1"/>
        <v>6.8105</v>
      </c>
      <c r="L559" s="16">
        <f t="shared" si="2"/>
        <v>0.01554</v>
      </c>
    </row>
    <row r="560" ht="16.5" customHeight="1">
      <c r="A560" s="14" t="str">
        <f>Solieusap!A560</f>
        <v>465</v>
      </c>
      <c r="B560" s="15">
        <f>Solieusap!B560</f>
        <v>0</v>
      </c>
      <c r="C560" s="14" t="str">
        <f>Solieusap!C560</f>
        <v>DEAD1</v>
      </c>
      <c r="D560" s="14" t="str">
        <f>Solieusap!D560</f>
        <v>LinStatic</v>
      </c>
      <c r="E560" s="16">
        <f>ABS(Solieusap!E560)</f>
        <v>8.6911</v>
      </c>
      <c r="F560" s="16">
        <f>ABS(Solieusap!F560)</f>
        <v>0.0124</v>
      </c>
      <c r="G560" s="16">
        <f>ABS(Solieusap!G560)</f>
        <v>0.0433</v>
      </c>
      <c r="H560" s="16">
        <f>ABS(Solieusap!H560)</f>
        <v>0.00683</v>
      </c>
      <c r="I560" s="16">
        <f>ABS(Solieusap!I560)</f>
        <v>0.04441</v>
      </c>
      <c r="J560" s="16">
        <f>ABS(Solieusap!J560)</f>
        <v>0.48405</v>
      </c>
      <c r="K560" s="16">
        <f t="shared" si="1"/>
        <v>8.6911</v>
      </c>
      <c r="L560" s="16">
        <f t="shared" si="2"/>
        <v>0.04441</v>
      </c>
    </row>
    <row r="561" ht="16.5" customHeight="1">
      <c r="A561" s="14" t="str">
        <f>Solieusap!A561</f>
        <v>465</v>
      </c>
      <c r="B561" s="15">
        <f>Solieusap!B561</f>
        <v>1.11803</v>
      </c>
      <c r="C561" s="14" t="str">
        <f>Solieusap!C561</f>
        <v>DEAD1</v>
      </c>
      <c r="D561" s="14" t="str">
        <f>Solieusap!D561</f>
        <v>LinStatic</v>
      </c>
      <c r="E561" s="16">
        <f>ABS(Solieusap!E561)</f>
        <v>8.7873</v>
      </c>
      <c r="F561" s="16">
        <f>ABS(Solieusap!F561)</f>
        <v>0.1801</v>
      </c>
      <c r="G561" s="16">
        <f>ABS(Solieusap!G561)</f>
        <v>0.0433</v>
      </c>
      <c r="H561" s="16">
        <f>ABS(Solieusap!H561)</f>
        <v>0.00683</v>
      </c>
      <c r="I561" s="16">
        <f>ABS(Solieusap!I561)</f>
        <v>0.00405</v>
      </c>
      <c r="J561" s="16">
        <f>ABS(Solieusap!J561)</f>
        <v>0.39028</v>
      </c>
      <c r="K561" s="16">
        <f t="shared" si="1"/>
        <v>8.7873</v>
      </c>
      <c r="L561" s="16">
        <f t="shared" si="2"/>
        <v>0.00405</v>
      </c>
    </row>
    <row r="562" ht="16.5" customHeight="1">
      <c r="A562" s="14" t="str">
        <f>Solieusap!A562</f>
        <v>465</v>
      </c>
      <c r="B562" s="15">
        <f>Solieusap!B562</f>
        <v>2.23607</v>
      </c>
      <c r="C562" s="14" t="str">
        <f>Solieusap!C562</f>
        <v>DEAD1</v>
      </c>
      <c r="D562" s="14" t="str">
        <f>Solieusap!D562</f>
        <v>LinStatic</v>
      </c>
      <c r="E562" s="16">
        <f>ABS(Solieusap!E562)</f>
        <v>8.8836</v>
      </c>
      <c r="F562" s="16">
        <f>ABS(Solieusap!F562)</f>
        <v>0.3726</v>
      </c>
      <c r="G562" s="16">
        <f>ABS(Solieusap!G562)</f>
        <v>0.0433</v>
      </c>
      <c r="H562" s="16">
        <f>ABS(Solieusap!H562)</f>
        <v>0.00683</v>
      </c>
      <c r="I562" s="16">
        <f>ABS(Solieusap!I562)</f>
        <v>0.05251</v>
      </c>
      <c r="J562" s="16">
        <f>ABS(Solieusap!J562)</f>
        <v>0.08129</v>
      </c>
      <c r="K562" s="16">
        <f t="shared" si="1"/>
        <v>8.8836</v>
      </c>
      <c r="L562" s="16">
        <f t="shared" si="2"/>
        <v>0.05251</v>
      </c>
    </row>
    <row r="563" ht="16.5" customHeight="1">
      <c r="A563" s="14" t="str">
        <f>Solieusap!A563</f>
        <v>466</v>
      </c>
      <c r="B563" s="15">
        <f>Solieusap!B563</f>
        <v>0</v>
      </c>
      <c r="C563" s="14" t="str">
        <f>Solieusap!C563</f>
        <v>DEAD1</v>
      </c>
      <c r="D563" s="14" t="str">
        <f>Solieusap!D563</f>
        <v>LinStatic</v>
      </c>
      <c r="E563" s="16">
        <f>ABS(Solieusap!E563)</f>
        <v>9.9062</v>
      </c>
      <c r="F563" s="16">
        <f>ABS(Solieusap!F563)</f>
        <v>0.1853</v>
      </c>
      <c r="G563" s="16">
        <f>ABS(Solieusap!G563)</f>
        <v>0.0777</v>
      </c>
      <c r="H563" s="16">
        <f>ABS(Solieusap!H563)</f>
        <v>0.01597</v>
      </c>
      <c r="I563" s="16">
        <f>ABS(Solieusap!I563)</f>
        <v>0.15765</v>
      </c>
      <c r="J563" s="16">
        <f>ABS(Solieusap!J563)</f>
        <v>0.22024</v>
      </c>
      <c r="K563" s="16">
        <f t="shared" si="1"/>
        <v>9.9062</v>
      </c>
      <c r="L563" s="16">
        <f t="shared" si="2"/>
        <v>0.15765</v>
      </c>
    </row>
    <row r="564" ht="16.5" customHeight="1">
      <c r="A564" s="14" t="str">
        <f>Solieusap!A564</f>
        <v>466</v>
      </c>
      <c r="B564" s="15">
        <f>Solieusap!B564</f>
        <v>1.95512</v>
      </c>
      <c r="C564" s="14" t="str">
        <f>Solieusap!C564</f>
        <v>DEAD1</v>
      </c>
      <c r="D564" s="14" t="str">
        <f>Solieusap!D564</f>
        <v>LinStatic</v>
      </c>
      <c r="E564" s="16">
        <f>ABS(Solieusap!E564)</f>
        <v>10.1276</v>
      </c>
      <c r="F564" s="16">
        <f>ABS(Solieusap!F564)</f>
        <v>0.1191</v>
      </c>
      <c r="G564" s="16">
        <f>ABS(Solieusap!G564)</f>
        <v>0.0777</v>
      </c>
      <c r="H564" s="16">
        <f>ABS(Solieusap!H564)</f>
        <v>0.01597</v>
      </c>
      <c r="I564" s="16">
        <f>ABS(Solieusap!I564)</f>
        <v>0.00579</v>
      </c>
      <c r="J564" s="16">
        <f>ABS(Solieusap!J564)</f>
        <v>0.28492</v>
      </c>
      <c r="K564" s="16">
        <f t="shared" si="1"/>
        <v>10.1276</v>
      </c>
      <c r="L564" s="16">
        <f t="shared" si="2"/>
        <v>0.00579</v>
      </c>
    </row>
    <row r="565" ht="16.5" customHeight="1">
      <c r="A565" s="14" t="str">
        <f>Solieusap!A565</f>
        <v>466</v>
      </c>
      <c r="B565" s="15">
        <f>Solieusap!B565</f>
        <v>3.91024</v>
      </c>
      <c r="C565" s="14" t="str">
        <f>Solieusap!C565</f>
        <v>DEAD1</v>
      </c>
      <c r="D565" s="14" t="str">
        <f>Solieusap!D565</f>
        <v>LinStatic</v>
      </c>
      <c r="E565" s="16">
        <f>ABS(Solieusap!E565)</f>
        <v>10.3489</v>
      </c>
      <c r="F565" s="16">
        <f>ABS(Solieusap!F565)</f>
        <v>0.4235</v>
      </c>
      <c r="G565" s="16">
        <f>ABS(Solieusap!G565)</f>
        <v>0.0777</v>
      </c>
      <c r="H565" s="16">
        <f>ABS(Solieusap!H565)</f>
        <v>0.01597</v>
      </c>
      <c r="I565" s="16">
        <f>ABS(Solieusap!I565)</f>
        <v>0.14606</v>
      </c>
      <c r="J565" s="16">
        <f>ABS(Solieusap!J565)</f>
        <v>0.24547</v>
      </c>
      <c r="K565" s="16">
        <f t="shared" si="1"/>
        <v>10.3489</v>
      </c>
      <c r="L565" s="16">
        <f t="shared" si="2"/>
        <v>0.14606</v>
      </c>
    </row>
    <row r="566" ht="16.5" customHeight="1">
      <c r="A566" s="14" t="str">
        <f>Solieusap!A566</f>
        <v>467</v>
      </c>
      <c r="B566" s="15">
        <f>Solieusap!B566</f>
        <v>0</v>
      </c>
      <c r="C566" s="14" t="str">
        <f>Solieusap!C566</f>
        <v>DEAD1</v>
      </c>
      <c r="D566" s="14" t="str">
        <f>Solieusap!D566</f>
        <v>LinStatic</v>
      </c>
      <c r="E566" s="16">
        <f>ABS(Solieusap!E566)</f>
        <v>8.3574</v>
      </c>
      <c r="F566" s="16">
        <f>ABS(Solieusap!F566)</f>
        <v>0.3345</v>
      </c>
      <c r="G566" s="16">
        <f>ABS(Solieusap!G566)</f>
        <v>0.0281</v>
      </c>
      <c r="H566" s="16">
        <f>ABS(Solieusap!H566)</f>
        <v>0.01873</v>
      </c>
      <c r="I566" s="16">
        <f>ABS(Solieusap!I566)</f>
        <v>0.05276</v>
      </c>
      <c r="J566" s="16">
        <f>ABS(Solieusap!J566)</f>
        <v>0.07852</v>
      </c>
      <c r="K566" s="16">
        <f t="shared" si="1"/>
        <v>8.3574</v>
      </c>
      <c r="L566" s="16">
        <f t="shared" si="2"/>
        <v>0.05276</v>
      </c>
    </row>
    <row r="567" ht="16.5" customHeight="1">
      <c r="A567" s="14" t="str">
        <f>Solieusap!A567</f>
        <v>467</v>
      </c>
      <c r="B567" s="15">
        <f>Solieusap!B567</f>
        <v>1.95512</v>
      </c>
      <c r="C567" s="14" t="str">
        <f>Solieusap!C567</f>
        <v>DEAD1</v>
      </c>
      <c r="D567" s="14" t="str">
        <f>Solieusap!D567</f>
        <v>LinStatic</v>
      </c>
      <c r="E567" s="16">
        <f>ABS(Solieusap!E567)</f>
        <v>8.1361</v>
      </c>
      <c r="F567" s="16">
        <f>ABS(Solieusap!F567)</f>
        <v>0.0301</v>
      </c>
      <c r="G567" s="16">
        <f>ABS(Solieusap!G567)</f>
        <v>0.0281</v>
      </c>
      <c r="H567" s="16">
        <f>ABS(Solieusap!H567)</f>
        <v>0.01873</v>
      </c>
      <c r="I567" s="16">
        <f>ABS(Solieusap!I567)</f>
        <v>0.00218</v>
      </c>
      <c r="J567" s="16">
        <f>ABS(Solieusap!J567)</f>
        <v>0.27794</v>
      </c>
      <c r="K567" s="16">
        <f t="shared" si="1"/>
        <v>8.1361</v>
      </c>
      <c r="L567" s="16">
        <f t="shared" si="2"/>
        <v>0.00218</v>
      </c>
    </row>
    <row r="568" ht="16.5" customHeight="1">
      <c r="A568" s="14" t="str">
        <f>Solieusap!A568</f>
        <v>467</v>
      </c>
      <c r="B568" s="15">
        <f>Solieusap!B568</f>
        <v>3.91024</v>
      </c>
      <c r="C568" s="14" t="str">
        <f>Solieusap!C568</f>
        <v>DEAD1</v>
      </c>
      <c r="D568" s="14" t="str">
        <f>Solieusap!D568</f>
        <v>LinStatic</v>
      </c>
      <c r="E568" s="16">
        <f>ABS(Solieusap!E568)</f>
        <v>7.9147</v>
      </c>
      <c r="F568" s="16">
        <f>ABS(Solieusap!F568)</f>
        <v>0.2742</v>
      </c>
      <c r="G568" s="16">
        <f>ABS(Solieusap!G568)</f>
        <v>0.0281</v>
      </c>
      <c r="H568" s="16">
        <f>ABS(Solieusap!H568)</f>
        <v>0.01873</v>
      </c>
      <c r="I568" s="16">
        <f>ABS(Solieusap!I568)</f>
        <v>0.05712</v>
      </c>
      <c r="J568" s="16">
        <f>ABS(Solieusap!J568)</f>
        <v>0.03931</v>
      </c>
      <c r="K568" s="16">
        <f t="shared" si="1"/>
        <v>7.9147</v>
      </c>
      <c r="L568" s="16">
        <f t="shared" si="2"/>
        <v>0.05712</v>
      </c>
    </row>
    <row r="569" ht="16.5" customHeight="1">
      <c r="A569" s="14" t="str">
        <f>Solieusap!A569</f>
        <v>468</v>
      </c>
      <c r="B569" s="15">
        <f>Solieusap!B569</f>
        <v>0</v>
      </c>
      <c r="C569" s="14" t="str">
        <f>Solieusap!C569</f>
        <v>DEAD1</v>
      </c>
      <c r="D569" s="14" t="str">
        <f>Solieusap!D569</f>
        <v>LinStatic</v>
      </c>
      <c r="E569" s="16">
        <f>ABS(Solieusap!E569)</f>
        <v>12.3296</v>
      </c>
      <c r="F569" s="16">
        <f>ABS(Solieusap!F569)</f>
        <v>0.3074</v>
      </c>
      <c r="G569" s="16">
        <f>ABS(Solieusap!G569)</f>
        <v>0.0418</v>
      </c>
      <c r="H569" s="16">
        <f>ABS(Solieusap!H569)</f>
        <v>0.06176</v>
      </c>
      <c r="I569" s="16">
        <f>ABS(Solieusap!I569)</f>
        <v>0.10651</v>
      </c>
      <c r="J569" s="16">
        <f>ABS(Solieusap!J569)</f>
        <v>0.11723</v>
      </c>
      <c r="K569" s="16">
        <f t="shared" si="1"/>
        <v>12.3296</v>
      </c>
      <c r="L569" s="16">
        <f t="shared" si="2"/>
        <v>0.10651</v>
      </c>
    </row>
    <row r="570" ht="16.5" customHeight="1">
      <c r="A570" s="14" t="str">
        <f>Solieusap!A570</f>
        <v>468</v>
      </c>
      <c r="B570" s="15">
        <f>Solieusap!B570</f>
        <v>2.41299</v>
      </c>
      <c r="C570" s="14" t="str">
        <f>Solieusap!C570</f>
        <v>DEAD1</v>
      </c>
      <c r="D570" s="14" t="str">
        <f>Solieusap!D570</f>
        <v>LinStatic</v>
      </c>
      <c r="E570" s="16">
        <f>ABS(Solieusap!E570)</f>
        <v>12.551</v>
      </c>
      <c r="F570" s="16">
        <f>ABS(Solieusap!F570)</f>
        <v>0.1009</v>
      </c>
      <c r="G570" s="16">
        <f>ABS(Solieusap!G570)</f>
        <v>0.0418</v>
      </c>
      <c r="H570" s="16">
        <f>ABS(Solieusap!H570)</f>
        <v>0.06176</v>
      </c>
      <c r="I570" s="16">
        <f>ABS(Solieusap!I570)</f>
        <v>0.00577</v>
      </c>
      <c r="J570" s="16">
        <f>ABS(Solieusap!J570)</f>
        <v>0.36632</v>
      </c>
      <c r="K570" s="16">
        <f t="shared" si="1"/>
        <v>12.551</v>
      </c>
      <c r="L570" s="16">
        <f t="shared" si="2"/>
        <v>0.00577</v>
      </c>
    </row>
    <row r="571" ht="16.5" customHeight="1">
      <c r="A571" s="14" t="str">
        <f>Solieusap!A571</f>
        <v>468</v>
      </c>
      <c r="B571" s="15">
        <f>Solieusap!B571</f>
        <v>4.82597</v>
      </c>
      <c r="C571" s="14" t="str">
        <f>Solieusap!C571</f>
        <v>DEAD1</v>
      </c>
      <c r="D571" s="14" t="str">
        <f>Solieusap!D571</f>
        <v>LinStatic</v>
      </c>
      <c r="E571" s="16">
        <f>ABS(Solieusap!E571)</f>
        <v>12.7723</v>
      </c>
      <c r="F571" s="16">
        <f>ABS(Solieusap!F571)</f>
        <v>0.5093</v>
      </c>
      <c r="G571" s="16">
        <f>ABS(Solieusap!G571)</f>
        <v>0.0418</v>
      </c>
      <c r="H571" s="16">
        <f>ABS(Solieusap!H571)</f>
        <v>0.06176</v>
      </c>
      <c r="I571" s="16">
        <f>ABS(Solieusap!I571)</f>
        <v>0.09498</v>
      </c>
      <c r="J571" s="16">
        <f>ABS(Solieusap!J571)</f>
        <v>0.36994</v>
      </c>
      <c r="K571" s="16">
        <f t="shared" si="1"/>
        <v>12.7723</v>
      </c>
      <c r="L571" s="16">
        <f t="shared" si="2"/>
        <v>0.09498</v>
      </c>
    </row>
    <row r="572" ht="16.5" customHeight="1">
      <c r="A572" s="14" t="str">
        <f>Solieusap!A572</f>
        <v>469</v>
      </c>
      <c r="B572" s="15">
        <f>Solieusap!B572</f>
        <v>0</v>
      </c>
      <c r="C572" s="14" t="str">
        <f>Solieusap!C572</f>
        <v>DEAD1</v>
      </c>
      <c r="D572" s="14" t="str">
        <f>Solieusap!D572</f>
        <v>LinStatic</v>
      </c>
      <c r="E572" s="16">
        <f>ABS(Solieusap!E572)</f>
        <v>14.3413</v>
      </c>
      <c r="F572" s="16">
        <f>ABS(Solieusap!F572)</f>
        <v>0.4122</v>
      </c>
      <c r="G572" s="16">
        <f>ABS(Solieusap!G572)</f>
        <v>0.0053</v>
      </c>
      <c r="H572" s="16">
        <f>ABS(Solieusap!H572)</f>
        <v>0.0311</v>
      </c>
      <c r="I572" s="16">
        <f>ABS(Solieusap!I572)</f>
        <v>0.03659</v>
      </c>
      <c r="J572" s="16">
        <f>ABS(Solieusap!J572)</f>
        <v>0.21619</v>
      </c>
      <c r="K572" s="16">
        <f t="shared" si="1"/>
        <v>14.3413</v>
      </c>
      <c r="L572" s="16">
        <f t="shared" si="2"/>
        <v>0.03659</v>
      </c>
    </row>
    <row r="573" ht="16.5" customHeight="1">
      <c r="A573" s="14" t="str">
        <f>Solieusap!A573</f>
        <v>469</v>
      </c>
      <c r="B573" s="15">
        <f>Solieusap!B573</f>
        <v>2.41299</v>
      </c>
      <c r="C573" s="14" t="str">
        <f>Solieusap!C573</f>
        <v>DEAD1</v>
      </c>
      <c r="D573" s="14" t="str">
        <f>Solieusap!D573</f>
        <v>LinStatic</v>
      </c>
      <c r="E573" s="16">
        <f>ABS(Solieusap!E573)</f>
        <v>14.5627</v>
      </c>
      <c r="F573" s="16">
        <f>ABS(Solieusap!F573)</f>
        <v>0.0038</v>
      </c>
      <c r="G573" s="16">
        <f>ABS(Solieusap!G573)</f>
        <v>0.0053</v>
      </c>
      <c r="H573" s="16">
        <f>ABS(Solieusap!H573)</f>
        <v>0.0311</v>
      </c>
      <c r="I573" s="16">
        <f>ABS(Solieusap!I573)</f>
        <v>0.02391</v>
      </c>
      <c r="J573" s="16">
        <f>ABS(Solieusap!J573)</f>
        <v>0.28571</v>
      </c>
      <c r="K573" s="16">
        <f t="shared" si="1"/>
        <v>14.5627</v>
      </c>
      <c r="L573" s="16">
        <f t="shared" si="2"/>
        <v>0.02391</v>
      </c>
    </row>
    <row r="574" ht="16.5" customHeight="1">
      <c r="A574" s="14" t="str">
        <f>Solieusap!A574</f>
        <v>469</v>
      </c>
      <c r="B574" s="15">
        <f>Solieusap!B574</f>
        <v>4.82597</v>
      </c>
      <c r="C574" s="14" t="str">
        <f>Solieusap!C574</f>
        <v>DEAD1</v>
      </c>
      <c r="D574" s="14" t="str">
        <f>Solieusap!D574</f>
        <v>LinStatic</v>
      </c>
      <c r="E574" s="16">
        <f>ABS(Solieusap!E574)</f>
        <v>14.784</v>
      </c>
      <c r="F574" s="16">
        <f>ABS(Solieusap!F574)</f>
        <v>0.4045</v>
      </c>
      <c r="G574" s="16">
        <f>ABS(Solieusap!G574)</f>
        <v>0.0053</v>
      </c>
      <c r="H574" s="16">
        <f>ABS(Solieusap!H574)</f>
        <v>0.0311</v>
      </c>
      <c r="I574" s="16">
        <f>ABS(Solieusap!I574)</f>
        <v>0.01124</v>
      </c>
      <c r="J574" s="16">
        <f>ABS(Solieusap!J574)</f>
        <v>0.19774</v>
      </c>
      <c r="K574" s="16">
        <f t="shared" si="1"/>
        <v>14.784</v>
      </c>
      <c r="L574" s="16">
        <f t="shared" si="2"/>
        <v>0.01124</v>
      </c>
    </row>
    <row r="575" ht="16.5" customHeight="1">
      <c r="A575" s="14" t="str">
        <f>Solieusap!A575</f>
        <v>470</v>
      </c>
      <c r="B575" s="15">
        <f>Solieusap!B575</f>
        <v>0</v>
      </c>
      <c r="C575" s="14" t="str">
        <f>Solieusap!C575</f>
        <v>DEAD1</v>
      </c>
      <c r="D575" s="14" t="str">
        <f>Solieusap!D575</f>
        <v>LinStatic</v>
      </c>
      <c r="E575" s="16">
        <f>ABS(Solieusap!E575)</f>
        <v>15.6646</v>
      </c>
      <c r="F575" s="16">
        <f>ABS(Solieusap!F575)</f>
        <v>0.392</v>
      </c>
      <c r="G575" s="16">
        <f>ABS(Solieusap!G575)</f>
        <v>0.0066</v>
      </c>
      <c r="H575" s="16">
        <f>ABS(Solieusap!H575)</f>
        <v>0.032</v>
      </c>
      <c r="I575" s="16">
        <f>ABS(Solieusap!I575)</f>
        <v>0.01347</v>
      </c>
      <c r="J575" s="16">
        <f>ABS(Solieusap!J575)</f>
        <v>0.18716</v>
      </c>
      <c r="K575" s="16">
        <f t="shared" si="1"/>
        <v>15.6646</v>
      </c>
      <c r="L575" s="16">
        <f t="shared" si="2"/>
        <v>0.01347</v>
      </c>
    </row>
    <row r="576" ht="16.5" customHeight="1">
      <c r="A576" s="14" t="str">
        <f>Solieusap!A576</f>
        <v>470</v>
      </c>
      <c r="B576" s="15">
        <f>Solieusap!B576</f>
        <v>2.41299</v>
      </c>
      <c r="C576" s="14" t="str">
        <f>Solieusap!C576</f>
        <v>DEAD1</v>
      </c>
      <c r="D576" s="14" t="str">
        <f>Solieusap!D576</f>
        <v>LinStatic</v>
      </c>
      <c r="E576" s="16">
        <f>ABS(Solieusap!E576)</f>
        <v>15.4432</v>
      </c>
      <c r="F576" s="16">
        <f>ABS(Solieusap!F576)</f>
        <v>0.0164</v>
      </c>
      <c r="G576" s="16">
        <f>ABS(Solieusap!G576)</f>
        <v>0.0066</v>
      </c>
      <c r="H576" s="16">
        <f>ABS(Solieusap!H576)</f>
        <v>0.032</v>
      </c>
      <c r="I576" s="16">
        <f>ABS(Solieusap!I576)</f>
        <v>0.02942</v>
      </c>
      <c r="J576" s="16">
        <f>ABS(Solieusap!J576)</f>
        <v>0.26606</v>
      </c>
      <c r="K576" s="16">
        <f t="shared" si="1"/>
        <v>15.4432</v>
      </c>
      <c r="L576" s="16">
        <f t="shared" si="2"/>
        <v>0.02942</v>
      </c>
    </row>
    <row r="577" ht="16.5" customHeight="1">
      <c r="A577" s="14" t="str">
        <f>Solieusap!A577</f>
        <v>470</v>
      </c>
      <c r="B577" s="15">
        <f>Solieusap!B577</f>
        <v>4.82597</v>
      </c>
      <c r="C577" s="14" t="str">
        <f>Solieusap!C577</f>
        <v>DEAD1</v>
      </c>
      <c r="D577" s="14" t="str">
        <f>Solieusap!D577</f>
        <v>LinStatic</v>
      </c>
      <c r="E577" s="16">
        <f>ABS(Solieusap!E577)</f>
        <v>15.2218</v>
      </c>
      <c r="F577" s="16">
        <f>ABS(Solieusap!F577)</f>
        <v>0.4247</v>
      </c>
      <c r="G577" s="16">
        <f>ABS(Solieusap!G577)</f>
        <v>0.0066</v>
      </c>
      <c r="H577" s="16">
        <f>ABS(Solieusap!H577)</f>
        <v>0.032</v>
      </c>
      <c r="I577" s="16">
        <f>ABS(Solieusap!I577)</f>
        <v>0.04536</v>
      </c>
      <c r="J577" s="16">
        <f>ABS(Solieusap!J577)</f>
        <v>0.26607</v>
      </c>
      <c r="K577" s="16">
        <f t="shared" si="1"/>
        <v>15.2218</v>
      </c>
      <c r="L577" s="16">
        <f t="shared" si="2"/>
        <v>0.04536</v>
      </c>
    </row>
    <row r="578" ht="16.5" customHeight="1">
      <c r="A578" s="14" t="str">
        <f>Solieusap!A578</f>
        <v>487</v>
      </c>
      <c r="B578" s="15">
        <f>Solieusap!B578</f>
        <v>0</v>
      </c>
      <c r="C578" s="14" t="str">
        <f>Solieusap!C578</f>
        <v>DEAD1</v>
      </c>
      <c r="D578" s="14" t="str">
        <f>Solieusap!D578</f>
        <v>LinStatic</v>
      </c>
      <c r="E578" s="16">
        <f>ABS(Solieusap!E578)</f>
        <v>3.6723</v>
      </c>
      <c r="F578" s="16">
        <f>ABS(Solieusap!F578)</f>
        <v>0.1309</v>
      </c>
      <c r="G578" s="16">
        <f>ABS(Solieusap!G578)</f>
        <v>0.0921</v>
      </c>
      <c r="H578" s="16">
        <f>ABS(Solieusap!H578)</f>
        <v>0.000004488</v>
      </c>
      <c r="I578" s="16">
        <f>ABS(Solieusap!I578)</f>
        <v>0.17507</v>
      </c>
      <c r="J578" s="16">
        <f>ABS(Solieusap!J578)</f>
        <v>0.06314</v>
      </c>
      <c r="K578" s="16">
        <f t="shared" si="1"/>
        <v>3.6723</v>
      </c>
      <c r="L578" s="16">
        <f t="shared" si="2"/>
        <v>0.17507</v>
      </c>
    </row>
    <row r="579" ht="16.5" customHeight="1">
      <c r="A579" s="14" t="str">
        <f>Solieusap!A579</f>
        <v>487</v>
      </c>
      <c r="B579" s="15">
        <f>Solieusap!B579</f>
        <v>0.75</v>
      </c>
      <c r="C579" s="14" t="str">
        <f>Solieusap!C579</f>
        <v>DEAD1</v>
      </c>
      <c r="D579" s="14" t="str">
        <f>Solieusap!D579</f>
        <v>LinStatic</v>
      </c>
      <c r="E579" s="16">
        <f>ABS(Solieusap!E579)</f>
        <v>3.5898</v>
      </c>
      <c r="F579" s="16">
        <f>ABS(Solieusap!F579)</f>
        <v>0.1309</v>
      </c>
      <c r="G579" s="16">
        <f>ABS(Solieusap!G579)</f>
        <v>0.0921</v>
      </c>
      <c r="H579" s="16">
        <f>ABS(Solieusap!H579)</f>
        <v>0.000004488</v>
      </c>
      <c r="I579" s="16">
        <f>ABS(Solieusap!I579)</f>
        <v>0.106</v>
      </c>
      <c r="J579" s="16">
        <f>ABS(Solieusap!J579)</f>
        <v>0.035</v>
      </c>
      <c r="K579" s="16">
        <f t="shared" si="1"/>
        <v>3.5898</v>
      </c>
      <c r="L579" s="16">
        <f t="shared" si="2"/>
        <v>0.106</v>
      </c>
    </row>
    <row r="580" ht="16.5" customHeight="1">
      <c r="A580" s="14" t="str">
        <f>Solieusap!A580</f>
        <v>487</v>
      </c>
      <c r="B580" s="15">
        <f>Solieusap!B580</f>
        <v>1.5</v>
      </c>
      <c r="C580" s="14" t="str">
        <f>Solieusap!C580</f>
        <v>DEAD1</v>
      </c>
      <c r="D580" s="14" t="str">
        <f>Solieusap!D580</f>
        <v>LinStatic</v>
      </c>
      <c r="E580" s="16">
        <f>ABS(Solieusap!E580)</f>
        <v>3.5073</v>
      </c>
      <c r="F580" s="16">
        <f>ABS(Solieusap!F580)</f>
        <v>0.1309</v>
      </c>
      <c r="G580" s="16">
        <f>ABS(Solieusap!G580)</f>
        <v>0.0921</v>
      </c>
      <c r="H580" s="16">
        <f>ABS(Solieusap!H580)</f>
        <v>0.000004488</v>
      </c>
      <c r="I580" s="16">
        <f>ABS(Solieusap!I580)</f>
        <v>0.03692</v>
      </c>
      <c r="J580" s="16">
        <f>ABS(Solieusap!J580)</f>
        <v>0.13314</v>
      </c>
      <c r="K580" s="16">
        <f t="shared" si="1"/>
        <v>3.5073</v>
      </c>
      <c r="L580" s="16">
        <f t="shared" si="2"/>
        <v>0.03692</v>
      </c>
    </row>
    <row r="581" ht="16.5" customHeight="1">
      <c r="A581" s="14" t="str">
        <f>Solieusap!A581</f>
        <v>488</v>
      </c>
      <c r="B581" s="15">
        <f>Solieusap!B581</f>
        <v>0</v>
      </c>
      <c r="C581" s="14" t="str">
        <f>Solieusap!C581</f>
        <v>DEAD1</v>
      </c>
      <c r="D581" s="14" t="str">
        <f>Solieusap!D581</f>
        <v>LinStatic</v>
      </c>
      <c r="E581" s="16">
        <f>ABS(Solieusap!E581)</f>
        <v>3.1226</v>
      </c>
      <c r="F581" s="16">
        <f>ABS(Solieusap!F581)</f>
        <v>0.0246</v>
      </c>
      <c r="G581" s="16">
        <f>ABS(Solieusap!G581)</f>
        <v>0.0921</v>
      </c>
      <c r="H581" s="16">
        <f>ABS(Solieusap!H581)</f>
        <v>0.000003425</v>
      </c>
      <c r="I581" s="16">
        <f>ABS(Solieusap!I581)</f>
        <v>0.03697</v>
      </c>
      <c r="J581" s="16">
        <f>ABS(Solieusap!J581)</f>
        <v>0.01752</v>
      </c>
      <c r="K581" s="16">
        <f t="shared" si="1"/>
        <v>3.1226</v>
      </c>
      <c r="L581" s="16">
        <f t="shared" si="2"/>
        <v>0.03697</v>
      </c>
    </row>
    <row r="582" ht="16.5" customHeight="1">
      <c r="A582" s="14" t="str">
        <f>Solieusap!A582</f>
        <v>488</v>
      </c>
      <c r="B582" s="15">
        <f>Solieusap!B582</f>
        <v>2.4</v>
      </c>
      <c r="C582" s="14" t="str">
        <f>Solieusap!C582</f>
        <v>DEAD1</v>
      </c>
      <c r="D582" s="14" t="str">
        <f>Solieusap!D582</f>
        <v>LinStatic</v>
      </c>
      <c r="E582" s="16">
        <f>ABS(Solieusap!E582)</f>
        <v>2.8586</v>
      </c>
      <c r="F582" s="16">
        <f>ABS(Solieusap!F582)</f>
        <v>0.0246</v>
      </c>
      <c r="G582" s="16">
        <f>ABS(Solieusap!G582)</f>
        <v>0.0921</v>
      </c>
      <c r="H582" s="16">
        <f>ABS(Solieusap!H582)</f>
        <v>0.000003425</v>
      </c>
      <c r="I582" s="16">
        <f>ABS(Solieusap!I582)</f>
        <v>0.18406</v>
      </c>
      <c r="J582" s="16">
        <f>ABS(Solieusap!J582)</f>
        <v>0.04146</v>
      </c>
      <c r="K582" s="16">
        <f t="shared" si="1"/>
        <v>2.8586</v>
      </c>
      <c r="L582" s="16">
        <f t="shared" si="2"/>
        <v>0.18406</v>
      </c>
    </row>
    <row r="583" ht="16.5" customHeight="1">
      <c r="A583" s="14" t="str">
        <f>Solieusap!A583</f>
        <v>488</v>
      </c>
      <c r="B583" s="15">
        <f>Solieusap!B583</f>
        <v>4.8</v>
      </c>
      <c r="C583" s="14" t="str">
        <f>Solieusap!C583</f>
        <v>DEAD1</v>
      </c>
      <c r="D583" s="14" t="str">
        <f>Solieusap!D583</f>
        <v>LinStatic</v>
      </c>
      <c r="E583" s="16">
        <f>ABS(Solieusap!E583)</f>
        <v>2.5946</v>
      </c>
      <c r="F583" s="16">
        <f>ABS(Solieusap!F583)</f>
        <v>0.0246</v>
      </c>
      <c r="G583" s="16">
        <f>ABS(Solieusap!G583)</f>
        <v>0.0921</v>
      </c>
      <c r="H583" s="16">
        <f>ABS(Solieusap!H583)</f>
        <v>0.000003425</v>
      </c>
      <c r="I583" s="16">
        <f>ABS(Solieusap!I583)</f>
        <v>0.40509</v>
      </c>
      <c r="J583" s="16">
        <f>ABS(Solieusap!J583)</f>
        <v>0.10044</v>
      </c>
      <c r="K583" s="16">
        <f t="shared" si="1"/>
        <v>2.5946</v>
      </c>
      <c r="L583" s="16">
        <f t="shared" si="2"/>
        <v>0.40509</v>
      </c>
    </row>
    <row r="584" ht="16.5" customHeight="1">
      <c r="A584" s="14" t="str">
        <f>Solieusap!A584</f>
        <v>489</v>
      </c>
      <c r="B584" s="15">
        <f>Solieusap!B584</f>
        <v>0</v>
      </c>
      <c r="C584" s="14" t="str">
        <f>Solieusap!C584</f>
        <v>DEAD1</v>
      </c>
      <c r="D584" s="14" t="str">
        <f>Solieusap!D584</f>
        <v>LinStatic</v>
      </c>
      <c r="E584" s="16">
        <f>ABS(Solieusap!E584)</f>
        <v>3.6729</v>
      </c>
      <c r="F584" s="16">
        <f>ABS(Solieusap!F584)</f>
        <v>0.1312</v>
      </c>
      <c r="G584" s="16">
        <f>ABS(Solieusap!G584)</f>
        <v>0.092</v>
      </c>
      <c r="H584" s="16">
        <f>ABS(Solieusap!H584)</f>
        <v>0.00002783</v>
      </c>
      <c r="I584" s="16">
        <f>ABS(Solieusap!I584)</f>
        <v>0.17494</v>
      </c>
      <c r="J584" s="16">
        <f>ABS(Solieusap!J584)</f>
        <v>0.06346</v>
      </c>
      <c r="K584" s="16">
        <f t="shared" si="1"/>
        <v>3.6729</v>
      </c>
      <c r="L584" s="16">
        <f t="shared" si="2"/>
        <v>0.17494</v>
      </c>
    </row>
    <row r="585" ht="16.5" customHeight="1">
      <c r="A585" s="14" t="str">
        <f>Solieusap!A585</f>
        <v>489</v>
      </c>
      <c r="B585" s="15">
        <f>Solieusap!B585</f>
        <v>0.75</v>
      </c>
      <c r="C585" s="14" t="str">
        <f>Solieusap!C585</f>
        <v>DEAD1</v>
      </c>
      <c r="D585" s="14" t="str">
        <f>Solieusap!D585</f>
        <v>LinStatic</v>
      </c>
      <c r="E585" s="16">
        <f>ABS(Solieusap!E585)</f>
        <v>3.5904</v>
      </c>
      <c r="F585" s="16">
        <f>ABS(Solieusap!F585)</f>
        <v>0.1312</v>
      </c>
      <c r="G585" s="16">
        <f>ABS(Solieusap!G585)</f>
        <v>0.092</v>
      </c>
      <c r="H585" s="16">
        <f>ABS(Solieusap!H585)</f>
        <v>0.00002783</v>
      </c>
      <c r="I585" s="16">
        <f>ABS(Solieusap!I585)</f>
        <v>0.10592</v>
      </c>
      <c r="J585" s="16">
        <f>ABS(Solieusap!J585)</f>
        <v>0.03491</v>
      </c>
      <c r="K585" s="16">
        <f t="shared" si="1"/>
        <v>3.5904</v>
      </c>
      <c r="L585" s="16">
        <f t="shared" si="2"/>
        <v>0.10592</v>
      </c>
    </row>
    <row r="586" ht="16.5" customHeight="1">
      <c r="A586" s="14" t="str">
        <f>Solieusap!A586</f>
        <v>489</v>
      </c>
      <c r="B586" s="15">
        <f>Solieusap!B586</f>
        <v>1.5</v>
      </c>
      <c r="C586" s="14" t="str">
        <f>Solieusap!C586</f>
        <v>DEAD1</v>
      </c>
      <c r="D586" s="14" t="str">
        <f>Solieusap!D586</f>
        <v>LinStatic</v>
      </c>
      <c r="E586" s="16">
        <f>ABS(Solieusap!E586)</f>
        <v>3.5079</v>
      </c>
      <c r="F586" s="16">
        <f>ABS(Solieusap!F586)</f>
        <v>0.1312</v>
      </c>
      <c r="G586" s="16">
        <f>ABS(Solieusap!G586)</f>
        <v>0.092</v>
      </c>
      <c r="H586" s="16">
        <f>ABS(Solieusap!H586)</f>
        <v>0.00002783</v>
      </c>
      <c r="I586" s="16">
        <f>ABS(Solieusap!I586)</f>
        <v>0.0369</v>
      </c>
      <c r="J586" s="16">
        <f>ABS(Solieusap!J586)</f>
        <v>0.13329</v>
      </c>
      <c r="K586" s="16">
        <f t="shared" si="1"/>
        <v>3.5079</v>
      </c>
      <c r="L586" s="16">
        <f t="shared" si="2"/>
        <v>0.0369</v>
      </c>
    </row>
    <row r="587" ht="16.5" customHeight="1">
      <c r="A587" s="14" t="str">
        <f>Solieusap!A587</f>
        <v>490</v>
      </c>
      <c r="B587" s="15">
        <f>Solieusap!B587</f>
        <v>0</v>
      </c>
      <c r="C587" s="14" t="str">
        <f>Solieusap!C587</f>
        <v>DEAD1</v>
      </c>
      <c r="D587" s="14" t="str">
        <f>Solieusap!D587</f>
        <v>LinStatic</v>
      </c>
      <c r="E587" s="16">
        <f>ABS(Solieusap!E587)</f>
        <v>3.1226</v>
      </c>
      <c r="F587" s="16">
        <f>ABS(Solieusap!F587)</f>
        <v>0.0243</v>
      </c>
      <c r="G587" s="16">
        <f>ABS(Solieusap!G587)</f>
        <v>0.092</v>
      </c>
      <c r="H587" s="16">
        <f>ABS(Solieusap!H587)</f>
        <v>0.00007028</v>
      </c>
      <c r="I587" s="16">
        <f>ABS(Solieusap!I587)</f>
        <v>0.03684</v>
      </c>
      <c r="J587" s="16">
        <f>ABS(Solieusap!J587)</f>
        <v>0.0166</v>
      </c>
      <c r="K587" s="16">
        <f t="shared" si="1"/>
        <v>3.1226</v>
      </c>
      <c r="L587" s="16">
        <f t="shared" si="2"/>
        <v>0.03684</v>
      </c>
    </row>
    <row r="588" ht="16.5" customHeight="1">
      <c r="A588" s="14" t="str">
        <f>Solieusap!A588</f>
        <v>490</v>
      </c>
      <c r="B588" s="15">
        <f>Solieusap!B588</f>
        <v>2.4</v>
      </c>
      <c r="C588" s="14" t="str">
        <f>Solieusap!C588</f>
        <v>DEAD1</v>
      </c>
      <c r="D588" s="14" t="str">
        <f>Solieusap!D588</f>
        <v>LinStatic</v>
      </c>
      <c r="E588" s="16">
        <f>ABS(Solieusap!E588)</f>
        <v>2.8586</v>
      </c>
      <c r="F588" s="16">
        <f>ABS(Solieusap!F588)</f>
        <v>0.0243</v>
      </c>
      <c r="G588" s="16">
        <f>ABS(Solieusap!G588)</f>
        <v>0.092</v>
      </c>
      <c r="H588" s="16">
        <f>ABS(Solieusap!H588)</f>
        <v>0.00007028</v>
      </c>
      <c r="I588" s="16">
        <f>ABS(Solieusap!I588)</f>
        <v>0.18406</v>
      </c>
      <c r="J588" s="16">
        <f>ABS(Solieusap!J588)</f>
        <v>0.04164</v>
      </c>
      <c r="K588" s="16">
        <f t="shared" si="1"/>
        <v>2.8586</v>
      </c>
      <c r="L588" s="16">
        <f t="shared" si="2"/>
        <v>0.18406</v>
      </c>
    </row>
    <row r="589" ht="16.5" customHeight="1">
      <c r="A589" s="14" t="str">
        <f>Solieusap!A589</f>
        <v>490</v>
      </c>
      <c r="B589" s="15">
        <f>Solieusap!B589</f>
        <v>4.8</v>
      </c>
      <c r="C589" s="14" t="str">
        <f>Solieusap!C589</f>
        <v>DEAD1</v>
      </c>
      <c r="D589" s="14" t="str">
        <f>Solieusap!D589</f>
        <v>LinStatic</v>
      </c>
      <c r="E589" s="16">
        <f>ABS(Solieusap!E589)</f>
        <v>2.5946</v>
      </c>
      <c r="F589" s="16">
        <f>ABS(Solieusap!F589)</f>
        <v>0.0243</v>
      </c>
      <c r="G589" s="16">
        <f>ABS(Solieusap!G589)</f>
        <v>0.092</v>
      </c>
      <c r="H589" s="16">
        <f>ABS(Solieusap!H589)</f>
        <v>0.00007028</v>
      </c>
      <c r="I589" s="16">
        <f>ABS(Solieusap!I589)</f>
        <v>0.40496</v>
      </c>
      <c r="J589" s="16">
        <f>ABS(Solieusap!J589)</f>
        <v>0.09987</v>
      </c>
      <c r="K589" s="16">
        <f t="shared" si="1"/>
        <v>2.5946</v>
      </c>
      <c r="L589" s="16">
        <f t="shared" si="2"/>
        <v>0.40496</v>
      </c>
    </row>
    <row r="590" ht="16.5" customHeight="1">
      <c r="A590" s="15" t="str">
        <f>Solieusap!A590</f>
        <v>Cũ</v>
      </c>
      <c r="B590" s="15">
        <f>Solieusap!B590</f>
        <v>1.75</v>
      </c>
      <c r="C590" s="15" t="str">
        <f>Solieusap!C590</f>
        <v>COMB7</v>
      </c>
      <c r="D590" s="15" t="str">
        <f>Solieusap!D590</f>
        <v>Combination</v>
      </c>
      <c r="E590" s="16">
        <f>ABS(Solieusap!E590)</f>
        <v>4.5942</v>
      </c>
      <c r="F590" s="16">
        <f>ABS(Solieusap!F590)</f>
        <v>0.1378</v>
      </c>
      <c r="G590" s="16">
        <f>ABS(Solieusap!G590)</f>
        <v>0.2635</v>
      </c>
      <c r="H590" s="16">
        <f>ABS(Solieusap!H590)</f>
        <v>0.0001</v>
      </c>
      <c r="I590" s="16">
        <f>ABS(Solieusap!I590)</f>
        <v>0.00003329</v>
      </c>
      <c r="J590" s="16">
        <f>ABS(Solieusap!J590)</f>
        <v>0.11431</v>
      </c>
      <c r="K590" s="16">
        <f t="shared" si="1"/>
        <v>4.5942</v>
      </c>
      <c r="L590" s="16">
        <f t="shared" si="2"/>
        <v>0.00003329</v>
      </c>
    </row>
    <row r="591" ht="16.5" customHeight="1">
      <c r="A591" s="15" t="str">
        <f>Solieusap!A591</f>
        <v>Cũ</v>
      </c>
      <c r="B591" s="15">
        <f>Solieusap!B591</f>
        <v>3.5</v>
      </c>
      <c r="C591" s="15" t="str">
        <f>Solieusap!C591</f>
        <v>COMB7</v>
      </c>
      <c r="D591" s="15" t="str">
        <f>Solieusap!D591</f>
        <v>Combination</v>
      </c>
      <c r="E591" s="16">
        <f>ABS(Solieusap!E591)</f>
        <v>4.4017</v>
      </c>
      <c r="F591" s="16">
        <f>ABS(Solieusap!F591)</f>
        <v>0.4528</v>
      </c>
      <c r="G591" s="16">
        <f>ABS(Solieusap!G591)</f>
        <v>0.2635</v>
      </c>
      <c r="H591" s="16">
        <f>ABS(Solieusap!H591)</f>
        <v>0.0001</v>
      </c>
      <c r="I591" s="16">
        <f>ABS(Solieusap!I591)</f>
        <v>0.46101</v>
      </c>
      <c r="J591" s="16">
        <f>ABS(Solieusap!J591)</f>
        <v>0.40244</v>
      </c>
      <c r="K591" s="16">
        <f t="shared" si="1"/>
        <v>4.4017</v>
      </c>
      <c r="L591" s="16">
        <f t="shared" si="2"/>
        <v>0.46101</v>
      </c>
    </row>
    <row r="592" ht="16.5" customHeight="1">
      <c r="A592" s="15" t="str">
        <f>Solieusap!A592</f>
        <v>Cũ</v>
      </c>
      <c r="B592" s="15">
        <f>Solieusap!B592</f>
        <v>0</v>
      </c>
      <c r="C592" s="15" t="str">
        <f>Solieusap!C592</f>
        <v>COMB1</v>
      </c>
      <c r="D592" s="15" t="str">
        <f>Solieusap!D592</f>
        <v>Combination</v>
      </c>
      <c r="E592" s="16">
        <f>ABS(Solieusap!E592)</f>
        <v>9.3761</v>
      </c>
      <c r="F592" s="16">
        <f>ABS(Solieusap!F592)</f>
        <v>0.1865</v>
      </c>
      <c r="G592" s="16">
        <f>ABS(Solieusap!G592)</f>
        <v>0.3485</v>
      </c>
      <c r="H592" s="16">
        <f>ABS(Solieusap!H592)</f>
        <v>0.000004046</v>
      </c>
      <c r="I592" s="16">
        <f>ABS(Solieusap!I592)</f>
        <v>0.59145</v>
      </c>
      <c r="J592" s="16">
        <f>ABS(Solieusap!J592)</f>
        <v>0.32892</v>
      </c>
      <c r="K592" s="16">
        <f t="shared" si="1"/>
        <v>9.3761</v>
      </c>
      <c r="L592" s="16">
        <f t="shared" si="2"/>
        <v>0.59145</v>
      </c>
    </row>
    <row r="593" ht="16.5" customHeight="1">
      <c r="A593" s="15" t="str">
        <f>Solieusap!A593</f>
        <v>Cũ</v>
      </c>
      <c r="B593" s="15">
        <f>Solieusap!B593</f>
        <v>1.75</v>
      </c>
      <c r="C593" s="15" t="str">
        <f>Solieusap!C593</f>
        <v>COMB1</v>
      </c>
      <c r="D593" s="15" t="str">
        <f>Solieusap!D593</f>
        <v>Combination</v>
      </c>
      <c r="E593" s="16">
        <f>ABS(Solieusap!E593)</f>
        <v>9.1836</v>
      </c>
      <c r="F593" s="16">
        <f>ABS(Solieusap!F593)</f>
        <v>0.1865</v>
      </c>
      <c r="G593" s="16">
        <f>ABS(Solieusap!G593)</f>
        <v>0.3485</v>
      </c>
      <c r="H593" s="16">
        <f>ABS(Solieusap!H593)</f>
        <v>0.000004046</v>
      </c>
      <c r="I593" s="16">
        <f>ABS(Solieusap!I593)</f>
        <v>0.01837</v>
      </c>
      <c r="J593" s="16">
        <f>ABS(Solieusap!J593)</f>
        <v>0.00251</v>
      </c>
      <c r="K593" s="16">
        <f t="shared" si="1"/>
        <v>9.1836</v>
      </c>
      <c r="L593" s="16">
        <f t="shared" si="2"/>
        <v>0.01837</v>
      </c>
    </row>
    <row r="594" ht="16.5" customHeight="1">
      <c r="A594" s="15" t="str">
        <f>Solieusap!A594</f>
        <v>Cũ</v>
      </c>
      <c r="B594" s="15">
        <f>Solieusap!B594</f>
        <v>3.5</v>
      </c>
      <c r="C594" s="15" t="str">
        <f>Solieusap!C594</f>
        <v>COMB1</v>
      </c>
      <c r="D594" s="15" t="str">
        <f>Solieusap!D594</f>
        <v>Combination</v>
      </c>
      <c r="E594" s="16">
        <f>ABS(Solieusap!E594)</f>
        <v>8.9911</v>
      </c>
      <c r="F594" s="16">
        <f>ABS(Solieusap!F594)</f>
        <v>0.1865</v>
      </c>
      <c r="G594" s="16">
        <f>ABS(Solieusap!G594)</f>
        <v>0.3485</v>
      </c>
      <c r="H594" s="16">
        <f>ABS(Solieusap!H594)</f>
        <v>0.000004046</v>
      </c>
      <c r="I594" s="16">
        <f>ABS(Solieusap!I594)</f>
        <v>0.62819</v>
      </c>
      <c r="J594" s="16">
        <f>ABS(Solieusap!J594)</f>
        <v>0.32389</v>
      </c>
      <c r="K594" s="16">
        <f t="shared" si="1"/>
        <v>8.9911</v>
      </c>
      <c r="L594" s="16">
        <f t="shared" si="2"/>
        <v>0.62819</v>
      </c>
    </row>
    <row r="595" ht="16.5" customHeight="1">
      <c r="A595" s="15" t="str">
        <f>Solieusap!A595</f>
        <v>Cũ</v>
      </c>
      <c r="B595" s="15">
        <f>Solieusap!B595</f>
        <v>0</v>
      </c>
      <c r="C595" s="15" t="str">
        <f>Solieusap!C595</f>
        <v>COMB2</v>
      </c>
      <c r="D595" s="15" t="str">
        <f>Solieusap!D595</f>
        <v>Combination</v>
      </c>
      <c r="E595" s="16">
        <f>ABS(Solieusap!E595)</f>
        <v>6.2625</v>
      </c>
      <c r="F595" s="16">
        <f>ABS(Solieusap!F595)</f>
        <v>0.3628</v>
      </c>
      <c r="G595" s="16">
        <f>ABS(Solieusap!G595)</f>
        <v>0.1776</v>
      </c>
      <c r="H595" s="16">
        <f>ABS(Solieusap!H595)</f>
        <v>0.00002224</v>
      </c>
      <c r="I595" s="16">
        <f>ABS(Solieusap!I595)</f>
        <v>0.30143</v>
      </c>
      <c r="J595" s="16">
        <f>ABS(Solieusap!J595)</f>
        <v>0.63515</v>
      </c>
      <c r="K595" s="16">
        <f t="shared" si="1"/>
        <v>6.2625</v>
      </c>
      <c r="L595" s="16">
        <f t="shared" si="2"/>
        <v>0.30143</v>
      </c>
    </row>
    <row r="596" ht="16.5" customHeight="1">
      <c r="A596" s="15" t="str">
        <f>Solieusap!A596</f>
        <v>Cũ</v>
      </c>
      <c r="B596" s="15">
        <f>Solieusap!B596</f>
        <v>1.75</v>
      </c>
      <c r="C596" s="15" t="str">
        <f>Solieusap!C596</f>
        <v>COMB2</v>
      </c>
      <c r="D596" s="15" t="str">
        <f>Solieusap!D596</f>
        <v>Combination</v>
      </c>
      <c r="E596" s="16">
        <f>ABS(Solieusap!E596)</f>
        <v>6.07</v>
      </c>
      <c r="F596" s="16">
        <f>ABS(Solieusap!F596)</f>
        <v>0.3628</v>
      </c>
      <c r="G596" s="16">
        <f>ABS(Solieusap!G596)</f>
        <v>0.1776</v>
      </c>
      <c r="H596" s="16">
        <f>ABS(Solieusap!H596)</f>
        <v>0.00002224</v>
      </c>
      <c r="I596" s="16">
        <f>ABS(Solieusap!I596)</f>
        <v>0.00932</v>
      </c>
      <c r="J596" s="16">
        <f>ABS(Solieusap!J596)</f>
        <v>0.00024</v>
      </c>
      <c r="K596" s="16">
        <f t="shared" si="1"/>
        <v>6.07</v>
      </c>
      <c r="L596" s="16">
        <f t="shared" si="2"/>
        <v>0.00932</v>
      </c>
    </row>
    <row r="597" ht="16.5" customHeight="1">
      <c r="A597" s="15" t="str">
        <f>Solieusap!A597</f>
        <v>Cũ</v>
      </c>
      <c r="B597" s="15">
        <f>Solieusap!B597</f>
        <v>3.5</v>
      </c>
      <c r="C597" s="15" t="str">
        <f>Solieusap!C597</f>
        <v>COMB2</v>
      </c>
      <c r="D597" s="15" t="str">
        <f>Solieusap!D597</f>
        <v>Combination</v>
      </c>
      <c r="E597" s="16">
        <f>ABS(Solieusap!E597)</f>
        <v>5.8775</v>
      </c>
      <c r="F597" s="16">
        <f>ABS(Solieusap!F597)</f>
        <v>0.3628</v>
      </c>
      <c r="G597" s="16">
        <f>ABS(Solieusap!G597)</f>
        <v>0.1776</v>
      </c>
      <c r="H597" s="16">
        <f>ABS(Solieusap!H597)</f>
        <v>0.00002224</v>
      </c>
      <c r="I597" s="16">
        <f>ABS(Solieusap!I597)</f>
        <v>0.32007</v>
      </c>
      <c r="J597" s="16">
        <f>ABS(Solieusap!J597)</f>
        <v>0.63467</v>
      </c>
      <c r="K597" s="16">
        <f t="shared" si="1"/>
        <v>5.8775</v>
      </c>
      <c r="L597" s="16">
        <f t="shared" si="2"/>
        <v>0.32007</v>
      </c>
    </row>
    <row r="598" ht="16.5" customHeight="1">
      <c r="A598" s="15" t="str">
        <f>Solieusap!A598</f>
        <v>Cũ</v>
      </c>
      <c r="B598" s="15">
        <f>Solieusap!B598</f>
        <v>0</v>
      </c>
      <c r="C598" s="15" t="str">
        <f>Solieusap!C598</f>
        <v>COMB3</v>
      </c>
      <c r="D598" s="15" t="str">
        <f>Solieusap!D598</f>
        <v>Combination</v>
      </c>
      <c r="E598" s="16">
        <f>ABS(Solieusap!E598)</f>
        <v>6.2553</v>
      </c>
      <c r="F598" s="16">
        <f>ABS(Solieusap!F598)</f>
        <v>0.1035</v>
      </c>
      <c r="G598" s="16">
        <f>ABS(Solieusap!G598)</f>
        <v>0.1797</v>
      </c>
      <c r="H598" s="16">
        <f>ABS(Solieusap!H598)</f>
        <v>0.00002456</v>
      </c>
      <c r="I598" s="16">
        <f>ABS(Solieusap!I598)</f>
        <v>0.30625</v>
      </c>
      <c r="J598" s="16">
        <f>ABS(Solieusap!J598)</f>
        <v>0.1706</v>
      </c>
      <c r="K598" s="16">
        <f t="shared" si="1"/>
        <v>6.2553</v>
      </c>
      <c r="L598" s="16">
        <f t="shared" si="2"/>
        <v>0.30625</v>
      </c>
    </row>
    <row r="599" ht="16.5" customHeight="1">
      <c r="A599" s="15" t="str">
        <f>Solieusap!A599</f>
        <v>Cũ</v>
      </c>
      <c r="B599" s="15">
        <f>Solieusap!B599</f>
        <v>1.75</v>
      </c>
      <c r="C599" s="15" t="str">
        <f>Solieusap!C599</f>
        <v>COMB3</v>
      </c>
      <c r="D599" s="15" t="str">
        <f>Solieusap!D599</f>
        <v>Combination</v>
      </c>
      <c r="E599" s="16">
        <f>ABS(Solieusap!E599)</f>
        <v>6.0628</v>
      </c>
      <c r="F599" s="16">
        <f>ABS(Solieusap!F599)</f>
        <v>0.1035</v>
      </c>
      <c r="G599" s="16">
        <f>ABS(Solieusap!G599)</f>
        <v>0.1797</v>
      </c>
      <c r="H599" s="16">
        <f>ABS(Solieusap!H599)</f>
        <v>0.00002456</v>
      </c>
      <c r="I599" s="16">
        <f>ABS(Solieusap!I599)</f>
        <v>0.0083</v>
      </c>
      <c r="J599" s="16">
        <f>ABS(Solieusap!J599)</f>
        <v>0.01046</v>
      </c>
      <c r="K599" s="16">
        <f t="shared" si="1"/>
        <v>6.0628</v>
      </c>
      <c r="L599" s="16">
        <f t="shared" si="2"/>
        <v>0.0083</v>
      </c>
    </row>
    <row r="600" ht="16.5" customHeight="1">
      <c r="A600" s="15" t="str">
        <f>Solieusap!A600</f>
        <v>Cũ</v>
      </c>
      <c r="B600" s="15">
        <f>Solieusap!B600</f>
        <v>3.5</v>
      </c>
      <c r="C600" s="15" t="str">
        <f>Solieusap!C600</f>
        <v>COMB3</v>
      </c>
      <c r="D600" s="15" t="str">
        <f>Solieusap!D600</f>
        <v>Combination</v>
      </c>
      <c r="E600" s="16">
        <f>ABS(Solieusap!E600)</f>
        <v>5.8703</v>
      </c>
      <c r="F600" s="16">
        <f>ABS(Solieusap!F600)</f>
        <v>0.1035</v>
      </c>
      <c r="G600" s="16">
        <f>ABS(Solieusap!G600)</f>
        <v>0.1797</v>
      </c>
      <c r="H600" s="16">
        <f>ABS(Solieusap!H600)</f>
        <v>0.00002456</v>
      </c>
      <c r="I600" s="16">
        <f>ABS(Solieusap!I600)</f>
        <v>0.32286</v>
      </c>
      <c r="J600" s="16">
        <f>ABS(Solieusap!J600)</f>
        <v>0.19152</v>
      </c>
      <c r="K600" s="16">
        <f t="shared" si="1"/>
        <v>5.8703</v>
      </c>
      <c r="L600" s="16">
        <f t="shared" si="2"/>
        <v>0.32286</v>
      </c>
    </row>
    <row r="601" ht="16.5" customHeight="1">
      <c r="A601" s="15" t="str">
        <f>Solieusap!A601</f>
        <v>Cũ</v>
      </c>
      <c r="B601" s="15">
        <f>Solieusap!B601</f>
        <v>0</v>
      </c>
      <c r="C601" s="15" t="str">
        <f>Solieusap!C601</f>
        <v>COMB4</v>
      </c>
      <c r="D601" s="15" t="str">
        <f>Solieusap!D601</f>
        <v>Combination</v>
      </c>
      <c r="E601" s="16">
        <f>ABS(Solieusap!E601)</f>
        <v>6.3333</v>
      </c>
      <c r="F601" s="16">
        <f>ABS(Solieusap!F601)</f>
        <v>0.1298</v>
      </c>
      <c r="G601" s="16">
        <f>ABS(Solieusap!G601)</f>
        <v>0.5801</v>
      </c>
      <c r="H601" s="16">
        <f>ABS(Solieusap!H601)</f>
        <v>0.0000225</v>
      </c>
      <c r="I601" s="16">
        <f>ABS(Solieusap!I601)</f>
        <v>0.67099</v>
      </c>
      <c r="J601" s="16">
        <f>ABS(Solieusap!J601)</f>
        <v>0.23294</v>
      </c>
      <c r="K601" s="16">
        <f t="shared" si="1"/>
        <v>6.3333</v>
      </c>
      <c r="L601" s="16">
        <f t="shared" si="2"/>
        <v>0.67099</v>
      </c>
    </row>
    <row r="602" ht="16.5" customHeight="1">
      <c r="A602" s="15" t="str">
        <f>Solieusap!A602</f>
        <v>Cũ</v>
      </c>
      <c r="B602" s="15">
        <f>Solieusap!B602</f>
        <v>1.75</v>
      </c>
      <c r="C602" s="15" t="str">
        <f>Solieusap!C602</f>
        <v>COMB4</v>
      </c>
      <c r="D602" s="15" t="str">
        <f>Solieusap!D602</f>
        <v>Combination</v>
      </c>
      <c r="E602" s="16">
        <f>ABS(Solieusap!E602)</f>
        <v>6.1408</v>
      </c>
      <c r="F602" s="16">
        <f>ABS(Solieusap!F602)</f>
        <v>0.1298</v>
      </c>
      <c r="G602" s="16">
        <f>ABS(Solieusap!G602)</f>
        <v>0.3176</v>
      </c>
      <c r="H602" s="16">
        <f>ABS(Solieusap!H602)</f>
        <v>0.0000225</v>
      </c>
      <c r="I602" s="16">
        <f>ABS(Solieusap!I602)</f>
        <v>0.11459</v>
      </c>
      <c r="J602" s="16">
        <f>ABS(Solieusap!J602)</f>
        <v>0.00572</v>
      </c>
      <c r="K602" s="16">
        <f t="shared" si="1"/>
        <v>6.1408</v>
      </c>
      <c r="L602" s="16">
        <f t="shared" si="2"/>
        <v>0.11459</v>
      </c>
    </row>
    <row r="603" ht="16.5" customHeight="1">
      <c r="A603" s="15" t="str">
        <f>Solieusap!A603</f>
        <v>Cũ</v>
      </c>
      <c r="B603" s="15">
        <f>Solieusap!B603</f>
        <v>3.5</v>
      </c>
      <c r="C603" s="15" t="str">
        <f>Solieusap!C603</f>
        <v>COMB4</v>
      </c>
      <c r="D603" s="15" t="str">
        <f>Solieusap!D603</f>
        <v>Combination</v>
      </c>
      <c r="E603" s="16">
        <f>ABS(Solieusap!E603)</f>
        <v>5.9483</v>
      </c>
      <c r="F603" s="16">
        <f>ABS(Solieusap!F603)</f>
        <v>0.1298</v>
      </c>
      <c r="G603" s="16">
        <f>ABS(Solieusap!G603)</f>
        <v>0.0551</v>
      </c>
      <c r="H603" s="16">
        <f>ABS(Solieusap!H603)</f>
        <v>0.0000225</v>
      </c>
      <c r="I603" s="16">
        <f>ABS(Solieusap!I603)</f>
        <v>0.44079</v>
      </c>
      <c r="J603" s="16">
        <f>ABS(Solieusap!J603)</f>
        <v>0.22149</v>
      </c>
      <c r="K603" s="16">
        <f t="shared" si="1"/>
        <v>5.9483</v>
      </c>
      <c r="L603" s="16">
        <f t="shared" si="2"/>
        <v>0.44079</v>
      </c>
    </row>
    <row r="604" ht="16.5" customHeight="1">
      <c r="A604" s="15" t="str">
        <f>Solieusap!A604</f>
        <v>Cũ</v>
      </c>
      <c r="B604" s="15">
        <f>Solieusap!B604</f>
        <v>0</v>
      </c>
      <c r="C604" s="15" t="str">
        <f>Solieusap!C604</f>
        <v>COMB5</v>
      </c>
      <c r="D604" s="15" t="str">
        <f>Solieusap!D604</f>
        <v>Combination</v>
      </c>
      <c r="E604" s="16">
        <f>ABS(Solieusap!E604)</f>
        <v>9.1208</v>
      </c>
      <c r="F604" s="16">
        <f>ABS(Solieusap!F604)</f>
        <v>0.1812</v>
      </c>
      <c r="G604" s="16">
        <f>ABS(Solieusap!G604)</f>
        <v>0.6928</v>
      </c>
      <c r="H604" s="16">
        <f>ABS(Solieusap!H604)</f>
        <v>0.00001623</v>
      </c>
      <c r="I604" s="16">
        <f>ABS(Solieusap!I604)</f>
        <v>0.89306</v>
      </c>
      <c r="J604" s="16">
        <f>ABS(Solieusap!J604)</f>
        <v>0.32026</v>
      </c>
      <c r="K604" s="16">
        <f t="shared" si="1"/>
        <v>9.1208</v>
      </c>
      <c r="L604" s="16">
        <f t="shared" si="2"/>
        <v>0.89306</v>
      </c>
    </row>
    <row r="605" ht="16.5" customHeight="1">
      <c r="A605" s="15" t="str">
        <f>Solieusap!A605</f>
        <v>Cũ</v>
      </c>
      <c r="B605" s="15">
        <f>Solieusap!B605</f>
        <v>1.75</v>
      </c>
      <c r="C605" s="15" t="str">
        <f>Solieusap!C605</f>
        <v>COMB5</v>
      </c>
      <c r="D605" s="15" t="str">
        <f>Solieusap!D605</f>
        <v>Combination</v>
      </c>
      <c r="E605" s="16">
        <f>ABS(Solieusap!E605)</f>
        <v>8.9283</v>
      </c>
      <c r="F605" s="16">
        <f>ABS(Solieusap!F605)</f>
        <v>0.1812</v>
      </c>
      <c r="G605" s="16">
        <f>ABS(Solieusap!G605)</f>
        <v>0.4565</v>
      </c>
      <c r="H605" s="16">
        <f>ABS(Solieusap!H605)</f>
        <v>0.00001623</v>
      </c>
      <c r="I605" s="16">
        <f>ABS(Solieusap!I605)</f>
        <v>0.11261</v>
      </c>
      <c r="J605" s="16">
        <f>ABS(Solieusap!J605)</f>
        <v>0.00312</v>
      </c>
      <c r="K605" s="16">
        <f t="shared" si="1"/>
        <v>8.9283</v>
      </c>
      <c r="L605" s="16">
        <f t="shared" si="2"/>
        <v>0.11261</v>
      </c>
    </row>
    <row r="606" ht="16.5" customHeight="1">
      <c r="A606" s="15" t="str">
        <f>Solieusap!A606</f>
        <v>Cũ</v>
      </c>
      <c r="B606" s="15">
        <f>Solieusap!B606</f>
        <v>3.5</v>
      </c>
      <c r="C606" s="15" t="str">
        <f>Solieusap!C606</f>
        <v>COMB5</v>
      </c>
      <c r="D606" s="15" t="str">
        <f>Solieusap!D606</f>
        <v>Combination</v>
      </c>
      <c r="E606" s="16">
        <f>ABS(Solieusap!E606)</f>
        <v>8.7358</v>
      </c>
      <c r="F606" s="16">
        <f>ABS(Solieusap!F606)</f>
        <v>0.1812</v>
      </c>
      <c r="G606" s="16">
        <f>ABS(Solieusap!G606)</f>
        <v>0.2203</v>
      </c>
      <c r="H606" s="16">
        <f>ABS(Solieusap!H606)</f>
        <v>0.00001623</v>
      </c>
      <c r="I606" s="16">
        <f>ABS(Solieusap!I606)</f>
        <v>0.70484</v>
      </c>
      <c r="J606" s="16">
        <f>ABS(Solieusap!J606)</f>
        <v>0.31402</v>
      </c>
      <c r="K606" s="16">
        <f t="shared" si="1"/>
        <v>8.7358</v>
      </c>
      <c r="L606" s="16">
        <f t="shared" si="2"/>
        <v>0.70484</v>
      </c>
    </row>
    <row r="607" ht="16.5" customHeight="1">
      <c r="A607" s="15" t="str">
        <f>Solieusap!A607</f>
        <v>Cũ</v>
      </c>
      <c r="B607" s="15">
        <f>Solieusap!B607</f>
        <v>0</v>
      </c>
      <c r="C607" s="15" t="str">
        <f>Solieusap!C607</f>
        <v>COMB6</v>
      </c>
      <c r="D607" s="15" t="str">
        <f>Solieusap!D607</f>
        <v>Combination</v>
      </c>
      <c r="E607" s="16">
        <f>ABS(Solieusap!E607)</f>
        <v>9.0506</v>
      </c>
      <c r="F607" s="16">
        <f>ABS(Solieusap!F607)</f>
        <v>0.0287</v>
      </c>
      <c r="G607" s="16">
        <f>ABS(Solieusap!G607)</f>
        <v>0.3324</v>
      </c>
      <c r="H607" s="16">
        <f>ABS(Solieusap!H607)</f>
        <v>0.00001808</v>
      </c>
      <c r="I607" s="16">
        <f>ABS(Solieusap!I607)</f>
        <v>0.5648</v>
      </c>
      <c r="J607" s="16">
        <f>ABS(Solieusap!J607)</f>
        <v>0.04292</v>
      </c>
      <c r="K607" s="16">
        <f t="shared" si="1"/>
        <v>9.0506</v>
      </c>
      <c r="L607" s="16">
        <f t="shared" si="2"/>
        <v>0.5648</v>
      </c>
    </row>
    <row r="608" ht="16.5" customHeight="1">
      <c r="A608" s="15" t="str">
        <f>Solieusap!A608</f>
        <v>Cũ</v>
      </c>
      <c r="B608" s="15">
        <f>Solieusap!B608</f>
        <v>1.75</v>
      </c>
      <c r="C608" s="15" t="str">
        <f>Solieusap!C608</f>
        <v>COMB6</v>
      </c>
      <c r="D608" s="15" t="str">
        <f>Solieusap!D608</f>
        <v>Combination</v>
      </c>
      <c r="E608" s="16">
        <f>ABS(Solieusap!E608)</f>
        <v>8.8581</v>
      </c>
      <c r="F608" s="16">
        <f>ABS(Solieusap!F608)</f>
        <v>0.0287</v>
      </c>
      <c r="G608" s="16">
        <f>ABS(Solieusap!G608)</f>
        <v>0.3324</v>
      </c>
      <c r="H608" s="16">
        <f>ABS(Solieusap!H608)</f>
        <v>0.00001808</v>
      </c>
      <c r="I608" s="16">
        <f>ABS(Solieusap!I608)</f>
        <v>0.01695</v>
      </c>
      <c r="J608" s="16">
        <f>ABS(Solieusap!J608)</f>
        <v>0.00739</v>
      </c>
      <c r="K608" s="16">
        <f t="shared" si="1"/>
        <v>8.8581</v>
      </c>
      <c r="L608" s="16">
        <f t="shared" si="2"/>
        <v>0.01695</v>
      </c>
    </row>
    <row r="609" ht="16.5" customHeight="1">
      <c r="A609" s="15" t="str">
        <f>Solieusap!A609</f>
        <v>Cũ</v>
      </c>
      <c r="B609" s="15">
        <f>Solieusap!B609</f>
        <v>3.5</v>
      </c>
      <c r="C609" s="15" t="str">
        <f>Solieusap!C609</f>
        <v>COMB6</v>
      </c>
      <c r="D609" s="15" t="str">
        <f>Solieusap!D609</f>
        <v>Combination</v>
      </c>
      <c r="E609" s="16">
        <f>ABS(Solieusap!E609)</f>
        <v>8.6656</v>
      </c>
      <c r="F609" s="16">
        <f>ABS(Solieusap!F609)</f>
        <v>0.0287</v>
      </c>
      <c r="G609" s="16">
        <f>ABS(Solieusap!G609)</f>
        <v>0.3324</v>
      </c>
      <c r="H609" s="16">
        <f>ABS(Solieusap!H609)</f>
        <v>0.00001808</v>
      </c>
      <c r="I609" s="16">
        <f>ABS(Solieusap!I609)</f>
        <v>0.5987</v>
      </c>
      <c r="J609" s="16">
        <f>ABS(Solieusap!J609)</f>
        <v>0.05769</v>
      </c>
      <c r="K609" s="16">
        <f t="shared" si="1"/>
        <v>8.6656</v>
      </c>
      <c r="L609" s="16">
        <f t="shared" si="2"/>
        <v>0.5987</v>
      </c>
    </row>
    <row r="610" ht="16.5" customHeight="1">
      <c r="A610" s="15" t="str">
        <f>Solieusap!A610</f>
        <v>Cũ</v>
      </c>
      <c r="B610" s="15">
        <f>Solieusap!B610</f>
        <v>0</v>
      </c>
      <c r="C610" s="15" t="str">
        <f>Solieusap!C610</f>
        <v>COMB7</v>
      </c>
      <c r="D610" s="15" t="str">
        <f>Solieusap!D610</f>
        <v>Combination</v>
      </c>
      <c r="E610" s="16">
        <f>ABS(Solieusap!E610)</f>
        <v>9.0572</v>
      </c>
      <c r="F610" s="16">
        <f>ABS(Solieusap!F610)</f>
        <v>0.3909</v>
      </c>
      <c r="G610" s="16">
        <f>ABS(Solieusap!G610)</f>
        <v>0.3305</v>
      </c>
      <c r="H610" s="16">
        <f>ABS(Solieusap!H610)</f>
        <v>0.00002404</v>
      </c>
      <c r="I610" s="16">
        <f>ABS(Solieusap!I610)</f>
        <v>0.56046</v>
      </c>
      <c r="J610" s="16">
        <f>ABS(Solieusap!J610)</f>
        <v>0.68226</v>
      </c>
      <c r="K610" s="16">
        <f t="shared" si="1"/>
        <v>9.0572</v>
      </c>
      <c r="L610" s="16">
        <f t="shared" si="2"/>
        <v>0.56046</v>
      </c>
    </row>
    <row r="611" ht="16.5" customHeight="1">
      <c r="A611" s="15" t="str">
        <f>Solieusap!A611</f>
        <v>Cũ</v>
      </c>
      <c r="B611" s="15">
        <f>Solieusap!B611</f>
        <v>1.75</v>
      </c>
      <c r="C611" s="15" t="str">
        <f>Solieusap!C611</f>
        <v>COMB7</v>
      </c>
      <c r="D611" s="15" t="str">
        <f>Solieusap!D611</f>
        <v>Combination</v>
      </c>
      <c r="E611" s="16">
        <f>ABS(Solieusap!E611)</f>
        <v>8.8647</v>
      </c>
      <c r="F611" s="16">
        <f>ABS(Solieusap!F611)</f>
        <v>0.3909</v>
      </c>
      <c r="G611" s="16">
        <f>ABS(Solieusap!G611)</f>
        <v>0.3305</v>
      </c>
      <c r="H611" s="16">
        <f>ABS(Solieusap!H611)</f>
        <v>0.00002404</v>
      </c>
      <c r="I611" s="16">
        <f>ABS(Solieusap!I611)</f>
        <v>0.01787</v>
      </c>
      <c r="J611" s="16">
        <f>ABS(Solieusap!J611)</f>
        <v>0.00181</v>
      </c>
      <c r="K611" s="16">
        <f t="shared" si="1"/>
        <v>8.8647</v>
      </c>
      <c r="L611" s="16">
        <f t="shared" si="2"/>
        <v>0.01787</v>
      </c>
    </row>
    <row r="612" ht="16.5" customHeight="1">
      <c r="A612" s="15" t="str">
        <f>Solieusap!A612</f>
        <v>Cũ</v>
      </c>
      <c r="B612" s="15">
        <f>Solieusap!B612</f>
        <v>3.5</v>
      </c>
      <c r="C612" s="15" t="str">
        <f>Solieusap!C612</f>
        <v>COMB7</v>
      </c>
      <c r="D612" s="15" t="str">
        <f>Solieusap!D612</f>
        <v>Combination</v>
      </c>
      <c r="E612" s="16">
        <f>ABS(Solieusap!E612)</f>
        <v>8.6722</v>
      </c>
      <c r="F612" s="16">
        <f>ABS(Solieusap!F612)</f>
        <v>0.3909</v>
      </c>
      <c r="G612" s="16">
        <f>ABS(Solieusap!G612)</f>
        <v>0.3305</v>
      </c>
      <c r="H612" s="16">
        <f>ABS(Solieusap!H612)</f>
        <v>0.00002404</v>
      </c>
      <c r="I612" s="16">
        <f>ABS(Solieusap!I612)</f>
        <v>0.5962</v>
      </c>
      <c r="J612" s="16">
        <f>ABS(Solieusap!J612)</f>
        <v>0.68588</v>
      </c>
      <c r="K612" s="16">
        <f t="shared" si="1"/>
        <v>8.6722</v>
      </c>
      <c r="L612" s="16">
        <f t="shared" si="2"/>
        <v>0.5962</v>
      </c>
    </row>
    <row r="613" ht="16.5" customHeight="1">
      <c r="A613" s="15" t="str">
        <f>Solieusap!A613</f>
        <v>Cũ</v>
      </c>
      <c r="B613" s="15">
        <f>Solieusap!B613</f>
        <v>0</v>
      </c>
      <c r="C613" s="15" t="str">
        <f>Solieusap!C613</f>
        <v>COMB1</v>
      </c>
      <c r="D613" s="15" t="str">
        <f>Solieusap!D613</f>
        <v>Combination</v>
      </c>
      <c r="E613" s="16">
        <f>ABS(Solieusap!E613)</f>
        <v>2.9937</v>
      </c>
      <c r="F613" s="16">
        <f>ABS(Solieusap!F613)</f>
        <v>0.1555</v>
      </c>
      <c r="G613" s="16">
        <f>ABS(Solieusap!G613)</f>
        <v>0.224</v>
      </c>
      <c r="H613" s="16">
        <f>ABS(Solieusap!H613)</f>
        <v>0.000058</v>
      </c>
      <c r="I613" s="16">
        <f>ABS(Solieusap!I613)</f>
        <v>0.39565</v>
      </c>
      <c r="J613" s="16">
        <f>ABS(Solieusap!J613)</f>
        <v>0.26636</v>
      </c>
      <c r="K613" s="16">
        <f t="shared" si="1"/>
        <v>2.9937</v>
      </c>
      <c r="L613" s="16">
        <f t="shared" si="2"/>
        <v>0.39565</v>
      </c>
    </row>
    <row r="614" ht="16.5" customHeight="1">
      <c r="A614" s="15" t="str">
        <f>Solieusap!A614</f>
        <v>Cũ</v>
      </c>
      <c r="B614" s="15">
        <f>Solieusap!B614</f>
        <v>1.75</v>
      </c>
      <c r="C614" s="15" t="str">
        <f>Solieusap!C614</f>
        <v>COMB1</v>
      </c>
      <c r="D614" s="15" t="str">
        <f>Solieusap!D614</f>
        <v>Combination</v>
      </c>
      <c r="E614" s="16">
        <f>ABS(Solieusap!E614)</f>
        <v>2.8012</v>
      </c>
      <c r="F614" s="16">
        <f>ABS(Solieusap!F614)</f>
        <v>0.1555</v>
      </c>
      <c r="G614" s="16">
        <f>ABS(Solieusap!G614)</f>
        <v>0.224</v>
      </c>
      <c r="H614" s="16">
        <f>ABS(Solieusap!H614)</f>
        <v>0.000058</v>
      </c>
      <c r="I614" s="16">
        <f>ABS(Solieusap!I614)</f>
        <v>0.00367</v>
      </c>
      <c r="J614" s="16">
        <f>ABS(Solieusap!J614)</f>
        <v>0.00569</v>
      </c>
      <c r="K614" s="16">
        <f t="shared" si="1"/>
        <v>2.8012</v>
      </c>
      <c r="L614" s="16">
        <f t="shared" si="2"/>
        <v>0.00367</v>
      </c>
    </row>
    <row r="615" ht="16.5" customHeight="1">
      <c r="A615" s="15" t="str">
        <f>Solieusap!A615</f>
        <v>Cũ</v>
      </c>
      <c r="B615" s="15">
        <f>Solieusap!B615</f>
        <v>3.5</v>
      </c>
      <c r="C615" s="15" t="str">
        <f>Solieusap!C615</f>
        <v>COMB1</v>
      </c>
      <c r="D615" s="15" t="str">
        <f>Solieusap!D615</f>
        <v>Combination</v>
      </c>
      <c r="E615" s="16">
        <f>ABS(Solieusap!E615)</f>
        <v>2.6087</v>
      </c>
      <c r="F615" s="16">
        <f>ABS(Solieusap!F615)</f>
        <v>0.1555</v>
      </c>
      <c r="G615" s="16">
        <f>ABS(Solieusap!G615)</f>
        <v>0.224</v>
      </c>
      <c r="H615" s="16">
        <f>ABS(Solieusap!H615)</f>
        <v>0.000058</v>
      </c>
      <c r="I615" s="16">
        <f>ABS(Solieusap!I615)</f>
        <v>0.3883</v>
      </c>
      <c r="J615" s="16">
        <f>ABS(Solieusap!J615)</f>
        <v>0.27774</v>
      </c>
      <c r="K615" s="16">
        <f t="shared" si="1"/>
        <v>2.6087</v>
      </c>
      <c r="L615" s="16">
        <f t="shared" si="2"/>
        <v>0.3883</v>
      </c>
    </row>
    <row r="616" ht="16.5" customHeight="1">
      <c r="A616" s="15" t="str">
        <f>Solieusap!A616</f>
        <v>Cũ</v>
      </c>
      <c r="B616" s="15">
        <f>Solieusap!B616</f>
        <v>0</v>
      </c>
      <c r="C616" s="15" t="str">
        <f>Solieusap!C616</f>
        <v>COMB2</v>
      </c>
      <c r="D616" s="15" t="str">
        <f>Solieusap!D616</f>
        <v>Combination</v>
      </c>
      <c r="E616" s="16">
        <f>ABS(Solieusap!E616)</f>
        <v>2.3747</v>
      </c>
      <c r="F616" s="16">
        <f>ABS(Solieusap!F616)</f>
        <v>0.5296</v>
      </c>
      <c r="G616" s="16">
        <f>ABS(Solieusap!G616)</f>
        <v>0.1493</v>
      </c>
      <c r="H616" s="16">
        <f>ABS(Solieusap!H616)</f>
        <v>0.00002071</v>
      </c>
      <c r="I616" s="16">
        <f>ABS(Solieusap!I616)</f>
        <v>0.27064</v>
      </c>
      <c r="J616" s="16">
        <f>ABS(Solieusap!J616)</f>
        <v>0.57781</v>
      </c>
      <c r="K616" s="16">
        <f t="shared" si="1"/>
        <v>2.3747</v>
      </c>
      <c r="L616" s="16">
        <f t="shared" si="2"/>
        <v>0.27064</v>
      </c>
    </row>
    <row r="617" ht="16.5" customHeight="1">
      <c r="A617" s="15" t="str">
        <f>Solieusap!A617</f>
        <v>Cũ</v>
      </c>
      <c r="B617" s="15">
        <f>Solieusap!B617</f>
        <v>1.75</v>
      </c>
      <c r="C617" s="15" t="str">
        <f>Solieusap!C617</f>
        <v>COMB2</v>
      </c>
      <c r="D617" s="15" t="str">
        <f>Solieusap!D617</f>
        <v>Combination</v>
      </c>
      <c r="E617" s="16">
        <f>ABS(Solieusap!E617)</f>
        <v>2.1822</v>
      </c>
      <c r="F617" s="16">
        <f>ABS(Solieusap!F617)</f>
        <v>0.2671</v>
      </c>
      <c r="G617" s="16">
        <f>ABS(Solieusap!G617)</f>
        <v>0.1493</v>
      </c>
      <c r="H617" s="16">
        <f>ABS(Solieusap!H617)</f>
        <v>0.00002071</v>
      </c>
      <c r="I617" s="16">
        <f>ABS(Solieusap!I617)</f>
        <v>0.00941</v>
      </c>
      <c r="J617" s="16">
        <f>ABS(Solieusap!J617)</f>
        <v>0.11932</v>
      </c>
      <c r="K617" s="16">
        <f t="shared" si="1"/>
        <v>2.1822</v>
      </c>
      <c r="L617" s="16">
        <f t="shared" si="2"/>
        <v>0.00941</v>
      </c>
    </row>
    <row r="618" ht="16.5" customHeight="1">
      <c r="A618" s="15" t="str">
        <f>Solieusap!A618</f>
        <v>Cũ</v>
      </c>
      <c r="B618" s="15">
        <f>Solieusap!B618</f>
        <v>3.5</v>
      </c>
      <c r="C618" s="15" t="str">
        <f>Solieusap!C618</f>
        <v>COMB2</v>
      </c>
      <c r="D618" s="15" t="str">
        <f>Solieusap!D618</f>
        <v>Combination</v>
      </c>
      <c r="E618" s="16">
        <f>ABS(Solieusap!E618)</f>
        <v>1.9897</v>
      </c>
      <c r="F618" s="16">
        <f>ABS(Solieusap!F618)</f>
        <v>0.0046</v>
      </c>
      <c r="G618" s="16">
        <f>ABS(Solieusap!G618)</f>
        <v>0.1493</v>
      </c>
      <c r="H618" s="16">
        <f>ABS(Solieusap!H618)</f>
        <v>0.00002071</v>
      </c>
      <c r="I618" s="16">
        <f>ABS(Solieusap!I618)</f>
        <v>0.25181</v>
      </c>
      <c r="J618" s="16">
        <f>ABS(Solieusap!J618)</f>
        <v>0.35707</v>
      </c>
      <c r="K618" s="16">
        <f t="shared" si="1"/>
        <v>1.9897</v>
      </c>
      <c r="L618" s="16">
        <f t="shared" si="2"/>
        <v>0.25181</v>
      </c>
    </row>
    <row r="619" ht="16.5" customHeight="1">
      <c r="A619" s="15" t="str">
        <f>Solieusap!A619</f>
        <v>Cũ</v>
      </c>
      <c r="B619" s="15">
        <f>Solieusap!B619</f>
        <v>0</v>
      </c>
      <c r="C619" s="15" t="str">
        <f>Solieusap!C619</f>
        <v>COMB3</v>
      </c>
      <c r="D619" s="15" t="str">
        <f>Solieusap!D619</f>
        <v>Combination</v>
      </c>
      <c r="E619" s="16">
        <f>ABS(Solieusap!E619)</f>
        <v>2.2242</v>
      </c>
      <c r="F619" s="16">
        <f>ABS(Solieusap!F619)</f>
        <v>0.4168</v>
      </c>
      <c r="G619" s="16">
        <f>ABS(Solieusap!G619)</f>
        <v>0.1449</v>
      </c>
      <c r="H619" s="16">
        <f>ABS(Solieusap!H619)</f>
        <v>0.0001</v>
      </c>
      <c r="I619" s="16">
        <f>ABS(Solieusap!I619)</f>
        <v>0.26088</v>
      </c>
      <c r="J619" s="16">
        <f>ABS(Solieusap!J619)</f>
        <v>0.2783</v>
      </c>
      <c r="K619" s="16">
        <f t="shared" si="1"/>
        <v>2.2242</v>
      </c>
      <c r="L619" s="16">
        <f t="shared" si="2"/>
        <v>0.26088</v>
      </c>
    </row>
    <row r="620" ht="16.5" customHeight="1">
      <c r="A620" s="15" t="str">
        <f>Solieusap!A620</f>
        <v>Cũ</v>
      </c>
      <c r="B620" s="15">
        <f>Solieusap!B620</f>
        <v>1.75</v>
      </c>
      <c r="C620" s="15" t="str">
        <f>Solieusap!C620</f>
        <v>COMB3</v>
      </c>
      <c r="D620" s="15" t="str">
        <f>Solieusap!D620</f>
        <v>Combination</v>
      </c>
      <c r="E620" s="16">
        <f>ABS(Solieusap!E620)</f>
        <v>2.0317</v>
      </c>
      <c r="F620" s="16">
        <f>ABS(Solieusap!F620)</f>
        <v>0.0668</v>
      </c>
      <c r="G620" s="16">
        <f>ABS(Solieusap!G620)</f>
        <v>0.1449</v>
      </c>
      <c r="H620" s="16">
        <f>ABS(Solieusap!H620)</f>
        <v>0.0001</v>
      </c>
      <c r="I620" s="16">
        <f>ABS(Solieusap!I620)</f>
        <v>0.00726</v>
      </c>
      <c r="J620" s="16">
        <f>ABS(Solieusap!J620)</f>
        <v>0.14492</v>
      </c>
      <c r="K620" s="16">
        <f t="shared" si="1"/>
        <v>2.0317</v>
      </c>
      <c r="L620" s="16">
        <f t="shared" si="2"/>
        <v>0.00726</v>
      </c>
    </row>
    <row r="621" ht="16.5" customHeight="1">
      <c r="A621" s="15" t="str">
        <f>Solieusap!A621</f>
        <v>Cũ</v>
      </c>
      <c r="B621" s="15">
        <f>Solieusap!B621</f>
        <v>3.5</v>
      </c>
      <c r="C621" s="15" t="str">
        <f>Solieusap!C621</f>
        <v>COMB3</v>
      </c>
      <c r="D621" s="15" t="str">
        <f>Solieusap!D621</f>
        <v>Combination</v>
      </c>
      <c r="E621" s="16">
        <f>ABS(Solieusap!E621)</f>
        <v>1.8392</v>
      </c>
      <c r="F621" s="16">
        <f>ABS(Solieusap!F621)</f>
        <v>0.2832</v>
      </c>
      <c r="G621" s="16">
        <f>ABS(Solieusap!G621)</f>
        <v>0.1449</v>
      </c>
      <c r="H621" s="16">
        <f>ABS(Solieusap!H621)</f>
        <v>0.0001</v>
      </c>
      <c r="I621" s="16">
        <f>ABS(Solieusap!I621)</f>
        <v>0.24635</v>
      </c>
      <c r="J621" s="16">
        <f>ABS(Solieusap!J621)</f>
        <v>0.04436</v>
      </c>
      <c r="K621" s="16">
        <f t="shared" si="1"/>
        <v>1.8392</v>
      </c>
      <c r="L621" s="16">
        <f t="shared" si="2"/>
        <v>0.24635</v>
      </c>
    </row>
    <row r="622" ht="16.5" customHeight="1">
      <c r="A622" s="15" t="str">
        <f>Solieusap!A622</f>
        <v>Cũ</v>
      </c>
      <c r="B622" s="15">
        <f>Solieusap!B622</f>
        <v>0</v>
      </c>
      <c r="C622" s="15" t="str">
        <f>Solieusap!C622</f>
        <v>COMB4</v>
      </c>
      <c r="D622" s="15" t="str">
        <f>Solieusap!D622</f>
        <v>Combination</v>
      </c>
      <c r="E622" s="16">
        <f>ABS(Solieusap!E622)</f>
        <v>2.3504</v>
      </c>
      <c r="F622" s="16">
        <f>ABS(Solieusap!F622)</f>
        <v>0.1032</v>
      </c>
      <c r="G622" s="16">
        <f>ABS(Solieusap!G622)</f>
        <v>0.543</v>
      </c>
      <c r="H622" s="16">
        <f>ABS(Solieusap!H622)</f>
        <v>0.00005023</v>
      </c>
      <c r="I622" s="16">
        <f>ABS(Solieusap!I622)</f>
        <v>0.6198</v>
      </c>
      <c r="J622" s="16">
        <f>ABS(Solieusap!J622)</f>
        <v>0.1811</v>
      </c>
      <c r="K622" s="16">
        <f t="shared" si="1"/>
        <v>2.3504</v>
      </c>
      <c r="L622" s="16">
        <f t="shared" si="2"/>
        <v>0.6198</v>
      </c>
    </row>
    <row r="623" ht="16.5" customHeight="1">
      <c r="A623" s="15" t="str">
        <f>Solieusap!A623</f>
        <v>Cũ</v>
      </c>
      <c r="B623" s="15">
        <f>Solieusap!B623</f>
        <v>1.75</v>
      </c>
      <c r="C623" s="15" t="str">
        <f>Solieusap!C623</f>
        <v>COMB4</v>
      </c>
      <c r="D623" s="15" t="str">
        <f>Solieusap!D623</f>
        <v>Combination</v>
      </c>
      <c r="E623" s="16">
        <f>ABS(Solieusap!E623)</f>
        <v>2.1579</v>
      </c>
      <c r="F623" s="16">
        <f>ABS(Solieusap!F623)</f>
        <v>0.1032</v>
      </c>
      <c r="G623" s="16">
        <f>ABS(Solieusap!G623)</f>
        <v>0.2805</v>
      </c>
      <c r="H623" s="16">
        <f>ABS(Solieusap!H623)</f>
        <v>0.00005023</v>
      </c>
      <c r="I623" s="16">
        <f>ABS(Solieusap!I623)</f>
        <v>0.10072</v>
      </c>
      <c r="J623" s="16">
        <f>ABS(Solieusap!J623)</f>
        <v>0.0005</v>
      </c>
      <c r="K623" s="16">
        <f t="shared" si="1"/>
        <v>2.1579</v>
      </c>
      <c r="L623" s="16">
        <f t="shared" si="2"/>
        <v>0.10072</v>
      </c>
    </row>
    <row r="624" ht="16.5" customHeight="1">
      <c r="A624" s="15" t="str">
        <f>Solieusap!A624</f>
        <v>Cũ</v>
      </c>
      <c r="B624" s="15">
        <f>Solieusap!B624</f>
        <v>3.5</v>
      </c>
      <c r="C624" s="15" t="str">
        <f>Solieusap!C624</f>
        <v>COMB4</v>
      </c>
      <c r="D624" s="15" t="str">
        <f>Solieusap!D624</f>
        <v>Combination</v>
      </c>
      <c r="E624" s="16">
        <f>ABS(Solieusap!E624)</f>
        <v>1.9654</v>
      </c>
      <c r="F624" s="16">
        <f>ABS(Solieusap!F624)</f>
        <v>0.1032</v>
      </c>
      <c r="G624" s="16">
        <f>ABS(Solieusap!G624)</f>
        <v>0.018</v>
      </c>
      <c r="H624" s="16">
        <f>ABS(Solieusap!H624)</f>
        <v>0.00005023</v>
      </c>
      <c r="I624" s="16">
        <f>ABS(Solieusap!I624)</f>
        <v>0.36187</v>
      </c>
      <c r="J624" s="16">
        <f>ABS(Solieusap!J624)</f>
        <v>0.1801</v>
      </c>
      <c r="K624" s="16">
        <f t="shared" si="1"/>
        <v>1.9654</v>
      </c>
      <c r="L624" s="16">
        <f t="shared" si="2"/>
        <v>0.36187</v>
      </c>
    </row>
    <row r="625" ht="16.5" customHeight="1">
      <c r="A625" s="15" t="str">
        <f>Solieusap!A625</f>
        <v>Cũ</v>
      </c>
      <c r="B625" s="15">
        <f>Solieusap!B625</f>
        <v>0</v>
      </c>
      <c r="C625" s="15" t="str">
        <f>Solieusap!C625</f>
        <v>COMB5</v>
      </c>
      <c r="D625" s="15" t="str">
        <f>Solieusap!D625</f>
        <v>Combination</v>
      </c>
      <c r="E625" s="16">
        <f>ABS(Solieusap!E625)</f>
        <v>2.9763</v>
      </c>
      <c r="F625" s="16">
        <f>ABS(Solieusap!F625)</f>
        <v>0.1511</v>
      </c>
      <c r="G625" s="16">
        <f>ABS(Solieusap!G625)</f>
        <v>0.5726</v>
      </c>
      <c r="H625" s="16">
        <f>ABS(Solieusap!H625)</f>
        <v>0.00006635</v>
      </c>
      <c r="I625" s="16">
        <f>ABS(Solieusap!I625)</f>
        <v>0.70135</v>
      </c>
      <c r="J625" s="16">
        <f>ABS(Solieusap!J625)</f>
        <v>0.2599</v>
      </c>
      <c r="K625" s="16">
        <f t="shared" si="1"/>
        <v>2.9763</v>
      </c>
      <c r="L625" s="16">
        <f t="shared" si="2"/>
        <v>0.70135</v>
      </c>
    </row>
    <row r="626" ht="16.5" customHeight="1">
      <c r="A626" s="15" t="str">
        <f>Solieusap!A626</f>
        <v>Cũ</v>
      </c>
      <c r="B626" s="15">
        <f>Solieusap!B626</f>
        <v>1.75</v>
      </c>
      <c r="C626" s="15" t="str">
        <f>Solieusap!C626</f>
        <v>COMB5</v>
      </c>
      <c r="D626" s="15" t="str">
        <f>Solieusap!D626</f>
        <v>Combination</v>
      </c>
      <c r="E626" s="16">
        <f>ABS(Solieusap!E626)</f>
        <v>2.7838</v>
      </c>
      <c r="F626" s="16">
        <f>ABS(Solieusap!F626)</f>
        <v>0.1511</v>
      </c>
      <c r="G626" s="16">
        <f>ABS(Solieusap!G626)</f>
        <v>0.3364</v>
      </c>
      <c r="H626" s="16">
        <f>ABS(Solieusap!H626)</f>
        <v>0.00006635</v>
      </c>
      <c r="I626" s="16">
        <f>ABS(Solieusap!I626)</f>
        <v>0.09402</v>
      </c>
      <c r="J626" s="16">
        <f>ABS(Solieusap!J626)</f>
        <v>0.00458</v>
      </c>
      <c r="K626" s="16">
        <f t="shared" si="1"/>
        <v>2.7838</v>
      </c>
      <c r="L626" s="16">
        <f t="shared" si="2"/>
        <v>0.09402</v>
      </c>
    </row>
    <row r="627" ht="16.5" customHeight="1">
      <c r="A627" s="15" t="str">
        <f>Solieusap!A627</f>
        <v>Cũ</v>
      </c>
      <c r="B627" s="15">
        <f>Solieusap!B627</f>
        <v>3.5</v>
      </c>
      <c r="C627" s="15" t="str">
        <f>Solieusap!C627</f>
        <v>COMB5</v>
      </c>
      <c r="D627" s="15" t="str">
        <f>Solieusap!D627</f>
        <v>Combination</v>
      </c>
      <c r="E627" s="16">
        <f>ABS(Solieusap!E627)</f>
        <v>2.5913</v>
      </c>
      <c r="F627" s="16">
        <f>ABS(Solieusap!F627)</f>
        <v>0.1511</v>
      </c>
      <c r="G627" s="16">
        <f>ABS(Solieusap!G627)</f>
        <v>0.1001</v>
      </c>
      <c r="H627" s="16">
        <f>ABS(Solieusap!H627)</f>
        <v>0.00006635</v>
      </c>
      <c r="I627" s="16">
        <f>ABS(Solieusap!I627)</f>
        <v>0.47595</v>
      </c>
      <c r="J627" s="16">
        <f>ABS(Solieusap!J627)</f>
        <v>0.26906</v>
      </c>
      <c r="K627" s="16">
        <f t="shared" si="1"/>
        <v>2.5913</v>
      </c>
      <c r="L627" s="16">
        <f t="shared" si="2"/>
        <v>0.47595</v>
      </c>
    </row>
    <row r="628" ht="16.5" customHeight="1">
      <c r="A628" s="15" t="str">
        <f>Solieusap!A628</f>
        <v>Cũ</v>
      </c>
      <c r="B628" s="15">
        <f>Solieusap!B628</f>
        <v>0</v>
      </c>
      <c r="C628" s="15" t="str">
        <f>Solieusap!C628</f>
        <v>COMB6</v>
      </c>
      <c r="D628" s="15" t="str">
        <f>Solieusap!D628</f>
        <v>Combination</v>
      </c>
      <c r="E628" s="16">
        <f>ABS(Solieusap!E628)</f>
        <v>2.8627</v>
      </c>
      <c r="F628" s="16">
        <f>ABS(Solieusap!F628)</f>
        <v>0.3169</v>
      </c>
      <c r="G628" s="16">
        <f>ABS(Solieusap!G628)</f>
        <v>0.2144</v>
      </c>
      <c r="H628" s="16">
        <f>ABS(Solieusap!H628)</f>
        <v>0.00011</v>
      </c>
      <c r="I628" s="16">
        <f>ABS(Solieusap!I628)</f>
        <v>0.37832</v>
      </c>
      <c r="J628" s="16">
        <f>ABS(Solieusap!J628)</f>
        <v>0.15355</v>
      </c>
      <c r="K628" s="16">
        <f t="shared" si="1"/>
        <v>2.8627</v>
      </c>
      <c r="L628" s="16">
        <f t="shared" si="2"/>
        <v>0.37832</v>
      </c>
    </row>
    <row r="629" ht="16.5" customHeight="1">
      <c r="A629" s="15" t="str">
        <f>Solieusap!A629</f>
        <v>Cũ</v>
      </c>
      <c r="B629" s="15">
        <f>Solieusap!B629</f>
        <v>1.75</v>
      </c>
      <c r="C629" s="15" t="str">
        <f>Solieusap!C629</f>
        <v>COMB6</v>
      </c>
      <c r="D629" s="15" t="str">
        <f>Solieusap!D629</f>
        <v>Combination</v>
      </c>
      <c r="E629" s="16">
        <f>ABS(Solieusap!E629)</f>
        <v>2.6702</v>
      </c>
      <c r="F629" s="16">
        <f>ABS(Solieusap!F629)</f>
        <v>0.0019</v>
      </c>
      <c r="G629" s="16">
        <f>ABS(Solieusap!G629)</f>
        <v>0.2144</v>
      </c>
      <c r="H629" s="16">
        <f>ABS(Solieusap!H629)</f>
        <v>0.00011</v>
      </c>
      <c r="I629" s="16">
        <f>ABS(Solieusap!I629)</f>
        <v>0.00317</v>
      </c>
      <c r="J629" s="16">
        <f>ABS(Solieusap!J629)</f>
        <v>0.1254</v>
      </c>
      <c r="K629" s="16">
        <f t="shared" si="1"/>
        <v>2.6702</v>
      </c>
      <c r="L629" s="16">
        <f t="shared" si="2"/>
        <v>0.00317</v>
      </c>
    </row>
    <row r="630" ht="16.5" customHeight="1">
      <c r="A630" s="15" t="str">
        <f>Solieusap!A630</f>
        <v>Cũ</v>
      </c>
      <c r="B630" s="15">
        <f>Solieusap!B630</f>
        <v>3.5</v>
      </c>
      <c r="C630" s="15" t="str">
        <f>Solieusap!C630</f>
        <v>COMB6</v>
      </c>
      <c r="D630" s="15" t="str">
        <f>Solieusap!D630</f>
        <v>Combination</v>
      </c>
      <c r="E630" s="16">
        <f>ABS(Solieusap!E630)</f>
        <v>2.4777</v>
      </c>
      <c r="F630" s="16">
        <f>ABS(Solieusap!F630)</f>
        <v>0.3131</v>
      </c>
      <c r="G630" s="16">
        <f>ABS(Solieusap!G630)</f>
        <v>0.2144</v>
      </c>
      <c r="H630" s="16">
        <f>ABS(Solieusap!H630)</f>
        <v>0.00011</v>
      </c>
      <c r="I630" s="16">
        <f>ABS(Solieusap!I630)</f>
        <v>0.37198</v>
      </c>
      <c r="J630" s="16">
        <f>ABS(Solieusap!J630)</f>
        <v>0.1469</v>
      </c>
      <c r="K630" s="16">
        <f t="shared" si="1"/>
        <v>2.4777</v>
      </c>
      <c r="L630" s="16">
        <f t="shared" si="2"/>
        <v>0.37198</v>
      </c>
    </row>
    <row r="631" ht="16.5" customHeight="1">
      <c r="A631" s="15" t="str">
        <f>Solieusap!A631</f>
        <v>Cũ</v>
      </c>
      <c r="B631" s="15">
        <f>Solieusap!B631</f>
        <v>0</v>
      </c>
      <c r="C631" s="15" t="str">
        <f>Solieusap!C631</f>
        <v>COMB7</v>
      </c>
      <c r="D631" s="15" t="str">
        <f>Solieusap!D631</f>
        <v>Combination</v>
      </c>
      <c r="E631" s="16">
        <f>ABS(Solieusap!E631)</f>
        <v>2.9982</v>
      </c>
      <c r="F631" s="16">
        <f>ABS(Solieusap!F631)</f>
        <v>0.5349</v>
      </c>
      <c r="G631" s="16">
        <f>ABS(Solieusap!G631)</f>
        <v>0.2183</v>
      </c>
      <c r="H631" s="16">
        <f>ABS(Solieusap!H631)</f>
        <v>0.00003978</v>
      </c>
      <c r="I631" s="16">
        <f>ABS(Solieusap!I631)</f>
        <v>0.3871</v>
      </c>
      <c r="J631" s="16">
        <f>ABS(Solieusap!J631)</f>
        <v>0.61695</v>
      </c>
      <c r="K631" s="16">
        <f t="shared" si="1"/>
        <v>2.9982</v>
      </c>
      <c r="L631" s="16">
        <f t="shared" si="2"/>
        <v>0.3871</v>
      </c>
    </row>
    <row r="632" ht="16.5" customHeight="1">
      <c r="A632" s="15" t="str">
        <f>Solieusap!A632</f>
        <v>Cũ</v>
      </c>
      <c r="B632" s="15">
        <f>Solieusap!B632</f>
        <v>1.75</v>
      </c>
      <c r="C632" s="15" t="str">
        <f>Solieusap!C632</f>
        <v>COMB7</v>
      </c>
      <c r="D632" s="15" t="str">
        <f>Solieusap!D632</f>
        <v>Combination</v>
      </c>
      <c r="E632" s="16">
        <f>ABS(Solieusap!E632)</f>
        <v>2.8057</v>
      </c>
      <c r="F632" s="16">
        <f>ABS(Solieusap!F632)</f>
        <v>0.2987</v>
      </c>
      <c r="G632" s="16">
        <f>ABS(Solieusap!G632)</f>
        <v>0.2183</v>
      </c>
      <c r="H632" s="16">
        <f>ABS(Solieusap!H632)</f>
        <v>0.00003978</v>
      </c>
      <c r="I632" s="16">
        <f>ABS(Solieusap!I632)</f>
        <v>0.0051</v>
      </c>
      <c r="J632" s="16">
        <f>ABS(Solieusap!J632)</f>
        <v>0.11241</v>
      </c>
      <c r="K632" s="16">
        <f t="shared" si="1"/>
        <v>2.8057</v>
      </c>
      <c r="L632" s="16">
        <f t="shared" si="2"/>
        <v>0.0051</v>
      </c>
    </row>
    <row r="633" ht="16.5" customHeight="1">
      <c r="A633" s="15" t="str">
        <f>Solieusap!A633</f>
        <v>Cũ</v>
      </c>
      <c r="B633" s="15">
        <f>Solieusap!B633</f>
        <v>3.5</v>
      </c>
      <c r="C633" s="15" t="str">
        <f>Solieusap!C633</f>
        <v>COMB7</v>
      </c>
      <c r="D633" s="15" t="str">
        <f>Solieusap!D633</f>
        <v>Combination</v>
      </c>
      <c r="E633" s="16">
        <f>ABS(Solieusap!E633)</f>
        <v>2.6132</v>
      </c>
      <c r="F633" s="16">
        <f>ABS(Solieusap!F633)</f>
        <v>0.0624</v>
      </c>
      <c r="G633" s="16">
        <f>ABS(Solieusap!G633)</f>
        <v>0.2183</v>
      </c>
      <c r="H633" s="16">
        <f>ABS(Solieusap!H633)</f>
        <v>0.00003978</v>
      </c>
      <c r="I633" s="16">
        <f>ABS(Solieusap!I633)</f>
        <v>0.3769</v>
      </c>
      <c r="J633" s="16">
        <f>ABS(Solieusap!J633)</f>
        <v>0.42834</v>
      </c>
      <c r="K633" s="16">
        <f t="shared" si="1"/>
        <v>2.6132</v>
      </c>
      <c r="L633" s="16">
        <f t="shared" si="2"/>
        <v>0.3769</v>
      </c>
    </row>
    <row r="634" ht="16.5" customHeight="1">
      <c r="A634" s="15" t="str">
        <f>Solieusap!A634</f>
        <v>Cũ</v>
      </c>
      <c r="B634" s="15">
        <f>Solieusap!B634</f>
        <v>0</v>
      </c>
      <c r="C634" s="15" t="str">
        <f>Solieusap!C634</f>
        <v>COMB1</v>
      </c>
      <c r="D634" s="15" t="str">
        <f>Solieusap!D634</f>
        <v>Combination</v>
      </c>
      <c r="E634" s="16">
        <f>ABS(Solieusap!E634)</f>
        <v>2.9937</v>
      </c>
      <c r="F634" s="16">
        <f>ABS(Solieusap!F634)</f>
        <v>0.1555</v>
      </c>
      <c r="G634" s="16">
        <f>ABS(Solieusap!G634)</f>
        <v>0.224</v>
      </c>
      <c r="H634" s="16">
        <f>ABS(Solieusap!H634)</f>
        <v>0.000058</v>
      </c>
      <c r="I634" s="16">
        <f>ABS(Solieusap!I634)</f>
        <v>0.39565</v>
      </c>
      <c r="J634" s="16">
        <f>ABS(Solieusap!J634)</f>
        <v>0.26636</v>
      </c>
      <c r="K634" s="16">
        <f t="shared" si="1"/>
        <v>2.9937</v>
      </c>
      <c r="L634" s="16">
        <f t="shared" si="2"/>
        <v>0.39565</v>
      </c>
    </row>
    <row r="635" ht="16.5" customHeight="1">
      <c r="A635" s="15" t="str">
        <f>Solieusap!A635</f>
        <v>Cũ</v>
      </c>
      <c r="B635" s="15">
        <f>Solieusap!B635</f>
        <v>1.75</v>
      </c>
      <c r="C635" s="15" t="str">
        <f>Solieusap!C635</f>
        <v>COMB1</v>
      </c>
      <c r="D635" s="15" t="str">
        <f>Solieusap!D635</f>
        <v>Combination</v>
      </c>
      <c r="E635" s="16">
        <f>ABS(Solieusap!E635)</f>
        <v>2.8012</v>
      </c>
      <c r="F635" s="16">
        <f>ABS(Solieusap!F635)</f>
        <v>0.1555</v>
      </c>
      <c r="G635" s="16">
        <f>ABS(Solieusap!G635)</f>
        <v>0.224</v>
      </c>
      <c r="H635" s="16">
        <f>ABS(Solieusap!H635)</f>
        <v>0.000058</v>
      </c>
      <c r="I635" s="16">
        <f>ABS(Solieusap!I635)</f>
        <v>0.00367</v>
      </c>
      <c r="J635" s="16">
        <f>ABS(Solieusap!J635)</f>
        <v>0.00569</v>
      </c>
      <c r="K635" s="16">
        <f t="shared" si="1"/>
        <v>2.8012</v>
      </c>
      <c r="L635" s="16">
        <f t="shared" si="2"/>
        <v>0.00367</v>
      </c>
    </row>
    <row r="636" ht="16.5" customHeight="1">
      <c r="A636" s="15" t="str">
        <f>Solieusap!A636</f>
        <v>Cũ</v>
      </c>
      <c r="B636" s="15">
        <f>Solieusap!B636</f>
        <v>3.5</v>
      </c>
      <c r="C636" s="15" t="str">
        <f>Solieusap!C636</f>
        <v>COMB1</v>
      </c>
      <c r="D636" s="15" t="str">
        <f>Solieusap!D636</f>
        <v>Combination</v>
      </c>
      <c r="E636" s="16">
        <f>ABS(Solieusap!E636)</f>
        <v>2.6087</v>
      </c>
      <c r="F636" s="16">
        <f>ABS(Solieusap!F636)</f>
        <v>0.1555</v>
      </c>
      <c r="G636" s="16">
        <f>ABS(Solieusap!G636)</f>
        <v>0.224</v>
      </c>
      <c r="H636" s="16">
        <f>ABS(Solieusap!H636)</f>
        <v>0.000058</v>
      </c>
      <c r="I636" s="16">
        <f>ABS(Solieusap!I636)</f>
        <v>0.3883</v>
      </c>
      <c r="J636" s="16">
        <f>ABS(Solieusap!J636)</f>
        <v>0.27774</v>
      </c>
      <c r="K636" s="16">
        <f t="shared" si="1"/>
        <v>2.6087</v>
      </c>
      <c r="L636" s="16">
        <f t="shared" si="2"/>
        <v>0.3883</v>
      </c>
    </row>
    <row r="637" ht="16.5" customHeight="1">
      <c r="A637" s="15" t="str">
        <f>Solieusap!A637</f>
        <v>Cũ</v>
      </c>
      <c r="B637" s="15">
        <f>Solieusap!B637</f>
        <v>0</v>
      </c>
      <c r="C637" s="15" t="str">
        <f>Solieusap!C637</f>
        <v>COMB2</v>
      </c>
      <c r="D637" s="15" t="str">
        <f>Solieusap!D637</f>
        <v>Combination</v>
      </c>
      <c r="E637" s="16">
        <f>ABS(Solieusap!E637)</f>
        <v>2.3747</v>
      </c>
      <c r="F637" s="16">
        <f>ABS(Solieusap!F637)</f>
        <v>0.5296</v>
      </c>
      <c r="G637" s="16">
        <f>ABS(Solieusap!G637)</f>
        <v>0.1493</v>
      </c>
      <c r="H637" s="16">
        <f>ABS(Solieusap!H637)</f>
        <v>0.00002071</v>
      </c>
      <c r="I637" s="16">
        <f>ABS(Solieusap!I637)</f>
        <v>0.27064</v>
      </c>
      <c r="J637" s="16">
        <f>ABS(Solieusap!J637)</f>
        <v>0.57781</v>
      </c>
      <c r="K637" s="16">
        <f t="shared" si="1"/>
        <v>2.3747</v>
      </c>
      <c r="L637" s="16">
        <f t="shared" si="2"/>
        <v>0.27064</v>
      </c>
    </row>
    <row r="638" ht="16.5" customHeight="1">
      <c r="A638" s="15" t="str">
        <f>Solieusap!A638</f>
        <v>Cũ</v>
      </c>
      <c r="B638" s="15">
        <f>Solieusap!B638</f>
        <v>1.75</v>
      </c>
      <c r="C638" s="15" t="str">
        <f>Solieusap!C638</f>
        <v>COMB2</v>
      </c>
      <c r="D638" s="15" t="str">
        <f>Solieusap!D638</f>
        <v>Combination</v>
      </c>
      <c r="E638" s="16">
        <f>ABS(Solieusap!E638)</f>
        <v>2.1822</v>
      </c>
      <c r="F638" s="16">
        <f>ABS(Solieusap!F638)</f>
        <v>0.2671</v>
      </c>
      <c r="G638" s="16">
        <f>ABS(Solieusap!G638)</f>
        <v>0.1493</v>
      </c>
      <c r="H638" s="16">
        <f>ABS(Solieusap!H638)</f>
        <v>0.00002071</v>
      </c>
      <c r="I638" s="16">
        <f>ABS(Solieusap!I638)</f>
        <v>0.00941</v>
      </c>
      <c r="J638" s="16">
        <f>ABS(Solieusap!J638)</f>
        <v>0.11932</v>
      </c>
      <c r="K638" s="16">
        <f t="shared" si="1"/>
        <v>2.1822</v>
      </c>
      <c r="L638" s="16">
        <f t="shared" si="2"/>
        <v>0.00941</v>
      </c>
    </row>
    <row r="639" ht="16.5" customHeight="1">
      <c r="A639" s="15" t="str">
        <f>Solieusap!A639</f>
        <v>Cũ</v>
      </c>
      <c r="B639" s="15">
        <f>Solieusap!B639</f>
        <v>3.5</v>
      </c>
      <c r="C639" s="15" t="str">
        <f>Solieusap!C639</f>
        <v>COMB2</v>
      </c>
      <c r="D639" s="15" t="str">
        <f>Solieusap!D639</f>
        <v>Combination</v>
      </c>
      <c r="E639" s="16">
        <f>ABS(Solieusap!E639)</f>
        <v>1.9897</v>
      </c>
      <c r="F639" s="16">
        <f>ABS(Solieusap!F639)</f>
        <v>0.0046</v>
      </c>
      <c r="G639" s="16">
        <f>ABS(Solieusap!G639)</f>
        <v>0.1493</v>
      </c>
      <c r="H639" s="16">
        <f>ABS(Solieusap!H639)</f>
        <v>0.00002071</v>
      </c>
      <c r="I639" s="16">
        <f>ABS(Solieusap!I639)</f>
        <v>0.25181</v>
      </c>
      <c r="J639" s="16">
        <f>ABS(Solieusap!J639)</f>
        <v>0.35707</v>
      </c>
      <c r="K639" s="16">
        <f t="shared" si="1"/>
        <v>1.9897</v>
      </c>
      <c r="L639" s="16">
        <f t="shared" si="2"/>
        <v>0.25181</v>
      </c>
    </row>
    <row r="640" ht="16.5" customHeight="1">
      <c r="A640" s="15" t="str">
        <f>Solieusap!A640</f>
        <v>Cũ</v>
      </c>
      <c r="B640" s="15">
        <f>Solieusap!B640</f>
        <v>0</v>
      </c>
      <c r="C640" s="15" t="str">
        <f>Solieusap!C640</f>
        <v>COMB3</v>
      </c>
      <c r="D640" s="15" t="str">
        <f>Solieusap!D640</f>
        <v>Combination</v>
      </c>
      <c r="E640" s="16">
        <f>ABS(Solieusap!E640)</f>
        <v>2.2242</v>
      </c>
      <c r="F640" s="16">
        <f>ABS(Solieusap!F640)</f>
        <v>0.4168</v>
      </c>
      <c r="G640" s="16">
        <f>ABS(Solieusap!G640)</f>
        <v>0.1449</v>
      </c>
      <c r="H640" s="16">
        <f>ABS(Solieusap!H640)</f>
        <v>0.0001</v>
      </c>
      <c r="I640" s="16">
        <f>ABS(Solieusap!I640)</f>
        <v>0.26088</v>
      </c>
      <c r="J640" s="16">
        <f>ABS(Solieusap!J640)</f>
        <v>0.2783</v>
      </c>
      <c r="K640" s="16">
        <f t="shared" si="1"/>
        <v>2.2242</v>
      </c>
      <c r="L640" s="16">
        <f t="shared" si="2"/>
        <v>0.26088</v>
      </c>
    </row>
    <row r="641" ht="16.5" customHeight="1">
      <c r="A641" s="15" t="str">
        <f>Solieusap!A641</f>
        <v>Cũ</v>
      </c>
      <c r="B641" s="15">
        <f>Solieusap!B641</f>
        <v>1.75</v>
      </c>
      <c r="C641" s="15" t="str">
        <f>Solieusap!C641</f>
        <v>COMB3</v>
      </c>
      <c r="D641" s="15" t="str">
        <f>Solieusap!D641</f>
        <v>Combination</v>
      </c>
      <c r="E641" s="16">
        <f>ABS(Solieusap!E641)</f>
        <v>2.0317</v>
      </c>
      <c r="F641" s="16">
        <f>ABS(Solieusap!F641)</f>
        <v>0.0668</v>
      </c>
      <c r="G641" s="16">
        <f>ABS(Solieusap!G641)</f>
        <v>0.1449</v>
      </c>
      <c r="H641" s="16">
        <f>ABS(Solieusap!H641)</f>
        <v>0.0001</v>
      </c>
      <c r="I641" s="16">
        <f>ABS(Solieusap!I641)</f>
        <v>0.00726</v>
      </c>
      <c r="J641" s="16">
        <f>ABS(Solieusap!J641)</f>
        <v>0.14492</v>
      </c>
      <c r="K641" s="16">
        <f t="shared" si="1"/>
        <v>2.0317</v>
      </c>
      <c r="L641" s="16">
        <f t="shared" si="2"/>
        <v>0.00726</v>
      </c>
    </row>
    <row r="642" ht="16.5" customHeight="1">
      <c r="A642" s="15" t="str">
        <f>Solieusap!A642</f>
        <v>Cũ</v>
      </c>
      <c r="B642" s="15">
        <f>Solieusap!B642</f>
        <v>3.5</v>
      </c>
      <c r="C642" s="15" t="str">
        <f>Solieusap!C642</f>
        <v>COMB3</v>
      </c>
      <c r="D642" s="15" t="str">
        <f>Solieusap!D642</f>
        <v>Combination</v>
      </c>
      <c r="E642" s="16">
        <f>ABS(Solieusap!E642)</f>
        <v>1.8392</v>
      </c>
      <c r="F642" s="16">
        <f>ABS(Solieusap!F642)</f>
        <v>0.2832</v>
      </c>
      <c r="G642" s="16">
        <f>ABS(Solieusap!G642)</f>
        <v>0.1449</v>
      </c>
      <c r="H642" s="16">
        <f>ABS(Solieusap!H642)</f>
        <v>0.0001</v>
      </c>
      <c r="I642" s="16">
        <f>ABS(Solieusap!I642)</f>
        <v>0.24635</v>
      </c>
      <c r="J642" s="16">
        <f>ABS(Solieusap!J642)</f>
        <v>0.04436</v>
      </c>
      <c r="K642" s="16">
        <f t="shared" si="1"/>
        <v>1.8392</v>
      </c>
      <c r="L642" s="16">
        <f t="shared" si="2"/>
        <v>0.24635</v>
      </c>
    </row>
    <row r="643" ht="16.5" customHeight="1">
      <c r="A643" s="15" t="str">
        <f>Solieusap!A643</f>
        <v>Cũ</v>
      </c>
      <c r="B643" s="15">
        <f>Solieusap!B643</f>
        <v>0</v>
      </c>
      <c r="C643" s="15" t="str">
        <f>Solieusap!C643</f>
        <v>COMB4</v>
      </c>
      <c r="D643" s="15" t="str">
        <f>Solieusap!D643</f>
        <v>Combination</v>
      </c>
      <c r="E643" s="16">
        <f>ABS(Solieusap!E643)</f>
        <v>2.3504</v>
      </c>
      <c r="F643" s="16">
        <f>ABS(Solieusap!F643)</f>
        <v>0.1032</v>
      </c>
      <c r="G643" s="16">
        <f>ABS(Solieusap!G643)</f>
        <v>0.543</v>
      </c>
      <c r="H643" s="16">
        <f>ABS(Solieusap!H643)</f>
        <v>0.00005023</v>
      </c>
      <c r="I643" s="16">
        <f>ABS(Solieusap!I643)</f>
        <v>0.6198</v>
      </c>
      <c r="J643" s="16">
        <f>ABS(Solieusap!J643)</f>
        <v>0.1811</v>
      </c>
      <c r="K643" s="16">
        <f t="shared" si="1"/>
        <v>2.3504</v>
      </c>
      <c r="L643" s="16">
        <f t="shared" si="2"/>
        <v>0.6198</v>
      </c>
    </row>
    <row r="644" ht="16.5" customHeight="1">
      <c r="A644" s="15" t="str">
        <f>Solieusap!A644</f>
        <v>Cũ</v>
      </c>
      <c r="B644" s="15">
        <f>Solieusap!B644</f>
        <v>1.75</v>
      </c>
      <c r="C644" s="15" t="str">
        <f>Solieusap!C644</f>
        <v>COMB4</v>
      </c>
      <c r="D644" s="15" t="str">
        <f>Solieusap!D644</f>
        <v>Combination</v>
      </c>
      <c r="E644" s="16">
        <f>ABS(Solieusap!E644)</f>
        <v>2.1579</v>
      </c>
      <c r="F644" s="16">
        <f>ABS(Solieusap!F644)</f>
        <v>0.1032</v>
      </c>
      <c r="G644" s="16">
        <f>ABS(Solieusap!G644)</f>
        <v>0.2805</v>
      </c>
      <c r="H644" s="16">
        <f>ABS(Solieusap!H644)</f>
        <v>0.00005023</v>
      </c>
      <c r="I644" s="16">
        <f>ABS(Solieusap!I644)</f>
        <v>0.10072</v>
      </c>
      <c r="J644" s="16">
        <f>ABS(Solieusap!J644)</f>
        <v>0.0005</v>
      </c>
      <c r="K644" s="16">
        <f t="shared" si="1"/>
        <v>2.1579</v>
      </c>
      <c r="L644" s="16">
        <f t="shared" si="2"/>
        <v>0.10072</v>
      </c>
    </row>
    <row r="645" ht="16.5" customHeight="1">
      <c r="A645" s="15" t="str">
        <f>Solieusap!A645</f>
        <v>Cũ</v>
      </c>
      <c r="B645" s="15">
        <f>Solieusap!B645</f>
        <v>3.5</v>
      </c>
      <c r="C645" s="15" t="str">
        <f>Solieusap!C645</f>
        <v>COMB4</v>
      </c>
      <c r="D645" s="15" t="str">
        <f>Solieusap!D645</f>
        <v>Combination</v>
      </c>
      <c r="E645" s="16">
        <f>ABS(Solieusap!E645)</f>
        <v>1.9654</v>
      </c>
      <c r="F645" s="16">
        <f>ABS(Solieusap!F645)</f>
        <v>0.1032</v>
      </c>
      <c r="G645" s="16">
        <f>ABS(Solieusap!G645)</f>
        <v>0.018</v>
      </c>
      <c r="H645" s="16">
        <f>ABS(Solieusap!H645)</f>
        <v>0.00005023</v>
      </c>
      <c r="I645" s="16">
        <f>ABS(Solieusap!I645)</f>
        <v>0.36187</v>
      </c>
      <c r="J645" s="16">
        <f>ABS(Solieusap!J645)</f>
        <v>0.1801</v>
      </c>
      <c r="K645" s="16">
        <f t="shared" si="1"/>
        <v>1.9654</v>
      </c>
      <c r="L645" s="16">
        <f t="shared" si="2"/>
        <v>0.36187</v>
      </c>
    </row>
    <row r="646" ht="16.5" customHeight="1">
      <c r="A646" s="15" t="str">
        <f>Solieusap!A646</f>
        <v>Cũ</v>
      </c>
      <c r="B646" s="15">
        <f>Solieusap!B646</f>
        <v>0</v>
      </c>
      <c r="C646" s="15" t="str">
        <f>Solieusap!C646</f>
        <v>COMB5</v>
      </c>
      <c r="D646" s="15" t="str">
        <f>Solieusap!D646</f>
        <v>Combination</v>
      </c>
      <c r="E646" s="16">
        <f>ABS(Solieusap!E646)</f>
        <v>2.9763</v>
      </c>
      <c r="F646" s="16">
        <f>ABS(Solieusap!F646)</f>
        <v>0.1511</v>
      </c>
      <c r="G646" s="16">
        <f>ABS(Solieusap!G646)</f>
        <v>0.5726</v>
      </c>
      <c r="H646" s="16">
        <f>ABS(Solieusap!H646)</f>
        <v>0.00006635</v>
      </c>
      <c r="I646" s="16">
        <f>ABS(Solieusap!I646)</f>
        <v>0.70135</v>
      </c>
      <c r="J646" s="16">
        <f>ABS(Solieusap!J646)</f>
        <v>0.2599</v>
      </c>
      <c r="K646" s="16">
        <f t="shared" si="1"/>
        <v>2.9763</v>
      </c>
      <c r="L646" s="16">
        <f t="shared" si="2"/>
        <v>0.70135</v>
      </c>
    </row>
    <row r="647" ht="16.5" customHeight="1">
      <c r="A647" s="15" t="str">
        <f>Solieusap!A647</f>
        <v>Cũ</v>
      </c>
      <c r="B647" s="15">
        <f>Solieusap!B647</f>
        <v>1.75</v>
      </c>
      <c r="C647" s="15" t="str">
        <f>Solieusap!C647</f>
        <v>COMB5</v>
      </c>
      <c r="D647" s="15" t="str">
        <f>Solieusap!D647</f>
        <v>Combination</v>
      </c>
      <c r="E647" s="16">
        <f>ABS(Solieusap!E647)</f>
        <v>2.7838</v>
      </c>
      <c r="F647" s="16">
        <f>ABS(Solieusap!F647)</f>
        <v>0.1511</v>
      </c>
      <c r="G647" s="16">
        <f>ABS(Solieusap!G647)</f>
        <v>0.3364</v>
      </c>
      <c r="H647" s="16">
        <f>ABS(Solieusap!H647)</f>
        <v>0.00006635</v>
      </c>
      <c r="I647" s="16">
        <f>ABS(Solieusap!I647)</f>
        <v>0.09402</v>
      </c>
      <c r="J647" s="16">
        <f>ABS(Solieusap!J647)</f>
        <v>0.00458</v>
      </c>
      <c r="K647" s="16">
        <f t="shared" si="1"/>
        <v>2.7838</v>
      </c>
      <c r="L647" s="16">
        <f t="shared" si="2"/>
        <v>0.09402</v>
      </c>
    </row>
    <row r="648" ht="16.5" customHeight="1">
      <c r="A648" s="15" t="str">
        <f>Solieusap!A648</f>
        <v>Cũ</v>
      </c>
      <c r="B648" s="15">
        <f>Solieusap!B648</f>
        <v>3.5</v>
      </c>
      <c r="C648" s="15" t="str">
        <f>Solieusap!C648</f>
        <v>COMB5</v>
      </c>
      <c r="D648" s="15" t="str">
        <f>Solieusap!D648</f>
        <v>Combination</v>
      </c>
      <c r="E648" s="16">
        <f>ABS(Solieusap!E648)</f>
        <v>2.5913</v>
      </c>
      <c r="F648" s="16">
        <f>ABS(Solieusap!F648)</f>
        <v>0.1511</v>
      </c>
      <c r="G648" s="16">
        <f>ABS(Solieusap!G648)</f>
        <v>0.1001</v>
      </c>
      <c r="H648" s="16">
        <f>ABS(Solieusap!H648)</f>
        <v>0.00006635</v>
      </c>
      <c r="I648" s="16">
        <f>ABS(Solieusap!I648)</f>
        <v>0.47595</v>
      </c>
      <c r="J648" s="16">
        <f>ABS(Solieusap!J648)</f>
        <v>0.26906</v>
      </c>
      <c r="K648" s="16">
        <f t="shared" si="1"/>
        <v>2.5913</v>
      </c>
      <c r="L648" s="16">
        <f t="shared" si="2"/>
        <v>0.47595</v>
      </c>
    </row>
    <row r="649" ht="16.5" customHeight="1">
      <c r="A649" s="15" t="str">
        <f>Solieusap!A649</f>
        <v>Cũ</v>
      </c>
      <c r="B649" s="15">
        <f>Solieusap!B649</f>
        <v>0</v>
      </c>
      <c r="C649" s="15" t="str">
        <f>Solieusap!C649</f>
        <v>COMB6</v>
      </c>
      <c r="D649" s="15" t="str">
        <f>Solieusap!D649</f>
        <v>Combination</v>
      </c>
      <c r="E649" s="16">
        <f>ABS(Solieusap!E649)</f>
        <v>2.8627</v>
      </c>
      <c r="F649" s="16">
        <f>ABS(Solieusap!F649)</f>
        <v>0.3169</v>
      </c>
      <c r="G649" s="16">
        <f>ABS(Solieusap!G649)</f>
        <v>0.2144</v>
      </c>
      <c r="H649" s="16">
        <f>ABS(Solieusap!H649)</f>
        <v>0.00011</v>
      </c>
      <c r="I649" s="16">
        <f>ABS(Solieusap!I649)</f>
        <v>0.37832</v>
      </c>
      <c r="J649" s="16">
        <f>ABS(Solieusap!J649)</f>
        <v>0.15355</v>
      </c>
      <c r="K649" s="16">
        <f t="shared" si="1"/>
        <v>2.8627</v>
      </c>
      <c r="L649" s="16">
        <f t="shared" si="2"/>
        <v>0.37832</v>
      </c>
    </row>
    <row r="650" ht="16.5" customHeight="1">
      <c r="A650" s="15" t="str">
        <f>Solieusap!A650</f>
        <v>Cũ</v>
      </c>
      <c r="B650" s="15">
        <f>Solieusap!B650</f>
        <v>1.75</v>
      </c>
      <c r="C650" s="15" t="str">
        <f>Solieusap!C650</f>
        <v>COMB6</v>
      </c>
      <c r="D650" s="15" t="str">
        <f>Solieusap!D650</f>
        <v>Combination</v>
      </c>
      <c r="E650" s="16">
        <f>ABS(Solieusap!E650)</f>
        <v>2.6702</v>
      </c>
      <c r="F650" s="16">
        <f>ABS(Solieusap!F650)</f>
        <v>0.0019</v>
      </c>
      <c r="G650" s="16">
        <f>ABS(Solieusap!G650)</f>
        <v>0.2144</v>
      </c>
      <c r="H650" s="16">
        <f>ABS(Solieusap!H650)</f>
        <v>0.00011</v>
      </c>
      <c r="I650" s="16">
        <f>ABS(Solieusap!I650)</f>
        <v>0.00317</v>
      </c>
      <c r="J650" s="16">
        <f>ABS(Solieusap!J650)</f>
        <v>0.1254</v>
      </c>
      <c r="K650" s="16">
        <f t="shared" si="1"/>
        <v>2.6702</v>
      </c>
      <c r="L650" s="16">
        <f t="shared" si="2"/>
        <v>0.00317</v>
      </c>
    </row>
    <row r="651" ht="16.5" customHeight="1">
      <c r="A651" s="15" t="str">
        <f>Solieusap!A651</f>
        <v>Cũ</v>
      </c>
      <c r="B651" s="15">
        <f>Solieusap!B651</f>
        <v>3.5</v>
      </c>
      <c r="C651" s="15" t="str">
        <f>Solieusap!C651</f>
        <v>COMB6</v>
      </c>
      <c r="D651" s="15" t="str">
        <f>Solieusap!D651</f>
        <v>Combination</v>
      </c>
      <c r="E651" s="16">
        <f>ABS(Solieusap!E651)</f>
        <v>2.4777</v>
      </c>
      <c r="F651" s="16">
        <f>ABS(Solieusap!F651)</f>
        <v>0.3131</v>
      </c>
      <c r="G651" s="16">
        <f>ABS(Solieusap!G651)</f>
        <v>0.2144</v>
      </c>
      <c r="H651" s="16">
        <f>ABS(Solieusap!H651)</f>
        <v>0.00011</v>
      </c>
      <c r="I651" s="16">
        <f>ABS(Solieusap!I651)</f>
        <v>0.37198</v>
      </c>
      <c r="J651" s="16">
        <f>ABS(Solieusap!J651)</f>
        <v>0.1469</v>
      </c>
      <c r="K651" s="16">
        <f t="shared" si="1"/>
        <v>2.4777</v>
      </c>
      <c r="L651" s="16">
        <f t="shared" si="2"/>
        <v>0.37198</v>
      </c>
    </row>
    <row r="652" ht="16.5" customHeight="1">
      <c r="A652" s="15" t="str">
        <f>Solieusap!A652</f>
        <v>Cũ</v>
      </c>
      <c r="B652" s="15">
        <f>Solieusap!B652</f>
        <v>0</v>
      </c>
      <c r="C652" s="15" t="str">
        <f>Solieusap!C652</f>
        <v>COMB7</v>
      </c>
      <c r="D652" s="15" t="str">
        <f>Solieusap!D652</f>
        <v>Combination</v>
      </c>
      <c r="E652" s="16">
        <f>ABS(Solieusap!E652)</f>
        <v>2.9982</v>
      </c>
      <c r="F652" s="16">
        <f>ABS(Solieusap!F652)</f>
        <v>0.5349</v>
      </c>
      <c r="G652" s="16">
        <f>ABS(Solieusap!G652)</f>
        <v>0.2183</v>
      </c>
      <c r="H652" s="16">
        <f>ABS(Solieusap!H652)</f>
        <v>0.00003978</v>
      </c>
      <c r="I652" s="16">
        <f>ABS(Solieusap!I652)</f>
        <v>0.3871</v>
      </c>
      <c r="J652" s="16">
        <f>ABS(Solieusap!J652)</f>
        <v>0.61695</v>
      </c>
      <c r="K652" s="16">
        <f t="shared" si="1"/>
        <v>2.9982</v>
      </c>
      <c r="L652" s="16">
        <f t="shared" si="2"/>
        <v>0.3871</v>
      </c>
    </row>
    <row r="653" ht="16.5" customHeight="1">
      <c r="A653" s="15" t="str">
        <f>Solieusap!A653</f>
        <v>Cũ</v>
      </c>
      <c r="B653" s="15">
        <f>Solieusap!B653</f>
        <v>1.75</v>
      </c>
      <c r="C653" s="15" t="str">
        <f>Solieusap!C653</f>
        <v>COMB7</v>
      </c>
      <c r="D653" s="15" t="str">
        <f>Solieusap!D653</f>
        <v>Combination</v>
      </c>
      <c r="E653" s="16">
        <f>ABS(Solieusap!E653)</f>
        <v>2.8057</v>
      </c>
      <c r="F653" s="16">
        <f>ABS(Solieusap!F653)</f>
        <v>0.2987</v>
      </c>
      <c r="G653" s="16">
        <f>ABS(Solieusap!G653)</f>
        <v>0.2183</v>
      </c>
      <c r="H653" s="16">
        <f>ABS(Solieusap!H653)</f>
        <v>0.00003978</v>
      </c>
      <c r="I653" s="16">
        <f>ABS(Solieusap!I653)</f>
        <v>0.0051</v>
      </c>
      <c r="J653" s="16">
        <f>ABS(Solieusap!J653)</f>
        <v>0.11241</v>
      </c>
      <c r="K653" s="16">
        <f t="shared" si="1"/>
        <v>2.8057</v>
      </c>
      <c r="L653" s="16">
        <f t="shared" si="2"/>
        <v>0.0051</v>
      </c>
    </row>
    <row r="654" ht="16.5" customHeight="1">
      <c r="A654" s="15" t="str">
        <f>Solieusap!A654</f>
        <v>Cũ</v>
      </c>
      <c r="B654" s="15">
        <f>Solieusap!B654</f>
        <v>3.5</v>
      </c>
      <c r="C654" s="15" t="str">
        <f>Solieusap!C654</f>
        <v>COMB7</v>
      </c>
      <c r="D654" s="15" t="str">
        <f>Solieusap!D654</f>
        <v>Combination</v>
      </c>
      <c r="E654" s="16">
        <f>ABS(Solieusap!E654)</f>
        <v>2.6132</v>
      </c>
      <c r="F654" s="16">
        <f>ABS(Solieusap!F654)</f>
        <v>0.0624</v>
      </c>
      <c r="G654" s="16">
        <f>ABS(Solieusap!G654)</f>
        <v>0.2183</v>
      </c>
      <c r="H654" s="16">
        <f>ABS(Solieusap!H654)</f>
        <v>0.00003978</v>
      </c>
      <c r="I654" s="16">
        <f>ABS(Solieusap!I654)</f>
        <v>0.3769</v>
      </c>
      <c r="J654" s="16">
        <f>ABS(Solieusap!J654)</f>
        <v>0.42834</v>
      </c>
      <c r="K654" s="16">
        <f t="shared" si="1"/>
        <v>2.6132</v>
      </c>
      <c r="L654" s="16">
        <f t="shared" si="2"/>
        <v>0.3769</v>
      </c>
    </row>
    <row r="655" ht="16.5" customHeight="1">
      <c r="A655" s="15" t="str">
        <f>Solieusap!A655</f>
        <v>Cũ</v>
      </c>
      <c r="B655" s="15">
        <f>Solieusap!B655</f>
        <v>0</v>
      </c>
      <c r="C655" s="15" t="str">
        <f>Solieusap!C655</f>
        <v>COMB1</v>
      </c>
      <c r="D655" s="15" t="str">
        <f>Solieusap!D655</f>
        <v>Combination</v>
      </c>
      <c r="E655" s="16">
        <f>ABS(Solieusap!E655)</f>
        <v>2.9937</v>
      </c>
      <c r="F655" s="16">
        <f>ABS(Solieusap!F655)</f>
        <v>0.1555</v>
      </c>
      <c r="G655" s="16">
        <f>ABS(Solieusap!G655)</f>
        <v>0.224</v>
      </c>
      <c r="H655" s="16">
        <f>ABS(Solieusap!H655)</f>
        <v>0.000058</v>
      </c>
      <c r="I655" s="16">
        <f>ABS(Solieusap!I655)</f>
        <v>0.39565</v>
      </c>
      <c r="J655" s="16">
        <f>ABS(Solieusap!J655)</f>
        <v>0.26636</v>
      </c>
      <c r="K655" s="16">
        <f t="shared" si="1"/>
        <v>2.9937</v>
      </c>
      <c r="L655" s="16">
        <f t="shared" si="2"/>
        <v>0.39565</v>
      </c>
    </row>
    <row r="656" ht="16.5" customHeight="1">
      <c r="A656" s="15" t="str">
        <f>Solieusap!A656</f>
        <v>Cũ</v>
      </c>
      <c r="B656" s="15">
        <f>Solieusap!B656</f>
        <v>1.75</v>
      </c>
      <c r="C656" s="15" t="str">
        <f>Solieusap!C656</f>
        <v>COMB1</v>
      </c>
      <c r="D656" s="15" t="str">
        <f>Solieusap!D656</f>
        <v>Combination</v>
      </c>
      <c r="E656" s="16">
        <f>ABS(Solieusap!E656)</f>
        <v>2.8012</v>
      </c>
      <c r="F656" s="16">
        <f>ABS(Solieusap!F656)</f>
        <v>0.1555</v>
      </c>
      <c r="G656" s="16">
        <f>ABS(Solieusap!G656)</f>
        <v>0.224</v>
      </c>
      <c r="H656" s="16">
        <f>ABS(Solieusap!H656)</f>
        <v>0.000058</v>
      </c>
      <c r="I656" s="16">
        <f>ABS(Solieusap!I656)</f>
        <v>0.00367</v>
      </c>
      <c r="J656" s="16">
        <f>ABS(Solieusap!J656)</f>
        <v>0.00569</v>
      </c>
      <c r="K656" s="16">
        <f t="shared" si="1"/>
        <v>2.8012</v>
      </c>
      <c r="L656" s="16">
        <f t="shared" si="2"/>
        <v>0.00367</v>
      </c>
    </row>
    <row r="657" ht="16.5" customHeight="1">
      <c r="A657" s="15" t="str">
        <f>Solieusap!A657</f>
        <v>Cũ</v>
      </c>
      <c r="B657" s="15">
        <f>Solieusap!B657</f>
        <v>3.5</v>
      </c>
      <c r="C657" s="15" t="str">
        <f>Solieusap!C657</f>
        <v>COMB1</v>
      </c>
      <c r="D657" s="15" t="str">
        <f>Solieusap!D657</f>
        <v>Combination</v>
      </c>
      <c r="E657" s="16">
        <f>ABS(Solieusap!E657)</f>
        <v>2.6087</v>
      </c>
      <c r="F657" s="16">
        <f>ABS(Solieusap!F657)</f>
        <v>0.1555</v>
      </c>
      <c r="G657" s="16">
        <f>ABS(Solieusap!G657)</f>
        <v>0.224</v>
      </c>
      <c r="H657" s="16">
        <f>ABS(Solieusap!H657)</f>
        <v>0.000058</v>
      </c>
      <c r="I657" s="16">
        <f>ABS(Solieusap!I657)</f>
        <v>0.3883</v>
      </c>
      <c r="J657" s="16">
        <f>ABS(Solieusap!J657)</f>
        <v>0.27774</v>
      </c>
      <c r="K657" s="16">
        <f t="shared" si="1"/>
        <v>2.6087</v>
      </c>
      <c r="L657" s="16">
        <f t="shared" si="2"/>
        <v>0.3883</v>
      </c>
    </row>
    <row r="658" ht="16.5" customHeight="1">
      <c r="A658" s="15" t="str">
        <f>Solieusap!A658</f>
        <v>Cũ</v>
      </c>
      <c r="B658" s="15">
        <f>Solieusap!B658</f>
        <v>0</v>
      </c>
      <c r="C658" s="15" t="str">
        <f>Solieusap!C658</f>
        <v>COMB2</v>
      </c>
      <c r="D658" s="15" t="str">
        <f>Solieusap!D658</f>
        <v>Combination</v>
      </c>
      <c r="E658" s="16">
        <f>ABS(Solieusap!E658)</f>
        <v>2.3747</v>
      </c>
      <c r="F658" s="16">
        <f>ABS(Solieusap!F658)</f>
        <v>0.5296</v>
      </c>
      <c r="G658" s="16">
        <f>ABS(Solieusap!G658)</f>
        <v>0.1493</v>
      </c>
      <c r="H658" s="16">
        <f>ABS(Solieusap!H658)</f>
        <v>0.00002071</v>
      </c>
      <c r="I658" s="16">
        <f>ABS(Solieusap!I658)</f>
        <v>0.27064</v>
      </c>
      <c r="J658" s="16">
        <f>ABS(Solieusap!J658)</f>
        <v>0.57781</v>
      </c>
      <c r="K658" s="16">
        <f t="shared" si="1"/>
        <v>2.3747</v>
      </c>
      <c r="L658" s="16">
        <f t="shared" si="2"/>
        <v>0.27064</v>
      </c>
    </row>
    <row r="659" ht="16.5" customHeight="1">
      <c r="A659" s="15" t="str">
        <f>Solieusap!A659</f>
        <v>Cũ</v>
      </c>
      <c r="B659" s="15">
        <f>Solieusap!B659</f>
        <v>1.75</v>
      </c>
      <c r="C659" s="15" t="str">
        <f>Solieusap!C659</f>
        <v>COMB2</v>
      </c>
      <c r="D659" s="15" t="str">
        <f>Solieusap!D659</f>
        <v>Combination</v>
      </c>
      <c r="E659" s="16">
        <f>ABS(Solieusap!E659)</f>
        <v>2.1822</v>
      </c>
      <c r="F659" s="16">
        <f>ABS(Solieusap!F659)</f>
        <v>0.2671</v>
      </c>
      <c r="G659" s="16">
        <f>ABS(Solieusap!G659)</f>
        <v>0.1493</v>
      </c>
      <c r="H659" s="16">
        <f>ABS(Solieusap!H659)</f>
        <v>0.00002071</v>
      </c>
      <c r="I659" s="16">
        <f>ABS(Solieusap!I659)</f>
        <v>0.00941</v>
      </c>
      <c r="J659" s="16">
        <f>ABS(Solieusap!J659)</f>
        <v>0.11932</v>
      </c>
      <c r="K659" s="16">
        <f t="shared" si="1"/>
        <v>2.1822</v>
      </c>
      <c r="L659" s="16">
        <f t="shared" si="2"/>
        <v>0.00941</v>
      </c>
    </row>
    <row r="660" ht="16.5" customHeight="1">
      <c r="A660" s="15" t="str">
        <f>Solieusap!A660</f>
        <v>Cũ</v>
      </c>
      <c r="B660" s="15">
        <f>Solieusap!B660</f>
        <v>3.5</v>
      </c>
      <c r="C660" s="15" t="str">
        <f>Solieusap!C660</f>
        <v>COMB2</v>
      </c>
      <c r="D660" s="15" t="str">
        <f>Solieusap!D660</f>
        <v>Combination</v>
      </c>
      <c r="E660" s="16">
        <f>ABS(Solieusap!E660)</f>
        <v>1.9897</v>
      </c>
      <c r="F660" s="16">
        <f>ABS(Solieusap!F660)</f>
        <v>0.0046</v>
      </c>
      <c r="G660" s="16">
        <f>ABS(Solieusap!G660)</f>
        <v>0.1493</v>
      </c>
      <c r="H660" s="16">
        <f>ABS(Solieusap!H660)</f>
        <v>0.00002071</v>
      </c>
      <c r="I660" s="16">
        <f>ABS(Solieusap!I660)</f>
        <v>0.25181</v>
      </c>
      <c r="J660" s="16">
        <f>ABS(Solieusap!J660)</f>
        <v>0.35707</v>
      </c>
      <c r="K660" s="16">
        <f t="shared" si="1"/>
        <v>1.9897</v>
      </c>
      <c r="L660" s="16">
        <f t="shared" si="2"/>
        <v>0.25181</v>
      </c>
    </row>
    <row r="661" ht="16.5" customHeight="1">
      <c r="A661" s="15" t="str">
        <f>Solieusap!A661</f>
        <v>Cũ</v>
      </c>
      <c r="B661" s="15">
        <f>Solieusap!B661</f>
        <v>0</v>
      </c>
      <c r="C661" s="15" t="str">
        <f>Solieusap!C661</f>
        <v>COMB3</v>
      </c>
      <c r="D661" s="15" t="str">
        <f>Solieusap!D661</f>
        <v>Combination</v>
      </c>
      <c r="E661" s="16">
        <f>ABS(Solieusap!E661)</f>
        <v>2.2242</v>
      </c>
      <c r="F661" s="16">
        <f>ABS(Solieusap!F661)</f>
        <v>0.4168</v>
      </c>
      <c r="G661" s="16">
        <f>ABS(Solieusap!G661)</f>
        <v>0.1449</v>
      </c>
      <c r="H661" s="16">
        <f>ABS(Solieusap!H661)</f>
        <v>0.0001</v>
      </c>
      <c r="I661" s="16">
        <f>ABS(Solieusap!I661)</f>
        <v>0.26088</v>
      </c>
      <c r="J661" s="16">
        <f>ABS(Solieusap!J661)</f>
        <v>0.2783</v>
      </c>
      <c r="K661" s="16">
        <f t="shared" si="1"/>
        <v>2.2242</v>
      </c>
      <c r="L661" s="16">
        <f t="shared" si="2"/>
        <v>0.26088</v>
      </c>
    </row>
    <row r="662" ht="16.5" customHeight="1">
      <c r="A662" s="15" t="str">
        <f>Solieusap!A662</f>
        <v>Cũ</v>
      </c>
      <c r="B662" s="15">
        <f>Solieusap!B662</f>
        <v>1.75</v>
      </c>
      <c r="C662" s="15" t="str">
        <f>Solieusap!C662</f>
        <v>COMB3</v>
      </c>
      <c r="D662" s="15" t="str">
        <f>Solieusap!D662</f>
        <v>Combination</v>
      </c>
      <c r="E662" s="16">
        <f>ABS(Solieusap!E662)</f>
        <v>2.0317</v>
      </c>
      <c r="F662" s="16">
        <f>ABS(Solieusap!F662)</f>
        <v>0.0668</v>
      </c>
      <c r="G662" s="16">
        <f>ABS(Solieusap!G662)</f>
        <v>0.1449</v>
      </c>
      <c r="H662" s="16">
        <f>ABS(Solieusap!H662)</f>
        <v>0.0001</v>
      </c>
      <c r="I662" s="16">
        <f>ABS(Solieusap!I662)</f>
        <v>0.00726</v>
      </c>
      <c r="J662" s="16">
        <f>ABS(Solieusap!J662)</f>
        <v>0.14492</v>
      </c>
      <c r="K662" s="16">
        <f t="shared" si="1"/>
        <v>2.0317</v>
      </c>
      <c r="L662" s="16">
        <f t="shared" si="2"/>
        <v>0.00726</v>
      </c>
    </row>
    <row r="663" ht="16.5" customHeight="1">
      <c r="A663" s="15" t="str">
        <f>Solieusap!A663</f>
        <v>Cũ</v>
      </c>
      <c r="B663" s="15">
        <f>Solieusap!B663</f>
        <v>3.5</v>
      </c>
      <c r="C663" s="15" t="str">
        <f>Solieusap!C663</f>
        <v>COMB3</v>
      </c>
      <c r="D663" s="15" t="str">
        <f>Solieusap!D663</f>
        <v>Combination</v>
      </c>
      <c r="E663" s="16">
        <f>ABS(Solieusap!E663)</f>
        <v>1.8392</v>
      </c>
      <c r="F663" s="16">
        <f>ABS(Solieusap!F663)</f>
        <v>0.2832</v>
      </c>
      <c r="G663" s="16">
        <f>ABS(Solieusap!G663)</f>
        <v>0.1449</v>
      </c>
      <c r="H663" s="16">
        <f>ABS(Solieusap!H663)</f>
        <v>0.0001</v>
      </c>
      <c r="I663" s="16">
        <f>ABS(Solieusap!I663)</f>
        <v>0.24635</v>
      </c>
      <c r="J663" s="16">
        <f>ABS(Solieusap!J663)</f>
        <v>0.04436</v>
      </c>
      <c r="K663" s="16">
        <f t="shared" si="1"/>
        <v>1.8392</v>
      </c>
      <c r="L663" s="16">
        <f t="shared" si="2"/>
        <v>0.24635</v>
      </c>
    </row>
    <row r="664" ht="16.5" customHeight="1">
      <c r="A664" s="15" t="str">
        <f>Solieusap!A664</f>
        <v>Cũ</v>
      </c>
      <c r="B664" s="15">
        <f>Solieusap!B664</f>
        <v>0</v>
      </c>
      <c r="C664" s="15" t="str">
        <f>Solieusap!C664</f>
        <v>COMB4</v>
      </c>
      <c r="D664" s="15" t="str">
        <f>Solieusap!D664</f>
        <v>Combination</v>
      </c>
      <c r="E664" s="16">
        <f>ABS(Solieusap!E664)</f>
        <v>2.3504</v>
      </c>
      <c r="F664" s="16">
        <f>ABS(Solieusap!F664)</f>
        <v>0.1032</v>
      </c>
      <c r="G664" s="16">
        <f>ABS(Solieusap!G664)</f>
        <v>0.543</v>
      </c>
      <c r="H664" s="16">
        <f>ABS(Solieusap!H664)</f>
        <v>0.00005023</v>
      </c>
      <c r="I664" s="16">
        <f>ABS(Solieusap!I664)</f>
        <v>0.6198</v>
      </c>
      <c r="J664" s="16">
        <f>ABS(Solieusap!J664)</f>
        <v>0.1811</v>
      </c>
      <c r="K664" s="16">
        <f t="shared" si="1"/>
        <v>2.3504</v>
      </c>
      <c r="L664" s="16">
        <f t="shared" si="2"/>
        <v>0.6198</v>
      </c>
    </row>
    <row r="665" ht="16.5" customHeight="1">
      <c r="A665" s="15" t="str">
        <f>Solieusap!A665</f>
        <v>Cũ</v>
      </c>
      <c r="B665" s="15">
        <f>Solieusap!B665</f>
        <v>1.75</v>
      </c>
      <c r="C665" s="15" t="str">
        <f>Solieusap!C665</f>
        <v>COMB4</v>
      </c>
      <c r="D665" s="15" t="str">
        <f>Solieusap!D665</f>
        <v>Combination</v>
      </c>
      <c r="E665" s="16">
        <f>ABS(Solieusap!E665)</f>
        <v>2.1579</v>
      </c>
      <c r="F665" s="16">
        <f>ABS(Solieusap!F665)</f>
        <v>0.1032</v>
      </c>
      <c r="G665" s="16">
        <f>ABS(Solieusap!G665)</f>
        <v>0.2805</v>
      </c>
      <c r="H665" s="16">
        <f>ABS(Solieusap!H665)</f>
        <v>0.00005023</v>
      </c>
      <c r="I665" s="16">
        <f>ABS(Solieusap!I665)</f>
        <v>0.10072</v>
      </c>
      <c r="J665" s="16">
        <f>ABS(Solieusap!J665)</f>
        <v>0.0005</v>
      </c>
      <c r="K665" s="16">
        <f t="shared" si="1"/>
        <v>2.1579</v>
      </c>
      <c r="L665" s="16">
        <f t="shared" si="2"/>
        <v>0.10072</v>
      </c>
    </row>
    <row r="666" ht="16.5" customHeight="1">
      <c r="A666" s="15" t="str">
        <f>Solieusap!A666</f>
        <v>Cũ</v>
      </c>
      <c r="B666" s="15">
        <f>Solieusap!B666</f>
        <v>3.5</v>
      </c>
      <c r="C666" s="15" t="str">
        <f>Solieusap!C666</f>
        <v>COMB4</v>
      </c>
      <c r="D666" s="15" t="str">
        <f>Solieusap!D666</f>
        <v>Combination</v>
      </c>
      <c r="E666" s="16">
        <f>ABS(Solieusap!E666)</f>
        <v>1.9654</v>
      </c>
      <c r="F666" s="16">
        <f>ABS(Solieusap!F666)</f>
        <v>0.1032</v>
      </c>
      <c r="G666" s="16">
        <f>ABS(Solieusap!G666)</f>
        <v>0.018</v>
      </c>
      <c r="H666" s="16">
        <f>ABS(Solieusap!H666)</f>
        <v>0.00005023</v>
      </c>
      <c r="I666" s="16">
        <f>ABS(Solieusap!I666)</f>
        <v>0.36187</v>
      </c>
      <c r="J666" s="16">
        <f>ABS(Solieusap!J666)</f>
        <v>0.1801</v>
      </c>
      <c r="K666" s="16">
        <f t="shared" si="1"/>
        <v>1.9654</v>
      </c>
      <c r="L666" s="16">
        <f t="shared" si="2"/>
        <v>0.36187</v>
      </c>
    </row>
    <row r="667" ht="16.5" customHeight="1">
      <c r="A667" s="15" t="str">
        <f>Solieusap!A667</f>
        <v>Cũ</v>
      </c>
      <c r="B667" s="15">
        <f>Solieusap!B667</f>
        <v>0</v>
      </c>
      <c r="C667" s="15" t="str">
        <f>Solieusap!C667</f>
        <v>COMB5</v>
      </c>
      <c r="D667" s="15" t="str">
        <f>Solieusap!D667</f>
        <v>Combination</v>
      </c>
      <c r="E667" s="16">
        <f>ABS(Solieusap!E667)</f>
        <v>2.9763</v>
      </c>
      <c r="F667" s="16">
        <f>ABS(Solieusap!F667)</f>
        <v>0.1511</v>
      </c>
      <c r="G667" s="16">
        <f>ABS(Solieusap!G667)</f>
        <v>0.5726</v>
      </c>
      <c r="H667" s="16">
        <f>ABS(Solieusap!H667)</f>
        <v>0.00006635</v>
      </c>
      <c r="I667" s="16">
        <f>ABS(Solieusap!I667)</f>
        <v>0.70135</v>
      </c>
      <c r="J667" s="16">
        <f>ABS(Solieusap!J667)</f>
        <v>0.2599</v>
      </c>
      <c r="K667" s="16">
        <f t="shared" si="1"/>
        <v>2.9763</v>
      </c>
      <c r="L667" s="16">
        <f t="shared" si="2"/>
        <v>0.70135</v>
      </c>
    </row>
    <row r="668" ht="16.5" customHeight="1">
      <c r="A668" s="15" t="str">
        <f>Solieusap!A668</f>
        <v>Cũ</v>
      </c>
      <c r="B668" s="15">
        <f>Solieusap!B668</f>
        <v>1.75</v>
      </c>
      <c r="C668" s="15" t="str">
        <f>Solieusap!C668</f>
        <v>COMB5</v>
      </c>
      <c r="D668" s="15" t="str">
        <f>Solieusap!D668</f>
        <v>Combination</v>
      </c>
      <c r="E668" s="16">
        <f>ABS(Solieusap!E668)</f>
        <v>2.7838</v>
      </c>
      <c r="F668" s="16">
        <f>ABS(Solieusap!F668)</f>
        <v>0.1511</v>
      </c>
      <c r="G668" s="16">
        <f>ABS(Solieusap!G668)</f>
        <v>0.3364</v>
      </c>
      <c r="H668" s="16">
        <f>ABS(Solieusap!H668)</f>
        <v>0.00006635</v>
      </c>
      <c r="I668" s="16">
        <f>ABS(Solieusap!I668)</f>
        <v>0.09402</v>
      </c>
      <c r="J668" s="16">
        <f>ABS(Solieusap!J668)</f>
        <v>0.00458</v>
      </c>
      <c r="K668" s="16">
        <f t="shared" si="1"/>
        <v>2.7838</v>
      </c>
      <c r="L668" s="16">
        <f t="shared" si="2"/>
        <v>0.09402</v>
      </c>
    </row>
    <row r="669" ht="16.5" customHeight="1">
      <c r="A669" s="15" t="str">
        <f>Solieusap!A669</f>
        <v>Cũ</v>
      </c>
      <c r="B669" s="15">
        <f>Solieusap!B669</f>
        <v>3.5</v>
      </c>
      <c r="C669" s="15" t="str">
        <f>Solieusap!C669</f>
        <v>COMB5</v>
      </c>
      <c r="D669" s="15" t="str">
        <f>Solieusap!D669</f>
        <v>Combination</v>
      </c>
      <c r="E669" s="16">
        <f>ABS(Solieusap!E669)</f>
        <v>2.5913</v>
      </c>
      <c r="F669" s="16">
        <f>ABS(Solieusap!F669)</f>
        <v>0.1511</v>
      </c>
      <c r="G669" s="16">
        <f>ABS(Solieusap!G669)</f>
        <v>0.1001</v>
      </c>
      <c r="H669" s="16">
        <f>ABS(Solieusap!H669)</f>
        <v>0.00006635</v>
      </c>
      <c r="I669" s="16">
        <f>ABS(Solieusap!I669)</f>
        <v>0.47595</v>
      </c>
      <c r="J669" s="16">
        <f>ABS(Solieusap!J669)</f>
        <v>0.26906</v>
      </c>
      <c r="K669" s="16">
        <f t="shared" si="1"/>
        <v>2.5913</v>
      </c>
      <c r="L669" s="16">
        <f t="shared" si="2"/>
        <v>0.47595</v>
      </c>
    </row>
    <row r="670" ht="16.5" customHeight="1">
      <c r="A670" s="15" t="str">
        <f>Solieusap!A670</f>
        <v>Cũ</v>
      </c>
      <c r="B670" s="15">
        <f>Solieusap!B670</f>
        <v>0</v>
      </c>
      <c r="C670" s="15" t="str">
        <f>Solieusap!C670</f>
        <v>COMB6</v>
      </c>
      <c r="D670" s="15" t="str">
        <f>Solieusap!D670</f>
        <v>Combination</v>
      </c>
      <c r="E670" s="16">
        <f>ABS(Solieusap!E670)</f>
        <v>2.8627</v>
      </c>
      <c r="F670" s="16">
        <f>ABS(Solieusap!F670)</f>
        <v>0.3169</v>
      </c>
      <c r="G670" s="16">
        <f>ABS(Solieusap!G670)</f>
        <v>0.2144</v>
      </c>
      <c r="H670" s="16">
        <f>ABS(Solieusap!H670)</f>
        <v>0.00011</v>
      </c>
      <c r="I670" s="16">
        <f>ABS(Solieusap!I670)</f>
        <v>0.37832</v>
      </c>
      <c r="J670" s="16">
        <f>ABS(Solieusap!J670)</f>
        <v>0.15355</v>
      </c>
      <c r="K670" s="16">
        <f t="shared" si="1"/>
        <v>2.8627</v>
      </c>
      <c r="L670" s="16">
        <f t="shared" si="2"/>
        <v>0.37832</v>
      </c>
    </row>
    <row r="671" ht="16.5" customHeight="1">
      <c r="A671" s="15" t="str">
        <f>Solieusap!A671</f>
        <v>Cũ</v>
      </c>
      <c r="B671" s="15">
        <f>Solieusap!B671</f>
        <v>1.75</v>
      </c>
      <c r="C671" s="15" t="str">
        <f>Solieusap!C671</f>
        <v>COMB6</v>
      </c>
      <c r="D671" s="15" t="str">
        <f>Solieusap!D671</f>
        <v>Combination</v>
      </c>
      <c r="E671" s="16">
        <f>ABS(Solieusap!E671)</f>
        <v>2.6702</v>
      </c>
      <c r="F671" s="16">
        <f>ABS(Solieusap!F671)</f>
        <v>0.0019</v>
      </c>
      <c r="G671" s="16">
        <f>ABS(Solieusap!G671)</f>
        <v>0.2144</v>
      </c>
      <c r="H671" s="16">
        <f>ABS(Solieusap!H671)</f>
        <v>0.00011</v>
      </c>
      <c r="I671" s="16">
        <f>ABS(Solieusap!I671)</f>
        <v>0.00317</v>
      </c>
      <c r="J671" s="16">
        <f>ABS(Solieusap!J671)</f>
        <v>0.1254</v>
      </c>
      <c r="K671" s="16">
        <f t="shared" si="1"/>
        <v>2.6702</v>
      </c>
      <c r="L671" s="16">
        <f t="shared" si="2"/>
        <v>0.00317</v>
      </c>
    </row>
    <row r="672" ht="16.5" customHeight="1">
      <c r="A672" s="15" t="str">
        <f>Solieusap!A672</f>
        <v>Cũ</v>
      </c>
      <c r="B672" s="15">
        <f>Solieusap!B672</f>
        <v>3.5</v>
      </c>
      <c r="C672" s="15" t="str">
        <f>Solieusap!C672</f>
        <v>COMB6</v>
      </c>
      <c r="D672" s="15" t="str">
        <f>Solieusap!D672</f>
        <v>Combination</v>
      </c>
      <c r="E672" s="16">
        <f>ABS(Solieusap!E672)</f>
        <v>2.4777</v>
      </c>
      <c r="F672" s="16">
        <f>ABS(Solieusap!F672)</f>
        <v>0.3131</v>
      </c>
      <c r="G672" s="16">
        <f>ABS(Solieusap!G672)</f>
        <v>0.2144</v>
      </c>
      <c r="H672" s="16">
        <f>ABS(Solieusap!H672)</f>
        <v>0.00011</v>
      </c>
      <c r="I672" s="16">
        <f>ABS(Solieusap!I672)</f>
        <v>0.37198</v>
      </c>
      <c r="J672" s="16">
        <f>ABS(Solieusap!J672)</f>
        <v>0.1469</v>
      </c>
      <c r="K672" s="16">
        <f t="shared" si="1"/>
        <v>2.4777</v>
      </c>
      <c r="L672" s="16">
        <f t="shared" si="2"/>
        <v>0.37198</v>
      </c>
    </row>
    <row r="673" ht="16.5" customHeight="1">
      <c r="A673" s="15" t="str">
        <f>Solieusap!A673</f>
        <v>Cũ</v>
      </c>
      <c r="B673" s="15">
        <f>Solieusap!B673</f>
        <v>0</v>
      </c>
      <c r="C673" s="15" t="str">
        <f>Solieusap!C673</f>
        <v>COMB7</v>
      </c>
      <c r="D673" s="15" t="str">
        <f>Solieusap!D673</f>
        <v>Combination</v>
      </c>
      <c r="E673" s="16">
        <f>ABS(Solieusap!E673)</f>
        <v>2.9982</v>
      </c>
      <c r="F673" s="16">
        <f>ABS(Solieusap!F673)</f>
        <v>0.5349</v>
      </c>
      <c r="G673" s="16">
        <f>ABS(Solieusap!G673)</f>
        <v>0.2183</v>
      </c>
      <c r="H673" s="16">
        <f>ABS(Solieusap!H673)</f>
        <v>0.00003978</v>
      </c>
      <c r="I673" s="16">
        <f>ABS(Solieusap!I673)</f>
        <v>0.3871</v>
      </c>
      <c r="J673" s="16">
        <f>ABS(Solieusap!J673)</f>
        <v>0.61695</v>
      </c>
      <c r="K673" s="16">
        <f t="shared" si="1"/>
        <v>2.9982</v>
      </c>
      <c r="L673" s="16">
        <f t="shared" si="2"/>
        <v>0.3871</v>
      </c>
    </row>
    <row r="674" ht="16.5" customHeight="1">
      <c r="A674" s="15" t="str">
        <f>Solieusap!A674</f>
        <v>Cũ</v>
      </c>
      <c r="B674" s="15">
        <f>Solieusap!B674</f>
        <v>1.75</v>
      </c>
      <c r="C674" s="15" t="str">
        <f>Solieusap!C674</f>
        <v>COMB7</v>
      </c>
      <c r="D674" s="15" t="str">
        <f>Solieusap!D674</f>
        <v>Combination</v>
      </c>
      <c r="E674" s="16">
        <f>ABS(Solieusap!E674)</f>
        <v>2.8057</v>
      </c>
      <c r="F674" s="16">
        <f>ABS(Solieusap!F674)</f>
        <v>0.2987</v>
      </c>
      <c r="G674" s="16">
        <f>ABS(Solieusap!G674)</f>
        <v>0.2183</v>
      </c>
      <c r="H674" s="16">
        <f>ABS(Solieusap!H674)</f>
        <v>0.00003978</v>
      </c>
      <c r="I674" s="16">
        <f>ABS(Solieusap!I674)</f>
        <v>0.0051</v>
      </c>
      <c r="J674" s="16">
        <f>ABS(Solieusap!J674)</f>
        <v>0.11241</v>
      </c>
      <c r="K674" s="16">
        <f t="shared" si="1"/>
        <v>2.8057</v>
      </c>
      <c r="L674" s="16">
        <f t="shared" si="2"/>
        <v>0.0051</v>
      </c>
    </row>
    <row r="675" ht="16.5" customHeight="1">
      <c r="A675" s="15" t="str">
        <f>Solieusap!A675</f>
        <v>Cũ</v>
      </c>
      <c r="B675" s="15">
        <f>Solieusap!B675</f>
        <v>3.5</v>
      </c>
      <c r="C675" s="15" t="str">
        <f>Solieusap!C675</f>
        <v>COMB7</v>
      </c>
      <c r="D675" s="15" t="str">
        <f>Solieusap!D675</f>
        <v>Combination</v>
      </c>
      <c r="E675" s="16">
        <f>ABS(Solieusap!E675)</f>
        <v>2.6132</v>
      </c>
      <c r="F675" s="16">
        <f>ABS(Solieusap!F675)</f>
        <v>0.0624</v>
      </c>
      <c r="G675" s="16">
        <f>ABS(Solieusap!G675)</f>
        <v>0.2183</v>
      </c>
      <c r="H675" s="16">
        <f>ABS(Solieusap!H675)</f>
        <v>0.00003978</v>
      </c>
      <c r="I675" s="16">
        <f>ABS(Solieusap!I675)</f>
        <v>0.3769</v>
      </c>
      <c r="J675" s="16">
        <f>ABS(Solieusap!J675)</f>
        <v>0.42834</v>
      </c>
      <c r="K675" s="16">
        <f t="shared" si="1"/>
        <v>2.6132</v>
      </c>
      <c r="L675" s="16">
        <f t="shared" si="2"/>
        <v>0.3769</v>
      </c>
    </row>
    <row r="676" ht="16.5" customHeight="1">
      <c r="A676" s="15" t="str">
        <f>Solieusap!A676</f>
        <v>Cũ</v>
      </c>
      <c r="B676" s="15">
        <f>Solieusap!B676</f>
        <v>0</v>
      </c>
      <c r="C676" s="15" t="str">
        <f>Solieusap!C676</f>
        <v>COMB1</v>
      </c>
      <c r="D676" s="15" t="str">
        <f>Solieusap!D676</f>
        <v>Combination</v>
      </c>
      <c r="E676" s="16">
        <f>ABS(Solieusap!E676)</f>
        <v>2.9937</v>
      </c>
      <c r="F676" s="16">
        <f>ABS(Solieusap!F676)</f>
        <v>0.1555</v>
      </c>
      <c r="G676" s="16">
        <f>ABS(Solieusap!G676)</f>
        <v>0.224</v>
      </c>
      <c r="H676" s="16">
        <f>ABS(Solieusap!H676)</f>
        <v>0.000058</v>
      </c>
      <c r="I676" s="16">
        <f>ABS(Solieusap!I676)</f>
        <v>0.39565</v>
      </c>
      <c r="J676" s="16">
        <f>ABS(Solieusap!J676)</f>
        <v>0.26636</v>
      </c>
      <c r="K676" s="16">
        <f t="shared" si="1"/>
        <v>2.9937</v>
      </c>
      <c r="L676" s="16">
        <f t="shared" si="2"/>
        <v>0.39565</v>
      </c>
    </row>
    <row r="677" ht="16.5" customHeight="1">
      <c r="A677" s="15" t="str">
        <f>Solieusap!A677</f>
        <v>Cũ</v>
      </c>
      <c r="B677" s="15">
        <f>Solieusap!B677</f>
        <v>1.75</v>
      </c>
      <c r="C677" s="15" t="str">
        <f>Solieusap!C677</f>
        <v>COMB1</v>
      </c>
      <c r="D677" s="15" t="str">
        <f>Solieusap!D677</f>
        <v>Combination</v>
      </c>
      <c r="E677" s="16">
        <f>ABS(Solieusap!E677)</f>
        <v>2.8012</v>
      </c>
      <c r="F677" s="16">
        <f>ABS(Solieusap!F677)</f>
        <v>0.1555</v>
      </c>
      <c r="G677" s="16">
        <f>ABS(Solieusap!G677)</f>
        <v>0.224</v>
      </c>
      <c r="H677" s="16">
        <f>ABS(Solieusap!H677)</f>
        <v>0.000058</v>
      </c>
      <c r="I677" s="16">
        <f>ABS(Solieusap!I677)</f>
        <v>0.00367</v>
      </c>
      <c r="J677" s="16">
        <f>ABS(Solieusap!J677)</f>
        <v>0.00569</v>
      </c>
      <c r="K677" s="16">
        <f t="shared" si="1"/>
        <v>2.8012</v>
      </c>
      <c r="L677" s="16">
        <f t="shared" si="2"/>
        <v>0.00367</v>
      </c>
    </row>
    <row r="678" ht="16.5" customHeight="1">
      <c r="A678" s="15" t="str">
        <f>Solieusap!A678</f>
        <v>Cũ</v>
      </c>
      <c r="B678" s="15">
        <f>Solieusap!B678</f>
        <v>3.5</v>
      </c>
      <c r="C678" s="15" t="str">
        <f>Solieusap!C678</f>
        <v>COMB1</v>
      </c>
      <c r="D678" s="15" t="str">
        <f>Solieusap!D678</f>
        <v>Combination</v>
      </c>
      <c r="E678" s="16">
        <f>ABS(Solieusap!E678)</f>
        <v>2.6087</v>
      </c>
      <c r="F678" s="16">
        <f>ABS(Solieusap!F678)</f>
        <v>0.1555</v>
      </c>
      <c r="G678" s="16">
        <f>ABS(Solieusap!G678)</f>
        <v>0.224</v>
      </c>
      <c r="H678" s="16">
        <f>ABS(Solieusap!H678)</f>
        <v>0.000058</v>
      </c>
      <c r="I678" s="16">
        <f>ABS(Solieusap!I678)</f>
        <v>0.3883</v>
      </c>
      <c r="J678" s="16">
        <f>ABS(Solieusap!J678)</f>
        <v>0.27774</v>
      </c>
      <c r="K678" s="16">
        <f t="shared" si="1"/>
        <v>2.6087</v>
      </c>
      <c r="L678" s="16">
        <f t="shared" si="2"/>
        <v>0.3883</v>
      </c>
    </row>
    <row r="679" ht="16.5" customHeight="1">
      <c r="A679" s="15" t="str">
        <f>Solieusap!A679</f>
        <v>Cũ</v>
      </c>
      <c r="B679" s="15">
        <f>Solieusap!B679</f>
        <v>0</v>
      </c>
      <c r="C679" s="15" t="str">
        <f>Solieusap!C679</f>
        <v>COMB2</v>
      </c>
      <c r="D679" s="15" t="str">
        <f>Solieusap!D679</f>
        <v>Combination</v>
      </c>
      <c r="E679" s="16">
        <f>ABS(Solieusap!E679)</f>
        <v>2.3747</v>
      </c>
      <c r="F679" s="16">
        <f>ABS(Solieusap!F679)</f>
        <v>0.5296</v>
      </c>
      <c r="G679" s="16">
        <f>ABS(Solieusap!G679)</f>
        <v>0.1493</v>
      </c>
      <c r="H679" s="16">
        <f>ABS(Solieusap!H679)</f>
        <v>0.00002071</v>
      </c>
      <c r="I679" s="16">
        <f>ABS(Solieusap!I679)</f>
        <v>0.27064</v>
      </c>
      <c r="J679" s="16">
        <f>ABS(Solieusap!J679)</f>
        <v>0.57781</v>
      </c>
      <c r="K679" s="16">
        <f t="shared" si="1"/>
        <v>2.3747</v>
      </c>
      <c r="L679" s="16">
        <f t="shared" si="2"/>
        <v>0.27064</v>
      </c>
    </row>
    <row r="680" ht="16.5" customHeight="1">
      <c r="A680" s="15" t="str">
        <f>Solieusap!A680</f>
        <v>Cũ</v>
      </c>
      <c r="B680" s="15">
        <f>Solieusap!B680</f>
        <v>1.75</v>
      </c>
      <c r="C680" s="15" t="str">
        <f>Solieusap!C680</f>
        <v>COMB2</v>
      </c>
      <c r="D680" s="15" t="str">
        <f>Solieusap!D680</f>
        <v>Combination</v>
      </c>
      <c r="E680" s="16">
        <f>ABS(Solieusap!E680)</f>
        <v>2.1822</v>
      </c>
      <c r="F680" s="16">
        <f>ABS(Solieusap!F680)</f>
        <v>0.2671</v>
      </c>
      <c r="G680" s="16">
        <f>ABS(Solieusap!G680)</f>
        <v>0.1493</v>
      </c>
      <c r="H680" s="16">
        <f>ABS(Solieusap!H680)</f>
        <v>0.00002071</v>
      </c>
      <c r="I680" s="16">
        <f>ABS(Solieusap!I680)</f>
        <v>0.00941</v>
      </c>
      <c r="J680" s="16">
        <f>ABS(Solieusap!J680)</f>
        <v>0.11932</v>
      </c>
      <c r="K680" s="16">
        <f t="shared" si="1"/>
        <v>2.1822</v>
      </c>
      <c r="L680" s="16">
        <f t="shared" si="2"/>
        <v>0.00941</v>
      </c>
    </row>
    <row r="681" ht="16.5" customHeight="1">
      <c r="A681" s="15" t="str">
        <f>Solieusap!A681</f>
        <v>Cũ</v>
      </c>
      <c r="B681" s="15">
        <f>Solieusap!B681</f>
        <v>3.5</v>
      </c>
      <c r="C681" s="15" t="str">
        <f>Solieusap!C681</f>
        <v>COMB2</v>
      </c>
      <c r="D681" s="15" t="str">
        <f>Solieusap!D681</f>
        <v>Combination</v>
      </c>
      <c r="E681" s="16">
        <f>ABS(Solieusap!E681)</f>
        <v>1.9897</v>
      </c>
      <c r="F681" s="16">
        <f>ABS(Solieusap!F681)</f>
        <v>0.0046</v>
      </c>
      <c r="G681" s="16">
        <f>ABS(Solieusap!G681)</f>
        <v>0.1493</v>
      </c>
      <c r="H681" s="16">
        <f>ABS(Solieusap!H681)</f>
        <v>0.00002071</v>
      </c>
      <c r="I681" s="16">
        <f>ABS(Solieusap!I681)</f>
        <v>0.25181</v>
      </c>
      <c r="J681" s="16">
        <f>ABS(Solieusap!J681)</f>
        <v>0.35707</v>
      </c>
      <c r="K681" s="16">
        <f t="shared" si="1"/>
        <v>1.9897</v>
      </c>
      <c r="L681" s="16">
        <f t="shared" si="2"/>
        <v>0.25181</v>
      </c>
    </row>
    <row r="682" ht="16.5" customHeight="1">
      <c r="A682" s="15" t="str">
        <f>Solieusap!A682</f>
        <v>Cũ</v>
      </c>
      <c r="B682" s="15">
        <f>Solieusap!B682</f>
        <v>0</v>
      </c>
      <c r="C682" s="15" t="str">
        <f>Solieusap!C682</f>
        <v>COMB3</v>
      </c>
      <c r="D682" s="15" t="str">
        <f>Solieusap!D682</f>
        <v>Combination</v>
      </c>
      <c r="E682" s="16">
        <f>ABS(Solieusap!E682)</f>
        <v>2.2242</v>
      </c>
      <c r="F682" s="16">
        <f>ABS(Solieusap!F682)</f>
        <v>0.4168</v>
      </c>
      <c r="G682" s="16">
        <f>ABS(Solieusap!G682)</f>
        <v>0.1449</v>
      </c>
      <c r="H682" s="16">
        <f>ABS(Solieusap!H682)</f>
        <v>0.0001</v>
      </c>
      <c r="I682" s="16">
        <f>ABS(Solieusap!I682)</f>
        <v>0.26088</v>
      </c>
      <c r="J682" s="16">
        <f>ABS(Solieusap!J682)</f>
        <v>0.2783</v>
      </c>
      <c r="K682" s="16">
        <f t="shared" si="1"/>
        <v>2.2242</v>
      </c>
      <c r="L682" s="16">
        <f t="shared" si="2"/>
        <v>0.26088</v>
      </c>
    </row>
    <row r="683" ht="16.5" customHeight="1">
      <c r="A683" s="15" t="str">
        <f>Solieusap!A683</f>
        <v>Cũ</v>
      </c>
      <c r="B683" s="15">
        <f>Solieusap!B683</f>
        <v>1.75</v>
      </c>
      <c r="C683" s="15" t="str">
        <f>Solieusap!C683</f>
        <v>COMB3</v>
      </c>
      <c r="D683" s="15" t="str">
        <f>Solieusap!D683</f>
        <v>Combination</v>
      </c>
      <c r="E683" s="16">
        <f>ABS(Solieusap!E683)</f>
        <v>2.0317</v>
      </c>
      <c r="F683" s="16">
        <f>ABS(Solieusap!F683)</f>
        <v>0.0668</v>
      </c>
      <c r="G683" s="16">
        <f>ABS(Solieusap!G683)</f>
        <v>0.1449</v>
      </c>
      <c r="H683" s="16">
        <f>ABS(Solieusap!H683)</f>
        <v>0.0001</v>
      </c>
      <c r="I683" s="16">
        <f>ABS(Solieusap!I683)</f>
        <v>0.00726</v>
      </c>
      <c r="J683" s="16">
        <f>ABS(Solieusap!J683)</f>
        <v>0.14492</v>
      </c>
      <c r="K683" s="16">
        <f t="shared" si="1"/>
        <v>2.0317</v>
      </c>
      <c r="L683" s="16">
        <f t="shared" si="2"/>
        <v>0.00726</v>
      </c>
    </row>
    <row r="684" ht="16.5" customHeight="1">
      <c r="A684" s="15" t="str">
        <f>Solieusap!A684</f>
        <v>Cũ</v>
      </c>
      <c r="B684" s="15">
        <f>Solieusap!B684</f>
        <v>3.5</v>
      </c>
      <c r="C684" s="15" t="str">
        <f>Solieusap!C684</f>
        <v>COMB3</v>
      </c>
      <c r="D684" s="15" t="str">
        <f>Solieusap!D684</f>
        <v>Combination</v>
      </c>
      <c r="E684" s="16">
        <f>ABS(Solieusap!E684)</f>
        <v>1.8392</v>
      </c>
      <c r="F684" s="16">
        <f>ABS(Solieusap!F684)</f>
        <v>0.2832</v>
      </c>
      <c r="G684" s="16">
        <f>ABS(Solieusap!G684)</f>
        <v>0.1449</v>
      </c>
      <c r="H684" s="16">
        <f>ABS(Solieusap!H684)</f>
        <v>0.0001</v>
      </c>
      <c r="I684" s="16">
        <f>ABS(Solieusap!I684)</f>
        <v>0.24635</v>
      </c>
      <c r="J684" s="16">
        <f>ABS(Solieusap!J684)</f>
        <v>0.04436</v>
      </c>
      <c r="K684" s="16">
        <f t="shared" si="1"/>
        <v>1.8392</v>
      </c>
      <c r="L684" s="16">
        <f t="shared" si="2"/>
        <v>0.24635</v>
      </c>
    </row>
    <row r="685" ht="16.5" customHeight="1">
      <c r="A685" s="15" t="str">
        <f>Solieusap!A685</f>
        <v>Cũ</v>
      </c>
      <c r="B685" s="15">
        <f>Solieusap!B685</f>
        <v>0</v>
      </c>
      <c r="C685" s="15" t="str">
        <f>Solieusap!C685</f>
        <v>COMB4</v>
      </c>
      <c r="D685" s="15" t="str">
        <f>Solieusap!D685</f>
        <v>Combination</v>
      </c>
      <c r="E685" s="16">
        <f>ABS(Solieusap!E685)</f>
        <v>2.3504</v>
      </c>
      <c r="F685" s="16">
        <f>ABS(Solieusap!F685)</f>
        <v>0.1032</v>
      </c>
      <c r="G685" s="16">
        <f>ABS(Solieusap!G685)</f>
        <v>0.543</v>
      </c>
      <c r="H685" s="16">
        <f>ABS(Solieusap!H685)</f>
        <v>0.00005023</v>
      </c>
      <c r="I685" s="16">
        <f>ABS(Solieusap!I685)</f>
        <v>0.6198</v>
      </c>
      <c r="J685" s="16">
        <f>ABS(Solieusap!J685)</f>
        <v>0.1811</v>
      </c>
      <c r="K685" s="16">
        <f t="shared" si="1"/>
        <v>2.3504</v>
      </c>
      <c r="L685" s="16">
        <f t="shared" si="2"/>
        <v>0.6198</v>
      </c>
    </row>
    <row r="686" ht="16.5" customHeight="1">
      <c r="A686" s="15" t="str">
        <f>Solieusap!A686</f>
        <v>Cũ</v>
      </c>
      <c r="B686" s="15">
        <f>Solieusap!B686</f>
        <v>1.75</v>
      </c>
      <c r="C686" s="15" t="str">
        <f>Solieusap!C686</f>
        <v>COMB4</v>
      </c>
      <c r="D686" s="15" t="str">
        <f>Solieusap!D686</f>
        <v>Combination</v>
      </c>
      <c r="E686" s="16">
        <f>ABS(Solieusap!E686)</f>
        <v>2.1579</v>
      </c>
      <c r="F686" s="16">
        <f>ABS(Solieusap!F686)</f>
        <v>0.1032</v>
      </c>
      <c r="G686" s="16">
        <f>ABS(Solieusap!G686)</f>
        <v>0.2805</v>
      </c>
      <c r="H686" s="16">
        <f>ABS(Solieusap!H686)</f>
        <v>0.00005023</v>
      </c>
      <c r="I686" s="16">
        <f>ABS(Solieusap!I686)</f>
        <v>0.10072</v>
      </c>
      <c r="J686" s="16">
        <f>ABS(Solieusap!J686)</f>
        <v>0.0005</v>
      </c>
      <c r="K686" s="16">
        <f t="shared" si="1"/>
        <v>2.1579</v>
      </c>
      <c r="L686" s="16">
        <f t="shared" si="2"/>
        <v>0.10072</v>
      </c>
    </row>
    <row r="687" ht="16.5" customHeight="1">
      <c r="A687" s="15" t="str">
        <f>Solieusap!A687</f>
        <v>Cũ</v>
      </c>
      <c r="B687" s="15">
        <f>Solieusap!B687</f>
        <v>3.5</v>
      </c>
      <c r="C687" s="15" t="str">
        <f>Solieusap!C687</f>
        <v>COMB4</v>
      </c>
      <c r="D687" s="15" t="str">
        <f>Solieusap!D687</f>
        <v>Combination</v>
      </c>
      <c r="E687" s="16">
        <f>ABS(Solieusap!E687)</f>
        <v>1.9654</v>
      </c>
      <c r="F687" s="16">
        <f>ABS(Solieusap!F687)</f>
        <v>0.1032</v>
      </c>
      <c r="G687" s="16">
        <f>ABS(Solieusap!G687)</f>
        <v>0.018</v>
      </c>
      <c r="H687" s="16">
        <f>ABS(Solieusap!H687)</f>
        <v>0.00005023</v>
      </c>
      <c r="I687" s="16">
        <f>ABS(Solieusap!I687)</f>
        <v>0.36187</v>
      </c>
      <c r="J687" s="16">
        <f>ABS(Solieusap!J687)</f>
        <v>0.1801</v>
      </c>
      <c r="K687" s="16">
        <f t="shared" si="1"/>
        <v>1.9654</v>
      </c>
      <c r="L687" s="16">
        <f t="shared" si="2"/>
        <v>0.36187</v>
      </c>
    </row>
    <row r="688" ht="16.5" customHeight="1">
      <c r="A688" s="15" t="str">
        <f>Solieusap!A688</f>
        <v>Cũ</v>
      </c>
      <c r="B688" s="15">
        <f>Solieusap!B688</f>
        <v>0</v>
      </c>
      <c r="C688" s="15" t="str">
        <f>Solieusap!C688</f>
        <v>COMB5</v>
      </c>
      <c r="D688" s="15" t="str">
        <f>Solieusap!D688</f>
        <v>Combination</v>
      </c>
      <c r="E688" s="16">
        <f>ABS(Solieusap!E688)</f>
        <v>2.9763</v>
      </c>
      <c r="F688" s="16">
        <f>ABS(Solieusap!F688)</f>
        <v>0.1511</v>
      </c>
      <c r="G688" s="16">
        <f>ABS(Solieusap!G688)</f>
        <v>0.5726</v>
      </c>
      <c r="H688" s="16">
        <f>ABS(Solieusap!H688)</f>
        <v>0.00006635</v>
      </c>
      <c r="I688" s="16">
        <f>ABS(Solieusap!I688)</f>
        <v>0.70135</v>
      </c>
      <c r="J688" s="16">
        <f>ABS(Solieusap!J688)</f>
        <v>0.2599</v>
      </c>
      <c r="K688" s="16">
        <f t="shared" si="1"/>
        <v>2.9763</v>
      </c>
      <c r="L688" s="16">
        <f t="shared" si="2"/>
        <v>0.70135</v>
      </c>
    </row>
    <row r="689" ht="16.5" customHeight="1">
      <c r="A689" s="15" t="str">
        <f>Solieusap!A689</f>
        <v>Cũ</v>
      </c>
      <c r="B689" s="15">
        <f>Solieusap!B689</f>
        <v>1.75</v>
      </c>
      <c r="C689" s="15" t="str">
        <f>Solieusap!C689</f>
        <v>COMB5</v>
      </c>
      <c r="D689" s="15" t="str">
        <f>Solieusap!D689</f>
        <v>Combination</v>
      </c>
      <c r="E689" s="16">
        <f>ABS(Solieusap!E689)</f>
        <v>2.7838</v>
      </c>
      <c r="F689" s="16">
        <f>ABS(Solieusap!F689)</f>
        <v>0.1511</v>
      </c>
      <c r="G689" s="16">
        <f>ABS(Solieusap!G689)</f>
        <v>0.3364</v>
      </c>
      <c r="H689" s="16">
        <f>ABS(Solieusap!H689)</f>
        <v>0.00006635</v>
      </c>
      <c r="I689" s="16">
        <f>ABS(Solieusap!I689)</f>
        <v>0.09402</v>
      </c>
      <c r="J689" s="16">
        <f>ABS(Solieusap!J689)</f>
        <v>0.00458</v>
      </c>
      <c r="K689" s="16">
        <f t="shared" si="1"/>
        <v>2.7838</v>
      </c>
      <c r="L689" s="16">
        <f t="shared" si="2"/>
        <v>0.09402</v>
      </c>
    </row>
    <row r="690" ht="16.5" customHeight="1">
      <c r="A690" s="15" t="str">
        <f>Solieusap!A690</f>
        <v>Cũ</v>
      </c>
      <c r="B690" s="15">
        <f>Solieusap!B690</f>
        <v>3.5</v>
      </c>
      <c r="C690" s="15" t="str">
        <f>Solieusap!C690</f>
        <v>COMB5</v>
      </c>
      <c r="D690" s="15" t="str">
        <f>Solieusap!D690</f>
        <v>Combination</v>
      </c>
      <c r="E690" s="16">
        <f>ABS(Solieusap!E690)</f>
        <v>2.5913</v>
      </c>
      <c r="F690" s="16">
        <f>ABS(Solieusap!F690)</f>
        <v>0.1511</v>
      </c>
      <c r="G690" s="16">
        <f>ABS(Solieusap!G690)</f>
        <v>0.1001</v>
      </c>
      <c r="H690" s="16">
        <f>ABS(Solieusap!H690)</f>
        <v>0.00006635</v>
      </c>
      <c r="I690" s="16">
        <f>ABS(Solieusap!I690)</f>
        <v>0.47595</v>
      </c>
      <c r="J690" s="16">
        <f>ABS(Solieusap!J690)</f>
        <v>0.26906</v>
      </c>
      <c r="K690" s="16">
        <f t="shared" si="1"/>
        <v>2.5913</v>
      </c>
      <c r="L690" s="16">
        <f t="shared" si="2"/>
        <v>0.47595</v>
      </c>
    </row>
    <row r="691" ht="16.5" customHeight="1">
      <c r="A691" s="15" t="str">
        <f>Solieusap!A691</f>
        <v>Cũ</v>
      </c>
      <c r="B691" s="15">
        <f>Solieusap!B691</f>
        <v>0</v>
      </c>
      <c r="C691" s="15" t="str">
        <f>Solieusap!C691</f>
        <v>COMB6</v>
      </c>
      <c r="D691" s="15" t="str">
        <f>Solieusap!D691</f>
        <v>Combination</v>
      </c>
      <c r="E691" s="16">
        <f>ABS(Solieusap!E691)</f>
        <v>2.8627</v>
      </c>
      <c r="F691" s="16">
        <f>ABS(Solieusap!F691)</f>
        <v>0.3169</v>
      </c>
      <c r="G691" s="16">
        <f>ABS(Solieusap!G691)</f>
        <v>0.2144</v>
      </c>
      <c r="H691" s="16">
        <f>ABS(Solieusap!H691)</f>
        <v>0.00011</v>
      </c>
      <c r="I691" s="16">
        <f>ABS(Solieusap!I691)</f>
        <v>0.37832</v>
      </c>
      <c r="J691" s="16">
        <f>ABS(Solieusap!J691)</f>
        <v>0.15355</v>
      </c>
      <c r="K691" s="16">
        <f t="shared" si="1"/>
        <v>2.8627</v>
      </c>
      <c r="L691" s="16">
        <f t="shared" si="2"/>
        <v>0.37832</v>
      </c>
    </row>
    <row r="692" ht="16.5" customHeight="1">
      <c r="A692" s="15" t="str">
        <f>Solieusap!A692</f>
        <v>Cũ</v>
      </c>
      <c r="B692" s="15">
        <f>Solieusap!B692</f>
        <v>1.75</v>
      </c>
      <c r="C692" s="15" t="str">
        <f>Solieusap!C692</f>
        <v>COMB6</v>
      </c>
      <c r="D692" s="15" t="str">
        <f>Solieusap!D692</f>
        <v>Combination</v>
      </c>
      <c r="E692" s="16">
        <f>ABS(Solieusap!E692)</f>
        <v>2.6702</v>
      </c>
      <c r="F692" s="16">
        <f>ABS(Solieusap!F692)</f>
        <v>0.0019</v>
      </c>
      <c r="G692" s="16">
        <f>ABS(Solieusap!G692)</f>
        <v>0.2144</v>
      </c>
      <c r="H692" s="16">
        <f>ABS(Solieusap!H692)</f>
        <v>0.00011</v>
      </c>
      <c r="I692" s="16">
        <f>ABS(Solieusap!I692)</f>
        <v>0.00317</v>
      </c>
      <c r="J692" s="16">
        <f>ABS(Solieusap!J692)</f>
        <v>0.1254</v>
      </c>
      <c r="K692" s="16">
        <f t="shared" si="1"/>
        <v>2.6702</v>
      </c>
      <c r="L692" s="16">
        <f t="shared" si="2"/>
        <v>0.00317</v>
      </c>
    </row>
    <row r="693" ht="16.5" customHeight="1">
      <c r="A693" s="15" t="str">
        <f>Solieusap!A693</f>
        <v>Cũ</v>
      </c>
      <c r="B693" s="15">
        <f>Solieusap!B693</f>
        <v>3.5</v>
      </c>
      <c r="C693" s="15" t="str">
        <f>Solieusap!C693</f>
        <v>COMB6</v>
      </c>
      <c r="D693" s="15" t="str">
        <f>Solieusap!D693</f>
        <v>Combination</v>
      </c>
      <c r="E693" s="16">
        <f>ABS(Solieusap!E693)</f>
        <v>2.4777</v>
      </c>
      <c r="F693" s="16">
        <f>ABS(Solieusap!F693)</f>
        <v>0.3131</v>
      </c>
      <c r="G693" s="16">
        <f>ABS(Solieusap!G693)</f>
        <v>0.2144</v>
      </c>
      <c r="H693" s="16">
        <f>ABS(Solieusap!H693)</f>
        <v>0.00011</v>
      </c>
      <c r="I693" s="16">
        <f>ABS(Solieusap!I693)</f>
        <v>0.37198</v>
      </c>
      <c r="J693" s="16">
        <f>ABS(Solieusap!J693)</f>
        <v>0.1469</v>
      </c>
      <c r="K693" s="16">
        <f t="shared" si="1"/>
        <v>2.4777</v>
      </c>
      <c r="L693" s="16">
        <f t="shared" si="2"/>
        <v>0.37198</v>
      </c>
    </row>
    <row r="694" ht="16.5" customHeight="1">
      <c r="A694" s="15" t="str">
        <f>Solieusap!A694</f>
        <v>Cũ</v>
      </c>
      <c r="B694" s="15">
        <f>Solieusap!B694</f>
        <v>0</v>
      </c>
      <c r="C694" s="15" t="str">
        <f>Solieusap!C694</f>
        <v>COMB7</v>
      </c>
      <c r="D694" s="15" t="str">
        <f>Solieusap!D694</f>
        <v>Combination</v>
      </c>
      <c r="E694" s="16">
        <f>ABS(Solieusap!E694)</f>
        <v>2.9982</v>
      </c>
      <c r="F694" s="16">
        <f>ABS(Solieusap!F694)</f>
        <v>0.5349</v>
      </c>
      <c r="G694" s="16">
        <f>ABS(Solieusap!G694)</f>
        <v>0.2183</v>
      </c>
      <c r="H694" s="16">
        <f>ABS(Solieusap!H694)</f>
        <v>0.00003978</v>
      </c>
      <c r="I694" s="16">
        <f>ABS(Solieusap!I694)</f>
        <v>0.3871</v>
      </c>
      <c r="J694" s="16">
        <f>ABS(Solieusap!J694)</f>
        <v>0.61695</v>
      </c>
      <c r="K694" s="16">
        <f t="shared" si="1"/>
        <v>2.9982</v>
      </c>
      <c r="L694" s="16">
        <f t="shared" si="2"/>
        <v>0.3871</v>
      </c>
    </row>
    <row r="695" ht="16.5" customHeight="1">
      <c r="A695" s="15" t="str">
        <f>Solieusap!A695</f>
        <v>Cũ</v>
      </c>
      <c r="B695" s="15">
        <f>Solieusap!B695</f>
        <v>1.75</v>
      </c>
      <c r="C695" s="15" t="str">
        <f>Solieusap!C695</f>
        <v>COMB7</v>
      </c>
      <c r="D695" s="15" t="str">
        <f>Solieusap!D695</f>
        <v>Combination</v>
      </c>
      <c r="E695" s="16">
        <f>ABS(Solieusap!E695)</f>
        <v>2.8057</v>
      </c>
      <c r="F695" s="16">
        <f>ABS(Solieusap!F695)</f>
        <v>0.2987</v>
      </c>
      <c r="G695" s="16">
        <f>ABS(Solieusap!G695)</f>
        <v>0.2183</v>
      </c>
      <c r="H695" s="16">
        <f>ABS(Solieusap!H695)</f>
        <v>0.00003978</v>
      </c>
      <c r="I695" s="16">
        <f>ABS(Solieusap!I695)</f>
        <v>0.0051</v>
      </c>
      <c r="J695" s="16">
        <f>ABS(Solieusap!J695)</f>
        <v>0.11241</v>
      </c>
      <c r="K695" s="16">
        <f t="shared" si="1"/>
        <v>2.8057</v>
      </c>
      <c r="L695" s="16">
        <f t="shared" si="2"/>
        <v>0.0051</v>
      </c>
    </row>
    <row r="696" ht="16.5" customHeight="1">
      <c r="A696" s="15" t="str">
        <f>Solieusap!A696</f>
        <v>Cũ</v>
      </c>
      <c r="B696" s="15">
        <f>Solieusap!B696</f>
        <v>3.5</v>
      </c>
      <c r="C696" s="15" t="str">
        <f>Solieusap!C696</f>
        <v>COMB7</v>
      </c>
      <c r="D696" s="15" t="str">
        <f>Solieusap!D696</f>
        <v>Combination</v>
      </c>
      <c r="E696" s="16">
        <f>ABS(Solieusap!E696)</f>
        <v>2.6132</v>
      </c>
      <c r="F696" s="16">
        <f>ABS(Solieusap!F696)</f>
        <v>0.0624</v>
      </c>
      <c r="G696" s="16">
        <f>ABS(Solieusap!G696)</f>
        <v>0.2183</v>
      </c>
      <c r="H696" s="16">
        <f>ABS(Solieusap!H696)</f>
        <v>0.00003978</v>
      </c>
      <c r="I696" s="16">
        <f>ABS(Solieusap!I696)</f>
        <v>0.3769</v>
      </c>
      <c r="J696" s="16">
        <f>ABS(Solieusap!J696)</f>
        <v>0.42834</v>
      </c>
      <c r="K696" s="16">
        <f t="shared" si="1"/>
        <v>2.6132</v>
      </c>
      <c r="L696" s="16">
        <f t="shared" si="2"/>
        <v>0.3769</v>
      </c>
    </row>
    <row r="697" ht="16.5" customHeight="1">
      <c r="A697" s="15" t="str">
        <f>Solieusap!A697</f>
        <v>Cũ</v>
      </c>
      <c r="B697" s="15">
        <f>Solieusap!B697</f>
        <v>0</v>
      </c>
      <c r="C697" s="15" t="str">
        <f>Solieusap!C697</f>
        <v>COMB1</v>
      </c>
      <c r="D697" s="15" t="str">
        <f>Solieusap!D697</f>
        <v>Combination</v>
      </c>
      <c r="E697" s="16">
        <f>ABS(Solieusap!E697)</f>
        <v>2.9937</v>
      </c>
      <c r="F697" s="16">
        <f>ABS(Solieusap!F697)</f>
        <v>0.1555</v>
      </c>
      <c r="G697" s="16">
        <f>ABS(Solieusap!G697)</f>
        <v>0.224</v>
      </c>
      <c r="H697" s="16">
        <f>ABS(Solieusap!H697)</f>
        <v>0.000058</v>
      </c>
      <c r="I697" s="16">
        <f>ABS(Solieusap!I697)</f>
        <v>0.39565</v>
      </c>
      <c r="J697" s="16">
        <f>ABS(Solieusap!J697)</f>
        <v>0.26636</v>
      </c>
      <c r="K697" s="16">
        <f t="shared" si="1"/>
        <v>2.9937</v>
      </c>
      <c r="L697" s="16">
        <f t="shared" si="2"/>
        <v>0.39565</v>
      </c>
    </row>
    <row r="698" ht="16.5" customHeight="1">
      <c r="A698" s="15" t="str">
        <f>Solieusap!A698</f>
        <v>Cũ</v>
      </c>
      <c r="B698" s="15">
        <f>Solieusap!B698</f>
        <v>1.75</v>
      </c>
      <c r="C698" s="15" t="str">
        <f>Solieusap!C698</f>
        <v>COMB1</v>
      </c>
      <c r="D698" s="15" t="str">
        <f>Solieusap!D698</f>
        <v>Combination</v>
      </c>
      <c r="E698" s="16">
        <f>ABS(Solieusap!E698)</f>
        <v>2.8012</v>
      </c>
      <c r="F698" s="16">
        <f>ABS(Solieusap!F698)</f>
        <v>0.1555</v>
      </c>
      <c r="G698" s="16">
        <f>ABS(Solieusap!G698)</f>
        <v>0.224</v>
      </c>
      <c r="H698" s="16">
        <f>ABS(Solieusap!H698)</f>
        <v>0.000058</v>
      </c>
      <c r="I698" s="16">
        <f>ABS(Solieusap!I698)</f>
        <v>0.00367</v>
      </c>
      <c r="J698" s="16">
        <f>ABS(Solieusap!J698)</f>
        <v>0.00569</v>
      </c>
      <c r="K698" s="16">
        <f t="shared" si="1"/>
        <v>2.8012</v>
      </c>
      <c r="L698" s="16">
        <f t="shared" si="2"/>
        <v>0.00367</v>
      </c>
    </row>
    <row r="699" ht="16.5" customHeight="1">
      <c r="A699" s="15" t="str">
        <f>Solieusap!A699</f>
        <v>Cũ</v>
      </c>
      <c r="B699" s="15">
        <f>Solieusap!B699</f>
        <v>3.5</v>
      </c>
      <c r="C699" s="15" t="str">
        <f>Solieusap!C699</f>
        <v>COMB1</v>
      </c>
      <c r="D699" s="15" t="str">
        <f>Solieusap!D699</f>
        <v>Combination</v>
      </c>
      <c r="E699" s="16">
        <f>ABS(Solieusap!E699)</f>
        <v>2.6087</v>
      </c>
      <c r="F699" s="16">
        <f>ABS(Solieusap!F699)</f>
        <v>0.1555</v>
      </c>
      <c r="G699" s="16">
        <f>ABS(Solieusap!G699)</f>
        <v>0.224</v>
      </c>
      <c r="H699" s="16">
        <f>ABS(Solieusap!H699)</f>
        <v>0.000058</v>
      </c>
      <c r="I699" s="16">
        <f>ABS(Solieusap!I699)</f>
        <v>0.3883</v>
      </c>
      <c r="J699" s="16">
        <f>ABS(Solieusap!J699)</f>
        <v>0.27774</v>
      </c>
      <c r="K699" s="16">
        <f t="shared" si="1"/>
        <v>2.6087</v>
      </c>
      <c r="L699" s="16">
        <f t="shared" si="2"/>
        <v>0.3883</v>
      </c>
    </row>
    <row r="700" ht="16.5" customHeight="1">
      <c r="A700" s="15" t="str">
        <f>Solieusap!A700</f>
        <v>Cũ</v>
      </c>
      <c r="B700" s="15">
        <f>Solieusap!B700</f>
        <v>0</v>
      </c>
      <c r="C700" s="15" t="str">
        <f>Solieusap!C700</f>
        <v>COMB2</v>
      </c>
      <c r="D700" s="15" t="str">
        <f>Solieusap!D700</f>
        <v>Combination</v>
      </c>
      <c r="E700" s="16">
        <f>ABS(Solieusap!E700)</f>
        <v>2.3747</v>
      </c>
      <c r="F700" s="16">
        <f>ABS(Solieusap!F700)</f>
        <v>0.5296</v>
      </c>
      <c r="G700" s="16">
        <f>ABS(Solieusap!G700)</f>
        <v>0.1493</v>
      </c>
      <c r="H700" s="16">
        <f>ABS(Solieusap!H700)</f>
        <v>0.00002071</v>
      </c>
      <c r="I700" s="16">
        <f>ABS(Solieusap!I700)</f>
        <v>0.27064</v>
      </c>
      <c r="J700" s="16">
        <f>ABS(Solieusap!J700)</f>
        <v>0.57781</v>
      </c>
      <c r="K700" s="16">
        <f t="shared" si="1"/>
        <v>2.3747</v>
      </c>
      <c r="L700" s="16">
        <f t="shared" si="2"/>
        <v>0.27064</v>
      </c>
    </row>
    <row r="701" ht="16.5" customHeight="1">
      <c r="A701" s="15" t="str">
        <f>Solieusap!A701</f>
        <v>Cũ</v>
      </c>
      <c r="B701" s="15">
        <f>Solieusap!B701</f>
        <v>1.75</v>
      </c>
      <c r="C701" s="15" t="str">
        <f>Solieusap!C701</f>
        <v>COMB2</v>
      </c>
      <c r="D701" s="15" t="str">
        <f>Solieusap!D701</f>
        <v>Combination</v>
      </c>
      <c r="E701" s="16">
        <f>ABS(Solieusap!E701)</f>
        <v>2.1822</v>
      </c>
      <c r="F701" s="16">
        <f>ABS(Solieusap!F701)</f>
        <v>0.2671</v>
      </c>
      <c r="G701" s="16">
        <f>ABS(Solieusap!G701)</f>
        <v>0.1493</v>
      </c>
      <c r="H701" s="16">
        <f>ABS(Solieusap!H701)</f>
        <v>0.00002071</v>
      </c>
      <c r="I701" s="16">
        <f>ABS(Solieusap!I701)</f>
        <v>0.00941</v>
      </c>
      <c r="J701" s="16">
        <f>ABS(Solieusap!J701)</f>
        <v>0.11932</v>
      </c>
      <c r="K701" s="16">
        <f t="shared" si="1"/>
        <v>2.1822</v>
      </c>
      <c r="L701" s="16">
        <f t="shared" si="2"/>
        <v>0.00941</v>
      </c>
    </row>
    <row r="702" ht="16.5" customHeight="1">
      <c r="A702" s="15" t="str">
        <f>Solieusap!A702</f>
        <v>Cũ</v>
      </c>
      <c r="B702" s="15">
        <f>Solieusap!B702</f>
        <v>3.5</v>
      </c>
      <c r="C702" s="15" t="str">
        <f>Solieusap!C702</f>
        <v>COMB2</v>
      </c>
      <c r="D702" s="15" t="str">
        <f>Solieusap!D702</f>
        <v>Combination</v>
      </c>
      <c r="E702" s="16">
        <f>ABS(Solieusap!E702)</f>
        <v>1.9897</v>
      </c>
      <c r="F702" s="16">
        <f>ABS(Solieusap!F702)</f>
        <v>0.0046</v>
      </c>
      <c r="G702" s="16">
        <f>ABS(Solieusap!G702)</f>
        <v>0.1493</v>
      </c>
      <c r="H702" s="16">
        <f>ABS(Solieusap!H702)</f>
        <v>0.00002071</v>
      </c>
      <c r="I702" s="16">
        <f>ABS(Solieusap!I702)</f>
        <v>0.25181</v>
      </c>
      <c r="J702" s="16">
        <f>ABS(Solieusap!J702)</f>
        <v>0.35707</v>
      </c>
      <c r="K702" s="16">
        <f t="shared" si="1"/>
        <v>1.9897</v>
      </c>
      <c r="L702" s="16">
        <f t="shared" si="2"/>
        <v>0.25181</v>
      </c>
    </row>
    <row r="703" ht="16.5" customHeight="1">
      <c r="A703" s="15" t="str">
        <f>Solieusap!A703</f>
        <v>Cũ</v>
      </c>
      <c r="B703" s="15">
        <f>Solieusap!B703</f>
        <v>0</v>
      </c>
      <c r="C703" s="15" t="str">
        <f>Solieusap!C703</f>
        <v>COMB3</v>
      </c>
      <c r="D703" s="15" t="str">
        <f>Solieusap!D703</f>
        <v>Combination</v>
      </c>
      <c r="E703" s="16">
        <f>ABS(Solieusap!E703)</f>
        <v>2.2242</v>
      </c>
      <c r="F703" s="16">
        <f>ABS(Solieusap!F703)</f>
        <v>0.4168</v>
      </c>
      <c r="G703" s="16">
        <f>ABS(Solieusap!G703)</f>
        <v>0.1449</v>
      </c>
      <c r="H703" s="16">
        <f>ABS(Solieusap!H703)</f>
        <v>0.0001</v>
      </c>
      <c r="I703" s="16">
        <f>ABS(Solieusap!I703)</f>
        <v>0.26088</v>
      </c>
      <c r="J703" s="16">
        <f>ABS(Solieusap!J703)</f>
        <v>0.2783</v>
      </c>
      <c r="K703" s="16">
        <f t="shared" si="1"/>
        <v>2.2242</v>
      </c>
      <c r="L703" s="16">
        <f t="shared" si="2"/>
        <v>0.26088</v>
      </c>
    </row>
    <row r="704" ht="16.5" customHeight="1">
      <c r="A704" s="15" t="str">
        <f>Solieusap!A704</f>
        <v>Cũ</v>
      </c>
      <c r="B704" s="15">
        <f>Solieusap!B704</f>
        <v>1.75</v>
      </c>
      <c r="C704" s="15" t="str">
        <f>Solieusap!C704</f>
        <v>COMB3</v>
      </c>
      <c r="D704" s="15" t="str">
        <f>Solieusap!D704</f>
        <v>Combination</v>
      </c>
      <c r="E704" s="16">
        <f>ABS(Solieusap!E704)</f>
        <v>2.0317</v>
      </c>
      <c r="F704" s="16">
        <f>ABS(Solieusap!F704)</f>
        <v>0.0668</v>
      </c>
      <c r="G704" s="16">
        <f>ABS(Solieusap!G704)</f>
        <v>0.1449</v>
      </c>
      <c r="H704" s="16">
        <f>ABS(Solieusap!H704)</f>
        <v>0.0001</v>
      </c>
      <c r="I704" s="16">
        <f>ABS(Solieusap!I704)</f>
        <v>0.00726</v>
      </c>
      <c r="J704" s="16">
        <f>ABS(Solieusap!J704)</f>
        <v>0.14492</v>
      </c>
      <c r="K704" s="16">
        <f t="shared" si="1"/>
        <v>2.0317</v>
      </c>
      <c r="L704" s="16">
        <f t="shared" si="2"/>
        <v>0.00726</v>
      </c>
    </row>
    <row r="705" ht="16.5" customHeight="1">
      <c r="A705" s="15" t="str">
        <f>Solieusap!A705</f>
        <v>Cũ</v>
      </c>
      <c r="B705" s="15">
        <f>Solieusap!B705</f>
        <v>3.5</v>
      </c>
      <c r="C705" s="15" t="str">
        <f>Solieusap!C705</f>
        <v>COMB3</v>
      </c>
      <c r="D705" s="15" t="str">
        <f>Solieusap!D705</f>
        <v>Combination</v>
      </c>
      <c r="E705" s="16">
        <f>ABS(Solieusap!E705)</f>
        <v>1.8392</v>
      </c>
      <c r="F705" s="16">
        <f>ABS(Solieusap!F705)</f>
        <v>0.2832</v>
      </c>
      <c r="G705" s="16">
        <f>ABS(Solieusap!G705)</f>
        <v>0.1449</v>
      </c>
      <c r="H705" s="16">
        <f>ABS(Solieusap!H705)</f>
        <v>0.0001</v>
      </c>
      <c r="I705" s="16">
        <f>ABS(Solieusap!I705)</f>
        <v>0.24635</v>
      </c>
      <c r="J705" s="16">
        <f>ABS(Solieusap!J705)</f>
        <v>0.04436</v>
      </c>
      <c r="K705" s="16">
        <f t="shared" si="1"/>
        <v>1.8392</v>
      </c>
      <c r="L705" s="16">
        <f t="shared" si="2"/>
        <v>0.24635</v>
      </c>
    </row>
    <row r="706" ht="16.5" customHeight="1">
      <c r="A706" s="15" t="str">
        <f>Solieusap!A706</f>
        <v>Cũ</v>
      </c>
      <c r="B706" s="15">
        <f>Solieusap!B706</f>
        <v>0</v>
      </c>
      <c r="C706" s="15" t="str">
        <f>Solieusap!C706</f>
        <v>COMB4</v>
      </c>
      <c r="D706" s="15" t="str">
        <f>Solieusap!D706</f>
        <v>Combination</v>
      </c>
      <c r="E706" s="16">
        <f>ABS(Solieusap!E706)</f>
        <v>2.3504</v>
      </c>
      <c r="F706" s="16">
        <f>ABS(Solieusap!F706)</f>
        <v>0.1032</v>
      </c>
      <c r="G706" s="16">
        <f>ABS(Solieusap!G706)</f>
        <v>0.543</v>
      </c>
      <c r="H706" s="16">
        <f>ABS(Solieusap!H706)</f>
        <v>0.00005023</v>
      </c>
      <c r="I706" s="16">
        <f>ABS(Solieusap!I706)</f>
        <v>0.6198</v>
      </c>
      <c r="J706" s="16">
        <f>ABS(Solieusap!J706)</f>
        <v>0.1811</v>
      </c>
      <c r="K706" s="16">
        <f t="shared" si="1"/>
        <v>2.3504</v>
      </c>
      <c r="L706" s="16">
        <f t="shared" si="2"/>
        <v>0.6198</v>
      </c>
    </row>
    <row r="707" ht="16.5" customHeight="1">
      <c r="A707" s="15" t="str">
        <f>Solieusap!A707</f>
        <v>Cũ</v>
      </c>
      <c r="B707" s="15">
        <f>Solieusap!B707</f>
        <v>1.75</v>
      </c>
      <c r="C707" s="15" t="str">
        <f>Solieusap!C707</f>
        <v>COMB4</v>
      </c>
      <c r="D707" s="15" t="str">
        <f>Solieusap!D707</f>
        <v>Combination</v>
      </c>
      <c r="E707" s="16">
        <f>ABS(Solieusap!E707)</f>
        <v>2.1579</v>
      </c>
      <c r="F707" s="16">
        <f>ABS(Solieusap!F707)</f>
        <v>0.1032</v>
      </c>
      <c r="G707" s="16">
        <f>ABS(Solieusap!G707)</f>
        <v>0.2805</v>
      </c>
      <c r="H707" s="16">
        <f>ABS(Solieusap!H707)</f>
        <v>0.00005023</v>
      </c>
      <c r="I707" s="16">
        <f>ABS(Solieusap!I707)</f>
        <v>0.10072</v>
      </c>
      <c r="J707" s="16">
        <f>ABS(Solieusap!J707)</f>
        <v>0.0005</v>
      </c>
      <c r="K707" s="16">
        <f t="shared" si="1"/>
        <v>2.1579</v>
      </c>
      <c r="L707" s="16">
        <f t="shared" si="2"/>
        <v>0.10072</v>
      </c>
    </row>
    <row r="708" ht="16.5" customHeight="1">
      <c r="A708" s="15" t="str">
        <f>Solieusap!A708</f>
        <v>Cũ</v>
      </c>
      <c r="B708" s="15">
        <f>Solieusap!B708</f>
        <v>3.5</v>
      </c>
      <c r="C708" s="15" t="str">
        <f>Solieusap!C708</f>
        <v>COMB4</v>
      </c>
      <c r="D708" s="15" t="str">
        <f>Solieusap!D708</f>
        <v>Combination</v>
      </c>
      <c r="E708" s="16">
        <f>ABS(Solieusap!E708)</f>
        <v>1.9654</v>
      </c>
      <c r="F708" s="16">
        <f>ABS(Solieusap!F708)</f>
        <v>0.1032</v>
      </c>
      <c r="G708" s="16">
        <f>ABS(Solieusap!G708)</f>
        <v>0.018</v>
      </c>
      <c r="H708" s="16">
        <f>ABS(Solieusap!H708)</f>
        <v>0.00005023</v>
      </c>
      <c r="I708" s="16">
        <f>ABS(Solieusap!I708)</f>
        <v>0.36187</v>
      </c>
      <c r="J708" s="16">
        <f>ABS(Solieusap!J708)</f>
        <v>0.1801</v>
      </c>
      <c r="K708" s="16">
        <f t="shared" si="1"/>
        <v>1.9654</v>
      </c>
      <c r="L708" s="16">
        <f t="shared" si="2"/>
        <v>0.36187</v>
      </c>
    </row>
    <row r="709" ht="16.5" customHeight="1">
      <c r="A709" s="15" t="str">
        <f>Solieusap!A709</f>
        <v>Cũ</v>
      </c>
      <c r="B709" s="15">
        <f>Solieusap!B709</f>
        <v>0</v>
      </c>
      <c r="C709" s="15" t="str">
        <f>Solieusap!C709</f>
        <v>COMB5</v>
      </c>
      <c r="D709" s="15" t="str">
        <f>Solieusap!D709</f>
        <v>Combination</v>
      </c>
      <c r="E709" s="16">
        <f>ABS(Solieusap!E709)</f>
        <v>2.9763</v>
      </c>
      <c r="F709" s="16">
        <f>ABS(Solieusap!F709)</f>
        <v>0.1511</v>
      </c>
      <c r="G709" s="16">
        <f>ABS(Solieusap!G709)</f>
        <v>0.5726</v>
      </c>
      <c r="H709" s="16">
        <f>ABS(Solieusap!H709)</f>
        <v>0.00006635</v>
      </c>
      <c r="I709" s="16">
        <f>ABS(Solieusap!I709)</f>
        <v>0.70135</v>
      </c>
      <c r="J709" s="16">
        <f>ABS(Solieusap!J709)</f>
        <v>0.2599</v>
      </c>
      <c r="K709" s="16">
        <f t="shared" si="1"/>
        <v>2.9763</v>
      </c>
      <c r="L709" s="16">
        <f t="shared" si="2"/>
        <v>0.70135</v>
      </c>
    </row>
    <row r="710" ht="16.5" customHeight="1">
      <c r="A710" s="15" t="str">
        <f>Solieusap!A710</f>
        <v>Cũ</v>
      </c>
      <c r="B710" s="15">
        <f>Solieusap!B710</f>
        <v>1.75</v>
      </c>
      <c r="C710" s="15" t="str">
        <f>Solieusap!C710</f>
        <v>COMB5</v>
      </c>
      <c r="D710" s="15" t="str">
        <f>Solieusap!D710</f>
        <v>Combination</v>
      </c>
      <c r="E710" s="16">
        <f>ABS(Solieusap!E710)</f>
        <v>2.7838</v>
      </c>
      <c r="F710" s="16">
        <f>ABS(Solieusap!F710)</f>
        <v>0.1511</v>
      </c>
      <c r="G710" s="16">
        <f>ABS(Solieusap!G710)</f>
        <v>0.3364</v>
      </c>
      <c r="H710" s="16">
        <f>ABS(Solieusap!H710)</f>
        <v>0.00006635</v>
      </c>
      <c r="I710" s="16">
        <f>ABS(Solieusap!I710)</f>
        <v>0.09402</v>
      </c>
      <c r="J710" s="16">
        <f>ABS(Solieusap!J710)</f>
        <v>0.00458</v>
      </c>
      <c r="K710" s="16">
        <f t="shared" si="1"/>
        <v>2.7838</v>
      </c>
      <c r="L710" s="16">
        <f t="shared" si="2"/>
        <v>0.09402</v>
      </c>
    </row>
    <row r="711" ht="16.5" customHeight="1">
      <c r="A711" s="15" t="str">
        <f>Solieusap!A711</f>
        <v>Cũ</v>
      </c>
      <c r="B711" s="15">
        <f>Solieusap!B711</f>
        <v>3.5</v>
      </c>
      <c r="C711" s="15" t="str">
        <f>Solieusap!C711</f>
        <v>COMB5</v>
      </c>
      <c r="D711" s="15" t="str">
        <f>Solieusap!D711</f>
        <v>Combination</v>
      </c>
      <c r="E711" s="16">
        <f>ABS(Solieusap!E711)</f>
        <v>2.5913</v>
      </c>
      <c r="F711" s="16">
        <f>ABS(Solieusap!F711)</f>
        <v>0.1511</v>
      </c>
      <c r="G711" s="16">
        <f>ABS(Solieusap!G711)</f>
        <v>0.1001</v>
      </c>
      <c r="H711" s="16">
        <f>ABS(Solieusap!H711)</f>
        <v>0.00006635</v>
      </c>
      <c r="I711" s="16">
        <f>ABS(Solieusap!I711)</f>
        <v>0.47595</v>
      </c>
      <c r="J711" s="16">
        <f>ABS(Solieusap!J711)</f>
        <v>0.26906</v>
      </c>
      <c r="K711" s="16">
        <f t="shared" si="1"/>
        <v>2.5913</v>
      </c>
      <c r="L711" s="16">
        <f t="shared" si="2"/>
        <v>0.47595</v>
      </c>
    </row>
    <row r="712" ht="16.5" customHeight="1">
      <c r="A712" s="15" t="str">
        <f>Solieusap!A712</f>
        <v>Cũ</v>
      </c>
      <c r="B712" s="15">
        <f>Solieusap!B712</f>
        <v>0</v>
      </c>
      <c r="C712" s="15" t="str">
        <f>Solieusap!C712</f>
        <v>COMB6</v>
      </c>
      <c r="D712" s="15" t="str">
        <f>Solieusap!D712</f>
        <v>Combination</v>
      </c>
      <c r="E712" s="16">
        <f>ABS(Solieusap!E712)</f>
        <v>2.8627</v>
      </c>
      <c r="F712" s="16">
        <f>ABS(Solieusap!F712)</f>
        <v>0.3169</v>
      </c>
      <c r="G712" s="16">
        <f>ABS(Solieusap!G712)</f>
        <v>0.2144</v>
      </c>
      <c r="H712" s="16">
        <f>ABS(Solieusap!H712)</f>
        <v>0.00011</v>
      </c>
      <c r="I712" s="16">
        <f>ABS(Solieusap!I712)</f>
        <v>0.37832</v>
      </c>
      <c r="J712" s="16">
        <f>ABS(Solieusap!J712)</f>
        <v>0.15355</v>
      </c>
      <c r="K712" s="16">
        <f t="shared" si="1"/>
        <v>2.8627</v>
      </c>
      <c r="L712" s="16">
        <f t="shared" si="2"/>
        <v>0.37832</v>
      </c>
    </row>
    <row r="713" ht="16.5" customHeight="1">
      <c r="A713" s="15" t="str">
        <f>Solieusap!A713</f>
        <v>Cũ</v>
      </c>
      <c r="B713" s="15">
        <f>Solieusap!B713</f>
        <v>1.75</v>
      </c>
      <c r="C713" s="15" t="str">
        <f>Solieusap!C713</f>
        <v>COMB6</v>
      </c>
      <c r="D713" s="15" t="str">
        <f>Solieusap!D713</f>
        <v>Combination</v>
      </c>
      <c r="E713" s="16">
        <f>ABS(Solieusap!E713)</f>
        <v>2.6702</v>
      </c>
      <c r="F713" s="16">
        <f>ABS(Solieusap!F713)</f>
        <v>0.0019</v>
      </c>
      <c r="G713" s="16">
        <f>ABS(Solieusap!G713)</f>
        <v>0.2144</v>
      </c>
      <c r="H713" s="16">
        <f>ABS(Solieusap!H713)</f>
        <v>0.00011</v>
      </c>
      <c r="I713" s="16">
        <f>ABS(Solieusap!I713)</f>
        <v>0.00317</v>
      </c>
      <c r="J713" s="16">
        <f>ABS(Solieusap!J713)</f>
        <v>0.1254</v>
      </c>
      <c r="K713" s="16">
        <f t="shared" si="1"/>
        <v>2.6702</v>
      </c>
      <c r="L713" s="16">
        <f t="shared" si="2"/>
        <v>0.00317</v>
      </c>
    </row>
    <row r="714" ht="16.5" customHeight="1">
      <c r="A714" s="15" t="str">
        <f>Solieusap!A714</f>
        <v>Cũ</v>
      </c>
      <c r="B714" s="15">
        <f>Solieusap!B714</f>
        <v>3.5</v>
      </c>
      <c r="C714" s="15" t="str">
        <f>Solieusap!C714</f>
        <v>COMB6</v>
      </c>
      <c r="D714" s="15" t="str">
        <f>Solieusap!D714</f>
        <v>Combination</v>
      </c>
      <c r="E714" s="16">
        <f>ABS(Solieusap!E714)</f>
        <v>2.4777</v>
      </c>
      <c r="F714" s="16">
        <f>ABS(Solieusap!F714)</f>
        <v>0.3131</v>
      </c>
      <c r="G714" s="16">
        <f>ABS(Solieusap!G714)</f>
        <v>0.2144</v>
      </c>
      <c r="H714" s="16">
        <f>ABS(Solieusap!H714)</f>
        <v>0.00011</v>
      </c>
      <c r="I714" s="16">
        <f>ABS(Solieusap!I714)</f>
        <v>0.37198</v>
      </c>
      <c r="J714" s="16">
        <f>ABS(Solieusap!J714)</f>
        <v>0.1469</v>
      </c>
      <c r="K714" s="16">
        <f t="shared" si="1"/>
        <v>2.4777</v>
      </c>
      <c r="L714" s="16">
        <f t="shared" si="2"/>
        <v>0.37198</v>
      </c>
    </row>
    <row r="715" ht="16.5" customHeight="1">
      <c r="A715" s="15" t="str">
        <f>Solieusap!A715</f>
        <v>Cũ</v>
      </c>
      <c r="B715" s="15">
        <f>Solieusap!B715</f>
        <v>0</v>
      </c>
      <c r="C715" s="15" t="str">
        <f>Solieusap!C715</f>
        <v>COMB7</v>
      </c>
      <c r="D715" s="15" t="str">
        <f>Solieusap!D715</f>
        <v>Combination</v>
      </c>
      <c r="E715" s="16">
        <f>ABS(Solieusap!E715)</f>
        <v>2.9982</v>
      </c>
      <c r="F715" s="16">
        <f>ABS(Solieusap!F715)</f>
        <v>0.5349</v>
      </c>
      <c r="G715" s="16">
        <f>ABS(Solieusap!G715)</f>
        <v>0.2183</v>
      </c>
      <c r="H715" s="16">
        <f>ABS(Solieusap!H715)</f>
        <v>0.00003978</v>
      </c>
      <c r="I715" s="16">
        <f>ABS(Solieusap!I715)</f>
        <v>0.3871</v>
      </c>
      <c r="J715" s="16">
        <f>ABS(Solieusap!J715)</f>
        <v>0.61695</v>
      </c>
      <c r="K715" s="16">
        <f t="shared" si="1"/>
        <v>2.9982</v>
      </c>
      <c r="L715" s="16">
        <f t="shared" si="2"/>
        <v>0.3871</v>
      </c>
    </row>
    <row r="716" ht="16.5" customHeight="1">
      <c r="A716" s="15" t="str">
        <f>Solieusap!A716</f>
        <v>Cũ</v>
      </c>
      <c r="B716" s="15">
        <f>Solieusap!B716</f>
        <v>1.75</v>
      </c>
      <c r="C716" s="15" t="str">
        <f>Solieusap!C716</f>
        <v>COMB7</v>
      </c>
      <c r="D716" s="15" t="str">
        <f>Solieusap!D716</f>
        <v>Combination</v>
      </c>
      <c r="E716" s="16">
        <f>ABS(Solieusap!E716)</f>
        <v>2.8057</v>
      </c>
      <c r="F716" s="16">
        <f>ABS(Solieusap!F716)</f>
        <v>0.2987</v>
      </c>
      <c r="G716" s="16">
        <f>ABS(Solieusap!G716)</f>
        <v>0.2183</v>
      </c>
      <c r="H716" s="16">
        <f>ABS(Solieusap!H716)</f>
        <v>0.00003978</v>
      </c>
      <c r="I716" s="16">
        <f>ABS(Solieusap!I716)</f>
        <v>0.0051</v>
      </c>
      <c r="J716" s="16">
        <f>ABS(Solieusap!J716)</f>
        <v>0.11241</v>
      </c>
      <c r="K716" s="16">
        <f t="shared" si="1"/>
        <v>2.8057</v>
      </c>
      <c r="L716" s="16">
        <f t="shared" si="2"/>
        <v>0.0051</v>
      </c>
    </row>
    <row r="717" ht="16.5" customHeight="1">
      <c r="A717" s="15" t="str">
        <f>Solieusap!A717</f>
        <v>Cũ</v>
      </c>
      <c r="B717" s="15">
        <f>Solieusap!B717</f>
        <v>3.5</v>
      </c>
      <c r="C717" s="15" t="str">
        <f>Solieusap!C717</f>
        <v>COMB7</v>
      </c>
      <c r="D717" s="15" t="str">
        <f>Solieusap!D717</f>
        <v>Combination</v>
      </c>
      <c r="E717" s="16">
        <f>ABS(Solieusap!E717)</f>
        <v>2.6132</v>
      </c>
      <c r="F717" s="16">
        <f>ABS(Solieusap!F717)</f>
        <v>0.0624</v>
      </c>
      <c r="G717" s="16">
        <f>ABS(Solieusap!G717)</f>
        <v>0.2183</v>
      </c>
      <c r="H717" s="16">
        <f>ABS(Solieusap!H717)</f>
        <v>0.00003978</v>
      </c>
      <c r="I717" s="16">
        <f>ABS(Solieusap!I717)</f>
        <v>0.3769</v>
      </c>
      <c r="J717" s="16">
        <f>ABS(Solieusap!J717)</f>
        <v>0.42834</v>
      </c>
      <c r="K717" s="16">
        <f t="shared" si="1"/>
        <v>2.6132</v>
      </c>
      <c r="L717" s="16">
        <f t="shared" si="2"/>
        <v>0.3769</v>
      </c>
    </row>
    <row r="718" ht="16.5" customHeight="1">
      <c r="A718" s="15" t="str">
        <f>Solieusap!A718</f>
        <v>Cũ</v>
      </c>
      <c r="B718" s="15">
        <f>Solieusap!B718</f>
        <v>0</v>
      </c>
      <c r="C718" s="15" t="str">
        <f>Solieusap!C718</f>
        <v>COMB1</v>
      </c>
      <c r="D718" s="15" t="str">
        <f>Solieusap!D718</f>
        <v>Combination</v>
      </c>
      <c r="E718" s="16">
        <f>ABS(Solieusap!E718)</f>
        <v>2.9937</v>
      </c>
      <c r="F718" s="16">
        <f>ABS(Solieusap!F718)</f>
        <v>0.1555</v>
      </c>
      <c r="G718" s="16">
        <f>ABS(Solieusap!G718)</f>
        <v>0.224</v>
      </c>
      <c r="H718" s="16">
        <f>ABS(Solieusap!H718)</f>
        <v>0.000058</v>
      </c>
      <c r="I718" s="16">
        <f>ABS(Solieusap!I718)</f>
        <v>0.39565</v>
      </c>
      <c r="J718" s="16">
        <f>ABS(Solieusap!J718)</f>
        <v>0.26636</v>
      </c>
      <c r="K718" s="16">
        <f t="shared" si="1"/>
        <v>2.9937</v>
      </c>
      <c r="L718" s="16">
        <f t="shared" si="2"/>
        <v>0.39565</v>
      </c>
    </row>
    <row r="719" ht="16.5" customHeight="1">
      <c r="A719" s="15" t="str">
        <f>Solieusap!A719</f>
        <v>Cũ</v>
      </c>
      <c r="B719" s="15">
        <f>Solieusap!B719</f>
        <v>1.75</v>
      </c>
      <c r="C719" s="15" t="str">
        <f>Solieusap!C719</f>
        <v>COMB1</v>
      </c>
      <c r="D719" s="15" t="str">
        <f>Solieusap!D719</f>
        <v>Combination</v>
      </c>
      <c r="E719" s="16">
        <f>ABS(Solieusap!E719)</f>
        <v>2.8012</v>
      </c>
      <c r="F719" s="16">
        <f>ABS(Solieusap!F719)</f>
        <v>0.1555</v>
      </c>
      <c r="G719" s="16">
        <f>ABS(Solieusap!G719)</f>
        <v>0.224</v>
      </c>
      <c r="H719" s="16">
        <f>ABS(Solieusap!H719)</f>
        <v>0.000058</v>
      </c>
      <c r="I719" s="16">
        <f>ABS(Solieusap!I719)</f>
        <v>0.00367</v>
      </c>
      <c r="J719" s="16">
        <f>ABS(Solieusap!J719)</f>
        <v>0.00569</v>
      </c>
      <c r="K719" s="16">
        <f t="shared" si="1"/>
        <v>2.8012</v>
      </c>
      <c r="L719" s="16">
        <f t="shared" si="2"/>
        <v>0.00367</v>
      </c>
    </row>
    <row r="720" ht="16.5" customHeight="1">
      <c r="A720" s="15" t="str">
        <f>Solieusap!A720</f>
        <v>Cũ</v>
      </c>
      <c r="B720" s="15">
        <f>Solieusap!B720</f>
        <v>3.5</v>
      </c>
      <c r="C720" s="15" t="str">
        <f>Solieusap!C720</f>
        <v>COMB1</v>
      </c>
      <c r="D720" s="15" t="str">
        <f>Solieusap!D720</f>
        <v>Combination</v>
      </c>
      <c r="E720" s="16">
        <f>ABS(Solieusap!E720)</f>
        <v>2.6087</v>
      </c>
      <c r="F720" s="16">
        <f>ABS(Solieusap!F720)</f>
        <v>0.1555</v>
      </c>
      <c r="G720" s="16">
        <f>ABS(Solieusap!G720)</f>
        <v>0.224</v>
      </c>
      <c r="H720" s="16">
        <f>ABS(Solieusap!H720)</f>
        <v>0.000058</v>
      </c>
      <c r="I720" s="16">
        <f>ABS(Solieusap!I720)</f>
        <v>0.3883</v>
      </c>
      <c r="J720" s="16">
        <f>ABS(Solieusap!J720)</f>
        <v>0.27774</v>
      </c>
      <c r="K720" s="16">
        <f t="shared" si="1"/>
        <v>2.6087</v>
      </c>
      <c r="L720" s="16">
        <f t="shared" si="2"/>
        <v>0.3883</v>
      </c>
    </row>
    <row r="721" ht="16.5" customHeight="1">
      <c r="A721" s="15" t="str">
        <f>Solieusap!A721</f>
        <v>Cũ</v>
      </c>
      <c r="B721" s="15">
        <f>Solieusap!B721</f>
        <v>0</v>
      </c>
      <c r="C721" s="15" t="str">
        <f>Solieusap!C721</f>
        <v>COMB2</v>
      </c>
      <c r="D721" s="15" t="str">
        <f>Solieusap!D721</f>
        <v>Combination</v>
      </c>
      <c r="E721" s="16">
        <f>ABS(Solieusap!E721)</f>
        <v>2.3747</v>
      </c>
      <c r="F721" s="16">
        <f>ABS(Solieusap!F721)</f>
        <v>0.5296</v>
      </c>
      <c r="G721" s="16">
        <f>ABS(Solieusap!G721)</f>
        <v>0.1493</v>
      </c>
      <c r="H721" s="16">
        <f>ABS(Solieusap!H721)</f>
        <v>0.00002071</v>
      </c>
      <c r="I721" s="16">
        <f>ABS(Solieusap!I721)</f>
        <v>0.27064</v>
      </c>
      <c r="J721" s="16">
        <f>ABS(Solieusap!J721)</f>
        <v>0.57781</v>
      </c>
      <c r="K721" s="16">
        <f t="shared" si="1"/>
        <v>2.3747</v>
      </c>
      <c r="L721" s="16">
        <f t="shared" si="2"/>
        <v>0.27064</v>
      </c>
    </row>
    <row r="722" ht="16.5" customHeight="1">
      <c r="A722" s="15" t="str">
        <f>Solieusap!A722</f>
        <v>Cũ</v>
      </c>
      <c r="B722" s="15">
        <f>Solieusap!B722</f>
        <v>1.75</v>
      </c>
      <c r="C722" s="15" t="str">
        <f>Solieusap!C722</f>
        <v>COMB2</v>
      </c>
      <c r="D722" s="15" t="str">
        <f>Solieusap!D722</f>
        <v>Combination</v>
      </c>
      <c r="E722" s="16">
        <f>ABS(Solieusap!E722)</f>
        <v>2.1822</v>
      </c>
      <c r="F722" s="16">
        <f>ABS(Solieusap!F722)</f>
        <v>0.2671</v>
      </c>
      <c r="G722" s="16">
        <f>ABS(Solieusap!G722)</f>
        <v>0.1493</v>
      </c>
      <c r="H722" s="16">
        <f>ABS(Solieusap!H722)</f>
        <v>0.00002071</v>
      </c>
      <c r="I722" s="16">
        <f>ABS(Solieusap!I722)</f>
        <v>0.00941</v>
      </c>
      <c r="J722" s="16">
        <f>ABS(Solieusap!J722)</f>
        <v>0.11932</v>
      </c>
      <c r="K722" s="16">
        <f t="shared" si="1"/>
        <v>2.1822</v>
      </c>
      <c r="L722" s="16">
        <f t="shared" si="2"/>
        <v>0.00941</v>
      </c>
    </row>
    <row r="723" ht="16.5" customHeight="1">
      <c r="A723" s="15" t="str">
        <f>Solieusap!A723</f>
        <v>Cũ</v>
      </c>
      <c r="B723" s="15">
        <f>Solieusap!B723</f>
        <v>3.5</v>
      </c>
      <c r="C723" s="15" t="str">
        <f>Solieusap!C723</f>
        <v>COMB2</v>
      </c>
      <c r="D723" s="15" t="str">
        <f>Solieusap!D723</f>
        <v>Combination</v>
      </c>
      <c r="E723" s="16">
        <f>ABS(Solieusap!E723)</f>
        <v>1.9897</v>
      </c>
      <c r="F723" s="16">
        <f>ABS(Solieusap!F723)</f>
        <v>0.0046</v>
      </c>
      <c r="G723" s="16">
        <f>ABS(Solieusap!G723)</f>
        <v>0.1493</v>
      </c>
      <c r="H723" s="16">
        <f>ABS(Solieusap!H723)</f>
        <v>0.00002071</v>
      </c>
      <c r="I723" s="16">
        <f>ABS(Solieusap!I723)</f>
        <v>0.25181</v>
      </c>
      <c r="J723" s="16">
        <f>ABS(Solieusap!J723)</f>
        <v>0.35707</v>
      </c>
      <c r="K723" s="16">
        <f t="shared" si="1"/>
        <v>1.9897</v>
      </c>
      <c r="L723" s="16">
        <f t="shared" si="2"/>
        <v>0.25181</v>
      </c>
    </row>
    <row r="724" ht="16.5" customHeight="1">
      <c r="A724" s="15" t="str">
        <f>Solieusap!A724</f>
        <v>Cũ</v>
      </c>
      <c r="B724" s="15">
        <f>Solieusap!B724</f>
        <v>0</v>
      </c>
      <c r="C724" s="15" t="str">
        <f>Solieusap!C724</f>
        <v>COMB3</v>
      </c>
      <c r="D724" s="15" t="str">
        <f>Solieusap!D724</f>
        <v>Combination</v>
      </c>
      <c r="E724" s="16">
        <f>ABS(Solieusap!E724)</f>
        <v>2.2242</v>
      </c>
      <c r="F724" s="16">
        <f>ABS(Solieusap!F724)</f>
        <v>0.4168</v>
      </c>
      <c r="G724" s="16">
        <f>ABS(Solieusap!G724)</f>
        <v>0.1449</v>
      </c>
      <c r="H724" s="16">
        <f>ABS(Solieusap!H724)</f>
        <v>0.0001</v>
      </c>
      <c r="I724" s="16">
        <f>ABS(Solieusap!I724)</f>
        <v>0.26088</v>
      </c>
      <c r="J724" s="16">
        <f>ABS(Solieusap!J724)</f>
        <v>0.2783</v>
      </c>
      <c r="K724" s="16">
        <f t="shared" si="1"/>
        <v>2.2242</v>
      </c>
      <c r="L724" s="16">
        <f t="shared" si="2"/>
        <v>0.26088</v>
      </c>
    </row>
    <row r="725" ht="16.5" customHeight="1">
      <c r="A725" s="15" t="str">
        <f>Solieusap!A725</f>
        <v>Cũ</v>
      </c>
      <c r="B725" s="15">
        <f>Solieusap!B725</f>
        <v>1.75</v>
      </c>
      <c r="C725" s="15" t="str">
        <f>Solieusap!C725</f>
        <v>COMB3</v>
      </c>
      <c r="D725" s="15" t="str">
        <f>Solieusap!D725</f>
        <v>Combination</v>
      </c>
      <c r="E725" s="16">
        <f>ABS(Solieusap!E725)</f>
        <v>2.0317</v>
      </c>
      <c r="F725" s="16">
        <f>ABS(Solieusap!F725)</f>
        <v>0.0668</v>
      </c>
      <c r="G725" s="16">
        <f>ABS(Solieusap!G725)</f>
        <v>0.1449</v>
      </c>
      <c r="H725" s="16">
        <f>ABS(Solieusap!H725)</f>
        <v>0.0001</v>
      </c>
      <c r="I725" s="16">
        <f>ABS(Solieusap!I725)</f>
        <v>0.00726</v>
      </c>
      <c r="J725" s="16">
        <f>ABS(Solieusap!J725)</f>
        <v>0.14492</v>
      </c>
      <c r="K725" s="16">
        <f t="shared" si="1"/>
        <v>2.0317</v>
      </c>
      <c r="L725" s="16">
        <f t="shared" si="2"/>
        <v>0.00726</v>
      </c>
    </row>
    <row r="726" ht="16.5" customHeight="1">
      <c r="A726" s="15" t="str">
        <f>Solieusap!A726</f>
        <v>Cũ</v>
      </c>
      <c r="B726" s="15">
        <f>Solieusap!B726</f>
        <v>3.5</v>
      </c>
      <c r="C726" s="15" t="str">
        <f>Solieusap!C726</f>
        <v>COMB3</v>
      </c>
      <c r="D726" s="15" t="str">
        <f>Solieusap!D726</f>
        <v>Combination</v>
      </c>
      <c r="E726" s="16">
        <f>ABS(Solieusap!E726)</f>
        <v>1.8392</v>
      </c>
      <c r="F726" s="16">
        <f>ABS(Solieusap!F726)</f>
        <v>0.2832</v>
      </c>
      <c r="G726" s="16">
        <f>ABS(Solieusap!G726)</f>
        <v>0.1449</v>
      </c>
      <c r="H726" s="16">
        <f>ABS(Solieusap!H726)</f>
        <v>0.0001</v>
      </c>
      <c r="I726" s="16">
        <f>ABS(Solieusap!I726)</f>
        <v>0.24635</v>
      </c>
      <c r="J726" s="16">
        <f>ABS(Solieusap!J726)</f>
        <v>0.04436</v>
      </c>
      <c r="K726" s="16">
        <f t="shared" si="1"/>
        <v>1.8392</v>
      </c>
      <c r="L726" s="16">
        <f t="shared" si="2"/>
        <v>0.24635</v>
      </c>
    </row>
    <row r="727" ht="16.5" customHeight="1">
      <c r="A727" s="15" t="str">
        <f>Solieusap!A727</f>
        <v>Cũ</v>
      </c>
      <c r="B727" s="15">
        <f>Solieusap!B727</f>
        <v>0</v>
      </c>
      <c r="C727" s="15" t="str">
        <f>Solieusap!C727</f>
        <v>COMB4</v>
      </c>
      <c r="D727" s="15" t="str">
        <f>Solieusap!D727</f>
        <v>Combination</v>
      </c>
      <c r="E727" s="16">
        <f>ABS(Solieusap!E727)</f>
        <v>2.3504</v>
      </c>
      <c r="F727" s="16">
        <f>ABS(Solieusap!F727)</f>
        <v>0.1032</v>
      </c>
      <c r="G727" s="16">
        <f>ABS(Solieusap!G727)</f>
        <v>0.543</v>
      </c>
      <c r="H727" s="16">
        <f>ABS(Solieusap!H727)</f>
        <v>0.00005023</v>
      </c>
      <c r="I727" s="16">
        <f>ABS(Solieusap!I727)</f>
        <v>0.6198</v>
      </c>
      <c r="J727" s="16">
        <f>ABS(Solieusap!J727)</f>
        <v>0.1811</v>
      </c>
      <c r="K727" s="16">
        <f t="shared" si="1"/>
        <v>2.3504</v>
      </c>
      <c r="L727" s="16">
        <f t="shared" si="2"/>
        <v>0.6198</v>
      </c>
    </row>
    <row r="728" ht="16.5" customHeight="1">
      <c r="A728" s="15" t="str">
        <f>Solieusap!A728</f>
        <v>Cũ</v>
      </c>
      <c r="B728" s="15">
        <f>Solieusap!B728</f>
        <v>1.75</v>
      </c>
      <c r="C728" s="15" t="str">
        <f>Solieusap!C728</f>
        <v>COMB4</v>
      </c>
      <c r="D728" s="15" t="str">
        <f>Solieusap!D728</f>
        <v>Combination</v>
      </c>
      <c r="E728" s="16">
        <f>ABS(Solieusap!E728)</f>
        <v>2.1579</v>
      </c>
      <c r="F728" s="16">
        <f>ABS(Solieusap!F728)</f>
        <v>0.1032</v>
      </c>
      <c r="G728" s="16">
        <f>ABS(Solieusap!G728)</f>
        <v>0.2805</v>
      </c>
      <c r="H728" s="16">
        <f>ABS(Solieusap!H728)</f>
        <v>0.00005023</v>
      </c>
      <c r="I728" s="16">
        <f>ABS(Solieusap!I728)</f>
        <v>0.10072</v>
      </c>
      <c r="J728" s="16">
        <f>ABS(Solieusap!J728)</f>
        <v>0.0005</v>
      </c>
      <c r="K728" s="16">
        <f t="shared" si="1"/>
        <v>2.1579</v>
      </c>
      <c r="L728" s="16">
        <f t="shared" si="2"/>
        <v>0.10072</v>
      </c>
    </row>
    <row r="729" ht="16.5" customHeight="1">
      <c r="A729" s="15" t="str">
        <f>Solieusap!A729</f>
        <v>Cũ</v>
      </c>
      <c r="B729" s="15">
        <f>Solieusap!B729</f>
        <v>3.5</v>
      </c>
      <c r="C729" s="15" t="str">
        <f>Solieusap!C729</f>
        <v>COMB4</v>
      </c>
      <c r="D729" s="15" t="str">
        <f>Solieusap!D729</f>
        <v>Combination</v>
      </c>
      <c r="E729" s="16">
        <f>ABS(Solieusap!E729)</f>
        <v>1.9654</v>
      </c>
      <c r="F729" s="16">
        <f>ABS(Solieusap!F729)</f>
        <v>0.1032</v>
      </c>
      <c r="G729" s="16">
        <f>ABS(Solieusap!G729)</f>
        <v>0.018</v>
      </c>
      <c r="H729" s="16">
        <f>ABS(Solieusap!H729)</f>
        <v>0.00005023</v>
      </c>
      <c r="I729" s="16">
        <f>ABS(Solieusap!I729)</f>
        <v>0.36187</v>
      </c>
      <c r="J729" s="16">
        <f>ABS(Solieusap!J729)</f>
        <v>0.1801</v>
      </c>
      <c r="K729" s="16">
        <f t="shared" si="1"/>
        <v>1.9654</v>
      </c>
      <c r="L729" s="16">
        <f t="shared" si="2"/>
        <v>0.36187</v>
      </c>
    </row>
    <row r="730" ht="16.5" customHeight="1">
      <c r="A730" s="15" t="str">
        <f>Solieusap!A730</f>
        <v>Cũ</v>
      </c>
      <c r="B730" s="15">
        <f>Solieusap!B730</f>
        <v>0</v>
      </c>
      <c r="C730" s="15" t="str">
        <f>Solieusap!C730</f>
        <v>COMB5</v>
      </c>
      <c r="D730" s="15" t="str">
        <f>Solieusap!D730</f>
        <v>Combination</v>
      </c>
      <c r="E730" s="16">
        <f>ABS(Solieusap!E730)</f>
        <v>2.9763</v>
      </c>
      <c r="F730" s="16">
        <f>ABS(Solieusap!F730)</f>
        <v>0.1511</v>
      </c>
      <c r="G730" s="16">
        <f>ABS(Solieusap!G730)</f>
        <v>0.5726</v>
      </c>
      <c r="H730" s="16">
        <f>ABS(Solieusap!H730)</f>
        <v>0.00006635</v>
      </c>
      <c r="I730" s="16">
        <f>ABS(Solieusap!I730)</f>
        <v>0.70135</v>
      </c>
      <c r="J730" s="16">
        <f>ABS(Solieusap!J730)</f>
        <v>0.2599</v>
      </c>
      <c r="K730" s="16">
        <f t="shared" si="1"/>
        <v>2.9763</v>
      </c>
      <c r="L730" s="16">
        <f t="shared" si="2"/>
        <v>0.70135</v>
      </c>
    </row>
    <row r="731" ht="16.5" customHeight="1">
      <c r="A731" s="15" t="str">
        <f>Solieusap!A731</f>
        <v>Cũ</v>
      </c>
      <c r="B731" s="15">
        <f>Solieusap!B731</f>
        <v>1.75</v>
      </c>
      <c r="C731" s="15" t="str">
        <f>Solieusap!C731</f>
        <v>COMB5</v>
      </c>
      <c r="D731" s="15" t="str">
        <f>Solieusap!D731</f>
        <v>Combination</v>
      </c>
      <c r="E731" s="16">
        <f>ABS(Solieusap!E731)</f>
        <v>2.7838</v>
      </c>
      <c r="F731" s="16">
        <f>ABS(Solieusap!F731)</f>
        <v>0.1511</v>
      </c>
      <c r="G731" s="16">
        <f>ABS(Solieusap!G731)</f>
        <v>0.3364</v>
      </c>
      <c r="H731" s="16">
        <f>ABS(Solieusap!H731)</f>
        <v>0.00006635</v>
      </c>
      <c r="I731" s="16">
        <f>ABS(Solieusap!I731)</f>
        <v>0.09402</v>
      </c>
      <c r="J731" s="16">
        <f>ABS(Solieusap!J731)</f>
        <v>0.00458</v>
      </c>
      <c r="K731" s="16">
        <f t="shared" si="1"/>
        <v>2.7838</v>
      </c>
      <c r="L731" s="16">
        <f t="shared" si="2"/>
        <v>0.09402</v>
      </c>
    </row>
    <row r="732" ht="16.5" customHeight="1">
      <c r="A732" s="15" t="str">
        <f>Solieusap!A732</f>
        <v>Cũ</v>
      </c>
      <c r="B732" s="15">
        <f>Solieusap!B732</f>
        <v>3.5</v>
      </c>
      <c r="C732" s="15" t="str">
        <f>Solieusap!C732</f>
        <v>COMB5</v>
      </c>
      <c r="D732" s="15" t="str">
        <f>Solieusap!D732</f>
        <v>Combination</v>
      </c>
      <c r="E732" s="16">
        <f>ABS(Solieusap!E732)</f>
        <v>2.5913</v>
      </c>
      <c r="F732" s="16">
        <f>ABS(Solieusap!F732)</f>
        <v>0.1511</v>
      </c>
      <c r="G732" s="16">
        <f>ABS(Solieusap!G732)</f>
        <v>0.1001</v>
      </c>
      <c r="H732" s="16">
        <f>ABS(Solieusap!H732)</f>
        <v>0.00006635</v>
      </c>
      <c r="I732" s="16">
        <f>ABS(Solieusap!I732)</f>
        <v>0.47595</v>
      </c>
      <c r="J732" s="16">
        <f>ABS(Solieusap!J732)</f>
        <v>0.26906</v>
      </c>
      <c r="K732" s="16">
        <f t="shared" si="1"/>
        <v>2.5913</v>
      </c>
      <c r="L732" s="16">
        <f t="shared" si="2"/>
        <v>0.47595</v>
      </c>
    </row>
    <row r="733" ht="16.5" customHeight="1">
      <c r="A733" s="15" t="str">
        <f>Solieusap!A733</f>
        <v>Cũ</v>
      </c>
      <c r="B733" s="15">
        <f>Solieusap!B733</f>
        <v>0</v>
      </c>
      <c r="C733" s="15" t="str">
        <f>Solieusap!C733</f>
        <v>COMB6</v>
      </c>
      <c r="D733" s="15" t="str">
        <f>Solieusap!D733</f>
        <v>Combination</v>
      </c>
      <c r="E733" s="16">
        <f>ABS(Solieusap!E733)</f>
        <v>2.8627</v>
      </c>
      <c r="F733" s="16">
        <f>ABS(Solieusap!F733)</f>
        <v>0.3169</v>
      </c>
      <c r="G733" s="16">
        <f>ABS(Solieusap!G733)</f>
        <v>0.2144</v>
      </c>
      <c r="H733" s="16">
        <f>ABS(Solieusap!H733)</f>
        <v>0.00011</v>
      </c>
      <c r="I733" s="16">
        <f>ABS(Solieusap!I733)</f>
        <v>0.37832</v>
      </c>
      <c r="J733" s="16">
        <f>ABS(Solieusap!J733)</f>
        <v>0.15355</v>
      </c>
      <c r="K733" s="16">
        <f t="shared" si="1"/>
        <v>2.8627</v>
      </c>
      <c r="L733" s="16">
        <f t="shared" si="2"/>
        <v>0.37832</v>
      </c>
    </row>
    <row r="734" ht="16.5" customHeight="1">
      <c r="A734" s="15" t="str">
        <f>Solieusap!A734</f>
        <v>Cũ</v>
      </c>
      <c r="B734" s="15">
        <f>Solieusap!B734</f>
        <v>1.75</v>
      </c>
      <c r="C734" s="15" t="str">
        <f>Solieusap!C734</f>
        <v>COMB6</v>
      </c>
      <c r="D734" s="15" t="str">
        <f>Solieusap!D734</f>
        <v>Combination</v>
      </c>
      <c r="E734" s="16">
        <f>ABS(Solieusap!E734)</f>
        <v>2.6702</v>
      </c>
      <c r="F734" s="16">
        <f>ABS(Solieusap!F734)</f>
        <v>0.0019</v>
      </c>
      <c r="G734" s="16">
        <f>ABS(Solieusap!G734)</f>
        <v>0.2144</v>
      </c>
      <c r="H734" s="16">
        <f>ABS(Solieusap!H734)</f>
        <v>0.00011</v>
      </c>
      <c r="I734" s="16">
        <f>ABS(Solieusap!I734)</f>
        <v>0.00317</v>
      </c>
      <c r="J734" s="16">
        <f>ABS(Solieusap!J734)</f>
        <v>0.1254</v>
      </c>
      <c r="K734" s="16">
        <f t="shared" si="1"/>
        <v>2.6702</v>
      </c>
      <c r="L734" s="16">
        <f t="shared" si="2"/>
        <v>0.00317</v>
      </c>
    </row>
    <row r="735" ht="16.5" customHeight="1">
      <c r="A735" s="15" t="str">
        <f>Solieusap!A735</f>
        <v>Cũ</v>
      </c>
      <c r="B735" s="15">
        <f>Solieusap!B735</f>
        <v>3.5</v>
      </c>
      <c r="C735" s="15" t="str">
        <f>Solieusap!C735</f>
        <v>COMB6</v>
      </c>
      <c r="D735" s="15" t="str">
        <f>Solieusap!D735</f>
        <v>Combination</v>
      </c>
      <c r="E735" s="16">
        <f>ABS(Solieusap!E735)</f>
        <v>2.4777</v>
      </c>
      <c r="F735" s="16">
        <f>ABS(Solieusap!F735)</f>
        <v>0.3131</v>
      </c>
      <c r="G735" s="16">
        <f>ABS(Solieusap!G735)</f>
        <v>0.2144</v>
      </c>
      <c r="H735" s="16">
        <f>ABS(Solieusap!H735)</f>
        <v>0.00011</v>
      </c>
      <c r="I735" s="16">
        <f>ABS(Solieusap!I735)</f>
        <v>0.37198</v>
      </c>
      <c r="J735" s="16">
        <f>ABS(Solieusap!J735)</f>
        <v>0.1469</v>
      </c>
      <c r="K735" s="16">
        <f t="shared" si="1"/>
        <v>2.4777</v>
      </c>
      <c r="L735" s="16">
        <f t="shared" si="2"/>
        <v>0.37198</v>
      </c>
    </row>
    <row r="736" ht="16.5" customHeight="1">
      <c r="A736" s="15" t="str">
        <f>Solieusap!A736</f>
        <v>Cũ</v>
      </c>
      <c r="B736" s="15">
        <f>Solieusap!B736</f>
        <v>0</v>
      </c>
      <c r="C736" s="15" t="str">
        <f>Solieusap!C736</f>
        <v>COMB7</v>
      </c>
      <c r="D736" s="15" t="str">
        <f>Solieusap!D736</f>
        <v>Combination</v>
      </c>
      <c r="E736" s="16">
        <f>ABS(Solieusap!E736)</f>
        <v>2.9982</v>
      </c>
      <c r="F736" s="16">
        <f>ABS(Solieusap!F736)</f>
        <v>0.5349</v>
      </c>
      <c r="G736" s="16">
        <f>ABS(Solieusap!G736)</f>
        <v>0.2183</v>
      </c>
      <c r="H736" s="16">
        <f>ABS(Solieusap!H736)</f>
        <v>0.00003978</v>
      </c>
      <c r="I736" s="16">
        <f>ABS(Solieusap!I736)</f>
        <v>0.3871</v>
      </c>
      <c r="J736" s="16">
        <f>ABS(Solieusap!J736)</f>
        <v>0.61695</v>
      </c>
      <c r="K736" s="16">
        <f t="shared" si="1"/>
        <v>2.9982</v>
      </c>
      <c r="L736" s="16">
        <f t="shared" si="2"/>
        <v>0.3871</v>
      </c>
    </row>
    <row r="737" ht="16.5" customHeight="1">
      <c r="A737" s="15" t="str">
        <f>Solieusap!A737</f>
        <v>Cũ</v>
      </c>
      <c r="B737" s="15">
        <f>Solieusap!B737</f>
        <v>1.75</v>
      </c>
      <c r="C737" s="15" t="str">
        <f>Solieusap!C737</f>
        <v>COMB7</v>
      </c>
      <c r="D737" s="15" t="str">
        <f>Solieusap!D737</f>
        <v>Combination</v>
      </c>
      <c r="E737" s="16">
        <f>ABS(Solieusap!E737)</f>
        <v>2.8057</v>
      </c>
      <c r="F737" s="16">
        <f>ABS(Solieusap!F737)</f>
        <v>0.2987</v>
      </c>
      <c r="G737" s="16">
        <f>ABS(Solieusap!G737)</f>
        <v>0.2183</v>
      </c>
      <c r="H737" s="16">
        <f>ABS(Solieusap!H737)</f>
        <v>0.00003978</v>
      </c>
      <c r="I737" s="16">
        <f>ABS(Solieusap!I737)</f>
        <v>0.0051</v>
      </c>
      <c r="J737" s="16">
        <f>ABS(Solieusap!J737)</f>
        <v>0.11241</v>
      </c>
      <c r="K737" s="16">
        <f t="shared" si="1"/>
        <v>2.8057</v>
      </c>
      <c r="L737" s="16">
        <f t="shared" si="2"/>
        <v>0.0051</v>
      </c>
    </row>
    <row r="738" ht="16.5" customHeight="1">
      <c r="A738" s="15" t="str">
        <f>Solieusap!A738</f>
        <v>Cũ</v>
      </c>
      <c r="B738" s="15">
        <f>Solieusap!B738</f>
        <v>3.5</v>
      </c>
      <c r="C738" s="15" t="str">
        <f>Solieusap!C738</f>
        <v>COMB7</v>
      </c>
      <c r="D738" s="15" t="str">
        <f>Solieusap!D738</f>
        <v>Combination</v>
      </c>
      <c r="E738" s="16">
        <f>ABS(Solieusap!E738)</f>
        <v>2.6132</v>
      </c>
      <c r="F738" s="16">
        <f>ABS(Solieusap!F738)</f>
        <v>0.0624</v>
      </c>
      <c r="G738" s="16">
        <f>ABS(Solieusap!G738)</f>
        <v>0.2183</v>
      </c>
      <c r="H738" s="16">
        <f>ABS(Solieusap!H738)</f>
        <v>0.00003978</v>
      </c>
      <c r="I738" s="16">
        <f>ABS(Solieusap!I738)</f>
        <v>0.3769</v>
      </c>
      <c r="J738" s="16">
        <f>ABS(Solieusap!J738)</f>
        <v>0.42834</v>
      </c>
      <c r="K738" s="16">
        <f t="shared" si="1"/>
        <v>2.6132</v>
      </c>
      <c r="L738" s="16">
        <f t="shared" si="2"/>
        <v>0.3769</v>
      </c>
    </row>
    <row r="739" ht="16.5" customHeight="1">
      <c r="A739" s="15" t="str">
        <f>Solieusap!A739</f>
        <v>Cũ</v>
      </c>
      <c r="B739" s="15">
        <f>Solieusap!B739</f>
        <v>0</v>
      </c>
      <c r="C739" s="15" t="str">
        <f>Solieusap!C739</f>
        <v>COMB1</v>
      </c>
      <c r="D739" s="15" t="str">
        <f>Solieusap!D739</f>
        <v>Combination</v>
      </c>
      <c r="E739" s="16">
        <f>ABS(Solieusap!E739)</f>
        <v>2.9937</v>
      </c>
      <c r="F739" s="16">
        <f>ABS(Solieusap!F739)</f>
        <v>0.1555</v>
      </c>
      <c r="G739" s="16">
        <f>ABS(Solieusap!G739)</f>
        <v>0.224</v>
      </c>
      <c r="H739" s="16">
        <f>ABS(Solieusap!H739)</f>
        <v>0.000058</v>
      </c>
      <c r="I739" s="16">
        <f>ABS(Solieusap!I739)</f>
        <v>0.39565</v>
      </c>
      <c r="J739" s="16">
        <f>ABS(Solieusap!J739)</f>
        <v>0.26636</v>
      </c>
      <c r="K739" s="16">
        <f t="shared" si="1"/>
        <v>2.9937</v>
      </c>
      <c r="L739" s="16">
        <f t="shared" si="2"/>
        <v>0.39565</v>
      </c>
    </row>
    <row r="740" ht="16.5" customHeight="1">
      <c r="A740" s="15" t="str">
        <f>Solieusap!A740</f>
        <v>Cũ</v>
      </c>
      <c r="B740" s="15">
        <f>Solieusap!B740</f>
        <v>1.75</v>
      </c>
      <c r="C740" s="15" t="str">
        <f>Solieusap!C740</f>
        <v>COMB1</v>
      </c>
      <c r="D740" s="15" t="str">
        <f>Solieusap!D740</f>
        <v>Combination</v>
      </c>
      <c r="E740" s="16">
        <f>ABS(Solieusap!E740)</f>
        <v>2.8012</v>
      </c>
      <c r="F740" s="16">
        <f>ABS(Solieusap!F740)</f>
        <v>0.1555</v>
      </c>
      <c r="G740" s="16">
        <f>ABS(Solieusap!G740)</f>
        <v>0.224</v>
      </c>
      <c r="H740" s="16">
        <f>ABS(Solieusap!H740)</f>
        <v>0.000058</v>
      </c>
      <c r="I740" s="16">
        <f>ABS(Solieusap!I740)</f>
        <v>0.00367</v>
      </c>
      <c r="J740" s="16">
        <f>ABS(Solieusap!J740)</f>
        <v>0.00569</v>
      </c>
      <c r="K740" s="16">
        <f t="shared" si="1"/>
        <v>2.8012</v>
      </c>
      <c r="L740" s="16">
        <f t="shared" si="2"/>
        <v>0.00367</v>
      </c>
    </row>
    <row r="741" ht="16.5" customHeight="1">
      <c r="A741" s="15" t="str">
        <f>Solieusap!A741</f>
        <v>Cũ</v>
      </c>
      <c r="B741" s="15">
        <f>Solieusap!B741</f>
        <v>3.5</v>
      </c>
      <c r="C741" s="15" t="str">
        <f>Solieusap!C741</f>
        <v>COMB1</v>
      </c>
      <c r="D741" s="15" t="str">
        <f>Solieusap!D741</f>
        <v>Combination</v>
      </c>
      <c r="E741" s="16">
        <f>ABS(Solieusap!E741)</f>
        <v>2.6087</v>
      </c>
      <c r="F741" s="16">
        <f>ABS(Solieusap!F741)</f>
        <v>0.1555</v>
      </c>
      <c r="G741" s="16">
        <f>ABS(Solieusap!G741)</f>
        <v>0.224</v>
      </c>
      <c r="H741" s="16">
        <f>ABS(Solieusap!H741)</f>
        <v>0.000058</v>
      </c>
      <c r="I741" s="16">
        <f>ABS(Solieusap!I741)</f>
        <v>0.3883</v>
      </c>
      <c r="J741" s="16">
        <f>ABS(Solieusap!J741)</f>
        <v>0.27774</v>
      </c>
      <c r="K741" s="16">
        <f t="shared" si="1"/>
        <v>2.6087</v>
      </c>
      <c r="L741" s="16">
        <f t="shared" si="2"/>
        <v>0.3883</v>
      </c>
    </row>
    <row r="742" ht="16.5" customHeight="1">
      <c r="A742" s="15" t="str">
        <f>Solieusap!A742</f>
        <v>Cũ</v>
      </c>
      <c r="B742" s="15">
        <f>Solieusap!B742</f>
        <v>0</v>
      </c>
      <c r="C742" s="15" t="str">
        <f>Solieusap!C742</f>
        <v>COMB2</v>
      </c>
      <c r="D742" s="15" t="str">
        <f>Solieusap!D742</f>
        <v>Combination</v>
      </c>
      <c r="E742" s="16">
        <f>ABS(Solieusap!E742)</f>
        <v>2.3747</v>
      </c>
      <c r="F742" s="16">
        <f>ABS(Solieusap!F742)</f>
        <v>0.5296</v>
      </c>
      <c r="G742" s="16">
        <f>ABS(Solieusap!G742)</f>
        <v>0.1493</v>
      </c>
      <c r="H742" s="16">
        <f>ABS(Solieusap!H742)</f>
        <v>0.00002071</v>
      </c>
      <c r="I742" s="16">
        <f>ABS(Solieusap!I742)</f>
        <v>0.27064</v>
      </c>
      <c r="J742" s="16">
        <f>ABS(Solieusap!J742)</f>
        <v>0.57781</v>
      </c>
      <c r="K742" s="16">
        <f t="shared" si="1"/>
        <v>2.3747</v>
      </c>
      <c r="L742" s="16">
        <f t="shared" si="2"/>
        <v>0.27064</v>
      </c>
    </row>
    <row r="743" ht="16.5" customHeight="1">
      <c r="A743" s="15" t="str">
        <f>Solieusap!A743</f>
        <v>Cũ</v>
      </c>
      <c r="B743" s="15">
        <f>Solieusap!B743</f>
        <v>1.75</v>
      </c>
      <c r="C743" s="15" t="str">
        <f>Solieusap!C743</f>
        <v>COMB2</v>
      </c>
      <c r="D743" s="15" t="str">
        <f>Solieusap!D743</f>
        <v>Combination</v>
      </c>
      <c r="E743" s="16">
        <f>ABS(Solieusap!E743)</f>
        <v>2.1822</v>
      </c>
      <c r="F743" s="16">
        <f>ABS(Solieusap!F743)</f>
        <v>0.2671</v>
      </c>
      <c r="G743" s="16">
        <f>ABS(Solieusap!G743)</f>
        <v>0.1493</v>
      </c>
      <c r="H743" s="16">
        <f>ABS(Solieusap!H743)</f>
        <v>0.00002071</v>
      </c>
      <c r="I743" s="16">
        <f>ABS(Solieusap!I743)</f>
        <v>0.00941</v>
      </c>
      <c r="J743" s="16">
        <f>ABS(Solieusap!J743)</f>
        <v>0.11932</v>
      </c>
      <c r="K743" s="16">
        <f t="shared" si="1"/>
        <v>2.1822</v>
      </c>
      <c r="L743" s="16">
        <f t="shared" si="2"/>
        <v>0.00941</v>
      </c>
    </row>
    <row r="744" ht="16.5" customHeight="1">
      <c r="A744" s="15" t="str">
        <f>Solieusap!A744</f>
        <v>Cũ</v>
      </c>
      <c r="B744" s="15">
        <f>Solieusap!B744</f>
        <v>3.5</v>
      </c>
      <c r="C744" s="15" t="str">
        <f>Solieusap!C744</f>
        <v>COMB2</v>
      </c>
      <c r="D744" s="15" t="str">
        <f>Solieusap!D744</f>
        <v>Combination</v>
      </c>
      <c r="E744" s="16">
        <f>ABS(Solieusap!E744)</f>
        <v>1.9897</v>
      </c>
      <c r="F744" s="16">
        <f>ABS(Solieusap!F744)</f>
        <v>0.0046</v>
      </c>
      <c r="G744" s="16">
        <f>ABS(Solieusap!G744)</f>
        <v>0.1493</v>
      </c>
      <c r="H744" s="16">
        <f>ABS(Solieusap!H744)</f>
        <v>0.00002071</v>
      </c>
      <c r="I744" s="16">
        <f>ABS(Solieusap!I744)</f>
        <v>0.25181</v>
      </c>
      <c r="J744" s="16">
        <f>ABS(Solieusap!J744)</f>
        <v>0.35707</v>
      </c>
      <c r="K744" s="16">
        <f t="shared" si="1"/>
        <v>1.9897</v>
      </c>
      <c r="L744" s="16">
        <f t="shared" si="2"/>
        <v>0.25181</v>
      </c>
    </row>
    <row r="745" ht="16.5" customHeight="1">
      <c r="A745" s="15" t="str">
        <f>Solieusap!A745</f>
        <v>Cũ</v>
      </c>
      <c r="B745" s="15">
        <f>Solieusap!B745</f>
        <v>0</v>
      </c>
      <c r="C745" s="15" t="str">
        <f>Solieusap!C745</f>
        <v>COMB3</v>
      </c>
      <c r="D745" s="15" t="str">
        <f>Solieusap!D745</f>
        <v>Combination</v>
      </c>
      <c r="E745" s="16">
        <f>ABS(Solieusap!E745)</f>
        <v>2.2242</v>
      </c>
      <c r="F745" s="16">
        <f>ABS(Solieusap!F745)</f>
        <v>0.4168</v>
      </c>
      <c r="G745" s="16">
        <f>ABS(Solieusap!G745)</f>
        <v>0.1449</v>
      </c>
      <c r="H745" s="16">
        <f>ABS(Solieusap!H745)</f>
        <v>0.0001</v>
      </c>
      <c r="I745" s="16">
        <f>ABS(Solieusap!I745)</f>
        <v>0.26088</v>
      </c>
      <c r="J745" s="16">
        <f>ABS(Solieusap!J745)</f>
        <v>0.2783</v>
      </c>
      <c r="K745" s="16">
        <f t="shared" si="1"/>
        <v>2.2242</v>
      </c>
      <c r="L745" s="16">
        <f t="shared" si="2"/>
        <v>0.26088</v>
      </c>
    </row>
    <row r="746" ht="16.5" customHeight="1">
      <c r="A746" s="15" t="str">
        <f>Solieusap!A746</f>
        <v>Cũ</v>
      </c>
      <c r="B746" s="15">
        <f>Solieusap!B746</f>
        <v>1.75</v>
      </c>
      <c r="C746" s="15" t="str">
        <f>Solieusap!C746</f>
        <v>COMB3</v>
      </c>
      <c r="D746" s="15" t="str">
        <f>Solieusap!D746</f>
        <v>Combination</v>
      </c>
      <c r="E746" s="16">
        <f>ABS(Solieusap!E746)</f>
        <v>2.0317</v>
      </c>
      <c r="F746" s="16">
        <f>ABS(Solieusap!F746)</f>
        <v>0.0668</v>
      </c>
      <c r="G746" s="16">
        <f>ABS(Solieusap!G746)</f>
        <v>0.1449</v>
      </c>
      <c r="H746" s="16">
        <f>ABS(Solieusap!H746)</f>
        <v>0.0001</v>
      </c>
      <c r="I746" s="16">
        <f>ABS(Solieusap!I746)</f>
        <v>0.00726</v>
      </c>
      <c r="J746" s="16">
        <f>ABS(Solieusap!J746)</f>
        <v>0.14492</v>
      </c>
      <c r="K746" s="16">
        <f t="shared" si="1"/>
        <v>2.0317</v>
      </c>
      <c r="L746" s="16">
        <f t="shared" si="2"/>
        <v>0.00726</v>
      </c>
    </row>
    <row r="747" ht="16.5" customHeight="1">
      <c r="A747" s="15" t="str">
        <f>Solieusap!A747</f>
        <v>Cũ</v>
      </c>
      <c r="B747" s="15">
        <f>Solieusap!B747</f>
        <v>3.5</v>
      </c>
      <c r="C747" s="15" t="str">
        <f>Solieusap!C747</f>
        <v>COMB3</v>
      </c>
      <c r="D747" s="15" t="str">
        <f>Solieusap!D747</f>
        <v>Combination</v>
      </c>
      <c r="E747" s="16">
        <f>ABS(Solieusap!E747)</f>
        <v>1.8392</v>
      </c>
      <c r="F747" s="16">
        <f>ABS(Solieusap!F747)</f>
        <v>0.2832</v>
      </c>
      <c r="G747" s="16">
        <f>ABS(Solieusap!G747)</f>
        <v>0.1449</v>
      </c>
      <c r="H747" s="16">
        <f>ABS(Solieusap!H747)</f>
        <v>0.0001</v>
      </c>
      <c r="I747" s="16">
        <f>ABS(Solieusap!I747)</f>
        <v>0.24635</v>
      </c>
      <c r="J747" s="16">
        <f>ABS(Solieusap!J747)</f>
        <v>0.04436</v>
      </c>
      <c r="K747" s="16">
        <f t="shared" si="1"/>
        <v>1.8392</v>
      </c>
      <c r="L747" s="16">
        <f t="shared" si="2"/>
        <v>0.24635</v>
      </c>
    </row>
    <row r="748" ht="16.5" customHeight="1">
      <c r="A748" s="15" t="str">
        <f>Solieusap!A748</f>
        <v>Cũ</v>
      </c>
      <c r="B748" s="15">
        <f>Solieusap!B748</f>
        <v>0</v>
      </c>
      <c r="C748" s="15" t="str">
        <f>Solieusap!C748</f>
        <v>COMB4</v>
      </c>
      <c r="D748" s="15" t="str">
        <f>Solieusap!D748</f>
        <v>Combination</v>
      </c>
      <c r="E748" s="16">
        <f>ABS(Solieusap!E748)</f>
        <v>2.3504</v>
      </c>
      <c r="F748" s="16">
        <f>ABS(Solieusap!F748)</f>
        <v>0.1032</v>
      </c>
      <c r="G748" s="16">
        <f>ABS(Solieusap!G748)</f>
        <v>0.543</v>
      </c>
      <c r="H748" s="16">
        <f>ABS(Solieusap!H748)</f>
        <v>0.00005023</v>
      </c>
      <c r="I748" s="16">
        <f>ABS(Solieusap!I748)</f>
        <v>0.6198</v>
      </c>
      <c r="J748" s="16">
        <f>ABS(Solieusap!J748)</f>
        <v>0.1811</v>
      </c>
      <c r="K748" s="16">
        <f t="shared" si="1"/>
        <v>2.3504</v>
      </c>
      <c r="L748" s="16">
        <f t="shared" si="2"/>
        <v>0.6198</v>
      </c>
    </row>
    <row r="749" ht="16.5" customHeight="1">
      <c r="A749" s="15" t="str">
        <f>Solieusap!A749</f>
        <v>Cũ</v>
      </c>
      <c r="B749" s="15">
        <f>Solieusap!B749</f>
        <v>1.75</v>
      </c>
      <c r="C749" s="15" t="str">
        <f>Solieusap!C749</f>
        <v>COMB4</v>
      </c>
      <c r="D749" s="15" t="str">
        <f>Solieusap!D749</f>
        <v>Combination</v>
      </c>
      <c r="E749" s="16">
        <f>ABS(Solieusap!E749)</f>
        <v>2.1579</v>
      </c>
      <c r="F749" s="16">
        <f>ABS(Solieusap!F749)</f>
        <v>0.1032</v>
      </c>
      <c r="G749" s="16">
        <f>ABS(Solieusap!G749)</f>
        <v>0.2805</v>
      </c>
      <c r="H749" s="16">
        <f>ABS(Solieusap!H749)</f>
        <v>0.00005023</v>
      </c>
      <c r="I749" s="16">
        <f>ABS(Solieusap!I749)</f>
        <v>0.10072</v>
      </c>
      <c r="J749" s="16">
        <f>ABS(Solieusap!J749)</f>
        <v>0.0005</v>
      </c>
      <c r="K749" s="16">
        <f t="shared" si="1"/>
        <v>2.1579</v>
      </c>
      <c r="L749" s="16">
        <f t="shared" si="2"/>
        <v>0.10072</v>
      </c>
    </row>
    <row r="750" ht="16.5" customHeight="1">
      <c r="A750" s="15" t="str">
        <f>Solieusap!A750</f>
        <v>Cũ</v>
      </c>
      <c r="B750" s="15">
        <f>Solieusap!B750</f>
        <v>3.5</v>
      </c>
      <c r="C750" s="15" t="str">
        <f>Solieusap!C750</f>
        <v>COMB4</v>
      </c>
      <c r="D750" s="15" t="str">
        <f>Solieusap!D750</f>
        <v>Combination</v>
      </c>
      <c r="E750" s="16">
        <f>ABS(Solieusap!E750)</f>
        <v>1.9654</v>
      </c>
      <c r="F750" s="16">
        <f>ABS(Solieusap!F750)</f>
        <v>0.1032</v>
      </c>
      <c r="G750" s="16">
        <f>ABS(Solieusap!G750)</f>
        <v>0.018</v>
      </c>
      <c r="H750" s="16">
        <f>ABS(Solieusap!H750)</f>
        <v>0.00005023</v>
      </c>
      <c r="I750" s="16">
        <f>ABS(Solieusap!I750)</f>
        <v>0.36187</v>
      </c>
      <c r="J750" s="16">
        <f>ABS(Solieusap!J750)</f>
        <v>0.1801</v>
      </c>
      <c r="K750" s="16">
        <f t="shared" si="1"/>
        <v>1.9654</v>
      </c>
      <c r="L750" s="16">
        <f t="shared" si="2"/>
        <v>0.36187</v>
      </c>
    </row>
    <row r="751" ht="16.5" customHeight="1">
      <c r="A751" s="15" t="str">
        <f>Solieusap!A751</f>
        <v>Cũ</v>
      </c>
      <c r="B751" s="15">
        <f>Solieusap!B751</f>
        <v>0</v>
      </c>
      <c r="C751" s="15" t="str">
        <f>Solieusap!C751</f>
        <v>COMB5</v>
      </c>
      <c r="D751" s="15" t="str">
        <f>Solieusap!D751</f>
        <v>Combination</v>
      </c>
      <c r="E751" s="16">
        <f>ABS(Solieusap!E751)</f>
        <v>2.9763</v>
      </c>
      <c r="F751" s="16">
        <f>ABS(Solieusap!F751)</f>
        <v>0.1511</v>
      </c>
      <c r="G751" s="16">
        <f>ABS(Solieusap!G751)</f>
        <v>0.5726</v>
      </c>
      <c r="H751" s="16">
        <f>ABS(Solieusap!H751)</f>
        <v>0.00006635</v>
      </c>
      <c r="I751" s="16">
        <f>ABS(Solieusap!I751)</f>
        <v>0.70135</v>
      </c>
      <c r="J751" s="16">
        <f>ABS(Solieusap!J751)</f>
        <v>0.2599</v>
      </c>
      <c r="K751" s="16">
        <f t="shared" si="1"/>
        <v>2.9763</v>
      </c>
      <c r="L751" s="16">
        <f t="shared" si="2"/>
        <v>0.70135</v>
      </c>
    </row>
    <row r="752" ht="16.5" customHeight="1">
      <c r="A752" s="15" t="str">
        <f>Solieusap!A752</f>
        <v>Cũ</v>
      </c>
      <c r="B752" s="15">
        <f>Solieusap!B752</f>
        <v>1.75</v>
      </c>
      <c r="C752" s="15" t="str">
        <f>Solieusap!C752</f>
        <v>COMB5</v>
      </c>
      <c r="D752" s="15" t="str">
        <f>Solieusap!D752</f>
        <v>Combination</v>
      </c>
      <c r="E752" s="16">
        <f>ABS(Solieusap!E752)</f>
        <v>2.7838</v>
      </c>
      <c r="F752" s="16">
        <f>ABS(Solieusap!F752)</f>
        <v>0.1511</v>
      </c>
      <c r="G752" s="16">
        <f>ABS(Solieusap!G752)</f>
        <v>0.3364</v>
      </c>
      <c r="H752" s="16">
        <f>ABS(Solieusap!H752)</f>
        <v>0.00006635</v>
      </c>
      <c r="I752" s="16">
        <f>ABS(Solieusap!I752)</f>
        <v>0.09402</v>
      </c>
      <c r="J752" s="16">
        <f>ABS(Solieusap!J752)</f>
        <v>0.00458</v>
      </c>
      <c r="K752" s="16">
        <f t="shared" si="1"/>
        <v>2.7838</v>
      </c>
      <c r="L752" s="16">
        <f t="shared" si="2"/>
        <v>0.09402</v>
      </c>
    </row>
    <row r="753" ht="16.5" customHeight="1">
      <c r="A753" s="15" t="str">
        <f>Solieusap!A753</f>
        <v>Cũ</v>
      </c>
      <c r="B753" s="15">
        <f>Solieusap!B753</f>
        <v>3.5</v>
      </c>
      <c r="C753" s="15" t="str">
        <f>Solieusap!C753</f>
        <v>COMB5</v>
      </c>
      <c r="D753" s="15" t="str">
        <f>Solieusap!D753</f>
        <v>Combination</v>
      </c>
      <c r="E753" s="16">
        <f>ABS(Solieusap!E753)</f>
        <v>2.5913</v>
      </c>
      <c r="F753" s="16">
        <f>ABS(Solieusap!F753)</f>
        <v>0.1511</v>
      </c>
      <c r="G753" s="16">
        <f>ABS(Solieusap!G753)</f>
        <v>0.1001</v>
      </c>
      <c r="H753" s="16">
        <f>ABS(Solieusap!H753)</f>
        <v>0.00006635</v>
      </c>
      <c r="I753" s="16">
        <f>ABS(Solieusap!I753)</f>
        <v>0.47595</v>
      </c>
      <c r="J753" s="16">
        <f>ABS(Solieusap!J753)</f>
        <v>0.26906</v>
      </c>
      <c r="K753" s="16">
        <f t="shared" si="1"/>
        <v>2.5913</v>
      </c>
      <c r="L753" s="16">
        <f t="shared" si="2"/>
        <v>0.47595</v>
      </c>
    </row>
    <row r="754" ht="16.5" customHeight="1">
      <c r="A754" s="15" t="str">
        <f>Solieusap!A754</f>
        <v>Cũ</v>
      </c>
      <c r="B754" s="15">
        <f>Solieusap!B754</f>
        <v>0</v>
      </c>
      <c r="C754" s="15" t="str">
        <f>Solieusap!C754</f>
        <v>COMB6</v>
      </c>
      <c r="D754" s="15" t="str">
        <f>Solieusap!D754</f>
        <v>Combination</v>
      </c>
      <c r="E754" s="16">
        <f>ABS(Solieusap!E754)</f>
        <v>2.8627</v>
      </c>
      <c r="F754" s="16">
        <f>ABS(Solieusap!F754)</f>
        <v>0.3169</v>
      </c>
      <c r="G754" s="16">
        <f>ABS(Solieusap!G754)</f>
        <v>0.2144</v>
      </c>
      <c r="H754" s="16">
        <f>ABS(Solieusap!H754)</f>
        <v>0.00011</v>
      </c>
      <c r="I754" s="16">
        <f>ABS(Solieusap!I754)</f>
        <v>0.37832</v>
      </c>
      <c r="J754" s="16">
        <f>ABS(Solieusap!J754)</f>
        <v>0.15355</v>
      </c>
      <c r="K754" s="16">
        <f t="shared" si="1"/>
        <v>2.8627</v>
      </c>
      <c r="L754" s="16">
        <f t="shared" si="2"/>
        <v>0.37832</v>
      </c>
    </row>
    <row r="755" ht="16.5" customHeight="1">
      <c r="A755" s="15" t="str">
        <f>Solieusap!A755</f>
        <v>Cũ</v>
      </c>
      <c r="B755" s="15">
        <f>Solieusap!B755</f>
        <v>1.75</v>
      </c>
      <c r="C755" s="15" t="str">
        <f>Solieusap!C755</f>
        <v>COMB6</v>
      </c>
      <c r="D755" s="15" t="str">
        <f>Solieusap!D755</f>
        <v>Combination</v>
      </c>
      <c r="E755" s="16">
        <f>ABS(Solieusap!E755)</f>
        <v>2.6702</v>
      </c>
      <c r="F755" s="16">
        <f>ABS(Solieusap!F755)</f>
        <v>0.0019</v>
      </c>
      <c r="G755" s="16">
        <f>ABS(Solieusap!G755)</f>
        <v>0.2144</v>
      </c>
      <c r="H755" s="16">
        <f>ABS(Solieusap!H755)</f>
        <v>0.00011</v>
      </c>
      <c r="I755" s="16">
        <f>ABS(Solieusap!I755)</f>
        <v>0.00317</v>
      </c>
      <c r="J755" s="16">
        <f>ABS(Solieusap!J755)</f>
        <v>0.1254</v>
      </c>
      <c r="K755" s="16">
        <f t="shared" si="1"/>
        <v>2.6702</v>
      </c>
      <c r="L755" s="16">
        <f t="shared" si="2"/>
        <v>0.00317</v>
      </c>
    </row>
    <row r="756" ht="16.5" customHeight="1">
      <c r="A756" s="15" t="str">
        <f>Solieusap!A756</f>
        <v>Cũ</v>
      </c>
      <c r="B756" s="15">
        <f>Solieusap!B756</f>
        <v>3.5</v>
      </c>
      <c r="C756" s="15" t="str">
        <f>Solieusap!C756</f>
        <v>COMB6</v>
      </c>
      <c r="D756" s="15" t="str">
        <f>Solieusap!D756</f>
        <v>Combination</v>
      </c>
      <c r="E756" s="16">
        <f>ABS(Solieusap!E756)</f>
        <v>2.4777</v>
      </c>
      <c r="F756" s="16">
        <f>ABS(Solieusap!F756)</f>
        <v>0.3131</v>
      </c>
      <c r="G756" s="16">
        <f>ABS(Solieusap!G756)</f>
        <v>0.2144</v>
      </c>
      <c r="H756" s="16">
        <f>ABS(Solieusap!H756)</f>
        <v>0.00011</v>
      </c>
      <c r="I756" s="16">
        <f>ABS(Solieusap!I756)</f>
        <v>0.37198</v>
      </c>
      <c r="J756" s="16">
        <f>ABS(Solieusap!J756)</f>
        <v>0.1469</v>
      </c>
      <c r="K756" s="16">
        <f t="shared" si="1"/>
        <v>2.4777</v>
      </c>
      <c r="L756" s="16">
        <f t="shared" si="2"/>
        <v>0.37198</v>
      </c>
    </row>
    <row r="757" ht="16.5" customHeight="1">
      <c r="A757" s="15" t="str">
        <f>Solieusap!A757</f>
        <v>Cũ</v>
      </c>
      <c r="B757" s="15">
        <f>Solieusap!B757</f>
        <v>0</v>
      </c>
      <c r="C757" s="15" t="str">
        <f>Solieusap!C757</f>
        <v>COMB7</v>
      </c>
      <c r="D757" s="15" t="str">
        <f>Solieusap!D757</f>
        <v>Combination</v>
      </c>
      <c r="E757" s="16">
        <f>ABS(Solieusap!E757)</f>
        <v>2.9982</v>
      </c>
      <c r="F757" s="16">
        <f>ABS(Solieusap!F757)</f>
        <v>0.5349</v>
      </c>
      <c r="G757" s="16">
        <f>ABS(Solieusap!G757)</f>
        <v>0.2183</v>
      </c>
      <c r="H757" s="16">
        <f>ABS(Solieusap!H757)</f>
        <v>0.00003978</v>
      </c>
      <c r="I757" s="16">
        <f>ABS(Solieusap!I757)</f>
        <v>0.3871</v>
      </c>
      <c r="J757" s="16">
        <f>ABS(Solieusap!J757)</f>
        <v>0.61695</v>
      </c>
      <c r="K757" s="16">
        <f t="shared" si="1"/>
        <v>2.9982</v>
      </c>
      <c r="L757" s="16">
        <f t="shared" si="2"/>
        <v>0.3871</v>
      </c>
    </row>
    <row r="758" ht="16.5" customHeight="1">
      <c r="A758" s="15" t="str">
        <f>Solieusap!A758</f>
        <v>Cũ</v>
      </c>
      <c r="B758" s="15">
        <f>Solieusap!B758</f>
        <v>1.75</v>
      </c>
      <c r="C758" s="15" t="str">
        <f>Solieusap!C758</f>
        <v>COMB7</v>
      </c>
      <c r="D758" s="15" t="str">
        <f>Solieusap!D758</f>
        <v>Combination</v>
      </c>
      <c r="E758" s="16">
        <f>ABS(Solieusap!E758)</f>
        <v>2.8057</v>
      </c>
      <c r="F758" s="16">
        <f>ABS(Solieusap!F758)</f>
        <v>0.2987</v>
      </c>
      <c r="G758" s="16">
        <f>ABS(Solieusap!G758)</f>
        <v>0.2183</v>
      </c>
      <c r="H758" s="16">
        <f>ABS(Solieusap!H758)</f>
        <v>0.00003978</v>
      </c>
      <c r="I758" s="16">
        <f>ABS(Solieusap!I758)</f>
        <v>0.0051</v>
      </c>
      <c r="J758" s="16">
        <f>ABS(Solieusap!J758)</f>
        <v>0.11241</v>
      </c>
      <c r="K758" s="16">
        <f t="shared" si="1"/>
        <v>2.8057</v>
      </c>
      <c r="L758" s="16">
        <f t="shared" si="2"/>
        <v>0.0051</v>
      </c>
    </row>
    <row r="759" ht="16.5" customHeight="1">
      <c r="A759" s="15" t="str">
        <f>Solieusap!A759</f>
        <v>Cũ</v>
      </c>
      <c r="B759" s="15">
        <f>Solieusap!B759</f>
        <v>3.5</v>
      </c>
      <c r="C759" s="15" t="str">
        <f>Solieusap!C759</f>
        <v>COMB7</v>
      </c>
      <c r="D759" s="15" t="str">
        <f>Solieusap!D759</f>
        <v>Combination</v>
      </c>
      <c r="E759" s="16">
        <f>ABS(Solieusap!E759)</f>
        <v>2.6132</v>
      </c>
      <c r="F759" s="16">
        <f>ABS(Solieusap!F759)</f>
        <v>0.0624</v>
      </c>
      <c r="G759" s="16">
        <f>ABS(Solieusap!G759)</f>
        <v>0.2183</v>
      </c>
      <c r="H759" s="16">
        <f>ABS(Solieusap!H759)</f>
        <v>0.00003978</v>
      </c>
      <c r="I759" s="16">
        <f>ABS(Solieusap!I759)</f>
        <v>0.3769</v>
      </c>
      <c r="J759" s="16">
        <f>ABS(Solieusap!J759)</f>
        <v>0.42834</v>
      </c>
      <c r="K759" s="16">
        <f t="shared" si="1"/>
        <v>2.6132</v>
      </c>
      <c r="L759" s="16">
        <f t="shared" si="2"/>
        <v>0.3769</v>
      </c>
    </row>
    <row r="760" ht="16.5" customHeight="1">
      <c r="A760" s="15" t="str">
        <f>Solieusap!A760</f>
        <v>Cũ</v>
      </c>
      <c r="B760" s="15">
        <f>Solieusap!B760</f>
        <v>0</v>
      </c>
      <c r="C760" s="15" t="str">
        <f>Solieusap!C760</f>
        <v>COMB1</v>
      </c>
      <c r="D760" s="15" t="str">
        <f>Solieusap!D760</f>
        <v>Combination</v>
      </c>
      <c r="E760" s="16">
        <f>ABS(Solieusap!E760)</f>
        <v>2.9937</v>
      </c>
      <c r="F760" s="16">
        <f>ABS(Solieusap!F760)</f>
        <v>0.1555</v>
      </c>
      <c r="G760" s="16">
        <f>ABS(Solieusap!G760)</f>
        <v>0.224</v>
      </c>
      <c r="H760" s="16">
        <f>ABS(Solieusap!H760)</f>
        <v>0.000058</v>
      </c>
      <c r="I760" s="16">
        <f>ABS(Solieusap!I760)</f>
        <v>0.39565</v>
      </c>
      <c r="J760" s="16">
        <f>ABS(Solieusap!J760)</f>
        <v>0.26636</v>
      </c>
      <c r="K760" s="16">
        <f t="shared" si="1"/>
        <v>2.9937</v>
      </c>
      <c r="L760" s="16">
        <f t="shared" si="2"/>
        <v>0.39565</v>
      </c>
    </row>
    <row r="761" ht="16.5" customHeight="1">
      <c r="A761" s="15" t="str">
        <f>Solieusap!A761</f>
        <v>Cũ</v>
      </c>
      <c r="B761" s="15">
        <f>Solieusap!B761</f>
        <v>1.75</v>
      </c>
      <c r="C761" s="15" t="str">
        <f>Solieusap!C761</f>
        <v>COMB1</v>
      </c>
      <c r="D761" s="15" t="str">
        <f>Solieusap!D761</f>
        <v>Combination</v>
      </c>
      <c r="E761" s="16">
        <f>ABS(Solieusap!E761)</f>
        <v>2.8012</v>
      </c>
      <c r="F761" s="16">
        <f>ABS(Solieusap!F761)</f>
        <v>0.1555</v>
      </c>
      <c r="G761" s="16">
        <f>ABS(Solieusap!G761)</f>
        <v>0.224</v>
      </c>
      <c r="H761" s="16">
        <f>ABS(Solieusap!H761)</f>
        <v>0.000058</v>
      </c>
      <c r="I761" s="16">
        <f>ABS(Solieusap!I761)</f>
        <v>0.00367</v>
      </c>
      <c r="J761" s="16">
        <f>ABS(Solieusap!J761)</f>
        <v>0.00569</v>
      </c>
      <c r="K761" s="16">
        <f t="shared" si="1"/>
        <v>2.8012</v>
      </c>
      <c r="L761" s="16">
        <f t="shared" si="2"/>
        <v>0.00367</v>
      </c>
    </row>
    <row r="762" ht="16.5" customHeight="1">
      <c r="A762" s="15" t="str">
        <f>Solieusap!A762</f>
        <v>Cũ</v>
      </c>
      <c r="B762" s="15">
        <f>Solieusap!B762</f>
        <v>3.5</v>
      </c>
      <c r="C762" s="15" t="str">
        <f>Solieusap!C762</f>
        <v>COMB1</v>
      </c>
      <c r="D762" s="15" t="str">
        <f>Solieusap!D762</f>
        <v>Combination</v>
      </c>
      <c r="E762" s="16">
        <f>ABS(Solieusap!E762)</f>
        <v>2.6087</v>
      </c>
      <c r="F762" s="16">
        <f>ABS(Solieusap!F762)</f>
        <v>0.1555</v>
      </c>
      <c r="G762" s="16">
        <f>ABS(Solieusap!G762)</f>
        <v>0.224</v>
      </c>
      <c r="H762" s="16">
        <f>ABS(Solieusap!H762)</f>
        <v>0.000058</v>
      </c>
      <c r="I762" s="16">
        <f>ABS(Solieusap!I762)</f>
        <v>0.3883</v>
      </c>
      <c r="J762" s="16">
        <f>ABS(Solieusap!J762)</f>
        <v>0.27774</v>
      </c>
      <c r="K762" s="16">
        <f t="shared" si="1"/>
        <v>2.6087</v>
      </c>
      <c r="L762" s="16">
        <f t="shared" si="2"/>
        <v>0.3883</v>
      </c>
    </row>
    <row r="763" ht="16.5" customHeight="1">
      <c r="A763" s="15" t="str">
        <f>Solieusap!A763</f>
        <v>Cũ</v>
      </c>
      <c r="B763" s="15">
        <f>Solieusap!B763</f>
        <v>0</v>
      </c>
      <c r="C763" s="15" t="str">
        <f>Solieusap!C763</f>
        <v>COMB2</v>
      </c>
      <c r="D763" s="15" t="str">
        <f>Solieusap!D763</f>
        <v>Combination</v>
      </c>
      <c r="E763" s="16">
        <f>ABS(Solieusap!E763)</f>
        <v>2.3747</v>
      </c>
      <c r="F763" s="16">
        <f>ABS(Solieusap!F763)</f>
        <v>0.5296</v>
      </c>
      <c r="G763" s="16">
        <f>ABS(Solieusap!G763)</f>
        <v>0.1493</v>
      </c>
      <c r="H763" s="16">
        <f>ABS(Solieusap!H763)</f>
        <v>0.00002071</v>
      </c>
      <c r="I763" s="16">
        <f>ABS(Solieusap!I763)</f>
        <v>0.27064</v>
      </c>
      <c r="J763" s="16">
        <f>ABS(Solieusap!J763)</f>
        <v>0.57781</v>
      </c>
      <c r="K763" s="16">
        <f t="shared" si="1"/>
        <v>2.3747</v>
      </c>
      <c r="L763" s="16">
        <f t="shared" si="2"/>
        <v>0.27064</v>
      </c>
    </row>
    <row r="764" ht="16.5" customHeight="1">
      <c r="A764" s="15" t="str">
        <f>Solieusap!A764</f>
        <v>Cũ</v>
      </c>
      <c r="B764" s="15">
        <f>Solieusap!B764</f>
        <v>1.75</v>
      </c>
      <c r="C764" s="15" t="str">
        <f>Solieusap!C764</f>
        <v>COMB2</v>
      </c>
      <c r="D764" s="15" t="str">
        <f>Solieusap!D764</f>
        <v>Combination</v>
      </c>
      <c r="E764" s="16">
        <f>ABS(Solieusap!E764)</f>
        <v>2.1822</v>
      </c>
      <c r="F764" s="16">
        <f>ABS(Solieusap!F764)</f>
        <v>0.2671</v>
      </c>
      <c r="G764" s="16">
        <f>ABS(Solieusap!G764)</f>
        <v>0.1493</v>
      </c>
      <c r="H764" s="16">
        <f>ABS(Solieusap!H764)</f>
        <v>0.00002071</v>
      </c>
      <c r="I764" s="16">
        <f>ABS(Solieusap!I764)</f>
        <v>0.00941</v>
      </c>
      <c r="J764" s="16">
        <f>ABS(Solieusap!J764)</f>
        <v>0.11932</v>
      </c>
      <c r="K764" s="16">
        <f t="shared" si="1"/>
        <v>2.1822</v>
      </c>
      <c r="L764" s="16">
        <f t="shared" si="2"/>
        <v>0.00941</v>
      </c>
    </row>
    <row r="765" ht="16.5" customHeight="1">
      <c r="A765" s="15" t="str">
        <f>Solieusap!A765</f>
        <v>Cũ</v>
      </c>
      <c r="B765" s="15">
        <f>Solieusap!B765</f>
        <v>3.5</v>
      </c>
      <c r="C765" s="15" t="str">
        <f>Solieusap!C765</f>
        <v>COMB2</v>
      </c>
      <c r="D765" s="15" t="str">
        <f>Solieusap!D765</f>
        <v>Combination</v>
      </c>
      <c r="E765" s="16">
        <f>ABS(Solieusap!E765)</f>
        <v>1.9897</v>
      </c>
      <c r="F765" s="16">
        <f>ABS(Solieusap!F765)</f>
        <v>0.0046</v>
      </c>
      <c r="G765" s="16">
        <f>ABS(Solieusap!G765)</f>
        <v>0.1493</v>
      </c>
      <c r="H765" s="16">
        <f>ABS(Solieusap!H765)</f>
        <v>0.00002071</v>
      </c>
      <c r="I765" s="16">
        <f>ABS(Solieusap!I765)</f>
        <v>0.25181</v>
      </c>
      <c r="J765" s="16">
        <f>ABS(Solieusap!J765)</f>
        <v>0.35707</v>
      </c>
      <c r="K765" s="16">
        <f t="shared" si="1"/>
        <v>1.9897</v>
      </c>
      <c r="L765" s="16">
        <f t="shared" si="2"/>
        <v>0.25181</v>
      </c>
    </row>
    <row r="766" ht="16.5" customHeight="1">
      <c r="A766" s="15" t="str">
        <f>Solieusap!A766</f>
        <v>Cũ</v>
      </c>
      <c r="B766" s="15">
        <f>Solieusap!B766</f>
        <v>0</v>
      </c>
      <c r="C766" s="15" t="str">
        <f>Solieusap!C766</f>
        <v>COMB3</v>
      </c>
      <c r="D766" s="15" t="str">
        <f>Solieusap!D766</f>
        <v>Combination</v>
      </c>
      <c r="E766" s="16">
        <f>ABS(Solieusap!E766)</f>
        <v>2.2242</v>
      </c>
      <c r="F766" s="16">
        <f>ABS(Solieusap!F766)</f>
        <v>0.4168</v>
      </c>
      <c r="G766" s="16">
        <f>ABS(Solieusap!G766)</f>
        <v>0.1449</v>
      </c>
      <c r="H766" s="16">
        <f>ABS(Solieusap!H766)</f>
        <v>0.0001</v>
      </c>
      <c r="I766" s="16">
        <f>ABS(Solieusap!I766)</f>
        <v>0.26088</v>
      </c>
      <c r="J766" s="16">
        <f>ABS(Solieusap!J766)</f>
        <v>0.2783</v>
      </c>
      <c r="K766" s="16">
        <f t="shared" si="1"/>
        <v>2.2242</v>
      </c>
      <c r="L766" s="16">
        <f t="shared" si="2"/>
        <v>0.26088</v>
      </c>
    </row>
    <row r="767" ht="16.5" customHeight="1">
      <c r="A767" s="15" t="str">
        <f>Solieusap!A767</f>
        <v>Cũ</v>
      </c>
      <c r="B767" s="15">
        <f>Solieusap!B767</f>
        <v>1.75</v>
      </c>
      <c r="C767" s="15" t="str">
        <f>Solieusap!C767</f>
        <v>COMB3</v>
      </c>
      <c r="D767" s="15" t="str">
        <f>Solieusap!D767</f>
        <v>Combination</v>
      </c>
      <c r="E767" s="16">
        <f>ABS(Solieusap!E767)</f>
        <v>2.0317</v>
      </c>
      <c r="F767" s="16">
        <f>ABS(Solieusap!F767)</f>
        <v>0.0668</v>
      </c>
      <c r="G767" s="16">
        <f>ABS(Solieusap!G767)</f>
        <v>0.1449</v>
      </c>
      <c r="H767" s="16">
        <f>ABS(Solieusap!H767)</f>
        <v>0.0001</v>
      </c>
      <c r="I767" s="16">
        <f>ABS(Solieusap!I767)</f>
        <v>0.00726</v>
      </c>
      <c r="J767" s="16">
        <f>ABS(Solieusap!J767)</f>
        <v>0.14492</v>
      </c>
      <c r="K767" s="16">
        <f t="shared" si="1"/>
        <v>2.0317</v>
      </c>
      <c r="L767" s="16">
        <f t="shared" si="2"/>
        <v>0.00726</v>
      </c>
    </row>
    <row r="768" ht="16.5" customHeight="1">
      <c r="A768" s="15" t="str">
        <f>Solieusap!A768</f>
        <v>Cũ</v>
      </c>
      <c r="B768" s="15">
        <f>Solieusap!B768</f>
        <v>3.5</v>
      </c>
      <c r="C768" s="15" t="str">
        <f>Solieusap!C768</f>
        <v>COMB3</v>
      </c>
      <c r="D768" s="15" t="str">
        <f>Solieusap!D768</f>
        <v>Combination</v>
      </c>
      <c r="E768" s="16">
        <f>ABS(Solieusap!E768)</f>
        <v>1.8392</v>
      </c>
      <c r="F768" s="16">
        <f>ABS(Solieusap!F768)</f>
        <v>0.2832</v>
      </c>
      <c r="G768" s="16">
        <f>ABS(Solieusap!G768)</f>
        <v>0.1449</v>
      </c>
      <c r="H768" s="16">
        <f>ABS(Solieusap!H768)</f>
        <v>0.0001</v>
      </c>
      <c r="I768" s="16">
        <f>ABS(Solieusap!I768)</f>
        <v>0.24635</v>
      </c>
      <c r="J768" s="16">
        <f>ABS(Solieusap!J768)</f>
        <v>0.04436</v>
      </c>
      <c r="K768" s="16">
        <f t="shared" si="1"/>
        <v>1.8392</v>
      </c>
      <c r="L768" s="16">
        <f t="shared" si="2"/>
        <v>0.24635</v>
      </c>
    </row>
    <row r="769" ht="16.5" customHeight="1">
      <c r="A769" s="15" t="str">
        <f>Solieusap!A769</f>
        <v>Cũ</v>
      </c>
      <c r="B769" s="15">
        <f>Solieusap!B769</f>
        <v>0</v>
      </c>
      <c r="C769" s="15" t="str">
        <f>Solieusap!C769</f>
        <v>COMB4</v>
      </c>
      <c r="D769" s="15" t="str">
        <f>Solieusap!D769</f>
        <v>Combination</v>
      </c>
      <c r="E769" s="16">
        <f>ABS(Solieusap!E769)</f>
        <v>2.3504</v>
      </c>
      <c r="F769" s="16">
        <f>ABS(Solieusap!F769)</f>
        <v>0.1032</v>
      </c>
      <c r="G769" s="16">
        <f>ABS(Solieusap!G769)</f>
        <v>0.543</v>
      </c>
      <c r="H769" s="16">
        <f>ABS(Solieusap!H769)</f>
        <v>0.00005023</v>
      </c>
      <c r="I769" s="16">
        <f>ABS(Solieusap!I769)</f>
        <v>0.6198</v>
      </c>
      <c r="J769" s="16">
        <f>ABS(Solieusap!J769)</f>
        <v>0.1811</v>
      </c>
      <c r="K769" s="16">
        <f t="shared" si="1"/>
        <v>2.3504</v>
      </c>
      <c r="L769" s="16">
        <f t="shared" si="2"/>
        <v>0.6198</v>
      </c>
    </row>
    <row r="770" ht="16.5" customHeight="1">
      <c r="A770" s="15" t="str">
        <f>Solieusap!A770</f>
        <v>Cũ</v>
      </c>
      <c r="B770" s="15">
        <f>Solieusap!B770</f>
        <v>1.75</v>
      </c>
      <c r="C770" s="15" t="str">
        <f>Solieusap!C770</f>
        <v>COMB4</v>
      </c>
      <c r="D770" s="15" t="str">
        <f>Solieusap!D770</f>
        <v>Combination</v>
      </c>
      <c r="E770" s="16">
        <f>ABS(Solieusap!E770)</f>
        <v>2.1579</v>
      </c>
      <c r="F770" s="16">
        <f>ABS(Solieusap!F770)</f>
        <v>0.1032</v>
      </c>
      <c r="G770" s="16">
        <f>ABS(Solieusap!G770)</f>
        <v>0.2805</v>
      </c>
      <c r="H770" s="16">
        <f>ABS(Solieusap!H770)</f>
        <v>0.00005023</v>
      </c>
      <c r="I770" s="16">
        <f>ABS(Solieusap!I770)</f>
        <v>0.10072</v>
      </c>
      <c r="J770" s="16">
        <f>ABS(Solieusap!J770)</f>
        <v>0.0005</v>
      </c>
      <c r="K770" s="16">
        <f t="shared" si="1"/>
        <v>2.1579</v>
      </c>
      <c r="L770" s="16">
        <f t="shared" si="2"/>
        <v>0.10072</v>
      </c>
    </row>
    <row r="771" ht="16.5" customHeight="1">
      <c r="A771" s="15" t="str">
        <f>Solieusap!A771</f>
        <v>Cũ</v>
      </c>
      <c r="B771" s="15">
        <f>Solieusap!B771</f>
        <v>3.5</v>
      </c>
      <c r="C771" s="15" t="str">
        <f>Solieusap!C771</f>
        <v>COMB4</v>
      </c>
      <c r="D771" s="15" t="str">
        <f>Solieusap!D771</f>
        <v>Combination</v>
      </c>
      <c r="E771" s="16">
        <f>ABS(Solieusap!E771)</f>
        <v>1.9654</v>
      </c>
      <c r="F771" s="16">
        <f>ABS(Solieusap!F771)</f>
        <v>0.1032</v>
      </c>
      <c r="G771" s="16">
        <f>ABS(Solieusap!G771)</f>
        <v>0.018</v>
      </c>
      <c r="H771" s="16">
        <f>ABS(Solieusap!H771)</f>
        <v>0.00005023</v>
      </c>
      <c r="I771" s="16">
        <f>ABS(Solieusap!I771)</f>
        <v>0.36187</v>
      </c>
      <c r="J771" s="16">
        <f>ABS(Solieusap!J771)</f>
        <v>0.1801</v>
      </c>
      <c r="K771" s="16">
        <f t="shared" si="1"/>
        <v>1.9654</v>
      </c>
      <c r="L771" s="16">
        <f t="shared" si="2"/>
        <v>0.36187</v>
      </c>
    </row>
    <row r="772" ht="16.5" customHeight="1">
      <c r="A772" s="15" t="str">
        <f>Solieusap!A772</f>
        <v>Cũ</v>
      </c>
      <c r="B772" s="15">
        <f>Solieusap!B772</f>
        <v>0</v>
      </c>
      <c r="C772" s="15" t="str">
        <f>Solieusap!C772</f>
        <v>COMB5</v>
      </c>
      <c r="D772" s="15" t="str">
        <f>Solieusap!D772</f>
        <v>Combination</v>
      </c>
      <c r="E772" s="16">
        <f>ABS(Solieusap!E772)</f>
        <v>2.9763</v>
      </c>
      <c r="F772" s="16">
        <f>ABS(Solieusap!F772)</f>
        <v>0.1511</v>
      </c>
      <c r="G772" s="16">
        <f>ABS(Solieusap!G772)</f>
        <v>0.5726</v>
      </c>
      <c r="H772" s="16">
        <f>ABS(Solieusap!H772)</f>
        <v>0.00006635</v>
      </c>
      <c r="I772" s="16">
        <f>ABS(Solieusap!I772)</f>
        <v>0.70135</v>
      </c>
      <c r="J772" s="16">
        <f>ABS(Solieusap!J772)</f>
        <v>0.2599</v>
      </c>
      <c r="K772" s="16">
        <f t="shared" si="1"/>
        <v>2.9763</v>
      </c>
      <c r="L772" s="16">
        <f t="shared" si="2"/>
        <v>0.70135</v>
      </c>
    </row>
    <row r="773" ht="16.5" customHeight="1">
      <c r="A773" s="15" t="str">
        <f>Solieusap!A773</f>
        <v>Cũ</v>
      </c>
      <c r="B773" s="15">
        <f>Solieusap!B773</f>
        <v>1.75</v>
      </c>
      <c r="C773" s="15" t="str">
        <f>Solieusap!C773</f>
        <v>COMB5</v>
      </c>
      <c r="D773" s="15" t="str">
        <f>Solieusap!D773</f>
        <v>Combination</v>
      </c>
      <c r="E773" s="16">
        <f>ABS(Solieusap!E773)</f>
        <v>2.7838</v>
      </c>
      <c r="F773" s="16">
        <f>ABS(Solieusap!F773)</f>
        <v>0.1511</v>
      </c>
      <c r="G773" s="16">
        <f>ABS(Solieusap!G773)</f>
        <v>0.3364</v>
      </c>
      <c r="H773" s="16">
        <f>ABS(Solieusap!H773)</f>
        <v>0.00006635</v>
      </c>
      <c r="I773" s="16">
        <f>ABS(Solieusap!I773)</f>
        <v>0.09402</v>
      </c>
      <c r="J773" s="16">
        <f>ABS(Solieusap!J773)</f>
        <v>0.00458</v>
      </c>
      <c r="K773" s="16">
        <f t="shared" si="1"/>
        <v>2.7838</v>
      </c>
      <c r="L773" s="16">
        <f t="shared" si="2"/>
        <v>0.09402</v>
      </c>
    </row>
    <row r="774" ht="16.5" customHeight="1">
      <c r="A774" s="15" t="str">
        <f>Solieusap!A774</f>
        <v>Cũ</v>
      </c>
      <c r="B774" s="15">
        <f>Solieusap!B774</f>
        <v>3.5</v>
      </c>
      <c r="C774" s="15" t="str">
        <f>Solieusap!C774</f>
        <v>COMB5</v>
      </c>
      <c r="D774" s="15" t="str">
        <f>Solieusap!D774</f>
        <v>Combination</v>
      </c>
      <c r="E774" s="16">
        <f>ABS(Solieusap!E774)</f>
        <v>2.5913</v>
      </c>
      <c r="F774" s="16">
        <f>ABS(Solieusap!F774)</f>
        <v>0.1511</v>
      </c>
      <c r="G774" s="16">
        <f>ABS(Solieusap!G774)</f>
        <v>0.1001</v>
      </c>
      <c r="H774" s="16">
        <f>ABS(Solieusap!H774)</f>
        <v>0.00006635</v>
      </c>
      <c r="I774" s="16">
        <f>ABS(Solieusap!I774)</f>
        <v>0.47595</v>
      </c>
      <c r="J774" s="16">
        <f>ABS(Solieusap!J774)</f>
        <v>0.26906</v>
      </c>
      <c r="K774" s="16">
        <f t="shared" si="1"/>
        <v>2.5913</v>
      </c>
      <c r="L774" s="16">
        <f t="shared" si="2"/>
        <v>0.47595</v>
      </c>
    </row>
    <row r="775" ht="16.5" customHeight="1">
      <c r="A775" s="15" t="str">
        <f>Solieusap!A775</f>
        <v>Cũ</v>
      </c>
      <c r="B775" s="15">
        <f>Solieusap!B775</f>
        <v>0</v>
      </c>
      <c r="C775" s="15" t="str">
        <f>Solieusap!C775</f>
        <v>COMB6</v>
      </c>
      <c r="D775" s="15" t="str">
        <f>Solieusap!D775</f>
        <v>Combination</v>
      </c>
      <c r="E775" s="16">
        <f>ABS(Solieusap!E775)</f>
        <v>2.8627</v>
      </c>
      <c r="F775" s="16">
        <f>ABS(Solieusap!F775)</f>
        <v>0.3169</v>
      </c>
      <c r="G775" s="16">
        <f>ABS(Solieusap!G775)</f>
        <v>0.2144</v>
      </c>
      <c r="H775" s="16">
        <f>ABS(Solieusap!H775)</f>
        <v>0.00011</v>
      </c>
      <c r="I775" s="16">
        <f>ABS(Solieusap!I775)</f>
        <v>0.37832</v>
      </c>
      <c r="J775" s="16">
        <f>ABS(Solieusap!J775)</f>
        <v>0.15355</v>
      </c>
      <c r="K775" s="16">
        <f t="shared" si="1"/>
        <v>2.8627</v>
      </c>
      <c r="L775" s="16">
        <f t="shared" si="2"/>
        <v>0.37832</v>
      </c>
    </row>
    <row r="776" ht="16.5" customHeight="1">
      <c r="A776" s="15" t="str">
        <f>Solieusap!A776</f>
        <v>Cũ</v>
      </c>
      <c r="B776" s="15">
        <f>Solieusap!B776</f>
        <v>1.75</v>
      </c>
      <c r="C776" s="15" t="str">
        <f>Solieusap!C776</f>
        <v>COMB6</v>
      </c>
      <c r="D776" s="15" t="str">
        <f>Solieusap!D776</f>
        <v>Combination</v>
      </c>
      <c r="E776" s="16">
        <f>ABS(Solieusap!E776)</f>
        <v>2.6702</v>
      </c>
      <c r="F776" s="16">
        <f>ABS(Solieusap!F776)</f>
        <v>0.0019</v>
      </c>
      <c r="G776" s="16">
        <f>ABS(Solieusap!G776)</f>
        <v>0.2144</v>
      </c>
      <c r="H776" s="16">
        <f>ABS(Solieusap!H776)</f>
        <v>0.00011</v>
      </c>
      <c r="I776" s="16">
        <f>ABS(Solieusap!I776)</f>
        <v>0.00317</v>
      </c>
      <c r="J776" s="16">
        <f>ABS(Solieusap!J776)</f>
        <v>0.1254</v>
      </c>
      <c r="K776" s="16">
        <f t="shared" si="1"/>
        <v>2.6702</v>
      </c>
      <c r="L776" s="16">
        <f t="shared" si="2"/>
        <v>0.00317</v>
      </c>
    </row>
    <row r="777" ht="16.5" customHeight="1">
      <c r="A777" s="15" t="str">
        <f>Solieusap!A777</f>
        <v>Cũ</v>
      </c>
      <c r="B777" s="15">
        <f>Solieusap!B777</f>
        <v>3.5</v>
      </c>
      <c r="C777" s="15" t="str">
        <f>Solieusap!C777</f>
        <v>COMB6</v>
      </c>
      <c r="D777" s="15" t="str">
        <f>Solieusap!D777</f>
        <v>Combination</v>
      </c>
      <c r="E777" s="16">
        <f>ABS(Solieusap!E777)</f>
        <v>2.4777</v>
      </c>
      <c r="F777" s="16">
        <f>ABS(Solieusap!F777)</f>
        <v>0.3131</v>
      </c>
      <c r="G777" s="16">
        <f>ABS(Solieusap!G777)</f>
        <v>0.2144</v>
      </c>
      <c r="H777" s="16">
        <f>ABS(Solieusap!H777)</f>
        <v>0.00011</v>
      </c>
      <c r="I777" s="16">
        <f>ABS(Solieusap!I777)</f>
        <v>0.37198</v>
      </c>
      <c r="J777" s="16">
        <f>ABS(Solieusap!J777)</f>
        <v>0.1469</v>
      </c>
      <c r="K777" s="16">
        <f t="shared" si="1"/>
        <v>2.4777</v>
      </c>
      <c r="L777" s="16">
        <f t="shared" si="2"/>
        <v>0.37198</v>
      </c>
    </row>
    <row r="778" ht="16.5" customHeight="1">
      <c r="A778" s="15" t="str">
        <f>Solieusap!A778</f>
        <v>Cũ</v>
      </c>
      <c r="B778" s="15">
        <f>Solieusap!B778</f>
        <v>0</v>
      </c>
      <c r="C778" s="15" t="str">
        <f>Solieusap!C778</f>
        <v>COMB7</v>
      </c>
      <c r="D778" s="15" t="str">
        <f>Solieusap!D778</f>
        <v>Combination</v>
      </c>
      <c r="E778" s="16">
        <f>ABS(Solieusap!E778)</f>
        <v>2.9982</v>
      </c>
      <c r="F778" s="16">
        <f>ABS(Solieusap!F778)</f>
        <v>0.5349</v>
      </c>
      <c r="G778" s="16">
        <f>ABS(Solieusap!G778)</f>
        <v>0.2183</v>
      </c>
      <c r="H778" s="16">
        <f>ABS(Solieusap!H778)</f>
        <v>0.00003978</v>
      </c>
      <c r="I778" s="16">
        <f>ABS(Solieusap!I778)</f>
        <v>0.3871</v>
      </c>
      <c r="J778" s="16">
        <f>ABS(Solieusap!J778)</f>
        <v>0.61695</v>
      </c>
      <c r="K778" s="16">
        <f t="shared" si="1"/>
        <v>2.9982</v>
      </c>
      <c r="L778" s="16">
        <f t="shared" si="2"/>
        <v>0.3871</v>
      </c>
    </row>
    <row r="779" ht="16.5" customHeight="1">
      <c r="A779" s="15" t="str">
        <f>Solieusap!A779</f>
        <v>Cũ</v>
      </c>
      <c r="B779" s="15">
        <f>Solieusap!B779</f>
        <v>1.75</v>
      </c>
      <c r="C779" s="15" t="str">
        <f>Solieusap!C779</f>
        <v>COMB7</v>
      </c>
      <c r="D779" s="15" t="str">
        <f>Solieusap!D779</f>
        <v>Combination</v>
      </c>
      <c r="E779" s="16">
        <f>ABS(Solieusap!E779)</f>
        <v>2.8057</v>
      </c>
      <c r="F779" s="16">
        <f>ABS(Solieusap!F779)</f>
        <v>0.2987</v>
      </c>
      <c r="G779" s="16">
        <f>ABS(Solieusap!G779)</f>
        <v>0.2183</v>
      </c>
      <c r="H779" s="16">
        <f>ABS(Solieusap!H779)</f>
        <v>0.00003978</v>
      </c>
      <c r="I779" s="16">
        <f>ABS(Solieusap!I779)</f>
        <v>0.0051</v>
      </c>
      <c r="J779" s="16">
        <f>ABS(Solieusap!J779)</f>
        <v>0.11241</v>
      </c>
      <c r="K779" s="16">
        <f t="shared" si="1"/>
        <v>2.8057</v>
      </c>
      <c r="L779" s="16">
        <f t="shared" si="2"/>
        <v>0.0051</v>
      </c>
    </row>
    <row r="780" ht="16.5" customHeight="1">
      <c r="A780" s="15" t="str">
        <f>Solieusap!A780</f>
        <v>Cũ</v>
      </c>
      <c r="B780" s="15">
        <f>Solieusap!B780</f>
        <v>3.5</v>
      </c>
      <c r="C780" s="15" t="str">
        <f>Solieusap!C780</f>
        <v>COMB7</v>
      </c>
      <c r="D780" s="15" t="str">
        <f>Solieusap!D780</f>
        <v>Combination</v>
      </c>
      <c r="E780" s="16">
        <f>ABS(Solieusap!E780)</f>
        <v>2.6132</v>
      </c>
      <c r="F780" s="16">
        <f>ABS(Solieusap!F780)</f>
        <v>0.0624</v>
      </c>
      <c r="G780" s="16">
        <f>ABS(Solieusap!G780)</f>
        <v>0.2183</v>
      </c>
      <c r="H780" s="16">
        <f>ABS(Solieusap!H780)</f>
        <v>0.00003978</v>
      </c>
      <c r="I780" s="16">
        <f>ABS(Solieusap!I780)</f>
        <v>0.3769</v>
      </c>
      <c r="J780" s="16">
        <f>ABS(Solieusap!J780)</f>
        <v>0.42834</v>
      </c>
      <c r="K780" s="16">
        <f t="shared" si="1"/>
        <v>2.6132</v>
      </c>
      <c r="L780" s="16">
        <f t="shared" si="2"/>
        <v>0.3769</v>
      </c>
    </row>
    <row r="781" ht="16.5" customHeight="1">
      <c r="A781" s="15" t="str">
        <f>Solieusap!A781</f>
        <v>Cũ</v>
      </c>
      <c r="B781" s="15">
        <f>Solieusap!B781</f>
        <v>0</v>
      </c>
      <c r="C781" s="15" t="str">
        <f>Solieusap!C781</f>
        <v>COMB1</v>
      </c>
      <c r="D781" s="15" t="str">
        <f>Solieusap!D781</f>
        <v>Combination</v>
      </c>
      <c r="E781" s="16">
        <f>ABS(Solieusap!E781)</f>
        <v>2.9937</v>
      </c>
      <c r="F781" s="16">
        <f>ABS(Solieusap!F781)</f>
        <v>0.1555</v>
      </c>
      <c r="G781" s="16">
        <f>ABS(Solieusap!G781)</f>
        <v>0.224</v>
      </c>
      <c r="H781" s="16">
        <f>ABS(Solieusap!H781)</f>
        <v>0.000058</v>
      </c>
      <c r="I781" s="16">
        <f>ABS(Solieusap!I781)</f>
        <v>0.39565</v>
      </c>
      <c r="J781" s="16">
        <f>ABS(Solieusap!J781)</f>
        <v>0.26636</v>
      </c>
      <c r="K781" s="16">
        <f t="shared" si="1"/>
        <v>2.9937</v>
      </c>
      <c r="L781" s="16">
        <f t="shared" si="2"/>
        <v>0.39565</v>
      </c>
    </row>
    <row r="782" ht="16.5" customHeight="1">
      <c r="A782" s="15" t="str">
        <f>Solieusap!A782</f>
        <v>Cũ</v>
      </c>
      <c r="B782" s="15">
        <f>Solieusap!B782</f>
        <v>1.75</v>
      </c>
      <c r="C782" s="15" t="str">
        <f>Solieusap!C782</f>
        <v>COMB1</v>
      </c>
      <c r="D782" s="15" t="str">
        <f>Solieusap!D782</f>
        <v>Combination</v>
      </c>
      <c r="E782" s="16">
        <f>ABS(Solieusap!E782)</f>
        <v>2.8012</v>
      </c>
      <c r="F782" s="16">
        <f>ABS(Solieusap!F782)</f>
        <v>0.1555</v>
      </c>
      <c r="G782" s="16">
        <f>ABS(Solieusap!G782)</f>
        <v>0.224</v>
      </c>
      <c r="H782" s="16">
        <f>ABS(Solieusap!H782)</f>
        <v>0.000058</v>
      </c>
      <c r="I782" s="16">
        <f>ABS(Solieusap!I782)</f>
        <v>0.00367</v>
      </c>
      <c r="J782" s="16">
        <f>ABS(Solieusap!J782)</f>
        <v>0.00569</v>
      </c>
      <c r="K782" s="16">
        <f t="shared" si="1"/>
        <v>2.8012</v>
      </c>
      <c r="L782" s="16">
        <f t="shared" si="2"/>
        <v>0.00367</v>
      </c>
    </row>
    <row r="783" ht="16.5" customHeight="1">
      <c r="A783" s="15" t="str">
        <f>Solieusap!A783</f>
        <v>Cũ</v>
      </c>
      <c r="B783" s="15">
        <f>Solieusap!B783</f>
        <v>3.5</v>
      </c>
      <c r="C783" s="15" t="str">
        <f>Solieusap!C783</f>
        <v>COMB1</v>
      </c>
      <c r="D783" s="15" t="str">
        <f>Solieusap!D783</f>
        <v>Combination</v>
      </c>
      <c r="E783" s="16">
        <f>ABS(Solieusap!E783)</f>
        <v>2.6087</v>
      </c>
      <c r="F783" s="16">
        <f>ABS(Solieusap!F783)</f>
        <v>0.1555</v>
      </c>
      <c r="G783" s="16">
        <f>ABS(Solieusap!G783)</f>
        <v>0.224</v>
      </c>
      <c r="H783" s="16">
        <f>ABS(Solieusap!H783)</f>
        <v>0.000058</v>
      </c>
      <c r="I783" s="16">
        <f>ABS(Solieusap!I783)</f>
        <v>0.3883</v>
      </c>
      <c r="J783" s="16">
        <f>ABS(Solieusap!J783)</f>
        <v>0.27774</v>
      </c>
      <c r="K783" s="16">
        <f t="shared" si="1"/>
        <v>2.6087</v>
      </c>
      <c r="L783" s="16">
        <f t="shared" si="2"/>
        <v>0.3883</v>
      </c>
    </row>
    <row r="784" ht="16.5" customHeight="1">
      <c r="A784" s="15" t="str">
        <f>Solieusap!A784</f>
        <v>Cũ</v>
      </c>
      <c r="B784" s="15">
        <f>Solieusap!B784</f>
        <v>0</v>
      </c>
      <c r="C784" s="15" t="str">
        <f>Solieusap!C784</f>
        <v>COMB2</v>
      </c>
      <c r="D784" s="15" t="str">
        <f>Solieusap!D784</f>
        <v>Combination</v>
      </c>
      <c r="E784" s="16">
        <f>ABS(Solieusap!E784)</f>
        <v>2.3747</v>
      </c>
      <c r="F784" s="16">
        <f>ABS(Solieusap!F784)</f>
        <v>0.5296</v>
      </c>
      <c r="G784" s="16">
        <f>ABS(Solieusap!G784)</f>
        <v>0.1493</v>
      </c>
      <c r="H784" s="16">
        <f>ABS(Solieusap!H784)</f>
        <v>0.00002071</v>
      </c>
      <c r="I784" s="16">
        <f>ABS(Solieusap!I784)</f>
        <v>0.27064</v>
      </c>
      <c r="J784" s="16">
        <f>ABS(Solieusap!J784)</f>
        <v>0.57781</v>
      </c>
      <c r="K784" s="16">
        <f t="shared" si="1"/>
        <v>2.3747</v>
      </c>
      <c r="L784" s="16">
        <f t="shared" si="2"/>
        <v>0.27064</v>
      </c>
    </row>
    <row r="785" ht="16.5" customHeight="1">
      <c r="A785" s="15" t="str">
        <f>Solieusap!A785</f>
        <v>Cũ</v>
      </c>
      <c r="B785" s="15">
        <f>Solieusap!B785</f>
        <v>1.75</v>
      </c>
      <c r="C785" s="15" t="str">
        <f>Solieusap!C785</f>
        <v>COMB2</v>
      </c>
      <c r="D785" s="15" t="str">
        <f>Solieusap!D785</f>
        <v>Combination</v>
      </c>
      <c r="E785" s="16">
        <f>ABS(Solieusap!E785)</f>
        <v>2.1822</v>
      </c>
      <c r="F785" s="16">
        <f>ABS(Solieusap!F785)</f>
        <v>0.2671</v>
      </c>
      <c r="G785" s="16">
        <f>ABS(Solieusap!G785)</f>
        <v>0.1493</v>
      </c>
      <c r="H785" s="16">
        <f>ABS(Solieusap!H785)</f>
        <v>0.00002071</v>
      </c>
      <c r="I785" s="16">
        <f>ABS(Solieusap!I785)</f>
        <v>0.00941</v>
      </c>
      <c r="J785" s="16">
        <f>ABS(Solieusap!J785)</f>
        <v>0.11932</v>
      </c>
      <c r="K785" s="16">
        <f t="shared" si="1"/>
        <v>2.1822</v>
      </c>
      <c r="L785" s="16">
        <f t="shared" si="2"/>
        <v>0.00941</v>
      </c>
    </row>
    <row r="786" ht="16.5" customHeight="1">
      <c r="A786" s="15" t="str">
        <f>Solieusap!A786</f>
        <v>Cũ</v>
      </c>
      <c r="B786" s="15">
        <f>Solieusap!B786</f>
        <v>3.5</v>
      </c>
      <c r="C786" s="15" t="str">
        <f>Solieusap!C786</f>
        <v>COMB2</v>
      </c>
      <c r="D786" s="15" t="str">
        <f>Solieusap!D786</f>
        <v>Combination</v>
      </c>
      <c r="E786" s="16">
        <f>ABS(Solieusap!E786)</f>
        <v>1.9897</v>
      </c>
      <c r="F786" s="16">
        <f>ABS(Solieusap!F786)</f>
        <v>0.0046</v>
      </c>
      <c r="G786" s="16">
        <f>ABS(Solieusap!G786)</f>
        <v>0.1493</v>
      </c>
      <c r="H786" s="16">
        <f>ABS(Solieusap!H786)</f>
        <v>0.00002071</v>
      </c>
      <c r="I786" s="16">
        <f>ABS(Solieusap!I786)</f>
        <v>0.25181</v>
      </c>
      <c r="J786" s="16">
        <f>ABS(Solieusap!J786)</f>
        <v>0.35707</v>
      </c>
      <c r="K786" s="16">
        <f t="shared" si="1"/>
        <v>1.9897</v>
      </c>
      <c r="L786" s="16">
        <f t="shared" si="2"/>
        <v>0.25181</v>
      </c>
    </row>
    <row r="787" ht="16.5" customHeight="1">
      <c r="A787" s="15" t="str">
        <f>Solieusap!A787</f>
        <v>Cũ</v>
      </c>
      <c r="B787" s="15">
        <f>Solieusap!B787</f>
        <v>0</v>
      </c>
      <c r="C787" s="15" t="str">
        <f>Solieusap!C787</f>
        <v>COMB3</v>
      </c>
      <c r="D787" s="15" t="str">
        <f>Solieusap!D787</f>
        <v>Combination</v>
      </c>
      <c r="E787" s="16">
        <f>ABS(Solieusap!E787)</f>
        <v>2.2242</v>
      </c>
      <c r="F787" s="16">
        <f>ABS(Solieusap!F787)</f>
        <v>0.4168</v>
      </c>
      <c r="G787" s="16">
        <f>ABS(Solieusap!G787)</f>
        <v>0.1449</v>
      </c>
      <c r="H787" s="16">
        <f>ABS(Solieusap!H787)</f>
        <v>0.0001</v>
      </c>
      <c r="I787" s="16">
        <f>ABS(Solieusap!I787)</f>
        <v>0.26088</v>
      </c>
      <c r="J787" s="16">
        <f>ABS(Solieusap!J787)</f>
        <v>0.2783</v>
      </c>
      <c r="K787" s="16">
        <f t="shared" si="1"/>
        <v>2.2242</v>
      </c>
      <c r="L787" s="16">
        <f t="shared" si="2"/>
        <v>0.26088</v>
      </c>
    </row>
    <row r="788" ht="16.5" customHeight="1">
      <c r="A788" s="15" t="str">
        <f>Solieusap!A788</f>
        <v>Cũ</v>
      </c>
      <c r="B788" s="15">
        <f>Solieusap!B788</f>
        <v>1.75</v>
      </c>
      <c r="C788" s="15" t="str">
        <f>Solieusap!C788</f>
        <v>COMB3</v>
      </c>
      <c r="D788" s="15" t="str">
        <f>Solieusap!D788</f>
        <v>Combination</v>
      </c>
      <c r="E788" s="16">
        <f>ABS(Solieusap!E788)</f>
        <v>2.0317</v>
      </c>
      <c r="F788" s="16">
        <f>ABS(Solieusap!F788)</f>
        <v>0.0668</v>
      </c>
      <c r="G788" s="16">
        <f>ABS(Solieusap!G788)</f>
        <v>0.1449</v>
      </c>
      <c r="H788" s="16">
        <f>ABS(Solieusap!H788)</f>
        <v>0.0001</v>
      </c>
      <c r="I788" s="16">
        <f>ABS(Solieusap!I788)</f>
        <v>0.00726</v>
      </c>
      <c r="J788" s="16">
        <f>ABS(Solieusap!J788)</f>
        <v>0.14492</v>
      </c>
      <c r="K788" s="16">
        <f t="shared" si="1"/>
        <v>2.0317</v>
      </c>
      <c r="L788" s="16">
        <f t="shared" si="2"/>
        <v>0.00726</v>
      </c>
    </row>
    <row r="789" ht="16.5" customHeight="1">
      <c r="A789" s="15" t="str">
        <f>Solieusap!A789</f>
        <v>Cũ</v>
      </c>
      <c r="B789" s="15">
        <f>Solieusap!B789</f>
        <v>3.5</v>
      </c>
      <c r="C789" s="15" t="str">
        <f>Solieusap!C789</f>
        <v>COMB3</v>
      </c>
      <c r="D789" s="15" t="str">
        <f>Solieusap!D789</f>
        <v>Combination</v>
      </c>
      <c r="E789" s="16">
        <f>ABS(Solieusap!E789)</f>
        <v>1.8392</v>
      </c>
      <c r="F789" s="16">
        <f>ABS(Solieusap!F789)</f>
        <v>0.2832</v>
      </c>
      <c r="G789" s="16">
        <f>ABS(Solieusap!G789)</f>
        <v>0.1449</v>
      </c>
      <c r="H789" s="16">
        <f>ABS(Solieusap!H789)</f>
        <v>0.0001</v>
      </c>
      <c r="I789" s="16">
        <f>ABS(Solieusap!I789)</f>
        <v>0.24635</v>
      </c>
      <c r="J789" s="16">
        <f>ABS(Solieusap!J789)</f>
        <v>0.04436</v>
      </c>
      <c r="K789" s="16">
        <f t="shared" si="1"/>
        <v>1.8392</v>
      </c>
      <c r="L789" s="16">
        <f t="shared" si="2"/>
        <v>0.24635</v>
      </c>
    </row>
    <row r="790" ht="16.5" customHeight="1">
      <c r="A790" s="15" t="str">
        <f>Solieusap!A790</f>
        <v>Cũ</v>
      </c>
      <c r="B790" s="15">
        <f>Solieusap!B790</f>
        <v>0</v>
      </c>
      <c r="C790" s="15" t="str">
        <f>Solieusap!C790</f>
        <v>COMB4</v>
      </c>
      <c r="D790" s="15" t="str">
        <f>Solieusap!D790</f>
        <v>Combination</v>
      </c>
      <c r="E790" s="16">
        <f>ABS(Solieusap!E790)</f>
        <v>2.3504</v>
      </c>
      <c r="F790" s="16">
        <f>ABS(Solieusap!F790)</f>
        <v>0.1032</v>
      </c>
      <c r="G790" s="16">
        <f>ABS(Solieusap!G790)</f>
        <v>0.543</v>
      </c>
      <c r="H790" s="16">
        <f>ABS(Solieusap!H790)</f>
        <v>0.00005023</v>
      </c>
      <c r="I790" s="16">
        <f>ABS(Solieusap!I790)</f>
        <v>0.6198</v>
      </c>
      <c r="J790" s="16">
        <f>ABS(Solieusap!J790)</f>
        <v>0.1811</v>
      </c>
      <c r="K790" s="16">
        <f t="shared" si="1"/>
        <v>2.3504</v>
      </c>
      <c r="L790" s="16">
        <f t="shared" si="2"/>
        <v>0.6198</v>
      </c>
    </row>
    <row r="791" ht="16.5" customHeight="1">
      <c r="A791" s="15" t="str">
        <f>Solieusap!A791</f>
        <v>Cũ</v>
      </c>
      <c r="B791" s="15">
        <f>Solieusap!B791</f>
        <v>1.75</v>
      </c>
      <c r="C791" s="15" t="str">
        <f>Solieusap!C791</f>
        <v>COMB4</v>
      </c>
      <c r="D791" s="15" t="str">
        <f>Solieusap!D791</f>
        <v>Combination</v>
      </c>
      <c r="E791" s="16">
        <f>ABS(Solieusap!E791)</f>
        <v>2.1579</v>
      </c>
      <c r="F791" s="16">
        <f>ABS(Solieusap!F791)</f>
        <v>0.1032</v>
      </c>
      <c r="G791" s="16">
        <f>ABS(Solieusap!G791)</f>
        <v>0.2805</v>
      </c>
      <c r="H791" s="16">
        <f>ABS(Solieusap!H791)</f>
        <v>0.00005023</v>
      </c>
      <c r="I791" s="16">
        <f>ABS(Solieusap!I791)</f>
        <v>0.10072</v>
      </c>
      <c r="J791" s="16">
        <f>ABS(Solieusap!J791)</f>
        <v>0.0005</v>
      </c>
      <c r="K791" s="16">
        <f t="shared" si="1"/>
        <v>2.1579</v>
      </c>
      <c r="L791" s="16">
        <f t="shared" si="2"/>
        <v>0.10072</v>
      </c>
    </row>
    <row r="792" ht="16.5" customHeight="1">
      <c r="A792" s="15" t="str">
        <f>Solieusap!A792</f>
        <v>Cũ</v>
      </c>
      <c r="B792" s="15">
        <f>Solieusap!B792</f>
        <v>3.5</v>
      </c>
      <c r="C792" s="15" t="str">
        <f>Solieusap!C792</f>
        <v>COMB4</v>
      </c>
      <c r="D792" s="15" t="str">
        <f>Solieusap!D792</f>
        <v>Combination</v>
      </c>
      <c r="E792" s="16">
        <f>ABS(Solieusap!E792)</f>
        <v>1.9654</v>
      </c>
      <c r="F792" s="16">
        <f>ABS(Solieusap!F792)</f>
        <v>0.1032</v>
      </c>
      <c r="G792" s="16">
        <f>ABS(Solieusap!G792)</f>
        <v>0.018</v>
      </c>
      <c r="H792" s="16">
        <f>ABS(Solieusap!H792)</f>
        <v>0.00005023</v>
      </c>
      <c r="I792" s="16">
        <f>ABS(Solieusap!I792)</f>
        <v>0.36187</v>
      </c>
      <c r="J792" s="16">
        <f>ABS(Solieusap!J792)</f>
        <v>0.1801</v>
      </c>
      <c r="K792" s="16">
        <f t="shared" si="1"/>
        <v>1.9654</v>
      </c>
      <c r="L792" s="16">
        <f t="shared" si="2"/>
        <v>0.36187</v>
      </c>
    </row>
    <row r="793" ht="16.5" customHeight="1">
      <c r="A793" s="15" t="str">
        <f>Solieusap!A793</f>
        <v>Cũ</v>
      </c>
      <c r="B793" s="15">
        <f>Solieusap!B793</f>
        <v>0</v>
      </c>
      <c r="C793" s="15" t="str">
        <f>Solieusap!C793</f>
        <v>COMB5</v>
      </c>
      <c r="D793" s="15" t="str">
        <f>Solieusap!D793</f>
        <v>Combination</v>
      </c>
      <c r="E793" s="16">
        <f>ABS(Solieusap!E793)</f>
        <v>2.9763</v>
      </c>
      <c r="F793" s="16">
        <f>ABS(Solieusap!F793)</f>
        <v>0.1511</v>
      </c>
      <c r="G793" s="16">
        <f>ABS(Solieusap!G793)</f>
        <v>0.5726</v>
      </c>
      <c r="H793" s="16">
        <f>ABS(Solieusap!H793)</f>
        <v>0.00006635</v>
      </c>
      <c r="I793" s="16">
        <f>ABS(Solieusap!I793)</f>
        <v>0.70135</v>
      </c>
      <c r="J793" s="16">
        <f>ABS(Solieusap!J793)</f>
        <v>0.2599</v>
      </c>
      <c r="K793" s="16">
        <f t="shared" si="1"/>
        <v>2.9763</v>
      </c>
      <c r="L793" s="16">
        <f t="shared" si="2"/>
        <v>0.70135</v>
      </c>
    </row>
    <row r="794" ht="16.5" customHeight="1">
      <c r="A794" s="15" t="str">
        <f>Solieusap!A794</f>
        <v>Cũ</v>
      </c>
      <c r="B794" s="15">
        <f>Solieusap!B794</f>
        <v>1.75</v>
      </c>
      <c r="C794" s="15" t="str">
        <f>Solieusap!C794</f>
        <v>COMB5</v>
      </c>
      <c r="D794" s="15" t="str">
        <f>Solieusap!D794</f>
        <v>Combination</v>
      </c>
      <c r="E794" s="16">
        <f>ABS(Solieusap!E794)</f>
        <v>2.7838</v>
      </c>
      <c r="F794" s="16">
        <f>ABS(Solieusap!F794)</f>
        <v>0.1511</v>
      </c>
      <c r="G794" s="16">
        <f>ABS(Solieusap!G794)</f>
        <v>0.3364</v>
      </c>
      <c r="H794" s="16">
        <f>ABS(Solieusap!H794)</f>
        <v>0.00006635</v>
      </c>
      <c r="I794" s="16">
        <f>ABS(Solieusap!I794)</f>
        <v>0.09402</v>
      </c>
      <c r="J794" s="16">
        <f>ABS(Solieusap!J794)</f>
        <v>0.00458</v>
      </c>
      <c r="K794" s="16">
        <f t="shared" si="1"/>
        <v>2.7838</v>
      </c>
      <c r="L794" s="16">
        <f t="shared" si="2"/>
        <v>0.09402</v>
      </c>
    </row>
    <row r="795" ht="16.5" customHeight="1">
      <c r="A795" s="15" t="str">
        <f>Solieusap!A795</f>
        <v>Cũ</v>
      </c>
      <c r="B795" s="15">
        <f>Solieusap!B795</f>
        <v>3.5</v>
      </c>
      <c r="C795" s="15" t="str">
        <f>Solieusap!C795</f>
        <v>COMB5</v>
      </c>
      <c r="D795" s="15" t="str">
        <f>Solieusap!D795</f>
        <v>Combination</v>
      </c>
      <c r="E795" s="16">
        <f>ABS(Solieusap!E795)</f>
        <v>2.5913</v>
      </c>
      <c r="F795" s="16">
        <f>ABS(Solieusap!F795)</f>
        <v>0.1511</v>
      </c>
      <c r="G795" s="16">
        <f>ABS(Solieusap!G795)</f>
        <v>0.1001</v>
      </c>
      <c r="H795" s="16">
        <f>ABS(Solieusap!H795)</f>
        <v>0.00006635</v>
      </c>
      <c r="I795" s="16">
        <f>ABS(Solieusap!I795)</f>
        <v>0.47595</v>
      </c>
      <c r="J795" s="16">
        <f>ABS(Solieusap!J795)</f>
        <v>0.26906</v>
      </c>
      <c r="K795" s="16">
        <f t="shared" si="1"/>
        <v>2.5913</v>
      </c>
      <c r="L795" s="16">
        <f t="shared" si="2"/>
        <v>0.47595</v>
      </c>
    </row>
    <row r="796" ht="16.5" customHeight="1">
      <c r="A796" s="15" t="str">
        <f>Solieusap!A796</f>
        <v>Cũ</v>
      </c>
      <c r="B796" s="15">
        <f>Solieusap!B796</f>
        <v>0</v>
      </c>
      <c r="C796" s="15" t="str">
        <f>Solieusap!C796</f>
        <v>COMB6</v>
      </c>
      <c r="D796" s="15" t="str">
        <f>Solieusap!D796</f>
        <v>Combination</v>
      </c>
      <c r="E796" s="16">
        <f>ABS(Solieusap!E796)</f>
        <v>2.8627</v>
      </c>
      <c r="F796" s="16">
        <f>ABS(Solieusap!F796)</f>
        <v>0.3169</v>
      </c>
      <c r="G796" s="16">
        <f>ABS(Solieusap!G796)</f>
        <v>0.2144</v>
      </c>
      <c r="H796" s="16">
        <f>ABS(Solieusap!H796)</f>
        <v>0.00011</v>
      </c>
      <c r="I796" s="16">
        <f>ABS(Solieusap!I796)</f>
        <v>0.37832</v>
      </c>
      <c r="J796" s="16">
        <f>ABS(Solieusap!J796)</f>
        <v>0.15355</v>
      </c>
      <c r="K796" s="16">
        <f t="shared" si="1"/>
        <v>2.8627</v>
      </c>
      <c r="L796" s="16">
        <f t="shared" si="2"/>
        <v>0.37832</v>
      </c>
    </row>
    <row r="797" ht="16.5" customHeight="1">
      <c r="A797" s="15" t="str">
        <f>Solieusap!A797</f>
        <v>Cũ</v>
      </c>
      <c r="B797" s="15">
        <f>Solieusap!B797</f>
        <v>1.75</v>
      </c>
      <c r="C797" s="15" t="str">
        <f>Solieusap!C797</f>
        <v>COMB6</v>
      </c>
      <c r="D797" s="15" t="str">
        <f>Solieusap!D797</f>
        <v>Combination</v>
      </c>
      <c r="E797" s="16">
        <f>ABS(Solieusap!E797)</f>
        <v>2.6702</v>
      </c>
      <c r="F797" s="16">
        <f>ABS(Solieusap!F797)</f>
        <v>0.0019</v>
      </c>
      <c r="G797" s="16">
        <f>ABS(Solieusap!G797)</f>
        <v>0.2144</v>
      </c>
      <c r="H797" s="16">
        <f>ABS(Solieusap!H797)</f>
        <v>0.00011</v>
      </c>
      <c r="I797" s="16">
        <f>ABS(Solieusap!I797)</f>
        <v>0.00317</v>
      </c>
      <c r="J797" s="16">
        <f>ABS(Solieusap!J797)</f>
        <v>0.1254</v>
      </c>
      <c r="K797" s="16">
        <f t="shared" si="1"/>
        <v>2.6702</v>
      </c>
      <c r="L797" s="16">
        <f t="shared" si="2"/>
        <v>0.00317</v>
      </c>
    </row>
    <row r="798" ht="16.5" customHeight="1">
      <c r="A798" s="15" t="str">
        <f>Solieusap!A798</f>
        <v>Cũ</v>
      </c>
      <c r="B798" s="15">
        <f>Solieusap!B798</f>
        <v>3.5</v>
      </c>
      <c r="C798" s="15" t="str">
        <f>Solieusap!C798</f>
        <v>COMB6</v>
      </c>
      <c r="D798" s="15" t="str">
        <f>Solieusap!D798</f>
        <v>Combination</v>
      </c>
      <c r="E798" s="16">
        <f>ABS(Solieusap!E798)</f>
        <v>2.4777</v>
      </c>
      <c r="F798" s="16">
        <f>ABS(Solieusap!F798)</f>
        <v>0.3131</v>
      </c>
      <c r="G798" s="16">
        <f>ABS(Solieusap!G798)</f>
        <v>0.2144</v>
      </c>
      <c r="H798" s="16">
        <f>ABS(Solieusap!H798)</f>
        <v>0.00011</v>
      </c>
      <c r="I798" s="16">
        <f>ABS(Solieusap!I798)</f>
        <v>0.37198</v>
      </c>
      <c r="J798" s="16">
        <f>ABS(Solieusap!J798)</f>
        <v>0.1469</v>
      </c>
      <c r="K798" s="16">
        <f t="shared" si="1"/>
        <v>2.4777</v>
      </c>
      <c r="L798" s="16">
        <f t="shared" si="2"/>
        <v>0.37198</v>
      </c>
    </row>
    <row r="799" ht="16.5" customHeight="1">
      <c r="A799" s="15" t="str">
        <f>Solieusap!A799</f>
        <v>Cũ</v>
      </c>
      <c r="B799" s="15">
        <f>Solieusap!B799</f>
        <v>0</v>
      </c>
      <c r="C799" s="15" t="str">
        <f>Solieusap!C799</f>
        <v>COMB7</v>
      </c>
      <c r="D799" s="15" t="str">
        <f>Solieusap!D799</f>
        <v>Combination</v>
      </c>
      <c r="E799" s="16">
        <f>ABS(Solieusap!E799)</f>
        <v>2.9982</v>
      </c>
      <c r="F799" s="16">
        <f>ABS(Solieusap!F799)</f>
        <v>0.5349</v>
      </c>
      <c r="G799" s="16">
        <f>ABS(Solieusap!G799)</f>
        <v>0.2183</v>
      </c>
      <c r="H799" s="16">
        <f>ABS(Solieusap!H799)</f>
        <v>0.00003978</v>
      </c>
      <c r="I799" s="16">
        <f>ABS(Solieusap!I799)</f>
        <v>0.3871</v>
      </c>
      <c r="J799" s="16">
        <f>ABS(Solieusap!J799)</f>
        <v>0.61695</v>
      </c>
      <c r="K799" s="16">
        <f t="shared" si="1"/>
        <v>2.9982</v>
      </c>
      <c r="L799" s="16">
        <f t="shared" si="2"/>
        <v>0.3871</v>
      </c>
    </row>
    <row r="800" ht="16.5" customHeight="1">
      <c r="A800" s="15" t="str">
        <f>Solieusap!A800</f>
        <v>Cũ</v>
      </c>
      <c r="B800" s="15">
        <f>Solieusap!B800</f>
        <v>1.75</v>
      </c>
      <c r="C800" s="15" t="str">
        <f>Solieusap!C800</f>
        <v>COMB7</v>
      </c>
      <c r="D800" s="15" t="str">
        <f>Solieusap!D800</f>
        <v>Combination</v>
      </c>
      <c r="E800" s="16">
        <f>ABS(Solieusap!E800)</f>
        <v>2.8057</v>
      </c>
      <c r="F800" s="16">
        <f>ABS(Solieusap!F800)</f>
        <v>0.2987</v>
      </c>
      <c r="G800" s="16">
        <f>ABS(Solieusap!G800)</f>
        <v>0.2183</v>
      </c>
      <c r="H800" s="16">
        <f>ABS(Solieusap!H800)</f>
        <v>0.00003978</v>
      </c>
      <c r="I800" s="16">
        <f>ABS(Solieusap!I800)</f>
        <v>0.0051</v>
      </c>
      <c r="J800" s="16">
        <f>ABS(Solieusap!J800)</f>
        <v>0.11241</v>
      </c>
      <c r="K800" s="16">
        <f t="shared" si="1"/>
        <v>2.8057</v>
      </c>
      <c r="L800" s="16">
        <f t="shared" si="2"/>
        <v>0.0051</v>
      </c>
    </row>
    <row r="801" ht="16.5" customHeight="1">
      <c r="A801" s="15" t="str">
        <f>Solieusap!A801</f>
        <v>Cũ</v>
      </c>
      <c r="B801" s="15">
        <f>Solieusap!B801</f>
        <v>3.5</v>
      </c>
      <c r="C801" s="15" t="str">
        <f>Solieusap!C801</f>
        <v>COMB7</v>
      </c>
      <c r="D801" s="15" t="str">
        <f>Solieusap!D801</f>
        <v>Combination</v>
      </c>
      <c r="E801" s="16">
        <f>ABS(Solieusap!E801)</f>
        <v>2.6132</v>
      </c>
      <c r="F801" s="16">
        <f>ABS(Solieusap!F801)</f>
        <v>0.0624</v>
      </c>
      <c r="G801" s="16">
        <f>ABS(Solieusap!G801)</f>
        <v>0.2183</v>
      </c>
      <c r="H801" s="16">
        <f>ABS(Solieusap!H801)</f>
        <v>0.00003978</v>
      </c>
      <c r="I801" s="16">
        <f>ABS(Solieusap!I801)</f>
        <v>0.3769</v>
      </c>
      <c r="J801" s="16">
        <f>ABS(Solieusap!J801)</f>
        <v>0.42834</v>
      </c>
      <c r="K801" s="16">
        <f t="shared" si="1"/>
        <v>2.6132</v>
      </c>
      <c r="L801" s="16">
        <f t="shared" si="2"/>
        <v>0.3769</v>
      </c>
    </row>
    <row r="802" ht="16.5" customHeight="1">
      <c r="A802" s="15" t="str">
        <f>Solieusap!A802</f>
        <v>Cũ</v>
      </c>
      <c r="B802" s="15">
        <f>Solieusap!B802</f>
        <v>0</v>
      </c>
      <c r="C802" s="15" t="str">
        <f>Solieusap!C802</f>
        <v>COMB1</v>
      </c>
      <c r="D802" s="15" t="str">
        <f>Solieusap!D802</f>
        <v>Combination</v>
      </c>
      <c r="E802" s="16">
        <f>ABS(Solieusap!E802)</f>
        <v>2.9937</v>
      </c>
      <c r="F802" s="16">
        <f>ABS(Solieusap!F802)</f>
        <v>0.1555</v>
      </c>
      <c r="G802" s="16">
        <f>ABS(Solieusap!G802)</f>
        <v>0.224</v>
      </c>
      <c r="H802" s="16">
        <f>ABS(Solieusap!H802)</f>
        <v>0.000058</v>
      </c>
      <c r="I802" s="16">
        <f>ABS(Solieusap!I802)</f>
        <v>0.39565</v>
      </c>
      <c r="J802" s="16">
        <f>ABS(Solieusap!J802)</f>
        <v>0.26636</v>
      </c>
      <c r="K802" s="16">
        <f t="shared" si="1"/>
        <v>2.9937</v>
      </c>
      <c r="L802" s="16">
        <f t="shared" si="2"/>
        <v>0.39565</v>
      </c>
    </row>
    <row r="803" ht="16.5" customHeight="1">
      <c r="A803" s="15" t="str">
        <f>Solieusap!A803</f>
        <v>Cũ</v>
      </c>
      <c r="B803" s="15">
        <f>Solieusap!B803</f>
        <v>1.75</v>
      </c>
      <c r="C803" s="15" t="str">
        <f>Solieusap!C803</f>
        <v>COMB1</v>
      </c>
      <c r="D803" s="15" t="str">
        <f>Solieusap!D803</f>
        <v>Combination</v>
      </c>
      <c r="E803" s="16">
        <f>ABS(Solieusap!E803)</f>
        <v>2.8012</v>
      </c>
      <c r="F803" s="16">
        <f>ABS(Solieusap!F803)</f>
        <v>0.1555</v>
      </c>
      <c r="G803" s="16">
        <f>ABS(Solieusap!G803)</f>
        <v>0.224</v>
      </c>
      <c r="H803" s="16">
        <f>ABS(Solieusap!H803)</f>
        <v>0.000058</v>
      </c>
      <c r="I803" s="16">
        <f>ABS(Solieusap!I803)</f>
        <v>0.00367</v>
      </c>
      <c r="J803" s="16">
        <f>ABS(Solieusap!J803)</f>
        <v>0.00569</v>
      </c>
      <c r="K803" s="16">
        <f t="shared" si="1"/>
        <v>2.8012</v>
      </c>
      <c r="L803" s="16">
        <f t="shared" si="2"/>
        <v>0.00367</v>
      </c>
    </row>
    <row r="804" ht="16.5" customHeight="1">
      <c r="A804" s="15" t="str">
        <f>Solieusap!A804</f>
        <v>Cũ</v>
      </c>
      <c r="B804" s="15">
        <f>Solieusap!B804</f>
        <v>3.5</v>
      </c>
      <c r="C804" s="15" t="str">
        <f>Solieusap!C804</f>
        <v>COMB1</v>
      </c>
      <c r="D804" s="15" t="str">
        <f>Solieusap!D804</f>
        <v>Combination</v>
      </c>
      <c r="E804" s="16">
        <f>ABS(Solieusap!E804)</f>
        <v>2.6087</v>
      </c>
      <c r="F804" s="16">
        <f>ABS(Solieusap!F804)</f>
        <v>0.1555</v>
      </c>
      <c r="G804" s="16">
        <f>ABS(Solieusap!G804)</f>
        <v>0.224</v>
      </c>
      <c r="H804" s="16">
        <f>ABS(Solieusap!H804)</f>
        <v>0.000058</v>
      </c>
      <c r="I804" s="16">
        <f>ABS(Solieusap!I804)</f>
        <v>0.3883</v>
      </c>
      <c r="J804" s="16">
        <f>ABS(Solieusap!J804)</f>
        <v>0.27774</v>
      </c>
      <c r="K804" s="16">
        <f t="shared" si="1"/>
        <v>2.6087</v>
      </c>
      <c r="L804" s="16">
        <f t="shared" si="2"/>
        <v>0.3883</v>
      </c>
    </row>
    <row r="805" ht="16.5" customHeight="1">
      <c r="A805" s="15" t="str">
        <f>Solieusap!A805</f>
        <v>Cũ</v>
      </c>
      <c r="B805" s="15">
        <f>Solieusap!B805</f>
        <v>0</v>
      </c>
      <c r="C805" s="15" t="str">
        <f>Solieusap!C805</f>
        <v>COMB2</v>
      </c>
      <c r="D805" s="15" t="str">
        <f>Solieusap!D805</f>
        <v>Combination</v>
      </c>
      <c r="E805" s="16">
        <f>ABS(Solieusap!E805)</f>
        <v>2.3747</v>
      </c>
      <c r="F805" s="16">
        <f>ABS(Solieusap!F805)</f>
        <v>0.5296</v>
      </c>
      <c r="G805" s="16">
        <f>ABS(Solieusap!G805)</f>
        <v>0.1493</v>
      </c>
      <c r="H805" s="16">
        <f>ABS(Solieusap!H805)</f>
        <v>0.00002071</v>
      </c>
      <c r="I805" s="16">
        <f>ABS(Solieusap!I805)</f>
        <v>0.27064</v>
      </c>
      <c r="J805" s="16">
        <f>ABS(Solieusap!J805)</f>
        <v>0.57781</v>
      </c>
      <c r="K805" s="16">
        <f t="shared" si="1"/>
        <v>2.3747</v>
      </c>
      <c r="L805" s="16">
        <f t="shared" si="2"/>
        <v>0.27064</v>
      </c>
    </row>
    <row r="806" ht="16.5" customHeight="1">
      <c r="A806" s="15" t="str">
        <f>Solieusap!A806</f>
        <v>Cũ</v>
      </c>
      <c r="B806" s="15">
        <f>Solieusap!B806</f>
        <v>1.75</v>
      </c>
      <c r="C806" s="15" t="str">
        <f>Solieusap!C806</f>
        <v>COMB2</v>
      </c>
      <c r="D806" s="15" t="str">
        <f>Solieusap!D806</f>
        <v>Combination</v>
      </c>
      <c r="E806" s="16">
        <f>ABS(Solieusap!E806)</f>
        <v>2.1822</v>
      </c>
      <c r="F806" s="16">
        <f>ABS(Solieusap!F806)</f>
        <v>0.2671</v>
      </c>
      <c r="G806" s="16">
        <f>ABS(Solieusap!G806)</f>
        <v>0.1493</v>
      </c>
      <c r="H806" s="16">
        <f>ABS(Solieusap!H806)</f>
        <v>0.00002071</v>
      </c>
      <c r="I806" s="16">
        <f>ABS(Solieusap!I806)</f>
        <v>0.00941</v>
      </c>
      <c r="J806" s="16">
        <f>ABS(Solieusap!J806)</f>
        <v>0.11932</v>
      </c>
      <c r="K806" s="16">
        <f t="shared" si="1"/>
        <v>2.1822</v>
      </c>
      <c r="L806" s="16">
        <f t="shared" si="2"/>
        <v>0.00941</v>
      </c>
    </row>
    <row r="807" ht="16.5" customHeight="1">
      <c r="A807" s="15" t="str">
        <f>Solieusap!A807</f>
        <v>Cũ</v>
      </c>
      <c r="B807" s="15">
        <f>Solieusap!B807</f>
        <v>3.5</v>
      </c>
      <c r="C807" s="15" t="str">
        <f>Solieusap!C807</f>
        <v>COMB2</v>
      </c>
      <c r="D807" s="15" t="str">
        <f>Solieusap!D807</f>
        <v>Combination</v>
      </c>
      <c r="E807" s="16">
        <f>ABS(Solieusap!E807)</f>
        <v>1.9897</v>
      </c>
      <c r="F807" s="16">
        <f>ABS(Solieusap!F807)</f>
        <v>0.0046</v>
      </c>
      <c r="G807" s="16">
        <f>ABS(Solieusap!G807)</f>
        <v>0.1493</v>
      </c>
      <c r="H807" s="16">
        <f>ABS(Solieusap!H807)</f>
        <v>0.00002071</v>
      </c>
      <c r="I807" s="16">
        <f>ABS(Solieusap!I807)</f>
        <v>0.25181</v>
      </c>
      <c r="J807" s="16">
        <f>ABS(Solieusap!J807)</f>
        <v>0.35707</v>
      </c>
      <c r="K807" s="16">
        <f t="shared" si="1"/>
        <v>1.9897</v>
      </c>
      <c r="L807" s="16">
        <f t="shared" si="2"/>
        <v>0.25181</v>
      </c>
    </row>
    <row r="808" ht="16.5" customHeight="1">
      <c r="A808" s="15" t="str">
        <f>Solieusap!A808</f>
        <v>Cũ</v>
      </c>
      <c r="B808" s="15">
        <f>Solieusap!B808</f>
        <v>0</v>
      </c>
      <c r="C808" s="15" t="str">
        <f>Solieusap!C808</f>
        <v>COMB3</v>
      </c>
      <c r="D808" s="15" t="str">
        <f>Solieusap!D808</f>
        <v>Combination</v>
      </c>
      <c r="E808" s="16">
        <f>ABS(Solieusap!E808)</f>
        <v>2.2242</v>
      </c>
      <c r="F808" s="16">
        <f>ABS(Solieusap!F808)</f>
        <v>0.4168</v>
      </c>
      <c r="G808" s="16">
        <f>ABS(Solieusap!G808)</f>
        <v>0.1449</v>
      </c>
      <c r="H808" s="16">
        <f>ABS(Solieusap!H808)</f>
        <v>0.0001</v>
      </c>
      <c r="I808" s="16">
        <f>ABS(Solieusap!I808)</f>
        <v>0.26088</v>
      </c>
      <c r="J808" s="16">
        <f>ABS(Solieusap!J808)</f>
        <v>0.2783</v>
      </c>
      <c r="K808" s="16">
        <f t="shared" si="1"/>
        <v>2.2242</v>
      </c>
      <c r="L808" s="16">
        <f t="shared" si="2"/>
        <v>0.26088</v>
      </c>
    </row>
    <row r="809" ht="16.5" customHeight="1">
      <c r="A809" s="15" t="str">
        <f>Solieusap!A809</f>
        <v>Cũ</v>
      </c>
      <c r="B809" s="15">
        <f>Solieusap!B809</f>
        <v>1.75</v>
      </c>
      <c r="C809" s="15" t="str">
        <f>Solieusap!C809</f>
        <v>COMB3</v>
      </c>
      <c r="D809" s="15" t="str">
        <f>Solieusap!D809</f>
        <v>Combination</v>
      </c>
      <c r="E809" s="16">
        <f>ABS(Solieusap!E809)</f>
        <v>2.0317</v>
      </c>
      <c r="F809" s="16">
        <f>ABS(Solieusap!F809)</f>
        <v>0.0668</v>
      </c>
      <c r="G809" s="16">
        <f>ABS(Solieusap!G809)</f>
        <v>0.1449</v>
      </c>
      <c r="H809" s="16">
        <f>ABS(Solieusap!H809)</f>
        <v>0.0001</v>
      </c>
      <c r="I809" s="16">
        <f>ABS(Solieusap!I809)</f>
        <v>0.00726</v>
      </c>
      <c r="J809" s="16">
        <f>ABS(Solieusap!J809)</f>
        <v>0.14492</v>
      </c>
      <c r="K809" s="16">
        <f t="shared" si="1"/>
        <v>2.0317</v>
      </c>
      <c r="L809" s="16">
        <f t="shared" si="2"/>
        <v>0.00726</v>
      </c>
    </row>
    <row r="810" ht="16.5" customHeight="1">
      <c r="A810" s="15" t="str">
        <f>Solieusap!A810</f>
        <v>Cũ</v>
      </c>
      <c r="B810" s="15">
        <f>Solieusap!B810</f>
        <v>3.5</v>
      </c>
      <c r="C810" s="15" t="str">
        <f>Solieusap!C810</f>
        <v>COMB3</v>
      </c>
      <c r="D810" s="15" t="str">
        <f>Solieusap!D810</f>
        <v>Combination</v>
      </c>
      <c r="E810" s="16">
        <f>ABS(Solieusap!E810)</f>
        <v>1.8392</v>
      </c>
      <c r="F810" s="16">
        <f>ABS(Solieusap!F810)</f>
        <v>0.2832</v>
      </c>
      <c r="G810" s="16">
        <f>ABS(Solieusap!G810)</f>
        <v>0.1449</v>
      </c>
      <c r="H810" s="16">
        <f>ABS(Solieusap!H810)</f>
        <v>0.0001</v>
      </c>
      <c r="I810" s="16">
        <f>ABS(Solieusap!I810)</f>
        <v>0.24635</v>
      </c>
      <c r="J810" s="16">
        <f>ABS(Solieusap!J810)</f>
        <v>0.04436</v>
      </c>
      <c r="K810" s="16">
        <f t="shared" si="1"/>
        <v>1.8392</v>
      </c>
      <c r="L810" s="16">
        <f t="shared" si="2"/>
        <v>0.24635</v>
      </c>
    </row>
    <row r="811" ht="16.5" customHeight="1">
      <c r="A811" s="15" t="str">
        <f>Solieusap!A811</f>
        <v>Cũ</v>
      </c>
      <c r="B811" s="15">
        <f>Solieusap!B811</f>
        <v>0</v>
      </c>
      <c r="C811" s="15" t="str">
        <f>Solieusap!C811</f>
        <v>COMB4</v>
      </c>
      <c r="D811" s="15" t="str">
        <f>Solieusap!D811</f>
        <v>Combination</v>
      </c>
      <c r="E811" s="16">
        <f>ABS(Solieusap!E811)</f>
        <v>2.3504</v>
      </c>
      <c r="F811" s="16">
        <f>ABS(Solieusap!F811)</f>
        <v>0.1032</v>
      </c>
      <c r="G811" s="16">
        <f>ABS(Solieusap!G811)</f>
        <v>0.543</v>
      </c>
      <c r="H811" s="16">
        <f>ABS(Solieusap!H811)</f>
        <v>0.00005023</v>
      </c>
      <c r="I811" s="16">
        <f>ABS(Solieusap!I811)</f>
        <v>0.6198</v>
      </c>
      <c r="J811" s="16">
        <f>ABS(Solieusap!J811)</f>
        <v>0.1811</v>
      </c>
      <c r="K811" s="16">
        <f t="shared" si="1"/>
        <v>2.3504</v>
      </c>
      <c r="L811" s="16">
        <f t="shared" si="2"/>
        <v>0.6198</v>
      </c>
    </row>
    <row r="812" ht="16.5" customHeight="1">
      <c r="A812" s="15" t="str">
        <f>Solieusap!A812</f>
        <v>Cũ</v>
      </c>
      <c r="B812" s="15">
        <f>Solieusap!B812</f>
        <v>1.75</v>
      </c>
      <c r="C812" s="15" t="str">
        <f>Solieusap!C812</f>
        <v>COMB4</v>
      </c>
      <c r="D812" s="15" t="str">
        <f>Solieusap!D812</f>
        <v>Combination</v>
      </c>
      <c r="E812" s="16">
        <f>ABS(Solieusap!E812)</f>
        <v>2.1579</v>
      </c>
      <c r="F812" s="16">
        <f>ABS(Solieusap!F812)</f>
        <v>0.1032</v>
      </c>
      <c r="G812" s="16">
        <f>ABS(Solieusap!G812)</f>
        <v>0.2805</v>
      </c>
      <c r="H812" s="16">
        <f>ABS(Solieusap!H812)</f>
        <v>0.00005023</v>
      </c>
      <c r="I812" s="16">
        <f>ABS(Solieusap!I812)</f>
        <v>0.10072</v>
      </c>
      <c r="J812" s="16">
        <f>ABS(Solieusap!J812)</f>
        <v>0.0005</v>
      </c>
      <c r="K812" s="16">
        <f t="shared" si="1"/>
        <v>2.1579</v>
      </c>
      <c r="L812" s="16">
        <f t="shared" si="2"/>
        <v>0.10072</v>
      </c>
    </row>
    <row r="813" ht="16.5" customHeight="1">
      <c r="A813" s="15" t="str">
        <f>Solieusap!A813</f>
        <v>Cũ</v>
      </c>
      <c r="B813" s="15">
        <f>Solieusap!B813</f>
        <v>3.5</v>
      </c>
      <c r="C813" s="15" t="str">
        <f>Solieusap!C813</f>
        <v>COMB4</v>
      </c>
      <c r="D813" s="15" t="str">
        <f>Solieusap!D813</f>
        <v>Combination</v>
      </c>
      <c r="E813" s="16">
        <f>ABS(Solieusap!E813)</f>
        <v>1.9654</v>
      </c>
      <c r="F813" s="16">
        <f>ABS(Solieusap!F813)</f>
        <v>0.1032</v>
      </c>
      <c r="G813" s="16">
        <f>ABS(Solieusap!G813)</f>
        <v>0.018</v>
      </c>
      <c r="H813" s="16">
        <f>ABS(Solieusap!H813)</f>
        <v>0.00005023</v>
      </c>
      <c r="I813" s="16">
        <f>ABS(Solieusap!I813)</f>
        <v>0.36187</v>
      </c>
      <c r="J813" s="16">
        <f>ABS(Solieusap!J813)</f>
        <v>0.1801</v>
      </c>
      <c r="K813" s="16">
        <f t="shared" si="1"/>
        <v>1.9654</v>
      </c>
      <c r="L813" s="16">
        <f t="shared" si="2"/>
        <v>0.36187</v>
      </c>
    </row>
    <row r="814" ht="16.5" customHeight="1">
      <c r="A814" s="15" t="str">
        <f>Solieusap!A814</f>
        <v>Cũ</v>
      </c>
      <c r="B814" s="15">
        <f>Solieusap!B814</f>
        <v>0</v>
      </c>
      <c r="C814" s="15" t="str">
        <f>Solieusap!C814</f>
        <v>COMB5</v>
      </c>
      <c r="D814" s="15" t="str">
        <f>Solieusap!D814</f>
        <v>Combination</v>
      </c>
      <c r="E814" s="16">
        <f>ABS(Solieusap!E814)</f>
        <v>2.9763</v>
      </c>
      <c r="F814" s="16">
        <f>ABS(Solieusap!F814)</f>
        <v>0.1511</v>
      </c>
      <c r="G814" s="16">
        <f>ABS(Solieusap!G814)</f>
        <v>0.5726</v>
      </c>
      <c r="H814" s="16">
        <f>ABS(Solieusap!H814)</f>
        <v>0.00006635</v>
      </c>
      <c r="I814" s="16">
        <f>ABS(Solieusap!I814)</f>
        <v>0.70135</v>
      </c>
      <c r="J814" s="16">
        <f>ABS(Solieusap!J814)</f>
        <v>0.2599</v>
      </c>
      <c r="K814" s="16">
        <f t="shared" si="1"/>
        <v>2.9763</v>
      </c>
      <c r="L814" s="16">
        <f t="shared" si="2"/>
        <v>0.70135</v>
      </c>
    </row>
    <row r="815" ht="16.5" customHeight="1">
      <c r="A815" s="15" t="str">
        <f>Solieusap!A815</f>
        <v>Cũ</v>
      </c>
      <c r="B815" s="15">
        <f>Solieusap!B815</f>
        <v>1.75</v>
      </c>
      <c r="C815" s="15" t="str">
        <f>Solieusap!C815</f>
        <v>COMB5</v>
      </c>
      <c r="D815" s="15" t="str">
        <f>Solieusap!D815</f>
        <v>Combination</v>
      </c>
      <c r="E815" s="16">
        <f>ABS(Solieusap!E815)</f>
        <v>2.7838</v>
      </c>
      <c r="F815" s="16">
        <f>ABS(Solieusap!F815)</f>
        <v>0.1511</v>
      </c>
      <c r="G815" s="16">
        <f>ABS(Solieusap!G815)</f>
        <v>0.3364</v>
      </c>
      <c r="H815" s="16">
        <f>ABS(Solieusap!H815)</f>
        <v>0.00006635</v>
      </c>
      <c r="I815" s="16">
        <f>ABS(Solieusap!I815)</f>
        <v>0.09402</v>
      </c>
      <c r="J815" s="16">
        <f>ABS(Solieusap!J815)</f>
        <v>0.00458</v>
      </c>
      <c r="K815" s="16">
        <f t="shared" si="1"/>
        <v>2.7838</v>
      </c>
      <c r="L815" s="16">
        <f t="shared" si="2"/>
        <v>0.09402</v>
      </c>
    </row>
    <row r="816" ht="16.5" customHeight="1">
      <c r="A816" s="15" t="str">
        <f>Solieusap!A816</f>
        <v>Cũ</v>
      </c>
      <c r="B816" s="15">
        <f>Solieusap!B816</f>
        <v>3.5</v>
      </c>
      <c r="C816" s="15" t="str">
        <f>Solieusap!C816</f>
        <v>COMB5</v>
      </c>
      <c r="D816" s="15" t="str">
        <f>Solieusap!D816</f>
        <v>Combination</v>
      </c>
      <c r="E816" s="16">
        <f>ABS(Solieusap!E816)</f>
        <v>2.5913</v>
      </c>
      <c r="F816" s="16">
        <f>ABS(Solieusap!F816)</f>
        <v>0.1511</v>
      </c>
      <c r="G816" s="16">
        <f>ABS(Solieusap!G816)</f>
        <v>0.1001</v>
      </c>
      <c r="H816" s="16">
        <f>ABS(Solieusap!H816)</f>
        <v>0.00006635</v>
      </c>
      <c r="I816" s="16">
        <f>ABS(Solieusap!I816)</f>
        <v>0.47595</v>
      </c>
      <c r="J816" s="16">
        <f>ABS(Solieusap!J816)</f>
        <v>0.26906</v>
      </c>
      <c r="K816" s="16">
        <f t="shared" si="1"/>
        <v>2.5913</v>
      </c>
      <c r="L816" s="16">
        <f t="shared" si="2"/>
        <v>0.47595</v>
      </c>
    </row>
    <row r="817" ht="16.5" customHeight="1">
      <c r="A817" s="15" t="str">
        <f>Solieusap!A817</f>
        <v>Cũ</v>
      </c>
      <c r="B817" s="15">
        <f>Solieusap!B817</f>
        <v>0</v>
      </c>
      <c r="C817" s="15" t="str">
        <f>Solieusap!C817</f>
        <v>COMB6</v>
      </c>
      <c r="D817" s="15" t="str">
        <f>Solieusap!D817</f>
        <v>Combination</v>
      </c>
      <c r="E817" s="16">
        <f>ABS(Solieusap!E817)</f>
        <v>2.8627</v>
      </c>
      <c r="F817" s="16">
        <f>ABS(Solieusap!F817)</f>
        <v>0.3169</v>
      </c>
      <c r="G817" s="16">
        <f>ABS(Solieusap!G817)</f>
        <v>0.2144</v>
      </c>
      <c r="H817" s="16">
        <f>ABS(Solieusap!H817)</f>
        <v>0.00011</v>
      </c>
      <c r="I817" s="16">
        <f>ABS(Solieusap!I817)</f>
        <v>0.37832</v>
      </c>
      <c r="J817" s="16">
        <f>ABS(Solieusap!J817)</f>
        <v>0.15355</v>
      </c>
      <c r="K817" s="16">
        <f t="shared" si="1"/>
        <v>2.8627</v>
      </c>
      <c r="L817" s="16">
        <f t="shared" si="2"/>
        <v>0.37832</v>
      </c>
    </row>
    <row r="818" ht="16.5" customHeight="1">
      <c r="A818" s="15" t="str">
        <f>Solieusap!A818</f>
        <v>Cũ</v>
      </c>
      <c r="B818" s="15">
        <f>Solieusap!B818</f>
        <v>1.75</v>
      </c>
      <c r="C818" s="15" t="str">
        <f>Solieusap!C818</f>
        <v>COMB6</v>
      </c>
      <c r="D818" s="15" t="str">
        <f>Solieusap!D818</f>
        <v>Combination</v>
      </c>
      <c r="E818" s="16">
        <f>ABS(Solieusap!E818)</f>
        <v>2.6702</v>
      </c>
      <c r="F818" s="16">
        <f>ABS(Solieusap!F818)</f>
        <v>0.0019</v>
      </c>
      <c r="G818" s="16">
        <f>ABS(Solieusap!G818)</f>
        <v>0.2144</v>
      </c>
      <c r="H818" s="16">
        <f>ABS(Solieusap!H818)</f>
        <v>0.00011</v>
      </c>
      <c r="I818" s="16">
        <f>ABS(Solieusap!I818)</f>
        <v>0.00317</v>
      </c>
      <c r="J818" s="16">
        <f>ABS(Solieusap!J818)</f>
        <v>0.1254</v>
      </c>
      <c r="K818" s="16">
        <f t="shared" si="1"/>
        <v>2.6702</v>
      </c>
      <c r="L818" s="16">
        <f t="shared" si="2"/>
        <v>0.00317</v>
      </c>
    </row>
    <row r="819" ht="16.5" customHeight="1">
      <c r="A819" s="15" t="str">
        <f>Solieusap!A819</f>
        <v>Cũ</v>
      </c>
      <c r="B819" s="15">
        <f>Solieusap!B819</f>
        <v>3.5</v>
      </c>
      <c r="C819" s="15" t="str">
        <f>Solieusap!C819</f>
        <v>COMB6</v>
      </c>
      <c r="D819" s="15" t="str">
        <f>Solieusap!D819</f>
        <v>Combination</v>
      </c>
      <c r="E819" s="16">
        <f>ABS(Solieusap!E819)</f>
        <v>2.4777</v>
      </c>
      <c r="F819" s="16">
        <f>ABS(Solieusap!F819)</f>
        <v>0.3131</v>
      </c>
      <c r="G819" s="16">
        <f>ABS(Solieusap!G819)</f>
        <v>0.2144</v>
      </c>
      <c r="H819" s="16">
        <f>ABS(Solieusap!H819)</f>
        <v>0.00011</v>
      </c>
      <c r="I819" s="16">
        <f>ABS(Solieusap!I819)</f>
        <v>0.37198</v>
      </c>
      <c r="J819" s="16">
        <f>ABS(Solieusap!J819)</f>
        <v>0.1469</v>
      </c>
      <c r="K819" s="16">
        <f t="shared" si="1"/>
        <v>2.4777</v>
      </c>
      <c r="L819" s="16">
        <f t="shared" si="2"/>
        <v>0.37198</v>
      </c>
    </row>
    <row r="820" ht="16.5" customHeight="1">
      <c r="A820" s="15" t="str">
        <f>Solieusap!A820</f>
        <v>Cũ</v>
      </c>
      <c r="B820" s="15">
        <f>Solieusap!B820</f>
        <v>0</v>
      </c>
      <c r="C820" s="15" t="str">
        <f>Solieusap!C820</f>
        <v>COMB7</v>
      </c>
      <c r="D820" s="15" t="str">
        <f>Solieusap!D820</f>
        <v>Combination</v>
      </c>
      <c r="E820" s="16">
        <f>ABS(Solieusap!E820)</f>
        <v>2.9982</v>
      </c>
      <c r="F820" s="16">
        <f>ABS(Solieusap!F820)</f>
        <v>0.5349</v>
      </c>
      <c r="G820" s="16">
        <f>ABS(Solieusap!G820)</f>
        <v>0.2183</v>
      </c>
      <c r="H820" s="16">
        <f>ABS(Solieusap!H820)</f>
        <v>0.00003978</v>
      </c>
      <c r="I820" s="16">
        <f>ABS(Solieusap!I820)</f>
        <v>0.3871</v>
      </c>
      <c r="J820" s="16">
        <f>ABS(Solieusap!J820)</f>
        <v>0.61695</v>
      </c>
      <c r="K820" s="16">
        <f t="shared" si="1"/>
        <v>2.9982</v>
      </c>
      <c r="L820" s="16">
        <f t="shared" si="2"/>
        <v>0.3871</v>
      </c>
    </row>
    <row r="821" ht="16.5" customHeight="1">
      <c r="A821" s="15" t="str">
        <f>Solieusap!A821</f>
        <v>Cũ</v>
      </c>
      <c r="B821" s="15">
        <f>Solieusap!B821</f>
        <v>1.75</v>
      </c>
      <c r="C821" s="15" t="str">
        <f>Solieusap!C821</f>
        <v>COMB7</v>
      </c>
      <c r="D821" s="15" t="str">
        <f>Solieusap!D821</f>
        <v>Combination</v>
      </c>
      <c r="E821" s="16">
        <f>ABS(Solieusap!E821)</f>
        <v>2.8057</v>
      </c>
      <c r="F821" s="16">
        <f>ABS(Solieusap!F821)</f>
        <v>0.2987</v>
      </c>
      <c r="G821" s="16">
        <f>ABS(Solieusap!G821)</f>
        <v>0.2183</v>
      </c>
      <c r="H821" s="16">
        <f>ABS(Solieusap!H821)</f>
        <v>0.00003978</v>
      </c>
      <c r="I821" s="16">
        <f>ABS(Solieusap!I821)</f>
        <v>0.0051</v>
      </c>
      <c r="J821" s="16">
        <f>ABS(Solieusap!J821)</f>
        <v>0.11241</v>
      </c>
      <c r="K821" s="16">
        <f t="shared" si="1"/>
        <v>2.8057</v>
      </c>
      <c r="L821" s="16">
        <f t="shared" si="2"/>
        <v>0.0051</v>
      </c>
    </row>
    <row r="822" ht="16.5" customHeight="1">
      <c r="A822" s="15" t="str">
        <f>Solieusap!A822</f>
        <v>Cũ</v>
      </c>
      <c r="B822" s="15">
        <f>Solieusap!B822</f>
        <v>3.5</v>
      </c>
      <c r="C822" s="15" t="str">
        <f>Solieusap!C822</f>
        <v>COMB7</v>
      </c>
      <c r="D822" s="15" t="str">
        <f>Solieusap!D822</f>
        <v>Combination</v>
      </c>
      <c r="E822" s="16">
        <f>ABS(Solieusap!E822)</f>
        <v>2.6132</v>
      </c>
      <c r="F822" s="16">
        <f>ABS(Solieusap!F822)</f>
        <v>0.0624</v>
      </c>
      <c r="G822" s="16">
        <f>ABS(Solieusap!G822)</f>
        <v>0.2183</v>
      </c>
      <c r="H822" s="16">
        <f>ABS(Solieusap!H822)</f>
        <v>0.00003978</v>
      </c>
      <c r="I822" s="16">
        <f>ABS(Solieusap!I822)</f>
        <v>0.3769</v>
      </c>
      <c r="J822" s="16">
        <f>ABS(Solieusap!J822)</f>
        <v>0.42834</v>
      </c>
      <c r="K822" s="16">
        <f t="shared" si="1"/>
        <v>2.6132</v>
      </c>
      <c r="L822" s="16">
        <f t="shared" si="2"/>
        <v>0.3769</v>
      </c>
    </row>
    <row r="823" ht="16.5" customHeight="1">
      <c r="A823" s="15" t="str">
        <f>Solieusap!A823</f>
        <v>Cũ</v>
      </c>
      <c r="B823" s="15">
        <f>Solieusap!B823</f>
        <v>0</v>
      </c>
      <c r="C823" s="15" t="str">
        <f>Solieusap!C823</f>
        <v>COMB1</v>
      </c>
      <c r="D823" s="15" t="str">
        <f>Solieusap!D823</f>
        <v>Combination</v>
      </c>
      <c r="E823" s="16">
        <f>ABS(Solieusap!E823)</f>
        <v>2.9937</v>
      </c>
      <c r="F823" s="16">
        <f>ABS(Solieusap!F823)</f>
        <v>0.1555</v>
      </c>
      <c r="G823" s="16">
        <f>ABS(Solieusap!G823)</f>
        <v>0.224</v>
      </c>
      <c r="H823" s="16">
        <f>ABS(Solieusap!H823)</f>
        <v>0.000058</v>
      </c>
      <c r="I823" s="16">
        <f>ABS(Solieusap!I823)</f>
        <v>0.39565</v>
      </c>
      <c r="J823" s="16">
        <f>ABS(Solieusap!J823)</f>
        <v>0.26636</v>
      </c>
      <c r="K823" s="16">
        <f t="shared" si="1"/>
        <v>2.9937</v>
      </c>
      <c r="L823" s="16">
        <f t="shared" si="2"/>
        <v>0.39565</v>
      </c>
    </row>
    <row r="824" ht="16.5" customHeight="1">
      <c r="A824" s="15" t="str">
        <f>Solieusap!A824</f>
        <v>Cũ</v>
      </c>
      <c r="B824" s="15">
        <f>Solieusap!B824</f>
        <v>1.75</v>
      </c>
      <c r="C824" s="15" t="str">
        <f>Solieusap!C824</f>
        <v>COMB1</v>
      </c>
      <c r="D824" s="15" t="str">
        <f>Solieusap!D824</f>
        <v>Combination</v>
      </c>
      <c r="E824" s="16">
        <f>ABS(Solieusap!E824)</f>
        <v>2.8012</v>
      </c>
      <c r="F824" s="16">
        <f>ABS(Solieusap!F824)</f>
        <v>0.1555</v>
      </c>
      <c r="G824" s="16">
        <f>ABS(Solieusap!G824)</f>
        <v>0.224</v>
      </c>
      <c r="H824" s="16">
        <f>ABS(Solieusap!H824)</f>
        <v>0.000058</v>
      </c>
      <c r="I824" s="16">
        <f>ABS(Solieusap!I824)</f>
        <v>0.00367</v>
      </c>
      <c r="J824" s="16">
        <f>ABS(Solieusap!J824)</f>
        <v>0.00569</v>
      </c>
      <c r="K824" s="16">
        <f t="shared" si="1"/>
        <v>2.8012</v>
      </c>
      <c r="L824" s="16">
        <f t="shared" si="2"/>
        <v>0.00367</v>
      </c>
    </row>
    <row r="825" ht="16.5" customHeight="1">
      <c r="A825" s="15" t="str">
        <f>Solieusap!A825</f>
        <v>Cũ</v>
      </c>
      <c r="B825" s="15">
        <f>Solieusap!B825</f>
        <v>3.5</v>
      </c>
      <c r="C825" s="15" t="str">
        <f>Solieusap!C825</f>
        <v>COMB1</v>
      </c>
      <c r="D825" s="15" t="str">
        <f>Solieusap!D825</f>
        <v>Combination</v>
      </c>
      <c r="E825" s="16">
        <f>ABS(Solieusap!E825)</f>
        <v>2.6087</v>
      </c>
      <c r="F825" s="16">
        <f>ABS(Solieusap!F825)</f>
        <v>0.1555</v>
      </c>
      <c r="G825" s="16">
        <f>ABS(Solieusap!G825)</f>
        <v>0.224</v>
      </c>
      <c r="H825" s="16">
        <f>ABS(Solieusap!H825)</f>
        <v>0.000058</v>
      </c>
      <c r="I825" s="16">
        <f>ABS(Solieusap!I825)</f>
        <v>0.3883</v>
      </c>
      <c r="J825" s="16">
        <f>ABS(Solieusap!J825)</f>
        <v>0.27774</v>
      </c>
      <c r="K825" s="16">
        <f t="shared" si="1"/>
        <v>2.6087</v>
      </c>
      <c r="L825" s="16">
        <f t="shared" si="2"/>
        <v>0.3883</v>
      </c>
    </row>
    <row r="826" ht="16.5" customHeight="1">
      <c r="A826" s="15" t="str">
        <f>Solieusap!A826</f>
        <v>Cũ</v>
      </c>
      <c r="B826" s="15">
        <f>Solieusap!B826</f>
        <v>0</v>
      </c>
      <c r="C826" s="15" t="str">
        <f>Solieusap!C826</f>
        <v>COMB2</v>
      </c>
      <c r="D826" s="15" t="str">
        <f>Solieusap!D826</f>
        <v>Combination</v>
      </c>
      <c r="E826" s="16">
        <f>ABS(Solieusap!E826)</f>
        <v>2.3747</v>
      </c>
      <c r="F826" s="16">
        <f>ABS(Solieusap!F826)</f>
        <v>0.5296</v>
      </c>
      <c r="G826" s="16">
        <f>ABS(Solieusap!G826)</f>
        <v>0.1493</v>
      </c>
      <c r="H826" s="16">
        <f>ABS(Solieusap!H826)</f>
        <v>0.00002071</v>
      </c>
      <c r="I826" s="16">
        <f>ABS(Solieusap!I826)</f>
        <v>0.27064</v>
      </c>
      <c r="J826" s="16">
        <f>ABS(Solieusap!J826)</f>
        <v>0.57781</v>
      </c>
      <c r="K826" s="16">
        <f t="shared" si="1"/>
        <v>2.3747</v>
      </c>
      <c r="L826" s="16">
        <f t="shared" si="2"/>
        <v>0.27064</v>
      </c>
    </row>
    <row r="827" ht="16.5" customHeight="1">
      <c r="A827" s="15" t="str">
        <f>Solieusap!A827</f>
        <v>Cũ</v>
      </c>
      <c r="B827" s="15">
        <f>Solieusap!B827</f>
        <v>1.75</v>
      </c>
      <c r="C827" s="15" t="str">
        <f>Solieusap!C827</f>
        <v>COMB2</v>
      </c>
      <c r="D827" s="15" t="str">
        <f>Solieusap!D827</f>
        <v>Combination</v>
      </c>
      <c r="E827" s="16">
        <f>ABS(Solieusap!E827)</f>
        <v>2.1822</v>
      </c>
      <c r="F827" s="16">
        <f>ABS(Solieusap!F827)</f>
        <v>0.2671</v>
      </c>
      <c r="G827" s="16">
        <f>ABS(Solieusap!G827)</f>
        <v>0.1493</v>
      </c>
      <c r="H827" s="16">
        <f>ABS(Solieusap!H827)</f>
        <v>0.00002071</v>
      </c>
      <c r="I827" s="16">
        <f>ABS(Solieusap!I827)</f>
        <v>0.00941</v>
      </c>
      <c r="J827" s="16">
        <f>ABS(Solieusap!J827)</f>
        <v>0.11932</v>
      </c>
      <c r="K827" s="16">
        <f t="shared" si="1"/>
        <v>2.1822</v>
      </c>
      <c r="L827" s="16">
        <f t="shared" si="2"/>
        <v>0.00941</v>
      </c>
    </row>
    <row r="828" ht="16.5" customHeight="1">
      <c r="A828" s="15" t="str">
        <f>Solieusap!A828</f>
        <v>Cũ</v>
      </c>
      <c r="B828" s="15">
        <f>Solieusap!B828</f>
        <v>3.5</v>
      </c>
      <c r="C828" s="15" t="str">
        <f>Solieusap!C828</f>
        <v>COMB2</v>
      </c>
      <c r="D828" s="15" t="str">
        <f>Solieusap!D828</f>
        <v>Combination</v>
      </c>
      <c r="E828" s="16">
        <f>ABS(Solieusap!E828)</f>
        <v>1.9897</v>
      </c>
      <c r="F828" s="16">
        <f>ABS(Solieusap!F828)</f>
        <v>0.0046</v>
      </c>
      <c r="G828" s="16">
        <f>ABS(Solieusap!G828)</f>
        <v>0.1493</v>
      </c>
      <c r="H828" s="16">
        <f>ABS(Solieusap!H828)</f>
        <v>0.00002071</v>
      </c>
      <c r="I828" s="16">
        <f>ABS(Solieusap!I828)</f>
        <v>0.25181</v>
      </c>
      <c r="J828" s="16">
        <f>ABS(Solieusap!J828)</f>
        <v>0.35707</v>
      </c>
      <c r="K828" s="16">
        <f t="shared" si="1"/>
        <v>1.9897</v>
      </c>
      <c r="L828" s="16">
        <f t="shared" si="2"/>
        <v>0.25181</v>
      </c>
    </row>
    <row r="829" ht="16.5" customHeight="1">
      <c r="A829" s="15" t="str">
        <f>Solieusap!A829</f>
        <v>Cũ</v>
      </c>
      <c r="B829" s="15">
        <f>Solieusap!B829</f>
        <v>0</v>
      </c>
      <c r="C829" s="15" t="str">
        <f>Solieusap!C829</f>
        <v>COMB3</v>
      </c>
      <c r="D829" s="15" t="str">
        <f>Solieusap!D829</f>
        <v>Combination</v>
      </c>
      <c r="E829" s="16">
        <f>ABS(Solieusap!E829)</f>
        <v>2.2242</v>
      </c>
      <c r="F829" s="16">
        <f>ABS(Solieusap!F829)</f>
        <v>0.4168</v>
      </c>
      <c r="G829" s="16">
        <f>ABS(Solieusap!G829)</f>
        <v>0.1449</v>
      </c>
      <c r="H829" s="16">
        <f>ABS(Solieusap!H829)</f>
        <v>0.0001</v>
      </c>
      <c r="I829" s="16">
        <f>ABS(Solieusap!I829)</f>
        <v>0.26088</v>
      </c>
      <c r="J829" s="16">
        <f>ABS(Solieusap!J829)</f>
        <v>0.2783</v>
      </c>
      <c r="K829" s="16">
        <f t="shared" si="1"/>
        <v>2.2242</v>
      </c>
      <c r="L829" s="16">
        <f t="shared" si="2"/>
        <v>0.26088</v>
      </c>
    </row>
    <row r="830" ht="16.5" customHeight="1">
      <c r="A830" s="15" t="str">
        <f>Solieusap!A830</f>
        <v>Cũ</v>
      </c>
      <c r="B830" s="15">
        <f>Solieusap!B830</f>
        <v>1.75</v>
      </c>
      <c r="C830" s="15" t="str">
        <f>Solieusap!C830</f>
        <v>COMB3</v>
      </c>
      <c r="D830" s="15" t="str">
        <f>Solieusap!D830</f>
        <v>Combination</v>
      </c>
      <c r="E830" s="16">
        <f>ABS(Solieusap!E830)</f>
        <v>2.0317</v>
      </c>
      <c r="F830" s="16">
        <f>ABS(Solieusap!F830)</f>
        <v>0.0668</v>
      </c>
      <c r="G830" s="16">
        <f>ABS(Solieusap!G830)</f>
        <v>0.1449</v>
      </c>
      <c r="H830" s="16">
        <f>ABS(Solieusap!H830)</f>
        <v>0.0001</v>
      </c>
      <c r="I830" s="16">
        <f>ABS(Solieusap!I830)</f>
        <v>0.00726</v>
      </c>
      <c r="J830" s="16">
        <f>ABS(Solieusap!J830)</f>
        <v>0.14492</v>
      </c>
      <c r="K830" s="16">
        <f t="shared" si="1"/>
        <v>2.0317</v>
      </c>
      <c r="L830" s="16">
        <f t="shared" si="2"/>
        <v>0.00726</v>
      </c>
    </row>
    <row r="831" ht="16.5" customHeight="1">
      <c r="A831" s="15" t="str">
        <f>Solieusap!A831</f>
        <v>Cũ</v>
      </c>
      <c r="B831" s="15">
        <f>Solieusap!B831</f>
        <v>3.5</v>
      </c>
      <c r="C831" s="15" t="str">
        <f>Solieusap!C831</f>
        <v>COMB3</v>
      </c>
      <c r="D831" s="15" t="str">
        <f>Solieusap!D831</f>
        <v>Combination</v>
      </c>
      <c r="E831" s="16">
        <f>ABS(Solieusap!E831)</f>
        <v>1.8392</v>
      </c>
      <c r="F831" s="16">
        <f>ABS(Solieusap!F831)</f>
        <v>0.2832</v>
      </c>
      <c r="G831" s="16">
        <f>ABS(Solieusap!G831)</f>
        <v>0.1449</v>
      </c>
      <c r="H831" s="16">
        <f>ABS(Solieusap!H831)</f>
        <v>0.0001</v>
      </c>
      <c r="I831" s="16">
        <f>ABS(Solieusap!I831)</f>
        <v>0.24635</v>
      </c>
      <c r="J831" s="16">
        <f>ABS(Solieusap!J831)</f>
        <v>0.04436</v>
      </c>
      <c r="K831" s="16">
        <f t="shared" si="1"/>
        <v>1.8392</v>
      </c>
      <c r="L831" s="16">
        <f t="shared" si="2"/>
        <v>0.24635</v>
      </c>
    </row>
    <row r="832" ht="16.5" customHeight="1">
      <c r="A832" s="15" t="str">
        <f>Solieusap!A832</f>
        <v>Cũ</v>
      </c>
      <c r="B832" s="15">
        <f>Solieusap!B832</f>
        <v>0</v>
      </c>
      <c r="C832" s="15" t="str">
        <f>Solieusap!C832</f>
        <v>COMB4</v>
      </c>
      <c r="D832" s="15" t="str">
        <f>Solieusap!D832</f>
        <v>Combination</v>
      </c>
      <c r="E832" s="16">
        <f>ABS(Solieusap!E832)</f>
        <v>2.3504</v>
      </c>
      <c r="F832" s="16">
        <f>ABS(Solieusap!F832)</f>
        <v>0.1032</v>
      </c>
      <c r="G832" s="16">
        <f>ABS(Solieusap!G832)</f>
        <v>0.543</v>
      </c>
      <c r="H832" s="16">
        <f>ABS(Solieusap!H832)</f>
        <v>0.00005023</v>
      </c>
      <c r="I832" s="16">
        <f>ABS(Solieusap!I832)</f>
        <v>0.6198</v>
      </c>
      <c r="J832" s="16">
        <f>ABS(Solieusap!J832)</f>
        <v>0.1811</v>
      </c>
      <c r="K832" s="16">
        <f t="shared" si="1"/>
        <v>2.3504</v>
      </c>
      <c r="L832" s="16">
        <f t="shared" si="2"/>
        <v>0.6198</v>
      </c>
    </row>
    <row r="833" ht="16.5" customHeight="1">
      <c r="A833" s="15" t="str">
        <f>Solieusap!A833</f>
        <v>Cũ</v>
      </c>
      <c r="B833" s="15">
        <f>Solieusap!B833</f>
        <v>1.75</v>
      </c>
      <c r="C833" s="15" t="str">
        <f>Solieusap!C833</f>
        <v>COMB4</v>
      </c>
      <c r="D833" s="15" t="str">
        <f>Solieusap!D833</f>
        <v>Combination</v>
      </c>
      <c r="E833" s="16">
        <f>ABS(Solieusap!E833)</f>
        <v>2.1579</v>
      </c>
      <c r="F833" s="16">
        <f>ABS(Solieusap!F833)</f>
        <v>0.1032</v>
      </c>
      <c r="G833" s="16">
        <f>ABS(Solieusap!G833)</f>
        <v>0.2805</v>
      </c>
      <c r="H833" s="16">
        <f>ABS(Solieusap!H833)</f>
        <v>0.00005023</v>
      </c>
      <c r="I833" s="16">
        <f>ABS(Solieusap!I833)</f>
        <v>0.10072</v>
      </c>
      <c r="J833" s="16">
        <f>ABS(Solieusap!J833)</f>
        <v>0.0005</v>
      </c>
      <c r="K833" s="16">
        <f t="shared" si="1"/>
        <v>2.1579</v>
      </c>
      <c r="L833" s="16">
        <f t="shared" si="2"/>
        <v>0.10072</v>
      </c>
    </row>
    <row r="834" ht="16.5" customHeight="1">
      <c r="A834" s="15" t="str">
        <f>Solieusap!A834</f>
        <v>Cũ</v>
      </c>
      <c r="B834" s="15">
        <f>Solieusap!B834</f>
        <v>3.5</v>
      </c>
      <c r="C834" s="15" t="str">
        <f>Solieusap!C834</f>
        <v>COMB4</v>
      </c>
      <c r="D834" s="15" t="str">
        <f>Solieusap!D834</f>
        <v>Combination</v>
      </c>
      <c r="E834" s="16">
        <f>ABS(Solieusap!E834)</f>
        <v>1.9654</v>
      </c>
      <c r="F834" s="16">
        <f>ABS(Solieusap!F834)</f>
        <v>0.1032</v>
      </c>
      <c r="G834" s="16">
        <f>ABS(Solieusap!G834)</f>
        <v>0.018</v>
      </c>
      <c r="H834" s="16">
        <f>ABS(Solieusap!H834)</f>
        <v>0.00005023</v>
      </c>
      <c r="I834" s="16">
        <f>ABS(Solieusap!I834)</f>
        <v>0.36187</v>
      </c>
      <c r="J834" s="16">
        <f>ABS(Solieusap!J834)</f>
        <v>0.1801</v>
      </c>
      <c r="K834" s="16">
        <f t="shared" si="1"/>
        <v>1.9654</v>
      </c>
      <c r="L834" s="16">
        <f t="shared" si="2"/>
        <v>0.36187</v>
      </c>
    </row>
    <row r="835" ht="16.5" customHeight="1">
      <c r="A835" s="15" t="str">
        <f>Solieusap!A835</f>
        <v>Cũ</v>
      </c>
      <c r="B835" s="15">
        <f>Solieusap!B835</f>
        <v>0</v>
      </c>
      <c r="C835" s="15" t="str">
        <f>Solieusap!C835</f>
        <v>COMB5</v>
      </c>
      <c r="D835" s="15" t="str">
        <f>Solieusap!D835</f>
        <v>Combination</v>
      </c>
      <c r="E835" s="16">
        <f>ABS(Solieusap!E835)</f>
        <v>2.9763</v>
      </c>
      <c r="F835" s="16">
        <f>ABS(Solieusap!F835)</f>
        <v>0.1511</v>
      </c>
      <c r="G835" s="16">
        <f>ABS(Solieusap!G835)</f>
        <v>0.5726</v>
      </c>
      <c r="H835" s="16">
        <f>ABS(Solieusap!H835)</f>
        <v>0.00006635</v>
      </c>
      <c r="I835" s="16">
        <f>ABS(Solieusap!I835)</f>
        <v>0.70135</v>
      </c>
      <c r="J835" s="16">
        <f>ABS(Solieusap!J835)</f>
        <v>0.2599</v>
      </c>
      <c r="K835" s="16">
        <f t="shared" si="1"/>
        <v>2.9763</v>
      </c>
      <c r="L835" s="16">
        <f t="shared" si="2"/>
        <v>0.70135</v>
      </c>
    </row>
    <row r="836" ht="16.5" customHeight="1">
      <c r="A836" s="15" t="str">
        <f>Solieusap!A836</f>
        <v>Cũ</v>
      </c>
      <c r="B836" s="15">
        <f>Solieusap!B836</f>
        <v>1.75</v>
      </c>
      <c r="C836" s="15" t="str">
        <f>Solieusap!C836</f>
        <v>COMB5</v>
      </c>
      <c r="D836" s="15" t="str">
        <f>Solieusap!D836</f>
        <v>Combination</v>
      </c>
      <c r="E836" s="16">
        <f>ABS(Solieusap!E836)</f>
        <v>2.7838</v>
      </c>
      <c r="F836" s="16">
        <f>ABS(Solieusap!F836)</f>
        <v>0.1511</v>
      </c>
      <c r="G836" s="16">
        <f>ABS(Solieusap!G836)</f>
        <v>0.3364</v>
      </c>
      <c r="H836" s="16">
        <f>ABS(Solieusap!H836)</f>
        <v>0.00006635</v>
      </c>
      <c r="I836" s="16">
        <f>ABS(Solieusap!I836)</f>
        <v>0.09402</v>
      </c>
      <c r="J836" s="16">
        <f>ABS(Solieusap!J836)</f>
        <v>0.00458</v>
      </c>
      <c r="K836" s="16">
        <f t="shared" si="1"/>
        <v>2.7838</v>
      </c>
      <c r="L836" s="16">
        <f t="shared" si="2"/>
        <v>0.09402</v>
      </c>
    </row>
    <row r="837" ht="16.5" customHeight="1">
      <c r="A837" s="15" t="str">
        <f>Solieusap!A837</f>
        <v>Cũ</v>
      </c>
      <c r="B837" s="15">
        <f>Solieusap!B837</f>
        <v>3.5</v>
      </c>
      <c r="C837" s="15" t="str">
        <f>Solieusap!C837</f>
        <v>COMB5</v>
      </c>
      <c r="D837" s="15" t="str">
        <f>Solieusap!D837</f>
        <v>Combination</v>
      </c>
      <c r="E837" s="16">
        <f>ABS(Solieusap!E837)</f>
        <v>2.5913</v>
      </c>
      <c r="F837" s="16">
        <f>ABS(Solieusap!F837)</f>
        <v>0.1511</v>
      </c>
      <c r="G837" s="16">
        <f>ABS(Solieusap!G837)</f>
        <v>0.1001</v>
      </c>
      <c r="H837" s="16">
        <f>ABS(Solieusap!H837)</f>
        <v>0.00006635</v>
      </c>
      <c r="I837" s="16">
        <f>ABS(Solieusap!I837)</f>
        <v>0.47595</v>
      </c>
      <c r="J837" s="16">
        <f>ABS(Solieusap!J837)</f>
        <v>0.26906</v>
      </c>
      <c r="K837" s="16">
        <f t="shared" si="1"/>
        <v>2.5913</v>
      </c>
      <c r="L837" s="16">
        <f t="shared" si="2"/>
        <v>0.47595</v>
      </c>
    </row>
    <row r="838" ht="16.5" customHeight="1">
      <c r="A838" s="15" t="str">
        <f>Solieusap!A838</f>
        <v>Cũ</v>
      </c>
      <c r="B838" s="15">
        <f>Solieusap!B838</f>
        <v>0</v>
      </c>
      <c r="C838" s="15" t="str">
        <f>Solieusap!C838</f>
        <v>COMB6</v>
      </c>
      <c r="D838" s="15" t="str">
        <f>Solieusap!D838</f>
        <v>Combination</v>
      </c>
      <c r="E838" s="16">
        <f>ABS(Solieusap!E838)</f>
        <v>2.8627</v>
      </c>
      <c r="F838" s="16">
        <f>ABS(Solieusap!F838)</f>
        <v>0.3169</v>
      </c>
      <c r="G838" s="16">
        <f>ABS(Solieusap!G838)</f>
        <v>0.2144</v>
      </c>
      <c r="H838" s="16">
        <f>ABS(Solieusap!H838)</f>
        <v>0.00011</v>
      </c>
      <c r="I838" s="16">
        <f>ABS(Solieusap!I838)</f>
        <v>0.37832</v>
      </c>
      <c r="J838" s="16">
        <f>ABS(Solieusap!J838)</f>
        <v>0.15355</v>
      </c>
      <c r="K838" s="16">
        <f t="shared" si="1"/>
        <v>2.8627</v>
      </c>
      <c r="L838" s="16">
        <f t="shared" si="2"/>
        <v>0.37832</v>
      </c>
    </row>
    <row r="839" ht="16.5" customHeight="1">
      <c r="A839" s="15" t="str">
        <f>Solieusap!A839</f>
        <v>Cũ</v>
      </c>
      <c r="B839" s="15">
        <f>Solieusap!B839</f>
        <v>1.75</v>
      </c>
      <c r="C839" s="15" t="str">
        <f>Solieusap!C839</f>
        <v>COMB6</v>
      </c>
      <c r="D839" s="15" t="str">
        <f>Solieusap!D839</f>
        <v>Combination</v>
      </c>
      <c r="E839" s="16">
        <f>ABS(Solieusap!E839)</f>
        <v>2.6702</v>
      </c>
      <c r="F839" s="16">
        <f>ABS(Solieusap!F839)</f>
        <v>0.0019</v>
      </c>
      <c r="G839" s="16">
        <f>ABS(Solieusap!G839)</f>
        <v>0.2144</v>
      </c>
      <c r="H839" s="16">
        <f>ABS(Solieusap!H839)</f>
        <v>0.00011</v>
      </c>
      <c r="I839" s="16">
        <f>ABS(Solieusap!I839)</f>
        <v>0.00317</v>
      </c>
      <c r="J839" s="16">
        <f>ABS(Solieusap!J839)</f>
        <v>0.1254</v>
      </c>
      <c r="K839" s="16">
        <f t="shared" si="1"/>
        <v>2.6702</v>
      </c>
      <c r="L839" s="16">
        <f t="shared" si="2"/>
        <v>0.00317</v>
      </c>
    </row>
    <row r="840" ht="16.5" customHeight="1">
      <c r="A840" s="15" t="str">
        <f>Solieusap!A840</f>
        <v>Cũ</v>
      </c>
      <c r="B840" s="15">
        <f>Solieusap!B840</f>
        <v>3.5</v>
      </c>
      <c r="C840" s="15" t="str">
        <f>Solieusap!C840</f>
        <v>COMB6</v>
      </c>
      <c r="D840" s="15" t="str">
        <f>Solieusap!D840</f>
        <v>Combination</v>
      </c>
      <c r="E840" s="16">
        <f>ABS(Solieusap!E840)</f>
        <v>2.4777</v>
      </c>
      <c r="F840" s="16">
        <f>ABS(Solieusap!F840)</f>
        <v>0.3131</v>
      </c>
      <c r="G840" s="16">
        <f>ABS(Solieusap!G840)</f>
        <v>0.2144</v>
      </c>
      <c r="H840" s="16">
        <f>ABS(Solieusap!H840)</f>
        <v>0.00011</v>
      </c>
      <c r="I840" s="16">
        <f>ABS(Solieusap!I840)</f>
        <v>0.37198</v>
      </c>
      <c r="J840" s="16">
        <f>ABS(Solieusap!J840)</f>
        <v>0.1469</v>
      </c>
      <c r="K840" s="16">
        <f t="shared" si="1"/>
        <v>2.4777</v>
      </c>
      <c r="L840" s="16">
        <f t="shared" si="2"/>
        <v>0.37198</v>
      </c>
    </row>
    <row r="841" ht="16.5" customHeight="1">
      <c r="A841" s="15" t="str">
        <f>Solieusap!A841</f>
        <v>Cũ</v>
      </c>
      <c r="B841" s="15">
        <f>Solieusap!B841</f>
        <v>0</v>
      </c>
      <c r="C841" s="15" t="str">
        <f>Solieusap!C841</f>
        <v>COMB7</v>
      </c>
      <c r="D841" s="15" t="str">
        <f>Solieusap!D841</f>
        <v>Combination</v>
      </c>
      <c r="E841" s="16">
        <f>ABS(Solieusap!E841)</f>
        <v>2.9982</v>
      </c>
      <c r="F841" s="16">
        <f>ABS(Solieusap!F841)</f>
        <v>0.5349</v>
      </c>
      <c r="G841" s="16">
        <f>ABS(Solieusap!G841)</f>
        <v>0.2183</v>
      </c>
      <c r="H841" s="16">
        <f>ABS(Solieusap!H841)</f>
        <v>0.00003978</v>
      </c>
      <c r="I841" s="16">
        <f>ABS(Solieusap!I841)</f>
        <v>0.3871</v>
      </c>
      <c r="J841" s="16">
        <f>ABS(Solieusap!J841)</f>
        <v>0.61695</v>
      </c>
      <c r="K841" s="16">
        <f t="shared" si="1"/>
        <v>2.9982</v>
      </c>
      <c r="L841" s="16">
        <f t="shared" si="2"/>
        <v>0.3871</v>
      </c>
    </row>
    <row r="842" ht="16.5" customHeight="1">
      <c r="A842" s="15" t="str">
        <f>Solieusap!A842</f>
        <v>Cũ</v>
      </c>
      <c r="B842" s="15">
        <f>Solieusap!B842</f>
        <v>1.75</v>
      </c>
      <c r="C842" s="15" t="str">
        <f>Solieusap!C842</f>
        <v>COMB7</v>
      </c>
      <c r="D842" s="15" t="str">
        <f>Solieusap!D842</f>
        <v>Combination</v>
      </c>
      <c r="E842" s="16">
        <f>ABS(Solieusap!E842)</f>
        <v>2.8057</v>
      </c>
      <c r="F842" s="16">
        <f>ABS(Solieusap!F842)</f>
        <v>0.2987</v>
      </c>
      <c r="G842" s="16">
        <f>ABS(Solieusap!G842)</f>
        <v>0.2183</v>
      </c>
      <c r="H842" s="16">
        <f>ABS(Solieusap!H842)</f>
        <v>0.00003978</v>
      </c>
      <c r="I842" s="16">
        <f>ABS(Solieusap!I842)</f>
        <v>0.0051</v>
      </c>
      <c r="J842" s="16">
        <f>ABS(Solieusap!J842)</f>
        <v>0.11241</v>
      </c>
      <c r="K842" s="16">
        <f t="shared" si="1"/>
        <v>2.8057</v>
      </c>
      <c r="L842" s="16">
        <f t="shared" si="2"/>
        <v>0.0051</v>
      </c>
    </row>
    <row r="843" ht="16.5" customHeight="1">
      <c r="A843" s="15" t="str">
        <f>Solieusap!A843</f>
        <v>Cũ</v>
      </c>
      <c r="B843" s="15">
        <f>Solieusap!B843</f>
        <v>3.5</v>
      </c>
      <c r="C843" s="15" t="str">
        <f>Solieusap!C843</f>
        <v>COMB7</v>
      </c>
      <c r="D843" s="15" t="str">
        <f>Solieusap!D843</f>
        <v>Combination</v>
      </c>
      <c r="E843" s="16">
        <f>ABS(Solieusap!E843)</f>
        <v>2.6132</v>
      </c>
      <c r="F843" s="16">
        <f>ABS(Solieusap!F843)</f>
        <v>0.0624</v>
      </c>
      <c r="G843" s="16">
        <f>ABS(Solieusap!G843)</f>
        <v>0.2183</v>
      </c>
      <c r="H843" s="16">
        <f>ABS(Solieusap!H843)</f>
        <v>0.00003978</v>
      </c>
      <c r="I843" s="16">
        <f>ABS(Solieusap!I843)</f>
        <v>0.3769</v>
      </c>
      <c r="J843" s="16">
        <f>ABS(Solieusap!J843)</f>
        <v>0.42834</v>
      </c>
      <c r="K843" s="16">
        <f t="shared" si="1"/>
        <v>2.6132</v>
      </c>
      <c r="L843" s="16">
        <f t="shared" si="2"/>
        <v>0.3769</v>
      </c>
    </row>
    <row r="844" ht="16.5" customHeight="1">
      <c r="A844" s="15" t="str">
        <f>Solieusap!A844</f>
        <v>Cũ</v>
      </c>
      <c r="B844" s="15">
        <f>Solieusap!B844</f>
        <v>0</v>
      </c>
      <c r="C844" s="15" t="str">
        <f>Solieusap!C844</f>
        <v>COMB1</v>
      </c>
      <c r="D844" s="15" t="str">
        <f>Solieusap!D844</f>
        <v>Combination</v>
      </c>
      <c r="E844" s="16">
        <f>ABS(Solieusap!E844)</f>
        <v>2.9937</v>
      </c>
      <c r="F844" s="16">
        <f>ABS(Solieusap!F844)</f>
        <v>0.1555</v>
      </c>
      <c r="G844" s="16">
        <f>ABS(Solieusap!G844)</f>
        <v>0.224</v>
      </c>
      <c r="H844" s="16">
        <f>ABS(Solieusap!H844)</f>
        <v>0.000058</v>
      </c>
      <c r="I844" s="16">
        <f>ABS(Solieusap!I844)</f>
        <v>0.39565</v>
      </c>
      <c r="J844" s="16">
        <f>ABS(Solieusap!J844)</f>
        <v>0.26636</v>
      </c>
      <c r="K844" s="16">
        <f t="shared" si="1"/>
        <v>2.9937</v>
      </c>
      <c r="L844" s="16">
        <f t="shared" si="2"/>
        <v>0.39565</v>
      </c>
    </row>
    <row r="845" ht="16.5" customHeight="1">
      <c r="A845" s="15" t="str">
        <f>Solieusap!A845</f>
        <v>Cũ</v>
      </c>
      <c r="B845" s="15">
        <f>Solieusap!B845</f>
        <v>1.75</v>
      </c>
      <c r="C845" s="15" t="str">
        <f>Solieusap!C845</f>
        <v>COMB1</v>
      </c>
      <c r="D845" s="15" t="str">
        <f>Solieusap!D845</f>
        <v>Combination</v>
      </c>
      <c r="E845" s="16">
        <f>ABS(Solieusap!E845)</f>
        <v>2.8012</v>
      </c>
      <c r="F845" s="16">
        <f>ABS(Solieusap!F845)</f>
        <v>0.1555</v>
      </c>
      <c r="G845" s="16">
        <f>ABS(Solieusap!G845)</f>
        <v>0.224</v>
      </c>
      <c r="H845" s="16">
        <f>ABS(Solieusap!H845)</f>
        <v>0.000058</v>
      </c>
      <c r="I845" s="16">
        <f>ABS(Solieusap!I845)</f>
        <v>0.00367</v>
      </c>
      <c r="J845" s="16">
        <f>ABS(Solieusap!J845)</f>
        <v>0.00569</v>
      </c>
      <c r="K845" s="16">
        <f t="shared" si="1"/>
        <v>2.8012</v>
      </c>
      <c r="L845" s="16">
        <f t="shared" si="2"/>
        <v>0.00367</v>
      </c>
    </row>
    <row r="846" ht="16.5" customHeight="1">
      <c r="A846" s="15" t="str">
        <f>Solieusap!A846</f>
        <v>Cũ</v>
      </c>
      <c r="B846" s="15">
        <f>Solieusap!B846</f>
        <v>3.5</v>
      </c>
      <c r="C846" s="15" t="str">
        <f>Solieusap!C846</f>
        <v>COMB1</v>
      </c>
      <c r="D846" s="15" t="str">
        <f>Solieusap!D846</f>
        <v>Combination</v>
      </c>
      <c r="E846" s="16">
        <f>ABS(Solieusap!E846)</f>
        <v>2.6087</v>
      </c>
      <c r="F846" s="16">
        <f>ABS(Solieusap!F846)</f>
        <v>0.1555</v>
      </c>
      <c r="G846" s="16">
        <f>ABS(Solieusap!G846)</f>
        <v>0.224</v>
      </c>
      <c r="H846" s="16">
        <f>ABS(Solieusap!H846)</f>
        <v>0.000058</v>
      </c>
      <c r="I846" s="16">
        <f>ABS(Solieusap!I846)</f>
        <v>0.3883</v>
      </c>
      <c r="J846" s="16">
        <f>ABS(Solieusap!J846)</f>
        <v>0.27774</v>
      </c>
      <c r="K846" s="16">
        <f t="shared" si="1"/>
        <v>2.6087</v>
      </c>
      <c r="L846" s="16">
        <f t="shared" si="2"/>
        <v>0.3883</v>
      </c>
    </row>
    <row r="847" ht="16.5" customHeight="1">
      <c r="A847" s="15" t="str">
        <f>Solieusap!A847</f>
        <v>Cũ</v>
      </c>
      <c r="B847" s="15">
        <f>Solieusap!B847</f>
        <v>0</v>
      </c>
      <c r="C847" s="15" t="str">
        <f>Solieusap!C847</f>
        <v>COMB2</v>
      </c>
      <c r="D847" s="15" t="str">
        <f>Solieusap!D847</f>
        <v>Combination</v>
      </c>
      <c r="E847" s="16">
        <f>ABS(Solieusap!E847)</f>
        <v>2.3747</v>
      </c>
      <c r="F847" s="16">
        <f>ABS(Solieusap!F847)</f>
        <v>0.5296</v>
      </c>
      <c r="G847" s="16">
        <f>ABS(Solieusap!G847)</f>
        <v>0.1493</v>
      </c>
      <c r="H847" s="16">
        <f>ABS(Solieusap!H847)</f>
        <v>0.00002071</v>
      </c>
      <c r="I847" s="16">
        <f>ABS(Solieusap!I847)</f>
        <v>0.27064</v>
      </c>
      <c r="J847" s="16">
        <f>ABS(Solieusap!J847)</f>
        <v>0.57781</v>
      </c>
      <c r="K847" s="16">
        <f t="shared" si="1"/>
        <v>2.3747</v>
      </c>
      <c r="L847" s="16">
        <f t="shared" si="2"/>
        <v>0.27064</v>
      </c>
    </row>
    <row r="848" ht="16.5" customHeight="1">
      <c r="A848" s="15" t="str">
        <f>Solieusap!A848</f>
        <v>Cũ</v>
      </c>
      <c r="B848" s="15">
        <f>Solieusap!B848</f>
        <v>1.75</v>
      </c>
      <c r="C848" s="15" t="str">
        <f>Solieusap!C848</f>
        <v>COMB2</v>
      </c>
      <c r="D848" s="15" t="str">
        <f>Solieusap!D848</f>
        <v>Combination</v>
      </c>
      <c r="E848" s="16">
        <f>ABS(Solieusap!E848)</f>
        <v>2.1822</v>
      </c>
      <c r="F848" s="16">
        <f>ABS(Solieusap!F848)</f>
        <v>0.2671</v>
      </c>
      <c r="G848" s="16">
        <f>ABS(Solieusap!G848)</f>
        <v>0.1493</v>
      </c>
      <c r="H848" s="16">
        <f>ABS(Solieusap!H848)</f>
        <v>0.00002071</v>
      </c>
      <c r="I848" s="16">
        <f>ABS(Solieusap!I848)</f>
        <v>0.00941</v>
      </c>
      <c r="J848" s="16">
        <f>ABS(Solieusap!J848)</f>
        <v>0.11932</v>
      </c>
      <c r="K848" s="16">
        <f t="shared" si="1"/>
        <v>2.1822</v>
      </c>
      <c r="L848" s="16">
        <f t="shared" si="2"/>
        <v>0.00941</v>
      </c>
    </row>
    <row r="849" ht="16.5" customHeight="1">
      <c r="A849" s="15" t="str">
        <f>Solieusap!A849</f>
        <v>Cũ</v>
      </c>
      <c r="B849" s="15">
        <f>Solieusap!B849</f>
        <v>3.5</v>
      </c>
      <c r="C849" s="15" t="str">
        <f>Solieusap!C849</f>
        <v>COMB2</v>
      </c>
      <c r="D849" s="15" t="str">
        <f>Solieusap!D849</f>
        <v>Combination</v>
      </c>
      <c r="E849" s="16">
        <f>ABS(Solieusap!E849)</f>
        <v>1.9897</v>
      </c>
      <c r="F849" s="16">
        <f>ABS(Solieusap!F849)</f>
        <v>0.0046</v>
      </c>
      <c r="G849" s="16">
        <f>ABS(Solieusap!G849)</f>
        <v>0.1493</v>
      </c>
      <c r="H849" s="16">
        <f>ABS(Solieusap!H849)</f>
        <v>0.00002071</v>
      </c>
      <c r="I849" s="16">
        <f>ABS(Solieusap!I849)</f>
        <v>0.25181</v>
      </c>
      <c r="J849" s="16">
        <f>ABS(Solieusap!J849)</f>
        <v>0.35707</v>
      </c>
      <c r="K849" s="16">
        <f t="shared" si="1"/>
        <v>1.9897</v>
      </c>
      <c r="L849" s="16">
        <f t="shared" si="2"/>
        <v>0.25181</v>
      </c>
    </row>
    <row r="850" ht="16.5" customHeight="1">
      <c r="A850" s="15" t="str">
        <f>Solieusap!A850</f>
        <v>Cũ</v>
      </c>
      <c r="B850" s="15">
        <f>Solieusap!B850</f>
        <v>0</v>
      </c>
      <c r="C850" s="15" t="str">
        <f>Solieusap!C850</f>
        <v>COMB3</v>
      </c>
      <c r="D850" s="15" t="str">
        <f>Solieusap!D850</f>
        <v>Combination</v>
      </c>
      <c r="E850" s="16">
        <f>ABS(Solieusap!E850)</f>
        <v>2.2242</v>
      </c>
      <c r="F850" s="16">
        <f>ABS(Solieusap!F850)</f>
        <v>0.4168</v>
      </c>
      <c r="G850" s="16">
        <f>ABS(Solieusap!G850)</f>
        <v>0.1449</v>
      </c>
      <c r="H850" s="16">
        <f>ABS(Solieusap!H850)</f>
        <v>0.0001</v>
      </c>
      <c r="I850" s="16">
        <f>ABS(Solieusap!I850)</f>
        <v>0.26088</v>
      </c>
      <c r="J850" s="16">
        <f>ABS(Solieusap!J850)</f>
        <v>0.2783</v>
      </c>
      <c r="K850" s="16">
        <f t="shared" si="1"/>
        <v>2.2242</v>
      </c>
      <c r="L850" s="16">
        <f t="shared" si="2"/>
        <v>0.26088</v>
      </c>
    </row>
    <row r="851" ht="16.5" customHeight="1">
      <c r="A851" s="15" t="str">
        <f>Solieusap!A851</f>
        <v>Cũ</v>
      </c>
      <c r="B851" s="15">
        <f>Solieusap!B851</f>
        <v>1.75</v>
      </c>
      <c r="C851" s="15" t="str">
        <f>Solieusap!C851</f>
        <v>COMB3</v>
      </c>
      <c r="D851" s="15" t="str">
        <f>Solieusap!D851</f>
        <v>Combination</v>
      </c>
      <c r="E851" s="16">
        <f>ABS(Solieusap!E851)</f>
        <v>2.0317</v>
      </c>
      <c r="F851" s="16">
        <f>ABS(Solieusap!F851)</f>
        <v>0.0668</v>
      </c>
      <c r="G851" s="16">
        <f>ABS(Solieusap!G851)</f>
        <v>0.1449</v>
      </c>
      <c r="H851" s="16">
        <f>ABS(Solieusap!H851)</f>
        <v>0.0001</v>
      </c>
      <c r="I851" s="16">
        <f>ABS(Solieusap!I851)</f>
        <v>0.00726</v>
      </c>
      <c r="J851" s="16">
        <f>ABS(Solieusap!J851)</f>
        <v>0.14492</v>
      </c>
      <c r="K851" s="16">
        <f t="shared" si="1"/>
        <v>2.0317</v>
      </c>
      <c r="L851" s="16">
        <f t="shared" si="2"/>
        <v>0.00726</v>
      </c>
    </row>
    <row r="852" ht="16.5" customHeight="1">
      <c r="A852" s="15" t="str">
        <f>Solieusap!A852</f>
        <v>Cũ</v>
      </c>
      <c r="B852" s="15">
        <f>Solieusap!B852</f>
        <v>3.5</v>
      </c>
      <c r="C852" s="15" t="str">
        <f>Solieusap!C852</f>
        <v>COMB3</v>
      </c>
      <c r="D852" s="15" t="str">
        <f>Solieusap!D852</f>
        <v>Combination</v>
      </c>
      <c r="E852" s="16">
        <f>ABS(Solieusap!E852)</f>
        <v>1.8392</v>
      </c>
      <c r="F852" s="16">
        <f>ABS(Solieusap!F852)</f>
        <v>0.2832</v>
      </c>
      <c r="G852" s="16">
        <f>ABS(Solieusap!G852)</f>
        <v>0.1449</v>
      </c>
      <c r="H852" s="16">
        <f>ABS(Solieusap!H852)</f>
        <v>0.0001</v>
      </c>
      <c r="I852" s="16">
        <f>ABS(Solieusap!I852)</f>
        <v>0.24635</v>
      </c>
      <c r="J852" s="16">
        <f>ABS(Solieusap!J852)</f>
        <v>0.04436</v>
      </c>
      <c r="K852" s="16">
        <f t="shared" si="1"/>
        <v>1.8392</v>
      </c>
      <c r="L852" s="16">
        <f t="shared" si="2"/>
        <v>0.24635</v>
      </c>
    </row>
    <row r="853" ht="16.5" customHeight="1">
      <c r="A853" s="15" t="str">
        <f>Solieusap!A853</f>
        <v>Cũ</v>
      </c>
      <c r="B853" s="15">
        <f>Solieusap!B853</f>
        <v>0</v>
      </c>
      <c r="C853" s="15" t="str">
        <f>Solieusap!C853</f>
        <v>COMB4</v>
      </c>
      <c r="D853" s="15" t="str">
        <f>Solieusap!D853</f>
        <v>Combination</v>
      </c>
      <c r="E853" s="16">
        <f>ABS(Solieusap!E853)</f>
        <v>2.3504</v>
      </c>
      <c r="F853" s="16">
        <f>ABS(Solieusap!F853)</f>
        <v>0.1032</v>
      </c>
      <c r="G853" s="16">
        <f>ABS(Solieusap!G853)</f>
        <v>0.543</v>
      </c>
      <c r="H853" s="16">
        <f>ABS(Solieusap!H853)</f>
        <v>0.00005023</v>
      </c>
      <c r="I853" s="16">
        <f>ABS(Solieusap!I853)</f>
        <v>0.6198</v>
      </c>
      <c r="J853" s="16">
        <f>ABS(Solieusap!J853)</f>
        <v>0.1811</v>
      </c>
      <c r="K853" s="16">
        <f t="shared" si="1"/>
        <v>2.3504</v>
      </c>
      <c r="L853" s="16">
        <f t="shared" si="2"/>
        <v>0.6198</v>
      </c>
    </row>
    <row r="854" ht="16.5" customHeight="1">
      <c r="A854" s="15" t="str">
        <f>Solieusap!A854</f>
        <v>Cũ</v>
      </c>
      <c r="B854" s="15">
        <f>Solieusap!B854</f>
        <v>1.75</v>
      </c>
      <c r="C854" s="15" t="str">
        <f>Solieusap!C854</f>
        <v>COMB4</v>
      </c>
      <c r="D854" s="15" t="str">
        <f>Solieusap!D854</f>
        <v>Combination</v>
      </c>
      <c r="E854" s="16">
        <f>ABS(Solieusap!E854)</f>
        <v>2.1579</v>
      </c>
      <c r="F854" s="16">
        <f>ABS(Solieusap!F854)</f>
        <v>0.1032</v>
      </c>
      <c r="G854" s="16">
        <f>ABS(Solieusap!G854)</f>
        <v>0.2805</v>
      </c>
      <c r="H854" s="16">
        <f>ABS(Solieusap!H854)</f>
        <v>0.00005023</v>
      </c>
      <c r="I854" s="16">
        <f>ABS(Solieusap!I854)</f>
        <v>0.10072</v>
      </c>
      <c r="J854" s="16">
        <f>ABS(Solieusap!J854)</f>
        <v>0.0005</v>
      </c>
      <c r="K854" s="16">
        <f t="shared" si="1"/>
        <v>2.1579</v>
      </c>
      <c r="L854" s="16">
        <f t="shared" si="2"/>
        <v>0.10072</v>
      </c>
    </row>
    <row r="855" ht="16.5" customHeight="1">
      <c r="A855" s="15" t="str">
        <f>Solieusap!A855</f>
        <v>Cũ</v>
      </c>
      <c r="B855" s="15">
        <f>Solieusap!B855</f>
        <v>3.5</v>
      </c>
      <c r="C855" s="15" t="str">
        <f>Solieusap!C855</f>
        <v>COMB4</v>
      </c>
      <c r="D855" s="15" t="str">
        <f>Solieusap!D855</f>
        <v>Combination</v>
      </c>
      <c r="E855" s="16">
        <f>ABS(Solieusap!E855)</f>
        <v>1.9654</v>
      </c>
      <c r="F855" s="16">
        <f>ABS(Solieusap!F855)</f>
        <v>0.1032</v>
      </c>
      <c r="G855" s="16">
        <f>ABS(Solieusap!G855)</f>
        <v>0.018</v>
      </c>
      <c r="H855" s="16">
        <f>ABS(Solieusap!H855)</f>
        <v>0.00005023</v>
      </c>
      <c r="I855" s="16">
        <f>ABS(Solieusap!I855)</f>
        <v>0.36187</v>
      </c>
      <c r="J855" s="16">
        <f>ABS(Solieusap!J855)</f>
        <v>0.1801</v>
      </c>
      <c r="K855" s="16">
        <f t="shared" si="1"/>
        <v>1.9654</v>
      </c>
      <c r="L855" s="16">
        <f t="shared" si="2"/>
        <v>0.36187</v>
      </c>
    </row>
    <row r="856" ht="16.5" customHeight="1">
      <c r="A856" s="15" t="str">
        <f>Solieusap!A856</f>
        <v>Cũ</v>
      </c>
      <c r="B856" s="15">
        <f>Solieusap!B856</f>
        <v>0</v>
      </c>
      <c r="C856" s="15" t="str">
        <f>Solieusap!C856</f>
        <v>COMB5</v>
      </c>
      <c r="D856" s="15" t="str">
        <f>Solieusap!D856</f>
        <v>Combination</v>
      </c>
      <c r="E856" s="16">
        <f>ABS(Solieusap!E856)</f>
        <v>2.9763</v>
      </c>
      <c r="F856" s="16">
        <f>ABS(Solieusap!F856)</f>
        <v>0.1511</v>
      </c>
      <c r="G856" s="16">
        <f>ABS(Solieusap!G856)</f>
        <v>0.5726</v>
      </c>
      <c r="H856" s="16">
        <f>ABS(Solieusap!H856)</f>
        <v>0.00006635</v>
      </c>
      <c r="I856" s="16">
        <f>ABS(Solieusap!I856)</f>
        <v>0.70135</v>
      </c>
      <c r="J856" s="16">
        <f>ABS(Solieusap!J856)</f>
        <v>0.2599</v>
      </c>
      <c r="K856" s="16">
        <f t="shared" si="1"/>
        <v>2.9763</v>
      </c>
      <c r="L856" s="16">
        <f t="shared" si="2"/>
        <v>0.70135</v>
      </c>
    </row>
    <row r="857" ht="16.5" customHeight="1">
      <c r="A857" s="15" t="str">
        <f>Solieusap!A857</f>
        <v>Cũ</v>
      </c>
      <c r="B857" s="15">
        <f>Solieusap!B857</f>
        <v>1.75</v>
      </c>
      <c r="C857" s="15" t="str">
        <f>Solieusap!C857</f>
        <v>COMB5</v>
      </c>
      <c r="D857" s="15" t="str">
        <f>Solieusap!D857</f>
        <v>Combination</v>
      </c>
      <c r="E857" s="16">
        <f>ABS(Solieusap!E857)</f>
        <v>2.7838</v>
      </c>
      <c r="F857" s="16">
        <f>ABS(Solieusap!F857)</f>
        <v>0.1511</v>
      </c>
      <c r="G857" s="16">
        <f>ABS(Solieusap!G857)</f>
        <v>0.3364</v>
      </c>
      <c r="H857" s="16">
        <f>ABS(Solieusap!H857)</f>
        <v>0.00006635</v>
      </c>
      <c r="I857" s="16">
        <f>ABS(Solieusap!I857)</f>
        <v>0.09402</v>
      </c>
      <c r="J857" s="16">
        <f>ABS(Solieusap!J857)</f>
        <v>0.00458</v>
      </c>
      <c r="K857" s="16">
        <f t="shared" si="1"/>
        <v>2.7838</v>
      </c>
      <c r="L857" s="16">
        <f t="shared" si="2"/>
        <v>0.09402</v>
      </c>
    </row>
    <row r="858" ht="16.5" customHeight="1">
      <c r="A858" s="15" t="str">
        <f>Solieusap!A858</f>
        <v>Cũ</v>
      </c>
      <c r="B858" s="15">
        <f>Solieusap!B858</f>
        <v>3.5</v>
      </c>
      <c r="C858" s="15" t="str">
        <f>Solieusap!C858</f>
        <v>COMB5</v>
      </c>
      <c r="D858" s="15" t="str">
        <f>Solieusap!D858</f>
        <v>Combination</v>
      </c>
      <c r="E858" s="16">
        <f>ABS(Solieusap!E858)</f>
        <v>2.5913</v>
      </c>
      <c r="F858" s="16">
        <f>ABS(Solieusap!F858)</f>
        <v>0.1511</v>
      </c>
      <c r="G858" s="16">
        <f>ABS(Solieusap!G858)</f>
        <v>0.1001</v>
      </c>
      <c r="H858" s="16">
        <f>ABS(Solieusap!H858)</f>
        <v>0.00006635</v>
      </c>
      <c r="I858" s="16">
        <f>ABS(Solieusap!I858)</f>
        <v>0.47595</v>
      </c>
      <c r="J858" s="16">
        <f>ABS(Solieusap!J858)</f>
        <v>0.26906</v>
      </c>
      <c r="K858" s="16">
        <f t="shared" si="1"/>
        <v>2.5913</v>
      </c>
      <c r="L858" s="16">
        <f t="shared" si="2"/>
        <v>0.47595</v>
      </c>
    </row>
    <row r="859" ht="16.5" customHeight="1">
      <c r="A859" s="15" t="str">
        <f>Solieusap!A859</f>
        <v>Cũ</v>
      </c>
      <c r="B859" s="15">
        <f>Solieusap!B859</f>
        <v>0</v>
      </c>
      <c r="C859" s="15" t="str">
        <f>Solieusap!C859</f>
        <v>COMB6</v>
      </c>
      <c r="D859" s="15" t="str">
        <f>Solieusap!D859</f>
        <v>Combination</v>
      </c>
      <c r="E859" s="16">
        <f>ABS(Solieusap!E859)</f>
        <v>2.8627</v>
      </c>
      <c r="F859" s="16">
        <f>ABS(Solieusap!F859)</f>
        <v>0.3169</v>
      </c>
      <c r="G859" s="16">
        <f>ABS(Solieusap!G859)</f>
        <v>0.2144</v>
      </c>
      <c r="H859" s="16">
        <f>ABS(Solieusap!H859)</f>
        <v>0.00011</v>
      </c>
      <c r="I859" s="16">
        <f>ABS(Solieusap!I859)</f>
        <v>0.37832</v>
      </c>
      <c r="J859" s="16">
        <f>ABS(Solieusap!J859)</f>
        <v>0.15355</v>
      </c>
      <c r="K859" s="16">
        <f t="shared" si="1"/>
        <v>2.8627</v>
      </c>
      <c r="L859" s="16">
        <f t="shared" si="2"/>
        <v>0.37832</v>
      </c>
    </row>
    <row r="860" ht="16.5" customHeight="1">
      <c r="A860" s="15" t="str">
        <f>Solieusap!A860</f>
        <v>Cũ</v>
      </c>
      <c r="B860" s="15">
        <f>Solieusap!B860</f>
        <v>1.75</v>
      </c>
      <c r="C860" s="15" t="str">
        <f>Solieusap!C860</f>
        <v>COMB6</v>
      </c>
      <c r="D860" s="15" t="str">
        <f>Solieusap!D860</f>
        <v>Combination</v>
      </c>
      <c r="E860" s="16">
        <f>ABS(Solieusap!E860)</f>
        <v>2.6702</v>
      </c>
      <c r="F860" s="16">
        <f>ABS(Solieusap!F860)</f>
        <v>0.0019</v>
      </c>
      <c r="G860" s="16">
        <f>ABS(Solieusap!G860)</f>
        <v>0.2144</v>
      </c>
      <c r="H860" s="16">
        <f>ABS(Solieusap!H860)</f>
        <v>0.00011</v>
      </c>
      <c r="I860" s="16">
        <f>ABS(Solieusap!I860)</f>
        <v>0.00317</v>
      </c>
      <c r="J860" s="16">
        <f>ABS(Solieusap!J860)</f>
        <v>0.1254</v>
      </c>
      <c r="K860" s="16">
        <f t="shared" si="1"/>
        <v>2.6702</v>
      </c>
      <c r="L860" s="16">
        <f t="shared" si="2"/>
        <v>0.00317</v>
      </c>
    </row>
    <row r="861" ht="16.5" customHeight="1">
      <c r="A861" s="15" t="str">
        <f>Solieusap!A861</f>
        <v>Cũ</v>
      </c>
      <c r="B861" s="15">
        <f>Solieusap!B861</f>
        <v>3.5</v>
      </c>
      <c r="C861" s="15" t="str">
        <f>Solieusap!C861</f>
        <v>COMB6</v>
      </c>
      <c r="D861" s="15" t="str">
        <f>Solieusap!D861</f>
        <v>Combination</v>
      </c>
      <c r="E861" s="16">
        <f>ABS(Solieusap!E861)</f>
        <v>2.4777</v>
      </c>
      <c r="F861" s="16">
        <f>ABS(Solieusap!F861)</f>
        <v>0.3131</v>
      </c>
      <c r="G861" s="16">
        <f>ABS(Solieusap!G861)</f>
        <v>0.2144</v>
      </c>
      <c r="H861" s="16">
        <f>ABS(Solieusap!H861)</f>
        <v>0.00011</v>
      </c>
      <c r="I861" s="16">
        <f>ABS(Solieusap!I861)</f>
        <v>0.37198</v>
      </c>
      <c r="J861" s="16">
        <f>ABS(Solieusap!J861)</f>
        <v>0.1469</v>
      </c>
      <c r="K861" s="16">
        <f t="shared" si="1"/>
        <v>2.4777</v>
      </c>
      <c r="L861" s="16">
        <f t="shared" si="2"/>
        <v>0.37198</v>
      </c>
    </row>
    <row r="862" ht="16.5" customHeight="1">
      <c r="A862" s="15" t="str">
        <f>Solieusap!A862</f>
        <v>Cũ</v>
      </c>
      <c r="B862" s="15">
        <f>Solieusap!B862</f>
        <v>0</v>
      </c>
      <c r="C862" s="15" t="str">
        <f>Solieusap!C862</f>
        <v>COMB7</v>
      </c>
      <c r="D862" s="15" t="str">
        <f>Solieusap!D862</f>
        <v>Combination</v>
      </c>
      <c r="E862" s="16">
        <f>ABS(Solieusap!E862)</f>
        <v>2.9982</v>
      </c>
      <c r="F862" s="16">
        <f>ABS(Solieusap!F862)</f>
        <v>0.5349</v>
      </c>
      <c r="G862" s="16">
        <f>ABS(Solieusap!G862)</f>
        <v>0.2183</v>
      </c>
      <c r="H862" s="16">
        <f>ABS(Solieusap!H862)</f>
        <v>0.00003978</v>
      </c>
      <c r="I862" s="16">
        <f>ABS(Solieusap!I862)</f>
        <v>0.3871</v>
      </c>
      <c r="J862" s="16">
        <f>ABS(Solieusap!J862)</f>
        <v>0.61695</v>
      </c>
      <c r="K862" s="16">
        <f t="shared" si="1"/>
        <v>2.9982</v>
      </c>
      <c r="L862" s="16">
        <f t="shared" si="2"/>
        <v>0.3871</v>
      </c>
    </row>
    <row r="863" ht="16.5" customHeight="1">
      <c r="A863" s="15" t="str">
        <f>Solieusap!A863</f>
        <v>Cũ</v>
      </c>
      <c r="B863" s="15">
        <f>Solieusap!B863</f>
        <v>1.75</v>
      </c>
      <c r="C863" s="15" t="str">
        <f>Solieusap!C863</f>
        <v>COMB7</v>
      </c>
      <c r="D863" s="15" t="str">
        <f>Solieusap!D863</f>
        <v>Combination</v>
      </c>
      <c r="E863" s="16">
        <f>ABS(Solieusap!E863)</f>
        <v>2.8057</v>
      </c>
      <c r="F863" s="16">
        <f>ABS(Solieusap!F863)</f>
        <v>0.2987</v>
      </c>
      <c r="G863" s="16">
        <f>ABS(Solieusap!G863)</f>
        <v>0.2183</v>
      </c>
      <c r="H863" s="16">
        <f>ABS(Solieusap!H863)</f>
        <v>0.00003978</v>
      </c>
      <c r="I863" s="16">
        <f>ABS(Solieusap!I863)</f>
        <v>0.0051</v>
      </c>
      <c r="J863" s="16">
        <f>ABS(Solieusap!J863)</f>
        <v>0.11241</v>
      </c>
      <c r="K863" s="16">
        <f t="shared" si="1"/>
        <v>2.8057</v>
      </c>
      <c r="L863" s="16">
        <f t="shared" si="2"/>
        <v>0.0051</v>
      </c>
    </row>
    <row r="864" ht="16.5" customHeight="1">
      <c r="A864" s="15" t="str">
        <f>Solieusap!A864</f>
        <v>Cũ</v>
      </c>
      <c r="B864" s="15">
        <f>Solieusap!B864</f>
        <v>3.5</v>
      </c>
      <c r="C864" s="15" t="str">
        <f>Solieusap!C864</f>
        <v>COMB7</v>
      </c>
      <c r="D864" s="15" t="str">
        <f>Solieusap!D864</f>
        <v>Combination</v>
      </c>
      <c r="E864" s="16">
        <f>ABS(Solieusap!E864)</f>
        <v>2.6132</v>
      </c>
      <c r="F864" s="16">
        <f>ABS(Solieusap!F864)</f>
        <v>0.0624</v>
      </c>
      <c r="G864" s="16">
        <f>ABS(Solieusap!G864)</f>
        <v>0.2183</v>
      </c>
      <c r="H864" s="16">
        <f>ABS(Solieusap!H864)</f>
        <v>0.00003978</v>
      </c>
      <c r="I864" s="16">
        <f>ABS(Solieusap!I864)</f>
        <v>0.3769</v>
      </c>
      <c r="J864" s="16">
        <f>ABS(Solieusap!J864)</f>
        <v>0.42834</v>
      </c>
      <c r="K864" s="16">
        <f t="shared" si="1"/>
        <v>2.6132</v>
      </c>
      <c r="L864" s="16">
        <f t="shared" si="2"/>
        <v>0.3769</v>
      </c>
    </row>
    <row r="865" ht="16.5" customHeight="1">
      <c r="A865" s="15" t="str">
        <f>Solieusap!A865</f>
        <v>Cũ</v>
      </c>
      <c r="B865" s="15">
        <f>Solieusap!B865</f>
        <v>0</v>
      </c>
      <c r="C865" s="15" t="str">
        <f>Solieusap!C865</f>
        <v>COMB1</v>
      </c>
      <c r="D865" s="15" t="str">
        <f>Solieusap!D865</f>
        <v>Combination</v>
      </c>
      <c r="E865" s="16">
        <f>ABS(Solieusap!E865)</f>
        <v>2.9937</v>
      </c>
      <c r="F865" s="16">
        <f>ABS(Solieusap!F865)</f>
        <v>0.1555</v>
      </c>
      <c r="G865" s="16">
        <f>ABS(Solieusap!G865)</f>
        <v>0.224</v>
      </c>
      <c r="H865" s="16">
        <f>ABS(Solieusap!H865)</f>
        <v>0.000058</v>
      </c>
      <c r="I865" s="16">
        <f>ABS(Solieusap!I865)</f>
        <v>0.39565</v>
      </c>
      <c r="J865" s="16">
        <f>ABS(Solieusap!J865)</f>
        <v>0.26636</v>
      </c>
      <c r="K865" s="16">
        <f t="shared" si="1"/>
        <v>2.9937</v>
      </c>
      <c r="L865" s="16">
        <f t="shared" si="2"/>
        <v>0.39565</v>
      </c>
    </row>
    <row r="866" ht="16.5" customHeight="1">
      <c r="A866" s="15" t="str">
        <f>Solieusap!A866</f>
        <v>Cũ</v>
      </c>
      <c r="B866" s="15">
        <f>Solieusap!B866</f>
        <v>1.75</v>
      </c>
      <c r="C866" s="15" t="str">
        <f>Solieusap!C866</f>
        <v>COMB1</v>
      </c>
      <c r="D866" s="15" t="str">
        <f>Solieusap!D866</f>
        <v>Combination</v>
      </c>
      <c r="E866" s="16">
        <f>ABS(Solieusap!E866)</f>
        <v>2.8012</v>
      </c>
      <c r="F866" s="16">
        <f>ABS(Solieusap!F866)</f>
        <v>0.1555</v>
      </c>
      <c r="G866" s="16">
        <f>ABS(Solieusap!G866)</f>
        <v>0.224</v>
      </c>
      <c r="H866" s="16">
        <f>ABS(Solieusap!H866)</f>
        <v>0.000058</v>
      </c>
      <c r="I866" s="16">
        <f>ABS(Solieusap!I866)</f>
        <v>0.00367</v>
      </c>
      <c r="J866" s="16">
        <f>ABS(Solieusap!J866)</f>
        <v>0.00569</v>
      </c>
      <c r="K866" s="16">
        <f t="shared" si="1"/>
        <v>2.8012</v>
      </c>
      <c r="L866" s="16">
        <f t="shared" si="2"/>
        <v>0.00367</v>
      </c>
    </row>
    <row r="867" ht="16.5" customHeight="1">
      <c r="A867" s="15" t="str">
        <f>Solieusap!A867</f>
        <v>Cũ</v>
      </c>
      <c r="B867" s="15">
        <f>Solieusap!B867</f>
        <v>3.5</v>
      </c>
      <c r="C867" s="15" t="str">
        <f>Solieusap!C867</f>
        <v>COMB1</v>
      </c>
      <c r="D867" s="15" t="str">
        <f>Solieusap!D867</f>
        <v>Combination</v>
      </c>
      <c r="E867" s="16">
        <f>ABS(Solieusap!E867)</f>
        <v>2.6087</v>
      </c>
      <c r="F867" s="16">
        <f>ABS(Solieusap!F867)</f>
        <v>0.1555</v>
      </c>
      <c r="G867" s="16">
        <f>ABS(Solieusap!G867)</f>
        <v>0.224</v>
      </c>
      <c r="H867" s="16">
        <f>ABS(Solieusap!H867)</f>
        <v>0.000058</v>
      </c>
      <c r="I867" s="16">
        <f>ABS(Solieusap!I867)</f>
        <v>0.3883</v>
      </c>
      <c r="J867" s="16">
        <f>ABS(Solieusap!J867)</f>
        <v>0.27774</v>
      </c>
      <c r="K867" s="16">
        <f t="shared" si="1"/>
        <v>2.6087</v>
      </c>
      <c r="L867" s="16">
        <f t="shared" si="2"/>
        <v>0.3883</v>
      </c>
    </row>
    <row r="868" ht="16.5" customHeight="1">
      <c r="A868" s="15" t="str">
        <f>Solieusap!A868</f>
        <v>Cũ</v>
      </c>
      <c r="B868" s="15">
        <f>Solieusap!B868</f>
        <v>0</v>
      </c>
      <c r="C868" s="15" t="str">
        <f>Solieusap!C868</f>
        <v>COMB2</v>
      </c>
      <c r="D868" s="15" t="str">
        <f>Solieusap!D868</f>
        <v>Combination</v>
      </c>
      <c r="E868" s="16">
        <f>ABS(Solieusap!E868)</f>
        <v>2.3747</v>
      </c>
      <c r="F868" s="16">
        <f>ABS(Solieusap!F868)</f>
        <v>0.5296</v>
      </c>
      <c r="G868" s="16">
        <f>ABS(Solieusap!G868)</f>
        <v>0.1493</v>
      </c>
      <c r="H868" s="16">
        <f>ABS(Solieusap!H868)</f>
        <v>0.00002071</v>
      </c>
      <c r="I868" s="16">
        <f>ABS(Solieusap!I868)</f>
        <v>0.27064</v>
      </c>
      <c r="J868" s="16">
        <f>ABS(Solieusap!J868)</f>
        <v>0.57781</v>
      </c>
      <c r="K868" s="16">
        <f t="shared" si="1"/>
        <v>2.3747</v>
      </c>
      <c r="L868" s="16">
        <f t="shared" si="2"/>
        <v>0.27064</v>
      </c>
    </row>
    <row r="869" ht="16.5" customHeight="1">
      <c r="A869" s="15" t="str">
        <f>Solieusap!A869</f>
        <v>Cũ</v>
      </c>
      <c r="B869" s="15">
        <f>Solieusap!B869</f>
        <v>1.75</v>
      </c>
      <c r="C869" s="15" t="str">
        <f>Solieusap!C869</f>
        <v>COMB2</v>
      </c>
      <c r="D869" s="15" t="str">
        <f>Solieusap!D869</f>
        <v>Combination</v>
      </c>
      <c r="E869" s="16">
        <f>ABS(Solieusap!E869)</f>
        <v>2.1822</v>
      </c>
      <c r="F869" s="16">
        <f>ABS(Solieusap!F869)</f>
        <v>0.2671</v>
      </c>
      <c r="G869" s="16">
        <f>ABS(Solieusap!G869)</f>
        <v>0.1493</v>
      </c>
      <c r="H869" s="16">
        <f>ABS(Solieusap!H869)</f>
        <v>0.00002071</v>
      </c>
      <c r="I869" s="16">
        <f>ABS(Solieusap!I869)</f>
        <v>0.00941</v>
      </c>
      <c r="J869" s="16">
        <f>ABS(Solieusap!J869)</f>
        <v>0.11932</v>
      </c>
      <c r="K869" s="16">
        <f t="shared" si="1"/>
        <v>2.1822</v>
      </c>
      <c r="L869" s="16">
        <f t="shared" si="2"/>
        <v>0.00941</v>
      </c>
    </row>
    <row r="870" ht="16.5" customHeight="1">
      <c r="A870" s="15" t="str">
        <f>Solieusap!A870</f>
        <v>Cũ</v>
      </c>
      <c r="B870" s="15">
        <f>Solieusap!B870</f>
        <v>3.5</v>
      </c>
      <c r="C870" s="15" t="str">
        <f>Solieusap!C870</f>
        <v>COMB2</v>
      </c>
      <c r="D870" s="15" t="str">
        <f>Solieusap!D870</f>
        <v>Combination</v>
      </c>
      <c r="E870" s="16">
        <f>ABS(Solieusap!E870)</f>
        <v>1.9897</v>
      </c>
      <c r="F870" s="16">
        <f>ABS(Solieusap!F870)</f>
        <v>0.0046</v>
      </c>
      <c r="G870" s="16">
        <f>ABS(Solieusap!G870)</f>
        <v>0.1493</v>
      </c>
      <c r="H870" s="16">
        <f>ABS(Solieusap!H870)</f>
        <v>0.00002071</v>
      </c>
      <c r="I870" s="16">
        <f>ABS(Solieusap!I870)</f>
        <v>0.25181</v>
      </c>
      <c r="J870" s="16">
        <f>ABS(Solieusap!J870)</f>
        <v>0.35707</v>
      </c>
      <c r="K870" s="16">
        <f t="shared" si="1"/>
        <v>1.9897</v>
      </c>
      <c r="L870" s="16">
        <f t="shared" si="2"/>
        <v>0.25181</v>
      </c>
    </row>
    <row r="871" ht="16.5" customHeight="1">
      <c r="A871" s="15" t="str">
        <f>Solieusap!A871</f>
        <v>Cũ</v>
      </c>
      <c r="B871" s="15">
        <f>Solieusap!B871</f>
        <v>0</v>
      </c>
      <c r="C871" s="15" t="str">
        <f>Solieusap!C871</f>
        <v>COMB3</v>
      </c>
      <c r="D871" s="15" t="str">
        <f>Solieusap!D871</f>
        <v>Combination</v>
      </c>
      <c r="E871" s="16">
        <f>ABS(Solieusap!E871)</f>
        <v>2.2242</v>
      </c>
      <c r="F871" s="16">
        <f>ABS(Solieusap!F871)</f>
        <v>0.4168</v>
      </c>
      <c r="G871" s="16">
        <f>ABS(Solieusap!G871)</f>
        <v>0.1449</v>
      </c>
      <c r="H871" s="16">
        <f>ABS(Solieusap!H871)</f>
        <v>0.0001</v>
      </c>
      <c r="I871" s="16">
        <f>ABS(Solieusap!I871)</f>
        <v>0.26088</v>
      </c>
      <c r="J871" s="16">
        <f>ABS(Solieusap!J871)</f>
        <v>0.2783</v>
      </c>
      <c r="K871" s="16">
        <f t="shared" si="1"/>
        <v>2.2242</v>
      </c>
      <c r="L871" s="16">
        <f t="shared" si="2"/>
        <v>0.26088</v>
      </c>
    </row>
    <row r="872" ht="16.5" customHeight="1">
      <c r="A872" s="15" t="str">
        <f>Solieusap!A872</f>
        <v>Cũ</v>
      </c>
      <c r="B872" s="15">
        <f>Solieusap!B872</f>
        <v>1.75</v>
      </c>
      <c r="C872" s="15" t="str">
        <f>Solieusap!C872</f>
        <v>COMB3</v>
      </c>
      <c r="D872" s="15" t="str">
        <f>Solieusap!D872</f>
        <v>Combination</v>
      </c>
      <c r="E872" s="16">
        <f>ABS(Solieusap!E872)</f>
        <v>2.0317</v>
      </c>
      <c r="F872" s="16">
        <f>ABS(Solieusap!F872)</f>
        <v>0.0668</v>
      </c>
      <c r="G872" s="16">
        <f>ABS(Solieusap!G872)</f>
        <v>0.1449</v>
      </c>
      <c r="H872" s="16">
        <f>ABS(Solieusap!H872)</f>
        <v>0.0001</v>
      </c>
      <c r="I872" s="16">
        <f>ABS(Solieusap!I872)</f>
        <v>0.00726</v>
      </c>
      <c r="J872" s="16">
        <f>ABS(Solieusap!J872)</f>
        <v>0.14492</v>
      </c>
      <c r="K872" s="16">
        <f t="shared" si="1"/>
        <v>2.0317</v>
      </c>
      <c r="L872" s="16">
        <f t="shared" si="2"/>
        <v>0.00726</v>
      </c>
    </row>
    <row r="873" ht="16.5" customHeight="1">
      <c r="A873" s="15" t="str">
        <f>Solieusap!A873</f>
        <v>Cũ</v>
      </c>
      <c r="B873" s="15">
        <f>Solieusap!B873</f>
        <v>3.5</v>
      </c>
      <c r="C873" s="15" t="str">
        <f>Solieusap!C873</f>
        <v>COMB3</v>
      </c>
      <c r="D873" s="15" t="str">
        <f>Solieusap!D873</f>
        <v>Combination</v>
      </c>
      <c r="E873" s="16">
        <f>ABS(Solieusap!E873)</f>
        <v>1.8392</v>
      </c>
      <c r="F873" s="16">
        <f>ABS(Solieusap!F873)</f>
        <v>0.2832</v>
      </c>
      <c r="G873" s="16">
        <f>ABS(Solieusap!G873)</f>
        <v>0.1449</v>
      </c>
      <c r="H873" s="16">
        <f>ABS(Solieusap!H873)</f>
        <v>0.0001</v>
      </c>
      <c r="I873" s="16">
        <f>ABS(Solieusap!I873)</f>
        <v>0.24635</v>
      </c>
      <c r="J873" s="16">
        <f>ABS(Solieusap!J873)</f>
        <v>0.04436</v>
      </c>
      <c r="K873" s="16">
        <f t="shared" si="1"/>
        <v>1.8392</v>
      </c>
      <c r="L873" s="16">
        <f t="shared" si="2"/>
        <v>0.24635</v>
      </c>
    </row>
    <row r="874" ht="16.5" customHeight="1">
      <c r="A874" s="15" t="str">
        <f>Solieusap!A874</f>
        <v>Cũ</v>
      </c>
      <c r="B874" s="15">
        <f>Solieusap!B874</f>
        <v>0</v>
      </c>
      <c r="C874" s="15" t="str">
        <f>Solieusap!C874</f>
        <v>COMB4</v>
      </c>
      <c r="D874" s="15" t="str">
        <f>Solieusap!D874</f>
        <v>Combination</v>
      </c>
      <c r="E874" s="16">
        <f>ABS(Solieusap!E874)</f>
        <v>2.3504</v>
      </c>
      <c r="F874" s="16">
        <f>ABS(Solieusap!F874)</f>
        <v>0.1032</v>
      </c>
      <c r="G874" s="16">
        <f>ABS(Solieusap!G874)</f>
        <v>0.543</v>
      </c>
      <c r="H874" s="16">
        <f>ABS(Solieusap!H874)</f>
        <v>0.00005023</v>
      </c>
      <c r="I874" s="16">
        <f>ABS(Solieusap!I874)</f>
        <v>0.6198</v>
      </c>
      <c r="J874" s="16">
        <f>ABS(Solieusap!J874)</f>
        <v>0.1811</v>
      </c>
      <c r="K874" s="16">
        <f t="shared" si="1"/>
        <v>2.3504</v>
      </c>
      <c r="L874" s="16">
        <f t="shared" si="2"/>
        <v>0.6198</v>
      </c>
    </row>
    <row r="875" ht="16.5" customHeight="1">
      <c r="A875" s="15" t="str">
        <f>Solieusap!A875</f>
        <v>Cũ</v>
      </c>
      <c r="B875" s="15">
        <f>Solieusap!B875</f>
        <v>1.75</v>
      </c>
      <c r="C875" s="15" t="str">
        <f>Solieusap!C875</f>
        <v>COMB4</v>
      </c>
      <c r="D875" s="15" t="str">
        <f>Solieusap!D875</f>
        <v>Combination</v>
      </c>
      <c r="E875" s="16">
        <f>ABS(Solieusap!E875)</f>
        <v>2.1579</v>
      </c>
      <c r="F875" s="16">
        <f>ABS(Solieusap!F875)</f>
        <v>0.1032</v>
      </c>
      <c r="G875" s="16">
        <f>ABS(Solieusap!G875)</f>
        <v>0.2805</v>
      </c>
      <c r="H875" s="16">
        <f>ABS(Solieusap!H875)</f>
        <v>0.00005023</v>
      </c>
      <c r="I875" s="16">
        <f>ABS(Solieusap!I875)</f>
        <v>0.10072</v>
      </c>
      <c r="J875" s="16">
        <f>ABS(Solieusap!J875)</f>
        <v>0.0005</v>
      </c>
      <c r="K875" s="16">
        <f t="shared" si="1"/>
        <v>2.1579</v>
      </c>
      <c r="L875" s="16">
        <f t="shared" si="2"/>
        <v>0.10072</v>
      </c>
    </row>
    <row r="876" ht="16.5" customHeight="1">
      <c r="A876" s="15" t="str">
        <f>Solieusap!A876</f>
        <v>Cũ</v>
      </c>
      <c r="B876" s="15">
        <f>Solieusap!B876</f>
        <v>3.5</v>
      </c>
      <c r="C876" s="15" t="str">
        <f>Solieusap!C876</f>
        <v>COMB4</v>
      </c>
      <c r="D876" s="15" t="str">
        <f>Solieusap!D876</f>
        <v>Combination</v>
      </c>
      <c r="E876" s="16">
        <f>ABS(Solieusap!E876)</f>
        <v>1.9654</v>
      </c>
      <c r="F876" s="16">
        <f>ABS(Solieusap!F876)</f>
        <v>0.1032</v>
      </c>
      <c r="G876" s="16">
        <f>ABS(Solieusap!G876)</f>
        <v>0.018</v>
      </c>
      <c r="H876" s="16">
        <f>ABS(Solieusap!H876)</f>
        <v>0.00005023</v>
      </c>
      <c r="I876" s="16">
        <f>ABS(Solieusap!I876)</f>
        <v>0.36187</v>
      </c>
      <c r="J876" s="16">
        <f>ABS(Solieusap!J876)</f>
        <v>0.1801</v>
      </c>
      <c r="K876" s="16">
        <f t="shared" si="1"/>
        <v>1.9654</v>
      </c>
      <c r="L876" s="16">
        <f t="shared" si="2"/>
        <v>0.36187</v>
      </c>
    </row>
    <row r="877" ht="16.5" customHeight="1">
      <c r="A877" s="15" t="str">
        <f>Solieusap!A877</f>
        <v>Cũ</v>
      </c>
      <c r="B877" s="15">
        <f>Solieusap!B877</f>
        <v>0</v>
      </c>
      <c r="C877" s="15" t="str">
        <f>Solieusap!C877</f>
        <v>COMB5</v>
      </c>
      <c r="D877" s="15" t="str">
        <f>Solieusap!D877</f>
        <v>Combination</v>
      </c>
      <c r="E877" s="16">
        <f>ABS(Solieusap!E877)</f>
        <v>2.9763</v>
      </c>
      <c r="F877" s="16">
        <f>ABS(Solieusap!F877)</f>
        <v>0.1511</v>
      </c>
      <c r="G877" s="16">
        <f>ABS(Solieusap!G877)</f>
        <v>0.5726</v>
      </c>
      <c r="H877" s="16">
        <f>ABS(Solieusap!H877)</f>
        <v>0.00006635</v>
      </c>
      <c r="I877" s="16">
        <f>ABS(Solieusap!I877)</f>
        <v>0.70135</v>
      </c>
      <c r="J877" s="16">
        <f>ABS(Solieusap!J877)</f>
        <v>0.2599</v>
      </c>
      <c r="K877" s="16">
        <f t="shared" si="1"/>
        <v>2.9763</v>
      </c>
      <c r="L877" s="16">
        <f t="shared" si="2"/>
        <v>0.70135</v>
      </c>
    </row>
    <row r="878" ht="16.5" customHeight="1">
      <c r="A878" s="15" t="str">
        <f>Solieusap!A878</f>
        <v>Cũ</v>
      </c>
      <c r="B878" s="15">
        <f>Solieusap!B878</f>
        <v>1.75</v>
      </c>
      <c r="C878" s="15" t="str">
        <f>Solieusap!C878</f>
        <v>COMB5</v>
      </c>
      <c r="D878" s="15" t="str">
        <f>Solieusap!D878</f>
        <v>Combination</v>
      </c>
      <c r="E878" s="16">
        <f>ABS(Solieusap!E878)</f>
        <v>2.7838</v>
      </c>
      <c r="F878" s="16">
        <f>ABS(Solieusap!F878)</f>
        <v>0.1511</v>
      </c>
      <c r="G878" s="16">
        <f>ABS(Solieusap!G878)</f>
        <v>0.3364</v>
      </c>
      <c r="H878" s="16">
        <f>ABS(Solieusap!H878)</f>
        <v>0.00006635</v>
      </c>
      <c r="I878" s="16">
        <f>ABS(Solieusap!I878)</f>
        <v>0.09402</v>
      </c>
      <c r="J878" s="16">
        <f>ABS(Solieusap!J878)</f>
        <v>0.00458</v>
      </c>
      <c r="K878" s="16">
        <f t="shared" si="1"/>
        <v>2.7838</v>
      </c>
      <c r="L878" s="16">
        <f t="shared" si="2"/>
        <v>0.09402</v>
      </c>
    </row>
    <row r="879" ht="16.5" customHeight="1">
      <c r="A879" s="15" t="str">
        <f>Solieusap!A879</f>
        <v>Cũ</v>
      </c>
      <c r="B879" s="15">
        <f>Solieusap!B879</f>
        <v>3.5</v>
      </c>
      <c r="C879" s="15" t="str">
        <f>Solieusap!C879</f>
        <v>COMB5</v>
      </c>
      <c r="D879" s="15" t="str">
        <f>Solieusap!D879</f>
        <v>Combination</v>
      </c>
      <c r="E879" s="16">
        <f>ABS(Solieusap!E879)</f>
        <v>2.5913</v>
      </c>
      <c r="F879" s="16">
        <f>ABS(Solieusap!F879)</f>
        <v>0.1511</v>
      </c>
      <c r="G879" s="16">
        <f>ABS(Solieusap!G879)</f>
        <v>0.1001</v>
      </c>
      <c r="H879" s="16">
        <f>ABS(Solieusap!H879)</f>
        <v>0.00006635</v>
      </c>
      <c r="I879" s="16">
        <f>ABS(Solieusap!I879)</f>
        <v>0.47595</v>
      </c>
      <c r="J879" s="16">
        <f>ABS(Solieusap!J879)</f>
        <v>0.26906</v>
      </c>
      <c r="K879" s="16">
        <f t="shared" si="1"/>
        <v>2.5913</v>
      </c>
      <c r="L879" s="16">
        <f t="shared" si="2"/>
        <v>0.47595</v>
      </c>
    </row>
    <row r="880" ht="16.5" customHeight="1">
      <c r="A880" s="15" t="str">
        <f>Solieusap!A880</f>
        <v>Cũ</v>
      </c>
      <c r="B880" s="15">
        <f>Solieusap!B880</f>
        <v>0</v>
      </c>
      <c r="C880" s="15" t="str">
        <f>Solieusap!C880</f>
        <v>COMB6</v>
      </c>
      <c r="D880" s="15" t="str">
        <f>Solieusap!D880</f>
        <v>Combination</v>
      </c>
      <c r="E880" s="16">
        <f>ABS(Solieusap!E880)</f>
        <v>2.8627</v>
      </c>
      <c r="F880" s="16">
        <f>ABS(Solieusap!F880)</f>
        <v>0.3169</v>
      </c>
      <c r="G880" s="16">
        <f>ABS(Solieusap!G880)</f>
        <v>0.2144</v>
      </c>
      <c r="H880" s="16">
        <f>ABS(Solieusap!H880)</f>
        <v>0.00011</v>
      </c>
      <c r="I880" s="16">
        <f>ABS(Solieusap!I880)</f>
        <v>0.37832</v>
      </c>
      <c r="J880" s="16">
        <f>ABS(Solieusap!J880)</f>
        <v>0.15355</v>
      </c>
      <c r="K880" s="16">
        <f t="shared" si="1"/>
        <v>2.8627</v>
      </c>
      <c r="L880" s="16">
        <f t="shared" si="2"/>
        <v>0.37832</v>
      </c>
    </row>
    <row r="881" ht="16.5" customHeight="1">
      <c r="A881" s="15" t="str">
        <f>Solieusap!A881</f>
        <v>Cũ</v>
      </c>
      <c r="B881" s="15">
        <f>Solieusap!B881</f>
        <v>1.75</v>
      </c>
      <c r="C881" s="15" t="str">
        <f>Solieusap!C881</f>
        <v>COMB6</v>
      </c>
      <c r="D881" s="15" t="str">
        <f>Solieusap!D881</f>
        <v>Combination</v>
      </c>
      <c r="E881" s="16">
        <f>ABS(Solieusap!E881)</f>
        <v>2.6702</v>
      </c>
      <c r="F881" s="16">
        <f>ABS(Solieusap!F881)</f>
        <v>0.0019</v>
      </c>
      <c r="G881" s="16">
        <f>ABS(Solieusap!G881)</f>
        <v>0.2144</v>
      </c>
      <c r="H881" s="16">
        <f>ABS(Solieusap!H881)</f>
        <v>0.00011</v>
      </c>
      <c r="I881" s="16">
        <f>ABS(Solieusap!I881)</f>
        <v>0.00317</v>
      </c>
      <c r="J881" s="16">
        <f>ABS(Solieusap!J881)</f>
        <v>0.1254</v>
      </c>
      <c r="K881" s="16">
        <f t="shared" si="1"/>
        <v>2.6702</v>
      </c>
      <c r="L881" s="16">
        <f t="shared" si="2"/>
        <v>0.00317</v>
      </c>
    </row>
    <row r="882" ht="16.5" customHeight="1">
      <c r="A882" s="15" t="str">
        <f>Solieusap!A882</f>
        <v>Cũ</v>
      </c>
      <c r="B882" s="15">
        <f>Solieusap!B882</f>
        <v>3.5</v>
      </c>
      <c r="C882" s="15" t="str">
        <f>Solieusap!C882</f>
        <v>COMB6</v>
      </c>
      <c r="D882" s="15" t="str">
        <f>Solieusap!D882</f>
        <v>Combination</v>
      </c>
      <c r="E882" s="16">
        <f>ABS(Solieusap!E882)</f>
        <v>2.4777</v>
      </c>
      <c r="F882" s="16">
        <f>ABS(Solieusap!F882)</f>
        <v>0.3131</v>
      </c>
      <c r="G882" s="16">
        <f>ABS(Solieusap!G882)</f>
        <v>0.2144</v>
      </c>
      <c r="H882" s="16">
        <f>ABS(Solieusap!H882)</f>
        <v>0.00011</v>
      </c>
      <c r="I882" s="16">
        <f>ABS(Solieusap!I882)</f>
        <v>0.37198</v>
      </c>
      <c r="J882" s="16">
        <f>ABS(Solieusap!J882)</f>
        <v>0.1469</v>
      </c>
      <c r="K882" s="16">
        <f t="shared" si="1"/>
        <v>2.4777</v>
      </c>
      <c r="L882" s="16">
        <f t="shared" si="2"/>
        <v>0.37198</v>
      </c>
    </row>
    <row r="883" ht="16.5" customHeight="1">
      <c r="A883" s="15" t="str">
        <f>Solieusap!A883</f>
        <v>Cũ</v>
      </c>
      <c r="B883" s="15">
        <f>Solieusap!B883</f>
        <v>0</v>
      </c>
      <c r="C883" s="15" t="str">
        <f>Solieusap!C883</f>
        <v>COMB7</v>
      </c>
      <c r="D883" s="15" t="str">
        <f>Solieusap!D883</f>
        <v>Combination</v>
      </c>
      <c r="E883" s="16">
        <f>ABS(Solieusap!E883)</f>
        <v>2.9982</v>
      </c>
      <c r="F883" s="16">
        <f>ABS(Solieusap!F883)</f>
        <v>0.5349</v>
      </c>
      <c r="G883" s="16">
        <f>ABS(Solieusap!G883)</f>
        <v>0.2183</v>
      </c>
      <c r="H883" s="16">
        <f>ABS(Solieusap!H883)</f>
        <v>0.00003978</v>
      </c>
      <c r="I883" s="16">
        <f>ABS(Solieusap!I883)</f>
        <v>0.3871</v>
      </c>
      <c r="J883" s="16">
        <f>ABS(Solieusap!J883)</f>
        <v>0.61695</v>
      </c>
      <c r="K883" s="16">
        <f t="shared" si="1"/>
        <v>2.9982</v>
      </c>
      <c r="L883" s="16">
        <f t="shared" si="2"/>
        <v>0.3871</v>
      </c>
    </row>
    <row r="884" ht="16.5" customHeight="1">
      <c r="A884" s="15" t="str">
        <f>Solieusap!A884</f>
        <v>Cũ</v>
      </c>
      <c r="B884" s="15">
        <f>Solieusap!B884</f>
        <v>1.75</v>
      </c>
      <c r="C884" s="15" t="str">
        <f>Solieusap!C884</f>
        <v>COMB7</v>
      </c>
      <c r="D884" s="15" t="str">
        <f>Solieusap!D884</f>
        <v>Combination</v>
      </c>
      <c r="E884" s="16">
        <f>ABS(Solieusap!E884)</f>
        <v>2.8057</v>
      </c>
      <c r="F884" s="16">
        <f>ABS(Solieusap!F884)</f>
        <v>0.2987</v>
      </c>
      <c r="G884" s="16">
        <f>ABS(Solieusap!G884)</f>
        <v>0.2183</v>
      </c>
      <c r="H884" s="16">
        <f>ABS(Solieusap!H884)</f>
        <v>0.00003978</v>
      </c>
      <c r="I884" s="16">
        <f>ABS(Solieusap!I884)</f>
        <v>0.0051</v>
      </c>
      <c r="J884" s="16">
        <f>ABS(Solieusap!J884)</f>
        <v>0.11241</v>
      </c>
      <c r="K884" s="16">
        <f t="shared" si="1"/>
        <v>2.8057</v>
      </c>
      <c r="L884" s="16">
        <f t="shared" si="2"/>
        <v>0.0051</v>
      </c>
    </row>
    <row r="885" ht="16.5" customHeight="1">
      <c r="A885" s="15" t="str">
        <f>Solieusap!A885</f>
        <v>Cũ</v>
      </c>
      <c r="B885" s="15">
        <f>Solieusap!B885</f>
        <v>3.5</v>
      </c>
      <c r="C885" s="15" t="str">
        <f>Solieusap!C885</f>
        <v>COMB7</v>
      </c>
      <c r="D885" s="15" t="str">
        <f>Solieusap!D885</f>
        <v>Combination</v>
      </c>
      <c r="E885" s="16">
        <f>ABS(Solieusap!E885)</f>
        <v>2.6132</v>
      </c>
      <c r="F885" s="16">
        <f>ABS(Solieusap!F885)</f>
        <v>0.0624</v>
      </c>
      <c r="G885" s="16">
        <f>ABS(Solieusap!G885)</f>
        <v>0.2183</v>
      </c>
      <c r="H885" s="16">
        <f>ABS(Solieusap!H885)</f>
        <v>0.00003978</v>
      </c>
      <c r="I885" s="16">
        <f>ABS(Solieusap!I885)</f>
        <v>0.3769</v>
      </c>
      <c r="J885" s="16">
        <f>ABS(Solieusap!J885)</f>
        <v>0.42834</v>
      </c>
      <c r="K885" s="16">
        <f t="shared" si="1"/>
        <v>2.6132</v>
      </c>
      <c r="L885" s="16">
        <f t="shared" si="2"/>
        <v>0.3769</v>
      </c>
    </row>
    <row r="886" ht="16.5" customHeight="1">
      <c r="A886" s="15" t="str">
        <f>Solieusap!A886</f>
        <v>Cũ</v>
      </c>
      <c r="B886" s="15">
        <f>Solieusap!B886</f>
        <v>0</v>
      </c>
      <c r="C886" s="15" t="str">
        <f>Solieusap!C886</f>
        <v>COMB1</v>
      </c>
      <c r="D886" s="15" t="str">
        <f>Solieusap!D886</f>
        <v>Combination</v>
      </c>
      <c r="E886" s="16">
        <f>ABS(Solieusap!E886)</f>
        <v>2.9937</v>
      </c>
      <c r="F886" s="16">
        <f>ABS(Solieusap!F886)</f>
        <v>0.1555</v>
      </c>
      <c r="G886" s="16">
        <f>ABS(Solieusap!G886)</f>
        <v>0.224</v>
      </c>
      <c r="H886" s="16">
        <f>ABS(Solieusap!H886)</f>
        <v>0.000058</v>
      </c>
      <c r="I886" s="16">
        <f>ABS(Solieusap!I886)</f>
        <v>0.39565</v>
      </c>
      <c r="J886" s="16">
        <f>ABS(Solieusap!J886)</f>
        <v>0.26636</v>
      </c>
      <c r="K886" s="16">
        <f t="shared" si="1"/>
        <v>2.9937</v>
      </c>
      <c r="L886" s="16">
        <f t="shared" si="2"/>
        <v>0.39565</v>
      </c>
    </row>
    <row r="887" ht="16.5" customHeight="1">
      <c r="A887" s="15" t="str">
        <f>Solieusap!A887</f>
        <v>Cũ</v>
      </c>
      <c r="B887" s="15">
        <f>Solieusap!B887</f>
        <v>1.75</v>
      </c>
      <c r="C887" s="15" t="str">
        <f>Solieusap!C887</f>
        <v>COMB1</v>
      </c>
      <c r="D887" s="15" t="str">
        <f>Solieusap!D887</f>
        <v>Combination</v>
      </c>
      <c r="E887" s="16">
        <f>ABS(Solieusap!E887)</f>
        <v>2.8012</v>
      </c>
      <c r="F887" s="16">
        <f>ABS(Solieusap!F887)</f>
        <v>0.1555</v>
      </c>
      <c r="G887" s="16">
        <f>ABS(Solieusap!G887)</f>
        <v>0.224</v>
      </c>
      <c r="H887" s="16">
        <f>ABS(Solieusap!H887)</f>
        <v>0.000058</v>
      </c>
      <c r="I887" s="16">
        <f>ABS(Solieusap!I887)</f>
        <v>0.00367</v>
      </c>
      <c r="J887" s="16">
        <f>ABS(Solieusap!J887)</f>
        <v>0.00569</v>
      </c>
      <c r="K887" s="16">
        <f t="shared" si="1"/>
        <v>2.8012</v>
      </c>
      <c r="L887" s="16">
        <f t="shared" si="2"/>
        <v>0.00367</v>
      </c>
    </row>
    <row r="888" ht="16.5" customHeight="1">
      <c r="A888" s="15" t="str">
        <f>Solieusap!A888</f>
        <v>Cũ</v>
      </c>
      <c r="B888" s="15">
        <f>Solieusap!B888</f>
        <v>3.5</v>
      </c>
      <c r="C888" s="15" t="str">
        <f>Solieusap!C888</f>
        <v>COMB1</v>
      </c>
      <c r="D888" s="15" t="str">
        <f>Solieusap!D888</f>
        <v>Combination</v>
      </c>
      <c r="E888" s="16">
        <f>ABS(Solieusap!E888)</f>
        <v>2.6087</v>
      </c>
      <c r="F888" s="16">
        <f>ABS(Solieusap!F888)</f>
        <v>0.1555</v>
      </c>
      <c r="G888" s="16">
        <f>ABS(Solieusap!G888)</f>
        <v>0.224</v>
      </c>
      <c r="H888" s="16">
        <f>ABS(Solieusap!H888)</f>
        <v>0.000058</v>
      </c>
      <c r="I888" s="16">
        <f>ABS(Solieusap!I888)</f>
        <v>0.3883</v>
      </c>
      <c r="J888" s="16">
        <f>ABS(Solieusap!J888)</f>
        <v>0.27774</v>
      </c>
      <c r="K888" s="16">
        <f t="shared" si="1"/>
        <v>2.6087</v>
      </c>
      <c r="L888" s="16">
        <f t="shared" si="2"/>
        <v>0.3883</v>
      </c>
    </row>
    <row r="889" ht="16.5" customHeight="1">
      <c r="A889" s="15" t="str">
        <f>Solieusap!A889</f>
        <v>Cũ</v>
      </c>
      <c r="B889" s="15">
        <f>Solieusap!B889</f>
        <v>0</v>
      </c>
      <c r="C889" s="15" t="str">
        <f>Solieusap!C889</f>
        <v>COMB2</v>
      </c>
      <c r="D889" s="15" t="str">
        <f>Solieusap!D889</f>
        <v>Combination</v>
      </c>
      <c r="E889" s="16">
        <f>ABS(Solieusap!E889)</f>
        <v>2.3747</v>
      </c>
      <c r="F889" s="16">
        <f>ABS(Solieusap!F889)</f>
        <v>0.5296</v>
      </c>
      <c r="G889" s="16">
        <f>ABS(Solieusap!G889)</f>
        <v>0.1493</v>
      </c>
      <c r="H889" s="16">
        <f>ABS(Solieusap!H889)</f>
        <v>0.00002071</v>
      </c>
      <c r="I889" s="16">
        <f>ABS(Solieusap!I889)</f>
        <v>0.27064</v>
      </c>
      <c r="J889" s="16">
        <f>ABS(Solieusap!J889)</f>
        <v>0.57781</v>
      </c>
      <c r="K889" s="16">
        <f t="shared" si="1"/>
        <v>2.3747</v>
      </c>
      <c r="L889" s="16">
        <f t="shared" si="2"/>
        <v>0.27064</v>
      </c>
    </row>
    <row r="890" ht="16.5" customHeight="1">
      <c r="A890" s="15" t="str">
        <f>Solieusap!A890</f>
        <v>Cũ</v>
      </c>
      <c r="B890" s="15">
        <f>Solieusap!B890</f>
        <v>1.75</v>
      </c>
      <c r="C890" s="15" t="str">
        <f>Solieusap!C890</f>
        <v>COMB2</v>
      </c>
      <c r="D890" s="15" t="str">
        <f>Solieusap!D890</f>
        <v>Combination</v>
      </c>
      <c r="E890" s="16">
        <f>ABS(Solieusap!E890)</f>
        <v>2.1822</v>
      </c>
      <c r="F890" s="16">
        <f>ABS(Solieusap!F890)</f>
        <v>0.2671</v>
      </c>
      <c r="G890" s="16">
        <f>ABS(Solieusap!G890)</f>
        <v>0.1493</v>
      </c>
      <c r="H890" s="16">
        <f>ABS(Solieusap!H890)</f>
        <v>0.00002071</v>
      </c>
      <c r="I890" s="16">
        <f>ABS(Solieusap!I890)</f>
        <v>0.00941</v>
      </c>
      <c r="J890" s="16">
        <f>ABS(Solieusap!J890)</f>
        <v>0.11932</v>
      </c>
      <c r="K890" s="16">
        <f t="shared" si="1"/>
        <v>2.1822</v>
      </c>
      <c r="L890" s="16">
        <f t="shared" si="2"/>
        <v>0.00941</v>
      </c>
    </row>
    <row r="891" ht="16.5" customHeight="1">
      <c r="A891" s="15" t="str">
        <f>Solieusap!A891</f>
        <v>Cũ</v>
      </c>
      <c r="B891" s="15">
        <f>Solieusap!B891</f>
        <v>3.5</v>
      </c>
      <c r="C891" s="15" t="str">
        <f>Solieusap!C891</f>
        <v>COMB2</v>
      </c>
      <c r="D891" s="15" t="str">
        <f>Solieusap!D891</f>
        <v>Combination</v>
      </c>
      <c r="E891" s="16">
        <f>ABS(Solieusap!E891)</f>
        <v>1.9897</v>
      </c>
      <c r="F891" s="16">
        <f>ABS(Solieusap!F891)</f>
        <v>0.0046</v>
      </c>
      <c r="G891" s="16">
        <f>ABS(Solieusap!G891)</f>
        <v>0.1493</v>
      </c>
      <c r="H891" s="16">
        <f>ABS(Solieusap!H891)</f>
        <v>0.00002071</v>
      </c>
      <c r="I891" s="16">
        <f>ABS(Solieusap!I891)</f>
        <v>0.25181</v>
      </c>
      <c r="J891" s="16">
        <f>ABS(Solieusap!J891)</f>
        <v>0.35707</v>
      </c>
      <c r="K891" s="16">
        <f t="shared" si="1"/>
        <v>1.9897</v>
      </c>
      <c r="L891" s="16">
        <f t="shared" si="2"/>
        <v>0.25181</v>
      </c>
    </row>
    <row r="892" ht="16.5" customHeight="1">
      <c r="A892" s="15" t="str">
        <f>Solieusap!A892</f>
        <v>Cũ</v>
      </c>
      <c r="B892" s="15">
        <f>Solieusap!B892</f>
        <v>0</v>
      </c>
      <c r="C892" s="15" t="str">
        <f>Solieusap!C892</f>
        <v>COMB3</v>
      </c>
      <c r="D892" s="15" t="str">
        <f>Solieusap!D892</f>
        <v>Combination</v>
      </c>
      <c r="E892" s="16">
        <f>ABS(Solieusap!E892)</f>
        <v>2.2242</v>
      </c>
      <c r="F892" s="16">
        <f>ABS(Solieusap!F892)</f>
        <v>0.4168</v>
      </c>
      <c r="G892" s="16">
        <f>ABS(Solieusap!G892)</f>
        <v>0.1449</v>
      </c>
      <c r="H892" s="16">
        <f>ABS(Solieusap!H892)</f>
        <v>0.0001</v>
      </c>
      <c r="I892" s="16">
        <f>ABS(Solieusap!I892)</f>
        <v>0.26088</v>
      </c>
      <c r="J892" s="16">
        <f>ABS(Solieusap!J892)</f>
        <v>0.2783</v>
      </c>
      <c r="K892" s="16">
        <f t="shared" si="1"/>
        <v>2.2242</v>
      </c>
      <c r="L892" s="16">
        <f t="shared" si="2"/>
        <v>0.26088</v>
      </c>
    </row>
    <row r="893" ht="16.5" customHeight="1">
      <c r="A893" s="15" t="str">
        <f>Solieusap!A893</f>
        <v>Cũ</v>
      </c>
      <c r="B893" s="15">
        <f>Solieusap!B893</f>
        <v>1.75</v>
      </c>
      <c r="C893" s="15" t="str">
        <f>Solieusap!C893</f>
        <v>COMB3</v>
      </c>
      <c r="D893" s="15" t="str">
        <f>Solieusap!D893</f>
        <v>Combination</v>
      </c>
      <c r="E893" s="16">
        <f>ABS(Solieusap!E893)</f>
        <v>2.0317</v>
      </c>
      <c r="F893" s="16">
        <f>ABS(Solieusap!F893)</f>
        <v>0.0668</v>
      </c>
      <c r="G893" s="16">
        <f>ABS(Solieusap!G893)</f>
        <v>0.1449</v>
      </c>
      <c r="H893" s="16">
        <f>ABS(Solieusap!H893)</f>
        <v>0.0001</v>
      </c>
      <c r="I893" s="16">
        <f>ABS(Solieusap!I893)</f>
        <v>0.00726</v>
      </c>
      <c r="J893" s="16">
        <f>ABS(Solieusap!J893)</f>
        <v>0.14492</v>
      </c>
      <c r="K893" s="16">
        <f t="shared" si="1"/>
        <v>2.0317</v>
      </c>
      <c r="L893" s="16">
        <f t="shared" si="2"/>
        <v>0.00726</v>
      </c>
    </row>
    <row r="894" ht="16.5" customHeight="1">
      <c r="A894" s="15" t="str">
        <f>Solieusap!A894</f>
        <v>Cũ</v>
      </c>
      <c r="B894" s="15">
        <f>Solieusap!B894</f>
        <v>3.5</v>
      </c>
      <c r="C894" s="15" t="str">
        <f>Solieusap!C894</f>
        <v>COMB3</v>
      </c>
      <c r="D894" s="15" t="str">
        <f>Solieusap!D894</f>
        <v>Combination</v>
      </c>
      <c r="E894" s="16">
        <f>ABS(Solieusap!E894)</f>
        <v>1.8392</v>
      </c>
      <c r="F894" s="16">
        <f>ABS(Solieusap!F894)</f>
        <v>0.2832</v>
      </c>
      <c r="G894" s="16">
        <f>ABS(Solieusap!G894)</f>
        <v>0.1449</v>
      </c>
      <c r="H894" s="16">
        <f>ABS(Solieusap!H894)</f>
        <v>0.0001</v>
      </c>
      <c r="I894" s="16">
        <f>ABS(Solieusap!I894)</f>
        <v>0.24635</v>
      </c>
      <c r="J894" s="16">
        <f>ABS(Solieusap!J894)</f>
        <v>0.04436</v>
      </c>
      <c r="K894" s="16">
        <f t="shared" si="1"/>
        <v>1.8392</v>
      </c>
      <c r="L894" s="16">
        <f t="shared" si="2"/>
        <v>0.24635</v>
      </c>
    </row>
    <row r="895" ht="16.5" customHeight="1">
      <c r="A895" s="15" t="str">
        <f>Solieusap!A895</f>
        <v>Cũ</v>
      </c>
      <c r="B895" s="15">
        <f>Solieusap!B895</f>
        <v>0</v>
      </c>
      <c r="C895" s="15" t="str">
        <f>Solieusap!C895</f>
        <v>COMB4</v>
      </c>
      <c r="D895" s="15" t="str">
        <f>Solieusap!D895</f>
        <v>Combination</v>
      </c>
      <c r="E895" s="16">
        <f>ABS(Solieusap!E895)</f>
        <v>2.3504</v>
      </c>
      <c r="F895" s="16">
        <f>ABS(Solieusap!F895)</f>
        <v>0.1032</v>
      </c>
      <c r="G895" s="16">
        <f>ABS(Solieusap!G895)</f>
        <v>0.543</v>
      </c>
      <c r="H895" s="16">
        <f>ABS(Solieusap!H895)</f>
        <v>0.00005023</v>
      </c>
      <c r="I895" s="16">
        <f>ABS(Solieusap!I895)</f>
        <v>0.6198</v>
      </c>
      <c r="J895" s="16">
        <f>ABS(Solieusap!J895)</f>
        <v>0.1811</v>
      </c>
      <c r="K895" s="16">
        <f t="shared" si="1"/>
        <v>2.3504</v>
      </c>
      <c r="L895" s="16">
        <f t="shared" si="2"/>
        <v>0.6198</v>
      </c>
    </row>
    <row r="896" ht="16.5" customHeight="1">
      <c r="A896" s="15" t="str">
        <f>Solieusap!A896</f>
        <v>Cũ</v>
      </c>
      <c r="B896" s="15">
        <f>Solieusap!B896</f>
        <v>1.75</v>
      </c>
      <c r="C896" s="15" t="str">
        <f>Solieusap!C896</f>
        <v>COMB4</v>
      </c>
      <c r="D896" s="15" t="str">
        <f>Solieusap!D896</f>
        <v>Combination</v>
      </c>
      <c r="E896" s="16">
        <f>ABS(Solieusap!E896)</f>
        <v>2.1579</v>
      </c>
      <c r="F896" s="16">
        <f>ABS(Solieusap!F896)</f>
        <v>0.1032</v>
      </c>
      <c r="G896" s="16">
        <f>ABS(Solieusap!G896)</f>
        <v>0.2805</v>
      </c>
      <c r="H896" s="16">
        <f>ABS(Solieusap!H896)</f>
        <v>0.00005023</v>
      </c>
      <c r="I896" s="16">
        <f>ABS(Solieusap!I896)</f>
        <v>0.10072</v>
      </c>
      <c r="J896" s="16">
        <f>ABS(Solieusap!J896)</f>
        <v>0.0005</v>
      </c>
      <c r="K896" s="16">
        <f t="shared" si="1"/>
        <v>2.1579</v>
      </c>
      <c r="L896" s="16">
        <f t="shared" si="2"/>
        <v>0.10072</v>
      </c>
    </row>
    <row r="897" ht="16.5" customHeight="1">
      <c r="A897" s="15" t="str">
        <f>Solieusap!A897</f>
        <v>Cũ</v>
      </c>
      <c r="B897" s="15">
        <f>Solieusap!B897</f>
        <v>3.5</v>
      </c>
      <c r="C897" s="15" t="str">
        <f>Solieusap!C897</f>
        <v>COMB4</v>
      </c>
      <c r="D897" s="15" t="str">
        <f>Solieusap!D897</f>
        <v>Combination</v>
      </c>
      <c r="E897" s="16">
        <f>ABS(Solieusap!E897)</f>
        <v>1.9654</v>
      </c>
      <c r="F897" s="16">
        <f>ABS(Solieusap!F897)</f>
        <v>0.1032</v>
      </c>
      <c r="G897" s="16">
        <f>ABS(Solieusap!G897)</f>
        <v>0.018</v>
      </c>
      <c r="H897" s="16">
        <f>ABS(Solieusap!H897)</f>
        <v>0.00005023</v>
      </c>
      <c r="I897" s="16">
        <f>ABS(Solieusap!I897)</f>
        <v>0.36187</v>
      </c>
      <c r="J897" s="16">
        <f>ABS(Solieusap!J897)</f>
        <v>0.1801</v>
      </c>
      <c r="K897" s="16">
        <f t="shared" si="1"/>
        <v>1.9654</v>
      </c>
      <c r="L897" s="16">
        <f t="shared" si="2"/>
        <v>0.36187</v>
      </c>
    </row>
    <row r="898" ht="16.5" customHeight="1">
      <c r="A898" s="15" t="str">
        <f>Solieusap!A898</f>
        <v>Cũ</v>
      </c>
      <c r="B898" s="15">
        <f>Solieusap!B898</f>
        <v>0</v>
      </c>
      <c r="C898" s="15" t="str">
        <f>Solieusap!C898</f>
        <v>COMB5</v>
      </c>
      <c r="D898" s="15" t="str">
        <f>Solieusap!D898</f>
        <v>Combination</v>
      </c>
      <c r="E898" s="16">
        <f>ABS(Solieusap!E898)</f>
        <v>2.9763</v>
      </c>
      <c r="F898" s="16">
        <f>ABS(Solieusap!F898)</f>
        <v>0.1511</v>
      </c>
      <c r="G898" s="16">
        <f>ABS(Solieusap!G898)</f>
        <v>0.5726</v>
      </c>
      <c r="H898" s="16">
        <f>ABS(Solieusap!H898)</f>
        <v>0.00006635</v>
      </c>
      <c r="I898" s="16">
        <f>ABS(Solieusap!I898)</f>
        <v>0.70135</v>
      </c>
      <c r="J898" s="16">
        <f>ABS(Solieusap!J898)</f>
        <v>0.2599</v>
      </c>
      <c r="K898" s="16">
        <f t="shared" si="1"/>
        <v>2.9763</v>
      </c>
      <c r="L898" s="16">
        <f t="shared" si="2"/>
        <v>0.70135</v>
      </c>
    </row>
    <row r="899" ht="16.5" customHeight="1">
      <c r="A899" s="15" t="str">
        <f>Solieusap!A899</f>
        <v>Cũ</v>
      </c>
      <c r="B899" s="15">
        <f>Solieusap!B899</f>
        <v>1.75</v>
      </c>
      <c r="C899" s="15" t="str">
        <f>Solieusap!C899</f>
        <v>COMB5</v>
      </c>
      <c r="D899" s="15" t="str">
        <f>Solieusap!D899</f>
        <v>Combination</v>
      </c>
      <c r="E899" s="16">
        <f>ABS(Solieusap!E899)</f>
        <v>2.7838</v>
      </c>
      <c r="F899" s="16">
        <f>ABS(Solieusap!F899)</f>
        <v>0.1511</v>
      </c>
      <c r="G899" s="16">
        <f>ABS(Solieusap!G899)</f>
        <v>0.3364</v>
      </c>
      <c r="H899" s="16">
        <f>ABS(Solieusap!H899)</f>
        <v>0.00006635</v>
      </c>
      <c r="I899" s="16">
        <f>ABS(Solieusap!I899)</f>
        <v>0.09402</v>
      </c>
      <c r="J899" s="16">
        <f>ABS(Solieusap!J899)</f>
        <v>0.00458</v>
      </c>
      <c r="K899" s="16">
        <f t="shared" si="1"/>
        <v>2.7838</v>
      </c>
      <c r="L899" s="16">
        <f t="shared" si="2"/>
        <v>0.09402</v>
      </c>
    </row>
    <row r="900" ht="16.5" customHeight="1">
      <c r="A900" s="15" t="str">
        <f>Solieusap!A900</f>
        <v>Cũ</v>
      </c>
      <c r="B900" s="15">
        <f>Solieusap!B900</f>
        <v>3.5</v>
      </c>
      <c r="C900" s="15" t="str">
        <f>Solieusap!C900</f>
        <v>COMB5</v>
      </c>
      <c r="D900" s="15" t="str">
        <f>Solieusap!D900</f>
        <v>Combination</v>
      </c>
      <c r="E900" s="16">
        <f>ABS(Solieusap!E900)</f>
        <v>2.5913</v>
      </c>
      <c r="F900" s="16">
        <f>ABS(Solieusap!F900)</f>
        <v>0.1511</v>
      </c>
      <c r="G900" s="16">
        <f>ABS(Solieusap!G900)</f>
        <v>0.1001</v>
      </c>
      <c r="H900" s="16">
        <f>ABS(Solieusap!H900)</f>
        <v>0.00006635</v>
      </c>
      <c r="I900" s="16">
        <f>ABS(Solieusap!I900)</f>
        <v>0.47595</v>
      </c>
      <c r="J900" s="16">
        <f>ABS(Solieusap!J900)</f>
        <v>0.26906</v>
      </c>
      <c r="K900" s="16">
        <f t="shared" si="1"/>
        <v>2.5913</v>
      </c>
      <c r="L900" s="16">
        <f t="shared" si="2"/>
        <v>0.47595</v>
      </c>
    </row>
    <row r="901" ht="16.5" customHeight="1">
      <c r="A901" s="15" t="str">
        <f>Solieusap!A901</f>
        <v>Cũ</v>
      </c>
      <c r="B901" s="15">
        <f>Solieusap!B901</f>
        <v>0</v>
      </c>
      <c r="C901" s="15" t="str">
        <f>Solieusap!C901</f>
        <v>COMB6</v>
      </c>
      <c r="D901" s="15" t="str">
        <f>Solieusap!D901</f>
        <v>Combination</v>
      </c>
      <c r="E901" s="16">
        <f>ABS(Solieusap!E901)</f>
        <v>2.8627</v>
      </c>
      <c r="F901" s="16">
        <f>ABS(Solieusap!F901)</f>
        <v>0.3169</v>
      </c>
      <c r="G901" s="16">
        <f>ABS(Solieusap!G901)</f>
        <v>0.2144</v>
      </c>
      <c r="H901" s="16">
        <f>ABS(Solieusap!H901)</f>
        <v>0.00011</v>
      </c>
      <c r="I901" s="16">
        <f>ABS(Solieusap!I901)</f>
        <v>0.37832</v>
      </c>
      <c r="J901" s="16">
        <f>ABS(Solieusap!J901)</f>
        <v>0.15355</v>
      </c>
      <c r="K901" s="16">
        <f t="shared" si="1"/>
        <v>2.8627</v>
      </c>
      <c r="L901" s="16">
        <f t="shared" si="2"/>
        <v>0.37832</v>
      </c>
    </row>
    <row r="902" ht="16.5" customHeight="1">
      <c r="A902" s="15" t="str">
        <f>Solieusap!A902</f>
        <v>Cũ</v>
      </c>
      <c r="B902" s="15">
        <f>Solieusap!B902</f>
        <v>1.75</v>
      </c>
      <c r="C902" s="15" t="str">
        <f>Solieusap!C902</f>
        <v>COMB6</v>
      </c>
      <c r="D902" s="15" t="str">
        <f>Solieusap!D902</f>
        <v>Combination</v>
      </c>
      <c r="E902" s="16">
        <f>ABS(Solieusap!E902)</f>
        <v>2.6702</v>
      </c>
      <c r="F902" s="16">
        <f>ABS(Solieusap!F902)</f>
        <v>0.0019</v>
      </c>
      <c r="G902" s="16">
        <f>ABS(Solieusap!G902)</f>
        <v>0.2144</v>
      </c>
      <c r="H902" s="16">
        <f>ABS(Solieusap!H902)</f>
        <v>0.00011</v>
      </c>
      <c r="I902" s="16">
        <f>ABS(Solieusap!I902)</f>
        <v>0.00317</v>
      </c>
      <c r="J902" s="16">
        <f>ABS(Solieusap!J902)</f>
        <v>0.1254</v>
      </c>
      <c r="K902" s="16">
        <f t="shared" si="1"/>
        <v>2.6702</v>
      </c>
      <c r="L902" s="16">
        <f t="shared" si="2"/>
        <v>0.00317</v>
      </c>
    </row>
    <row r="903" ht="16.5" customHeight="1">
      <c r="A903" s="15" t="str">
        <f>Solieusap!A903</f>
        <v>Cũ</v>
      </c>
      <c r="B903" s="15">
        <f>Solieusap!B903</f>
        <v>3.5</v>
      </c>
      <c r="C903" s="15" t="str">
        <f>Solieusap!C903</f>
        <v>COMB6</v>
      </c>
      <c r="D903" s="15" t="str">
        <f>Solieusap!D903</f>
        <v>Combination</v>
      </c>
      <c r="E903" s="16">
        <f>ABS(Solieusap!E903)</f>
        <v>2.4777</v>
      </c>
      <c r="F903" s="16">
        <f>ABS(Solieusap!F903)</f>
        <v>0.3131</v>
      </c>
      <c r="G903" s="16">
        <f>ABS(Solieusap!G903)</f>
        <v>0.2144</v>
      </c>
      <c r="H903" s="16">
        <f>ABS(Solieusap!H903)</f>
        <v>0.00011</v>
      </c>
      <c r="I903" s="16">
        <f>ABS(Solieusap!I903)</f>
        <v>0.37198</v>
      </c>
      <c r="J903" s="16">
        <f>ABS(Solieusap!J903)</f>
        <v>0.1469</v>
      </c>
      <c r="K903" s="16">
        <f t="shared" si="1"/>
        <v>2.4777</v>
      </c>
      <c r="L903" s="16">
        <f t="shared" si="2"/>
        <v>0.37198</v>
      </c>
    </row>
    <row r="904" ht="16.5" customHeight="1">
      <c r="A904" s="15" t="str">
        <f>Solieusap!A904</f>
        <v>Cũ</v>
      </c>
      <c r="B904" s="15">
        <f>Solieusap!B904</f>
        <v>0</v>
      </c>
      <c r="C904" s="15" t="str">
        <f>Solieusap!C904</f>
        <v>COMB7</v>
      </c>
      <c r="D904" s="15" t="str">
        <f>Solieusap!D904</f>
        <v>Combination</v>
      </c>
      <c r="E904" s="16">
        <f>ABS(Solieusap!E904)</f>
        <v>2.9982</v>
      </c>
      <c r="F904" s="16">
        <f>ABS(Solieusap!F904)</f>
        <v>0.5349</v>
      </c>
      <c r="G904" s="16">
        <f>ABS(Solieusap!G904)</f>
        <v>0.2183</v>
      </c>
      <c r="H904" s="16">
        <f>ABS(Solieusap!H904)</f>
        <v>0.00003978</v>
      </c>
      <c r="I904" s="16">
        <f>ABS(Solieusap!I904)</f>
        <v>0.3871</v>
      </c>
      <c r="J904" s="16">
        <f>ABS(Solieusap!J904)</f>
        <v>0.61695</v>
      </c>
      <c r="K904" s="16">
        <f t="shared" si="1"/>
        <v>2.9982</v>
      </c>
      <c r="L904" s="16">
        <f t="shared" si="2"/>
        <v>0.3871</v>
      </c>
    </row>
    <row r="905" ht="16.5" customHeight="1">
      <c r="A905" s="15" t="str">
        <f>Solieusap!A905</f>
        <v>Cũ</v>
      </c>
      <c r="B905" s="15">
        <f>Solieusap!B905</f>
        <v>1.75</v>
      </c>
      <c r="C905" s="15" t="str">
        <f>Solieusap!C905</f>
        <v>COMB7</v>
      </c>
      <c r="D905" s="15" t="str">
        <f>Solieusap!D905</f>
        <v>Combination</v>
      </c>
      <c r="E905" s="16">
        <f>ABS(Solieusap!E905)</f>
        <v>2.8057</v>
      </c>
      <c r="F905" s="16">
        <f>ABS(Solieusap!F905)</f>
        <v>0.2987</v>
      </c>
      <c r="G905" s="16">
        <f>ABS(Solieusap!G905)</f>
        <v>0.2183</v>
      </c>
      <c r="H905" s="16">
        <f>ABS(Solieusap!H905)</f>
        <v>0.00003978</v>
      </c>
      <c r="I905" s="16">
        <f>ABS(Solieusap!I905)</f>
        <v>0.0051</v>
      </c>
      <c r="J905" s="16">
        <f>ABS(Solieusap!J905)</f>
        <v>0.11241</v>
      </c>
      <c r="K905" s="16">
        <f t="shared" si="1"/>
        <v>2.8057</v>
      </c>
      <c r="L905" s="16">
        <f t="shared" si="2"/>
        <v>0.0051</v>
      </c>
    </row>
    <row r="906" ht="16.5" customHeight="1">
      <c r="A906" s="15" t="str">
        <f>Solieusap!A906</f>
        <v>Cũ</v>
      </c>
      <c r="B906" s="15">
        <f>Solieusap!B906</f>
        <v>3.5</v>
      </c>
      <c r="C906" s="15" t="str">
        <f>Solieusap!C906</f>
        <v>COMB7</v>
      </c>
      <c r="D906" s="15" t="str">
        <f>Solieusap!D906</f>
        <v>Combination</v>
      </c>
      <c r="E906" s="16">
        <f>ABS(Solieusap!E906)</f>
        <v>2.6132</v>
      </c>
      <c r="F906" s="16">
        <f>ABS(Solieusap!F906)</f>
        <v>0.0624</v>
      </c>
      <c r="G906" s="16">
        <f>ABS(Solieusap!G906)</f>
        <v>0.2183</v>
      </c>
      <c r="H906" s="16">
        <f>ABS(Solieusap!H906)</f>
        <v>0.00003978</v>
      </c>
      <c r="I906" s="16">
        <f>ABS(Solieusap!I906)</f>
        <v>0.3769</v>
      </c>
      <c r="J906" s="16">
        <f>ABS(Solieusap!J906)</f>
        <v>0.42834</v>
      </c>
      <c r="K906" s="16">
        <f t="shared" si="1"/>
        <v>2.6132</v>
      </c>
      <c r="L906" s="16">
        <f t="shared" si="2"/>
        <v>0.3769</v>
      </c>
    </row>
    <row r="907" ht="16.5" customHeight="1">
      <c r="A907" s="15" t="str">
        <f>Solieusap!A907</f>
        <v>Cũ</v>
      </c>
      <c r="B907" s="15">
        <f>Solieusap!B907</f>
        <v>0</v>
      </c>
      <c r="C907" s="15" t="str">
        <f>Solieusap!C907</f>
        <v>COMB1</v>
      </c>
      <c r="D907" s="15" t="str">
        <f>Solieusap!D907</f>
        <v>Combination</v>
      </c>
      <c r="E907" s="16">
        <f>ABS(Solieusap!E907)</f>
        <v>2.9937</v>
      </c>
      <c r="F907" s="16">
        <f>ABS(Solieusap!F907)</f>
        <v>0.1555</v>
      </c>
      <c r="G907" s="16">
        <f>ABS(Solieusap!G907)</f>
        <v>0.224</v>
      </c>
      <c r="H907" s="16">
        <f>ABS(Solieusap!H907)</f>
        <v>0.000058</v>
      </c>
      <c r="I907" s="16">
        <f>ABS(Solieusap!I907)</f>
        <v>0.39565</v>
      </c>
      <c r="J907" s="16">
        <f>ABS(Solieusap!J907)</f>
        <v>0.26636</v>
      </c>
      <c r="K907" s="16">
        <f t="shared" si="1"/>
        <v>2.9937</v>
      </c>
      <c r="L907" s="16">
        <f t="shared" si="2"/>
        <v>0.39565</v>
      </c>
    </row>
    <row r="908" ht="16.5" customHeight="1">
      <c r="A908" s="15" t="str">
        <f>Solieusap!A908</f>
        <v>Cũ</v>
      </c>
      <c r="B908" s="15">
        <f>Solieusap!B908</f>
        <v>1.75</v>
      </c>
      <c r="C908" s="15" t="str">
        <f>Solieusap!C908</f>
        <v>COMB1</v>
      </c>
      <c r="D908" s="15" t="str">
        <f>Solieusap!D908</f>
        <v>Combination</v>
      </c>
      <c r="E908" s="16">
        <f>ABS(Solieusap!E908)</f>
        <v>2.8012</v>
      </c>
      <c r="F908" s="16">
        <f>ABS(Solieusap!F908)</f>
        <v>0.1555</v>
      </c>
      <c r="G908" s="16">
        <f>ABS(Solieusap!G908)</f>
        <v>0.224</v>
      </c>
      <c r="H908" s="16">
        <f>ABS(Solieusap!H908)</f>
        <v>0.000058</v>
      </c>
      <c r="I908" s="16">
        <f>ABS(Solieusap!I908)</f>
        <v>0.00367</v>
      </c>
      <c r="J908" s="16">
        <f>ABS(Solieusap!J908)</f>
        <v>0.00569</v>
      </c>
      <c r="K908" s="16">
        <f t="shared" si="1"/>
        <v>2.8012</v>
      </c>
      <c r="L908" s="16">
        <f t="shared" si="2"/>
        <v>0.00367</v>
      </c>
    </row>
    <row r="909" ht="16.5" customHeight="1">
      <c r="A909" s="15" t="str">
        <f>Solieusap!A909</f>
        <v>Cũ</v>
      </c>
      <c r="B909" s="15">
        <f>Solieusap!B909</f>
        <v>3.5</v>
      </c>
      <c r="C909" s="15" t="str">
        <f>Solieusap!C909</f>
        <v>COMB1</v>
      </c>
      <c r="D909" s="15" t="str">
        <f>Solieusap!D909</f>
        <v>Combination</v>
      </c>
      <c r="E909" s="16">
        <f>ABS(Solieusap!E909)</f>
        <v>2.6087</v>
      </c>
      <c r="F909" s="16">
        <f>ABS(Solieusap!F909)</f>
        <v>0.1555</v>
      </c>
      <c r="G909" s="16">
        <f>ABS(Solieusap!G909)</f>
        <v>0.224</v>
      </c>
      <c r="H909" s="16">
        <f>ABS(Solieusap!H909)</f>
        <v>0.000058</v>
      </c>
      <c r="I909" s="16">
        <f>ABS(Solieusap!I909)</f>
        <v>0.3883</v>
      </c>
      <c r="J909" s="16">
        <f>ABS(Solieusap!J909)</f>
        <v>0.27774</v>
      </c>
      <c r="K909" s="16">
        <f t="shared" si="1"/>
        <v>2.6087</v>
      </c>
      <c r="L909" s="16">
        <f t="shared" si="2"/>
        <v>0.3883</v>
      </c>
    </row>
    <row r="910" ht="16.5" customHeight="1">
      <c r="A910" s="15" t="str">
        <f>Solieusap!A910</f>
        <v>Cũ</v>
      </c>
      <c r="B910" s="15">
        <f>Solieusap!B910</f>
        <v>0</v>
      </c>
      <c r="C910" s="15" t="str">
        <f>Solieusap!C910</f>
        <v>COMB2</v>
      </c>
      <c r="D910" s="15" t="str">
        <f>Solieusap!D910</f>
        <v>Combination</v>
      </c>
      <c r="E910" s="16">
        <f>ABS(Solieusap!E910)</f>
        <v>2.3747</v>
      </c>
      <c r="F910" s="16">
        <f>ABS(Solieusap!F910)</f>
        <v>0.5296</v>
      </c>
      <c r="G910" s="16">
        <f>ABS(Solieusap!G910)</f>
        <v>0.1493</v>
      </c>
      <c r="H910" s="16">
        <f>ABS(Solieusap!H910)</f>
        <v>0.00002071</v>
      </c>
      <c r="I910" s="16">
        <f>ABS(Solieusap!I910)</f>
        <v>0.27064</v>
      </c>
      <c r="J910" s="16">
        <f>ABS(Solieusap!J910)</f>
        <v>0.57781</v>
      </c>
      <c r="K910" s="16">
        <f t="shared" si="1"/>
        <v>2.3747</v>
      </c>
      <c r="L910" s="16">
        <f t="shared" si="2"/>
        <v>0.27064</v>
      </c>
    </row>
    <row r="911" ht="16.5" customHeight="1">
      <c r="A911" s="15" t="str">
        <f>Solieusap!A911</f>
        <v>Cũ</v>
      </c>
      <c r="B911" s="15">
        <f>Solieusap!B911</f>
        <v>1.75</v>
      </c>
      <c r="C911" s="15" t="str">
        <f>Solieusap!C911</f>
        <v>COMB2</v>
      </c>
      <c r="D911" s="15" t="str">
        <f>Solieusap!D911</f>
        <v>Combination</v>
      </c>
      <c r="E911" s="16">
        <f>ABS(Solieusap!E911)</f>
        <v>2.1822</v>
      </c>
      <c r="F911" s="16">
        <f>ABS(Solieusap!F911)</f>
        <v>0.2671</v>
      </c>
      <c r="G911" s="16">
        <f>ABS(Solieusap!G911)</f>
        <v>0.1493</v>
      </c>
      <c r="H911" s="16">
        <f>ABS(Solieusap!H911)</f>
        <v>0.00002071</v>
      </c>
      <c r="I911" s="16">
        <f>ABS(Solieusap!I911)</f>
        <v>0.00941</v>
      </c>
      <c r="J911" s="16">
        <f>ABS(Solieusap!J911)</f>
        <v>0.11932</v>
      </c>
      <c r="K911" s="16">
        <f t="shared" si="1"/>
        <v>2.1822</v>
      </c>
      <c r="L911" s="16">
        <f t="shared" si="2"/>
        <v>0.00941</v>
      </c>
    </row>
    <row r="912" ht="16.5" customHeight="1">
      <c r="A912" s="15" t="str">
        <f>Solieusap!A912</f>
        <v>Cũ</v>
      </c>
      <c r="B912" s="15">
        <f>Solieusap!B912</f>
        <v>3.5</v>
      </c>
      <c r="C912" s="15" t="str">
        <f>Solieusap!C912</f>
        <v>COMB2</v>
      </c>
      <c r="D912" s="15" t="str">
        <f>Solieusap!D912</f>
        <v>Combination</v>
      </c>
      <c r="E912" s="16">
        <f>ABS(Solieusap!E912)</f>
        <v>1.9897</v>
      </c>
      <c r="F912" s="16">
        <f>ABS(Solieusap!F912)</f>
        <v>0.0046</v>
      </c>
      <c r="G912" s="16">
        <f>ABS(Solieusap!G912)</f>
        <v>0.1493</v>
      </c>
      <c r="H912" s="16">
        <f>ABS(Solieusap!H912)</f>
        <v>0.00002071</v>
      </c>
      <c r="I912" s="16">
        <f>ABS(Solieusap!I912)</f>
        <v>0.25181</v>
      </c>
      <c r="J912" s="16">
        <f>ABS(Solieusap!J912)</f>
        <v>0.35707</v>
      </c>
      <c r="K912" s="16">
        <f t="shared" si="1"/>
        <v>1.9897</v>
      </c>
      <c r="L912" s="16">
        <f t="shared" si="2"/>
        <v>0.25181</v>
      </c>
    </row>
    <row r="913" ht="16.5" customHeight="1">
      <c r="A913" s="15" t="str">
        <f>Solieusap!A913</f>
        <v>Cũ</v>
      </c>
      <c r="B913" s="15">
        <f>Solieusap!B913</f>
        <v>0</v>
      </c>
      <c r="C913" s="15" t="str">
        <f>Solieusap!C913</f>
        <v>COMB3</v>
      </c>
      <c r="D913" s="15" t="str">
        <f>Solieusap!D913</f>
        <v>Combination</v>
      </c>
      <c r="E913" s="16">
        <f>ABS(Solieusap!E913)</f>
        <v>2.2242</v>
      </c>
      <c r="F913" s="16">
        <f>ABS(Solieusap!F913)</f>
        <v>0.4168</v>
      </c>
      <c r="G913" s="16">
        <f>ABS(Solieusap!G913)</f>
        <v>0.1449</v>
      </c>
      <c r="H913" s="16">
        <f>ABS(Solieusap!H913)</f>
        <v>0.0001</v>
      </c>
      <c r="I913" s="16">
        <f>ABS(Solieusap!I913)</f>
        <v>0.26088</v>
      </c>
      <c r="J913" s="16">
        <f>ABS(Solieusap!J913)</f>
        <v>0.2783</v>
      </c>
      <c r="K913" s="16">
        <f t="shared" si="1"/>
        <v>2.2242</v>
      </c>
      <c r="L913" s="16">
        <f t="shared" si="2"/>
        <v>0.26088</v>
      </c>
    </row>
    <row r="914" ht="16.5" customHeight="1">
      <c r="A914" s="15" t="str">
        <f>Solieusap!A914</f>
        <v>Cũ</v>
      </c>
      <c r="B914" s="15">
        <f>Solieusap!B914</f>
        <v>1.75</v>
      </c>
      <c r="C914" s="15" t="str">
        <f>Solieusap!C914</f>
        <v>COMB3</v>
      </c>
      <c r="D914" s="15" t="str">
        <f>Solieusap!D914</f>
        <v>Combination</v>
      </c>
      <c r="E914" s="16">
        <f>ABS(Solieusap!E914)</f>
        <v>2.0317</v>
      </c>
      <c r="F914" s="16">
        <f>ABS(Solieusap!F914)</f>
        <v>0.0668</v>
      </c>
      <c r="G914" s="16">
        <f>ABS(Solieusap!G914)</f>
        <v>0.1449</v>
      </c>
      <c r="H914" s="16">
        <f>ABS(Solieusap!H914)</f>
        <v>0.0001</v>
      </c>
      <c r="I914" s="16">
        <f>ABS(Solieusap!I914)</f>
        <v>0.00726</v>
      </c>
      <c r="J914" s="16">
        <f>ABS(Solieusap!J914)</f>
        <v>0.14492</v>
      </c>
      <c r="K914" s="16">
        <f t="shared" si="1"/>
        <v>2.0317</v>
      </c>
      <c r="L914" s="16">
        <f t="shared" si="2"/>
        <v>0.00726</v>
      </c>
    </row>
    <row r="915" ht="16.5" customHeight="1">
      <c r="A915" s="15" t="str">
        <f>Solieusap!A915</f>
        <v>Cũ</v>
      </c>
      <c r="B915" s="15">
        <f>Solieusap!B915</f>
        <v>3.5</v>
      </c>
      <c r="C915" s="15" t="str">
        <f>Solieusap!C915</f>
        <v>COMB3</v>
      </c>
      <c r="D915" s="15" t="str">
        <f>Solieusap!D915</f>
        <v>Combination</v>
      </c>
      <c r="E915" s="16">
        <f>ABS(Solieusap!E915)</f>
        <v>1.8392</v>
      </c>
      <c r="F915" s="16">
        <f>ABS(Solieusap!F915)</f>
        <v>0.2832</v>
      </c>
      <c r="G915" s="16">
        <f>ABS(Solieusap!G915)</f>
        <v>0.1449</v>
      </c>
      <c r="H915" s="16">
        <f>ABS(Solieusap!H915)</f>
        <v>0.0001</v>
      </c>
      <c r="I915" s="16">
        <f>ABS(Solieusap!I915)</f>
        <v>0.24635</v>
      </c>
      <c r="J915" s="16">
        <f>ABS(Solieusap!J915)</f>
        <v>0.04436</v>
      </c>
      <c r="K915" s="16">
        <f t="shared" si="1"/>
        <v>1.8392</v>
      </c>
      <c r="L915" s="16">
        <f t="shared" si="2"/>
        <v>0.24635</v>
      </c>
    </row>
    <row r="916" ht="16.5" customHeight="1">
      <c r="A916" s="15" t="str">
        <f>Solieusap!A916</f>
        <v>Cũ</v>
      </c>
      <c r="B916" s="15">
        <f>Solieusap!B916</f>
        <v>0</v>
      </c>
      <c r="C916" s="15" t="str">
        <f>Solieusap!C916</f>
        <v>COMB4</v>
      </c>
      <c r="D916" s="15" t="str">
        <f>Solieusap!D916</f>
        <v>Combination</v>
      </c>
      <c r="E916" s="16">
        <f>ABS(Solieusap!E916)</f>
        <v>2.3504</v>
      </c>
      <c r="F916" s="16">
        <f>ABS(Solieusap!F916)</f>
        <v>0.1032</v>
      </c>
      <c r="G916" s="16">
        <f>ABS(Solieusap!G916)</f>
        <v>0.543</v>
      </c>
      <c r="H916" s="16">
        <f>ABS(Solieusap!H916)</f>
        <v>0.00005023</v>
      </c>
      <c r="I916" s="16">
        <f>ABS(Solieusap!I916)</f>
        <v>0.6198</v>
      </c>
      <c r="J916" s="16">
        <f>ABS(Solieusap!J916)</f>
        <v>0.1811</v>
      </c>
      <c r="K916" s="16">
        <f t="shared" si="1"/>
        <v>2.3504</v>
      </c>
      <c r="L916" s="16">
        <f t="shared" si="2"/>
        <v>0.6198</v>
      </c>
    </row>
    <row r="917" ht="16.5" customHeight="1">
      <c r="A917" s="15" t="str">
        <f>Solieusap!A917</f>
        <v>Cũ</v>
      </c>
      <c r="B917" s="15">
        <f>Solieusap!B917</f>
        <v>1.75</v>
      </c>
      <c r="C917" s="15" t="str">
        <f>Solieusap!C917</f>
        <v>COMB4</v>
      </c>
      <c r="D917" s="15" t="str">
        <f>Solieusap!D917</f>
        <v>Combination</v>
      </c>
      <c r="E917" s="16">
        <f>ABS(Solieusap!E917)</f>
        <v>2.1579</v>
      </c>
      <c r="F917" s="16">
        <f>ABS(Solieusap!F917)</f>
        <v>0.1032</v>
      </c>
      <c r="G917" s="16">
        <f>ABS(Solieusap!G917)</f>
        <v>0.2805</v>
      </c>
      <c r="H917" s="16">
        <f>ABS(Solieusap!H917)</f>
        <v>0.00005023</v>
      </c>
      <c r="I917" s="16">
        <f>ABS(Solieusap!I917)</f>
        <v>0.10072</v>
      </c>
      <c r="J917" s="16">
        <f>ABS(Solieusap!J917)</f>
        <v>0.0005</v>
      </c>
      <c r="K917" s="16">
        <f t="shared" si="1"/>
        <v>2.1579</v>
      </c>
      <c r="L917" s="16">
        <f t="shared" si="2"/>
        <v>0.10072</v>
      </c>
    </row>
    <row r="918" ht="16.5" customHeight="1">
      <c r="A918" s="15" t="str">
        <f>Solieusap!A918</f>
        <v>Cũ</v>
      </c>
      <c r="B918" s="15">
        <f>Solieusap!B918</f>
        <v>3.5</v>
      </c>
      <c r="C918" s="15" t="str">
        <f>Solieusap!C918</f>
        <v>COMB4</v>
      </c>
      <c r="D918" s="15" t="str">
        <f>Solieusap!D918</f>
        <v>Combination</v>
      </c>
      <c r="E918" s="16">
        <f>ABS(Solieusap!E918)</f>
        <v>1.9654</v>
      </c>
      <c r="F918" s="16">
        <f>ABS(Solieusap!F918)</f>
        <v>0.1032</v>
      </c>
      <c r="G918" s="16">
        <f>ABS(Solieusap!G918)</f>
        <v>0.018</v>
      </c>
      <c r="H918" s="16">
        <f>ABS(Solieusap!H918)</f>
        <v>0.00005023</v>
      </c>
      <c r="I918" s="16">
        <f>ABS(Solieusap!I918)</f>
        <v>0.36187</v>
      </c>
      <c r="J918" s="16">
        <f>ABS(Solieusap!J918)</f>
        <v>0.1801</v>
      </c>
      <c r="K918" s="16">
        <f t="shared" si="1"/>
        <v>1.9654</v>
      </c>
      <c r="L918" s="16">
        <f t="shared" si="2"/>
        <v>0.36187</v>
      </c>
    </row>
    <row r="919" ht="16.5" customHeight="1">
      <c r="A919" s="15" t="str">
        <f>Solieusap!A919</f>
        <v>Cũ</v>
      </c>
      <c r="B919" s="15">
        <f>Solieusap!B919</f>
        <v>0</v>
      </c>
      <c r="C919" s="15" t="str">
        <f>Solieusap!C919</f>
        <v>COMB5</v>
      </c>
      <c r="D919" s="15" t="str">
        <f>Solieusap!D919</f>
        <v>Combination</v>
      </c>
      <c r="E919" s="16">
        <f>ABS(Solieusap!E919)</f>
        <v>2.9763</v>
      </c>
      <c r="F919" s="16">
        <f>ABS(Solieusap!F919)</f>
        <v>0.1511</v>
      </c>
      <c r="G919" s="16">
        <f>ABS(Solieusap!G919)</f>
        <v>0.5726</v>
      </c>
      <c r="H919" s="16">
        <f>ABS(Solieusap!H919)</f>
        <v>0.00006635</v>
      </c>
      <c r="I919" s="16">
        <f>ABS(Solieusap!I919)</f>
        <v>0.70135</v>
      </c>
      <c r="J919" s="16">
        <f>ABS(Solieusap!J919)</f>
        <v>0.2599</v>
      </c>
      <c r="K919" s="16">
        <f t="shared" si="1"/>
        <v>2.9763</v>
      </c>
      <c r="L919" s="16">
        <f t="shared" si="2"/>
        <v>0.70135</v>
      </c>
    </row>
    <row r="920" ht="16.5" customHeight="1">
      <c r="A920" s="15" t="str">
        <f>Solieusap!A920</f>
        <v>Cũ</v>
      </c>
      <c r="B920" s="15">
        <f>Solieusap!B920</f>
        <v>1.75</v>
      </c>
      <c r="C920" s="15" t="str">
        <f>Solieusap!C920</f>
        <v>COMB5</v>
      </c>
      <c r="D920" s="15" t="str">
        <f>Solieusap!D920</f>
        <v>Combination</v>
      </c>
      <c r="E920" s="16">
        <f>ABS(Solieusap!E920)</f>
        <v>2.7838</v>
      </c>
      <c r="F920" s="16">
        <f>ABS(Solieusap!F920)</f>
        <v>0.1511</v>
      </c>
      <c r="G920" s="16">
        <f>ABS(Solieusap!G920)</f>
        <v>0.3364</v>
      </c>
      <c r="H920" s="16">
        <f>ABS(Solieusap!H920)</f>
        <v>0.00006635</v>
      </c>
      <c r="I920" s="16">
        <f>ABS(Solieusap!I920)</f>
        <v>0.09402</v>
      </c>
      <c r="J920" s="16">
        <f>ABS(Solieusap!J920)</f>
        <v>0.00458</v>
      </c>
      <c r="K920" s="16">
        <f t="shared" si="1"/>
        <v>2.7838</v>
      </c>
      <c r="L920" s="16">
        <f t="shared" si="2"/>
        <v>0.09402</v>
      </c>
    </row>
    <row r="921" ht="16.5" customHeight="1">
      <c r="A921" s="15" t="str">
        <f>Solieusap!A921</f>
        <v>Cũ</v>
      </c>
      <c r="B921" s="15">
        <f>Solieusap!B921</f>
        <v>3.5</v>
      </c>
      <c r="C921" s="15" t="str">
        <f>Solieusap!C921</f>
        <v>COMB5</v>
      </c>
      <c r="D921" s="15" t="str">
        <f>Solieusap!D921</f>
        <v>Combination</v>
      </c>
      <c r="E921" s="16">
        <f>ABS(Solieusap!E921)</f>
        <v>2.5913</v>
      </c>
      <c r="F921" s="16">
        <f>ABS(Solieusap!F921)</f>
        <v>0.1511</v>
      </c>
      <c r="G921" s="16">
        <f>ABS(Solieusap!G921)</f>
        <v>0.1001</v>
      </c>
      <c r="H921" s="16">
        <f>ABS(Solieusap!H921)</f>
        <v>0.00006635</v>
      </c>
      <c r="I921" s="16">
        <f>ABS(Solieusap!I921)</f>
        <v>0.47595</v>
      </c>
      <c r="J921" s="16">
        <f>ABS(Solieusap!J921)</f>
        <v>0.26906</v>
      </c>
      <c r="K921" s="16">
        <f t="shared" si="1"/>
        <v>2.5913</v>
      </c>
      <c r="L921" s="16">
        <f t="shared" si="2"/>
        <v>0.47595</v>
      </c>
    </row>
    <row r="922" ht="16.5" customHeight="1">
      <c r="A922" s="15" t="str">
        <f>Solieusap!A922</f>
        <v>Cũ</v>
      </c>
      <c r="B922" s="15">
        <f>Solieusap!B922</f>
        <v>0</v>
      </c>
      <c r="C922" s="15" t="str">
        <f>Solieusap!C922</f>
        <v>COMB6</v>
      </c>
      <c r="D922" s="15" t="str">
        <f>Solieusap!D922</f>
        <v>Combination</v>
      </c>
      <c r="E922" s="16">
        <f>ABS(Solieusap!E922)</f>
        <v>2.8627</v>
      </c>
      <c r="F922" s="16">
        <f>ABS(Solieusap!F922)</f>
        <v>0.3169</v>
      </c>
      <c r="G922" s="16">
        <f>ABS(Solieusap!G922)</f>
        <v>0.2144</v>
      </c>
      <c r="H922" s="16">
        <f>ABS(Solieusap!H922)</f>
        <v>0.00011</v>
      </c>
      <c r="I922" s="16">
        <f>ABS(Solieusap!I922)</f>
        <v>0.37832</v>
      </c>
      <c r="J922" s="16">
        <f>ABS(Solieusap!J922)</f>
        <v>0.15355</v>
      </c>
      <c r="K922" s="16">
        <f t="shared" si="1"/>
        <v>2.8627</v>
      </c>
      <c r="L922" s="16">
        <f t="shared" si="2"/>
        <v>0.37832</v>
      </c>
    </row>
    <row r="923" ht="16.5" customHeight="1">
      <c r="A923" s="15" t="str">
        <f>Solieusap!A923</f>
        <v>Cũ</v>
      </c>
      <c r="B923" s="15">
        <f>Solieusap!B923</f>
        <v>1.75</v>
      </c>
      <c r="C923" s="15" t="str">
        <f>Solieusap!C923</f>
        <v>COMB6</v>
      </c>
      <c r="D923" s="15" t="str">
        <f>Solieusap!D923</f>
        <v>Combination</v>
      </c>
      <c r="E923" s="16">
        <f>ABS(Solieusap!E923)</f>
        <v>2.6702</v>
      </c>
      <c r="F923" s="16">
        <f>ABS(Solieusap!F923)</f>
        <v>0.0019</v>
      </c>
      <c r="G923" s="16">
        <f>ABS(Solieusap!G923)</f>
        <v>0.2144</v>
      </c>
      <c r="H923" s="16">
        <f>ABS(Solieusap!H923)</f>
        <v>0.00011</v>
      </c>
      <c r="I923" s="16">
        <f>ABS(Solieusap!I923)</f>
        <v>0.00317</v>
      </c>
      <c r="J923" s="16">
        <f>ABS(Solieusap!J923)</f>
        <v>0.1254</v>
      </c>
      <c r="K923" s="16">
        <f t="shared" si="1"/>
        <v>2.6702</v>
      </c>
      <c r="L923" s="16">
        <f t="shared" si="2"/>
        <v>0.00317</v>
      </c>
    </row>
    <row r="924" ht="16.5" customHeight="1">
      <c r="A924" s="15" t="str">
        <f>Solieusap!A924</f>
        <v>Cũ</v>
      </c>
      <c r="B924" s="15">
        <f>Solieusap!B924</f>
        <v>3.5</v>
      </c>
      <c r="C924" s="15" t="str">
        <f>Solieusap!C924</f>
        <v>COMB6</v>
      </c>
      <c r="D924" s="15" t="str">
        <f>Solieusap!D924</f>
        <v>Combination</v>
      </c>
      <c r="E924" s="16">
        <f>ABS(Solieusap!E924)</f>
        <v>2.4777</v>
      </c>
      <c r="F924" s="16">
        <f>ABS(Solieusap!F924)</f>
        <v>0.3131</v>
      </c>
      <c r="G924" s="16">
        <f>ABS(Solieusap!G924)</f>
        <v>0.2144</v>
      </c>
      <c r="H924" s="16">
        <f>ABS(Solieusap!H924)</f>
        <v>0.00011</v>
      </c>
      <c r="I924" s="16">
        <f>ABS(Solieusap!I924)</f>
        <v>0.37198</v>
      </c>
      <c r="J924" s="16">
        <f>ABS(Solieusap!J924)</f>
        <v>0.1469</v>
      </c>
      <c r="K924" s="16">
        <f t="shared" si="1"/>
        <v>2.4777</v>
      </c>
      <c r="L924" s="16">
        <f t="shared" si="2"/>
        <v>0.37198</v>
      </c>
    </row>
    <row r="925" ht="16.5" customHeight="1">
      <c r="A925" s="15" t="str">
        <f>Solieusap!A925</f>
        <v>Cũ</v>
      </c>
      <c r="B925" s="15">
        <f>Solieusap!B925</f>
        <v>0</v>
      </c>
      <c r="C925" s="15" t="str">
        <f>Solieusap!C925</f>
        <v>COMB7</v>
      </c>
      <c r="D925" s="15" t="str">
        <f>Solieusap!D925</f>
        <v>Combination</v>
      </c>
      <c r="E925" s="16">
        <f>ABS(Solieusap!E925)</f>
        <v>2.9982</v>
      </c>
      <c r="F925" s="16">
        <f>ABS(Solieusap!F925)</f>
        <v>0.5349</v>
      </c>
      <c r="G925" s="16">
        <f>ABS(Solieusap!G925)</f>
        <v>0.2183</v>
      </c>
      <c r="H925" s="16">
        <f>ABS(Solieusap!H925)</f>
        <v>0.00003978</v>
      </c>
      <c r="I925" s="16">
        <f>ABS(Solieusap!I925)</f>
        <v>0.3871</v>
      </c>
      <c r="J925" s="16">
        <f>ABS(Solieusap!J925)</f>
        <v>0.61695</v>
      </c>
      <c r="K925" s="16">
        <f t="shared" si="1"/>
        <v>2.9982</v>
      </c>
      <c r="L925" s="16">
        <f t="shared" si="2"/>
        <v>0.3871</v>
      </c>
    </row>
    <row r="926" ht="16.5" customHeight="1">
      <c r="A926" s="15" t="str">
        <f>Solieusap!A926</f>
        <v>Cũ</v>
      </c>
      <c r="B926" s="15">
        <f>Solieusap!B926</f>
        <v>1.75</v>
      </c>
      <c r="C926" s="15" t="str">
        <f>Solieusap!C926</f>
        <v>COMB7</v>
      </c>
      <c r="D926" s="15" t="str">
        <f>Solieusap!D926</f>
        <v>Combination</v>
      </c>
      <c r="E926" s="16">
        <f>ABS(Solieusap!E926)</f>
        <v>2.8057</v>
      </c>
      <c r="F926" s="16">
        <f>ABS(Solieusap!F926)</f>
        <v>0.2987</v>
      </c>
      <c r="G926" s="16">
        <f>ABS(Solieusap!G926)</f>
        <v>0.2183</v>
      </c>
      <c r="H926" s="16">
        <f>ABS(Solieusap!H926)</f>
        <v>0.00003978</v>
      </c>
      <c r="I926" s="16">
        <f>ABS(Solieusap!I926)</f>
        <v>0.0051</v>
      </c>
      <c r="J926" s="16">
        <f>ABS(Solieusap!J926)</f>
        <v>0.11241</v>
      </c>
      <c r="K926" s="16">
        <f t="shared" si="1"/>
        <v>2.8057</v>
      </c>
      <c r="L926" s="16">
        <f t="shared" si="2"/>
        <v>0.0051</v>
      </c>
    </row>
    <row r="927" ht="16.5" customHeight="1">
      <c r="A927" s="15" t="str">
        <f>Solieusap!A927</f>
        <v>Cũ</v>
      </c>
      <c r="B927" s="15">
        <f>Solieusap!B927</f>
        <v>3.5</v>
      </c>
      <c r="C927" s="15" t="str">
        <f>Solieusap!C927</f>
        <v>COMB7</v>
      </c>
      <c r="D927" s="15" t="str">
        <f>Solieusap!D927</f>
        <v>Combination</v>
      </c>
      <c r="E927" s="16">
        <f>ABS(Solieusap!E927)</f>
        <v>2.6132</v>
      </c>
      <c r="F927" s="16">
        <f>ABS(Solieusap!F927)</f>
        <v>0.0624</v>
      </c>
      <c r="G927" s="16">
        <f>ABS(Solieusap!G927)</f>
        <v>0.2183</v>
      </c>
      <c r="H927" s="16">
        <f>ABS(Solieusap!H927)</f>
        <v>0.00003978</v>
      </c>
      <c r="I927" s="16">
        <f>ABS(Solieusap!I927)</f>
        <v>0.3769</v>
      </c>
      <c r="J927" s="16">
        <f>ABS(Solieusap!J927)</f>
        <v>0.42834</v>
      </c>
      <c r="K927" s="16">
        <f t="shared" si="1"/>
        <v>2.6132</v>
      </c>
      <c r="L927" s="16">
        <f t="shared" si="2"/>
        <v>0.3769</v>
      </c>
    </row>
    <row r="928" ht="16.5" customHeight="1">
      <c r="A928" s="15" t="str">
        <f>Solieusap!A928</f>
        <v>Cũ</v>
      </c>
      <c r="B928" s="15">
        <f>Solieusap!B928</f>
        <v>0</v>
      </c>
      <c r="C928" s="15" t="str">
        <f>Solieusap!C928</f>
        <v>COMB1</v>
      </c>
      <c r="D928" s="15" t="str">
        <f>Solieusap!D928</f>
        <v>Combination</v>
      </c>
      <c r="E928" s="16">
        <f>ABS(Solieusap!E928)</f>
        <v>2.9937</v>
      </c>
      <c r="F928" s="16">
        <f>ABS(Solieusap!F928)</f>
        <v>0.1555</v>
      </c>
      <c r="G928" s="16">
        <f>ABS(Solieusap!G928)</f>
        <v>0.224</v>
      </c>
      <c r="H928" s="16">
        <f>ABS(Solieusap!H928)</f>
        <v>0.000058</v>
      </c>
      <c r="I928" s="16">
        <f>ABS(Solieusap!I928)</f>
        <v>0.39565</v>
      </c>
      <c r="J928" s="16">
        <f>ABS(Solieusap!J928)</f>
        <v>0.26636</v>
      </c>
      <c r="K928" s="16">
        <f t="shared" si="1"/>
        <v>2.9937</v>
      </c>
      <c r="L928" s="16">
        <f t="shared" si="2"/>
        <v>0.39565</v>
      </c>
    </row>
    <row r="929" ht="16.5" customHeight="1">
      <c r="A929" s="15" t="str">
        <f>Solieusap!A929</f>
        <v>Cũ</v>
      </c>
      <c r="B929" s="15">
        <f>Solieusap!B929</f>
        <v>1.75</v>
      </c>
      <c r="C929" s="15" t="str">
        <f>Solieusap!C929</f>
        <v>COMB1</v>
      </c>
      <c r="D929" s="15" t="str">
        <f>Solieusap!D929</f>
        <v>Combination</v>
      </c>
      <c r="E929" s="16">
        <f>ABS(Solieusap!E929)</f>
        <v>2.8012</v>
      </c>
      <c r="F929" s="16">
        <f>ABS(Solieusap!F929)</f>
        <v>0.1555</v>
      </c>
      <c r="G929" s="16">
        <f>ABS(Solieusap!G929)</f>
        <v>0.224</v>
      </c>
      <c r="H929" s="16">
        <f>ABS(Solieusap!H929)</f>
        <v>0.000058</v>
      </c>
      <c r="I929" s="16">
        <f>ABS(Solieusap!I929)</f>
        <v>0.00367</v>
      </c>
      <c r="J929" s="16">
        <f>ABS(Solieusap!J929)</f>
        <v>0.00569</v>
      </c>
      <c r="K929" s="16">
        <f t="shared" si="1"/>
        <v>2.8012</v>
      </c>
      <c r="L929" s="16">
        <f t="shared" si="2"/>
        <v>0.00367</v>
      </c>
    </row>
    <row r="930" ht="16.5" customHeight="1">
      <c r="A930" s="15" t="str">
        <f>Solieusap!A930</f>
        <v>Cũ</v>
      </c>
      <c r="B930" s="15">
        <f>Solieusap!B930</f>
        <v>3.5</v>
      </c>
      <c r="C930" s="15" t="str">
        <f>Solieusap!C930</f>
        <v>COMB1</v>
      </c>
      <c r="D930" s="15" t="str">
        <f>Solieusap!D930</f>
        <v>Combination</v>
      </c>
      <c r="E930" s="16">
        <f>ABS(Solieusap!E930)</f>
        <v>2.6087</v>
      </c>
      <c r="F930" s="16">
        <f>ABS(Solieusap!F930)</f>
        <v>0.1555</v>
      </c>
      <c r="G930" s="16">
        <f>ABS(Solieusap!G930)</f>
        <v>0.224</v>
      </c>
      <c r="H930" s="16">
        <f>ABS(Solieusap!H930)</f>
        <v>0.000058</v>
      </c>
      <c r="I930" s="16">
        <f>ABS(Solieusap!I930)</f>
        <v>0.3883</v>
      </c>
      <c r="J930" s="16">
        <f>ABS(Solieusap!J930)</f>
        <v>0.27774</v>
      </c>
      <c r="K930" s="16">
        <f t="shared" si="1"/>
        <v>2.6087</v>
      </c>
      <c r="L930" s="16">
        <f t="shared" si="2"/>
        <v>0.3883</v>
      </c>
    </row>
    <row r="931" ht="16.5" customHeight="1">
      <c r="A931" s="15" t="str">
        <f>Solieusap!A931</f>
        <v>Cũ</v>
      </c>
      <c r="B931" s="15">
        <f>Solieusap!B931</f>
        <v>0</v>
      </c>
      <c r="C931" s="15" t="str">
        <f>Solieusap!C931</f>
        <v>COMB2</v>
      </c>
      <c r="D931" s="15" t="str">
        <f>Solieusap!D931</f>
        <v>Combination</v>
      </c>
      <c r="E931" s="16">
        <f>ABS(Solieusap!E931)</f>
        <v>2.3747</v>
      </c>
      <c r="F931" s="16">
        <f>ABS(Solieusap!F931)</f>
        <v>0.5296</v>
      </c>
      <c r="G931" s="16">
        <f>ABS(Solieusap!G931)</f>
        <v>0.1493</v>
      </c>
      <c r="H931" s="16">
        <f>ABS(Solieusap!H931)</f>
        <v>0.00002071</v>
      </c>
      <c r="I931" s="16">
        <f>ABS(Solieusap!I931)</f>
        <v>0.27064</v>
      </c>
      <c r="J931" s="16">
        <f>ABS(Solieusap!J931)</f>
        <v>0.57781</v>
      </c>
      <c r="K931" s="16">
        <f t="shared" si="1"/>
        <v>2.3747</v>
      </c>
      <c r="L931" s="16">
        <f t="shared" si="2"/>
        <v>0.27064</v>
      </c>
    </row>
    <row r="932" ht="16.5" customHeight="1">
      <c r="A932" s="15" t="str">
        <f>Solieusap!A932</f>
        <v>Cũ</v>
      </c>
      <c r="B932" s="15">
        <f>Solieusap!B932</f>
        <v>1.75</v>
      </c>
      <c r="C932" s="15" t="str">
        <f>Solieusap!C932</f>
        <v>COMB2</v>
      </c>
      <c r="D932" s="15" t="str">
        <f>Solieusap!D932</f>
        <v>Combination</v>
      </c>
      <c r="E932" s="16">
        <f>ABS(Solieusap!E932)</f>
        <v>2.1822</v>
      </c>
      <c r="F932" s="16">
        <f>ABS(Solieusap!F932)</f>
        <v>0.2671</v>
      </c>
      <c r="G932" s="16">
        <f>ABS(Solieusap!G932)</f>
        <v>0.1493</v>
      </c>
      <c r="H932" s="16">
        <f>ABS(Solieusap!H932)</f>
        <v>0.00002071</v>
      </c>
      <c r="I932" s="16">
        <f>ABS(Solieusap!I932)</f>
        <v>0.00941</v>
      </c>
      <c r="J932" s="16">
        <f>ABS(Solieusap!J932)</f>
        <v>0.11932</v>
      </c>
      <c r="K932" s="16">
        <f t="shared" si="1"/>
        <v>2.1822</v>
      </c>
      <c r="L932" s="16">
        <f t="shared" si="2"/>
        <v>0.00941</v>
      </c>
    </row>
    <row r="933" ht="16.5" customHeight="1">
      <c r="A933" s="15" t="str">
        <f>Solieusap!A933</f>
        <v>Cũ</v>
      </c>
      <c r="B933" s="15">
        <f>Solieusap!B933</f>
        <v>3.5</v>
      </c>
      <c r="C933" s="15" t="str">
        <f>Solieusap!C933</f>
        <v>COMB2</v>
      </c>
      <c r="D933" s="15" t="str">
        <f>Solieusap!D933</f>
        <v>Combination</v>
      </c>
      <c r="E933" s="16">
        <f>ABS(Solieusap!E933)</f>
        <v>1.9897</v>
      </c>
      <c r="F933" s="16">
        <f>ABS(Solieusap!F933)</f>
        <v>0.0046</v>
      </c>
      <c r="G933" s="16">
        <f>ABS(Solieusap!G933)</f>
        <v>0.1493</v>
      </c>
      <c r="H933" s="16">
        <f>ABS(Solieusap!H933)</f>
        <v>0.00002071</v>
      </c>
      <c r="I933" s="16">
        <f>ABS(Solieusap!I933)</f>
        <v>0.25181</v>
      </c>
      <c r="J933" s="16">
        <f>ABS(Solieusap!J933)</f>
        <v>0.35707</v>
      </c>
      <c r="K933" s="16">
        <f t="shared" si="1"/>
        <v>1.9897</v>
      </c>
      <c r="L933" s="16">
        <f t="shared" si="2"/>
        <v>0.25181</v>
      </c>
    </row>
    <row r="934" ht="16.5" customHeight="1">
      <c r="A934" s="15" t="str">
        <f>Solieusap!A934</f>
        <v>Cũ</v>
      </c>
      <c r="B934" s="15">
        <f>Solieusap!B934</f>
        <v>0</v>
      </c>
      <c r="C934" s="15" t="str">
        <f>Solieusap!C934</f>
        <v>COMB3</v>
      </c>
      <c r="D934" s="15" t="str">
        <f>Solieusap!D934</f>
        <v>Combination</v>
      </c>
      <c r="E934" s="16">
        <f>ABS(Solieusap!E934)</f>
        <v>2.2242</v>
      </c>
      <c r="F934" s="16">
        <f>ABS(Solieusap!F934)</f>
        <v>0.4168</v>
      </c>
      <c r="G934" s="16">
        <f>ABS(Solieusap!G934)</f>
        <v>0.1449</v>
      </c>
      <c r="H934" s="16">
        <f>ABS(Solieusap!H934)</f>
        <v>0.0001</v>
      </c>
      <c r="I934" s="16">
        <f>ABS(Solieusap!I934)</f>
        <v>0.26088</v>
      </c>
      <c r="J934" s="16">
        <f>ABS(Solieusap!J934)</f>
        <v>0.2783</v>
      </c>
      <c r="K934" s="16">
        <f t="shared" si="1"/>
        <v>2.2242</v>
      </c>
      <c r="L934" s="16">
        <f t="shared" si="2"/>
        <v>0.26088</v>
      </c>
    </row>
    <row r="935" ht="16.5" customHeight="1">
      <c r="A935" s="15" t="str">
        <f>Solieusap!A935</f>
        <v>Cũ</v>
      </c>
      <c r="B935" s="15">
        <f>Solieusap!B935</f>
        <v>1.75</v>
      </c>
      <c r="C935" s="15" t="str">
        <f>Solieusap!C935</f>
        <v>COMB3</v>
      </c>
      <c r="D935" s="15" t="str">
        <f>Solieusap!D935</f>
        <v>Combination</v>
      </c>
      <c r="E935" s="16">
        <f>ABS(Solieusap!E935)</f>
        <v>2.0317</v>
      </c>
      <c r="F935" s="16">
        <f>ABS(Solieusap!F935)</f>
        <v>0.0668</v>
      </c>
      <c r="G935" s="16">
        <f>ABS(Solieusap!G935)</f>
        <v>0.1449</v>
      </c>
      <c r="H935" s="16">
        <f>ABS(Solieusap!H935)</f>
        <v>0.0001</v>
      </c>
      <c r="I935" s="16">
        <f>ABS(Solieusap!I935)</f>
        <v>0.00726</v>
      </c>
      <c r="J935" s="16">
        <f>ABS(Solieusap!J935)</f>
        <v>0.14492</v>
      </c>
      <c r="K935" s="16">
        <f t="shared" si="1"/>
        <v>2.0317</v>
      </c>
      <c r="L935" s="16">
        <f t="shared" si="2"/>
        <v>0.00726</v>
      </c>
    </row>
    <row r="936" ht="16.5" customHeight="1">
      <c r="A936" s="15" t="str">
        <f>Solieusap!A936</f>
        <v>Cũ</v>
      </c>
      <c r="B936" s="15">
        <f>Solieusap!B936</f>
        <v>3.5</v>
      </c>
      <c r="C936" s="15" t="str">
        <f>Solieusap!C936</f>
        <v>COMB3</v>
      </c>
      <c r="D936" s="15" t="str">
        <f>Solieusap!D936</f>
        <v>Combination</v>
      </c>
      <c r="E936" s="16">
        <f>ABS(Solieusap!E936)</f>
        <v>1.8392</v>
      </c>
      <c r="F936" s="16">
        <f>ABS(Solieusap!F936)</f>
        <v>0.2832</v>
      </c>
      <c r="G936" s="16">
        <f>ABS(Solieusap!G936)</f>
        <v>0.1449</v>
      </c>
      <c r="H936" s="16">
        <f>ABS(Solieusap!H936)</f>
        <v>0.0001</v>
      </c>
      <c r="I936" s="16">
        <f>ABS(Solieusap!I936)</f>
        <v>0.24635</v>
      </c>
      <c r="J936" s="16">
        <f>ABS(Solieusap!J936)</f>
        <v>0.04436</v>
      </c>
      <c r="K936" s="16">
        <f t="shared" si="1"/>
        <v>1.8392</v>
      </c>
      <c r="L936" s="16">
        <f t="shared" si="2"/>
        <v>0.24635</v>
      </c>
    </row>
    <row r="937" ht="16.5" customHeight="1">
      <c r="A937" s="15" t="str">
        <f>Solieusap!A937</f>
        <v>Cũ</v>
      </c>
      <c r="B937" s="15">
        <f>Solieusap!B937</f>
        <v>0</v>
      </c>
      <c r="C937" s="15" t="str">
        <f>Solieusap!C937</f>
        <v>COMB4</v>
      </c>
      <c r="D937" s="15" t="str">
        <f>Solieusap!D937</f>
        <v>Combination</v>
      </c>
      <c r="E937" s="16">
        <f>ABS(Solieusap!E937)</f>
        <v>2.3504</v>
      </c>
      <c r="F937" s="16">
        <f>ABS(Solieusap!F937)</f>
        <v>0.1032</v>
      </c>
      <c r="G937" s="16">
        <f>ABS(Solieusap!G937)</f>
        <v>0.543</v>
      </c>
      <c r="H937" s="16">
        <f>ABS(Solieusap!H937)</f>
        <v>0.00005023</v>
      </c>
      <c r="I937" s="16">
        <f>ABS(Solieusap!I937)</f>
        <v>0.6198</v>
      </c>
      <c r="J937" s="16">
        <f>ABS(Solieusap!J937)</f>
        <v>0.1811</v>
      </c>
      <c r="K937" s="16">
        <f t="shared" si="1"/>
        <v>2.3504</v>
      </c>
      <c r="L937" s="16">
        <f t="shared" si="2"/>
        <v>0.6198</v>
      </c>
    </row>
    <row r="938" ht="16.5" customHeight="1">
      <c r="A938" s="15" t="str">
        <f>Solieusap!A938</f>
        <v>Cũ</v>
      </c>
      <c r="B938" s="15">
        <f>Solieusap!B938</f>
        <v>1.75</v>
      </c>
      <c r="C938" s="15" t="str">
        <f>Solieusap!C938</f>
        <v>COMB4</v>
      </c>
      <c r="D938" s="15" t="str">
        <f>Solieusap!D938</f>
        <v>Combination</v>
      </c>
      <c r="E938" s="16">
        <f>ABS(Solieusap!E938)</f>
        <v>2.1579</v>
      </c>
      <c r="F938" s="16">
        <f>ABS(Solieusap!F938)</f>
        <v>0.1032</v>
      </c>
      <c r="G938" s="16">
        <f>ABS(Solieusap!G938)</f>
        <v>0.2805</v>
      </c>
      <c r="H938" s="16">
        <f>ABS(Solieusap!H938)</f>
        <v>0.00005023</v>
      </c>
      <c r="I938" s="16">
        <f>ABS(Solieusap!I938)</f>
        <v>0.10072</v>
      </c>
      <c r="J938" s="16">
        <f>ABS(Solieusap!J938)</f>
        <v>0.0005</v>
      </c>
      <c r="K938" s="16">
        <f t="shared" si="1"/>
        <v>2.1579</v>
      </c>
      <c r="L938" s="16">
        <f t="shared" si="2"/>
        <v>0.10072</v>
      </c>
    </row>
    <row r="939" ht="16.5" customHeight="1">
      <c r="A939" s="15" t="str">
        <f>Solieusap!A939</f>
        <v>Cũ</v>
      </c>
      <c r="B939" s="15">
        <f>Solieusap!B939</f>
        <v>3.5</v>
      </c>
      <c r="C939" s="15" t="str">
        <f>Solieusap!C939</f>
        <v>COMB4</v>
      </c>
      <c r="D939" s="15" t="str">
        <f>Solieusap!D939</f>
        <v>Combination</v>
      </c>
      <c r="E939" s="16">
        <f>ABS(Solieusap!E939)</f>
        <v>1.9654</v>
      </c>
      <c r="F939" s="16">
        <f>ABS(Solieusap!F939)</f>
        <v>0.1032</v>
      </c>
      <c r="G939" s="16">
        <f>ABS(Solieusap!G939)</f>
        <v>0.018</v>
      </c>
      <c r="H939" s="16">
        <f>ABS(Solieusap!H939)</f>
        <v>0.00005023</v>
      </c>
      <c r="I939" s="16">
        <f>ABS(Solieusap!I939)</f>
        <v>0.36187</v>
      </c>
      <c r="J939" s="16">
        <f>ABS(Solieusap!J939)</f>
        <v>0.1801</v>
      </c>
      <c r="K939" s="16">
        <f t="shared" si="1"/>
        <v>1.9654</v>
      </c>
      <c r="L939" s="16">
        <f t="shared" si="2"/>
        <v>0.36187</v>
      </c>
    </row>
    <row r="940" ht="16.5" customHeight="1">
      <c r="A940" s="15" t="str">
        <f>Solieusap!A940</f>
        <v>Cũ</v>
      </c>
      <c r="B940" s="15">
        <f>Solieusap!B940</f>
        <v>0</v>
      </c>
      <c r="C940" s="15" t="str">
        <f>Solieusap!C940</f>
        <v>COMB5</v>
      </c>
      <c r="D940" s="15" t="str">
        <f>Solieusap!D940</f>
        <v>Combination</v>
      </c>
      <c r="E940" s="16">
        <f>ABS(Solieusap!E940)</f>
        <v>2.9763</v>
      </c>
      <c r="F940" s="16">
        <f>ABS(Solieusap!F940)</f>
        <v>0.1511</v>
      </c>
      <c r="G940" s="16">
        <f>ABS(Solieusap!G940)</f>
        <v>0.5726</v>
      </c>
      <c r="H940" s="16">
        <f>ABS(Solieusap!H940)</f>
        <v>0.00006635</v>
      </c>
      <c r="I940" s="16">
        <f>ABS(Solieusap!I940)</f>
        <v>0.70135</v>
      </c>
      <c r="J940" s="16">
        <f>ABS(Solieusap!J940)</f>
        <v>0.2599</v>
      </c>
      <c r="K940" s="16">
        <f t="shared" si="1"/>
        <v>2.9763</v>
      </c>
      <c r="L940" s="16">
        <f t="shared" si="2"/>
        <v>0.70135</v>
      </c>
    </row>
    <row r="941" ht="16.5" customHeight="1">
      <c r="A941" s="15" t="str">
        <f>Solieusap!A941</f>
        <v>Cũ</v>
      </c>
      <c r="B941" s="15">
        <f>Solieusap!B941</f>
        <v>1.75</v>
      </c>
      <c r="C941" s="15" t="str">
        <f>Solieusap!C941</f>
        <v>COMB5</v>
      </c>
      <c r="D941" s="15" t="str">
        <f>Solieusap!D941</f>
        <v>Combination</v>
      </c>
      <c r="E941" s="16">
        <f>ABS(Solieusap!E941)</f>
        <v>2.7838</v>
      </c>
      <c r="F941" s="16">
        <f>ABS(Solieusap!F941)</f>
        <v>0.1511</v>
      </c>
      <c r="G941" s="16">
        <f>ABS(Solieusap!G941)</f>
        <v>0.3364</v>
      </c>
      <c r="H941" s="16">
        <f>ABS(Solieusap!H941)</f>
        <v>0.00006635</v>
      </c>
      <c r="I941" s="16">
        <f>ABS(Solieusap!I941)</f>
        <v>0.09402</v>
      </c>
      <c r="J941" s="16">
        <f>ABS(Solieusap!J941)</f>
        <v>0.00458</v>
      </c>
      <c r="K941" s="16">
        <f t="shared" si="1"/>
        <v>2.7838</v>
      </c>
      <c r="L941" s="16">
        <f t="shared" si="2"/>
        <v>0.09402</v>
      </c>
    </row>
    <row r="942" ht="16.5" customHeight="1">
      <c r="A942" s="15" t="str">
        <f>Solieusap!A942</f>
        <v>Cũ</v>
      </c>
      <c r="B942" s="15">
        <f>Solieusap!B942</f>
        <v>3.5</v>
      </c>
      <c r="C942" s="15" t="str">
        <f>Solieusap!C942</f>
        <v>COMB5</v>
      </c>
      <c r="D942" s="15" t="str">
        <f>Solieusap!D942</f>
        <v>Combination</v>
      </c>
      <c r="E942" s="16">
        <f>ABS(Solieusap!E942)</f>
        <v>2.5913</v>
      </c>
      <c r="F942" s="16">
        <f>ABS(Solieusap!F942)</f>
        <v>0.1511</v>
      </c>
      <c r="G942" s="16">
        <f>ABS(Solieusap!G942)</f>
        <v>0.1001</v>
      </c>
      <c r="H942" s="16">
        <f>ABS(Solieusap!H942)</f>
        <v>0.00006635</v>
      </c>
      <c r="I942" s="16">
        <f>ABS(Solieusap!I942)</f>
        <v>0.47595</v>
      </c>
      <c r="J942" s="16">
        <f>ABS(Solieusap!J942)</f>
        <v>0.26906</v>
      </c>
      <c r="K942" s="16">
        <f t="shared" si="1"/>
        <v>2.5913</v>
      </c>
      <c r="L942" s="16">
        <f t="shared" si="2"/>
        <v>0.47595</v>
      </c>
    </row>
    <row r="943" ht="16.5" customHeight="1">
      <c r="A943" s="15" t="str">
        <f>Solieusap!A943</f>
        <v>Cũ</v>
      </c>
      <c r="B943" s="15">
        <f>Solieusap!B943</f>
        <v>0</v>
      </c>
      <c r="C943" s="15" t="str">
        <f>Solieusap!C943</f>
        <v>COMB6</v>
      </c>
      <c r="D943" s="15" t="str">
        <f>Solieusap!D943</f>
        <v>Combination</v>
      </c>
      <c r="E943" s="16">
        <f>ABS(Solieusap!E943)</f>
        <v>2.8627</v>
      </c>
      <c r="F943" s="16">
        <f>ABS(Solieusap!F943)</f>
        <v>0.3169</v>
      </c>
      <c r="G943" s="16">
        <f>ABS(Solieusap!G943)</f>
        <v>0.2144</v>
      </c>
      <c r="H943" s="16">
        <f>ABS(Solieusap!H943)</f>
        <v>0.00011</v>
      </c>
      <c r="I943" s="16">
        <f>ABS(Solieusap!I943)</f>
        <v>0.37832</v>
      </c>
      <c r="J943" s="16">
        <f>ABS(Solieusap!J943)</f>
        <v>0.15355</v>
      </c>
      <c r="K943" s="16">
        <f t="shared" si="1"/>
        <v>2.8627</v>
      </c>
      <c r="L943" s="16">
        <f t="shared" si="2"/>
        <v>0.37832</v>
      </c>
    </row>
    <row r="944" ht="16.5" customHeight="1">
      <c r="A944" s="15" t="str">
        <f>Solieusap!A944</f>
        <v>Cũ</v>
      </c>
      <c r="B944" s="15">
        <f>Solieusap!B944</f>
        <v>1.75</v>
      </c>
      <c r="C944" s="15" t="str">
        <f>Solieusap!C944</f>
        <v>COMB6</v>
      </c>
      <c r="D944" s="15" t="str">
        <f>Solieusap!D944</f>
        <v>Combination</v>
      </c>
      <c r="E944" s="16">
        <f>ABS(Solieusap!E944)</f>
        <v>2.6702</v>
      </c>
      <c r="F944" s="16">
        <f>ABS(Solieusap!F944)</f>
        <v>0.0019</v>
      </c>
      <c r="G944" s="16">
        <f>ABS(Solieusap!G944)</f>
        <v>0.2144</v>
      </c>
      <c r="H944" s="16">
        <f>ABS(Solieusap!H944)</f>
        <v>0.00011</v>
      </c>
      <c r="I944" s="16">
        <f>ABS(Solieusap!I944)</f>
        <v>0.00317</v>
      </c>
      <c r="J944" s="16">
        <f>ABS(Solieusap!J944)</f>
        <v>0.1254</v>
      </c>
      <c r="K944" s="16">
        <f t="shared" si="1"/>
        <v>2.6702</v>
      </c>
      <c r="L944" s="16">
        <f t="shared" si="2"/>
        <v>0.00317</v>
      </c>
    </row>
    <row r="945" ht="16.5" customHeight="1">
      <c r="A945" s="15" t="str">
        <f>Solieusap!A945</f>
        <v>Cũ</v>
      </c>
      <c r="B945" s="15">
        <f>Solieusap!B945</f>
        <v>3.5</v>
      </c>
      <c r="C945" s="15" t="str">
        <f>Solieusap!C945</f>
        <v>COMB6</v>
      </c>
      <c r="D945" s="15" t="str">
        <f>Solieusap!D945</f>
        <v>Combination</v>
      </c>
      <c r="E945" s="16">
        <f>ABS(Solieusap!E945)</f>
        <v>2.4777</v>
      </c>
      <c r="F945" s="16">
        <f>ABS(Solieusap!F945)</f>
        <v>0.3131</v>
      </c>
      <c r="G945" s="16">
        <f>ABS(Solieusap!G945)</f>
        <v>0.2144</v>
      </c>
      <c r="H945" s="16">
        <f>ABS(Solieusap!H945)</f>
        <v>0.00011</v>
      </c>
      <c r="I945" s="16">
        <f>ABS(Solieusap!I945)</f>
        <v>0.37198</v>
      </c>
      <c r="J945" s="16">
        <f>ABS(Solieusap!J945)</f>
        <v>0.1469</v>
      </c>
      <c r="K945" s="16">
        <f t="shared" si="1"/>
        <v>2.4777</v>
      </c>
      <c r="L945" s="16">
        <f t="shared" si="2"/>
        <v>0.37198</v>
      </c>
    </row>
    <row r="946" ht="16.5" customHeight="1">
      <c r="A946" s="15" t="str">
        <f>Solieusap!A946</f>
        <v>Cũ</v>
      </c>
      <c r="B946" s="15">
        <f>Solieusap!B946</f>
        <v>0</v>
      </c>
      <c r="C946" s="15" t="str">
        <f>Solieusap!C946</f>
        <v>COMB7</v>
      </c>
      <c r="D946" s="15" t="str">
        <f>Solieusap!D946</f>
        <v>Combination</v>
      </c>
      <c r="E946" s="16">
        <f>ABS(Solieusap!E946)</f>
        <v>2.9982</v>
      </c>
      <c r="F946" s="16">
        <f>ABS(Solieusap!F946)</f>
        <v>0.5349</v>
      </c>
      <c r="G946" s="16">
        <f>ABS(Solieusap!G946)</f>
        <v>0.2183</v>
      </c>
      <c r="H946" s="16">
        <f>ABS(Solieusap!H946)</f>
        <v>0.00003978</v>
      </c>
      <c r="I946" s="16">
        <f>ABS(Solieusap!I946)</f>
        <v>0.3871</v>
      </c>
      <c r="J946" s="16">
        <f>ABS(Solieusap!J946)</f>
        <v>0.61695</v>
      </c>
      <c r="K946" s="16">
        <f t="shared" si="1"/>
        <v>2.9982</v>
      </c>
      <c r="L946" s="16">
        <f t="shared" si="2"/>
        <v>0.3871</v>
      </c>
    </row>
    <row r="947" ht="16.5" customHeight="1">
      <c r="A947" s="15" t="str">
        <f>Solieusap!A947</f>
        <v>Cũ</v>
      </c>
      <c r="B947" s="15">
        <f>Solieusap!B947</f>
        <v>1.75</v>
      </c>
      <c r="C947" s="15" t="str">
        <f>Solieusap!C947</f>
        <v>COMB7</v>
      </c>
      <c r="D947" s="15" t="str">
        <f>Solieusap!D947</f>
        <v>Combination</v>
      </c>
      <c r="E947" s="16">
        <f>ABS(Solieusap!E947)</f>
        <v>2.8057</v>
      </c>
      <c r="F947" s="16">
        <f>ABS(Solieusap!F947)</f>
        <v>0.2987</v>
      </c>
      <c r="G947" s="16">
        <f>ABS(Solieusap!G947)</f>
        <v>0.2183</v>
      </c>
      <c r="H947" s="16">
        <f>ABS(Solieusap!H947)</f>
        <v>0.00003978</v>
      </c>
      <c r="I947" s="16">
        <f>ABS(Solieusap!I947)</f>
        <v>0.0051</v>
      </c>
      <c r="J947" s="16">
        <f>ABS(Solieusap!J947)</f>
        <v>0.11241</v>
      </c>
      <c r="K947" s="16">
        <f t="shared" si="1"/>
        <v>2.8057</v>
      </c>
      <c r="L947" s="16">
        <f t="shared" si="2"/>
        <v>0.0051</v>
      </c>
    </row>
    <row r="948" ht="16.5" customHeight="1">
      <c r="A948" s="15" t="str">
        <f>Solieusap!A948</f>
        <v>Cũ</v>
      </c>
      <c r="B948" s="15">
        <f>Solieusap!B948</f>
        <v>3.5</v>
      </c>
      <c r="C948" s="15" t="str">
        <f>Solieusap!C948</f>
        <v>COMB7</v>
      </c>
      <c r="D948" s="15" t="str">
        <f>Solieusap!D948</f>
        <v>Combination</v>
      </c>
      <c r="E948" s="16">
        <f>ABS(Solieusap!E948)</f>
        <v>2.6132</v>
      </c>
      <c r="F948" s="16">
        <f>ABS(Solieusap!F948)</f>
        <v>0.0624</v>
      </c>
      <c r="G948" s="16">
        <f>ABS(Solieusap!G948)</f>
        <v>0.2183</v>
      </c>
      <c r="H948" s="16">
        <f>ABS(Solieusap!H948)</f>
        <v>0.00003978</v>
      </c>
      <c r="I948" s="16">
        <f>ABS(Solieusap!I948)</f>
        <v>0.3769</v>
      </c>
      <c r="J948" s="16">
        <f>ABS(Solieusap!J948)</f>
        <v>0.42834</v>
      </c>
      <c r="K948" s="16">
        <f t="shared" si="1"/>
        <v>2.6132</v>
      </c>
      <c r="L948" s="16">
        <f t="shared" si="2"/>
        <v>0.3769</v>
      </c>
    </row>
    <row r="949" ht="16.5" customHeight="1">
      <c r="A949" s="15" t="str">
        <f>Solieusap!A949</f>
        <v>Cũ</v>
      </c>
      <c r="B949" s="15">
        <f>Solieusap!B949</f>
        <v>0</v>
      </c>
      <c r="C949" s="15" t="str">
        <f>Solieusap!C949</f>
        <v>COMB1</v>
      </c>
      <c r="D949" s="15" t="str">
        <f>Solieusap!D949</f>
        <v>Combination</v>
      </c>
      <c r="E949" s="16">
        <f>ABS(Solieusap!E949)</f>
        <v>2.9937</v>
      </c>
      <c r="F949" s="16">
        <f>ABS(Solieusap!F949)</f>
        <v>0.1555</v>
      </c>
      <c r="G949" s="16">
        <f>ABS(Solieusap!G949)</f>
        <v>0.224</v>
      </c>
      <c r="H949" s="16">
        <f>ABS(Solieusap!H949)</f>
        <v>0.000058</v>
      </c>
      <c r="I949" s="16">
        <f>ABS(Solieusap!I949)</f>
        <v>0.39565</v>
      </c>
      <c r="J949" s="16">
        <f>ABS(Solieusap!J949)</f>
        <v>0.26636</v>
      </c>
      <c r="K949" s="16">
        <f t="shared" si="1"/>
        <v>2.9937</v>
      </c>
      <c r="L949" s="16">
        <f t="shared" si="2"/>
        <v>0.39565</v>
      </c>
    </row>
    <row r="950" ht="16.5" customHeight="1">
      <c r="A950" s="15" t="str">
        <f>Solieusap!A950</f>
        <v>Cũ</v>
      </c>
      <c r="B950" s="15">
        <f>Solieusap!B950</f>
        <v>1.75</v>
      </c>
      <c r="C950" s="15" t="str">
        <f>Solieusap!C950</f>
        <v>COMB1</v>
      </c>
      <c r="D950" s="15" t="str">
        <f>Solieusap!D950</f>
        <v>Combination</v>
      </c>
      <c r="E950" s="16">
        <f>ABS(Solieusap!E950)</f>
        <v>2.8012</v>
      </c>
      <c r="F950" s="16">
        <f>ABS(Solieusap!F950)</f>
        <v>0.1555</v>
      </c>
      <c r="G950" s="16">
        <f>ABS(Solieusap!G950)</f>
        <v>0.224</v>
      </c>
      <c r="H950" s="16">
        <f>ABS(Solieusap!H950)</f>
        <v>0.000058</v>
      </c>
      <c r="I950" s="16">
        <f>ABS(Solieusap!I950)</f>
        <v>0.00367</v>
      </c>
      <c r="J950" s="16">
        <f>ABS(Solieusap!J950)</f>
        <v>0.00569</v>
      </c>
      <c r="K950" s="16">
        <f t="shared" si="1"/>
        <v>2.8012</v>
      </c>
      <c r="L950" s="16">
        <f t="shared" si="2"/>
        <v>0.00367</v>
      </c>
    </row>
    <row r="951" ht="16.5" customHeight="1">
      <c r="A951" s="15" t="str">
        <f>Solieusap!A951</f>
        <v>Cũ</v>
      </c>
      <c r="B951" s="15">
        <f>Solieusap!B951</f>
        <v>3.5</v>
      </c>
      <c r="C951" s="15" t="str">
        <f>Solieusap!C951</f>
        <v>COMB1</v>
      </c>
      <c r="D951" s="15" t="str">
        <f>Solieusap!D951</f>
        <v>Combination</v>
      </c>
      <c r="E951" s="16">
        <f>ABS(Solieusap!E951)</f>
        <v>2.6087</v>
      </c>
      <c r="F951" s="16">
        <f>ABS(Solieusap!F951)</f>
        <v>0.1555</v>
      </c>
      <c r="G951" s="16">
        <f>ABS(Solieusap!G951)</f>
        <v>0.224</v>
      </c>
      <c r="H951" s="16">
        <f>ABS(Solieusap!H951)</f>
        <v>0.000058</v>
      </c>
      <c r="I951" s="16">
        <f>ABS(Solieusap!I951)</f>
        <v>0.3883</v>
      </c>
      <c r="J951" s="16">
        <f>ABS(Solieusap!J951)</f>
        <v>0.27774</v>
      </c>
      <c r="K951" s="16">
        <f t="shared" si="1"/>
        <v>2.6087</v>
      </c>
      <c r="L951" s="16">
        <f t="shared" si="2"/>
        <v>0.3883</v>
      </c>
    </row>
    <row r="952" ht="16.5" customHeight="1">
      <c r="A952" s="15" t="str">
        <f>Solieusap!A952</f>
        <v>Cũ</v>
      </c>
      <c r="B952" s="15">
        <f>Solieusap!B952</f>
        <v>0</v>
      </c>
      <c r="C952" s="15" t="str">
        <f>Solieusap!C952</f>
        <v>COMB2</v>
      </c>
      <c r="D952" s="15" t="str">
        <f>Solieusap!D952</f>
        <v>Combination</v>
      </c>
      <c r="E952" s="16">
        <f>ABS(Solieusap!E952)</f>
        <v>2.3747</v>
      </c>
      <c r="F952" s="16">
        <f>ABS(Solieusap!F952)</f>
        <v>0.5296</v>
      </c>
      <c r="G952" s="16">
        <f>ABS(Solieusap!G952)</f>
        <v>0.1493</v>
      </c>
      <c r="H952" s="16">
        <f>ABS(Solieusap!H952)</f>
        <v>0.00002071</v>
      </c>
      <c r="I952" s="16">
        <f>ABS(Solieusap!I952)</f>
        <v>0.27064</v>
      </c>
      <c r="J952" s="16">
        <f>ABS(Solieusap!J952)</f>
        <v>0.57781</v>
      </c>
      <c r="K952" s="16">
        <f t="shared" si="1"/>
        <v>2.3747</v>
      </c>
      <c r="L952" s="16">
        <f t="shared" si="2"/>
        <v>0.27064</v>
      </c>
    </row>
    <row r="953" ht="16.5" customHeight="1">
      <c r="A953" s="15" t="str">
        <f>Solieusap!A953</f>
        <v>Cũ</v>
      </c>
      <c r="B953" s="15">
        <f>Solieusap!B953</f>
        <v>1.75</v>
      </c>
      <c r="C953" s="15" t="str">
        <f>Solieusap!C953</f>
        <v>COMB2</v>
      </c>
      <c r="D953" s="15" t="str">
        <f>Solieusap!D953</f>
        <v>Combination</v>
      </c>
      <c r="E953" s="16">
        <f>ABS(Solieusap!E953)</f>
        <v>2.1822</v>
      </c>
      <c r="F953" s="16">
        <f>ABS(Solieusap!F953)</f>
        <v>0.2671</v>
      </c>
      <c r="G953" s="16">
        <f>ABS(Solieusap!G953)</f>
        <v>0.1493</v>
      </c>
      <c r="H953" s="16">
        <f>ABS(Solieusap!H953)</f>
        <v>0.00002071</v>
      </c>
      <c r="I953" s="16">
        <f>ABS(Solieusap!I953)</f>
        <v>0.00941</v>
      </c>
      <c r="J953" s="16">
        <f>ABS(Solieusap!J953)</f>
        <v>0.11932</v>
      </c>
      <c r="K953" s="16">
        <f t="shared" si="1"/>
        <v>2.1822</v>
      </c>
      <c r="L953" s="16">
        <f t="shared" si="2"/>
        <v>0.00941</v>
      </c>
    </row>
    <row r="954" ht="16.5" customHeight="1">
      <c r="A954" s="15" t="str">
        <f>Solieusap!A954</f>
        <v>Cũ</v>
      </c>
      <c r="B954" s="15">
        <f>Solieusap!B954</f>
        <v>3.5</v>
      </c>
      <c r="C954" s="15" t="str">
        <f>Solieusap!C954</f>
        <v>COMB2</v>
      </c>
      <c r="D954" s="15" t="str">
        <f>Solieusap!D954</f>
        <v>Combination</v>
      </c>
      <c r="E954" s="16">
        <f>ABS(Solieusap!E954)</f>
        <v>1.9897</v>
      </c>
      <c r="F954" s="16">
        <f>ABS(Solieusap!F954)</f>
        <v>0.0046</v>
      </c>
      <c r="G954" s="16">
        <f>ABS(Solieusap!G954)</f>
        <v>0.1493</v>
      </c>
      <c r="H954" s="16">
        <f>ABS(Solieusap!H954)</f>
        <v>0.00002071</v>
      </c>
      <c r="I954" s="16">
        <f>ABS(Solieusap!I954)</f>
        <v>0.25181</v>
      </c>
      <c r="J954" s="16">
        <f>ABS(Solieusap!J954)</f>
        <v>0.35707</v>
      </c>
      <c r="K954" s="16">
        <f t="shared" si="1"/>
        <v>1.9897</v>
      </c>
      <c r="L954" s="16">
        <f t="shared" si="2"/>
        <v>0.25181</v>
      </c>
    </row>
    <row r="955" ht="16.5" customHeight="1">
      <c r="A955" s="15" t="str">
        <f>Solieusap!A955</f>
        <v>Cũ</v>
      </c>
      <c r="B955" s="15">
        <f>Solieusap!B955</f>
        <v>0</v>
      </c>
      <c r="C955" s="15" t="str">
        <f>Solieusap!C955</f>
        <v>COMB3</v>
      </c>
      <c r="D955" s="15" t="str">
        <f>Solieusap!D955</f>
        <v>Combination</v>
      </c>
      <c r="E955" s="16">
        <f>ABS(Solieusap!E955)</f>
        <v>2.2242</v>
      </c>
      <c r="F955" s="16">
        <f>ABS(Solieusap!F955)</f>
        <v>0.4168</v>
      </c>
      <c r="G955" s="16">
        <f>ABS(Solieusap!G955)</f>
        <v>0.1449</v>
      </c>
      <c r="H955" s="16">
        <f>ABS(Solieusap!H955)</f>
        <v>0.0001</v>
      </c>
      <c r="I955" s="16">
        <f>ABS(Solieusap!I955)</f>
        <v>0.26088</v>
      </c>
      <c r="J955" s="16">
        <f>ABS(Solieusap!J955)</f>
        <v>0.2783</v>
      </c>
      <c r="K955" s="16">
        <f t="shared" si="1"/>
        <v>2.2242</v>
      </c>
      <c r="L955" s="16">
        <f t="shared" si="2"/>
        <v>0.26088</v>
      </c>
    </row>
    <row r="956" ht="16.5" customHeight="1">
      <c r="A956" s="15" t="str">
        <f>Solieusap!A956</f>
        <v>Cũ</v>
      </c>
      <c r="B956" s="15">
        <f>Solieusap!B956</f>
        <v>1.75</v>
      </c>
      <c r="C956" s="15" t="str">
        <f>Solieusap!C956</f>
        <v>COMB3</v>
      </c>
      <c r="D956" s="15" t="str">
        <f>Solieusap!D956</f>
        <v>Combination</v>
      </c>
      <c r="E956" s="16">
        <f>ABS(Solieusap!E956)</f>
        <v>2.0317</v>
      </c>
      <c r="F956" s="16">
        <f>ABS(Solieusap!F956)</f>
        <v>0.0668</v>
      </c>
      <c r="G956" s="16">
        <f>ABS(Solieusap!G956)</f>
        <v>0.1449</v>
      </c>
      <c r="H956" s="16">
        <f>ABS(Solieusap!H956)</f>
        <v>0.0001</v>
      </c>
      <c r="I956" s="16">
        <f>ABS(Solieusap!I956)</f>
        <v>0.00726</v>
      </c>
      <c r="J956" s="16">
        <f>ABS(Solieusap!J956)</f>
        <v>0.14492</v>
      </c>
      <c r="K956" s="16">
        <f t="shared" si="1"/>
        <v>2.0317</v>
      </c>
      <c r="L956" s="16">
        <f t="shared" si="2"/>
        <v>0.00726</v>
      </c>
    </row>
    <row r="957" ht="16.5" customHeight="1">
      <c r="A957" s="15" t="str">
        <f>Solieusap!A957</f>
        <v>Cũ</v>
      </c>
      <c r="B957" s="15">
        <f>Solieusap!B957</f>
        <v>3.5</v>
      </c>
      <c r="C957" s="15" t="str">
        <f>Solieusap!C957</f>
        <v>COMB3</v>
      </c>
      <c r="D957" s="15" t="str">
        <f>Solieusap!D957</f>
        <v>Combination</v>
      </c>
      <c r="E957" s="16">
        <f>ABS(Solieusap!E957)</f>
        <v>1.8392</v>
      </c>
      <c r="F957" s="16">
        <f>ABS(Solieusap!F957)</f>
        <v>0.2832</v>
      </c>
      <c r="G957" s="16">
        <f>ABS(Solieusap!G957)</f>
        <v>0.1449</v>
      </c>
      <c r="H957" s="16">
        <f>ABS(Solieusap!H957)</f>
        <v>0.0001</v>
      </c>
      <c r="I957" s="16">
        <f>ABS(Solieusap!I957)</f>
        <v>0.24635</v>
      </c>
      <c r="J957" s="16">
        <f>ABS(Solieusap!J957)</f>
        <v>0.04436</v>
      </c>
      <c r="K957" s="16">
        <f t="shared" si="1"/>
        <v>1.8392</v>
      </c>
      <c r="L957" s="16">
        <f t="shared" si="2"/>
        <v>0.24635</v>
      </c>
    </row>
    <row r="958" ht="16.5" customHeight="1">
      <c r="A958" s="15" t="str">
        <f>Solieusap!A958</f>
        <v>Cũ</v>
      </c>
      <c r="B958" s="15">
        <f>Solieusap!B958</f>
        <v>0</v>
      </c>
      <c r="C958" s="15" t="str">
        <f>Solieusap!C958</f>
        <v>COMB4</v>
      </c>
      <c r="D958" s="15" t="str">
        <f>Solieusap!D958</f>
        <v>Combination</v>
      </c>
      <c r="E958" s="16">
        <f>ABS(Solieusap!E958)</f>
        <v>2.3504</v>
      </c>
      <c r="F958" s="16">
        <f>ABS(Solieusap!F958)</f>
        <v>0.1032</v>
      </c>
      <c r="G958" s="16">
        <f>ABS(Solieusap!G958)</f>
        <v>0.543</v>
      </c>
      <c r="H958" s="16">
        <f>ABS(Solieusap!H958)</f>
        <v>0.00005023</v>
      </c>
      <c r="I958" s="16">
        <f>ABS(Solieusap!I958)</f>
        <v>0.6198</v>
      </c>
      <c r="J958" s="16">
        <f>ABS(Solieusap!J958)</f>
        <v>0.1811</v>
      </c>
      <c r="K958" s="16">
        <f t="shared" si="1"/>
        <v>2.3504</v>
      </c>
      <c r="L958" s="16">
        <f t="shared" si="2"/>
        <v>0.6198</v>
      </c>
    </row>
    <row r="959" ht="16.5" customHeight="1">
      <c r="A959" s="15" t="str">
        <f>Solieusap!A959</f>
        <v>Cũ</v>
      </c>
      <c r="B959" s="15">
        <f>Solieusap!B959</f>
        <v>1.75</v>
      </c>
      <c r="C959" s="15" t="str">
        <f>Solieusap!C959</f>
        <v>COMB4</v>
      </c>
      <c r="D959" s="15" t="str">
        <f>Solieusap!D959</f>
        <v>Combination</v>
      </c>
      <c r="E959" s="16">
        <f>ABS(Solieusap!E959)</f>
        <v>2.1579</v>
      </c>
      <c r="F959" s="16">
        <f>ABS(Solieusap!F959)</f>
        <v>0.1032</v>
      </c>
      <c r="G959" s="16">
        <f>ABS(Solieusap!G959)</f>
        <v>0.2805</v>
      </c>
      <c r="H959" s="16">
        <f>ABS(Solieusap!H959)</f>
        <v>0.00005023</v>
      </c>
      <c r="I959" s="16">
        <f>ABS(Solieusap!I959)</f>
        <v>0.10072</v>
      </c>
      <c r="J959" s="16">
        <f>ABS(Solieusap!J959)</f>
        <v>0.0005</v>
      </c>
      <c r="K959" s="16">
        <f t="shared" si="1"/>
        <v>2.1579</v>
      </c>
      <c r="L959" s="16">
        <f t="shared" si="2"/>
        <v>0.10072</v>
      </c>
    </row>
    <row r="960" ht="16.5" customHeight="1">
      <c r="A960" s="15" t="str">
        <f>Solieusap!A960</f>
        <v>Cũ</v>
      </c>
      <c r="B960" s="15">
        <f>Solieusap!B960</f>
        <v>3.5</v>
      </c>
      <c r="C960" s="15" t="str">
        <f>Solieusap!C960</f>
        <v>COMB4</v>
      </c>
      <c r="D960" s="15" t="str">
        <f>Solieusap!D960</f>
        <v>Combination</v>
      </c>
      <c r="E960" s="16">
        <f>ABS(Solieusap!E960)</f>
        <v>1.9654</v>
      </c>
      <c r="F960" s="16">
        <f>ABS(Solieusap!F960)</f>
        <v>0.1032</v>
      </c>
      <c r="G960" s="16">
        <f>ABS(Solieusap!G960)</f>
        <v>0.018</v>
      </c>
      <c r="H960" s="16">
        <f>ABS(Solieusap!H960)</f>
        <v>0.00005023</v>
      </c>
      <c r="I960" s="16">
        <f>ABS(Solieusap!I960)</f>
        <v>0.36187</v>
      </c>
      <c r="J960" s="16">
        <f>ABS(Solieusap!J960)</f>
        <v>0.1801</v>
      </c>
      <c r="K960" s="16">
        <f t="shared" si="1"/>
        <v>1.9654</v>
      </c>
      <c r="L960" s="16">
        <f t="shared" si="2"/>
        <v>0.36187</v>
      </c>
    </row>
    <row r="961" ht="16.5" customHeight="1">
      <c r="A961" s="15" t="str">
        <f>Solieusap!A961</f>
        <v>Cũ</v>
      </c>
      <c r="B961" s="15">
        <f>Solieusap!B961</f>
        <v>0</v>
      </c>
      <c r="C961" s="15" t="str">
        <f>Solieusap!C961</f>
        <v>COMB5</v>
      </c>
      <c r="D961" s="15" t="str">
        <f>Solieusap!D961</f>
        <v>Combination</v>
      </c>
      <c r="E961" s="16">
        <f>ABS(Solieusap!E961)</f>
        <v>2.9763</v>
      </c>
      <c r="F961" s="16">
        <f>ABS(Solieusap!F961)</f>
        <v>0.1511</v>
      </c>
      <c r="G961" s="16">
        <f>ABS(Solieusap!G961)</f>
        <v>0.5726</v>
      </c>
      <c r="H961" s="16">
        <f>ABS(Solieusap!H961)</f>
        <v>0.00006635</v>
      </c>
      <c r="I961" s="16">
        <f>ABS(Solieusap!I961)</f>
        <v>0.70135</v>
      </c>
      <c r="J961" s="16">
        <f>ABS(Solieusap!J961)</f>
        <v>0.2599</v>
      </c>
      <c r="K961" s="16">
        <f t="shared" si="1"/>
        <v>2.9763</v>
      </c>
      <c r="L961" s="16">
        <f t="shared" si="2"/>
        <v>0.70135</v>
      </c>
    </row>
    <row r="962" ht="16.5" customHeight="1">
      <c r="A962" s="15" t="str">
        <f>Solieusap!A962</f>
        <v>Cũ</v>
      </c>
      <c r="B962" s="15">
        <f>Solieusap!B962</f>
        <v>1.75</v>
      </c>
      <c r="C962" s="15" t="str">
        <f>Solieusap!C962</f>
        <v>COMB5</v>
      </c>
      <c r="D962" s="15" t="str">
        <f>Solieusap!D962</f>
        <v>Combination</v>
      </c>
      <c r="E962" s="16">
        <f>ABS(Solieusap!E962)</f>
        <v>2.7838</v>
      </c>
      <c r="F962" s="16">
        <f>ABS(Solieusap!F962)</f>
        <v>0.1511</v>
      </c>
      <c r="G962" s="16">
        <f>ABS(Solieusap!G962)</f>
        <v>0.3364</v>
      </c>
      <c r="H962" s="16">
        <f>ABS(Solieusap!H962)</f>
        <v>0.00006635</v>
      </c>
      <c r="I962" s="16">
        <f>ABS(Solieusap!I962)</f>
        <v>0.09402</v>
      </c>
      <c r="J962" s="16">
        <f>ABS(Solieusap!J962)</f>
        <v>0.00458</v>
      </c>
      <c r="K962" s="16">
        <f t="shared" si="1"/>
        <v>2.7838</v>
      </c>
      <c r="L962" s="16">
        <f t="shared" si="2"/>
        <v>0.09402</v>
      </c>
    </row>
    <row r="963" ht="16.5" customHeight="1">
      <c r="A963" s="15" t="str">
        <f>Solieusap!A963</f>
        <v>Cũ</v>
      </c>
      <c r="B963" s="15">
        <f>Solieusap!B963</f>
        <v>3.5</v>
      </c>
      <c r="C963" s="15" t="str">
        <f>Solieusap!C963</f>
        <v>COMB5</v>
      </c>
      <c r="D963" s="15" t="str">
        <f>Solieusap!D963</f>
        <v>Combination</v>
      </c>
      <c r="E963" s="16">
        <f>ABS(Solieusap!E963)</f>
        <v>2.5913</v>
      </c>
      <c r="F963" s="16">
        <f>ABS(Solieusap!F963)</f>
        <v>0.1511</v>
      </c>
      <c r="G963" s="16">
        <f>ABS(Solieusap!G963)</f>
        <v>0.1001</v>
      </c>
      <c r="H963" s="16">
        <f>ABS(Solieusap!H963)</f>
        <v>0.00006635</v>
      </c>
      <c r="I963" s="16">
        <f>ABS(Solieusap!I963)</f>
        <v>0.47595</v>
      </c>
      <c r="J963" s="16">
        <f>ABS(Solieusap!J963)</f>
        <v>0.26906</v>
      </c>
      <c r="K963" s="16">
        <f t="shared" si="1"/>
        <v>2.5913</v>
      </c>
      <c r="L963" s="16">
        <f t="shared" si="2"/>
        <v>0.47595</v>
      </c>
    </row>
    <row r="964" ht="16.5" customHeight="1">
      <c r="A964" s="15" t="str">
        <f>Solieusap!A964</f>
        <v>Cũ</v>
      </c>
      <c r="B964" s="15">
        <f>Solieusap!B964</f>
        <v>0</v>
      </c>
      <c r="C964" s="15" t="str">
        <f>Solieusap!C964</f>
        <v>COMB6</v>
      </c>
      <c r="D964" s="15" t="str">
        <f>Solieusap!D964</f>
        <v>Combination</v>
      </c>
      <c r="E964" s="16">
        <f>ABS(Solieusap!E964)</f>
        <v>2.8627</v>
      </c>
      <c r="F964" s="16">
        <f>ABS(Solieusap!F964)</f>
        <v>0.3169</v>
      </c>
      <c r="G964" s="16">
        <f>ABS(Solieusap!G964)</f>
        <v>0.2144</v>
      </c>
      <c r="H964" s="16">
        <f>ABS(Solieusap!H964)</f>
        <v>0.00011</v>
      </c>
      <c r="I964" s="16">
        <f>ABS(Solieusap!I964)</f>
        <v>0.37832</v>
      </c>
      <c r="J964" s="16">
        <f>ABS(Solieusap!J964)</f>
        <v>0.15355</v>
      </c>
      <c r="K964" s="16">
        <f t="shared" si="1"/>
        <v>2.8627</v>
      </c>
      <c r="L964" s="16">
        <f t="shared" si="2"/>
        <v>0.37832</v>
      </c>
    </row>
    <row r="965" ht="16.5" customHeight="1">
      <c r="A965" s="15" t="str">
        <f>Solieusap!A965</f>
        <v>Cũ</v>
      </c>
      <c r="B965" s="15">
        <f>Solieusap!B965</f>
        <v>1.75</v>
      </c>
      <c r="C965" s="15" t="str">
        <f>Solieusap!C965</f>
        <v>COMB6</v>
      </c>
      <c r="D965" s="15" t="str">
        <f>Solieusap!D965</f>
        <v>Combination</v>
      </c>
      <c r="E965" s="16">
        <f>ABS(Solieusap!E965)</f>
        <v>2.6702</v>
      </c>
      <c r="F965" s="16">
        <f>ABS(Solieusap!F965)</f>
        <v>0.0019</v>
      </c>
      <c r="G965" s="16">
        <f>ABS(Solieusap!G965)</f>
        <v>0.2144</v>
      </c>
      <c r="H965" s="16">
        <f>ABS(Solieusap!H965)</f>
        <v>0.00011</v>
      </c>
      <c r="I965" s="16">
        <f>ABS(Solieusap!I965)</f>
        <v>0.00317</v>
      </c>
      <c r="J965" s="16">
        <f>ABS(Solieusap!J965)</f>
        <v>0.1254</v>
      </c>
      <c r="K965" s="16">
        <f t="shared" si="1"/>
        <v>2.6702</v>
      </c>
      <c r="L965" s="16">
        <f t="shared" si="2"/>
        <v>0.00317</v>
      </c>
    </row>
    <row r="966" ht="16.5" customHeight="1">
      <c r="A966" s="15" t="str">
        <f>Solieusap!A966</f>
        <v>Cũ</v>
      </c>
      <c r="B966" s="15">
        <f>Solieusap!B966</f>
        <v>3.5</v>
      </c>
      <c r="C966" s="15" t="str">
        <f>Solieusap!C966</f>
        <v>COMB6</v>
      </c>
      <c r="D966" s="15" t="str">
        <f>Solieusap!D966</f>
        <v>Combination</v>
      </c>
      <c r="E966" s="16">
        <f>ABS(Solieusap!E966)</f>
        <v>2.4777</v>
      </c>
      <c r="F966" s="16">
        <f>ABS(Solieusap!F966)</f>
        <v>0.3131</v>
      </c>
      <c r="G966" s="16">
        <f>ABS(Solieusap!G966)</f>
        <v>0.2144</v>
      </c>
      <c r="H966" s="16">
        <f>ABS(Solieusap!H966)</f>
        <v>0.00011</v>
      </c>
      <c r="I966" s="16">
        <f>ABS(Solieusap!I966)</f>
        <v>0.37198</v>
      </c>
      <c r="J966" s="16">
        <f>ABS(Solieusap!J966)</f>
        <v>0.1469</v>
      </c>
      <c r="K966" s="16">
        <f t="shared" si="1"/>
        <v>2.4777</v>
      </c>
      <c r="L966" s="16">
        <f t="shared" si="2"/>
        <v>0.37198</v>
      </c>
    </row>
    <row r="967" ht="16.5" customHeight="1">
      <c r="A967" s="15" t="str">
        <f>Solieusap!A967</f>
        <v>Cũ</v>
      </c>
      <c r="B967" s="15">
        <f>Solieusap!B967</f>
        <v>0</v>
      </c>
      <c r="C967" s="15" t="str">
        <f>Solieusap!C967</f>
        <v>COMB7</v>
      </c>
      <c r="D967" s="15" t="str">
        <f>Solieusap!D967</f>
        <v>Combination</v>
      </c>
      <c r="E967" s="16">
        <f>ABS(Solieusap!E967)</f>
        <v>2.9982</v>
      </c>
      <c r="F967" s="16">
        <f>ABS(Solieusap!F967)</f>
        <v>0.5349</v>
      </c>
      <c r="G967" s="16">
        <f>ABS(Solieusap!G967)</f>
        <v>0.2183</v>
      </c>
      <c r="H967" s="16">
        <f>ABS(Solieusap!H967)</f>
        <v>0.00003978</v>
      </c>
      <c r="I967" s="16">
        <f>ABS(Solieusap!I967)</f>
        <v>0.3871</v>
      </c>
      <c r="J967" s="16">
        <f>ABS(Solieusap!J967)</f>
        <v>0.61695</v>
      </c>
      <c r="K967" s="16">
        <f t="shared" si="1"/>
        <v>2.9982</v>
      </c>
      <c r="L967" s="16">
        <f t="shared" si="2"/>
        <v>0.3871</v>
      </c>
    </row>
    <row r="968" ht="16.5" customHeight="1">
      <c r="A968" s="15" t="str">
        <f>Solieusap!A968</f>
        <v>Cũ</v>
      </c>
      <c r="B968" s="15">
        <f>Solieusap!B968</f>
        <v>1.75</v>
      </c>
      <c r="C968" s="15" t="str">
        <f>Solieusap!C968</f>
        <v>COMB7</v>
      </c>
      <c r="D968" s="15" t="str">
        <f>Solieusap!D968</f>
        <v>Combination</v>
      </c>
      <c r="E968" s="16">
        <f>ABS(Solieusap!E968)</f>
        <v>2.8057</v>
      </c>
      <c r="F968" s="16">
        <f>ABS(Solieusap!F968)</f>
        <v>0.2987</v>
      </c>
      <c r="G968" s="16">
        <f>ABS(Solieusap!G968)</f>
        <v>0.2183</v>
      </c>
      <c r="H968" s="16">
        <f>ABS(Solieusap!H968)</f>
        <v>0.00003978</v>
      </c>
      <c r="I968" s="16">
        <f>ABS(Solieusap!I968)</f>
        <v>0.0051</v>
      </c>
      <c r="J968" s="16">
        <f>ABS(Solieusap!J968)</f>
        <v>0.11241</v>
      </c>
      <c r="K968" s="16">
        <f t="shared" si="1"/>
        <v>2.8057</v>
      </c>
      <c r="L968" s="16">
        <f t="shared" si="2"/>
        <v>0.0051</v>
      </c>
    </row>
    <row r="969" ht="16.5" customHeight="1">
      <c r="A969" s="15" t="str">
        <f>Solieusap!A969</f>
        <v>Cũ</v>
      </c>
      <c r="B969" s="15">
        <f>Solieusap!B969</f>
        <v>3.5</v>
      </c>
      <c r="C969" s="15" t="str">
        <f>Solieusap!C969</f>
        <v>COMB7</v>
      </c>
      <c r="D969" s="15" t="str">
        <f>Solieusap!D969</f>
        <v>Combination</v>
      </c>
      <c r="E969" s="16">
        <f>ABS(Solieusap!E969)</f>
        <v>2.6132</v>
      </c>
      <c r="F969" s="16">
        <f>ABS(Solieusap!F969)</f>
        <v>0.0624</v>
      </c>
      <c r="G969" s="16">
        <f>ABS(Solieusap!G969)</f>
        <v>0.2183</v>
      </c>
      <c r="H969" s="16">
        <f>ABS(Solieusap!H969)</f>
        <v>0.00003978</v>
      </c>
      <c r="I969" s="16">
        <f>ABS(Solieusap!I969)</f>
        <v>0.3769</v>
      </c>
      <c r="J969" s="16">
        <f>ABS(Solieusap!J969)</f>
        <v>0.42834</v>
      </c>
      <c r="K969" s="16">
        <f t="shared" si="1"/>
        <v>2.6132</v>
      </c>
      <c r="L969" s="16">
        <f t="shared" si="2"/>
        <v>0.3769</v>
      </c>
    </row>
    <row r="970" ht="16.5" customHeight="1">
      <c r="A970" s="15" t="str">
        <f>Solieusap!A970</f>
        <v>Cũ</v>
      </c>
      <c r="B970" s="15">
        <f>Solieusap!B970</f>
        <v>0</v>
      </c>
      <c r="C970" s="15" t="str">
        <f>Solieusap!C970</f>
        <v>COMB1</v>
      </c>
      <c r="D970" s="15" t="str">
        <f>Solieusap!D970</f>
        <v>Combination</v>
      </c>
      <c r="E970" s="16">
        <f>ABS(Solieusap!E970)</f>
        <v>2.9937</v>
      </c>
      <c r="F970" s="16">
        <f>ABS(Solieusap!F970)</f>
        <v>0.1555</v>
      </c>
      <c r="G970" s="16">
        <f>ABS(Solieusap!G970)</f>
        <v>0.224</v>
      </c>
      <c r="H970" s="16">
        <f>ABS(Solieusap!H970)</f>
        <v>0.000058</v>
      </c>
      <c r="I970" s="16">
        <f>ABS(Solieusap!I970)</f>
        <v>0.39565</v>
      </c>
      <c r="J970" s="16">
        <f>ABS(Solieusap!J970)</f>
        <v>0.26636</v>
      </c>
      <c r="K970" s="16">
        <f t="shared" si="1"/>
        <v>2.9937</v>
      </c>
      <c r="L970" s="16">
        <f t="shared" si="2"/>
        <v>0.39565</v>
      </c>
    </row>
    <row r="971" ht="16.5" customHeight="1">
      <c r="A971" s="15" t="str">
        <f>Solieusap!A971</f>
        <v>Cũ</v>
      </c>
      <c r="B971" s="15">
        <f>Solieusap!B971</f>
        <v>1.75</v>
      </c>
      <c r="C971" s="15" t="str">
        <f>Solieusap!C971</f>
        <v>COMB1</v>
      </c>
      <c r="D971" s="15" t="str">
        <f>Solieusap!D971</f>
        <v>Combination</v>
      </c>
      <c r="E971" s="16">
        <f>ABS(Solieusap!E971)</f>
        <v>2.8012</v>
      </c>
      <c r="F971" s="16">
        <f>ABS(Solieusap!F971)</f>
        <v>0.1555</v>
      </c>
      <c r="G971" s="16">
        <f>ABS(Solieusap!G971)</f>
        <v>0.224</v>
      </c>
      <c r="H971" s="16">
        <f>ABS(Solieusap!H971)</f>
        <v>0.000058</v>
      </c>
      <c r="I971" s="16">
        <f>ABS(Solieusap!I971)</f>
        <v>0.00367</v>
      </c>
      <c r="J971" s="16">
        <f>ABS(Solieusap!J971)</f>
        <v>0.00569</v>
      </c>
      <c r="K971" s="16">
        <f t="shared" si="1"/>
        <v>2.8012</v>
      </c>
      <c r="L971" s="16">
        <f t="shared" si="2"/>
        <v>0.00367</v>
      </c>
    </row>
    <row r="972" ht="16.5" customHeight="1">
      <c r="A972" s="15" t="str">
        <f>Solieusap!A972</f>
        <v>Cũ</v>
      </c>
      <c r="B972" s="15">
        <f>Solieusap!B972</f>
        <v>3.5</v>
      </c>
      <c r="C972" s="15" t="str">
        <f>Solieusap!C972</f>
        <v>COMB1</v>
      </c>
      <c r="D972" s="15" t="str">
        <f>Solieusap!D972</f>
        <v>Combination</v>
      </c>
      <c r="E972" s="16">
        <f>ABS(Solieusap!E972)</f>
        <v>2.6087</v>
      </c>
      <c r="F972" s="16">
        <f>ABS(Solieusap!F972)</f>
        <v>0.1555</v>
      </c>
      <c r="G972" s="16">
        <f>ABS(Solieusap!G972)</f>
        <v>0.224</v>
      </c>
      <c r="H972" s="16">
        <f>ABS(Solieusap!H972)</f>
        <v>0.000058</v>
      </c>
      <c r="I972" s="16">
        <f>ABS(Solieusap!I972)</f>
        <v>0.3883</v>
      </c>
      <c r="J972" s="16">
        <f>ABS(Solieusap!J972)</f>
        <v>0.27774</v>
      </c>
      <c r="K972" s="16">
        <f t="shared" si="1"/>
        <v>2.6087</v>
      </c>
      <c r="L972" s="16">
        <f t="shared" si="2"/>
        <v>0.3883</v>
      </c>
    </row>
    <row r="973" ht="16.5" customHeight="1">
      <c r="A973" s="15" t="str">
        <f>Solieusap!A973</f>
        <v>Cũ</v>
      </c>
      <c r="B973" s="15">
        <f>Solieusap!B973</f>
        <v>0</v>
      </c>
      <c r="C973" s="15" t="str">
        <f>Solieusap!C973</f>
        <v>COMB2</v>
      </c>
      <c r="D973" s="15" t="str">
        <f>Solieusap!D973</f>
        <v>Combination</v>
      </c>
      <c r="E973" s="16">
        <f>ABS(Solieusap!E973)</f>
        <v>2.3747</v>
      </c>
      <c r="F973" s="16">
        <f>ABS(Solieusap!F973)</f>
        <v>0.5296</v>
      </c>
      <c r="G973" s="16">
        <f>ABS(Solieusap!G973)</f>
        <v>0.1493</v>
      </c>
      <c r="H973" s="16">
        <f>ABS(Solieusap!H973)</f>
        <v>0.00002071</v>
      </c>
      <c r="I973" s="16">
        <f>ABS(Solieusap!I973)</f>
        <v>0.27064</v>
      </c>
      <c r="J973" s="16">
        <f>ABS(Solieusap!J973)</f>
        <v>0.57781</v>
      </c>
      <c r="K973" s="16">
        <f t="shared" si="1"/>
        <v>2.3747</v>
      </c>
      <c r="L973" s="16">
        <f t="shared" si="2"/>
        <v>0.27064</v>
      </c>
    </row>
    <row r="974" ht="16.5" customHeight="1">
      <c r="A974" s="15" t="str">
        <f>Solieusap!A974</f>
        <v>Cũ</v>
      </c>
      <c r="B974" s="15">
        <f>Solieusap!B974</f>
        <v>1.75</v>
      </c>
      <c r="C974" s="15" t="str">
        <f>Solieusap!C974</f>
        <v>COMB2</v>
      </c>
      <c r="D974" s="15" t="str">
        <f>Solieusap!D974</f>
        <v>Combination</v>
      </c>
      <c r="E974" s="16">
        <f>ABS(Solieusap!E974)</f>
        <v>2.1822</v>
      </c>
      <c r="F974" s="16">
        <f>ABS(Solieusap!F974)</f>
        <v>0.2671</v>
      </c>
      <c r="G974" s="16">
        <f>ABS(Solieusap!G974)</f>
        <v>0.1493</v>
      </c>
      <c r="H974" s="16">
        <f>ABS(Solieusap!H974)</f>
        <v>0.00002071</v>
      </c>
      <c r="I974" s="16">
        <f>ABS(Solieusap!I974)</f>
        <v>0.00941</v>
      </c>
      <c r="J974" s="16">
        <f>ABS(Solieusap!J974)</f>
        <v>0.11932</v>
      </c>
      <c r="K974" s="16">
        <f t="shared" si="1"/>
        <v>2.1822</v>
      </c>
      <c r="L974" s="16">
        <f t="shared" si="2"/>
        <v>0.00941</v>
      </c>
    </row>
    <row r="975" ht="16.5" customHeight="1">
      <c r="A975" s="15" t="str">
        <f>Solieusap!A975</f>
        <v>Cũ</v>
      </c>
      <c r="B975" s="15">
        <f>Solieusap!B975</f>
        <v>3.5</v>
      </c>
      <c r="C975" s="15" t="str">
        <f>Solieusap!C975</f>
        <v>COMB2</v>
      </c>
      <c r="D975" s="15" t="str">
        <f>Solieusap!D975</f>
        <v>Combination</v>
      </c>
      <c r="E975" s="16">
        <f>ABS(Solieusap!E975)</f>
        <v>1.9897</v>
      </c>
      <c r="F975" s="16">
        <f>ABS(Solieusap!F975)</f>
        <v>0.0046</v>
      </c>
      <c r="G975" s="16">
        <f>ABS(Solieusap!G975)</f>
        <v>0.1493</v>
      </c>
      <c r="H975" s="16">
        <f>ABS(Solieusap!H975)</f>
        <v>0.00002071</v>
      </c>
      <c r="I975" s="16">
        <f>ABS(Solieusap!I975)</f>
        <v>0.25181</v>
      </c>
      <c r="J975" s="16">
        <f>ABS(Solieusap!J975)</f>
        <v>0.35707</v>
      </c>
      <c r="K975" s="16">
        <f t="shared" si="1"/>
        <v>1.9897</v>
      </c>
      <c r="L975" s="16">
        <f t="shared" si="2"/>
        <v>0.25181</v>
      </c>
    </row>
    <row r="976" ht="16.5" customHeight="1">
      <c r="A976" s="15" t="str">
        <f>Solieusap!A976</f>
        <v>Cũ</v>
      </c>
      <c r="B976" s="15">
        <f>Solieusap!B976</f>
        <v>0</v>
      </c>
      <c r="C976" s="15" t="str">
        <f>Solieusap!C976</f>
        <v>COMB3</v>
      </c>
      <c r="D976" s="15" t="str">
        <f>Solieusap!D976</f>
        <v>Combination</v>
      </c>
      <c r="E976" s="16">
        <f>ABS(Solieusap!E976)</f>
        <v>2.2242</v>
      </c>
      <c r="F976" s="16">
        <f>ABS(Solieusap!F976)</f>
        <v>0.4168</v>
      </c>
      <c r="G976" s="16">
        <f>ABS(Solieusap!G976)</f>
        <v>0.1449</v>
      </c>
      <c r="H976" s="16">
        <f>ABS(Solieusap!H976)</f>
        <v>0.0001</v>
      </c>
      <c r="I976" s="16">
        <f>ABS(Solieusap!I976)</f>
        <v>0.26088</v>
      </c>
      <c r="J976" s="16">
        <f>ABS(Solieusap!J976)</f>
        <v>0.2783</v>
      </c>
      <c r="K976" s="16">
        <f t="shared" si="1"/>
        <v>2.2242</v>
      </c>
      <c r="L976" s="16">
        <f t="shared" si="2"/>
        <v>0.26088</v>
      </c>
    </row>
    <row r="977" ht="16.5" customHeight="1">
      <c r="A977" s="15" t="str">
        <f>Solieusap!A977</f>
        <v>Cũ</v>
      </c>
      <c r="B977" s="15">
        <f>Solieusap!B977</f>
        <v>1.75</v>
      </c>
      <c r="C977" s="15" t="str">
        <f>Solieusap!C977</f>
        <v>COMB3</v>
      </c>
      <c r="D977" s="15" t="str">
        <f>Solieusap!D977</f>
        <v>Combination</v>
      </c>
      <c r="E977" s="16">
        <f>ABS(Solieusap!E977)</f>
        <v>2.0317</v>
      </c>
      <c r="F977" s="16">
        <f>ABS(Solieusap!F977)</f>
        <v>0.0668</v>
      </c>
      <c r="G977" s="16">
        <f>ABS(Solieusap!G977)</f>
        <v>0.1449</v>
      </c>
      <c r="H977" s="16">
        <f>ABS(Solieusap!H977)</f>
        <v>0.0001</v>
      </c>
      <c r="I977" s="16">
        <f>ABS(Solieusap!I977)</f>
        <v>0.00726</v>
      </c>
      <c r="J977" s="16">
        <f>ABS(Solieusap!J977)</f>
        <v>0.14492</v>
      </c>
      <c r="K977" s="16">
        <f t="shared" si="1"/>
        <v>2.0317</v>
      </c>
      <c r="L977" s="16">
        <f t="shared" si="2"/>
        <v>0.00726</v>
      </c>
    </row>
    <row r="978" ht="16.5" customHeight="1">
      <c r="A978" s="15" t="str">
        <f>Solieusap!A978</f>
        <v>Cũ</v>
      </c>
      <c r="B978" s="15">
        <f>Solieusap!B978</f>
        <v>3.5</v>
      </c>
      <c r="C978" s="15" t="str">
        <f>Solieusap!C978</f>
        <v>COMB3</v>
      </c>
      <c r="D978" s="15" t="str">
        <f>Solieusap!D978</f>
        <v>Combination</v>
      </c>
      <c r="E978" s="16">
        <f>ABS(Solieusap!E978)</f>
        <v>1.8392</v>
      </c>
      <c r="F978" s="16">
        <f>ABS(Solieusap!F978)</f>
        <v>0.2832</v>
      </c>
      <c r="G978" s="16">
        <f>ABS(Solieusap!G978)</f>
        <v>0.1449</v>
      </c>
      <c r="H978" s="16">
        <f>ABS(Solieusap!H978)</f>
        <v>0.0001</v>
      </c>
      <c r="I978" s="16">
        <f>ABS(Solieusap!I978)</f>
        <v>0.24635</v>
      </c>
      <c r="J978" s="16">
        <f>ABS(Solieusap!J978)</f>
        <v>0.04436</v>
      </c>
      <c r="K978" s="16">
        <f t="shared" si="1"/>
        <v>1.8392</v>
      </c>
      <c r="L978" s="16">
        <f t="shared" si="2"/>
        <v>0.24635</v>
      </c>
    </row>
    <row r="979" ht="16.5" customHeight="1">
      <c r="A979" s="15" t="str">
        <f>Solieusap!A979</f>
        <v>Cũ</v>
      </c>
      <c r="B979" s="15">
        <f>Solieusap!B979</f>
        <v>0</v>
      </c>
      <c r="C979" s="15" t="str">
        <f>Solieusap!C979</f>
        <v>COMB4</v>
      </c>
      <c r="D979" s="15" t="str">
        <f>Solieusap!D979</f>
        <v>Combination</v>
      </c>
      <c r="E979" s="16">
        <f>ABS(Solieusap!E979)</f>
        <v>2.3504</v>
      </c>
      <c r="F979" s="16">
        <f>ABS(Solieusap!F979)</f>
        <v>0.1032</v>
      </c>
      <c r="G979" s="16">
        <f>ABS(Solieusap!G979)</f>
        <v>0.543</v>
      </c>
      <c r="H979" s="16">
        <f>ABS(Solieusap!H979)</f>
        <v>0.00005023</v>
      </c>
      <c r="I979" s="16">
        <f>ABS(Solieusap!I979)</f>
        <v>0.6198</v>
      </c>
      <c r="J979" s="16">
        <f>ABS(Solieusap!J979)</f>
        <v>0.1811</v>
      </c>
      <c r="K979" s="16">
        <f t="shared" si="1"/>
        <v>2.3504</v>
      </c>
      <c r="L979" s="16">
        <f t="shared" si="2"/>
        <v>0.6198</v>
      </c>
    </row>
    <row r="980" ht="16.5" customHeight="1">
      <c r="A980" s="15" t="str">
        <f>Solieusap!A980</f>
        <v>Cũ</v>
      </c>
      <c r="B980" s="15">
        <f>Solieusap!B980</f>
        <v>1.75</v>
      </c>
      <c r="C980" s="15" t="str">
        <f>Solieusap!C980</f>
        <v>COMB4</v>
      </c>
      <c r="D980" s="15" t="str">
        <f>Solieusap!D980</f>
        <v>Combination</v>
      </c>
      <c r="E980" s="16">
        <f>ABS(Solieusap!E980)</f>
        <v>2.1579</v>
      </c>
      <c r="F980" s="16">
        <f>ABS(Solieusap!F980)</f>
        <v>0.1032</v>
      </c>
      <c r="G980" s="16">
        <f>ABS(Solieusap!G980)</f>
        <v>0.2805</v>
      </c>
      <c r="H980" s="16">
        <f>ABS(Solieusap!H980)</f>
        <v>0.00005023</v>
      </c>
      <c r="I980" s="16">
        <f>ABS(Solieusap!I980)</f>
        <v>0.10072</v>
      </c>
      <c r="J980" s="16">
        <f>ABS(Solieusap!J980)</f>
        <v>0.0005</v>
      </c>
      <c r="K980" s="16">
        <f t="shared" si="1"/>
        <v>2.1579</v>
      </c>
      <c r="L980" s="16">
        <f t="shared" si="2"/>
        <v>0.10072</v>
      </c>
    </row>
    <row r="981" ht="16.5" customHeight="1">
      <c r="A981" s="15" t="str">
        <f>Solieusap!A981</f>
        <v>Cũ</v>
      </c>
      <c r="B981" s="15">
        <f>Solieusap!B981</f>
        <v>3.5</v>
      </c>
      <c r="C981" s="15" t="str">
        <f>Solieusap!C981</f>
        <v>COMB4</v>
      </c>
      <c r="D981" s="15" t="str">
        <f>Solieusap!D981</f>
        <v>Combination</v>
      </c>
      <c r="E981" s="16">
        <f>ABS(Solieusap!E981)</f>
        <v>1.9654</v>
      </c>
      <c r="F981" s="16">
        <f>ABS(Solieusap!F981)</f>
        <v>0.1032</v>
      </c>
      <c r="G981" s="16">
        <f>ABS(Solieusap!G981)</f>
        <v>0.018</v>
      </c>
      <c r="H981" s="16">
        <f>ABS(Solieusap!H981)</f>
        <v>0.00005023</v>
      </c>
      <c r="I981" s="16">
        <f>ABS(Solieusap!I981)</f>
        <v>0.36187</v>
      </c>
      <c r="J981" s="16">
        <f>ABS(Solieusap!J981)</f>
        <v>0.1801</v>
      </c>
      <c r="K981" s="16">
        <f t="shared" si="1"/>
        <v>1.9654</v>
      </c>
      <c r="L981" s="16">
        <f t="shared" si="2"/>
        <v>0.36187</v>
      </c>
    </row>
    <row r="982" ht="16.5" customHeight="1">
      <c r="A982" s="15" t="str">
        <f>Solieusap!A982</f>
        <v>Cũ</v>
      </c>
      <c r="B982" s="15">
        <f>Solieusap!B982</f>
        <v>0</v>
      </c>
      <c r="C982" s="15" t="str">
        <f>Solieusap!C982</f>
        <v>COMB5</v>
      </c>
      <c r="D982" s="15" t="str">
        <f>Solieusap!D982</f>
        <v>Combination</v>
      </c>
      <c r="E982" s="16">
        <f>ABS(Solieusap!E982)</f>
        <v>2.9763</v>
      </c>
      <c r="F982" s="16">
        <f>ABS(Solieusap!F982)</f>
        <v>0.1511</v>
      </c>
      <c r="G982" s="16">
        <f>ABS(Solieusap!G982)</f>
        <v>0.5726</v>
      </c>
      <c r="H982" s="16">
        <f>ABS(Solieusap!H982)</f>
        <v>0.00006635</v>
      </c>
      <c r="I982" s="16">
        <f>ABS(Solieusap!I982)</f>
        <v>0.70135</v>
      </c>
      <c r="J982" s="16">
        <f>ABS(Solieusap!J982)</f>
        <v>0.2599</v>
      </c>
      <c r="K982" s="16">
        <f t="shared" si="1"/>
        <v>2.9763</v>
      </c>
      <c r="L982" s="16">
        <f t="shared" si="2"/>
        <v>0.70135</v>
      </c>
    </row>
    <row r="983" ht="16.5" customHeight="1">
      <c r="A983" s="15" t="str">
        <f>Solieusap!A983</f>
        <v>Cũ</v>
      </c>
      <c r="B983" s="15">
        <f>Solieusap!B983</f>
        <v>1.75</v>
      </c>
      <c r="C983" s="15" t="str">
        <f>Solieusap!C983</f>
        <v>COMB5</v>
      </c>
      <c r="D983" s="15" t="str">
        <f>Solieusap!D983</f>
        <v>Combination</v>
      </c>
      <c r="E983" s="16">
        <f>ABS(Solieusap!E983)</f>
        <v>2.7838</v>
      </c>
      <c r="F983" s="16">
        <f>ABS(Solieusap!F983)</f>
        <v>0.1511</v>
      </c>
      <c r="G983" s="16">
        <f>ABS(Solieusap!G983)</f>
        <v>0.3364</v>
      </c>
      <c r="H983" s="16">
        <f>ABS(Solieusap!H983)</f>
        <v>0.00006635</v>
      </c>
      <c r="I983" s="16">
        <f>ABS(Solieusap!I983)</f>
        <v>0.09402</v>
      </c>
      <c r="J983" s="16">
        <f>ABS(Solieusap!J983)</f>
        <v>0.00458</v>
      </c>
      <c r="K983" s="16">
        <f t="shared" si="1"/>
        <v>2.7838</v>
      </c>
      <c r="L983" s="16">
        <f t="shared" si="2"/>
        <v>0.09402</v>
      </c>
    </row>
    <row r="984" ht="16.5" customHeight="1">
      <c r="A984" s="15" t="str">
        <f>Solieusap!A984</f>
        <v>Cũ</v>
      </c>
      <c r="B984" s="15">
        <f>Solieusap!B984</f>
        <v>3.5</v>
      </c>
      <c r="C984" s="15" t="str">
        <f>Solieusap!C984</f>
        <v>COMB5</v>
      </c>
      <c r="D984" s="15" t="str">
        <f>Solieusap!D984</f>
        <v>Combination</v>
      </c>
      <c r="E984" s="16">
        <f>ABS(Solieusap!E984)</f>
        <v>2.5913</v>
      </c>
      <c r="F984" s="16">
        <f>ABS(Solieusap!F984)</f>
        <v>0.1511</v>
      </c>
      <c r="G984" s="16">
        <f>ABS(Solieusap!G984)</f>
        <v>0.1001</v>
      </c>
      <c r="H984" s="16">
        <f>ABS(Solieusap!H984)</f>
        <v>0.00006635</v>
      </c>
      <c r="I984" s="16">
        <f>ABS(Solieusap!I984)</f>
        <v>0.47595</v>
      </c>
      <c r="J984" s="16">
        <f>ABS(Solieusap!J984)</f>
        <v>0.26906</v>
      </c>
      <c r="K984" s="16">
        <f t="shared" si="1"/>
        <v>2.5913</v>
      </c>
      <c r="L984" s="16">
        <f t="shared" si="2"/>
        <v>0.47595</v>
      </c>
    </row>
    <row r="985" ht="16.5" customHeight="1">
      <c r="A985" s="15" t="str">
        <f>Solieusap!A985</f>
        <v>Cũ</v>
      </c>
      <c r="B985" s="15">
        <f>Solieusap!B985</f>
        <v>0</v>
      </c>
      <c r="C985" s="15" t="str">
        <f>Solieusap!C985</f>
        <v>COMB6</v>
      </c>
      <c r="D985" s="15" t="str">
        <f>Solieusap!D985</f>
        <v>Combination</v>
      </c>
      <c r="E985" s="16">
        <f>ABS(Solieusap!E985)</f>
        <v>2.8627</v>
      </c>
      <c r="F985" s="16">
        <f>ABS(Solieusap!F985)</f>
        <v>0.3169</v>
      </c>
      <c r="G985" s="16">
        <f>ABS(Solieusap!G985)</f>
        <v>0.2144</v>
      </c>
      <c r="H985" s="16">
        <f>ABS(Solieusap!H985)</f>
        <v>0.00011</v>
      </c>
      <c r="I985" s="16">
        <f>ABS(Solieusap!I985)</f>
        <v>0.37832</v>
      </c>
      <c r="J985" s="16">
        <f>ABS(Solieusap!J985)</f>
        <v>0.15355</v>
      </c>
      <c r="K985" s="16">
        <f t="shared" si="1"/>
        <v>2.8627</v>
      </c>
      <c r="L985" s="16">
        <f t="shared" si="2"/>
        <v>0.37832</v>
      </c>
    </row>
    <row r="986" ht="16.5" customHeight="1">
      <c r="A986" s="15" t="str">
        <f>Solieusap!A986</f>
        <v>Cũ</v>
      </c>
      <c r="B986" s="15">
        <f>Solieusap!B986</f>
        <v>1.75</v>
      </c>
      <c r="C986" s="15" t="str">
        <f>Solieusap!C986</f>
        <v>COMB6</v>
      </c>
      <c r="D986" s="15" t="str">
        <f>Solieusap!D986</f>
        <v>Combination</v>
      </c>
      <c r="E986" s="16">
        <f>ABS(Solieusap!E986)</f>
        <v>2.6702</v>
      </c>
      <c r="F986" s="16">
        <f>ABS(Solieusap!F986)</f>
        <v>0.0019</v>
      </c>
      <c r="G986" s="16">
        <f>ABS(Solieusap!G986)</f>
        <v>0.2144</v>
      </c>
      <c r="H986" s="16">
        <f>ABS(Solieusap!H986)</f>
        <v>0.00011</v>
      </c>
      <c r="I986" s="16">
        <f>ABS(Solieusap!I986)</f>
        <v>0.00317</v>
      </c>
      <c r="J986" s="16">
        <f>ABS(Solieusap!J986)</f>
        <v>0.1254</v>
      </c>
      <c r="K986" s="16">
        <f t="shared" si="1"/>
        <v>2.6702</v>
      </c>
      <c r="L986" s="16">
        <f t="shared" si="2"/>
        <v>0.00317</v>
      </c>
    </row>
    <row r="987" ht="16.5" customHeight="1">
      <c r="A987" s="15" t="str">
        <f>Solieusap!A987</f>
        <v>Cũ</v>
      </c>
      <c r="B987" s="15">
        <f>Solieusap!B987</f>
        <v>3.5</v>
      </c>
      <c r="C987" s="15" t="str">
        <f>Solieusap!C987</f>
        <v>COMB6</v>
      </c>
      <c r="D987" s="15" t="str">
        <f>Solieusap!D987</f>
        <v>Combination</v>
      </c>
      <c r="E987" s="16">
        <f>ABS(Solieusap!E987)</f>
        <v>2.4777</v>
      </c>
      <c r="F987" s="16">
        <f>ABS(Solieusap!F987)</f>
        <v>0.3131</v>
      </c>
      <c r="G987" s="16">
        <f>ABS(Solieusap!G987)</f>
        <v>0.2144</v>
      </c>
      <c r="H987" s="16">
        <f>ABS(Solieusap!H987)</f>
        <v>0.00011</v>
      </c>
      <c r="I987" s="16">
        <f>ABS(Solieusap!I987)</f>
        <v>0.37198</v>
      </c>
      <c r="J987" s="16">
        <f>ABS(Solieusap!J987)</f>
        <v>0.1469</v>
      </c>
      <c r="K987" s="16">
        <f t="shared" si="1"/>
        <v>2.4777</v>
      </c>
      <c r="L987" s="16">
        <f t="shared" si="2"/>
        <v>0.37198</v>
      </c>
    </row>
    <row r="988" ht="16.5" customHeight="1">
      <c r="A988" s="15" t="str">
        <f>Solieusap!A988</f>
        <v>Cũ</v>
      </c>
      <c r="B988" s="15">
        <f>Solieusap!B988</f>
        <v>0</v>
      </c>
      <c r="C988" s="15" t="str">
        <f>Solieusap!C988</f>
        <v>COMB7</v>
      </c>
      <c r="D988" s="15" t="str">
        <f>Solieusap!D988</f>
        <v>Combination</v>
      </c>
      <c r="E988" s="16">
        <f>ABS(Solieusap!E988)</f>
        <v>2.9982</v>
      </c>
      <c r="F988" s="16">
        <f>ABS(Solieusap!F988)</f>
        <v>0.5349</v>
      </c>
      <c r="G988" s="16">
        <f>ABS(Solieusap!G988)</f>
        <v>0.2183</v>
      </c>
      <c r="H988" s="16">
        <f>ABS(Solieusap!H988)</f>
        <v>0.00003978</v>
      </c>
      <c r="I988" s="16">
        <f>ABS(Solieusap!I988)</f>
        <v>0.3871</v>
      </c>
      <c r="J988" s="16">
        <f>ABS(Solieusap!J988)</f>
        <v>0.61695</v>
      </c>
      <c r="K988" s="16">
        <f t="shared" si="1"/>
        <v>2.9982</v>
      </c>
      <c r="L988" s="16">
        <f t="shared" si="2"/>
        <v>0.3871</v>
      </c>
    </row>
    <row r="989" ht="16.5" customHeight="1">
      <c r="A989" s="15" t="str">
        <f>Solieusap!A989</f>
        <v>Cũ</v>
      </c>
      <c r="B989" s="15">
        <f>Solieusap!B989</f>
        <v>1.75</v>
      </c>
      <c r="C989" s="15" t="str">
        <f>Solieusap!C989</f>
        <v>COMB7</v>
      </c>
      <c r="D989" s="15" t="str">
        <f>Solieusap!D989</f>
        <v>Combination</v>
      </c>
      <c r="E989" s="16">
        <f>ABS(Solieusap!E989)</f>
        <v>2.8057</v>
      </c>
      <c r="F989" s="16">
        <f>ABS(Solieusap!F989)</f>
        <v>0.2987</v>
      </c>
      <c r="G989" s="16">
        <f>ABS(Solieusap!G989)</f>
        <v>0.2183</v>
      </c>
      <c r="H989" s="16">
        <f>ABS(Solieusap!H989)</f>
        <v>0.00003978</v>
      </c>
      <c r="I989" s="16">
        <f>ABS(Solieusap!I989)</f>
        <v>0.0051</v>
      </c>
      <c r="J989" s="16">
        <f>ABS(Solieusap!J989)</f>
        <v>0.11241</v>
      </c>
      <c r="K989" s="16">
        <f t="shared" si="1"/>
        <v>2.8057</v>
      </c>
      <c r="L989" s="16">
        <f t="shared" si="2"/>
        <v>0.0051</v>
      </c>
    </row>
    <row r="990" ht="16.5" customHeight="1">
      <c r="A990" s="15" t="str">
        <f>Solieusap!A990</f>
        <v>Cũ</v>
      </c>
      <c r="B990" s="15">
        <f>Solieusap!B990</f>
        <v>3.5</v>
      </c>
      <c r="C990" s="15" t="str">
        <f>Solieusap!C990</f>
        <v>COMB7</v>
      </c>
      <c r="D990" s="15" t="str">
        <f>Solieusap!D990</f>
        <v>Combination</v>
      </c>
      <c r="E990" s="16">
        <f>ABS(Solieusap!E990)</f>
        <v>2.6132</v>
      </c>
      <c r="F990" s="16">
        <f>ABS(Solieusap!F990)</f>
        <v>0.0624</v>
      </c>
      <c r="G990" s="16">
        <f>ABS(Solieusap!G990)</f>
        <v>0.2183</v>
      </c>
      <c r="H990" s="16">
        <f>ABS(Solieusap!H990)</f>
        <v>0.00003978</v>
      </c>
      <c r="I990" s="16">
        <f>ABS(Solieusap!I990)</f>
        <v>0.3769</v>
      </c>
      <c r="J990" s="16">
        <f>ABS(Solieusap!J990)</f>
        <v>0.42834</v>
      </c>
      <c r="K990" s="16">
        <f t="shared" si="1"/>
        <v>2.6132</v>
      </c>
      <c r="L990" s="16">
        <f t="shared" si="2"/>
        <v>0.3769</v>
      </c>
    </row>
    <row r="991" ht="16.5" customHeight="1">
      <c r="A991" s="15" t="str">
        <f>Solieusap!A991</f>
        <v>Cũ</v>
      </c>
      <c r="B991" s="15">
        <f>Solieusap!B991</f>
        <v>0</v>
      </c>
      <c r="C991" s="15" t="str">
        <f>Solieusap!C991</f>
        <v>COMB1</v>
      </c>
      <c r="D991" s="15" t="str">
        <f>Solieusap!D991</f>
        <v>Combination</v>
      </c>
      <c r="E991" s="16">
        <f>ABS(Solieusap!E991)</f>
        <v>2.9937</v>
      </c>
      <c r="F991" s="16">
        <f>ABS(Solieusap!F991)</f>
        <v>0.1555</v>
      </c>
      <c r="G991" s="16">
        <f>ABS(Solieusap!G991)</f>
        <v>0.224</v>
      </c>
      <c r="H991" s="16">
        <f>ABS(Solieusap!H991)</f>
        <v>0.000058</v>
      </c>
      <c r="I991" s="16">
        <f>ABS(Solieusap!I991)</f>
        <v>0.39565</v>
      </c>
      <c r="J991" s="16">
        <f>ABS(Solieusap!J991)</f>
        <v>0.26636</v>
      </c>
      <c r="K991" s="16">
        <f t="shared" si="1"/>
        <v>2.9937</v>
      </c>
      <c r="L991" s="16">
        <f t="shared" si="2"/>
        <v>0.39565</v>
      </c>
    </row>
    <row r="992" ht="16.5" customHeight="1">
      <c r="A992" s="15" t="str">
        <f>Solieusap!A992</f>
        <v>Cũ</v>
      </c>
      <c r="B992" s="15">
        <f>Solieusap!B992</f>
        <v>1.75</v>
      </c>
      <c r="C992" s="15" t="str">
        <f>Solieusap!C992</f>
        <v>COMB1</v>
      </c>
      <c r="D992" s="15" t="str">
        <f>Solieusap!D992</f>
        <v>Combination</v>
      </c>
      <c r="E992" s="16">
        <f>ABS(Solieusap!E992)</f>
        <v>2.8012</v>
      </c>
      <c r="F992" s="16">
        <f>ABS(Solieusap!F992)</f>
        <v>0.1555</v>
      </c>
      <c r="G992" s="16">
        <f>ABS(Solieusap!G992)</f>
        <v>0.224</v>
      </c>
      <c r="H992" s="16">
        <f>ABS(Solieusap!H992)</f>
        <v>0.000058</v>
      </c>
      <c r="I992" s="16">
        <f>ABS(Solieusap!I992)</f>
        <v>0.00367</v>
      </c>
      <c r="J992" s="16">
        <f>ABS(Solieusap!J992)</f>
        <v>0.00569</v>
      </c>
      <c r="K992" s="16">
        <f t="shared" si="1"/>
        <v>2.8012</v>
      </c>
      <c r="L992" s="16">
        <f t="shared" si="2"/>
        <v>0.00367</v>
      </c>
    </row>
    <row r="993" ht="16.5" customHeight="1">
      <c r="A993" s="15" t="str">
        <f>Solieusap!A993</f>
        <v>Cũ</v>
      </c>
      <c r="B993" s="15">
        <f>Solieusap!B993</f>
        <v>3.5</v>
      </c>
      <c r="C993" s="15" t="str">
        <f>Solieusap!C993</f>
        <v>COMB1</v>
      </c>
      <c r="D993" s="15" t="str">
        <f>Solieusap!D993</f>
        <v>Combination</v>
      </c>
      <c r="E993" s="16">
        <f>ABS(Solieusap!E993)</f>
        <v>2.6087</v>
      </c>
      <c r="F993" s="16">
        <f>ABS(Solieusap!F993)</f>
        <v>0.1555</v>
      </c>
      <c r="G993" s="16">
        <f>ABS(Solieusap!G993)</f>
        <v>0.224</v>
      </c>
      <c r="H993" s="16">
        <f>ABS(Solieusap!H993)</f>
        <v>0.000058</v>
      </c>
      <c r="I993" s="16">
        <f>ABS(Solieusap!I993)</f>
        <v>0.3883</v>
      </c>
      <c r="J993" s="16">
        <f>ABS(Solieusap!J993)</f>
        <v>0.27774</v>
      </c>
      <c r="K993" s="16">
        <f t="shared" si="1"/>
        <v>2.6087</v>
      </c>
      <c r="L993" s="16">
        <f t="shared" si="2"/>
        <v>0.3883</v>
      </c>
    </row>
    <row r="994" ht="16.5" customHeight="1">
      <c r="A994" s="15" t="str">
        <f>Solieusap!A994</f>
        <v>Cũ</v>
      </c>
      <c r="B994" s="15">
        <f>Solieusap!B994</f>
        <v>0</v>
      </c>
      <c r="C994" s="15" t="str">
        <f>Solieusap!C994</f>
        <v>COMB2</v>
      </c>
      <c r="D994" s="15" t="str">
        <f>Solieusap!D994</f>
        <v>Combination</v>
      </c>
      <c r="E994" s="16">
        <f>ABS(Solieusap!E994)</f>
        <v>2.3747</v>
      </c>
      <c r="F994" s="16">
        <f>ABS(Solieusap!F994)</f>
        <v>0.5296</v>
      </c>
      <c r="G994" s="16">
        <f>ABS(Solieusap!G994)</f>
        <v>0.1493</v>
      </c>
      <c r="H994" s="16">
        <f>ABS(Solieusap!H994)</f>
        <v>0.00002071</v>
      </c>
      <c r="I994" s="16">
        <f>ABS(Solieusap!I994)</f>
        <v>0.27064</v>
      </c>
      <c r="J994" s="16">
        <f>ABS(Solieusap!J994)</f>
        <v>0.57781</v>
      </c>
      <c r="K994" s="16">
        <f t="shared" si="1"/>
        <v>2.3747</v>
      </c>
      <c r="L994" s="16">
        <f t="shared" si="2"/>
        <v>0.27064</v>
      </c>
    </row>
    <row r="995" ht="16.5" customHeight="1">
      <c r="A995" s="15" t="str">
        <f>Solieusap!A995</f>
        <v>Cũ</v>
      </c>
      <c r="B995" s="15">
        <f>Solieusap!B995</f>
        <v>1.75</v>
      </c>
      <c r="C995" s="15" t="str">
        <f>Solieusap!C995</f>
        <v>COMB2</v>
      </c>
      <c r="D995" s="15" t="str">
        <f>Solieusap!D995</f>
        <v>Combination</v>
      </c>
      <c r="E995" s="16">
        <f>ABS(Solieusap!E995)</f>
        <v>2.1822</v>
      </c>
      <c r="F995" s="16">
        <f>ABS(Solieusap!F995)</f>
        <v>0.2671</v>
      </c>
      <c r="G995" s="16">
        <f>ABS(Solieusap!G995)</f>
        <v>0.1493</v>
      </c>
      <c r="H995" s="16">
        <f>ABS(Solieusap!H995)</f>
        <v>0.00002071</v>
      </c>
      <c r="I995" s="16">
        <f>ABS(Solieusap!I995)</f>
        <v>0.00941</v>
      </c>
      <c r="J995" s="16">
        <f>ABS(Solieusap!J995)</f>
        <v>0.11932</v>
      </c>
      <c r="K995" s="16">
        <f t="shared" si="1"/>
        <v>2.1822</v>
      </c>
      <c r="L995" s="16">
        <f t="shared" si="2"/>
        <v>0.00941</v>
      </c>
    </row>
    <row r="996" ht="16.5" customHeight="1">
      <c r="A996" s="15" t="str">
        <f>Solieusap!A996</f>
        <v>Cũ</v>
      </c>
      <c r="B996" s="15">
        <f>Solieusap!B996</f>
        <v>3.5</v>
      </c>
      <c r="C996" s="15" t="str">
        <f>Solieusap!C996</f>
        <v>COMB2</v>
      </c>
      <c r="D996" s="15" t="str">
        <f>Solieusap!D996</f>
        <v>Combination</v>
      </c>
      <c r="E996" s="16">
        <f>ABS(Solieusap!E996)</f>
        <v>1.9897</v>
      </c>
      <c r="F996" s="16">
        <f>ABS(Solieusap!F996)</f>
        <v>0.0046</v>
      </c>
      <c r="G996" s="16">
        <f>ABS(Solieusap!G996)</f>
        <v>0.1493</v>
      </c>
      <c r="H996" s="16">
        <f>ABS(Solieusap!H996)</f>
        <v>0.00002071</v>
      </c>
      <c r="I996" s="16">
        <f>ABS(Solieusap!I996)</f>
        <v>0.25181</v>
      </c>
      <c r="J996" s="16">
        <f>ABS(Solieusap!J996)</f>
        <v>0.35707</v>
      </c>
      <c r="K996" s="16">
        <f t="shared" si="1"/>
        <v>1.9897</v>
      </c>
      <c r="L996" s="16">
        <f t="shared" si="2"/>
        <v>0.25181</v>
      </c>
    </row>
    <row r="997" ht="16.5" customHeight="1">
      <c r="A997" s="15" t="str">
        <f>Solieusap!A997</f>
        <v>Cũ</v>
      </c>
      <c r="B997" s="15">
        <f>Solieusap!B997</f>
        <v>0</v>
      </c>
      <c r="C997" s="15" t="str">
        <f>Solieusap!C997</f>
        <v>COMB3</v>
      </c>
      <c r="D997" s="15" t="str">
        <f>Solieusap!D997</f>
        <v>Combination</v>
      </c>
      <c r="E997" s="16">
        <f>ABS(Solieusap!E997)</f>
        <v>2.2242</v>
      </c>
      <c r="F997" s="16">
        <f>ABS(Solieusap!F997)</f>
        <v>0.4168</v>
      </c>
      <c r="G997" s="16">
        <f>ABS(Solieusap!G997)</f>
        <v>0.1449</v>
      </c>
      <c r="H997" s="16">
        <f>ABS(Solieusap!H997)</f>
        <v>0.0001</v>
      </c>
      <c r="I997" s="16">
        <f>ABS(Solieusap!I997)</f>
        <v>0.26088</v>
      </c>
      <c r="J997" s="16">
        <f>ABS(Solieusap!J997)</f>
        <v>0.2783</v>
      </c>
      <c r="K997" s="16">
        <f t="shared" si="1"/>
        <v>2.2242</v>
      </c>
      <c r="L997" s="16">
        <f t="shared" si="2"/>
        <v>0.26088</v>
      </c>
    </row>
    <row r="998" ht="16.5" customHeight="1">
      <c r="A998" s="15" t="str">
        <f>Solieusap!A998</f>
        <v>Cũ</v>
      </c>
      <c r="B998" s="15">
        <f>Solieusap!B998</f>
        <v>1.75</v>
      </c>
      <c r="C998" s="15" t="str">
        <f>Solieusap!C998</f>
        <v>COMB3</v>
      </c>
      <c r="D998" s="15" t="str">
        <f>Solieusap!D998</f>
        <v>Combination</v>
      </c>
      <c r="E998" s="16">
        <f>ABS(Solieusap!E998)</f>
        <v>2.0317</v>
      </c>
      <c r="F998" s="16">
        <f>ABS(Solieusap!F998)</f>
        <v>0.0668</v>
      </c>
      <c r="G998" s="16">
        <f>ABS(Solieusap!G998)</f>
        <v>0.1449</v>
      </c>
      <c r="H998" s="16">
        <f>ABS(Solieusap!H998)</f>
        <v>0.0001</v>
      </c>
      <c r="I998" s="16">
        <f>ABS(Solieusap!I998)</f>
        <v>0.00726</v>
      </c>
      <c r="J998" s="16">
        <f>ABS(Solieusap!J998)</f>
        <v>0.14492</v>
      </c>
      <c r="K998" s="16">
        <f t="shared" si="1"/>
        <v>2.0317</v>
      </c>
      <c r="L998" s="16">
        <f t="shared" si="2"/>
        <v>0.00726</v>
      </c>
    </row>
    <row r="999" ht="16.5" customHeight="1">
      <c r="A999" s="15" t="str">
        <f>Solieusap!A999</f>
        <v>Cũ</v>
      </c>
      <c r="B999" s="15">
        <f>Solieusap!B999</f>
        <v>3.5</v>
      </c>
      <c r="C999" s="15" t="str">
        <f>Solieusap!C999</f>
        <v>COMB3</v>
      </c>
      <c r="D999" s="15" t="str">
        <f>Solieusap!D999</f>
        <v>Combination</v>
      </c>
      <c r="E999" s="16">
        <f>ABS(Solieusap!E999)</f>
        <v>1.8392</v>
      </c>
      <c r="F999" s="16">
        <f>ABS(Solieusap!F999)</f>
        <v>0.2832</v>
      </c>
      <c r="G999" s="16">
        <f>ABS(Solieusap!G999)</f>
        <v>0.1449</v>
      </c>
      <c r="H999" s="16">
        <f>ABS(Solieusap!H999)</f>
        <v>0.0001</v>
      </c>
      <c r="I999" s="16">
        <f>ABS(Solieusap!I999)</f>
        <v>0.24635</v>
      </c>
      <c r="J999" s="16">
        <f>ABS(Solieusap!J999)</f>
        <v>0.04436</v>
      </c>
      <c r="K999" s="16">
        <f t="shared" si="1"/>
        <v>1.8392</v>
      </c>
      <c r="L999" s="16">
        <f t="shared" si="2"/>
        <v>0.24635</v>
      </c>
    </row>
    <row r="1000" ht="16.5" customHeight="1">
      <c r="A1000" s="15" t="str">
        <f>Solieusap!A1000</f>
        <v>Cũ</v>
      </c>
      <c r="B1000" s="15">
        <f>Solieusap!B1000</f>
        <v>0</v>
      </c>
      <c r="C1000" s="15" t="str">
        <f>Solieusap!C1000</f>
        <v>COMB4</v>
      </c>
      <c r="D1000" s="15" t="str">
        <f>Solieusap!D1000</f>
        <v>Combination</v>
      </c>
      <c r="E1000" s="16">
        <f>ABS(Solieusap!E1000)</f>
        <v>2.3504</v>
      </c>
      <c r="F1000" s="16">
        <f>ABS(Solieusap!F1000)</f>
        <v>0.1032</v>
      </c>
      <c r="G1000" s="16">
        <f>ABS(Solieusap!G1000)</f>
        <v>0.543</v>
      </c>
      <c r="H1000" s="16">
        <f>ABS(Solieusap!H1000)</f>
        <v>0.00005023</v>
      </c>
      <c r="I1000" s="16">
        <f>ABS(Solieusap!I1000)</f>
        <v>0.6198</v>
      </c>
      <c r="J1000" s="16">
        <f>ABS(Solieusap!J1000)</f>
        <v>0.1811</v>
      </c>
      <c r="K1000" s="16">
        <f t="shared" si="1"/>
        <v>2.3504</v>
      </c>
      <c r="L1000" s="16">
        <f t="shared" si="2"/>
        <v>0.6198</v>
      </c>
    </row>
    <row r="1001" ht="16.5" customHeight="1">
      <c r="A1001" s="15" t="str">
        <f>Solieusap!A1001</f>
        <v>Cũ</v>
      </c>
      <c r="B1001" s="15">
        <f>Solieusap!B1001</f>
        <v>1.75</v>
      </c>
      <c r="C1001" s="15" t="str">
        <f>Solieusap!C1001</f>
        <v>COMB4</v>
      </c>
      <c r="D1001" s="15" t="str">
        <f>Solieusap!D1001</f>
        <v>Combination</v>
      </c>
      <c r="E1001" s="16">
        <f>ABS(Solieusap!E1001)</f>
        <v>2.1579</v>
      </c>
      <c r="F1001" s="16">
        <f>ABS(Solieusap!F1001)</f>
        <v>0.1032</v>
      </c>
      <c r="G1001" s="16">
        <f>ABS(Solieusap!G1001)</f>
        <v>0.2805</v>
      </c>
      <c r="H1001" s="16">
        <f>ABS(Solieusap!H1001)</f>
        <v>0.00005023</v>
      </c>
      <c r="I1001" s="16">
        <f>ABS(Solieusap!I1001)</f>
        <v>0.10072</v>
      </c>
      <c r="J1001" s="16">
        <f>ABS(Solieusap!J1001)</f>
        <v>0.0005</v>
      </c>
      <c r="K1001" s="16">
        <f t="shared" si="1"/>
        <v>2.1579</v>
      </c>
      <c r="L1001" s="16">
        <f t="shared" si="2"/>
        <v>0.10072</v>
      </c>
    </row>
    <row r="1002" ht="16.5" customHeight="1">
      <c r="A1002" s="15" t="str">
        <f>Solieusap!A1002</f>
        <v>Cũ</v>
      </c>
      <c r="B1002" s="15">
        <f>Solieusap!B1002</f>
        <v>3.5</v>
      </c>
      <c r="C1002" s="15" t="str">
        <f>Solieusap!C1002</f>
        <v>COMB4</v>
      </c>
      <c r="D1002" s="15" t="str">
        <f>Solieusap!D1002</f>
        <v>Combination</v>
      </c>
      <c r="E1002" s="16">
        <f>ABS(Solieusap!E1002)</f>
        <v>1.9654</v>
      </c>
      <c r="F1002" s="16">
        <f>ABS(Solieusap!F1002)</f>
        <v>0.1032</v>
      </c>
      <c r="G1002" s="16">
        <f>ABS(Solieusap!G1002)</f>
        <v>0.018</v>
      </c>
      <c r="H1002" s="16">
        <f>ABS(Solieusap!H1002)</f>
        <v>0.00005023</v>
      </c>
      <c r="I1002" s="16">
        <f>ABS(Solieusap!I1002)</f>
        <v>0.36187</v>
      </c>
      <c r="J1002" s="16">
        <f>ABS(Solieusap!J1002)</f>
        <v>0.1801</v>
      </c>
      <c r="K1002" s="16">
        <f t="shared" si="1"/>
        <v>1.9654</v>
      </c>
      <c r="L1002" s="16">
        <f t="shared" si="2"/>
        <v>0.36187</v>
      </c>
    </row>
    <row r="1003" ht="16.5" customHeight="1">
      <c r="A1003" s="15" t="str">
        <f>Solieusap!A1003</f>
        <v>Cũ</v>
      </c>
      <c r="B1003" s="15">
        <f>Solieusap!B1003</f>
        <v>0</v>
      </c>
      <c r="C1003" s="15" t="str">
        <f>Solieusap!C1003</f>
        <v>COMB5</v>
      </c>
      <c r="D1003" s="15" t="str">
        <f>Solieusap!D1003</f>
        <v>Combination</v>
      </c>
      <c r="E1003" s="16">
        <f>ABS(Solieusap!E1003)</f>
        <v>2.9763</v>
      </c>
      <c r="F1003" s="16">
        <f>ABS(Solieusap!F1003)</f>
        <v>0.1511</v>
      </c>
      <c r="G1003" s="16">
        <f>ABS(Solieusap!G1003)</f>
        <v>0.5726</v>
      </c>
      <c r="H1003" s="16">
        <f>ABS(Solieusap!H1003)</f>
        <v>0.00006635</v>
      </c>
      <c r="I1003" s="16">
        <f>ABS(Solieusap!I1003)</f>
        <v>0.70135</v>
      </c>
      <c r="J1003" s="16">
        <f>ABS(Solieusap!J1003)</f>
        <v>0.2599</v>
      </c>
      <c r="K1003" s="16">
        <f t="shared" si="1"/>
        <v>2.9763</v>
      </c>
      <c r="L1003" s="16">
        <f t="shared" si="2"/>
        <v>0.70135</v>
      </c>
    </row>
    <row r="1004" ht="16.5" customHeight="1">
      <c r="A1004" s="15" t="str">
        <f>Solieusap!A1004</f>
        <v>Cũ</v>
      </c>
      <c r="B1004" s="15">
        <f>Solieusap!B1004</f>
        <v>1.75</v>
      </c>
      <c r="C1004" s="15" t="str">
        <f>Solieusap!C1004</f>
        <v>COMB5</v>
      </c>
      <c r="D1004" s="15" t="str">
        <f>Solieusap!D1004</f>
        <v>Combination</v>
      </c>
      <c r="E1004" s="16">
        <f>ABS(Solieusap!E1004)</f>
        <v>2.7838</v>
      </c>
      <c r="F1004" s="16">
        <f>ABS(Solieusap!F1004)</f>
        <v>0.1511</v>
      </c>
      <c r="G1004" s="16">
        <f>ABS(Solieusap!G1004)</f>
        <v>0.3364</v>
      </c>
      <c r="H1004" s="16">
        <f>ABS(Solieusap!H1004)</f>
        <v>0.00006635</v>
      </c>
      <c r="I1004" s="16">
        <f>ABS(Solieusap!I1004)</f>
        <v>0.09402</v>
      </c>
      <c r="J1004" s="16">
        <f>ABS(Solieusap!J1004)</f>
        <v>0.00458</v>
      </c>
      <c r="K1004" s="16">
        <f t="shared" si="1"/>
        <v>2.7838</v>
      </c>
      <c r="L1004" s="16">
        <f t="shared" si="2"/>
        <v>0.09402</v>
      </c>
    </row>
    <row r="1005" ht="16.5" customHeight="1">
      <c r="A1005" s="15" t="str">
        <f>Solieusap!A1005</f>
        <v>Cũ</v>
      </c>
      <c r="B1005" s="15">
        <f>Solieusap!B1005</f>
        <v>3.5</v>
      </c>
      <c r="C1005" s="15" t="str">
        <f>Solieusap!C1005</f>
        <v>COMB5</v>
      </c>
      <c r="D1005" s="15" t="str">
        <f>Solieusap!D1005</f>
        <v>Combination</v>
      </c>
      <c r="E1005" s="16">
        <f>ABS(Solieusap!E1005)</f>
        <v>2.5913</v>
      </c>
      <c r="F1005" s="16">
        <f>ABS(Solieusap!F1005)</f>
        <v>0.1511</v>
      </c>
      <c r="G1005" s="16">
        <f>ABS(Solieusap!G1005)</f>
        <v>0.1001</v>
      </c>
      <c r="H1005" s="16">
        <f>ABS(Solieusap!H1005)</f>
        <v>0.00006635</v>
      </c>
      <c r="I1005" s="16">
        <f>ABS(Solieusap!I1005)</f>
        <v>0.47595</v>
      </c>
      <c r="J1005" s="16">
        <f>ABS(Solieusap!J1005)</f>
        <v>0.26906</v>
      </c>
      <c r="K1005" s="16">
        <f t="shared" si="1"/>
        <v>2.5913</v>
      </c>
      <c r="L1005" s="16">
        <f t="shared" si="2"/>
        <v>0.47595</v>
      </c>
    </row>
    <row r="1006" ht="16.5" customHeight="1">
      <c r="A1006" s="15" t="str">
        <f>Solieusap!A1006</f>
        <v>Cũ</v>
      </c>
      <c r="B1006" s="15">
        <f>Solieusap!B1006</f>
        <v>0</v>
      </c>
      <c r="C1006" s="15" t="str">
        <f>Solieusap!C1006</f>
        <v>COMB6</v>
      </c>
      <c r="D1006" s="15" t="str">
        <f>Solieusap!D1006</f>
        <v>Combination</v>
      </c>
      <c r="E1006" s="16">
        <f>ABS(Solieusap!E1006)</f>
        <v>2.8627</v>
      </c>
      <c r="F1006" s="16">
        <f>ABS(Solieusap!F1006)</f>
        <v>0.3169</v>
      </c>
      <c r="G1006" s="16">
        <f>ABS(Solieusap!G1006)</f>
        <v>0.2144</v>
      </c>
      <c r="H1006" s="16">
        <f>ABS(Solieusap!H1006)</f>
        <v>0.00011</v>
      </c>
      <c r="I1006" s="16">
        <f>ABS(Solieusap!I1006)</f>
        <v>0.37832</v>
      </c>
      <c r="J1006" s="16">
        <f>ABS(Solieusap!J1006)</f>
        <v>0.15355</v>
      </c>
      <c r="K1006" s="16">
        <f t="shared" si="1"/>
        <v>2.8627</v>
      </c>
      <c r="L1006" s="16">
        <f t="shared" si="2"/>
        <v>0.37832</v>
      </c>
    </row>
    <row r="1007" ht="16.5" customHeight="1">
      <c r="A1007" s="15" t="str">
        <f>Solieusap!A1007</f>
        <v>Cũ</v>
      </c>
      <c r="B1007" s="15">
        <f>Solieusap!B1007</f>
        <v>1.75</v>
      </c>
      <c r="C1007" s="15" t="str">
        <f>Solieusap!C1007</f>
        <v>COMB6</v>
      </c>
      <c r="D1007" s="15" t="str">
        <f>Solieusap!D1007</f>
        <v>Combination</v>
      </c>
      <c r="E1007" s="16">
        <f>ABS(Solieusap!E1007)</f>
        <v>2.6702</v>
      </c>
      <c r="F1007" s="16">
        <f>ABS(Solieusap!F1007)</f>
        <v>0.0019</v>
      </c>
      <c r="G1007" s="16">
        <f>ABS(Solieusap!G1007)</f>
        <v>0.2144</v>
      </c>
      <c r="H1007" s="16">
        <f>ABS(Solieusap!H1007)</f>
        <v>0.00011</v>
      </c>
      <c r="I1007" s="16">
        <f>ABS(Solieusap!I1007)</f>
        <v>0.00317</v>
      </c>
      <c r="J1007" s="16">
        <f>ABS(Solieusap!J1007)</f>
        <v>0.1254</v>
      </c>
      <c r="K1007" s="16">
        <f t="shared" si="1"/>
        <v>2.6702</v>
      </c>
      <c r="L1007" s="16">
        <f t="shared" si="2"/>
        <v>0.00317</v>
      </c>
    </row>
    <row r="1008" ht="16.5" customHeight="1">
      <c r="A1008" s="15" t="str">
        <f>Solieusap!A1008</f>
        <v>Cũ</v>
      </c>
      <c r="B1008" s="15">
        <f>Solieusap!B1008</f>
        <v>3.5</v>
      </c>
      <c r="C1008" s="15" t="str">
        <f>Solieusap!C1008</f>
        <v>COMB6</v>
      </c>
      <c r="D1008" s="15" t="str">
        <f>Solieusap!D1008</f>
        <v>Combination</v>
      </c>
      <c r="E1008" s="16">
        <f>ABS(Solieusap!E1008)</f>
        <v>2.4777</v>
      </c>
      <c r="F1008" s="16">
        <f>ABS(Solieusap!F1008)</f>
        <v>0.3131</v>
      </c>
      <c r="G1008" s="16">
        <f>ABS(Solieusap!G1008)</f>
        <v>0.2144</v>
      </c>
      <c r="H1008" s="16">
        <f>ABS(Solieusap!H1008)</f>
        <v>0.00011</v>
      </c>
      <c r="I1008" s="16">
        <f>ABS(Solieusap!I1008)</f>
        <v>0.37198</v>
      </c>
      <c r="J1008" s="16">
        <f>ABS(Solieusap!J1008)</f>
        <v>0.1469</v>
      </c>
      <c r="K1008" s="16">
        <f t="shared" si="1"/>
        <v>2.4777</v>
      </c>
      <c r="L1008" s="16">
        <f t="shared" si="2"/>
        <v>0.37198</v>
      </c>
    </row>
    <row r="1009" ht="16.5" customHeight="1">
      <c r="A1009" s="15" t="str">
        <f>Solieusap!A1009</f>
        <v>Cũ</v>
      </c>
      <c r="B1009" s="15">
        <f>Solieusap!B1009</f>
        <v>0</v>
      </c>
      <c r="C1009" s="15" t="str">
        <f>Solieusap!C1009</f>
        <v>COMB7</v>
      </c>
      <c r="D1009" s="15" t="str">
        <f>Solieusap!D1009</f>
        <v>Combination</v>
      </c>
      <c r="E1009" s="16">
        <f>ABS(Solieusap!E1009)</f>
        <v>2.9982</v>
      </c>
      <c r="F1009" s="16">
        <f>ABS(Solieusap!F1009)</f>
        <v>0.5349</v>
      </c>
      <c r="G1009" s="16">
        <f>ABS(Solieusap!G1009)</f>
        <v>0.2183</v>
      </c>
      <c r="H1009" s="16">
        <f>ABS(Solieusap!H1009)</f>
        <v>0.00003978</v>
      </c>
      <c r="I1009" s="16">
        <f>ABS(Solieusap!I1009)</f>
        <v>0.3871</v>
      </c>
      <c r="J1009" s="16">
        <f>ABS(Solieusap!J1009)</f>
        <v>0.61695</v>
      </c>
      <c r="K1009" s="16">
        <f t="shared" si="1"/>
        <v>2.9982</v>
      </c>
      <c r="L1009" s="16">
        <f t="shared" si="2"/>
        <v>0.3871</v>
      </c>
    </row>
    <row r="1010" ht="16.5" customHeight="1">
      <c r="A1010" s="15" t="str">
        <f>Solieusap!A1010</f>
        <v>Cũ</v>
      </c>
      <c r="B1010" s="15">
        <f>Solieusap!B1010</f>
        <v>1.75</v>
      </c>
      <c r="C1010" s="15" t="str">
        <f>Solieusap!C1010</f>
        <v>COMB7</v>
      </c>
      <c r="D1010" s="15" t="str">
        <f>Solieusap!D1010</f>
        <v>Combination</v>
      </c>
      <c r="E1010" s="16">
        <f>ABS(Solieusap!E1010)</f>
        <v>2.8057</v>
      </c>
      <c r="F1010" s="16">
        <f>ABS(Solieusap!F1010)</f>
        <v>0.2987</v>
      </c>
      <c r="G1010" s="16">
        <f>ABS(Solieusap!G1010)</f>
        <v>0.2183</v>
      </c>
      <c r="H1010" s="16">
        <f>ABS(Solieusap!H1010)</f>
        <v>0.00003978</v>
      </c>
      <c r="I1010" s="16">
        <f>ABS(Solieusap!I1010)</f>
        <v>0.0051</v>
      </c>
      <c r="J1010" s="16">
        <f>ABS(Solieusap!J1010)</f>
        <v>0.11241</v>
      </c>
      <c r="K1010" s="16">
        <f t="shared" si="1"/>
        <v>2.8057</v>
      </c>
      <c r="L1010" s="16">
        <f t="shared" si="2"/>
        <v>0.0051</v>
      </c>
    </row>
    <row r="1011" ht="16.5" customHeight="1">
      <c r="A1011" s="15" t="str">
        <f>Solieusap!A1011</f>
        <v>Cũ</v>
      </c>
      <c r="B1011" s="15">
        <f>Solieusap!B1011</f>
        <v>3.5</v>
      </c>
      <c r="C1011" s="15" t="str">
        <f>Solieusap!C1011</f>
        <v>COMB7</v>
      </c>
      <c r="D1011" s="15" t="str">
        <f>Solieusap!D1011</f>
        <v>Combination</v>
      </c>
      <c r="E1011" s="16">
        <f>ABS(Solieusap!E1011)</f>
        <v>2.6132</v>
      </c>
      <c r="F1011" s="16">
        <f>ABS(Solieusap!F1011)</f>
        <v>0.0624</v>
      </c>
      <c r="G1011" s="16">
        <f>ABS(Solieusap!G1011)</f>
        <v>0.2183</v>
      </c>
      <c r="H1011" s="16">
        <f>ABS(Solieusap!H1011)</f>
        <v>0.00003978</v>
      </c>
      <c r="I1011" s="16">
        <f>ABS(Solieusap!I1011)</f>
        <v>0.3769</v>
      </c>
      <c r="J1011" s="16">
        <f>ABS(Solieusap!J1011)</f>
        <v>0.42834</v>
      </c>
      <c r="K1011" s="16">
        <f t="shared" si="1"/>
        <v>2.6132</v>
      </c>
      <c r="L1011" s="16">
        <f t="shared" si="2"/>
        <v>0.3769</v>
      </c>
    </row>
    <row r="1012" ht="16.5" customHeight="1">
      <c r="A1012" s="15" t="str">
        <f>Solieusap!A1012</f>
        <v>Cũ</v>
      </c>
      <c r="B1012" s="15">
        <f>Solieusap!B1012</f>
        <v>0</v>
      </c>
      <c r="C1012" s="15" t="str">
        <f>Solieusap!C1012</f>
        <v>COMB1</v>
      </c>
      <c r="D1012" s="15" t="str">
        <f>Solieusap!D1012</f>
        <v>Combination</v>
      </c>
      <c r="E1012" s="16">
        <f>ABS(Solieusap!E1012)</f>
        <v>2.9937</v>
      </c>
      <c r="F1012" s="16">
        <f>ABS(Solieusap!F1012)</f>
        <v>0.1555</v>
      </c>
      <c r="G1012" s="16">
        <f>ABS(Solieusap!G1012)</f>
        <v>0.224</v>
      </c>
      <c r="H1012" s="16">
        <f>ABS(Solieusap!H1012)</f>
        <v>0.000058</v>
      </c>
      <c r="I1012" s="16">
        <f>ABS(Solieusap!I1012)</f>
        <v>0.39565</v>
      </c>
      <c r="J1012" s="16">
        <f>ABS(Solieusap!J1012)</f>
        <v>0.26636</v>
      </c>
      <c r="K1012" s="16">
        <f t="shared" si="1"/>
        <v>2.9937</v>
      </c>
      <c r="L1012" s="16">
        <f t="shared" si="2"/>
        <v>0.39565</v>
      </c>
    </row>
    <row r="1013" ht="16.5" customHeight="1">
      <c r="A1013" s="15" t="str">
        <f>Solieusap!A1013</f>
        <v>Cũ</v>
      </c>
      <c r="B1013" s="15">
        <f>Solieusap!B1013</f>
        <v>1.75</v>
      </c>
      <c r="C1013" s="15" t="str">
        <f>Solieusap!C1013</f>
        <v>COMB1</v>
      </c>
      <c r="D1013" s="15" t="str">
        <f>Solieusap!D1013</f>
        <v>Combination</v>
      </c>
      <c r="E1013" s="16">
        <f>ABS(Solieusap!E1013)</f>
        <v>2.8012</v>
      </c>
      <c r="F1013" s="16">
        <f>ABS(Solieusap!F1013)</f>
        <v>0.1555</v>
      </c>
      <c r="G1013" s="16">
        <f>ABS(Solieusap!G1013)</f>
        <v>0.224</v>
      </c>
      <c r="H1013" s="16">
        <f>ABS(Solieusap!H1013)</f>
        <v>0.000058</v>
      </c>
      <c r="I1013" s="16">
        <f>ABS(Solieusap!I1013)</f>
        <v>0.00367</v>
      </c>
      <c r="J1013" s="16">
        <f>ABS(Solieusap!J1013)</f>
        <v>0.00569</v>
      </c>
      <c r="K1013" s="16">
        <f t="shared" si="1"/>
        <v>2.8012</v>
      </c>
      <c r="L1013" s="16">
        <f t="shared" si="2"/>
        <v>0.00367</v>
      </c>
    </row>
    <row r="1014" ht="16.5" customHeight="1">
      <c r="A1014" s="15" t="str">
        <f>Solieusap!A1014</f>
        <v>Cũ</v>
      </c>
      <c r="B1014" s="15">
        <f>Solieusap!B1014</f>
        <v>3.5</v>
      </c>
      <c r="C1014" s="15" t="str">
        <f>Solieusap!C1014</f>
        <v>COMB1</v>
      </c>
      <c r="D1014" s="15" t="str">
        <f>Solieusap!D1014</f>
        <v>Combination</v>
      </c>
      <c r="E1014" s="16">
        <f>ABS(Solieusap!E1014)</f>
        <v>2.6087</v>
      </c>
      <c r="F1014" s="16">
        <f>ABS(Solieusap!F1014)</f>
        <v>0.1555</v>
      </c>
      <c r="G1014" s="16">
        <f>ABS(Solieusap!G1014)</f>
        <v>0.224</v>
      </c>
      <c r="H1014" s="16">
        <f>ABS(Solieusap!H1014)</f>
        <v>0.000058</v>
      </c>
      <c r="I1014" s="16">
        <f>ABS(Solieusap!I1014)</f>
        <v>0.3883</v>
      </c>
      <c r="J1014" s="16">
        <f>ABS(Solieusap!J1014)</f>
        <v>0.27774</v>
      </c>
      <c r="K1014" s="16">
        <f t="shared" si="1"/>
        <v>2.6087</v>
      </c>
      <c r="L1014" s="16">
        <f t="shared" si="2"/>
        <v>0.3883</v>
      </c>
    </row>
    <row r="1015" ht="16.5" customHeight="1">
      <c r="A1015" s="15" t="str">
        <f>Solieusap!A1015</f>
        <v>Cũ</v>
      </c>
      <c r="B1015" s="15">
        <f>Solieusap!B1015</f>
        <v>0</v>
      </c>
      <c r="C1015" s="15" t="str">
        <f>Solieusap!C1015</f>
        <v>COMB2</v>
      </c>
      <c r="D1015" s="15" t="str">
        <f>Solieusap!D1015</f>
        <v>Combination</v>
      </c>
      <c r="E1015" s="16">
        <f>ABS(Solieusap!E1015)</f>
        <v>2.3747</v>
      </c>
      <c r="F1015" s="16">
        <f>ABS(Solieusap!F1015)</f>
        <v>0.5296</v>
      </c>
      <c r="G1015" s="16">
        <f>ABS(Solieusap!G1015)</f>
        <v>0.1493</v>
      </c>
      <c r="H1015" s="16">
        <f>ABS(Solieusap!H1015)</f>
        <v>0.00002071</v>
      </c>
      <c r="I1015" s="16">
        <f>ABS(Solieusap!I1015)</f>
        <v>0.27064</v>
      </c>
      <c r="J1015" s="16">
        <f>ABS(Solieusap!J1015)</f>
        <v>0.57781</v>
      </c>
      <c r="K1015" s="16">
        <f t="shared" si="1"/>
        <v>2.3747</v>
      </c>
      <c r="L1015" s="16">
        <f t="shared" si="2"/>
        <v>0.27064</v>
      </c>
    </row>
    <row r="1016" ht="16.5" customHeight="1">
      <c r="A1016" s="15" t="str">
        <f>Solieusap!A1016</f>
        <v>Cũ</v>
      </c>
      <c r="B1016" s="15">
        <f>Solieusap!B1016</f>
        <v>1.75</v>
      </c>
      <c r="C1016" s="15" t="str">
        <f>Solieusap!C1016</f>
        <v>COMB2</v>
      </c>
      <c r="D1016" s="15" t="str">
        <f>Solieusap!D1016</f>
        <v>Combination</v>
      </c>
      <c r="E1016" s="16">
        <f>ABS(Solieusap!E1016)</f>
        <v>2.1822</v>
      </c>
      <c r="F1016" s="16">
        <f>ABS(Solieusap!F1016)</f>
        <v>0.2671</v>
      </c>
      <c r="G1016" s="16">
        <f>ABS(Solieusap!G1016)</f>
        <v>0.1493</v>
      </c>
      <c r="H1016" s="16">
        <f>ABS(Solieusap!H1016)</f>
        <v>0.00002071</v>
      </c>
      <c r="I1016" s="16">
        <f>ABS(Solieusap!I1016)</f>
        <v>0.00941</v>
      </c>
      <c r="J1016" s="16">
        <f>ABS(Solieusap!J1016)</f>
        <v>0.11932</v>
      </c>
      <c r="K1016" s="16">
        <f t="shared" si="1"/>
        <v>2.1822</v>
      </c>
      <c r="L1016" s="16">
        <f t="shared" si="2"/>
        <v>0.00941</v>
      </c>
    </row>
    <row r="1017" ht="16.5" customHeight="1">
      <c r="A1017" s="15" t="str">
        <f>Solieusap!A1017</f>
        <v>Cũ</v>
      </c>
      <c r="B1017" s="15">
        <f>Solieusap!B1017</f>
        <v>3.5</v>
      </c>
      <c r="C1017" s="15" t="str">
        <f>Solieusap!C1017</f>
        <v>COMB2</v>
      </c>
      <c r="D1017" s="15" t="str">
        <f>Solieusap!D1017</f>
        <v>Combination</v>
      </c>
      <c r="E1017" s="16">
        <f>ABS(Solieusap!E1017)</f>
        <v>1.9897</v>
      </c>
      <c r="F1017" s="16">
        <f>ABS(Solieusap!F1017)</f>
        <v>0.0046</v>
      </c>
      <c r="G1017" s="16">
        <f>ABS(Solieusap!G1017)</f>
        <v>0.1493</v>
      </c>
      <c r="H1017" s="16">
        <f>ABS(Solieusap!H1017)</f>
        <v>0.00002071</v>
      </c>
      <c r="I1017" s="16">
        <f>ABS(Solieusap!I1017)</f>
        <v>0.25181</v>
      </c>
      <c r="J1017" s="16">
        <f>ABS(Solieusap!J1017)</f>
        <v>0.35707</v>
      </c>
      <c r="K1017" s="16">
        <f t="shared" si="1"/>
        <v>1.9897</v>
      </c>
      <c r="L1017" s="16">
        <f t="shared" si="2"/>
        <v>0.25181</v>
      </c>
    </row>
    <row r="1018" ht="16.5" customHeight="1">
      <c r="A1018" s="15" t="str">
        <f>Solieusap!A1018</f>
        <v>Cũ</v>
      </c>
      <c r="B1018" s="15">
        <f>Solieusap!B1018</f>
        <v>0</v>
      </c>
      <c r="C1018" s="15" t="str">
        <f>Solieusap!C1018</f>
        <v>COMB3</v>
      </c>
      <c r="D1018" s="15" t="str">
        <f>Solieusap!D1018</f>
        <v>Combination</v>
      </c>
      <c r="E1018" s="16">
        <f>ABS(Solieusap!E1018)</f>
        <v>2.2242</v>
      </c>
      <c r="F1018" s="16">
        <f>ABS(Solieusap!F1018)</f>
        <v>0.4168</v>
      </c>
      <c r="G1018" s="16">
        <f>ABS(Solieusap!G1018)</f>
        <v>0.1449</v>
      </c>
      <c r="H1018" s="16">
        <f>ABS(Solieusap!H1018)</f>
        <v>0.0001</v>
      </c>
      <c r="I1018" s="16">
        <f>ABS(Solieusap!I1018)</f>
        <v>0.26088</v>
      </c>
      <c r="J1018" s="16">
        <f>ABS(Solieusap!J1018)</f>
        <v>0.2783</v>
      </c>
      <c r="K1018" s="16">
        <f t="shared" si="1"/>
        <v>2.2242</v>
      </c>
      <c r="L1018" s="16">
        <f t="shared" si="2"/>
        <v>0.26088</v>
      </c>
    </row>
    <row r="1019" ht="16.5" customHeight="1">
      <c r="A1019" s="15" t="str">
        <f>Solieusap!A1019</f>
        <v>Cũ</v>
      </c>
      <c r="B1019" s="15">
        <f>Solieusap!B1019</f>
        <v>1.75</v>
      </c>
      <c r="C1019" s="15" t="str">
        <f>Solieusap!C1019</f>
        <v>COMB3</v>
      </c>
      <c r="D1019" s="15" t="str">
        <f>Solieusap!D1019</f>
        <v>Combination</v>
      </c>
      <c r="E1019" s="16">
        <f>ABS(Solieusap!E1019)</f>
        <v>2.0317</v>
      </c>
      <c r="F1019" s="16">
        <f>ABS(Solieusap!F1019)</f>
        <v>0.0668</v>
      </c>
      <c r="G1019" s="16">
        <f>ABS(Solieusap!G1019)</f>
        <v>0.1449</v>
      </c>
      <c r="H1019" s="16">
        <f>ABS(Solieusap!H1019)</f>
        <v>0.0001</v>
      </c>
      <c r="I1019" s="16">
        <f>ABS(Solieusap!I1019)</f>
        <v>0.00726</v>
      </c>
      <c r="J1019" s="16">
        <f>ABS(Solieusap!J1019)</f>
        <v>0.14492</v>
      </c>
      <c r="K1019" s="16">
        <f t="shared" si="1"/>
        <v>2.0317</v>
      </c>
      <c r="L1019" s="16">
        <f t="shared" si="2"/>
        <v>0.00726</v>
      </c>
    </row>
    <row r="1020" ht="16.5" customHeight="1">
      <c r="A1020" s="15" t="str">
        <f>Solieusap!A1020</f>
        <v>Cũ</v>
      </c>
      <c r="B1020" s="15">
        <f>Solieusap!B1020</f>
        <v>3.5</v>
      </c>
      <c r="C1020" s="15" t="str">
        <f>Solieusap!C1020</f>
        <v>COMB3</v>
      </c>
      <c r="D1020" s="15" t="str">
        <f>Solieusap!D1020</f>
        <v>Combination</v>
      </c>
      <c r="E1020" s="16">
        <f>ABS(Solieusap!E1020)</f>
        <v>1.8392</v>
      </c>
      <c r="F1020" s="16">
        <f>ABS(Solieusap!F1020)</f>
        <v>0.2832</v>
      </c>
      <c r="G1020" s="16">
        <f>ABS(Solieusap!G1020)</f>
        <v>0.1449</v>
      </c>
      <c r="H1020" s="16">
        <f>ABS(Solieusap!H1020)</f>
        <v>0.0001</v>
      </c>
      <c r="I1020" s="16">
        <f>ABS(Solieusap!I1020)</f>
        <v>0.24635</v>
      </c>
      <c r="J1020" s="16">
        <f>ABS(Solieusap!J1020)</f>
        <v>0.04436</v>
      </c>
      <c r="K1020" s="16">
        <f t="shared" si="1"/>
        <v>1.8392</v>
      </c>
      <c r="L1020" s="16">
        <f t="shared" si="2"/>
        <v>0.24635</v>
      </c>
    </row>
    <row r="1021" ht="16.5" customHeight="1">
      <c r="A1021" s="15" t="str">
        <f>Solieusap!A1021</f>
        <v>Cũ</v>
      </c>
      <c r="B1021" s="15">
        <f>Solieusap!B1021</f>
        <v>0</v>
      </c>
      <c r="C1021" s="15" t="str">
        <f>Solieusap!C1021</f>
        <v>COMB4</v>
      </c>
      <c r="D1021" s="15" t="str">
        <f>Solieusap!D1021</f>
        <v>Combination</v>
      </c>
      <c r="E1021" s="16">
        <f>ABS(Solieusap!E1021)</f>
        <v>2.3504</v>
      </c>
      <c r="F1021" s="16">
        <f>ABS(Solieusap!F1021)</f>
        <v>0.1032</v>
      </c>
      <c r="G1021" s="16">
        <f>ABS(Solieusap!G1021)</f>
        <v>0.543</v>
      </c>
      <c r="H1021" s="16">
        <f>ABS(Solieusap!H1021)</f>
        <v>0.00005023</v>
      </c>
      <c r="I1021" s="16">
        <f>ABS(Solieusap!I1021)</f>
        <v>0.6198</v>
      </c>
      <c r="J1021" s="16">
        <f>ABS(Solieusap!J1021)</f>
        <v>0.1811</v>
      </c>
      <c r="K1021" s="16">
        <f t="shared" si="1"/>
        <v>2.3504</v>
      </c>
      <c r="L1021" s="16">
        <f t="shared" si="2"/>
        <v>0.6198</v>
      </c>
    </row>
    <row r="1022" ht="16.5" customHeight="1">
      <c r="A1022" s="15" t="str">
        <f>Solieusap!A1022</f>
        <v>Cũ</v>
      </c>
      <c r="B1022" s="15">
        <f>Solieusap!B1022</f>
        <v>1.75</v>
      </c>
      <c r="C1022" s="15" t="str">
        <f>Solieusap!C1022</f>
        <v>COMB4</v>
      </c>
      <c r="D1022" s="15" t="str">
        <f>Solieusap!D1022</f>
        <v>Combination</v>
      </c>
      <c r="E1022" s="16">
        <f>ABS(Solieusap!E1022)</f>
        <v>2.1579</v>
      </c>
      <c r="F1022" s="16">
        <f>ABS(Solieusap!F1022)</f>
        <v>0.1032</v>
      </c>
      <c r="G1022" s="16">
        <f>ABS(Solieusap!G1022)</f>
        <v>0.2805</v>
      </c>
      <c r="H1022" s="16">
        <f>ABS(Solieusap!H1022)</f>
        <v>0.00005023</v>
      </c>
      <c r="I1022" s="16">
        <f>ABS(Solieusap!I1022)</f>
        <v>0.10072</v>
      </c>
      <c r="J1022" s="16">
        <f>ABS(Solieusap!J1022)</f>
        <v>0.0005</v>
      </c>
      <c r="K1022" s="16">
        <f t="shared" si="1"/>
        <v>2.1579</v>
      </c>
      <c r="L1022" s="16">
        <f t="shared" si="2"/>
        <v>0.10072</v>
      </c>
    </row>
    <row r="1023" ht="16.5" customHeight="1">
      <c r="A1023" s="15" t="str">
        <f>Solieusap!A1023</f>
        <v>Cũ</v>
      </c>
      <c r="B1023" s="15">
        <f>Solieusap!B1023</f>
        <v>3.5</v>
      </c>
      <c r="C1023" s="15" t="str">
        <f>Solieusap!C1023</f>
        <v>COMB4</v>
      </c>
      <c r="D1023" s="15" t="str">
        <f>Solieusap!D1023</f>
        <v>Combination</v>
      </c>
      <c r="E1023" s="16">
        <f>ABS(Solieusap!E1023)</f>
        <v>1.9654</v>
      </c>
      <c r="F1023" s="16">
        <f>ABS(Solieusap!F1023)</f>
        <v>0.1032</v>
      </c>
      <c r="G1023" s="16">
        <f>ABS(Solieusap!G1023)</f>
        <v>0.018</v>
      </c>
      <c r="H1023" s="16">
        <f>ABS(Solieusap!H1023)</f>
        <v>0.00005023</v>
      </c>
      <c r="I1023" s="16">
        <f>ABS(Solieusap!I1023)</f>
        <v>0.36187</v>
      </c>
      <c r="J1023" s="16">
        <f>ABS(Solieusap!J1023)</f>
        <v>0.1801</v>
      </c>
      <c r="K1023" s="16">
        <f t="shared" si="1"/>
        <v>1.9654</v>
      </c>
      <c r="L1023" s="16">
        <f t="shared" si="2"/>
        <v>0.36187</v>
      </c>
    </row>
    <row r="1024" ht="16.5" customHeight="1">
      <c r="A1024" s="15" t="str">
        <f>Solieusap!A1024</f>
        <v>Cũ</v>
      </c>
      <c r="B1024" s="15">
        <f>Solieusap!B1024</f>
        <v>0</v>
      </c>
      <c r="C1024" s="15" t="str">
        <f>Solieusap!C1024</f>
        <v>COMB5</v>
      </c>
      <c r="D1024" s="15" t="str">
        <f>Solieusap!D1024</f>
        <v>Combination</v>
      </c>
      <c r="E1024" s="16">
        <f>ABS(Solieusap!E1024)</f>
        <v>2.9763</v>
      </c>
      <c r="F1024" s="16">
        <f>ABS(Solieusap!F1024)</f>
        <v>0.1511</v>
      </c>
      <c r="G1024" s="16">
        <f>ABS(Solieusap!G1024)</f>
        <v>0.5726</v>
      </c>
      <c r="H1024" s="16">
        <f>ABS(Solieusap!H1024)</f>
        <v>0.00006635</v>
      </c>
      <c r="I1024" s="16">
        <f>ABS(Solieusap!I1024)</f>
        <v>0.70135</v>
      </c>
      <c r="J1024" s="16">
        <f>ABS(Solieusap!J1024)</f>
        <v>0.2599</v>
      </c>
      <c r="K1024" s="16">
        <f t="shared" si="1"/>
        <v>2.9763</v>
      </c>
      <c r="L1024" s="16">
        <f t="shared" si="2"/>
        <v>0.70135</v>
      </c>
    </row>
    <row r="1025" ht="16.5" customHeight="1">
      <c r="A1025" s="15" t="str">
        <f>Solieusap!A1025</f>
        <v>Cũ</v>
      </c>
      <c r="B1025" s="15">
        <f>Solieusap!B1025</f>
        <v>1.75</v>
      </c>
      <c r="C1025" s="15" t="str">
        <f>Solieusap!C1025</f>
        <v>COMB5</v>
      </c>
      <c r="D1025" s="15" t="str">
        <f>Solieusap!D1025</f>
        <v>Combination</v>
      </c>
      <c r="E1025" s="16">
        <f>ABS(Solieusap!E1025)</f>
        <v>2.7838</v>
      </c>
      <c r="F1025" s="16">
        <f>ABS(Solieusap!F1025)</f>
        <v>0.1511</v>
      </c>
      <c r="G1025" s="16">
        <f>ABS(Solieusap!G1025)</f>
        <v>0.3364</v>
      </c>
      <c r="H1025" s="16">
        <f>ABS(Solieusap!H1025)</f>
        <v>0.00006635</v>
      </c>
      <c r="I1025" s="16">
        <f>ABS(Solieusap!I1025)</f>
        <v>0.09402</v>
      </c>
      <c r="J1025" s="16">
        <f>ABS(Solieusap!J1025)</f>
        <v>0.00458</v>
      </c>
      <c r="K1025" s="16">
        <f t="shared" si="1"/>
        <v>2.7838</v>
      </c>
      <c r="L1025" s="16">
        <f t="shared" si="2"/>
        <v>0.09402</v>
      </c>
    </row>
    <row r="1026" ht="16.5" customHeight="1">
      <c r="A1026" s="15" t="str">
        <f>Solieusap!A1026</f>
        <v>Cũ</v>
      </c>
      <c r="B1026" s="15">
        <f>Solieusap!B1026</f>
        <v>3.5</v>
      </c>
      <c r="C1026" s="15" t="str">
        <f>Solieusap!C1026</f>
        <v>COMB5</v>
      </c>
      <c r="D1026" s="15" t="str">
        <f>Solieusap!D1026</f>
        <v>Combination</v>
      </c>
      <c r="E1026" s="16">
        <f>ABS(Solieusap!E1026)</f>
        <v>2.5913</v>
      </c>
      <c r="F1026" s="16">
        <f>ABS(Solieusap!F1026)</f>
        <v>0.1511</v>
      </c>
      <c r="G1026" s="16">
        <f>ABS(Solieusap!G1026)</f>
        <v>0.1001</v>
      </c>
      <c r="H1026" s="16">
        <f>ABS(Solieusap!H1026)</f>
        <v>0.00006635</v>
      </c>
      <c r="I1026" s="16">
        <f>ABS(Solieusap!I1026)</f>
        <v>0.47595</v>
      </c>
      <c r="J1026" s="16">
        <f>ABS(Solieusap!J1026)</f>
        <v>0.26906</v>
      </c>
      <c r="K1026" s="16">
        <f t="shared" si="1"/>
        <v>2.5913</v>
      </c>
      <c r="L1026" s="16">
        <f t="shared" si="2"/>
        <v>0.47595</v>
      </c>
    </row>
    <row r="1027" ht="16.5" customHeight="1">
      <c r="A1027" s="15" t="str">
        <f>Solieusap!A1027</f>
        <v>Cũ</v>
      </c>
      <c r="B1027" s="15">
        <f>Solieusap!B1027</f>
        <v>0</v>
      </c>
      <c r="C1027" s="15" t="str">
        <f>Solieusap!C1027</f>
        <v>COMB6</v>
      </c>
      <c r="D1027" s="15" t="str">
        <f>Solieusap!D1027</f>
        <v>Combination</v>
      </c>
      <c r="E1027" s="16">
        <f>ABS(Solieusap!E1027)</f>
        <v>2.8627</v>
      </c>
      <c r="F1027" s="16">
        <f>ABS(Solieusap!F1027)</f>
        <v>0.3169</v>
      </c>
      <c r="G1027" s="16">
        <f>ABS(Solieusap!G1027)</f>
        <v>0.2144</v>
      </c>
      <c r="H1027" s="16">
        <f>ABS(Solieusap!H1027)</f>
        <v>0.00011</v>
      </c>
      <c r="I1027" s="16">
        <f>ABS(Solieusap!I1027)</f>
        <v>0.37832</v>
      </c>
      <c r="J1027" s="16">
        <f>ABS(Solieusap!J1027)</f>
        <v>0.15355</v>
      </c>
      <c r="K1027" s="16">
        <f t="shared" si="1"/>
        <v>2.8627</v>
      </c>
      <c r="L1027" s="16">
        <f t="shared" si="2"/>
        <v>0.37832</v>
      </c>
    </row>
    <row r="1028" ht="16.5" customHeight="1">
      <c r="A1028" s="15" t="str">
        <f>Solieusap!A1028</f>
        <v>Cũ</v>
      </c>
      <c r="B1028" s="15">
        <f>Solieusap!B1028</f>
        <v>1.75</v>
      </c>
      <c r="C1028" s="15" t="str">
        <f>Solieusap!C1028</f>
        <v>COMB6</v>
      </c>
      <c r="D1028" s="15" t="str">
        <f>Solieusap!D1028</f>
        <v>Combination</v>
      </c>
      <c r="E1028" s="16">
        <f>ABS(Solieusap!E1028)</f>
        <v>2.6702</v>
      </c>
      <c r="F1028" s="16">
        <f>ABS(Solieusap!F1028)</f>
        <v>0.0019</v>
      </c>
      <c r="G1028" s="16">
        <f>ABS(Solieusap!G1028)</f>
        <v>0.2144</v>
      </c>
      <c r="H1028" s="16">
        <f>ABS(Solieusap!H1028)</f>
        <v>0.00011</v>
      </c>
      <c r="I1028" s="16">
        <f>ABS(Solieusap!I1028)</f>
        <v>0.00317</v>
      </c>
      <c r="J1028" s="16">
        <f>ABS(Solieusap!J1028)</f>
        <v>0.1254</v>
      </c>
      <c r="K1028" s="16">
        <f t="shared" si="1"/>
        <v>2.6702</v>
      </c>
      <c r="L1028" s="16">
        <f t="shared" si="2"/>
        <v>0.00317</v>
      </c>
    </row>
    <row r="1029" ht="16.5" customHeight="1">
      <c r="A1029" s="15" t="str">
        <f>Solieusap!A1029</f>
        <v>Cũ</v>
      </c>
      <c r="B1029" s="15">
        <f>Solieusap!B1029</f>
        <v>3.5</v>
      </c>
      <c r="C1029" s="15" t="str">
        <f>Solieusap!C1029</f>
        <v>COMB6</v>
      </c>
      <c r="D1029" s="15" t="str">
        <f>Solieusap!D1029</f>
        <v>Combination</v>
      </c>
      <c r="E1029" s="16">
        <f>ABS(Solieusap!E1029)</f>
        <v>2.4777</v>
      </c>
      <c r="F1029" s="16">
        <f>ABS(Solieusap!F1029)</f>
        <v>0.3131</v>
      </c>
      <c r="G1029" s="16">
        <f>ABS(Solieusap!G1029)</f>
        <v>0.2144</v>
      </c>
      <c r="H1029" s="16">
        <f>ABS(Solieusap!H1029)</f>
        <v>0.00011</v>
      </c>
      <c r="I1029" s="16">
        <f>ABS(Solieusap!I1029)</f>
        <v>0.37198</v>
      </c>
      <c r="J1029" s="16">
        <f>ABS(Solieusap!J1029)</f>
        <v>0.1469</v>
      </c>
      <c r="K1029" s="16">
        <f t="shared" si="1"/>
        <v>2.4777</v>
      </c>
      <c r="L1029" s="16">
        <f t="shared" si="2"/>
        <v>0.37198</v>
      </c>
    </row>
    <row r="1030" ht="16.5" customHeight="1">
      <c r="A1030" s="15" t="str">
        <f>Solieusap!A1030</f>
        <v>Cũ</v>
      </c>
      <c r="B1030" s="15">
        <f>Solieusap!B1030</f>
        <v>0</v>
      </c>
      <c r="C1030" s="15" t="str">
        <f>Solieusap!C1030</f>
        <v>COMB7</v>
      </c>
      <c r="D1030" s="15" t="str">
        <f>Solieusap!D1030</f>
        <v>Combination</v>
      </c>
      <c r="E1030" s="16">
        <f>ABS(Solieusap!E1030)</f>
        <v>2.9982</v>
      </c>
      <c r="F1030" s="16">
        <f>ABS(Solieusap!F1030)</f>
        <v>0.5349</v>
      </c>
      <c r="G1030" s="16">
        <f>ABS(Solieusap!G1030)</f>
        <v>0.2183</v>
      </c>
      <c r="H1030" s="16">
        <f>ABS(Solieusap!H1030)</f>
        <v>0.00003978</v>
      </c>
      <c r="I1030" s="16">
        <f>ABS(Solieusap!I1030)</f>
        <v>0.3871</v>
      </c>
      <c r="J1030" s="16">
        <f>ABS(Solieusap!J1030)</f>
        <v>0.61695</v>
      </c>
      <c r="K1030" s="16">
        <f t="shared" si="1"/>
        <v>2.9982</v>
      </c>
      <c r="L1030" s="16">
        <f t="shared" si="2"/>
        <v>0.3871</v>
      </c>
    </row>
    <row r="1031" ht="16.5" customHeight="1">
      <c r="A1031" s="15" t="str">
        <f>Solieusap!A1031</f>
        <v>Cũ</v>
      </c>
      <c r="B1031" s="15">
        <f>Solieusap!B1031</f>
        <v>1.75</v>
      </c>
      <c r="C1031" s="15" t="str">
        <f>Solieusap!C1031</f>
        <v>COMB7</v>
      </c>
      <c r="D1031" s="15" t="str">
        <f>Solieusap!D1031</f>
        <v>Combination</v>
      </c>
      <c r="E1031" s="16">
        <f>ABS(Solieusap!E1031)</f>
        <v>2.8057</v>
      </c>
      <c r="F1031" s="16">
        <f>ABS(Solieusap!F1031)</f>
        <v>0.2987</v>
      </c>
      <c r="G1031" s="16">
        <f>ABS(Solieusap!G1031)</f>
        <v>0.2183</v>
      </c>
      <c r="H1031" s="16">
        <f>ABS(Solieusap!H1031)</f>
        <v>0.00003978</v>
      </c>
      <c r="I1031" s="16">
        <f>ABS(Solieusap!I1031)</f>
        <v>0.0051</v>
      </c>
      <c r="J1031" s="16">
        <f>ABS(Solieusap!J1031)</f>
        <v>0.11241</v>
      </c>
      <c r="K1031" s="16">
        <f t="shared" si="1"/>
        <v>2.8057</v>
      </c>
      <c r="L1031" s="16">
        <f t="shared" si="2"/>
        <v>0.0051</v>
      </c>
    </row>
    <row r="1032" ht="16.5" customHeight="1">
      <c r="A1032" s="15" t="str">
        <f>Solieusap!A1032</f>
        <v>Cũ</v>
      </c>
      <c r="B1032" s="15">
        <f>Solieusap!B1032</f>
        <v>3.5</v>
      </c>
      <c r="C1032" s="15" t="str">
        <f>Solieusap!C1032</f>
        <v>COMB7</v>
      </c>
      <c r="D1032" s="15" t="str">
        <f>Solieusap!D1032</f>
        <v>Combination</v>
      </c>
      <c r="E1032" s="16">
        <f>ABS(Solieusap!E1032)</f>
        <v>2.6132</v>
      </c>
      <c r="F1032" s="16">
        <f>ABS(Solieusap!F1032)</f>
        <v>0.0624</v>
      </c>
      <c r="G1032" s="16">
        <f>ABS(Solieusap!G1032)</f>
        <v>0.2183</v>
      </c>
      <c r="H1032" s="16">
        <f>ABS(Solieusap!H1032)</f>
        <v>0.00003978</v>
      </c>
      <c r="I1032" s="16">
        <f>ABS(Solieusap!I1032)</f>
        <v>0.3769</v>
      </c>
      <c r="J1032" s="16">
        <f>ABS(Solieusap!J1032)</f>
        <v>0.42834</v>
      </c>
      <c r="K1032" s="16">
        <f t="shared" si="1"/>
        <v>2.6132</v>
      </c>
      <c r="L1032" s="16">
        <f t="shared" si="2"/>
        <v>0.3769</v>
      </c>
    </row>
    <row r="1033" ht="16.5" customHeight="1">
      <c r="A1033" s="15" t="str">
        <f>Solieusap!A1033</f>
        <v>Cũ</v>
      </c>
      <c r="B1033" s="15">
        <f>Solieusap!B1033</f>
        <v>0</v>
      </c>
      <c r="C1033" s="15" t="str">
        <f>Solieusap!C1033</f>
        <v>COMB1</v>
      </c>
      <c r="D1033" s="15" t="str">
        <f>Solieusap!D1033</f>
        <v>Combination</v>
      </c>
      <c r="E1033" s="16">
        <f>ABS(Solieusap!E1033)</f>
        <v>2.9937</v>
      </c>
      <c r="F1033" s="16">
        <f>ABS(Solieusap!F1033)</f>
        <v>0.1555</v>
      </c>
      <c r="G1033" s="16">
        <f>ABS(Solieusap!G1033)</f>
        <v>0.224</v>
      </c>
      <c r="H1033" s="16">
        <f>ABS(Solieusap!H1033)</f>
        <v>0.000058</v>
      </c>
      <c r="I1033" s="16">
        <f>ABS(Solieusap!I1033)</f>
        <v>0.39565</v>
      </c>
      <c r="J1033" s="16">
        <f>ABS(Solieusap!J1033)</f>
        <v>0.26636</v>
      </c>
      <c r="K1033" s="16">
        <f t="shared" si="1"/>
        <v>2.9937</v>
      </c>
      <c r="L1033" s="16">
        <f t="shared" si="2"/>
        <v>0.39565</v>
      </c>
    </row>
    <row r="1034" ht="16.5" customHeight="1">
      <c r="A1034" s="15" t="str">
        <f>Solieusap!A1034</f>
        <v>Cũ</v>
      </c>
      <c r="B1034" s="15">
        <f>Solieusap!B1034</f>
        <v>1.75</v>
      </c>
      <c r="C1034" s="15" t="str">
        <f>Solieusap!C1034</f>
        <v>COMB1</v>
      </c>
      <c r="D1034" s="15" t="str">
        <f>Solieusap!D1034</f>
        <v>Combination</v>
      </c>
      <c r="E1034" s="16">
        <f>ABS(Solieusap!E1034)</f>
        <v>2.8012</v>
      </c>
      <c r="F1034" s="16">
        <f>ABS(Solieusap!F1034)</f>
        <v>0.1555</v>
      </c>
      <c r="G1034" s="16">
        <f>ABS(Solieusap!G1034)</f>
        <v>0.224</v>
      </c>
      <c r="H1034" s="16">
        <f>ABS(Solieusap!H1034)</f>
        <v>0.000058</v>
      </c>
      <c r="I1034" s="16">
        <f>ABS(Solieusap!I1034)</f>
        <v>0.00367</v>
      </c>
      <c r="J1034" s="16">
        <f>ABS(Solieusap!J1034)</f>
        <v>0.00569</v>
      </c>
      <c r="K1034" s="16">
        <f t="shared" si="1"/>
        <v>2.8012</v>
      </c>
      <c r="L1034" s="16">
        <f t="shared" si="2"/>
        <v>0.00367</v>
      </c>
    </row>
    <row r="1035" ht="16.5" customHeight="1">
      <c r="A1035" s="15" t="str">
        <f>Solieusap!A1035</f>
        <v>Cũ</v>
      </c>
      <c r="B1035" s="15">
        <f>Solieusap!B1035</f>
        <v>3.5</v>
      </c>
      <c r="C1035" s="15" t="str">
        <f>Solieusap!C1035</f>
        <v>COMB1</v>
      </c>
      <c r="D1035" s="15" t="str">
        <f>Solieusap!D1035</f>
        <v>Combination</v>
      </c>
      <c r="E1035" s="16">
        <f>ABS(Solieusap!E1035)</f>
        <v>2.6087</v>
      </c>
      <c r="F1035" s="16">
        <f>ABS(Solieusap!F1035)</f>
        <v>0.1555</v>
      </c>
      <c r="G1035" s="16">
        <f>ABS(Solieusap!G1035)</f>
        <v>0.224</v>
      </c>
      <c r="H1035" s="16">
        <f>ABS(Solieusap!H1035)</f>
        <v>0.000058</v>
      </c>
      <c r="I1035" s="16">
        <f>ABS(Solieusap!I1035)</f>
        <v>0.3883</v>
      </c>
      <c r="J1035" s="16">
        <f>ABS(Solieusap!J1035)</f>
        <v>0.27774</v>
      </c>
      <c r="K1035" s="16">
        <f t="shared" si="1"/>
        <v>2.6087</v>
      </c>
      <c r="L1035" s="16">
        <f t="shared" si="2"/>
        <v>0.3883</v>
      </c>
    </row>
    <row r="1036" ht="16.5" customHeight="1">
      <c r="A1036" s="15" t="str">
        <f>Solieusap!A1036</f>
        <v>Cũ</v>
      </c>
      <c r="B1036" s="15">
        <f>Solieusap!B1036</f>
        <v>0</v>
      </c>
      <c r="C1036" s="15" t="str">
        <f>Solieusap!C1036</f>
        <v>COMB2</v>
      </c>
      <c r="D1036" s="15" t="str">
        <f>Solieusap!D1036</f>
        <v>Combination</v>
      </c>
      <c r="E1036" s="16">
        <f>ABS(Solieusap!E1036)</f>
        <v>2.3747</v>
      </c>
      <c r="F1036" s="16">
        <f>ABS(Solieusap!F1036)</f>
        <v>0.5296</v>
      </c>
      <c r="G1036" s="16">
        <f>ABS(Solieusap!G1036)</f>
        <v>0.1493</v>
      </c>
      <c r="H1036" s="16">
        <f>ABS(Solieusap!H1036)</f>
        <v>0.00002071</v>
      </c>
      <c r="I1036" s="16">
        <f>ABS(Solieusap!I1036)</f>
        <v>0.27064</v>
      </c>
      <c r="J1036" s="16">
        <f>ABS(Solieusap!J1036)</f>
        <v>0.57781</v>
      </c>
      <c r="K1036" s="16">
        <f t="shared" si="1"/>
        <v>2.3747</v>
      </c>
      <c r="L1036" s="16">
        <f t="shared" si="2"/>
        <v>0.27064</v>
      </c>
    </row>
    <row r="1037" ht="16.5" customHeight="1">
      <c r="A1037" s="15" t="str">
        <f>Solieusap!A1037</f>
        <v>Cũ</v>
      </c>
      <c r="B1037" s="15">
        <f>Solieusap!B1037</f>
        <v>1.75</v>
      </c>
      <c r="C1037" s="15" t="str">
        <f>Solieusap!C1037</f>
        <v>COMB2</v>
      </c>
      <c r="D1037" s="15" t="str">
        <f>Solieusap!D1037</f>
        <v>Combination</v>
      </c>
      <c r="E1037" s="16">
        <f>ABS(Solieusap!E1037)</f>
        <v>2.1822</v>
      </c>
      <c r="F1037" s="16">
        <f>ABS(Solieusap!F1037)</f>
        <v>0.2671</v>
      </c>
      <c r="G1037" s="16">
        <f>ABS(Solieusap!G1037)</f>
        <v>0.1493</v>
      </c>
      <c r="H1037" s="16">
        <f>ABS(Solieusap!H1037)</f>
        <v>0.00002071</v>
      </c>
      <c r="I1037" s="16">
        <f>ABS(Solieusap!I1037)</f>
        <v>0.00941</v>
      </c>
      <c r="J1037" s="16">
        <f>ABS(Solieusap!J1037)</f>
        <v>0.11932</v>
      </c>
      <c r="K1037" s="16">
        <f t="shared" si="1"/>
        <v>2.1822</v>
      </c>
      <c r="L1037" s="16">
        <f t="shared" si="2"/>
        <v>0.00941</v>
      </c>
    </row>
    <row r="1038" ht="16.5" customHeight="1">
      <c r="A1038" s="15" t="str">
        <f>Solieusap!A1038</f>
        <v>Cũ</v>
      </c>
      <c r="B1038" s="15">
        <f>Solieusap!B1038</f>
        <v>3.5</v>
      </c>
      <c r="C1038" s="15" t="str">
        <f>Solieusap!C1038</f>
        <v>COMB2</v>
      </c>
      <c r="D1038" s="15" t="str">
        <f>Solieusap!D1038</f>
        <v>Combination</v>
      </c>
      <c r="E1038" s="16">
        <f>ABS(Solieusap!E1038)</f>
        <v>1.9897</v>
      </c>
      <c r="F1038" s="16">
        <f>ABS(Solieusap!F1038)</f>
        <v>0.0046</v>
      </c>
      <c r="G1038" s="16">
        <f>ABS(Solieusap!G1038)</f>
        <v>0.1493</v>
      </c>
      <c r="H1038" s="16">
        <f>ABS(Solieusap!H1038)</f>
        <v>0.00002071</v>
      </c>
      <c r="I1038" s="16">
        <f>ABS(Solieusap!I1038)</f>
        <v>0.25181</v>
      </c>
      <c r="J1038" s="16">
        <f>ABS(Solieusap!J1038)</f>
        <v>0.35707</v>
      </c>
      <c r="K1038" s="16">
        <f t="shared" si="1"/>
        <v>1.9897</v>
      </c>
      <c r="L1038" s="16">
        <f t="shared" si="2"/>
        <v>0.25181</v>
      </c>
    </row>
    <row r="1039" ht="16.5" customHeight="1">
      <c r="A1039" s="15" t="str">
        <f>Solieusap!A1039</f>
        <v>Cũ</v>
      </c>
      <c r="B1039" s="15">
        <f>Solieusap!B1039</f>
        <v>0</v>
      </c>
      <c r="C1039" s="15" t="str">
        <f>Solieusap!C1039</f>
        <v>COMB3</v>
      </c>
      <c r="D1039" s="15" t="str">
        <f>Solieusap!D1039</f>
        <v>Combination</v>
      </c>
      <c r="E1039" s="16">
        <f>ABS(Solieusap!E1039)</f>
        <v>2.2242</v>
      </c>
      <c r="F1039" s="16">
        <f>ABS(Solieusap!F1039)</f>
        <v>0.4168</v>
      </c>
      <c r="G1039" s="16">
        <f>ABS(Solieusap!G1039)</f>
        <v>0.1449</v>
      </c>
      <c r="H1039" s="16">
        <f>ABS(Solieusap!H1039)</f>
        <v>0.0001</v>
      </c>
      <c r="I1039" s="16">
        <f>ABS(Solieusap!I1039)</f>
        <v>0.26088</v>
      </c>
      <c r="J1039" s="16">
        <f>ABS(Solieusap!J1039)</f>
        <v>0.2783</v>
      </c>
      <c r="K1039" s="16">
        <f t="shared" si="1"/>
        <v>2.2242</v>
      </c>
      <c r="L1039" s="16">
        <f t="shared" si="2"/>
        <v>0.26088</v>
      </c>
    </row>
    <row r="1040" ht="16.5" customHeight="1">
      <c r="A1040" s="15" t="str">
        <f>Solieusap!A1040</f>
        <v>Cũ</v>
      </c>
      <c r="B1040" s="15">
        <f>Solieusap!B1040</f>
        <v>1.75</v>
      </c>
      <c r="C1040" s="15" t="str">
        <f>Solieusap!C1040</f>
        <v>COMB3</v>
      </c>
      <c r="D1040" s="15" t="str">
        <f>Solieusap!D1040</f>
        <v>Combination</v>
      </c>
      <c r="E1040" s="16">
        <f>ABS(Solieusap!E1040)</f>
        <v>2.0317</v>
      </c>
      <c r="F1040" s="16">
        <f>ABS(Solieusap!F1040)</f>
        <v>0.0668</v>
      </c>
      <c r="G1040" s="16">
        <f>ABS(Solieusap!G1040)</f>
        <v>0.1449</v>
      </c>
      <c r="H1040" s="16">
        <f>ABS(Solieusap!H1040)</f>
        <v>0.0001</v>
      </c>
      <c r="I1040" s="16">
        <f>ABS(Solieusap!I1040)</f>
        <v>0.00726</v>
      </c>
      <c r="J1040" s="16">
        <f>ABS(Solieusap!J1040)</f>
        <v>0.14492</v>
      </c>
      <c r="K1040" s="16">
        <f t="shared" si="1"/>
        <v>2.0317</v>
      </c>
      <c r="L1040" s="16">
        <f t="shared" si="2"/>
        <v>0.00726</v>
      </c>
    </row>
    <row r="1041" ht="16.5" customHeight="1">
      <c r="A1041" s="15" t="str">
        <f>Solieusap!A1041</f>
        <v>Cũ</v>
      </c>
      <c r="B1041" s="15">
        <f>Solieusap!B1041</f>
        <v>3.5</v>
      </c>
      <c r="C1041" s="15" t="str">
        <f>Solieusap!C1041</f>
        <v>COMB3</v>
      </c>
      <c r="D1041" s="15" t="str">
        <f>Solieusap!D1041</f>
        <v>Combination</v>
      </c>
      <c r="E1041" s="16">
        <f>ABS(Solieusap!E1041)</f>
        <v>1.8392</v>
      </c>
      <c r="F1041" s="16">
        <f>ABS(Solieusap!F1041)</f>
        <v>0.2832</v>
      </c>
      <c r="G1041" s="16">
        <f>ABS(Solieusap!G1041)</f>
        <v>0.1449</v>
      </c>
      <c r="H1041" s="16">
        <f>ABS(Solieusap!H1041)</f>
        <v>0.0001</v>
      </c>
      <c r="I1041" s="16">
        <f>ABS(Solieusap!I1041)</f>
        <v>0.24635</v>
      </c>
      <c r="J1041" s="16">
        <f>ABS(Solieusap!J1041)</f>
        <v>0.04436</v>
      </c>
      <c r="K1041" s="16">
        <f t="shared" si="1"/>
        <v>1.8392</v>
      </c>
      <c r="L1041" s="16">
        <f t="shared" si="2"/>
        <v>0.24635</v>
      </c>
    </row>
    <row r="1042" ht="16.5" customHeight="1">
      <c r="A1042" s="15" t="str">
        <f>Solieusap!A1042</f>
        <v>Cũ</v>
      </c>
      <c r="B1042" s="15">
        <f>Solieusap!B1042</f>
        <v>0</v>
      </c>
      <c r="C1042" s="15" t="str">
        <f>Solieusap!C1042</f>
        <v>COMB4</v>
      </c>
      <c r="D1042" s="15" t="str">
        <f>Solieusap!D1042</f>
        <v>Combination</v>
      </c>
      <c r="E1042" s="16">
        <f>ABS(Solieusap!E1042)</f>
        <v>2.3504</v>
      </c>
      <c r="F1042" s="16">
        <f>ABS(Solieusap!F1042)</f>
        <v>0.1032</v>
      </c>
      <c r="G1042" s="16">
        <f>ABS(Solieusap!G1042)</f>
        <v>0.543</v>
      </c>
      <c r="H1042" s="16">
        <f>ABS(Solieusap!H1042)</f>
        <v>0.00005023</v>
      </c>
      <c r="I1042" s="16">
        <f>ABS(Solieusap!I1042)</f>
        <v>0.6198</v>
      </c>
      <c r="J1042" s="16">
        <f>ABS(Solieusap!J1042)</f>
        <v>0.1811</v>
      </c>
      <c r="K1042" s="16">
        <f t="shared" si="1"/>
        <v>2.3504</v>
      </c>
      <c r="L1042" s="16">
        <f t="shared" si="2"/>
        <v>0.6198</v>
      </c>
    </row>
    <row r="1043" ht="16.5" customHeight="1">
      <c r="A1043" s="15" t="str">
        <f>Solieusap!A1043</f>
        <v>Cũ</v>
      </c>
      <c r="B1043" s="15">
        <f>Solieusap!B1043</f>
        <v>1.75</v>
      </c>
      <c r="C1043" s="15" t="str">
        <f>Solieusap!C1043</f>
        <v>COMB4</v>
      </c>
      <c r="D1043" s="15" t="str">
        <f>Solieusap!D1043</f>
        <v>Combination</v>
      </c>
      <c r="E1043" s="16">
        <f>ABS(Solieusap!E1043)</f>
        <v>2.1579</v>
      </c>
      <c r="F1043" s="16">
        <f>ABS(Solieusap!F1043)</f>
        <v>0.1032</v>
      </c>
      <c r="G1043" s="16">
        <f>ABS(Solieusap!G1043)</f>
        <v>0.2805</v>
      </c>
      <c r="H1043" s="16">
        <f>ABS(Solieusap!H1043)</f>
        <v>0.00005023</v>
      </c>
      <c r="I1043" s="16">
        <f>ABS(Solieusap!I1043)</f>
        <v>0.10072</v>
      </c>
      <c r="J1043" s="16">
        <f>ABS(Solieusap!J1043)</f>
        <v>0.0005</v>
      </c>
      <c r="K1043" s="16">
        <f t="shared" si="1"/>
        <v>2.1579</v>
      </c>
      <c r="L1043" s="16">
        <f t="shared" si="2"/>
        <v>0.10072</v>
      </c>
    </row>
    <row r="1044" ht="16.5" customHeight="1">
      <c r="A1044" s="15" t="str">
        <f>Solieusap!A1044</f>
        <v>Cũ</v>
      </c>
      <c r="B1044" s="15">
        <f>Solieusap!B1044</f>
        <v>3.5</v>
      </c>
      <c r="C1044" s="15" t="str">
        <f>Solieusap!C1044</f>
        <v>COMB4</v>
      </c>
      <c r="D1044" s="15" t="str">
        <f>Solieusap!D1044</f>
        <v>Combination</v>
      </c>
      <c r="E1044" s="16">
        <f>ABS(Solieusap!E1044)</f>
        <v>1.9654</v>
      </c>
      <c r="F1044" s="16">
        <f>ABS(Solieusap!F1044)</f>
        <v>0.1032</v>
      </c>
      <c r="G1044" s="16">
        <f>ABS(Solieusap!G1044)</f>
        <v>0.018</v>
      </c>
      <c r="H1044" s="16">
        <f>ABS(Solieusap!H1044)</f>
        <v>0.00005023</v>
      </c>
      <c r="I1044" s="16">
        <f>ABS(Solieusap!I1044)</f>
        <v>0.36187</v>
      </c>
      <c r="J1044" s="16">
        <f>ABS(Solieusap!J1044)</f>
        <v>0.1801</v>
      </c>
      <c r="K1044" s="16">
        <f t="shared" si="1"/>
        <v>1.9654</v>
      </c>
      <c r="L1044" s="16">
        <f t="shared" si="2"/>
        <v>0.36187</v>
      </c>
    </row>
    <row r="1045" ht="16.5" customHeight="1">
      <c r="A1045" s="15" t="str">
        <f>Solieusap!A1045</f>
        <v>Cũ</v>
      </c>
      <c r="B1045" s="15">
        <f>Solieusap!B1045</f>
        <v>0</v>
      </c>
      <c r="C1045" s="15" t="str">
        <f>Solieusap!C1045</f>
        <v>COMB5</v>
      </c>
      <c r="D1045" s="15" t="str">
        <f>Solieusap!D1045</f>
        <v>Combination</v>
      </c>
      <c r="E1045" s="16">
        <f>ABS(Solieusap!E1045)</f>
        <v>2.9763</v>
      </c>
      <c r="F1045" s="16">
        <f>ABS(Solieusap!F1045)</f>
        <v>0.1511</v>
      </c>
      <c r="G1045" s="16">
        <f>ABS(Solieusap!G1045)</f>
        <v>0.5726</v>
      </c>
      <c r="H1045" s="16">
        <f>ABS(Solieusap!H1045)</f>
        <v>0.00006635</v>
      </c>
      <c r="I1045" s="16">
        <f>ABS(Solieusap!I1045)</f>
        <v>0.70135</v>
      </c>
      <c r="J1045" s="16">
        <f>ABS(Solieusap!J1045)</f>
        <v>0.2599</v>
      </c>
      <c r="K1045" s="16">
        <f t="shared" si="1"/>
        <v>2.9763</v>
      </c>
      <c r="L1045" s="16">
        <f t="shared" si="2"/>
        <v>0.70135</v>
      </c>
    </row>
    <row r="1046" ht="16.5" customHeight="1">
      <c r="A1046" s="15" t="str">
        <f>Solieusap!A1046</f>
        <v>Cũ</v>
      </c>
      <c r="B1046" s="15">
        <f>Solieusap!B1046</f>
        <v>1.75</v>
      </c>
      <c r="C1046" s="15" t="str">
        <f>Solieusap!C1046</f>
        <v>COMB5</v>
      </c>
      <c r="D1046" s="15" t="str">
        <f>Solieusap!D1046</f>
        <v>Combination</v>
      </c>
      <c r="E1046" s="16">
        <f>ABS(Solieusap!E1046)</f>
        <v>2.7838</v>
      </c>
      <c r="F1046" s="16">
        <f>ABS(Solieusap!F1046)</f>
        <v>0.1511</v>
      </c>
      <c r="G1046" s="16">
        <f>ABS(Solieusap!G1046)</f>
        <v>0.3364</v>
      </c>
      <c r="H1046" s="16">
        <f>ABS(Solieusap!H1046)</f>
        <v>0.00006635</v>
      </c>
      <c r="I1046" s="16">
        <f>ABS(Solieusap!I1046)</f>
        <v>0.09402</v>
      </c>
      <c r="J1046" s="16">
        <f>ABS(Solieusap!J1046)</f>
        <v>0.00458</v>
      </c>
      <c r="K1046" s="16">
        <f t="shared" si="1"/>
        <v>2.7838</v>
      </c>
      <c r="L1046" s="16">
        <f t="shared" si="2"/>
        <v>0.09402</v>
      </c>
    </row>
    <row r="1047" ht="16.5" customHeight="1">
      <c r="A1047" s="15" t="str">
        <f>Solieusap!A1047</f>
        <v>Cũ</v>
      </c>
      <c r="B1047" s="15">
        <f>Solieusap!B1047</f>
        <v>3.5</v>
      </c>
      <c r="C1047" s="15" t="str">
        <f>Solieusap!C1047</f>
        <v>COMB5</v>
      </c>
      <c r="D1047" s="15" t="str">
        <f>Solieusap!D1047</f>
        <v>Combination</v>
      </c>
      <c r="E1047" s="16">
        <f>ABS(Solieusap!E1047)</f>
        <v>2.5913</v>
      </c>
      <c r="F1047" s="16">
        <f>ABS(Solieusap!F1047)</f>
        <v>0.1511</v>
      </c>
      <c r="G1047" s="16">
        <f>ABS(Solieusap!G1047)</f>
        <v>0.1001</v>
      </c>
      <c r="H1047" s="16">
        <f>ABS(Solieusap!H1047)</f>
        <v>0.00006635</v>
      </c>
      <c r="I1047" s="16">
        <f>ABS(Solieusap!I1047)</f>
        <v>0.47595</v>
      </c>
      <c r="J1047" s="16">
        <f>ABS(Solieusap!J1047)</f>
        <v>0.26906</v>
      </c>
      <c r="K1047" s="16">
        <f t="shared" si="1"/>
        <v>2.5913</v>
      </c>
      <c r="L1047" s="16">
        <f t="shared" si="2"/>
        <v>0.47595</v>
      </c>
    </row>
    <row r="1048" ht="16.5" customHeight="1">
      <c r="A1048" s="15" t="str">
        <f>Solieusap!A1048</f>
        <v>Cũ</v>
      </c>
      <c r="B1048" s="15">
        <f>Solieusap!B1048</f>
        <v>0</v>
      </c>
      <c r="C1048" s="15" t="str">
        <f>Solieusap!C1048</f>
        <v>COMB6</v>
      </c>
      <c r="D1048" s="15" t="str">
        <f>Solieusap!D1048</f>
        <v>Combination</v>
      </c>
      <c r="E1048" s="16">
        <f>ABS(Solieusap!E1048)</f>
        <v>2.8627</v>
      </c>
      <c r="F1048" s="16">
        <f>ABS(Solieusap!F1048)</f>
        <v>0.3169</v>
      </c>
      <c r="G1048" s="16">
        <f>ABS(Solieusap!G1048)</f>
        <v>0.2144</v>
      </c>
      <c r="H1048" s="16">
        <f>ABS(Solieusap!H1048)</f>
        <v>0.00011</v>
      </c>
      <c r="I1048" s="16">
        <f>ABS(Solieusap!I1048)</f>
        <v>0.37832</v>
      </c>
      <c r="J1048" s="16">
        <f>ABS(Solieusap!J1048)</f>
        <v>0.15355</v>
      </c>
      <c r="K1048" s="16">
        <f t="shared" si="1"/>
        <v>2.8627</v>
      </c>
      <c r="L1048" s="16">
        <f t="shared" si="2"/>
        <v>0.37832</v>
      </c>
    </row>
    <row r="1049" ht="16.5" customHeight="1">
      <c r="A1049" s="15" t="str">
        <f>Solieusap!A1049</f>
        <v>Cũ</v>
      </c>
      <c r="B1049" s="15">
        <f>Solieusap!B1049</f>
        <v>1.75</v>
      </c>
      <c r="C1049" s="15" t="str">
        <f>Solieusap!C1049</f>
        <v>COMB6</v>
      </c>
      <c r="D1049" s="15" t="str">
        <f>Solieusap!D1049</f>
        <v>Combination</v>
      </c>
      <c r="E1049" s="16">
        <f>ABS(Solieusap!E1049)</f>
        <v>2.6702</v>
      </c>
      <c r="F1049" s="16">
        <f>ABS(Solieusap!F1049)</f>
        <v>0.0019</v>
      </c>
      <c r="G1049" s="16">
        <f>ABS(Solieusap!G1049)</f>
        <v>0.2144</v>
      </c>
      <c r="H1049" s="16">
        <f>ABS(Solieusap!H1049)</f>
        <v>0.00011</v>
      </c>
      <c r="I1049" s="16">
        <f>ABS(Solieusap!I1049)</f>
        <v>0.00317</v>
      </c>
      <c r="J1049" s="16">
        <f>ABS(Solieusap!J1049)</f>
        <v>0.1254</v>
      </c>
      <c r="K1049" s="16">
        <f t="shared" si="1"/>
        <v>2.6702</v>
      </c>
      <c r="L1049" s="16">
        <f t="shared" si="2"/>
        <v>0.00317</v>
      </c>
    </row>
    <row r="1050" ht="16.5" customHeight="1">
      <c r="A1050" s="15" t="str">
        <f>Solieusap!A1050</f>
        <v>Cũ</v>
      </c>
      <c r="B1050" s="15">
        <f>Solieusap!B1050</f>
        <v>3.5</v>
      </c>
      <c r="C1050" s="15" t="str">
        <f>Solieusap!C1050</f>
        <v>COMB6</v>
      </c>
      <c r="D1050" s="15" t="str">
        <f>Solieusap!D1050</f>
        <v>Combination</v>
      </c>
      <c r="E1050" s="16">
        <f>ABS(Solieusap!E1050)</f>
        <v>2.4777</v>
      </c>
      <c r="F1050" s="16">
        <f>ABS(Solieusap!F1050)</f>
        <v>0.3131</v>
      </c>
      <c r="G1050" s="16">
        <f>ABS(Solieusap!G1050)</f>
        <v>0.2144</v>
      </c>
      <c r="H1050" s="16">
        <f>ABS(Solieusap!H1050)</f>
        <v>0.00011</v>
      </c>
      <c r="I1050" s="16">
        <f>ABS(Solieusap!I1050)</f>
        <v>0.37198</v>
      </c>
      <c r="J1050" s="16">
        <f>ABS(Solieusap!J1050)</f>
        <v>0.1469</v>
      </c>
      <c r="K1050" s="16">
        <f t="shared" si="1"/>
        <v>2.4777</v>
      </c>
      <c r="L1050" s="16">
        <f t="shared" si="2"/>
        <v>0.37198</v>
      </c>
    </row>
    <row r="1051" ht="16.5" customHeight="1">
      <c r="A1051" s="15" t="str">
        <f>Solieusap!A1051</f>
        <v>Cũ</v>
      </c>
      <c r="B1051" s="15">
        <f>Solieusap!B1051</f>
        <v>0</v>
      </c>
      <c r="C1051" s="15" t="str">
        <f>Solieusap!C1051</f>
        <v>COMB7</v>
      </c>
      <c r="D1051" s="15" t="str">
        <f>Solieusap!D1051</f>
        <v>Combination</v>
      </c>
      <c r="E1051" s="16">
        <f>ABS(Solieusap!E1051)</f>
        <v>2.9982</v>
      </c>
      <c r="F1051" s="16">
        <f>ABS(Solieusap!F1051)</f>
        <v>0.5349</v>
      </c>
      <c r="G1051" s="16">
        <f>ABS(Solieusap!G1051)</f>
        <v>0.2183</v>
      </c>
      <c r="H1051" s="16">
        <f>ABS(Solieusap!H1051)</f>
        <v>0.00003978</v>
      </c>
      <c r="I1051" s="16">
        <f>ABS(Solieusap!I1051)</f>
        <v>0.3871</v>
      </c>
      <c r="J1051" s="16">
        <f>ABS(Solieusap!J1051)</f>
        <v>0.61695</v>
      </c>
      <c r="K1051" s="16">
        <f t="shared" si="1"/>
        <v>2.9982</v>
      </c>
      <c r="L1051" s="16">
        <f t="shared" si="2"/>
        <v>0.3871</v>
      </c>
    </row>
    <row r="1052" ht="16.5" customHeight="1">
      <c r="A1052" s="15" t="str">
        <f>Solieusap!A1052</f>
        <v>Cũ</v>
      </c>
      <c r="B1052" s="15">
        <f>Solieusap!B1052</f>
        <v>1.75</v>
      </c>
      <c r="C1052" s="15" t="str">
        <f>Solieusap!C1052</f>
        <v>COMB7</v>
      </c>
      <c r="D1052" s="15" t="str">
        <f>Solieusap!D1052</f>
        <v>Combination</v>
      </c>
      <c r="E1052" s="16">
        <f>ABS(Solieusap!E1052)</f>
        <v>2.8057</v>
      </c>
      <c r="F1052" s="16">
        <f>ABS(Solieusap!F1052)</f>
        <v>0.2987</v>
      </c>
      <c r="G1052" s="16">
        <f>ABS(Solieusap!G1052)</f>
        <v>0.2183</v>
      </c>
      <c r="H1052" s="16">
        <f>ABS(Solieusap!H1052)</f>
        <v>0.00003978</v>
      </c>
      <c r="I1052" s="16">
        <f>ABS(Solieusap!I1052)</f>
        <v>0.0051</v>
      </c>
      <c r="J1052" s="16">
        <f>ABS(Solieusap!J1052)</f>
        <v>0.11241</v>
      </c>
      <c r="K1052" s="16">
        <f t="shared" si="1"/>
        <v>2.8057</v>
      </c>
      <c r="L1052" s="16">
        <f t="shared" si="2"/>
        <v>0.0051</v>
      </c>
    </row>
    <row r="1053" ht="16.5" customHeight="1">
      <c r="A1053" s="15" t="str">
        <f>Solieusap!A1053</f>
        <v>Cũ</v>
      </c>
      <c r="B1053" s="15">
        <f>Solieusap!B1053</f>
        <v>3.5</v>
      </c>
      <c r="C1053" s="15" t="str">
        <f>Solieusap!C1053</f>
        <v>COMB7</v>
      </c>
      <c r="D1053" s="15" t="str">
        <f>Solieusap!D1053</f>
        <v>Combination</v>
      </c>
      <c r="E1053" s="16">
        <f>ABS(Solieusap!E1053)</f>
        <v>2.6132</v>
      </c>
      <c r="F1053" s="16">
        <f>ABS(Solieusap!F1053)</f>
        <v>0.0624</v>
      </c>
      <c r="G1053" s="16">
        <f>ABS(Solieusap!G1053)</f>
        <v>0.2183</v>
      </c>
      <c r="H1053" s="16">
        <f>ABS(Solieusap!H1053)</f>
        <v>0.00003978</v>
      </c>
      <c r="I1053" s="16">
        <f>ABS(Solieusap!I1053)</f>
        <v>0.3769</v>
      </c>
      <c r="J1053" s="16">
        <f>ABS(Solieusap!J1053)</f>
        <v>0.42834</v>
      </c>
      <c r="K1053" s="16">
        <f t="shared" si="1"/>
        <v>2.6132</v>
      </c>
      <c r="L1053" s="16">
        <f t="shared" si="2"/>
        <v>0.3769</v>
      </c>
    </row>
    <row r="1054" ht="16.5" customHeight="1">
      <c r="A1054" s="15" t="str">
        <f>Solieusap!A1054</f>
        <v>Cũ</v>
      </c>
      <c r="B1054" s="15">
        <f>Solieusap!B1054</f>
        <v>0</v>
      </c>
      <c r="C1054" s="15" t="str">
        <f>Solieusap!C1054</f>
        <v>COMB1</v>
      </c>
      <c r="D1054" s="15" t="str">
        <f>Solieusap!D1054</f>
        <v>Combination</v>
      </c>
      <c r="E1054" s="16">
        <f>ABS(Solieusap!E1054)</f>
        <v>2.675805714</v>
      </c>
      <c r="F1054" s="16">
        <f>ABS(Solieusap!F1054)</f>
        <v>0.1483680952</v>
      </c>
      <c r="G1054" s="16">
        <f>ABS(Solieusap!G1054)</f>
        <v>0.2488752381</v>
      </c>
      <c r="H1054" s="16">
        <f>ABS(Solieusap!H1054)</f>
        <v>0.00007518757143</v>
      </c>
      <c r="I1054" s="16">
        <f>ABS(Solieusap!I1054)</f>
        <v>0.0569117619</v>
      </c>
      <c r="J1054" s="16">
        <f>ABS(Solieusap!J1054)</f>
        <v>0.05975471429</v>
      </c>
      <c r="K1054" s="16">
        <f t="shared" si="1"/>
        <v>2.675805714</v>
      </c>
      <c r="L1054" s="16">
        <f t="shared" si="2"/>
        <v>0.0569117619</v>
      </c>
    </row>
    <row r="1055" ht="16.5" customHeight="1">
      <c r="A1055" s="15" t="str">
        <f>Solieusap!A1055</f>
        <v>Cũ</v>
      </c>
      <c r="B1055" s="15">
        <f>Solieusap!B1055</f>
        <v>1.75</v>
      </c>
      <c r="C1055" s="15" t="str">
        <f>Solieusap!C1055</f>
        <v>COMB1</v>
      </c>
      <c r="D1055" s="15" t="str">
        <f>Solieusap!D1055</f>
        <v>Combination</v>
      </c>
      <c r="E1055" s="16">
        <f>ABS(Solieusap!E1055)</f>
        <v>2.692662078</v>
      </c>
      <c r="F1055" s="16">
        <f>ABS(Solieusap!F1055)</f>
        <v>0.1500786147</v>
      </c>
      <c r="G1055" s="16">
        <f>ABS(Solieusap!G1055)</f>
        <v>0.2511396537</v>
      </c>
      <c r="H1055" s="16">
        <f>ABS(Solieusap!H1055)</f>
        <v>0.00007624267532</v>
      </c>
      <c r="I1055" s="16">
        <f>ABS(Solieusap!I1055)</f>
        <v>0.06370655411</v>
      </c>
      <c r="J1055" s="16">
        <f>ABS(Solieusap!J1055)</f>
        <v>0.06430176623</v>
      </c>
      <c r="K1055" s="16">
        <f t="shared" si="1"/>
        <v>2.692662078</v>
      </c>
      <c r="L1055" s="16">
        <f t="shared" si="2"/>
        <v>0.06370655411</v>
      </c>
    </row>
    <row r="1056" ht="16.5" customHeight="1">
      <c r="A1056" s="15" t="str">
        <f>Solieusap!A1056</f>
        <v>Cũ</v>
      </c>
      <c r="B1056" s="15">
        <f>Solieusap!B1056</f>
        <v>3.5</v>
      </c>
      <c r="C1056" s="15" t="str">
        <f>Solieusap!C1056</f>
        <v>COMB1</v>
      </c>
      <c r="D1056" s="15" t="str">
        <f>Solieusap!D1056</f>
        <v>Combination</v>
      </c>
      <c r="E1056" s="16">
        <f>ABS(Solieusap!E1056)</f>
        <v>2.709518442</v>
      </c>
      <c r="F1056" s="16">
        <f>ABS(Solieusap!F1056)</f>
        <v>0.1517891342</v>
      </c>
      <c r="G1056" s="16">
        <f>ABS(Solieusap!G1056)</f>
        <v>0.2534040693</v>
      </c>
      <c r="H1056" s="16">
        <f>ABS(Solieusap!H1056)</f>
        <v>0.00007729777922</v>
      </c>
      <c r="I1056" s="16">
        <f>ABS(Solieusap!I1056)</f>
        <v>0.07050134632</v>
      </c>
      <c r="J1056" s="16">
        <f>ABS(Solieusap!J1056)</f>
        <v>0.06884881818</v>
      </c>
      <c r="K1056" s="16">
        <f t="shared" si="1"/>
        <v>2.709518442</v>
      </c>
      <c r="L1056" s="16">
        <f t="shared" si="2"/>
        <v>0.07050134632</v>
      </c>
    </row>
    <row r="1057" ht="16.5" customHeight="1">
      <c r="A1057" s="15" t="str">
        <f>Solieusap!A1057</f>
        <v>Cũ</v>
      </c>
      <c r="B1057" s="15">
        <f>Solieusap!B1057</f>
        <v>0</v>
      </c>
      <c r="C1057" s="15" t="str">
        <f>Solieusap!C1057</f>
        <v>COMB2</v>
      </c>
      <c r="D1057" s="15" t="str">
        <f>Solieusap!D1057</f>
        <v>Combination</v>
      </c>
      <c r="E1057" s="16">
        <f>ABS(Solieusap!E1057)</f>
        <v>2.726374805</v>
      </c>
      <c r="F1057" s="16">
        <f>ABS(Solieusap!F1057)</f>
        <v>0.1534996537</v>
      </c>
      <c r="G1057" s="16">
        <f>ABS(Solieusap!G1057)</f>
        <v>0.2556684848</v>
      </c>
      <c r="H1057" s="16">
        <f>ABS(Solieusap!H1057)</f>
        <v>0.00007835288312</v>
      </c>
      <c r="I1057" s="16">
        <f>ABS(Solieusap!I1057)</f>
        <v>0.07729613853</v>
      </c>
      <c r="J1057" s="16">
        <f>ABS(Solieusap!J1057)</f>
        <v>0.07339587013</v>
      </c>
      <c r="K1057" s="16">
        <f t="shared" si="1"/>
        <v>2.726374805</v>
      </c>
      <c r="L1057" s="16">
        <f t="shared" si="2"/>
        <v>0.07729613853</v>
      </c>
    </row>
    <row r="1058" ht="16.5" customHeight="1">
      <c r="A1058" s="15" t="str">
        <f>Solieusap!A1058</f>
        <v>Cũ</v>
      </c>
      <c r="B1058" s="15">
        <f>Solieusap!B1058</f>
        <v>1.75</v>
      </c>
      <c r="C1058" s="15" t="str">
        <f>Solieusap!C1058</f>
        <v>COMB2</v>
      </c>
      <c r="D1058" s="15" t="str">
        <f>Solieusap!D1058</f>
        <v>Combination</v>
      </c>
      <c r="E1058" s="16">
        <f>ABS(Solieusap!E1058)</f>
        <v>2.743231169</v>
      </c>
      <c r="F1058" s="16">
        <f>ABS(Solieusap!F1058)</f>
        <v>0.1552101732</v>
      </c>
      <c r="G1058" s="16">
        <f>ABS(Solieusap!G1058)</f>
        <v>0.2579329004</v>
      </c>
      <c r="H1058" s="16">
        <f>ABS(Solieusap!H1058)</f>
        <v>0.00007940798701</v>
      </c>
      <c r="I1058" s="16">
        <f>ABS(Solieusap!I1058)</f>
        <v>0.08409093074</v>
      </c>
      <c r="J1058" s="16">
        <f>ABS(Solieusap!J1058)</f>
        <v>0.07794292208</v>
      </c>
      <c r="K1058" s="16">
        <f t="shared" si="1"/>
        <v>2.743231169</v>
      </c>
      <c r="L1058" s="16">
        <f t="shared" si="2"/>
        <v>0.08409093074</v>
      </c>
    </row>
    <row r="1059" ht="16.5" customHeight="1">
      <c r="A1059" s="15" t="str">
        <f>Solieusap!A1059</f>
        <v>Cũ</v>
      </c>
      <c r="B1059" s="15">
        <f>Solieusap!B1059</f>
        <v>3.5</v>
      </c>
      <c r="C1059" s="15" t="str">
        <f>Solieusap!C1059</f>
        <v>COMB2</v>
      </c>
      <c r="D1059" s="15" t="str">
        <f>Solieusap!D1059</f>
        <v>Combination</v>
      </c>
      <c r="E1059" s="16">
        <f>ABS(Solieusap!E1059)</f>
        <v>2.760087532</v>
      </c>
      <c r="F1059" s="16">
        <f>ABS(Solieusap!F1059)</f>
        <v>0.1569206926</v>
      </c>
      <c r="G1059" s="16">
        <f>ABS(Solieusap!G1059)</f>
        <v>0.260197316</v>
      </c>
      <c r="H1059" s="16">
        <f>ABS(Solieusap!H1059)</f>
        <v>0.00008046309091</v>
      </c>
      <c r="I1059" s="16">
        <f>ABS(Solieusap!I1059)</f>
        <v>0.09088572294</v>
      </c>
      <c r="J1059" s="16">
        <f>ABS(Solieusap!J1059)</f>
        <v>0.08248997403</v>
      </c>
      <c r="K1059" s="16">
        <f t="shared" si="1"/>
        <v>2.760087532</v>
      </c>
      <c r="L1059" s="16">
        <f t="shared" si="2"/>
        <v>0.09088572294</v>
      </c>
    </row>
    <row r="1060" ht="16.5" customHeight="1">
      <c r="A1060" s="15" t="str">
        <f>Solieusap!A1060</f>
        <v>Cũ</v>
      </c>
      <c r="B1060" s="15">
        <f>Solieusap!B1060</f>
        <v>0</v>
      </c>
      <c r="C1060" s="15" t="str">
        <f>Solieusap!C1060</f>
        <v>COMB3</v>
      </c>
      <c r="D1060" s="15" t="str">
        <f>Solieusap!D1060</f>
        <v>Combination</v>
      </c>
      <c r="E1060" s="16">
        <f>ABS(Solieusap!E1060)</f>
        <v>2.776943896</v>
      </c>
      <c r="F1060" s="16">
        <f>ABS(Solieusap!F1060)</f>
        <v>0.1586312121</v>
      </c>
      <c r="G1060" s="16">
        <f>ABS(Solieusap!G1060)</f>
        <v>0.2624617316</v>
      </c>
      <c r="H1060" s="16">
        <f>ABS(Solieusap!H1060)</f>
        <v>0.00008151819481</v>
      </c>
      <c r="I1060" s="16">
        <f>ABS(Solieusap!I1060)</f>
        <v>0.09768051515</v>
      </c>
      <c r="J1060" s="16">
        <f>ABS(Solieusap!J1060)</f>
        <v>0.08703702597</v>
      </c>
      <c r="K1060" s="16">
        <f t="shared" si="1"/>
        <v>2.776943896</v>
      </c>
      <c r="L1060" s="16">
        <f t="shared" si="2"/>
        <v>0.09768051515</v>
      </c>
    </row>
    <row r="1061" ht="16.5" customHeight="1">
      <c r="A1061" s="15" t="str">
        <f>Solieusap!A1061</f>
        <v>Cũ</v>
      </c>
      <c r="B1061" s="15">
        <f>Solieusap!B1061</f>
        <v>1.75</v>
      </c>
      <c r="C1061" s="15" t="str">
        <f>Solieusap!C1061</f>
        <v>COMB3</v>
      </c>
      <c r="D1061" s="15" t="str">
        <f>Solieusap!D1061</f>
        <v>Combination</v>
      </c>
      <c r="E1061" s="16">
        <f>ABS(Solieusap!E1061)</f>
        <v>2.79380026</v>
      </c>
      <c r="F1061" s="16">
        <f>ABS(Solieusap!F1061)</f>
        <v>0.1603417316</v>
      </c>
      <c r="G1061" s="16">
        <f>ABS(Solieusap!G1061)</f>
        <v>0.2647261472</v>
      </c>
      <c r="H1061" s="16">
        <f>ABS(Solieusap!H1061)</f>
        <v>0.0000825732987</v>
      </c>
      <c r="I1061" s="16">
        <f>ABS(Solieusap!I1061)</f>
        <v>0.1044753074</v>
      </c>
      <c r="J1061" s="16">
        <f>ABS(Solieusap!J1061)</f>
        <v>0.09158407792</v>
      </c>
      <c r="K1061" s="16">
        <f t="shared" si="1"/>
        <v>2.79380026</v>
      </c>
      <c r="L1061" s="16">
        <f t="shared" si="2"/>
        <v>0.1044753074</v>
      </c>
    </row>
    <row r="1062" ht="16.5" customHeight="1">
      <c r="A1062" s="15" t="str">
        <f>Solieusap!A1062</f>
        <v>Cũ</v>
      </c>
      <c r="B1062" s="15">
        <f>Solieusap!B1062</f>
        <v>3.5</v>
      </c>
      <c r="C1062" s="15" t="str">
        <f>Solieusap!C1062</f>
        <v>COMB3</v>
      </c>
      <c r="D1062" s="15" t="str">
        <f>Solieusap!D1062</f>
        <v>Combination</v>
      </c>
      <c r="E1062" s="16">
        <f>ABS(Solieusap!E1062)</f>
        <v>2.810656623</v>
      </c>
      <c r="F1062" s="16">
        <f>ABS(Solieusap!F1062)</f>
        <v>0.1620522511</v>
      </c>
      <c r="G1062" s="16">
        <f>ABS(Solieusap!G1062)</f>
        <v>0.2669905628</v>
      </c>
      <c r="H1062" s="16">
        <f>ABS(Solieusap!H1062)</f>
        <v>0.0000836284026</v>
      </c>
      <c r="I1062" s="16">
        <f>ABS(Solieusap!I1062)</f>
        <v>0.1112700996</v>
      </c>
      <c r="J1062" s="16">
        <f>ABS(Solieusap!J1062)</f>
        <v>0.09613112987</v>
      </c>
      <c r="K1062" s="16">
        <f t="shared" si="1"/>
        <v>2.810656623</v>
      </c>
      <c r="L1062" s="16">
        <f t="shared" si="2"/>
        <v>0.1112700996</v>
      </c>
    </row>
    <row r="1063" ht="16.5" customHeight="1">
      <c r="A1063" s="15" t="str">
        <f>Solieusap!A1063</f>
        <v>Cũ</v>
      </c>
      <c r="B1063" s="15">
        <f>Solieusap!B1063</f>
        <v>0</v>
      </c>
      <c r="C1063" s="15" t="str">
        <f>Solieusap!C1063</f>
        <v>COMB4</v>
      </c>
      <c r="D1063" s="15" t="str">
        <f>Solieusap!D1063</f>
        <v>Combination</v>
      </c>
      <c r="E1063" s="16">
        <f>ABS(Solieusap!E1063)</f>
        <v>2.827512987</v>
      </c>
      <c r="F1063" s="16">
        <f>ABS(Solieusap!F1063)</f>
        <v>0.1637627706</v>
      </c>
      <c r="G1063" s="16">
        <f>ABS(Solieusap!G1063)</f>
        <v>0.2692549784</v>
      </c>
      <c r="H1063" s="16">
        <f>ABS(Solieusap!H1063)</f>
        <v>0.00008468350649</v>
      </c>
      <c r="I1063" s="16">
        <f>ABS(Solieusap!I1063)</f>
        <v>0.1180648918</v>
      </c>
      <c r="J1063" s="16">
        <f>ABS(Solieusap!J1063)</f>
        <v>0.1006781818</v>
      </c>
      <c r="K1063" s="16">
        <f t="shared" si="1"/>
        <v>2.827512987</v>
      </c>
      <c r="L1063" s="16">
        <f t="shared" si="2"/>
        <v>0.1180648918</v>
      </c>
    </row>
    <row r="1064" ht="16.5" customHeight="1">
      <c r="A1064" s="15" t="str">
        <f>Solieusap!A1064</f>
        <v>Cũ</v>
      </c>
      <c r="B1064" s="15">
        <f>Solieusap!B1064</f>
        <v>1.75</v>
      </c>
      <c r="C1064" s="15" t="str">
        <f>Solieusap!C1064</f>
        <v>COMB4</v>
      </c>
      <c r="D1064" s="15" t="str">
        <f>Solieusap!D1064</f>
        <v>Combination</v>
      </c>
      <c r="E1064" s="16">
        <f>ABS(Solieusap!E1064)</f>
        <v>2.844369351</v>
      </c>
      <c r="F1064" s="16">
        <f>ABS(Solieusap!F1064)</f>
        <v>0.16547329</v>
      </c>
      <c r="G1064" s="16">
        <f>ABS(Solieusap!G1064)</f>
        <v>0.2715193939</v>
      </c>
      <c r="H1064" s="16">
        <f>ABS(Solieusap!H1064)</f>
        <v>0.00008573861039</v>
      </c>
      <c r="I1064" s="16">
        <f>ABS(Solieusap!I1064)</f>
        <v>0.124859684</v>
      </c>
      <c r="J1064" s="16">
        <f>ABS(Solieusap!J1064)</f>
        <v>0.1052252338</v>
      </c>
      <c r="K1064" s="16">
        <f t="shared" si="1"/>
        <v>2.844369351</v>
      </c>
      <c r="L1064" s="16">
        <f t="shared" si="2"/>
        <v>0.124859684</v>
      </c>
    </row>
    <row r="1065" ht="16.5" customHeight="1">
      <c r="A1065" s="15" t="str">
        <f>Solieusap!A1065</f>
        <v>Cũ</v>
      </c>
      <c r="B1065" s="15">
        <f>Solieusap!B1065</f>
        <v>3.5</v>
      </c>
      <c r="C1065" s="15" t="str">
        <f>Solieusap!C1065</f>
        <v>COMB4</v>
      </c>
      <c r="D1065" s="15" t="str">
        <f>Solieusap!D1065</f>
        <v>Combination</v>
      </c>
      <c r="E1065" s="16">
        <f>ABS(Solieusap!E1065)</f>
        <v>2.861225714</v>
      </c>
      <c r="F1065" s="16">
        <f>ABS(Solieusap!F1065)</f>
        <v>0.1671838095</v>
      </c>
      <c r="G1065" s="16">
        <f>ABS(Solieusap!G1065)</f>
        <v>0.2737838095</v>
      </c>
      <c r="H1065" s="16">
        <f>ABS(Solieusap!H1065)</f>
        <v>0.00008679371429</v>
      </c>
      <c r="I1065" s="16">
        <f>ABS(Solieusap!I1065)</f>
        <v>0.1316544762</v>
      </c>
      <c r="J1065" s="16">
        <f>ABS(Solieusap!J1065)</f>
        <v>0.1097722857</v>
      </c>
      <c r="K1065" s="16">
        <f t="shared" si="1"/>
        <v>2.861225714</v>
      </c>
      <c r="L1065" s="16">
        <f t="shared" si="2"/>
        <v>0.1316544762</v>
      </c>
    </row>
    <row r="1066" ht="16.5" customHeight="1">
      <c r="A1066" s="15" t="str">
        <f>Solieusap!A1066</f>
        <v>Cũ</v>
      </c>
      <c r="B1066" s="15">
        <f>Solieusap!B1066</f>
        <v>0</v>
      </c>
      <c r="C1066" s="15" t="str">
        <f>Solieusap!C1066</f>
        <v>COMB5</v>
      </c>
      <c r="D1066" s="15" t="str">
        <f>Solieusap!D1066</f>
        <v>Combination</v>
      </c>
      <c r="E1066" s="16">
        <f>ABS(Solieusap!E1066)</f>
        <v>2.878082078</v>
      </c>
      <c r="F1066" s="16">
        <f>ABS(Solieusap!F1066)</f>
        <v>0.168894329</v>
      </c>
      <c r="G1066" s="16">
        <f>ABS(Solieusap!G1066)</f>
        <v>0.2760482251</v>
      </c>
      <c r="H1066" s="16">
        <f>ABS(Solieusap!H1066)</f>
        <v>0.00008784881818</v>
      </c>
      <c r="I1066" s="16">
        <f>ABS(Solieusap!I1066)</f>
        <v>0.1384492684</v>
      </c>
      <c r="J1066" s="16">
        <f>ABS(Solieusap!J1066)</f>
        <v>0.1143193377</v>
      </c>
      <c r="K1066" s="16">
        <f t="shared" si="1"/>
        <v>2.878082078</v>
      </c>
      <c r="L1066" s="16">
        <f t="shared" si="2"/>
        <v>0.1384492684</v>
      </c>
    </row>
    <row r="1067" ht="16.5" customHeight="1">
      <c r="A1067" s="15" t="str">
        <f>Solieusap!A1067</f>
        <v>Cũ</v>
      </c>
      <c r="B1067" s="15">
        <f>Solieusap!B1067</f>
        <v>1.75</v>
      </c>
      <c r="C1067" s="15" t="str">
        <f>Solieusap!C1067</f>
        <v>COMB5</v>
      </c>
      <c r="D1067" s="15" t="str">
        <f>Solieusap!D1067</f>
        <v>Combination</v>
      </c>
      <c r="E1067" s="16">
        <f>ABS(Solieusap!E1067)</f>
        <v>2.894938442</v>
      </c>
      <c r="F1067" s="16">
        <f>ABS(Solieusap!F1067)</f>
        <v>0.1706048485</v>
      </c>
      <c r="G1067" s="16">
        <f>ABS(Solieusap!G1067)</f>
        <v>0.2783126407</v>
      </c>
      <c r="H1067" s="16">
        <f>ABS(Solieusap!H1067)</f>
        <v>0.00008890392208</v>
      </c>
      <c r="I1067" s="16">
        <f>ABS(Solieusap!I1067)</f>
        <v>0.1452440606</v>
      </c>
      <c r="J1067" s="16">
        <f>ABS(Solieusap!J1067)</f>
        <v>0.1188663896</v>
      </c>
      <c r="K1067" s="16">
        <f t="shared" si="1"/>
        <v>2.894938442</v>
      </c>
      <c r="L1067" s="16">
        <f t="shared" si="2"/>
        <v>0.1452440606</v>
      </c>
    </row>
    <row r="1068" ht="16.5" customHeight="1">
      <c r="A1068" s="15" t="str">
        <f>Solieusap!A1068</f>
        <v>Cũ</v>
      </c>
      <c r="B1068" s="15">
        <f>Solieusap!B1068</f>
        <v>3.5</v>
      </c>
      <c r="C1068" s="15" t="str">
        <f>Solieusap!C1068</f>
        <v>COMB5</v>
      </c>
      <c r="D1068" s="15" t="str">
        <f>Solieusap!D1068</f>
        <v>Combination</v>
      </c>
      <c r="E1068" s="16">
        <f>ABS(Solieusap!E1068)</f>
        <v>2.911794805</v>
      </c>
      <c r="F1068" s="16">
        <f>ABS(Solieusap!F1068)</f>
        <v>0.172315368</v>
      </c>
      <c r="G1068" s="16">
        <f>ABS(Solieusap!G1068)</f>
        <v>0.2805770563</v>
      </c>
      <c r="H1068" s="16">
        <f>ABS(Solieusap!H1068)</f>
        <v>0.00008995902597</v>
      </c>
      <c r="I1068" s="16">
        <f>ABS(Solieusap!I1068)</f>
        <v>0.1520388528</v>
      </c>
      <c r="J1068" s="16">
        <f>ABS(Solieusap!J1068)</f>
        <v>0.1234134416</v>
      </c>
      <c r="K1068" s="16">
        <f t="shared" si="1"/>
        <v>2.911794805</v>
      </c>
      <c r="L1068" s="16">
        <f t="shared" si="2"/>
        <v>0.1520388528</v>
      </c>
    </row>
    <row r="1069" ht="16.5" customHeight="1">
      <c r="A1069" s="15" t="str">
        <f>Solieusap!A1069</f>
        <v>Cũ</v>
      </c>
      <c r="B1069" s="15">
        <f>Solieusap!B1069</f>
        <v>0</v>
      </c>
      <c r="C1069" s="15" t="str">
        <f>Solieusap!C1069</f>
        <v>COMB6</v>
      </c>
      <c r="D1069" s="15" t="str">
        <f>Solieusap!D1069</f>
        <v>Combination</v>
      </c>
      <c r="E1069" s="16">
        <f>ABS(Solieusap!E1069)</f>
        <v>2.928651169</v>
      </c>
      <c r="F1069" s="16">
        <f>ABS(Solieusap!F1069)</f>
        <v>0.1740258874</v>
      </c>
      <c r="G1069" s="16">
        <f>ABS(Solieusap!G1069)</f>
        <v>0.2828414719</v>
      </c>
      <c r="H1069" s="16">
        <f>ABS(Solieusap!H1069)</f>
        <v>0.00009101412987</v>
      </c>
      <c r="I1069" s="16">
        <f>ABS(Solieusap!I1069)</f>
        <v>0.158833645</v>
      </c>
      <c r="J1069" s="16">
        <f>ABS(Solieusap!J1069)</f>
        <v>0.1279604935</v>
      </c>
      <c r="K1069" s="16">
        <f t="shared" si="1"/>
        <v>2.928651169</v>
      </c>
      <c r="L1069" s="16">
        <f t="shared" si="2"/>
        <v>0.158833645</v>
      </c>
    </row>
    <row r="1070" ht="16.5" customHeight="1">
      <c r="A1070" s="15" t="str">
        <f>Solieusap!A1070</f>
        <v>Cũ</v>
      </c>
      <c r="B1070" s="15">
        <f>Solieusap!B1070</f>
        <v>1.75</v>
      </c>
      <c r="C1070" s="15" t="str">
        <f>Solieusap!C1070</f>
        <v>COMB6</v>
      </c>
      <c r="D1070" s="15" t="str">
        <f>Solieusap!D1070</f>
        <v>Combination</v>
      </c>
      <c r="E1070" s="16">
        <f>ABS(Solieusap!E1070)</f>
        <v>2.945507532</v>
      </c>
      <c r="F1070" s="16">
        <f>ABS(Solieusap!F1070)</f>
        <v>0.1757364069</v>
      </c>
      <c r="G1070" s="16">
        <f>ABS(Solieusap!G1070)</f>
        <v>0.2851058874</v>
      </c>
      <c r="H1070" s="16">
        <f>ABS(Solieusap!H1070)</f>
        <v>0.00009206923377</v>
      </c>
      <c r="I1070" s="16">
        <f>ABS(Solieusap!I1070)</f>
        <v>0.1656284372</v>
      </c>
      <c r="J1070" s="16">
        <f>ABS(Solieusap!J1070)</f>
        <v>0.1325075455</v>
      </c>
      <c r="K1070" s="16">
        <f t="shared" si="1"/>
        <v>2.945507532</v>
      </c>
      <c r="L1070" s="16">
        <f t="shared" si="2"/>
        <v>0.1656284372</v>
      </c>
    </row>
    <row r="1071" ht="16.5" customHeight="1">
      <c r="A1071" s="15" t="str">
        <f>Solieusap!A1071</f>
        <v>Cũ</v>
      </c>
      <c r="B1071" s="15">
        <f>Solieusap!B1071</f>
        <v>3.5</v>
      </c>
      <c r="C1071" s="15" t="str">
        <f>Solieusap!C1071</f>
        <v>COMB6</v>
      </c>
      <c r="D1071" s="15" t="str">
        <f>Solieusap!D1071</f>
        <v>Combination</v>
      </c>
      <c r="E1071" s="16">
        <f>ABS(Solieusap!E1071)</f>
        <v>2.962363896</v>
      </c>
      <c r="F1071" s="16">
        <f>ABS(Solieusap!F1071)</f>
        <v>0.1774469264</v>
      </c>
      <c r="G1071" s="16">
        <f>ABS(Solieusap!G1071)</f>
        <v>0.287370303</v>
      </c>
      <c r="H1071" s="16">
        <f>ABS(Solieusap!H1071)</f>
        <v>0.00009312433766</v>
      </c>
      <c r="I1071" s="16">
        <f>ABS(Solieusap!I1071)</f>
        <v>0.1724232294</v>
      </c>
      <c r="J1071" s="16">
        <f>ABS(Solieusap!J1071)</f>
        <v>0.1370545974</v>
      </c>
      <c r="K1071" s="16">
        <f t="shared" si="1"/>
        <v>2.962363896</v>
      </c>
      <c r="L1071" s="16">
        <f t="shared" si="2"/>
        <v>0.1724232294</v>
      </c>
    </row>
    <row r="1072" ht="16.5" customHeight="1">
      <c r="A1072" s="15" t="str">
        <f>Solieusap!A1072</f>
        <v>Cũ</v>
      </c>
      <c r="B1072" s="15">
        <f>Solieusap!B1072</f>
        <v>0</v>
      </c>
      <c r="C1072" s="15" t="str">
        <f>Solieusap!C1072</f>
        <v>COMB7</v>
      </c>
      <c r="D1072" s="15" t="str">
        <f>Solieusap!D1072</f>
        <v>Combination</v>
      </c>
      <c r="E1072" s="16">
        <f>ABS(Solieusap!E1072)</f>
        <v>2.97922026</v>
      </c>
      <c r="F1072" s="16">
        <f>ABS(Solieusap!F1072)</f>
        <v>0.1791574459</v>
      </c>
      <c r="G1072" s="16">
        <f>ABS(Solieusap!G1072)</f>
        <v>0.2896347186</v>
      </c>
      <c r="H1072" s="16">
        <f>ABS(Solieusap!H1072)</f>
        <v>0.00009417944156</v>
      </c>
      <c r="I1072" s="16">
        <f>ABS(Solieusap!I1072)</f>
        <v>0.1792180216</v>
      </c>
      <c r="J1072" s="16">
        <f>ABS(Solieusap!J1072)</f>
        <v>0.1416016494</v>
      </c>
      <c r="K1072" s="16">
        <f t="shared" si="1"/>
        <v>2.97922026</v>
      </c>
      <c r="L1072" s="16">
        <f t="shared" si="2"/>
        <v>0.1792180216</v>
      </c>
    </row>
    <row r="1073" ht="16.5" customHeight="1">
      <c r="A1073" s="15" t="str">
        <f>Solieusap!A1073</f>
        <v>Cũ</v>
      </c>
      <c r="B1073" s="15">
        <f>Solieusap!B1073</f>
        <v>1.75</v>
      </c>
      <c r="C1073" s="15" t="str">
        <f>Solieusap!C1073</f>
        <v>COMB7</v>
      </c>
      <c r="D1073" s="15" t="str">
        <f>Solieusap!D1073</f>
        <v>Combination</v>
      </c>
      <c r="E1073" s="16">
        <f>ABS(Solieusap!E1073)</f>
        <v>2.996076623</v>
      </c>
      <c r="F1073" s="16">
        <f>ABS(Solieusap!F1073)</f>
        <v>0.1808679654</v>
      </c>
      <c r="G1073" s="16">
        <f>ABS(Solieusap!G1073)</f>
        <v>0.2918991342</v>
      </c>
      <c r="H1073" s="16">
        <f>ABS(Solieusap!H1073)</f>
        <v>0.00009523454545</v>
      </c>
      <c r="I1073" s="16">
        <f>ABS(Solieusap!I1073)</f>
        <v>0.1860128139</v>
      </c>
      <c r="J1073" s="16">
        <f>ABS(Solieusap!J1073)</f>
        <v>0.1461487013</v>
      </c>
      <c r="K1073" s="16">
        <f t="shared" si="1"/>
        <v>2.996076623</v>
      </c>
      <c r="L1073" s="16">
        <f t="shared" si="2"/>
        <v>0.1860128139</v>
      </c>
    </row>
    <row r="1074" ht="16.5" customHeight="1">
      <c r="A1074" s="15" t="str">
        <f>Solieusap!A1074</f>
        <v>Cũ</v>
      </c>
      <c r="B1074" s="15">
        <f>Solieusap!B1074</f>
        <v>3.5</v>
      </c>
      <c r="C1074" s="15" t="str">
        <f>Solieusap!C1074</f>
        <v>COMB7</v>
      </c>
      <c r="D1074" s="15" t="str">
        <f>Solieusap!D1074</f>
        <v>Combination</v>
      </c>
      <c r="E1074" s="16">
        <f>ABS(Solieusap!E1074)</f>
        <v>3.012932987</v>
      </c>
      <c r="F1074" s="16">
        <f>ABS(Solieusap!F1074)</f>
        <v>0.1825784848</v>
      </c>
      <c r="G1074" s="16">
        <f>ABS(Solieusap!G1074)</f>
        <v>0.2941635498</v>
      </c>
      <c r="H1074" s="16">
        <f>ABS(Solieusap!H1074)</f>
        <v>0.00009628964935</v>
      </c>
      <c r="I1074" s="16">
        <f>ABS(Solieusap!I1074)</f>
        <v>0.1928076061</v>
      </c>
      <c r="J1074" s="16">
        <f>ABS(Solieusap!J1074)</f>
        <v>0.1506957532</v>
      </c>
      <c r="K1074" s="16">
        <f t="shared" si="1"/>
        <v>3.012932987</v>
      </c>
      <c r="L1074" s="16">
        <f t="shared" si="2"/>
        <v>0.1928076061</v>
      </c>
    </row>
    <row r="1075" ht="16.5" customHeight="1">
      <c r="A1075" s="15" t="str">
        <f>Solieusap!A1075</f>
        <v>Cũ</v>
      </c>
      <c r="B1075" s="15">
        <f>Solieusap!B1075</f>
        <v>0</v>
      </c>
      <c r="C1075" s="15" t="str">
        <f>Solieusap!C1075</f>
        <v>COMB1</v>
      </c>
      <c r="D1075" s="15" t="str">
        <f>Solieusap!D1075</f>
        <v>Combination</v>
      </c>
      <c r="E1075" s="16">
        <f>ABS(Solieusap!E1075)</f>
        <v>3.029789351</v>
      </c>
      <c r="F1075" s="16">
        <f>ABS(Solieusap!F1075)</f>
        <v>0.1842890043</v>
      </c>
      <c r="G1075" s="16">
        <f>ABS(Solieusap!G1075)</f>
        <v>0.2964279654</v>
      </c>
      <c r="H1075" s="16">
        <f>ABS(Solieusap!H1075)</f>
        <v>0.00009734475325</v>
      </c>
      <c r="I1075" s="16">
        <f>ABS(Solieusap!I1075)</f>
        <v>0.1996023983</v>
      </c>
      <c r="J1075" s="16">
        <f>ABS(Solieusap!J1075)</f>
        <v>0.1552428052</v>
      </c>
      <c r="K1075" s="16">
        <f t="shared" si="1"/>
        <v>3.029789351</v>
      </c>
      <c r="L1075" s="16">
        <f t="shared" si="2"/>
        <v>0.1996023983</v>
      </c>
    </row>
    <row r="1076" ht="16.5" customHeight="1">
      <c r="A1076" s="15" t="str">
        <f>Solieusap!A1076</f>
        <v>Cũ</v>
      </c>
      <c r="B1076" s="15">
        <f>Solieusap!B1076</f>
        <v>1.75</v>
      </c>
      <c r="C1076" s="15" t="str">
        <f>Solieusap!C1076</f>
        <v>COMB1</v>
      </c>
      <c r="D1076" s="15" t="str">
        <f>Solieusap!D1076</f>
        <v>Combination</v>
      </c>
      <c r="E1076" s="16">
        <f>ABS(Solieusap!E1076)</f>
        <v>3.046645714</v>
      </c>
      <c r="F1076" s="16">
        <f>ABS(Solieusap!F1076)</f>
        <v>0.1859995238</v>
      </c>
      <c r="G1076" s="16">
        <f>ABS(Solieusap!G1076)</f>
        <v>0.298692381</v>
      </c>
      <c r="H1076" s="16">
        <f>ABS(Solieusap!H1076)</f>
        <v>0.00009839985714</v>
      </c>
      <c r="I1076" s="16">
        <f>ABS(Solieusap!I1076)</f>
        <v>0.2063971905</v>
      </c>
      <c r="J1076" s="16">
        <f>ABS(Solieusap!J1076)</f>
        <v>0.1597898571</v>
      </c>
      <c r="K1076" s="16">
        <f t="shared" si="1"/>
        <v>3.046645714</v>
      </c>
      <c r="L1076" s="16">
        <f t="shared" si="2"/>
        <v>0.2063971905</v>
      </c>
    </row>
    <row r="1077" ht="16.5" customHeight="1">
      <c r="A1077" s="15" t="str">
        <f>Solieusap!A1077</f>
        <v>Cũ</v>
      </c>
      <c r="B1077" s="15">
        <f>Solieusap!B1077</f>
        <v>3.5</v>
      </c>
      <c r="C1077" s="15" t="str">
        <f>Solieusap!C1077</f>
        <v>COMB1</v>
      </c>
      <c r="D1077" s="15" t="str">
        <f>Solieusap!D1077</f>
        <v>Combination</v>
      </c>
      <c r="E1077" s="16">
        <f>ABS(Solieusap!E1077)</f>
        <v>3.063502078</v>
      </c>
      <c r="F1077" s="16">
        <f>ABS(Solieusap!F1077)</f>
        <v>0.1877100433</v>
      </c>
      <c r="G1077" s="16">
        <f>ABS(Solieusap!G1077)</f>
        <v>0.3009567965</v>
      </c>
      <c r="H1077" s="16">
        <f>ABS(Solieusap!H1077)</f>
        <v>0.00009945496104</v>
      </c>
      <c r="I1077" s="16">
        <f>ABS(Solieusap!I1077)</f>
        <v>0.2131919827</v>
      </c>
      <c r="J1077" s="16">
        <f>ABS(Solieusap!J1077)</f>
        <v>0.1643369091</v>
      </c>
      <c r="K1077" s="16">
        <f t="shared" si="1"/>
        <v>3.063502078</v>
      </c>
      <c r="L1077" s="16">
        <f t="shared" si="2"/>
        <v>0.2131919827</v>
      </c>
    </row>
    <row r="1078" ht="16.5" customHeight="1">
      <c r="A1078" s="15" t="str">
        <f>Solieusap!A1078</f>
        <v>Cũ</v>
      </c>
      <c r="B1078" s="15">
        <f>Solieusap!B1078</f>
        <v>0</v>
      </c>
      <c r="C1078" s="15" t="str">
        <f>Solieusap!C1078</f>
        <v>COMB2</v>
      </c>
      <c r="D1078" s="15" t="str">
        <f>Solieusap!D1078</f>
        <v>Combination</v>
      </c>
      <c r="E1078" s="16">
        <f>ABS(Solieusap!E1078)</f>
        <v>3.080358442</v>
      </c>
      <c r="F1078" s="16">
        <f>ABS(Solieusap!F1078)</f>
        <v>0.1894205628</v>
      </c>
      <c r="G1078" s="16">
        <f>ABS(Solieusap!G1078)</f>
        <v>0.3032212121</v>
      </c>
      <c r="H1078" s="16">
        <f>ABS(Solieusap!H1078)</f>
        <v>0.0001005100649</v>
      </c>
      <c r="I1078" s="16">
        <f>ABS(Solieusap!I1078)</f>
        <v>0.2199867749</v>
      </c>
      <c r="J1078" s="16">
        <f>ABS(Solieusap!J1078)</f>
        <v>0.168883961</v>
      </c>
      <c r="K1078" s="16">
        <f t="shared" si="1"/>
        <v>3.080358442</v>
      </c>
      <c r="L1078" s="16">
        <f t="shared" si="2"/>
        <v>0.2199867749</v>
      </c>
    </row>
    <row r="1079" ht="16.5" customHeight="1">
      <c r="A1079" s="15" t="str">
        <f>Solieusap!A1079</f>
        <v>Cũ</v>
      </c>
      <c r="B1079" s="15">
        <f>Solieusap!B1079</f>
        <v>1.75</v>
      </c>
      <c r="C1079" s="15" t="str">
        <f>Solieusap!C1079</f>
        <v>COMB2</v>
      </c>
      <c r="D1079" s="15" t="str">
        <f>Solieusap!D1079</f>
        <v>Combination</v>
      </c>
      <c r="E1079" s="16">
        <f>ABS(Solieusap!E1079)</f>
        <v>3.097214805</v>
      </c>
      <c r="F1079" s="16">
        <f>ABS(Solieusap!F1079)</f>
        <v>0.1911310823</v>
      </c>
      <c r="G1079" s="16">
        <f>ABS(Solieusap!G1079)</f>
        <v>0.3054856277</v>
      </c>
      <c r="H1079" s="16">
        <f>ABS(Solieusap!H1079)</f>
        <v>0.0001015651688</v>
      </c>
      <c r="I1079" s="16">
        <f>ABS(Solieusap!I1079)</f>
        <v>0.2267815671</v>
      </c>
      <c r="J1079" s="16">
        <f>ABS(Solieusap!J1079)</f>
        <v>0.173431013</v>
      </c>
      <c r="K1079" s="16">
        <f t="shared" si="1"/>
        <v>3.097214805</v>
      </c>
      <c r="L1079" s="16">
        <f t="shared" si="2"/>
        <v>0.2267815671</v>
      </c>
    </row>
    <row r="1080" ht="16.5" customHeight="1">
      <c r="A1080" s="15" t="str">
        <f>Solieusap!A1080</f>
        <v>Cũ</v>
      </c>
      <c r="B1080" s="15">
        <f>Solieusap!B1080</f>
        <v>3.5</v>
      </c>
      <c r="C1080" s="15" t="str">
        <f>Solieusap!C1080</f>
        <v>COMB2</v>
      </c>
      <c r="D1080" s="15" t="str">
        <f>Solieusap!D1080</f>
        <v>Combination</v>
      </c>
      <c r="E1080" s="16">
        <f>ABS(Solieusap!E1080)</f>
        <v>3.114071169</v>
      </c>
      <c r="F1080" s="16">
        <f>ABS(Solieusap!F1080)</f>
        <v>0.1928416017</v>
      </c>
      <c r="G1080" s="16">
        <f>ABS(Solieusap!G1080)</f>
        <v>0.3077500433</v>
      </c>
      <c r="H1080" s="16">
        <f>ABS(Solieusap!H1080)</f>
        <v>0.0001026202727</v>
      </c>
      <c r="I1080" s="16">
        <f>ABS(Solieusap!I1080)</f>
        <v>0.2335763593</v>
      </c>
      <c r="J1080" s="16">
        <f>ABS(Solieusap!J1080)</f>
        <v>0.1779780649</v>
      </c>
      <c r="K1080" s="16">
        <f t="shared" si="1"/>
        <v>3.114071169</v>
      </c>
      <c r="L1080" s="16">
        <f t="shared" si="2"/>
        <v>0.2335763593</v>
      </c>
    </row>
    <row r="1081" ht="16.5" customHeight="1">
      <c r="A1081" s="15" t="str">
        <f>Solieusap!A1081</f>
        <v>Cũ</v>
      </c>
      <c r="B1081" s="15">
        <f>Solieusap!B1081</f>
        <v>0</v>
      </c>
      <c r="C1081" s="15" t="str">
        <f>Solieusap!C1081</f>
        <v>COMB3</v>
      </c>
      <c r="D1081" s="15" t="str">
        <f>Solieusap!D1081</f>
        <v>Combination</v>
      </c>
      <c r="E1081" s="16">
        <f>ABS(Solieusap!E1081)</f>
        <v>3.130927532</v>
      </c>
      <c r="F1081" s="16">
        <f>ABS(Solieusap!F1081)</f>
        <v>0.1945521212</v>
      </c>
      <c r="G1081" s="16">
        <f>ABS(Solieusap!G1081)</f>
        <v>0.3100144589</v>
      </c>
      <c r="H1081" s="16">
        <f>ABS(Solieusap!H1081)</f>
        <v>0.0001036753766</v>
      </c>
      <c r="I1081" s="16">
        <f>ABS(Solieusap!I1081)</f>
        <v>0.2403711515</v>
      </c>
      <c r="J1081" s="16">
        <f>ABS(Solieusap!J1081)</f>
        <v>0.1825251169</v>
      </c>
      <c r="K1081" s="16">
        <f t="shared" si="1"/>
        <v>3.130927532</v>
      </c>
      <c r="L1081" s="16">
        <f t="shared" si="2"/>
        <v>0.2403711515</v>
      </c>
    </row>
    <row r="1082" ht="16.5" customHeight="1">
      <c r="A1082" s="15" t="str">
        <f>Solieusap!A1082</f>
        <v>Cũ</v>
      </c>
      <c r="B1082" s="15">
        <f>Solieusap!B1082</f>
        <v>1.75</v>
      </c>
      <c r="C1082" s="15" t="str">
        <f>Solieusap!C1082</f>
        <v>COMB3</v>
      </c>
      <c r="D1082" s="15" t="str">
        <f>Solieusap!D1082</f>
        <v>Combination</v>
      </c>
      <c r="E1082" s="16">
        <f>ABS(Solieusap!E1082)</f>
        <v>3.147783896</v>
      </c>
      <c r="F1082" s="16">
        <f>ABS(Solieusap!F1082)</f>
        <v>0.1962626407</v>
      </c>
      <c r="G1082" s="16">
        <f>ABS(Solieusap!G1082)</f>
        <v>0.3122788745</v>
      </c>
      <c r="H1082" s="16">
        <f>ABS(Solieusap!H1082)</f>
        <v>0.0001047304805</v>
      </c>
      <c r="I1082" s="16">
        <f>ABS(Solieusap!I1082)</f>
        <v>0.2471659437</v>
      </c>
      <c r="J1082" s="16">
        <f>ABS(Solieusap!J1082)</f>
        <v>0.1870721688</v>
      </c>
      <c r="K1082" s="16">
        <f t="shared" si="1"/>
        <v>3.147783896</v>
      </c>
      <c r="L1082" s="16">
        <f t="shared" si="2"/>
        <v>0.2471659437</v>
      </c>
    </row>
    <row r="1083" ht="16.5" customHeight="1">
      <c r="A1083" s="15" t="str">
        <f>Solieusap!A1083</f>
        <v>Cũ</v>
      </c>
      <c r="B1083" s="15">
        <f>Solieusap!B1083</f>
        <v>3.5</v>
      </c>
      <c r="C1083" s="15" t="str">
        <f>Solieusap!C1083</f>
        <v>COMB3</v>
      </c>
      <c r="D1083" s="15" t="str">
        <f>Solieusap!D1083</f>
        <v>Combination</v>
      </c>
      <c r="E1083" s="16">
        <f>ABS(Solieusap!E1083)</f>
        <v>3.16464026</v>
      </c>
      <c r="F1083" s="16">
        <f>ABS(Solieusap!F1083)</f>
        <v>0.1979731602</v>
      </c>
      <c r="G1083" s="16">
        <f>ABS(Solieusap!G1083)</f>
        <v>0.31454329</v>
      </c>
      <c r="H1083" s="16">
        <f>ABS(Solieusap!H1083)</f>
        <v>0.0001057855844</v>
      </c>
      <c r="I1083" s="16">
        <f>ABS(Solieusap!I1083)</f>
        <v>0.2539607359</v>
      </c>
      <c r="J1083" s="16">
        <f>ABS(Solieusap!J1083)</f>
        <v>0.1916192208</v>
      </c>
      <c r="K1083" s="16">
        <f t="shared" si="1"/>
        <v>3.16464026</v>
      </c>
      <c r="L1083" s="16">
        <f t="shared" si="2"/>
        <v>0.2539607359</v>
      </c>
    </row>
    <row r="1084" ht="16.5" customHeight="1">
      <c r="A1084" s="15" t="str">
        <f>Solieusap!A1084</f>
        <v>Cũ</v>
      </c>
      <c r="B1084" s="15">
        <f>Solieusap!B1084</f>
        <v>0</v>
      </c>
      <c r="C1084" s="15" t="str">
        <f>Solieusap!C1084</f>
        <v>COMB4</v>
      </c>
      <c r="D1084" s="15" t="str">
        <f>Solieusap!D1084</f>
        <v>Combination</v>
      </c>
      <c r="E1084" s="16">
        <f>ABS(Solieusap!E1084)</f>
        <v>3.181496623</v>
      </c>
      <c r="F1084" s="16">
        <f>ABS(Solieusap!F1084)</f>
        <v>0.1996836797</v>
      </c>
      <c r="G1084" s="16">
        <f>ABS(Solieusap!G1084)</f>
        <v>0.3168077056</v>
      </c>
      <c r="H1084" s="16">
        <f>ABS(Solieusap!H1084)</f>
        <v>0.0001068406883</v>
      </c>
      <c r="I1084" s="16">
        <f>ABS(Solieusap!I1084)</f>
        <v>0.2607555281</v>
      </c>
      <c r="J1084" s="16">
        <f>ABS(Solieusap!J1084)</f>
        <v>0.1961662727</v>
      </c>
      <c r="K1084" s="16">
        <f t="shared" si="1"/>
        <v>3.181496623</v>
      </c>
      <c r="L1084" s="16">
        <f t="shared" si="2"/>
        <v>0.2607555281</v>
      </c>
    </row>
    <row r="1085" ht="16.5" customHeight="1">
      <c r="A1085" s="15" t="str">
        <f>Solieusap!A1085</f>
        <v>Cũ</v>
      </c>
      <c r="B1085" s="15">
        <f>Solieusap!B1085</f>
        <v>1.75</v>
      </c>
      <c r="C1085" s="15" t="str">
        <f>Solieusap!C1085</f>
        <v>COMB4</v>
      </c>
      <c r="D1085" s="15" t="str">
        <f>Solieusap!D1085</f>
        <v>Combination</v>
      </c>
      <c r="E1085" s="16">
        <f>ABS(Solieusap!E1085)</f>
        <v>3.198352987</v>
      </c>
      <c r="F1085" s="16">
        <f>ABS(Solieusap!F1085)</f>
        <v>0.2013941991</v>
      </c>
      <c r="G1085" s="16">
        <f>ABS(Solieusap!G1085)</f>
        <v>0.3190721212</v>
      </c>
      <c r="H1085" s="16">
        <f>ABS(Solieusap!H1085)</f>
        <v>0.0001078957922</v>
      </c>
      <c r="I1085" s="16">
        <f>ABS(Solieusap!I1085)</f>
        <v>0.2675503203</v>
      </c>
      <c r="J1085" s="16">
        <f>ABS(Solieusap!J1085)</f>
        <v>0.2007133247</v>
      </c>
      <c r="K1085" s="16">
        <f t="shared" si="1"/>
        <v>3.198352987</v>
      </c>
      <c r="L1085" s="16">
        <f t="shared" si="2"/>
        <v>0.2675503203</v>
      </c>
    </row>
    <row r="1086" ht="16.5" customHeight="1">
      <c r="A1086" s="15" t="str">
        <f>Solieusap!A1086</f>
        <v>Cũ</v>
      </c>
      <c r="B1086" s="15">
        <f>Solieusap!B1086</f>
        <v>3.5</v>
      </c>
      <c r="C1086" s="15" t="str">
        <f>Solieusap!C1086</f>
        <v>COMB4</v>
      </c>
      <c r="D1086" s="15" t="str">
        <f>Solieusap!D1086</f>
        <v>Combination</v>
      </c>
      <c r="E1086" s="16">
        <f>ABS(Solieusap!E1086)</f>
        <v>3.215209351</v>
      </c>
      <c r="F1086" s="16">
        <f>ABS(Solieusap!F1086)</f>
        <v>0.2031047186</v>
      </c>
      <c r="G1086" s="16">
        <f>ABS(Solieusap!G1086)</f>
        <v>0.3213365368</v>
      </c>
      <c r="H1086" s="16">
        <f>ABS(Solieusap!H1086)</f>
        <v>0.0001089508961</v>
      </c>
      <c r="I1086" s="16">
        <f>ABS(Solieusap!I1086)</f>
        <v>0.2743451126</v>
      </c>
      <c r="J1086" s="16">
        <f>ABS(Solieusap!J1086)</f>
        <v>0.2052603766</v>
      </c>
      <c r="K1086" s="16">
        <f t="shared" si="1"/>
        <v>3.215209351</v>
      </c>
      <c r="L1086" s="16">
        <f t="shared" si="2"/>
        <v>0.2743451126</v>
      </c>
    </row>
    <row r="1087" ht="16.5" customHeight="1">
      <c r="A1087" s="15" t="str">
        <f>Solieusap!A1087</f>
        <v>Cũ</v>
      </c>
      <c r="B1087" s="15">
        <f>Solieusap!B1087</f>
        <v>0</v>
      </c>
      <c r="C1087" s="15" t="str">
        <f>Solieusap!C1087</f>
        <v>COMB5</v>
      </c>
      <c r="D1087" s="15" t="str">
        <f>Solieusap!D1087</f>
        <v>Combination</v>
      </c>
      <c r="E1087" s="16">
        <f>ABS(Solieusap!E1087)</f>
        <v>3.232065714</v>
      </c>
      <c r="F1087" s="16">
        <f>ABS(Solieusap!F1087)</f>
        <v>0.2048152381</v>
      </c>
      <c r="G1087" s="16">
        <f>ABS(Solieusap!G1087)</f>
        <v>0.3236009524</v>
      </c>
      <c r="H1087" s="16">
        <f>ABS(Solieusap!H1087)</f>
        <v>0.000110006</v>
      </c>
      <c r="I1087" s="16">
        <f>ABS(Solieusap!I1087)</f>
        <v>0.2811399048</v>
      </c>
      <c r="J1087" s="16">
        <f>ABS(Solieusap!J1087)</f>
        <v>0.2098074286</v>
      </c>
      <c r="K1087" s="16">
        <f t="shared" si="1"/>
        <v>3.232065714</v>
      </c>
      <c r="L1087" s="16">
        <f t="shared" si="2"/>
        <v>0.2811399048</v>
      </c>
    </row>
    <row r="1088" ht="16.5" customHeight="1">
      <c r="A1088" s="15" t="str">
        <f>Solieusap!A1088</f>
        <v>Cũ</v>
      </c>
      <c r="B1088" s="15">
        <f>Solieusap!B1088</f>
        <v>1.75</v>
      </c>
      <c r="C1088" s="15" t="str">
        <f>Solieusap!C1088</f>
        <v>COMB5</v>
      </c>
      <c r="D1088" s="15" t="str">
        <f>Solieusap!D1088</f>
        <v>Combination</v>
      </c>
      <c r="E1088" s="16">
        <f>ABS(Solieusap!E1088)</f>
        <v>3.248922078</v>
      </c>
      <c r="F1088" s="16">
        <f>ABS(Solieusap!F1088)</f>
        <v>0.2065257576</v>
      </c>
      <c r="G1088" s="16">
        <f>ABS(Solieusap!G1088)</f>
        <v>0.325865368</v>
      </c>
      <c r="H1088" s="16">
        <f>ABS(Solieusap!H1088)</f>
        <v>0.0001110611039</v>
      </c>
      <c r="I1088" s="16">
        <f>ABS(Solieusap!I1088)</f>
        <v>0.287934697</v>
      </c>
      <c r="J1088" s="16">
        <f>ABS(Solieusap!J1088)</f>
        <v>0.2143544805</v>
      </c>
      <c r="K1088" s="16">
        <f t="shared" si="1"/>
        <v>3.248922078</v>
      </c>
      <c r="L1088" s="16">
        <f t="shared" si="2"/>
        <v>0.287934697</v>
      </c>
    </row>
    <row r="1089" ht="16.5" customHeight="1">
      <c r="A1089" s="15" t="str">
        <f>Solieusap!A1089</f>
        <v>Cũ</v>
      </c>
      <c r="B1089" s="15">
        <f>Solieusap!B1089</f>
        <v>3.5</v>
      </c>
      <c r="C1089" s="15" t="str">
        <f>Solieusap!C1089</f>
        <v>COMB5</v>
      </c>
      <c r="D1089" s="15" t="str">
        <f>Solieusap!D1089</f>
        <v>Combination</v>
      </c>
      <c r="E1089" s="16">
        <f>ABS(Solieusap!E1089)</f>
        <v>3.265778442</v>
      </c>
      <c r="F1089" s="16">
        <f>ABS(Solieusap!F1089)</f>
        <v>0.2082362771</v>
      </c>
      <c r="G1089" s="16">
        <f>ABS(Solieusap!G1089)</f>
        <v>0.3281297835</v>
      </c>
      <c r="H1089" s="16">
        <f>ABS(Solieusap!H1089)</f>
        <v>0.0001121162078</v>
      </c>
      <c r="I1089" s="16">
        <f>ABS(Solieusap!I1089)</f>
        <v>0.2947294892</v>
      </c>
      <c r="J1089" s="16">
        <f>ABS(Solieusap!J1089)</f>
        <v>0.2189015325</v>
      </c>
      <c r="K1089" s="16">
        <f t="shared" si="1"/>
        <v>3.265778442</v>
      </c>
      <c r="L1089" s="16">
        <f t="shared" si="2"/>
        <v>0.2947294892</v>
      </c>
    </row>
    <row r="1090" ht="16.5" customHeight="1">
      <c r="A1090" s="15" t="str">
        <f>Solieusap!A1090</f>
        <v>Cũ</v>
      </c>
      <c r="B1090" s="15">
        <f>Solieusap!B1090</f>
        <v>0</v>
      </c>
      <c r="C1090" s="15" t="str">
        <f>Solieusap!C1090</f>
        <v>COMB6</v>
      </c>
      <c r="D1090" s="15" t="str">
        <f>Solieusap!D1090</f>
        <v>Combination</v>
      </c>
      <c r="E1090" s="16">
        <f>ABS(Solieusap!E1090)</f>
        <v>3.282634805</v>
      </c>
      <c r="F1090" s="16">
        <f>ABS(Solieusap!F1090)</f>
        <v>0.2099467965</v>
      </c>
      <c r="G1090" s="16">
        <f>ABS(Solieusap!G1090)</f>
        <v>0.3303941991</v>
      </c>
      <c r="H1090" s="16">
        <f>ABS(Solieusap!H1090)</f>
        <v>0.0001131713117</v>
      </c>
      <c r="I1090" s="16">
        <f>ABS(Solieusap!I1090)</f>
        <v>0.3015242814</v>
      </c>
      <c r="J1090" s="16">
        <f>ABS(Solieusap!J1090)</f>
        <v>0.2234485844</v>
      </c>
      <c r="K1090" s="16">
        <f t="shared" si="1"/>
        <v>3.282634805</v>
      </c>
      <c r="L1090" s="16">
        <f t="shared" si="2"/>
        <v>0.3015242814</v>
      </c>
    </row>
    <row r="1091" ht="16.5" customHeight="1">
      <c r="A1091" s="15" t="str">
        <f>Solieusap!A1091</f>
        <v>Cũ</v>
      </c>
      <c r="B1091" s="15">
        <f>Solieusap!B1091</f>
        <v>1.75</v>
      </c>
      <c r="C1091" s="15" t="str">
        <f>Solieusap!C1091</f>
        <v>COMB6</v>
      </c>
      <c r="D1091" s="15" t="str">
        <f>Solieusap!D1091</f>
        <v>Combination</v>
      </c>
      <c r="E1091" s="16">
        <f>ABS(Solieusap!E1091)</f>
        <v>3.299491169</v>
      </c>
      <c r="F1091" s="16">
        <f>ABS(Solieusap!F1091)</f>
        <v>0.211657316</v>
      </c>
      <c r="G1091" s="16">
        <f>ABS(Solieusap!G1091)</f>
        <v>0.3326586147</v>
      </c>
      <c r="H1091" s="16">
        <f>ABS(Solieusap!H1091)</f>
        <v>0.0001142264156</v>
      </c>
      <c r="I1091" s="16">
        <f>ABS(Solieusap!I1091)</f>
        <v>0.3083190736</v>
      </c>
      <c r="J1091" s="16">
        <f>ABS(Solieusap!J1091)</f>
        <v>0.2279956364</v>
      </c>
      <c r="K1091" s="16">
        <f t="shared" si="1"/>
        <v>3.299491169</v>
      </c>
      <c r="L1091" s="16">
        <f t="shared" si="2"/>
        <v>0.3083190736</v>
      </c>
    </row>
    <row r="1092" ht="16.5" customHeight="1">
      <c r="A1092" s="15" t="str">
        <f>Solieusap!A1092</f>
        <v>Cũ</v>
      </c>
      <c r="B1092" s="15">
        <f>Solieusap!B1092</f>
        <v>3.5</v>
      </c>
      <c r="C1092" s="15" t="str">
        <f>Solieusap!C1092</f>
        <v>COMB6</v>
      </c>
      <c r="D1092" s="15" t="str">
        <f>Solieusap!D1092</f>
        <v>Combination</v>
      </c>
      <c r="E1092" s="16">
        <f>ABS(Solieusap!E1092)</f>
        <v>3.316347532</v>
      </c>
      <c r="F1092" s="16">
        <f>ABS(Solieusap!F1092)</f>
        <v>0.2133678355</v>
      </c>
      <c r="G1092" s="16">
        <f>ABS(Solieusap!G1092)</f>
        <v>0.3349230303</v>
      </c>
      <c r="H1092" s="16">
        <f>ABS(Solieusap!H1092)</f>
        <v>0.0001152815195</v>
      </c>
      <c r="I1092" s="16">
        <f>ABS(Solieusap!I1092)</f>
        <v>0.3151138658</v>
      </c>
      <c r="J1092" s="16">
        <f>ABS(Solieusap!J1092)</f>
        <v>0.2325426883</v>
      </c>
      <c r="K1092" s="16">
        <f t="shared" si="1"/>
        <v>3.316347532</v>
      </c>
      <c r="L1092" s="16">
        <f t="shared" si="2"/>
        <v>0.3151138658</v>
      </c>
    </row>
    <row r="1093" ht="16.5" customHeight="1">
      <c r="A1093" s="15" t="str">
        <f>Solieusap!A1093</f>
        <v>Cũ</v>
      </c>
      <c r="B1093" s="15">
        <f>Solieusap!B1093</f>
        <v>0</v>
      </c>
      <c r="C1093" s="15" t="str">
        <f>Solieusap!C1093</f>
        <v>COMB7</v>
      </c>
      <c r="D1093" s="15" t="str">
        <f>Solieusap!D1093</f>
        <v>Combination</v>
      </c>
      <c r="E1093" s="16">
        <f>ABS(Solieusap!E1093)</f>
        <v>3.333203896</v>
      </c>
      <c r="F1093" s="16">
        <f>ABS(Solieusap!F1093)</f>
        <v>0.215078355</v>
      </c>
      <c r="G1093" s="16">
        <f>ABS(Solieusap!G1093)</f>
        <v>0.3371874459</v>
      </c>
      <c r="H1093" s="16">
        <f>ABS(Solieusap!H1093)</f>
        <v>0.0001163366234</v>
      </c>
      <c r="I1093" s="16">
        <f>ABS(Solieusap!I1093)</f>
        <v>0.321908658</v>
      </c>
      <c r="J1093" s="16">
        <f>ABS(Solieusap!J1093)</f>
        <v>0.2370897403</v>
      </c>
      <c r="K1093" s="16">
        <f t="shared" si="1"/>
        <v>3.333203896</v>
      </c>
      <c r="L1093" s="16">
        <f t="shared" si="2"/>
        <v>0.321908658</v>
      </c>
    </row>
    <row r="1094" ht="16.5" customHeight="1">
      <c r="A1094" s="15" t="str">
        <f>Solieusap!A1094</f>
        <v>Cũ</v>
      </c>
      <c r="B1094" s="15">
        <f>Solieusap!B1094</f>
        <v>1.75</v>
      </c>
      <c r="C1094" s="15" t="str">
        <f>Solieusap!C1094</f>
        <v>COMB7</v>
      </c>
      <c r="D1094" s="15" t="str">
        <f>Solieusap!D1094</f>
        <v>Combination</v>
      </c>
      <c r="E1094" s="16">
        <f>ABS(Solieusap!E1094)</f>
        <v>3.35006026</v>
      </c>
      <c r="F1094" s="16">
        <f>ABS(Solieusap!F1094)</f>
        <v>0.2167888745</v>
      </c>
      <c r="G1094" s="16">
        <f>ABS(Solieusap!G1094)</f>
        <v>0.3394518615</v>
      </c>
      <c r="H1094" s="16">
        <f>ABS(Solieusap!H1094)</f>
        <v>0.0001173917273</v>
      </c>
      <c r="I1094" s="16">
        <f>ABS(Solieusap!I1094)</f>
        <v>0.3287034502</v>
      </c>
      <c r="J1094" s="16">
        <f>ABS(Solieusap!J1094)</f>
        <v>0.2416367922</v>
      </c>
      <c r="K1094" s="16">
        <f t="shared" si="1"/>
        <v>3.35006026</v>
      </c>
      <c r="L1094" s="16">
        <f t="shared" si="2"/>
        <v>0.3287034502</v>
      </c>
    </row>
    <row r="1095" ht="16.5" customHeight="1">
      <c r="A1095" s="15" t="str">
        <f>Solieusap!A1095</f>
        <v>Cũ</v>
      </c>
      <c r="B1095" s="15">
        <f>Solieusap!B1095</f>
        <v>3.5</v>
      </c>
      <c r="C1095" s="15" t="str">
        <f>Solieusap!C1095</f>
        <v>COMB7</v>
      </c>
      <c r="D1095" s="15" t="str">
        <f>Solieusap!D1095</f>
        <v>Combination</v>
      </c>
      <c r="E1095" s="16">
        <f>ABS(Solieusap!E1095)</f>
        <v>3.366916623</v>
      </c>
      <c r="F1095" s="16">
        <f>ABS(Solieusap!F1095)</f>
        <v>0.2184993939</v>
      </c>
      <c r="G1095" s="16">
        <f>ABS(Solieusap!G1095)</f>
        <v>0.3417162771</v>
      </c>
      <c r="H1095" s="16">
        <f>ABS(Solieusap!H1095)</f>
        <v>0.0001184468312</v>
      </c>
      <c r="I1095" s="16">
        <f>ABS(Solieusap!I1095)</f>
        <v>0.3354982424</v>
      </c>
      <c r="J1095" s="16">
        <f>ABS(Solieusap!J1095)</f>
        <v>0.2461838442</v>
      </c>
      <c r="K1095" s="16">
        <f t="shared" si="1"/>
        <v>3.366916623</v>
      </c>
      <c r="L1095" s="16">
        <f t="shared" si="2"/>
        <v>0.3354982424</v>
      </c>
    </row>
    <row r="1096" ht="16.5" customHeight="1">
      <c r="A1096" s="15" t="str">
        <f>Solieusap!A1096</f>
        <v>Cũ</v>
      </c>
      <c r="B1096" s="15">
        <f>Solieusap!B1096</f>
        <v>0</v>
      </c>
      <c r="C1096" s="15" t="str">
        <f>Solieusap!C1096</f>
        <v>COMB1</v>
      </c>
      <c r="D1096" s="15" t="str">
        <f>Solieusap!D1096</f>
        <v>Combination</v>
      </c>
      <c r="E1096" s="16">
        <f>ABS(Solieusap!E1096)</f>
        <v>3.383772987</v>
      </c>
      <c r="F1096" s="16">
        <f>ABS(Solieusap!F1096)</f>
        <v>0.2202099134</v>
      </c>
      <c r="G1096" s="16">
        <f>ABS(Solieusap!G1096)</f>
        <v>0.3439806926</v>
      </c>
      <c r="H1096" s="16">
        <f>ABS(Solieusap!H1096)</f>
        <v>0.0001195019351</v>
      </c>
      <c r="I1096" s="16">
        <f>ABS(Solieusap!I1096)</f>
        <v>0.3422930346</v>
      </c>
      <c r="J1096" s="16">
        <f>ABS(Solieusap!J1096)</f>
        <v>0.2507308961</v>
      </c>
      <c r="K1096" s="16">
        <f t="shared" si="1"/>
        <v>3.383772987</v>
      </c>
      <c r="L1096" s="16">
        <f t="shared" si="2"/>
        <v>0.3422930346</v>
      </c>
    </row>
    <row r="1097" ht="16.5" customHeight="1">
      <c r="A1097" s="15" t="str">
        <f>Solieusap!A1097</f>
        <v>Cũ</v>
      </c>
      <c r="B1097" s="15">
        <f>Solieusap!B1097</f>
        <v>1.75</v>
      </c>
      <c r="C1097" s="15" t="str">
        <f>Solieusap!C1097</f>
        <v>COMB1</v>
      </c>
      <c r="D1097" s="15" t="str">
        <f>Solieusap!D1097</f>
        <v>Combination</v>
      </c>
      <c r="E1097" s="16">
        <f>ABS(Solieusap!E1097)</f>
        <v>3.400629351</v>
      </c>
      <c r="F1097" s="16">
        <f>ABS(Solieusap!F1097)</f>
        <v>0.2219204329</v>
      </c>
      <c r="G1097" s="16">
        <f>ABS(Solieusap!G1097)</f>
        <v>0.3462451082</v>
      </c>
      <c r="H1097" s="16">
        <f>ABS(Solieusap!H1097)</f>
        <v>0.000120557039</v>
      </c>
      <c r="I1097" s="16">
        <f>ABS(Solieusap!I1097)</f>
        <v>0.3490878268</v>
      </c>
      <c r="J1097" s="16">
        <f>ABS(Solieusap!J1097)</f>
        <v>0.2552779481</v>
      </c>
      <c r="K1097" s="16">
        <f t="shared" si="1"/>
        <v>3.400629351</v>
      </c>
      <c r="L1097" s="16">
        <f t="shared" si="2"/>
        <v>0.3490878268</v>
      </c>
    </row>
    <row r="1098" ht="16.5" customHeight="1">
      <c r="A1098" s="15" t="str">
        <f>Solieusap!A1098</f>
        <v>Cũ</v>
      </c>
      <c r="B1098" s="15">
        <f>Solieusap!B1098</f>
        <v>3.5</v>
      </c>
      <c r="C1098" s="15" t="str">
        <f>Solieusap!C1098</f>
        <v>COMB1</v>
      </c>
      <c r="D1098" s="15" t="str">
        <f>Solieusap!D1098</f>
        <v>Combination</v>
      </c>
      <c r="E1098" s="16">
        <f>ABS(Solieusap!E1098)</f>
        <v>3.417485714</v>
      </c>
      <c r="F1098" s="16">
        <f>ABS(Solieusap!F1098)</f>
        <v>0.2236309524</v>
      </c>
      <c r="G1098" s="16">
        <f>ABS(Solieusap!G1098)</f>
        <v>0.3485095238</v>
      </c>
      <c r="H1098" s="16">
        <f>ABS(Solieusap!H1098)</f>
        <v>0.0001216121429</v>
      </c>
      <c r="I1098" s="16">
        <f>ABS(Solieusap!I1098)</f>
        <v>0.355882619</v>
      </c>
      <c r="J1098" s="16">
        <f>ABS(Solieusap!J1098)</f>
        <v>0.259825</v>
      </c>
      <c r="K1098" s="16">
        <f t="shared" si="1"/>
        <v>3.417485714</v>
      </c>
      <c r="L1098" s="16">
        <f t="shared" si="2"/>
        <v>0.355882619</v>
      </c>
    </row>
    <row r="1099" ht="16.5" customHeight="1">
      <c r="A1099" s="15" t="str">
        <f>Solieusap!A1099</f>
        <v>Cũ</v>
      </c>
      <c r="B1099" s="15">
        <f>Solieusap!B1099</f>
        <v>0</v>
      </c>
      <c r="C1099" s="15" t="str">
        <f>Solieusap!C1099</f>
        <v>COMB2</v>
      </c>
      <c r="D1099" s="15" t="str">
        <f>Solieusap!D1099</f>
        <v>Combination</v>
      </c>
      <c r="E1099" s="16">
        <f>ABS(Solieusap!E1099)</f>
        <v>3.434342078</v>
      </c>
      <c r="F1099" s="16">
        <f>ABS(Solieusap!F1099)</f>
        <v>0.2253414719</v>
      </c>
      <c r="G1099" s="16">
        <f>ABS(Solieusap!G1099)</f>
        <v>0.3507739394</v>
      </c>
      <c r="H1099" s="16">
        <f>ABS(Solieusap!H1099)</f>
        <v>0.0001226672468</v>
      </c>
      <c r="I1099" s="16">
        <f>ABS(Solieusap!I1099)</f>
        <v>0.3626774113</v>
      </c>
      <c r="J1099" s="16">
        <f>ABS(Solieusap!J1099)</f>
        <v>0.2643720519</v>
      </c>
      <c r="K1099" s="16">
        <f t="shared" si="1"/>
        <v>3.434342078</v>
      </c>
      <c r="L1099" s="16">
        <f t="shared" si="2"/>
        <v>0.3626774113</v>
      </c>
    </row>
    <row r="1100" ht="16.5" customHeight="1">
      <c r="A1100" s="15" t="str">
        <f>Solieusap!A1100</f>
        <v>Cũ</v>
      </c>
      <c r="B1100" s="15">
        <f>Solieusap!B1100</f>
        <v>1.75</v>
      </c>
      <c r="C1100" s="15" t="str">
        <f>Solieusap!C1100</f>
        <v>COMB2</v>
      </c>
      <c r="D1100" s="15" t="str">
        <f>Solieusap!D1100</f>
        <v>Combination</v>
      </c>
      <c r="E1100" s="16">
        <f>ABS(Solieusap!E1100)</f>
        <v>3.451198442</v>
      </c>
      <c r="F1100" s="16">
        <f>ABS(Solieusap!F1100)</f>
        <v>0.2270519913</v>
      </c>
      <c r="G1100" s="16">
        <f>ABS(Solieusap!G1100)</f>
        <v>0.353038355</v>
      </c>
      <c r="H1100" s="16">
        <f>ABS(Solieusap!H1100)</f>
        <v>0.0001237223506</v>
      </c>
      <c r="I1100" s="16">
        <f>ABS(Solieusap!I1100)</f>
        <v>0.3694722035</v>
      </c>
      <c r="J1100" s="16">
        <f>ABS(Solieusap!J1100)</f>
        <v>0.2689191039</v>
      </c>
      <c r="K1100" s="16">
        <f t="shared" si="1"/>
        <v>3.451198442</v>
      </c>
      <c r="L1100" s="16">
        <f t="shared" si="2"/>
        <v>0.3694722035</v>
      </c>
    </row>
    <row r="1101" ht="16.5" customHeight="1">
      <c r="A1101" s="15" t="str">
        <f>Solieusap!A1101</f>
        <v>Cũ</v>
      </c>
      <c r="B1101" s="15">
        <f>Solieusap!B1101</f>
        <v>3.5</v>
      </c>
      <c r="C1101" s="15" t="str">
        <f>Solieusap!C1101</f>
        <v>COMB2</v>
      </c>
      <c r="D1101" s="15" t="str">
        <f>Solieusap!D1101</f>
        <v>Combination</v>
      </c>
      <c r="E1101" s="16">
        <f>ABS(Solieusap!E1101)</f>
        <v>3.468054805</v>
      </c>
      <c r="F1101" s="16">
        <f>ABS(Solieusap!F1101)</f>
        <v>0.2287625108</v>
      </c>
      <c r="G1101" s="16">
        <f>ABS(Solieusap!G1101)</f>
        <v>0.3553027706</v>
      </c>
      <c r="H1101" s="16">
        <f>ABS(Solieusap!H1101)</f>
        <v>0.0001247774545</v>
      </c>
      <c r="I1101" s="16">
        <f>ABS(Solieusap!I1101)</f>
        <v>0.3762669957</v>
      </c>
      <c r="J1101" s="16">
        <f>ABS(Solieusap!J1101)</f>
        <v>0.2734661558</v>
      </c>
      <c r="K1101" s="16">
        <f t="shared" si="1"/>
        <v>3.468054805</v>
      </c>
      <c r="L1101" s="16">
        <f t="shared" si="2"/>
        <v>0.3762669957</v>
      </c>
    </row>
    <row r="1102" ht="16.5" customHeight="1">
      <c r="A1102" s="15" t="str">
        <f>Solieusap!A1102</f>
        <v>Cũ</v>
      </c>
      <c r="B1102" s="15">
        <f>Solieusap!B1102</f>
        <v>0</v>
      </c>
      <c r="C1102" s="15" t="str">
        <f>Solieusap!C1102</f>
        <v>COMB3</v>
      </c>
      <c r="D1102" s="15" t="str">
        <f>Solieusap!D1102</f>
        <v>Combination</v>
      </c>
      <c r="E1102" s="16">
        <f>ABS(Solieusap!E1102)</f>
        <v>3.484911169</v>
      </c>
      <c r="F1102" s="16">
        <f>ABS(Solieusap!F1102)</f>
        <v>0.2304730303</v>
      </c>
      <c r="G1102" s="16">
        <f>ABS(Solieusap!G1102)</f>
        <v>0.3575671861</v>
      </c>
      <c r="H1102" s="16">
        <f>ABS(Solieusap!H1102)</f>
        <v>0.0001258325584</v>
      </c>
      <c r="I1102" s="16">
        <f>ABS(Solieusap!I1102)</f>
        <v>0.3830617879</v>
      </c>
      <c r="J1102" s="16">
        <f>ABS(Solieusap!J1102)</f>
        <v>0.2780132078</v>
      </c>
      <c r="K1102" s="16">
        <f t="shared" si="1"/>
        <v>3.484911169</v>
      </c>
      <c r="L1102" s="16">
        <f t="shared" si="2"/>
        <v>0.3830617879</v>
      </c>
    </row>
    <row r="1103" ht="16.5" customHeight="1">
      <c r="A1103" s="15" t="str">
        <f>Solieusap!A1103</f>
        <v>Cũ</v>
      </c>
      <c r="B1103" s="15">
        <f>Solieusap!B1103</f>
        <v>1.75</v>
      </c>
      <c r="C1103" s="15" t="str">
        <f>Solieusap!C1103</f>
        <v>COMB3</v>
      </c>
      <c r="D1103" s="15" t="str">
        <f>Solieusap!D1103</f>
        <v>Combination</v>
      </c>
      <c r="E1103" s="16">
        <f>ABS(Solieusap!E1103)</f>
        <v>3.501767532</v>
      </c>
      <c r="F1103" s="16">
        <f>ABS(Solieusap!F1103)</f>
        <v>0.2321835498</v>
      </c>
      <c r="G1103" s="16">
        <f>ABS(Solieusap!G1103)</f>
        <v>0.3598316017</v>
      </c>
      <c r="H1103" s="16">
        <f>ABS(Solieusap!H1103)</f>
        <v>0.0001268876623</v>
      </c>
      <c r="I1103" s="16">
        <f>ABS(Solieusap!I1103)</f>
        <v>0.3898565801</v>
      </c>
      <c r="J1103" s="16">
        <f>ABS(Solieusap!J1103)</f>
        <v>0.2825602597</v>
      </c>
      <c r="K1103" s="16">
        <f t="shared" si="1"/>
        <v>3.501767532</v>
      </c>
      <c r="L1103" s="16">
        <f t="shared" si="2"/>
        <v>0.3898565801</v>
      </c>
    </row>
    <row r="1104" ht="16.5" customHeight="1">
      <c r="A1104" s="15" t="str">
        <f>Solieusap!A1104</f>
        <v>Cũ</v>
      </c>
      <c r="B1104" s="15">
        <f>Solieusap!B1104</f>
        <v>3.5</v>
      </c>
      <c r="C1104" s="15" t="str">
        <f>Solieusap!C1104</f>
        <v>COMB3</v>
      </c>
      <c r="D1104" s="15" t="str">
        <f>Solieusap!D1104</f>
        <v>Combination</v>
      </c>
      <c r="E1104" s="16">
        <f>ABS(Solieusap!E1104)</f>
        <v>3.518623896</v>
      </c>
      <c r="F1104" s="16">
        <f>ABS(Solieusap!F1104)</f>
        <v>0.2338940693</v>
      </c>
      <c r="G1104" s="16">
        <f>ABS(Solieusap!G1104)</f>
        <v>0.3620960173</v>
      </c>
      <c r="H1104" s="16">
        <f>ABS(Solieusap!H1104)</f>
        <v>0.0001279427662</v>
      </c>
      <c r="I1104" s="16">
        <f>ABS(Solieusap!I1104)</f>
        <v>0.3966513723</v>
      </c>
      <c r="J1104" s="16">
        <f>ABS(Solieusap!J1104)</f>
        <v>0.2871073117</v>
      </c>
      <c r="K1104" s="16">
        <f t="shared" si="1"/>
        <v>3.518623896</v>
      </c>
      <c r="L1104" s="16">
        <f t="shared" si="2"/>
        <v>0.3966513723</v>
      </c>
    </row>
    <row r="1105" ht="16.5" customHeight="1">
      <c r="A1105" s="15" t="str">
        <f>Solieusap!A1105</f>
        <v>Cũ</v>
      </c>
      <c r="B1105" s="15">
        <f>Solieusap!B1105</f>
        <v>0</v>
      </c>
      <c r="C1105" s="15" t="str">
        <f>Solieusap!C1105</f>
        <v>COMB4</v>
      </c>
      <c r="D1105" s="15" t="str">
        <f>Solieusap!D1105</f>
        <v>Combination</v>
      </c>
      <c r="E1105" s="16">
        <f>ABS(Solieusap!E1105)</f>
        <v>3.53548026</v>
      </c>
      <c r="F1105" s="16">
        <f>ABS(Solieusap!F1105)</f>
        <v>0.2356045887</v>
      </c>
      <c r="G1105" s="16">
        <f>ABS(Solieusap!G1105)</f>
        <v>0.3643604329</v>
      </c>
      <c r="H1105" s="16">
        <f>ABS(Solieusap!H1105)</f>
        <v>0.0001289978701</v>
      </c>
      <c r="I1105" s="16">
        <f>ABS(Solieusap!I1105)</f>
        <v>0.4034461645</v>
      </c>
      <c r="J1105" s="16">
        <f>ABS(Solieusap!J1105)</f>
        <v>0.2916543636</v>
      </c>
      <c r="K1105" s="16">
        <f t="shared" si="1"/>
        <v>3.53548026</v>
      </c>
      <c r="L1105" s="16">
        <f t="shared" si="2"/>
        <v>0.4034461645</v>
      </c>
    </row>
    <row r="1106" ht="16.5" customHeight="1">
      <c r="A1106" s="15" t="str">
        <f>Solieusap!A1106</f>
        <v>Cũ</v>
      </c>
      <c r="B1106" s="15">
        <f>Solieusap!B1106</f>
        <v>1.75</v>
      </c>
      <c r="C1106" s="15" t="str">
        <f>Solieusap!C1106</f>
        <v>COMB4</v>
      </c>
      <c r="D1106" s="15" t="str">
        <f>Solieusap!D1106</f>
        <v>Combination</v>
      </c>
      <c r="E1106" s="16">
        <f>ABS(Solieusap!E1106)</f>
        <v>3.552336623</v>
      </c>
      <c r="F1106" s="16">
        <f>ABS(Solieusap!F1106)</f>
        <v>0.2373151082</v>
      </c>
      <c r="G1106" s="16">
        <f>ABS(Solieusap!G1106)</f>
        <v>0.3666248485</v>
      </c>
      <c r="H1106" s="16">
        <f>ABS(Solieusap!H1106)</f>
        <v>0.000130052974</v>
      </c>
      <c r="I1106" s="16">
        <f>ABS(Solieusap!I1106)</f>
        <v>0.4102409567</v>
      </c>
      <c r="J1106" s="16">
        <f>ABS(Solieusap!J1106)</f>
        <v>0.2962014156</v>
      </c>
      <c r="K1106" s="16">
        <f t="shared" si="1"/>
        <v>3.552336623</v>
      </c>
      <c r="L1106" s="16">
        <f t="shared" si="2"/>
        <v>0.4102409567</v>
      </c>
    </row>
    <row r="1107" ht="16.5" customHeight="1">
      <c r="A1107" s="15" t="str">
        <f>Solieusap!A1107</f>
        <v>Cũ</v>
      </c>
      <c r="B1107" s="15">
        <f>Solieusap!B1107</f>
        <v>3.5</v>
      </c>
      <c r="C1107" s="15" t="str">
        <f>Solieusap!C1107</f>
        <v>COMB4</v>
      </c>
      <c r="D1107" s="15" t="str">
        <f>Solieusap!D1107</f>
        <v>Combination</v>
      </c>
      <c r="E1107" s="16">
        <f>ABS(Solieusap!E1107)</f>
        <v>3.569192987</v>
      </c>
      <c r="F1107" s="16">
        <f>ABS(Solieusap!F1107)</f>
        <v>0.2390256277</v>
      </c>
      <c r="G1107" s="16">
        <f>ABS(Solieusap!G1107)</f>
        <v>0.3688892641</v>
      </c>
      <c r="H1107" s="16">
        <f>ABS(Solieusap!H1107)</f>
        <v>0.0001311080779</v>
      </c>
      <c r="I1107" s="16">
        <f>ABS(Solieusap!I1107)</f>
        <v>0.4170357489</v>
      </c>
      <c r="J1107" s="16">
        <f>ABS(Solieusap!J1107)</f>
        <v>0.3007484675</v>
      </c>
      <c r="K1107" s="16">
        <f t="shared" si="1"/>
        <v>3.569192987</v>
      </c>
      <c r="L1107" s="16">
        <f t="shared" si="2"/>
        <v>0.4170357489</v>
      </c>
    </row>
    <row r="1108" ht="16.5" customHeight="1">
      <c r="A1108" s="15" t="str">
        <f>Solieusap!A1108</f>
        <v>Cũ</v>
      </c>
      <c r="B1108" s="15">
        <f>Solieusap!B1108</f>
        <v>0</v>
      </c>
      <c r="C1108" s="15" t="str">
        <f>Solieusap!C1108</f>
        <v>COMB5</v>
      </c>
      <c r="D1108" s="15" t="str">
        <f>Solieusap!D1108</f>
        <v>Combination</v>
      </c>
      <c r="E1108" s="16">
        <f>ABS(Solieusap!E1108)</f>
        <v>3.586049351</v>
      </c>
      <c r="F1108" s="16">
        <f>ABS(Solieusap!F1108)</f>
        <v>0.2407361472</v>
      </c>
      <c r="G1108" s="16">
        <f>ABS(Solieusap!G1108)</f>
        <v>0.3711536797</v>
      </c>
      <c r="H1108" s="16">
        <f>ABS(Solieusap!H1108)</f>
        <v>0.0001321631818</v>
      </c>
      <c r="I1108" s="16">
        <f>ABS(Solieusap!I1108)</f>
        <v>0.4238305411</v>
      </c>
      <c r="J1108" s="16">
        <f>ABS(Solieusap!J1108)</f>
        <v>0.3052955195</v>
      </c>
      <c r="K1108" s="16">
        <f t="shared" si="1"/>
        <v>3.586049351</v>
      </c>
      <c r="L1108" s="16">
        <f t="shared" si="2"/>
        <v>0.4238305411</v>
      </c>
    </row>
    <row r="1109" ht="16.5" customHeight="1">
      <c r="A1109" s="15" t="str">
        <f>Solieusap!A1109</f>
        <v>Cũ</v>
      </c>
      <c r="B1109" s="15">
        <f>Solieusap!B1109</f>
        <v>1.75</v>
      </c>
      <c r="C1109" s="15" t="str">
        <f>Solieusap!C1109</f>
        <v>COMB5</v>
      </c>
      <c r="D1109" s="15" t="str">
        <f>Solieusap!D1109</f>
        <v>Combination</v>
      </c>
      <c r="E1109" s="16">
        <f>ABS(Solieusap!E1109)</f>
        <v>3.602905714</v>
      </c>
      <c r="F1109" s="16">
        <f>ABS(Solieusap!F1109)</f>
        <v>0.2424466667</v>
      </c>
      <c r="G1109" s="16">
        <f>ABS(Solieusap!G1109)</f>
        <v>0.3734180952</v>
      </c>
      <c r="H1109" s="16">
        <f>ABS(Solieusap!H1109)</f>
        <v>0.0001332182857</v>
      </c>
      <c r="I1109" s="16">
        <f>ABS(Solieusap!I1109)</f>
        <v>0.4306253333</v>
      </c>
      <c r="J1109" s="16">
        <f>ABS(Solieusap!J1109)</f>
        <v>0.3098425714</v>
      </c>
      <c r="K1109" s="16">
        <f t="shared" si="1"/>
        <v>3.602905714</v>
      </c>
      <c r="L1109" s="16">
        <f t="shared" si="2"/>
        <v>0.4306253333</v>
      </c>
    </row>
    <row r="1110" ht="16.5" customHeight="1">
      <c r="A1110" s="15" t="str">
        <f>Solieusap!A1110</f>
        <v>Cũ</v>
      </c>
      <c r="B1110" s="15">
        <f>Solieusap!B1110</f>
        <v>3.5</v>
      </c>
      <c r="C1110" s="15" t="str">
        <f>Solieusap!C1110</f>
        <v>COMB5</v>
      </c>
      <c r="D1110" s="15" t="str">
        <f>Solieusap!D1110</f>
        <v>Combination</v>
      </c>
      <c r="E1110" s="16">
        <f>ABS(Solieusap!E1110)</f>
        <v>3.619762078</v>
      </c>
      <c r="F1110" s="16">
        <f>ABS(Solieusap!F1110)</f>
        <v>0.2441571861</v>
      </c>
      <c r="G1110" s="16">
        <f>ABS(Solieusap!G1110)</f>
        <v>0.3756825108</v>
      </c>
      <c r="H1110" s="16">
        <f>ABS(Solieusap!H1110)</f>
        <v>0.0001342733896</v>
      </c>
      <c r="I1110" s="16">
        <f>ABS(Solieusap!I1110)</f>
        <v>0.4374201255</v>
      </c>
      <c r="J1110" s="16">
        <f>ABS(Solieusap!J1110)</f>
        <v>0.3143896234</v>
      </c>
      <c r="K1110" s="16">
        <f t="shared" si="1"/>
        <v>3.619762078</v>
      </c>
      <c r="L1110" s="16">
        <f t="shared" si="2"/>
        <v>0.4374201255</v>
      </c>
    </row>
    <row r="1111" ht="16.5" customHeight="1">
      <c r="A1111" s="15" t="str">
        <f>Solieusap!A1111</f>
        <v>Cũ</v>
      </c>
      <c r="B1111" s="15">
        <f>Solieusap!B1111</f>
        <v>0</v>
      </c>
      <c r="C1111" s="15" t="str">
        <f>Solieusap!C1111</f>
        <v>COMB6</v>
      </c>
      <c r="D1111" s="15" t="str">
        <f>Solieusap!D1111</f>
        <v>Combination</v>
      </c>
      <c r="E1111" s="16">
        <f>ABS(Solieusap!E1111)</f>
        <v>3.636618442</v>
      </c>
      <c r="F1111" s="16">
        <f>ABS(Solieusap!F1111)</f>
        <v>0.2458677056</v>
      </c>
      <c r="G1111" s="16">
        <f>ABS(Solieusap!G1111)</f>
        <v>0.3779469264</v>
      </c>
      <c r="H1111" s="16">
        <f>ABS(Solieusap!H1111)</f>
        <v>0.0001353284935</v>
      </c>
      <c r="I1111" s="16">
        <f>ABS(Solieusap!I1111)</f>
        <v>0.4442149177</v>
      </c>
      <c r="J1111" s="16">
        <f>ABS(Solieusap!J1111)</f>
        <v>0.3189366753</v>
      </c>
      <c r="K1111" s="16">
        <f t="shared" si="1"/>
        <v>3.636618442</v>
      </c>
      <c r="L1111" s="16">
        <f t="shared" si="2"/>
        <v>0.4442149177</v>
      </c>
    </row>
    <row r="1112" ht="16.5" customHeight="1">
      <c r="A1112" s="15" t="str">
        <f>Solieusap!A1112</f>
        <v>Cũ</v>
      </c>
      <c r="B1112" s="15">
        <f>Solieusap!B1112</f>
        <v>1.75</v>
      </c>
      <c r="C1112" s="15" t="str">
        <f>Solieusap!C1112</f>
        <v>COMB6</v>
      </c>
      <c r="D1112" s="15" t="str">
        <f>Solieusap!D1112</f>
        <v>Combination</v>
      </c>
      <c r="E1112" s="16">
        <f>ABS(Solieusap!E1112)</f>
        <v>3.653474805</v>
      </c>
      <c r="F1112" s="16">
        <f>ABS(Solieusap!F1112)</f>
        <v>0.2475782251</v>
      </c>
      <c r="G1112" s="16">
        <f>ABS(Solieusap!G1112)</f>
        <v>0.380211342</v>
      </c>
      <c r="H1112" s="16">
        <f>ABS(Solieusap!H1112)</f>
        <v>0.0001363835974</v>
      </c>
      <c r="I1112" s="16">
        <f>ABS(Solieusap!I1112)</f>
        <v>0.45100971</v>
      </c>
      <c r="J1112" s="16">
        <f>ABS(Solieusap!J1112)</f>
        <v>0.3234837273</v>
      </c>
      <c r="K1112" s="16">
        <f t="shared" si="1"/>
        <v>3.653474805</v>
      </c>
      <c r="L1112" s="16">
        <f t="shared" si="2"/>
        <v>0.45100971</v>
      </c>
    </row>
    <row r="1113" ht="16.5" customHeight="1">
      <c r="A1113" s="15" t="str">
        <f>Solieusap!A1113</f>
        <v>Cũ</v>
      </c>
      <c r="B1113" s="15">
        <f>Solieusap!B1113</f>
        <v>3.5</v>
      </c>
      <c r="C1113" s="15" t="str">
        <f>Solieusap!C1113</f>
        <v>COMB6</v>
      </c>
      <c r="D1113" s="15" t="str">
        <f>Solieusap!D1113</f>
        <v>Combination</v>
      </c>
      <c r="E1113" s="16">
        <f>ABS(Solieusap!E1113)</f>
        <v>3.670331169</v>
      </c>
      <c r="F1113" s="16">
        <f>ABS(Solieusap!F1113)</f>
        <v>0.2492887446</v>
      </c>
      <c r="G1113" s="16">
        <f>ABS(Solieusap!G1113)</f>
        <v>0.3824757576</v>
      </c>
      <c r="H1113" s="16">
        <f>ABS(Solieusap!H1113)</f>
        <v>0.0001374387013</v>
      </c>
      <c r="I1113" s="16">
        <f>ABS(Solieusap!I1113)</f>
        <v>0.4578045022</v>
      </c>
      <c r="J1113" s="16">
        <f>ABS(Solieusap!J1113)</f>
        <v>0.3280307792</v>
      </c>
      <c r="K1113" s="16">
        <f t="shared" si="1"/>
        <v>3.670331169</v>
      </c>
      <c r="L1113" s="16">
        <f t="shared" si="2"/>
        <v>0.4578045022</v>
      </c>
    </row>
    <row r="1114" ht="16.5" customHeight="1">
      <c r="A1114" s="15" t="str">
        <f>Solieusap!A1114</f>
        <v>Cũ</v>
      </c>
      <c r="B1114" s="15">
        <f>Solieusap!B1114</f>
        <v>0</v>
      </c>
      <c r="C1114" s="15" t="str">
        <f>Solieusap!C1114</f>
        <v>COMB7</v>
      </c>
      <c r="D1114" s="15" t="str">
        <f>Solieusap!D1114</f>
        <v>Combination</v>
      </c>
      <c r="E1114" s="16">
        <f>ABS(Solieusap!E1114)</f>
        <v>3.687187532</v>
      </c>
      <c r="F1114" s="16">
        <f>ABS(Solieusap!F1114)</f>
        <v>0.2509992641</v>
      </c>
      <c r="G1114" s="16">
        <f>ABS(Solieusap!G1114)</f>
        <v>0.3847401732</v>
      </c>
      <c r="H1114" s="16">
        <f>ABS(Solieusap!H1114)</f>
        <v>0.0001384938052</v>
      </c>
      <c r="I1114" s="16">
        <f>ABS(Solieusap!I1114)</f>
        <v>0.4645992944</v>
      </c>
      <c r="J1114" s="16">
        <f>ABS(Solieusap!J1114)</f>
        <v>0.3325778312</v>
      </c>
      <c r="K1114" s="16">
        <f t="shared" si="1"/>
        <v>3.687187532</v>
      </c>
      <c r="L1114" s="16">
        <f t="shared" si="2"/>
        <v>0.4645992944</v>
      </c>
    </row>
    <row r="1115" ht="16.5" customHeight="1">
      <c r="A1115" s="15" t="str">
        <f>Solieusap!A1115</f>
        <v>Cũ</v>
      </c>
      <c r="B1115" s="15">
        <f>Solieusap!B1115</f>
        <v>1.75</v>
      </c>
      <c r="C1115" s="15" t="str">
        <f>Solieusap!C1115</f>
        <v>COMB7</v>
      </c>
      <c r="D1115" s="15" t="str">
        <f>Solieusap!D1115</f>
        <v>Combination</v>
      </c>
      <c r="E1115" s="16">
        <f>ABS(Solieusap!E1115)</f>
        <v>3.704043896</v>
      </c>
      <c r="F1115" s="16">
        <f>ABS(Solieusap!F1115)</f>
        <v>0.2527097835</v>
      </c>
      <c r="G1115" s="16">
        <f>ABS(Solieusap!G1115)</f>
        <v>0.3870045887</v>
      </c>
      <c r="H1115" s="16">
        <f>ABS(Solieusap!H1115)</f>
        <v>0.0001395489091</v>
      </c>
      <c r="I1115" s="16">
        <f>ABS(Solieusap!I1115)</f>
        <v>0.4713940866</v>
      </c>
      <c r="J1115" s="16">
        <f>ABS(Solieusap!J1115)</f>
        <v>0.3371248831</v>
      </c>
      <c r="K1115" s="16">
        <f t="shared" si="1"/>
        <v>3.704043896</v>
      </c>
      <c r="L1115" s="16">
        <f t="shared" si="2"/>
        <v>0.4713940866</v>
      </c>
    </row>
    <row r="1116" ht="16.5" customHeight="1">
      <c r="A1116" s="15" t="str">
        <f>Solieusap!A1116</f>
        <v>Cũ</v>
      </c>
      <c r="B1116" s="15">
        <f>Solieusap!B1116</f>
        <v>3.5</v>
      </c>
      <c r="C1116" s="15" t="str">
        <f>Solieusap!C1116</f>
        <v>COMB7</v>
      </c>
      <c r="D1116" s="15" t="str">
        <f>Solieusap!D1116</f>
        <v>Combination</v>
      </c>
      <c r="E1116" s="16">
        <f>ABS(Solieusap!E1116)</f>
        <v>3.72090026</v>
      </c>
      <c r="F1116" s="16">
        <f>ABS(Solieusap!F1116)</f>
        <v>0.254420303</v>
      </c>
      <c r="G1116" s="16">
        <f>ABS(Solieusap!G1116)</f>
        <v>0.3892690043</v>
      </c>
      <c r="H1116" s="16">
        <f>ABS(Solieusap!H1116)</f>
        <v>0.000140604013</v>
      </c>
      <c r="I1116" s="16">
        <f>ABS(Solieusap!I1116)</f>
        <v>0.4781888788</v>
      </c>
      <c r="J1116" s="16">
        <f>ABS(Solieusap!J1116)</f>
        <v>0.3416719351</v>
      </c>
      <c r="K1116" s="16">
        <f t="shared" si="1"/>
        <v>3.72090026</v>
      </c>
      <c r="L1116" s="16">
        <f t="shared" si="2"/>
        <v>0.4781888788</v>
      </c>
    </row>
    <row r="1117" ht="16.5" customHeight="1">
      <c r="A1117" s="15" t="str">
        <f>Solieusap!A1117</f>
        <v>Cũ</v>
      </c>
      <c r="B1117" s="15">
        <f>Solieusap!B1117</f>
        <v>0</v>
      </c>
      <c r="C1117" s="15" t="str">
        <f>Solieusap!C1117</f>
        <v>COMB1</v>
      </c>
      <c r="D1117" s="15" t="str">
        <f>Solieusap!D1117</f>
        <v>Combination</v>
      </c>
      <c r="E1117" s="16">
        <f>ABS(Solieusap!E1117)</f>
        <v>3.737756623</v>
      </c>
      <c r="F1117" s="16">
        <f>ABS(Solieusap!F1117)</f>
        <v>0.2561308225</v>
      </c>
      <c r="G1117" s="16">
        <f>ABS(Solieusap!G1117)</f>
        <v>0.3915334199</v>
      </c>
      <c r="H1117" s="16">
        <f>ABS(Solieusap!H1117)</f>
        <v>0.0001416591169</v>
      </c>
      <c r="I1117" s="16">
        <f>ABS(Solieusap!I1117)</f>
        <v>0.484983671</v>
      </c>
      <c r="J1117" s="16">
        <f>ABS(Solieusap!J1117)</f>
        <v>0.346218987</v>
      </c>
      <c r="K1117" s="16">
        <f t="shared" si="1"/>
        <v>3.737756623</v>
      </c>
      <c r="L1117" s="16">
        <f t="shared" si="2"/>
        <v>0.484983671</v>
      </c>
    </row>
    <row r="1118" ht="16.5" customHeight="1">
      <c r="A1118" s="15" t="str">
        <f>Solieusap!A1118</f>
        <v>Cũ</v>
      </c>
      <c r="B1118" s="15">
        <f>Solieusap!B1118</f>
        <v>1.75</v>
      </c>
      <c r="C1118" s="15" t="str">
        <f>Solieusap!C1118</f>
        <v>COMB1</v>
      </c>
      <c r="D1118" s="15" t="str">
        <f>Solieusap!D1118</f>
        <v>Combination</v>
      </c>
      <c r="E1118" s="16">
        <f>ABS(Solieusap!E1118)</f>
        <v>3.754612987</v>
      </c>
      <c r="F1118" s="16">
        <f>ABS(Solieusap!F1118)</f>
        <v>0.257841342</v>
      </c>
      <c r="G1118" s="16">
        <f>ABS(Solieusap!G1118)</f>
        <v>0.3937978355</v>
      </c>
      <c r="H1118" s="16">
        <f>ABS(Solieusap!H1118)</f>
        <v>0.0001427142208</v>
      </c>
      <c r="I1118" s="16">
        <f>ABS(Solieusap!I1118)</f>
        <v>0.4917784632</v>
      </c>
      <c r="J1118" s="16">
        <f>ABS(Solieusap!J1118)</f>
        <v>0.350766039</v>
      </c>
      <c r="K1118" s="16">
        <f t="shared" si="1"/>
        <v>3.754612987</v>
      </c>
      <c r="L1118" s="16">
        <f t="shared" si="2"/>
        <v>0.4917784632</v>
      </c>
    </row>
    <row r="1119" ht="16.5" customHeight="1">
      <c r="A1119" s="15" t="str">
        <f>Solieusap!A1119</f>
        <v>Cũ</v>
      </c>
      <c r="B1119" s="15">
        <f>Solieusap!B1119</f>
        <v>3.5</v>
      </c>
      <c r="C1119" s="15" t="str">
        <f>Solieusap!C1119</f>
        <v>COMB1</v>
      </c>
      <c r="D1119" s="15" t="str">
        <f>Solieusap!D1119</f>
        <v>Combination</v>
      </c>
      <c r="E1119" s="16">
        <f>ABS(Solieusap!E1119)</f>
        <v>3.771469351</v>
      </c>
      <c r="F1119" s="16">
        <f>ABS(Solieusap!F1119)</f>
        <v>0.2595518615</v>
      </c>
      <c r="G1119" s="16">
        <f>ABS(Solieusap!G1119)</f>
        <v>0.3960622511</v>
      </c>
      <c r="H1119" s="16">
        <f>ABS(Solieusap!H1119)</f>
        <v>0.0001437693247</v>
      </c>
      <c r="I1119" s="16">
        <f>ABS(Solieusap!I1119)</f>
        <v>0.4985732554</v>
      </c>
      <c r="J1119" s="16">
        <f>ABS(Solieusap!J1119)</f>
        <v>0.3553130909</v>
      </c>
      <c r="K1119" s="16">
        <f t="shared" si="1"/>
        <v>3.771469351</v>
      </c>
      <c r="L1119" s="16">
        <f t="shared" si="2"/>
        <v>0.4985732554</v>
      </c>
    </row>
    <row r="1120" ht="16.5" customHeight="1">
      <c r="A1120" s="15" t="str">
        <f>Solieusap!A1120</f>
        <v>Cũ</v>
      </c>
      <c r="B1120" s="15">
        <f>Solieusap!B1120</f>
        <v>0</v>
      </c>
      <c r="C1120" s="15" t="str">
        <f>Solieusap!C1120</f>
        <v>COMB2</v>
      </c>
      <c r="D1120" s="15" t="str">
        <f>Solieusap!D1120</f>
        <v>Combination</v>
      </c>
      <c r="E1120" s="16">
        <f>ABS(Solieusap!E1120)</f>
        <v>3.788325714</v>
      </c>
      <c r="F1120" s="16">
        <f>ABS(Solieusap!F1120)</f>
        <v>0.261262381</v>
      </c>
      <c r="G1120" s="16">
        <f>ABS(Solieusap!G1120)</f>
        <v>0.3983266667</v>
      </c>
      <c r="H1120" s="16">
        <f>ABS(Solieusap!H1120)</f>
        <v>0.0001448244286</v>
      </c>
      <c r="I1120" s="16">
        <f>ABS(Solieusap!I1120)</f>
        <v>0.5053680476</v>
      </c>
      <c r="J1120" s="16">
        <f>ABS(Solieusap!J1120)</f>
        <v>0.3598601429</v>
      </c>
      <c r="K1120" s="16">
        <f t="shared" si="1"/>
        <v>3.788325714</v>
      </c>
      <c r="L1120" s="16">
        <f t="shared" si="2"/>
        <v>0.5053680476</v>
      </c>
    </row>
    <row r="1121" ht="16.5" customHeight="1">
      <c r="A1121" s="15" t="str">
        <f>Solieusap!A1121</f>
        <v>Cũ</v>
      </c>
      <c r="B1121" s="15">
        <f>Solieusap!B1121</f>
        <v>1.75</v>
      </c>
      <c r="C1121" s="15" t="str">
        <f>Solieusap!C1121</f>
        <v>COMB2</v>
      </c>
      <c r="D1121" s="15" t="str">
        <f>Solieusap!D1121</f>
        <v>Combination</v>
      </c>
      <c r="E1121" s="16">
        <f>ABS(Solieusap!E1121)</f>
        <v>3.805182078</v>
      </c>
      <c r="F1121" s="16">
        <f>ABS(Solieusap!F1121)</f>
        <v>0.2629729004</v>
      </c>
      <c r="G1121" s="16">
        <f>ABS(Solieusap!G1121)</f>
        <v>0.4005910823</v>
      </c>
      <c r="H1121" s="16">
        <f>ABS(Solieusap!H1121)</f>
        <v>0.0001458795325</v>
      </c>
      <c r="I1121" s="16">
        <f>ABS(Solieusap!I1121)</f>
        <v>0.5121628398</v>
      </c>
      <c r="J1121" s="16">
        <f>ABS(Solieusap!J1121)</f>
        <v>0.3644071948</v>
      </c>
      <c r="K1121" s="16">
        <f t="shared" si="1"/>
        <v>3.805182078</v>
      </c>
      <c r="L1121" s="16">
        <f t="shared" si="2"/>
        <v>0.5121628398</v>
      </c>
    </row>
    <row r="1122" ht="16.5" customHeight="1">
      <c r="A1122" s="15" t="str">
        <f>Solieusap!A1122</f>
        <v>Cũ</v>
      </c>
      <c r="B1122" s="15">
        <f>Solieusap!B1122</f>
        <v>3.5</v>
      </c>
      <c r="C1122" s="15" t="str">
        <f>Solieusap!C1122</f>
        <v>COMB2</v>
      </c>
      <c r="D1122" s="15" t="str">
        <f>Solieusap!D1122</f>
        <v>Combination</v>
      </c>
      <c r="E1122" s="16">
        <f>ABS(Solieusap!E1122)</f>
        <v>3.822038442</v>
      </c>
      <c r="F1122" s="16">
        <f>ABS(Solieusap!F1122)</f>
        <v>0.2646834199</v>
      </c>
      <c r="G1122" s="16">
        <f>ABS(Solieusap!G1122)</f>
        <v>0.4028554978</v>
      </c>
      <c r="H1122" s="16">
        <f>ABS(Solieusap!H1122)</f>
        <v>0.0001469346364</v>
      </c>
      <c r="I1122" s="16">
        <f>ABS(Solieusap!I1122)</f>
        <v>0.518957632</v>
      </c>
      <c r="J1122" s="16">
        <f>ABS(Solieusap!J1122)</f>
        <v>0.3689542468</v>
      </c>
      <c r="K1122" s="16">
        <f t="shared" si="1"/>
        <v>3.822038442</v>
      </c>
      <c r="L1122" s="16">
        <f t="shared" si="2"/>
        <v>0.518957632</v>
      </c>
    </row>
    <row r="1123" ht="16.5" customHeight="1">
      <c r="A1123" s="15" t="str">
        <f>Solieusap!A1123</f>
        <v>Cũ</v>
      </c>
      <c r="B1123" s="15">
        <f>Solieusap!B1123</f>
        <v>0</v>
      </c>
      <c r="C1123" s="15" t="str">
        <f>Solieusap!C1123</f>
        <v>COMB3</v>
      </c>
      <c r="D1123" s="15" t="str">
        <f>Solieusap!D1123</f>
        <v>Combination</v>
      </c>
      <c r="E1123" s="16">
        <f>ABS(Solieusap!E1123)</f>
        <v>3.838894805</v>
      </c>
      <c r="F1123" s="16">
        <f>ABS(Solieusap!F1123)</f>
        <v>0.2663939394</v>
      </c>
      <c r="G1123" s="16">
        <f>ABS(Solieusap!G1123)</f>
        <v>0.4051199134</v>
      </c>
      <c r="H1123" s="16">
        <f>ABS(Solieusap!H1123)</f>
        <v>0.0001479897403</v>
      </c>
      <c r="I1123" s="16">
        <f>ABS(Solieusap!I1123)</f>
        <v>0.5257524242</v>
      </c>
      <c r="J1123" s="16">
        <f>ABS(Solieusap!J1123)</f>
        <v>0.3735012987</v>
      </c>
      <c r="K1123" s="16">
        <f t="shared" si="1"/>
        <v>3.838894805</v>
      </c>
      <c r="L1123" s="16">
        <f t="shared" si="2"/>
        <v>0.5257524242</v>
      </c>
    </row>
    <row r="1124" ht="16.5" customHeight="1">
      <c r="A1124" s="15" t="str">
        <f>Solieusap!A1124</f>
        <v>Cũ</v>
      </c>
      <c r="B1124" s="15">
        <f>Solieusap!B1124</f>
        <v>1.75</v>
      </c>
      <c r="C1124" s="15" t="str">
        <f>Solieusap!C1124</f>
        <v>COMB3</v>
      </c>
      <c r="D1124" s="15" t="str">
        <f>Solieusap!D1124</f>
        <v>Combination</v>
      </c>
      <c r="E1124" s="16">
        <f>ABS(Solieusap!E1124)</f>
        <v>3.855751169</v>
      </c>
      <c r="F1124" s="16">
        <f>ABS(Solieusap!F1124)</f>
        <v>0.2681044589</v>
      </c>
      <c r="G1124" s="16">
        <f>ABS(Solieusap!G1124)</f>
        <v>0.407384329</v>
      </c>
      <c r="H1124" s="16">
        <f>ABS(Solieusap!H1124)</f>
        <v>0.0001490448442</v>
      </c>
      <c r="I1124" s="16">
        <f>ABS(Solieusap!I1124)</f>
        <v>0.5325472165</v>
      </c>
      <c r="J1124" s="16">
        <f>ABS(Solieusap!J1124)</f>
        <v>0.3780483506</v>
      </c>
      <c r="K1124" s="16">
        <f t="shared" si="1"/>
        <v>3.855751169</v>
      </c>
      <c r="L1124" s="16">
        <f t="shared" si="2"/>
        <v>0.5325472165</v>
      </c>
    </row>
    <row r="1125" ht="16.5" customHeight="1">
      <c r="A1125" s="15" t="str">
        <f>Solieusap!A1125</f>
        <v>Cũ</v>
      </c>
      <c r="B1125" s="15">
        <f>Solieusap!B1125</f>
        <v>3.5</v>
      </c>
      <c r="C1125" s="15" t="str">
        <f>Solieusap!C1125</f>
        <v>COMB3</v>
      </c>
      <c r="D1125" s="15" t="str">
        <f>Solieusap!D1125</f>
        <v>Combination</v>
      </c>
      <c r="E1125" s="16">
        <f>ABS(Solieusap!E1125)</f>
        <v>3.872607532</v>
      </c>
      <c r="F1125" s="16">
        <f>ABS(Solieusap!F1125)</f>
        <v>0.2698149784</v>
      </c>
      <c r="G1125" s="16">
        <f>ABS(Solieusap!G1125)</f>
        <v>0.4096487446</v>
      </c>
      <c r="H1125" s="16">
        <f>ABS(Solieusap!H1125)</f>
        <v>0.0001500999481</v>
      </c>
      <c r="I1125" s="16">
        <f>ABS(Solieusap!I1125)</f>
        <v>0.5393420087</v>
      </c>
      <c r="J1125" s="16">
        <f>ABS(Solieusap!J1125)</f>
        <v>0.3825954026</v>
      </c>
      <c r="K1125" s="16">
        <f t="shared" si="1"/>
        <v>3.872607532</v>
      </c>
      <c r="L1125" s="16">
        <f t="shared" si="2"/>
        <v>0.5393420087</v>
      </c>
    </row>
    <row r="1126" ht="16.5" customHeight="1">
      <c r="A1126" s="15" t="str">
        <f>Solieusap!A1126</f>
        <v>Cũ</v>
      </c>
      <c r="B1126" s="15">
        <f>Solieusap!B1126</f>
        <v>0</v>
      </c>
      <c r="C1126" s="15" t="str">
        <f>Solieusap!C1126</f>
        <v>COMB4</v>
      </c>
      <c r="D1126" s="15" t="str">
        <f>Solieusap!D1126</f>
        <v>Combination</v>
      </c>
      <c r="E1126" s="16">
        <f>ABS(Solieusap!E1126)</f>
        <v>3.889463896</v>
      </c>
      <c r="F1126" s="16">
        <f>ABS(Solieusap!F1126)</f>
        <v>0.2715254978</v>
      </c>
      <c r="G1126" s="16">
        <f>ABS(Solieusap!G1126)</f>
        <v>0.4119131602</v>
      </c>
      <c r="H1126" s="16">
        <f>ABS(Solieusap!H1126)</f>
        <v>0.0001511550519</v>
      </c>
      <c r="I1126" s="16">
        <f>ABS(Solieusap!I1126)</f>
        <v>0.5461368009</v>
      </c>
      <c r="J1126" s="16">
        <f>ABS(Solieusap!J1126)</f>
        <v>0.3871424545</v>
      </c>
      <c r="K1126" s="16">
        <f t="shared" si="1"/>
        <v>3.889463896</v>
      </c>
      <c r="L1126" s="16">
        <f t="shared" si="2"/>
        <v>0.5461368009</v>
      </c>
    </row>
    <row r="1127" ht="16.5" customHeight="1">
      <c r="A1127" s="15" t="str">
        <f>Solieusap!A1127</f>
        <v>Cũ</v>
      </c>
      <c r="B1127" s="15">
        <f>Solieusap!B1127</f>
        <v>1.75</v>
      </c>
      <c r="C1127" s="15" t="str">
        <f>Solieusap!C1127</f>
        <v>COMB4</v>
      </c>
      <c r="D1127" s="15" t="str">
        <f>Solieusap!D1127</f>
        <v>Combination</v>
      </c>
      <c r="E1127" s="16">
        <f>ABS(Solieusap!E1127)</f>
        <v>3.90632026</v>
      </c>
      <c r="F1127" s="16">
        <f>ABS(Solieusap!F1127)</f>
        <v>0.2732360173</v>
      </c>
      <c r="G1127" s="16">
        <f>ABS(Solieusap!G1127)</f>
        <v>0.4141775758</v>
      </c>
      <c r="H1127" s="16">
        <f>ABS(Solieusap!H1127)</f>
        <v>0.0001522101558</v>
      </c>
      <c r="I1127" s="16">
        <f>ABS(Solieusap!I1127)</f>
        <v>0.5529315931</v>
      </c>
      <c r="J1127" s="16">
        <f>ABS(Solieusap!J1127)</f>
        <v>0.3916895065</v>
      </c>
      <c r="K1127" s="16">
        <f t="shared" si="1"/>
        <v>3.90632026</v>
      </c>
      <c r="L1127" s="16">
        <f t="shared" si="2"/>
        <v>0.5529315931</v>
      </c>
    </row>
    <row r="1128" ht="16.5" customHeight="1">
      <c r="A1128" s="15" t="str">
        <f>Solieusap!A1128</f>
        <v>Cũ</v>
      </c>
      <c r="B1128" s="15">
        <f>Solieusap!B1128</f>
        <v>3.5</v>
      </c>
      <c r="C1128" s="15" t="str">
        <f>Solieusap!C1128</f>
        <v>COMB4</v>
      </c>
      <c r="D1128" s="15" t="str">
        <f>Solieusap!D1128</f>
        <v>Combination</v>
      </c>
      <c r="E1128" s="16">
        <f>ABS(Solieusap!E1128)</f>
        <v>3.923176623</v>
      </c>
      <c r="F1128" s="16">
        <f>ABS(Solieusap!F1128)</f>
        <v>0.2749465368</v>
      </c>
      <c r="G1128" s="16">
        <f>ABS(Solieusap!G1128)</f>
        <v>0.4164419913</v>
      </c>
      <c r="H1128" s="16">
        <f>ABS(Solieusap!H1128)</f>
        <v>0.0001532652597</v>
      </c>
      <c r="I1128" s="16">
        <f>ABS(Solieusap!I1128)</f>
        <v>0.5597263853</v>
      </c>
      <c r="J1128" s="16">
        <f>ABS(Solieusap!J1128)</f>
        <v>0.3962365584</v>
      </c>
      <c r="K1128" s="16">
        <f t="shared" si="1"/>
        <v>3.923176623</v>
      </c>
      <c r="L1128" s="16">
        <f t="shared" si="2"/>
        <v>0.5597263853</v>
      </c>
    </row>
    <row r="1129" ht="16.5" customHeight="1">
      <c r="A1129" s="15" t="str">
        <f>Solieusap!A1129</f>
        <v>Cũ</v>
      </c>
      <c r="B1129" s="15">
        <f>Solieusap!B1129</f>
        <v>0</v>
      </c>
      <c r="C1129" s="15" t="str">
        <f>Solieusap!C1129</f>
        <v>COMB5</v>
      </c>
      <c r="D1129" s="15" t="str">
        <f>Solieusap!D1129</f>
        <v>Combination</v>
      </c>
      <c r="E1129" s="16">
        <f>ABS(Solieusap!E1129)</f>
        <v>3.940032987</v>
      </c>
      <c r="F1129" s="16">
        <f>ABS(Solieusap!F1129)</f>
        <v>0.2766570563</v>
      </c>
      <c r="G1129" s="16">
        <f>ABS(Solieusap!G1129)</f>
        <v>0.4187064069</v>
      </c>
      <c r="H1129" s="16">
        <f>ABS(Solieusap!H1129)</f>
        <v>0.0001543203636</v>
      </c>
      <c r="I1129" s="16">
        <f>ABS(Solieusap!I1129)</f>
        <v>0.5665211775</v>
      </c>
      <c r="J1129" s="16">
        <f>ABS(Solieusap!J1129)</f>
        <v>0.4007836104</v>
      </c>
      <c r="K1129" s="16">
        <f t="shared" si="1"/>
        <v>3.940032987</v>
      </c>
      <c r="L1129" s="16">
        <f t="shared" si="2"/>
        <v>0.5665211775</v>
      </c>
    </row>
    <row r="1130" ht="16.5" customHeight="1">
      <c r="A1130" s="15" t="str">
        <f>Solieusap!A1130</f>
        <v>Cũ</v>
      </c>
      <c r="B1130" s="15">
        <f>Solieusap!B1130</f>
        <v>1.75</v>
      </c>
      <c r="C1130" s="15" t="str">
        <f>Solieusap!C1130</f>
        <v>COMB5</v>
      </c>
      <c r="D1130" s="15" t="str">
        <f>Solieusap!D1130</f>
        <v>Combination</v>
      </c>
      <c r="E1130" s="16">
        <f>ABS(Solieusap!E1130)</f>
        <v>3.956889351</v>
      </c>
      <c r="F1130" s="16">
        <f>ABS(Solieusap!F1130)</f>
        <v>0.2783675758</v>
      </c>
      <c r="G1130" s="16">
        <f>ABS(Solieusap!G1130)</f>
        <v>0.4209708225</v>
      </c>
      <c r="H1130" s="16">
        <f>ABS(Solieusap!H1130)</f>
        <v>0.0001553754675</v>
      </c>
      <c r="I1130" s="16">
        <f>ABS(Solieusap!I1130)</f>
        <v>0.5733159697</v>
      </c>
      <c r="J1130" s="16">
        <f>ABS(Solieusap!J1130)</f>
        <v>0.4053306623</v>
      </c>
      <c r="K1130" s="16">
        <f t="shared" si="1"/>
        <v>3.956889351</v>
      </c>
      <c r="L1130" s="16">
        <f t="shared" si="2"/>
        <v>0.5733159697</v>
      </c>
    </row>
    <row r="1131" ht="16.5" customHeight="1">
      <c r="A1131" s="15" t="str">
        <f>Solieusap!A1131</f>
        <v>Cũ</v>
      </c>
      <c r="B1131" s="15">
        <f>Solieusap!B1131</f>
        <v>3.5</v>
      </c>
      <c r="C1131" s="15" t="str">
        <f>Solieusap!C1131</f>
        <v>COMB5</v>
      </c>
      <c r="D1131" s="15" t="str">
        <f>Solieusap!D1131</f>
        <v>Combination</v>
      </c>
      <c r="E1131" s="16">
        <f>ABS(Solieusap!E1131)</f>
        <v>3.973745714</v>
      </c>
      <c r="F1131" s="16">
        <f>ABS(Solieusap!F1131)</f>
        <v>0.2800780952</v>
      </c>
      <c r="G1131" s="16">
        <f>ABS(Solieusap!G1131)</f>
        <v>0.4232352381</v>
      </c>
      <c r="H1131" s="16">
        <f>ABS(Solieusap!H1131)</f>
        <v>0.0001564305714</v>
      </c>
      <c r="I1131" s="16">
        <f>ABS(Solieusap!I1131)</f>
        <v>0.5801107619</v>
      </c>
      <c r="J1131" s="16">
        <f>ABS(Solieusap!J1131)</f>
        <v>0.4098777143</v>
      </c>
      <c r="K1131" s="16">
        <f t="shared" si="1"/>
        <v>3.973745714</v>
      </c>
      <c r="L1131" s="16">
        <f t="shared" si="2"/>
        <v>0.5801107619</v>
      </c>
    </row>
    <row r="1132" ht="16.5" customHeight="1">
      <c r="A1132" s="15" t="str">
        <f>Solieusap!A1132</f>
        <v>Cũ</v>
      </c>
      <c r="B1132" s="15">
        <f>Solieusap!B1132</f>
        <v>0</v>
      </c>
      <c r="C1132" s="15" t="str">
        <f>Solieusap!C1132</f>
        <v>COMB6</v>
      </c>
      <c r="D1132" s="15" t="str">
        <f>Solieusap!D1132</f>
        <v>Combination</v>
      </c>
      <c r="E1132" s="16">
        <f>ABS(Solieusap!E1132)</f>
        <v>3.990602078</v>
      </c>
      <c r="F1132" s="16">
        <f>ABS(Solieusap!F1132)</f>
        <v>0.2817886147</v>
      </c>
      <c r="G1132" s="16">
        <f>ABS(Solieusap!G1132)</f>
        <v>0.4254996537</v>
      </c>
      <c r="H1132" s="16">
        <f>ABS(Solieusap!H1132)</f>
        <v>0.0001574856753</v>
      </c>
      <c r="I1132" s="16">
        <f>ABS(Solieusap!I1132)</f>
        <v>0.5869055541</v>
      </c>
      <c r="J1132" s="16">
        <f>ABS(Solieusap!J1132)</f>
        <v>0.4144247662</v>
      </c>
      <c r="K1132" s="16">
        <f t="shared" si="1"/>
        <v>3.990602078</v>
      </c>
      <c r="L1132" s="16">
        <f t="shared" si="2"/>
        <v>0.5869055541</v>
      </c>
    </row>
    <row r="1133" ht="16.5" customHeight="1">
      <c r="A1133" s="15" t="str">
        <f>Solieusap!A1133</f>
        <v>Cũ</v>
      </c>
      <c r="B1133" s="15">
        <f>Solieusap!B1133</f>
        <v>1.75</v>
      </c>
      <c r="C1133" s="15" t="str">
        <f>Solieusap!C1133</f>
        <v>COMB6</v>
      </c>
      <c r="D1133" s="15" t="str">
        <f>Solieusap!D1133</f>
        <v>Combination</v>
      </c>
      <c r="E1133" s="16">
        <f>ABS(Solieusap!E1133)</f>
        <v>4.007458442</v>
      </c>
      <c r="F1133" s="16">
        <f>ABS(Solieusap!F1133)</f>
        <v>0.2834991342</v>
      </c>
      <c r="G1133" s="16">
        <f>ABS(Solieusap!G1133)</f>
        <v>0.4277640693</v>
      </c>
      <c r="H1133" s="16">
        <f>ABS(Solieusap!H1133)</f>
        <v>0.0001585407792</v>
      </c>
      <c r="I1133" s="16">
        <f>ABS(Solieusap!I1133)</f>
        <v>0.5937003463</v>
      </c>
      <c r="J1133" s="16">
        <f>ABS(Solieusap!J1133)</f>
        <v>0.4189718182</v>
      </c>
      <c r="K1133" s="16">
        <f t="shared" si="1"/>
        <v>4.007458442</v>
      </c>
      <c r="L1133" s="16">
        <f t="shared" si="2"/>
        <v>0.5937003463</v>
      </c>
    </row>
    <row r="1134" ht="16.5" customHeight="1">
      <c r="A1134" s="15" t="str">
        <f>Solieusap!A1134</f>
        <v>Cũ</v>
      </c>
      <c r="B1134" s="15">
        <f>Solieusap!B1134</f>
        <v>3.5</v>
      </c>
      <c r="C1134" s="15" t="str">
        <f>Solieusap!C1134</f>
        <v>COMB6</v>
      </c>
      <c r="D1134" s="15" t="str">
        <f>Solieusap!D1134</f>
        <v>Combination</v>
      </c>
      <c r="E1134" s="16">
        <f>ABS(Solieusap!E1134)</f>
        <v>4.024314805</v>
      </c>
      <c r="F1134" s="16">
        <f>ABS(Solieusap!F1134)</f>
        <v>0.2852096537</v>
      </c>
      <c r="G1134" s="16">
        <f>ABS(Solieusap!G1134)</f>
        <v>0.4300284848</v>
      </c>
      <c r="H1134" s="16">
        <f>ABS(Solieusap!H1134)</f>
        <v>0.0001595958831</v>
      </c>
      <c r="I1134" s="16">
        <f>ABS(Solieusap!I1134)</f>
        <v>0.6004951385</v>
      </c>
      <c r="J1134" s="16">
        <f>ABS(Solieusap!J1134)</f>
        <v>0.4235188701</v>
      </c>
      <c r="K1134" s="16">
        <f t="shared" si="1"/>
        <v>4.024314805</v>
      </c>
      <c r="L1134" s="16">
        <f t="shared" si="2"/>
        <v>0.6004951385</v>
      </c>
    </row>
    <row r="1135" ht="16.5" customHeight="1">
      <c r="A1135" s="15" t="str">
        <f>Solieusap!A1135</f>
        <v>Cũ</v>
      </c>
      <c r="B1135" s="15">
        <f>Solieusap!B1135</f>
        <v>0</v>
      </c>
      <c r="C1135" s="15" t="str">
        <f>Solieusap!C1135</f>
        <v>COMB7</v>
      </c>
      <c r="D1135" s="15" t="str">
        <f>Solieusap!D1135</f>
        <v>Combination</v>
      </c>
      <c r="E1135" s="16">
        <f>ABS(Solieusap!E1135)</f>
        <v>4.041171169</v>
      </c>
      <c r="F1135" s="16">
        <f>ABS(Solieusap!F1135)</f>
        <v>0.2869201732</v>
      </c>
      <c r="G1135" s="16">
        <f>ABS(Solieusap!G1135)</f>
        <v>0.4322929004</v>
      </c>
      <c r="H1135" s="16">
        <f>ABS(Solieusap!H1135)</f>
        <v>0.000160650987</v>
      </c>
      <c r="I1135" s="16">
        <f>ABS(Solieusap!I1135)</f>
        <v>0.6072899307</v>
      </c>
      <c r="J1135" s="16">
        <f>ABS(Solieusap!J1135)</f>
        <v>0.4280659221</v>
      </c>
      <c r="K1135" s="16">
        <f t="shared" si="1"/>
        <v>4.041171169</v>
      </c>
      <c r="L1135" s="16">
        <f t="shared" si="2"/>
        <v>0.6072899307</v>
      </c>
    </row>
    <row r="1136" ht="16.5" customHeight="1">
      <c r="A1136" s="15" t="str">
        <f>Solieusap!A1136</f>
        <v>Cũ</v>
      </c>
      <c r="B1136" s="15">
        <f>Solieusap!B1136</f>
        <v>1.75</v>
      </c>
      <c r="C1136" s="15" t="str">
        <f>Solieusap!C1136</f>
        <v>COMB7</v>
      </c>
      <c r="D1136" s="15" t="str">
        <f>Solieusap!D1136</f>
        <v>Combination</v>
      </c>
      <c r="E1136" s="16">
        <f>ABS(Solieusap!E1136)</f>
        <v>4.058027532</v>
      </c>
      <c r="F1136" s="16">
        <f>ABS(Solieusap!F1136)</f>
        <v>0.2886306926</v>
      </c>
      <c r="G1136" s="16">
        <f>ABS(Solieusap!G1136)</f>
        <v>0.434557316</v>
      </c>
      <c r="H1136" s="16">
        <f>ABS(Solieusap!H1136)</f>
        <v>0.0001617060909</v>
      </c>
      <c r="I1136" s="16">
        <f>ABS(Solieusap!I1136)</f>
        <v>0.6140847229</v>
      </c>
      <c r="J1136" s="16">
        <f>ABS(Solieusap!J1136)</f>
        <v>0.432612974</v>
      </c>
      <c r="K1136" s="16">
        <f t="shared" si="1"/>
        <v>4.058027532</v>
      </c>
      <c r="L1136" s="16">
        <f t="shared" si="2"/>
        <v>0.6140847229</v>
      </c>
    </row>
    <row r="1137" ht="16.5" customHeight="1">
      <c r="A1137" s="15" t="str">
        <f>Solieusap!A1137</f>
        <v>Cũ</v>
      </c>
      <c r="B1137" s="15">
        <f>Solieusap!B1137</f>
        <v>3.5</v>
      </c>
      <c r="C1137" s="15" t="str">
        <f>Solieusap!C1137</f>
        <v>COMB7</v>
      </c>
      <c r="D1137" s="15" t="str">
        <f>Solieusap!D1137</f>
        <v>Combination</v>
      </c>
      <c r="E1137" s="16">
        <f>ABS(Solieusap!E1137)</f>
        <v>4.074883896</v>
      </c>
      <c r="F1137" s="16">
        <f>ABS(Solieusap!F1137)</f>
        <v>0.2903412121</v>
      </c>
      <c r="G1137" s="16">
        <f>ABS(Solieusap!G1137)</f>
        <v>0.4368217316</v>
      </c>
      <c r="H1137" s="16">
        <f>ABS(Solieusap!H1137)</f>
        <v>0.0001627611948</v>
      </c>
      <c r="I1137" s="16">
        <f>ABS(Solieusap!I1137)</f>
        <v>0.6208795152</v>
      </c>
      <c r="J1137" s="16">
        <f>ABS(Solieusap!J1137)</f>
        <v>0.437160026</v>
      </c>
      <c r="K1137" s="16">
        <f t="shared" si="1"/>
        <v>4.074883896</v>
      </c>
      <c r="L1137" s="16">
        <f t="shared" si="2"/>
        <v>0.6208795152</v>
      </c>
    </row>
    <row r="1138" ht="16.5" customHeight="1">
      <c r="A1138" s="15" t="str">
        <f>Solieusap!A1138</f>
        <v>Cũ</v>
      </c>
      <c r="B1138" s="15">
        <f>Solieusap!B1138</f>
        <v>0</v>
      </c>
      <c r="C1138" s="15" t="str">
        <f>Solieusap!C1138</f>
        <v>COMB1</v>
      </c>
      <c r="D1138" s="15" t="str">
        <f>Solieusap!D1138</f>
        <v>Combination</v>
      </c>
      <c r="E1138" s="16">
        <f>ABS(Solieusap!E1138)</f>
        <v>4.09174026</v>
      </c>
      <c r="F1138" s="16">
        <f>ABS(Solieusap!F1138)</f>
        <v>0.2920517316</v>
      </c>
      <c r="G1138" s="16">
        <f>ABS(Solieusap!G1138)</f>
        <v>0.4390861472</v>
      </c>
      <c r="H1138" s="16">
        <f>ABS(Solieusap!H1138)</f>
        <v>0.0001638162987</v>
      </c>
      <c r="I1138" s="16">
        <f>ABS(Solieusap!I1138)</f>
        <v>0.6276743074</v>
      </c>
      <c r="J1138" s="16">
        <f>ABS(Solieusap!J1138)</f>
        <v>0.4417070779</v>
      </c>
      <c r="K1138" s="16">
        <f t="shared" si="1"/>
        <v>4.09174026</v>
      </c>
      <c r="L1138" s="16">
        <f t="shared" si="2"/>
        <v>0.6276743074</v>
      </c>
    </row>
    <row r="1139" ht="16.5" customHeight="1">
      <c r="A1139" s="15" t="str">
        <f>Solieusap!A1139</f>
        <v>Cũ</v>
      </c>
      <c r="B1139" s="15">
        <f>Solieusap!B1139</f>
        <v>1.75</v>
      </c>
      <c r="C1139" s="15" t="str">
        <f>Solieusap!C1139</f>
        <v>COMB1</v>
      </c>
      <c r="D1139" s="15" t="str">
        <f>Solieusap!D1139</f>
        <v>Combination</v>
      </c>
      <c r="E1139" s="16">
        <f>ABS(Solieusap!E1139)</f>
        <v>4.108596623</v>
      </c>
      <c r="F1139" s="16">
        <f>ABS(Solieusap!F1139)</f>
        <v>0.2937622511</v>
      </c>
      <c r="G1139" s="16">
        <f>ABS(Solieusap!G1139)</f>
        <v>0.4413505628</v>
      </c>
      <c r="H1139" s="16">
        <f>ABS(Solieusap!H1139)</f>
        <v>0.0001648714026</v>
      </c>
      <c r="I1139" s="16">
        <f>ABS(Solieusap!I1139)</f>
        <v>0.6344690996</v>
      </c>
      <c r="J1139" s="16">
        <f>ABS(Solieusap!J1139)</f>
        <v>0.4462541299</v>
      </c>
      <c r="K1139" s="16">
        <f t="shared" si="1"/>
        <v>4.108596623</v>
      </c>
      <c r="L1139" s="16">
        <f t="shared" si="2"/>
        <v>0.6344690996</v>
      </c>
    </row>
    <row r="1140" ht="16.5" customHeight="1">
      <c r="A1140" s="15" t="str">
        <f>Solieusap!A1140</f>
        <v>Cũ</v>
      </c>
      <c r="B1140" s="15">
        <f>Solieusap!B1140</f>
        <v>3.5</v>
      </c>
      <c r="C1140" s="15" t="str">
        <f>Solieusap!C1140</f>
        <v>COMB1</v>
      </c>
      <c r="D1140" s="15" t="str">
        <f>Solieusap!D1140</f>
        <v>Combination</v>
      </c>
      <c r="E1140" s="16">
        <f>ABS(Solieusap!E1140)</f>
        <v>4.125452987</v>
      </c>
      <c r="F1140" s="16">
        <f>ABS(Solieusap!F1140)</f>
        <v>0.2954727706</v>
      </c>
      <c r="G1140" s="16">
        <f>ABS(Solieusap!G1140)</f>
        <v>0.4436149784</v>
      </c>
      <c r="H1140" s="16">
        <f>ABS(Solieusap!H1140)</f>
        <v>0.0001659265065</v>
      </c>
      <c r="I1140" s="16">
        <f>ABS(Solieusap!I1140)</f>
        <v>0.6412638918</v>
      </c>
      <c r="J1140" s="16">
        <f>ABS(Solieusap!J1140)</f>
        <v>0.4508011818</v>
      </c>
      <c r="K1140" s="16">
        <f t="shared" si="1"/>
        <v>4.125452987</v>
      </c>
      <c r="L1140" s="16">
        <f t="shared" si="2"/>
        <v>0.6412638918</v>
      </c>
    </row>
    <row r="1141" ht="16.5" customHeight="1">
      <c r="A1141" s="15" t="str">
        <f>Solieusap!A1141</f>
        <v>Cũ</v>
      </c>
      <c r="B1141" s="15">
        <f>Solieusap!B1141</f>
        <v>0</v>
      </c>
      <c r="C1141" s="15" t="str">
        <f>Solieusap!C1141</f>
        <v>COMB2</v>
      </c>
      <c r="D1141" s="15" t="str">
        <f>Solieusap!D1141</f>
        <v>Combination</v>
      </c>
      <c r="E1141" s="16">
        <f>ABS(Solieusap!E1141)</f>
        <v>4.142309351</v>
      </c>
      <c r="F1141" s="16">
        <f>ABS(Solieusap!F1141)</f>
        <v>0.29718329</v>
      </c>
      <c r="G1141" s="16">
        <f>ABS(Solieusap!G1141)</f>
        <v>0.4458793939</v>
      </c>
      <c r="H1141" s="16">
        <f>ABS(Solieusap!H1141)</f>
        <v>0.0001669816104</v>
      </c>
      <c r="I1141" s="16">
        <f>ABS(Solieusap!I1141)</f>
        <v>0.648058684</v>
      </c>
      <c r="J1141" s="16">
        <f>ABS(Solieusap!J1141)</f>
        <v>0.4553482338</v>
      </c>
      <c r="K1141" s="16">
        <f t="shared" si="1"/>
        <v>4.142309351</v>
      </c>
      <c r="L1141" s="16">
        <f t="shared" si="2"/>
        <v>0.648058684</v>
      </c>
    </row>
    <row r="1142" ht="16.5" customHeight="1">
      <c r="A1142" s="15" t="str">
        <f>Solieusap!A1142</f>
        <v>Cũ</v>
      </c>
      <c r="B1142" s="15">
        <f>Solieusap!B1142</f>
        <v>1.75</v>
      </c>
      <c r="C1142" s="15" t="str">
        <f>Solieusap!C1142</f>
        <v>COMB2</v>
      </c>
      <c r="D1142" s="15" t="str">
        <f>Solieusap!D1142</f>
        <v>Combination</v>
      </c>
      <c r="E1142" s="16">
        <f>ABS(Solieusap!E1142)</f>
        <v>4.159165714</v>
      </c>
      <c r="F1142" s="16">
        <f>ABS(Solieusap!F1142)</f>
        <v>0.2988938095</v>
      </c>
      <c r="G1142" s="16">
        <f>ABS(Solieusap!G1142)</f>
        <v>0.4481438095</v>
      </c>
      <c r="H1142" s="16">
        <f>ABS(Solieusap!H1142)</f>
        <v>0.0001680367143</v>
      </c>
      <c r="I1142" s="16">
        <f>ABS(Solieusap!I1142)</f>
        <v>0.6548534762</v>
      </c>
      <c r="J1142" s="16">
        <f>ABS(Solieusap!J1142)</f>
        <v>0.4598952857</v>
      </c>
      <c r="K1142" s="16">
        <f t="shared" si="1"/>
        <v>4.159165714</v>
      </c>
      <c r="L1142" s="16">
        <f t="shared" si="2"/>
        <v>0.6548534762</v>
      </c>
    </row>
    <row r="1143" ht="16.5" customHeight="1">
      <c r="A1143" s="15" t="str">
        <f>Solieusap!A1143</f>
        <v>Cũ</v>
      </c>
      <c r="B1143" s="15">
        <f>Solieusap!B1143</f>
        <v>3.5</v>
      </c>
      <c r="C1143" s="15" t="str">
        <f>Solieusap!C1143</f>
        <v>COMB2</v>
      </c>
      <c r="D1143" s="15" t="str">
        <f>Solieusap!D1143</f>
        <v>Combination</v>
      </c>
      <c r="E1143" s="16">
        <f>ABS(Solieusap!E1143)</f>
        <v>4.176022078</v>
      </c>
      <c r="F1143" s="16">
        <f>ABS(Solieusap!F1143)</f>
        <v>0.300604329</v>
      </c>
      <c r="G1143" s="16">
        <f>ABS(Solieusap!G1143)</f>
        <v>0.4504082251</v>
      </c>
      <c r="H1143" s="16">
        <f>ABS(Solieusap!H1143)</f>
        <v>0.0001690918182</v>
      </c>
      <c r="I1143" s="16">
        <f>ABS(Solieusap!I1143)</f>
        <v>0.6616482684</v>
      </c>
      <c r="J1143" s="16">
        <f>ABS(Solieusap!J1143)</f>
        <v>0.4644423377</v>
      </c>
      <c r="K1143" s="16">
        <f t="shared" si="1"/>
        <v>4.176022078</v>
      </c>
      <c r="L1143" s="16">
        <f t="shared" si="2"/>
        <v>0.6616482684</v>
      </c>
    </row>
    <row r="1144" ht="16.5" customHeight="1">
      <c r="A1144" s="15" t="str">
        <f>Solieusap!A1144</f>
        <v>Cũ</v>
      </c>
      <c r="B1144" s="15">
        <f>Solieusap!B1144</f>
        <v>0</v>
      </c>
      <c r="C1144" s="15" t="str">
        <f>Solieusap!C1144</f>
        <v>COMB3</v>
      </c>
      <c r="D1144" s="15" t="str">
        <f>Solieusap!D1144</f>
        <v>Combination</v>
      </c>
      <c r="E1144" s="16">
        <f>ABS(Solieusap!E1144)</f>
        <v>4.192878442</v>
      </c>
      <c r="F1144" s="16">
        <f>ABS(Solieusap!F1144)</f>
        <v>0.3023148485</v>
      </c>
      <c r="G1144" s="16">
        <f>ABS(Solieusap!G1144)</f>
        <v>0.4526726407</v>
      </c>
      <c r="H1144" s="16">
        <f>ABS(Solieusap!H1144)</f>
        <v>0.0001701469221</v>
      </c>
      <c r="I1144" s="16">
        <f>ABS(Solieusap!I1144)</f>
        <v>0.6684430606</v>
      </c>
      <c r="J1144" s="16">
        <f>ABS(Solieusap!J1144)</f>
        <v>0.4689893896</v>
      </c>
      <c r="K1144" s="16">
        <f t="shared" si="1"/>
        <v>4.192878442</v>
      </c>
      <c r="L1144" s="16">
        <f t="shared" si="2"/>
        <v>0.6684430606</v>
      </c>
    </row>
    <row r="1145" ht="16.5" customHeight="1">
      <c r="A1145" s="15" t="str">
        <f>Solieusap!A1145</f>
        <v>Cũ</v>
      </c>
      <c r="B1145" s="15">
        <f>Solieusap!B1145</f>
        <v>1.75</v>
      </c>
      <c r="C1145" s="15" t="str">
        <f>Solieusap!C1145</f>
        <v>COMB3</v>
      </c>
      <c r="D1145" s="15" t="str">
        <f>Solieusap!D1145</f>
        <v>Combination</v>
      </c>
      <c r="E1145" s="16">
        <f>ABS(Solieusap!E1145)</f>
        <v>4.209734805</v>
      </c>
      <c r="F1145" s="16">
        <f>ABS(Solieusap!F1145)</f>
        <v>0.304025368</v>
      </c>
      <c r="G1145" s="16">
        <f>ABS(Solieusap!G1145)</f>
        <v>0.4549370563</v>
      </c>
      <c r="H1145" s="16">
        <f>ABS(Solieusap!H1145)</f>
        <v>0.000171202026</v>
      </c>
      <c r="I1145" s="16">
        <f>ABS(Solieusap!I1145)</f>
        <v>0.6752378528</v>
      </c>
      <c r="J1145" s="16">
        <f>ABS(Solieusap!J1145)</f>
        <v>0.4735364416</v>
      </c>
      <c r="K1145" s="16">
        <f t="shared" si="1"/>
        <v>4.209734805</v>
      </c>
      <c r="L1145" s="16">
        <f t="shared" si="2"/>
        <v>0.6752378528</v>
      </c>
    </row>
    <row r="1146" ht="16.5" customHeight="1">
      <c r="A1146" s="15" t="str">
        <f>Solieusap!A1146</f>
        <v>Cũ</v>
      </c>
      <c r="B1146" s="15">
        <f>Solieusap!B1146</f>
        <v>3.5</v>
      </c>
      <c r="C1146" s="15" t="str">
        <f>Solieusap!C1146</f>
        <v>COMB3</v>
      </c>
      <c r="D1146" s="15" t="str">
        <f>Solieusap!D1146</f>
        <v>Combination</v>
      </c>
      <c r="E1146" s="16">
        <f>ABS(Solieusap!E1146)</f>
        <v>4.226591169</v>
      </c>
      <c r="F1146" s="16">
        <f>ABS(Solieusap!F1146)</f>
        <v>0.3057358874</v>
      </c>
      <c r="G1146" s="16">
        <f>ABS(Solieusap!G1146)</f>
        <v>0.4572014719</v>
      </c>
      <c r="H1146" s="16">
        <f>ABS(Solieusap!H1146)</f>
        <v>0.0001722571299</v>
      </c>
      <c r="I1146" s="16">
        <f>ABS(Solieusap!I1146)</f>
        <v>0.682032645</v>
      </c>
      <c r="J1146" s="16">
        <f>ABS(Solieusap!J1146)</f>
        <v>0.4780834935</v>
      </c>
      <c r="K1146" s="16">
        <f t="shared" si="1"/>
        <v>4.226591169</v>
      </c>
      <c r="L1146" s="16">
        <f t="shared" si="2"/>
        <v>0.682032645</v>
      </c>
    </row>
    <row r="1147" ht="16.5" customHeight="1">
      <c r="A1147" s="15" t="str">
        <f>Solieusap!A1147</f>
        <v>Cũ</v>
      </c>
      <c r="B1147" s="15">
        <f>Solieusap!B1147</f>
        <v>0</v>
      </c>
      <c r="C1147" s="15" t="str">
        <f>Solieusap!C1147</f>
        <v>COMB4</v>
      </c>
      <c r="D1147" s="15" t="str">
        <f>Solieusap!D1147</f>
        <v>Combination</v>
      </c>
      <c r="E1147" s="16">
        <f>ABS(Solieusap!E1147)</f>
        <v>4.243447532</v>
      </c>
      <c r="F1147" s="16">
        <f>ABS(Solieusap!F1147)</f>
        <v>0.3074464069</v>
      </c>
      <c r="G1147" s="16">
        <f>ABS(Solieusap!G1147)</f>
        <v>0.4594658874</v>
      </c>
      <c r="H1147" s="16">
        <f>ABS(Solieusap!H1147)</f>
        <v>0.0001733122338</v>
      </c>
      <c r="I1147" s="16">
        <f>ABS(Solieusap!I1147)</f>
        <v>0.6888274372</v>
      </c>
      <c r="J1147" s="16">
        <f>ABS(Solieusap!J1147)</f>
        <v>0.4826305455</v>
      </c>
      <c r="K1147" s="16">
        <f t="shared" si="1"/>
        <v>4.243447532</v>
      </c>
      <c r="L1147" s="16">
        <f t="shared" si="2"/>
        <v>0.6888274372</v>
      </c>
    </row>
    <row r="1148" ht="16.5" customHeight="1">
      <c r="A1148" s="15" t="str">
        <f>Solieusap!A1148</f>
        <v>Cũ</v>
      </c>
      <c r="B1148" s="15">
        <f>Solieusap!B1148</f>
        <v>1.75</v>
      </c>
      <c r="C1148" s="15" t="str">
        <f>Solieusap!C1148</f>
        <v>COMB4</v>
      </c>
      <c r="D1148" s="15" t="str">
        <f>Solieusap!D1148</f>
        <v>Combination</v>
      </c>
      <c r="E1148" s="16">
        <f>ABS(Solieusap!E1148)</f>
        <v>4.260303896</v>
      </c>
      <c r="F1148" s="16">
        <f>ABS(Solieusap!F1148)</f>
        <v>0.3091569264</v>
      </c>
      <c r="G1148" s="16">
        <f>ABS(Solieusap!G1148)</f>
        <v>0.461730303</v>
      </c>
      <c r="H1148" s="16">
        <f>ABS(Solieusap!H1148)</f>
        <v>0.0001743673377</v>
      </c>
      <c r="I1148" s="16">
        <f>ABS(Solieusap!I1148)</f>
        <v>0.6956222294</v>
      </c>
      <c r="J1148" s="16">
        <f>ABS(Solieusap!J1148)</f>
        <v>0.4871775974</v>
      </c>
      <c r="K1148" s="16">
        <f t="shared" si="1"/>
        <v>4.260303896</v>
      </c>
      <c r="L1148" s="16">
        <f t="shared" si="2"/>
        <v>0.6956222294</v>
      </c>
    </row>
    <row r="1149" ht="16.5" customHeight="1">
      <c r="A1149" s="15" t="str">
        <f>Solieusap!A1149</f>
        <v>Cũ</v>
      </c>
      <c r="B1149" s="15">
        <f>Solieusap!B1149</f>
        <v>3.5</v>
      </c>
      <c r="C1149" s="15" t="str">
        <f>Solieusap!C1149</f>
        <v>COMB4</v>
      </c>
      <c r="D1149" s="15" t="str">
        <f>Solieusap!D1149</f>
        <v>Combination</v>
      </c>
      <c r="E1149" s="16">
        <f>ABS(Solieusap!E1149)</f>
        <v>4.27716026</v>
      </c>
      <c r="F1149" s="16">
        <f>ABS(Solieusap!F1149)</f>
        <v>0.3108674459</v>
      </c>
      <c r="G1149" s="16">
        <f>ABS(Solieusap!G1149)</f>
        <v>0.4639947186</v>
      </c>
      <c r="H1149" s="16">
        <f>ABS(Solieusap!H1149)</f>
        <v>0.0001754224416</v>
      </c>
      <c r="I1149" s="16">
        <f>ABS(Solieusap!I1149)</f>
        <v>0.7024170216</v>
      </c>
      <c r="J1149" s="16">
        <f>ABS(Solieusap!J1149)</f>
        <v>0.4917246494</v>
      </c>
      <c r="K1149" s="16">
        <f t="shared" si="1"/>
        <v>4.27716026</v>
      </c>
      <c r="L1149" s="16">
        <f t="shared" si="2"/>
        <v>0.7024170216</v>
      </c>
    </row>
    <row r="1150" ht="16.5" customHeight="1">
      <c r="A1150" s="15" t="str">
        <f>Solieusap!A1150</f>
        <v>Cũ</v>
      </c>
      <c r="B1150" s="15">
        <f>Solieusap!B1150</f>
        <v>0</v>
      </c>
      <c r="C1150" s="15" t="str">
        <f>Solieusap!C1150</f>
        <v>COMB5</v>
      </c>
      <c r="D1150" s="15" t="str">
        <f>Solieusap!D1150</f>
        <v>Combination</v>
      </c>
      <c r="E1150" s="16">
        <f>ABS(Solieusap!E1150)</f>
        <v>4.294016623</v>
      </c>
      <c r="F1150" s="16">
        <f>ABS(Solieusap!F1150)</f>
        <v>0.3125779654</v>
      </c>
      <c r="G1150" s="16">
        <f>ABS(Solieusap!G1150)</f>
        <v>0.4662591342</v>
      </c>
      <c r="H1150" s="16">
        <f>ABS(Solieusap!H1150)</f>
        <v>0.0001764775455</v>
      </c>
      <c r="I1150" s="16">
        <f>ABS(Solieusap!I1150)</f>
        <v>0.7092118139</v>
      </c>
      <c r="J1150" s="16">
        <f>ABS(Solieusap!J1150)</f>
        <v>0.4962717013</v>
      </c>
      <c r="K1150" s="16">
        <f t="shared" si="1"/>
        <v>4.294016623</v>
      </c>
      <c r="L1150" s="16">
        <f t="shared" si="2"/>
        <v>0.7092118139</v>
      </c>
    </row>
    <row r="1151" ht="16.5" customHeight="1">
      <c r="A1151" s="15" t="str">
        <f>Solieusap!A1151</f>
        <v>Cũ</v>
      </c>
      <c r="B1151" s="15">
        <f>Solieusap!B1151</f>
        <v>1.75</v>
      </c>
      <c r="C1151" s="15" t="str">
        <f>Solieusap!C1151</f>
        <v>COMB5</v>
      </c>
      <c r="D1151" s="15" t="str">
        <f>Solieusap!D1151</f>
        <v>Combination</v>
      </c>
      <c r="E1151" s="16">
        <f>ABS(Solieusap!E1151)</f>
        <v>4.310872987</v>
      </c>
      <c r="F1151" s="16">
        <f>ABS(Solieusap!F1151)</f>
        <v>0.3142884848</v>
      </c>
      <c r="G1151" s="16">
        <f>ABS(Solieusap!G1151)</f>
        <v>0.4685235498</v>
      </c>
      <c r="H1151" s="16">
        <f>ABS(Solieusap!H1151)</f>
        <v>0.0001775326494</v>
      </c>
      <c r="I1151" s="16">
        <f>ABS(Solieusap!I1151)</f>
        <v>0.7160066061</v>
      </c>
      <c r="J1151" s="16">
        <f>ABS(Solieusap!J1151)</f>
        <v>0.5008187532</v>
      </c>
      <c r="K1151" s="16">
        <f t="shared" si="1"/>
        <v>4.310872987</v>
      </c>
      <c r="L1151" s="16">
        <f t="shared" si="2"/>
        <v>0.7160066061</v>
      </c>
    </row>
    <row r="1152" ht="16.5" customHeight="1">
      <c r="A1152" s="15" t="str">
        <f>Solieusap!A1152</f>
        <v>Cũ</v>
      </c>
      <c r="B1152" s="15">
        <f>Solieusap!B1152</f>
        <v>3.5</v>
      </c>
      <c r="C1152" s="15" t="str">
        <f>Solieusap!C1152</f>
        <v>COMB5</v>
      </c>
      <c r="D1152" s="15" t="str">
        <f>Solieusap!D1152</f>
        <v>Combination</v>
      </c>
      <c r="E1152" s="16">
        <f>ABS(Solieusap!E1152)</f>
        <v>4.327729351</v>
      </c>
      <c r="F1152" s="16">
        <f>ABS(Solieusap!F1152)</f>
        <v>0.3159990043</v>
      </c>
      <c r="G1152" s="16">
        <f>ABS(Solieusap!G1152)</f>
        <v>0.4707879654</v>
      </c>
      <c r="H1152" s="16">
        <f>ABS(Solieusap!H1152)</f>
        <v>0.0001785877532</v>
      </c>
      <c r="I1152" s="16">
        <f>ABS(Solieusap!I1152)</f>
        <v>0.7228013983</v>
      </c>
      <c r="J1152" s="16">
        <f>ABS(Solieusap!J1152)</f>
        <v>0.5053658052</v>
      </c>
      <c r="K1152" s="16">
        <f t="shared" si="1"/>
        <v>4.327729351</v>
      </c>
      <c r="L1152" s="16">
        <f t="shared" si="2"/>
        <v>0.7228013983</v>
      </c>
    </row>
    <row r="1153" ht="16.5" customHeight="1">
      <c r="A1153" s="15" t="str">
        <f>Solieusap!A1153</f>
        <v>Cũ</v>
      </c>
      <c r="B1153" s="15">
        <f>Solieusap!B1153</f>
        <v>0</v>
      </c>
      <c r="C1153" s="15" t="str">
        <f>Solieusap!C1153</f>
        <v>COMB6</v>
      </c>
      <c r="D1153" s="15" t="str">
        <f>Solieusap!D1153</f>
        <v>Combination</v>
      </c>
      <c r="E1153" s="16">
        <f>ABS(Solieusap!E1153)</f>
        <v>4.344585714</v>
      </c>
      <c r="F1153" s="16">
        <f>ABS(Solieusap!F1153)</f>
        <v>0.3177095238</v>
      </c>
      <c r="G1153" s="16">
        <f>ABS(Solieusap!G1153)</f>
        <v>0.473052381</v>
      </c>
      <c r="H1153" s="16">
        <f>ABS(Solieusap!H1153)</f>
        <v>0.0001796428571</v>
      </c>
      <c r="I1153" s="16">
        <f>ABS(Solieusap!I1153)</f>
        <v>0.7295961905</v>
      </c>
      <c r="J1153" s="16">
        <f>ABS(Solieusap!J1153)</f>
        <v>0.5099128571</v>
      </c>
      <c r="K1153" s="16">
        <f t="shared" si="1"/>
        <v>4.344585714</v>
      </c>
      <c r="L1153" s="16">
        <f t="shared" si="2"/>
        <v>0.7295961905</v>
      </c>
    </row>
    <row r="1154" ht="16.5" customHeight="1">
      <c r="A1154" s="15" t="str">
        <f>Solieusap!A1154</f>
        <v>Cũ</v>
      </c>
      <c r="B1154" s="15">
        <f>Solieusap!B1154</f>
        <v>1.75</v>
      </c>
      <c r="C1154" s="15" t="str">
        <f>Solieusap!C1154</f>
        <v>COMB6</v>
      </c>
      <c r="D1154" s="15" t="str">
        <f>Solieusap!D1154</f>
        <v>Combination</v>
      </c>
      <c r="E1154" s="16">
        <f>ABS(Solieusap!E1154)</f>
        <v>4.361442078</v>
      </c>
      <c r="F1154" s="16">
        <f>ABS(Solieusap!F1154)</f>
        <v>0.3194200433</v>
      </c>
      <c r="G1154" s="16">
        <f>ABS(Solieusap!G1154)</f>
        <v>0.4753167965</v>
      </c>
      <c r="H1154" s="16">
        <f>ABS(Solieusap!H1154)</f>
        <v>0.000180697961</v>
      </c>
      <c r="I1154" s="16">
        <f>ABS(Solieusap!I1154)</f>
        <v>0.7363909827</v>
      </c>
      <c r="J1154" s="16">
        <f>ABS(Solieusap!J1154)</f>
        <v>0.5144599091</v>
      </c>
      <c r="K1154" s="16">
        <f t="shared" si="1"/>
        <v>4.361442078</v>
      </c>
      <c r="L1154" s="16">
        <f t="shared" si="2"/>
        <v>0.7363909827</v>
      </c>
    </row>
    <row r="1155" ht="16.5" customHeight="1">
      <c r="A1155" s="15" t="str">
        <f>Solieusap!A1155</f>
        <v>Cũ</v>
      </c>
      <c r="B1155" s="15">
        <f>Solieusap!B1155</f>
        <v>3.5</v>
      </c>
      <c r="C1155" s="15" t="str">
        <f>Solieusap!C1155</f>
        <v>COMB6</v>
      </c>
      <c r="D1155" s="15" t="str">
        <f>Solieusap!D1155</f>
        <v>Combination</v>
      </c>
      <c r="E1155" s="16">
        <f>ABS(Solieusap!E1155)</f>
        <v>4.378298442</v>
      </c>
      <c r="F1155" s="16">
        <f>ABS(Solieusap!F1155)</f>
        <v>0.3211305628</v>
      </c>
      <c r="G1155" s="16">
        <f>ABS(Solieusap!G1155)</f>
        <v>0.4775812121</v>
      </c>
      <c r="H1155" s="16">
        <f>ABS(Solieusap!H1155)</f>
        <v>0.0001817530649</v>
      </c>
      <c r="I1155" s="16">
        <f>ABS(Solieusap!I1155)</f>
        <v>0.7431857749</v>
      </c>
      <c r="J1155" s="16">
        <f>ABS(Solieusap!J1155)</f>
        <v>0.519006961</v>
      </c>
      <c r="K1155" s="16">
        <f t="shared" si="1"/>
        <v>4.378298442</v>
      </c>
      <c r="L1155" s="16">
        <f t="shared" si="2"/>
        <v>0.7431857749</v>
      </c>
    </row>
    <row r="1156" ht="16.5" customHeight="1">
      <c r="A1156" s="15" t="str">
        <f>Solieusap!A1156</f>
        <v>Cũ</v>
      </c>
      <c r="B1156" s="15">
        <f>Solieusap!B1156</f>
        <v>0</v>
      </c>
      <c r="C1156" s="15" t="str">
        <f>Solieusap!C1156</f>
        <v>COMB7</v>
      </c>
      <c r="D1156" s="15" t="str">
        <f>Solieusap!D1156</f>
        <v>Combination</v>
      </c>
      <c r="E1156" s="16">
        <f>ABS(Solieusap!E1156)</f>
        <v>4.395154805</v>
      </c>
      <c r="F1156" s="16">
        <f>ABS(Solieusap!F1156)</f>
        <v>0.3228410823</v>
      </c>
      <c r="G1156" s="16">
        <f>ABS(Solieusap!G1156)</f>
        <v>0.4798456277</v>
      </c>
      <c r="H1156" s="16">
        <f>ABS(Solieusap!H1156)</f>
        <v>0.0001828081688</v>
      </c>
      <c r="I1156" s="16">
        <f>ABS(Solieusap!I1156)</f>
        <v>0.7499805671</v>
      </c>
      <c r="J1156" s="16">
        <f>ABS(Solieusap!J1156)</f>
        <v>0.523554013</v>
      </c>
      <c r="K1156" s="16">
        <f t="shared" si="1"/>
        <v>4.395154805</v>
      </c>
      <c r="L1156" s="16">
        <f t="shared" si="2"/>
        <v>0.7499805671</v>
      </c>
    </row>
    <row r="1157" ht="16.5" customHeight="1">
      <c r="A1157" s="15" t="str">
        <f>Solieusap!A1157</f>
        <v>Cũ</v>
      </c>
      <c r="B1157" s="15">
        <f>Solieusap!B1157</f>
        <v>1.75</v>
      </c>
      <c r="C1157" s="15" t="str">
        <f>Solieusap!C1157</f>
        <v>COMB7</v>
      </c>
      <c r="D1157" s="15" t="str">
        <f>Solieusap!D1157</f>
        <v>Combination</v>
      </c>
      <c r="E1157" s="16">
        <f>ABS(Solieusap!E1157)</f>
        <v>4.412011169</v>
      </c>
      <c r="F1157" s="16">
        <f>ABS(Solieusap!F1157)</f>
        <v>0.3245516017</v>
      </c>
      <c r="G1157" s="16">
        <f>ABS(Solieusap!G1157)</f>
        <v>0.4821100433</v>
      </c>
      <c r="H1157" s="16">
        <f>ABS(Solieusap!H1157)</f>
        <v>0.0001838632727</v>
      </c>
      <c r="I1157" s="16">
        <f>ABS(Solieusap!I1157)</f>
        <v>0.7567753593</v>
      </c>
      <c r="J1157" s="16">
        <f>ABS(Solieusap!J1157)</f>
        <v>0.5281010649</v>
      </c>
      <c r="K1157" s="16">
        <f t="shared" si="1"/>
        <v>4.412011169</v>
      </c>
      <c r="L1157" s="16">
        <f t="shared" si="2"/>
        <v>0.7567753593</v>
      </c>
    </row>
    <row r="1158" ht="16.5" customHeight="1">
      <c r="A1158" s="15" t="str">
        <f>Solieusap!A1158</f>
        <v>Cũ</v>
      </c>
      <c r="B1158" s="15">
        <f>Solieusap!B1158</f>
        <v>3.5</v>
      </c>
      <c r="C1158" s="15" t="str">
        <f>Solieusap!C1158</f>
        <v>COMB7</v>
      </c>
      <c r="D1158" s="15" t="str">
        <f>Solieusap!D1158</f>
        <v>Combination</v>
      </c>
      <c r="E1158" s="16">
        <f>ABS(Solieusap!E1158)</f>
        <v>4.428867532</v>
      </c>
      <c r="F1158" s="16">
        <f>ABS(Solieusap!F1158)</f>
        <v>0.3262621212</v>
      </c>
      <c r="G1158" s="16">
        <f>ABS(Solieusap!G1158)</f>
        <v>0.4843744589</v>
      </c>
      <c r="H1158" s="16">
        <f>ABS(Solieusap!H1158)</f>
        <v>0.0001849183766</v>
      </c>
      <c r="I1158" s="16">
        <f>ABS(Solieusap!I1158)</f>
        <v>0.7635701515</v>
      </c>
      <c r="J1158" s="16">
        <f>ABS(Solieusap!J1158)</f>
        <v>0.5326481169</v>
      </c>
      <c r="K1158" s="16">
        <f t="shared" si="1"/>
        <v>4.428867532</v>
      </c>
      <c r="L1158" s="16">
        <f t="shared" si="2"/>
        <v>0.7635701515</v>
      </c>
    </row>
    <row r="1159" ht="16.5" customHeight="1">
      <c r="A1159" s="15" t="str">
        <f>Solieusap!A1159</f>
        <v>Cũ</v>
      </c>
      <c r="B1159" s="15">
        <f>Solieusap!B1159</f>
        <v>0</v>
      </c>
      <c r="C1159" s="15" t="str">
        <f>Solieusap!C1159</f>
        <v>COMB1</v>
      </c>
      <c r="D1159" s="15" t="str">
        <f>Solieusap!D1159</f>
        <v>Combination</v>
      </c>
      <c r="E1159" s="16">
        <f>ABS(Solieusap!E1159)</f>
        <v>4.445723896</v>
      </c>
      <c r="F1159" s="16">
        <f>ABS(Solieusap!F1159)</f>
        <v>0.3279726407</v>
      </c>
      <c r="G1159" s="16">
        <f>ABS(Solieusap!G1159)</f>
        <v>0.4866388745</v>
      </c>
      <c r="H1159" s="16">
        <f>ABS(Solieusap!H1159)</f>
        <v>0.0001859734805</v>
      </c>
      <c r="I1159" s="16">
        <f>ABS(Solieusap!I1159)</f>
        <v>0.7703649437</v>
      </c>
      <c r="J1159" s="16">
        <f>ABS(Solieusap!J1159)</f>
        <v>0.5371951688</v>
      </c>
      <c r="K1159" s="16">
        <f t="shared" si="1"/>
        <v>4.445723896</v>
      </c>
      <c r="L1159" s="16">
        <f t="shared" si="2"/>
        <v>0.7703649437</v>
      </c>
    </row>
    <row r="1160" ht="16.5" customHeight="1">
      <c r="A1160" s="15" t="str">
        <f>Solieusap!A1160</f>
        <v>Cũ</v>
      </c>
      <c r="B1160" s="15">
        <f>Solieusap!B1160</f>
        <v>1.75</v>
      </c>
      <c r="C1160" s="15" t="str">
        <f>Solieusap!C1160</f>
        <v>COMB1</v>
      </c>
      <c r="D1160" s="15" t="str">
        <f>Solieusap!D1160</f>
        <v>Combination</v>
      </c>
      <c r="E1160" s="16">
        <f>ABS(Solieusap!E1160)</f>
        <v>4.46258026</v>
      </c>
      <c r="F1160" s="16">
        <f>ABS(Solieusap!F1160)</f>
        <v>0.3296831602</v>
      </c>
      <c r="G1160" s="16">
        <f>ABS(Solieusap!G1160)</f>
        <v>0.48890329</v>
      </c>
      <c r="H1160" s="16">
        <f>ABS(Solieusap!H1160)</f>
        <v>0.0001870285844</v>
      </c>
      <c r="I1160" s="16">
        <f>ABS(Solieusap!I1160)</f>
        <v>0.7771597359</v>
      </c>
      <c r="J1160" s="16">
        <f>ABS(Solieusap!J1160)</f>
        <v>0.5417422208</v>
      </c>
      <c r="K1160" s="16">
        <f t="shared" si="1"/>
        <v>4.46258026</v>
      </c>
      <c r="L1160" s="16">
        <f t="shared" si="2"/>
        <v>0.7771597359</v>
      </c>
    </row>
    <row r="1161" ht="16.5" customHeight="1">
      <c r="A1161" s="15" t="str">
        <f>Solieusap!A1161</f>
        <v>Cũ</v>
      </c>
      <c r="B1161" s="15">
        <f>Solieusap!B1161</f>
        <v>3.5</v>
      </c>
      <c r="C1161" s="15" t="str">
        <f>Solieusap!C1161</f>
        <v>COMB1</v>
      </c>
      <c r="D1161" s="15" t="str">
        <f>Solieusap!D1161</f>
        <v>Combination</v>
      </c>
      <c r="E1161" s="16">
        <f>ABS(Solieusap!E1161)</f>
        <v>4.479436623</v>
      </c>
      <c r="F1161" s="16">
        <f>ABS(Solieusap!F1161)</f>
        <v>0.3313936797</v>
      </c>
      <c r="G1161" s="16">
        <f>ABS(Solieusap!G1161)</f>
        <v>0.4911677056</v>
      </c>
      <c r="H1161" s="16">
        <f>ABS(Solieusap!H1161)</f>
        <v>0.0001880836883</v>
      </c>
      <c r="I1161" s="16">
        <f>ABS(Solieusap!I1161)</f>
        <v>0.7839545281</v>
      </c>
      <c r="J1161" s="16">
        <f>ABS(Solieusap!J1161)</f>
        <v>0.5462892727</v>
      </c>
      <c r="K1161" s="16">
        <f t="shared" si="1"/>
        <v>4.479436623</v>
      </c>
      <c r="L1161" s="16">
        <f t="shared" si="2"/>
        <v>0.7839545281</v>
      </c>
    </row>
    <row r="1162" ht="16.5" customHeight="1">
      <c r="A1162" s="15" t="str">
        <f>Solieusap!A1162</f>
        <v>Cũ</v>
      </c>
      <c r="B1162" s="15">
        <f>Solieusap!B1162</f>
        <v>0</v>
      </c>
      <c r="C1162" s="15" t="str">
        <f>Solieusap!C1162</f>
        <v>COMB2</v>
      </c>
      <c r="D1162" s="15" t="str">
        <f>Solieusap!D1162</f>
        <v>Combination</v>
      </c>
      <c r="E1162" s="16">
        <f>ABS(Solieusap!E1162)</f>
        <v>4.496292987</v>
      </c>
      <c r="F1162" s="16">
        <f>ABS(Solieusap!F1162)</f>
        <v>0.3331041991</v>
      </c>
      <c r="G1162" s="16">
        <f>ABS(Solieusap!G1162)</f>
        <v>0.4934321212</v>
      </c>
      <c r="H1162" s="16">
        <f>ABS(Solieusap!H1162)</f>
        <v>0.0001891387922</v>
      </c>
      <c r="I1162" s="16">
        <f>ABS(Solieusap!I1162)</f>
        <v>0.7907493203</v>
      </c>
      <c r="J1162" s="16">
        <f>ABS(Solieusap!J1162)</f>
        <v>0.5508363247</v>
      </c>
      <c r="K1162" s="16">
        <f t="shared" si="1"/>
        <v>4.496292987</v>
      </c>
      <c r="L1162" s="16">
        <f t="shared" si="2"/>
        <v>0.7907493203</v>
      </c>
    </row>
    <row r="1163" ht="16.5" customHeight="1">
      <c r="A1163" s="15" t="str">
        <f>Solieusap!A1163</f>
        <v>Cũ</v>
      </c>
      <c r="B1163" s="15">
        <f>Solieusap!B1163</f>
        <v>1.75</v>
      </c>
      <c r="C1163" s="15" t="str">
        <f>Solieusap!C1163</f>
        <v>COMB2</v>
      </c>
      <c r="D1163" s="15" t="str">
        <f>Solieusap!D1163</f>
        <v>Combination</v>
      </c>
      <c r="E1163" s="16">
        <f>ABS(Solieusap!E1163)</f>
        <v>4.513149351</v>
      </c>
      <c r="F1163" s="16">
        <f>ABS(Solieusap!F1163)</f>
        <v>0.3348147186</v>
      </c>
      <c r="G1163" s="16">
        <f>ABS(Solieusap!G1163)</f>
        <v>0.4956965368</v>
      </c>
      <c r="H1163" s="16">
        <f>ABS(Solieusap!H1163)</f>
        <v>0.0001901938961</v>
      </c>
      <c r="I1163" s="16">
        <f>ABS(Solieusap!I1163)</f>
        <v>0.7975441126</v>
      </c>
      <c r="J1163" s="16">
        <f>ABS(Solieusap!J1163)</f>
        <v>0.5553833766</v>
      </c>
      <c r="K1163" s="16">
        <f t="shared" si="1"/>
        <v>4.513149351</v>
      </c>
      <c r="L1163" s="16">
        <f t="shared" si="2"/>
        <v>0.7975441126</v>
      </c>
    </row>
    <row r="1164" ht="16.5" customHeight="1">
      <c r="A1164" s="15" t="str">
        <f>Solieusap!A1164</f>
        <v>Cũ</v>
      </c>
      <c r="B1164" s="15">
        <f>Solieusap!B1164</f>
        <v>3.5</v>
      </c>
      <c r="C1164" s="15" t="str">
        <f>Solieusap!C1164</f>
        <v>COMB2</v>
      </c>
      <c r="D1164" s="15" t="str">
        <f>Solieusap!D1164</f>
        <v>Combination</v>
      </c>
      <c r="E1164" s="16">
        <f>ABS(Solieusap!E1164)</f>
        <v>4.530005714</v>
      </c>
      <c r="F1164" s="16">
        <f>ABS(Solieusap!F1164)</f>
        <v>0.3365252381</v>
      </c>
      <c r="G1164" s="16">
        <f>ABS(Solieusap!G1164)</f>
        <v>0.4979609524</v>
      </c>
      <c r="H1164" s="16">
        <f>ABS(Solieusap!H1164)</f>
        <v>0.000191249</v>
      </c>
      <c r="I1164" s="16">
        <f>ABS(Solieusap!I1164)</f>
        <v>0.8043389048</v>
      </c>
      <c r="J1164" s="16">
        <f>ABS(Solieusap!J1164)</f>
        <v>0.5599304286</v>
      </c>
      <c r="K1164" s="16">
        <f t="shared" si="1"/>
        <v>4.530005714</v>
      </c>
      <c r="L1164" s="16">
        <f t="shared" si="2"/>
        <v>0.8043389048</v>
      </c>
    </row>
    <row r="1165" ht="16.5" customHeight="1">
      <c r="A1165" s="15" t="str">
        <f>Solieusap!A1165</f>
        <v>Cũ</v>
      </c>
      <c r="B1165" s="15">
        <f>Solieusap!B1165</f>
        <v>0</v>
      </c>
      <c r="C1165" s="15" t="str">
        <f>Solieusap!C1165</f>
        <v>COMB3</v>
      </c>
      <c r="D1165" s="15" t="str">
        <f>Solieusap!D1165</f>
        <v>Combination</v>
      </c>
      <c r="E1165" s="16">
        <f>ABS(Solieusap!E1165)</f>
        <v>4.546862078</v>
      </c>
      <c r="F1165" s="16">
        <f>ABS(Solieusap!F1165)</f>
        <v>0.3382357576</v>
      </c>
      <c r="G1165" s="16">
        <f>ABS(Solieusap!G1165)</f>
        <v>0.500225368</v>
      </c>
      <c r="H1165" s="16">
        <f>ABS(Solieusap!H1165)</f>
        <v>0.0001923041039</v>
      </c>
      <c r="I1165" s="16">
        <f>ABS(Solieusap!I1165)</f>
        <v>0.811133697</v>
      </c>
      <c r="J1165" s="16">
        <f>ABS(Solieusap!J1165)</f>
        <v>0.5644774805</v>
      </c>
      <c r="K1165" s="16">
        <f t="shared" si="1"/>
        <v>4.546862078</v>
      </c>
      <c r="L1165" s="16">
        <f t="shared" si="2"/>
        <v>0.811133697</v>
      </c>
    </row>
    <row r="1166" ht="16.5" customHeight="1">
      <c r="A1166" s="15" t="str">
        <f>Solieusap!A1166</f>
        <v>Cũ</v>
      </c>
      <c r="B1166" s="15">
        <f>Solieusap!B1166</f>
        <v>1.75</v>
      </c>
      <c r="C1166" s="15" t="str">
        <f>Solieusap!C1166</f>
        <v>COMB3</v>
      </c>
      <c r="D1166" s="15" t="str">
        <f>Solieusap!D1166</f>
        <v>Combination</v>
      </c>
      <c r="E1166" s="16">
        <f>ABS(Solieusap!E1166)</f>
        <v>4.563718442</v>
      </c>
      <c r="F1166" s="16">
        <f>ABS(Solieusap!F1166)</f>
        <v>0.3399462771</v>
      </c>
      <c r="G1166" s="16">
        <f>ABS(Solieusap!G1166)</f>
        <v>0.5024897835</v>
      </c>
      <c r="H1166" s="16">
        <f>ABS(Solieusap!H1166)</f>
        <v>0.0001933592078</v>
      </c>
      <c r="I1166" s="16">
        <f>ABS(Solieusap!I1166)</f>
        <v>0.8179284892</v>
      </c>
      <c r="J1166" s="16">
        <f>ABS(Solieusap!J1166)</f>
        <v>0.5690245325</v>
      </c>
      <c r="K1166" s="16">
        <f t="shared" si="1"/>
        <v>4.563718442</v>
      </c>
      <c r="L1166" s="16">
        <f t="shared" si="2"/>
        <v>0.8179284892</v>
      </c>
    </row>
    <row r="1167" ht="16.5" customHeight="1">
      <c r="A1167" s="15" t="str">
        <f>Solieusap!A1167</f>
        <v>Cũ</v>
      </c>
      <c r="B1167" s="15">
        <f>Solieusap!B1167</f>
        <v>3.5</v>
      </c>
      <c r="C1167" s="15" t="str">
        <f>Solieusap!C1167</f>
        <v>COMB3</v>
      </c>
      <c r="D1167" s="15" t="str">
        <f>Solieusap!D1167</f>
        <v>Combination</v>
      </c>
      <c r="E1167" s="16">
        <f>ABS(Solieusap!E1167)</f>
        <v>4.580574805</v>
      </c>
      <c r="F1167" s="16">
        <f>ABS(Solieusap!F1167)</f>
        <v>0.3416567965</v>
      </c>
      <c r="G1167" s="16">
        <f>ABS(Solieusap!G1167)</f>
        <v>0.5047541991</v>
      </c>
      <c r="H1167" s="16">
        <f>ABS(Solieusap!H1167)</f>
        <v>0.0001944143117</v>
      </c>
      <c r="I1167" s="16">
        <f>ABS(Solieusap!I1167)</f>
        <v>0.8247232814</v>
      </c>
      <c r="J1167" s="16">
        <f>ABS(Solieusap!J1167)</f>
        <v>0.5735715844</v>
      </c>
      <c r="K1167" s="16">
        <f t="shared" si="1"/>
        <v>4.580574805</v>
      </c>
      <c r="L1167" s="16">
        <f t="shared" si="2"/>
        <v>0.8247232814</v>
      </c>
    </row>
    <row r="1168" ht="16.5" customHeight="1">
      <c r="A1168" s="15" t="str">
        <f>Solieusap!A1168</f>
        <v>Cũ</v>
      </c>
      <c r="B1168" s="15">
        <f>Solieusap!B1168</f>
        <v>0</v>
      </c>
      <c r="C1168" s="15" t="str">
        <f>Solieusap!C1168</f>
        <v>COMB4</v>
      </c>
      <c r="D1168" s="15" t="str">
        <f>Solieusap!D1168</f>
        <v>Combination</v>
      </c>
      <c r="E1168" s="16">
        <f>ABS(Solieusap!E1168)</f>
        <v>4.597431169</v>
      </c>
      <c r="F1168" s="16">
        <f>ABS(Solieusap!F1168)</f>
        <v>0.343367316</v>
      </c>
      <c r="G1168" s="16">
        <f>ABS(Solieusap!G1168)</f>
        <v>0.5070186147</v>
      </c>
      <c r="H1168" s="16">
        <f>ABS(Solieusap!H1168)</f>
        <v>0.0001954694156</v>
      </c>
      <c r="I1168" s="16">
        <f>ABS(Solieusap!I1168)</f>
        <v>0.8315180736</v>
      </c>
      <c r="J1168" s="16">
        <f>ABS(Solieusap!J1168)</f>
        <v>0.5781186364</v>
      </c>
      <c r="K1168" s="16">
        <f t="shared" si="1"/>
        <v>4.597431169</v>
      </c>
      <c r="L1168" s="16">
        <f t="shared" si="2"/>
        <v>0.8315180736</v>
      </c>
    </row>
    <row r="1169" ht="16.5" customHeight="1">
      <c r="A1169" s="15" t="str">
        <f>Solieusap!A1169</f>
        <v>Cũ</v>
      </c>
      <c r="B1169" s="15">
        <f>Solieusap!B1169</f>
        <v>1.75</v>
      </c>
      <c r="C1169" s="15" t="str">
        <f>Solieusap!C1169</f>
        <v>COMB4</v>
      </c>
      <c r="D1169" s="15" t="str">
        <f>Solieusap!D1169</f>
        <v>Combination</v>
      </c>
      <c r="E1169" s="16">
        <f>ABS(Solieusap!E1169)</f>
        <v>4.614287532</v>
      </c>
      <c r="F1169" s="16">
        <f>ABS(Solieusap!F1169)</f>
        <v>0.3450778355</v>
      </c>
      <c r="G1169" s="16">
        <f>ABS(Solieusap!G1169)</f>
        <v>0.5092830303</v>
      </c>
      <c r="H1169" s="16">
        <f>ABS(Solieusap!H1169)</f>
        <v>0.0001965245195</v>
      </c>
      <c r="I1169" s="16">
        <f>ABS(Solieusap!I1169)</f>
        <v>0.8383128658</v>
      </c>
      <c r="J1169" s="16">
        <f>ABS(Solieusap!J1169)</f>
        <v>0.5826656883</v>
      </c>
      <c r="K1169" s="16">
        <f t="shared" si="1"/>
        <v>4.614287532</v>
      </c>
      <c r="L1169" s="16">
        <f t="shared" si="2"/>
        <v>0.8383128658</v>
      </c>
    </row>
    <row r="1170" ht="16.5" customHeight="1">
      <c r="A1170" s="15" t="str">
        <f>Solieusap!A1170</f>
        <v>Cũ</v>
      </c>
      <c r="B1170" s="15">
        <f>Solieusap!B1170</f>
        <v>3.5</v>
      </c>
      <c r="C1170" s="15" t="str">
        <f>Solieusap!C1170</f>
        <v>COMB4</v>
      </c>
      <c r="D1170" s="15" t="str">
        <f>Solieusap!D1170</f>
        <v>Combination</v>
      </c>
      <c r="E1170" s="16">
        <f>ABS(Solieusap!E1170)</f>
        <v>4.631143896</v>
      </c>
      <c r="F1170" s="16">
        <f>ABS(Solieusap!F1170)</f>
        <v>0.346788355</v>
      </c>
      <c r="G1170" s="16">
        <f>ABS(Solieusap!G1170)</f>
        <v>0.5115474459</v>
      </c>
      <c r="H1170" s="16">
        <f>ABS(Solieusap!H1170)</f>
        <v>0.0001975796234</v>
      </c>
      <c r="I1170" s="16">
        <f>ABS(Solieusap!I1170)</f>
        <v>0.845107658</v>
      </c>
      <c r="J1170" s="16">
        <f>ABS(Solieusap!J1170)</f>
        <v>0.5872127403</v>
      </c>
      <c r="K1170" s="16">
        <f t="shared" si="1"/>
        <v>4.631143896</v>
      </c>
      <c r="L1170" s="16">
        <f t="shared" si="2"/>
        <v>0.845107658</v>
      </c>
    </row>
    <row r="1171" ht="16.5" customHeight="1">
      <c r="A1171" s="15" t="str">
        <f>Solieusap!A1171</f>
        <v>Cũ</v>
      </c>
      <c r="B1171" s="15">
        <f>Solieusap!B1171</f>
        <v>0</v>
      </c>
      <c r="C1171" s="15" t="str">
        <f>Solieusap!C1171</f>
        <v>COMB5</v>
      </c>
      <c r="D1171" s="15" t="str">
        <f>Solieusap!D1171</f>
        <v>Combination</v>
      </c>
      <c r="E1171" s="16">
        <f>ABS(Solieusap!E1171)</f>
        <v>4.64800026</v>
      </c>
      <c r="F1171" s="16">
        <f>ABS(Solieusap!F1171)</f>
        <v>0.3484988745</v>
      </c>
      <c r="G1171" s="16">
        <f>ABS(Solieusap!G1171)</f>
        <v>0.5138118615</v>
      </c>
      <c r="H1171" s="16">
        <f>ABS(Solieusap!H1171)</f>
        <v>0.0001986347273</v>
      </c>
      <c r="I1171" s="16">
        <f>ABS(Solieusap!I1171)</f>
        <v>0.8519024502</v>
      </c>
      <c r="J1171" s="16">
        <f>ABS(Solieusap!J1171)</f>
        <v>0.5917597922</v>
      </c>
      <c r="K1171" s="16">
        <f t="shared" si="1"/>
        <v>4.64800026</v>
      </c>
      <c r="L1171" s="16">
        <f t="shared" si="2"/>
        <v>0.8519024502</v>
      </c>
    </row>
    <row r="1172" ht="16.5" customHeight="1">
      <c r="A1172" s="15" t="str">
        <f>Solieusap!A1172</f>
        <v>Cũ</v>
      </c>
      <c r="B1172" s="15">
        <f>Solieusap!B1172</f>
        <v>1.75</v>
      </c>
      <c r="C1172" s="15" t="str">
        <f>Solieusap!C1172</f>
        <v>COMB5</v>
      </c>
      <c r="D1172" s="15" t="str">
        <f>Solieusap!D1172</f>
        <v>Combination</v>
      </c>
      <c r="E1172" s="16">
        <f>ABS(Solieusap!E1172)</f>
        <v>4.664856623</v>
      </c>
      <c r="F1172" s="16">
        <f>ABS(Solieusap!F1172)</f>
        <v>0.3502093939</v>
      </c>
      <c r="G1172" s="16">
        <f>ABS(Solieusap!G1172)</f>
        <v>0.5160762771</v>
      </c>
      <c r="H1172" s="16">
        <f>ABS(Solieusap!H1172)</f>
        <v>0.0001996898312</v>
      </c>
      <c r="I1172" s="16">
        <f>ABS(Solieusap!I1172)</f>
        <v>0.8586972424</v>
      </c>
      <c r="J1172" s="16">
        <f>ABS(Solieusap!J1172)</f>
        <v>0.5963068442</v>
      </c>
      <c r="K1172" s="16">
        <f t="shared" si="1"/>
        <v>4.664856623</v>
      </c>
      <c r="L1172" s="16">
        <f t="shared" si="2"/>
        <v>0.8586972424</v>
      </c>
    </row>
    <row r="1173" ht="16.5" customHeight="1">
      <c r="A1173" s="15" t="str">
        <f>Solieusap!A1173</f>
        <v>Cũ</v>
      </c>
      <c r="B1173" s="15">
        <f>Solieusap!B1173</f>
        <v>3.5</v>
      </c>
      <c r="C1173" s="15" t="str">
        <f>Solieusap!C1173</f>
        <v>COMB5</v>
      </c>
      <c r="D1173" s="15" t="str">
        <f>Solieusap!D1173</f>
        <v>Combination</v>
      </c>
      <c r="E1173" s="16">
        <f>ABS(Solieusap!E1173)</f>
        <v>4.681712987</v>
      </c>
      <c r="F1173" s="16">
        <f>ABS(Solieusap!F1173)</f>
        <v>0.3519199134</v>
      </c>
      <c r="G1173" s="16">
        <f>ABS(Solieusap!G1173)</f>
        <v>0.5183406926</v>
      </c>
      <c r="H1173" s="16">
        <f>ABS(Solieusap!H1173)</f>
        <v>0.0002007449351</v>
      </c>
      <c r="I1173" s="16">
        <f>ABS(Solieusap!I1173)</f>
        <v>0.8654920346</v>
      </c>
      <c r="J1173" s="16">
        <f>ABS(Solieusap!J1173)</f>
        <v>0.6008538961</v>
      </c>
      <c r="K1173" s="16">
        <f t="shared" si="1"/>
        <v>4.681712987</v>
      </c>
      <c r="L1173" s="16">
        <f t="shared" si="2"/>
        <v>0.8654920346</v>
      </c>
    </row>
    <row r="1174" ht="16.5" customHeight="1">
      <c r="A1174" s="15" t="str">
        <f>Solieusap!A1174</f>
        <v>Cũ</v>
      </c>
      <c r="B1174" s="15">
        <f>Solieusap!B1174</f>
        <v>0</v>
      </c>
      <c r="C1174" s="15" t="str">
        <f>Solieusap!C1174</f>
        <v>COMB6</v>
      </c>
      <c r="D1174" s="15" t="str">
        <f>Solieusap!D1174</f>
        <v>Combination</v>
      </c>
      <c r="E1174" s="16">
        <f>ABS(Solieusap!E1174)</f>
        <v>4.698569351</v>
      </c>
      <c r="F1174" s="16">
        <f>ABS(Solieusap!F1174)</f>
        <v>0.3536304329</v>
      </c>
      <c r="G1174" s="16">
        <f>ABS(Solieusap!G1174)</f>
        <v>0.5206051082</v>
      </c>
      <c r="H1174" s="16">
        <f>ABS(Solieusap!H1174)</f>
        <v>0.000201800039</v>
      </c>
      <c r="I1174" s="16">
        <f>ABS(Solieusap!I1174)</f>
        <v>0.8722868268</v>
      </c>
      <c r="J1174" s="16">
        <f>ABS(Solieusap!J1174)</f>
        <v>0.6054009481</v>
      </c>
      <c r="K1174" s="16">
        <f t="shared" si="1"/>
        <v>4.698569351</v>
      </c>
      <c r="L1174" s="16">
        <f t="shared" si="2"/>
        <v>0.8722868268</v>
      </c>
    </row>
    <row r="1175" ht="16.5" customHeight="1">
      <c r="A1175" s="15" t="str">
        <f>Solieusap!A1175</f>
        <v>Cũ</v>
      </c>
      <c r="B1175" s="15">
        <f>Solieusap!B1175</f>
        <v>1.75</v>
      </c>
      <c r="C1175" s="15" t="str">
        <f>Solieusap!C1175</f>
        <v>COMB6</v>
      </c>
      <c r="D1175" s="15" t="str">
        <f>Solieusap!D1175</f>
        <v>Combination</v>
      </c>
      <c r="E1175" s="16">
        <f>ABS(Solieusap!E1175)</f>
        <v>4.715425714</v>
      </c>
      <c r="F1175" s="16">
        <f>ABS(Solieusap!F1175)</f>
        <v>0.3553409524</v>
      </c>
      <c r="G1175" s="16">
        <f>ABS(Solieusap!G1175)</f>
        <v>0.5228695238</v>
      </c>
      <c r="H1175" s="16">
        <f>ABS(Solieusap!H1175)</f>
        <v>0.0002028551429</v>
      </c>
      <c r="I1175" s="16">
        <f>ABS(Solieusap!I1175)</f>
        <v>0.879081619</v>
      </c>
      <c r="J1175" s="16">
        <f>ABS(Solieusap!J1175)</f>
        <v>0.609948</v>
      </c>
      <c r="K1175" s="16">
        <f t="shared" si="1"/>
        <v>4.715425714</v>
      </c>
      <c r="L1175" s="16">
        <f t="shared" si="2"/>
        <v>0.879081619</v>
      </c>
    </row>
    <row r="1176" ht="16.5" customHeight="1">
      <c r="A1176" s="15" t="str">
        <f>Solieusap!A1176</f>
        <v>Cũ</v>
      </c>
      <c r="B1176" s="15">
        <f>Solieusap!B1176</f>
        <v>3.5</v>
      </c>
      <c r="C1176" s="15" t="str">
        <f>Solieusap!C1176</f>
        <v>COMB6</v>
      </c>
      <c r="D1176" s="15" t="str">
        <f>Solieusap!D1176</f>
        <v>Combination</v>
      </c>
      <c r="E1176" s="16">
        <f>ABS(Solieusap!E1176)</f>
        <v>4.732282078</v>
      </c>
      <c r="F1176" s="16">
        <f>ABS(Solieusap!F1176)</f>
        <v>0.3570514719</v>
      </c>
      <c r="G1176" s="16">
        <f>ABS(Solieusap!G1176)</f>
        <v>0.5251339394</v>
      </c>
      <c r="H1176" s="16">
        <f>ABS(Solieusap!H1176)</f>
        <v>0.0002039102468</v>
      </c>
      <c r="I1176" s="16">
        <f>ABS(Solieusap!I1176)</f>
        <v>0.8858764113</v>
      </c>
      <c r="J1176" s="16">
        <f>ABS(Solieusap!J1176)</f>
        <v>0.6144950519</v>
      </c>
      <c r="K1176" s="16">
        <f t="shared" si="1"/>
        <v>4.732282078</v>
      </c>
      <c r="L1176" s="16">
        <f t="shared" si="2"/>
        <v>0.8858764113</v>
      </c>
    </row>
    <row r="1177" ht="16.5" customHeight="1">
      <c r="A1177" s="15" t="str">
        <f>Solieusap!A1177</f>
        <v>Cũ</v>
      </c>
      <c r="B1177" s="15">
        <f>Solieusap!B1177</f>
        <v>0</v>
      </c>
      <c r="C1177" s="15" t="str">
        <f>Solieusap!C1177</f>
        <v>COMB7</v>
      </c>
      <c r="D1177" s="15" t="str">
        <f>Solieusap!D1177</f>
        <v>Combination</v>
      </c>
      <c r="E1177" s="16">
        <f>ABS(Solieusap!E1177)</f>
        <v>4.749138442</v>
      </c>
      <c r="F1177" s="16">
        <f>ABS(Solieusap!F1177)</f>
        <v>0.3587619913</v>
      </c>
      <c r="G1177" s="16">
        <f>ABS(Solieusap!G1177)</f>
        <v>0.527398355</v>
      </c>
      <c r="H1177" s="16">
        <f>ABS(Solieusap!H1177)</f>
        <v>0.0002049653506</v>
      </c>
      <c r="I1177" s="16">
        <f>ABS(Solieusap!I1177)</f>
        <v>0.8926712035</v>
      </c>
      <c r="J1177" s="16">
        <f>ABS(Solieusap!J1177)</f>
        <v>0.6190421039</v>
      </c>
      <c r="K1177" s="16">
        <f t="shared" si="1"/>
        <v>4.749138442</v>
      </c>
      <c r="L1177" s="16">
        <f t="shared" si="2"/>
        <v>0.8926712035</v>
      </c>
    </row>
    <row r="1178" ht="16.5" customHeight="1">
      <c r="A1178" s="15" t="str">
        <f>Solieusap!A1178</f>
        <v>Cũ</v>
      </c>
      <c r="B1178" s="15">
        <f>Solieusap!B1178</f>
        <v>1.75</v>
      </c>
      <c r="C1178" s="15" t="str">
        <f>Solieusap!C1178</f>
        <v>COMB7</v>
      </c>
      <c r="D1178" s="15" t="str">
        <f>Solieusap!D1178</f>
        <v>Combination</v>
      </c>
      <c r="E1178" s="16">
        <f>ABS(Solieusap!E1178)</f>
        <v>4.765994805</v>
      </c>
      <c r="F1178" s="16">
        <f>ABS(Solieusap!F1178)</f>
        <v>0.3604725108</v>
      </c>
      <c r="G1178" s="16">
        <f>ABS(Solieusap!G1178)</f>
        <v>0.5296627706</v>
      </c>
      <c r="H1178" s="16">
        <f>ABS(Solieusap!H1178)</f>
        <v>0.0002060204545</v>
      </c>
      <c r="I1178" s="16">
        <f>ABS(Solieusap!I1178)</f>
        <v>0.8994659957</v>
      </c>
      <c r="J1178" s="16">
        <f>ABS(Solieusap!J1178)</f>
        <v>0.6235891558</v>
      </c>
      <c r="K1178" s="16">
        <f t="shared" si="1"/>
        <v>4.765994805</v>
      </c>
      <c r="L1178" s="16">
        <f t="shared" si="2"/>
        <v>0.8994659957</v>
      </c>
    </row>
    <row r="1179" ht="16.5" customHeight="1">
      <c r="A1179" s="15" t="str">
        <f>Solieusap!A1179</f>
        <v>Cũ</v>
      </c>
      <c r="B1179" s="15">
        <f>Solieusap!B1179</f>
        <v>3.5</v>
      </c>
      <c r="C1179" s="15" t="str">
        <f>Solieusap!C1179</f>
        <v>COMB7</v>
      </c>
      <c r="D1179" s="15" t="str">
        <f>Solieusap!D1179</f>
        <v>Combination</v>
      </c>
      <c r="E1179" s="16">
        <f>ABS(Solieusap!E1179)</f>
        <v>4.782851169</v>
      </c>
      <c r="F1179" s="16">
        <f>ABS(Solieusap!F1179)</f>
        <v>0.3621830303</v>
      </c>
      <c r="G1179" s="16">
        <f>ABS(Solieusap!G1179)</f>
        <v>0.5319271861</v>
      </c>
      <c r="H1179" s="16">
        <f>ABS(Solieusap!H1179)</f>
        <v>0.0002070755584</v>
      </c>
      <c r="I1179" s="16">
        <f>ABS(Solieusap!I1179)</f>
        <v>0.9062607879</v>
      </c>
      <c r="J1179" s="16">
        <f>ABS(Solieusap!J1179)</f>
        <v>0.6281362078</v>
      </c>
      <c r="K1179" s="16">
        <f t="shared" si="1"/>
        <v>4.782851169</v>
      </c>
      <c r="L1179" s="16">
        <f t="shared" si="2"/>
        <v>0.9062607879</v>
      </c>
    </row>
    <row r="1180" ht="16.5" customHeight="1">
      <c r="A1180" s="15" t="str">
        <f>Solieusap!A1180</f>
        <v>Cũ</v>
      </c>
      <c r="B1180" s="15">
        <f>Solieusap!B1180</f>
        <v>0</v>
      </c>
      <c r="C1180" s="15" t="str">
        <f>Solieusap!C1180</f>
        <v>COMB1</v>
      </c>
      <c r="D1180" s="15" t="str">
        <f>Solieusap!D1180</f>
        <v>Combination</v>
      </c>
      <c r="E1180" s="16">
        <f>ABS(Solieusap!E1180)</f>
        <v>4.799707532</v>
      </c>
      <c r="F1180" s="16">
        <f>ABS(Solieusap!F1180)</f>
        <v>0.3638935498</v>
      </c>
      <c r="G1180" s="16">
        <f>ABS(Solieusap!G1180)</f>
        <v>0.5341916017</v>
      </c>
      <c r="H1180" s="16">
        <f>ABS(Solieusap!H1180)</f>
        <v>0.0002081306623</v>
      </c>
      <c r="I1180" s="16">
        <f>ABS(Solieusap!I1180)</f>
        <v>0.9130555801</v>
      </c>
      <c r="J1180" s="16">
        <f>ABS(Solieusap!J1180)</f>
        <v>0.6326832597</v>
      </c>
      <c r="K1180" s="16">
        <f t="shared" si="1"/>
        <v>4.799707532</v>
      </c>
      <c r="L1180" s="16">
        <f t="shared" si="2"/>
        <v>0.9130555801</v>
      </c>
    </row>
    <row r="1181" ht="16.5" customHeight="1">
      <c r="A1181" s="15" t="str">
        <f>Solieusap!A1181</f>
        <v>Cũ</v>
      </c>
      <c r="B1181" s="15">
        <f>Solieusap!B1181</f>
        <v>1.75</v>
      </c>
      <c r="C1181" s="15" t="str">
        <f>Solieusap!C1181</f>
        <v>COMB1</v>
      </c>
      <c r="D1181" s="15" t="str">
        <f>Solieusap!D1181</f>
        <v>Combination</v>
      </c>
      <c r="E1181" s="16">
        <f>ABS(Solieusap!E1181)</f>
        <v>4.816563896</v>
      </c>
      <c r="F1181" s="16">
        <f>ABS(Solieusap!F1181)</f>
        <v>0.3656040693</v>
      </c>
      <c r="G1181" s="16">
        <f>ABS(Solieusap!G1181)</f>
        <v>0.5364560173</v>
      </c>
      <c r="H1181" s="16">
        <f>ABS(Solieusap!H1181)</f>
        <v>0.0002091857662</v>
      </c>
      <c r="I1181" s="16">
        <f>ABS(Solieusap!I1181)</f>
        <v>0.9198503723</v>
      </c>
      <c r="J1181" s="16">
        <f>ABS(Solieusap!J1181)</f>
        <v>0.6372303117</v>
      </c>
      <c r="K1181" s="16">
        <f t="shared" si="1"/>
        <v>4.816563896</v>
      </c>
      <c r="L1181" s="16">
        <f t="shared" si="2"/>
        <v>0.9198503723</v>
      </c>
    </row>
    <row r="1182" ht="16.5" customHeight="1">
      <c r="A1182" s="15" t="str">
        <f>Solieusap!A1182</f>
        <v>Cũ</v>
      </c>
      <c r="B1182" s="15">
        <f>Solieusap!B1182</f>
        <v>3.5</v>
      </c>
      <c r="C1182" s="15" t="str">
        <f>Solieusap!C1182</f>
        <v>COMB1</v>
      </c>
      <c r="D1182" s="15" t="str">
        <f>Solieusap!D1182</f>
        <v>Combination</v>
      </c>
      <c r="E1182" s="16">
        <f>ABS(Solieusap!E1182)</f>
        <v>4.83342026</v>
      </c>
      <c r="F1182" s="16">
        <f>ABS(Solieusap!F1182)</f>
        <v>0.3673145887</v>
      </c>
      <c r="G1182" s="16">
        <f>ABS(Solieusap!G1182)</f>
        <v>0.5387204329</v>
      </c>
      <c r="H1182" s="16">
        <f>ABS(Solieusap!H1182)</f>
        <v>0.0002102408701</v>
      </c>
      <c r="I1182" s="16">
        <f>ABS(Solieusap!I1182)</f>
        <v>0.9266451645</v>
      </c>
      <c r="J1182" s="16">
        <f>ABS(Solieusap!J1182)</f>
        <v>0.6417773636</v>
      </c>
      <c r="K1182" s="16">
        <f t="shared" si="1"/>
        <v>4.83342026</v>
      </c>
      <c r="L1182" s="16">
        <f t="shared" si="2"/>
        <v>0.9266451645</v>
      </c>
    </row>
    <row r="1183" ht="16.5" customHeight="1">
      <c r="A1183" s="15" t="str">
        <f>Solieusap!A1183</f>
        <v>Cũ</v>
      </c>
      <c r="B1183" s="15">
        <f>Solieusap!B1183</f>
        <v>0</v>
      </c>
      <c r="C1183" s="15" t="str">
        <f>Solieusap!C1183</f>
        <v>COMB2</v>
      </c>
      <c r="D1183" s="15" t="str">
        <f>Solieusap!D1183</f>
        <v>Combination</v>
      </c>
      <c r="E1183" s="16">
        <f>ABS(Solieusap!E1183)</f>
        <v>4.850276623</v>
      </c>
      <c r="F1183" s="16">
        <f>ABS(Solieusap!F1183)</f>
        <v>0.3690251082</v>
      </c>
      <c r="G1183" s="16">
        <f>ABS(Solieusap!G1183)</f>
        <v>0.5409848485</v>
      </c>
      <c r="H1183" s="16">
        <f>ABS(Solieusap!H1183)</f>
        <v>0.000211295974</v>
      </c>
      <c r="I1183" s="16">
        <f>ABS(Solieusap!I1183)</f>
        <v>0.9334399567</v>
      </c>
      <c r="J1183" s="16">
        <f>ABS(Solieusap!J1183)</f>
        <v>0.6463244156</v>
      </c>
      <c r="K1183" s="16">
        <f t="shared" si="1"/>
        <v>4.850276623</v>
      </c>
      <c r="L1183" s="16">
        <f t="shared" si="2"/>
        <v>0.9334399567</v>
      </c>
    </row>
    <row r="1184" ht="16.5" customHeight="1">
      <c r="A1184" s="15" t="str">
        <f>Solieusap!A1184</f>
        <v>Cũ</v>
      </c>
      <c r="B1184" s="15">
        <f>Solieusap!B1184</f>
        <v>1.75</v>
      </c>
      <c r="C1184" s="15" t="str">
        <f>Solieusap!C1184</f>
        <v>COMB2</v>
      </c>
      <c r="D1184" s="15" t="str">
        <f>Solieusap!D1184</f>
        <v>Combination</v>
      </c>
      <c r="E1184" s="16">
        <f>ABS(Solieusap!E1184)</f>
        <v>4.867132987</v>
      </c>
      <c r="F1184" s="16">
        <f>ABS(Solieusap!F1184)</f>
        <v>0.3707356277</v>
      </c>
      <c r="G1184" s="16">
        <f>ABS(Solieusap!G1184)</f>
        <v>0.5432492641</v>
      </c>
      <c r="H1184" s="16">
        <f>ABS(Solieusap!H1184)</f>
        <v>0.0002123510779</v>
      </c>
      <c r="I1184" s="16">
        <f>ABS(Solieusap!I1184)</f>
        <v>0.9402347489</v>
      </c>
      <c r="J1184" s="16">
        <f>ABS(Solieusap!J1184)</f>
        <v>0.6508714675</v>
      </c>
      <c r="K1184" s="16">
        <f t="shared" si="1"/>
        <v>4.867132987</v>
      </c>
      <c r="L1184" s="16">
        <f t="shared" si="2"/>
        <v>0.9402347489</v>
      </c>
    </row>
    <row r="1185" ht="16.5" customHeight="1">
      <c r="A1185" s="15" t="str">
        <f>Solieusap!A1185</f>
        <v>Cũ</v>
      </c>
      <c r="B1185" s="15">
        <f>Solieusap!B1185</f>
        <v>3.5</v>
      </c>
      <c r="C1185" s="15" t="str">
        <f>Solieusap!C1185</f>
        <v>COMB2</v>
      </c>
      <c r="D1185" s="15" t="str">
        <f>Solieusap!D1185</f>
        <v>Combination</v>
      </c>
      <c r="E1185" s="16">
        <f>ABS(Solieusap!E1185)</f>
        <v>4.883989351</v>
      </c>
      <c r="F1185" s="16">
        <f>ABS(Solieusap!F1185)</f>
        <v>0.3724461472</v>
      </c>
      <c r="G1185" s="16">
        <f>ABS(Solieusap!G1185)</f>
        <v>0.5455136797</v>
      </c>
      <c r="H1185" s="16">
        <f>ABS(Solieusap!H1185)</f>
        <v>0.0002134061818</v>
      </c>
      <c r="I1185" s="16">
        <f>ABS(Solieusap!I1185)</f>
        <v>0.9470295411</v>
      </c>
      <c r="J1185" s="16">
        <f>ABS(Solieusap!J1185)</f>
        <v>0.6554185195</v>
      </c>
      <c r="K1185" s="16">
        <f t="shared" si="1"/>
        <v>4.883989351</v>
      </c>
      <c r="L1185" s="16">
        <f t="shared" si="2"/>
        <v>0.9470295411</v>
      </c>
    </row>
    <row r="1186" ht="16.5" customHeight="1">
      <c r="A1186" s="15" t="str">
        <f>Solieusap!A1186</f>
        <v>Cũ</v>
      </c>
      <c r="B1186" s="15">
        <f>Solieusap!B1186</f>
        <v>0</v>
      </c>
      <c r="C1186" s="15" t="str">
        <f>Solieusap!C1186</f>
        <v>COMB3</v>
      </c>
      <c r="D1186" s="15" t="str">
        <f>Solieusap!D1186</f>
        <v>Combination</v>
      </c>
      <c r="E1186" s="16">
        <f>ABS(Solieusap!E1186)</f>
        <v>4.900845714</v>
      </c>
      <c r="F1186" s="16">
        <f>ABS(Solieusap!F1186)</f>
        <v>0.3741566667</v>
      </c>
      <c r="G1186" s="16">
        <f>ABS(Solieusap!G1186)</f>
        <v>0.5477780952</v>
      </c>
      <c r="H1186" s="16">
        <f>ABS(Solieusap!H1186)</f>
        <v>0.0002144612857</v>
      </c>
      <c r="I1186" s="16">
        <f>ABS(Solieusap!I1186)</f>
        <v>0.9538243333</v>
      </c>
      <c r="J1186" s="16">
        <f>ABS(Solieusap!J1186)</f>
        <v>0.6599655714</v>
      </c>
      <c r="K1186" s="16">
        <f t="shared" si="1"/>
        <v>4.900845714</v>
      </c>
      <c r="L1186" s="16">
        <f t="shared" si="2"/>
        <v>0.9538243333</v>
      </c>
    </row>
    <row r="1187" ht="16.5" customHeight="1">
      <c r="A1187" s="15" t="str">
        <f>Solieusap!A1187</f>
        <v>Cũ</v>
      </c>
      <c r="B1187" s="15">
        <f>Solieusap!B1187</f>
        <v>1.75</v>
      </c>
      <c r="C1187" s="15" t="str">
        <f>Solieusap!C1187</f>
        <v>COMB3</v>
      </c>
      <c r="D1187" s="15" t="str">
        <f>Solieusap!D1187</f>
        <v>Combination</v>
      </c>
      <c r="E1187" s="16">
        <f>ABS(Solieusap!E1187)</f>
        <v>4.917702078</v>
      </c>
      <c r="F1187" s="16">
        <f>ABS(Solieusap!F1187)</f>
        <v>0.3758671861</v>
      </c>
      <c r="G1187" s="16">
        <f>ABS(Solieusap!G1187)</f>
        <v>0.5500425108</v>
      </c>
      <c r="H1187" s="16">
        <f>ABS(Solieusap!H1187)</f>
        <v>0.0002155163896</v>
      </c>
      <c r="I1187" s="16">
        <f>ABS(Solieusap!I1187)</f>
        <v>0.9606191255</v>
      </c>
      <c r="J1187" s="16">
        <f>ABS(Solieusap!J1187)</f>
        <v>0.6645126234</v>
      </c>
      <c r="K1187" s="16">
        <f t="shared" si="1"/>
        <v>4.917702078</v>
      </c>
      <c r="L1187" s="16">
        <f t="shared" si="2"/>
        <v>0.9606191255</v>
      </c>
    </row>
    <row r="1188" ht="16.5" customHeight="1">
      <c r="A1188" s="15" t="str">
        <f>Solieusap!A1188</f>
        <v>Cũ</v>
      </c>
      <c r="B1188" s="15">
        <f>Solieusap!B1188</f>
        <v>3.5</v>
      </c>
      <c r="C1188" s="15" t="str">
        <f>Solieusap!C1188</f>
        <v>COMB3</v>
      </c>
      <c r="D1188" s="15" t="str">
        <f>Solieusap!D1188</f>
        <v>Combination</v>
      </c>
      <c r="E1188" s="16">
        <f>ABS(Solieusap!E1188)</f>
        <v>4.934558442</v>
      </c>
      <c r="F1188" s="16">
        <f>ABS(Solieusap!F1188)</f>
        <v>0.3775777056</v>
      </c>
      <c r="G1188" s="16">
        <f>ABS(Solieusap!G1188)</f>
        <v>0.5523069264</v>
      </c>
      <c r="H1188" s="16">
        <f>ABS(Solieusap!H1188)</f>
        <v>0.0002165714935</v>
      </c>
      <c r="I1188" s="16">
        <f>ABS(Solieusap!I1188)</f>
        <v>0.9674139177</v>
      </c>
      <c r="J1188" s="16">
        <f>ABS(Solieusap!J1188)</f>
        <v>0.6690596753</v>
      </c>
      <c r="K1188" s="16">
        <f t="shared" si="1"/>
        <v>4.934558442</v>
      </c>
      <c r="L1188" s="16">
        <f t="shared" si="2"/>
        <v>0.9674139177</v>
      </c>
    </row>
    <row r="1189" ht="16.5" customHeight="1">
      <c r="A1189" s="15" t="str">
        <f>Solieusap!A1189</f>
        <v>Cũ</v>
      </c>
      <c r="B1189" s="15">
        <f>Solieusap!B1189</f>
        <v>0</v>
      </c>
      <c r="C1189" s="15" t="str">
        <f>Solieusap!C1189</f>
        <v>COMB4</v>
      </c>
      <c r="D1189" s="15" t="str">
        <f>Solieusap!D1189</f>
        <v>Combination</v>
      </c>
      <c r="E1189" s="16">
        <f>ABS(Solieusap!E1189)</f>
        <v>4.951414805</v>
      </c>
      <c r="F1189" s="16">
        <f>ABS(Solieusap!F1189)</f>
        <v>0.3792882251</v>
      </c>
      <c r="G1189" s="16">
        <f>ABS(Solieusap!G1189)</f>
        <v>0.554571342</v>
      </c>
      <c r="H1189" s="16">
        <f>ABS(Solieusap!H1189)</f>
        <v>0.0002176265974</v>
      </c>
      <c r="I1189" s="16">
        <f>ABS(Solieusap!I1189)</f>
        <v>0.97420871</v>
      </c>
      <c r="J1189" s="16">
        <f>ABS(Solieusap!J1189)</f>
        <v>0.6736067273</v>
      </c>
      <c r="K1189" s="16">
        <f t="shared" si="1"/>
        <v>4.951414805</v>
      </c>
      <c r="L1189" s="16">
        <f t="shared" si="2"/>
        <v>0.97420871</v>
      </c>
    </row>
    <row r="1190" ht="16.5" customHeight="1">
      <c r="A1190" s="15" t="str">
        <f>Solieusap!A1190</f>
        <v>Cũ</v>
      </c>
      <c r="B1190" s="15">
        <f>Solieusap!B1190</f>
        <v>1.75</v>
      </c>
      <c r="C1190" s="15" t="str">
        <f>Solieusap!C1190</f>
        <v>COMB4</v>
      </c>
      <c r="D1190" s="15" t="str">
        <f>Solieusap!D1190</f>
        <v>Combination</v>
      </c>
      <c r="E1190" s="16">
        <f>ABS(Solieusap!E1190)</f>
        <v>4.968271169</v>
      </c>
      <c r="F1190" s="16">
        <f>ABS(Solieusap!F1190)</f>
        <v>0.3809987446</v>
      </c>
      <c r="G1190" s="16">
        <f>ABS(Solieusap!G1190)</f>
        <v>0.5568357576</v>
      </c>
      <c r="H1190" s="16">
        <f>ABS(Solieusap!H1190)</f>
        <v>0.0002186817013</v>
      </c>
      <c r="I1190" s="16">
        <f>ABS(Solieusap!I1190)</f>
        <v>0.9810035022</v>
      </c>
      <c r="J1190" s="16">
        <f>ABS(Solieusap!J1190)</f>
        <v>0.6781537792</v>
      </c>
      <c r="K1190" s="16">
        <f t="shared" si="1"/>
        <v>4.968271169</v>
      </c>
      <c r="L1190" s="16">
        <f t="shared" si="2"/>
        <v>0.9810035022</v>
      </c>
    </row>
    <row r="1191" ht="16.5" customHeight="1">
      <c r="A1191" s="15" t="str">
        <f>Solieusap!A1191</f>
        <v>Cũ</v>
      </c>
      <c r="B1191" s="15">
        <f>Solieusap!B1191</f>
        <v>3.5</v>
      </c>
      <c r="C1191" s="15" t="str">
        <f>Solieusap!C1191</f>
        <v>COMB4</v>
      </c>
      <c r="D1191" s="15" t="str">
        <f>Solieusap!D1191</f>
        <v>Combination</v>
      </c>
      <c r="E1191" s="16">
        <f>ABS(Solieusap!E1191)</f>
        <v>4.985127532</v>
      </c>
      <c r="F1191" s="16">
        <f>ABS(Solieusap!F1191)</f>
        <v>0.3827092641</v>
      </c>
      <c r="G1191" s="16">
        <f>ABS(Solieusap!G1191)</f>
        <v>0.5591001732</v>
      </c>
      <c r="H1191" s="16">
        <f>ABS(Solieusap!H1191)</f>
        <v>0.0002197368052</v>
      </c>
      <c r="I1191" s="16">
        <f>ABS(Solieusap!I1191)</f>
        <v>0.9877982944</v>
      </c>
      <c r="J1191" s="16">
        <f>ABS(Solieusap!J1191)</f>
        <v>0.6827008312</v>
      </c>
      <c r="K1191" s="16">
        <f t="shared" si="1"/>
        <v>4.985127532</v>
      </c>
      <c r="L1191" s="16">
        <f t="shared" si="2"/>
        <v>0.9877982944</v>
      </c>
    </row>
    <row r="1192" ht="16.5" customHeight="1">
      <c r="A1192" s="15" t="str">
        <f>Solieusap!A1192</f>
        <v>Cũ</v>
      </c>
      <c r="B1192" s="15">
        <f>Solieusap!B1192</f>
        <v>0</v>
      </c>
      <c r="C1192" s="15" t="str">
        <f>Solieusap!C1192</f>
        <v>COMB5</v>
      </c>
      <c r="D1192" s="15" t="str">
        <f>Solieusap!D1192</f>
        <v>Combination</v>
      </c>
      <c r="E1192" s="16">
        <f>ABS(Solieusap!E1192)</f>
        <v>5.001983896</v>
      </c>
      <c r="F1192" s="16">
        <f>ABS(Solieusap!F1192)</f>
        <v>0.3844197835</v>
      </c>
      <c r="G1192" s="16">
        <f>ABS(Solieusap!G1192)</f>
        <v>0.5613645887</v>
      </c>
      <c r="H1192" s="16">
        <f>ABS(Solieusap!H1192)</f>
        <v>0.0002207919091</v>
      </c>
      <c r="I1192" s="16">
        <f>ABS(Solieusap!I1192)</f>
        <v>0.9945930866</v>
      </c>
      <c r="J1192" s="16">
        <f>ABS(Solieusap!J1192)</f>
        <v>0.6872478831</v>
      </c>
      <c r="K1192" s="16">
        <f t="shared" si="1"/>
        <v>5.001983896</v>
      </c>
      <c r="L1192" s="16">
        <f t="shared" si="2"/>
        <v>0.9945930866</v>
      </c>
    </row>
    <row r="1193" ht="16.5" customHeight="1">
      <c r="A1193" s="15" t="str">
        <f>Solieusap!A1193</f>
        <v>Cũ</v>
      </c>
      <c r="B1193" s="15">
        <f>Solieusap!B1193</f>
        <v>1.75</v>
      </c>
      <c r="C1193" s="15" t="str">
        <f>Solieusap!C1193</f>
        <v>COMB5</v>
      </c>
      <c r="D1193" s="15" t="str">
        <f>Solieusap!D1193</f>
        <v>Combination</v>
      </c>
      <c r="E1193" s="16">
        <f>ABS(Solieusap!E1193)</f>
        <v>5.01884026</v>
      </c>
      <c r="F1193" s="16">
        <f>ABS(Solieusap!F1193)</f>
        <v>0.386130303</v>
      </c>
      <c r="G1193" s="16">
        <f>ABS(Solieusap!G1193)</f>
        <v>0.5636290043</v>
      </c>
      <c r="H1193" s="16">
        <f>ABS(Solieusap!H1193)</f>
        <v>0.000221847013</v>
      </c>
      <c r="I1193" s="16">
        <f>ABS(Solieusap!I1193)</f>
        <v>1.001387879</v>
      </c>
      <c r="J1193" s="16">
        <f>ABS(Solieusap!J1193)</f>
        <v>0.6917949351</v>
      </c>
      <c r="K1193" s="16">
        <f t="shared" si="1"/>
        <v>5.01884026</v>
      </c>
      <c r="L1193" s="16">
        <f t="shared" si="2"/>
        <v>1.001387879</v>
      </c>
    </row>
    <row r="1194" ht="16.5" customHeight="1">
      <c r="A1194" s="15" t="str">
        <f>Solieusap!A1194</f>
        <v>Cũ</v>
      </c>
      <c r="B1194" s="15">
        <f>Solieusap!B1194</f>
        <v>3.5</v>
      </c>
      <c r="C1194" s="15" t="str">
        <f>Solieusap!C1194</f>
        <v>COMB5</v>
      </c>
      <c r="D1194" s="15" t="str">
        <f>Solieusap!D1194</f>
        <v>Combination</v>
      </c>
      <c r="E1194" s="16">
        <f>ABS(Solieusap!E1194)</f>
        <v>5.035696623</v>
      </c>
      <c r="F1194" s="16">
        <f>ABS(Solieusap!F1194)</f>
        <v>0.3878408225</v>
      </c>
      <c r="G1194" s="16">
        <f>ABS(Solieusap!G1194)</f>
        <v>0.5658934199</v>
      </c>
      <c r="H1194" s="16">
        <f>ABS(Solieusap!H1194)</f>
        <v>0.0002229021169</v>
      </c>
      <c r="I1194" s="16">
        <f>ABS(Solieusap!I1194)</f>
        <v>1.008182671</v>
      </c>
      <c r="J1194" s="16">
        <f>ABS(Solieusap!J1194)</f>
        <v>0.696341987</v>
      </c>
      <c r="K1194" s="16">
        <f t="shared" si="1"/>
        <v>5.035696623</v>
      </c>
      <c r="L1194" s="16">
        <f t="shared" si="2"/>
        <v>1.008182671</v>
      </c>
    </row>
    <row r="1195" ht="16.5" customHeight="1">
      <c r="A1195" s="15" t="str">
        <f>Solieusap!A1195</f>
        <v>Cũ</v>
      </c>
      <c r="B1195" s="15">
        <f>Solieusap!B1195</f>
        <v>0</v>
      </c>
      <c r="C1195" s="15" t="str">
        <f>Solieusap!C1195</f>
        <v>COMB6</v>
      </c>
      <c r="D1195" s="15" t="str">
        <f>Solieusap!D1195</f>
        <v>Combination</v>
      </c>
      <c r="E1195" s="16">
        <f>ABS(Solieusap!E1195)</f>
        <v>5.052552987</v>
      </c>
      <c r="F1195" s="16">
        <f>ABS(Solieusap!F1195)</f>
        <v>0.389551342</v>
      </c>
      <c r="G1195" s="16">
        <f>ABS(Solieusap!G1195)</f>
        <v>0.5681578355</v>
      </c>
      <c r="H1195" s="16">
        <f>ABS(Solieusap!H1195)</f>
        <v>0.0002239572208</v>
      </c>
      <c r="I1195" s="16">
        <f>ABS(Solieusap!I1195)</f>
        <v>1.014977463</v>
      </c>
      <c r="J1195" s="16">
        <f>ABS(Solieusap!J1195)</f>
        <v>0.700889039</v>
      </c>
      <c r="K1195" s="16">
        <f t="shared" si="1"/>
        <v>5.052552987</v>
      </c>
      <c r="L1195" s="16">
        <f t="shared" si="2"/>
        <v>1.014977463</v>
      </c>
    </row>
    <row r="1196" ht="16.5" customHeight="1">
      <c r="A1196" s="15" t="str">
        <f>Solieusap!A1196</f>
        <v>Cũ</v>
      </c>
      <c r="B1196" s="15">
        <f>Solieusap!B1196</f>
        <v>1.75</v>
      </c>
      <c r="C1196" s="15" t="str">
        <f>Solieusap!C1196</f>
        <v>COMB6</v>
      </c>
      <c r="D1196" s="15" t="str">
        <f>Solieusap!D1196</f>
        <v>Combination</v>
      </c>
      <c r="E1196" s="16">
        <f>ABS(Solieusap!E1196)</f>
        <v>5.069409351</v>
      </c>
      <c r="F1196" s="16">
        <f>ABS(Solieusap!F1196)</f>
        <v>0.3912618615</v>
      </c>
      <c r="G1196" s="16">
        <f>ABS(Solieusap!G1196)</f>
        <v>0.5704222511</v>
      </c>
      <c r="H1196" s="16">
        <f>ABS(Solieusap!H1196)</f>
        <v>0.0002250123247</v>
      </c>
      <c r="I1196" s="16">
        <f>ABS(Solieusap!I1196)</f>
        <v>1.021772255</v>
      </c>
      <c r="J1196" s="16">
        <f>ABS(Solieusap!J1196)</f>
        <v>0.7054360909</v>
      </c>
      <c r="K1196" s="16">
        <f t="shared" si="1"/>
        <v>5.069409351</v>
      </c>
      <c r="L1196" s="16">
        <f t="shared" si="2"/>
        <v>1.021772255</v>
      </c>
    </row>
    <row r="1197" ht="16.5" customHeight="1">
      <c r="A1197" s="15" t="str">
        <f>Solieusap!A1197</f>
        <v>Cũ</v>
      </c>
      <c r="B1197" s="15">
        <f>Solieusap!B1197</f>
        <v>3.5</v>
      </c>
      <c r="C1197" s="15" t="str">
        <f>Solieusap!C1197</f>
        <v>COMB6</v>
      </c>
      <c r="D1197" s="15" t="str">
        <f>Solieusap!D1197</f>
        <v>Combination</v>
      </c>
      <c r="E1197" s="16">
        <f>ABS(Solieusap!E1197)</f>
        <v>5.086265714</v>
      </c>
      <c r="F1197" s="16">
        <f>ABS(Solieusap!F1197)</f>
        <v>0.392972381</v>
      </c>
      <c r="G1197" s="16">
        <f>ABS(Solieusap!G1197)</f>
        <v>0.5726866667</v>
      </c>
      <c r="H1197" s="16">
        <f>ABS(Solieusap!H1197)</f>
        <v>0.0002260674286</v>
      </c>
      <c r="I1197" s="16">
        <f>ABS(Solieusap!I1197)</f>
        <v>1.028567048</v>
      </c>
      <c r="J1197" s="16">
        <f>ABS(Solieusap!J1197)</f>
        <v>0.7099831429</v>
      </c>
      <c r="K1197" s="16">
        <f t="shared" si="1"/>
        <v>5.086265714</v>
      </c>
      <c r="L1197" s="16">
        <f t="shared" si="2"/>
        <v>1.028567048</v>
      </c>
    </row>
    <row r="1198" ht="16.5" customHeight="1">
      <c r="A1198" s="15" t="str">
        <f>Solieusap!A1198</f>
        <v>Cũ</v>
      </c>
      <c r="B1198" s="15">
        <f>Solieusap!B1198</f>
        <v>0</v>
      </c>
      <c r="C1198" s="15" t="str">
        <f>Solieusap!C1198</f>
        <v>COMB7</v>
      </c>
      <c r="D1198" s="15" t="str">
        <f>Solieusap!D1198</f>
        <v>Combination</v>
      </c>
      <c r="E1198" s="16">
        <f>ABS(Solieusap!E1198)</f>
        <v>5.103122078</v>
      </c>
      <c r="F1198" s="16">
        <f>ABS(Solieusap!F1198)</f>
        <v>0.3946829004</v>
      </c>
      <c r="G1198" s="16">
        <f>ABS(Solieusap!G1198)</f>
        <v>0.5749510823</v>
      </c>
      <c r="H1198" s="16">
        <f>ABS(Solieusap!H1198)</f>
        <v>0.0002271225325</v>
      </c>
      <c r="I1198" s="16">
        <f>ABS(Solieusap!I1198)</f>
        <v>1.03536184</v>
      </c>
      <c r="J1198" s="16">
        <f>ABS(Solieusap!J1198)</f>
        <v>0.7145301948</v>
      </c>
      <c r="K1198" s="16">
        <f t="shared" si="1"/>
        <v>5.103122078</v>
      </c>
      <c r="L1198" s="16">
        <f t="shared" si="2"/>
        <v>1.03536184</v>
      </c>
    </row>
    <row r="1199" ht="16.5" customHeight="1">
      <c r="A1199" s="15" t="str">
        <f>Solieusap!A1199</f>
        <v>Cũ</v>
      </c>
      <c r="B1199" s="15">
        <f>Solieusap!B1199</f>
        <v>1.75</v>
      </c>
      <c r="C1199" s="15" t="str">
        <f>Solieusap!C1199</f>
        <v>COMB7</v>
      </c>
      <c r="D1199" s="15" t="str">
        <f>Solieusap!D1199</f>
        <v>Combination</v>
      </c>
      <c r="E1199" s="16">
        <f>ABS(Solieusap!E1199)</f>
        <v>5.119978442</v>
      </c>
      <c r="F1199" s="16">
        <f>ABS(Solieusap!F1199)</f>
        <v>0.3963934199</v>
      </c>
      <c r="G1199" s="16">
        <f>ABS(Solieusap!G1199)</f>
        <v>0.5772154978</v>
      </c>
      <c r="H1199" s="16">
        <f>ABS(Solieusap!H1199)</f>
        <v>0.0002281776364</v>
      </c>
      <c r="I1199" s="16">
        <f>ABS(Solieusap!I1199)</f>
        <v>1.042156632</v>
      </c>
      <c r="J1199" s="16">
        <f>ABS(Solieusap!J1199)</f>
        <v>0.7190772468</v>
      </c>
      <c r="K1199" s="16">
        <f t="shared" si="1"/>
        <v>5.119978442</v>
      </c>
      <c r="L1199" s="16">
        <f t="shared" si="2"/>
        <v>1.042156632</v>
      </c>
    </row>
    <row r="1200" ht="16.5" customHeight="1">
      <c r="A1200" s="15" t="str">
        <f>Solieusap!A1200</f>
        <v>Cũ</v>
      </c>
      <c r="B1200" s="15">
        <f>Solieusap!B1200</f>
        <v>3.5</v>
      </c>
      <c r="C1200" s="15" t="str">
        <f>Solieusap!C1200</f>
        <v>COMB7</v>
      </c>
      <c r="D1200" s="15" t="str">
        <f>Solieusap!D1200</f>
        <v>Combination</v>
      </c>
      <c r="E1200" s="16">
        <f>ABS(Solieusap!E1200)</f>
        <v>5.136834805</v>
      </c>
      <c r="F1200" s="16">
        <f>ABS(Solieusap!F1200)</f>
        <v>0.3981039394</v>
      </c>
      <c r="G1200" s="16">
        <f>ABS(Solieusap!G1200)</f>
        <v>0.5794799134</v>
      </c>
      <c r="H1200" s="16">
        <f>ABS(Solieusap!H1200)</f>
        <v>0.0002292327403</v>
      </c>
      <c r="I1200" s="16">
        <f>ABS(Solieusap!I1200)</f>
        <v>1.048951424</v>
      </c>
      <c r="J1200" s="16">
        <f>ABS(Solieusap!J1200)</f>
        <v>0.7236242987</v>
      </c>
      <c r="K1200" s="16">
        <f t="shared" si="1"/>
        <v>5.136834805</v>
      </c>
      <c r="L1200" s="16">
        <f t="shared" si="2"/>
        <v>1.048951424</v>
      </c>
    </row>
    <row r="1201" ht="16.5" customHeight="1">
      <c r="A1201" s="15" t="str">
        <f>Solieusap!A1201</f>
        <v>Cũ</v>
      </c>
      <c r="B1201" s="15">
        <f>Solieusap!B1201</f>
        <v>0</v>
      </c>
      <c r="C1201" s="15" t="str">
        <f>Solieusap!C1201</f>
        <v>COMB1</v>
      </c>
      <c r="D1201" s="15" t="str">
        <f>Solieusap!D1201</f>
        <v>Combination</v>
      </c>
      <c r="E1201" s="16">
        <f>ABS(Solieusap!E1201)</f>
        <v>5.153691169</v>
      </c>
      <c r="F1201" s="16">
        <f>ABS(Solieusap!F1201)</f>
        <v>0.3998144589</v>
      </c>
      <c r="G1201" s="16">
        <f>ABS(Solieusap!G1201)</f>
        <v>0.581744329</v>
      </c>
      <c r="H1201" s="16">
        <f>ABS(Solieusap!H1201)</f>
        <v>0.0002302878442</v>
      </c>
      <c r="I1201" s="16">
        <f>ABS(Solieusap!I1201)</f>
        <v>1.055746216</v>
      </c>
      <c r="J1201" s="16">
        <f>ABS(Solieusap!J1201)</f>
        <v>0.7281713506</v>
      </c>
      <c r="K1201" s="16">
        <f t="shared" si="1"/>
        <v>5.153691169</v>
      </c>
      <c r="L1201" s="16">
        <f t="shared" si="2"/>
        <v>1.055746216</v>
      </c>
    </row>
    <row r="1202" ht="16.5" customHeight="1">
      <c r="A1202" s="15" t="str">
        <f>Solieusap!A1202</f>
        <v>Cũ</v>
      </c>
      <c r="B1202" s="15">
        <f>Solieusap!B1202</f>
        <v>1.75</v>
      </c>
      <c r="C1202" s="15" t="str">
        <f>Solieusap!C1202</f>
        <v>COMB1</v>
      </c>
      <c r="D1202" s="15" t="str">
        <f>Solieusap!D1202</f>
        <v>Combination</v>
      </c>
      <c r="E1202" s="16">
        <f>ABS(Solieusap!E1202)</f>
        <v>5.170547532</v>
      </c>
      <c r="F1202" s="16">
        <f>ABS(Solieusap!F1202)</f>
        <v>0.4015249784</v>
      </c>
      <c r="G1202" s="16">
        <f>ABS(Solieusap!G1202)</f>
        <v>0.5840087446</v>
      </c>
      <c r="H1202" s="16">
        <f>ABS(Solieusap!H1202)</f>
        <v>0.0002313429481</v>
      </c>
      <c r="I1202" s="16">
        <f>ABS(Solieusap!I1202)</f>
        <v>1.062541009</v>
      </c>
      <c r="J1202" s="16">
        <f>ABS(Solieusap!J1202)</f>
        <v>0.7327184026</v>
      </c>
      <c r="K1202" s="16">
        <f t="shared" si="1"/>
        <v>5.170547532</v>
      </c>
      <c r="L1202" s="16">
        <f t="shared" si="2"/>
        <v>1.062541009</v>
      </c>
    </row>
    <row r="1203" ht="16.5" customHeight="1">
      <c r="A1203" s="15" t="str">
        <f>Solieusap!A1203</f>
        <v>Cũ</v>
      </c>
      <c r="B1203" s="15">
        <f>Solieusap!B1203</f>
        <v>3.5</v>
      </c>
      <c r="C1203" s="15" t="str">
        <f>Solieusap!C1203</f>
        <v>COMB1</v>
      </c>
      <c r="D1203" s="15" t="str">
        <f>Solieusap!D1203</f>
        <v>Combination</v>
      </c>
      <c r="E1203" s="16">
        <f>ABS(Solieusap!E1203)</f>
        <v>5.187403896</v>
      </c>
      <c r="F1203" s="16">
        <f>ABS(Solieusap!F1203)</f>
        <v>0.4032354978</v>
      </c>
      <c r="G1203" s="16">
        <f>ABS(Solieusap!G1203)</f>
        <v>0.5862731602</v>
      </c>
      <c r="H1203" s="16">
        <f>ABS(Solieusap!H1203)</f>
        <v>0.0002323980519</v>
      </c>
      <c r="I1203" s="16">
        <f>ABS(Solieusap!I1203)</f>
        <v>1.069335801</v>
      </c>
      <c r="J1203" s="16">
        <f>ABS(Solieusap!J1203)</f>
        <v>0.7372654545</v>
      </c>
      <c r="K1203" s="16">
        <f t="shared" si="1"/>
        <v>5.187403896</v>
      </c>
      <c r="L1203" s="16">
        <f t="shared" si="2"/>
        <v>1.069335801</v>
      </c>
    </row>
    <row r="1204" ht="16.5" customHeight="1">
      <c r="A1204" s="15" t="str">
        <f>Solieusap!A1204</f>
        <v>Cũ</v>
      </c>
      <c r="B1204" s="15">
        <f>Solieusap!B1204</f>
        <v>0</v>
      </c>
      <c r="C1204" s="15" t="str">
        <f>Solieusap!C1204</f>
        <v>COMB2</v>
      </c>
      <c r="D1204" s="15" t="str">
        <f>Solieusap!D1204</f>
        <v>Combination</v>
      </c>
      <c r="E1204" s="16">
        <f>ABS(Solieusap!E1204)</f>
        <v>5.20426026</v>
      </c>
      <c r="F1204" s="16">
        <f>ABS(Solieusap!F1204)</f>
        <v>0.4049460173</v>
      </c>
      <c r="G1204" s="16">
        <f>ABS(Solieusap!G1204)</f>
        <v>0.5885375758</v>
      </c>
      <c r="H1204" s="16">
        <f>ABS(Solieusap!H1204)</f>
        <v>0.0002334531558</v>
      </c>
      <c r="I1204" s="16">
        <f>ABS(Solieusap!I1204)</f>
        <v>1.076130593</v>
      </c>
      <c r="J1204" s="16">
        <f>ABS(Solieusap!J1204)</f>
        <v>0.7418125065</v>
      </c>
      <c r="K1204" s="16">
        <f t="shared" si="1"/>
        <v>5.20426026</v>
      </c>
      <c r="L1204" s="16">
        <f t="shared" si="2"/>
        <v>1.076130593</v>
      </c>
    </row>
    <row r="1205" ht="16.5" customHeight="1">
      <c r="A1205" s="15" t="str">
        <f>Solieusap!A1205</f>
        <v>Cũ</v>
      </c>
      <c r="B1205" s="15">
        <f>Solieusap!B1205</f>
        <v>1.75</v>
      </c>
      <c r="C1205" s="15" t="str">
        <f>Solieusap!C1205</f>
        <v>COMB2</v>
      </c>
      <c r="D1205" s="15" t="str">
        <f>Solieusap!D1205</f>
        <v>Combination</v>
      </c>
      <c r="E1205" s="16">
        <f>ABS(Solieusap!E1205)</f>
        <v>5.221116623</v>
      </c>
      <c r="F1205" s="16">
        <f>ABS(Solieusap!F1205)</f>
        <v>0.4066565368</v>
      </c>
      <c r="G1205" s="16">
        <f>ABS(Solieusap!G1205)</f>
        <v>0.5908019913</v>
      </c>
      <c r="H1205" s="16">
        <f>ABS(Solieusap!H1205)</f>
        <v>0.0002345082597</v>
      </c>
      <c r="I1205" s="16">
        <f>ABS(Solieusap!I1205)</f>
        <v>1.082925385</v>
      </c>
      <c r="J1205" s="16">
        <f>ABS(Solieusap!J1205)</f>
        <v>0.7463595584</v>
      </c>
      <c r="K1205" s="16">
        <f t="shared" si="1"/>
        <v>5.221116623</v>
      </c>
      <c r="L1205" s="16">
        <f t="shared" si="2"/>
        <v>1.082925385</v>
      </c>
    </row>
    <row r="1206" ht="16.5" customHeight="1">
      <c r="A1206" s="15" t="str">
        <f>Solieusap!A1206</f>
        <v>Cũ</v>
      </c>
      <c r="B1206" s="15">
        <f>Solieusap!B1206</f>
        <v>3.5</v>
      </c>
      <c r="C1206" s="15" t="str">
        <f>Solieusap!C1206</f>
        <v>COMB2</v>
      </c>
      <c r="D1206" s="15" t="str">
        <f>Solieusap!D1206</f>
        <v>Combination</v>
      </c>
      <c r="E1206" s="16">
        <f>ABS(Solieusap!E1206)</f>
        <v>5.237972987</v>
      </c>
      <c r="F1206" s="16">
        <f>ABS(Solieusap!F1206)</f>
        <v>0.4083670563</v>
      </c>
      <c r="G1206" s="16">
        <f>ABS(Solieusap!G1206)</f>
        <v>0.5930664069</v>
      </c>
      <c r="H1206" s="16">
        <f>ABS(Solieusap!H1206)</f>
        <v>0.0002355633636</v>
      </c>
      <c r="I1206" s="16">
        <f>ABS(Solieusap!I1206)</f>
        <v>1.089720177</v>
      </c>
      <c r="J1206" s="16">
        <f>ABS(Solieusap!J1206)</f>
        <v>0.7509066104</v>
      </c>
      <c r="K1206" s="16">
        <f t="shared" si="1"/>
        <v>5.237972987</v>
      </c>
      <c r="L1206" s="16">
        <f t="shared" si="2"/>
        <v>1.089720177</v>
      </c>
    </row>
    <row r="1207" ht="16.5" customHeight="1">
      <c r="A1207" s="15" t="str">
        <f>Solieusap!A1207</f>
        <v>Cũ</v>
      </c>
      <c r="B1207" s="15">
        <f>Solieusap!B1207</f>
        <v>0</v>
      </c>
      <c r="C1207" s="15" t="str">
        <f>Solieusap!C1207</f>
        <v>COMB3</v>
      </c>
      <c r="D1207" s="15" t="str">
        <f>Solieusap!D1207</f>
        <v>Combination</v>
      </c>
      <c r="E1207" s="16">
        <f>ABS(Solieusap!E1207)</f>
        <v>5.254829351</v>
      </c>
      <c r="F1207" s="16">
        <f>ABS(Solieusap!F1207)</f>
        <v>0.4100775758</v>
      </c>
      <c r="G1207" s="16">
        <f>ABS(Solieusap!G1207)</f>
        <v>0.5953308225</v>
      </c>
      <c r="H1207" s="16">
        <f>ABS(Solieusap!H1207)</f>
        <v>0.0002366184675</v>
      </c>
      <c r="I1207" s="16">
        <f>ABS(Solieusap!I1207)</f>
        <v>1.09651497</v>
      </c>
      <c r="J1207" s="16">
        <f>ABS(Solieusap!J1207)</f>
        <v>0.7554536623</v>
      </c>
      <c r="K1207" s="16">
        <f t="shared" si="1"/>
        <v>5.254829351</v>
      </c>
      <c r="L1207" s="16">
        <f t="shared" si="2"/>
        <v>1.09651497</v>
      </c>
    </row>
    <row r="1208" ht="16.5" customHeight="1">
      <c r="A1208" s="15" t="str">
        <f>Solieusap!A1208</f>
        <v>Cũ</v>
      </c>
      <c r="B1208" s="15">
        <f>Solieusap!B1208</f>
        <v>1.75</v>
      </c>
      <c r="C1208" s="15" t="str">
        <f>Solieusap!C1208</f>
        <v>COMB3</v>
      </c>
      <c r="D1208" s="15" t="str">
        <f>Solieusap!D1208</f>
        <v>Combination</v>
      </c>
      <c r="E1208" s="16">
        <f>ABS(Solieusap!E1208)</f>
        <v>5.271685714</v>
      </c>
      <c r="F1208" s="16">
        <f>ABS(Solieusap!F1208)</f>
        <v>0.4117880952</v>
      </c>
      <c r="G1208" s="16">
        <f>ABS(Solieusap!G1208)</f>
        <v>0.5975952381</v>
      </c>
      <c r="H1208" s="16">
        <f>ABS(Solieusap!H1208)</f>
        <v>0.0002376735714</v>
      </c>
      <c r="I1208" s="16">
        <f>ABS(Solieusap!I1208)</f>
        <v>1.103309762</v>
      </c>
      <c r="J1208" s="16">
        <f>ABS(Solieusap!J1208)</f>
        <v>0.7600007143</v>
      </c>
      <c r="K1208" s="16">
        <f t="shared" si="1"/>
        <v>5.271685714</v>
      </c>
      <c r="L1208" s="16">
        <f t="shared" si="2"/>
        <v>1.103309762</v>
      </c>
    </row>
    <row r="1209" ht="16.5" customHeight="1">
      <c r="A1209" s="15" t="str">
        <f>Solieusap!A1209</f>
        <v>Cũ</v>
      </c>
      <c r="B1209" s="15">
        <f>Solieusap!B1209</f>
        <v>3.5</v>
      </c>
      <c r="C1209" s="15" t="str">
        <f>Solieusap!C1209</f>
        <v>COMB3</v>
      </c>
      <c r="D1209" s="15" t="str">
        <f>Solieusap!D1209</f>
        <v>Combination</v>
      </c>
      <c r="E1209" s="16">
        <f>ABS(Solieusap!E1209)</f>
        <v>5.288542078</v>
      </c>
      <c r="F1209" s="16">
        <f>ABS(Solieusap!F1209)</f>
        <v>0.4134986147</v>
      </c>
      <c r="G1209" s="16">
        <f>ABS(Solieusap!G1209)</f>
        <v>0.5998596537</v>
      </c>
      <c r="H1209" s="16">
        <f>ABS(Solieusap!H1209)</f>
        <v>0.0002387286753</v>
      </c>
      <c r="I1209" s="16">
        <f>ABS(Solieusap!I1209)</f>
        <v>1.110104554</v>
      </c>
      <c r="J1209" s="16">
        <f>ABS(Solieusap!J1209)</f>
        <v>0.7645477662</v>
      </c>
      <c r="K1209" s="16">
        <f t="shared" si="1"/>
        <v>5.288542078</v>
      </c>
      <c r="L1209" s="16">
        <f t="shared" si="2"/>
        <v>1.110104554</v>
      </c>
    </row>
    <row r="1210" ht="16.5" customHeight="1">
      <c r="A1210" s="15" t="str">
        <f>Solieusap!A1210</f>
        <v>Cũ</v>
      </c>
      <c r="B1210" s="15">
        <f>Solieusap!B1210</f>
        <v>0</v>
      </c>
      <c r="C1210" s="15" t="str">
        <f>Solieusap!C1210</f>
        <v>COMB4</v>
      </c>
      <c r="D1210" s="15" t="str">
        <f>Solieusap!D1210</f>
        <v>Combination</v>
      </c>
      <c r="E1210" s="16">
        <f>ABS(Solieusap!E1210)</f>
        <v>5.305398442</v>
      </c>
      <c r="F1210" s="16">
        <f>ABS(Solieusap!F1210)</f>
        <v>0.4152091342</v>
      </c>
      <c r="G1210" s="16">
        <f>ABS(Solieusap!G1210)</f>
        <v>0.6021240693</v>
      </c>
      <c r="H1210" s="16">
        <f>ABS(Solieusap!H1210)</f>
        <v>0.0002397837792</v>
      </c>
      <c r="I1210" s="16">
        <f>ABS(Solieusap!I1210)</f>
        <v>1.116899346</v>
      </c>
      <c r="J1210" s="16">
        <f>ABS(Solieusap!J1210)</f>
        <v>0.7690948182</v>
      </c>
      <c r="K1210" s="16">
        <f t="shared" si="1"/>
        <v>5.305398442</v>
      </c>
      <c r="L1210" s="16">
        <f t="shared" si="2"/>
        <v>1.116899346</v>
      </c>
    </row>
    <row r="1211" ht="16.5" customHeight="1">
      <c r="A1211" s="15" t="str">
        <f>Solieusap!A1211</f>
        <v>Cũ</v>
      </c>
      <c r="B1211" s="15">
        <f>Solieusap!B1211</f>
        <v>1.75</v>
      </c>
      <c r="C1211" s="15" t="str">
        <f>Solieusap!C1211</f>
        <v>COMB4</v>
      </c>
      <c r="D1211" s="15" t="str">
        <f>Solieusap!D1211</f>
        <v>Combination</v>
      </c>
      <c r="E1211" s="16">
        <f>ABS(Solieusap!E1211)</f>
        <v>5.322254805</v>
      </c>
      <c r="F1211" s="16">
        <f>ABS(Solieusap!F1211)</f>
        <v>0.4169196537</v>
      </c>
      <c r="G1211" s="16">
        <f>ABS(Solieusap!G1211)</f>
        <v>0.6043884848</v>
      </c>
      <c r="H1211" s="16">
        <f>ABS(Solieusap!H1211)</f>
        <v>0.0002408388831</v>
      </c>
      <c r="I1211" s="16">
        <f>ABS(Solieusap!I1211)</f>
        <v>1.123694139</v>
      </c>
      <c r="J1211" s="16">
        <f>ABS(Solieusap!J1211)</f>
        <v>0.7736418701</v>
      </c>
      <c r="K1211" s="16">
        <f t="shared" si="1"/>
        <v>5.322254805</v>
      </c>
      <c r="L1211" s="16">
        <f t="shared" si="2"/>
        <v>1.123694139</v>
      </c>
    </row>
    <row r="1212" ht="16.5" customHeight="1">
      <c r="A1212" s="15" t="str">
        <f>Solieusap!A1212</f>
        <v>Cũ</v>
      </c>
      <c r="B1212" s="15">
        <f>Solieusap!B1212</f>
        <v>3.5</v>
      </c>
      <c r="C1212" s="15" t="str">
        <f>Solieusap!C1212</f>
        <v>COMB4</v>
      </c>
      <c r="D1212" s="15" t="str">
        <f>Solieusap!D1212</f>
        <v>Combination</v>
      </c>
      <c r="E1212" s="16">
        <f>ABS(Solieusap!E1212)</f>
        <v>5.339111169</v>
      </c>
      <c r="F1212" s="16">
        <f>ABS(Solieusap!F1212)</f>
        <v>0.4186301732</v>
      </c>
      <c r="G1212" s="16">
        <f>ABS(Solieusap!G1212)</f>
        <v>0.6066529004</v>
      </c>
      <c r="H1212" s="16">
        <f>ABS(Solieusap!H1212)</f>
        <v>0.000241893987</v>
      </c>
      <c r="I1212" s="16">
        <f>ABS(Solieusap!I1212)</f>
        <v>1.130488931</v>
      </c>
      <c r="J1212" s="16">
        <f>ABS(Solieusap!J1212)</f>
        <v>0.7781889221</v>
      </c>
      <c r="K1212" s="16">
        <f t="shared" si="1"/>
        <v>5.339111169</v>
      </c>
      <c r="L1212" s="16">
        <f t="shared" si="2"/>
        <v>1.130488931</v>
      </c>
    </row>
    <row r="1213" ht="16.5" customHeight="1">
      <c r="A1213" s="15" t="str">
        <f>Solieusap!A1213</f>
        <v>Cũ</v>
      </c>
      <c r="B1213" s="15">
        <f>Solieusap!B1213</f>
        <v>0</v>
      </c>
      <c r="C1213" s="15" t="str">
        <f>Solieusap!C1213</f>
        <v>COMB5</v>
      </c>
      <c r="D1213" s="15" t="str">
        <f>Solieusap!D1213</f>
        <v>Combination</v>
      </c>
      <c r="E1213" s="16">
        <f>ABS(Solieusap!E1213)</f>
        <v>5.355967532</v>
      </c>
      <c r="F1213" s="16">
        <f>ABS(Solieusap!F1213)</f>
        <v>0.4203406926</v>
      </c>
      <c r="G1213" s="16">
        <f>ABS(Solieusap!G1213)</f>
        <v>0.608917316</v>
      </c>
      <c r="H1213" s="16">
        <f>ABS(Solieusap!H1213)</f>
        <v>0.0002429490909</v>
      </c>
      <c r="I1213" s="16">
        <f>ABS(Solieusap!I1213)</f>
        <v>1.137283723</v>
      </c>
      <c r="J1213" s="16">
        <f>ABS(Solieusap!J1213)</f>
        <v>0.782735974</v>
      </c>
      <c r="K1213" s="16">
        <f t="shared" si="1"/>
        <v>5.355967532</v>
      </c>
      <c r="L1213" s="16">
        <f t="shared" si="2"/>
        <v>1.137283723</v>
      </c>
    </row>
    <row r="1214" ht="16.5" customHeight="1">
      <c r="A1214" s="15" t="str">
        <f>Solieusap!A1214</f>
        <v>Cũ</v>
      </c>
      <c r="B1214" s="15">
        <f>Solieusap!B1214</f>
        <v>1.75</v>
      </c>
      <c r="C1214" s="15" t="str">
        <f>Solieusap!C1214</f>
        <v>COMB5</v>
      </c>
      <c r="D1214" s="15" t="str">
        <f>Solieusap!D1214</f>
        <v>Combination</v>
      </c>
      <c r="E1214" s="16">
        <f>ABS(Solieusap!E1214)</f>
        <v>5.372823896</v>
      </c>
      <c r="F1214" s="16">
        <f>ABS(Solieusap!F1214)</f>
        <v>0.4220512121</v>
      </c>
      <c r="G1214" s="16">
        <f>ABS(Solieusap!G1214)</f>
        <v>0.6111817316</v>
      </c>
      <c r="H1214" s="16">
        <f>ABS(Solieusap!H1214)</f>
        <v>0.0002440041948</v>
      </c>
      <c r="I1214" s="16">
        <f>ABS(Solieusap!I1214)</f>
        <v>1.144078515</v>
      </c>
      <c r="J1214" s="16">
        <f>ABS(Solieusap!J1214)</f>
        <v>0.787283026</v>
      </c>
      <c r="K1214" s="16">
        <f t="shared" si="1"/>
        <v>5.372823896</v>
      </c>
      <c r="L1214" s="16">
        <f t="shared" si="2"/>
        <v>1.144078515</v>
      </c>
    </row>
    <row r="1215" ht="16.5" customHeight="1">
      <c r="A1215" s="15" t="str">
        <f>Solieusap!A1215</f>
        <v>Cũ</v>
      </c>
      <c r="B1215" s="15">
        <f>Solieusap!B1215</f>
        <v>3.5</v>
      </c>
      <c r="C1215" s="15" t="str">
        <f>Solieusap!C1215</f>
        <v>COMB5</v>
      </c>
      <c r="D1215" s="15" t="str">
        <f>Solieusap!D1215</f>
        <v>Combination</v>
      </c>
      <c r="E1215" s="16">
        <f>ABS(Solieusap!E1215)</f>
        <v>5.38968026</v>
      </c>
      <c r="F1215" s="16">
        <f>ABS(Solieusap!F1215)</f>
        <v>0.4237617316</v>
      </c>
      <c r="G1215" s="16">
        <f>ABS(Solieusap!G1215)</f>
        <v>0.6134461472</v>
      </c>
      <c r="H1215" s="16">
        <f>ABS(Solieusap!H1215)</f>
        <v>0.0002450592987</v>
      </c>
      <c r="I1215" s="16">
        <f>ABS(Solieusap!I1215)</f>
        <v>1.150873307</v>
      </c>
      <c r="J1215" s="16">
        <f>ABS(Solieusap!J1215)</f>
        <v>0.7918300779</v>
      </c>
      <c r="K1215" s="16">
        <f t="shared" si="1"/>
        <v>5.38968026</v>
      </c>
      <c r="L1215" s="16">
        <f t="shared" si="2"/>
        <v>1.150873307</v>
      </c>
    </row>
    <row r="1216" ht="16.5" customHeight="1">
      <c r="A1216" s="15" t="str">
        <f>Solieusap!A1216</f>
        <v>Cũ</v>
      </c>
      <c r="B1216" s="15">
        <f>Solieusap!B1216</f>
        <v>0</v>
      </c>
      <c r="C1216" s="15" t="str">
        <f>Solieusap!C1216</f>
        <v>COMB6</v>
      </c>
      <c r="D1216" s="15" t="str">
        <f>Solieusap!D1216</f>
        <v>Combination</v>
      </c>
      <c r="E1216" s="16">
        <f>ABS(Solieusap!E1216)</f>
        <v>5.406536623</v>
      </c>
      <c r="F1216" s="16">
        <f>ABS(Solieusap!F1216)</f>
        <v>0.4254722511</v>
      </c>
      <c r="G1216" s="16">
        <f>ABS(Solieusap!G1216)</f>
        <v>0.6157105628</v>
      </c>
      <c r="H1216" s="16">
        <f>ABS(Solieusap!H1216)</f>
        <v>0.0002461144026</v>
      </c>
      <c r="I1216" s="16">
        <f>ABS(Solieusap!I1216)</f>
        <v>1.1576681</v>
      </c>
      <c r="J1216" s="16">
        <f>ABS(Solieusap!J1216)</f>
        <v>0.7963771299</v>
      </c>
      <c r="K1216" s="16">
        <f t="shared" si="1"/>
        <v>5.406536623</v>
      </c>
      <c r="L1216" s="16">
        <f t="shared" si="2"/>
        <v>1.1576681</v>
      </c>
    </row>
    <row r="1217" ht="16.5" customHeight="1">
      <c r="A1217" s="15" t="str">
        <f>Solieusap!A1217</f>
        <v>Cũ</v>
      </c>
      <c r="B1217" s="15">
        <f>Solieusap!B1217</f>
        <v>1.75</v>
      </c>
      <c r="C1217" s="15" t="str">
        <f>Solieusap!C1217</f>
        <v>COMB6</v>
      </c>
      <c r="D1217" s="15" t="str">
        <f>Solieusap!D1217</f>
        <v>Combination</v>
      </c>
      <c r="E1217" s="16">
        <f>ABS(Solieusap!E1217)</f>
        <v>5.423392987</v>
      </c>
      <c r="F1217" s="16">
        <f>ABS(Solieusap!F1217)</f>
        <v>0.4271827706</v>
      </c>
      <c r="G1217" s="16">
        <f>ABS(Solieusap!G1217)</f>
        <v>0.6179749784</v>
      </c>
      <c r="H1217" s="16">
        <f>ABS(Solieusap!H1217)</f>
        <v>0.0002471695065</v>
      </c>
      <c r="I1217" s="16">
        <f>ABS(Solieusap!I1217)</f>
        <v>1.164462892</v>
      </c>
      <c r="J1217" s="16">
        <f>ABS(Solieusap!J1217)</f>
        <v>0.8009241818</v>
      </c>
      <c r="K1217" s="16">
        <f t="shared" si="1"/>
        <v>5.423392987</v>
      </c>
      <c r="L1217" s="16">
        <f t="shared" si="2"/>
        <v>1.164462892</v>
      </c>
    </row>
    <row r="1218" ht="16.5" customHeight="1">
      <c r="A1218" s="15" t="str">
        <f>Solieusap!A1218</f>
        <v>Cũ</v>
      </c>
      <c r="B1218" s="15">
        <f>Solieusap!B1218</f>
        <v>3.5</v>
      </c>
      <c r="C1218" s="15" t="str">
        <f>Solieusap!C1218</f>
        <v>COMB6</v>
      </c>
      <c r="D1218" s="15" t="str">
        <f>Solieusap!D1218</f>
        <v>Combination</v>
      </c>
      <c r="E1218" s="16">
        <f>ABS(Solieusap!E1218)</f>
        <v>5.440249351</v>
      </c>
      <c r="F1218" s="16">
        <f>ABS(Solieusap!F1218)</f>
        <v>0.42889329</v>
      </c>
      <c r="G1218" s="16">
        <f>ABS(Solieusap!G1218)</f>
        <v>0.6202393939</v>
      </c>
      <c r="H1218" s="16">
        <f>ABS(Solieusap!H1218)</f>
        <v>0.0002482246104</v>
      </c>
      <c r="I1218" s="16">
        <f>ABS(Solieusap!I1218)</f>
        <v>1.171257684</v>
      </c>
      <c r="J1218" s="16">
        <f>ABS(Solieusap!J1218)</f>
        <v>0.8054712338</v>
      </c>
      <c r="K1218" s="16">
        <f t="shared" si="1"/>
        <v>5.440249351</v>
      </c>
      <c r="L1218" s="16">
        <f t="shared" si="2"/>
        <v>1.171257684</v>
      </c>
    </row>
    <row r="1219" ht="16.5" customHeight="1">
      <c r="A1219" s="15" t="str">
        <f>Solieusap!A1219</f>
        <v>Cũ</v>
      </c>
      <c r="B1219" s="15">
        <f>Solieusap!B1219</f>
        <v>0</v>
      </c>
      <c r="C1219" s="15" t="str">
        <f>Solieusap!C1219</f>
        <v>COMB7</v>
      </c>
      <c r="D1219" s="15" t="str">
        <f>Solieusap!D1219</f>
        <v>Combination</v>
      </c>
      <c r="E1219" s="16">
        <f>ABS(Solieusap!E1219)</f>
        <v>5.457105714</v>
      </c>
      <c r="F1219" s="16">
        <f>ABS(Solieusap!F1219)</f>
        <v>0.4306038095</v>
      </c>
      <c r="G1219" s="16">
        <f>ABS(Solieusap!G1219)</f>
        <v>0.6225038095</v>
      </c>
      <c r="H1219" s="16">
        <f>ABS(Solieusap!H1219)</f>
        <v>0.0002492797143</v>
      </c>
      <c r="I1219" s="16">
        <f>ABS(Solieusap!I1219)</f>
        <v>1.178052476</v>
      </c>
      <c r="J1219" s="16">
        <f>ABS(Solieusap!J1219)</f>
        <v>0.8100182857</v>
      </c>
      <c r="K1219" s="16">
        <f t="shared" si="1"/>
        <v>5.457105714</v>
      </c>
      <c r="L1219" s="16">
        <f t="shared" si="2"/>
        <v>1.178052476</v>
      </c>
    </row>
    <row r="1220" ht="16.5" customHeight="1">
      <c r="A1220" s="15" t="str">
        <f>Solieusap!A1220</f>
        <v>Cũ</v>
      </c>
      <c r="B1220" s="15">
        <f>Solieusap!B1220</f>
        <v>1.75</v>
      </c>
      <c r="C1220" s="15" t="str">
        <f>Solieusap!C1220</f>
        <v>COMB7</v>
      </c>
      <c r="D1220" s="15" t="str">
        <f>Solieusap!D1220</f>
        <v>Combination</v>
      </c>
      <c r="E1220" s="16">
        <f>ABS(Solieusap!E1220)</f>
        <v>5.473962078</v>
      </c>
      <c r="F1220" s="16">
        <f>ABS(Solieusap!F1220)</f>
        <v>0.432314329</v>
      </c>
      <c r="G1220" s="16">
        <f>ABS(Solieusap!G1220)</f>
        <v>0.6247682251</v>
      </c>
      <c r="H1220" s="16">
        <f>ABS(Solieusap!H1220)</f>
        <v>0.0002503348182</v>
      </c>
      <c r="I1220" s="16">
        <f>ABS(Solieusap!I1220)</f>
        <v>1.184847268</v>
      </c>
      <c r="J1220" s="16">
        <f>ABS(Solieusap!J1220)</f>
        <v>0.8145653377</v>
      </c>
      <c r="K1220" s="16">
        <f t="shared" si="1"/>
        <v>5.473962078</v>
      </c>
      <c r="L1220" s="16">
        <f t="shared" si="2"/>
        <v>1.184847268</v>
      </c>
    </row>
    <row r="1221" ht="16.5" customHeight="1">
      <c r="A1221" s="15" t="str">
        <f>Solieusap!A1221</f>
        <v>Cũ</v>
      </c>
      <c r="B1221" s="15">
        <f>Solieusap!B1221</f>
        <v>3.5</v>
      </c>
      <c r="C1221" s="15" t="str">
        <f>Solieusap!C1221</f>
        <v>COMB7</v>
      </c>
      <c r="D1221" s="15" t="str">
        <f>Solieusap!D1221</f>
        <v>Combination</v>
      </c>
      <c r="E1221" s="16">
        <f>ABS(Solieusap!E1221)</f>
        <v>5.490818442</v>
      </c>
      <c r="F1221" s="16">
        <f>ABS(Solieusap!F1221)</f>
        <v>0.4340248485</v>
      </c>
      <c r="G1221" s="16">
        <f>ABS(Solieusap!G1221)</f>
        <v>0.6270326407</v>
      </c>
      <c r="H1221" s="16">
        <f>ABS(Solieusap!H1221)</f>
        <v>0.0002513899221</v>
      </c>
      <c r="I1221" s="16">
        <f>ABS(Solieusap!I1221)</f>
        <v>1.191642061</v>
      </c>
      <c r="J1221" s="16">
        <f>ABS(Solieusap!J1221)</f>
        <v>0.8191123896</v>
      </c>
      <c r="K1221" s="16">
        <f t="shared" si="1"/>
        <v>5.490818442</v>
      </c>
      <c r="L1221" s="16">
        <f t="shared" si="2"/>
        <v>1.191642061</v>
      </c>
    </row>
    <row r="1222" ht="16.5" customHeight="1">
      <c r="A1222" s="15" t="str">
        <f>Solieusap!A1222</f>
        <v>Cũ</v>
      </c>
      <c r="B1222" s="15">
        <f>Solieusap!B1222</f>
        <v>0</v>
      </c>
      <c r="C1222" s="15" t="str">
        <f>Solieusap!C1222</f>
        <v>COMB1</v>
      </c>
      <c r="D1222" s="15" t="str">
        <f>Solieusap!D1222</f>
        <v>Combination</v>
      </c>
      <c r="E1222" s="16">
        <f>ABS(Solieusap!E1222)</f>
        <v>5.507674805</v>
      </c>
      <c r="F1222" s="16">
        <f>ABS(Solieusap!F1222)</f>
        <v>0.435735368</v>
      </c>
      <c r="G1222" s="16">
        <f>ABS(Solieusap!G1222)</f>
        <v>0.6292970563</v>
      </c>
      <c r="H1222" s="16">
        <f>ABS(Solieusap!H1222)</f>
        <v>0.000252445026</v>
      </c>
      <c r="I1222" s="16">
        <f>ABS(Solieusap!I1222)</f>
        <v>1.198436853</v>
      </c>
      <c r="J1222" s="16">
        <f>ABS(Solieusap!J1222)</f>
        <v>0.8236594416</v>
      </c>
      <c r="K1222" s="16">
        <f t="shared" si="1"/>
        <v>5.507674805</v>
      </c>
      <c r="L1222" s="16">
        <f t="shared" si="2"/>
        <v>1.198436853</v>
      </c>
    </row>
    <row r="1223" ht="16.5" customHeight="1">
      <c r="A1223" s="15" t="str">
        <f>Solieusap!A1223</f>
        <v>Cũ</v>
      </c>
      <c r="B1223" s="15">
        <f>Solieusap!B1223</f>
        <v>1.75</v>
      </c>
      <c r="C1223" s="15" t="str">
        <f>Solieusap!C1223</f>
        <v>COMB1</v>
      </c>
      <c r="D1223" s="15" t="str">
        <f>Solieusap!D1223</f>
        <v>Combination</v>
      </c>
      <c r="E1223" s="16">
        <f>ABS(Solieusap!E1223)</f>
        <v>5.524531169</v>
      </c>
      <c r="F1223" s="16">
        <f>ABS(Solieusap!F1223)</f>
        <v>0.4374458874</v>
      </c>
      <c r="G1223" s="16">
        <f>ABS(Solieusap!G1223)</f>
        <v>0.6315614719</v>
      </c>
      <c r="H1223" s="16">
        <f>ABS(Solieusap!H1223)</f>
        <v>0.0002535001299</v>
      </c>
      <c r="I1223" s="16">
        <f>ABS(Solieusap!I1223)</f>
        <v>1.205231645</v>
      </c>
      <c r="J1223" s="16">
        <f>ABS(Solieusap!J1223)</f>
        <v>0.8282064935</v>
      </c>
      <c r="K1223" s="16">
        <f t="shared" si="1"/>
        <v>5.524531169</v>
      </c>
      <c r="L1223" s="16">
        <f t="shared" si="2"/>
        <v>1.205231645</v>
      </c>
    </row>
    <row r="1224" ht="16.5" customHeight="1">
      <c r="A1224" s="15" t="str">
        <f>Solieusap!A1224</f>
        <v>Cũ</v>
      </c>
      <c r="B1224" s="15">
        <f>Solieusap!B1224</f>
        <v>3.5</v>
      </c>
      <c r="C1224" s="15" t="str">
        <f>Solieusap!C1224</f>
        <v>COMB1</v>
      </c>
      <c r="D1224" s="15" t="str">
        <f>Solieusap!D1224</f>
        <v>Combination</v>
      </c>
      <c r="E1224" s="16">
        <f>ABS(Solieusap!E1224)</f>
        <v>5.541387532</v>
      </c>
      <c r="F1224" s="16">
        <f>ABS(Solieusap!F1224)</f>
        <v>0.4391564069</v>
      </c>
      <c r="G1224" s="16">
        <f>ABS(Solieusap!G1224)</f>
        <v>0.6338258874</v>
      </c>
      <c r="H1224" s="16">
        <f>ABS(Solieusap!H1224)</f>
        <v>0.0002545552338</v>
      </c>
      <c r="I1224" s="16">
        <f>ABS(Solieusap!I1224)</f>
        <v>1.212026437</v>
      </c>
      <c r="J1224" s="16">
        <f>ABS(Solieusap!J1224)</f>
        <v>0.8327535455</v>
      </c>
      <c r="K1224" s="16">
        <f t="shared" si="1"/>
        <v>5.541387532</v>
      </c>
      <c r="L1224" s="16">
        <f t="shared" si="2"/>
        <v>1.212026437</v>
      </c>
    </row>
    <row r="1225" ht="16.5" customHeight="1">
      <c r="A1225" s="15" t="str">
        <f>Solieusap!A1225</f>
        <v>Cũ</v>
      </c>
      <c r="B1225" s="15">
        <f>Solieusap!B1225</f>
        <v>0</v>
      </c>
      <c r="C1225" s="15" t="str">
        <f>Solieusap!C1225</f>
        <v>COMB2</v>
      </c>
      <c r="D1225" s="15" t="str">
        <f>Solieusap!D1225</f>
        <v>Combination</v>
      </c>
      <c r="E1225" s="16">
        <f>ABS(Solieusap!E1225)</f>
        <v>5.558243896</v>
      </c>
      <c r="F1225" s="16">
        <f>ABS(Solieusap!F1225)</f>
        <v>0.4408669264</v>
      </c>
      <c r="G1225" s="16">
        <f>ABS(Solieusap!G1225)</f>
        <v>0.636090303</v>
      </c>
      <c r="H1225" s="16">
        <f>ABS(Solieusap!H1225)</f>
        <v>0.0002556103377</v>
      </c>
      <c r="I1225" s="16">
        <f>ABS(Solieusap!I1225)</f>
        <v>1.218821229</v>
      </c>
      <c r="J1225" s="16">
        <f>ABS(Solieusap!J1225)</f>
        <v>0.8373005974</v>
      </c>
      <c r="K1225" s="16">
        <f t="shared" si="1"/>
        <v>5.558243896</v>
      </c>
      <c r="L1225" s="16">
        <f t="shared" si="2"/>
        <v>1.218821229</v>
      </c>
    </row>
    <row r="1226" ht="16.5" customHeight="1">
      <c r="A1226" s="15" t="str">
        <f>Solieusap!A1226</f>
        <v>Cũ</v>
      </c>
      <c r="B1226" s="15">
        <f>Solieusap!B1226</f>
        <v>1.75</v>
      </c>
      <c r="C1226" s="15" t="str">
        <f>Solieusap!C1226</f>
        <v>COMB2</v>
      </c>
      <c r="D1226" s="15" t="str">
        <f>Solieusap!D1226</f>
        <v>Combination</v>
      </c>
      <c r="E1226" s="16">
        <f>ABS(Solieusap!E1226)</f>
        <v>5.57510026</v>
      </c>
      <c r="F1226" s="16">
        <f>ABS(Solieusap!F1226)</f>
        <v>0.4425774459</v>
      </c>
      <c r="G1226" s="16">
        <f>ABS(Solieusap!G1226)</f>
        <v>0.6383547186</v>
      </c>
      <c r="H1226" s="16">
        <f>ABS(Solieusap!H1226)</f>
        <v>0.0002566654416</v>
      </c>
      <c r="I1226" s="16">
        <f>ABS(Solieusap!I1226)</f>
        <v>1.225616022</v>
      </c>
      <c r="J1226" s="16">
        <f>ABS(Solieusap!J1226)</f>
        <v>0.8418476494</v>
      </c>
      <c r="K1226" s="16">
        <f t="shared" si="1"/>
        <v>5.57510026</v>
      </c>
      <c r="L1226" s="16">
        <f t="shared" si="2"/>
        <v>1.225616022</v>
      </c>
    </row>
    <row r="1227" ht="16.5" customHeight="1">
      <c r="A1227" s="15" t="str">
        <f>Solieusap!A1227</f>
        <v>Cũ</v>
      </c>
      <c r="B1227" s="15">
        <f>Solieusap!B1227</f>
        <v>3.5</v>
      </c>
      <c r="C1227" s="15" t="str">
        <f>Solieusap!C1227</f>
        <v>COMB2</v>
      </c>
      <c r="D1227" s="15" t="str">
        <f>Solieusap!D1227</f>
        <v>Combination</v>
      </c>
      <c r="E1227" s="16">
        <f>ABS(Solieusap!E1227)</f>
        <v>5.591956623</v>
      </c>
      <c r="F1227" s="16">
        <f>ABS(Solieusap!F1227)</f>
        <v>0.4442879654</v>
      </c>
      <c r="G1227" s="16">
        <f>ABS(Solieusap!G1227)</f>
        <v>0.6406191342</v>
      </c>
      <c r="H1227" s="16">
        <f>ABS(Solieusap!H1227)</f>
        <v>0.0002577205455</v>
      </c>
      <c r="I1227" s="16">
        <f>ABS(Solieusap!I1227)</f>
        <v>1.232410814</v>
      </c>
      <c r="J1227" s="16">
        <f>ABS(Solieusap!J1227)</f>
        <v>0.8463947013</v>
      </c>
      <c r="K1227" s="16">
        <f t="shared" si="1"/>
        <v>5.591956623</v>
      </c>
      <c r="L1227" s="16">
        <f t="shared" si="2"/>
        <v>1.232410814</v>
      </c>
    </row>
    <row r="1228" ht="16.5" customHeight="1">
      <c r="A1228" s="15" t="str">
        <f>Solieusap!A1228</f>
        <v>Cũ</v>
      </c>
      <c r="B1228" s="15">
        <f>Solieusap!B1228</f>
        <v>0</v>
      </c>
      <c r="C1228" s="15" t="str">
        <f>Solieusap!C1228</f>
        <v>COMB3</v>
      </c>
      <c r="D1228" s="15" t="str">
        <f>Solieusap!D1228</f>
        <v>Combination</v>
      </c>
      <c r="E1228" s="16">
        <f>ABS(Solieusap!E1228)</f>
        <v>5.608812987</v>
      </c>
      <c r="F1228" s="16">
        <f>ABS(Solieusap!F1228)</f>
        <v>0.4459984848</v>
      </c>
      <c r="G1228" s="16">
        <f>ABS(Solieusap!G1228)</f>
        <v>0.6428835498</v>
      </c>
      <c r="H1228" s="16">
        <f>ABS(Solieusap!H1228)</f>
        <v>0.0002587756494</v>
      </c>
      <c r="I1228" s="16">
        <f>ABS(Solieusap!I1228)</f>
        <v>1.239205606</v>
      </c>
      <c r="J1228" s="16">
        <f>ABS(Solieusap!J1228)</f>
        <v>0.8509417532</v>
      </c>
      <c r="K1228" s="16">
        <f t="shared" si="1"/>
        <v>5.608812987</v>
      </c>
      <c r="L1228" s="16">
        <f t="shared" si="2"/>
        <v>1.239205606</v>
      </c>
    </row>
    <row r="1229" ht="16.5" customHeight="1">
      <c r="A1229" s="15" t="str">
        <f>Solieusap!A1229</f>
        <v>Cũ</v>
      </c>
      <c r="B1229" s="15">
        <f>Solieusap!B1229</f>
        <v>1.75</v>
      </c>
      <c r="C1229" s="15" t="str">
        <f>Solieusap!C1229</f>
        <v>COMB3</v>
      </c>
      <c r="D1229" s="15" t="str">
        <f>Solieusap!D1229</f>
        <v>Combination</v>
      </c>
      <c r="E1229" s="16">
        <f>ABS(Solieusap!E1229)</f>
        <v>5.625669351</v>
      </c>
      <c r="F1229" s="16">
        <f>ABS(Solieusap!F1229)</f>
        <v>0.4477090043</v>
      </c>
      <c r="G1229" s="16">
        <f>ABS(Solieusap!G1229)</f>
        <v>0.6451479654</v>
      </c>
      <c r="H1229" s="16">
        <f>ABS(Solieusap!H1229)</f>
        <v>0.0002598307532</v>
      </c>
      <c r="I1229" s="16">
        <f>ABS(Solieusap!I1229)</f>
        <v>1.246000398</v>
      </c>
      <c r="J1229" s="16">
        <f>ABS(Solieusap!J1229)</f>
        <v>0.8554888052</v>
      </c>
      <c r="K1229" s="16">
        <f t="shared" si="1"/>
        <v>5.625669351</v>
      </c>
      <c r="L1229" s="16">
        <f t="shared" si="2"/>
        <v>1.246000398</v>
      </c>
    </row>
    <row r="1230" ht="16.5" customHeight="1">
      <c r="A1230" s="15" t="str">
        <f>Solieusap!A1230</f>
        <v>Cũ</v>
      </c>
      <c r="B1230" s="15">
        <f>Solieusap!B1230</f>
        <v>3.5</v>
      </c>
      <c r="C1230" s="15" t="str">
        <f>Solieusap!C1230</f>
        <v>COMB3</v>
      </c>
      <c r="D1230" s="15" t="str">
        <f>Solieusap!D1230</f>
        <v>Combination</v>
      </c>
      <c r="E1230" s="16">
        <f>ABS(Solieusap!E1230)</f>
        <v>5.642525714</v>
      </c>
      <c r="F1230" s="16">
        <f>ABS(Solieusap!F1230)</f>
        <v>0.4494195238</v>
      </c>
      <c r="G1230" s="16">
        <f>ABS(Solieusap!G1230)</f>
        <v>0.647412381</v>
      </c>
      <c r="H1230" s="16">
        <f>ABS(Solieusap!H1230)</f>
        <v>0.0002608858571</v>
      </c>
      <c r="I1230" s="16">
        <f>ABS(Solieusap!I1230)</f>
        <v>1.25279519</v>
      </c>
      <c r="J1230" s="16">
        <f>ABS(Solieusap!J1230)</f>
        <v>0.8600358571</v>
      </c>
      <c r="K1230" s="16">
        <f t="shared" si="1"/>
        <v>5.642525714</v>
      </c>
      <c r="L1230" s="16">
        <f t="shared" si="2"/>
        <v>1.25279519</v>
      </c>
    </row>
    <row r="1231" ht="16.5" customHeight="1">
      <c r="A1231" s="15" t="str">
        <f>Solieusap!A1231</f>
        <v>Cũ</v>
      </c>
      <c r="B1231" s="15">
        <f>Solieusap!B1231</f>
        <v>0</v>
      </c>
      <c r="C1231" s="15" t="str">
        <f>Solieusap!C1231</f>
        <v>COMB4</v>
      </c>
      <c r="D1231" s="15" t="str">
        <f>Solieusap!D1231</f>
        <v>Combination</v>
      </c>
      <c r="E1231" s="16">
        <f>ABS(Solieusap!E1231)</f>
        <v>5.659382078</v>
      </c>
      <c r="F1231" s="16">
        <f>ABS(Solieusap!F1231)</f>
        <v>0.4511300433</v>
      </c>
      <c r="G1231" s="16">
        <f>ABS(Solieusap!G1231)</f>
        <v>0.6496767965</v>
      </c>
      <c r="H1231" s="16">
        <f>ABS(Solieusap!H1231)</f>
        <v>0.000261940961</v>
      </c>
      <c r="I1231" s="16">
        <f>ABS(Solieusap!I1231)</f>
        <v>1.259589983</v>
      </c>
      <c r="J1231" s="16">
        <f>ABS(Solieusap!J1231)</f>
        <v>0.8645829091</v>
      </c>
      <c r="K1231" s="16">
        <f t="shared" si="1"/>
        <v>5.659382078</v>
      </c>
      <c r="L1231" s="16">
        <f t="shared" si="2"/>
        <v>1.259589983</v>
      </c>
    </row>
    <row r="1232" ht="16.5" customHeight="1">
      <c r="A1232" s="15" t="str">
        <f>Solieusap!A1232</f>
        <v>Cũ</v>
      </c>
      <c r="B1232" s="15">
        <f>Solieusap!B1232</f>
        <v>1.75</v>
      </c>
      <c r="C1232" s="15" t="str">
        <f>Solieusap!C1232</f>
        <v>COMB4</v>
      </c>
      <c r="D1232" s="15" t="str">
        <f>Solieusap!D1232</f>
        <v>Combination</v>
      </c>
      <c r="E1232" s="16">
        <f>ABS(Solieusap!E1232)</f>
        <v>5.676238442</v>
      </c>
      <c r="F1232" s="16">
        <f>ABS(Solieusap!F1232)</f>
        <v>0.4528405628</v>
      </c>
      <c r="G1232" s="16">
        <f>ABS(Solieusap!G1232)</f>
        <v>0.6519412121</v>
      </c>
      <c r="H1232" s="16">
        <f>ABS(Solieusap!H1232)</f>
        <v>0.0002629960649</v>
      </c>
      <c r="I1232" s="16">
        <f>ABS(Solieusap!I1232)</f>
        <v>1.266384775</v>
      </c>
      <c r="J1232" s="16">
        <f>ABS(Solieusap!J1232)</f>
        <v>0.869129961</v>
      </c>
      <c r="K1232" s="16">
        <f t="shared" si="1"/>
        <v>5.676238442</v>
      </c>
      <c r="L1232" s="16">
        <f t="shared" si="2"/>
        <v>1.266384775</v>
      </c>
    </row>
    <row r="1233" ht="16.5" customHeight="1">
      <c r="A1233" s="15" t="str">
        <f>Solieusap!A1233</f>
        <v>Cũ</v>
      </c>
      <c r="B1233" s="15">
        <f>Solieusap!B1233</f>
        <v>3.5</v>
      </c>
      <c r="C1233" s="15" t="str">
        <f>Solieusap!C1233</f>
        <v>COMB4</v>
      </c>
      <c r="D1233" s="15" t="str">
        <f>Solieusap!D1233</f>
        <v>Combination</v>
      </c>
      <c r="E1233" s="16">
        <f>ABS(Solieusap!E1233)</f>
        <v>5.693094805</v>
      </c>
      <c r="F1233" s="16">
        <f>ABS(Solieusap!F1233)</f>
        <v>0.4545510823</v>
      </c>
      <c r="G1233" s="16">
        <f>ABS(Solieusap!G1233)</f>
        <v>0.6542056277</v>
      </c>
      <c r="H1233" s="16">
        <f>ABS(Solieusap!H1233)</f>
        <v>0.0002640511688</v>
      </c>
      <c r="I1233" s="16">
        <f>ABS(Solieusap!I1233)</f>
        <v>1.273179567</v>
      </c>
      <c r="J1233" s="16">
        <f>ABS(Solieusap!J1233)</f>
        <v>0.873677013</v>
      </c>
      <c r="K1233" s="16">
        <f t="shared" si="1"/>
        <v>5.693094805</v>
      </c>
      <c r="L1233" s="16">
        <f t="shared" si="2"/>
        <v>1.273179567</v>
      </c>
    </row>
    <row r="1234" ht="16.5" customHeight="1">
      <c r="A1234" s="15" t="str">
        <f>Solieusap!A1234</f>
        <v>Cũ</v>
      </c>
      <c r="B1234" s="15">
        <f>Solieusap!B1234</f>
        <v>0</v>
      </c>
      <c r="C1234" s="15" t="str">
        <f>Solieusap!C1234</f>
        <v>COMB5</v>
      </c>
      <c r="D1234" s="15" t="str">
        <f>Solieusap!D1234</f>
        <v>Combination</v>
      </c>
      <c r="E1234" s="16">
        <f>ABS(Solieusap!E1234)</f>
        <v>5.709951169</v>
      </c>
      <c r="F1234" s="16">
        <f>ABS(Solieusap!F1234)</f>
        <v>0.4562616017</v>
      </c>
      <c r="G1234" s="16">
        <f>ABS(Solieusap!G1234)</f>
        <v>0.6564700433</v>
      </c>
      <c r="H1234" s="16">
        <f>ABS(Solieusap!H1234)</f>
        <v>0.0002651062727</v>
      </c>
      <c r="I1234" s="16">
        <f>ABS(Solieusap!I1234)</f>
        <v>1.279974359</v>
      </c>
      <c r="J1234" s="16">
        <f>ABS(Solieusap!J1234)</f>
        <v>0.8782240649</v>
      </c>
      <c r="K1234" s="16">
        <f t="shared" si="1"/>
        <v>5.709951169</v>
      </c>
      <c r="L1234" s="16">
        <f t="shared" si="2"/>
        <v>1.279974359</v>
      </c>
    </row>
    <row r="1235" ht="16.5" customHeight="1">
      <c r="A1235" s="15" t="str">
        <f>Solieusap!A1235</f>
        <v>Cũ</v>
      </c>
      <c r="B1235" s="15">
        <f>Solieusap!B1235</f>
        <v>1.75</v>
      </c>
      <c r="C1235" s="15" t="str">
        <f>Solieusap!C1235</f>
        <v>COMB5</v>
      </c>
      <c r="D1235" s="15" t="str">
        <f>Solieusap!D1235</f>
        <v>Combination</v>
      </c>
      <c r="E1235" s="16">
        <f>ABS(Solieusap!E1235)</f>
        <v>5.726807532</v>
      </c>
      <c r="F1235" s="16">
        <f>ABS(Solieusap!F1235)</f>
        <v>0.4579721212</v>
      </c>
      <c r="G1235" s="16">
        <f>ABS(Solieusap!G1235)</f>
        <v>0.6587344589</v>
      </c>
      <c r="H1235" s="16">
        <f>ABS(Solieusap!H1235)</f>
        <v>0.0002661613766</v>
      </c>
      <c r="I1235" s="16">
        <f>ABS(Solieusap!I1235)</f>
        <v>1.286769152</v>
      </c>
      <c r="J1235" s="16">
        <f>ABS(Solieusap!J1235)</f>
        <v>0.8827711169</v>
      </c>
      <c r="K1235" s="16">
        <f t="shared" si="1"/>
        <v>5.726807532</v>
      </c>
      <c r="L1235" s="16">
        <f t="shared" si="2"/>
        <v>1.286769152</v>
      </c>
    </row>
    <row r="1236" ht="16.5" customHeight="1">
      <c r="A1236" s="15" t="str">
        <f>Solieusap!A1236</f>
        <v>Cũ</v>
      </c>
      <c r="B1236" s="15">
        <f>Solieusap!B1236</f>
        <v>3.5</v>
      </c>
      <c r="C1236" s="15" t="str">
        <f>Solieusap!C1236</f>
        <v>COMB5</v>
      </c>
      <c r="D1236" s="15" t="str">
        <f>Solieusap!D1236</f>
        <v>Combination</v>
      </c>
      <c r="E1236" s="16">
        <f>ABS(Solieusap!E1236)</f>
        <v>5.743663896</v>
      </c>
      <c r="F1236" s="16">
        <f>ABS(Solieusap!F1236)</f>
        <v>0.4596826407</v>
      </c>
      <c r="G1236" s="16">
        <f>ABS(Solieusap!G1236)</f>
        <v>0.6609988745</v>
      </c>
      <c r="H1236" s="16">
        <f>ABS(Solieusap!H1236)</f>
        <v>0.0002672164805</v>
      </c>
      <c r="I1236" s="16">
        <f>ABS(Solieusap!I1236)</f>
        <v>1.293563944</v>
      </c>
      <c r="J1236" s="16">
        <f>ABS(Solieusap!J1236)</f>
        <v>0.8873181688</v>
      </c>
      <c r="K1236" s="16">
        <f t="shared" si="1"/>
        <v>5.743663896</v>
      </c>
      <c r="L1236" s="16">
        <f t="shared" si="2"/>
        <v>1.293563944</v>
      </c>
    </row>
    <row r="1237" ht="16.5" customHeight="1">
      <c r="A1237" s="15" t="str">
        <f>Solieusap!A1237</f>
        <v>Cũ</v>
      </c>
      <c r="B1237" s="15">
        <f>Solieusap!B1237</f>
        <v>0</v>
      </c>
      <c r="C1237" s="15" t="str">
        <f>Solieusap!C1237</f>
        <v>COMB6</v>
      </c>
      <c r="D1237" s="15" t="str">
        <f>Solieusap!D1237</f>
        <v>Combination</v>
      </c>
      <c r="E1237" s="16">
        <f>ABS(Solieusap!E1237)</f>
        <v>5.76052026</v>
      </c>
      <c r="F1237" s="16">
        <f>ABS(Solieusap!F1237)</f>
        <v>0.4613931602</v>
      </c>
      <c r="G1237" s="16">
        <f>ABS(Solieusap!G1237)</f>
        <v>0.66326329</v>
      </c>
      <c r="H1237" s="16">
        <f>ABS(Solieusap!H1237)</f>
        <v>0.0002682715844</v>
      </c>
      <c r="I1237" s="16">
        <f>ABS(Solieusap!I1237)</f>
        <v>1.300358736</v>
      </c>
      <c r="J1237" s="16">
        <f>ABS(Solieusap!J1237)</f>
        <v>0.8918652208</v>
      </c>
      <c r="K1237" s="16">
        <f t="shared" si="1"/>
        <v>5.76052026</v>
      </c>
      <c r="L1237" s="16">
        <f t="shared" si="2"/>
        <v>1.300358736</v>
      </c>
    </row>
    <row r="1238" ht="16.5" customHeight="1">
      <c r="A1238" s="15" t="str">
        <f>Solieusap!A1238</f>
        <v>Cũ</v>
      </c>
      <c r="B1238" s="15">
        <f>Solieusap!B1238</f>
        <v>1.75</v>
      </c>
      <c r="C1238" s="15" t="str">
        <f>Solieusap!C1238</f>
        <v>COMB6</v>
      </c>
      <c r="D1238" s="15" t="str">
        <f>Solieusap!D1238</f>
        <v>Combination</v>
      </c>
      <c r="E1238" s="16">
        <f>ABS(Solieusap!E1238)</f>
        <v>5.777376623</v>
      </c>
      <c r="F1238" s="16">
        <f>ABS(Solieusap!F1238)</f>
        <v>0.4631036797</v>
      </c>
      <c r="G1238" s="16">
        <f>ABS(Solieusap!G1238)</f>
        <v>0.6655277056</v>
      </c>
      <c r="H1238" s="16">
        <f>ABS(Solieusap!H1238)</f>
        <v>0.0002693266883</v>
      </c>
      <c r="I1238" s="16">
        <f>ABS(Solieusap!I1238)</f>
        <v>1.307153528</v>
      </c>
      <c r="J1238" s="16">
        <f>ABS(Solieusap!J1238)</f>
        <v>0.8964122727</v>
      </c>
      <c r="K1238" s="16">
        <f t="shared" si="1"/>
        <v>5.777376623</v>
      </c>
      <c r="L1238" s="16">
        <f t="shared" si="2"/>
        <v>1.307153528</v>
      </c>
    </row>
    <row r="1239" ht="16.5" customHeight="1">
      <c r="A1239" s="15" t="str">
        <f>Solieusap!A1239</f>
        <v>Cũ</v>
      </c>
      <c r="B1239" s="15">
        <f>Solieusap!B1239</f>
        <v>3.5</v>
      </c>
      <c r="C1239" s="15" t="str">
        <f>Solieusap!C1239</f>
        <v>COMB6</v>
      </c>
      <c r="D1239" s="15" t="str">
        <f>Solieusap!D1239</f>
        <v>Combination</v>
      </c>
      <c r="E1239" s="16">
        <f>ABS(Solieusap!E1239)</f>
        <v>5.794232987</v>
      </c>
      <c r="F1239" s="16">
        <f>ABS(Solieusap!F1239)</f>
        <v>0.4648141991</v>
      </c>
      <c r="G1239" s="16">
        <f>ABS(Solieusap!G1239)</f>
        <v>0.6677921212</v>
      </c>
      <c r="H1239" s="16">
        <f>ABS(Solieusap!H1239)</f>
        <v>0.0002703817922</v>
      </c>
      <c r="I1239" s="16">
        <f>ABS(Solieusap!I1239)</f>
        <v>1.31394832</v>
      </c>
      <c r="J1239" s="16">
        <f>ABS(Solieusap!J1239)</f>
        <v>0.9009593247</v>
      </c>
      <c r="K1239" s="16">
        <f t="shared" si="1"/>
        <v>5.794232987</v>
      </c>
      <c r="L1239" s="16">
        <f t="shared" si="2"/>
        <v>1.31394832</v>
      </c>
    </row>
    <row r="1240" ht="16.5" customHeight="1">
      <c r="A1240" s="15" t="str">
        <f>Solieusap!A1240</f>
        <v>Cũ</v>
      </c>
      <c r="B1240" s="15">
        <f>Solieusap!B1240</f>
        <v>0</v>
      </c>
      <c r="C1240" s="15" t="str">
        <f>Solieusap!C1240</f>
        <v>COMB7</v>
      </c>
      <c r="D1240" s="15" t="str">
        <f>Solieusap!D1240</f>
        <v>Combination</v>
      </c>
      <c r="E1240" s="16">
        <f>ABS(Solieusap!E1240)</f>
        <v>5.811089351</v>
      </c>
      <c r="F1240" s="16">
        <f>ABS(Solieusap!F1240)</f>
        <v>0.4665247186</v>
      </c>
      <c r="G1240" s="16">
        <f>ABS(Solieusap!G1240)</f>
        <v>0.6700565368</v>
      </c>
      <c r="H1240" s="16">
        <f>ABS(Solieusap!H1240)</f>
        <v>0.0002714368961</v>
      </c>
      <c r="I1240" s="16">
        <f>ABS(Solieusap!I1240)</f>
        <v>1.320743113</v>
      </c>
      <c r="J1240" s="16">
        <f>ABS(Solieusap!J1240)</f>
        <v>0.9055063766</v>
      </c>
      <c r="K1240" s="16">
        <f t="shared" si="1"/>
        <v>5.811089351</v>
      </c>
      <c r="L1240" s="16">
        <f t="shared" si="2"/>
        <v>1.320743113</v>
      </c>
    </row>
    <row r="1241" ht="16.5" customHeight="1">
      <c r="A1241" s="15" t="str">
        <f>Solieusap!A1241</f>
        <v>Cũ</v>
      </c>
      <c r="B1241" s="15">
        <f>Solieusap!B1241</f>
        <v>1.75</v>
      </c>
      <c r="C1241" s="15" t="str">
        <f>Solieusap!C1241</f>
        <v>COMB7</v>
      </c>
      <c r="D1241" s="15" t="str">
        <f>Solieusap!D1241</f>
        <v>Combination</v>
      </c>
      <c r="E1241" s="16">
        <f>ABS(Solieusap!E1241)</f>
        <v>5.827945714</v>
      </c>
      <c r="F1241" s="16">
        <f>ABS(Solieusap!F1241)</f>
        <v>0.4682352381</v>
      </c>
      <c r="G1241" s="16">
        <f>ABS(Solieusap!G1241)</f>
        <v>0.6723209524</v>
      </c>
      <c r="H1241" s="16">
        <f>ABS(Solieusap!H1241)</f>
        <v>0.000272492</v>
      </c>
      <c r="I1241" s="16">
        <f>ABS(Solieusap!I1241)</f>
        <v>1.327537905</v>
      </c>
      <c r="J1241" s="16">
        <f>ABS(Solieusap!J1241)</f>
        <v>0.9100534286</v>
      </c>
      <c r="K1241" s="16">
        <f t="shared" si="1"/>
        <v>5.827945714</v>
      </c>
      <c r="L1241" s="16">
        <f t="shared" si="2"/>
        <v>1.327537905</v>
      </c>
    </row>
    <row r="1242" ht="16.5" customHeight="1">
      <c r="A1242" s="15" t="str">
        <f>Solieusap!A1242</f>
        <v>Cũ</v>
      </c>
      <c r="B1242" s="15">
        <f>Solieusap!B1242</f>
        <v>3.5</v>
      </c>
      <c r="C1242" s="15" t="str">
        <f>Solieusap!C1242</f>
        <v>COMB7</v>
      </c>
      <c r="D1242" s="15" t="str">
        <f>Solieusap!D1242</f>
        <v>Combination</v>
      </c>
      <c r="E1242" s="16">
        <f>ABS(Solieusap!E1242)</f>
        <v>5.844802078</v>
      </c>
      <c r="F1242" s="16">
        <f>ABS(Solieusap!F1242)</f>
        <v>0.4699457576</v>
      </c>
      <c r="G1242" s="16">
        <f>ABS(Solieusap!G1242)</f>
        <v>0.674585368</v>
      </c>
      <c r="H1242" s="16">
        <f>ABS(Solieusap!H1242)</f>
        <v>0.0002735471039</v>
      </c>
      <c r="I1242" s="16">
        <f>ABS(Solieusap!I1242)</f>
        <v>1.334332697</v>
      </c>
      <c r="J1242" s="16">
        <f>ABS(Solieusap!J1242)</f>
        <v>0.9146004805</v>
      </c>
      <c r="K1242" s="16">
        <f t="shared" si="1"/>
        <v>5.844802078</v>
      </c>
      <c r="L1242" s="16">
        <f t="shared" si="2"/>
        <v>1.334332697</v>
      </c>
    </row>
    <row r="1243" ht="16.5" customHeight="1">
      <c r="A1243" s="15" t="str">
        <f>Solieusap!A1243</f>
        <v>Cũ</v>
      </c>
      <c r="B1243" s="15">
        <f>Solieusap!B1243</f>
        <v>0</v>
      </c>
      <c r="C1243" s="15" t="str">
        <f>Solieusap!C1243</f>
        <v>COMB1</v>
      </c>
      <c r="D1243" s="15" t="str">
        <f>Solieusap!D1243</f>
        <v>Combination</v>
      </c>
      <c r="E1243" s="16">
        <f>ABS(Solieusap!E1243)</f>
        <v>5.861658442</v>
      </c>
      <c r="F1243" s="16">
        <f>ABS(Solieusap!F1243)</f>
        <v>0.4716562771</v>
      </c>
      <c r="G1243" s="16">
        <f>ABS(Solieusap!G1243)</f>
        <v>0.6768497835</v>
      </c>
      <c r="H1243" s="16">
        <f>ABS(Solieusap!H1243)</f>
        <v>0.0002746022078</v>
      </c>
      <c r="I1243" s="16">
        <f>ABS(Solieusap!I1243)</f>
        <v>1.341127489</v>
      </c>
      <c r="J1243" s="16">
        <f>ABS(Solieusap!J1243)</f>
        <v>0.9191475325</v>
      </c>
      <c r="K1243" s="16">
        <f t="shared" si="1"/>
        <v>5.861658442</v>
      </c>
      <c r="L1243" s="16">
        <f t="shared" si="2"/>
        <v>1.341127489</v>
      </c>
    </row>
    <row r="1244" ht="16.5" customHeight="1">
      <c r="A1244" s="15" t="str">
        <f>Solieusap!A1244</f>
        <v>Cũ</v>
      </c>
      <c r="B1244" s="15">
        <f>Solieusap!B1244</f>
        <v>1.75</v>
      </c>
      <c r="C1244" s="15" t="str">
        <f>Solieusap!C1244</f>
        <v>COMB1</v>
      </c>
      <c r="D1244" s="15" t="str">
        <f>Solieusap!D1244</f>
        <v>Combination</v>
      </c>
      <c r="E1244" s="16">
        <f>ABS(Solieusap!E1244)</f>
        <v>5.878514805</v>
      </c>
      <c r="F1244" s="16">
        <f>ABS(Solieusap!F1244)</f>
        <v>0.4733667965</v>
      </c>
      <c r="G1244" s="16">
        <f>ABS(Solieusap!G1244)</f>
        <v>0.6791141991</v>
      </c>
      <c r="H1244" s="16">
        <f>ABS(Solieusap!H1244)</f>
        <v>0.0002756573117</v>
      </c>
      <c r="I1244" s="16">
        <f>ABS(Solieusap!I1244)</f>
        <v>1.347922281</v>
      </c>
      <c r="J1244" s="16">
        <f>ABS(Solieusap!J1244)</f>
        <v>0.9236945844</v>
      </c>
      <c r="K1244" s="16">
        <f t="shared" si="1"/>
        <v>5.878514805</v>
      </c>
      <c r="L1244" s="16">
        <f t="shared" si="2"/>
        <v>1.347922281</v>
      </c>
    </row>
    <row r="1245" ht="16.5" customHeight="1">
      <c r="A1245" s="15" t="str">
        <f>Solieusap!A1245</f>
        <v>Cũ</v>
      </c>
      <c r="B1245" s="15">
        <f>Solieusap!B1245</f>
        <v>3.5</v>
      </c>
      <c r="C1245" s="15" t="str">
        <f>Solieusap!C1245</f>
        <v>COMB1</v>
      </c>
      <c r="D1245" s="15" t="str">
        <f>Solieusap!D1245</f>
        <v>Combination</v>
      </c>
      <c r="E1245" s="16">
        <f>ABS(Solieusap!E1245)</f>
        <v>5.895371169</v>
      </c>
      <c r="F1245" s="16">
        <f>ABS(Solieusap!F1245)</f>
        <v>0.475077316</v>
      </c>
      <c r="G1245" s="16">
        <f>ABS(Solieusap!G1245)</f>
        <v>0.6813786147</v>
      </c>
      <c r="H1245" s="16">
        <f>ABS(Solieusap!H1245)</f>
        <v>0.0002767124156</v>
      </c>
      <c r="I1245" s="16">
        <f>ABS(Solieusap!I1245)</f>
        <v>1.354717074</v>
      </c>
      <c r="J1245" s="16">
        <f>ABS(Solieusap!J1245)</f>
        <v>0.9282416364</v>
      </c>
      <c r="K1245" s="16">
        <f t="shared" si="1"/>
        <v>5.895371169</v>
      </c>
      <c r="L1245" s="16">
        <f t="shared" si="2"/>
        <v>1.354717074</v>
      </c>
    </row>
    <row r="1246" ht="16.5" customHeight="1">
      <c r="A1246" s="15" t="str">
        <f>Solieusap!A1246</f>
        <v>Cũ</v>
      </c>
      <c r="B1246" s="15">
        <f>Solieusap!B1246</f>
        <v>0</v>
      </c>
      <c r="C1246" s="15" t="str">
        <f>Solieusap!C1246</f>
        <v>COMB2</v>
      </c>
      <c r="D1246" s="15" t="str">
        <f>Solieusap!D1246</f>
        <v>Combination</v>
      </c>
      <c r="E1246" s="16">
        <f>ABS(Solieusap!E1246)</f>
        <v>5.912227532</v>
      </c>
      <c r="F1246" s="16">
        <f>ABS(Solieusap!F1246)</f>
        <v>0.4767878355</v>
      </c>
      <c r="G1246" s="16">
        <f>ABS(Solieusap!G1246)</f>
        <v>0.6836430303</v>
      </c>
      <c r="H1246" s="16">
        <f>ABS(Solieusap!H1246)</f>
        <v>0.0002777675195</v>
      </c>
      <c r="I1246" s="16">
        <f>ABS(Solieusap!I1246)</f>
        <v>1.361511866</v>
      </c>
      <c r="J1246" s="16">
        <f>ABS(Solieusap!J1246)</f>
        <v>0.9327886883</v>
      </c>
      <c r="K1246" s="16">
        <f t="shared" si="1"/>
        <v>5.912227532</v>
      </c>
      <c r="L1246" s="16">
        <f t="shared" si="2"/>
        <v>1.361511866</v>
      </c>
    </row>
    <row r="1247" ht="16.5" customHeight="1">
      <c r="A1247" s="15" t="str">
        <f>Solieusap!A1247</f>
        <v>Cũ</v>
      </c>
      <c r="B1247" s="15">
        <f>Solieusap!B1247</f>
        <v>1.75</v>
      </c>
      <c r="C1247" s="15" t="str">
        <f>Solieusap!C1247</f>
        <v>COMB2</v>
      </c>
      <c r="D1247" s="15" t="str">
        <f>Solieusap!D1247</f>
        <v>Combination</v>
      </c>
      <c r="E1247" s="16">
        <f>ABS(Solieusap!E1247)</f>
        <v>5.929083896</v>
      </c>
      <c r="F1247" s="16">
        <f>ABS(Solieusap!F1247)</f>
        <v>0.478498355</v>
      </c>
      <c r="G1247" s="16">
        <f>ABS(Solieusap!G1247)</f>
        <v>0.6859074459</v>
      </c>
      <c r="H1247" s="16">
        <f>ABS(Solieusap!H1247)</f>
        <v>0.0002788226234</v>
      </c>
      <c r="I1247" s="16">
        <f>ABS(Solieusap!I1247)</f>
        <v>1.368306658</v>
      </c>
      <c r="J1247" s="16">
        <f>ABS(Solieusap!J1247)</f>
        <v>0.9373357403</v>
      </c>
      <c r="K1247" s="16">
        <f t="shared" si="1"/>
        <v>5.929083896</v>
      </c>
      <c r="L1247" s="16">
        <f t="shared" si="2"/>
        <v>1.368306658</v>
      </c>
    </row>
    <row r="1248" ht="16.5" customHeight="1">
      <c r="A1248" s="15" t="str">
        <f>Solieusap!A1248</f>
        <v>Cũ</v>
      </c>
      <c r="B1248" s="15">
        <f>Solieusap!B1248</f>
        <v>3.5</v>
      </c>
      <c r="C1248" s="15" t="str">
        <f>Solieusap!C1248</f>
        <v>COMB2</v>
      </c>
      <c r="D1248" s="15" t="str">
        <f>Solieusap!D1248</f>
        <v>Combination</v>
      </c>
      <c r="E1248" s="16">
        <f>ABS(Solieusap!E1248)</f>
        <v>5.94594026</v>
      </c>
      <c r="F1248" s="16">
        <f>ABS(Solieusap!F1248)</f>
        <v>0.4802088745</v>
      </c>
      <c r="G1248" s="16">
        <f>ABS(Solieusap!G1248)</f>
        <v>0.6881718615</v>
      </c>
      <c r="H1248" s="16">
        <f>ABS(Solieusap!H1248)</f>
        <v>0.0002798777273</v>
      </c>
      <c r="I1248" s="16">
        <f>ABS(Solieusap!I1248)</f>
        <v>1.37510145</v>
      </c>
      <c r="J1248" s="16">
        <f>ABS(Solieusap!J1248)</f>
        <v>0.9418827922</v>
      </c>
      <c r="K1248" s="16">
        <f t="shared" si="1"/>
        <v>5.94594026</v>
      </c>
      <c r="L1248" s="16">
        <f t="shared" si="2"/>
        <v>1.37510145</v>
      </c>
    </row>
    <row r="1249" ht="16.5" customHeight="1">
      <c r="A1249" s="15" t="str">
        <f>Solieusap!A1249</f>
        <v>Cũ</v>
      </c>
      <c r="B1249" s="15">
        <f>Solieusap!B1249</f>
        <v>0</v>
      </c>
      <c r="C1249" s="15" t="str">
        <f>Solieusap!C1249</f>
        <v>COMB3</v>
      </c>
      <c r="D1249" s="15" t="str">
        <f>Solieusap!D1249</f>
        <v>Combination</v>
      </c>
      <c r="E1249" s="16">
        <f>ABS(Solieusap!E1249)</f>
        <v>5.962796623</v>
      </c>
      <c r="F1249" s="16">
        <f>ABS(Solieusap!F1249)</f>
        <v>0.4819193939</v>
      </c>
      <c r="G1249" s="16">
        <f>ABS(Solieusap!G1249)</f>
        <v>0.6904362771</v>
      </c>
      <c r="H1249" s="16">
        <f>ABS(Solieusap!H1249)</f>
        <v>0.0002809328312</v>
      </c>
      <c r="I1249" s="16">
        <f>ABS(Solieusap!I1249)</f>
        <v>1.381896242</v>
      </c>
      <c r="J1249" s="16">
        <f>ABS(Solieusap!J1249)</f>
        <v>0.9464298442</v>
      </c>
      <c r="K1249" s="16">
        <f t="shared" si="1"/>
        <v>5.962796623</v>
      </c>
      <c r="L1249" s="16">
        <f t="shared" si="2"/>
        <v>1.381896242</v>
      </c>
    </row>
    <row r="1250" ht="16.5" customHeight="1">
      <c r="A1250" s="15" t="str">
        <f>Solieusap!A1250</f>
        <v>Cũ</v>
      </c>
      <c r="B1250" s="15">
        <f>Solieusap!B1250</f>
        <v>1.75</v>
      </c>
      <c r="C1250" s="15" t="str">
        <f>Solieusap!C1250</f>
        <v>COMB3</v>
      </c>
      <c r="D1250" s="15" t="str">
        <f>Solieusap!D1250</f>
        <v>Combination</v>
      </c>
      <c r="E1250" s="16">
        <f>ABS(Solieusap!E1250)</f>
        <v>5.979652987</v>
      </c>
      <c r="F1250" s="16">
        <f>ABS(Solieusap!F1250)</f>
        <v>0.4836299134</v>
      </c>
      <c r="G1250" s="16">
        <f>ABS(Solieusap!G1250)</f>
        <v>0.6927006926</v>
      </c>
      <c r="H1250" s="16">
        <f>ABS(Solieusap!H1250)</f>
        <v>0.0002819879351</v>
      </c>
      <c r="I1250" s="16">
        <f>ABS(Solieusap!I1250)</f>
        <v>1.388691035</v>
      </c>
      <c r="J1250" s="16">
        <f>ABS(Solieusap!J1250)</f>
        <v>0.9509768961</v>
      </c>
      <c r="K1250" s="16">
        <f t="shared" si="1"/>
        <v>5.979652987</v>
      </c>
      <c r="L1250" s="16">
        <f t="shared" si="2"/>
        <v>1.388691035</v>
      </c>
    </row>
    <row r="1251" ht="16.5" customHeight="1">
      <c r="A1251" s="15" t="str">
        <f>Solieusap!A1251</f>
        <v>Cũ</v>
      </c>
      <c r="B1251" s="15">
        <f>Solieusap!B1251</f>
        <v>3.5</v>
      </c>
      <c r="C1251" s="15" t="str">
        <f>Solieusap!C1251</f>
        <v>COMB3</v>
      </c>
      <c r="D1251" s="15" t="str">
        <f>Solieusap!D1251</f>
        <v>Combination</v>
      </c>
      <c r="E1251" s="16">
        <f>ABS(Solieusap!E1251)</f>
        <v>5.996509351</v>
      </c>
      <c r="F1251" s="16">
        <f>ABS(Solieusap!F1251)</f>
        <v>0.4853404329</v>
      </c>
      <c r="G1251" s="16">
        <f>ABS(Solieusap!G1251)</f>
        <v>0.6949651082</v>
      </c>
      <c r="H1251" s="16">
        <f>ABS(Solieusap!H1251)</f>
        <v>0.000283043039</v>
      </c>
      <c r="I1251" s="16">
        <f>ABS(Solieusap!I1251)</f>
        <v>1.395485827</v>
      </c>
      <c r="J1251" s="16">
        <f>ABS(Solieusap!J1251)</f>
        <v>0.9555239481</v>
      </c>
      <c r="K1251" s="16">
        <f t="shared" si="1"/>
        <v>5.996509351</v>
      </c>
      <c r="L1251" s="16">
        <f t="shared" si="2"/>
        <v>1.395485827</v>
      </c>
    </row>
    <row r="1252" ht="16.5" customHeight="1">
      <c r="A1252" s="15" t="str">
        <f>Solieusap!A1252</f>
        <v>Cũ</v>
      </c>
      <c r="B1252" s="15">
        <f>Solieusap!B1252</f>
        <v>0</v>
      </c>
      <c r="C1252" s="15" t="str">
        <f>Solieusap!C1252</f>
        <v>COMB4</v>
      </c>
      <c r="D1252" s="15" t="str">
        <f>Solieusap!D1252</f>
        <v>Combination</v>
      </c>
      <c r="E1252" s="16">
        <f>ABS(Solieusap!E1252)</f>
        <v>6.013365714</v>
      </c>
      <c r="F1252" s="16">
        <f>ABS(Solieusap!F1252)</f>
        <v>0.4870509524</v>
      </c>
      <c r="G1252" s="16">
        <f>ABS(Solieusap!G1252)</f>
        <v>0.6972295238</v>
      </c>
      <c r="H1252" s="16">
        <f>ABS(Solieusap!H1252)</f>
        <v>0.0002840981429</v>
      </c>
      <c r="I1252" s="16">
        <f>ABS(Solieusap!I1252)</f>
        <v>1.402280619</v>
      </c>
      <c r="J1252" s="16">
        <f>ABS(Solieusap!J1252)</f>
        <v>0.960071</v>
      </c>
      <c r="K1252" s="16">
        <f t="shared" si="1"/>
        <v>6.013365714</v>
      </c>
      <c r="L1252" s="16">
        <f t="shared" si="2"/>
        <v>1.402280619</v>
      </c>
    </row>
    <row r="1253" ht="16.5" customHeight="1">
      <c r="A1253" s="15" t="str">
        <f>Solieusap!A1253</f>
        <v>Cũ</v>
      </c>
      <c r="B1253" s="15">
        <f>Solieusap!B1253</f>
        <v>1.75</v>
      </c>
      <c r="C1253" s="15" t="str">
        <f>Solieusap!C1253</f>
        <v>COMB4</v>
      </c>
      <c r="D1253" s="15" t="str">
        <f>Solieusap!D1253</f>
        <v>Combination</v>
      </c>
      <c r="E1253" s="16">
        <f>ABS(Solieusap!E1253)</f>
        <v>6.030222078</v>
      </c>
      <c r="F1253" s="16">
        <f>ABS(Solieusap!F1253)</f>
        <v>0.4887614719</v>
      </c>
      <c r="G1253" s="16">
        <f>ABS(Solieusap!G1253)</f>
        <v>0.6994939394</v>
      </c>
      <c r="H1253" s="16">
        <f>ABS(Solieusap!H1253)</f>
        <v>0.0002851532468</v>
      </c>
      <c r="I1253" s="16">
        <f>ABS(Solieusap!I1253)</f>
        <v>1.409075411</v>
      </c>
      <c r="J1253" s="16">
        <f>ABS(Solieusap!J1253)</f>
        <v>0.9646180519</v>
      </c>
      <c r="K1253" s="16">
        <f t="shared" si="1"/>
        <v>6.030222078</v>
      </c>
      <c r="L1253" s="16">
        <f t="shared" si="2"/>
        <v>1.409075411</v>
      </c>
    </row>
    <row r="1254" ht="16.5" customHeight="1">
      <c r="A1254" s="15" t="str">
        <f>Solieusap!A1254</f>
        <v>Cũ</v>
      </c>
      <c r="B1254" s="15">
        <f>Solieusap!B1254</f>
        <v>3.5</v>
      </c>
      <c r="C1254" s="15" t="str">
        <f>Solieusap!C1254</f>
        <v>COMB4</v>
      </c>
      <c r="D1254" s="15" t="str">
        <f>Solieusap!D1254</f>
        <v>Combination</v>
      </c>
      <c r="E1254" s="16">
        <f>ABS(Solieusap!E1254)</f>
        <v>6.047078442</v>
      </c>
      <c r="F1254" s="16">
        <f>ABS(Solieusap!F1254)</f>
        <v>0.4904719913</v>
      </c>
      <c r="G1254" s="16">
        <f>ABS(Solieusap!G1254)</f>
        <v>0.701758355</v>
      </c>
      <c r="H1254" s="16">
        <f>ABS(Solieusap!H1254)</f>
        <v>0.0002862083506</v>
      </c>
      <c r="I1254" s="16">
        <f>ABS(Solieusap!I1254)</f>
        <v>1.415870203</v>
      </c>
      <c r="J1254" s="16">
        <f>ABS(Solieusap!J1254)</f>
        <v>0.9691651039</v>
      </c>
      <c r="K1254" s="16">
        <f t="shared" si="1"/>
        <v>6.047078442</v>
      </c>
      <c r="L1254" s="16">
        <f t="shared" si="2"/>
        <v>1.415870203</v>
      </c>
    </row>
    <row r="1255" ht="16.5" customHeight="1">
      <c r="A1255" s="15" t="str">
        <f>Solieusap!A1255</f>
        <v>Cũ</v>
      </c>
      <c r="B1255" s="15">
        <f>Solieusap!B1255</f>
        <v>0</v>
      </c>
      <c r="C1255" s="15" t="str">
        <f>Solieusap!C1255</f>
        <v>COMB5</v>
      </c>
      <c r="D1255" s="15" t="str">
        <f>Solieusap!D1255</f>
        <v>Combination</v>
      </c>
      <c r="E1255" s="16">
        <f>ABS(Solieusap!E1255)</f>
        <v>6.063934805</v>
      </c>
      <c r="F1255" s="16">
        <f>ABS(Solieusap!F1255)</f>
        <v>0.4921825108</v>
      </c>
      <c r="G1255" s="16">
        <f>ABS(Solieusap!G1255)</f>
        <v>0.7040227706</v>
      </c>
      <c r="H1255" s="16">
        <f>ABS(Solieusap!H1255)</f>
        <v>0.0002872634545</v>
      </c>
      <c r="I1255" s="16">
        <f>ABS(Solieusap!I1255)</f>
        <v>1.422664996</v>
      </c>
      <c r="J1255" s="16">
        <f>ABS(Solieusap!J1255)</f>
        <v>0.9737121558</v>
      </c>
      <c r="K1255" s="16">
        <f t="shared" si="1"/>
        <v>6.063934805</v>
      </c>
      <c r="L1255" s="16">
        <f t="shared" si="2"/>
        <v>1.422664996</v>
      </c>
    </row>
    <row r="1256" ht="16.5" customHeight="1">
      <c r="A1256" s="15" t="str">
        <f>Solieusap!A1256</f>
        <v>Cũ</v>
      </c>
      <c r="B1256" s="15">
        <f>Solieusap!B1256</f>
        <v>1.75</v>
      </c>
      <c r="C1256" s="15" t="str">
        <f>Solieusap!C1256</f>
        <v>COMB5</v>
      </c>
      <c r="D1256" s="15" t="str">
        <f>Solieusap!D1256</f>
        <v>Combination</v>
      </c>
      <c r="E1256" s="16">
        <f>ABS(Solieusap!E1256)</f>
        <v>6.080791169</v>
      </c>
      <c r="F1256" s="16">
        <f>ABS(Solieusap!F1256)</f>
        <v>0.4938930303</v>
      </c>
      <c r="G1256" s="16">
        <f>ABS(Solieusap!G1256)</f>
        <v>0.7062871861</v>
      </c>
      <c r="H1256" s="16">
        <f>ABS(Solieusap!H1256)</f>
        <v>0.0002883185584</v>
      </c>
      <c r="I1256" s="16">
        <f>ABS(Solieusap!I1256)</f>
        <v>1.429459788</v>
      </c>
      <c r="J1256" s="16">
        <f>ABS(Solieusap!J1256)</f>
        <v>0.9782592078</v>
      </c>
      <c r="K1256" s="16">
        <f t="shared" si="1"/>
        <v>6.080791169</v>
      </c>
      <c r="L1256" s="16">
        <f t="shared" si="2"/>
        <v>1.429459788</v>
      </c>
    </row>
    <row r="1257" ht="16.5" customHeight="1">
      <c r="A1257" s="15" t="str">
        <f>Solieusap!A1257</f>
        <v>Cũ</v>
      </c>
      <c r="B1257" s="15">
        <f>Solieusap!B1257</f>
        <v>3.5</v>
      </c>
      <c r="C1257" s="15" t="str">
        <f>Solieusap!C1257</f>
        <v>COMB5</v>
      </c>
      <c r="D1257" s="15" t="str">
        <f>Solieusap!D1257</f>
        <v>Combination</v>
      </c>
      <c r="E1257" s="16">
        <f>ABS(Solieusap!E1257)</f>
        <v>6.097647532</v>
      </c>
      <c r="F1257" s="16">
        <f>ABS(Solieusap!F1257)</f>
        <v>0.4956035498</v>
      </c>
      <c r="G1257" s="16">
        <f>ABS(Solieusap!G1257)</f>
        <v>0.7085516017</v>
      </c>
      <c r="H1257" s="16">
        <f>ABS(Solieusap!H1257)</f>
        <v>0.0002893736623</v>
      </c>
      <c r="I1257" s="16">
        <f>ABS(Solieusap!I1257)</f>
        <v>1.43625458</v>
      </c>
      <c r="J1257" s="16">
        <f>ABS(Solieusap!J1257)</f>
        <v>0.9828062597</v>
      </c>
      <c r="K1257" s="16">
        <f t="shared" si="1"/>
        <v>6.097647532</v>
      </c>
      <c r="L1257" s="16">
        <f t="shared" si="2"/>
        <v>1.43625458</v>
      </c>
    </row>
    <row r="1258" ht="16.5" customHeight="1">
      <c r="A1258" s="15" t="str">
        <f>Solieusap!A1258</f>
        <v>Cũ</v>
      </c>
      <c r="B1258" s="15">
        <f>Solieusap!B1258</f>
        <v>0</v>
      </c>
      <c r="C1258" s="15" t="str">
        <f>Solieusap!C1258</f>
        <v>COMB6</v>
      </c>
      <c r="D1258" s="15" t="str">
        <f>Solieusap!D1258</f>
        <v>Combination</v>
      </c>
      <c r="E1258" s="16">
        <f>ABS(Solieusap!E1258)</f>
        <v>6.114503896</v>
      </c>
      <c r="F1258" s="16">
        <f>ABS(Solieusap!F1258)</f>
        <v>0.4973140693</v>
      </c>
      <c r="G1258" s="16">
        <f>ABS(Solieusap!G1258)</f>
        <v>0.7108160173</v>
      </c>
      <c r="H1258" s="16">
        <f>ABS(Solieusap!H1258)</f>
        <v>0.0002904287662</v>
      </c>
      <c r="I1258" s="16">
        <f>ABS(Solieusap!I1258)</f>
        <v>1.443049372</v>
      </c>
      <c r="J1258" s="16">
        <f>ABS(Solieusap!J1258)</f>
        <v>0.9873533117</v>
      </c>
      <c r="K1258" s="16">
        <f t="shared" si="1"/>
        <v>6.114503896</v>
      </c>
      <c r="L1258" s="16">
        <f t="shared" si="2"/>
        <v>1.443049372</v>
      </c>
    </row>
    <row r="1259" ht="16.5" customHeight="1">
      <c r="A1259" s="15" t="str">
        <f>Solieusap!A1259</f>
        <v>Cũ</v>
      </c>
      <c r="B1259" s="15">
        <f>Solieusap!B1259</f>
        <v>1.75</v>
      </c>
      <c r="C1259" s="15" t="str">
        <f>Solieusap!C1259</f>
        <v>COMB6</v>
      </c>
      <c r="D1259" s="15" t="str">
        <f>Solieusap!D1259</f>
        <v>Combination</v>
      </c>
      <c r="E1259" s="16">
        <f>ABS(Solieusap!E1259)</f>
        <v>6.13136026</v>
      </c>
      <c r="F1259" s="16">
        <f>ABS(Solieusap!F1259)</f>
        <v>0.4990245887</v>
      </c>
      <c r="G1259" s="16">
        <f>ABS(Solieusap!G1259)</f>
        <v>0.7130804329</v>
      </c>
      <c r="H1259" s="16">
        <f>ABS(Solieusap!H1259)</f>
        <v>0.0002914838701</v>
      </c>
      <c r="I1259" s="16">
        <f>ABS(Solieusap!I1259)</f>
        <v>1.449844165</v>
      </c>
      <c r="J1259" s="16">
        <f>ABS(Solieusap!J1259)</f>
        <v>0.9919003636</v>
      </c>
      <c r="K1259" s="16">
        <f t="shared" si="1"/>
        <v>6.13136026</v>
      </c>
      <c r="L1259" s="16">
        <f t="shared" si="2"/>
        <v>1.449844165</v>
      </c>
    </row>
    <row r="1260" ht="16.5" customHeight="1">
      <c r="A1260" s="15" t="str">
        <f>Solieusap!A1260</f>
        <v>Cũ</v>
      </c>
      <c r="B1260" s="15">
        <f>Solieusap!B1260</f>
        <v>3.5</v>
      </c>
      <c r="C1260" s="15" t="str">
        <f>Solieusap!C1260</f>
        <v>COMB6</v>
      </c>
      <c r="D1260" s="15" t="str">
        <f>Solieusap!D1260</f>
        <v>Combination</v>
      </c>
      <c r="E1260" s="16">
        <f>ABS(Solieusap!E1260)</f>
        <v>6.148216623</v>
      </c>
      <c r="F1260" s="16">
        <f>ABS(Solieusap!F1260)</f>
        <v>0.5007351082</v>
      </c>
      <c r="G1260" s="16">
        <f>ABS(Solieusap!G1260)</f>
        <v>0.7153448485</v>
      </c>
      <c r="H1260" s="16">
        <f>ABS(Solieusap!H1260)</f>
        <v>0.000292538974</v>
      </c>
      <c r="I1260" s="16">
        <f>ABS(Solieusap!I1260)</f>
        <v>1.456638957</v>
      </c>
      <c r="J1260" s="16">
        <f>ABS(Solieusap!J1260)</f>
        <v>0.9964474156</v>
      </c>
      <c r="K1260" s="16">
        <f t="shared" si="1"/>
        <v>6.148216623</v>
      </c>
      <c r="L1260" s="16">
        <f t="shared" si="2"/>
        <v>1.456638957</v>
      </c>
    </row>
    <row r="1261" ht="16.5" customHeight="1">
      <c r="A1261" s="15" t="str">
        <f>Solieusap!A1261</f>
        <v>Cũ</v>
      </c>
      <c r="B1261" s="15">
        <f>Solieusap!B1261</f>
        <v>0</v>
      </c>
      <c r="C1261" s="15" t="str">
        <f>Solieusap!C1261</f>
        <v>COMB7</v>
      </c>
      <c r="D1261" s="15" t="str">
        <f>Solieusap!D1261</f>
        <v>Combination</v>
      </c>
      <c r="E1261" s="16">
        <f>ABS(Solieusap!E1261)</f>
        <v>6.165072987</v>
      </c>
      <c r="F1261" s="16">
        <f>ABS(Solieusap!F1261)</f>
        <v>0.5024456277</v>
      </c>
      <c r="G1261" s="16">
        <f>ABS(Solieusap!G1261)</f>
        <v>0.7176092641</v>
      </c>
      <c r="H1261" s="16">
        <f>ABS(Solieusap!H1261)</f>
        <v>0.0002935940779</v>
      </c>
      <c r="I1261" s="16">
        <f>ABS(Solieusap!I1261)</f>
        <v>1.463433749</v>
      </c>
      <c r="J1261" s="16">
        <f>ABS(Solieusap!J1261)</f>
        <v>1.000994468</v>
      </c>
      <c r="K1261" s="16">
        <f t="shared" si="1"/>
        <v>6.165072987</v>
      </c>
      <c r="L1261" s="16">
        <f t="shared" si="2"/>
        <v>1.463433749</v>
      </c>
    </row>
    <row r="1262" ht="16.5" customHeight="1">
      <c r="A1262" s="15" t="str">
        <f>Solieusap!A1262</f>
        <v>Cũ</v>
      </c>
      <c r="B1262" s="15">
        <f>Solieusap!B1262</f>
        <v>1.75</v>
      </c>
      <c r="C1262" s="15" t="str">
        <f>Solieusap!C1262</f>
        <v>COMB7</v>
      </c>
      <c r="D1262" s="15" t="str">
        <f>Solieusap!D1262</f>
        <v>Combination</v>
      </c>
      <c r="E1262" s="16">
        <f>ABS(Solieusap!E1262)</f>
        <v>6.181929351</v>
      </c>
      <c r="F1262" s="16">
        <f>ABS(Solieusap!F1262)</f>
        <v>0.5041561472</v>
      </c>
      <c r="G1262" s="16">
        <f>ABS(Solieusap!G1262)</f>
        <v>0.7198736797</v>
      </c>
      <c r="H1262" s="16">
        <f>ABS(Solieusap!H1262)</f>
        <v>0.0002946491818</v>
      </c>
      <c r="I1262" s="16">
        <f>ABS(Solieusap!I1262)</f>
        <v>1.470228541</v>
      </c>
      <c r="J1262" s="16">
        <f>ABS(Solieusap!J1262)</f>
        <v>1.005541519</v>
      </c>
      <c r="K1262" s="16">
        <f t="shared" si="1"/>
        <v>6.181929351</v>
      </c>
      <c r="L1262" s="16">
        <f t="shared" si="2"/>
        <v>1.470228541</v>
      </c>
    </row>
    <row r="1263" ht="16.5" customHeight="1">
      <c r="A1263" s="15" t="str">
        <f>Solieusap!A1263</f>
        <v>Cũ</v>
      </c>
      <c r="B1263" s="15">
        <f>Solieusap!B1263</f>
        <v>3.5</v>
      </c>
      <c r="C1263" s="15" t="str">
        <f>Solieusap!C1263</f>
        <v>COMB7</v>
      </c>
      <c r="D1263" s="15" t="str">
        <f>Solieusap!D1263</f>
        <v>Combination</v>
      </c>
      <c r="E1263" s="16">
        <f>ABS(Solieusap!E1263)</f>
        <v>6.198785714</v>
      </c>
      <c r="F1263" s="16">
        <f>ABS(Solieusap!F1263)</f>
        <v>0.5058666667</v>
      </c>
      <c r="G1263" s="16">
        <f>ABS(Solieusap!G1263)</f>
        <v>0.7221380952</v>
      </c>
      <c r="H1263" s="16">
        <f>ABS(Solieusap!H1263)</f>
        <v>0.0002957042857</v>
      </c>
      <c r="I1263" s="16">
        <f>ABS(Solieusap!I1263)</f>
        <v>1.477023333</v>
      </c>
      <c r="J1263" s="16">
        <f>ABS(Solieusap!J1263)</f>
        <v>1.010088571</v>
      </c>
      <c r="K1263" s="16">
        <f t="shared" si="1"/>
        <v>6.198785714</v>
      </c>
      <c r="L1263" s="16">
        <f t="shared" si="2"/>
        <v>1.477023333</v>
      </c>
    </row>
    <row r="1264" ht="16.5" customHeight="1">
      <c r="A1264" s="15" t="str">
        <f>Solieusap!A1264</f>
        <v>Cũ</v>
      </c>
      <c r="B1264" s="15">
        <f>Solieusap!B1264</f>
        <v>0</v>
      </c>
      <c r="C1264" s="15" t="str">
        <f>Solieusap!C1264</f>
        <v>COMB1</v>
      </c>
      <c r="D1264" s="15" t="str">
        <f>Solieusap!D1264</f>
        <v>Combination</v>
      </c>
      <c r="E1264" s="16">
        <f>ABS(Solieusap!E1264)</f>
        <v>6.215642078</v>
      </c>
      <c r="F1264" s="16">
        <f>ABS(Solieusap!F1264)</f>
        <v>0.5075771861</v>
      </c>
      <c r="G1264" s="16">
        <f>ABS(Solieusap!G1264)</f>
        <v>0.7244025108</v>
      </c>
      <c r="H1264" s="16">
        <f>ABS(Solieusap!H1264)</f>
        <v>0.0002967593896</v>
      </c>
      <c r="I1264" s="16">
        <f>ABS(Solieusap!I1264)</f>
        <v>1.483818126</v>
      </c>
      <c r="J1264" s="16">
        <f>ABS(Solieusap!J1264)</f>
        <v>1.014635623</v>
      </c>
      <c r="K1264" s="16">
        <f t="shared" si="1"/>
        <v>6.215642078</v>
      </c>
      <c r="L1264" s="16">
        <f t="shared" si="2"/>
        <v>1.483818126</v>
      </c>
    </row>
    <row r="1265" ht="16.5" customHeight="1">
      <c r="A1265" s="15" t="str">
        <f>Solieusap!A1265</f>
        <v>Cũ</v>
      </c>
      <c r="B1265" s="15">
        <f>Solieusap!B1265</f>
        <v>1.75</v>
      </c>
      <c r="C1265" s="15" t="str">
        <f>Solieusap!C1265</f>
        <v>COMB1</v>
      </c>
      <c r="D1265" s="15" t="str">
        <f>Solieusap!D1265</f>
        <v>Combination</v>
      </c>
      <c r="E1265" s="16">
        <f>ABS(Solieusap!E1265)</f>
        <v>6.232498442</v>
      </c>
      <c r="F1265" s="16">
        <f>ABS(Solieusap!F1265)</f>
        <v>0.5092877056</v>
      </c>
      <c r="G1265" s="16">
        <f>ABS(Solieusap!G1265)</f>
        <v>0.7266669264</v>
      </c>
      <c r="H1265" s="16">
        <f>ABS(Solieusap!H1265)</f>
        <v>0.0002978144935</v>
      </c>
      <c r="I1265" s="16">
        <f>ABS(Solieusap!I1265)</f>
        <v>1.490612918</v>
      </c>
      <c r="J1265" s="16">
        <f>ABS(Solieusap!J1265)</f>
        <v>1.019182675</v>
      </c>
      <c r="K1265" s="16">
        <f t="shared" si="1"/>
        <v>6.232498442</v>
      </c>
      <c r="L1265" s="16">
        <f t="shared" si="2"/>
        <v>1.490612918</v>
      </c>
    </row>
    <row r="1266" ht="16.5" customHeight="1">
      <c r="A1266" s="15" t="str">
        <f>Solieusap!A1266</f>
        <v>Cũ</v>
      </c>
      <c r="B1266" s="15">
        <f>Solieusap!B1266</f>
        <v>3.5</v>
      </c>
      <c r="C1266" s="15" t="str">
        <f>Solieusap!C1266</f>
        <v>COMB1</v>
      </c>
      <c r="D1266" s="15" t="str">
        <f>Solieusap!D1266</f>
        <v>Combination</v>
      </c>
      <c r="E1266" s="16">
        <f>ABS(Solieusap!E1266)</f>
        <v>6.249354805</v>
      </c>
      <c r="F1266" s="16">
        <f>ABS(Solieusap!F1266)</f>
        <v>0.5109982251</v>
      </c>
      <c r="G1266" s="16">
        <f>ABS(Solieusap!G1266)</f>
        <v>0.728931342</v>
      </c>
      <c r="H1266" s="16">
        <f>ABS(Solieusap!H1266)</f>
        <v>0.0002988695974</v>
      </c>
      <c r="I1266" s="16">
        <f>ABS(Solieusap!I1266)</f>
        <v>1.49740771</v>
      </c>
      <c r="J1266" s="16">
        <f>ABS(Solieusap!J1266)</f>
        <v>1.023729727</v>
      </c>
      <c r="K1266" s="16">
        <f t="shared" si="1"/>
        <v>6.249354805</v>
      </c>
      <c r="L1266" s="16">
        <f t="shared" si="2"/>
        <v>1.49740771</v>
      </c>
    </row>
    <row r="1267" ht="16.5" customHeight="1">
      <c r="A1267" s="15" t="str">
        <f>Solieusap!A1267</f>
        <v>Cũ</v>
      </c>
      <c r="B1267" s="15">
        <f>Solieusap!B1267</f>
        <v>0</v>
      </c>
      <c r="C1267" s="15" t="str">
        <f>Solieusap!C1267</f>
        <v>COMB2</v>
      </c>
      <c r="D1267" s="15" t="str">
        <f>Solieusap!D1267</f>
        <v>Combination</v>
      </c>
      <c r="E1267" s="16">
        <f>ABS(Solieusap!E1267)</f>
        <v>6.266211169</v>
      </c>
      <c r="F1267" s="16">
        <f>ABS(Solieusap!F1267)</f>
        <v>0.5127087446</v>
      </c>
      <c r="G1267" s="16">
        <f>ABS(Solieusap!G1267)</f>
        <v>0.7311957576</v>
      </c>
      <c r="H1267" s="16">
        <f>ABS(Solieusap!H1267)</f>
        <v>0.0002999247013</v>
      </c>
      <c r="I1267" s="16">
        <f>ABS(Solieusap!I1267)</f>
        <v>1.504202502</v>
      </c>
      <c r="J1267" s="16">
        <f>ABS(Solieusap!J1267)</f>
        <v>1.028276779</v>
      </c>
      <c r="K1267" s="16">
        <f t="shared" si="1"/>
        <v>6.266211169</v>
      </c>
      <c r="L1267" s="16">
        <f t="shared" si="2"/>
        <v>1.504202502</v>
      </c>
    </row>
    <row r="1268" ht="16.5" customHeight="1">
      <c r="A1268" s="15" t="str">
        <f>Solieusap!A1268</f>
        <v>Cũ</v>
      </c>
      <c r="B1268" s="15">
        <f>Solieusap!B1268</f>
        <v>1.75</v>
      </c>
      <c r="C1268" s="15" t="str">
        <f>Solieusap!C1268</f>
        <v>COMB2</v>
      </c>
      <c r="D1268" s="15" t="str">
        <f>Solieusap!D1268</f>
        <v>Combination</v>
      </c>
      <c r="E1268" s="16">
        <f>ABS(Solieusap!E1268)</f>
        <v>6.283067532</v>
      </c>
      <c r="F1268" s="16">
        <f>ABS(Solieusap!F1268)</f>
        <v>0.5144192641</v>
      </c>
      <c r="G1268" s="16">
        <f>ABS(Solieusap!G1268)</f>
        <v>0.7334601732</v>
      </c>
      <c r="H1268" s="16">
        <f>ABS(Solieusap!H1268)</f>
        <v>0.0003009798052</v>
      </c>
      <c r="I1268" s="16">
        <f>ABS(Solieusap!I1268)</f>
        <v>1.510997294</v>
      </c>
      <c r="J1268" s="16">
        <f>ABS(Solieusap!J1268)</f>
        <v>1.032823831</v>
      </c>
      <c r="K1268" s="16">
        <f t="shared" si="1"/>
        <v>6.283067532</v>
      </c>
      <c r="L1268" s="16">
        <f t="shared" si="2"/>
        <v>1.510997294</v>
      </c>
    </row>
    <row r="1269" ht="16.5" customHeight="1">
      <c r="A1269" s="15" t="str">
        <f>Solieusap!A1269</f>
        <v>Cũ</v>
      </c>
      <c r="B1269" s="15">
        <f>Solieusap!B1269</f>
        <v>3.5</v>
      </c>
      <c r="C1269" s="15" t="str">
        <f>Solieusap!C1269</f>
        <v>COMB2</v>
      </c>
      <c r="D1269" s="15" t="str">
        <f>Solieusap!D1269</f>
        <v>Combination</v>
      </c>
      <c r="E1269" s="16">
        <f>ABS(Solieusap!E1269)</f>
        <v>6.299923896</v>
      </c>
      <c r="F1269" s="16">
        <f>ABS(Solieusap!F1269)</f>
        <v>0.5161297835</v>
      </c>
      <c r="G1269" s="16">
        <f>ABS(Solieusap!G1269)</f>
        <v>0.7357245887</v>
      </c>
      <c r="H1269" s="16">
        <f>ABS(Solieusap!H1269)</f>
        <v>0.0003020349091</v>
      </c>
      <c r="I1269" s="16">
        <f>ABS(Solieusap!I1269)</f>
        <v>1.517792087</v>
      </c>
      <c r="J1269" s="16">
        <f>ABS(Solieusap!J1269)</f>
        <v>1.037370883</v>
      </c>
      <c r="K1269" s="16">
        <f t="shared" si="1"/>
        <v>6.299923896</v>
      </c>
      <c r="L1269" s="16">
        <f t="shared" si="2"/>
        <v>1.517792087</v>
      </c>
    </row>
    <row r="1270" ht="16.5" customHeight="1">
      <c r="A1270" s="15" t="str">
        <f>Solieusap!A1270</f>
        <v>Cũ</v>
      </c>
      <c r="B1270" s="15">
        <f>Solieusap!B1270</f>
        <v>0</v>
      </c>
      <c r="C1270" s="15" t="str">
        <f>Solieusap!C1270</f>
        <v>COMB3</v>
      </c>
      <c r="D1270" s="15" t="str">
        <f>Solieusap!D1270</f>
        <v>Combination</v>
      </c>
      <c r="E1270" s="16">
        <f>ABS(Solieusap!E1270)</f>
        <v>6.31678026</v>
      </c>
      <c r="F1270" s="16">
        <f>ABS(Solieusap!F1270)</f>
        <v>0.517840303</v>
      </c>
      <c r="G1270" s="16">
        <f>ABS(Solieusap!G1270)</f>
        <v>0.7379890043</v>
      </c>
      <c r="H1270" s="16">
        <f>ABS(Solieusap!H1270)</f>
        <v>0.000303090013</v>
      </c>
      <c r="I1270" s="16">
        <f>ABS(Solieusap!I1270)</f>
        <v>1.524586879</v>
      </c>
      <c r="J1270" s="16">
        <f>ABS(Solieusap!J1270)</f>
        <v>1.041917935</v>
      </c>
      <c r="K1270" s="16">
        <f t="shared" si="1"/>
        <v>6.31678026</v>
      </c>
      <c r="L1270" s="16">
        <f t="shared" si="2"/>
        <v>1.524586879</v>
      </c>
    </row>
    <row r="1271" ht="16.5" customHeight="1">
      <c r="A1271" s="15" t="str">
        <f>Solieusap!A1271</f>
        <v>Cũ</v>
      </c>
      <c r="B1271" s="15">
        <f>Solieusap!B1271</f>
        <v>1.75</v>
      </c>
      <c r="C1271" s="15" t="str">
        <f>Solieusap!C1271</f>
        <v>COMB3</v>
      </c>
      <c r="D1271" s="15" t="str">
        <f>Solieusap!D1271</f>
        <v>Combination</v>
      </c>
      <c r="E1271" s="16">
        <f>ABS(Solieusap!E1271)</f>
        <v>6.333636623</v>
      </c>
      <c r="F1271" s="16">
        <f>ABS(Solieusap!F1271)</f>
        <v>0.5195508225</v>
      </c>
      <c r="G1271" s="16">
        <f>ABS(Solieusap!G1271)</f>
        <v>0.7402534199</v>
      </c>
      <c r="H1271" s="16">
        <f>ABS(Solieusap!H1271)</f>
        <v>0.0003041451169</v>
      </c>
      <c r="I1271" s="16">
        <f>ABS(Solieusap!I1271)</f>
        <v>1.531381671</v>
      </c>
      <c r="J1271" s="16">
        <f>ABS(Solieusap!J1271)</f>
        <v>1.046464987</v>
      </c>
      <c r="K1271" s="16">
        <f t="shared" si="1"/>
        <v>6.333636623</v>
      </c>
      <c r="L1271" s="16">
        <f t="shared" si="2"/>
        <v>1.531381671</v>
      </c>
    </row>
    <row r="1272" ht="16.5" customHeight="1">
      <c r="A1272" s="15" t="str">
        <f>Solieusap!A1272</f>
        <v>Cũ</v>
      </c>
      <c r="B1272" s="15">
        <f>Solieusap!B1272</f>
        <v>3.5</v>
      </c>
      <c r="C1272" s="15" t="str">
        <f>Solieusap!C1272</f>
        <v>COMB3</v>
      </c>
      <c r="D1272" s="15" t="str">
        <f>Solieusap!D1272</f>
        <v>Combination</v>
      </c>
      <c r="E1272" s="16">
        <f>ABS(Solieusap!E1272)</f>
        <v>6.350492987</v>
      </c>
      <c r="F1272" s="16">
        <f>ABS(Solieusap!F1272)</f>
        <v>0.521261342</v>
      </c>
      <c r="G1272" s="16">
        <f>ABS(Solieusap!G1272)</f>
        <v>0.7425178355</v>
      </c>
      <c r="H1272" s="16">
        <f>ABS(Solieusap!H1272)</f>
        <v>0.0003052002208</v>
      </c>
      <c r="I1272" s="16">
        <f>ABS(Solieusap!I1272)</f>
        <v>1.538176463</v>
      </c>
      <c r="J1272" s="16">
        <f>ABS(Solieusap!J1272)</f>
        <v>1.051012039</v>
      </c>
      <c r="K1272" s="16">
        <f t="shared" si="1"/>
        <v>6.350492987</v>
      </c>
      <c r="L1272" s="16">
        <f t="shared" si="2"/>
        <v>1.538176463</v>
      </c>
    </row>
    <row r="1273" ht="16.5" customHeight="1">
      <c r="A1273" s="15" t="str">
        <f>Solieusap!A1273</f>
        <v>Cũ</v>
      </c>
      <c r="B1273" s="15">
        <f>Solieusap!B1273</f>
        <v>0</v>
      </c>
      <c r="C1273" s="15" t="str">
        <f>Solieusap!C1273</f>
        <v>COMB4</v>
      </c>
      <c r="D1273" s="15" t="str">
        <f>Solieusap!D1273</f>
        <v>Combination</v>
      </c>
      <c r="E1273" s="16">
        <f>ABS(Solieusap!E1273)</f>
        <v>6.367349351</v>
      </c>
      <c r="F1273" s="16">
        <f>ABS(Solieusap!F1273)</f>
        <v>0.5229718615</v>
      </c>
      <c r="G1273" s="16">
        <f>ABS(Solieusap!G1273)</f>
        <v>0.7447822511</v>
      </c>
      <c r="H1273" s="16">
        <f>ABS(Solieusap!H1273)</f>
        <v>0.0003062553247</v>
      </c>
      <c r="I1273" s="16">
        <f>ABS(Solieusap!I1273)</f>
        <v>1.544971255</v>
      </c>
      <c r="J1273" s="16">
        <f>ABS(Solieusap!J1273)</f>
        <v>1.055559091</v>
      </c>
      <c r="K1273" s="16">
        <f t="shared" si="1"/>
        <v>6.367349351</v>
      </c>
      <c r="L1273" s="16">
        <f t="shared" si="2"/>
        <v>1.544971255</v>
      </c>
    </row>
    <row r="1274" ht="16.5" customHeight="1">
      <c r="A1274" s="15" t="str">
        <f>Solieusap!A1274</f>
        <v>Cũ</v>
      </c>
      <c r="B1274" s="15">
        <f>Solieusap!B1274</f>
        <v>1.75</v>
      </c>
      <c r="C1274" s="15" t="str">
        <f>Solieusap!C1274</f>
        <v>COMB4</v>
      </c>
      <c r="D1274" s="15" t="str">
        <f>Solieusap!D1274</f>
        <v>Combination</v>
      </c>
      <c r="E1274" s="16">
        <f>ABS(Solieusap!E1274)</f>
        <v>6.384205714</v>
      </c>
      <c r="F1274" s="16">
        <f>ABS(Solieusap!F1274)</f>
        <v>0.524682381</v>
      </c>
      <c r="G1274" s="16">
        <f>ABS(Solieusap!G1274)</f>
        <v>0.7470466667</v>
      </c>
      <c r="H1274" s="16">
        <f>ABS(Solieusap!H1274)</f>
        <v>0.0003073104286</v>
      </c>
      <c r="I1274" s="16">
        <f>ABS(Solieusap!I1274)</f>
        <v>1.551766048</v>
      </c>
      <c r="J1274" s="16">
        <f>ABS(Solieusap!J1274)</f>
        <v>1.060106143</v>
      </c>
      <c r="K1274" s="16">
        <f t="shared" si="1"/>
        <v>6.384205714</v>
      </c>
      <c r="L1274" s="16">
        <f t="shared" si="2"/>
        <v>1.551766048</v>
      </c>
    </row>
    <row r="1275" ht="16.5" customHeight="1">
      <c r="A1275" s="15" t="str">
        <f>Solieusap!A1275</f>
        <v>Cũ</v>
      </c>
      <c r="B1275" s="15">
        <f>Solieusap!B1275</f>
        <v>3.5</v>
      </c>
      <c r="C1275" s="15" t="str">
        <f>Solieusap!C1275</f>
        <v>COMB4</v>
      </c>
      <c r="D1275" s="15" t="str">
        <f>Solieusap!D1275</f>
        <v>Combination</v>
      </c>
      <c r="E1275" s="16">
        <f>ABS(Solieusap!E1275)</f>
        <v>6.401062078</v>
      </c>
      <c r="F1275" s="16">
        <f>ABS(Solieusap!F1275)</f>
        <v>0.5263929004</v>
      </c>
      <c r="G1275" s="16">
        <f>ABS(Solieusap!G1275)</f>
        <v>0.7493110823</v>
      </c>
      <c r="H1275" s="16">
        <f>ABS(Solieusap!H1275)</f>
        <v>0.0003083655325</v>
      </c>
      <c r="I1275" s="16">
        <f>ABS(Solieusap!I1275)</f>
        <v>1.55856084</v>
      </c>
      <c r="J1275" s="16">
        <f>ABS(Solieusap!J1275)</f>
        <v>1.064653195</v>
      </c>
      <c r="K1275" s="16">
        <f t="shared" si="1"/>
        <v>6.401062078</v>
      </c>
      <c r="L1275" s="16">
        <f t="shared" si="2"/>
        <v>1.55856084</v>
      </c>
    </row>
    <row r="1276" ht="16.5" customHeight="1">
      <c r="A1276" s="15" t="str">
        <f>Solieusap!A1276</f>
        <v>Cũ</v>
      </c>
      <c r="B1276" s="15">
        <f>Solieusap!B1276</f>
        <v>0</v>
      </c>
      <c r="C1276" s="15" t="str">
        <f>Solieusap!C1276</f>
        <v>COMB5</v>
      </c>
      <c r="D1276" s="15" t="str">
        <f>Solieusap!D1276</f>
        <v>Combination</v>
      </c>
      <c r="E1276" s="16">
        <f>ABS(Solieusap!E1276)</f>
        <v>6.417918442</v>
      </c>
      <c r="F1276" s="16">
        <f>ABS(Solieusap!F1276)</f>
        <v>0.5281034199</v>
      </c>
      <c r="G1276" s="16">
        <f>ABS(Solieusap!G1276)</f>
        <v>0.7515754978</v>
      </c>
      <c r="H1276" s="16">
        <f>ABS(Solieusap!H1276)</f>
        <v>0.0003094206364</v>
      </c>
      <c r="I1276" s="16">
        <f>ABS(Solieusap!I1276)</f>
        <v>1.565355632</v>
      </c>
      <c r="J1276" s="16">
        <f>ABS(Solieusap!J1276)</f>
        <v>1.069200247</v>
      </c>
      <c r="K1276" s="16">
        <f t="shared" si="1"/>
        <v>6.417918442</v>
      </c>
      <c r="L1276" s="16">
        <f t="shared" si="2"/>
        <v>1.565355632</v>
      </c>
    </row>
    <row r="1277" ht="16.5" customHeight="1">
      <c r="A1277" s="15" t="str">
        <f>Solieusap!A1277</f>
        <v>Cũ</v>
      </c>
      <c r="B1277" s="15">
        <f>Solieusap!B1277</f>
        <v>1.75</v>
      </c>
      <c r="C1277" s="15" t="str">
        <f>Solieusap!C1277</f>
        <v>COMB5</v>
      </c>
      <c r="D1277" s="15" t="str">
        <f>Solieusap!D1277</f>
        <v>Combination</v>
      </c>
      <c r="E1277" s="16">
        <f>ABS(Solieusap!E1277)</f>
        <v>6.434774805</v>
      </c>
      <c r="F1277" s="16">
        <f>ABS(Solieusap!F1277)</f>
        <v>0.5298139394</v>
      </c>
      <c r="G1277" s="16">
        <f>ABS(Solieusap!G1277)</f>
        <v>0.7538399134</v>
      </c>
      <c r="H1277" s="16">
        <f>ABS(Solieusap!H1277)</f>
        <v>0.0003104757403</v>
      </c>
      <c r="I1277" s="16">
        <f>ABS(Solieusap!I1277)</f>
        <v>1.572150424</v>
      </c>
      <c r="J1277" s="16">
        <f>ABS(Solieusap!J1277)</f>
        <v>1.073747299</v>
      </c>
      <c r="K1277" s="16">
        <f t="shared" si="1"/>
        <v>6.434774805</v>
      </c>
      <c r="L1277" s="16">
        <f t="shared" si="2"/>
        <v>1.572150424</v>
      </c>
    </row>
    <row r="1278" ht="16.5" customHeight="1">
      <c r="A1278" s="15" t="str">
        <f>Solieusap!A1278</f>
        <v>Cũ</v>
      </c>
      <c r="B1278" s="15">
        <f>Solieusap!B1278</f>
        <v>3.5</v>
      </c>
      <c r="C1278" s="15" t="str">
        <f>Solieusap!C1278</f>
        <v>COMB5</v>
      </c>
      <c r="D1278" s="15" t="str">
        <f>Solieusap!D1278</f>
        <v>Combination</v>
      </c>
      <c r="E1278" s="16">
        <f>ABS(Solieusap!E1278)</f>
        <v>6.451631169</v>
      </c>
      <c r="F1278" s="16">
        <f>ABS(Solieusap!F1278)</f>
        <v>0.5315244589</v>
      </c>
      <c r="G1278" s="16">
        <f>ABS(Solieusap!G1278)</f>
        <v>0.756104329</v>
      </c>
      <c r="H1278" s="16">
        <f>ABS(Solieusap!H1278)</f>
        <v>0.0003115308442</v>
      </c>
      <c r="I1278" s="16">
        <f>ABS(Solieusap!I1278)</f>
        <v>1.578945216</v>
      </c>
      <c r="J1278" s="16">
        <f>ABS(Solieusap!J1278)</f>
        <v>1.078294351</v>
      </c>
      <c r="K1278" s="16">
        <f t="shared" si="1"/>
        <v>6.451631169</v>
      </c>
      <c r="L1278" s="16">
        <f t="shared" si="2"/>
        <v>1.578945216</v>
      </c>
    </row>
    <row r="1279" ht="16.5" customHeight="1">
      <c r="A1279" s="15" t="str">
        <f>Solieusap!A1279</f>
        <v>Cũ</v>
      </c>
      <c r="B1279" s="15">
        <f>Solieusap!B1279</f>
        <v>0</v>
      </c>
      <c r="C1279" s="15" t="str">
        <f>Solieusap!C1279</f>
        <v>COMB6</v>
      </c>
      <c r="D1279" s="15" t="str">
        <f>Solieusap!D1279</f>
        <v>Combination</v>
      </c>
      <c r="E1279" s="16">
        <f>ABS(Solieusap!E1279)</f>
        <v>6.468487532</v>
      </c>
      <c r="F1279" s="16">
        <f>ABS(Solieusap!F1279)</f>
        <v>0.5332349784</v>
      </c>
      <c r="G1279" s="16">
        <f>ABS(Solieusap!G1279)</f>
        <v>0.7583687446</v>
      </c>
      <c r="H1279" s="16">
        <f>ABS(Solieusap!H1279)</f>
        <v>0.0003125859481</v>
      </c>
      <c r="I1279" s="16">
        <f>ABS(Solieusap!I1279)</f>
        <v>1.585740009</v>
      </c>
      <c r="J1279" s="16">
        <f>ABS(Solieusap!J1279)</f>
        <v>1.082841403</v>
      </c>
      <c r="K1279" s="16">
        <f t="shared" si="1"/>
        <v>6.468487532</v>
      </c>
      <c r="L1279" s="16">
        <f t="shared" si="2"/>
        <v>1.585740009</v>
      </c>
    </row>
    <row r="1280" ht="16.5" customHeight="1">
      <c r="A1280" s="15" t="str">
        <f>Solieusap!A1280</f>
        <v>Cũ</v>
      </c>
      <c r="B1280" s="15">
        <f>Solieusap!B1280</f>
        <v>1.75</v>
      </c>
      <c r="C1280" s="15" t="str">
        <f>Solieusap!C1280</f>
        <v>COMB6</v>
      </c>
      <c r="D1280" s="15" t="str">
        <f>Solieusap!D1280</f>
        <v>Combination</v>
      </c>
      <c r="E1280" s="16">
        <f>ABS(Solieusap!E1280)</f>
        <v>6.485343896</v>
      </c>
      <c r="F1280" s="16">
        <f>ABS(Solieusap!F1280)</f>
        <v>0.5349454978</v>
      </c>
      <c r="G1280" s="16">
        <f>ABS(Solieusap!G1280)</f>
        <v>0.7606331602</v>
      </c>
      <c r="H1280" s="16">
        <f>ABS(Solieusap!H1280)</f>
        <v>0.0003136410519</v>
      </c>
      <c r="I1280" s="16">
        <f>ABS(Solieusap!I1280)</f>
        <v>1.592534801</v>
      </c>
      <c r="J1280" s="16">
        <f>ABS(Solieusap!J1280)</f>
        <v>1.087388455</v>
      </c>
      <c r="K1280" s="16">
        <f t="shared" si="1"/>
        <v>6.485343896</v>
      </c>
      <c r="L1280" s="16">
        <f t="shared" si="2"/>
        <v>1.592534801</v>
      </c>
    </row>
    <row r="1281" ht="16.5" customHeight="1">
      <c r="A1281" s="15" t="str">
        <f>Solieusap!A1281</f>
        <v>Cũ</v>
      </c>
      <c r="B1281" s="15">
        <f>Solieusap!B1281</f>
        <v>3.5</v>
      </c>
      <c r="C1281" s="15" t="str">
        <f>Solieusap!C1281</f>
        <v>COMB6</v>
      </c>
      <c r="D1281" s="15" t="str">
        <f>Solieusap!D1281</f>
        <v>Combination</v>
      </c>
      <c r="E1281" s="16">
        <f>ABS(Solieusap!E1281)</f>
        <v>6.50220026</v>
      </c>
      <c r="F1281" s="16">
        <f>ABS(Solieusap!F1281)</f>
        <v>0.5366560173</v>
      </c>
      <c r="G1281" s="16">
        <f>ABS(Solieusap!G1281)</f>
        <v>0.7628975758</v>
      </c>
      <c r="H1281" s="16">
        <f>ABS(Solieusap!H1281)</f>
        <v>0.0003146961558</v>
      </c>
      <c r="I1281" s="16">
        <f>ABS(Solieusap!I1281)</f>
        <v>1.599329593</v>
      </c>
      <c r="J1281" s="16">
        <f>ABS(Solieusap!J1281)</f>
        <v>1.091935506</v>
      </c>
      <c r="K1281" s="16">
        <f t="shared" si="1"/>
        <v>6.50220026</v>
      </c>
      <c r="L1281" s="16">
        <f t="shared" si="2"/>
        <v>1.599329593</v>
      </c>
    </row>
    <row r="1282" ht="16.5" customHeight="1">
      <c r="A1282" s="15" t="str">
        <f>Solieusap!A1282</f>
        <v>Cũ</v>
      </c>
      <c r="B1282" s="15">
        <f>Solieusap!B1282</f>
        <v>0</v>
      </c>
      <c r="C1282" s="15" t="str">
        <f>Solieusap!C1282</f>
        <v>COMB7</v>
      </c>
      <c r="D1282" s="15" t="str">
        <f>Solieusap!D1282</f>
        <v>Combination</v>
      </c>
      <c r="E1282" s="16">
        <f>ABS(Solieusap!E1282)</f>
        <v>6.519056623</v>
      </c>
      <c r="F1282" s="16">
        <f>ABS(Solieusap!F1282)</f>
        <v>0.5383665368</v>
      </c>
      <c r="G1282" s="16">
        <f>ABS(Solieusap!G1282)</f>
        <v>0.7651619913</v>
      </c>
      <c r="H1282" s="16">
        <f>ABS(Solieusap!H1282)</f>
        <v>0.0003157512597</v>
      </c>
      <c r="I1282" s="16">
        <f>ABS(Solieusap!I1282)</f>
        <v>1.606124385</v>
      </c>
      <c r="J1282" s="16">
        <f>ABS(Solieusap!J1282)</f>
        <v>1.096482558</v>
      </c>
      <c r="K1282" s="16">
        <f t="shared" si="1"/>
        <v>6.519056623</v>
      </c>
      <c r="L1282" s="16">
        <f t="shared" si="2"/>
        <v>1.606124385</v>
      </c>
    </row>
    <row r="1283" ht="16.5" customHeight="1">
      <c r="A1283" s="15" t="str">
        <f>Solieusap!A1283</f>
        <v>Cũ</v>
      </c>
      <c r="B1283" s="15">
        <f>Solieusap!B1283</f>
        <v>1.75</v>
      </c>
      <c r="C1283" s="15" t="str">
        <f>Solieusap!C1283</f>
        <v>COMB7</v>
      </c>
      <c r="D1283" s="15" t="str">
        <f>Solieusap!D1283</f>
        <v>Combination</v>
      </c>
      <c r="E1283" s="16">
        <f>ABS(Solieusap!E1283)</f>
        <v>6.535912987</v>
      </c>
      <c r="F1283" s="16">
        <f>ABS(Solieusap!F1283)</f>
        <v>0.5400770563</v>
      </c>
      <c r="G1283" s="16">
        <f>ABS(Solieusap!G1283)</f>
        <v>0.7674264069</v>
      </c>
      <c r="H1283" s="16">
        <f>ABS(Solieusap!H1283)</f>
        <v>0.0003168063636</v>
      </c>
      <c r="I1283" s="16">
        <f>ABS(Solieusap!I1283)</f>
        <v>1.612919177</v>
      </c>
      <c r="J1283" s="16">
        <f>ABS(Solieusap!J1283)</f>
        <v>1.10102961</v>
      </c>
      <c r="K1283" s="16">
        <f t="shared" si="1"/>
        <v>6.535912987</v>
      </c>
      <c r="L1283" s="16">
        <f t="shared" si="2"/>
        <v>1.612919177</v>
      </c>
    </row>
    <row r="1284" ht="16.5" customHeight="1">
      <c r="A1284" s="15" t="str">
        <f>Solieusap!A1284</f>
        <v>Cũ</v>
      </c>
      <c r="B1284" s="15">
        <f>Solieusap!B1284</f>
        <v>3.5</v>
      </c>
      <c r="C1284" s="15" t="str">
        <f>Solieusap!C1284</f>
        <v>COMB7</v>
      </c>
      <c r="D1284" s="15" t="str">
        <f>Solieusap!D1284</f>
        <v>Combination</v>
      </c>
      <c r="E1284" s="16">
        <f>ABS(Solieusap!E1284)</f>
        <v>6.552769351</v>
      </c>
      <c r="F1284" s="16">
        <f>ABS(Solieusap!F1284)</f>
        <v>0.5417875758</v>
      </c>
      <c r="G1284" s="16">
        <f>ABS(Solieusap!G1284)</f>
        <v>0.7696908225</v>
      </c>
      <c r="H1284" s="16">
        <f>ABS(Solieusap!H1284)</f>
        <v>0.0003178614675</v>
      </c>
      <c r="I1284" s="16">
        <f>ABS(Solieusap!I1284)</f>
        <v>1.61971397</v>
      </c>
      <c r="J1284" s="16">
        <f>ABS(Solieusap!J1284)</f>
        <v>1.105576662</v>
      </c>
      <c r="K1284" s="16">
        <f t="shared" si="1"/>
        <v>6.552769351</v>
      </c>
      <c r="L1284" s="16">
        <f t="shared" si="2"/>
        <v>1.61971397</v>
      </c>
    </row>
    <row r="1285" ht="16.5" customHeight="1">
      <c r="A1285" s="15" t="str">
        <f>Solieusap!A1285</f>
        <v>Cũ</v>
      </c>
      <c r="B1285" s="15">
        <f>Solieusap!B1285</f>
        <v>0</v>
      </c>
      <c r="C1285" s="15" t="str">
        <f>Solieusap!C1285</f>
        <v>COMB1</v>
      </c>
      <c r="D1285" s="15" t="str">
        <f>Solieusap!D1285</f>
        <v>Combination</v>
      </c>
      <c r="E1285" s="16">
        <f>ABS(Solieusap!E1285)</f>
        <v>6.569625714</v>
      </c>
      <c r="F1285" s="16">
        <f>ABS(Solieusap!F1285)</f>
        <v>0.5434980952</v>
      </c>
      <c r="G1285" s="16">
        <f>ABS(Solieusap!G1285)</f>
        <v>0.7719552381</v>
      </c>
      <c r="H1285" s="16">
        <f>ABS(Solieusap!H1285)</f>
        <v>0.0003189165714</v>
      </c>
      <c r="I1285" s="16">
        <f>ABS(Solieusap!I1285)</f>
        <v>1.626508762</v>
      </c>
      <c r="J1285" s="16">
        <f>ABS(Solieusap!J1285)</f>
        <v>1.110123714</v>
      </c>
      <c r="K1285" s="16">
        <f t="shared" si="1"/>
        <v>6.569625714</v>
      </c>
      <c r="L1285" s="16">
        <f t="shared" si="2"/>
        <v>1.626508762</v>
      </c>
    </row>
    <row r="1286" ht="16.5" customHeight="1">
      <c r="A1286" s="15" t="str">
        <f>Solieusap!A1286</f>
        <v>Cũ</v>
      </c>
      <c r="B1286" s="15">
        <f>Solieusap!B1286</f>
        <v>1.75</v>
      </c>
      <c r="C1286" s="15" t="str">
        <f>Solieusap!C1286</f>
        <v>COMB1</v>
      </c>
      <c r="D1286" s="15" t="str">
        <f>Solieusap!D1286</f>
        <v>Combination</v>
      </c>
      <c r="E1286" s="16">
        <f>ABS(Solieusap!E1286)</f>
        <v>6.586482078</v>
      </c>
      <c r="F1286" s="16">
        <f>ABS(Solieusap!F1286)</f>
        <v>0.5452086147</v>
      </c>
      <c r="G1286" s="16">
        <f>ABS(Solieusap!G1286)</f>
        <v>0.7742196537</v>
      </c>
      <c r="H1286" s="16">
        <f>ABS(Solieusap!H1286)</f>
        <v>0.0003199716753</v>
      </c>
      <c r="I1286" s="16">
        <f>ABS(Solieusap!I1286)</f>
        <v>1.633303554</v>
      </c>
      <c r="J1286" s="16">
        <f>ABS(Solieusap!J1286)</f>
        <v>1.114670766</v>
      </c>
      <c r="K1286" s="16">
        <f t="shared" si="1"/>
        <v>6.586482078</v>
      </c>
      <c r="L1286" s="16">
        <f t="shared" si="2"/>
        <v>1.633303554</v>
      </c>
    </row>
    <row r="1287" ht="16.5" customHeight="1">
      <c r="A1287" s="15" t="str">
        <f>Solieusap!A1287</f>
        <v>Cũ</v>
      </c>
      <c r="B1287" s="15">
        <f>Solieusap!B1287</f>
        <v>3.5</v>
      </c>
      <c r="C1287" s="15" t="str">
        <f>Solieusap!C1287</f>
        <v>COMB1</v>
      </c>
      <c r="D1287" s="15" t="str">
        <f>Solieusap!D1287</f>
        <v>Combination</v>
      </c>
      <c r="E1287" s="16">
        <f>ABS(Solieusap!E1287)</f>
        <v>6.603338442</v>
      </c>
      <c r="F1287" s="16">
        <f>ABS(Solieusap!F1287)</f>
        <v>0.5469191342</v>
      </c>
      <c r="G1287" s="16">
        <f>ABS(Solieusap!G1287)</f>
        <v>0.7764840693</v>
      </c>
      <c r="H1287" s="16">
        <f>ABS(Solieusap!H1287)</f>
        <v>0.0003210267792</v>
      </c>
      <c r="I1287" s="16">
        <f>ABS(Solieusap!I1287)</f>
        <v>1.640098346</v>
      </c>
      <c r="J1287" s="16">
        <f>ABS(Solieusap!J1287)</f>
        <v>1.119217818</v>
      </c>
      <c r="K1287" s="16">
        <f t="shared" si="1"/>
        <v>6.603338442</v>
      </c>
      <c r="L1287" s="16">
        <f t="shared" si="2"/>
        <v>1.640098346</v>
      </c>
    </row>
    <row r="1288" ht="16.5" customHeight="1">
      <c r="A1288" s="15" t="str">
        <f>Solieusap!A1288</f>
        <v>Cũ</v>
      </c>
      <c r="B1288" s="15">
        <f>Solieusap!B1288</f>
        <v>0</v>
      </c>
      <c r="C1288" s="15" t="str">
        <f>Solieusap!C1288</f>
        <v>COMB2</v>
      </c>
      <c r="D1288" s="15" t="str">
        <f>Solieusap!D1288</f>
        <v>Combination</v>
      </c>
      <c r="E1288" s="16">
        <f>ABS(Solieusap!E1288)</f>
        <v>6.620194805</v>
      </c>
      <c r="F1288" s="16">
        <f>ABS(Solieusap!F1288)</f>
        <v>0.5486296537</v>
      </c>
      <c r="G1288" s="16">
        <f>ABS(Solieusap!G1288)</f>
        <v>0.7787484848</v>
      </c>
      <c r="H1288" s="16">
        <f>ABS(Solieusap!H1288)</f>
        <v>0.0003220818831</v>
      </c>
      <c r="I1288" s="16">
        <f>ABS(Solieusap!I1288)</f>
        <v>1.646893139</v>
      </c>
      <c r="J1288" s="16">
        <f>ABS(Solieusap!J1288)</f>
        <v>1.12376487</v>
      </c>
      <c r="K1288" s="16">
        <f t="shared" si="1"/>
        <v>6.620194805</v>
      </c>
      <c r="L1288" s="16">
        <f t="shared" si="2"/>
        <v>1.646893139</v>
      </c>
    </row>
    <row r="1289" ht="16.5" customHeight="1">
      <c r="A1289" s="15" t="str">
        <f>Solieusap!A1289</f>
        <v>Cũ</v>
      </c>
      <c r="B1289" s="15">
        <f>Solieusap!B1289</f>
        <v>1.75</v>
      </c>
      <c r="C1289" s="15" t="str">
        <f>Solieusap!C1289</f>
        <v>COMB2</v>
      </c>
      <c r="D1289" s="15" t="str">
        <f>Solieusap!D1289</f>
        <v>Combination</v>
      </c>
      <c r="E1289" s="16">
        <f>ABS(Solieusap!E1289)</f>
        <v>6.637051169</v>
      </c>
      <c r="F1289" s="16">
        <f>ABS(Solieusap!F1289)</f>
        <v>0.5503401732</v>
      </c>
      <c r="G1289" s="16">
        <f>ABS(Solieusap!G1289)</f>
        <v>0.7810129004</v>
      </c>
      <c r="H1289" s="16">
        <f>ABS(Solieusap!H1289)</f>
        <v>0.000323136987</v>
      </c>
      <c r="I1289" s="16">
        <f>ABS(Solieusap!I1289)</f>
        <v>1.653687931</v>
      </c>
      <c r="J1289" s="16">
        <f>ABS(Solieusap!J1289)</f>
        <v>1.128311922</v>
      </c>
      <c r="K1289" s="16">
        <f t="shared" si="1"/>
        <v>6.637051169</v>
      </c>
      <c r="L1289" s="16">
        <f t="shared" si="2"/>
        <v>1.653687931</v>
      </c>
    </row>
    <row r="1290" ht="16.5" customHeight="1">
      <c r="A1290" s="15" t="str">
        <f>Solieusap!A1290</f>
        <v>Cũ</v>
      </c>
      <c r="B1290" s="15">
        <f>Solieusap!B1290</f>
        <v>3.5</v>
      </c>
      <c r="C1290" s="15" t="str">
        <f>Solieusap!C1290</f>
        <v>COMB2</v>
      </c>
      <c r="D1290" s="15" t="str">
        <f>Solieusap!D1290</f>
        <v>Combination</v>
      </c>
      <c r="E1290" s="16">
        <f>ABS(Solieusap!E1290)</f>
        <v>6.653907532</v>
      </c>
      <c r="F1290" s="16">
        <f>ABS(Solieusap!F1290)</f>
        <v>0.5520506926</v>
      </c>
      <c r="G1290" s="16">
        <f>ABS(Solieusap!G1290)</f>
        <v>0.783277316</v>
      </c>
      <c r="H1290" s="16">
        <f>ABS(Solieusap!H1290)</f>
        <v>0.0003241920909</v>
      </c>
      <c r="I1290" s="16">
        <f>ABS(Solieusap!I1290)</f>
        <v>1.660482723</v>
      </c>
      <c r="J1290" s="16">
        <f>ABS(Solieusap!J1290)</f>
        <v>1.132858974</v>
      </c>
      <c r="K1290" s="16">
        <f t="shared" si="1"/>
        <v>6.653907532</v>
      </c>
      <c r="L1290" s="16">
        <f t="shared" si="2"/>
        <v>1.660482723</v>
      </c>
    </row>
    <row r="1291" ht="16.5" customHeight="1">
      <c r="A1291" s="15" t="str">
        <f>Solieusap!A1291</f>
        <v>Cũ</v>
      </c>
      <c r="B1291" s="15">
        <f>Solieusap!B1291</f>
        <v>0</v>
      </c>
      <c r="C1291" s="15" t="str">
        <f>Solieusap!C1291</f>
        <v>COMB3</v>
      </c>
      <c r="D1291" s="15" t="str">
        <f>Solieusap!D1291</f>
        <v>Combination</v>
      </c>
      <c r="E1291" s="16">
        <f>ABS(Solieusap!E1291)</f>
        <v>6.670763896</v>
      </c>
      <c r="F1291" s="16">
        <f>ABS(Solieusap!F1291)</f>
        <v>0.5537612121</v>
      </c>
      <c r="G1291" s="16">
        <f>ABS(Solieusap!G1291)</f>
        <v>0.7855417316</v>
      </c>
      <c r="H1291" s="16">
        <f>ABS(Solieusap!H1291)</f>
        <v>0.0003252471948</v>
      </c>
      <c r="I1291" s="16">
        <f>ABS(Solieusap!I1291)</f>
        <v>1.667277515</v>
      </c>
      <c r="J1291" s="16">
        <f>ABS(Solieusap!J1291)</f>
        <v>1.137406026</v>
      </c>
      <c r="K1291" s="16">
        <f t="shared" si="1"/>
        <v>6.670763896</v>
      </c>
      <c r="L1291" s="16">
        <f t="shared" si="2"/>
        <v>1.667277515</v>
      </c>
    </row>
    <row r="1292" ht="16.5" customHeight="1">
      <c r="A1292" s="15" t="str">
        <f>Solieusap!A1292</f>
        <v>Cũ</v>
      </c>
      <c r="B1292" s="15">
        <f>Solieusap!B1292</f>
        <v>1.75</v>
      </c>
      <c r="C1292" s="15" t="str">
        <f>Solieusap!C1292</f>
        <v>COMB3</v>
      </c>
      <c r="D1292" s="15" t="str">
        <f>Solieusap!D1292</f>
        <v>Combination</v>
      </c>
      <c r="E1292" s="16">
        <f>ABS(Solieusap!E1292)</f>
        <v>6.68762026</v>
      </c>
      <c r="F1292" s="16">
        <f>ABS(Solieusap!F1292)</f>
        <v>0.5554717316</v>
      </c>
      <c r="G1292" s="16">
        <f>ABS(Solieusap!G1292)</f>
        <v>0.7878061472</v>
      </c>
      <c r="H1292" s="16">
        <f>ABS(Solieusap!H1292)</f>
        <v>0.0003263022987</v>
      </c>
      <c r="I1292" s="16">
        <f>ABS(Solieusap!I1292)</f>
        <v>1.674072307</v>
      </c>
      <c r="J1292" s="16">
        <f>ABS(Solieusap!J1292)</f>
        <v>1.141953078</v>
      </c>
      <c r="K1292" s="16">
        <f t="shared" si="1"/>
        <v>6.68762026</v>
      </c>
      <c r="L1292" s="16">
        <f t="shared" si="2"/>
        <v>1.674072307</v>
      </c>
    </row>
    <row r="1293" ht="16.5" customHeight="1">
      <c r="A1293" s="15" t="str">
        <f>Solieusap!A1293</f>
        <v>Cũ</v>
      </c>
      <c r="B1293" s="15">
        <f>Solieusap!B1293</f>
        <v>3.5</v>
      </c>
      <c r="C1293" s="15" t="str">
        <f>Solieusap!C1293</f>
        <v>COMB3</v>
      </c>
      <c r="D1293" s="15" t="str">
        <f>Solieusap!D1293</f>
        <v>Combination</v>
      </c>
      <c r="E1293" s="16">
        <f>ABS(Solieusap!E1293)</f>
        <v>6.704476623</v>
      </c>
      <c r="F1293" s="16">
        <f>ABS(Solieusap!F1293)</f>
        <v>0.5571822511</v>
      </c>
      <c r="G1293" s="16">
        <f>ABS(Solieusap!G1293)</f>
        <v>0.7900705628</v>
      </c>
      <c r="H1293" s="16">
        <f>ABS(Solieusap!H1293)</f>
        <v>0.0003273574026</v>
      </c>
      <c r="I1293" s="16">
        <f>ABS(Solieusap!I1293)</f>
        <v>1.6808671</v>
      </c>
      <c r="J1293" s="16">
        <f>ABS(Solieusap!J1293)</f>
        <v>1.14650013</v>
      </c>
      <c r="K1293" s="16">
        <f t="shared" si="1"/>
        <v>6.704476623</v>
      </c>
      <c r="L1293" s="16">
        <f t="shared" si="2"/>
        <v>1.6808671</v>
      </c>
    </row>
    <row r="1294" ht="16.5" customHeight="1">
      <c r="A1294" s="15" t="str">
        <f>Solieusap!A1294</f>
        <v>Cũ</v>
      </c>
      <c r="B1294" s="15">
        <f>Solieusap!B1294</f>
        <v>0</v>
      </c>
      <c r="C1294" s="15" t="str">
        <f>Solieusap!C1294</f>
        <v>COMB4</v>
      </c>
      <c r="D1294" s="15" t="str">
        <f>Solieusap!D1294</f>
        <v>Combination</v>
      </c>
      <c r="E1294" s="16">
        <f>ABS(Solieusap!E1294)</f>
        <v>6.721332987</v>
      </c>
      <c r="F1294" s="16">
        <f>ABS(Solieusap!F1294)</f>
        <v>0.5588927706</v>
      </c>
      <c r="G1294" s="16">
        <f>ABS(Solieusap!G1294)</f>
        <v>0.7923349784</v>
      </c>
      <c r="H1294" s="16">
        <f>ABS(Solieusap!H1294)</f>
        <v>0.0003284125065</v>
      </c>
      <c r="I1294" s="16">
        <f>ABS(Solieusap!I1294)</f>
        <v>1.687661892</v>
      </c>
      <c r="J1294" s="16">
        <f>ABS(Solieusap!J1294)</f>
        <v>1.151047182</v>
      </c>
      <c r="K1294" s="16">
        <f t="shared" si="1"/>
        <v>6.721332987</v>
      </c>
      <c r="L1294" s="16">
        <f t="shared" si="2"/>
        <v>1.687661892</v>
      </c>
    </row>
    <row r="1295" ht="16.5" customHeight="1">
      <c r="A1295" s="15" t="str">
        <f>Solieusap!A1295</f>
        <v>Cũ</v>
      </c>
      <c r="B1295" s="15">
        <f>Solieusap!B1295</f>
        <v>1.75</v>
      </c>
      <c r="C1295" s="15" t="str">
        <f>Solieusap!C1295</f>
        <v>COMB4</v>
      </c>
      <c r="D1295" s="15" t="str">
        <f>Solieusap!D1295</f>
        <v>Combination</v>
      </c>
      <c r="E1295" s="16">
        <f>ABS(Solieusap!E1295)</f>
        <v>6.738189351</v>
      </c>
      <c r="F1295" s="16">
        <f>ABS(Solieusap!F1295)</f>
        <v>0.56060329</v>
      </c>
      <c r="G1295" s="16">
        <f>ABS(Solieusap!G1295)</f>
        <v>0.7945993939</v>
      </c>
      <c r="H1295" s="16">
        <f>ABS(Solieusap!H1295)</f>
        <v>0.0003294676104</v>
      </c>
      <c r="I1295" s="16">
        <f>ABS(Solieusap!I1295)</f>
        <v>1.694456684</v>
      </c>
      <c r="J1295" s="16">
        <f>ABS(Solieusap!J1295)</f>
        <v>1.155594234</v>
      </c>
      <c r="K1295" s="16">
        <f t="shared" si="1"/>
        <v>6.738189351</v>
      </c>
      <c r="L1295" s="16">
        <f t="shared" si="2"/>
        <v>1.694456684</v>
      </c>
    </row>
    <row r="1296" ht="16.5" customHeight="1">
      <c r="A1296" s="15" t="str">
        <f>Solieusap!A1296</f>
        <v>Cũ</v>
      </c>
      <c r="B1296" s="15">
        <f>Solieusap!B1296</f>
        <v>3.5</v>
      </c>
      <c r="C1296" s="15" t="str">
        <f>Solieusap!C1296</f>
        <v>COMB4</v>
      </c>
      <c r="D1296" s="15" t="str">
        <f>Solieusap!D1296</f>
        <v>Combination</v>
      </c>
      <c r="E1296" s="16">
        <f>ABS(Solieusap!E1296)</f>
        <v>6.755045714</v>
      </c>
      <c r="F1296" s="16">
        <f>ABS(Solieusap!F1296)</f>
        <v>0.5623138095</v>
      </c>
      <c r="G1296" s="16">
        <f>ABS(Solieusap!G1296)</f>
        <v>0.7968638095</v>
      </c>
      <c r="H1296" s="16">
        <f>ABS(Solieusap!H1296)</f>
        <v>0.0003305227143</v>
      </c>
      <c r="I1296" s="16">
        <f>ABS(Solieusap!I1296)</f>
        <v>1.701251476</v>
      </c>
      <c r="J1296" s="16">
        <f>ABS(Solieusap!J1296)</f>
        <v>1.160141286</v>
      </c>
      <c r="K1296" s="16">
        <f t="shared" si="1"/>
        <v>6.755045714</v>
      </c>
      <c r="L1296" s="16">
        <f t="shared" si="2"/>
        <v>1.701251476</v>
      </c>
    </row>
    <row r="1297" ht="16.5" customHeight="1">
      <c r="A1297" s="15" t="str">
        <f>Solieusap!A1297</f>
        <v>Cũ</v>
      </c>
      <c r="B1297" s="15">
        <f>Solieusap!B1297</f>
        <v>0</v>
      </c>
      <c r="C1297" s="15" t="str">
        <f>Solieusap!C1297</f>
        <v>COMB5</v>
      </c>
      <c r="D1297" s="15" t="str">
        <f>Solieusap!D1297</f>
        <v>Combination</v>
      </c>
      <c r="E1297" s="16">
        <f>ABS(Solieusap!E1297)</f>
        <v>6.771902078</v>
      </c>
      <c r="F1297" s="16">
        <f>ABS(Solieusap!F1297)</f>
        <v>0.564024329</v>
      </c>
      <c r="G1297" s="16">
        <f>ABS(Solieusap!G1297)</f>
        <v>0.7991282251</v>
      </c>
      <c r="H1297" s="16">
        <f>ABS(Solieusap!H1297)</f>
        <v>0.0003315778182</v>
      </c>
      <c r="I1297" s="16">
        <f>ABS(Solieusap!I1297)</f>
        <v>1.708046268</v>
      </c>
      <c r="J1297" s="16">
        <f>ABS(Solieusap!J1297)</f>
        <v>1.164688338</v>
      </c>
      <c r="K1297" s="16">
        <f t="shared" si="1"/>
        <v>6.771902078</v>
      </c>
      <c r="L1297" s="16">
        <f t="shared" si="2"/>
        <v>1.708046268</v>
      </c>
    </row>
    <row r="1298" ht="16.5" customHeight="1">
      <c r="A1298" s="15" t="str">
        <f>Solieusap!A1298</f>
        <v>Cũ</v>
      </c>
      <c r="B1298" s="15">
        <f>Solieusap!B1298</f>
        <v>1.75</v>
      </c>
      <c r="C1298" s="15" t="str">
        <f>Solieusap!C1298</f>
        <v>COMB5</v>
      </c>
      <c r="D1298" s="15" t="str">
        <f>Solieusap!D1298</f>
        <v>Combination</v>
      </c>
      <c r="E1298" s="16">
        <f>ABS(Solieusap!E1298)</f>
        <v>6.788758442</v>
      </c>
      <c r="F1298" s="16">
        <f>ABS(Solieusap!F1298)</f>
        <v>0.5657348485</v>
      </c>
      <c r="G1298" s="16">
        <f>ABS(Solieusap!G1298)</f>
        <v>0.8013926407</v>
      </c>
      <c r="H1298" s="16">
        <f>ABS(Solieusap!H1298)</f>
        <v>0.0003326329221</v>
      </c>
      <c r="I1298" s="16">
        <f>ABS(Solieusap!I1298)</f>
        <v>1.714841061</v>
      </c>
      <c r="J1298" s="16">
        <f>ABS(Solieusap!J1298)</f>
        <v>1.16923539</v>
      </c>
      <c r="K1298" s="16">
        <f t="shared" si="1"/>
        <v>6.788758442</v>
      </c>
      <c r="L1298" s="16">
        <f t="shared" si="2"/>
        <v>1.714841061</v>
      </c>
    </row>
    <row r="1299" ht="16.5" customHeight="1">
      <c r="A1299" s="15" t="str">
        <f>Solieusap!A1299</f>
        <v>Cũ</v>
      </c>
      <c r="B1299" s="15">
        <f>Solieusap!B1299</f>
        <v>3.5</v>
      </c>
      <c r="C1299" s="15" t="str">
        <f>Solieusap!C1299</f>
        <v>COMB5</v>
      </c>
      <c r="D1299" s="15" t="str">
        <f>Solieusap!D1299</f>
        <v>Combination</v>
      </c>
      <c r="E1299" s="16">
        <f>ABS(Solieusap!E1299)</f>
        <v>6.805614805</v>
      </c>
      <c r="F1299" s="16">
        <f>ABS(Solieusap!F1299)</f>
        <v>0.567445368</v>
      </c>
      <c r="G1299" s="16">
        <f>ABS(Solieusap!G1299)</f>
        <v>0.8036570563</v>
      </c>
      <c r="H1299" s="16">
        <f>ABS(Solieusap!H1299)</f>
        <v>0.000333688026</v>
      </c>
      <c r="I1299" s="16">
        <f>ABS(Solieusap!I1299)</f>
        <v>1.721635853</v>
      </c>
      <c r="J1299" s="16">
        <f>ABS(Solieusap!J1299)</f>
        <v>1.173782442</v>
      </c>
      <c r="K1299" s="16">
        <f t="shared" si="1"/>
        <v>6.805614805</v>
      </c>
      <c r="L1299" s="16">
        <f t="shared" si="2"/>
        <v>1.721635853</v>
      </c>
    </row>
    <row r="1300" ht="16.5" customHeight="1">
      <c r="A1300" s="15" t="str">
        <f>Solieusap!A1300</f>
        <v>Cũ</v>
      </c>
      <c r="B1300" s="15">
        <f>Solieusap!B1300</f>
        <v>0</v>
      </c>
      <c r="C1300" s="15" t="str">
        <f>Solieusap!C1300</f>
        <v>COMB6</v>
      </c>
      <c r="D1300" s="15" t="str">
        <f>Solieusap!D1300</f>
        <v>Combination</v>
      </c>
      <c r="E1300" s="16">
        <f>ABS(Solieusap!E1300)</f>
        <v>6.822471169</v>
      </c>
      <c r="F1300" s="16">
        <f>ABS(Solieusap!F1300)</f>
        <v>0.5691558874</v>
      </c>
      <c r="G1300" s="16">
        <f>ABS(Solieusap!G1300)</f>
        <v>0.8059214719</v>
      </c>
      <c r="H1300" s="16">
        <f>ABS(Solieusap!H1300)</f>
        <v>0.0003347431299</v>
      </c>
      <c r="I1300" s="16">
        <f>ABS(Solieusap!I1300)</f>
        <v>1.728430645</v>
      </c>
      <c r="J1300" s="16">
        <f>ABS(Solieusap!J1300)</f>
        <v>1.178329494</v>
      </c>
      <c r="K1300" s="16">
        <f t="shared" si="1"/>
        <v>6.822471169</v>
      </c>
      <c r="L1300" s="16">
        <f t="shared" si="2"/>
        <v>1.728430645</v>
      </c>
    </row>
    <row r="1301" ht="16.5" customHeight="1">
      <c r="A1301" s="15" t="str">
        <f>Solieusap!A1301</f>
        <v>Cũ</v>
      </c>
      <c r="B1301" s="15">
        <f>Solieusap!B1301</f>
        <v>1.75</v>
      </c>
      <c r="C1301" s="15" t="str">
        <f>Solieusap!C1301</f>
        <v>COMB6</v>
      </c>
      <c r="D1301" s="15" t="str">
        <f>Solieusap!D1301</f>
        <v>Combination</v>
      </c>
      <c r="E1301" s="16">
        <f>ABS(Solieusap!E1301)</f>
        <v>6.839327532</v>
      </c>
      <c r="F1301" s="16">
        <f>ABS(Solieusap!F1301)</f>
        <v>0.5708664069</v>
      </c>
      <c r="G1301" s="16">
        <f>ABS(Solieusap!G1301)</f>
        <v>0.8081858874</v>
      </c>
      <c r="H1301" s="16">
        <f>ABS(Solieusap!H1301)</f>
        <v>0.0003357982338</v>
      </c>
      <c r="I1301" s="16">
        <f>ABS(Solieusap!I1301)</f>
        <v>1.735225437</v>
      </c>
      <c r="J1301" s="16">
        <f>ABS(Solieusap!J1301)</f>
        <v>1.182876545</v>
      </c>
      <c r="K1301" s="16">
        <f t="shared" si="1"/>
        <v>6.839327532</v>
      </c>
      <c r="L1301" s="16">
        <f t="shared" si="2"/>
        <v>1.735225437</v>
      </c>
    </row>
    <row r="1302" ht="16.5" customHeight="1">
      <c r="A1302" s="15" t="str">
        <f>Solieusap!A1302</f>
        <v>Cũ</v>
      </c>
      <c r="B1302" s="15">
        <f>Solieusap!B1302</f>
        <v>3.5</v>
      </c>
      <c r="C1302" s="15" t="str">
        <f>Solieusap!C1302</f>
        <v>COMB6</v>
      </c>
      <c r="D1302" s="15" t="str">
        <f>Solieusap!D1302</f>
        <v>Combination</v>
      </c>
      <c r="E1302" s="16">
        <f>ABS(Solieusap!E1302)</f>
        <v>6.856183896</v>
      </c>
      <c r="F1302" s="16">
        <f>ABS(Solieusap!F1302)</f>
        <v>0.5725769264</v>
      </c>
      <c r="G1302" s="16">
        <f>ABS(Solieusap!G1302)</f>
        <v>0.810450303</v>
      </c>
      <c r="H1302" s="16">
        <f>ABS(Solieusap!H1302)</f>
        <v>0.0003368533377</v>
      </c>
      <c r="I1302" s="16">
        <f>ABS(Solieusap!I1302)</f>
        <v>1.742020229</v>
      </c>
      <c r="J1302" s="16">
        <f>ABS(Solieusap!J1302)</f>
        <v>1.187423597</v>
      </c>
      <c r="K1302" s="16">
        <f t="shared" si="1"/>
        <v>6.856183896</v>
      </c>
      <c r="L1302" s="16">
        <f t="shared" si="2"/>
        <v>1.742020229</v>
      </c>
    </row>
    <row r="1303" ht="16.5" customHeight="1">
      <c r="A1303" s="15" t="str">
        <f>Solieusap!A1303</f>
        <v>Cũ</v>
      </c>
      <c r="B1303" s="15">
        <f>Solieusap!B1303</f>
        <v>0</v>
      </c>
      <c r="C1303" s="15" t="str">
        <f>Solieusap!C1303</f>
        <v>COMB7</v>
      </c>
      <c r="D1303" s="15" t="str">
        <f>Solieusap!D1303</f>
        <v>Combination</v>
      </c>
      <c r="E1303" s="16">
        <f>ABS(Solieusap!E1303)</f>
        <v>6.87304026</v>
      </c>
      <c r="F1303" s="16">
        <f>ABS(Solieusap!F1303)</f>
        <v>0.5742874459</v>
      </c>
      <c r="G1303" s="16">
        <f>ABS(Solieusap!G1303)</f>
        <v>0.8127147186</v>
      </c>
      <c r="H1303" s="16">
        <f>ABS(Solieusap!H1303)</f>
        <v>0.0003379084416</v>
      </c>
      <c r="I1303" s="16">
        <f>ABS(Solieusap!I1303)</f>
        <v>1.748815022</v>
      </c>
      <c r="J1303" s="16">
        <f>ABS(Solieusap!J1303)</f>
        <v>1.191970649</v>
      </c>
      <c r="K1303" s="16">
        <f t="shared" si="1"/>
        <v>6.87304026</v>
      </c>
      <c r="L1303" s="16">
        <f t="shared" si="2"/>
        <v>1.748815022</v>
      </c>
    </row>
    <row r="1304" ht="16.5" customHeight="1">
      <c r="A1304" s="15" t="str">
        <f>Solieusap!A1304</f>
        <v>Cũ</v>
      </c>
      <c r="B1304" s="15">
        <f>Solieusap!B1304</f>
        <v>1.75</v>
      </c>
      <c r="C1304" s="15" t="str">
        <f>Solieusap!C1304</f>
        <v>COMB7</v>
      </c>
      <c r="D1304" s="15" t="str">
        <f>Solieusap!D1304</f>
        <v>Combination</v>
      </c>
      <c r="E1304" s="16">
        <f>ABS(Solieusap!E1304)</f>
        <v>6.889896623</v>
      </c>
      <c r="F1304" s="16">
        <f>ABS(Solieusap!F1304)</f>
        <v>0.5759979654</v>
      </c>
      <c r="G1304" s="16">
        <f>ABS(Solieusap!G1304)</f>
        <v>0.8149791342</v>
      </c>
      <c r="H1304" s="16">
        <f>ABS(Solieusap!H1304)</f>
        <v>0.0003389635455</v>
      </c>
      <c r="I1304" s="16">
        <f>ABS(Solieusap!I1304)</f>
        <v>1.755609814</v>
      </c>
      <c r="J1304" s="16">
        <f>ABS(Solieusap!J1304)</f>
        <v>1.196517701</v>
      </c>
      <c r="K1304" s="16">
        <f t="shared" si="1"/>
        <v>6.889896623</v>
      </c>
      <c r="L1304" s="16">
        <f t="shared" si="2"/>
        <v>1.755609814</v>
      </c>
    </row>
    <row r="1305" ht="16.5" customHeight="1">
      <c r="A1305" s="15" t="str">
        <f>Solieusap!A1305</f>
        <v>Cũ</v>
      </c>
      <c r="B1305" s="15">
        <f>Solieusap!B1305</f>
        <v>3.5</v>
      </c>
      <c r="C1305" s="15" t="str">
        <f>Solieusap!C1305</f>
        <v>COMB7</v>
      </c>
      <c r="D1305" s="15" t="str">
        <f>Solieusap!D1305</f>
        <v>Combination</v>
      </c>
      <c r="E1305" s="16">
        <f>ABS(Solieusap!E1305)</f>
        <v>6.906752987</v>
      </c>
      <c r="F1305" s="16">
        <f>ABS(Solieusap!F1305)</f>
        <v>0.5777084848</v>
      </c>
      <c r="G1305" s="16">
        <f>ABS(Solieusap!G1305)</f>
        <v>0.8172435498</v>
      </c>
      <c r="H1305" s="16">
        <f>ABS(Solieusap!H1305)</f>
        <v>0.0003400186494</v>
      </c>
      <c r="I1305" s="16">
        <f>ABS(Solieusap!I1305)</f>
        <v>1.762404606</v>
      </c>
      <c r="J1305" s="16">
        <f>ABS(Solieusap!J1305)</f>
        <v>1.201064753</v>
      </c>
      <c r="K1305" s="16">
        <f t="shared" si="1"/>
        <v>6.906752987</v>
      </c>
      <c r="L1305" s="16">
        <f t="shared" si="2"/>
        <v>1.762404606</v>
      </c>
    </row>
    <row r="1306" ht="16.5" customHeight="1">
      <c r="A1306" s="15" t="str">
        <f>Solieusap!A1306</f>
        <v>Cũ</v>
      </c>
      <c r="B1306" s="15">
        <f>Solieusap!B1306</f>
        <v>0</v>
      </c>
      <c r="C1306" s="15" t="str">
        <f>Solieusap!C1306</f>
        <v>COMB1</v>
      </c>
      <c r="D1306" s="15" t="str">
        <f>Solieusap!D1306</f>
        <v>Combination</v>
      </c>
      <c r="E1306" s="16">
        <f>ABS(Solieusap!E1306)</f>
        <v>6.923609351</v>
      </c>
      <c r="F1306" s="16">
        <f>ABS(Solieusap!F1306)</f>
        <v>0.5794190043</v>
      </c>
      <c r="G1306" s="16">
        <f>ABS(Solieusap!G1306)</f>
        <v>0.8195079654</v>
      </c>
      <c r="H1306" s="16">
        <f>ABS(Solieusap!H1306)</f>
        <v>0.0003410737532</v>
      </c>
      <c r="I1306" s="16">
        <f>ABS(Solieusap!I1306)</f>
        <v>1.769199398</v>
      </c>
      <c r="J1306" s="16">
        <f>ABS(Solieusap!J1306)</f>
        <v>1.205611805</v>
      </c>
      <c r="K1306" s="16">
        <f t="shared" si="1"/>
        <v>6.923609351</v>
      </c>
      <c r="L1306" s="16">
        <f t="shared" si="2"/>
        <v>1.769199398</v>
      </c>
    </row>
    <row r="1307" ht="16.5" customHeight="1">
      <c r="A1307" s="15" t="str">
        <f>Solieusap!A1307</f>
        <v>Cũ</v>
      </c>
      <c r="B1307" s="15">
        <f>Solieusap!B1307</f>
        <v>1.75</v>
      </c>
      <c r="C1307" s="15" t="str">
        <f>Solieusap!C1307</f>
        <v>COMB1</v>
      </c>
      <c r="D1307" s="15" t="str">
        <f>Solieusap!D1307</f>
        <v>Combination</v>
      </c>
      <c r="E1307" s="16">
        <f>ABS(Solieusap!E1307)</f>
        <v>6.940465714</v>
      </c>
      <c r="F1307" s="16">
        <f>ABS(Solieusap!F1307)</f>
        <v>0.5811295238</v>
      </c>
      <c r="G1307" s="16">
        <f>ABS(Solieusap!G1307)</f>
        <v>0.821772381</v>
      </c>
      <c r="H1307" s="16">
        <f>ABS(Solieusap!H1307)</f>
        <v>0.0003421288571</v>
      </c>
      <c r="I1307" s="16">
        <f>ABS(Solieusap!I1307)</f>
        <v>1.77599419</v>
      </c>
      <c r="J1307" s="16">
        <f>ABS(Solieusap!J1307)</f>
        <v>1.210158857</v>
      </c>
      <c r="K1307" s="16">
        <f t="shared" si="1"/>
        <v>6.940465714</v>
      </c>
      <c r="L1307" s="16">
        <f t="shared" si="2"/>
        <v>1.77599419</v>
      </c>
    </row>
    <row r="1308" ht="16.5" customHeight="1">
      <c r="A1308" s="15" t="str">
        <f>Solieusap!A1308</f>
        <v>Cũ</v>
      </c>
      <c r="B1308" s="15">
        <f>Solieusap!B1308</f>
        <v>3.5</v>
      </c>
      <c r="C1308" s="15" t="str">
        <f>Solieusap!C1308</f>
        <v>COMB1</v>
      </c>
      <c r="D1308" s="15" t="str">
        <f>Solieusap!D1308</f>
        <v>Combination</v>
      </c>
      <c r="E1308" s="16">
        <f>ABS(Solieusap!E1308)</f>
        <v>6.957322078</v>
      </c>
      <c r="F1308" s="16">
        <f>ABS(Solieusap!F1308)</f>
        <v>0.5828400433</v>
      </c>
      <c r="G1308" s="16">
        <f>ABS(Solieusap!G1308)</f>
        <v>0.8240367965</v>
      </c>
      <c r="H1308" s="16">
        <f>ABS(Solieusap!H1308)</f>
        <v>0.000343183961</v>
      </c>
      <c r="I1308" s="16">
        <f>ABS(Solieusap!I1308)</f>
        <v>1.782788983</v>
      </c>
      <c r="J1308" s="16">
        <f>ABS(Solieusap!J1308)</f>
        <v>1.214705909</v>
      </c>
      <c r="K1308" s="16">
        <f t="shared" si="1"/>
        <v>6.957322078</v>
      </c>
      <c r="L1308" s="16">
        <f t="shared" si="2"/>
        <v>1.782788983</v>
      </c>
    </row>
    <row r="1309" ht="16.5" customHeight="1">
      <c r="A1309" s="15" t="str">
        <f>Solieusap!A1309</f>
        <v>Cũ</v>
      </c>
      <c r="B1309" s="15">
        <f>Solieusap!B1309</f>
        <v>0</v>
      </c>
      <c r="C1309" s="15" t="str">
        <f>Solieusap!C1309</f>
        <v>COMB2</v>
      </c>
      <c r="D1309" s="15" t="str">
        <f>Solieusap!D1309</f>
        <v>Combination</v>
      </c>
      <c r="E1309" s="16">
        <f>ABS(Solieusap!E1309)</f>
        <v>6.974178442</v>
      </c>
      <c r="F1309" s="16">
        <f>ABS(Solieusap!F1309)</f>
        <v>0.5845505628</v>
      </c>
      <c r="G1309" s="16">
        <f>ABS(Solieusap!G1309)</f>
        <v>0.8263012121</v>
      </c>
      <c r="H1309" s="16">
        <f>ABS(Solieusap!H1309)</f>
        <v>0.0003442390649</v>
      </c>
      <c r="I1309" s="16">
        <f>ABS(Solieusap!I1309)</f>
        <v>1.789583775</v>
      </c>
      <c r="J1309" s="16">
        <f>ABS(Solieusap!J1309)</f>
        <v>1.219252961</v>
      </c>
      <c r="K1309" s="16">
        <f t="shared" si="1"/>
        <v>6.974178442</v>
      </c>
      <c r="L1309" s="16">
        <f t="shared" si="2"/>
        <v>1.789583775</v>
      </c>
    </row>
    <row r="1310" ht="16.5" customHeight="1">
      <c r="A1310" s="15" t="str">
        <f>Solieusap!A1310</f>
        <v>Cũ</v>
      </c>
      <c r="B1310" s="15">
        <f>Solieusap!B1310</f>
        <v>1.75</v>
      </c>
      <c r="C1310" s="15" t="str">
        <f>Solieusap!C1310</f>
        <v>COMB2</v>
      </c>
      <c r="D1310" s="15" t="str">
        <f>Solieusap!D1310</f>
        <v>Combination</v>
      </c>
      <c r="E1310" s="16">
        <f>ABS(Solieusap!E1310)</f>
        <v>6.991034805</v>
      </c>
      <c r="F1310" s="16">
        <f>ABS(Solieusap!F1310)</f>
        <v>0.5862610823</v>
      </c>
      <c r="G1310" s="16">
        <f>ABS(Solieusap!G1310)</f>
        <v>0.8285656277</v>
      </c>
      <c r="H1310" s="16">
        <f>ABS(Solieusap!H1310)</f>
        <v>0.0003452941688</v>
      </c>
      <c r="I1310" s="16">
        <f>ABS(Solieusap!I1310)</f>
        <v>1.796378567</v>
      </c>
      <c r="J1310" s="16">
        <f>ABS(Solieusap!J1310)</f>
        <v>1.223800013</v>
      </c>
      <c r="K1310" s="16">
        <f t="shared" si="1"/>
        <v>6.991034805</v>
      </c>
      <c r="L1310" s="16">
        <f t="shared" si="2"/>
        <v>1.796378567</v>
      </c>
    </row>
    <row r="1311" ht="16.5" customHeight="1">
      <c r="A1311" s="15" t="str">
        <f>Solieusap!A1311</f>
        <v>Cũ</v>
      </c>
      <c r="B1311" s="15">
        <f>Solieusap!B1311</f>
        <v>3.5</v>
      </c>
      <c r="C1311" s="15" t="str">
        <f>Solieusap!C1311</f>
        <v>COMB2</v>
      </c>
      <c r="D1311" s="15" t="str">
        <f>Solieusap!D1311</f>
        <v>Combination</v>
      </c>
      <c r="E1311" s="16">
        <f>ABS(Solieusap!E1311)</f>
        <v>7.007891169</v>
      </c>
      <c r="F1311" s="16">
        <f>ABS(Solieusap!F1311)</f>
        <v>0.5879716017</v>
      </c>
      <c r="G1311" s="16">
        <f>ABS(Solieusap!G1311)</f>
        <v>0.8308300433</v>
      </c>
      <c r="H1311" s="16">
        <f>ABS(Solieusap!H1311)</f>
        <v>0.0003463492727</v>
      </c>
      <c r="I1311" s="16">
        <f>ABS(Solieusap!I1311)</f>
        <v>1.803173359</v>
      </c>
      <c r="J1311" s="16">
        <f>ABS(Solieusap!J1311)</f>
        <v>1.228347065</v>
      </c>
      <c r="K1311" s="16">
        <f t="shared" si="1"/>
        <v>7.007891169</v>
      </c>
      <c r="L1311" s="16">
        <f t="shared" si="2"/>
        <v>1.803173359</v>
      </c>
    </row>
    <row r="1312" ht="16.5" customHeight="1">
      <c r="A1312" s="15" t="str">
        <f>Solieusap!A1312</f>
        <v>Cũ</v>
      </c>
      <c r="B1312" s="15">
        <f>Solieusap!B1312</f>
        <v>0</v>
      </c>
      <c r="C1312" s="15" t="str">
        <f>Solieusap!C1312</f>
        <v>COMB3</v>
      </c>
      <c r="D1312" s="15" t="str">
        <f>Solieusap!D1312</f>
        <v>Combination</v>
      </c>
      <c r="E1312" s="16">
        <f>ABS(Solieusap!E1312)</f>
        <v>7.024747532</v>
      </c>
      <c r="F1312" s="16">
        <f>ABS(Solieusap!F1312)</f>
        <v>0.5896821212</v>
      </c>
      <c r="G1312" s="16">
        <f>ABS(Solieusap!G1312)</f>
        <v>0.8330944589</v>
      </c>
      <c r="H1312" s="16">
        <f>ABS(Solieusap!H1312)</f>
        <v>0.0003474043766</v>
      </c>
      <c r="I1312" s="16">
        <f>ABS(Solieusap!I1312)</f>
        <v>1.809968152</v>
      </c>
      <c r="J1312" s="16">
        <f>ABS(Solieusap!J1312)</f>
        <v>1.232894117</v>
      </c>
      <c r="K1312" s="16">
        <f t="shared" si="1"/>
        <v>7.024747532</v>
      </c>
      <c r="L1312" s="16">
        <f t="shared" si="2"/>
        <v>1.809968152</v>
      </c>
    </row>
    <row r="1313" ht="16.5" customHeight="1">
      <c r="A1313" s="15" t="str">
        <f>Solieusap!A1313</f>
        <v>Cũ</v>
      </c>
      <c r="B1313" s="15">
        <f>Solieusap!B1313</f>
        <v>1.75</v>
      </c>
      <c r="C1313" s="15" t="str">
        <f>Solieusap!C1313</f>
        <v>COMB3</v>
      </c>
      <c r="D1313" s="15" t="str">
        <f>Solieusap!D1313</f>
        <v>Combination</v>
      </c>
      <c r="E1313" s="16">
        <f>ABS(Solieusap!E1313)</f>
        <v>7.041603896</v>
      </c>
      <c r="F1313" s="16">
        <f>ABS(Solieusap!F1313)</f>
        <v>0.5913926407</v>
      </c>
      <c r="G1313" s="16">
        <f>ABS(Solieusap!G1313)</f>
        <v>0.8353588745</v>
      </c>
      <c r="H1313" s="16">
        <f>ABS(Solieusap!H1313)</f>
        <v>0.0003484594805</v>
      </c>
      <c r="I1313" s="16">
        <f>ABS(Solieusap!I1313)</f>
        <v>1.816762944</v>
      </c>
      <c r="J1313" s="16">
        <f>ABS(Solieusap!J1313)</f>
        <v>1.237441169</v>
      </c>
      <c r="K1313" s="16">
        <f t="shared" si="1"/>
        <v>7.041603896</v>
      </c>
      <c r="L1313" s="16">
        <f t="shared" si="2"/>
        <v>1.816762944</v>
      </c>
    </row>
    <row r="1314" ht="16.5" customHeight="1">
      <c r="A1314" s="15" t="str">
        <f>Solieusap!A1314</f>
        <v>Cũ</v>
      </c>
      <c r="B1314" s="15">
        <f>Solieusap!B1314</f>
        <v>3.5</v>
      </c>
      <c r="C1314" s="15" t="str">
        <f>Solieusap!C1314</f>
        <v>COMB3</v>
      </c>
      <c r="D1314" s="15" t="str">
        <f>Solieusap!D1314</f>
        <v>Combination</v>
      </c>
      <c r="E1314" s="16">
        <f>ABS(Solieusap!E1314)</f>
        <v>7.05846026</v>
      </c>
      <c r="F1314" s="16">
        <f>ABS(Solieusap!F1314)</f>
        <v>0.5931031602</v>
      </c>
      <c r="G1314" s="16">
        <f>ABS(Solieusap!G1314)</f>
        <v>0.83762329</v>
      </c>
      <c r="H1314" s="16">
        <f>ABS(Solieusap!H1314)</f>
        <v>0.0003495145844</v>
      </c>
      <c r="I1314" s="16">
        <f>ABS(Solieusap!I1314)</f>
        <v>1.823557736</v>
      </c>
      <c r="J1314" s="16">
        <f>ABS(Solieusap!J1314)</f>
        <v>1.241988221</v>
      </c>
      <c r="K1314" s="16">
        <f t="shared" si="1"/>
        <v>7.05846026</v>
      </c>
      <c r="L1314" s="16">
        <f t="shared" si="2"/>
        <v>1.823557736</v>
      </c>
    </row>
    <row r="1315" ht="16.5" customHeight="1">
      <c r="A1315" s="15" t="str">
        <f>Solieusap!A1315</f>
        <v>Cũ</v>
      </c>
      <c r="B1315" s="15">
        <f>Solieusap!B1315</f>
        <v>0</v>
      </c>
      <c r="C1315" s="15" t="str">
        <f>Solieusap!C1315</f>
        <v>COMB4</v>
      </c>
      <c r="D1315" s="15" t="str">
        <f>Solieusap!D1315</f>
        <v>Combination</v>
      </c>
      <c r="E1315" s="16">
        <f>ABS(Solieusap!E1315)</f>
        <v>7.075316623</v>
      </c>
      <c r="F1315" s="16">
        <f>ABS(Solieusap!F1315)</f>
        <v>0.5948136797</v>
      </c>
      <c r="G1315" s="16">
        <f>ABS(Solieusap!G1315)</f>
        <v>0.8398877056</v>
      </c>
      <c r="H1315" s="16">
        <f>ABS(Solieusap!H1315)</f>
        <v>0.0003505696883</v>
      </c>
      <c r="I1315" s="16">
        <f>ABS(Solieusap!I1315)</f>
        <v>1.830352528</v>
      </c>
      <c r="J1315" s="16">
        <f>ABS(Solieusap!J1315)</f>
        <v>1.246535273</v>
      </c>
      <c r="K1315" s="16">
        <f t="shared" si="1"/>
        <v>7.075316623</v>
      </c>
      <c r="L1315" s="16">
        <f t="shared" si="2"/>
        <v>1.830352528</v>
      </c>
    </row>
    <row r="1316" ht="16.5" customHeight="1">
      <c r="A1316" s="15" t="str">
        <f>Solieusap!A1316</f>
        <v>Cũ</v>
      </c>
      <c r="B1316" s="15">
        <f>Solieusap!B1316</f>
        <v>1.75</v>
      </c>
      <c r="C1316" s="15" t="str">
        <f>Solieusap!C1316</f>
        <v>COMB4</v>
      </c>
      <c r="D1316" s="15" t="str">
        <f>Solieusap!D1316</f>
        <v>Combination</v>
      </c>
      <c r="E1316" s="16">
        <f>ABS(Solieusap!E1316)</f>
        <v>7.092172987</v>
      </c>
      <c r="F1316" s="16">
        <f>ABS(Solieusap!F1316)</f>
        <v>0.5965241991</v>
      </c>
      <c r="G1316" s="16">
        <f>ABS(Solieusap!G1316)</f>
        <v>0.8421521212</v>
      </c>
      <c r="H1316" s="16">
        <f>ABS(Solieusap!H1316)</f>
        <v>0.0003516247922</v>
      </c>
      <c r="I1316" s="16">
        <f>ABS(Solieusap!I1316)</f>
        <v>1.83714732</v>
      </c>
      <c r="J1316" s="16">
        <f>ABS(Solieusap!J1316)</f>
        <v>1.251082325</v>
      </c>
      <c r="K1316" s="16">
        <f t="shared" si="1"/>
        <v>7.092172987</v>
      </c>
      <c r="L1316" s="16">
        <f t="shared" si="2"/>
        <v>1.83714732</v>
      </c>
    </row>
    <row r="1317" ht="16.5" customHeight="1">
      <c r="A1317" s="15" t="str">
        <f>Solieusap!A1317</f>
        <v>Cũ</v>
      </c>
      <c r="B1317" s="15">
        <f>Solieusap!B1317</f>
        <v>3.5</v>
      </c>
      <c r="C1317" s="15" t="str">
        <f>Solieusap!C1317</f>
        <v>COMB4</v>
      </c>
      <c r="D1317" s="15" t="str">
        <f>Solieusap!D1317</f>
        <v>Combination</v>
      </c>
      <c r="E1317" s="16">
        <f>ABS(Solieusap!E1317)</f>
        <v>7.109029351</v>
      </c>
      <c r="F1317" s="16">
        <f>ABS(Solieusap!F1317)</f>
        <v>0.5982347186</v>
      </c>
      <c r="G1317" s="16">
        <f>ABS(Solieusap!G1317)</f>
        <v>0.8444165368</v>
      </c>
      <c r="H1317" s="16">
        <f>ABS(Solieusap!H1317)</f>
        <v>0.0003526798961</v>
      </c>
      <c r="I1317" s="16">
        <f>ABS(Solieusap!I1317)</f>
        <v>1.843942113</v>
      </c>
      <c r="J1317" s="16">
        <f>ABS(Solieusap!J1317)</f>
        <v>1.255629377</v>
      </c>
      <c r="K1317" s="16">
        <f t="shared" si="1"/>
        <v>7.109029351</v>
      </c>
      <c r="L1317" s="16">
        <f t="shared" si="2"/>
        <v>1.843942113</v>
      </c>
    </row>
    <row r="1318" ht="16.5" customHeight="1">
      <c r="A1318" s="15" t="str">
        <f>Solieusap!A1318</f>
        <v>Cũ</v>
      </c>
      <c r="B1318" s="15">
        <f>Solieusap!B1318</f>
        <v>0</v>
      </c>
      <c r="C1318" s="15" t="str">
        <f>Solieusap!C1318</f>
        <v>COMB5</v>
      </c>
      <c r="D1318" s="15" t="str">
        <f>Solieusap!D1318</f>
        <v>Combination</v>
      </c>
      <c r="E1318" s="16">
        <f>ABS(Solieusap!E1318)</f>
        <v>7.125885714</v>
      </c>
      <c r="F1318" s="16">
        <f>ABS(Solieusap!F1318)</f>
        <v>0.5999452381</v>
      </c>
      <c r="G1318" s="16">
        <f>ABS(Solieusap!G1318)</f>
        <v>0.8466809524</v>
      </c>
      <c r="H1318" s="16">
        <f>ABS(Solieusap!H1318)</f>
        <v>0.000353735</v>
      </c>
      <c r="I1318" s="16">
        <f>ABS(Solieusap!I1318)</f>
        <v>1.850736905</v>
      </c>
      <c r="J1318" s="16">
        <f>ABS(Solieusap!J1318)</f>
        <v>1.260176429</v>
      </c>
      <c r="K1318" s="16">
        <f t="shared" si="1"/>
        <v>7.125885714</v>
      </c>
      <c r="L1318" s="16">
        <f t="shared" si="2"/>
        <v>1.850736905</v>
      </c>
    </row>
    <row r="1319" ht="16.5" customHeight="1">
      <c r="A1319" s="15" t="str">
        <f>Solieusap!A1319</f>
        <v>Cũ</v>
      </c>
      <c r="B1319" s="15">
        <f>Solieusap!B1319</f>
        <v>1.75</v>
      </c>
      <c r="C1319" s="15" t="str">
        <f>Solieusap!C1319</f>
        <v>COMB5</v>
      </c>
      <c r="D1319" s="15" t="str">
        <f>Solieusap!D1319</f>
        <v>Combination</v>
      </c>
      <c r="E1319" s="16">
        <f>ABS(Solieusap!E1319)</f>
        <v>7.142742078</v>
      </c>
      <c r="F1319" s="16">
        <f>ABS(Solieusap!F1319)</f>
        <v>0.6016557576</v>
      </c>
      <c r="G1319" s="16">
        <f>ABS(Solieusap!G1319)</f>
        <v>0.848945368</v>
      </c>
      <c r="H1319" s="16">
        <f>ABS(Solieusap!H1319)</f>
        <v>0.0003547901039</v>
      </c>
      <c r="I1319" s="16">
        <f>ABS(Solieusap!I1319)</f>
        <v>1.857531697</v>
      </c>
      <c r="J1319" s="16">
        <f>ABS(Solieusap!J1319)</f>
        <v>1.264723481</v>
      </c>
      <c r="K1319" s="16">
        <f t="shared" si="1"/>
        <v>7.142742078</v>
      </c>
      <c r="L1319" s="16">
        <f t="shared" si="2"/>
        <v>1.857531697</v>
      </c>
    </row>
    <row r="1320" ht="16.5" customHeight="1">
      <c r="A1320" s="15" t="str">
        <f>Solieusap!A1320</f>
        <v>Cũ</v>
      </c>
      <c r="B1320" s="15">
        <f>Solieusap!B1320</f>
        <v>3.5</v>
      </c>
      <c r="C1320" s="15" t="str">
        <f>Solieusap!C1320</f>
        <v>COMB5</v>
      </c>
      <c r="D1320" s="15" t="str">
        <f>Solieusap!D1320</f>
        <v>Combination</v>
      </c>
      <c r="E1320" s="16">
        <f>ABS(Solieusap!E1320)</f>
        <v>7.159598442</v>
      </c>
      <c r="F1320" s="16">
        <f>ABS(Solieusap!F1320)</f>
        <v>0.6033662771</v>
      </c>
      <c r="G1320" s="16">
        <f>ABS(Solieusap!G1320)</f>
        <v>0.8512097835</v>
      </c>
      <c r="H1320" s="16">
        <f>ABS(Solieusap!H1320)</f>
        <v>0.0003558452078</v>
      </c>
      <c r="I1320" s="16">
        <f>ABS(Solieusap!I1320)</f>
        <v>1.864326489</v>
      </c>
      <c r="J1320" s="16">
        <f>ABS(Solieusap!J1320)</f>
        <v>1.269270532</v>
      </c>
      <c r="K1320" s="16">
        <f t="shared" si="1"/>
        <v>7.159598442</v>
      </c>
      <c r="L1320" s="16">
        <f t="shared" si="2"/>
        <v>1.864326489</v>
      </c>
    </row>
    <row r="1321" ht="16.5" customHeight="1">
      <c r="A1321" s="15" t="str">
        <f>Solieusap!A1321</f>
        <v>Cũ</v>
      </c>
      <c r="B1321" s="15">
        <f>Solieusap!B1321</f>
        <v>0</v>
      </c>
      <c r="C1321" s="15" t="str">
        <f>Solieusap!C1321</f>
        <v>COMB6</v>
      </c>
      <c r="D1321" s="15" t="str">
        <f>Solieusap!D1321</f>
        <v>Combination</v>
      </c>
      <c r="E1321" s="16">
        <f>ABS(Solieusap!E1321)</f>
        <v>7.176454805</v>
      </c>
      <c r="F1321" s="16">
        <f>ABS(Solieusap!F1321)</f>
        <v>0.6050767965</v>
      </c>
      <c r="G1321" s="16">
        <f>ABS(Solieusap!G1321)</f>
        <v>0.8534741991</v>
      </c>
      <c r="H1321" s="16">
        <f>ABS(Solieusap!H1321)</f>
        <v>0.0003569003117</v>
      </c>
      <c r="I1321" s="16">
        <f>ABS(Solieusap!I1321)</f>
        <v>1.871121281</v>
      </c>
      <c r="J1321" s="16">
        <f>ABS(Solieusap!J1321)</f>
        <v>1.273817584</v>
      </c>
      <c r="K1321" s="16">
        <f t="shared" si="1"/>
        <v>7.176454805</v>
      </c>
      <c r="L1321" s="16">
        <f t="shared" si="2"/>
        <v>1.871121281</v>
      </c>
    </row>
    <row r="1322" ht="16.5" customHeight="1">
      <c r="A1322" s="15" t="str">
        <f>Solieusap!A1322</f>
        <v>Cũ</v>
      </c>
      <c r="B1322" s="15">
        <f>Solieusap!B1322</f>
        <v>1.75</v>
      </c>
      <c r="C1322" s="15" t="str">
        <f>Solieusap!C1322</f>
        <v>COMB6</v>
      </c>
      <c r="D1322" s="15" t="str">
        <f>Solieusap!D1322</f>
        <v>Combination</v>
      </c>
      <c r="E1322" s="16">
        <f>ABS(Solieusap!E1322)</f>
        <v>7.193311169</v>
      </c>
      <c r="F1322" s="16">
        <f>ABS(Solieusap!F1322)</f>
        <v>0.606787316</v>
      </c>
      <c r="G1322" s="16">
        <f>ABS(Solieusap!G1322)</f>
        <v>0.8557386147</v>
      </c>
      <c r="H1322" s="16">
        <f>ABS(Solieusap!H1322)</f>
        <v>0.0003579554156</v>
      </c>
      <c r="I1322" s="16">
        <f>ABS(Solieusap!I1322)</f>
        <v>1.877916074</v>
      </c>
      <c r="J1322" s="16">
        <f>ABS(Solieusap!J1322)</f>
        <v>1.278364636</v>
      </c>
      <c r="K1322" s="16">
        <f t="shared" si="1"/>
        <v>7.193311169</v>
      </c>
      <c r="L1322" s="16">
        <f t="shared" si="2"/>
        <v>1.877916074</v>
      </c>
    </row>
    <row r="1323" ht="16.5" customHeight="1">
      <c r="A1323" s="15" t="str">
        <f>Solieusap!A1323</f>
        <v>Cũ</v>
      </c>
      <c r="B1323" s="15">
        <f>Solieusap!B1323</f>
        <v>3.5</v>
      </c>
      <c r="C1323" s="15" t="str">
        <f>Solieusap!C1323</f>
        <v>COMB6</v>
      </c>
      <c r="D1323" s="15" t="str">
        <f>Solieusap!D1323</f>
        <v>Combination</v>
      </c>
      <c r="E1323" s="16">
        <f>ABS(Solieusap!E1323)</f>
        <v>7.210167532</v>
      </c>
      <c r="F1323" s="16">
        <f>ABS(Solieusap!F1323)</f>
        <v>0.6084978355</v>
      </c>
      <c r="G1323" s="16">
        <f>ABS(Solieusap!G1323)</f>
        <v>0.8580030303</v>
      </c>
      <c r="H1323" s="16">
        <f>ABS(Solieusap!H1323)</f>
        <v>0.0003590105195</v>
      </c>
      <c r="I1323" s="16">
        <f>ABS(Solieusap!I1323)</f>
        <v>1.884710866</v>
      </c>
      <c r="J1323" s="16">
        <f>ABS(Solieusap!J1323)</f>
        <v>1.282911688</v>
      </c>
      <c r="K1323" s="16">
        <f t="shared" si="1"/>
        <v>7.210167532</v>
      </c>
      <c r="L1323" s="16">
        <f t="shared" si="2"/>
        <v>1.884710866</v>
      </c>
    </row>
    <row r="1324" ht="16.5" customHeight="1">
      <c r="A1324" s="15" t="str">
        <f>Solieusap!A1324</f>
        <v>Cũ</v>
      </c>
      <c r="B1324" s="15">
        <f>Solieusap!B1324</f>
        <v>0</v>
      </c>
      <c r="C1324" s="15" t="str">
        <f>Solieusap!C1324</f>
        <v>COMB7</v>
      </c>
      <c r="D1324" s="15" t="str">
        <f>Solieusap!D1324</f>
        <v>Combination</v>
      </c>
      <c r="E1324" s="16">
        <f>ABS(Solieusap!E1324)</f>
        <v>7.227023896</v>
      </c>
      <c r="F1324" s="16">
        <f>ABS(Solieusap!F1324)</f>
        <v>0.610208355</v>
      </c>
      <c r="G1324" s="16">
        <f>ABS(Solieusap!G1324)</f>
        <v>0.8602674459</v>
      </c>
      <c r="H1324" s="16">
        <f>ABS(Solieusap!H1324)</f>
        <v>0.0003600656234</v>
      </c>
      <c r="I1324" s="16">
        <f>ABS(Solieusap!I1324)</f>
        <v>1.891505658</v>
      </c>
      <c r="J1324" s="16">
        <f>ABS(Solieusap!J1324)</f>
        <v>1.28745874</v>
      </c>
      <c r="K1324" s="16">
        <f t="shared" si="1"/>
        <v>7.227023896</v>
      </c>
      <c r="L1324" s="16">
        <f t="shared" si="2"/>
        <v>1.891505658</v>
      </c>
    </row>
    <row r="1325" ht="16.5" customHeight="1">
      <c r="A1325" s="15" t="str">
        <f>Solieusap!A1325</f>
        <v>Cũ</v>
      </c>
      <c r="B1325" s="15">
        <f>Solieusap!B1325</f>
        <v>1.75</v>
      </c>
      <c r="C1325" s="15" t="str">
        <f>Solieusap!C1325</f>
        <v>COMB7</v>
      </c>
      <c r="D1325" s="15" t="str">
        <f>Solieusap!D1325</f>
        <v>Combination</v>
      </c>
      <c r="E1325" s="16">
        <f>ABS(Solieusap!E1325)</f>
        <v>7.24388026</v>
      </c>
      <c r="F1325" s="16">
        <f>ABS(Solieusap!F1325)</f>
        <v>0.6119188745</v>
      </c>
      <c r="G1325" s="16">
        <f>ABS(Solieusap!G1325)</f>
        <v>0.8625318615</v>
      </c>
      <c r="H1325" s="16">
        <f>ABS(Solieusap!H1325)</f>
        <v>0.0003611207273</v>
      </c>
      <c r="I1325" s="16">
        <f>ABS(Solieusap!I1325)</f>
        <v>1.89830045</v>
      </c>
      <c r="J1325" s="16">
        <f>ABS(Solieusap!J1325)</f>
        <v>1.292005792</v>
      </c>
      <c r="K1325" s="16">
        <f t="shared" si="1"/>
        <v>7.24388026</v>
      </c>
      <c r="L1325" s="16">
        <f t="shared" si="2"/>
        <v>1.89830045</v>
      </c>
    </row>
    <row r="1326" ht="16.5" customHeight="1">
      <c r="A1326" s="15" t="str">
        <f>Solieusap!A1326</f>
        <v>Cũ</v>
      </c>
      <c r="B1326" s="15">
        <f>Solieusap!B1326</f>
        <v>3.5</v>
      </c>
      <c r="C1326" s="15" t="str">
        <f>Solieusap!C1326</f>
        <v>COMB7</v>
      </c>
      <c r="D1326" s="15" t="str">
        <f>Solieusap!D1326</f>
        <v>Combination</v>
      </c>
      <c r="E1326" s="16">
        <f>ABS(Solieusap!E1326)</f>
        <v>7.260736623</v>
      </c>
      <c r="F1326" s="16">
        <f>ABS(Solieusap!F1326)</f>
        <v>0.6136293939</v>
      </c>
      <c r="G1326" s="16">
        <f>ABS(Solieusap!G1326)</f>
        <v>0.8647962771</v>
      </c>
      <c r="H1326" s="16">
        <f>ABS(Solieusap!H1326)</f>
        <v>0.0003621758312</v>
      </c>
      <c r="I1326" s="16">
        <f>ABS(Solieusap!I1326)</f>
        <v>1.905095242</v>
      </c>
      <c r="J1326" s="16">
        <f>ABS(Solieusap!J1326)</f>
        <v>1.296552844</v>
      </c>
      <c r="K1326" s="16">
        <f t="shared" si="1"/>
        <v>7.260736623</v>
      </c>
      <c r="L1326" s="16">
        <f t="shared" si="2"/>
        <v>1.905095242</v>
      </c>
    </row>
    <row r="1327" ht="16.5" customHeight="1">
      <c r="A1327" s="15" t="str">
        <f>Solieusap!A1327</f>
        <v>Cũ</v>
      </c>
      <c r="B1327" s="15">
        <f>Solieusap!B1327</f>
        <v>0</v>
      </c>
      <c r="C1327" s="15" t="str">
        <f>Solieusap!C1327</f>
        <v>COMB1</v>
      </c>
      <c r="D1327" s="15" t="str">
        <f>Solieusap!D1327</f>
        <v>Combination</v>
      </c>
      <c r="E1327" s="16">
        <f>ABS(Solieusap!E1327)</f>
        <v>7.277592987</v>
      </c>
      <c r="F1327" s="16">
        <f>ABS(Solieusap!F1327)</f>
        <v>0.6153399134</v>
      </c>
      <c r="G1327" s="16">
        <f>ABS(Solieusap!G1327)</f>
        <v>0.8670606926</v>
      </c>
      <c r="H1327" s="16">
        <f>ABS(Solieusap!H1327)</f>
        <v>0.0003632309351</v>
      </c>
      <c r="I1327" s="16">
        <f>ABS(Solieusap!I1327)</f>
        <v>1.911890035</v>
      </c>
      <c r="J1327" s="16">
        <f>ABS(Solieusap!J1327)</f>
        <v>1.301099896</v>
      </c>
      <c r="K1327" s="16">
        <f t="shared" si="1"/>
        <v>7.277592987</v>
      </c>
      <c r="L1327" s="16">
        <f t="shared" si="2"/>
        <v>1.911890035</v>
      </c>
    </row>
    <row r="1328" ht="16.5" customHeight="1">
      <c r="A1328" s="15" t="str">
        <f>Solieusap!A1328</f>
        <v>Cũ</v>
      </c>
      <c r="B1328" s="15">
        <f>Solieusap!B1328</f>
        <v>1.75</v>
      </c>
      <c r="C1328" s="15" t="str">
        <f>Solieusap!C1328</f>
        <v>COMB1</v>
      </c>
      <c r="D1328" s="15" t="str">
        <f>Solieusap!D1328</f>
        <v>Combination</v>
      </c>
      <c r="E1328" s="16">
        <f>ABS(Solieusap!E1328)</f>
        <v>7.294449351</v>
      </c>
      <c r="F1328" s="16">
        <f>ABS(Solieusap!F1328)</f>
        <v>0.6170504329</v>
      </c>
      <c r="G1328" s="16">
        <f>ABS(Solieusap!G1328)</f>
        <v>0.8693251082</v>
      </c>
      <c r="H1328" s="16">
        <f>ABS(Solieusap!H1328)</f>
        <v>0.000364286039</v>
      </c>
      <c r="I1328" s="16">
        <f>ABS(Solieusap!I1328)</f>
        <v>1.918684827</v>
      </c>
      <c r="J1328" s="16">
        <f>ABS(Solieusap!J1328)</f>
        <v>1.305646948</v>
      </c>
      <c r="K1328" s="16">
        <f t="shared" si="1"/>
        <v>7.294449351</v>
      </c>
      <c r="L1328" s="16">
        <f t="shared" si="2"/>
        <v>1.918684827</v>
      </c>
    </row>
    <row r="1329" ht="16.5" customHeight="1">
      <c r="A1329" s="15" t="str">
        <f>Solieusap!A1329</f>
        <v>Cũ</v>
      </c>
      <c r="B1329" s="15">
        <f>Solieusap!B1329</f>
        <v>3.5</v>
      </c>
      <c r="C1329" s="15" t="str">
        <f>Solieusap!C1329</f>
        <v>COMB1</v>
      </c>
      <c r="D1329" s="15" t="str">
        <f>Solieusap!D1329</f>
        <v>Combination</v>
      </c>
      <c r="E1329" s="16">
        <f>ABS(Solieusap!E1329)</f>
        <v>7.311305714</v>
      </c>
      <c r="F1329" s="16">
        <f>ABS(Solieusap!F1329)</f>
        <v>0.6187609524</v>
      </c>
      <c r="G1329" s="16">
        <f>ABS(Solieusap!G1329)</f>
        <v>0.8715895238</v>
      </c>
      <c r="H1329" s="16">
        <f>ABS(Solieusap!H1329)</f>
        <v>0.0003653411429</v>
      </c>
      <c r="I1329" s="16">
        <f>ABS(Solieusap!I1329)</f>
        <v>1.925479619</v>
      </c>
      <c r="J1329" s="16">
        <f>ABS(Solieusap!J1329)</f>
        <v>1.310194</v>
      </c>
      <c r="K1329" s="16">
        <f t="shared" si="1"/>
        <v>7.311305714</v>
      </c>
      <c r="L1329" s="16">
        <f t="shared" si="2"/>
        <v>1.925479619</v>
      </c>
    </row>
    <row r="1330" ht="16.5" customHeight="1">
      <c r="A1330" s="15" t="str">
        <f>Solieusap!A1330</f>
        <v>Cũ</v>
      </c>
      <c r="B1330" s="15">
        <f>Solieusap!B1330</f>
        <v>0</v>
      </c>
      <c r="C1330" s="15" t="str">
        <f>Solieusap!C1330</f>
        <v>COMB2</v>
      </c>
      <c r="D1330" s="15" t="str">
        <f>Solieusap!D1330</f>
        <v>Combination</v>
      </c>
      <c r="E1330" s="16">
        <f>ABS(Solieusap!E1330)</f>
        <v>7.328162078</v>
      </c>
      <c r="F1330" s="16">
        <f>ABS(Solieusap!F1330)</f>
        <v>0.6204714719</v>
      </c>
      <c r="G1330" s="16">
        <f>ABS(Solieusap!G1330)</f>
        <v>0.8738539394</v>
      </c>
      <c r="H1330" s="16">
        <f>ABS(Solieusap!H1330)</f>
        <v>0.0003663962468</v>
      </c>
      <c r="I1330" s="16">
        <f>ABS(Solieusap!I1330)</f>
        <v>1.932274411</v>
      </c>
      <c r="J1330" s="16">
        <f>ABS(Solieusap!J1330)</f>
        <v>1.314741052</v>
      </c>
      <c r="K1330" s="16">
        <f t="shared" si="1"/>
        <v>7.328162078</v>
      </c>
      <c r="L1330" s="16">
        <f t="shared" si="2"/>
        <v>1.932274411</v>
      </c>
    </row>
    <row r="1331" ht="16.5" customHeight="1">
      <c r="A1331" s="15" t="str">
        <f>Solieusap!A1331</f>
        <v>Cũ</v>
      </c>
      <c r="B1331" s="15">
        <f>Solieusap!B1331</f>
        <v>1.75</v>
      </c>
      <c r="C1331" s="15" t="str">
        <f>Solieusap!C1331</f>
        <v>COMB2</v>
      </c>
      <c r="D1331" s="15" t="str">
        <f>Solieusap!D1331</f>
        <v>Combination</v>
      </c>
      <c r="E1331" s="16">
        <f>ABS(Solieusap!E1331)</f>
        <v>7.345018442</v>
      </c>
      <c r="F1331" s="16">
        <f>ABS(Solieusap!F1331)</f>
        <v>0.6221819913</v>
      </c>
      <c r="G1331" s="16">
        <f>ABS(Solieusap!G1331)</f>
        <v>0.876118355</v>
      </c>
      <c r="H1331" s="16">
        <f>ABS(Solieusap!H1331)</f>
        <v>0.0003674513506</v>
      </c>
      <c r="I1331" s="16">
        <f>ABS(Solieusap!I1331)</f>
        <v>1.939069203</v>
      </c>
      <c r="J1331" s="16">
        <f>ABS(Solieusap!J1331)</f>
        <v>1.319288104</v>
      </c>
      <c r="K1331" s="16">
        <f t="shared" si="1"/>
        <v>7.345018442</v>
      </c>
      <c r="L1331" s="16">
        <f t="shared" si="2"/>
        <v>1.939069203</v>
      </c>
    </row>
    <row r="1332" ht="16.5" customHeight="1">
      <c r="A1332" s="15" t="str">
        <f>Solieusap!A1332</f>
        <v>Cũ</v>
      </c>
      <c r="B1332" s="15">
        <f>Solieusap!B1332</f>
        <v>3.5</v>
      </c>
      <c r="C1332" s="15" t="str">
        <f>Solieusap!C1332</f>
        <v>COMB2</v>
      </c>
      <c r="D1332" s="15" t="str">
        <f>Solieusap!D1332</f>
        <v>Combination</v>
      </c>
      <c r="E1332" s="16">
        <f>ABS(Solieusap!E1332)</f>
        <v>7.361874805</v>
      </c>
      <c r="F1332" s="16">
        <f>ABS(Solieusap!F1332)</f>
        <v>0.6238925108</v>
      </c>
      <c r="G1332" s="16">
        <f>ABS(Solieusap!G1332)</f>
        <v>0.8783827706</v>
      </c>
      <c r="H1332" s="16">
        <f>ABS(Solieusap!H1332)</f>
        <v>0.0003685064545</v>
      </c>
      <c r="I1332" s="16">
        <f>ABS(Solieusap!I1332)</f>
        <v>1.945863996</v>
      </c>
      <c r="J1332" s="16">
        <f>ABS(Solieusap!J1332)</f>
        <v>1.323835156</v>
      </c>
      <c r="K1332" s="16">
        <f t="shared" si="1"/>
        <v>7.361874805</v>
      </c>
      <c r="L1332" s="16">
        <f t="shared" si="2"/>
        <v>1.945863996</v>
      </c>
    </row>
    <row r="1333" ht="16.5" customHeight="1">
      <c r="A1333" s="15" t="str">
        <f>Solieusap!A1333</f>
        <v>Cũ</v>
      </c>
      <c r="B1333" s="15">
        <f>Solieusap!B1333</f>
        <v>0</v>
      </c>
      <c r="C1333" s="15" t="str">
        <f>Solieusap!C1333</f>
        <v>COMB3</v>
      </c>
      <c r="D1333" s="15" t="str">
        <f>Solieusap!D1333</f>
        <v>Combination</v>
      </c>
      <c r="E1333" s="16">
        <f>ABS(Solieusap!E1333)</f>
        <v>7.378731169</v>
      </c>
      <c r="F1333" s="16">
        <f>ABS(Solieusap!F1333)</f>
        <v>0.6256030303</v>
      </c>
      <c r="G1333" s="16">
        <f>ABS(Solieusap!G1333)</f>
        <v>0.8806471861</v>
      </c>
      <c r="H1333" s="16">
        <f>ABS(Solieusap!H1333)</f>
        <v>0.0003695615584</v>
      </c>
      <c r="I1333" s="16">
        <f>ABS(Solieusap!I1333)</f>
        <v>1.952658788</v>
      </c>
      <c r="J1333" s="16">
        <f>ABS(Solieusap!J1333)</f>
        <v>1.328382208</v>
      </c>
      <c r="K1333" s="16">
        <f t="shared" si="1"/>
        <v>7.378731169</v>
      </c>
      <c r="L1333" s="16">
        <f t="shared" si="2"/>
        <v>1.952658788</v>
      </c>
    </row>
    <row r="1334" ht="16.5" customHeight="1">
      <c r="A1334" s="15" t="str">
        <f>Solieusap!A1334</f>
        <v>Cũ</v>
      </c>
      <c r="B1334" s="15">
        <f>Solieusap!B1334</f>
        <v>1.75</v>
      </c>
      <c r="C1334" s="15" t="str">
        <f>Solieusap!C1334</f>
        <v>COMB3</v>
      </c>
      <c r="D1334" s="15" t="str">
        <f>Solieusap!D1334</f>
        <v>Combination</v>
      </c>
      <c r="E1334" s="16">
        <f>ABS(Solieusap!E1334)</f>
        <v>7.395587532</v>
      </c>
      <c r="F1334" s="16">
        <f>ABS(Solieusap!F1334)</f>
        <v>0.6273135498</v>
      </c>
      <c r="G1334" s="16">
        <f>ABS(Solieusap!G1334)</f>
        <v>0.8829116017</v>
      </c>
      <c r="H1334" s="16">
        <f>ABS(Solieusap!H1334)</f>
        <v>0.0003706166623</v>
      </c>
      <c r="I1334" s="16">
        <f>ABS(Solieusap!I1334)</f>
        <v>1.95945358</v>
      </c>
      <c r="J1334" s="16">
        <f>ABS(Solieusap!J1334)</f>
        <v>1.33292926</v>
      </c>
      <c r="K1334" s="16">
        <f t="shared" si="1"/>
        <v>7.395587532</v>
      </c>
      <c r="L1334" s="16">
        <f t="shared" si="2"/>
        <v>1.95945358</v>
      </c>
    </row>
    <row r="1335" ht="16.5" customHeight="1">
      <c r="A1335" s="15" t="str">
        <f>Solieusap!A1335</f>
        <v>Cũ</v>
      </c>
      <c r="B1335" s="15">
        <f>Solieusap!B1335</f>
        <v>3.5</v>
      </c>
      <c r="C1335" s="15" t="str">
        <f>Solieusap!C1335</f>
        <v>COMB3</v>
      </c>
      <c r="D1335" s="15" t="str">
        <f>Solieusap!D1335</f>
        <v>Combination</v>
      </c>
      <c r="E1335" s="16">
        <f>ABS(Solieusap!E1335)</f>
        <v>7.412443896</v>
      </c>
      <c r="F1335" s="16">
        <f>ABS(Solieusap!F1335)</f>
        <v>0.6290240693</v>
      </c>
      <c r="G1335" s="16">
        <f>ABS(Solieusap!G1335)</f>
        <v>0.8851760173</v>
      </c>
      <c r="H1335" s="16">
        <f>ABS(Solieusap!H1335)</f>
        <v>0.0003716717662</v>
      </c>
      <c r="I1335" s="16">
        <f>ABS(Solieusap!I1335)</f>
        <v>1.966248372</v>
      </c>
      <c r="J1335" s="16">
        <f>ABS(Solieusap!J1335)</f>
        <v>1.337476312</v>
      </c>
      <c r="K1335" s="16">
        <f t="shared" si="1"/>
        <v>7.412443896</v>
      </c>
      <c r="L1335" s="16">
        <f t="shared" si="2"/>
        <v>1.966248372</v>
      </c>
    </row>
    <row r="1336" ht="16.5" customHeight="1">
      <c r="A1336" s="15" t="str">
        <f>Solieusap!A1336</f>
        <v>Cũ</v>
      </c>
      <c r="B1336" s="15">
        <f>Solieusap!B1336</f>
        <v>0</v>
      </c>
      <c r="C1336" s="15" t="str">
        <f>Solieusap!C1336</f>
        <v>COMB4</v>
      </c>
      <c r="D1336" s="15" t="str">
        <f>Solieusap!D1336</f>
        <v>Combination</v>
      </c>
      <c r="E1336" s="16">
        <f>ABS(Solieusap!E1336)</f>
        <v>7.42930026</v>
      </c>
      <c r="F1336" s="16">
        <f>ABS(Solieusap!F1336)</f>
        <v>0.6307345887</v>
      </c>
      <c r="G1336" s="16">
        <f>ABS(Solieusap!G1336)</f>
        <v>0.8874404329</v>
      </c>
      <c r="H1336" s="16">
        <f>ABS(Solieusap!H1336)</f>
        <v>0.0003727268701</v>
      </c>
      <c r="I1336" s="16">
        <f>ABS(Solieusap!I1336)</f>
        <v>1.973043165</v>
      </c>
      <c r="J1336" s="16">
        <f>ABS(Solieusap!J1336)</f>
        <v>1.342023364</v>
      </c>
      <c r="K1336" s="16">
        <f t="shared" si="1"/>
        <v>7.42930026</v>
      </c>
      <c r="L1336" s="16">
        <f t="shared" si="2"/>
        <v>1.973043165</v>
      </c>
    </row>
    <row r="1337" ht="16.5" customHeight="1">
      <c r="A1337" s="15" t="str">
        <f>Solieusap!A1337</f>
        <v>Cũ</v>
      </c>
      <c r="B1337" s="15">
        <f>Solieusap!B1337</f>
        <v>1.75</v>
      </c>
      <c r="C1337" s="15" t="str">
        <f>Solieusap!C1337</f>
        <v>COMB4</v>
      </c>
      <c r="D1337" s="15" t="str">
        <f>Solieusap!D1337</f>
        <v>Combination</v>
      </c>
      <c r="E1337" s="16">
        <f>ABS(Solieusap!E1337)</f>
        <v>7.446156623</v>
      </c>
      <c r="F1337" s="16">
        <f>ABS(Solieusap!F1337)</f>
        <v>0.6324451082</v>
      </c>
      <c r="G1337" s="16">
        <f>ABS(Solieusap!G1337)</f>
        <v>0.8897048485</v>
      </c>
      <c r="H1337" s="16">
        <f>ABS(Solieusap!H1337)</f>
        <v>0.000373781974</v>
      </c>
      <c r="I1337" s="16">
        <f>ABS(Solieusap!I1337)</f>
        <v>1.979837957</v>
      </c>
      <c r="J1337" s="16">
        <f>ABS(Solieusap!J1337)</f>
        <v>1.346570416</v>
      </c>
      <c r="K1337" s="16">
        <f t="shared" si="1"/>
        <v>7.446156623</v>
      </c>
      <c r="L1337" s="16">
        <f t="shared" si="2"/>
        <v>1.979837957</v>
      </c>
    </row>
    <row r="1338" ht="16.5" customHeight="1">
      <c r="A1338" s="15" t="str">
        <f>Solieusap!A1338</f>
        <v>Cũ</v>
      </c>
      <c r="B1338" s="15">
        <f>Solieusap!B1338</f>
        <v>3.5</v>
      </c>
      <c r="C1338" s="15" t="str">
        <f>Solieusap!C1338</f>
        <v>COMB4</v>
      </c>
      <c r="D1338" s="15" t="str">
        <f>Solieusap!D1338</f>
        <v>Combination</v>
      </c>
      <c r="E1338" s="16">
        <f>ABS(Solieusap!E1338)</f>
        <v>7.463012987</v>
      </c>
      <c r="F1338" s="16">
        <f>ABS(Solieusap!F1338)</f>
        <v>0.6341556277</v>
      </c>
      <c r="G1338" s="16">
        <f>ABS(Solieusap!G1338)</f>
        <v>0.8919692641</v>
      </c>
      <c r="H1338" s="16">
        <f>ABS(Solieusap!H1338)</f>
        <v>0.0003748370779</v>
      </c>
      <c r="I1338" s="16">
        <f>ABS(Solieusap!I1338)</f>
        <v>1.986632749</v>
      </c>
      <c r="J1338" s="16">
        <f>ABS(Solieusap!J1338)</f>
        <v>1.351117468</v>
      </c>
      <c r="K1338" s="16">
        <f t="shared" si="1"/>
        <v>7.463012987</v>
      </c>
      <c r="L1338" s="16">
        <f t="shared" si="2"/>
        <v>1.986632749</v>
      </c>
    </row>
    <row r="1339" ht="16.5" customHeight="1">
      <c r="A1339" s="15" t="str">
        <f>Solieusap!A1339</f>
        <v>Cũ</v>
      </c>
      <c r="B1339" s="15">
        <f>Solieusap!B1339</f>
        <v>0</v>
      </c>
      <c r="C1339" s="15" t="str">
        <f>Solieusap!C1339</f>
        <v>COMB5</v>
      </c>
      <c r="D1339" s="15" t="str">
        <f>Solieusap!D1339</f>
        <v>Combination</v>
      </c>
      <c r="E1339" s="16">
        <f>ABS(Solieusap!E1339)</f>
        <v>7.479869351</v>
      </c>
      <c r="F1339" s="16">
        <f>ABS(Solieusap!F1339)</f>
        <v>0.6358661472</v>
      </c>
      <c r="G1339" s="16">
        <f>ABS(Solieusap!G1339)</f>
        <v>0.8942336797</v>
      </c>
      <c r="H1339" s="16">
        <f>ABS(Solieusap!H1339)</f>
        <v>0.0003758921818</v>
      </c>
      <c r="I1339" s="16">
        <f>ABS(Solieusap!I1339)</f>
        <v>1.993427541</v>
      </c>
      <c r="J1339" s="16">
        <f>ABS(Solieusap!J1339)</f>
        <v>1.355664519</v>
      </c>
      <c r="K1339" s="16">
        <f t="shared" si="1"/>
        <v>7.479869351</v>
      </c>
      <c r="L1339" s="16">
        <f t="shared" si="2"/>
        <v>1.993427541</v>
      </c>
    </row>
    <row r="1340" ht="16.5" customHeight="1">
      <c r="A1340" s="15" t="str">
        <f>Solieusap!A1340</f>
        <v>Cũ</v>
      </c>
      <c r="B1340" s="15">
        <f>Solieusap!B1340</f>
        <v>1.75</v>
      </c>
      <c r="C1340" s="15" t="str">
        <f>Solieusap!C1340</f>
        <v>COMB5</v>
      </c>
      <c r="D1340" s="15" t="str">
        <f>Solieusap!D1340</f>
        <v>Combination</v>
      </c>
      <c r="E1340" s="16">
        <f>ABS(Solieusap!E1340)</f>
        <v>7.496725714</v>
      </c>
      <c r="F1340" s="16">
        <f>ABS(Solieusap!F1340)</f>
        <v>0.6375766667</v>
      </c>
      <c r="G1340" s="16">
        <f>ABS(Solieusap!G1340)</f>
        <v>0.8964980952</v>
      </c>
      <c r="H1340" s="16">
        <f>ABS(Solieusap!H1340)</f>
        <v>0.0003769472857</v>
      </c>
      <c r="I1340" s="16">
        <f>ABS(Solieusap!I1340)</f>
        <v>2.000222333</v>
      </c>
      <c r="J1340" s="16">
        <f>ABS(Solieusap!J1340)</f>
        <v>1.360211571</v>
      </c>
      <c r="K1340" s="16">
        <f t="shared" si="1"/>
        <v>7.496725714</v>
      </c>
      <c r="L1340" s="16">
        <f t="shared" si="2"/>
        <v>2.000222333</v>
      </c>
    </row>
    <row r="1341" ht="16.5" customHeight="1">
      <c r="A1341" s="15" t="str">
        <f>Solieusap!A1341</f>
        <v>Cũ</v>
      </c>
      <c r="B1341" s="15">
        <f>Solieusap!B1341</f>
        <v>3.5</v>
      </c>
      <c r="C1341" s="15" t="str">
        <f>Solieusap!C1341</f>
        <v>COMB5</v>
      </c>
      <c r="D1341" s="15" t="str">
        <f>Solieusap!D1341</f>
        <v>Combination</v>
      </c>
      <c r="E1341" s="16">
        <f>ABS(Solieusap!E1341)</f>
        <v>7.513582078</v>
      </c>
      <c r="F1341" s="16">
        <f>ABS(Solieusap!F1341)</f>
        <v>0.6392871861</v>
      </c>
      <c r="G1341" s="16">
        <f>ABS(Solieusap!G1341)</f>
        <v>0.8987625108</v>
      </c>
      <c r="H1341" s="16">
        <f>ABS(Solieusap!H1341)</f>
        <v>0.0003780023896</v>
      </c>
      <c r="I1341" s="16">
        <f>ABS(Solieusap!I1341)</f>
        <v>2.007017126</v>
      </c>
      <c r="J1341" s="16">
        <f>ABS(Solieusap!J1341)</f>
        <v>1.364758623</v>
      </c>
      <c r="K1341" s="16">
        <f t="shared" si="1"/>
        <v>7.513582078</v>
      </c>
      <c r="L1341" s="16">
        <f t="shared" si="2"/>
        <v>2.007017126</v>
      </c>
    </row>
    <row r="1342" ht="16.5" customHeight="1">
      <c r="A1342" s="15" t="str">
        <f>Solieusap!A1342</f>
        <v>Cũ</v>
      </c>
      <c r="B1342" s="15">
        <f>Solieusap!B1342</f>
        <v>0</v>
      </c>
      <c r="C1342" s="15" t="str">
        <f>Solieusap!C1342</f>
        <v>COMB6</v>
      </c>
      <c r="D1342" s="15" t="str">
        <f>Solieusap!D1342</f>
        <v>Combination</v>
      </c>
      <c r="E1342" s="16">
        <f>ABS(Solieusap!E1342)</f>
        <v>7.530438442</v>
      </c>
      <c r="F1342" s="16">
        <f>ABS(Solieusap!F1342)</f>
        <v>0.6409977056</v>
      </c>
      <c r="G1342" s="16">
        <f>ABS(Solieusap!G1342)</f>
        <v>0.9010269264</v>
      </c>
      <c r="H1342" s="16">
        <f>ABS(Solieusap!H1342)</f>
        <v>0.0003790574935</v>
      </c>
      <c r="I1342" s="16">
        <f>ABS(Solieusap!I1342)</f>
        <v>2.013811918</v>
      </c>
      <c r="J1342" s="16">
        <f>ABS(Solieusap!J1342)</f>
        <v>1.369305675</v>
      </c>
      <c r="K1342" s="16">
        <f t="shared" si="1"/>
        <v>7.530438442</v>
      </c>
      <c r="L1342" s="16">
        <f t="shared" si="2"/>
        <v>2.013811918</v>
      </c>
    </row>
    <row r="1343" ht="16.5" customHeight="1">
      <c r="A1343" s="15" t="str">
        <f>Solieusap!A1343</f>
        <v>Cũ</v>
      </c>
      <c r="B1343" s="15">
        <f>Solieusap!B1343</f>
        <v>1.75</v>
      </c>
      <c r="C1343" s="15" t="str">
        <f>Solieusap!C1343</f>
        <v>COMB6</v>
      </c>
      <c r="D1343" s="15" t="str">
        <f>Solieusap!D1343</f>
        <v>Combination</v>
      </c>
      <c r="E1343" s="16">
        <f>ABS(Solieusap!E1343)</f>
        <v>7.547294805</v>
      </c>
      <c r="F1343" s="16">
        <f>ABS(Solieusap!F1343)</f>
        <v>0.6427082251</v>
      </c>
      <c r="G1343" s="16">
        <f>ABS(Solieusap!G1343)</f>
        <v>0.903291342</v>
      </c>
      <c r="H1343" s="16">
        <f>ABS(Solieusap!H1343)</f>
        <v>0.0003801125974</v>
      </c>
      <c r="I1343" s="16">
        <f>ABS(Solieusap!I1343)</f>
        <v>2.02060671</v>
      </c>
      <c r="J1343" s="16">
        <f>ABS(Solieusap!J1343)</f>
        <v>1.373852727</v>
      </c>
      <c r="K1343" s="16">
        <f t="shared" si="1"/>
        <v>7.547294805</v>
      </c>
      <c r="L1343" s="16">
        <f t="shared" si="2"/>
        <v>2.02060671</v>
      </c>
    </row>
    <row r="1344" ht="16.5" customHeight="1">
      <c r="A1344" s="15" t="str">
        <f>Solieusap!A1344</f>
        <v>Cũ</v>
      </c>
      <c r="B1344" s="15">
        <f>Solieusap!B1344</f>
        <v>3.5</v>
      </c>
      <c r="C1344" s="15" t="str">
        <f>Solieusap!C1344</f>
        <v>COMB6</v>
      </c>
      <c r="D1344" s="15" t="str">
        <f>Solieusap!D1344</f>
        <v>Combination</v>
      </c>
      <c r="E1344" s="16">
        <f>ABS(Solieusap!E1344)</f>
        <v>7.564151169</v>
      </c>
      <c r="F1344" s="16">
        <f>ABS(Solieusap!F1344)</f>
        <v>0.6444187446</v>
      </c>
      <c r="G1344" s="16">
        <f>ABS(Solieusap!G1344)</f>
        <v>0.9055557576</v>
      </c>
      <c r="H1344" s="16">
        <f>ABS(Solieusap!H1344)</f>
        <v>0.0003811677013</v>
      </c>
      <c r="I1344" s="16">
        <f>ABS(Solieusap!I1344)</f>
        <v>2.027401502</v>
      </c>
      <c r="J1344" s="16">
        <f>ABS(Solieusap!J1344)</f>
        <v>1.378399779</v>
      </c>
      <c r="K1344" s="16">
        <f t="shared" si="1"/>
        <v>7.564151169</v>
      </c>
      <c r="L1344" s="16">
        <f t="shared" si="2"/>
        <v>2.027401502</v>
      </c>
    </row>
    <row r="1345" ht="16.5" customHeight="1">
      <c r="A1345" s="15" t="str">
        <f>Solieusap!A1345</f>
        <v>Cũ</v>
      </c>
      <c r="B1345" s="15">
        <f>Solieusap!B1345</f>
        <v>0</v>
      </c>
      <c r="C1345" s="15" t="str">
        <f>Solieusap!C1345</f>
        <v>COMB7</v>
      </c>
      <c r="D1345" s="15" t="str">
        <f>Solieusap!D1345</f>
        <v>Combination</v>
      </c>
      <c r="E1345" s="16">
        <f>ABS(Solieusap!E1345)</f>
        <v>7.581007532</v>
      </c>
      <c r="F1345" s="16">
        <f>ABS(Solieusap!F1345)</f>
        <v>0.6461292641</v>
      </c>
      <c r="G1345" s="16">
        <f>ABS(Solieusap!G1345)</f>
        <v>0.9078201732</v>
      </c>
      <c r="H1345" s="16">
        <f>ABS(Solieusap!H1345)</f>
        <v>0.0003822228052</v>
      </c>
      <c r="I1345" s="16">
        <f>ABS(Solieusap!I1345)</f>
        <v>2.034196294</v>
      </c>
      <c r="J1345" s="16">
        <f>ABS(Solieusap!J1345)</f>
        <v>1.382946831</v>
      </c>
      <c r="K1345" s="16">
        <f t="shared" si="1"/>
        <v>7.581007532</v>
      </c>
      <c r="L1345" s="16">
        <f t="shared" si="2"/>
        <v>2.034196294</v>
      </c>
    </row>
    <row r="1346" ht="16.5" customHeight="1">
      <c r="A1346" s="15" t="str">
        <f>Solieusap!A1346</f>
        <v>Cũ</v>
      </c>
      <c r="B1346" s="15">
        <f>Solieusap!B1346</f>
        <v>1.75</v>
      </c>
      <c r="C1346" s="15" t="str">
        <f>Solieusap!C1346</f>
        <v>COMB7</v>
      </c>
      <c r="D1346" s="15" t="str">
        <f>Solieusap!D1346</f>
        <v>Combination</v>
      </c>
      <c r="E1346" s="16">
        <f>ABS(Solieusap!E1346)</f>
        <v>7.597863896</v>
      </c>
      <c r="F1346" s="16">
        <f>ABS(Solieusap!F1346)</f>
        <v>0.6478397835</v>
      </c>
      <c r="G1346" s="16">
        <f>ABS(Solieusap!G1346)</f>
        <v>0.9100845887</v>
      </c>
      <c r="H1346" s="16">
        <f>ABS(Solieusap!H1346)</f>
        <v>0.0003832779091</v>
      </c>
      <c r="I1346" s="16">
        <f>ABS(Solieusap!I1346)</f>
        <v>2.040991087</v>
      </c>
      <c r="J1346" s="16">
        <f>ABS(Solieusap!J1346)</f>
        <v>1.387493883</v>
      </c>
      <c r="K1346" s="16">
        <f t="shared" si="1"/>
        <v>7.597863896</v>
      </c>
      <c r="L1346" s="16">
        <f t="shared" si="2"/>
        <v>2.040991087</v>
      </c>
    </row>
    <row r="1347" ht="16.5" customHeight="1">
      <c r="A1347" s="15" t="str">
        <f>Solieusap!A1347</f>
        <v>Cũ</v>
      </c>
      <c r="B1347" s="15">
        <f>Solieusap!B1347</f>
        <v>3.5</v>
      </c>
      <c r="C1347" s="15" t="str">
        <f>Solieusap!C1347</f>
        <v>COMB7</v>
      </c>
      <c r="D1347" s="15" t="str">
        <f>Solieusap!D1347</f>
        <v>Combination</v>
      </c>
      <c r="E1347" s="16">
        <f>ABS(Solieusap!E1347)</f>
        <v>7.61472026</v>
      </c>
      <c r="F1347" s="16">
        <f>ABS(Solieusap!F1347)</f>
        <v>0.649550303</v>
      </c>
      <c r="G1347" s="16">
        <f>ABS(Solieusap!G1347)</f>
        <v>0.9123490043</v>
      </c>
      <c r="H1347" s="16">
        <f>ABS(Solieusap!H1347)</f>
        <v>0.000384333013</v>
      </c>
      <c r="I1347" s="16">
        <f>ABS(Solieusap!I1347)</f>
        <v>2.047785879</v>
      </c>
      <c r="J1347" s="16">
        <f>ABS(Solieusap!J1347)</f>
        <v>1.392040935</v>
      </c>
      <c r="K1347" s="16">
        <f t="shared" si="1"/>
        <v>7.61472026</v>
      </c>
      <c r="L1347" s="16">
        <f t="shared" si="2"/>
        <v>2.047785879</v>
      </c>
    </row>
    <row r="1348" ht="16.5" customHeight="1">
      <c r="A1348" s="15" t="str">
        <f>Solieusap!A1348</f>
        <v>Cũ</v>
      </c>
      <c r="B1348" s="15">
        <f>Solieusap!B1348</f>
        <v>0</v>
      </c>
      <c r="C1348" s="15" t="str">
        <f>Solieusap!C1348</f>
        <v>COMB1</v>
      </c>
      <c r="D1348" s="15" t="str">
        <f>Solieusap!D1348</f>
        <v>Combination</v>
      </c>
      <c r="E1348" s="16">
        <f>ABS(Solieusap!E1348)</f>
        <v>7.631576623</v>
      </c>
      <c r="F1348" s="16">
        <f>ABS(Solieusap!F1348)</f>
        <v>0.6512608225</v>
      </c>
      <c r="G1348" s="16">
        <f>ABS(Solieusap!G1348)</f>
        <v>0.9146134199</v>
      </c>
      <c r="H1348" s="16">
        <f>ABS(Solieusap!H1348)</f>
        <v>0.0003853881169</v>
      </c>
      <c r="I1348" s="16">
        <f>ABS(Solieusap!I1348)</f>
        <v>2.054580671</v>
      </c>
      <c r="J1348" s="16">
        <f>ABS(Solieusap!J1348)</f>
        <v>1.396587987</v>
      </c>
      <c r="K1348" s="16">
        <f t="shared" si="1"/>
        <v>7.631576623</v>
      </c>
      <c r="L1348" s="16">
        <f t="shared" si="2"/>
        <v>2.054580671</v>
      </c>
    </row>
    <row r="1349" ht="16.5" customHeight="1">
      <c r="A1349" s="15" t="str">
        <f>Solieusap!A1349</f>
        <v>Cũ</v>
      </c>
      <c r="B1349" s="15">
        <f>Solieusap!B1349</f>
        <v>1.75</v>
      </c>
      <c r="C1349" s="15" t="str">
        <f>Solieusap!C1349</f>
        <v>COMB1</v>
      </c>
      <c r="D1349" s="15" t="str">
        <f>Solieusap!D1349</f>
        <v>Combination</v>
      </c>
      <c r="E1349" s="16">
        <f>ABS(Solieusap!E1349)</f>
        <v>7.648432987</v>
      </c>
      <c r="F1349" s="16">
        <f>ABS(Solieusap!F1349)</f>
        <v>0.652971342</v>
      </c>
      <c r="G1349" s="16">
        <f>ABS(Solieusap!G1349)</f>
        <v>0.9168778355</v>
      </c>
      <c r="H1349" s="16">
        <f>ABS(Solieusap!H1349)</f>
        <v>0.0003864432208</v>
      </c>
      <c r="I1349" s="16">
        <f>ABS(Solieusap!I1349)</f>
        <v>2.061375463</v>
      </c>
      <c r="J1349" s="16">
        <f>ABS(Solieusap!J1349)</f>
        <v>1.401135039</v>
      </c>
      <c r="K1349" s="16">
        <f t="shared" si="1"/>
        <v>7.648432987</v>
      </c>
      <c r="L1349" s="16">
        <f t="shared" si="2"/>
        <v>2.061375463</v>
      </c>
    </row>
    <row r="1350" ht="16.5" customHeight="1">
      <c r="A1350" s="15" t="str">
        <f>Solieusap!A1350</f>
        <v>Cũ</v>
      </c>
      <c r="B1350" s="15">
        <f>Solieusap!B1350</f>
        <v>3.5</v>
      </c>
      <c r="C1350" s="15" t="str">
        <f>Solieusap!C1350</f>
        <v>COMB1</v>
      </c>
      <c r="D1350" s="15" t="str">
        <f>Solieusap!D1350</f>
        <v>Combination</v>
      </c>
      <c r="E1350" s="16">
        <f>ABS(Solieusap!E1350)</f>
        <v>7.665289351</v>
      </c>
      <c r="F1350" s="16">
        <f>ABS(Solieusap!F1350)</f>
        <v>0.6546818615</v>
      </c>
      <c r="G1350" s="16">
        <f>ABS(Solieusap!G1350)</f>
        <v>0.9191422511</v>
      </c>
      <c r="H1350" s="16">
        <f>ABS(Solieusap!H1350)</f>
        <v>0.0003874983247</v>
      </c>
      <c r="I1350" s="16">
        <f>ABS(Solieusap!I1350)</f>
        <v>2.068170255</v>
      </c>
      <c r="J1350" s="16">
        <f>ABS(Solieusap!J1350)</f>
        <v>1.405682091</v>
      </c>
      <c r="K1350" s="16">
        <f t="shared" si="1"/>
        <v>7.665289351</v>
      </c>
      <c r="L1350" s="16">
        <f t="shared" si="2"/>
        <v>2.068170255</v>
      </c>
    </row>
    <row r="1351" ht="16.5" customHeight="1">
      <c r="A1351" s="15" t="str">
        <f>Solieusap!A1351</f>
        <v>Cũ</v>
      </c>
      <c r="B1351" s="15">
        <f>Solieusap!B1351</f>
        <v>0</v>
      </c>
      <c r="C1351" s="15" t="str">
        <f>Solieusap!C1351</f>
        <v>COMB2</v>
      </c>
      <c r="D1351" s="15" t="str">
        <f>Solieusap!D1351</f>
        <v>Combination</v>
      </c>
      <c r="E1351" s="16">
        <f>ABS(Solieusap!E1351)</f>
        <v>7.682145714</v>
      </c>
      <c r="F1351" s="16">
        <f>ABS(Solieusap!F1351)</f>
        <v>0.656392381</v>
      </c>
      <c r="G1351" s="16">
        <f>ABS(Solieusap!G1351)</f>
        <v>0.9214066667</v>
      </c>
      <c r="H1351" s="16">
        <f>ABS(Solieusap!H1351)</f>
        <v>0.0003885534286</v>
      </c>
      <c r="I1351" s="16">
        <f>ABS(Solieusap!I1351)</f>
        <v>2.074965048</v>
      </c>
      <c r="J1351" s="16">
        <f>ABS(Solieusap!J1351)</f>
        <v>1.410229143</v>
      </c>
      <c r="K1351" s="16">
        <f t="shared" si="1"/>
        <v>7.682145714</v>
      </c>
      <c r="L1351" s="16">
        <f t="shared" si="2"/>
        <v>2.074965048</v>
      </c>
    </row>
    <row r="1352" ht="16.5" customHeight="1">
      <c r="A1352" s="15" t="str">
        <f>Solieusap!A1352</f>
        <v>Cũ</v>
      </c>
      <c r="B1352" s="15">
        <f>Solieusap!B1352</f>
        <v>1.75</v>
      </c>
      <c r="C1352" s="15" t="str">
        <f>Solieusap!C1352</f>
        <v>COMB2</v>
      </c>
      <c r="D1352" s="15" t="str">
        <f>Solieusap!D1352</f>
        <v>Combination</v>
      </c>
      <c r="E1352" s="16">
        <f>ABS(Solieusap!E1352)</f>
        <v>7.699002078</v>
      </c>
      <c r="F1352" s="16">
        <f>ABS(Solieusap!F1352)</f>
        <v>0.6581029004</v>
      </c>
      <c r="G1352" s="16">
        <f>ABS(Solieusap!G1352)</f>
        <v>0.9236710823</v>
      </c>
      <c r="H1352" s="16">
        <f>ABS(Solieusap!H1352)</f>
        <v>0.0003896085325</v>
      </c>
      <c r="I1352" s="16">
        <f>ABS(Solieusap!I1352)</f>
        <v>2.08175984</v>
      </c>
      <c r="J1352" s="16">
        <f>ABS(Solieusap!J1352)</f>
        <v>1.414776195</v>
      </c>
      <c r="K1352" s="16">
        <f t="shared" si="1"/>
        <v>7.699002078</v>
      </c>
      <c r="L1352" s="16">
        <f t="shared" si="2"/>
        <v>2.08175984</v>
      </c>
    </row>
    <row r="1353" ht="16.5" customHeight="1">
      <c r="A1353" s="15" t="str">
        <f>Solieusap!A1353</f>
        <v>Cũ</v>
      </c>
      <c r="B1353" s="15">
        <f>Solieusap!B1353</f>
        <v>3.5</v>
      </c>
      <c r="C1353" s="15" t="str">
        <f>Solieusap!C1353</f>
        <v>COMB2</v>
      </c>
      <c r="D1353" s="15" t="str">
        <f>Solieusap!D1353</f>
        <v>Combination</v>
      </c>
      <c r="E1353" s="16">
        <f>ABS(Solieusap!E1353)</f>
        <v>7.715858442</v>
      </c>
      <c r="F1353" s="16">
        <f>ABS(Solieusap!F1353)</f>
        <v>0.6598134199</v>
      </c>
      <c r="G1353" s="16">
        <f>ABS(Solieusap!G1353)</f>
        <v>0.9259354978</v>
      </c>
      <c r="H1353" s="16">
        <f>ABS(Solieusap!H1353)</f>
        <v>0.0003906636364</v>
      </c>
      <c r="I1353" s="16">
        <f>ABS(Solieusap!I1353)</f>
        <v>2.088554632</v>
      </c>
      <c r="J1353" s="16">
        <f>ABS(Solieusap!J1353)</f>
        <v>1.419323247</v>
      </c>
      <c r="K1353" s="16">
        <f t="shared" si="1"/>
        <v>7.715858442</v>
      </c>
      <c r="L1353" s="16">
        <f t="shared" si="2"/>
        <v>2.088554632</v>
      </c>
    </row>
    <row r="1354" ht="16.5" customHeight="1">
      <c r="A1354" s="15" t="str">
        <f>Solieusap!A1354</f>
        <v>Cũ</v>
      </c>
      <c r="B1354" s="15">
        <f>Solieusap!B1354</f>
        <v>0</v>
      </c>
      <c r="C1354" s="15" t="str">
        <f>Solieusap!C1354</f>
        <v>COMB3</v>
      </c>
      <c r="D1354" s="15" t="str">
        <f>Solieusap!D1354</f>
        <v>Combination</v>
      </c>
      <c r="E1354" s="16">
        <f>ABS(Solieusap!E1354)</f>
        <v>7.732714805</v>
      </c>
      <c r="F1354" s="16">
        <f>ABS(Solieusap!F1354)</f>
        <v>0.6615239394</v>
      </c>
      <c r="G1354" s="16">
        <f>ABS(Solieusap!G1354)</f>
        <v>0.9281999134</v>
      </c>
      <c r="H1354" s="16">
        <f>ABS(Solieusap!H1354)</f>
        <v>0.0003917187403</v>
      </c>
      <c r="I1354" s="16">
        <f>ABS(Solieusap!I1354)</f>
        <v>2.095349424</v>
      </c>
      <c r="J1354" s="16">
        <f>ABS(Solieusap!J1354)</f>
        <v>1.423870299</v>
      </c>
      <c r="K1354" s="16">
        <f t="shared" si="1"/>
        <v>7.732714805</v>
      </c>
      <c r="L1354" s="16">
        <f t="shared" si="2"/>
        <v>2.095349424</v>
      </c>
    </row>
    <row r="1355" ht="16.5" customHeight="1">
      <c r="A1355" s="15" t="str">
        <f>Solieusap!A1355</f>
        <v>Cũ</v>
      </c>
      <c r="B1355" s="15">
        <f>Solieusap!B1355</f>
        <v>1.75</v>
      </c>
      <c r="C1355" s="15" t="str">
        <f>Solieusap!C1355</f>
        <v>COMB3</v>
      </c>
      <c r="D1355" s="15" t="str">
        <f>Solieusap!D1355</f>
        <v>Combination</v>
      </c>
      <c r="E1355" s="16">
        <f>ABS(Solieusap!E1355)</f>
        <v>7.749571169</v>
      </c>
      <c r="F1355" s="16">
        <f>ABS(Solieusap!F1355)</f>
        <v>0.6632344589</v>
      </c>
      <c r="G1355" s="16">
        <f>ABS(Solieusap!G1355)</f>
        <v>0.930464329</v>
      </c>
      <c r="H1355" s="16">
        <f>ABS(Solieusap!H1355)</f>
        <v>0.0003927738442</v>
      </c>
      <c r="I1355" s="16">
        <f>ABS(Solieusap!I1355)</f>
        <v>2.102144216</v>
      </c>
      <c r="J1355" s="16">
        <f>ABS(Solieusap!J1355)</f>
        <v>1.428417351</v>
      </c>
      <c r="K1355" s="16">
        <f t="shared" si="1"/>
        <v>7.749571169</v>
      </c>
      <c r="L1355" s="16">
        <f t="shared" si="2"/>
        <v>2.102144216</v>
      </c>
    </row>
    <row r="1356" ht="16.5" customHeight="1">
      <c r="A1356" s="15" t="str">
        <f>Solieusap!A1356</f>
        <v>Cũ</v>
      </c>
      <c r="B1356" s="15">
        <f>Solieusap!B1356</f>
        <v>3.5</v>
      </c>
      <c r="C1356" s="15" t="str">
        <f>Solieusap!C1356</f>
        <v>COMB3</v>
      </c>
      <c r="D1356" s="15" t="str">
        <f>Solieusap!D1356</f>
        <v>Combination</v>
      </c>
      <c r="E1356" s="16">
        <f>ABS(Solieusap!E1356)</f>
        <v>7.766427532</v>
      </c>
      <c r="F1356" s="16">
        <f>ABS(Solieusap!F1356)</f>
        <v>0.6649449784</v>
      </c>
      <c r="G1356" s="16">
        <f>ABS(Solieusap!G1356)</f>
        <v>0.9327287446</v>
      </c>
      <c r="H1356" s="16">
        <f>ABS(Solieusap!H1356)</f>
        <v>0.0003938289481</v>
      </c>
      <c r="I1356" s="16">
        <f>ABS(Solieusap!I1356)</f>
        <v>2.108939009</v>
      </c>
      <c r="J1356" s="16">
        <f>ABS(Solieusap!J1356)</f>
        <v>1.432964403</v>
      </c>
      <c r="K1356" s="16">
        <f t="shared" si="1"/>
        <v>7.766427532</v>
      </c>
      <c r="L1356" s="16">
        <f t="shared" si="2"/>
        <v>2.108939009</v>
      </c>
    </row>
    <row r="1357" ht="16.5" customHeight="1">
      <c r="A1357" s="15" t="str">
        <f>Solieusap!A1357</f>
        <v>Cũ</v>
      </c>
      <c r="B1357" s="15">
        <f>Solieusap!B1357</f>
        <v>0</v>
      </c>
      <c r="C1357" s="15" t="str">
        <f>Solieusap!C1357</f>
        <v>COMB4</v>
      </c>
      <c r="D1357" s="15" t="str">
        <f>Solieusap!D1357</f>
        <v>Combination</v>
      </c>
      <c r="E1357" s="16">
        <f>ABS(Solieusap!E1357)</f>
        <v>7.783283896</v>
      </c>
      <c r="F1357" s="16">
        <f>ABS(Solieusap!F1357)</f>
        <v>0.6666554978</v>
      </c>
      <c r="G1357" s="16">
        <f>ABS(Solieusap!G1357)</f>
        <v>0.9349931602</v>
      </c>
      <c r="H1357" s="16">
        <f>ABS(Solieusap!H1357)</f>
        <v>0.0003948840519</v>
      </c>
      <c r="I1357" s="16">
        <f>ABS(Solieusap!I1357)</f>
        <v>2.115733801</v>
      </c>
      <c r="J1357" s="16">
        <f>ABS(Solieusap!J1357)</f>
        <v>1.437511455</v>
      </c>
      <c r="K1357" s="16">
        <f t="shared" si="1"/>
        <v>7.783283896</v>
      </c>
      <c r="L1357" s="16">
        <f t="shared" si="2"/>
        <v>2.115733801</v>
      </c>
    </row>
    <row r="1358" ht="16.5" customHeight="1">
      <c r="A1358" s="15" t="str">
        <f>Solieusap!A1358</f>
        <v>Cũ</v>
      </c>
      <c r="B1358" s="15">
        <f>Solieusap!B1358</f>
        <v>1.75</v>
      </c>
      <c r="C1358" s="15" t="str">
        <f>Solieusap!C1358</f>
        <v>COMB4</v>
      </c>
      <c r="D1358" s="15" t="str">
        <f>Solieusap!D1358</f>
        <v>Combination</v>
      </c>
      <c r="E1358" s="16">
        <f>ABS(Solieusap!E1358)</f>
        <v>7.80014026</v>
      </c>
      <c r="F1358" s="16">
        <f>ABS(Solieusap!F1358)</f>
        <v>0.6683660173</v>
      </c>
      <c r="G1358" s="16">
        <f>ABS(Solieusap!G1358)</f>
        <v>0.9372575758</v>
      </c>
      <c r="H1358" s="16">
        <f>ABS(Solieusap!H1358)</f>
        <v>0.0003959391558</v>
      </c>
      <c r="I1358" s="16">
        <f>ABS(Solieusap!I1358)</f>
        <v>2.122528593</v>
      </c>
      <c r="J1358" s="16">
        <f>ABS(Solieusap!J1358)</f>
        <v>1.442058506</v>
      </c>
      <c r="K1358" s="16">
        <f t="shared" si="1"/>
        <v>7.80014026</v>
      </c>
      <c r="L1358" s="16">
        <f t="shared" si="2"/>
        <v>2.122528593</v>
      </c>
    </row>
    <row r="1359" ht="16.5" customHeight="1">
      <c r="A1359" s="15" t="str">
        <f>Solieusap!A1359</f>
        <v>Cũ</v>
      </c>
      <c r="B1359" s="15">
        <f>Solieusap!B1359</f>
        <v>3.5</v>
      </c>
      <c r="C1359" s="15" t="str">
        <f>Solieusap!C1359</f>
        <v>COMB4</v>
      </c>
      <c r="D1359" s="15" t="str">
        <f>Solieusap!D1359</f>
        <v>Combination</v>
      </c>
      <c r="E1359" s="16">
        <f>ABS(Solieusap!E1359)</f>
        <v>7.816996623</v>
      </c>
      <c r="F1359" s="16">
        <f>ABS(Solieusap!F1359)</f>
        <v>0.6700765368</v>
      </c>
      <c r="G1359" s="16">
        <f>ABS(Solieusap!G1359)</f>
        <v>0.9395219913</v>
      </c>
      <c r="H1359" s="16">
        <f>ABS(Solieusap!H1359)</f>
        <v>0.0003969942597</v>
      </c>
      <c r="I1359" s="16">
        <f>ABS(Solieusap!I1359)</f>
        <v>2.129323385</v>
      </c>
      <c r="J1359" s="16">
        <f>ABS(Solieusap!J1359)</f>
        <v>1.446605558</v>
      </c>
      <c r="K1359" s="16">
        <f t="shared" si="1"/>
        <v>7.816996623</v>
      </c>
      <c r="L1359" s="16">
        <f t="shared" si="2"/>
        <v>2.129323385</v>
      </c>
    </row>
    <row r="1360" ht="16.5" customHeight="1">
      <c r="A1360" s="15" t="str">
        <f>Solieusap!A1360</f>
        <v>Cũ</v>
      </c>
      <c r="B1360" s="15">
        <f>Solieusap!B1360</f>
        <v>0</v>
      </c>
      <c r="C1360" s="15" t="str">
        <f>Solieusap!C1360</f>
        <v>COMB5</v>
      </c>
      <c r="D1360" s="15" t="str">
        <f>Solieusap!D1360</f>
        <v>Combination</v>
      </c>
      <c r="E1360" s="16">
        <f>ABS(Solieusap!E1360)</f>
        <v>7.833852987</v>
      </c>
      <c r="F1360" s="16">
        <f>ABS(Solieusap!F1360)</f>
        <v>0.6717870563</v>
      </c>
      <c r="G1360" s="16">
        <f>ABS(Solieusap!G1360)</f>
        <v>0.9417864069</v>
      </c>
      <c r="H1360" s="16">
        <f>ABS(Solieusap!H1360)</f>
        <v>0.0003980493636</v>
      </c>
      <c r="I1360" s="16">
        <f>ABS(Solieusap!I1360)</f>
        <v>2.136118177</v>
      </c>
      <c r="J1360" s="16">
        <f>ABS(Solieusap!J1360)</f>
        <v>1.45115261</v>
      </c>
      <c r="K1360" s="16">
        <f t="shared" si="1"/>
        <v>7.833852987</v>
      </c>
      <c r="L1360" s="16">
        <f t="shared" si="2"/>
        <v>2.136118177</v>
      </c>
    </row>
    <row r="1361" ht="16.5" customHeight="1">
      <c r="A1361" s="15" t="str">
        <f>Solieusap!A1361</f>
        <v>Cũ</v>
      </c>
      <c r="B1361" s="15">
        <f>Solieusap!B1361</f>
        <v>1.75</v>
      </c>
      <c r="C1361" s="15" t="str">
        <f>Solieusap!C1361</f>
        <v>COMB5</v>
      </c>
      <c r="D1361" s="15" t="str">
        <f>Solieusap!D1361</f>
        <v>Combination</v>
      </c>
      <c r="E1361" s="16">
        <f>ABS(Solieusap!E1361)</f>
        <v>7.850709351</v>
      </c>
      <c r="F1361" s="16">
        <f>ABS(Solieusap!F1361)</f>
        <v>0.6734975758</v>
      </c>
      <c r="G1361" s="16">
        <f>ABS(Solieusap!G1361)</f>
        <v>0.9440508225</v>
      </c>
      <c r="H1361" s="16">
        <f>ABS(Solieusap!H1361)</f>
        <v>0.0003991044675</v>
      </c>
      <c r="I1361" s="16">
        <f>ABS(Solieusap!I1361)</f>
        <v>2.14291297</v>
      </c>
      <c r="J1361" s="16">
        <f>ABS(Solieusap!J1361)</f>
        <v>1.455699662</v>
      </c>
      <c r="K1361" s="16">
        <f t="shared" si="1"/>
        <v>7.850709351</v>
      </c>
      <c r="L1361" s="16">
        <f t="shared" si="2"/>
        <v>2.14291297</v>
      </c>
    </row>
    <row r="1362" ht="16.5" customHeight="1">
      <c r="A1362" s="15" t="str">
        <f>Solieusap!A1362</f>
        <v>Cũ</v>
      </c>
      <c r="B1362" s="15">
        <f>Solieusap!B1362</f>
        <v>3.5</v>
      </c>
      <c r="C1362" s="15" t="str">
        <f>Solieusap!C1362</f>
        <v>COMB5</v>
      </c>
      <c r="D1362" s="15" t="str">
        <f>Solieusap!D1362</f>
        <v>Combination</v>
      </c>
      <c r="E1362" s="16">
        <f>ABS(Solieusap!E1362)</f>
        <v>7.867565714</v>
      </c>
      <c r="F1362" s="16">
        <f>ABS(Solieusap!F1362)</f>
        <v>0.6752080952</v>
      </c>
      <c r="G1362" s="16">
        <f>ABS(Solieusap!G1362)</f>
        <v>0.9463152381</v>
      </c>
      <c r="H1362" s="16">
        <f>ABS(Solieusap!H1362)</f>
        <v>0.0004001595714</v>
      </c>
      <c r="I1362" s="16">
        <f>ABS(Solieusap!I1362)</f>
        <v>2.149707762</v>
      </c>
      <c r="J1362" s="16">
        <f>ABS(Solieusap!J1362)</f>
        <v>1.460246714</v>
      </c>
      <c r="K1362" s="16">
        <f t="shared" si="1"/>
        <v>7.867565714</v>
      </c>
      <c r="L1362" s="16">
        <f t="shared" si="2"/>
        <v>2.149707762</v>
      </c>
    </row>
    <row r="1363" ht="16.5" customHeight="1">
      <c r="A1363" s="15" t="str">
        <f>Solieusap!A1363</f>
        <v>Cũ</v>
      </c>
      <c r="B1363" s="15">
        <f>Solieusap!B1363</f>
        <v>0</v>
      </c>
      <c r="C1363" s="15" t="str">
        <f>Solieusap!C1363</f>
        <v>COMB6</v>
      </c>
      <c r="D1363" s="15" t="str">
        <f>Solieusap!D1363</f>
        <v>Combination</v>
      </c>
      <c r="E1363" s="16">
        <f>ABS(Solieusap!E1363)</f>
        <v>7.884422078</v>
      </c>
      <c r="F1363" s="16">
        <f>ABS(Solieusap!F1363)</f>
        <v>0.6769186147</v>
      </c>
      <c r="G1363" s="16">
        <f>ABS(Solieusap!G1363)</f>
        <v>0.9485796537</v>
      </c>
      <c r="H1363" s="16">
        <f>ABS(Solieusap!H1363)</f>
        <v>0.0004012146753</v>
      </c>
      <c r="I1363" s="16">
        <f>ABS(Solieusap!I1363)</f>
        <v>2.156502554</v>
      </c>
      <c r="J1363" s="16">
        <f>ABS(Solieusap!J1363)</f>
        <v>1.464793766</v>
      </c>
      <c r="K1363" s="16">
        <f t="shared" si="1"/>
        <v>7.884422078</v>
      </c>
      <c r="L1363" s="16">
        <f t="shared" si="2"/>
        <v>2.156502554</v>
      </c>
    </row>
    <row r="1364" ht="16.5" customHeight="1">
      <c r="A1364" s="15" t="str">
        <f>Solieusap!A1364</f>
        <v>Cũ</v>
      </c>
      <c r="B1364" s="15">
        <f>Solieusap!B1364</f>
        <v>1.75</v>
      </c>
      <c r="C1364" s="15" t="str">
        <f>Solieusap!C1364</f>
        <v>COMB6</v>
      </c>
      <c r="D1364" s="15" t="str">
        <f>Solieusap!D1364</f>
        <v>Combination</v>
      </c>
      <c r="E1364" s="16">
        <f>ABS(Solieusap!E1364)</f>
        <v>7.901278442</v>
      </c>
      <c r="F1364" s="16">
        <f>ABS(Solieusap!F1364)</f>
        <v>0.6786291342</v>
      </c>
      <c r="G1364" s="16">
        <f>ABS(Solieusap!G1364)</f>
        <v>0.9508440693</v>
      </c>
      <c r="H1364" s="16">
        <f>ABS(Solieusap!H1364)</f>
        <v>0.0004022697792</v>
      </c>
      <c r="I1364" s="16">
        <f>ABS(Solieusap!I1364)</f>
        <v>2.163297346</v>
      </c>
      <c r="J1364" s="16">
        <f>ABS(Solieusap!J1364)</f>
        <v>1.469340818</v>
      </c>
      <c r="K1364" s="16">
        <f t="shared" si="1"/>
        <v>7.901278442</v>
      </c>
      <c r="L1364" s="16">
        <f t="shared" si="2"/>
        <v>2.163297346</v>
      </c>
    </row>
    <row r="1365" ht="16.5" customHeight="1">
      <c r="A1365" s="15" t="str">
        <f>Solieusap!A1365</f>
        <v>Cũ</v>
      </c>
      <c r="B1365" s="15">
        <f>Solieusap!B1365</f>
        <v>3.5</v>
      </c>
      <c r="C1365" s="15" t="str">
        <f>Solieusap!C1365</f>
        <v>COMB6</v>
      </c>
      <c r="D1365" s="15" t="str">
        <f>Solieusap!D1365</f>
        <v>Combination</v>
      </c>
      <c r="E1365" s="16">
        <f>ABS(Solieusap!E1365)</f>
        <v>7.918134805</v>
      </c>
      <c r="F1365" s="16">
        <f>ABS(Solieusap!F1365)</f>
        <v>0.6803396537</v>
      </c>
      <c r="G1365" s="16">
        <f>ABS(Solieusap!G1365)</f>
        <v>0.9531084848</v>
      </c>
      <c r="H1365" s="16">
        <f>ABS(Solieusap!H1365)</f>
        <v>0.0004033248831</v>
      </c>
      <c r="I1365" s="16">
        <f>ABS(Solieusap!I1365)</f>
        <v>2.170092139</v>
      </c>
      <c r="J1365" s="16">
        <f>ABS(Solieusap!J1365)</f>
        <v>1.47388787</v>
      </c>
      <c r="K1365" s="16">
        <f t="shared" si="1"/>
        <v>7.918134805</v>
      </c>
      <c r="L1365" s="16">
        <f t="shared" si="2"/>
        <v>2.170092139</v>
      </c>
    </row>
    <row r="1366" ht="16.5" customHeight="1">
      <c r="A1366" s="15" t="str">
        <f>Solieusap!A1366</f>
        <v>Cũ</v>
      </c>
      <c r="B1366" s="15">
        <f>Solieusap!B1366</f>
        <v>0</v>
      </c>
      <c r="C1366" s="15" t="str">
        <f>Solieusap!C1366</f>
        <v>COMB7</v>
      </c>
      <c r="D1366" s="15" t="str">
        <f>Solieusap!D1366</f>
        <v>Combination</v>
      </c>
      <c r="E1366" s="16">
        <f>ABS(Solieusap!E1366)</f>
        <v>7.934991169</v>
      </c>
      <c r="F1366" s="16">
        <f>ABS(Solieusap!F1366)</f>
        <v>0.6820501732</v>
      </c>
      <c r="G1366" s="16">
        <f>ABS(Solieusap!G1366)</f>
        <v>0.9553729004</v>
      </c>
      <c r="H1366" s="16">
        <f>ABS(Solieusap!H1366)</f>
        <v>0.000404379987</v>
      </c>
      <c r="I1366" s="16">
        <f>ABS(Solieusap!I1366)</f>
        <v>2.176886931</v>
      </c>
      <c r="J1366" s="16">
        <f>ABS(Solieusap!J1366)</f>
        <v>1.478434922</v>
      </c>
      <c r="K1366" s="16">
        <f t="shared" si="1"/>
        <v>7.934991169</v>
      </c>
      <c r="L1366" s="16">
        <f t="shared" si="2"/>
        <v>2.176886931</v>
      </c>
    </row>
    <row r="1367" ht="16.5" customHeight="1">
      <c r="A1367" s="15" t="str">
        <f>Solieusap!A1367</f>
        <v>Cũ</v>
      </c>
      <c r="B1367" s="15">
        <f>Solieusap!B1367</f>
        <v>1.75</v>
      </c>
      <c r="C1367" s="15" t="str">
        <f>Solieusap!C1367</f>
        <v>COMB7</v>
      </c>
      <c r="D1367" s="15" t="str">
        <f>Solieusap!D1367</f>
        <v>Combination</v>
      </c>
      <c r="E1367" s="16">
        <f>ABS(Solieusap!E1367)</f>
        <v>7.951847532</v>
      </c>
      <c r="F1367" s="16">
        <f>ABS(Solieusap!F1367)</f>
        <v>0.6837606926</v>
      </c>
      <c r="G1367" s="16">
        <f>ABS(Solieusap!G1367)</f>
        <v>0.957637316</v>
      </c>
      <c r="H1367" s="16">
        <f>ABS(Solieusap!H1367)</f>
        <v>0.0004054350909</v>
      </c>
      <c r="I1367" s="16">
        <f>ABS(Solieusap!I1367)</f>
        <v>2.183681723</v>
      </c>
      <c r="J1367" s="16">
        <f>ABS(Solieusap!J1367)</f>
        <v>1.482981974</v>
      </c>
      <c r="K1367" s="16">
        <f t="shared" si="1"/>
        <v>7.951847532</v>
      </c>
      <c r="L1367" s="16">
        <f t="shared" si="2"/>
        <v>2.183681723</v>
      </c>
    </row>
    <row r="1368" ht="16.5" customHeight="1">
      <c r="A1368" s="15" t="str">
        <f>Solieusap!A1368</f>
        <v>Cũ</v>
      </c>
      <c r="B1368" s="15">
        <f>Solieusap!B1368</f>
        <v>3.5</v>
      </c>
      <c r="C1368" s="15" t="str">
        <f>Solieusap!C1368</f>
        <v>COMB7</v>
      </c>
      <c r="D1368" s="15" t="str">
        <f>Solieusap!D1368</f>
        <v>Combination</v>
      </c>
      <c r="E1368" s="16">
        <f>ABS(Solieusap!E1368)</f>
        <v>7.968703896</v>
      </c>
      <c r="F1368" s="16">
        <f>ABS(Solieusap!F1368)</f>
        <v>0.6854712121</v>
      </c>
      <c r="G1368" s="16">
        <f>ABS(Solieusap!G1368)</f>
        <v>0.9599017316</v>
      </c>
      <c r="H1368" s="16">
        <f>ABS(Solieusap!H1368)</f>
        <v>0.0004064901948</v>
      </c>
      <c r="I1368" s="16">
        <f>ABS(Solieusap!I1368)</f>
        <v>2.190476515</v>
      </c>
      <c r="J1368" s="16">
        <f>ABS(Solieusap!J1368)</f>
        <v>1.487529026</v>
      </c>
      <c r="K1368" s="16">
        <f t="shared" si="1"/>
        <v>7.968703896</v>
      </c>
      <c r="L1368" s="16">
        <f t="shared" si="2"/>
        <v>2.190476515</v>
      </c>
    </row>
    <row r="1369" ht="16.5" customHeight="1">
      <c r="A1369" s="15" t="str">
        <f>Solieusap!A1369</f>
        <v>Cũ</v>
      </c>
      <c r="B1369" s="15">
        <f>Solieusap!B1369</f>
        <v>0</v>
      </c>
      <c r="C1369" s="15" t="str">
        <f>Solieusap!C1369</f>
        <v>COMB1</v>
      </c>
      <c r="D1369" s="15" t="str">
        <f>Solieusap!D1369</f>
        <v>Combination</v>
      </c>
      <c r="E1369" s="16">
        <f>ABS(Solieusap!E1369)</f>
        <v>7.98556026</v>
      </c>
      <c r="F1369" s="16">
        <f>ABS(Solieusap!F1369)</f>
        <v>0.6871817316</v>
      </c>
      <c r="G1369" s="16">
        <f>ABS(Solieusap!G1369)</f>
        <v>0.9621661472</v>
      </c>
      <c r="H1369" s="16">
        <f>ABS(Solieusap!H1369)</f>
        <v>0.0004075452987</v>
      </c>
      <c r="I1369" s="16">
        <f>ABS(Solieusap!I1369)</f>
        <v>2.197271307</v>
      </c>
      <c r="J1369" s="16">
        <f>ABS(Solieusap!J1369)</f>
        <v>1.492076078</v>
      </c>
      <c r="K1369" s="16">
        <f t="shared" si="1"/>
        <v>7.98556026</v>
      </c>
      <c r="L1369" s="16">
        <f t="shared" si="2"/>
        <v>2.197271307</v>
      </c>
    </row>
    <row r="1370" ht="16.5" customHeight="1">
      <c r="A1370" s="15" t="str">
        <f>Solieusap!A1370</f>
        <v>Cũ</v>
      </c>
      <c r="B1370" s="15">
        <f>Solieusap!B1370</f>
        <v>1.75</v>
      </c>
      <c r="C1370" s="15" t="str">
        <f>Solieusap!C1370</f>
        <v>COMB1</v>
      </c>
      <c r="D1370" s="15" t="str">
        <f>Solieusap!D1370</f>
        <v>Combination</v>
      </c>
      <c r="E1370" s="16">
        <f>ABS(Solieusap!E1370)</f>
        <v>8.002416623</v>
      </c>
      <c r="F1370" s="16">
        <f>ABS(Solieusap!F1370)</f>
        <v>0.6888922511</v>
      </c>
      <c r="G1370" s="16">
        <f>ABS(Solieusap!G1370)</f>
        <v>0.9644305628</v>
      </c>
      <c r="H1370" s="16">
        <f>ABS(Solieusap!H1370)</f>
        <v>0.0004086004026</v>
      </c>
      <c r="I1370" s="16">
        <f>ABS(Solieusap!I1370)</f>
        <v>2.2040661</v>
      </c>
      <c r="J1370" s="16">
        <f>ABS(Solieusap!J1370)</f>
        <v>1.49662313</v>
      </c>
      <c r="K1370" s="16">
        <f t="shared" si="1"/>
        <v>8.002416623</v>
      </c>
      <c r="L1370" s="16">
        <f t="shared" si="2"/>
        <v>2.2040661</v>
      </c>
    </row>
    <row r="1371" ht="16.5" customHeight="1">
      <c r="A1371" s="15" t="str">
        <f>Solieusap!A1371</f>
        <v>Cũ</v>
      </c>
      <c r="B1371" s="15">
        <f>Solieusap!B1371</f>
        <v>3.5</v>
      </c>
      <c r="C1371" s="15" t="str">
        <f>Solieusap!C1371</f>
        <v>COMB1</v>
      </c>
      <c r="D1371" s="15" t="str">
        <f>Solieusap!D1371</f>
        <v>Combination</v>
      </c>
      <c r="E1371" s="16">
        <f>ABS(Solieusap!E1371)</f>
        <v>8.019272987</v>
      </c>
      <c r="F1371" s="16">
        <f>ABS(Solieusap!F1371)</f>
        <v>0.6906027706</v>
      </c>
      <c r="G1371" s="16">
        <f>ABS(Solieusap!G1371)</f>
        <v>0.9666949784</v>
      </c>
      <c r="H1371" s="16">
        <f>ABS(Solieusap!H1371)</f>
        <v>0.0004096555065</v>
      </c>
      <c r="I1371" s="16">
        <f>ABS(Solieusap!I1371)</f>
        <v>2.210860892</v>
      </c>
      <c r="J1371" s="16">
        <f>ABS(Solieusap!J1371)</f>
        <v>1.501170182</v>
      </c>
      <c r="K1371" s="16">
        <f t="shared" si="1"/>
        <v>8.019272987</v>
      </c>
      <c r="L1371" s="16">
        <f t="shared" si="2"/>
        <v>2.210860892</v>
      </c>
    </row>
    <row r="1372" ht="16.5" customHeight="1">
      <c r="A1372" s="15" t="str">
        <f>Solieusap!A1372</f>
        <v>Cũ</v>
      </c>
      <c r="B1372" s="15">
        <f>Solieusap!B1372</f>
        <v>0</v>
      </c>
      <c r="C1372" s="15" t="str">
        <f>Solieusap!C1372</f>
        <v>COMB2</v>
      </c>
      <c r="D1372" s="15" t="str">
        <f>Solieusap!D1372</f>
        <v>Combination</v>
      </c>
      <c r="E1372" s="16">
        <f>ABS(Solieusap!E1372)</f>
        <v>8.036129351</v>
      </c>
      <c r="F1372" s="16">
        <f>ABS(Solieusap!F1372)</f>
        <v>0.69231329</v>
      </c>
      <c r="G1372" s="16">
        <f>ABS(Solieusap!G1372)</f>
        <v>0.9689593939</v>
      </c>
      <c r="H1372" s="16">
        <f>ABS(Solieusap!H1372)</f>
        <v>0.0004107106104</v>
      </c>
      <c r="I1372" s="16">
        <f>ABS(Solieusap!I1372)</f>
        <v>2.217655684</v>
      </c>
      <c r="J1372" s="16">
        <f>ABS(Solieusap!J1372)</f>
        <v>1.505717234</v>
      </c>
      <c r="K1372" s="16">
        <f t="shared" si="1"/>
        <v>8.036129351</v>
      </c>
      <c r="L1372" s="16">
        <f t="shared" si="2"/>
        <v>2.217655684</v>
      </c>
    </row>
    <row r="1373" ht="16.5" customHeight="1">
      <c r="A1373" s="15" t="str">
        <f>Solieusap!A1373</f>
        <v>Cũ</v>
      </c>
      <c r="B1373" s="15">
        <f>Solieusap!B1373</f>
        <v>1.75</v>
      </c>
      <c r="C1373" s="15" t="str">
        <f>Solieusap!C1373</f>
        <v>COMB2</v>
      </c>
      <c r="D1373" s="15" t="str">
        <f>Solieusap!D1373</f>
        <v>Combination</v>
      </c>
      <c r="E1373" s="16">
        <f>ABS(Solieusap!E1373)</f>
        <v>8.052985714</v>
      </c>
      <c r="F1373" s="16">
        <f>ABS(Solieusap!F1373)</f>
        <v>0.6940238095</v>
      </c>
      <c r="G1373" s="16">
        <f>ABS(Solieusap!G1373)</f>
        <v>0.9712238095</v>
      </c>
      <c r="H1373" s="16">
        <f>ABS(Solieusap!H1373)</f>
        <v>0.0004117657143</v>
      </c>
      <c r="I1373" s="16">
        <f>ABS(Solieusap!I1373)</f>
        <v>2.224450476</v>
      </c>
      <c r="J1373" s="16">
        <f>ABS(Solieusap!J1373)</f>
        <v>1.510264286</v>
      </c>
      <c r="K1373" s="16">
        <f t="shared" si="1"/>
        <v>8.052985714</v>
      </c>
      <c r="L1373" s="16">
        <f t="shared" si="2"/>
        <v>2.224450476</v>
      </c>
    </row>
    <row r="1374" ht="16.5" customHeight="1">
      <c r="A1374" s="15" t="str">
        <f>Solieusap!A1374</f>
        <v>Cũ</v>
      </c>
      <c r="B1374" s="15">
        <f>Solieusap!B1374</f>
        <v>3.5</v>
      </c>
      <c r="C1374" s="15" t="str">
        <f>Solieusap!C1374</f>
        <v>COMB2</v>
      </c>
      <c r="D1374" s="15" t="str">
        <f>Solieusap!D1374</f>
        <v>Combination</v>
      </c>
      <c r="E1374" s="16">
        <f>ABS(Solieusap!E1374)</f>
        <v>8.069842078</v>
      </c>
      <c r="F1374" s="16">
        <f>ABS(Solieusap!F1374)</f>
        <v>0.695734329</v>
      </c>
      <c r="G1374" s="16">
        <f>ABS(Solieusap!G1374)</f>
        <v>0.9734882251</v>
      </c>
      <c r="H1374" s="16">
        <f>ABS(Solieusap!H1374)</f>
        <v>0.0004128208182</v>
      </c>
      <c r="I1374" s="16">
        <f>ABS(Solieusap!I1374)</f>
        <v>2.231245268</v>
      </c>
      <c r="J1374" s="16">
        <f>ABS(Solieusap!J1374)</f>
        <v>1.514811338</v>
      </c>
      <c r="K1374" s="16">
        <f t="shared" si="1"/>
        <v>8.069842078</v>
      </c>
      <c r="L1374" s="16">
        <f t="shared" si="2"/>
        <v>2.231245268</v>
      </c>
    </row>
    <row r="1375" ht="16.5" customHeight="1">
      <c r="A1375" s="15" t="str">
        <f>Solieusap!A1375</f>
        <v>Cũ</v>
      </c>
      <c r="B1375" s="15">
        <f>Solieusap!B1375</f>
        <v>0</v>
      </c>
      <c r="C1375" s="15" t="str">
        <f>Solieusap!C1375</f>
        <v>COMB3</v>
      </c>
      <c r="D1375" s="15" t="str">
        <f>Solieusap!D1375</f>
        <v>Combination</v>
      </c>
      <c r="E1375" s="16">
        <f>ABS(Solieusap!E1375)</f>
        <v>8.086698442</v>
      </c>
      <c r="F1375" s="16">
        <f>ABS(Solieusap!F1375)</f>
        <v>0.6974448485</v>
      </c>
      <c r="G1375" s="16">
        <f>ABS(Solieusap!G1375)</f>
        <v>0.9757526407</v>
      </c>
      <c r="H1375" s="16">
        <f>ABS(Solieusap!H1375)</f>
        <v>0.0004138759221</v>
      </c>
      <c r="I1375" s="16">
        <f>ABS(Solieusap!I1375)</f>
        <v>2.238040061</v>
      </c>
      <c r="J1375" s="16">
        <f>ABS(Solieusap!J1375)</f>
        <v>1.51935839</v>
      </c>
      <c r="K1375" s="16">
        <f t="shared" si="1"/>
        <v>8.086698442</v>
      </c>
      <c r="L1375" s="16">
        <f t="shared" si="2"/>
        <v>2.238040061</v>
      </c>
    </row>
    <row r="1376" ht="16.5" customHeight="1">
      <c r="A1376" s="15" t="str">
        <f>Solieusap!A1376</f>
        <v>Cũ</v>
      </c>
      <c r="B1376" s="15">
        <f>Solieusap!B1376</f>
        <v>1.75</v>
      </c>
      <c r="C1376" s="15" t="str">
        <f>Solieusap!C1376</f>
        <v>COMB3</v>
      </c>
      <c r="D1376" s="15" t="str">
        <f>Solieusap!D1376</f>
        <v>Combination</v>
      </c>
      <c r="E1376" s="16">
        <f>ABS(Solieusap!E1376)</f>
        <v>8.103554805</v>
      </c>
      <c r="F1376" s="16">
        <f>ABS(Solieusap!F1376)</f>
        <v>0.699155368</v>
      </c>
      <c r="G1376" s="16">
        <f>ABS(Solieusap!G1376)</f>
        <v>0.9780170563</v>
      </c>
      <c r="H1376" s="16">
        <f>ABS(Solieusap!H1376)</f>
        <v>0.000414931026</v>
      </c>
      <c r="I1376" s="16">
        <f>ABS(Solieusap!I1376)</f>
        <v>2.244834853</v>
      </c>
      <c r="J1376" s="16">
        <f>ABS(Solieusap!J1376)</f>
        <v>1.523905442</v>
      </c>
      <c r="K1376" s="16">
        <f t="shared" si="1"/>
        <v>8.103554805</v>
      </c>
      <c r="L1376" s="16">
        <f t="shared" si="2"/>
        <v>2.244834853</v>
      </c>
    </row>
    <row r="1377" ht="16.5" customHeight="1">
      <c r="A1377" s="15" t="str">
        <f>Solieusap!A1377</f>
        <v>Cũ</v>
      </c>
      <c r="B1377" s="15">
        <f>Solieusap!B1377</f>
        <v>3.5</v>
      </c>
      <c r="C1377" s="15" t="str">
        <f>Solieusap!C1377</f>
        <v>COMB3</v>
      </c>
      <c r="D1377" s="15" t="str">
        <f>Solieusap!D1377</f>
        <v>Combination</v>
      </c>
      <c r="E1377" s="16">
        <f>ABS(Solieusap!E1377)</f>
        <v>8.120411169</v>
      </c>
      <c r="F1377" s="16">
        <f>ABS(Solieusap!F1377)</f>
        <v>0.7008658874</v>
      </c>
      <c r="G1377" s="16">
        <f>ABS(Solieusap!G1377)</f>
        <v>0.9802814719</v>
      </c>
      <c r="H1377" s="16">
        <f>ABS(Solieusap!H1377)</f>
        <v>0.0004159861299</v>
      </c>
      <c r="I1377" s="16">
        <f>ABS(Solieusap!I1377)</f>
        <v>2.251629645</v>
      </c>
      <c r="J1377" s="16">
        <f>ABS(Solieusap!J1377)</f>
        <v>1.528452494</v>
      </c>
      <c r="K1377" s="16">
        <f t="shared" si="1"/>
        <v>8.120411169</v>
      </c>
      <c r="L1377" s="16">
        <f t="shared" si="2"/>
        <v>2.251629645</v>
      </c>
    </row>
    <row r="1378" ht="16.5" customHeight="1">
      <c r="A1378" s="15" t="str">
        <f>Solieusap!A1378</f>
        <v>Cũ</v>
      </c>
      <c r="B1378" s="15">
        <f>Solieusap!B1378</f>
        <v>0</v>
      </c>
      <c r="C1378" s="15" t="str">
        <f>Solieusap!C1378</f>
        <v>COMB4</v>
      </c>
      <c r="D1378" s="15" t="str">
        <f>Solieusap!D1378</f>
        <v>Combination</v>
      </c>
      <c r="E1378" s="16">
        <f>ABS(Solieusap!E1378)</f>
        <v>8.137267532</v>
      </c>
      <c r="F1378" s="16">
        <f>ABS(Solieusap!F1378)</f>
        <v>0.7025764069</v>
      </c>
      <c r="G1378" s="16">
        <f>ABS(Solieusap!G1378)</f>
        <v>0.9825458874</v>
      </c>
      <c r="H1378" s="16">
        <f>ABS(Solieusap!H1378)</f>
        <v>0.0004170412338</v>
      </c>
      <c r="I1378" s="16">
        <f>ABS(Solieusap!I1378)</f>
        <v>2.258424437</v>
      </c>
      <c r="J1378" s="16">
        <f>ABS(Solieusap!J1378)</f>
        <v>1.532999545</v>
      </c>
      <c r="K1378" s="16">
        <f t="shared" si="1"/>
        <v>8.137267532</v>
      </c>
      <c r="L1378" s="16">
        <f t="shared" si="2"/>
        <v>2.258424437</v>
      </c>
    </row>
    <row r="1379" ht="16.5" customHeight="1">
      <c r="A1379" s="15" t="str">
        <f>Solieusap!A1379</f>
        <v>Cũ</v>
      </c>
      <c r="B1379" s="15">
        <f>Solieusap!B1379</f>
        <v>1.75</v>
      </c>
      <c r="C1379" s="15" t="str">
        <f>Solieusap!C1379</f>
        <v>COMB4</v>
      </c>
      <c r="D1379" s="15" t="str">
        <f>Solieusap!D1379</f>
        <v>Combination</v>
      </c>
      <c r="E1379" s="16">
        <f>ABS(Solieusap!E1379)</f>
        <v>8.154123896</v>
      </c>
      <c r="F1379" s="16">
        <f>ABS(Solieusap!F1379)</f>
        <v>0.7042869264</v>
      </c>
      <c r="G1379" s="16">
        <f>ABS(Solieusap!G1379)</f>
        <v>0.984810303</v>
      </c>
      <c r="H1379" s="16">
        <f>ABS(Solieusap!H1379)</f>
        <v>0.0004180963377</v>
      </c>
      <c r="I1379" s="16">
        <f>ABS(Solieusap!I1379)</f>
        <v>2.265219229</v>
      </c>
      <c r="J1379" s="16">
        <f>ABS(Solieusap!J1379)</f>
        <v>1.537546597</v>
      </c>
      <c r="K1379" s="16">
        <f t="shared" si="1"/>
        <v>8.154123896</v>
      </c>
      <c r="L1379" s="16">
        <f t="shared" si="2"/>
        <v>2.265219229</v>
      </c>
    </row>
    <row r="1380" ht="16.5" customHeight="1">
      <c r="A1380" s="15" t="str">
        <f>Solieusap!A1380</f>
        <v>Cũ</v>
      </c>
      <c r="B1380" s="15">
        <f>Solieusap!B1380</f>
        <v>3.5</v>
      </c>
      <c r="C1380" s="15" t="str">
        <f>Solieusap!C1380</f>
        <v>COMB4</v>
      </c>
      <c r="D1380" s="15" t="str">
        <f>Solieusap!D1380</f>
        <v>Combination</v>
      </c>
      <c r="E1380" s="16">
        <f>ABS(Solieusap!E1380)</f>
        <v>8.17098026</v>
      </c>
      <c r="F1380" s="16">
        <f>ABS(Solieusap!F1380)</f>
        <v>0.7059974459</v>
      </c>
      <c r="G1380" s="16">
        <f>ABS(Solieusap!G1380)</f>
        <v>0.9870747186</v>
      </c>
      <c r="H1380" s="16">
        <f>ABS(Solieusap!H1380)</f>
        <v>0.0004191514416</v>
      </c>
      <c r="I1380" s="16">
        <f>ABS(Solieusap!I1380)</f>
        <v>2.272014022</v>
      </c>
      <c r="J1380" s="16">
        <f>ABS(Solieusap!J1380)</f>
        <v>1.542093649</v>
      </c>
      <c r="K1380" s="16">
        <f t="shared" si="1"/>
        <v>8.17098026</v>
      </c>
      <c r="L1380" s="16">
        <f t="shared" si="2"/>
        <v>2.272014022</v>
      </c>
    </row>
    <row r="1381" ht="16.5" customHeight="1">
      <c r="A1381" s="15" t="str">
        <f>Solieusap!A1381</f>
        <v>Cũ</v>
      </c>
      <c r="B1381" s="15">
        <f>Solieusap!B1381</f>
        <v>0</v>
      </c>
      <c r="C1381" s="15" t="str">
        <f>Solieusap!C1381</f>
        <v>COMB5</v>
      </c>
      <c r="D1381" s="15" t="str">
        <f>Solieusap!D1381</f>
        <v>Combination</v>
      </c>
      <c r="E1381" s="16">
        <f>ABS(Solieusap!E1381)</f>
        <v>8.187836623</v>
      </c>
      <c r="F1381" s="16">
        <f>ABS(Solieusap!F1381)</f>
        <v>0.7077079654</v>
      </c>
      <c r="G1381" s="16">
        <f>ABS(Solieusap!G1381)</f>
        <v>0.9893391342</v>
      </c>
      <c r="H1381" s="16">
        <f>ABS(Solieusap!H1381)</f>
        <v>0.0004202065455</v>
      </c>
      <c r="I1381" s="16">
        <f>ABS(Solieusap!I1381)</f>
        <v>2.278808814</v>
      </c>
      <c r="J1381" s="16">
        <f>ABS(Solieusap!J1381)</f>
        <v>1.546640701</v>
      </c>
      <c r="K1381" s="16">
        <f t="shared" si="1"/>
        <v>8.187836623</v>
      </c>
      <c r="L1381" s="16">
        <f t="shared" si="2"/>
        <v>2.278808814</v>
      </c>
    </row>
    <row r="1382" ht="16.5" customHeight="1">
      <c r="A1382" s="15" t="str">
        <f>Solieusap!A1382</f>
        <v>Cũ</v>
      </c>
      <c r="B1382" s="15">
        <f>Solieusap!B1382</f>
        <v>1.75</v>
      </c>
      <c r="C1382" s="15" t="str">
        <f>Solieusap!C1382</f>
        <v>COMB5</v>
      </c>
      <c r="D1382" s="15" t="str">
        <f>Solieusap!D1382</f>
        <v>Combination</v>
      </c>
      <c r="E1382" s="16">
        <f>ABS(Solieusap!E1382)</f>
        <v>8.204692987</v>
      </c>
      <c r="F1382" s="16">
        <f>ABS(Solieusap!F1382)</f>
        <v>0.7094184848</v>
      </c>
      <c r="G1382" s="16">
        <f>ABS(Solieusap!G1382)</f>
        <v>0.9916035498</v>
      </c>
      <c r="H1382" s="16">
        <f>ABS(Solieusap!H1382)</f>
        <v>0.0004212616494</v>
      </c>
      <c r="I1382" s="16">
        <f>ABS(Solieusap!I1382)</f>
        <v>2.285603606</v>
      </c>
      <c r="J1382" s="16">
        <f>ABS(Solieusap!J1382)</f>
        <v>1.551187753</v>
      </c>
      <c r="K1382" s="16">
        <f t="shared" si="1"/>
        <v>8.204692987</v>
      </c>
      <c r="L1382" s="16">
        <f t="shared" si="2"/>
        <v>2.285603606</v>
      </c>
    </row>
    <row r="1383" ht="16.5" customHeight="1">
      <c r="A1383" s="15" t="str">
        <f>Solieusap!A1383</f>
        <v>Cũ</v>
      </c>
      <c r="B1383" s="15">
        <f>Solieusap!B1383</f>
        <v>3.5</v>
      </c>
      <c r="C1383" s="15" t="str">
        <f>Solieusap!C1383</f>
        <v>COMB5</v>
      </c>
      <c r="D1383" s="15" t="str">
        <f>Solieusap!D1383</f>
        <v>Combination</v>
      </c>
      <c r="E1383" s="16">
        <f>ABS(Solieusap!E1383)</f>
        <v>8.221549351</v>
      </c>
      <c r="F1383" s="16">
        <f>ABS(Solieusap!F1383)</f>
        <v>0.7111290043</v>
      </c>
      <c r="G1383" s="16">
        <f>ABS(Solieusap!G1383)</f>
        <v>0.9938679654</v>
      </c>
      <c r="H1383" s="16">
        <f>ABS(Solieusap!H1383)</f>
        <v>0.0004223167532</v>
      </c>
      <c r="I1383" s="16">
        <f>ABS(Solieusap!I1383)</f>
        <v>2.292398398</v>
      </c>
      <c r="J1383" s="16">
        <f>ABS(Solieusap!J1383)</f>
        <v>1.555734805</v>
      </c>
      <c r="K1383" s="16">
        <f t="shared" si="1"/>
        <v>8.221549351</v>
      </c>
      <c r="L1383" s="16">
        <f t="shared" si="2"/>
        <v>2.292398398</v>
      </c>
    </row>
    <row r="1384" ht="16.5" customHeight="1">
      <c r="A1384" s="15" t="str">
        <f>Solieusap!A1384</f>
        <v>Cũ</v>
      </c>
      <c r="B1384" s="15">
        <f>Solieusap!B1384</f>
        <v>0</v>
      </c>
      <c r="C1384" s="15" t="str">
        <f>Solieusap!C1384</f>
        <v>COMB6</v>
      </c>
      <c r="D1384" s="15" t="str">
        <f>Solieusap!D1384</f>
        <v>Combination</v>
      </c>
      <c r="E1384" s="16">
        <f>ABS(Solieusap!E1384)</f>
        <v>8.238405714</v>
      </c>
      <c r="F1384" s="16">
        <f>ABS(Solieusap!F1384)</f>
        <v>0.7128395238</v>
      </c>
      <c r="G1384" s="16">
        <f>ABS(Solieusap!G1384)</f>
        <v>0.996132381</v>
      </c>
      <c r="H1384" s="16">
        <f>ABS(Solieusap!H1384)</f>
        <v>0.0004233718571</v>
      </c>
      <c r="I1384" s="16">
        <f>ABS(Solieusap!I1384)</f>
        <v>2.29919319</v>
      </c>
      <c r="J1384" s="16">
        <f>ABS(Solieusap!J1384)</f>
        <v>1.560281857</v>
      </c>
      <c r="K1384" s="16">
        <f t="shared" si="1"/>
        <v>8.238405714</v>
      </c>
      <c r="L1384" s="16">
        <f t="shared" si="2"/>
        <v>2.29919319</v>
      </c>
    </row>
    <row r="1385" ht="16.5" customHeight="1">
      <c r="A1385" s="15" t="str">
        <f>Solieusap!A1385</f>
        <v>Cũ</v>
      </c>
      <c r="B1385" s="15">
        <f>Solieusap!B1385</f>
        <v>1.75</v>
      </c>
      <c r="C1385" s="15" t="str">
        <f>Solieusap!C1385</f>
        <v>COMB6</v>
      </c>
      <c r="D1385" s="15" t="str">
        <f>Solieusap!D1385</f>
        <v>Combination</v>
      </c>
      <c r="E1385" s="16">
        <f>ABS(Solieusap!E1385)</f>
        <v>8.255262078</v>
      </c>
      <c r="F1385" s="16">
        <f>ABS(Solieusap!F1385)</f>
        <v>0.7145500433</v>
      </c>
      <c r="G1385" s="16">
        <f>ABS(Solieusap!G1385)</f>
        <v>0.9983967965</v>
      </c>
      <c r="H1385" s="16">
        <f>ABS(Solieusap!H1385)</f>
        <v>0.000424426961</v>
      </c>
      <c r="I1385" s="16">
        <f>ABS(Solieusap!I1385)</f>
        <v>2.305987983</v>
      </c>
      <c r="J1385" s="16">
        <f>ABS(Solieusap!J1385)</f>
        <v>1.564828909</v>
      </c>
      <c r="K1385" s="16">
        <f t="shared" si="1"/>
        <v>8.255262078</v>
      </c>
      <c r="L1385" s="16">
        <f t="shared" si="2"/>
        <v>2.305987983</v>
      </c>
    </row>
    <row r="1386" ht="16.5" customHeight="1">
      <c r="A1386" s="15" t="str">
        <f>Solieusap!A1386</f>
        <v>Cũ</v>
      </c>
      <c r="B1386" s="15">
        <f>Solieusap!B1386</f>
        <v>3.5</v>
      </c>
      <c r="C1386" s="15" t="str">
        <f>Solieusap!C1386</f>
        <v>COMB6</v>
      </c>
      <c r="D1386" s="15" t="str">
        <f>Solieusap!D1386</f>
        <v>Combination</v>
      </c>
      <c r="E1386" s="16">
        <f>ABS(Solieusap!E1386)</f>
        <v>8.272118442</v>
      </c>
      <c r="F1386" s="16">
        <f>ABS(Solieusap!F1386)</f>
        <v>0.7162605628</v>
      </c>
      <c r="G1386" s="16">
        <f>ABS(Solieusap!G1386)</f>
        <v>1.000661212</v>
      </c>
      <c r="H1386" s="16">
        <f>ABS(Solieusap!H1386)</f>
        <v>0.0004254820649</v>
      </c>
      <c r="I1386" s="16">
        <f>ABS(Solieusap!I1386)</f>
        <v>2.312782775</v>
      </c>
      <c r="J1386" s="16">
        <f>ABS(Solieusap!J1386)</f>
        <v>1.569375961</v>
      </c>
      <c r="K1386" s="16">
        <f t="shared" si="1"/>
        <v>8.272118442</v>
      </c>
      <c r="L1386" s="16">
        <f t="shared" si="2"/>
        <v>2.312782775</v>
      </c>
    </row>
    <row r="1387" ht="16.5" customHeight="1">
      <c r="A1387" s="15" t="str">
        <f>Solieusap!A1387</f>
        <v>Cũ</v>
      </c>
      <c r="B1387" s="15">
        <f>Solieusap!B1387</f>
        <v>0</v>
      </c>
      <c r="C1387" s="15" t="str">
        <f>Solieusap!C1387</f>
        <v>COMB7</v>
      </c>
      <c r="D1387" s="15" t="str">
        <f>Solieusap!D1387</f>
        <v>Combination</v>
      </c>
      <c r="E1387" s="16">
        <f>ABS(Solieusap!E1387)</f>
        <v>8.288974805</v>
      </c>
      <c r="F1387" s="16">
        <f>ABS(Solieusap!F1387)</f>
        <v>0.7179710823</v>
      </c>
      <c r="G1387" s="16">
        <f>ABS(Solieusap!G1387)</f>
        <v>1.002925628</v>
      </c>
      <c r="H1387" s="16">
        <f>ABS(Solieusap!H1387)</f>
        <v>0.0004265371688</v>
      </c>
      <c r="I1387" s="16">
        <f>ABS(Solieusap!I1387)</f>
        <v>2.319577567</v>
      </c>
      <c r="J1387" s="16">
        <f>ABS(Solieusap!J1387)</f>
        <v>1.573923013</v>
      </c>
      <c r="K1387" s="16">
        <f t="shared" si="1"/>
        <v>8.288974805</v>
      </c>
      <c r="L1387" s="16">
        <f t="shared" si="2"/>
        <v>2.319577567</v>
      </c>
    </row>
    <row r="1388" ht="16.5" customHeight="1">
      <c r="A1388" s="15" t="str">
        <f>Solieusap!A1388</f>
        <v>Cũ</v>
      </c>
      <c r="B1388" s="15">
        <f>Solieusap!B1388</f>
        <v>1.75</v>
      </c>
      <c r="C1388" s="15" t="str">
        <f>Solieusap!C1388</f>
        <v>COMB7</v>
      </c>
      <c r="D1388" s="15" t="str">
        <f>Solieusap!D1388</f>
        <v>Combination</v>
      </c>
      <c r="E1388" s="16">
        <f>ABS(Solieusap!E1388)</f>
        <v>8.305831169</v>
      </c>
      <c r="F1388" s="16">
        <f>ABS(Solieusap!F1388)</f>
        <v>0.7196816017</v>
      </c>
      <c r="G1388" s="16">
        <f>ABS(Solieusap!G1388)</f>
        <v>1.005190043</v>
      </c>
      <c r="H1388" s="16">
        <f>ABS(Solieusap!H1388)</f>
        <v>0.0004275922727</v>
      </c>
      <c r="I1388" s="16">
        <f>ABS(Solieusap!I1388)</f>
        <v>2.326372359</v>
      </c>
      <c r="J1388" s="16">
        <f>ABS(Solieusap!J1388)</f>
        <v>1.578470065</v>
      </c>
      <c r="K1388" s="16">
        <f t="shared" si="1"/>
        <v>8.305831169</v>
      </c>
      <c r="L1388" s="16">
        <f t="shared" si="2"/>
        <v>2.326372359</v>
      </c>
    </row>
    <row r="1389" ht="16.5" customHeight="1">
      <c r="A1389" s="15" t="str">
        <f>Solieusap!A1389</f>
        <v>Cũ</v>
      </c>
      <c r="B1389" s="15">
        <f>Solieusap!B1389</f>
        <v>3.5</v>
      </c>
      <c r="C1389" s="15" t="str">
        <f>Solieusap!C1389</f>
        <v>COMB7</v>
      </c>
      <c r="D1389" s="15" t="str">
        <f>Solieusap!D1389</f>
        <v>Combination</v>
      </c>
      <c r="E1389" s="16">
        <f>ABS(Solieusap!E1389)</f>
        <v>8.322687532</v>
      </c>
      <c r="F1389" s="16">
        <f>ABS(Solieusap!F1389)</f>
        <v>0.7213921212</v>
      </c>
      <c r="G1389" s="16">
        <f>ABS(Solieusap!G1389)</f>
        <v>1.007454459</v>
      </c>
      <c r="H1389" s="16">
        <f>ABS(Solieusap!H1389)</f>
        <v>0.0004286473766</v>
      </c>
      <c r="I1389" s="16">
        <f>ABS(Solieusap!I1389)</f>
        <v>2.333167152</v>
      </c>
      <c r="J1389" s="16">
        <f>ABS(Solieusap!J1389)</f>
        <v>1.583017117</v>
      </c>
      <c r="K1389" s="16">
        <f t="shared" si="1"/>
        <v>8.322687532</v>
      </c>
      <c r="L1389" s="16">
        <f t="shared" si="2"/>
        <v>2.333167152</v>
      </c>
    </row>
    <row r="1390" ht="16.5" customHeight="1">
      <c r="A1390" s="15" t="str">
        <f>Solieusap!A1390</f>
        <v>Cũ</v>
      </c>
      <c r="B1390" s="15">
        <f>Solieusap!B1390</f>
        <v>0</v>
      </c>
      <c r="C1390" s="15" t="str">
        <f>Solieusap!C1390</f>
        <v>COMB1</v>
      </c>
      <c r="D1390" s="15" t="str">
        <f>Solieusap!D1390</f>
        <v>Combination</v>
      </c>
      <c r="E1390" s="16">
        <f>ABS(Solieusap!E1390)</f>
        <v>8.339543896</v>
      </c>
      <c r="F1390" s="16">
        <f>ABS(Solieusap!F1390)</f>
        <v>0.7231026407</v>
      </c>
      <c r="G1390" s="16">
        <f>ABS(Solieusap!G1390)</f>
        <v>1.009718874</v>
      </c>
      <c r="H1390" s="16">
        <f>ABS(Solieusap!H1390)</f>
        <v>0.0004297024805</v>
      </c>
      <c r="I1390" s="16">
        <f>ABS(Solieusap!I1390)</f>
        <v>2.339961944</v>
      </c>
      <c r="J1390" s="16">
        <f>ABS(Solieusap!J1390)</f>
        <v>1.587564169</v>
      </c>
      <c r="K1390" s="16">
        <f t="shared" si="1"/>
        <v>8.339543896</v>
      </c>
      <c r="L1390" s="16">
        <f t="shared" si="2"/>
        <v>2.339961944</v>
      </c>
    </row>
    <row r="1391" ht="16.5" customHeight="1">
      <c r="A1391" s="15" t="str">
        <f>Solieusap!A1391</f>
        <v>Cũ</v>
      </c>
      <c r="B1391" s="15">
        <f>Solieusap!B1391</f>
        <v>1.75</v>
      </c>
      <c r="C1391" s="15" t="str">
        <f>Solieusap!C1391</f>
        <v>COMB1</v>
      </c>
      <c r="D1391" s="15" t="str">
        <f>Solieusap!D1391</f>
        <v>Combination</v>
      </c>
      <c r="E1391" s="16">
        <f>ABS(Solieusap!E1391)</f>
        <v>8.35640026</v>
      </c>
      <c r="F1391" s="16">
        <f>ABS(Solieusap!F1391)</f>
        <v>0.7248131602</v>
      </c>
      <c r="G1391" s="16">
        <f>ABS(Solieusap!G1391)</f>
        <v>1.01198329</v>
      </c>
      <c r="H1391" s="16">
        <f>ABS(Solieusap!H1391)</f>
        <v>0.0004307575844</v>
      </c>
      <c r="I1391" s="16">
        <f>ABS(Solieusap!I1391)</f>
        <v>2.346756736</v>
      </c>
      <c r="J1391" s="16">
        <f>ABS(Solieusap!J1391)</f>
        <v>1.592111221</v>
      </c>
      <c r="K1391" s="16">
        <f t="shared" si="1"/>
        <v>8.35640026</v>
      </c>
      <c r="L1391" s="16">
        <f t="shared" si="2"/>
        <v>2.346756736</v>
      </c>
    </row>
    <row r="1392" ht="16.5" customHeight="1">
      <c r="A1392" s="15" t="str">
        <f>Solieusap!A1392</f>
        <v>Cũ</v>
      </c>
      <c r="B1392" s="15">
        <f>Solieusap!B1392</f>
        <v>3.5</v>
      </c>
      <c r="C1392" s="15" t="str">
        <f>Solieusap!C1392</f>
        <v>COMB1</v>
      </c>
      <c r="D1392" s="15" t="str">
        <f>Solieusap!D1392</f>
        <v>Combination</v>
      </c>
      <c r="E1392" s="16">
        <f>ABS(Solieusap!E1392)</f>
        <v>8.373256623</v>
      </c>
      <c r="F1392" s="16">
        <f>ABS(Solieusap!F1392)</f>
        <v>0.7265236797</v>
      </c>
      <c r="G1392" s="16">
        <f>ABS(Solieusap!G1392)</f>
        <v>1.014247706</v>
      </c>
      <c r="H1392" s="16">
        <f>ABS(Solieusap!H1392)</f>
        <v>0.0004318126883</v>
      </c>
      <c r="I1392" s="16">
        <f>ABS(Solieusap!I1392)</f>
        <v>2.353551528</v>
      </c>
      <c r="J1392" s="16">
        <f>ABS(Solieusap!J1392)</f>
        <v>1.596658273</v>
      </c>
      <c r="K1392" s="16">
        <f t="shared" si="1"/>
        <v>8.373256623</v>
      </c>
      <c r="L1392" s="16">
        <f t="shared" si="2"/>
        <v>2.353551528</v>
      </c>
    </row>
    <row r="1393" ht="16.5" customHeight="1">
      <c r="A1393" s="15" t="str">
        <f>Solieusap!A1393</f>
        <v>Cũ</v>
      </c>
      <c r="B1393" s="15">
        <f>Solieusap!B1393</f>
        <v>0</v>
      </c>
      <c r="C1393" s="15" t="str">
        <f>Solieusap!C1393</f>
        <v>COMB2</v>
      </c>
      <c r="D1393" s="15" t="str">
        <f>Solieusap!D1393</f>
        <v>Combination</v>
      </c>
      <c r="E1393" s="16">
        <f>ABS(Solieusap!E1393)</f>
        <v>8.390112987</v>
      </c>
      <c r="F1393" s="16">
        <f>ABS(Solieusap!F1393)</f>
        <v>0.7282341991</v>
      </c>
      <c r="G1393" s="16">
        <f>ABS(Solieusap!G1393)</f>
        <v>1.016512121</v>
      </c>
      <c r="H1393" s="16">
        <f>ABS(Solieusap!H1393)</f>
        <v>0.0004328677922</v>
      </c>
      <c r="I1393" s="16">
        <f>ABS(Solieusap!I1393)</f>
        <v>2.36034632</v>
      </c>
      <c r="J1393" s="16">
        <f>ABS(Solieusap!J1393)</f>
        <v>1.601205325</v>
      </c>
      <c r="K1393" s="16">
        <f t="shared" si="1"/>
        <v>8.390112987</v>
      </c>
      <c r="L1393" s="16">
        <f t="shared" si="2"/>
        <v>2.36034632</v>
      </c>
    </row>
    <row r="1394" ht="16.5" customHeight="1">
      <c r="A1394" s="15" t="str">
        <f>Solieusap!A1394</f>
        <v>Cũ</v>
      </c>
      <c r="B1394" s="15">
        <f>Solieusap!B1394</f>
        <v>1.75</v>
      </c>
      <c r="C1394" s="15" t="str">
        <f>Solieusap!C1394</f>
        <v>COMB2</v>
      </c>
      <c r="D1394" s="15" t="str">
        <f>Solieusap!D1394</f>
        <v>Combination</v>
      </c>
      <c r="E1394" s="16">
        <f>ABS(Solieusap!E1394)</f>
        <v>8.406969351</v>
      </c>
      <c r="F1394" s="16">
        <f>ABS(Solieusap!F1394)</f>
        <v>0.7299447186</v>
      </c>
      <c r="G1394" s="16">
        <f>ABS(Solieusap!G1394)</f>
        <v>1.018776537</v>
      </c>
      <c r="H1394" s="16">
        <f>ABS(Solieusap!H1394)</f>
        <v>0.0004339228961</v>
      </c>
      <c r="I1394" s="16">
        <f>ABS(Solieusap!I1394)</f>
        <v>2.367141113</v>
      </c>
      <c r="J1394" s="16">
        <f>ABS(Solieusap!J1394)</f>
        <v>1.605752377</v>
      </c>
      <c r="K1394" s="16">
        <f t="shared" si="1"/>
        <v>8.406969351</v>
      </c>
      <c r="L1394" s="16">
        <f t="shared" si="2"/>
        <v>2.367141113</v>
      </c>
    </row>
    <row r="1395" ht="16.5" customHeight="1">
      <c r="A1395" s="15" t="str">
        <f>Solieusap!A1395</f>
        <v>Cũ</v>
      </c>
      <c r="B1395" s="15">
        <f>Solieusap!B1395</f>
        <v>3.5</v>
      </c>
      <c r="C1395" s="15" t="str">
        <f>Solieusap!C1395</f>
        <v>COMB2</v>
      </c>
      <c r="D1395" s="15" t="str">
        <f>Solieusap!D1395</f>
        <v>Combination</v>
      </c>
      <c r="E1395" s="16">
        <f>ABS(Solieusap!E1395)</f>
        <v>8.423825714</v>
      </c>
      <c r="F1395" s="16">
        <f>ABS(Solieusap!F1395)</f>
        <v>0.7316552381</v>
      </c>
      <c r="G1395" s="16">
        <f>ABS(Solieusap!G1395)</f>
        <v>1.021040952</v>
      </c>
      <c r="H1395" s="16">
        <f>ABS(Solieusap!H1395)</f>
        <v>0.000434978</v>
      </c>
      <c r="I1395" s="16">
        <f>ABS(Solieusap!I1395)</f>
        <v>2.373935905</v>
      </c>
      <c r="J1395" s="16">
        <f>ABS(Solieusap!J1395)</f>
        <v>1.610299429</v>
      </c>
      <c r="K1395" s="16">
        <f t="shared" si="1"/>
        <v>8.423825714</v>
      </c>
      <c r="L1395" s="16">
        <f t="shared" si="2"/>
        <v>2.373935905</v>
      </c>
    </row>
    <row r="1396" ht="16.5" customHeight="1">
      <c r="A1396" s="15" t="str">
        <f>Solieusap!A1396</f>
        <v>Cũ</v>
      </c>
      <c r="B1396" s="15">
        <f>Solieusap!B1396</f>
        <v>0</v>
      </c>
      <c r="C1396" s="15" t="str">
        <f>Solieusap!C1396</f>
        <v>COMB3</v>
      </c>
      <c r="D1396" s="15" t="str">
        <f>Solieusap!D1396</f>
        <v>Combination</v>
      </c>
      <c r="E1396" s="16">
        <f>ABS(Solieusap!E1396)</f>
        <v>8.440682078</v>
      </c>
      <c r="F1396" s="16">
        <f>ABS(Solieusap!F1396)</f>
        <v>0.7333657576</v>
      </c>
      <c r="G1396" s="16">
        <f>ABS(Solieusap!G1396)</f>
        <v>1.023305368</v>
      </c>
      <c r="H1396" s="16">
        <f>ABS(Solieusap!H1396)</f>
        <v>0.0004360331039</v>
      </c>
      <c r="I1396" s="16">
        <f>ABS(Solieusap!I1396)</f>
        <v>2.380730697</v>
      </c>
      <c r="J1396" s="16">
        <f>ABS(Solieusap!J1396)</f>
        <v>1.614846481</v>
      </c>
      <c r="K1396" s="16">
        <f t="shared" si="1"/>
        <v>8.440682078</v>
      </c>
      <c r="L1396" s="16">
        <f t="shared" si="2"/>
        <v>2.380730697</v>
      </c>
    </row>
    <row r="1397" ht="16.5" customHeight="1">
      <c r="A1397" s="15" t="str">
        <f>Solieusap!A1397</f>
        <v>Cũ</v>
      </c>
      <c r="B1397" s="15">
        <f>Solieusap!B1397</f>
        <v>1.75</v>
      </c>
      <c r="C1397" s="15" t="str">
        <f>Solieusap!C1397</f>
        <v>COMB3</v>
      </c>
      <c r="D1397" s="15" t="str">
        <f>Solieusap!D1397</f>
        <v>Combination</v>
      </c>
      <c r="E1397" s="16">
        <f>ABS(Solieusap!E1397)</f>
        <v>8.457538442</v>
      </c>
      <c r="F1397" s="16">
        <f>ABS(Solieusap!F1397)</f>
        <v>0.7350762771</v>
      </c>
      <c r="G1397" s="16">
        <f>ABS(Solieusap!G1397)</f>
        <v>1.025569784</v>
      </c>
      <c r="H1397" s="16">
        <f>ABS(Solieusap!H1397)</f>
        <v>0.0004370882078</v>
      </c>
      <c r="I1397" s="16">
        <f>ABS(Solieusap!I1397)</f>
        <v>2.387525489</v>
      </c>
      <c r="J1397" s="16">
        <f>ABS(Solieusap!J1397)</f>
        <v>1.619393532</v>
      </c>
      <c r="K1397" s="16">
        <f t="shared" si="1"/>
        <v>8.457538442</v>
      </c>
      <c r="L1397" s="16">
        <f t="shared" si="2"/>
        <v>2.387525489</v>
      </c>
    </row>
    <row r="1398" ht="16.5" customHeight="1">
      <c r="A1398" s="15" t="str">
        <f>Solieusap!A1398</f>
        <v>Cũ</v>
      </c>
      <c r="B1398" s="15">
        <f>Solieusap!B1398</f>
        <v>3.5</v>
      </c>
      <c r="C1398" s="15" t="str">
        <f>Solieusap!C1398</f>
        <v>COMB3</v>
      </c>
      <c r="D1398" s="15" t="str">
        <f>Solieusap!D1398</f>
        <v>Combination</v>
      </c>
      <c r="E1398" s="16">
        <f>ABS(Solieusap!E1398)</f>
        <v>8.474394805</v>
      </c>
      <c r="F1398" s="16">
        <f>ABS(Solieusap!F1398)</f>
        <v>0.7367867965</v>
      </c>
      <c r="G1398" s="16">
        <f>ABS(Solieusap!G1398)</f>
        <v>1.027834199</v>
      </c>
      <c r="H1398" s="16">
        <f>ABS(Solieusap!H1398)</f>
        <v>0.0004381433117</v>
      </c>
      <c r="I1398" s="16">
        <f>ABS(Solieusap!I1398)</f>
        <v>2.394320281</v>
      </c>
      <c r="J1398" s="16">
        <f>ABS(Solieusap!J1398)</f>
        <v>1.623940584</v>
      </c>
      <c r="K1398" s="16">
        <f t="shared" si="1"/>
        <v>8.474394805</v>
      </c>
      <c r="L1398" s="16">
        <f t="shared" si="2"/>
        <v>2.394320281</v>
      </c>
    </row>
    <row r="1399" ht="16.5" customHeight="1">
      <c r="A1399" s="15" t="str">
        <f>Solieusap!A1399</f>
        <v>Cũ</v>
      </c>
      <c r="B1399" s="15">
        <f>Solieusap!B1399</f>
        <v>0</v>
      </c>
      <c r="C1399" s="15" t="str">
        <f>Solieusap!C1399</f>
        <v>COMB4</v>
      </c>
      <c r="D1399" s="15" t="str">
        <f>Solieusap!D1399</f>
        <v>Combination</v>
      </c>
      <c r="E1399" s="16">
        <f>ABS(Solieusap!E1399)</f>
        <v>8.491251169</v>
      </c>
      <c r="F1399" s="16">
        <f>ABS(Solieusap!F1399)</f>
        <v>0.738497316</v>
      </c>
      <c r="G1399" s="16">
        <f>ABS(Solieusap!G1399)</f>
        <v>1.030098615</v>
      </c>
      <c r="H1399" s="16">
        <f>ABS(Solieusap!H1399)</f>
        <v>0.0004391984156</v>
      </c>
      <c r="I1399" s="16">
        <f>ABS(Solieusap!I1399)</f>
        <v>2.401115074</v>
      </c>
      <c r="J1399" s="16">
        <f>ABS(Solieusap!J1399)</f>
        <v>1.628487636</v>
      </c>
      <c r="K1399" s="16">
        <f t="shared" si="1"/>
        <v>8.491251169</v>
      </c>
      <c r="L1399" s="16">
        <f t="shared" si="2"/>
        <v>2.401115074</v>
      </c>
    </row>
    <row r="1400" ht="16.5" customHeight="1">
      <c r="A1400" s="15" t="str">
        <f>Solieusap!A1400</f>
        <v>Cũ</v>
      </c>
      <c r="B1400" s="15">
        <f>Solieusap!B1400</f>
        <v>1.75</v>
      </c>
      <c r="C1400" s="15" t="str">
        <f>Solieusap!C1400</f>
        <v>COMB4</v>
      </c>
      <c r="D1400" s="15" t="str">
        <f>Solieusap!D1400</f>
        <v>Combination</v>
      </c>
      <c r="E1400" s="16">
        <f>ABS(Solieusap!E1400)</f>
        <v>8.508107532</v>
      </c>
      <c r="F1400" s="16">
        <f>ABS(Solieusap!F1400)</f>
        <v>0.7402078355</v>
      </c>
      <c r="G1400" s="16">
        <f>ABS(Solieusap!G1400)</f>
        <v>1.03236303</v>
      </c>
      <c r="H1400" s="16">
        <f>ABS(Solieusap!H1400)</f>
        <v>0.0004402535195</v>
      </c>
      <c r="I1400" s="16">
        <f>ABS(Solieusap!I1400)</f>
        <v>2.407909866</v>
      </c>
      <c r="J1400" s="16">
        <f>ABS(Solieusap!J1400)</f>
        <v>1.633034688</v>
      </c>
      <c r="K1400" s="16">
        <f t="shared" si="1"/>
        <v>8.508107532</v>
      </c>
      <c r="L1400" s="16">
        <f t="shared" si="2"/>
        <v>2.407909866</v>
      </c>
    </row>
    <row r="1401" ht="16.5" customHeight="1">
      <c r="A1401" s="15" t="str">
        <f>Solieusap!A1401</f>
        <v>Cũ</v>
      </c>
      <c r="B1401" s="15">
        <f>Solieusap!B1401</f>
        <v>3.5</v>
      </c>
      <c r="C1401" s="15" t="str">
        <f>Solieusap!C1401</f>
        <v>COMB4</v>
      </c>
      <c r="D1401" s="15" t="str">
        <f>Solieusap!D1401</f>
        <v>Combination</v>
      </c>
      <c r="E1401" s="16">
        <f>ABS(Solieusap!E1401)</f>
        <v>8.524963896</v>
      </c>
      <c r="F1401" s="16">
        <f>ABS(Solieusap!F1401)</f>
        <v>0.741918355</v>
      </c>
      <c r="G1401" s="16">
        <f>ABS(Solieusap!G1401)</f>
        <v>1.034627446</v>
      </c>
      <c r="H1401" s="16">
        <f>ABS(Solieusap!H1401)</f>
        <v>0.0004413086234</v>
      </c>
      <c r="I1401" s="16">
        <f>ABS(Solieusap!I1401)</f>
        <v>2.414704658</v>
      </c>
      <c r="J1401" s="16">
        <f>ABS(Solieusap!J1401)</f>
        <v>1.63758174</v>
      </c>
      <c r="K1401" s="16">
        <f t="shared" si="1"/>
        <v>8.524963896</v>
      </c>
      <c r="L1401" s="16">
        <f t="shared" si="2"/>
        <v>2.414704658</v>
      </c>
    </row>
    <row r="1402" ht="16.5" customHeight="1">
      <c r="A1402" s="15" t="str">
        <f>Solieusap!A1402</f>
        <v>Cũ</v>
      </c>
      <c r="B1402" s="15">
        <f>Solieusap!B1402</f>
        <v>0</v>
      </c>
      <c r="C1402" s="15" t="str">
        <f>Solieusap!C1402</f>
        <v>COMB5</v>
      </c>
      <c r="D1402" s="15" t="str">
        <f>Solieusap!D1402</f>
        <v>Combination</v>
      </c>
      <c r="E1402" s="16">
        <f>ABS(Solieusap!E1402)</f>
        <v>8.54182026</v>
      </c>
      <c r="F1402" s="16">
        <f>ABS(Solieusap!F1402)</f>
        <v>0.7436288745</v>
      </c>
      <c r="G1402" s="16">
        <f>ABS(Solieusap!G1402)</f>
        <v>1.036891861</v>
      </c>
      <c r="H1402" s="16">
        <f>ABS(Solieusap!H1402)</f>
        <v>0.0004423637273</v>
      </c>
      <c r="I1402" s="16">
        <f>ABS(Solieusap!I1402)</f>
        <v>2.42149945</v>
      </c>
      <c r="J1402" s="16">
        <f>ABS(Solieusap!J1402)</f>
        <v>1.642128792</v>
      </c>
      <c r="K1402" s="16">
        <f t="shared" si="1"/>
        <v>8.54182026</v>
      </c>
      <c r="L1402" s="16">
        <f t="shared" si="2"/>
        <v>2.42149945</v>
      </c>
    </row>
    <row r="1403" ht="16.5" customHeight="1">
      <c r="A1403" s="15" t="str">
        <f>Solieusap!A1403</f>
        <v>Cũ</v>
      </c>
      <c r="B1403" s="15">
        <f>Solieusap!B1403</f>
        <v>1.75</v>
      </c>
      <c r="C1403" s="15" t="str">
        <f>Solieusap!C1403</f>
        <v>COMB5</v>
      </c>
      <c r="D1403" s="15" t="str">
        <f>Solieusap!D1403</f>
        <v>Combination</v>
      </c>
      <c r="E1403" s="16">
        <f>ABS(Solieusap!E1403)</f>
        <v>8.558676623</v>
      </c>
      <c r="F1403" s="16">
        <f>ABS(Solieusap!F1403)</f>
        <v>0.7453393939</v>
      </c>
      <c r="G1403" s="16">
        <f>ABS(Solieusap!G1403)</f>
        <v>1.039156277</v>
      </c>
      <c r="H1403" s="16">
        <f>ABS(Solieusap!H1403)</f>
        <v>0.0004434188312</v>
      </c>
      <c r="I1403" s="16">
        <f>ABS(Solieusap!I1403)</f>
        <v>2.428294242</v>
      </c>
      <c r="J1403" s="16">
        <f>ABS(Solieusap!J1403)</f>
        <v>1.646675844</v>
      </c>
      <c r="K1403" s="16">
        <f t="shared" si="1"/>
        <v>8.558676623</v>
      </c>
      <c r="L1403" s="16">
        <f t="shared" si="2"/>
        <v>2.428294242</v>
      </c>
    </row>
    <row r="1404" ht="16.5" customHeight="1">
      <c r="A1404" s="15" t="str">
        <f>Solieusap!A1404</f>
        <v>Cũ</v>
      </c>
      <c r="B1404" s="15">
        <f>Solieusap!B1404</f>
        <v>3.5</v>
      </c>
      <c r="C1404" s="15" t="str">
        <f>Solieusap!C1404</f>
        <v>COMB5</v>
      </c>
      <c r="D1404" s="15" t="str">
        <f>Solieusap!D1404</f>
        <v>Combination</v>
      </c>
      <c r="E1404" s="16">
        <f>ABS(Solieusap!E1404)</f>
        <v>8.575532987</v>
      </c>
      <c r="F1404" s="16">
        <f>ABS(Solieusap!F1404)</f>
        <v>0.7470499134</v>
      </c>
      <c r="G1404" s="16">
        <f>ABS(Solieusap!G1404)</f>
        <v>1.041420693</v>
      </c>
      <c r="H1404" s="16">
        <f>ABS(Solieusap!H1404)</f>
        <v>0.0004444739351</v>
      </c>
      <c r="I1404" s="16">
        <f>ABS(Solieusap!I1404)</f>
        <v>2.435089035</v>
      </c>
      <c r="J1404" s="16">
        <f>ABS(Solieusap!J1404)</f>
        <v>1.651222896</v>
      </c>
      <c r="K1404" s="16">
        <f t="shared" si="1"/>
        <v>8.575532987</v>
      </c>
      <c r="L1404" s="16">
        <f t="shared" si="2"/>
        <v>2.435089035</v>
      </c>
    </row>
    <row r="1405" ht="16.5" customHeight="1">
      <c r="A1405" s="15" t="str">
        <f>Solieusap!A1405</f>
        <v>Cũ</v>
      </c>
      <c r="B1405" s="15">
        <f>Solieusap!B1405</f>
        <v>0</v>
      </c>
      <c r="C1405" s="15" t="str">
        <f>Solieusap!C1405</f>
        <v>COMB6</v>
      </c>
      <c r="D1405" s="15" t="str">
        <f>Solieusap!D1405</f>
        <v>Combination</v>
      </c>
      <c r="E1405" s="16">
        <f>ABS(Solieusap!E1405)</f>
        <v>8.592389351</v>
      </c>
      <c r="F1405" s="16">
        <f>ABS(Solieusap!F1405)</f>
        <v>0.7487604329</v>
      </c>
      <c r="G1405" s="16">
        <f>ABS(Solieusap!G1405)</f>
        <v>1.043685108</v>
      </c>
      <c r="H1405" s="16">
        <f>ABS(Solieusap!H1405)</f>
        <v>0.000445529039</v>
      </c>
      <c r="I1405" s="16">
        <f>ABS(Solieusap!I1405)</f>
        <v>2.441883827</v>
      </c>
      <c r="J1405" s="16">
        <f>ABS(Solieusap!J1405)</f>
        <v>1.655769948</v>
      </c>
      <c r="K1405" s="16">
        <f t="shared" si="1"/>
        <v>8.592389351</v>
      </c>
      <c r="L1405" s="16">
        <f t="shared" si="2"/>
        <v>2.441883827</v>
      </c>
    </row>
    <row r="1406" ht="16.5" customHeight="1">
      <c r="A1406" s="15" t="str">
        <f>Solieusap!A1406</f>
        <v>Cũ</v>
      </c>
      <c r="B1406" s="15">
        <f>Solieusap!B1406</f>
        <v>1.75</v>
      </c>
      <c r="C1406" s="15" t="str">
        <f>Solieusap!C1406</f>
        <v>COMB6</v>
      </c>
      <c r="D1406" s="15" t="str">
        <f>Solieusap!D1406</f>
        <v>Combination</v>
      </c>
      <c r="E1406" s="16">
        <f>ABS(Solieusap!E1406)</f>
        <v>8.609245714</v>
      </c>
      <c r="F1406" s="16">
        <f>ABS(Solieusap!F1406)</f>
        <v>0.7504709524</v>
      </c>
      <c r="G1406" s="16">
        <f>ABS(Solieusap!G1406)</f>
        <v>1.045949524</v>
      </c>
      <c r="H1406" s="16">
        <f>ABS(Solieusap!H1406)</f>
        <v>0.0004465841429</v>
      </c>
      <c r="I1406" s="16">
        <f>ABS(Solieusap!I1406)</f>
        <v>2.448678619</v>
      </c>
      <c r="J1406" s="16">
        <f>ABS(Solieusap!J1406)</f>
        <v>1.660317</v>
      </c>
      <c r="K1406" s="16">
        <f t="shared" si="1"/>
        <v>8.609245714</v>
      </c>
      <c r="L1406" s="16">
        <f t="shared" si="2"/>
        <v>2.448678619</v>
      </c>
    </row>
    <row r="1407" ht="16.5" customHeight="1">
      <c r="A1407" s="15" t="str">
        <f>Solieusap!A1407</f>
        <v>Cũ</v>
      </c>
      <c r="B1407" s="15">
        <f>Solieusap!B1407</f>
        <v>3.5</v>
      </c>
      <c r="C1407" s="15" t="str">
        <f>Solieusap!C1407</f>
        <v>COMB6</v>
      </c>
      <c r="D1407" s="15" t="str">
        <f>Solieusap!D1407</f>
        <v>Combination</v>
      </c>
      <c r="E1407" s="16">
        <f>ABS(Solieusap!E1407)</f>
        <v>8.626102078</v>
      </c>
      <c r="F1407" s="16">
        <f>ABS(Solieusap!F1407)</f>
        <v>0.7521814719</v>
      </c>
      <c r="G1407" s="16">
        <f>ABS(Solieusap!G1407)</f>
        <v>1.048213939</v>
      </c>
      <c r="H1407" s="16">
        <f>ABS(Solieusap!H1407)</f>
        <v>0.0004476392468</v>
      </c>
      <c r="I1407" s="16">
        <f>ABS(Solieusap!I1407)</f>
        <v>2.455473411</v>
      </c>
      <c r="J1407" s="16">
        <f>ABS(Solieusap!J1407)</f>
        <v>1.664864052</v>
      </c>
      <c r="K1407" s="16">
        <f t="shared" si="1"/>
        <v>8.626102078</v>
      </c>
      <c r="L1407" s="16">
        <f t="shared" si="2"/>
        <v>2.455473411</v>
      </c>
    </row>
    <row r="1408" ht="16.5" customHeight="1">
      <c r="A1408" s="15" t="str">
        <f>Solieusap!A1408</f>
        <v>Cũ</v>
      </c>
      <c r="B1408" s="15">
        <f>Solieusap!B1408</f>
        <v>0</v>
      </c>
      <c r="C1408" s="15" t="str">
        <f>Solieusap!C1408</f>
        <v>COMB7</v>
      </c>
      <c r="D1408" s="15" t="str">
        <f>Solieusap!D1408</f>
        <v>Combination</v>
      </c>
      <c r="E1408" s="16">
        <f>ABS(Solieusap!E1408)</f>
        <v>8.642958442</v>
      </c>
      <c r="F1408" s="16">
        <f>ABS(Solieusap!F1408)</f>
        <v>0.7538919913</v>
      </c>
      <c r="G1408" s="16">
        <f>ABS(Solieusap!G1408)</f>
        <v>1.050478355</v>
      </c>
      <c r="H1408" s="16">
        <f>ABS(Solieusap!H1408)</f>
        <v>0.0004486943506</v>
      </c>
      <c r="I1408" s="16">
        <f>ABS(Solieusap!I1408)</f>
        <v>2.462268203</v>
      </c>
      <c r="J1408" s="16">
        <f>ABS(Solieusap!J1408)</f>
        <v>1.669411104</v>
      </c>
      <c r="K1408" s="16">
        <f t="shared" si="1"/>
        <v>8.642958442</v>
      </c>
      <c r="L1408" s="16">
        <f t="shared" si="2"/>
        <v>2.462268203</v>
      </c>
    </row>
    <row r="1409" ht="16.5" customHeight="1">
      <c r="A1409" s="15" t="str">
        <f>Solieusap!A1409</f>
        <v>Cũ</v>
      </c>
      <c r="B1409" s="15">
        <f>Solieusap!B1409</f>
        <v>1.75</v>
      </c>
      <c r="C1409" s="15" t="str">
        <f>Solieusap!C1409</f>
        <v>COMB7</v>
      </c>
      <c r="D1409" s="15" t="str">
        <f>Solieusap!D1409</f>
        <v>Combination</v>
      </c>
      <c r="E1409" s="16">
        <f>ABS(Solieusap!E1409)</f>
        <v>8.659814805</v>
      </c>
      <c r="F1409" s="16">
        <f>ABS(Solieusap!F1409)</f>
        <v>0.7556025108</v>
      </c>
      <c r="G1409" s="16">
        <f>ABS(Solieusap!G1409)</f>
        <v>1.052742771</v>
      </c>
      <c r="H1409" s="16">
        <f>ABS(Solieusap!H1409)</f>
        <v>0.0004497494545</v>
      </c>
      <c r="I1409" s="16">
        <f>ABS(Solieusap!I1409)</f>
        <v>2.469062996</v>
      </c>
      <c r="J1409" s="16">
        <f>ABS(Solieusap!J1409)</f>
        <v>1.673958156</v>
      </c>
      <c r="K1409" s="16">
        <f t="shared" si="1"/>
        <v>8.659814805</v>
      </c>
      <c r="L1409" s="16">
        <f t="shared" si="2"/>
        <v>2.469062996</v>
      </c>
    </row>
    <row r="1410" ht="16.5" customHeight="1">
      <c r="A1410" s="15" t="str">
        <f>Solieusap!A1410</f>
        <v>Cũ</v>
      </c>
      <c r="B1410" s="15">
        <f>Solieusap!B1410</f>
        <v>3.5</v>
      </c>
      <c r="C1410" s="15" t="str">
        <f>Solieusap!C1410</f>
        <v>COMB7</v>
      </c>
      <c r="D1410" s="15" t="str">
        <f>Solieusap!D1410</f>
        <v>Combination</v>
      </c>
      <c r="E1410" s="16">
        <f>ABS(Solieusap!E1410)</f>
        <v>8.676671169</v>
      </c>
      <c r="F1410" s="16">
        <f>ABS(Solieusap!F1410)</f>
        <v>0.7573130303</v>
      </c>
      <c r="G1410" s="16">
        <f>ABS(Solieusap!G1410)</f>
        <v>1.055007186</v>
      </c>
      <c r="H1410" s="16">
        <f>ABS(Solieusap!H1410)</f>
        <v>0.0004508045584</v>
      </c>
      <c r="I1410" s="16">
        <f>ABS(Solieusap!I1410)</f>
        <v>2.475857788</v>
      </c>
      <c r="J1410" s="16">
        <f>ABS(Solieusap!J1410)</f>
        <v>1.678505208</v>
      </c>
      <c r="K1410" s="16">
        <f t="shared" si="1"/>
        <v>8.676671169</v>
      </c>
      <c r="L1410" s="16">
        <f t="shared" si="2"/>
        <v>2.475857788</v>
      </c>
    </row>
    <row r="1411" ht="16.5" customHeight="1">
      <c r="A1411" s="15" t="str">
        <f>Solieusap!A1411</f>
        <v>Cũ</v>
      </c>
      <c r="B1411" s="15">
        <f>Solieusap!B1411</f>
        <v>0</v>
      </c>
      <c r="C1411" s="15" t="str">
        <f>Solieusap!C1411</f>
        <v>COMB1</v>
      </c>
      <c r="D1411" s="15" t="str">
        <f>Solieusap!D1411</f>
        <v>Combination</v>
      </c>
      <c r="E1411" s="16">
        <f>ABS(Solieusap!E1411)</f>
        <v>8.693527532</v>
      </c>
      <c r="F1411" s="16">
        <f>ABS(Solieusap!F1411)</f>
        <v>0.7590235498</v>
      </c>
      <c r="G1411" s="16">
        <f>ABS(Solieusap!G1411)</f>
        <v>1.057271602</v>
      </c>
      <c r="H1411" s="16">
        <f>ABS(Solieusap!H1411)</f>
        <v>0.0004518596623</v>
      </c>
      <c r="I1411" s="16">
        <f>ABS(Solieusap!I1411)</f>
        <v>2.48265258</v>
      </c>
      <c r="J1411" s="16">
        <f>ABS(Solieusap!J1411)</f>
        <v>1.68305226</v>
      </c>
      <c r="K1411" s="16">
        <f t="shared" si="1"/>
        <v>8.693527532</v>
      </c>
      <c r="L1411" s="16">
        <f t="shared" si="2"/>
        <v>2.48265258</v>
      </c>
    </row>
    <row r="1412" ht="16.5" customHeight="1">
      <c r="A1412" s="15" t="str">
        <f>Solieusap!A1412</f>
        <v>Cũ</v>
      </c>
      <c r="B1412" s="15">
        <f>Solieusap!B1412</f>
        <v>1.75</v>
      </c>
      <c r="C1412" s="15" t="str">
        <f>Solieusap!C1412</f>
        <v>COMB1</v>
      </c>
      <c r="D1412" s="15" t="str">
        <f>Solieusap!D1412</f>
        <v>Combination</v>
      </c>
      <c r="E1412" s="16">
        <f>ABS(Solieusap!E1412)</f>
        <v>8.710383896</v>
      </c>
      <c r="F1412" s="16">
        <f>ABS(Solieusap!F1412)</f>
        <v>0.7607340693</v>
      </c>
      <c r="G1412" s="16">
        <f>ABS(Solieusap!G1412)</f>
        <v>1.059536017</v>
      </c>
      <c r="H1412" s="16">
        <f>ABS(Solieusap!H1412)</f>
        <v>0.0004529147662</v>
      </c>
      <c r="I1412" s="16">
        <f>ABS(Solieusap!I1412)</f>
        <v>2.489447372</v>
      </c>
      <c r="J1412" s="16">
        <f>ABS(Solieusap!J1412)</f>
        <v>1.687599312</v>
      </c>
      <c r="K1412" s="16">
        <f t="shared" si="1"/>
        <v>8.710383896</v>
      </c>
      <c r="L1412" s="16">
        <f t="shared" si="2"/>
        <v>2.489447372</v>
      </c>
    </row>
    <row r="1413" ht="16.5" customHeight="1">
      <c r="A1413" s="15" t="str">
        <f>Solieusap!A1413</f>
        <v>Cũ</v>
      </c>
      <c r="B1413" s="15">
        <f>Solieusap!B1413</f>
        <v>3.5</v>
      </c>
      <c r="C1413" s="15" t="str">
        <f>Solieusap!C1413</f>
        <v>COMB1</v>
      </c>
      <c r="D1413" s="15" t="str">
        <f>Solieusap!D1413</f>
        <v>Combination</v>
      </c>
      <c r="E1413" s="16">
        <f>ABS(Solieusap!E1413)</f>
        <v>8.72724026</v>
      </c>
      <c r="F1413" s="16">
        <f>ABS(Solieusap!F1413)</f>
        <v>0.7624445887</v>
      </c>
      <c r="G1413" s="16">
        <f>ABS(Solieusap!G1413)</f>
        <v>1.061800433</v>
      </c>
      <c r="H1413" s="16">
        <f>ABS(Solieusap!H1413)</f>
        <v>0.0004539698701</v>
      </c>
      <c r="I1413" s="16">
        <f>ABS(Solieusap!I1413)</f>
        <v>2.496242165</v>
      </c>
      <c r="J1413" s="16">
        <f>ABS(Solieusap!J1413)</f>
        <v>1.692146364</v>
      </c>
      <c r="K1413" s="16">
        <f t="shared" si="1"/>
        <v>8.72724026</v>
      </c>
      <c r="L1413" s="16">
        <f t="shared" si="2"/>
        <v>2.496242165</v>
      </c>
    </row>
    <row r="1414" ht="16.5" customHeight="1">
      <c r="A1414" s="15" t="str">
        <f>Solieusap!A1414</f>
        <v>Cũ</v>
      </c>
      <c r="B1414" s="15">
        <f>Solieusap!B1414</f>
        <v>0</v>
      </c>
      <c r="C1414" s="15" t="str">
        <f>Solieusap!C1414</f>
        <v>COMB2</v>
      </c>
      <c r="D1414" s="15" t="str">
        <f>Solieusap!D1414</f>
        <v>Combination</v>
      </c>
      <c r="E1414" s="16">
        <f>ABS(Solieusap!E1414)</f>
        <v>8.744096623</v>
      </c>
      <c r="F1414" s="16">
        <f>ABS(Solieusap!F1414)</f>
        <v>0.7641551082</v>
      </c>
      <c r="G1414" s="16">
        <f>ABS(Solieusap!G1414)</f>
        <v>1.064064848</v>
      </c>
      <c r="H1414" s="16">
        <f>ABS(Solieusap!H1414)</f>
        <v>0.000455024974</v>
      </c>
      <c r="I1414" s="16">
        <f>ABS(Solieusap!I1414)</f>
        <v>2.503036957</v>
      </c>
      <c r="J1414" s="16">
        <f>ABS(Solieusap!J1414)</f>
        <v>1.696693416</v>
      </c>
      <c r="K1414" s="16">
        <f t="shared" si="1"/>
        <v>8.744096623</v>
      </c>
      <c r="L1414" s="16">
        <f t="shared" si="2"/>
        <v>2.503036957</v>
      </c>
    </row>
    <row r="1415" ht="16.5" customHeight="1">
      <c r="A1415" s="15" t="str">
        <f>Solieusap!A1415</f>
        <v>Cũ</v>
      </c>
      <c r="B1415" s="15">
        <f>Solieusap!B1415</f>
        <v>1.75</v>
      </c>
      <c r="C1415" s="15" t="str">
        <f>Solieusap!C1415</f>
        <v>COMB2</v>
      </c>
      <c r="D1415" s="15" t="str">
        <f>Solieusap!D1415</f>
        <v>Combination</v>
      </c>
      <c r="E1415" s="16">
        <f>ABS(Solieusap!E1415)</f>
        <v>8.760952987</v>
      </c>
      <c r="F1415" s="16">
        <f>ABS(Solieusap!F1415)</f>
        <v>0.7658656277</v>
      </c>
      <c r="G1415" s="16">
        <f>ABS(Solieusap!G1415)</f>
        <v>1.066329264</v>
      </c>
      <c r="H1415" s="16">
        <f>ABS(Solieusap!H1415)</f>
        <v>0.0004560800779</v>
      </c>
      <c r="I1415" s="16">
        <f>ABS(Solieusap!I1415)</f>
        <v>2.509831749</v>
      </c>
      <c r="J1415" s="16">
        <f>ABS(Solieusap!J1415)</f>
        <v>1.701240468</v>
      </c>
      <c r="K1415" s="16">
        <f t="shared" si="1"/>
        <v>8.760952987</v>
      </c>
      <c r="L1415" s="16">
        <f t="shared" si="2"/>
        <v>2.509831749</v>
      </c>
    </row>
    <row r="1416" ht="16.5" customHeight="1">
      <c r="A1416" s="15" t="str">
        <f>Solieusap!A1416</f>
        <v>Cũ</v>
      </c>
      <c r="B1416" s="15">
        <f>Solieusap!B1416</f>
        <v>3.5</v>
      </c>
      <c r="C1416" s="15" t="str">
        <f>Solieusap!C1416</f>
        <v>COMB2</v>
      </c>
      <c r="D1416" s="15" t="str">
        <f>Solieusap!D1416</f>
        <v>Combination</v>
      </c>
      <c r="E1416" s="16">
        <f>ABS(Solieusap!E1416)</f>
        <v>8.777809351</v>
      </c>
      <c r="F1416" s="16">
        <f>ABS(Solieusap!F1416)</f>
        <v>0.7675761472</v>
      </c>
      <c r="G1416" s="16">
        <f>ABS(Solieusap!G1416)</f>
        <v>1.06859368</v>
      </c>
      <c r="H1416" s="16">
        <f>ABS(Solieusap!H1416)</f>
        <v>0.0004571351818</v>
      </c>
      <c r="I1416" s="16">
        <f>ABS(Solieusap!I1416)</f>
        <v>2.516626541</v>
      </c>
      <c r="J1416" s="16">
        <f>ABS(Solieusap!J1416)</f>
        <v>1.705787519</v>
      </c>
      <c r="K1416" s="16">
        <f t="shared" si="1"/>
        <v>8.777809351</v>
      </c>
      <c r="L1416" s="16">
        <f t="shared" si="2"/>
        <v>2.516626541</v>
      </c>
    </row>
    <row r="1417" ht="16.5" customHeight="1">
      <c r="A1417" s="15" t="str">
        <f>Solieusap!A1417</f>
        <v>Cũ</v>
      </c>
      <c r="B1417" s="15">
        <f>Solieusap!B1417</f>
        <v>0</v>
      </c>
      <c r="C1417" s="15" t="str">
        <f>Solieusap!C1417</f>
        <v>COMB3</v>
      </c>
      <c r="D1417" s="15" t="str">
        <f>Solieusap!D1417</f>
        <v>Combination</v>
      </c>
      <c r="E1417" s="16">
        <f>ABS(Solieusap!E1417)</f>
        <v>8.794665714</v>
      </c>
      <c r="F1417" s="16">
        <f>ABS(Solieusap!F1417)</f>
        <v>0.7692866667</v>
      </c>
      <c r="G1417" s="16">
        <f>ABS(Solieusap!G1417)</f>
        <v>1.070858095</v>
      </c>
      <c r="H1417" s="16">
        <f>ABS(Solieusap!H1417)</f>
        <v>0.0004581902857</v>
      </c>
      <c r="I1417" s="16">
        <f>ABS(Solieusap!I1417)</f>
        <v>2.523421333</v>
      </c>
      <c r="J1417" s="16">
        <f>ABS(Solieusap!J1417)</f>
        <v>1.710334571</v>
      </c>
      <c r="K1417" s="16">
        <f t="shared" si="1"/>
        <v>8.794665714</v>
      </c>
      <c r="L1417" s="16">
        <f t="shared" si="2"/>
        <v>2.523421333</v>
      </c>
    </row>
    <row r="1418" ht="16.5" customHeight="1">
      <c r="A1418" s="15" t="str">
        <f>Solieusap!A1418</f>
        <v>Cũ</v>
      </c>
      <c r="B1418" s="15">
        <f>Solieusap!B1418</f>
        <v>1.75</v>
      </c>
      <c r="C1418" s="15" t="str">
        <f>Solieusap!C1418</f>
        <v>COMB3</v>
      </c>
      <c r="D1418" s="15" t="str">
        <f>Solieusap!D1418</f>
        <v>Combination</v>
      </c>
      <c r="E1418" s="16">
        <f>ABS(Solieusap!E1418)</f>
        <v>8.811522078</v>
      </c>
      <c r="F1418" s="16">
        <f>ABS(Solieusap!F1418)</f>
        <v>0.7709971861</v>
      </c>
      <c r="G1418" s="16">
        <f>ABS(Solieusap!G1418)</f>
        <v>1.073122511</v>
      </c>
      <c r="H1418" s="16">
        <f>ABS(Solieusap!H1418)</f>
        <v>0.0004592453896</v>
      </c>
      <c r="I1418" s="16">
        <f>ABS(Solieusap!I1418)</f>
        <v>2.530216126</v>
      </c>
      <c r="J1418" s="16">
        <f>ABS(Solieusap!J1418)</f>
        <v>1.714881623</v>
      </c>
      <c r="K1418" s="16">
        <f t="shared" si="1"/>
        <v>8.811522078</v>
      </c>
      <c r="L1418" s="16">
        <f t="shared" si="2"/>
        <v>2.530216126</v>
      </c>
    </row>
    <row r="1419" ht="16.5" customHeight="1">
      <c r="A1419" s="15" t="str">
        <f>Solieusap!A1419</f>
        <v>Cũ</v>
      </c>
      <c r="B1419" s="15">
        <f>Solieusap!B1419</f>
        <v>3.5</v>
      </c>
      <c r="C1419" s="15" t="str">
        <f>Solieusap!C1419</f>
        <v>COMB3</v>
      </c>
      <c r="D1419" s="15" t="str">
        <f>Solieusap!D1419</f>
        <v>Combination</v>
      </c>
      <c r="E1419" s="16">
        <f>ABS(Solieusap!E1419)</f>
        <v>8.828378442</v>
      </c>
      <c r="F1419" s="16">
        <f>ABS(Solieusap!F1419)</f>
        <v>0.7727077056</v>
      </c>
      <c r="G1419" s="16">
        <f>ABS(Solieusap!G1419)</f>
        <v>1.075386926</v>
      </c>
      <c r="H1419" s="16">
        <f>ABS(Solieusap!H1419)</f>
        <v>0.0004603004935</v>
      </c>
      <c r="I1419" s="16">
        <f>ABS(Solieusap!I1419)</f>
        <v>2.537010918</v>
      </c>
      <c r="J1419" s="16">
        <f>ABS(Solieusap!J1419)</f>
        <v>1.719428675</v>
      </c>
      <c r="K1419" s="16">
        <f t="shared" si="1"/>
        <v>8.828378442</v>
      </c>
      <c r="L1419" s="16">
        <f t="shared" si="2"/>
        <v>2.537010918</v>
      </c>
    </row>
    <row r="1420" ht="16.5" customHeight="1">
      <c r="A1420" s="15" t="str">
        <f>Solieusap!A1420</f>
        <v>Cũ</v>
      </c>
      <c r="B1420" s="15">
        <f>Solieusap!B1420</f>
        <v>0</v>
      </c>
      <c r="C1420" s="15" t="str">
        <f>Solieusap!C1420</f>
        <v>COMB4</v>
      </c>
      <c r="D1420" s="15" t="str">
        <f>Solieusap!D1420</f>
        <v>Combination</v>
      </c>
      <c r="E1420" s="16">
        <f>ABS(Solieusap!E1420)</f>
        <v>8.845234805</v>
      </c>
      <c r="F1420" s="16">
        <f>ABS(Solieusap!F1420)</f>
        <v>0.7744182251</v>
      </c>
      <c r="G1420" s="16">
        <f>ABS(Solieusap!G1420)</f>
        <v>1.077651342</v>
      </c>
      <c r="H1420" s="16">
        <f>ABS(Solieusap!H1420)</f>
        <v>0.0004613555974</v>
      </c>
      <c r="I1420" s="16">
        <f>ABS(Solieusap!I1420)</f>
        <v>2.54380571</v>
      </c>
      <c r="J1420" s="16">
        <f>ABS(Solieusap!J1420)</f>
        <v>1.723975727</v>
      </c>
      <c r="K1420" s="16">
        <f t="shared" si="1"/>
        <v>8.845234805</v>
      </c>
      <c r="L1420" s="16">
        <f t="shared" si="2"/>
        <v>2.54380571</v>
      </c>
    </row>
    <row r="1421" ht="16.5" customHeight="1">
      <c r="A1421" s="15" t="str">
        <f>Solieusap!A1421</f>
        <v>Cũ</v>
      </c>
      <c r="B1421" s="15">
        <f>Solieusap!B1421</f>
        <v>1.75</v>
      </c>
      <c r="C1421" s="15" t="str">
        <f>Solieusap!C1421</f>
        <v>COMB4</v>
      </c>
      <c r="D1421" s="15" t="str">
        <f>Solieusap!D1421</f>
        <v>Combination</v>
      </c>
      <c r="E1421" s="16">
        <f>ABS(Solieusap!E1421)</f>
        <v>8.862091169</v>
      </c>
      <c r="F1421" s="16">
        <f>ABS(Solieusap!F1421)</f>
        <v>0.7761287446</v>
      </c>
      <c r="G1421" s="16">
        <f>ABS(Solieusap!G1421)</f>
        <v>1.079915758</v>
      </c>
      <c r="H1421" s="16">
        <f>ABS(Solieusap!H1421)</f>
        <v>0.0004624107013</v>
      </c>
      <c r="I1421" s="16">
        <f>ABS(Solieusap!I1421)</f>
        <v>2.550600502</v>
      </c>
      <c r="J1421" s="16">
        <f>ABS(Solieusap!J1421)</f>
        <v>1.728522779</v>
      </c>
      <c r="K1421" s="16">
        <f t="shared" si="1"/>
        <v>8.862091169</v>
      </c>
      <c r="L1421" s="16">
        <f t="shared" si="2"/>
        <v>2.550600502</v>
      </c>
    </row>
    <row r="1422" ht="16.5" customHeight="1">
      <c r="A1422" s="15" t="str">
        <f>Solieusap!A1422</f>
        <v>Cũ</v>
      </c>
      <c r="B1422" s="15">
        <f>Solieusap!B1422</f>
        <v>3.5</v>
      </c>
      <c r="C1422" s="15" t="str">
        <f>Solieusap!C1422</f>
        <v>COMB4</v>
      </c>
      <c r="D1422" s="15" t="str">
        <f>Solieusap!D1422</f>
        <v>Combination</v>
      </c>
      <c r="E1422" s="16">
        <f>ABS(Solieusap!E1422)</f>
        <v>8.878947532</v>
      </c>
      <c r="F1422" s="16">
        <f>ABS(Solieusap!F1422)</f>
        <v>0.7778392641</v>
      </c>
      <c r="G1422" s="16">
        <f>ABS(Solieusap!G1422)</f>
        <v>1.082180173</v>
      </c>
      <c r="H1422" s="16">
        <f>ABS(Solieusap!H1422)</f>
        <v>0.0004634658052</v>
      </c>
      <c r="I1422" s="16">
        <f>ABS(Solieusap!I1422)</f>
        <v>2.557395294</v>
      </c>
      <c r="J1422" s="16">
        <f>ABS(Solieusap!J1422)</f>
        <v>1.733069831</v>
      </c>
      <c r="K1422" s="16">
        <f t="shared" si="1"/>
        <v>8.878947532</v>
      </c>
      <c r="L1422" s="16">
        <f t="shared" si="2"/>
        <v>2.557395294</v>
      </c>
    </row>
    <row r="1423" ht="16.5" customHeight="1">
      <c r="A1423" s="15" t="str">
        <f>Solieusap!A1423</f>
        <v>Cũ</v>
      </c>
      <c r="B1423" s="15">
        <f>Solieusap!B1423</f>
        <v>0</v>
      </c>
      <c r="C1423" s="15" t="str">
        <f>Solieusap!C1423</f>
        <v>COMB5</v>
      </c>
      <c r="D1423" s="15" t="str">
        <f>Solieusap!D1423</f>
        <v>Combination</v>
      </c>
      <c r="E1423" s="16">
        <f>ABS(Solieusap!E1423)</f>
        <v>8.895803896</v>
      </c>
      <c r="F1423" s="16">
        <f>ABS(Solieusap!F1423)</f>
        <v>0.7795497835</v>
      </c>
      <c r="G1423" s="16">
        <f>ABS(Solieusap!G1423)</f>
        <v>1.084444589</v>
      </c>
      <c r="H1423" s="16">
        <f>ABS(Solieusap!H1423)</f>
        <v>0.0004645209091</v>
      </c>
      <c r="I1423" s="16">
        <f>ABS(Solieusap!I1423)</f>
        <v>2.564190087</v>
      </c>
      <c r="J1423" s="16">
        <f>ABS(Solieusap!J1423)</f>
        <v>1.737616883</v>
      </c>
      <c r="K1423" s="16">
        <f t="shared" si="1"/>
        <v>8.895803896</v>
      </c>
      <c r="L1423" s="16">
        <f t="shared" si="2"/>
        <v>2.564190087</v>
      </c>
    </row>
    <row r="1424" ht="16.5" customHeight="1">
      <c r="A1424" s="15" t="str">
        <f>Solieusap!A1424</f>
        <v>Cũ</v>
      </c>
      <c r="B1424" s="15">
        <f>Solieusap!B1424</f>
        <v>1.75</v>
      </c>
      <c r="C1424" s="15" t="str">
        <f>Solieusap!C1424</f>
        <v>COMB5</v>
      </c>
      <c r="D1424" s="15" t="str">
        <f>Solieusap!D1424</f>
        <v>Combination</v>
      </c>
      <c r="E1424" s="16">
        <f>ABS(Solieusap!E1424)</f>
        <v>8.91266026</v>
      </c>
      <c r="F1424" s="16">
        <f>ABS(Solieusap!F1424)</f>
        <v>0.781260303</v>
      </c>
      <c r="G1424" s="16">
        <f>ABS(Solieusap!G1424)</f>
        <v>1.086709004</v>
      </c>
      <c r="H1424" s="16">
        <f>ABS(Solieusap!H1424)</f>
        <v>0.000465576013</v>
      </c>
      <c r="I1424" s="16">
        <f>ABS(Solieusap!I1424)</f>
        <v>2.570984879</v>
      </c>
      <c r="J1424" s="16">
        <f>ABS(Solieusap!J1424)</f>
        <v>1.742163935</v>
      </c>
      <c r="K1424" s="16">
        <f t="shared" si="1"/>
        <v>8.91266026</v>
      </c>
      <c r="L1424" s="16">
        <f t="shared" si="2"/>
        <v>2.570984879</v>
      </c>
    </row>
    <row r="1425" ht="16.5" customHeight="1">
      <c r="A1425" s="15" t="str">
        <f>Solieusap!A1425</f>
        <v>Cũ</v>
      </c>
      <c r="B1425" s="15">
        <f>Solieusap!B1425</f>
        <v>3.5</v>
      </c>
      <c r="C1425" s="15" t="str">
        <f>Solieusap!C1425</f>
        <v>COMB5</v>
      </c>
      <c r="D1425" s="15" t="str">
        <f>Solieusap!D1425</f>
        <v>Combination</v>
      </c>
      <c r="E1425" s="16">
        <f>ABS(Solieusap!E1425)</f>
        <v>8.929516623</v>
      </c>
      <c r="F1425" s="16">
        <f>ABS(Solieusap!F1425)</f>
        <v>0.7829708225</v>
      </c>
      <c r="G1425" s="16">
        <f>ABS(Solieusap!G1425)</f>
        <v>1.08897342</v>
      </c>
      <c r="H1425" s="16">
        <f>ABS(Solieusap!H1425)</f>
        <v>0.0004666311169</v>
      </c>
      <c r="I1425" s="16">
        <f>ABS(Solieusap!I1425)</f>
        <v>2.577779671</v>
      </c>
      <c r="J1425" s="16">
        <f>ABS(Solieusap!J1425)</f>
        <v>1.746710987</v>
      </c>
      <c r="K1425" s="16">
        <f t="shared" si="1"/>
        <v>8.929516623</v>
      </c>
      <c r="L1425" s="16">
        <f t="shared" si="2"/>
        <v>2.577779671</v>
      </c>
    </row>
    <row r="1426" ht="16.5" customHeight="1">
      <c r="A1426" s="15" t="str">
        <f>Solieusap!A1426</f>
        <v>Cũ</v>
      </c>
      <c r="B1426" s="15">
        <f>Solieusap!B1426</f>
        <v>0</v>
      </c>
      <c r="C1426" s="15" t="str">
        <f>Solieusap!C1426</f>
        <v>COMB6</v>
      </c>
      <c r="D1426" s="15" t="str">
        <f>Solieusap!D1426</f>
        <v>Combination</v>
      </c>
      <c r="E1426" s="16">
        <f>ABS(Solieusap!E1426)</f>
        <v>8.946372987</v>
      </c>
      <c r="F1426" s="16">
        <f>ABS(Solieusap!F1426)</f>
        <v>0.784681342</v>
      </c>
      <c r="G1426" s="16">
        <f>ABS(Solieusap!G1426)</f>
        <v>1.091237835</v>
      </c>
      <c r="H1426" s="16">
        <f>ABS(Solieusap!H1426)</f>
        <v>0.0004676862208</v>
      </c>
      <c r="I1426" s="16">
        <f>ABS(Solieusap!I1426)</f>
        <v>2.584574463</v>
      </c>
      <c r="J1426" s="16">
        <f>ABS(Solieusap!J1426)</f>
        <v>1.751258039</v>
      </c>
      <c r="K1426" s="16">
        <f t="shared" si="1"/>
        <v>8.946372987</v>
      </c>
      <c r="L1426" s="16">
        <f t="shared" si="2"/>
        <v>2.584574463</v>
      </c>
    </row>
    <row r="1427" ht="16.5" customHeight="1">
      <c r="A1427" s="15" t="str">
        <f>Solieusap!A1427</f>
        <v>Cũ</v>
      </c>
      <c r="B1427" s="15">
        <f>Solieusap!B1427</f>
        <v>1.75</v>
      </c>
      <c r="C1427" s="15" t="str">
        <f>Solieusap!C1427</f>
        <v>COMB6</v>
      </c>
      <c r="D1427" s="15" t="str">
        <f>Solieusap!D1427</f>
        <v>Combination</v>
      </c>
      <c r="E1427" s="16">
        <f>ABS(Solieusap!E1427)</f>
        <v>8.963229351</v>
      </c>
      <c r="F1427" s="16">
        <f>ABS(Solieusap!F1427)</f>
        <v>0.7863918615</v>
      </c>
      <c r="G1427" s="16">
        <f>ABS(Solieusap!G1427)</f>
        <v>1.093502251</v>
      </c>
      <c r="H1427" s="16">
        <f>ABS(Solieusap!H1427)</f>
        <v>0.0004687413247</v>
      </c>
      <c r="I1427" s="16">
        <f>ABS(Solieusap!I1427)</f>
        <v>2.591369255</v>
      </c>
      <c r="J1427" s="16">
        <f>ABS(Solieusap!J1427)</f>
        <v>1.755805091</v>
      </c>
      <c r="K1427" s="16">
        <f t="shared" si="1"/>
        <v>8.963229351</v>
      </c>
      <c r="L1427" s="16">
        <f t="shared" si="2"/>
        <v>2.591369255</v>
      </c>
    </row>
    <row r="1428" ht="16.5" customHeight="1">
      <c r="A1428" s="15" t="str">
        <f>Solieusap!A1428</f>
        <v>Cũ</v>
      </c>
      <c r="B1428" s="15">
        <f>Solieusap!B1428</f>
        <v>3.5</v>
      </c>
      <c r="C1428" s="15" t="str">
        <f>Solieusap!C1428</f>
        <v>COMB6</v>
      </c>
      <c r="D1428" s="15" t="str">
        <f>Solieusap!D1428</f>
        <v>Combination</v>
      </c>
      <c r="E1428" s="16">
        <f>ABS(Solieusap!E1428)</f>
        <v>8.980085714</v>
      </c>
      <c r="F1428" s="16">
        <f>ABS(Solieusap!F1428)</f>
        <v>0.788102381</v>
      </c>
      <c r="G1428" s="16">
        <f>ABS(Solieusap!G1428)</f>
        <v>1.095766667</v>
      </c>
      <c r="H1428" s="16">
        <f>ABS(Solieusap!H1428)</f>
        <v>0.0004697964286</v>
      </c>
      <c r="I1428" s="16">
        <f>ABS(Solieusap!I1428)</f>
        <v>2.598164048</v>
      </c>
      <c r="J1428" s="16">
        <f>ABS(Solieusap!J1428)</f>
        <v>1.760352143</v>
      </c>
      <c r="K1428" s="16">
        <f t="shared" si="1"/>
        <v>8.980085714</v>
      </c>
      <c r="L1428" s="16">
        <f t="shared" si="2"/>
        <v>2.598164048</v>
      </c>
    </row>
    <row r="1429" ht="16.5" customHeight="1">
      <c r="A1429" s="15" t="str">
        <f>Solieusap!A1429</f>
        <v>Cũ</v>
      </c>
      <c r="B1429" s="15">
        <f>Solieusap!B1429</f>
        <v>0</v>
      </c>
      <c r="C1429" s="15" t="str">
        <f>Solieusap!C1429</f>
        <v>COMB7</v>
      </c>
      <c r="D1429" s="15" t="str">
        <f>Solieusap!D1429</f>
        <v>Combination</v>
      </c>
      <c r="E1429" s="16">
        <f>ABS(Solieusap!E1429)</f>
        <v>8.996942078</v>
      </c>
      <c r="F1429" s="16">
        <f>ABS(Solieusap!F1429)</f>
        <v>0.7898129004</v>
      </c>
      <c r="G1429" s="16">
        <f>ABS(Solieusap!G1429)</f>
        <v>1.098031082</v>
      </c>
      <c r="H1429" s="16">
        <f>ABS(Solieusap!H1429)</f>
        <v>0.0004708515325</v>
      </c>
      <c r="I1429" s="16">
        <f>ABS(Solieusap!I1429)</f>
        <v>2.60495884</v>
      </c>
      <c r="J1429" s="16">
        <f>ABS(Solieusap!J1429)</f>
        <v>1.764899195</v>
      </c>
      <c r="K1429" s="16">
        <f t="shared" si="1"/>
        <v>8.996942078</v>
      </c>
      <c r="L1429" s="16">
        <f t="shared" si="2"/>
        <v>2.60495884</v>
      </c>
    </row>
    <row r="1430" ht="16.5" customHeight="1">
      <c r="A1430" s="15" t="str">
        <f>Solieusap!A1430</f>
        <v>Cũ</v>
      </c>
      <c r="B1430" s="15">
        <f>Solieusap!B1430</f>
        <v>1.75</v>
      </c>
      <c r="C1430" s="15" t="str">
        <f>Solieusap!C1430</f>
        <v>COMB7</v>
      </c>
      <c r="D1430" s="15" t="str">
        <f>Solieusap!D1430</f>
        <v>Combination</v>
      </c>
      <c r="E1430" s="16">
        <f>ABS(Solieusap!E1430)</f>
        <v>9.013798442</v>
      </c>
      <c r="F1430" s="16">
        <f>ABS(Solieusap!F1430)</f>
        <v>0.7915234199</v>
      </c>
      <c r="G1430" s="16">
        <f>ABS(Solieusap!G1430)</f>
        <v>1.100295498</v>
      </c>
      <c r="H1430" s="16">
        <f>ABS(Solieusap!H1430)</f>
        <v>0.0004719066364</v>
      </c>
      <c r="I1430" s="16">
        <f>ABS(Solieusap!I1430)</f>
        <v>2.611753632</v>
      </c>
      <c r="J1430" s="16">
        <f>ABS(Solieusap!J1430)</f>
        <v>1.769446247</v>
      </c>
      <c r="K1430" s="16">
        <f t="shared" si="1"/>
        <v>9.013798442</v>
      </c>
      <c r="L1430" s="16">
        <f t="shared" si="2"/>
        <v>2.611753632</v>
      </c>
    </row>
    <row r="1431" ht="16.5" customHeight="1">
      <c r="A1431" s="15" t="str">
        <f>Solieusap!A1431</f>
        <v>Cũ</v>
      </c>
      <c r="B1431" s="15">
        <f>Solieusap!B1431</f>
        <v>3.5</v>
      </c>
      <c r="C1431" s="15" t="str">
        <f>Solieusap!C1431</f>
        <v>COMB7</v>
      </c>
      <c r="D1431" s="15" t="str">
        <f>Solieusap!D1431</f>
        <v>Combination</v>
      </c>
      <c r="E1431" s="16">
        <f>ABS(Solieusap!E1431)</f>
        <v>9.030654805</v>
      </c>
      <c r="F1431" s="16">
        <f>ABS(Solieusap!F1431)</f>
        <v>0.7932339394</v>
      </c>
      <c r="G1431" s="16">
        <f>ABS(Solieusap!G1431)</f>
        <v>1.102559913</v>
      </c>
      <c r="H1431" s="16">
        <f>ABS(Solieusap!H1431)</f>
        <v>0.0004729617403</v>
      </c>
      <c r="I1431" s="16">
        <f>ABS(Solieusap!I1431)</f>
        <v>2.618548424</v>
      </c>
      <c r="J1431" s="16">
        <f>ABS(Solieusap!J1431)</f>
        <v>1.773993299</v>
      </c>
      <c r="K1431" s="16">
        <f t="shared" si="1"/>
        <v>9.030654805</v>
      </c>
      <c r="L1431" s="16">
        <f t="shared" si="2"/>
        <v>2.618548424</v>
      </c>
    </row>
    <row r="1432" ht="16.5" customHeight="1">
      <c r="A1432" s="15" t="str">
        <f>Solieusap!A1432</f>
        <v>Cũ</v>
      </c>
      <c r="B1432" s="15">
        <f>Solieusap!B1432</f>
        <v>0</v>
      </c>
      <c r="C1432" s="15" t="str">
        <f>Solieusap!C1432</f>
        <v>COMB1</v>
      </c>
      <c r="D1432" s="15" t="str">
        <f>Solieusap!D1432</f>
        <v>Combination</v>
      </c>
      <c r="E1432" s="16">
        <f>ABS(Solieusap!E1432)</f>
        <v>9.047511169</v>
      </c>
      <c r="F1432" s="16">
        <f>ABS(Solieusap!F1432)</f>
        <v>0.7949444589</v>
      </c>
      <c r="G1432" s="16">
        <f>ABS(Solieusap!G1432)</f>
        <v>1.104824329</v>
      </c>
      <c r="H1432" s="16">
        <f>ABS(Solieusap!H1432)</f>
        <v>0.0004740168442</v>
      </c>
      <c r="I1432" s="16">
        <f>ABS(Solieusap!I1432)</f>
        <v>2.625343216</v>
      </c>
      <c r="J1432" s="16">
        <f>ABS(Solieusap!J1432)</f>
        <v>1.778540351</v>
      </c>
      <c r="K1432" s="16">
        <f t="shared" si="1"/>
        <v>9.047511169</v>
      </c>
      <c r="L1432" s="16">
        <f t="shared" si="2"/>
        <v>2.625343216</v>
      </c>
    </row>
    <row r="1433" ht="16.5" customHeight="1">
      <c r="A1433" s="15" t="str">
        <f>Solieusap!A1433</f>
        <v>Cũ</v>
      </c>
      <c r="B1433" s="15">
        <f>Solieusap!B1433</f>
        <v>1.75</v>
      </c>
      <c r="C1433" s="15" t="str">
        <f>Solieusap!C1433</f>
        <v>COMB1</v>
      </c>
      <c r="D1433" s="15" t="str">
        <f>Solieusap!D1433</f>
        <v>Combination</v>
      </c>
      <c r="E1433" s="16">
        <f>ABS(Solieusap!E1433)</f>
        <v>9.064367532</v>
      </c>
      <c r="F1433" s="16">
        <f>ABS(Solieusap!F1433)</f>
        <v>0.7966549784</v>
      </c>
      <c r="G1433" s="16">
        <f>ABS(Solieusap!G1433)</f>
        <v>1.107088745</v>
      </c>
      <c r="H1433" s="16">
        <f>ABS(Solieusap!H1433)</f>
        <v>0.0004750719481</v>
      </c>
      <c r="I1433" s="16">
        <f>ABS(Solieusap!I1433)</f>
        <v>2.632138009</v>
      </c>
      <c r="J1433" s="16">
        <f>ABS(Solieusap!J1433)</f>
        <v>1.783087403</v>
      </c>
      <c r="K1433" s="16">
        <f t="shared" si="1"/>
        <v>9.064367532</v>
      </c>
      <c r="L1433" s="16">
        <f t="shared" si="2"/>
        <v>2.632138009</v>
      </c>
    </row>
    <row r="1434" ht="16.5" customHeight="1">
      <c r="A1434" s="15" t="str">
        <f>Solieusap!A1434</f>
        <v>Cũ</v>
      </c>
      <c r="B1434" s="15">
        <f>Solieusap!B1434</f>
        <v>3.5</v>
      </c>
      <c r="C1434" s="15" t="str">
        <f>Solieusap!C1434</f>
        <v>COMB1</v>
      </c>
      <c r="D1434" s="15" t="str">
        <f>Solieusap!D1434</f>
        <v>Combination</v>
      </c>
      <c r="E1434" s="16">
        <f>ABS(Solieusap!E1434)</f>
        <v>9.081223896</v>
      </c>
      <c r="F1434" s="16">
        <f>ABS(Solieusap!F1434)</f>
        <v>0.7983654978</v>
      </c>
      <c r="G1434" s="16">
        <f>ABS(Solieusap!G1434)</f>
        <v>1.10935316</v>
      </c>
      <c r="H1434" s="16">
        <f>ABS(Solieusap!H1434)</f>
        <v>0.0004761270519</v>
      </c>
      <c r="I1434" s="16">
        <f>ABS(Solieusap!I1434)</f>
        <v>2.638932801</v>
      </c>
      <c r="J1434" s="16">
        <f>ABS(Solieusap!J1434)</f>
        <v>1.787634455</v>
      </c>
      <c r="K1434" s="16">
        <f t="shared" si="1"/>
        <v>9.081223896</v>
      </c>
      <c r="L1434" s="16">
        <f t="shared" si="2"/>
        <v>2.638932801</v>
      </c>
    </row>
    <row r="1435" ht="16.5" customHeight="1">
      <c r="A1435" s="15" t="str">
        <f>Solieusap!A1435</f>
        <v>Cũ</v>
      </c>
      <c r="B1435" s="15">
        <f>Solieusap!B1435</f>
        <v>0</v>
      </c>
      <c r="C1435" s="15" t="str">
        <f>Solieusap!C1435</f>
        <v>COMB2</v>
      </c>
      <c r="D1435" s="15" t="str">
        <f>Solieusap!D1435</f>
        <v>Combination</v>
      </c>
      <c r="E1435" s="16">
        <f>ABS(Solieusap!E1435)</f>
        <v>9.09808026</v>
      </c>
      <c r="F1435" s="16">
        <f>ABS(Solieusap!F1435)</f>
        <v>0.8000760173</v>
      </c>
      <c r="G1435" s="16">
        <f>ABS(Solieusap!G1435)</f>
        <v>1.111617576</v>
      </c>
      <c r="H1435" s="16">
        <f>ABS(Solieusap!H1435)</f>
        <v>0.0004771821558</v>
      </c>
      <c r="I1435" s="16">
        <f>ABS(Solieusap!I1435)</f>
        <v>2.645727593</v>
      </c>
      <c r="J1435" s="16">
        <f>ABS(Solieusap!J1435)</f>
        <v>1.792181506</v>
      </c>
      <c r="K1435" s="16">
        <f t="shared" si="1"/>
        <v>9.09808026</v>
      </c>
      <c r="L1435" s="16">
        <f t="shared" si="2"/>
        <v>2.645727593</v>
      </c>
    </row>
    <row r="1436" ht="16.5" customHeight="1">
      <c r="A1436" s="15" t="str">
        <f>Solieusap!A1436</f>
        <v>Cũ</v>
      </c>
      <c r="B1436" s="15">
        <f>Solieusap!B1436</f>
        <v>1.75</v>
      </c>
      <c r="C1436" s="15" t="str">
        <f>Solieusap!C1436</f>
        <v>COMB2</v>
      </c>
      <c r="D1436" s="15" t="str">
        <f>Solieusap!D1436</f>
        <v>Combination</v>
      </c>
      <c r="E1436" s="16">
        <f>ABS(Solieusap!E1436)</f>
        <v>9.114936623</v>
      </c>
      <c r="F1436" s="16">
        <f>ABS(Solieusap!F1436)</f>
        <v>0.8017865368</v>
      </c>
      <c r="G1436" s="16">
        <f>ABS(Solieusap!G1436)</f>
        <v>1.113881991</v>
      </c>
      <c r="H1436" s="16">
        <f>ABS(Solieusap!H1436)</f>
        <v>0.0004782372597</v>
      </c>
      <c r="I1436" s="16">
        <f>ABS(Solieusap!I1436)</f>
        <v>2.652522385</v>
      </c>
      <c r="J1436" s="16">
        <f>ABS(Solieusap!J1436)</f>
        <v>1.796728558</v>
      </c>
      <c r="K1436" s="16">
        <f t="shared" si="1"/>
        <v>9.114936623</v>
      </c>
      <c r="L1436" s="16">
        <f t="shared" si="2"/>
        <v>2.652522385</v>
      </c>
    </row>
    <row r="1437" ht="16.5" customHeight="1">
      <c r="A1437" s="15" t="str">
        <f>Solieusap!A1437</f>
        <v>Cũ</v>
      </c>
      <c r="B1437" s="15">
        <f>Solieusap!B1437</f>
        <v>3.5</v>
      </c>
      <c r="C1437" s="15" t="str">
        <f>Solieusap!C1437</f>
        <v>COMB2</v>
      </c>
      <c r="D1437" s="15" t="str">
        <f>Solieusap!D1437</f>
        <v>Combination</v>
      </c>
      <c r="E1437" s="16">
        <f>ABS(Solieusap!E1437)</f>
        <v>9.131792987</v>
      </c>
      <c r="F1437" s="16">
        <f>ABS(Solieusap!F1437)</f>
        <v>0.8034970563</v>
      </c>
      <c r="G1437" s="16">
        <f>ABS(Solieusap!G1437)</f>
        <v>1.116146407</v>
      </c>
      <c r="H1437" s="16">
        <f>ABS(Solieusap!H1437)</f>
        <v>0.0004792923636</v>
      </c>
      <c r="I1437" s="16">
        <f>ABS(Solieusap!I1437)</f>
        <v>2.659317177</v>
      </c>
      <c r="J1437" s="16">
        <f>ABS(Solieusap!J1437)</f>
        <v>1.80127561</v>
      </c>
      <c r="K1437" s="16">
        <f t="shared" si="1"/>
        <v>9.131792987</v>
      </c>
      <c r="L1437" s="16">
        <f t="shared" si="2"/>
        <v>2.659317177</v>
      </c>
    </row>
    <row r="1438" ht="16.5" customHeight="1">
      <c r="A1438" s="15" t="str">
        <f>Solieusap!A1438</f>
        <v>Cũ</v>
      </c>
      <c r="B1438" s="15">
        <f>Solieusap!B1438</f>
        <v>0</v>
      </c>
      <c r="C1438" s="15" t="str">
        <f>Solieusap!C1438</f>
        <v>COMB3</v>
      </c>
      <c r="D1438" s="15" t="str">
        <f>Solieusap!D1438</f>
        <v>Combination</v>
      </c>
      <c r="E1438" s="16">
        <f>ABS(Solieusap!E1438)</f>
        <v>9.148649351</v>
      </c>
      <c r="F1438" s="16">
        <f>ABS(Solieusap!F1438)</f>
        <v>0.8052075758</v>
      </c>
      <c r="G1438" s="16">
        <f>ABS(Solieusap!G1438)</f>
        <v>1.118410823</v>
      </c>
      <c r="H1438" s="16">
        <f>ABS(Solieusap!H1438)</f>
        <v>0.0004803474675</v>
      </c>
      <c r="I1438" s="16">
        <f>ABS(Solieusap!I1438)</f>
        <v>2.66611197</v>
      </c>
      <c r="J1438" s="16">
        <f>ABS(Solieusap!J1438)</f>
        <v>1.805822662</v>
      </c>
      <c r="K1438" s="16">
        <f t="shared" si="1"/>
        <v>9.148649351</v>
      </c>
      <c r="L1438" s="16">
        <f t="shared" si="2"/>
        <v>2.66611197</v>
      </c>
    </row>
    <row r="1439" ht="16.5" customHeight="1">
      <c r="A1439" s="15" t="str">
        <f>Solieusap!A1439</f>
        <v>Cũ</v>
      </c>
      <c r="B1439" s="15">
        <f>Solieusap!B1439</f>
        <v>1.75</v>
      </c>
      <c r="C1439" s="15" t="str">
        <f>Solieusap!C1439</f>
        <v>COMB3</v>
      </c>
      <c r="D1439" s="15" t="str">
        <f>Solieusap!D1439</f>
        <v>Combination</v>
      </c>
      <c r="E1439" s="16">
        <f>ABS(Solieusap!E1439)</f>
        <v>9.165505714</v>
      </c>
      <c r="F1439" s="16">
        <f>ABS(Solieusap!F1439)</f>
        <v>0.8069180952</v>
      </c>
      <c r="G1439" s="16">
        <f>ABS(Solieusap!G1439)</f>
        <v>1.120675238</v>
      </c>
      <c r="H1439" s="16">
        <f>ABS(Solieusap!H1439)</f>
        <v>0.0004814025714</v>
      </c>
      <c r="I1439" s="16">
        <f>ABS(Solieusap!I1439)</f>
        <v>2.672906762</v>
      </c>
      <c r="J1439" s="16">
        <f>ABS(Solieusap!J1439)</f>
        <v>1.810369714</v>
      </c>
      <c r="K1439" s="16">
        <f t="shared" si="1"/>
        <v>9.165505714</v>
      </c>
      <c r="L1439" s="16">
        <f t="shared" si="2"/>
        <v>2.672906762</v>
      </c>
    </row>
    <row r="1440" ht="16.5" customHeight="1">
      <c r="A1440" s="15" t="str">
        <f>Solieusap!A1440</f>
        <v>Cũ</v>
      </c>
      <c r="B1440" s="15">
        <f>Solieusap!B1440</f>
        <v>3.5</v>
      </c>
      <c r="C1440" s="15" t="str">
        <f>Solieusap!C1440</f>
        <v>COMB3</v>
      </c>
      <c r="D1440" s="15" t="str">
        <f>Solieusap!D1440</f>
        <v>Combination</v>
      </c>
      <c r="E1440" s="16">
        <f>ABS(Solieusap!E1440)</f>
        <v>9.182362078</v>
      </c>
      <c r="F1440" s="16">
        <f>ABS(Solieusap!F1440)</f>
        <v>0.8086286147</v>
      </c>
      <c r="G1440" s="16">
        <f>ABS(Solieusap!G1440)</f>
        <v>1.122939654</v>
      </c>
      <c r="H1440" s="16">
        <f>ABS(Solieusap!H1440)</f>
        <v>0.0004824576753</v>
      </c>
      <c r="I1440" s="16">
        <f>ABS(Solieusap!I1440)</f>
        <v>2.679701554</v>
      </c>
      <c r="J1440" s="16">
        <f>ABS(Solieusap!J1440)</f>
        <v>1.814916766</v>
      </c>
      <c r="K1440" s="16">
        <f t="shared" si="1"/>
        <v>9.182362078</v>
      </c>
      <c r="L1440" s="16">
        <f t="shared" si="2"/>
        <v>2.679701554</v>
      </c>
    </row>
    <row r="1441" ht="16.5" customHeight="1">
      <c r="A1441" s="15" t="str">
        <f>Solieusap!A1441</f>
        <v>Cũ</v>
      </c>
      <c r="B1441" s="15">
        <f>Solieusap!B1441</f>
        <v>0</v>
      </c>
      <c r="C1441" s="15" t="str">
        <f>Solieusap!C1441</f>
        <v>COMB4</v>
      </c>
      <c r="D1441" s="15" t="str">
        <f>Solieusap!D1441</f>
        <v>Combination</v>
      </c>
      <c r="E1441" s="16">
        <f>ABS(Solieusap!E1441)</f>
        <v>9.199218442</v>
      </c>
      <c r="F1441" s="16">
        <f>ABS(Solieusap!F1441)</f>
        <v>0.8103391342</v>
      </c>
      <c r="G1441" s="16">
        <f>ABS(Solieusap!G1441)</f>
        <v>1.125204069</v>
      </c>
      <c r="H1441" s="16">
        <f>ABS(Solieusap!H1441)</f>
        <v>0.0004835127792</v>
      </c>
      <c r="I1441" s="16">
        <f>ABS(Solieusap!I1441)</f>
        <v>2.686496346</v>
      </c>
      <c r="J1441" s="16">
        <f>ABS(Solieusap!J1441)</f>
        <v>1.819463818</v>
      </c>
      <c r="K1441" s="16">
        <f t="shared" si="1"/>
        <v>9.199218442</v>
      </c>
      <c r="L1441" s="16">
        <f t="shared" si="2"/>
        <v>2.686496346</v>
      </c>
    </row>
    <row r="1442" ht="16.5" customHeight="1">
      <c r="A1442" s="15" t="str">
        <f>Solieusap!A1442</f>
        <v>Cũ</v>
      </c>
      <c r="B1442" s="15">
        <f>Solieusap!B1442</f>
        <v>1.75</v>
      </c>
      <c r="C1442" s="15" t="str">
        <f>Solieusap!C1442</f>
        <v>COMB4</v>
      </c>
      <c r="D1442" s="15" t="str">
        <f>Solieusap!D1442</f>
        <v>Combination</v>
      </c>
      <c r="E1442" s="16">
        <f>ABS(Solieusap!E1442)</f>
        <v>9.216074805</v>
      </c>
      <c r="F1442" s="16">
        <f>ABS(Solieusap!F1442)</f>
        <v>0.8120496537</v>
      </c>
      <c r="G1442" s="16">
        <f>ABS(Solieusap!G1442)</f>
        <v>1.127468485</v>
      </c>
      <c r="H1442" s="16">
        <f>ABS(Solieusap!H1442)</f>
        <v>0.0004845678831</v>
      </c>
      <c r="I1442" s="16">
        <f>ABS(Solieusap!I1442)</f>
        <v>2.693291139</v>
      </c>
      <c r="J1442" s="16">
        <f>ABS(Solieusap!J1442)</f>
        <v>1.82401087</v>
      </c>
      <c r="K1442" s="16">
        <f t="shared" si="1"/>
        <v>9.216074805</v>
      </c>
      <c r="L1442" s="16">
        <f t="shared" si="2"/>
        <v>2.693291139</v>
      </c>
    </row>
    <row r="1443" ht="16.5" customHeight="1">
      <c r="A1443" s="15" t="str">
        <f>Solieusap!A1443</f>
        <v>Cũ</v>
      </c>
      <c r="B1443" s="15">
        <f>Solieusap!B1443</f>
        <v>3.5</v>
      </c>
      <c r="C1443" s="15" t="str">
        <f>Solieusap!C1443</f>
        <v>COMB4</v>
      </c>
      <c r="D1443" s="15" t="str">
        <f>Solieusap!D1443</f>
        <v>Combination</v>
      </c>
      <c r="E1443" s="16">
        <f>ABS(Solieusap!E1443)</f>
        <v>9.232931169</v>
      </c>
      <c r="F1443" s="16">
        <f>ABS(Solieusap!F1443)</f>
        <v>0.8137601732</v>
      </c>
      <c r="G1443" s="16">
        <f>ABS(Solieusap!G1443)</f>
        <v>1.1297329</v>
      </c>
      <c r="H1443" s="16">
        <f>ABS(Solieusap!H1443)</f>
        <v>0.000485622987</v>
      </c>
      <c r="I1443" s="16">
        <f>ABS(Solieusap!I1443)</f>
        <v>2.700085931</v>
      </c>
      <c r="J1443" s="16">
        <f>ABS(Solieusap!J1443)</f>
        <v>1.828557922</v>
      </c>
      <c r="K1443" s="16">
        <f t="shared" si="1"/>
        <v>9.232931169</v>
      </c>
      <c r="L1443" s="16">
        <f t="shared" si="2"/>
        <v>2.700085931</v>
      </c>
    </row>
    <row r="1444" ht="16.5" customHeight="1">
      <c r="A1444" s="15" t="str">
        <f>Solieusap!A1444</f>
        <v>Cũ</v>
      </c>
      <c r="B1444" s="15">
        <f>Solieusap!B1444</f>
        <v>0</v>
      </c>
      <c r="C1444" s="15" t="str">
        <f>Solieusap!C1444</f>
        <v>COMB5</v>
      </c>
      <c r="D1444" s="15" t="str">
        <f>Solieusap!D1444</f>
        <v>Combination</v>
      </c>
      <c r="E1444" s="16">
        <f>ABS(Solieusap!E1444)</f>
        <v>9.249787532</v>
      </c>
      <c r="F1444" s="16">
        <f>ABS(Solieusap!F1444)</f>
        <v>0.8154706926</v>
      </c>
      <c r="G1444" s="16">
        <f>ABS(Solieusap!G1444)</f>
        <v>1.131997316</v>
      </c>
      <c r="H1444" s="16">
        <f>ABS(Solieusap!H1444)</f>
        <v>0.0004866780909</v>
      </c>
      <c r="I1444" s="16">
        <f>ABS(Solieusap!I1444)</f>
        <v>2.706880723</v>
      </c>
      <c r="J1444" s="16">
        <f>ABS(Solieusap!J1444)</f>
        <v>1.833104974</v>
      </c>
      <c r="K1444" s="16">
        <f t="shared" si="1"/>
        <v>9.249787532</v>
      </c>
      <c r="L1444" s="16">
        <f t="shared" si="2"/>
        <v>2.706880723</v>
      </c>
    </row>
    <row r="1445" ht="16.5" customHeight="1">
      <c r="A1445" s="15" t="str">
        <f>Solieusap!A1445</f>
        <v>Cũ</v>
      </c>
      <c r="B1445" s="15">
        <f>Solieusap!B1445</f>
        <v>1.75</v>
      </c>
      <c r="C1445" s="15" t="str">
        <f>Solieusap!C1445</f>
        <v>COMB5</v>
      </c>
      <c r="D1445" s="15" t="str">
        <f>Solieusap!D1445</f>
        <v>Combination</v>
      </c>
      <c r="E1445" s="16">
        <f>ABS(Solieusap!E1445)</f>
        <v>9.266643896</v>
      </c>
      <c r="F1445" s="16">
        <f>ABS(Solieusap!F1445)</f>
        <v>0.8171812121</v>
      </c>
      <c r="G1445" s="16">
        <f>ABS(Solieusap!G1445)</f>
        <v>1.134261732</v>
      </c>
      <c r="H1445" s="16">
        <f>ABS(Solieusap!H1445)</f>
        <v>0.0004877331948</v>
      </c>
      <c r="I1445" s="16">
        <f>ABS(Solieusap!I1445)</f>
        <v>2.713675515</v>
      </c>
      <c r="J1445" s="16">
        <f>ABS(Solieusap!J1445)</f>
        <v>1.837652026</v>
      </c>
      <c r="K1445" s="16">
        <f t="shared" si="1"/>
        <v>9.266643896</v>
      </c>
      <c r="L1445" s="16">
        <f t="shared" si="2"/>
        <v>2.713675515</v>
      </c>
    </row>
    <row r="1446" ht="16.5" customHeight="1">
      <c r="A1446" s="15" t="str">
        <f>Solieusap!A1446</f>
        <v>Cũ</v>
      </c>
      <c r="B1446" s="15">
        <f>Solieusap!B1446</f>
        <v>3.5</v>
      </c>
      <c r="C1446" s="15" t="str">
        <f>Solieusap!C1446</f>
        <v>COMB5</v>
      </c>
      <c r="D1446" s="15" t="str">
        <f>Solieusap!D1446</f>
        <v>Combination</v>
      </c>
      <c r="E1446" s="16">
        <f>ABS(Solieusap!E1446)</f>
        <v>9.28350026</v>
      </c>
      <c r="F1446" s="16">
        <f>ABS(Solieusap!F1446)</f>
        <v>0.8188917316</v>
      </c>
      <c r="G1446" s="16">
        <f>ABS(Solieusap!G1446)</f>
        <v>1.136526147</v>
      </c>
      <c r="H1446" s="16">
        <f>ABS(Solieusap!H1446)</f>
        <v>0.0004887882987</v>
      </c>
      <c r="I1446" s="16">
        <f>ABS(Solieusap!I1446)</f>
        <v>2.720470307</v>
      </c>
      <c r="J1446" s="16">
        <f>ABS(Solieusap!J1446)</f>
        <v>1.842199078</v>
      </c>
      <c r="K1446" s="16">
        <f t="shared" si="1"/>
        <v>9.28350026</v>
      </c>
      <c r="L1446" s="16">
        <f t="shared" si="2"/>
        <v>2.720470307</v>
      </c>
    </row>
    <row r="1447" ht="16.5" customHeight="1">
      <c r="A1447" s="15" t="str">
        <f>Solieusap!A1447</f>
        <v>Cũ</v>
      </c>
      <c r="B1447" s="15">
        <f>Solieusap!B1447</f>
        <v>0</v>
      </c>
      <c r="C1447" s="15" t="str">
        <f>Solieusap!C1447</f>
        <v>COMB6</v>
      </c>
      <c r="D1447" s="15" t="str">
        <f>Solieusap!D1447</f>
        <v>Combination</v>
      </c>
      <c r="E1447" s="16">
        <f>ABS(Solieusap!E1447)</f>
        <v>9.300356623</v>
      </c>
      <c r="F1447" s="16">
        <f>ABS(Solieusap!F1447)</f>
        <v>0.8206022511</v>
      </c>
      <c r="G1447" s="16">
        <f>ABS(Solieusap!G1447)</f>
        <v>1.138790563</v>
      </c>
      <c r="H1447" s="16">
        <f>ABS(Solieusap!H1447)</f>
        <v>0.0004898434026</v>
      </c>
      <c r="I1447" s="16">
        <f>ABS(Solieusap!I1447)</f>
        <v>2.7272651</v>
      </c>
      <c r="J1447" s="16">
        <f>ABS(Solieusap!J1447)</f>
        <v>1.84674613</v>
      </c>
      <c r="K1447" s="16">
        <f t="shared" si="1"/>
        <v>9.300356623</v>
      </c>
      <c r="L1447" s="16">
        <f t="shared" si="2"/>
        <v>2.7272651</v>
      </c>
    </row>
    <row r="1448" ht="16.5" customHeight="1">
      <c r="A1448" s="15" t="str">
        <f>Solieusap!A1448</f>
        <v>Cũ</v>
      </c>
      <c r="B1448" s="15">
        <f>Solieusap!B1448</f>
        <v>1.75</v>
      </c>
      <c r="C1448" s="15" t="str">
        <f>Solieusap!C1448</f>
        <v>COMB6</v>
      </c>
      <c r="D1448" s="15" t="str">
        <f>Solieusap!D1448</f>
        <v>Combination</v>
      </c>
      <c r="E1448" s="16">
        <f>ABS(Solieusap!E1448)</f>
        <v>9.317212987</v>
      </c>
      <c r="F1448" s="16">
        <f>ABS(Solieusap!F1448)</f>
        <v>0.8223127706</v>
      </c>
      <c r="G1448" s="16">
        <f>ABS(Solieusap!G1448)</f>
        <v>1.141054978</v>
      </c>
      <c r="H1448" s="16">
        <f>ABS(Solieusap!H1448)</f>
        <v>0.0004908985065</v>
      </c>
      <c r="I1448" s="16">
        <f>ABS(Solieusap!I1448)</f>
        <v>2.734059892</v>
      </c>
      <c r="J1448" s="16">
        <f>ABS(Solieusap!J1448)</f>
        <v>1.851293182</v>
      </c>
      <c r="K1448" s="16">
        <f t="shared" si="1"/>
        <v>9.317212987</v>
      </c>
      <c r="L1448" s="16">
        <f t="shared" si="2"/>
        <v>2.734059892</v>
      </c>
    </row>
    <row r="1449" ht="16.5" customHeight="1">
      <c r="A1449" s="15" t="str">
        <f>Solieusap!A1449</f>
        <v>Cũ</v>
      </c>
      <c r="B1449" s="15">
        <f>Solieusap!B1449</f>
        <v>3.5</v>
      </c>
      <c r="C1449" s="15" t="str">
        <f>Solieusap!C1449</f>
        <v>COMB6</v>
      </c>
      <c r="D1449" s="15" t="str">
        <f>Solieusap!D1449</f>
        <v>Combination</v>
      </c>
      <c r="E1449" s="16">
        <f>ABS(Solieusap!E1449)</f>
        <v>9.334069351</v>
      </c>
      <c r="F1449" s="16">
        <f>ABS(Solieusap!F1449)</f>
        <v>0.82402329</v>
      </c>
      <c r="G1449" s="16">
        <f>ABS(Solieusap!G1449)</f>
        <v>1.143319394</v>
      </c>
      <c r="H1449" s="16">
        <f>ABS(Solieusap!H1449)</f>
        <v>0.0004919536104</v>
      </c>
      <c r="I1449" s="16">
        <f>ABS(Solieusap!I1449)</f>
        <v>2.740854684</v>
      </c>
      <c r="J1449" s="16">
        <f>ABS(Solieusap!J1449)</f>
        <v>1.855840234</v>
      </c>
      <c r="K1449" s="16">
        <f t="shared" si="1"/>
        <v>9.334069351</v>
      </c>
      <c r="L1449" s="16">
        <f t="shared" si="2"/>
        <v>2.740854684</v>
      </c>
    </row>
    <row r="1450" ht="16.5" customHeight="1">
      <c r="A1450" s="15" t="str">
        <f>Solieusap!A1450</f>
        <v>Cũ</v>
      </c>
      <c r="B1450" s="15">
        <f>Solieusap!B1450</f>
        <v>0</v>
      </c>
      <c r="C1450" s="15" t="str">
        <f>Solieusap!C1450</f>
        <v>COMB7</v>
      </c>
      <c r="D1450" s="15" t="str">
        <f>Solieusap!D1450</f>
        <v>Combination</v>
      </c>
      <c r="E1450" s="16">
        <f>ABS(Solieusap!E1450)</f>
        <v>9.350925714</v>
      </c>
      <c r="F1450" s="16">
        <f>ABS(Solieusap!F1450)</f>
        <v>0.8257338095</v>
      </c>
      <c r="G1450" s="16">
        <f>ABS(Solieusap!G1450)</f>
        <v>1.14558381</v>
      </c>
      <c r="H1450" s="16">
        <f>ABS(Solieusap!H1450)</f>
        <v>0.0004930087143</v>
      </c>
      <c r="I1450" s="16">
        <f>ABS(Solieusap!I1450)</f>
        <v>2.747649476</v>
      </c>
      <c r="J1450" s="16">
        <f>ABS(Solieusap!J1450)</f>
        <v>1.860387286</v>
      </c>
      <c r="K1450" s="16">
        <f t="shared" si="1"/>
        <v>9.350925714</v>
      </c>
      <c r="L1450" s="16">
        <f t="shared" si="2"/>
        <v>2.747649476</v>
      </c>
    </row>
    <row r="1451" ht="16.5" customHeight="1">
      <c r="A1451" s="15" t="str">
        <f>Solieusap!A1451</f>
        <v>Cũ</v>
      </c>
      <c r="B1451" s="15">
        <f>Solieusap!B1451</f>
        <v>1.75</v>
      </c>
      <c r="C1451" s="15" t="str">
        <f>Solieusap!C1451</f>
        <v>COMB7</v>
      </c>
      <c r="D1451" s="15" t="str">
        <f>Solieusap!D1451</f>
        <v>Combination</v>
      </c>
      <c r="E1451" s="16">
        <f>ABS(Solieusap!E1451)</f>
        <v>9.367782078</v>
      </c>
      <c r="F1451" s="16">
        <f>ABS(Solieusap!F1451)</f>
        <v>0.827444329</v>
      </c>
      <c r="G1451" s="16">
        <f>ABS(Solieusap!G1451)</f>
        <v>1.147848225</v>
      </c>
      <c r="H1451" s="16">
        <f>ABS(Solieusap!H1451)</f>
        <v>0.0004940638182</v>
      </c>
      <c r="I1451" s="16">
        <f>ABS(Solieusap!I1451)</f>
        <v>2.754444268</v>
      </c>
      <c r="J1451" s="16">
        <f>ABS(Solieusap!J1451)</f>
        <v>1.864934338</v>
      </c>
      <c r="K1451" s="16">
        <f t="shared" si="1"/>
        <v>9.367782078</v>
      </c>
      <c r="L1451" s="16">
        <f t="shared" si="2"/>
        <v>2.754444268</v>
      </c>
    </row>
    <row r="1452" ht="16.5" customHeight="1">
      <c r="A1452" s="15" t="str">
        <f>Solieusap!A1452</f>
        <v>Cũ</v>
      </c>
      <c r="B1452" s="15">
        <f>Solieusap!B1452</f>
        <v>3.5</v>
      </c>
      <c r="C1452" s="15" t="str">
        <f>Solieusap!C1452</f>
        <v>COMB7</v>
      </c>
      <c r="D1452" s="15" t="str">
        <f>Solieusap!D1452</f>
        <v>Combination</v>
      </c>
      <c r="E1452" s="16">
        <f>ABS(Solieusap!E1452)</f>
        <v>9.384638442</v>
      </c>
      <c r="F1452" s="16">
        <f>ABS(Solieusap!F1452)</f>
        <v>0.8291548485</v>
      </c>
      <c r="G1452" s="16">
        <f>ABS(Solieusap!G1452)</f>
        <v>1.150112641</v>
      </c>
      <c r="H1452" s="16">
        <f>ABS(Solieusap!H1452)</f>
        <v>0.0004951189221</v>
      </c>
      <c r="I1452" s="16">
        <f>ABS(Solieusap!I1452)</f>
        <v>2.761239061</v>
      </c>
      <c r="J1452" s="16">
        <f>ABS(Solieusap!J1452)</f>
        <v>1.86948139</v>
      </c>
      <c r="K1452" s="16">
        <f t="shared" si="1"/>
        <v>9.384638442</v>
      </c>
      <c r="L1452" s="16">
        <f t="shared" si="2"/>
        <v>2.761239061</v>
      </c>
    </row>
    <row r="1453" ht="16.5" customHeight="1">
      <c r="A1453" s="15" t="str">
        <f>Solieusap!A1453</f>
        <v>Cũ</v>
      </c>
      <c r="B1453" s="15">
        <f>Solieusap!B1453</f>
        <v>0</v>
      </c>
      <c r="C1453" s="15" t="str">
        <f>Solieusap!C1453</f>
        <v>COMB1</v>
      </c>
      <c r="D1453" s="15" t="str">
        <f>Solieusap!D1453</f>
        <v>Combination</v>
      </c>
      <c r="E1453" s="16">
        <f>ABS(Solieusap!E1453)</f>
        <v>9.401494805</v>
      </c>
      <c r="F1453" s="16">
        <f>ABS(Solieusap!F1453)</f>
        <v>0.830865368</v>
      </c>
      <c r="G1453" s="16">
        <f>ABS(Solieusap!G1453)</f>
        <v>1.152377056</v>
      </c>
      <c r="H1453" s="16">
        <f>ABS(Solieusap!H1453)</f>
        <v>0.000496174026</v>
      </c>
      <c r="I1453" s="16">
        <f>ABS(Solieusap!I1453)</f>
        <v>2.768033853</v>
      </c>
      <c r="J1453" s="16">
        <f>ABS(Solieusap!J1453)</f>
        <v>1.874028442</v>
      </c>
      <c r="K1453" s="16">
        <f t="shared" si="1"/>
        <v>9.401494805</v>
      </c>
      <c r="L1453" s="16">
        <f t="shared" si="2"/>
        <v>2.768033853</v>
      </c>
    </row>
    <row r="1454" ht="16.5" customHeight="1">
      <c r="A1454" s="15" t="str">
        <f>Solieusap!A1454</f>
        <v>Cũ</v>
      </c>
      <c r="B1454" s="15">
        <f>Solieusap!B1454</f>
        <v>1.75</v>
      </c>
      <c r="C1454" s="15" t="str">
        <f>Solieusap!C1454</f>
        <v>COMB1</v>
      </c>
      <c r="D1454" s="15" t="str">
        <f>Solieusap!D1454</f>
        <v>Combination</v>
      </c>
      <c r="E1454" s="16">
        <f>ABS(Solieusap!E1454)</f>
        <v>9.418351169</v>
      </c>
      <c r="F1454" s="16">
        <f>ABS(Solieusap!F1454)</f>
        <v>0.8325758874</v>
      </c>
      <c r="G1454" s="16">
        <f>ABS(Solieusap!G1454)</f>
        <v>1.154641472</v>
      </c>
      <c r="H1454" s="16">
        <f>ABS(Solieusap!H1454)</f>
        <v>0.0004972291299</v>
      </c>
      <c r="I1454" s="16">
        <f>ABS(Solieusap!I1454)</f>
        <v>2.774828645</v>
      </c>
      <c r="J1454" s="16">
        <f>ABS(Solieusap!J1454)</f>
        <v>1.878575494</v>
      </c>
      <c r="K1454" s="16">
        <f t="shared" si="1"/>
        <v>9.418351169</v>
      </c>
      <c r="L1454" s="16">
        <f t="shared" si="2"/>
        <v>2.774828645</v>
      </c>
    </row>
    <row r="1455" ht="16.5" customHeight="1">
      <c r="A1455" s="15" t="str">
        <f>Solieusap!A1455</f>
        <v>Cũ</v>
      </c>
      <c r="B1455" s="15">
        <f>Solieusap!B1455</f>
        <v>3.5</v>
      </c>
      <c r="C1455" s="15" t="str">
        <f>Solieusap!C1455</f>
        <v>COMB1</v>
      </c>
      <c r="D1455" s="15" t="str">
        <f>Solieusap!D1455</f>
        <v>Combination</v>
      </c>
      <c r="E1455" s="16">
        <f>ABS(Solieusap!E1455)</f>
        <v>9.435207532</v>
      </c>
      <c r="F1455" s="16">
        <f>ABS(Solieusap!F1455)</f>
        <v>0.8342864069</v>
      </c>
      <c r="G1455" s="16">
        <f>ABS(Solieusap!G1455)</f>
        <v>1.156905887</v>
      </c>
      <c r="H1455" s="16">
        <f>ABS(Solieusap!H1455)</f>
        <v>0.0004982842338</v>
      </c>
      <c r="I1455" s="16">
        <f>ABS(Solieusap!I1455)</f>
        <v>2.781623437</v>
      </c>
      <c r="J1455" s="16">
        <f>ABS(Solieusap!J1455)</f>
        <v>1.883122545</v>
      </c>
      <c r="K1455" s="16">
        <f t="shared" si="1"/>
        <v>9.435207532</v>
      </c>
      <c r="L1455" s="16">
        <f t="shared" si="2"/>
        <v>2.781623437</v>
      </c>
    </row>
    <row r="1456" ht="16.5" customHeight="1">
      <c r="A1456" s="15" t="str">
        <f>Solieusap!A1456</f>
        <v>Cũ</v>
      </c>
      <c r="B1456" s="15">
        <f>Solieusap!B1456</f>
        <v>0</v>
      </c>
      <c r="C1456" s="15" t="str">
        <f>Solieusap!C1456</f>
        <v>COMB2</v>
      </c>
      <c r="D1456" s="15" t="str">
        <f>Solieusap!D1456</f>
        <v>Combination</v>
      </c>
      <c r="E1456" s="16">
        <f>ABS(Solieusap!E1456)</f>
        <v>9.452063896</v>
      </c>
      <c r="F1456" s="16">
        <f>ABS(Solieusap!F1456)</f>
        <v>0.8359969264</v>
      </c>
      <c r="G1456" s="16">
        <f>ABS(Solieusap!G1456)</f>
        <v>1.159170303</v>
      </c>
      <c r="H1456" s="16">
        <f>ABS(Solieusap!H1456)</f>
        <v>0.0004993393377</v>
      </c>
      <c r="I1456" s="16">
        <f>ABS(Solieusap!I1456)</f>
        <v>2.788418229</v>
      </c>
      <c r="J1456" s="16">
        <f>ABS(Solieusap!J1456)</f>
        <v>1.887669597</v>
      </c>
      <c r="K1456" s="16">
        <f t="shared" si="1"/>
        <v>9.452063896</v>
      </c>
      <c r="L1456" s="16">
        <f t="shared" si="2"/>
        <v>2.788418229</v>
      </c>
    </row>
    <row r="1457" ht="16.5" customHeight="1">
      <c r="A1457" s="15" t="str">
        <f>Solieusap!A1457</f>
        <v>Cũ</v>
      </c>
      <c r="B1457" s="15">
        <f>Solieusap!B1457</f>
        <v>1.75</v>
      </c>
      <c r="C1457" s="15" t="str">
        <f>Solieusap!C1457</f>
        <v>COMB2</v>
      </c>
      <c r="D1457" s="15" t="str">
        <f>Solieusap!D1457</f>
        <v>Combination</v>
      </c>
      <c r="E1457" s="16">
        <f>ABS(Solieusap!E1457)</f>
        <v>9.46892026</v>
      </c>
      <c r="F1457" s="16">
        <f>ABS(Solieusap!F1457)</f>
        <v>0.8377074459</v>
      </c>
      <c r="G1457" s="16">
        <f>ABS(Solieusap!G1457)</f>
        <v>1.161434719</v>
      </c>
      <c r="H1457" s="16">
        <f>ABS(Solieusap!H1457)</f>
        <v>0.0005003944416</v>
      </c>
      <c r="I1457" s="16">
        <f>ABS(Solieusap!I1457)</f>
        <v>2.795213022</v>
      </c>
      <c r="J1457" s="16">
        <f>ABS(Solieusap!J1457)</f>
        <v>1.892216649</v>
      </c>
      <c r="K1457" s="16">
        <f t="shared" si="1"/>
        <v>9.46892026</v>
      </c>
      <c r="L1457" s="16">
        <f t="shared" si="2"/>
        <v>2.795213022</v>
      </c>
    </row>
    <row r="1458" ht="16.5" customHeight="1">
      <c r="A1458" s="15" t="str">
        <f>Solieusap!A1458</f>
        <v>Cũ</v>
      </c>
      <c r="B1458" s="15">
        <f>Solieusap!B1458</f>
        <v>3.5</v>
      </c>
      <c r="C1458" s="15" t="str">
        <f>Solieusap!C1458</f>
        <v>COMB2</v>
      </c>
      <c r="D1458" s="15" t="str">
        <f>Solieusap!D1458</f>
        <v>Combination</v>
      </c>
      <c r="E1458" s="16">
        <f>ABS(Solieusap!E1458)</f>
        <v>9.485776623</v>
      </c>
      <c r="F1458" s="16">
        <f>ABS(Solieusap!F1458)</f>
        <v>0.8394179654</v>
      </c>
      <c r="G1458" s="16">
        <f>ABS(Solieusap!G1458)</f>
        <v>1.163699134</v>
      </c>
      <c r="H1458" s="16">
        <f>ABS(Solieusap!H1458)</f>
        <v>0.0005014495455</v>
      </c>
      <c r="I1458" s="16">
        <f>ABS(Solieusap!I1458)</f>
        <v>2.802007814</v>
      </c>
      <c r="J1458" s="16">
        <f>ABS(Solieusap!J1458)</f>
        <v>1.896763701</v>
      </c>
      <c r="K1458" s="16">
        <f t="shared" si="1"/>
        <v>9.485776623</v>
      </c>
      <c r="L1458" s="16">
        <f t="shared" si="2"/>
        <v>2.802007814</v>
      </c>
    </row>
    <row r="1459" ht="16.5" customHeight="1">
      <c r="A1459" s="15" t="str">
        <f>Solieusap!A1459</f>
        <v>Cũ</v>
      </c>
      <c r="B1459" s="15">
        <f>Solieusap!B1459</f>
        <v>0</v>
      </c>
      <c r="C1459" s="15" t="str">
        <f>Solieusap!C1459</f>
        <v>COMB3</v>
      </c>
      <c r="D1459" s="15" t="str">
        <f>Solieusap!D1459</f>
        <v>Combination</v>
      </c>
      <c r="E1459" s="16">
        <f>ABS(Solieusap!E1459)</f>
        <v>9.502632987</v>
      </c>
      <c r="F1459" s="16">
        <f>ABS(Solieusap!F1459)</f>
        <v>0.8411284848</v>
      </c>
      <c r="G1459" s="16">
        <f>ABS(Solieusap!G1459)</f>
        <v>1.16596355</v>
      </c>
      <c r="H1459" s="16">
        <f>ABS(Solieusap!H1459)</f>
        <v>0.0005025046494</v>
      </c>
      <c r="I1459" s="16">
        <f>ABS(Solieusap!I1459)</f>
        <v>2.808802606</v>
      </c>
      <c r="J1459" s="16">
        <f>ABS(Solieusap!J1459)</f>
        <v>1.901310753</v>
      </c>
      <c r="K1459" s="16">
        <f t="shared" si="1"/>
        <v>9.502632987</v>
      </c>
      <c r="L1459" s="16">
        <f t="shared" si="2"/>
        <v>2.808802606</v>
      </c>
    </row>
    <row r="1460" ht="16.5" customHeight="1">
      <c r="A1460" s="15" t="str">
        <f>Solieusap!A1460</f>
        <v>Cũ</v>
      </c>
      <c r="B1460" s="15">
        <f>Solieusap!B1460</f>
        <v>1.75</v>
      </c>
      <c r="C1460" s="15" t="str">
        <f>Solieusap!C1460</f>
        <v>COMB3</v>
      </c>
      <c r="D1460" s="15" t="str">
        <f>Solieusap!D1460</f>
        <v>Combination</v>
      </c>
      <c r="E1460" s="16">
        <f>ABS(Solieusap!E1460)</f>
        <v>9.519489351</v>
      </c>
      <c r="F1460" s="16">
        <f>ABS(Solieusap!F1460)</f>
        <v>0.8428390043</v>
      </c>
      <c r="G1460" s="16">
        <f>ABS(Solieusap!G1460)</f>
        <v>1.168227965</v>
      </c>
      <c r="H1460" s="16">
        <f>ABS(Solieusap!H1460)</f>
        <v>0.0005035597532</v>
      </c>
      <c r="I1460" s="16">
        <f>ABS(Solieusap!I1460)</f>
        <v>2.815597398</v>
      </c>
      <c r="J1460" s="16">
        <f>ABS(Solieusap!J1460)</f>
        <v>1.905857805</v>
      </c>
      <c r="K1460" s="16">
        <f t="shared" si="1"/>
        <v>9.519489351</v>
      </c>
      <c r="L1460" s="16">
        <f t="shared" si="2"/>
        <v>2.815597398</v>
      </c>
    </row>
    <row r="1461" ht="16.5" customHeight="1">
      <c r="A1461" s="15" t="str">
        <f>Solieusap!A1461</f>
        <v>Cũ</v>
      </c>
      <c r="B1461" s="15">
        <f>Solieusap!B1461</f>
        <v>3.5</v>
      </c>
      <c r="C1461" s="15" t="str">
        <f>Solieusap!C1461</f>
        <v>COMB3</v>
      </c>
      <c r="D1461" s="15" t="str">
        <f>Solieusap!D1461</f>
        <v>Combination</v>
      </c>
      <c r="E1461" s="16">
        <f>ABS(Solieusap!E1461)</f>
        <v>9.536345714</v>
      </c>
      <c r="F1461" s="16">
        <f>ABS(Solieusap!F1461)</f>
        <v>0.8445495238</v>
      </c>
      <c r="G1461" s="16">
        <f>ABS(Solieusap!G1461)</f>
        <v>1.170492381</v>
      </c>
      <c r="H1461" s="16">
        <f>ABS(Solieusap!H1461)</f>
        <v>0.0005046148571</v>
      </c>
      <c r="I1461" s="16">
        <f>ABS(Solieusap!I1461)</f>
        <v>2.82239219</v>
      </c>
      <c r="J1461" s="16">
        <f>ABS(Solieusap!J1461)</f>
        <v>1.910404857</v>
      </c>
      <c r="K1461" s="16">
        <f t="shared" si="1"/>
        <v>9.536345714</v>
      </c>
      <c r="L1461" s="16">
        <f t="shared" si="2"/>
        <v>2.82239219</v>
      </c>
    </row>
    <row r="1462" ht="16.5" customHeight="1">
      <c r="A1462" s="15" t="str">
        <f>Solieusap!A1462</f>
        <v>Cũ</v>
      </c>
      <c r="B1462" s="15">
        <f>Solieusap!B1462</f>
        <v>0</v>
      </c>
      <c r="C1462" s="15" t="str">
        <f>Solieusap!C1462</f>
        <v>COMB4</v>
      </c>
      <c r="D1462" s="15" t="str">
        <f>Solieusap!D1462</f>
        <v>Combination</v>
      </c>
      <c r="E1462" s="16">
        <f>ABS(Solieusap!E1462)</f>
        <v>9.553202078</v>
      </c>
      <c r="F1462" s="16">
        <f>ABS(Solieusap!F1462)</f>
        <v>0.8462600433</v>
      </c>
      <c r="G1462" s="16">
        <f>ABS(Solieusap!G1462)</f>
        <v>1.172756797</v>
      </c>
      <c r="H1462" s="16">
        <f>ABS(Solieusap!H1462)</f>
        <v>0.000505669961</v>
      </c>
      <c r="I1462" s="16">
        <f>ABS(Solieusap!I1462)</f>
        <v>2.829186983</v>
      </c>
      <c r="J1462" s="16">
        <f>ABS(Solieusap!J1462)</f>
        <v>1.914951909</v>
      </c>
      <c r="K1462" s="16">
        <f t="shared" si="1"/>
        <v>9.553202078</v>
      </c>
      <c r="L1462" s="16">
        <f t="shared" si="2"/>
        <v>2.829186983</v>
      </c>
    </row>
    <row r="1463" ht="16.5" customHeight="1">
      <c r="A1463" s="15" t="str">
        <f>Solieusap!A1463</f>
        <v>Cũ</v>
      </c>
      <c r="B1463" s="15">
        <f>Solieusap!B1463</f>
        <v>1.75</v>
      </c>
      <c r="C1463" s="15" t="str">
        <f>Solieusap!C1463</f>
        <v>COMB4</v>
      </c>
      <c r="D1463" s="15" t="str">
        <f>Solieusap!D1463</f>
        <v>Combination</v>
      </c>
      <c r="E1463" s="16">
        <f>ABS(Solieusap!E1463)</f>
        <v>9.570058442</v>
      </c>
      <c r="F1463" s="16">
        <f>ABS(Solieusap!F1463)</f>
        <v>0.8479705628</v>
      </c>
      <c r="G1463" s="16">
        <f>ABS(Solieusap!G1463)</f>
        <v>1.175021212</v>
      </c>
      <c r="H1463" s="16">
        <f>ABS(Solieusap!H1463)</f>
        <v>0.0005067250649</v>
      </c>
      <c r="I1463" s="16">
        <f>ABS(Solieusap!I1463)</f>
        <v>2.835981775</v>
      </c>
      <c r="J1463" s="16">
        <f>ABS(Solieusap!J1463)</f>
        <v>1.919498961</v>
      </c>
      <c r="K1463" s="16">
        <f t="shared" si="1"/>
        <v>9.570058442</v>
      </c>
      <c r="L1463" s="16">
        <f t="shared" si="2"/>
        <v>2.835981775</v>
      </c>
    </row>
    <row r="1464" ht="16.5" customHeight="1">
      <c r="A1464" s="15" t="str">
        <f>Solieusap!A1464</f>
        <v>Cũ</v>
      </c>
      <c r="B1464" s="15">
        <f>Solieusap!B1464</f>
        <v>3.5</v>
      </c>
      <c r="C1464" s="15" t="str">
        <f>Solieusap!C1464</f>
        <v>COMB4</v>
      </c>
      <c r="D1464" s="15" t="str">
        <f>Solieusap!D1464</f>
        <v>Combination</v>
      </c>
      <c r="E1464" s="16">
        <f>ABS(Solieusap!E1464)</f>
        <v>9.586914805</v>
      </c>
      <c r="F1464" s="16">
        <f>ABS(Solieusap!F1464)</f>
        <v>0.8496810823</v>
      </c>
      <c r="G1464" s="16">
        <f>ABS(Solieusap!G1464)</f>
        <v>1.177285628</v>
      </c>
      <c r="H1464" s="16">
        <f>ABS(Solieusap!H1464)</f>
        <v>0.0005077801688</v>
      </c>
      <c r="I1464" s="16">
        <f>ABS(Solieusap!I1464)</f>
        <v>2.842776567</v>
      </c>
      <c r="J1464" s="16">
        <f>ABS(Solieusap!J1464)</f>
        <v>1.924046013</v>
      </c>
      <c r="K1464" s="16">
        <f t="shared" si="1"/>
        <v>9.586914805</v>
      </c>
      <c r="L1464" s="16">
        <f t="shared" si="2"/>
        <v>2.842776567</v>
      </c>
    </row>
    <row r="1465" ht="16.5" customHeight="1">
      <c r="A1465" s="15" t="str">
        <f>Solieusap!A1465</f>
        <v>Cũ</v>
      </c>
      <c r="B1465" s="15">
        <f>Solieusap!B1465</f>
        <v>0</v>
      </c>
      <c r="C1465" s="15" t="str">
        <f>Solieusap!C1465</f>
        <v>COMB5</v>
      </c>
      <c r="D1465" s="15" t="str">
        <f>Solieusap!D1465</f>
        <v>Combination</v>
      </c>
      <c r="E1465" s="16">
        <f>ABS(Solieusap!E1465)</f>
        <v>9.603771169</v>
      </c>
      <c r="F1465" s="16">
        <f>ABS(Solieusap!F1465)</f>
        <v>0.8513916017</v>
      </c>
      <c r="G1465" s="16">
        <f>ABS(Solieusap!G1465)</f>
        <v>1.179550043</v>
      </c>
      <c r="H1465" s="16">
        <f>ABS(Solieusap!H1465)</f>
        <v>0.0005088352727</v>
      </c>
      <c r="I1465" s="16">
        <f>ABS(Solieusap!I1465)</f>
        <v>2.849571359</v>
      </c>
      <c r="J1465" s="16">
        <f>ABS(Solieusap!J1465)</f>
        <v>1.928593065</v>
      </c>
      <c r="K1465" s="16">
        <f t="shared" si="1"/>
        <v>9.603771169</v>
      </c>
      <c r="L1465" s="16">
        <f t="shared" si="2"/>
        <v>2.849571359</v>
      </c>
    </row>
    <row r="1466" ht="16.5" customHeight="1">
      <c r="A1466" s="15" t="str">
        <f>Solieusap!A1466</f>
        <v>Cũ</v>
      </c>
      <c r="B1466" s="15">
        <f>Solieusap!B1466</f>
        <v>1.75</v>
      </c>
      <c r="C1466" s="15" t="str">
        <f>Solieusap!C1466</f>
        <v>COMB5</v>
      </c>
      <c r="D1466" s="15" t="str">
        <f>Solieusap!D1466</f>
        <v>Combination</v>
      </c>
      <c r="E1466" s="16">
        <f>ABS(Solieusap!E1466)</f>
        <v>9.620627532</v>
      </c>
      <c r="F1466" s="16">
        <f>ABS(Solieusap!F1466)</f>
        <v>0.8531021212</v>
      </c>
      <c r="G1466" s="16">
        <f>ABS(Solieusap!G1466)</f>
        <v>1.181814459</v>
      </c>
      <c r="H1466" s="16">
        <f>ABS(Solieusap!H1466)</f>
        <v>0.0005098903766</v>
      </c>
      <c r="I1466" s="16">
        <f>ABS(Solieusap!I1466)</f>
        <v>2.856366152</v>
      </c>
      <c r="J1466" s="16">
        <f>ABS(Solieusap!J1466)</f>
        <v>1.933140117</v>
      </c>
      <c r="K1466" s="16">
        <f t="shared" si="1"/>
        <v>9.620627532</v>
      </c>
      <c r="L1466" s="16">
        <f t="shared" si="2"/>
        <v>2.856366152</v>
      </c>
    </row>
    <row r="1467" ht="16.5" customHeight="1">
      <c r="A1467" s="15" t="str">
        <f>Solieusap!A1467</f>
        <v>Cũ</v>
      </c>
      <c r="B1467" s="15">
        <f>Solieusap!B1467</f>
        <v>3.5</v>
      </c>
      <c r="C1467" s="15" t="str">
        <f>Solieusap!C1467</f>
        <v>COMB5</v>
      </c>
      <c r="D1467" s="15" t="str">
        <f>Solieusap!D1467</f>
        <v>Combination</v>
      </c>
      <c r="E1467" s="16">
        <f>ABS(Solieusap!E1467)</f>
        <v>9.637483896</v>
      </c>
      <c r="F1467" s="16">
        <f>ABS(Solieusap!F1467)</f>
        <v>0.8548126407</v>
      </c>
      <c r="G1467" s="16">
        <f>ABS(Solieusap!G1467)</f>
        <v>1.184078874</v>
      </c>
      <c r="H1467" s="16">
        <f>ABS(Solieusap!H1467)</f>
        <v>0.0005109454805</v>
      </c>
      <c r="I1467" s="16">
        <f>ABS(Solieusap!I1467)</f>
        <v>2.863160944</v>
      </c>
      <c r="J1467" s="16">
        <f>ABS(Solieusap!J1467)</f>
        <v>1.937687169</v>
      </c>
      <c r="K1467" s="16">
        <f t="shared" si="1"/>
        <v>9.637483896</v>
      </c>
      <c r="L1467" s="16">
        <f t="shared" si="2"/>
        <v>2.863160944</v>
      </c>
    </row>
    <row r="1468" ht="16.5" customHeight="1">
      <c r="A1468" s="15" t="str">
        <f>Solieusap!A1468</f>
        <v>Cũ</v>
      </c>
      <c r="B1468" s="15">
        <f>Solieusap!B1468</f>
        <v>0</v>
      </c>
      <c r="C1468" s="15" t="str">
        <f>Solieusap!C1468</f>
        <v>COMB6</v>
      </c>
      <c r="D1468" s="15" t="str">
        <f>Solieusap!D1468</f>
        <v>Combination</v>
      </c>
      <c r="E1468" s="16">
        <f>ABS(Solieusap!E1468)</f>
        <v>9.65434026</v>
      </c>
      <c r="F1468" s="16">
        <f>ABS(Solieusap!F1468)</f>
        <v>0.8565231602</v>
      </c>
      <c r="G1468" s="16">
        <f>ABS(Solieusap!G1468)</f>
        <v>1.18634329</v>
      </c>
      <c r="H1468" s="16">
        <f>ABS(Solieusap!H1468)</f>
        <v>0.0005120005844</v>
      </c>
      <c r="I1468" s="16">
        <f>ABS(Solieusap!I1468)</f>
        <v>2.869955736</v>
      </c>
      <c r="J1468" s="16">
        <f>ABS(Solieusap!J1468)</f>
        <v>1.942234221</v>
      </c>
      <c r="K1468" s="16">
        <f t="shared" si="1"/>
        <v>9.65434026</v>
      </c>
      <c r="L1468" s="16">
        <f t="shared" si="2"/>
        <v>2.869955736</v>
      </c>
    </row>
    <row r="1469" ht="16.5" customHeight="1">
      <c r="A1469" s="15" t="str">
        <f>Solieusap!A1469</f>
        <v>Cũ</v>
      </c>
      <c r="B1469" s="15">
        <f>Solieusap!B1469</f>
        <v>1.75</v>
      </c>
      <c r="C1469" s="15" t="str">
        <f>Solieusap!C1469</f>
        <v>COMB6</v>
      </c>
      <c r="D1469" s="15" t="str">
        <f>Solieusap!D1469</f>
        <v>Combination</v>
      </c>
      <c r="E1469" s="16">
        <f>ABS(Solieusap!E1469)</f>
        <v>9.671196623</v>
      </c>
      <c r="F1469" s="16">
        <f>ABS(Solieusap!F1469)</f>
        <v>0.8582336797</v>
      </c>
      <c r="G1469" s="16">
        <f>ABS(Solieusap!G1469)</f>
        <v>1.188607706</v>
      </c>
      <c r="H1469" s="16">
        <f>ABS(Solieusap!H1469)</f>
        <v>0.0005130556883</v>
      </c>
      <c r="I1469" s="16">
        <f>ABS(Solieusap!I1469)</f>
        <v>2.876750528</v>
      </c>
      <c r="J1469" s="16">
        <f>ABS(Solieusap!J1469)</f>
        <v>1.946781273</v>
      </c>
      <c r="K1469" s="16">
        <f t="shared" si="1"/>
        <v>9.671196623</v>
      </c>
      <c r="L1469" s="16">
        <f t="shared" si="2"/>
        <v>2.876750528</v>
      </c>
    </row>
    <row r="1470" ht="16.5" customHeight="1">
      <c r="A1470" s="15" t="str">
        <f>Solieusap!A1470</f>
        <v>Cũ</v>
      </c>
      <c r="B1470" s="15">
        <f>Solieusap!B1470</f>
        <v>3.5</v>
      </c>
      <c r="C1470" s="15" t="str">
        <f>Solieusap!C1470</f>
        <v>COMB6</v>
      </c>
      <c r="D1470" s="15" t="str">
        <f>Solieusap!D1470</f>
        <v>Combination</v>
      </c>
      <c r="E1470" s="16">
        <f>ABS(Solieusap!E1470)</f>
        <v>9.688052987</v>
      </c>
      <c r="F1470" s="16">
        <f>ABS(Solieusap!F1470)</f>
        <v>0.8599441991</v>
      </c>
      <c r="G1470" s="16">
        <f>ABS(Solieusap!G1470)</f>
        <v>1.190872121</v>
      </c>
      <c r="H1470" s="16">
        <f>ABS(Solieusap!H1470)</f>
        <v>0.0005141107922</v>
      </c>
      <c r="I1470" s="16">
        <f>ABS(Solieusap!I1470)</f>
        <v>2.88354532</v>
      </c>
      <c r="J1470" s="16">
        <f>ABS(Solieusap!J1470)</f>
        <v>1.951328325</v>
      </c>
      <c r="K1470" s="16">
        <f t="shared" si="1"/>
        <v>9.688052987</v>
      </c>
      <c r="L1470" s="16">
        <f t="shared" si="2"/>
        <v>2.88354532</v>
      </c>
    </row>
    <row r="1471" ht="16.5" customHeight="1">
      <c r="A1471" s="15" t="str">
        <f>Solieusap!A1471</f>
        <v>Cũ</v>
      </c>
      <c r="B1471" s="15">
        <f>Solieusap!B1471</f>
        <v>0</v>
      </c>
      <c r="C1471" s="15" t="str">
        <f>Solieusap!C1471</f>
        <v>COMB7</v>
      </c>
      <c r="D1471" s="15" t="str">
        <f>Solieusap!D1471</f>
        <v>Combination</v>
      </c>
      <c r="E1471" s="16">
        <f>ABS(Solieusap!E1471)</f>
        <v>9.704909351</v>
      </c>
      <c r="F1471" s="16">
        <f>ABS(Solieusap!F1471)</f>
        <v>0.8616547186</v>
      </c>
      <c r="G1471" s="16">
        <f>ABS(Solieusap!G1471)</f>
        <v>1.193136537</v>
      </c>
      <c r="H1471" s="16">
        <f>ABS(Solieusap!H1471)</f>
        <v>0.0005151658961</v>
      </c>
      <c r="I1471" s="16">
        <f>ABS(Solieusap!I1471)</f>
        <v>2.890340113</v>
      </c>
      <c r="J1471" s="16">
        <f>ABS(Solieusap!J1471)</f>
        <v>1.955875377</v>
      </c>
      <c r="K1471" s="16">
        <f t="shared" si="1"/>
        <v>9.704909351</v>
      </c>
      <c r="L1471" s="16">
        <f t="shared" si="2"/>
        <v>2.890340113</v>
      </c>
    </row>
    <row r="1472" ht="16.5" customHeight="1">
      <c r="A1472" s="15" t="str">
        <f>Solieusap!A1472</f>
        <v>Cũ</v>
      </c>
      <c r="B1472" s="15">
        <f>Solieusap!B1472</f>
        <v>1.75</v>
      </c>
      <c r="C1472" s="15" t="str">
        <f>Solieusap!C1472</f>
        <v>COMB7</v>
      </c>
      <c r="D1472" s="15" t="str">
        <f>Solieusap!D1472</f>
        <v>Combination</v>
      </c>
      <c r="E1472" s="16">
        <f>ABS(Solieusap!E1472)</f>
        <v>9.721765714</v>
      </c>
      <c r="F1472" s="16">
        <f>ABS(Solieusap!F1472)</f>
        <v>0.8633652381</v>
      </c>
      <c r="G1472" s="16">
        <f>ABS(Solieusap!G1472)</f>
        <v>1.195400952</v>
      </c>
      <c r="H1472" s="16">
        <f>ABS(Solieusap!H1472)</f>
        <v>0.000516221</v>
      </c>
      <c r="I1472" s="16">
        <f>ABS(Solieusap!I1472)</f>
        <v>2.897134905</v>
      </c>
      <c r="J1472" s="16">
        <f>ABS(Solieusap!J1472)</f>
        <v>1.960422429</v>
      </c>
      <c r="K1472" s="16">
        <f t="shared" si="1"/>
        <v>9.721765714</v>
      </c>
      <c r="L1472" s="16">
        <f t="shared" si="2"/>
        <v>2.897134905</v>
      </c>
    </row>
    <row r="1473" ht="16.5" customHeight="1">
      <c r="A1473" s="15" t="str">
        <f>Solieusap!A1473</f>
        <v>Cũ</v>
      </c>
      <c r="B1473" s="15">
        <f>Solieusap!B1473</f>
        <v>3.5</v>
      </c>
      <c r="C1473" s="15" t="str">
        <f>Solieusap!C1473</f>
        <v>COMB7</v>
      </c>
      <c r="D1473" s="15" t="str">
        <f>Solieusap!D1473</f>
        <v>Combination</v>
      </c>
      <c r="E1473" s="16">
        <f>ABS(Solieusap!E1473)</f>
        <v>9.738622078</v>
      </c>
      <c r="F1473" s="16">
        <f>ABS(Solieusap!F1473)</f>
        <v>0.8650757576</v>
      </c>
      <c r="G1473" s="16">
        <f>ABS(Solieusap!G1473)</f>
        <v>1.197665368</v>
      </c>
      <c r="H1473" s="16">
        <f>ABS(Solieusap!H1473)</f>
        <v>0.0005172761039</v>
      </c>
      <c r="I1473" s="16">
        <f>ABS(Solieusap!I1473)</f>
        <v>2.903929697</v>
      </c>
      <c r="J1473" s="16">
        <f>ABS(Solieusap!J1473)</f>
        <v>1.964969481</v>
      </c>
      <c r="K1473" s="16">
        <f t="shared" si="1"/>
        <v>9.738622078</v>
      </c>
      <c r="L1473" s="16">
        <f t="shared" si="2"/>
        <v>2.903929697</v>
      </c>
    </row>
    <row r="1474" ht="16.5" customHeight="1">
      <c r="A1474" s="15" t="str">
        <f>Solieusap!A1474</f>
        <v>Cũ</v>
      </c>
      <c r="B1474" s="15">
        <f>Solieusap!B1474</f>
        <v>0</v>
      </c>
      <c r="C1474" s="15" t="str">
        <f>Solieusap!C1474</f>
        <v>COMB1</v>
      </c>
      <c r="D1474" s="15" t="str">
        <f>Solieusap!D1474</f>
        <v>Combination</v>
      </c>
      <c r="E1474" s="16">
        <f>ABS(Solieusap!E1474)</f>
        <v>9.755478442</v>
      </c>
      <c r="F1474" s="16">
        <f>ABS(Solieusap!F1474)</f>
        <v>0.8667862771</v>
      </c>
      <c r="G1474" s="16">
        <f>ABS(Solieusap!G1474)</f>
        <v>1.199929784</v>
      </c>
      <c r="H1474" s="16">
        <f>ABS(Solieusap!H1474)</f>
        <v>0.0005183312078</v>
      </c>
      <c r="I1474" s="16">
        <f>ABS(Solieusap!I1474)</f>
        <v>2.910724489</v>
      </c>
      <c r="J1474" s="16">
        <f>ABS(Solieusap!J1474)</f>
        <v>1.969516532</v>
      </c>
      <c r="K1474" s="16">
        <f t="shared" si="1"/>
        <v>9.755478442</v>
      </c>
      <c r="L1474" s="16">
        <f t="shared" si="2"/>
        <v>2.910724489</v>
      </c>
    </row>
    <row r="1475" ht="16.5" customHeight="1">
      <c r="A1475" s="15" t="str">
        <f>Solieusap!A1475</f>
        <v>Cũ</v>
      </c>
      <c r="B1475" s="15">
        <f>Solieusap!B1475</f>
        <v>1.75</v>
      </c>
      <c r="C1475" s="15" t="str">
        <f>Solieusap!C1475</f>
        <v>COMB1</v>
      </c>
      <c r="D1475" s="15" t="str">
        <f>Solieusap!D1475</f>
        <v>Combination</v>
      </c>
      <c r="E1475" s="16">
        <f>ABS(Solieusap!E1475)</f>
        <v>9.772334805</v>
      </c>
      <c r="F1475" s="16">
        <f>ABS(Solieusap!F1475)</f>
        <v>0.8684967965</v>
      </c>
      <c r="G1475" s="16">
        <f>ABS(Solieusap!G1475)</f>
        <v>1.202194199</v>
      </c>
      <c r="H1475" s="16">
        <f>ABS(Solieusap!H1475)</f>
        <v>0.0005193863117</v>
      </c>
      <c r="I1475" s="16">
        <f>ABS(Solieusap!I1475)</f>
        <v>2.917519281</v>
      </c>
      <c r="J1475" s="16">
        <f>ABS(Solieusap!J1475)</f>
        <v>1.974063584</v>
      </c>
      <c r="K1475" s="16">
        <f t="shared" si="1"/>
        <v>9.772334805</v>
      </c>
      <c r="L1475" s="16">
        <f t="shared" si="2"/>
        <v>2.917519281</v>
      </c>
    </row>
    <row r="1476" ht="16.5" customHeight="1">
      <c r="A1476" s="15" t="str">
        <f>Solieusap!A1476</f>
        <v>Cũ</v>
      </c>
      <c r="B1476" s="15">
        <f>Solieusap!B1476</f>
        <v>3.5</v>
      </c>
      <c r="C1476" s="15" t="str">
        <f>Solieusap!C1476</f>
        <v>COMB1</v>
      </c>
      <c r="D1476" s="15" t="str">
        <f>Solieusap!D1476</f>
        <v>Combination</v>
      </c>
      <c r="E1476" s="16">
        <f>ABS(Solieusap!E1476)</f>
        <v>9.789191169</v>
      </c>
      <c r="F1476" s="16">
        <f>ABS(Solieusap!F1476)</f>
        <v>0.870207316</v>
      </c>
      <c r="G1476" s="16">
        <f>ABS(Solieusap!G1476)</f>
        <v>1.204458615</v>
      </c>
      <c r="H1476" s="16">
        <f>ABS(Solieusap!H1476)</f>
        <v>0.0005204414156</v>
      </c>
      <c r="I1476" s="16">
        <f>ABS(Solieusap!I1476)</f>
        <v>2.924314074</v>
      </c>
      <c r="J1476" s="16">
        <f>ABS(Solieusap!J1476)</f>
        <v>1.978610636</v>
      </c>
      <c r="K1476" s="16">
        <f t="shared" si="1"/>
        <v>9.789191169</v>
      </c>
      <c r="L1476" s="16">
        <f t="shared" si="2"/>
        <v>2.924314074</v>
      </c>
    </row>
    <row r="1477" ht="16.5" customHeight="1">
      <c r="A1477" s="15" t="str">
        <f>Solieusap!A1477</f>
        <v>Cũ</v>
      </c>
      <c r="B1477" s="15">
        <f>Solieusap!B1477</f>
        <v>0</v>
      </c>
      <c r="C1477" s="15" t="str">
        <f>Solieusap!C1477</f>
        <v>COMB2</v>
      </c>
      <c r="D1477" s="15" t="str">
        <f>Solieusap!D1477</f>
        <v>Combination</v>
      </c>
      <c r="E1477" s="16">
        <f>ABS(Solieusap!E1477)</f>
        <v>9.806047532</v>
      </c>
      <c r="F1477" s="16">
        <f>ABS(Solieusap!F1477)</f>
        <v>0.8719178355</v>
      </c>
      <c r="G1477" s="16">
        <f>ABS(Solieusap!G1477)</f>
        <v>1.20672303</v>
      </c>
      <c r="H1477" s="16">
        <f>ABS(Solieusap!H1477)</f>
        <v>0.0005214965195</v>
      </c>
      <c r="I1477" s="16">
        <f>ABS(Solieusap!I1477)</f>
        <v>2.931108866</v>
      </c>
      <c r="J1477" s="16">
        <f>ABS(Solieusap!J1477)</f>
        <v>1.983157688</v>
      </c>
      <c r="K1477" s="16">
        <f t="shared" si="1"/>
        <v>9.806047532</v>
      </c>
      <c r="L1477" s="16">
        <f t="shared" si="2"/>
        <v>2.931108866</v>
      </c>
    </row>
    <row r="1478" ht="16.5" customHeight="1">
      <c r="A1478" s="15" t="str">
        <f>Solieusap!A1478</f>
        <v>Cũ</v>
      </c>
      <c r="B1478" s="15">
        <f>Solieusap!B1478</f>
        <v>1.75</v>
      </c>
      <c r="C1478" s="15" t="str">
        <f>Solieusap!C1478</f>
        <v>COMB2</v>
      </c>
      <c r="D1478" s="15" t="str">
        <f>Solieusap!D1478</f>
        <v>Combination</v>
      </c>
      <c r="E1478" s="16">
        <f>ABS(Solieusap!E1478)</f>
        <v>9.822903896</v>
      </c>
      <c r="F1478" s="16">
        <f>ABS(Solieusap!F1478)</f>
        <v>0.873628355</v>
      </c>
      <c r="G1478" s="16">
        <f>ABS(Solieusap!G1478)</f>
        <v>1.208987446</v>
      </c>
      <c r="H1478" s="16">
        <f>ABS(Solieusap!H1478)</f>
        <v>0.0005225516234</v>
      </c>
      <c r="I1478" s="16">
        <f>ABS(Solieusap!I1478)</f>
        <v>2.937903658</v>
      </c>
      <c r="J1478" s="16">
        <f>ABS(Solieusap!J1478)</f>
        <v>1.98770474</v>
      </c>
      <c r="K1478" s="16">
        <f t="shared" si="1"/>
        <v>9.822903896</v>
      </c>
      <c r="L1478" s="16">
        <f t="shared" si="2"/>
        <v>2.937903658</v>
      </c>
    </row>
    <row r="1479" ht="16.5" customHeight="1">
      <c r="A1479" s="15" t="str">
        <f>Solieusap!A1479</f>
        <v>Cũ</v>
      </c>
      <c r="B1479" s="15">
        <f>Solieusap!B1479</f>
        <v>3.5</v>
      </c>
      <c r="C1479" s="15" t="str">
        <f>Solieusap!C1479</f>
        <v>COMB2</v>
      </c>
      <c r="D1479" s="15" t="str">
        <f>Solieusap!D1479</f>
        <v>Combination</v>
      </c>
      <c r="E1479" s="16">
        <f>ABS(Solieusap!E1479)</f>
        <v>9.83976026</v>
      </c>
      <c r="F1479" s="16">
        <f>ABS(Solieusap!F1479)</f>
        <v>0.8753388745</v>
      </c>
      <c r="G1479" s="16">
        <f>ABS(Solieusap!G1479)</f>
        <v>1.211251861</v>
      </c>
      <c r="H1479" s="16">
        <f>ABS(Solieusap!H1479)</f>
        <v>0.0005236067273</v>
      </c>
      <c r="I1479" s="16">
        <f>ABS(Solieusap!I1479)</f>
        <v>2.94469845</v>
      </c>
      <c r="J1479" s="16">
        <f>ABS(Solieusap!J1479)</f>
        <v>1.992251792</v>
      </c>
      <c r="K1479" s="16">
        <f t="shared" si="1"/>
        <v>9.83976026</v>
      </c>
      <c r="L1479" s="16">
        <f t="shared" si="2"/>
        <v>2.94469845</v>
      </c>
    </row>
    <row r="1480" ht="16.5" customHeight="1">
      <c r="A1480" s="15" t="str">
        <f>Solieusap!A1480</f>
        <v>Cũ</v>
      </c>
      <c r="B1480" s="15">
        <f>Solieusap!B1480</f>
        <v>0</v>
      </c>
      <c r="C1480" s="15" t="str">
        <f>Solieusap!C1480</f>
        <v>COMB3</v>
      </c>
      <c r="D1480" s="15" t="str">
        <f>Solieusap!D1480</f>
        <v>Combination</v>
      </c>
      <c r="E1480" s="16">
        <f>ABS(Solieusap!E1480)</f>
        <v>9.856616623</v>
      </c>
      <c r="F1480" s="16">
        <f>ABS(Solieusap!F1480)</f>
        <v>0.8770493939</v>
      </c>
      <c r="G1480" s="16">
        <f>ABS(Solieusap!G1480)</f>
        <v>1.213516277</v>
      </c>
      <c r="H1480" s="16">
        <f>ABS(Solieusap!H1480)</f>
        <v>0.0005246618312</v>
      </c>
      <c r="I1480" s="16">
        <f>ABS(Solieusap!I1480)</f>
        <v>2.951493242</v>
      </c>
      <c r="J1480" s="16">
        <f>ABS(Solieusap!J1480)</f>
        <v>1.996798844</v>
      </c>
      <c r="K1480" s="16">
        <f t="shared" si="1"/>
        <v>9.856616623</v>
      </c>
      <c r="L1480" s="16">
        <f t="shared" si="2"/>
        <v>2.951493242</v>
      </c>
    </row>
    <row r="1481" ht="16.5" customHeight="1">
      <c r="A1481" s="15" t="str">
        <f>Solieusap!A1481</f>
        <v>Cũ</v>
      </c>
      <c r="B1481" s="15">
        <f>Solieusap!B1481</f>
        <v>1.75</v>
      </c>
      <c r="C1481" s="15" t="str">
        <f>Solieusap!C1481</f>
        <v>COMB3</v>
      </c>
      <c r="D1481" s="15" t="str">
        <f>Solieusap!D1481</f>
        <v>Combination</v>
      </c>
      <c r="E1481" s="16">
        <f>ABS(Solieusap!E1481)</f>
        <v>9.873472987</v>
      </c>
      <c r="F1481" s="16">
        <f>ABS(Solieusap!F1481)</f>
        <v>0.8787599134</v>
      </c>
      <c r="G1481" s="16">
        <f>ABS(Solieusap!G1481)</f>
        <v>1.215780693</v>
      </c>
      <c r="H1481" s="16">
        <f>ABS(Solieusap!H1481)</f>
        <v>0.0005257169351</v>
      </c>
      <c r="I1481" s="16">
        <f>ABS(Solieusap!I1481)</f>
        <v>2.958288035</v>
      </c>
      <c r="J1481" s="16">
        <f>ABS(Solieusap!J1481)</f>
        <v>2.001345896</v>
      </c>
      <c r="K1481" s="16">
        <f t="shared" si="1"/>
        <v>9.873472987</v>
      </c>
      <c r="L1481" s="16">
        <f t="shared" si="2"/>
        <v>2.958288035</v>
      </c>
    </row>
    <row r="1482" ht="16.5" customHeight="1">
      <c r="A1482" s="15" t="str">
        <f>Solieusap!A1482</f>
        <v>Cũ</v>
      </c>
      <c r="B1482" s="15">
        <f>Solieusap!B1482</f>
        <v>3.5</v>
      </c>
      <c r="C1482" s="15" t="str">
        <f>Solieusap!C1482</f>
        <v>COMB3</v>
      </c>
      <c r="D1482" s="15" t="str">
        <f>Solieusap!D1482</f>
        <v>Combination</v>
      </c>
      <c r="E1482" s="16">
        <f>ABS(Solieusap!E1482)</f>
        <v>9.890329351</v>
      </c>
      <c r="F1482" s="16">
        <f>ABS(Solieusap!F1482)</f>
        <v>0.8804704329</v>
      </c>
      <c r="G1482" s="16">
        <f>ABS(Solieusap!G1482)</f>
        <v>1.218045108</v>
      </c>
      <c r="H1482" s="16">
        <f>ABS(Solieusap!H1482)</f>
        <v>0.000526772039</v>
      </c>
      <c r="I1482" s="16">
        <f>ABS(Solieusap!I1482)</f>
        <v>2.965082827</v>
      </c>
      <c r="J1482" s="16">
        <f>ABS(Solieusap!J1482)</f>
        <v>2.005892948</v>
      </c>
      <c r="K1482" s="16">
        <f t="shared" si="1"/>
        <v>9.890329351</v>
      </c>
      <c r="L1482" s="16">
        <f t="shared" si="2"/>
        <v>2.965082827</v>
      </c>
    </row>
    <row r="1483" ht="16.5" customHeight="1">
      <c r="A1483" s="15" t="str">
        <f>Solieusap!A1483</f>
        <v>Cũ</v>
      </c>
      <c r="B1483" s="15">
        <f>Solieusap!B1483</f>
        <v>0</v>
      </c>
      <c r="C1483" s="15" t="str">
        <f>Solieusap!C1483</f>
        <v>COMB4</v>
      </c>
      <c r="D1483" s="15" t="str">
        <f>Solieusap!D1483</f>
        <v>Combination</v>
      </c>
      <c r="E1483" s="16">
        <f>ABS(Solieusap!E1483)</f>
        <v>9.907185714</v>
      </c>
      <c r="F1483" s="16">
        <f>ABS(Solieusap!F1483)</f>
        <v>0.8821809524</v>
      </c>
      <c r="G1483" s="16">
        <f>ABS(Solieusap!G1483)</f>
        <v>1.220309524</v>
      </c>
      <c r="H1483" s="16">
        <f>ABS(Solieusap!H1483)</f>
        <v>0.0005278271429</v>
      </c>
      <c r="I1483" s="16">
        <f>ABS(Solieusap!I1483)</f>
        <v>2.971877619</v>
      </c>
      <c r="J1483" s="16">
        <f>ABS(Solieusap!J1483)</f>
        <v>2.01044</v>
      </c>
      <c r="K1483" s="16">
        <f t="shared" si="1"/>
        <v>9.907185714</v>
      </c>
      <c r="L1483" s="16">
        <f t="shared" si="2"/>
        <v>2.971877619</v>
      </c>
    </row>
    <row r="1484" ht="16.5" customHeight="1">
      <c r="A1484" s="15" t="str">
        <f>Solieusap!A1484</f>
        <v>Cũ</v>
      </c>
      <c r="B1484" s="15">
        <f>Solieusap!B1484</f>
        <v>1.75</v>
      </c>
      <c r="C1484" s="15" t="str">
        <f>Solieusap!C1484</f>
        <v>COMB4</v>
      </c>
      <c r="D1484" s="15" t="str">
        <f>Solieusap!D1484</f>
        <v>Combination</v>
      </c>
      <c r="E1484" s="16">
        <f>ABS(Solieusap!E1484)</f>
        <v>9.924042078</v>
      </c>
      <c r="F1484" s="16">
        <f>ABS(Solieusap!F1484)</f>
        <v>0.8838914719</v>
      </c>
      <c r="G1484" s="16">
        <f>ABS(Solieusap!G1484)</f>
        <v>1.222573939</v>
      </c>
      <c r="H1484" s="16">
        <f>ABS(Solieusap!H1484)</f>
        <v>0.0005288822468</v>
      </c>
      <c r="I1484" s="16">
        <f>ABS(Solieusap!I1484)</f>
        <v>2.978672411</v>
      </c>
      <c r="J1484" s="16">
        <f>ABS(Solieusap!J1484)</f>
        <v>2.014987052</v>
      </c>
      <c r="K1484" s="16">
        <f t="shared" si="1"/>
        <v>9.924042078</v>
      </c>
      <c r="L1484" s="16">
        <f t="shared" si="2"/>
        <v>2.978672411</v>
      </c>
    </row>
    <row r="1485" ht="16.5" customHeight="1">
      <c r="A1485" s="15" t="str">
        <f>Solieusap!A1485</f>
        <v>Cũ</v>
      </c>
      <c r="B1485" s="15">
        <f>Solieusap!B1485</f>
        <v>3.5</v>
      </c>
      <c r="C1485" s="15" t="str">
        <f>Solieusap!C1485</f>
        <v>COMB4</v>
      </c>
      <c r="D1485" s="15" t="str">
        <f>Solieusap!D1485</f>
        <v>Combination</v>
      </c>
      <c r="E1485" s="16">
        <f>ABS(Solieusap!E1485)</f>
        <v>9.940898442</v>
      </c>
      <c r="F1485" s="16">
        <f>ABS(Solieusap!F1485)</f>
        <v>0.8856019913</v>
      </c>
      <c r="G1485" s="16">
        <f>ABS(Solieusap!G1485)</f>
        <v>1.224838355</v>
      </c>
      <c r="H1485" s="16">
        <f>ABS(Solieusap!H1485)</f>
        <v>0.0005299373506</v>
      </c>
      <c r="I1485" s="16">
        <f>ABS(Solieusap!I1485)</f>
        <v>2.985467203</v>
      </c>
      <c r="J1485" s="16">
        <f>ABS(Solieusap!J1485)</f>
        <v>2.019534104</v>
      </c>
      <c r="K1485" s="16">
        <f t="shared" si="1"/>
        <v>9.940898442</v>
      </c>
      <c r="L1485" s="16">
        <f t="shared" si="2"/>
        <v>2.985467203</v>
      </c>
    </row>
    <row r="1486" ht="16.5" customHeight="1">
      <c r="A1486" s="15" t="str">
        <f>Solieusap!A1486</f>
        <v>Cũ</v>
      </c>
      <c r="B1486" s="15">
        <f>Solieusap!B1486</f>
        <v>0</v>
      </c>
      <c r="C1486" s="15" t="str">
        <f>Solieusap!C1486</f>
        <v>COMB5</v>
      </c>
      <c r="D1486" s="15" t="str">
        <f>Solieusap!D1486</f>
        <v>Combination</v>
      </c>
      <c r="E1486" s="16">
        <f>ABS(Solieusap!E1486)</f>
        <v>9.957754805</v>
      </c>
      <c r="F1486" s="16">
        <f>ABS(Solieusap!F1486)</f>
        <v>0.8873125108</v>
      </c>
      <c r="G1486" s="16">
        <f>ABS(Solieusap!G1486)</f>
        <v>1.227102771</v>
      </c>
      <c r="H1486" s="16">
        <f>ABS(Solieusap!H1486)</f>
        <v>0.0005309924545</v>
      </c>
      <c r="I1486" s="16">
        <f>ABS(Solieusap!I1486)</f>
        <v>2.992261996</v>
      </c>
      <c r="J1486" s="16">
        <f>ABS(Solieusap!J1486)</f>
        <v>2.024081156</v>
      </c>
      <c r="K1486" s="16">
        <f t="shared" si="1"/>
        <v>9.957754805</v>
      </c>
      <c r="L1486" s="16">
        <f t="shared" si="2"/>
        <v>2.992261996</v>
      </c>
    </row>
    <row r="1487" ht="16.5" customHeight="1">
      <c r="A1487" s="15" t="str">
        <f>Solieusap!A1487</f>
        <v>Cũ</v>
      </c>
      <c r="B1487" s="15">
        <f>Solieusap!B1487</f>
        <v>1.75</v>
      </c>
      <c r="C1487" s="15" t="str">
        <f>Solieusap!C1487</f>
        <v>COMB5</v>
      </c>
      <c r="D1487" s="15" t="str">
        <f>Solieusap!D1487</f>
        <v>Combination</v>
      </c>
      <c r="E1487" s="16">
        <f>ABS(Solieusap!E1487)</f>
        <v>9.974611169</v>
      </c>
      <c r="F1487" s="16">
        <f>ABS(Solieusap!F1487)</f>
        <v>0.8890230303</v>
      </c>
      <c r="G1487" s="16">
        <f>ABS(Solieusap!G1487)</f>
        <v>1.229367186</v>
      </c>
      <c r="H1487" s="16">
        <f>ABS(Solieusap!H1487)</f>
        <v>0.0005320475584</v>
      </c>
      <c r="I1487" s="16">
        <f>ABS(Solieusap!I1487)</f>
        <v>2.999056788</v>
      </c>
      <c r="J1487" s="16">
        <f>ABS(Solieusap!J1487)</f>
        <v>2.028628208</v>
      </c>
      <c r="K1487" s="16">
        <f t="shared" si="1"/>
        <v>9.974611169</v>
      </c>
      <c r="L1487" s="16">
        <f t="shared" si="2"/>
        <v>2.999056788</v>
      </c>
    </row>
    <row r="1488" ht="16.5" customHeight="1">
      <c r="A1488" s="15" t="str">
        <f>Solieusap!A1488</f>
        <v>Cũ</v>
      </c>
      <c r="B1488" s="15">
        <f>Solieusap!B1488</f>
        <v>3.5</v>
      </c>
      <c r="C1488" s="15" t="str">
        <f>Solieusap!C1488</f>
        <v>COMB5</v>
      </c>
      <c r="D1488" s="15" t="str">
        <f>Solieusap!D1488</f>
        <v>Combination</v>
      </c>
      <c r="E1488" s="16">
        <f>ABS(Solieusap!E1488)</f>
        <v>9.991467532</v>
      </c>
      <c r="F1488" s="16">
        <f>ABS(Solieusap!F1488)</f>
        <v>0.8907335498</v>
      </c>
      <c r="G1488" s="16">
        <f>ABS(Solieusap!G1488)</f>
        <v>1.231631602</v>
      </c>
      <c r="H1488" s="16">
        <f>ABS(Solieusap!H1488)</f>
        <v>0.0005331026623</v>
      </c>
      <c r="I1488" s="16">
        <f>ABS(Solieusap!I1488)</f>
        <v>3.00585158</v>
      </c>
      <c r="J1488" s="16">
        <f>ABS(Solieusap!J1488)</f>
        <v>2.03317526</v>
      </c>
      <c r="K1488" s="16">
        <f t="shared" si="1"/>
        <v>9.991467532</v>
      </c>
      <c r="L1488" s="16">
        <f t="shared" si="2"/>
        <v>3.00585158</v>
      </c>
    </row>
    <row r="1489" ht="16.5" customHeight="1">
      <c r="A1489" s="15" t="str">
        <f>Solieusap!A1489</f>
        <v>Cũ</v>
      </c>
      <c r="B1489" s="15">
        <f>Solieusap!B1489</f>
        <v>0</v>
      </c>
      <c r="C1489" s="15" t="str">
        <f>Solieusap!C1489</f>
        <v>COMB6</v>
      </c>
      <c r="D1489" s="15" t="str">
        <f>Solieusap!D1489</f>
        <v>Combination</v>
      </c>
      <c r="E1489" s="16">
        <f>ABS(Solieusap!E1489)</f>
        <v>10.0083239</v>
      </c>
      <c r="F1489" s="16">
        <f>ABS(Solieusap!F1489)</f>
        <v>0.8924440693</v>
      </c>
      <c r="G1489" s="16">
        <f>ABS(Solieusap!G1489)</f>
        <v>1.233896017</v>
      </c>
      <c r="H1489" s="16">
        <f>ABS(Solieusap!H1489)</f>
        <v>0.0005341577662</v>
      </c>
      <c r="I1489" s="16">
        <f>ABS(Solieusap!I1489)</f>
        <v>3.012646372</v>
      </c>
      <c r="J1489" s="16">
        <f>ABS(Solieusap!J1489)</f>
        <v>2.037722312</v>
      </c>
      <c r="K1489" s="16">
        <f t="shared" si="1"/>
        <v>10.0083239</v>
      </c>
      <c r="L1489" s="16">
        <f t="shared" si="2"/>
        <v>3.012646372</v>
      </c>
    </row>
    <row r="1490" ht="16.5" customHeight="1">
      <c r="A1490" s="15" t="str">
        <f>Solieusap!A1490</f>
        <v>Cũ</v>
      </c>
      <c r="B1490" s="15">
        <f>Solieusap!B1490</f>
        <v>1.75</v>
      </c>
      <c r="C1490" s="15" t="str">
        <f>Solieusap!C1490</f>
        <v>COMB6</v>
      </c>
      <c r="D1490" s="15" t="str">
        <f>Solieusap!D1490</f>
        <v>Combination</v>
      </c>
      <c r="E1490" s="16">
        <f>ABS(Solieusap!E1490)</f>
        <v>10.02518026</v>
      </c>
      <c r="F1490" s="16">
        <f>ABS(Solieusap!F1490)</f>
        <v>0.8941545887</v>
      </c>
      <c r="G1490" s="16">
        <f>ABS(Solieusap!G1490)</f>
        <v>1.236160433</v>
      </c>
      <c r="H1490" s="16">
        <f>ABS(Solieusap!H1490)</f>
        <v>0.0005352128701</v>
      </c>
      <c r="I1490" s="16">
        <f>ABS(Solieusap!I1490)</f>
        <v>3.019441165</v>
      </c>
      <c r="J1490" s="16">
        <f>ABS(Solieusap!J1490)</f>
        <v>2.042269364</v>
      </c>
      <c r="K1490" s="16">
        <f t="shared" si="1"/>
        <v>10.02518026</v>
      </c>
      <c r="L1490" s="16">
        <f t="shared" si="2"/>
        <v>3.019441165</v>
      </c>
    </row>
    <row r="1491" ht="16.5" customHeight="1">
      <c r="A1491" s="15" t="str">
        <f>Solieusap!A1491</f>
        <v>Cũ</v>
      </c>
      <c r="B1491" s="15">
        <f>Solieusap!B1491</f>
        <v>3.5</v>
      </c>
      <c r="C1491" s="15" t="str">
        <f>Solieusap!C1491</f>
        <v>COMB6</v>
      </c>
      <c r="D1491" s="15" t="str">
        <f>Solieusap!D1491</f>
        <v>Combination</v>
      </c>
      <c r="E1491" s="16">
        <f>ABS(Solieusap!E1491)</f>
        <v>10.04203662</v>
      </c>
      <c r="F1491" s="16">
        <f>ABS(Solieusap!F1491)</f>
        <v>0.8958651082</v>
      </c>
      <c r="G1491" s="16">
        <f>ABS(Solieusap!G1491)</f>
        <v>1.238424848</v>
      </c>
      <c r="H1491" s="16">
        <f>ABS(Solieusap!H1491)</f>
        <v>0.000536267974</v>
      </c>
      <c r="I1491" s="16">
        <f>ABS(Solieusap!I1491)</f>
        <v>3.026235957</v>
      </c>
      <c r="J1491" s="16">
        <f>ABS(Solieusap!J1491)</f>
        <v>2.046816416</v>
      </c>
      <c r="K1491" s="16">
        <f t="shared" si="1"/>
        <v>10.04203662</v>
      </c>
      <c r="L1491" s="16">
        <f t="shared" si="2"/>
        <v>3.026235957</v>
      </c>
    </row>
    <row r="1492" ht="16.5" customHeight="1">
      <c r="A1492" s="15" t="str">
        <f>Solieusap!A1492</f>
        <v>Cũ</v>
      </c>
      <c r="B1492" s="15">
        <f>Solieusap!B1492</f>
        <v>0</v>
      </c>
      <c r="C1492" s="15" t="str">
        <f>Solieusap!C1492</f>
        <v>COMB7</v>
      </c>
      <c r="D1492" s="15" t="str">
        <f>Solieusap!D1492</f>
        <v>Combination</v>
      </c>
      <c r="E1492" s="16">
        <f>ABS(Solieusap!E1492)</f>
        <v>10.05889299</v>
      </c>
      <c r="F1492" s="16">
        <f>ABS(Solieusap!F1492)</f>
        <v>0.8975756277</v>
      </c>
      <c r="G1492" s="16">
        <f>ABS(Solieusap!G1492)</f>
        <v>1.240689264</v>
      </c>
      <c r="H1492" s="16">
        <f>ABS(Solieusap!H1492)</f>
        <v>0.0005373230779</v>
      </c>
      <c r="I1492" s="16">
        <f>ABS(Solieusap!I1492)</f>
        <v>3.033030749</v>
      </c>
      <c r="J1492" s="16">
        <f>ABS(Solieusap!J1492)</f>
        <v>2.051363468</v>
      </c>
      <c r="K1492" s="16">
        <f t="shared" si="1"/>
        <v>10.05889299</v>
      </c>
      <c r="L1492" s="16">
        <f t="shared" si="2"/>
        <v>3.033030749</v>
      </c>
    </row>
    <row r="1493" ht="16.5" customHeight="1">
      <c r="A1493" s="15" t="str">
        <f>Solieusap!A1493</f>
        <v>Cũ</v>
      </c>
      <c r="B1493" s="15">
        <f>Solieusap!B1493</f>
        <v>1.75</v>
      </c>
      <c r="C1493" s="15" t="str">
        <f>Solieusap!C1493</f>
        <v>COMB7</v>
      </c>
      <c r="D1493" s="15" t="str">
        <f>Solieusap!D1493</f>
        <v>Combination</v>
      </c>
      <c r="E1493" s="16">
        <f>ABS(Solieusap!E1493)</f>
        <v>10.07574935</v>
      </c>
      <c r="F1493" s="16">
        <f>ABS(Solieusap!F1493)</f>
        <v>0.8992861472</v>
      </c>
      <c r="G1493" s="16">
        <f>ABS(Solieusap!G1493)</f>
        <v>1.24295368</v>
      </c>
      <c r="H1493" s="16">
        <f>ABS(Solieusap!H1493)</f>
        <v>0.0005383781818</v>
      </c>
      <c r="I1493" s="16">
        <f>ABS(Solieusap!I1493)</f>
        <v>3.039825541</v>
      </c>
      <c r="J1493" s="16">
        <f>ABS(Solieusap!J1493)</f>
        <v>2.055910519</v>
      </c>
      <c r="K1493" s="16">
        <f t="shared" si="1"/>
        <v>10.07574935</v>
      </c>
      <c r="L1493" s="16">
        <f t="shared" si="2"/>
        <v>3.039825541</v>
      </c>
    </row>
    <row r="1494" ht="16.5" customHeight="1">
      <c r="A1494" s="15" t="str">
        <f>Solieusap!A1494</f>
        <v>Cũ</v>
      </c>
      <c r="B1494" s="15">
        <f>Solieusap!B1494</f>
        <v>3.5</v>
      </c>
      <c r="C1494" s="15" t="str">
        <f>Solieusap!C1494</f>
        <v>COMB7</v>
      </c>
      <c r="D1494" s="15" t="str">
        <f>Solieusap!D1494</f>
        <v>Combination</v>
      </c>
      <c r="E1494" s="16">
        <f>ABS(Solieusap!E1494)</f>
        <v>10.09260571</v>
      </c>
      <c r="F1494" s="16">
        <f>ABS(Solieusap!F1494)</f>
        <v>0.9009966667</v>
      </c>
      <c r="G1494" s="16">
        <f>ABS(Solieusap!G1494)</f>
        <v>1.245218095</v>
      </c>
      <c r="H1494" s="16">
        <f>ABS(Solieusap!H1494)</f>
        <v>0.0005394332857</v>
      </c>
      <c r="I1494" s="16">
        <f>ABS(Solieusap!I1494)</f>
        <v>3.046620333</v>
      </c>
      <c r="J1494" s="16">
        <f>ABS(Solieusap!J1494)</f>
        <v>2.060457571</v>
      </c>
      <c r="K1494" s="16">
        <f t="shared" si="1"/>
        <v>10.09260571</v>
      </c>
      <c r="L1494" s="16">
        <f t="shared" si="2"/>
        <v>3.046620333</v>
      </c>
    </row>
    <row r="1495" ht="16.5" customHeight="1">
      <c r="A1495" s="15" t="str">
        <f>Solieusap!A1495</f>
        <v>Cũ</v>
      </c>
      <c r="B1495" s="15">
        <f>Solieusap!B1495</f>
        <v>0</v>
      </c>
      <c r="C1495" s="15" t="str">
        <f>Solieusap!C1495</f>
        <v>COMB1</v>
      </c>
      <c r="D1495" s="15" t="str">
        <f>Solieusap!D1495</f>
        <v>Combination</v>
      </c>
      <c r="E1495" s="16">
        <f>ABS(Solieusap!E1495)</f>
        <v>10.10946208</v>
      </c>
      <c r="F1495" s="16">
        <f>ABS(Solieusap!F1495)</f>
        <v>0.9027071861</v>
      </c>
      <c r="G1495" s="16">
        <f>ABS(Solieusap!G1495)</f>
        <v>1.247482511</v>
      </c>
      <c r="H1495" s="16">
        <f>ABS(Solieusap!H1495)</f>
        <v>0.0005404883896</v>
      </c>
      <c r="I1495" s="16">
        <f>ABS(Solieusap!I1495)</f>
        <v>3.053415126</v>
      </c>
      <c r="J1495" s="16">
        <f>ABS(Solieusap!J1495)</f>
        <v>2.065004623</v>
      </c>
      <c r="K1495" s="16">
        <f t="shared" si="1"/>
        <v>10.10946208</v>
      </c>
      <c r="L1495" s="16">
        <f t="shared" si="2"/>
        <v>3.053415126</v>
      </c>
    </row>
    <row r="1496" ht="16.5" customHeight="1">
      <c r="A1496" s="15" t="str">
        <f>Solieusap!A1496</f>
        <v>Cũ</v>
      </c>
      <c r="B1496" s="15">
        <f>Solieusap!B1496</f>
        <v>1.75</v>
      </c>
      <c r="C1496" s="15" t="str">
        <f>Solieusap!C1496</f>
        <v>COMB1</v>
      </c>
      <c r="D1496" s="15" t="str">
        <f>Solieusap!D1496</f>
        <v>Combination</v>
      </c>
      <c r="E1496" s="16">
        <f>ABS(Solieusap!E1496)</f>
        <v>10.12631844</v>
      </c>
      <c r="F1496" s="16">
        <f>ABS(Solieusap!F1496)</f>
        <v>0.9044177056</v>
      </c>
      <c r="G1496" s="16">
        <f>ABS(Solieusap!G1496)</f>
        <v>1.249746926</v>
      </c>
      <c r="H1496" s="16">
        <f>ABS(Solieusap!H1496)</f>
        <v>0.0005415434935</v>
      </c>
      <c r="I1496" s="16">
        <f>ABS(Solieusap!I1496)</f>
        <v>3.060209918</v>
      </c>
      <c r="J1496" s="16">
        <f>ABS(Solieusap!J1496)</f>
        <v>2.069551675</v>
      </c>
      <c r="K1496" s="16">
        <f t="shared" si="1"/>
        <v>10.12631844</v>
      </c>
      <c r="L1496" s="16">
        <f t="shared" si="2"/>
        <v>3.060209918</v>
      </c>
    </row>
    <row r="1497" ht="16.5" customHeight="1">
      <c r="A1497" s="15" t="str">
        <f>Solieusap!A1497</f>
        <v>Cũ</v>
      </c>
      <c r="B1497" s="15">
        <f>Solieusap!B1497</f>
        <v>3.5</v>
      </c>
      <c r="C1497" s="15" t="str">
        <f>Solieusap!C1497</f>
        <v>COMB1</v>
      </c>
      <c r="D1497" s="15" t="str">
        <f>Solieusap!D1497</f>
        <v>Combination</v>
      </c>
      <c r="E1497" s="16">
        <f>ABS(Solieusap!E1497)</f>
        <v>10.14317481</v>
      </c>
      <c r="F1497" s="16">
        <f>ABS(Solieusap!F1497)</f>
        <v>0.9061282251</v>
      </c>
      <c r="G1497" s="16">
        <f>ABS(Solieusap!G1497)</f>
        <v>1.252011342</v>
      </c>
      <c r="H1497" s="16">
        <f>ABS(Solieusap!H1497)</f>
        <v>0.0005425985974</v>
      </c>
      <c r="I1497" s="16">
        <f>ABS(Solieusap!I1497)</f>
        <v>3.06700471</v>
      </c>
      <c r="J1497" s="16">
        <f>ABS(Solieusap!J1497)</f>
        <v>2.074098727</v>
      </c>
      <c r="K1497" s="16">
        <f t="shared" si="1"/>
        <v>10.14317481</v>
      </c>
      <c r="L1497" s="16">
        <f t="shared" si="2"/>
        <v>3.06700471</v>
      </c>
    </row>
    <row r="1498" ht="16.5" customHeight="1">
      <c r="A1498" s="15" t="str">
        <f>Solieusap!A1498</f>
        <v>Cũ</v>
      </c>
      <c r="B1498" s="15">
        <f>Solieusap!B1498</f>
        <v>0</v>
      </c>
      <c r="C1498" s="15" t="str">
        <f>Solieusap!C1498</f>
        <v>COMB2</v>
      </c>
      <c r="D1498" s="15" t="str">
        <f>Solieusap!D1498</f>
        <v>Combination</v>
      </c>
      <c r="E1498" s="16">
        <f>ABS(Solieusap!E1498)</f>
        <v>10.16003117</v>
      </c>
      <c r="F1498" s="16">
        <f>ABS(Solieusap!F1498)</f>
        <v>0.9078387446</v>
      </c>
      <c r="G1498" s="16">
        <f>ABS(Solieusap!G1498)</f>
        <v>1.254275758</v>
      </c>
      <c r="H1498" s="16">
        <f>ABS(Solieusap!H1498)</f>
        <v>0.0005436537013</v>
      </c>
      <c r="I1498" s="16">
        <f>ABS(Solieusap!I1498)</f>
        <v>3.073799502</v>
      </c>
      <c r="J1498" s="16">
        <f>ABS(Solieusap!J1498)</f>
        <v>2.078645779</v>
      </c>
      <c r="K1498" s="16">
        <f t="shared" si="1"/>
        <v>10.16003117</v>
      </c>
      <c r="L1498" s="16">
        <f t="shared" si="2"/>
        <v>3.073799502</v>
      </c>
    </row>
    <row r="1499" ht="16.5" customHeight="1">
      <c r="A1499" s="15" t="str">
        <f>Solieusap!A1499</f>
        <v>Cũ</v>
      </c>
      <c r="B1499" s="15">
        <f>Solieusap!B1499</f>
        <v>1.75</v>
      </c>
      <c r="C1499" s="15" t="str">
        <f>Solieusap!C1499</f>
        <v>COMB2</v>
      </c>
      <c r="D1499" s="15" t="str">
        <f>Solieusap!D1499</f>
        <v>Combination</v>
      </c>
      <c r="E1499" s="16">
        <f>ABS(Solieusap!E1499)</f>
        <v>10.17688753</v>
      </c>
      <c r="F1499" s="16">
        <f>ABS(Solieusap!F1499)</f>
        <v>0.9095492641</v>
      </c>
      <c r="G1499" s="16">
        <f>ABS(Solieusap!G1499)</f>
        <v>1.256540173</v>
      </c>
      <c r="H1499" s="16">
        <f>ABS(Solieusap!H1499)</f>
        <v>0.0005447088052</v>
      </c>
      <c r="I1499" s="16">
        <f>ABS(Solieusap!I1499)</f>
        <v>3.080594294</v>
      </c>
      <c r="J1499" s="16">
        <f>ABS(Solieusap!J1499)</f>
        <v>2.083192831</v>
      </c>
      <c r="K1499" s="16">
        <f t="shared" si="1"/>
        <v>10.17688753</v>
      </c>
      <c r="L1499" s="16">
        <f t="shared" si="2"/>
        <v>3.080594294</v>
      </c>
    </row>
    <row r="1500" ht="16.5" customHeight="1">
      <c r="A1500" s="15" t="str">
        <f>Solieusap!A1500</f>
        <v>Cũ</v>
      </c>
      <c r="B1500" s="15">
        <f>Solieusap!B1500</f>
        <v>3.5</v>
      </c>
      <c r="C1500" s="15" t="str">
        <f>Solieusap!C1500</f>
        <v>COMB2</v>
      </c>
      <c r="D1500" s="15" t="str">
        <f>Solieusap!D1500</f>
        <v>Combination</v>
      </c>
      <c r="E1500" s="16">
        <f>ABS(Solieusap!E1500)</f>
        <v>10.1937439</v>
      </c>
      <c r="F1500" s="16">
        <f>ABS(Solieusap!F1500)</f>
        <v>0.9112597835</v>
      </c>
      <c r="G1500" s="16">
        <f>ABS(Solieusap!G1500)</f>
        <v>1.258804589</v>
      </c>
      <c r="H1500" s="16">
        <f>ABS(Solieusap!H1500)</f>
        <v>0.0005457639091</v>
      </c>
      <c r="I1500" s="16">
        <f>ABS(Solieusap!I1500)</f>
        <v>3.087389087</v>
      </c>
      <c r="J1500" s="16">
        <f>ABS(Solieusap!J1500)</f>
        <v>2.087739883</v>
      </c>
      <c r="K1500" s="16">
        <f t="shared" si="1"/>
        <v>10.1937439</v>
      </c>
      <c r="L1500" s="16">
        <f t="shared" si="2"/>
        <v>3.087389087</v>
      </c>
    </row>
    <row r="1501" ht="16.5" customHeight="1">
      <c r="A1501" s="15" t="str">
        <f>Solieusap!A1501</f>
        <v>Cũ</v>
      </c>
      <c r="B1501" s="15">
        <f>Solieusap!B1501</f>
        <v>0</v>
      </c>
      <c r="C1501" s="15" t="str">
        <f>Solieusap!C1501</f>
        <v>COMB3</v>
      </c>
      <c r="D1501" s="15" t="str">
        <f>Solieusap!D1501</f>
        <v>Combination</v>
      </c>
      <c r="E1501" s="16">
        <f>ABS(Solieusap!E1501)</f>
        <v>10.21060026</v>
      </c>
      <c r="F1501" s="16">
        <f>ABS(Solieusap!F1501)</f>
        <v>0.912970303</v>
      </c>
      <c r="G1501" s="16">
        <f>ABS(Solieusap!G1501)</f>
        <v>1.261069004</v>
      </c>
      <c r="H1501" s="16">
        <f>ABS(Solieusap!H1501)</f>
        <v>0.000546819013</v>
      </c>
      <c r="I1501" s="16">
        <f>ABS(Solieusap!I1501)</f>
        <v>3.094183879</v>
      </c>
      <c r="J1501" s="16">
        <f>ABS(Solieusap!J1501)</f>
        <v>2.092286935</v>
      </c>
      <c r="K1501" s="16">
        <f t="shared" si="1"/>
        <v>10.21060026</v>
      </c>
      <c r="L1501" s="16">
        <f t="shared" si="2"/>
        <v>3.094183879</v>
      </c>
    </row>
    <row r="1502" ht="16.5" customHeight="1">
      <c r="A1502" s="15" t="str">
        <f>Solieusap!A1502</f>
        <v>Cũ</v>
      </c>
      <c r="B1502" s="15">
        <f>Solieusap!B1502</f>
        <v>1.75</v>
      </c>
      <c r="C1502" s="15" t="str">
        <f>Solieusap!C1502</f>
        <v>COMB3</v>
      </c>
      <c r="D1502" s="15" t="str">
        <f>Solieusap!D1502</f>
        <v>Combination</v>
      </c>
      <c r="E1502" s="16">
        <f>ABS(Solieusap!E1502)</f>
        <v>10.22745662</v>
      </c>
      <c r="F1502" s="16">
        <f>ABS(Solieusap!F1502)</f>
        <v>0.9146808225</v>
      </c>
      <c r="G1502" s="16">
        <f>ABS(Solieusap!G1502)</f>
        <v>1.26333342</v>
      </c>
      <c r="H1502" s="16">
        <f>ABS(Solieusap!H1502)</f>
        <v>0.0005478741169</v>
      </c>
      <c r="I1502" s="16">
        <f>ABS(Solieusap!I1502)</f>
        <v>3.100978671</v>
      </c>
      <c r="J1502" s="16">
        <f>ABS(Solieusap!J1502)</f>
        <v>2.096833987</v>
      </c>
      <c r="K1502" s="16">
        <f t="shared" si="1"/>
        <v>10.22745662</v>
      </c>
      <c r="L1502" s="16">
        <f t="shared" si="2"/>
        <v>3.100978671</v>
      </c>
    </row>
    <row r="1503" ht="16.5" customHeight="1">
      <c r="A1503" s="15" t="str">
        <f>Solieusap!A1503</f>
        <v>Cũ</v>
      </c>
      <c r="B1503" s="15">
        <f>Solieusap!B1503</f>
        <v>3.5</v>
      </c>
      <c r="C1503" s="15" t="str">
        <f>Solieusap!C1503</f>
        <v>COMB3</v>
      </c>
      <c r="D1503" s="15" t="str">
        <f>Solieusap!D1503</f>
        <v>Combination</v>
      </c>
      <c r="E1503" s="16">
        <f>ABS(Solieusap!E1503)</f>
        <v>10.24431299</v>
      </c>
      <c r="F1503" s="16">
        <f>ABS(Solieusap!F1503)</f>
        <v>0.916391342</v>
      </c>
      <c r="G1503" s="16">
        <f>ABS(Solieusap!G1503)</f>
        <v>1.265597835</v>
      </c>
      <c r="H1503" s="16">
        <f>ABS(Solieusap!H1503)</f>
        <v>0.0005489292208</v>
      </c>
      <c r="I1503" s="16">
        <f>ABS(Solieusap!I1503)</f>
        <v>3.107773463</v>
      </c>
      <c r="J1503" s="16">
        <f>ABS(Solieusap!J1503)</f>
        <v>2.101381039</v>
      </c>
      <c r="K1503" s="16">
        <f t="shared" si="1"/>
        <v>10.24431299</v>
      </c>
      <c r="L1503" s="16">
        <f t="shared" si="2"/>
        <v>3.107773463</v>
      </c>
    </row>
    <row r="1504" ht="16.5" customHeight="1">
      <c r="A1504" s="15" t="str">
        <f>Solieusap!A1504</f>
        <v>Cũ</v>
      </c>
      <c r="B1504" s="15">
        <f>Solieusap!B1504</f>
        <v>0</v>
      </c>
      <c r="C1504" s="15" t="str">
        <f>Solieusap!C1504</f>
        <v>COMB4</v>
      </c>
      <c r="D1504" s="15" t="str">
        <f>Solieusap!D1504</f>
        <v>Combination</v>
      </c>
      <c r="E1504" s="16">
        <f>ABS(Solieusap!E1504)</f>
        <v>10.26116935</v>
      </c>
      <c r="F1504" s="16">
        <f>ABS(Solieusap!F1504)</f>
        <v>0.9181018615</v>
      </c>
      <c r="G1504" s="16">
        <f>ABS(Solieusap!G1504)</f>
        <v>1.267862251</v>
      </c>
      <c r="H1504" s="16">
        <f>ABS(Solieusap!H1504)</f>
        <v>0.0005499843247</v>
      </c>
      <c r="I1504" s="16">
        <f>ABS(Solieusap!I1504)</f>
        <v>3.114568255</v>
      </c>
      <c r="J1504" s="16">
        <f>ABS(Solieusap!J1504)</f>
        <v>2.105928091</v>
      </c>
      <c r="K1504" s="16">
        <f t="shared" si="1"/>
        <v>10.26116935</v>
      </c>
      <c r="L1504" s="16">
        <f t="shared" si="2"/>
        <v>3.114568255</v>
      </c>
    </row>
    <row r="1505" ht="16.5" customHeight="1">
      <c r="A1505" s="15" t="str">
        <f>Solieusap!A1505</f>
        <v>Cũ</v>
      </c>
      <c r="B1505" s="15">
        <f>Solieusap!B1505</f>
        <v>1.75</v>
      </c>
      <c r="C1505" s="15" t="str">
        <f>Solieusap!C1505</f>
        <v>COMB4</v>
      </c>
      <c r="D1505" s="15" t="str">
        <f>Solieusap!D1505</f>
        <v>Combination</v>
      </c>
      <c r="E1505" s="16">
        <f>ABS(Solieusap!E1505)</f>
        <v>10.27802571</v>
      </c>
      <c r="F1505" s="16">
        <f>ABS(Solieusap!F1505)</f>
        <v>0.919812381</v>
      </c>
      <c r="G1505" s="16">
        <f>ABS(Solieusap!G1505)</f>
        <v>1.270126667</v>
      </c>
      <c r="H1505" s="16">
        <f>ABS(Solieusap!H1505)</f>
        <v>0.0005510394286</v>
      </c>
      <c r="I1505" s="16">
        <f>ABS(Solieusap!I1505)</f>
        <v>3.121363048</v>
      </c>
      <c r="J1505" s="16">
        <f>ABS(Solieusap!J1505)</f>
        <v>2.110475143</v>
      </c>
      <c r="K1505" s="16">
        <f t="shared" si="1"/>
        <v>10.27802571</v>
      </c>
      <c r="L1505" s="16">
        <f t="shared" si="2"/>
        <v>3.121363048</v>
      </c>
    </row>
    <row r="1506" ht="16.5" customHeight="1">
      <c r="A1506" s="15" t="str">
        <f>Solieusap!A1506</f>
        <v>Cũ</v>
      </c>
      <c r="B1506" s="15">
        <f>Solieusap!B1506</f>
        <v>3.5</v>
      </c>
      <c r="C1506" s="15" t="str">
        <f>Solieusap!C1506</f>
        <v>COMB4</v>
      </c>
      <c r="D1506" s="15" t="str">
        <f>Solieusap!D1506</f>
        <v>Combination</v>
      </c>
      <c r="E1506" s="16">
        <f>ABS(Solieusap!E1506)</f>
        <v>10.29488208</v>
      </c>
      <c r="F1506" s="16">
        <f>ABS(Solieusap!F1506)</f>
        <v>0.9215229004</v>
      </c>
      <c r="G1506" s="16">
        <f>ABS(Solieusap!G1506)</f>
        <v>1.272391082</v>
      </c>
      <c r="H1506" s="16">
        <f>ABS(Solieusap!H1506)</f>
        <v>0.0005520945325</v>
      </c>
      <c r="I1506" s="16">
        <f>ABS(Solieusap!I1506)</f>
        <v>3.12815784</v>
      </c>
      <c r="J1506" s="16">
        <f>ABS(Solieusap!J1506)</f>
        <v>2.115022195</v>
      </c>
      <c r="K1506" s="16">
        <f t="shared" si="1"/>
        <v>10.29488208</v>
      </c>
      <c r="L1506" s="16">
        <f t="shared" si="2"/>
        <v>3.12815784</v>
      </c>
    </row>
    <row r="1507" ht="16.5" customHeight="1">
      <c r="A1507" s="15" t="str">
        <f>Solieusap!A1507</f>
        <v>Cũ</v>
      </c>
      <c r="B1507" s="15">
        <f>Solieusap!B1507</f>
        <v>0</v>
      </c>
      <c r="C1507" s="15" t="str">
        <f>Solieusap!C1507</f>
        <v>COMB5</v>
      </c>
      <c r="D1507" s="15" t="str">
        <f>Solieusap!D1507</f>
        <v>Combination</v>
      </c>
      <c r="E1507" s="16">
        <f>ABS(Solieusap!E1507)</f>
        <v>10.31173844</v>
      </c>
      <c r="F1507" s="16">
        <f>ABS(Solieusap!F1507)</f>
        <v>0.9232334199</v>
      </c>
      <c r="G1507" s="16">
        <f>ABS(Solieusap!G1507)</f>
        <v>1.274655498</v>
      </c>
      <c r="H1507" s="16">
        <f>ABS(Solieusap!H1507)</f>
        <v>0.0005531496364</v>
      </c>
      <c r="I1507" s="16">
        <f>ABS(Solieusap!I1507)</f>
        <v>3.134952632</v>
      </c>
      <c r="J1507" s="16">
        <f>ABS(Solieusap!J1507)</f>
        <v>2.119569247</v>
      </c>
      <c r="K1507" s="16">
        <f t="shared" si="1"/>
        <v>10.31173844</v>
      </c>
      <c r="L1507" s="16">
        <f t="shared" si="2"/>
        <v>3.134952632</v>
      </c>
    </row>
    <row r="1508" ht="16.5" customHeight="1">
      <c r="A1508" s="15" t="str">
        <f>Solieusap!A1508</f>
        <v>Cũ</v>
      </c>
      <c r="B1508" s="15">
        <f>Solieusap!B1508</f>
        <v>1.75</v>
      </c>
      <c r="C1508" s="15" t="str">
        <f>Solieusap!C1508</f>
        <v>COMB5</v>
      </c>
      <c r="D1508" s="15" t="str">
        <f>Solieusap!D1508</f>
        <v>Combination</v>
      </c>
      <c r="E1508" s="16">
        <f>ABS(Solieusap!E1508)</f>
        <v>10.32859481</v>
      </c>
      <c r="F1508" s="16">
        <f>ABS(Solieusap!F1508)</f>
        <v>0.9249439394</v>
      </c>
      <c r="G1508" s="16">
        <f>ABS(Solieusap!G1508)</f>
        <v>1.276919913</v>
      </c>
      <c r="H1508" s="16">
        <f>ABS(Solieusap!H1508)</f>
        <v>0.0005542047403</v>
      </c>
      <c r="I1508" s="16">
        <f>ABS(Solieusap!I1508)</f>
        <v>3.141747424</v>
      </c>
      <c r="J1508" s="16">
        <f>ABS(Solieusap!J1508)</f>
        <v>2.124116299</v>
      </c>
      <c r="K1508" s="16">
        <f t="shared" si="1"/>
        <v>10.32859481</v>
      </c>
      <c r="L1508" s="16">
        <f t="shared" si="2"/>
        <v>3.141747424</v>
      </c>
    </row>
    <row r="1509" ht="16.5" customHeight="1">
      <c r="A1509" s="15" t="str">
        <f>Solieusap!A1509</f>
        <v>Cũ</v>
      </c>
      <c r="B1509" s="15">
        <f>Solieusap!B1509</f>
        <v>3.5</v>
      </c>
      <c r="C1509" s="15" t="str">
        <f>Solieusap!C1509</f>
        <v>COMB5</v>
      </c>
      <c r="D1509" s="15" t="str">
        <f>Solieusap!D1509</f>
        <v>Combination</v>
      </c>
      <c r="E1509" s="16">
        <f>ABS(Solieusap!E1509)</f>
        <v>10.34545117</v>
      </c>
      <c r="F1509" s="16">
        <f>ABS(Solieusap!F1509)</f>
        <v>0.9266544589</v>
      </c>
      <c r="G1509" s="16">
        <f>ABS(Solieusap!G1509)</f>
        <v>1.279184329</v>
      </c>
      <c r="H1509" s="16">
        <f>ABS(Solieusap!H1509)</f>
        <v>0.0005552598442</v>
      </c>
      <c r="I1509" s="16">
        <f>ABS(Solieusap!I1509)</f>
        <v>3.148542216</v>
      </c>
      <c r="J1509" s="16">
        <f>ABS(Solieusap!J1509)</f>
        <v>2.128663351</v>
      </c>
      <c r="K1509" s="16">
        <f t="shared" si="1"/>
        <v>10.34545117</v>
      </c>
      <c r="L1509" s="16">
        <f t="shared" si="2"/>
        <v>3.148542216</v>
      </c>
    </row>
    <row r="1510" ht="16.5" customHeight="1">
      <c r="A1510" s="15" t="str">
        <f>Solieusap!A1510</f>
        <v>Cũ</v>
      </c>
      <c r="B1510" s="15">
        <f>Solieusap!B1510</f>
        <v>0</v>
      </c>
      <c r="C1510" s="15" t="str">
        <f>Solieusap!C1510</f>
        <v>COMB6</v>
      </c>
      <c r="D1510" s="15" t="str">
        <f>Solieusap!D1510</f>
        <v>Combination</v>
      </c>
      <c r="E1510" s="16">
        <f>ABS(Solieusap!E1510)</f>
        <v>10.36230753</v>
      </c>
      <c r="F1510" s="16">
        <f>ABS(Solieusap!F1510)</f>
        <v>0.9283649784</v>
      </c>
      <c r="G1510" s="16">
        <f>ABS(Solieusap!G1510)</f>
        <v>1.281448745</v>
      </c>
      <c r="H1510" s="16">
        <f>ABS(Solieusap!H1510)</f>
        <v>0.0005563149481</v>
      </c>
      <c r="I1510" s="16">
        <f>ABS(Solieusap!I1510)</f>
        <v>3.155337009</v>
      </c>
      <c r="J1510" s="16">
        <f>ABS(Solieusap!J1510)</f>
        <v>2.133210403</v>
      </c>
      <c r="K1510" s="16">
        <f t="shared" si="1"/>
        <v>10.36230753</v>
      </c>
      <c r="L1510" s="16">
        <f t="shared" si="2"/>
        <v>3.155337009</v>
      </c>
    </row>
    <row r="1511" ht="16.5" customHeight="1">
      <c r="A1511" s="15" t="str">
        <f>Solieusap!A1511</f>
        <v>Cũ</v>
      </c>
      <c r="B1511" s="15">
        <f>Solieusap!B1511</f>
        <v>1.75</v>
      </c>
      <c r="C1511" s="15" t="str">
        <f>Solieusap!C1511</f>
        <v>COMB6</v>
      </c>
      <c r="D1511" s="15" t="str">
        <f>Solieusap!D1511</f>
        <v>Combination</v>
      </c>
      <c r="E1511" s="16">
        <f>ABS(Solieusap!E1511)</f>
        <v>10.3791639</v>
      </c>
      <c r="F1511" s="16">
        <f>ABS(Solieusap!F1511)</f>
        <v>0.9300754978</v>
      </c>
      <c r="G1511" s="16">
        <f>ABS(Solieusap!G1511)</f>
        <v>1.28371316</v>
      </c>
      <c r="H1511" s="16">
        <f>ABS(Solieusap!H1511)</f>
        <v>0.0005573700519</v>
      </c>
      <c r="I1511" s="16">
        <f>ABS(Solieusap!I1511)</f>
        <v>3.162131801</v>
      </c>
      <c r="J1511" s="16">
        <f>ABS(Solieusap!J1511)</f>
        <v>2.137757455</v>
      </c>
      <c r="K1511" s="16">
        <f t="shared" si="1"/>
        <v>10.3791639</v>
      </c>
      <c r="L1511" s="16">
        <f t="shared" si="2"/>
        <v>3.162131801</v>
      </c>
    </row>
    <row r="1512" ht="16.5" customHeight="1">
      <c r="A1512" s="15" t="str">
        <f>Solieusap!A1512</f>
        <v>Cũ</v>
      </c>
      <c r="B1512" s="15">
        <f>Solieusap!B1512</f>
        <v>3.5</v>
      </c>
      <c r="C1512" s="15" t="str">
        <f>Solieusap!C1512</f>
        <v>COMB6</v>
      </c>
      <c r="D1512" s="15" t="str">
        <f>Solieusap!D1512</f>
        <v>Combination</v>
      </c>
      <c r="E1512" s="16">
        <f>ABS(Solieusap!E1512)</f>
        <v>10.39602026</v>
      </c>
      <c r="F1512" s="16">
        <f>ABS(Solieusap!F1512)</f>
        <v>0.9317860173</v>
      </c>
      <c r="G1512" s="16">
        <f>ABS(Solieusap!G1512)</f>
        <v>1.285977576</v>
      </c>
      <c r="H1512" s="16">
        <f>ABS(Solieusap!H1512)</f>
        <v>0.0005584251558</v>
      </c>
      <c r="I1512" s="16">
        <f>ABS(Solieusap!I1512)</f>
        <v>3.168926593</v>
      </c>
      <c r="J1512" s="16">
        <f>ABS(Solieusap!J1512)</f>
        <v>2.142304506</v>
      </c>
      <c r="K1512" s="16">
        <f t="shared" si="1"/>
        <v>10.39602026</v>
      </c>
      <c r="L1512" s="16">
        <f t="shared" si="2"/>
        <v>3.168926593</v>
      </c>
    </row>
    <row r="1513" ht="16.5" customHeight="1">
      <c r="A1513" s="15" t="str">
        <f>Solieusap!A1513</f>
        <v>Cũ</v>
      </c>
      <c r="B1513" s="15">
        <f>Solieusap!B1513</f>
        <v>0</v>
      </c>
      <c r="C1513" s="15" t="str">
        <f>Solieusap!C1513</f>
        <v>COMB7</v>
      </c>
      <c r="D1513" s="15" t="str">
        <f>Solieusap!D1513</f>
        <v>Combination</v>
      </c>
      <c r="E1513" s="16">
        <f>ABS(Solieusap!E1513)</f>
        <v>10.41287662</v>
      </c>
      <c r="F1513" s="16">
        <f>ABS(Solieusap!F1513)</f>
        <v>0.9334965368</v>
      </c>
      <c r="G1513" s="16">
        <f>ABS(Solieusap!G1513)</f>
        <v>1.288241991</v>
      </c>
      <c r="H1513" s="16">
        <f>ABS(Solieusap!H1513)</f>
        <v>0.0005594802597</v>
      </c>
      <c r="I1513" s="16">
        <f>ABS(Solieusap!I1513)</f>
        <v>3.175721385</v>
      </c>
      <c r="J1513" s="16">
        <f>ABS(Solieusap!J1513)</f>
        <v>2.146851558</v>
      </c>
      <c r="K1513" s="16">
        <f t="shared" si="1"/>
        <v>10.41287662</v>
      </c>
      <c r="L1513" s="16">
        <f t="shared" si="2"/>
        <v>3.175721385</v>
      </c>
    </row>
    <row r="1514" ht="16.5" customHeight="1">
      <c r="A1514" s="15" t="str">
        <f>Solieusap!A1514</f>
        <v>Cũ</v>
      </c>
      <c r="B1514" s="15">
        <f>Solieusap!B1514</f>
        <v>1.75</v>
      </c>
      <c r="C1514" s="15" t="str">
        <f>Solieusap!C1514</f>
        <v>COMB7</v>
      </c>
      <c r="D1514" s="15" t="str">
        <f>Solieusap!D1514</f>
        <v>Combination</v>
      </c>
      <c r="E1514" s="16">
        <f>ABS(Solieusap!E1514)</f>
        <v>10.42973299</v>
      </c>
      <c r="F1514" s="16">
        <f>ABS(Solieusap!F1514)</f>
        <v>0.9352070563</v>
      </c>
      <c r="G1514" s="16">
        <f>ABS(Solieusap!G1514)</f>
        <v>1.290506407</v>
      </c>
      <c r="H1514" s="16">
        <f>ABS(Solieusap!H1514)</f>
        <v>0.0005605353636</v>
      </c>
      <c r="I1514" s="16">
        <f>ABS(Solieusap!I1514)</f>
        <v>3.182516177</v>
      </c>
      <c r="J1514" s="16">
        <f>ABS(Solieusap!J1514)</f>
        <v>2.15139861</v>
      </c>
      <c r="K1514" s="16">
        <f t="shared" si="1"/>
        <v>10.42973299</v>
      </c>
      <c r="L1514" s="16">
        <f t="shared" si="2"/>
        <v>3.182516177</v>
      </c>
    </row>
    <row r="1515" ht="16.5" customHeight="1">
      <c r="A1515" s="15" t="str">
        <f>Solieusap!A1515</f>
        <v>Cũ</v>
      </c>
      <c r="B1515" s="15">
        <f>Solieusap!B1515</f>
        <v>3.5</v>
      </c>
      <c r="C1515" s="15" t="str">
        <f>Solieusap!C1515</f>
        <v>COMB7</v>
      </c>
      <c r="D1515" s="15" t="str">
        <f>Solieusap!D1515</f>
        <v>Combination</v>
      </c>
      <c r="E1515" s="16">
        <f>ABS(Solieusap!E1515)</f>
        <v>10.44658935</v>
      </c>
      <c r="F1515" s="16">
        <f>ABS(Solieusap!F1515)</f>
        <v>0.9369175758</v>
      </c>
      <c r="G1515" s="16">
        <f>ABS(Solieusap!G1515)</f>
        <v>1.292770823</v>
      </c>
      <c r="H1515" s="16">
        <f>ABS(Solieusap!H1515)</f>
        <v>0.0005615904675</v>
      </c>
      <c r="I1515" s="16">
        <f>ABS(Solieusap!I1515)</f>
        <v>3.18931097</v>
      </c>
      <c r="J1515" s="16">
        <f>ABS(Solieusap!J1515)</f>
        <v>2.155945662</v>
      </c>
      <c r="K1515" s="16">
        <f t="shared" si="1"/>
        <v>10.44658935</v>
      </c>
      <c r="L1515" s="16">
        <f t="shared" si="2"/>
        <v>3.18931097</v>
      </c>
    </row>
    <row r="1516" ht="16.5" customHeight="1">
      <c r="A1516" s="15" t="str">
        <f>Solieusap!A1516</f>
        <v>Cũ</v>
      </c>
      <c r="B1516" s="15">
        <f>Solieusap!B1516</f>
        <v>0</v>
      </c>
      <c r="C1516" s="15" t="str">
        <f>Solieusap!C1516</f>
        <v>COMB1</v>
      </c>
      <c r="D1516" s="15" t="str">
        <f>Solieusap!D1516</f>
        <v>Combination</v>
      </c>
      <c r="E1516" s="16">
        <f>ABS(Solieusap!E1516)</f>
        <v>10.46344571</v>
      </c>
      <c r="F1516" s="16">
        <f>ABS(Solieusap!F1516)</f>
        <v>0.9386280952</v>
      </c>
      <c r="G1516" s="16">
        <f>ABS(Solieusap!G1516)</f>
        <v>1.295035238</v>
      </c>
      <c r="H1516" s="16">
        <f>ABS(Solieusap!H1516)</f>
        <v>0.0005626455714</v>
      </c>
      <c r="I1516" s="16">
        <f>ABS(Solieusap!I1516)</f>
        <v>3.196105762</v>
      </c>
      <c r="J1516" s="16">
        <f>ABS(Solieusap!J1516)</f>
        <v>2.160492714</v>
      </c>
      <c r="K1516" s="16">
        <f t="shared" si="1"/>
        <v>10.46344571</v>
      </c>
      <c r="L1516" s="16">
        <f t="shared" si="2"/>
        <v>3.196105762</v>
      </c>
    </row>
    <row r="1517" ht="16.5" customHeight="1">
      <c r="A1517" s="15" t="str">
        <f>Solieusap!A1517</f>
        <v>Cũ</v>
      </c>
      <c r="B1517" s="15">
        <f>Solieusap!B1517</f>
        <v>1.75</v>
      </c>
      <c r="C1517" s="15" t="str">
        <f>Solieusap!C1517</f>
        <v>COMB1</v>
      </c>
      <c r="D1517" s="15" t="str">
        <f>Solieusap!D1517</f>
        <v>Combination</v>
      </c>
      <c r="E1517" s="16">
        <f>ABS(Solieusap!E1517)</f>
        <v>10.48030208</v>
      </c>
      <c r="F1517" s="16">
        <f>ABS(Solieusap!F1517)</f>
        <v>0.9403386147</v>
      </c>
      <c r="G1517" s="16">
        <f>ABS(Solieusap!G1517)</f>
        <v>1.297299654</v>
      </c>
      <c r="H1517" s="16">
        <f>ABS(Solieusap!H1517)</f>
        <v>0.0005637006753</v>
      </c>
      <c r="I1517" s="16">
        <f>ABS(Solieusap!I1517)</f>
        <v>3.202900554</v>
      </c>
      <c r="J1517" s="16">
        <f>ABS(Solieusap!J1517)</f>
        <v>2.165039766</v>
      </c>
      <c r="K1517" s="16">
        <f t="shared" si="1"/>
        <v>10.48030208</v>
      </c>
      <c r="L1517" s="16">
        <f t="shared" si="2"/>
        <v>3.202900554</v>
      </c>
    </row>
    <row r="1518" ht="16.5" customHeight="1">
      <c r="A1518" s="15" t="str">
        <f>Solieusap!A1518</f>
        <v>Cũ</v>
      </c>
      <c r="B1518" s="15">
        <f>Solieusap!B1518</f>
        <v>3.5</v>
      </c>
      <c r="C1518" s="15" t="str">
        <f>Solieusap!C1518</f>
        <v>COMB1</v>
      </c>
      <c r="D1518" s="15" t="str">
        <f>Solieusap!D1518</f>
        <v>Combination</v>
      </c>
      <c r="E1518" s="16">
        <f>ABS(Solieusap!E1518)</f>
        <v>10.49715844</v>
      </c>
      <c r="F1518" s="16">
        <f>ABS(Solieusap!F1518)</f>
        <v>0.9420491342</v>
      </c>
      <c r="G1518" s="16">
        <f>ABS(Solieusap!G1518)</f>
        <v>1.299564069</v>
      </c>
      <c r="H1518" s="16">
        <f>ABS(Solieusap!H1518)</f>
        <v>0.0005647557792</v>
      </c>
      <c r="I1518" s="16">
        <f>ABS(Solieusap!I1518)</f>
        <v>3.209695346</v>
      </c>
      <c r="J1518" s="16">
        <f>ABS(Solieusap!J1518)</f>
        <v>2.169586818</v>
      </c>
      <c r="K1518" s="16">
        <f t="shared" si="1"/>
        <v>10.49715844</v>
      </c>
      <c r="L1518" s="16">
        <f t="shared" si="2"/>
        <v>3.209695346</v>
      </c>
    </row>
    <row r="1519" ht="16.5" customHeight="1">
      <c r="A1519" s="15" t="str">
        <f>Solieusap!A1519</f>
        <v>Cũ</v>
      </c>
      <c r="B1519" s="15">
        <f>Solieusap!B1519</f>
        <v>0</v>
      </c>
      <c r="C1519" s="15" t="str">
        <f>Solieusap!C1519</f>
        <v>COMB2</v>
      </c>
      <c r="D1519" s="15" t="str">
        <f>Solieusap!D1519</f>
        <v>Combination</v>
      </c>
      <c r="E1519" s="16">
        <f>ABS(Solieusap!E1519)</f>
        <v>10.51401481</v>
      </c>
      <c r="F1519" s="16">
        <f>ABS(Solieusap!F1519)</f>
        <v>0.9437596537</v>
      </c>
      <c r="G1519" s="16">
        <f>ABS(Solieusap!G1519)</f>
        <v>1.301828485</v>
      </c>
      <c r="H1519" s="16">
        <f>ABS(Solieusap!H1519)</f>
        <v>0.0005658108831</v>
      </c>
      <c r="I1519" s="16">
        <f>ABS(Solieusap!I1519)</f>
        <v>3.216490139</v>
      </c>
      <c r="J1519" s="16">
        <f>ABS(Solieusap!J1519)</f>
        <v>2.17413387</v>
      </c>
      <c r="K1519" s="16">
        <f t="shared" si="1"/>
        <v>10.51401481</v>
      </c>
      <c r="L1519" s="16">
        <f t="shared" si="2"/>
        <v>3.216490139</v>
      </c>
    </row>
    <row r="1520" ht="16.5" customHeight="1">
      <c r="A1520" s="15" t="str">
        <f>Solieusap!A1520</f>
        <v>Cũ</v>
      </c>
      <c r="B1520" s="15">
        <f>Solieusap!B1520</f>
        <v>1.75</v>
      </c>
      <c r="C1520" s="15" t="str">
        <f>Solieusap!C1520</f>
        <v>COMB2</v>
      </c>
      <c r="D1520" s="15" t="str">
        <f>Solieusap!D1520</f>
        <v>Combination</v>
      </c>
      <c r="E1520" s="16">
        <f>ABS(Solieusap!E1520)</f>
        <v>10.53087117</v>
      </c>
      <c r="F1520" s="16">
        <f>ABS(Solieusap!F1520)</f>
        <v>0.9454701732</v>
      </c>
      <c r="G1520" s="16">
        <f>ABS(Solieusap!G1520)</f>
        <v>1.3040929</v>
      </c>
      <c r="H1520" s="16">
        <f>ABS(Solieusap!H1520)</f>
        <v>0.000566865987</v>
      </c>
      <c r="I1520" s="16">
        <f>ABS(Solieusap!I1520)</f>
        <v>3.223284931</v>
      </c>
      <c r="J1520" s="16">
        <f>ABS(Solieusap!J1520)</f>
        <v>2.178680922</v>
      </c>
      <c r="K1520" s="16">
        <f t="shared" si="1"/>
        <v>10.53087117</v>
      </c>
      <c r="L1520" s="16">
        <f t="shared" si="2"/>
        <v>3.223284931</v>
      </c>
    </row>
    <row r="1521" ht="16.5" customHeight="1">
      <c r="A1521" s="15" t="str">
        <f>Solieusap!A1521</f>
        <v>Cũ</v>
      </c>
      <c r="B1521" s="15">
        <f>Solieusap!B1521</f>
        <v>3.5</v>
      </c>
      <c r="C1521" s="15" t="str">
        <f>Solieusap!C1521</f>
        <v>COMB2</v>
      </c>
      <c r="D1521" s="15" t="str">
        <f>Solieusap!D1521</f>
        <v>Combination</v>
      </c>
      <c r="E1521" s="16">
        <f>ABS(Solieusap!E1521)</f>
        <v>10.54772753</v>
      </c>
      <c r="F1521" s="16">
        <f>ABS(Solieusap!F1521)</f>
        <v>0.9471806926</v>
      </c>
      <c r="G1521" s="16">
        <f>ABS(Solieusap!G1521)</f>
        <v>1.306357316</v>
      </c>
      <c r="H1521" s="16">
        <f>ABS(Solieusap!H1521)</f>
        <v>0.0005679210909</v>
      </c>
      <c r="I1521" s="16">
        <f>ABS(Solieusap!I1521)</f>
        <v>3.230079723</v>
      </c>
      <c r="J1521" s="16">
        <f>ABS(Solieusap!J1521)</f>
        <v>2.183227974</v>
      </c>
      <c r="K1521" s="16">
        <f t="shared" si="1"/>
        <v>10.54772753</v>
      </c>
      <c r="L1521" s="16">
        <f t="shared" si="2"/>
        <v>3.230079723</v>
      </c>
    </row>
    <row r="1522" ht="16.5" customHeight="1">
      <c r="A1522" s="15" t="str">
        <f>Solieusap!A1522</f>
        <v>Cũ</v>
      </c>
      <c r="B1522" s="15">
        <f>Solieusap!B1522</f>
        <v>0</v>
      </c>
      <c r="C1522" s="15" t="str">
        <f>Solieusap!C1522</f>
        <v>COMB3</v>
      </c>
      <c r="D1522" s="15" t="str">
        <f>Solieusap!D1522</f>
        <v>Combination</v>
      </c>
      <c r="E1522" s="16">
        <f>ABS(Solieusap!E1522)</f>
        <v>10.5645839</v>
      </c>
      <c r="F1522" s="16">
        <f>ABS(Solieusap!F1522)</f>
        <v>0.9488912121</v>
      </c>
      <c r="G1522" s="16">
        <f>ABS(Solieusap!G1522)</f>
        <v>1.308621732</v>
      </c>
      <c r="H1522" s="16">
        <f>ABS(Solieusap!H1522)</f>
        <v>0.0005689761948</v>
      </c>
      <c r="I1522" s="16">
        <f>ABS(Solieusap!I1522)</f>
        <v>3.236874515</v>
      </c>
      <c r="J1522" s="16">
        <f>ABS(Solieusap!J1522)</f>
        <v>2.187775026</v>
      </c>
      <c r="K1522" s="16">
        <f t="shared" si="1"/>
        <v>10.5645839</v>
      </c>
      <c r="L1522" s="16">
        <f t="shared" si="2"/>
        <v>3.236874515</v>
      </c>
    </row>
    <row r="1523" ht="16.5" customHeight="1">
      <c r="A1523" s="15" t="str">
        <f>Solieusap!A1523</f>
        <v>Cũ</v>
      </c>
      <c r="B1523" s="15">
        <f>Solieusap!B1523</f>
        <v>1.75</v>
      </c>
      <c r="C1523" s="15" t="str">
        <f>Solieusap!C1523</f>
        <v>COMB3</v>
      </c>
      <c r="D1523" s="15" t="str">
        <f>Solieusap!D1523</f>
        <v>Combination</v>
      </c>
      <c r="E1523" s="16">
        <f>ABS(Solieusap!E1523)</f>
        <v>10.58144026</v>
      </c>
      <c r="F1523" s="16">
        <f>ABS(Solieusap!F1523)</f>
        <v>0.9506017316</v>
      </c>
      <c r="G1523" s="16">
        <f>ABS(Solieusap!G1523)</f>
        <v>1.310886147</v>
      </c>
      <c r="H1523" s="16">
        <f>ABS(Solieusap!H1523)</f>
        <v>0.0005700312987</v>
      </c>
      <c r="I1523" s="16">
        <f>ABS(Solieusap!I1523)</f>
        <v>3.243669307</v>
      </c>
      <c r="J1523" s="16">
        <f>ABS(Solieusap!J1523)</f>
        <v>2.192322078</v>
      </c>
      <c r="K1523" s="16">
        <f t="shared" si="1"/>
        <v>10.58144026</v>
      </c>
      <c r="L1523" s="16">
        <f t="shared" si="2"/>
        <v>3.243669307</v>
      </c>
    </row>
    <row r="1524" ht="16.5" customHeight="1">
      <c r="A1524" s="15" t="str">
        <f>Solieusap!A1524</f>
        <v>Cũ</v>
      </c>
      <c r="B1524" s="15">
        <f>Solieusap!B1524</f>
        <v>3.5</v>
      </c>
      <c r="C1524" s="15" t="str">
        <f>Solieusap!C1524</f>
        <v>COMB3</v>
      </c>
      <c r="D1524" s="15" t="str">
        <f>Solieusap!D1524</f>
        <v>Combination</v>
      </c>
      <c r="E1524" s="16">
        <f>ABS(Solieusap!E1524)</f>
        <v>10.59829662</v>
      </c>
      <c r="F1524" s="16">
        <f>ABS(Solieusap!F1524)</f>
        <v>0.9523122511</v>
      </c>
      <c r="G1524" s="16">
        <f>ABS(Solieusap!G1524)</f>
        <v>1.313150563</v>
      </c>
      <c r="H1524" s="16">
        <f>ABS(Solieusap!H1524)</f>
        <v>0.0005710864026</v>
      </c>
      <c r="I1524" s="16">
        <f>ABS(Solieusap!I1524)</f>
        <v>3.2504641</v>
      </c>
      <c r="J1524" s="16">
        <f>ABS(Solieusap!J1524)</f>
        <v>2.19686913</v>
      </c>
      <c r="K1524" s="16">
        <f t="shared" si="1"/>
        <v>10.59829662</v>
      </c>
      <c r="L1524" s="16">
        <f t="shared" si="2"/>
        <v>3.2504641</v>
      </c>
    </row>
    <row r="1525" ht="16.5" customHeight="1">
      <c r="A1525" s="15" t="str">
        <f>Solieusap!A1525</f>
        <v>Cũ</v>
      </c>
      <c r="B1525" s="15">
        <f>Solieusap!B1525</f>
        <v>0</v>
      </c>
      <c r="C1525" s="15" t="str">
        <f>Solieusap!C1525</f>
        <v>COMB4</v>
      </c>
      <c r="D1525" s="15" t="str">
        <f>Solieusap!D1525</f>
        <v>Combination</v>
      </c>
      <c r="E1525" s="16">
        <f>ABS(Solieusap!E1525)</f>
        <v>10.61515299</v>
      </c>
      <c r="F1525" s="16">
        <f>ABS(Solieusap!F1525)</f>
        <v>0.9540227706</v>
      </c>
      <c r="G1525" s="16">
        <f>ABS(Solieusap!G1525)</f>
        <v>1.315414978</v>
      </c>
      <c r="H1525" s="16">
        <f>ABS(Solieusap!H1525)</f>
        <v>0.0005721415065</v>
      </c>
      <c r="I1525" s="16">
        <f>ABS(Solieusap!I1525)</f>
        <v>3.257258892</v>
      </c>
      <c r="J1525" s="16">
        <f>ABS(Solieusap!J1525)</f>
        <v>2.201416182</v>
      </c>
      <c r="K1525" s="16">
        <f t="shared" si="1"/>
        <v>10.61515299</v>
      </c>
      <c r="L1525" s="16">
        <f t="shared" si="2"/>
        <v>3.257258892</v>
      </c>
    </row>
    <row r="1526" ht="16.5" customHeight="1">
      <c r="A1526" s="15" t="str">
        <f>Solieusap!A1526</f>
        <v>Cũ</v>
      </c>
      <c r="B1526" s="15">
        <f>Solieusap!B1526</f>
        <v>1.75</v>
      </c>
      <c r="C1526" s="15" t="str">
        <f>Solieusap!C1526</f>
        <v>COMB4</v>
      </c>
      <c r="D1526" s="15" t="str">
        <f>Solieusap!D1526</f>
        <v>Combination</v>
      </c>
      <c r="E1526" s="16">
        <f>ABS(Solieusap!E1526)</f>
        <v>10.63200935</v>
      </c>
      <c r="F1526" s="16">
        <f>ABS(Solieusap!F1526)</f>
        <v>0.95573329</v>
      </c>
      <c r="G1526" s="16">
        <f>ABS(Solieusap!G1526)</f>
        <v>1.317679394</v>
      </c>
      <c r="H1526" s="16">
        <f>ABS(Solieusap!H1526)</f>
        <v>0.0005731966104</v>
      </c>
      <c r="I1526" s="16">
        <f>ABS(Solieusap!I1526)</f>
        <v>3.264053684</v>
      </c>
      <c r="J1526" s="16">
        <f>ABS(Solieusap!J1526)</f>
        <v>2.205963234</v>
      </c>
      <c r="K1526" s="16">
        <f t="shared" si="1"/>
        <v>10.63200935</v>
      </c>
      <c r="L1526" s="16">
        <f t="shared" si="2"/>
        <v>3.264053684</v>
      </c>
    </row>
    <row r="1527" ht="16.5" customHeight="1">
      <c r="A1527" s="15" t="str">
        <f>Solieusap!A1527</f>
        <v>Cũ</v>
      </c>
      <c r="B1527" s="15">
        <f>Solieusap!B1527</f>
        <v>3.5</v>
      </c>
      <c r="C1527" s="15" t="str">
        <f>Solieusap!C1527</f>
        <v>COMB4</v>
      </c>
      <c r="D1527" s="15" t="str">
        <f>Solieusap!D1527</f>
        <v>Combination</v>
      </c>
      <c r="E1527" s="16">
        <f>ABS(Solieusap!E1527)</f>
        <v>10.64886571</v>
      </c>
      <c r="F1527" s="16">
        <f>ABS(Solieusap!F1527)</f>
        <v>0.9574438095</v>
      </c>
      <c r="G1527" s="16">
        <f>ABS(Solieusap!G1527)</f>
        <v>1.31994381</v>
      </c>
      <c r="H1527" s="16">
        <f>ABS(Solieusap!H1527)</f>
        <v>0.0005742517143</v>
      </c>
      <c r="I1527" s="16">
        <f>ABS(Solieusap!I1527)</f>
        <v>3.270848476</v>
      </c>
      <c r="J1527" s="16">
        <f>ABS(Solieusap!J1527)</f>
        <v>2.210510286</v>
      </c>
      <c r="K1527" s="16">
        <f t="shared" si="1"/>
        <v>10.64886571</v>
      </c>
      <c r="L1527" s="16">
        <f t="shared" si="2"/>
        <v>3.270848476</v>
      </c>
    </row>
    <row r="1528" ht="16.5" customHeight="1">
      <c r="A1528" s="15" t="str">
        <f>Solieusap!A1528</f>
        <v>Cũ</v>
      </c>
      <c r="B1528" s="15">
        <f>Solieusap!B1528</f>
        <v>0</v>
      </c>
      <c r="C1528" s="15" t="str">
        <f>Solieusap!C1528</f>
        <v>COMB5</v>
      </c>
      <c r="D1528" s="15" t="str">
        <f>Solieusap!D1528</f>
        <v>Combination</v>
      </c>
      <c r="E1528" s="16">
        <f>ABS(Solieusap!E1528)</f>
        <v>10.66572208</v>
      </c>
      <c r="F1528" s="16">
        <f>ABS(Solieusap!F1528)</f>
        <v>0.959154329</v>
      </c>
      <c r="G1528" s="16">
        <f>ABS(Solieusap!G1528)</f>
        <v>1.322208225</v>
      </c>
      <c r="H1528" s="16">
        <f>ABS(Solieusap!H1528)</f>
        <v>0.0005753068182</v>
      </c>
      <c r="I1528" s="16">
        <f>ABS(Solieusap!I1528)</f>
        <v>3.277643268</v>
      </c>
      <c r="J1528" s="16">
        <f>ABS(Solieusap!J1528)</f>
        <v>2.215057338</v>
      </c>
      <c r="K1528" s="16">
        <f t="shared" si="1"/>
        <v>10.66572208</v>
      </c>
      <c r="L1528" s="16">
        <f t="shared" si="2"/>
        <v>3.277643268</v>
      </c>
    </row>
    <row r="1529" ht="16.5" customHeight="1">
      <c r="A1529" s="15" t="str">
        <f>Solieusap!A1529</f>
        <v>Cũ</v>
      </c>
      <c r="B1529" s="15">
        <f>Solieusap!B1529</f>
        <v>1.75</v>
      </c>
      <c r="C1529" s="15" t="str">
        <f>Solieusap!C1529</f>
        <v>COMB5</v>
      </c>
      <c r="D1529" s="15" t="str">
        <f>Solieusap!D1529</f>
        <v>Combination</v>
      </c>
      <c r="E1529" s="16">
        <f>ABS(Solieusap!E1529)</f>
        <v>10.68257844</v>
      </c>
      <c r="F1529" s="16">
        <f>ABS(Solieusap!F1529)</f>
        <v>0.9608648485</v>
      </c>
      <c r="G1529" s="16">
        <f>ABS(Solieusap!G1529)</f>
        <v>1.324472641</v>
      </c>
      <c r="H1529" s="16">
        <f>ABS(Solieusap!H1529)</f>
        <v>0.0005763619221</v>
      </c>
      <c r="I1529" s="16">
        <f>ABS(Solieusap!I1529)</f>
        <v>3.284438061</v>
      </c>
      <c r="J1529" s="16">
        <f>ABS(Solieusap!J1529)</f>
        <v>2.21960439</v>
      </c>
      <c r="K1529" s="16">
        <f t="shared" si="1"/>
        <v>10.68257844</v>
      </c>
      <c r="L1529" s="16">
        <f t="shared" si="2"/>
        <v>3.284438061</v>
      </c>
    </row>
    <row r="1530" ht="16.5" customHeight="1">
      <c r="A1530" s="15" t="str">
        <f>Solieusap!A1530</f>
        <v>Cũ</v>
      </c>
      <c r="B1530" s="15">
        <f>Solieusap!B1530</f>
        <v>3.5</v>
      </c>
      <c r="C1530" s="15" t="str">
        <f>Solieusap!C1530</f>
        <v>COMB5</v>
      </c>
      <c r="D1530" s="15" t="str">
        <f>Solieusap!D1530</f>
        <v>Combination</v>
      </c>
      <c r="E1530" s="16">
        <f>ABS(Solieusap!E1530)</f>
        <v>10.69943481</v>
      </c>
      <c r="F1530" s="16">
        <f>ABS(Solieusap!F1530)</f>
        <v>0.962575368</v>
      </c>
      <c r="G1530" s="16">
        <f>ABS(Solieusap!G1530)</f>
        <v>1.326737056</v>
      </c>
      <c r="H1530" s="16">
        <f>ABS(Solieusap!H1530)</f>
        <v>0.000577417026</v>
      </c>
      <c r="I1530" s="16">
        <f>ABS(Solieusap!I1530)</f>
        <v>3.291232853</v>
      </c>
      <c r="J1530" s="16">
        <f>ABS(Solieusap!J1530)</f>
        <v>2.224151442</v>
      </c>
      <c r="K1530" s="16">
        <f t="shared" si="1"/>
        <v>10.69943481</v>
      </c>
      <c r="L1530" s="16">
        <f t="shared" si="2"/>
        <v>3.291232853</v>
      </c>
    </row>
    <row r="1531" ht="16.5" customHeight="1">
      <c r="A1531" s="15" t="str">
        <f>Solieusap!A1531</f>
        <v>Cũ</v>
      </c>
      <c r="B1531" s="15">
        <f>Solieusap!B1531</f>
        <v>0</v>
      </c>
      <c r="C1531" s="15" t="str">
        <f>Solieusap!C1531</f>
        <v>COMB6</v>
      </c>
      <c r="D1531" s="15" t="str">
        <f>Solieusap!D1531</f>
        <v>Combination</v>
      </c>
      <c r="E1531" s="16">
        <f>ABS(Solieusap!E1531)</f>
        <v>10.71629117</v>
      </c>
      <c r="F1531" s="16">
        <f>ABS(Solieusap!F1531)</f>
        <v>0.9642858874</v>
      </c>
      <c r="G1531" s="16">
        <f>ABS(Solieusap!G1531)</f>
        <v>1.329001472</v>
      </c>
      <c r="H1531" s="16">
        <f>ABS(Solieusap!H1531)</f>
        <v>0.0005784721299</v>
      </c>
      <c r="I1531" s="16">
        <f>ABS(Solieusap!I1531)</f>
        <v>3.298027645</v>
      </c>
      <c r="J1531" s="16">
        <f>ABS(Solieusap!J1531)</f>
        <v>2.228698494</v>
      </c>
      <c r="K1531" s="16">
        <f t="shared" si="1"/>
        <v>10.71629117</v>
      </c>
      <c r="L1531" s="16">
        <f t="shared" si="2"/>
        <v>3.298027645</v>
      </c>
    </row>
    <row r="1532" ht="16.5" customHeight="1">
      <c r="A1532" s="15" t="str">
        <f>Solieusap!A1532</f>
        <v>Cũ</v>
      </c>
      <c r="B1532" s="15">
        <f>Solieusap!B1532</f>
        <v>1.75</v>
      </c>
      <c r="C1532" s="15" t="str">
        <f>Solieusap!C1532</f>
        <v>COMB6</v>
      </c>
      <c r="D1532" s="15" t="str">
        <f>Solieusap!D1532</f>
        <v>Combination</v>
      </c>
      <c r="E1532" s="16">
        <f>ABS(Solieusap!E1532)</f>
        <v>10.73314753</v>
      </c>
      <c r="F1532" s="16">
        <f>ABS(Solieusap!F1532)</f>
        <v>0.9659964069</v>
      </c>
      <c r="G1532" s="16">
        <f>ABS(Solieusap!G1532)</f>
        <v>1.331265887</v>
      </c>
      <c r="H1532" s="16">
        <f>ABS(Solieusap!H1532)</f>
        <v>0.0005795272338</v>
      </c>
      <c r="I1532" s="16">
        <f>ABS(Solieusap!I1532)</f>
        <v>3.304822437</v>
      </c>
      <c r="J1532" s="16">
        <f>ABS(Solieusap!J1532)</f>
        <v>2.233245545</v>
      </c>
      <c r="K1532" s="16">
        <f t="shared" si="1"/>
        <v>10.73314753</v>
      </c>
      <c r="L1532" s="16">
        <f t="shared" si="2"/>
        <v>3.304822437</v>
      </c>
    </row>
    <row r="1533" ht="16.5" customHeight="1">
      <c r="A1533" s="15" t="str">
        <f>Solieusap!A1533</f>
        <v>Cũ</v>
      </c>
      <c r="B1533" s="15">
        <f>Solieusap!B1533</f>
        <v>3.5</v>
      </c>
      <c r="C1533" s="15" t="str">
        <f>Solieusap!C1533</f>
        <v>COMB6</v>
      </c>
      <c r="D1533" s="15" t="str">
        <f>Solieusap!D1533</f>
        <v>Combination</v>
      </c>
      <c r="E1533" s="16">
        <f>ABS(Solieusap!E1533)</f>
        <v>10.7500039</v>
      </c>
      <c r="F1533" s="16">
        <f>ABS(Solieusap!F1533)</f>
        <v>0.9677069264</v>
      </c>
      <c r="G1533" s="16">
        <f>ABS(Solieusap!G1533)</f>
        <v>1.333530303</v>
      </c>
      <c r="H1533" s="16">
        <f>ABS(Solieusap!H1533)</f>
        <v>0.0005805823377</v>
      </c>
      <c r="I1533" s="16">
        <f>ABS(Solieusap!I1533)</f>
        <v>3.311617229</v>
      </c>
      <c r="J1533" s="16">
        <f>ABS(Solieusap!J1533)</f>
        <v>2.237792597</v>
      </c>
      <c r="K1533" s="16">
        <f t="shared" si="1"/>
        <v>10.7500039</v>
      </c>
      <c r="L1533" s="16">
        <f t="shared" si="2"/>
        <v>3.311617229</v>
      </c>
    </row>
    <row r="1534" ht="16.5" customHeight="1">
      <c r="A1534" s="15" t="str">
        <f>Solieusap!A1534</f>
        <v>Cũ</v>
      </c>
      <c r="B1534" s="15">
        <f>Solieusap!B1534</f>
        <v>0</v>
      </c>
      <c r="C1534" s="15" t="str">
        <f>Solieusap!C1534</f>
        <v>COMB7</v>
      </c>
      <c r="D1534" s="15" t="str">
        <f>Solieusap!D1534</f>
        <v>Combination</v>
      </c>
      <c r="E1534" s="16">
        <f>ABS(Solieusap!E1534)</f>
        <v>10.76686026</v>
      </c>
      <c r="F1534" s="16">
        <f>ABS(Solieusap!F1534)</f>
        <v>0.9694174459</v>
      </c>
      <c r="G1534" s="16">
        <f>ABS(Solieusap!G1534)</f>
        <v>1.335794719</v>
      </c>
      <c r="H1534" s="16">
        <f>ABS(Solieusap!H1534)</f>
        <v>0.0005816374416</v>
      </c>
      <c r="I1534" s="16">
        <f>ABS(Solieusap!I1534)</f>
        <v>3.318412022</v>
      </c>
      <c r="J1534" s="16">
        <f>ABS(Solieusap!J1534)</f>
        <v>2.242339649</v>
      </c>
      <c r="K1534" s="16">
        <f t="shared" si="1"/>
        <v>10.76686026</v>
      </c>
      <c r="L1534" s="16">
        <f t="shared" si="2"/>
        <v>3.318412022</v>
      </c>
    </row>
    <row r="1535" ht="16.5" customHeight="1">
      <c r="A1535" s="15" t="str">
        <f>Solieusap!A1535</f>
        <v>Cũ</v>
      </c>
      <c r="B1535" s="15">
        <f>Solieusap!B1535</f>
        <v>1.75</v>
      </c>
      <c r="C1535" s="15" t="str">
        <f>Solieusap!C1535</f>
        <v>COMB7</v>
      </c>
      <c r="D1535" s="15" t="str">
        <f>Solieusap!D1535</f>
        <v>Combination</v>
      </c>
      <c r="E1535" s="16">
        <f>ABS(Solieusap!E1535)</f>
        <v>10.78371662</v>
      </c>
      <c r="F1535" s="16">
        <f>ABS(Solieusap!F1535)</f>
        <v>0.9711279654</v>
      </c>
      <c r="G1535" s="16">
        <f>ABS(Solieusap!G1535)</f>
        <v>1.338059134</v>
      </c>
      <c r="H1535" s="16">
        <f>ABS(Solieusap!H1535)</f>
        <v>0.0005826925455</v>
      </c>
      <c r="I1535" s="16">
        <f>ABS(Solieusap!I1535)</f>
        <v>3.325206814</v>
      </c>
      <c r="J1535" s="16">
        <f>ABS(Solieusap!J1535)</f>
        <v>2.246886701</v>
      </c>
      <c r="K1535" s="16">
        <f t="shared" si="1"/>
        <v>10.78371662</v>
      </c>
      <c r="L1535" s="16">
        <f t="shared" si="2"/>
        <v>3.325206814</v>
      </c>
    </row>
    <row r="1536" ht="16.5" customHeight="1">
      <c r="A1536" s="15" t="str">
        <f>Solieusap!A1536</f>
        <v>Cũ</v>
      </c>
      <c r="B1536" s="15">
        <f>Solieusap!B1536</f>
        <v>3.5</v>
      </c>
      <c r="C1536" s="15" t="str">
        <f>Solieusap!C1536</f>
        <v>COMB7</v>
      </c>
      <c r="D1536" s="15" t="str">
        <f>Solieusap!D1536</f>
        <v>Combination</v>
      </c>
      <c r="E1536" s="16">
        <f>ABS(Solieusap!E1536)</f>
        <v>10.80057299</v>
      </c>
      <c r="F1536" s="16">
        <f>ABS(Solieusap!F1536)</f>
        <v>0.9728384848</v>
      </c>
      <c r="G1536" s="16">
        <f>ABS(Solieusap!G1536)</f>
        <v>1.34032355</v>
      </c>
      <c r="H1536" s="16">
        <f>ABS(Solieusap!H1536)</f>
        <v>0.0005837476494</v>
      </c>
      <c r="I1536" s="16">
        <f>ABS(Solieusap!I1536)</f>
        <v>3.332001606</v>
      </c>
      <c r="J1536" s="16">
        <f>ABS(Solieusap!J1536)</f>
        <v>2.251433753</v>
      </c>
      <c r="K1536" s="16">
        <f t="shared" si="1"/>
        <v>10.80057299</v>
      </c>
      <c r="L1536" s="16">
        <f t="shared" si="2"/>
        <v>3.332001606</v>
      </c>
    </row>
    <row r="1537" ht="16.5" customHeight="1">
      <c r="A1537" s="15" t="str">
        <f>Solieusap!A1537</f>
        <v>Cũ</v>
      </c>
      <c r="B1537" s="15">
        <f>Solieusap!B1537</f>
        <v>0</v>
      </c>
      <c r="C1537" s="15" t="str">
        <f>Solieusap!C1537</f>
        <v>COMB1</v>
      </c>
      <c r="D1537" s="15" t="str">
        <f>Solieusap!D1537</f>
        <v>Combination</v>
      </c>
      <c r="E1537" s="16">
        <f>ABS(Solieusap!E1537)</f>
        <v>10.81742935</v>
      </c>
      <c r="F1537" s="16">
        <f>ABS(Solieusap!F1537)</f>
        <v>0.9745490043</v>
      </c>
      <c r="G1537" s="16">
        <f>ABS(Solieusap!G1537)</f>
        <v>1.342587965</v>
      </c>
      <c r="H1537" s="16">
        <f>ABS(Solieusap!H1537)</f>
        <v>0.0005848027532</v>
      </c>
      <c r="I1537" s="16">
        <f>ABS(Solieusap!I1537)</f>
        <v>3.338796398</v>
      </c>
      <c r="J1537" s="16">
        <f>ABS(Solieusap!J1537)</f>
        <v>2.255980805</v>
      </c>
      <c r="K1537" s="16">
        <f t="shared" si="1"/>
        <v>10.81742935</v>
      </c>
      <c r="L1537" s="16">
        <f t="shared" si="2"/>
        <v>3.338796398</v>
      </c>
    </row>
    <row r="1538" ht="16.5" customHeight="1">
      <c r="A1538" s="15" t="str">
        <f>Solieusap!A1538</f>
        <v>Cũ</v>
      </c>
      <c r="B1538" s="15">
        <f>Solieusap!B1538</f>
        <v>1.75</v>
      </c>
      <c r="C1538" s="15" t="str">
        <f>Solieusap!C1538</f>
        <v>COMB1</v>
      </c>
      <c r="D1538" s="15" t="str">
        <f>Solieusap!D1538</f>
        <v>Combination</v>
      </c>
      <c r="E1538" s="16">
        <f>ABS(Solieusap!E1538)</f>
        <v>10.83428571</v>
      </c>
      <c r="F1538" s="16">
        <f>ABS(Solieusap!F1538)</f>
        <v>0.9762595238</v>
      </c>
      <c r="G1538" s="16">
        <f>ABS(Solieusap!G1538)</f>
        <v>1.344852381</v>
      </c>
      <c r="H1538" s="16">
        <f>ABS(Solieusap!H1538)</f>
        <v>0.0005858578571</v>
      </c>
      <c r="I1538" s="16">
        <f>ABS(Solieusap!I1538)</f>
        <v>3.34559119</v>
      </c>
      <c r="J1538" s="16">
        <f>ABS(Solieusap!J1538)</f>
        <v>2.260527857</v>
      </c>
      <c r="K1538" s="16">
        <f t="shared" si="1"/>
        <v>10.83428571</v>
      </c>
      <c r="L1538" s="16">
        <f t="shared" si="2"/>
        <v>3.34559119</v>
      </c>
    </row>
    <row r="1539" ht="16.5" customHeight="1">
      <c r="A1539" s="15" t="str">
        <f>Solieusap!A1539</f>
        <v>Cũ</v>
      </c>
      <c r="B1539" s="15">
        <f>Solieusap!B1539</f>
        <v>3.5</v>
      </c>
      <c r="C1539" s="15" t="str">
        <f>Solieusap!C1539</f>
        <v>COMB1</v>
      </c>
      <c r="D1539" s="15" t="str">
        <f>Solieusap!D1539</f>
        <v>Combination</v>
      </c>
      <c r="E1539" s="16">
        <f>ABS(Solieusap!E1539)</f>
        <v>10.85114208</v>
      </c>
      <c r="F1539" s="16">
        <f>ABS(Solieusap!F1539)</f>
        <v>0.9779700433</v>
      </c>
      <c r="G1539" s="16">
        <f>ABS(Solieusap!G1539)</f>
        <v>1.347116797</v>
      </c>
      <c r="H1539" s="16">
        <f>ABS(Solieusap!H1539)</f>
        <v>0.000586912961</v>
      </c>
      <c r="I1539" s="16">
        <f>ABS(Solieusap!I1539)</f>
        <v>3.352385983</v>
      </c>
      <c r="J1539" s="16">
        <f>ABS(Solieusap!J1539)</f>
        <v>2.265074909</v>
      </c>
      <c r="K1539" s="16">
        <f t="shared" si="1"/>
        <v>10.85114208</v>
      </c>
      <c r="L1539" s="16">
        <f t="shared" si="2"/>
        <v>3.352385983</v>
      </c>
    </row>
    <row r="1540" ht="16.5" customHeight="1">
      <c r="A1540" s="15" t="str">
        <f>Solieusap!A1540</f>
        <v>Cũ</v>
      </c>
      <c r="B1540" s="15">
        <f>Solieusap!B1540</f>
        <v>0</v>
      </c>
      <c r="C1540" s="15" t="str">
        <f>Solieusap!C1540</f>
        <v>COMB2</v>
      </c>
      <c r="D1540" s="15" t="str">
        <f>Solieusap!D1540</f>
        <v>Combination</v>
      </c>
      <c r="E1540" s="16">
        <f>ABS(Solieusap!E1540)</f>
        <v>10.86799844</v>
      </c>
      <c r="F1540" s="16">
        <f>ABS(Solieusap!F1540)</f>
        <v>0.9796805628</v>
      </c>
      <c r="G1540" s="16">
        <f>ABS(Solieusap!G1540)</f>
        <v>1.349381212</v>
      </c>
      <c r="H1540" s="16">
        <f>ABS(Solieusap!H1540)</f>
        <v>0.0005879680649</v>
      </c>
      <c r="I1540" s="16">
        <f>ABS(Solieusap!I1540)</f>
        <v>3.359180775</v>
      </c>
      <c r="J1540" s="16">
        <f>ABS(Solieusap!J1540)</f>
        <v>2.269621961</v>
      </c>
      <c r="K1540" s="16">
        <f t="shared" si="1"/>
        <v>10.86799844</v>
      </c>
      <c r="L1540" s="16">
        <f t="shared" si="2"/>
        <v>3.359180775</v>
      </c>
    </row>
    <row r="1541" ht="16.5" customHeight="1">
      <c r="A1541" s="15" t="str">
        <f>Solieusap!A1541</f>
        <v>Cũ</v>
      </c>
      <c r="B1541" s="15">
        <f>Solieusap!B1541</f>
        <v>1.75</v>
      </c>
      <c r="C1541" s="15" t="str">
        <f>Solieusap!C1541</f>
        <v>COMB2</v>
      </c>
      <c r="D1541" s="15" t="str">
        <f>Solieusap!D1541</f>
        <v>Combination</v>
      </c>
      <c r="E1541" s="16">
        <f>ABS(Solieusap!E1541)</f>
        <v>10.88485481</v>
      </c>
      <c r="F1541" s="16">
        <f>ABS(Solieusap!F1541)</f>
        <v>0.9813910823</v>
      </c>
      <c r="G1541" s="16">
        <f>ABS(Solieusap!G1541)</f>
        <v>1.351645628</v>
      </c>
      <c r="H1541" s="16">
        <f>ABS(Solieusap!H1541)</f>
        <v>0.0005890231688</v>
      </c>
      <c r="I1541" s="16">
        <f>ABS(Solieusap!I1541)</f>
        <v>3.365975567</v>
      </c>
      <c r="J1541" s="16">
        <f>ABS(Solieusap!J1541)</f>
        <v>2.274169013</v>
      </c>
      <c r="K1541" s="16">
        <f t="shared" si="1"/>
        <v>10.88485481</v>
      </c>
      <c r="L1541" s="16">
        <f t="shared" si="2"/>
        <v>3.365975567</v>
      </c>
    </row>
    <row r="1542" ht="16.5" customHeight="1">
      <c r="A1542" s="15" t="str">
        <f>Solieusap!A1542</f>
        <v>Cũ</v>
      </c>
      <c r="B1542" s="15">
        <f>Solieusap!B1542</f>
        <v>3.5</v>
      </c>
      <c r="C1542" s="15" t="str">
        <f>Solieusap!C1542</f>
        <v>COMB2</v>
      </c>
      <c r="D1542" s="15" t="str">
        <f>Solieusap!D1542</f>
        <v>Combination</v>
      </c>
      <c r="E1542" s="16">
        <f>ABS(Solieusap!E1542)</f>
        <v>10.90171117</v>
      </c>
      <c r="F1542" s="16">
        <f>ABS(Solieusap!F1542)</f>
        <v>0.9831016017</v>
      </c>
      <c r="G1542" s="16">
        <f>ABS(Solieusap!G1542)</f>
        <v>1.353910043</v>
      </c>
      <c r="H1542" s="16">
        <f>ABS(Solieusap!H1542)</f>
        <v>0.0005900782727</v>
      </c>
      <c r="I1542" s="16">
        <f>ABS(Solieusap!I1542)</f>
        <v>3.372770359</v>
      </c>
      <c r="J1542" s="16">
        <f>ABS(Solieusap!J1542)</f>
        <v>2.278716065</v>
      </c>
      <c r="K1542" s="16">
        <f t="shared" si="1"/>
        <v>10.90171117</v>
      </c>
      <c r="L1542" s="16">
        <f t="shared" si="2"/>
        <v>3.372770359</v>
      </c>
    </row>
    <row r="1543" ht="16.5" customHeight="1">
      <c r="A1543" s="15" t="str">
        <f>Solieusap!A1543</f>
        <v>Cũ</v>
      </c>
      <c r="B1543" s="15">
        <f>Solieusap!B1543</f>
        <v>0</v>
      </c>
      <c r="C1543" s="15" t="str">
        <f>Solieusap!C1543</f>
        <v>COMB3</v>
      </c>
      <c r="D1543" s="15" t="str">
        <f>Solieusap!D1543</f>
        <v>Combination</v>
      </c>
      <c r="E1543" s="16">
        <f>ABS(Solieusap!E1543)</f>
        <v>10.91856753</v>
      </c>
      <c r="F1543" s="16">
        <f>ABS(Solieusap!F1543)</f>
        <v>0.9848121212</v>
      </c>
      <c r="G1543" s="16">
        <f>ABS(Solieusap!G1543)</f>
        <v>1.356174459</v>
      </c>
      <c r="H1543" s="16">
        <f>ABS(Solieusap!H1543)</f>
        <v>0.0005911333766</v>
      </c>
      <c r="I1543" s="16">
        <f>ABS(Solieusap!I1543)</f>
        <v>3.379565152</v>
      </c>
      <c r="J1543" s="16">
        <f>ABS(Solieusap!J1543)</f>
        <v>2.283263117</v>
      </c>
      <c r="K1543" s="16">
        <f t="shared" si="1"/>
        <v>10.91856753</v>
      </c>
      <c r="L1543" s="16">
        <f t="shared" si="2"/>
        <v>3.379565152</v>
      </c>
    </row>
    <row r="1544" ht="16.5" customHeight="1">
      <c r="A1544" s="15" t="str">
        <f>Solieusap!A1544</f>
        <v>Cũ</v>
      </c>
      <c r="B1544" s="15">
        <f>Solieusap!B1544</f>
        <v>1.75</v>
      </c>
      <c r="C1544" s="15" t="str">
        <f>Solieusap!C1544</f>
        <v>COMB3</v>
      </c>
      <c r="D1544" s="15" t="str">
        <f>Solieusap!D1544</f>
        <v>Combination</v>
      </c>
      <c r="E1544" s="16">
        <f>ABS(Solieusap!E1544)</f>
        <v>10.9354239</v>
      </c>
      <c r="F1544" s="16">
        <f>ABS(Solieusap!F1544)</f>
        <v>0.9865226407</v>
      </c>
      <c r="G1544" s="16">
        <f>ABS(Solieusap!G1544)</f>
        <v>1.358438874</v>
      </c>
      <c r="H1544" s="16">
        <f>ABS(Solieusap!H1544)</f>
        <v>0.0005921884805</v>
      </c>
      <c r="I1544" s="16">
        <f>ABS(Solieusap!I1544)</f>
        <v>3.386359944</v>
      </c>
      <c r="J1544" s="16">
        <f>ABS(Solieusap!J1544)</f>
        <v>2.287810169</v>
      </c>
      <c r="K1544" s="16">
        <f t="shared" si="1"/>
        <v>10.9354239</v>
      </c>
      <c r="L1544" s="16">
        <f t="shared" si="2"/>
        <v>3.386359944</v>
      </c>
    </row>
    <row r="1545" ht="16.5" customHeight="1">
      <c r="A1545" s="15" t="str">
        <f>Solieusap!A1545</f>
        <v>Cũ</v>
      </c>
      <c r="B1545" s="15">
        <f>Solieusap!B1545</f>
        <v>3.5</v>
      </c>
      <c r="C1545" s="15" t="str">
        <f>Solieusap!C1545</f>
        <v>COMB3</v>
      </c>
      <c r="D1545" s="15" t="str">
        <f>Solieusap!D1545</f>
        <v>Combination</v>
      </c>
      <c r="E1545" s="16">
        <f>ABS(Solieusap!E1545)</f>
        <v>10.95228026</v>
      </c>
      <c r="F1545" s="16">
        <f>ABS(Solieusap!F1545)</f>
        <v>0.9882331602</v>
      </c>
      <c r="G1545" s="16">
        <f>ABS(Solieusap!G1545)</f>
        <v>1.36070329</v>
      </c>
      <c r="H1545" s="16">
        <f>ABS(Solieusap!H1545)</f>
        <v>0.0005932435844</v>
      </c>
      <c r="I1545" s="16">
        <f>ABS(Solieusap!I1545)</f>
        <v>3.393154736</v>
      </c>
      <c r="J1545" s="16">
        <f>ABS(Solieusap!J1545)</f>
        <v>2.292357221</v>
      </c>
      <c r="K1545" s="16">
        <f t="shared" si="1"/>
        <v>10.95228026</v>
      </c>
      <c r="L1545" s="16">
        <f t="shared" si="2"/>
        <v>3.393154736</v>
      </c>
    </row>
    <row r="1546" ht="16.5" customHeight="1">
      <c r="A1546" s="15" t="str">
        <f>Solieusap!A1546</f>
        <v>Cũ</v>
      </c>
      <c r="B1546" s="15">
        <f>Solieusap!B1546</f>
        <v>0</v>
      </c>
      <c r="C1546" s="15" t="str">
        <f>Solieusap!C1546</f>
        <v>COMB4</v>
      </c>
      <c r="D1546" s="15" t="str">
        <f>Solieusap!D1546</f>
        <v>Combination</v>
      </c>
      <c r="E1546" s="16">
        <f>ABS(Solieusap!E1546)</f>
        <v>10.96913662</v>
      </c>
      <c r="F1546" s="16">
        <f>ABS(Solieusap!F1546)</f>
        <v>0.9899436797</v>
      </c>
      <c r="G1546" s="16">
        <f>ABS(Solieusap!G1546)</f>
        <v>1.362967706</v>
      </c>
      <c r="H1546" s="16">
        <f>ABS(Solieusap!H1546)</f>
        <v>0.0005942986883</v>
      </c>
      <c r="I1546" s="16">
        <f>ABS(Solieusap!I1546)</f>
        <v>3.399949528</v>
      </c>
      <c r="J1546" s="16">
        <f>ABS(Solieusap!J1546)</f>
        <v>2.296904273</v>
      </c>
      <c r="K1546" s="16">
        <f t="shared" si="1"/>
        <v>10.96913662</v>
      </c>
      <c r="L1546" s="16">
        <f t="shared" si="2"/>
        <v>3.399949528</v>
      </c>
    </row>
    <row r="1547" ht="16.5" customHeight="1">
      <c r="A1547" s="15" t="str">
        <f>Solieusap!A1547</f>
        <v>Cũ</v>
      </c>
      <c r="B1547" s="15">
        <f>Solieusap!B1547</f>
        <v>1.75</v>
      </c>
      <c r="C1547" s="15" t="str">
        <f>Solieusap!C1547</f>
        <v>COMB4</v>
      </c>
      <c r="D1547" s="15" t="str">
        <f>Solieusap!D1547</f>
        <v>Combination</v>
      </c>
      <c r="E1547" s="16">
        <f>ABS(Solieusap!E1547)</f>
        <v>10.98599299</v>
      </c>
      <c r="F1547" s="16">
        <f>ABS(Solieusap!F1547)</f>
        <v>0.9916541991</v>
      </c>
      <c r="G1547" s="16">
        <f>ABS(Solieusap!G1547)</f>
        <v>1.365232121</v>
      </c>
      <c r="H1547" s="16">
        <f>ABS(Solieusap!H1547)</f>
        <v>0.0005953537922</v>
      </c>
      <c r="I1547" s="16">
        <f>ABS(Solieusap!I1547)</f>
        <v>3.40674432</v>
      </c>
      <c r="J1547" s="16">
        <f>ABS(Solieusap!J1547)</f>
        <v>2.301451325</v>
      </c>
      <c r="K1547" s="16">
        <f t="shared" si="1"/>
        <v>10.98599299</v>
      </c>
      <c r="L1547" s="16">
        <f t="shared" si="2"/>
        <v>3.40674432</v>
      </c>
    </row>
    <row r="1548" ht="16.5" customHeight="1">
      <c r="A1548" s="15" t="str">
        <f>Solieusap!A1548</f>
        <v>Cũ</v>
      </c>
      <c r="B1548" s="15">
        <f>Solieusap!B1548</f>
        <v>3.5</v>
      </c>
      <c r="C1548" s="15" t="str">
        <f>Solieusap!C1548</f>
        <v>COMB4</v>
      </c>
      <c r="D1548" s="15" t="str">
        <f>Solieusap!D1548</f>
        <v>Combination</v>
      </c>
      <c r="E1548" s="16">
        <f>ABS(Solieusap!E1548)</f>
        <v>11.00284935</v>
      </c>
      <c r="F1548" s="16">
        <f>ABS(Solieusap!F1548)</f>
        <v>0.9933647186</v>
      </c>
      <c r="G1548" s="16">
        <f>ABS(Solieusap!G1548)</f>
        <v>1.367496537</v>
      </c>
      <c r="H1548" s="16">
        <f>ABS(Solieusap!H1548)</f>
        <v>0.0005964088961</v>
      </c>
      <c r="I1548" s="16">
        <f>ABS(Solieusap!I1548)</f>
        <v>3.413539113</v>
      </c>
      <c r="J1548" s="16">
        <f>ABS(Solieusap!J1548)</f>
        <v>2.305998377</v>
      </c>
      <c r="K1548" s="16">
        <f t="shared" si="1"/>
        <v>11.00284935</v>
      </c>
      <c r="L1548" s="16">
        <f t="shared" si="2"/>
        <v>3.413539113</v>
      </c>
    </row>
    <row r="1549" ht="16.5" customHeight="1">
      <c r="A1549" s="15" t="str">
        <f>Solieusap!A1549</f>
        <v>Cũ</v>
      </c>
      <c r="B1549" s="15">
        <f>Solieusap!B1549</f>
        <v>0</v>
      </c>
      <c r="C1549" s="15" t="str">
        <f>Solieusap!C1549</f>
        <v>COMB5</v>
      </c>
      <c r="D1549" s="15" t="str">
        <f>Solieusap!D1549</f>
        <v>Combination</v>
      </c>
      <c r="E1549" s="16">
        <f>ABS(Solieusap!E1549)</f>
        <v>11.01970571</v>
      </c>
      <c r="F1549" s="16">
        <f>ABS(Solieusap!F1549)</f>
        <v>0.9950752381</v>
      </c>
      <c r="G1549" s="16">
        <f>ABS(Solieusap!G1549)</f>
        <v>1.369760952</v>
      </c>
      <c r="H1549" s="16">
        <f>ABS(Solieusap!H1549)</f>
        <v>0.000597464</v>
      </c>
      <c r="I1549" s="16">
        <f>ABS(Solieusap!I1549)</f>
        <v>3.420333905</v>
      </c>
      <c r="J1549" s="16">
        <f>ABS(Solieusap!J1549)</f>
        <v>2.310545429</v>
      </c>
      <c r="K1549" s="16">
        <f t="shared" si="1"/>
        <v>11.01970571</v>
      </c>
      <c r="L1549" s="16">
        <f t="shared" si="2"/>
        <v>3.420333905</v>
      </c>
    </row>
    <row r="1550" ht="16.5" customHeight="1">
      <c r="A1550" s="15" t="str">
        <f>Solieusap!A1550</f>
        <v>Cũ</v>
      </c>
      <c r="B1550" s="15">
        <f>Solieusap!B1550</f>
        <v>1.75</v>
      </c>
      <c r="C1550" s="15" t="str">
        <f>Solieusap!C1550</f>
        <v>COMB5</v>
      </c>
      <c r="D1550" s="15" t="str">
        <f>Solieusap!D1550</f>
        <v>Combination</v>
      </c>
      <c r="E1550" s="16">
        <f>ABS(Solieusap!E1550)</f>
        <v>11.03656208</v>
      </c>
      <c r="F1550" s="16">
        <f>ABS(Solieusap!F1550)</f>
        <v>0.9967857576</v>
      </c>
      <c r="G1550" s="16">
        <f>ABS(Solieusap!G1550)</f>
        <v>1.372025368</v>
      </c>
      <c r="H1550" s="16">
        <f>ABS(Solieusap!H1550)</f>
        <v>0.0005985191039</v>
      </c>
      <c r="I1550" s="16">
        <f>ABS(Solieusap!I1550)</f>
        <v>3.427128697</v>
      </c>
      <c r="J1550" s="16">
        <f>ABS(Solieusap!J1550)</f>
        <v>2.315092481</v>
      </c>
      <c r="K1550" s="16">
        <f t="shared" si="1"/>
        <v>11.03656208</v>
      </c>
      <c r="L1550" s="16">
        <f t="shared" si="2"/>
        <v>3.427128697</v>
      </c>
    </row>
    <row r="1551" ht="16.5" customHeight="1">
      <c r="A1551" s="15" t="str">
        <f>Solieusap!A1551</f>
        <v>Cũ</v>
      </c>
      <c r="B1551" s="15">
        <f>Solieusap!B1551</f>
        <v>3.5</v>
      </c>
      <c r="C1551" s="15" t="str">
        <f>Solieusap!C1551</f>
        <v>COMB5</v>
      </c>
      <c r="D1551" s="15" t="str">
        <f>Solieusap!D1551</f>
        <v>Combination</v>
      </c>
      <c r="E1551" s="16">
        <f>ABS(Solieusap!E1551)</f>
        <v>11.05341844</v>
      </c>
      <c r="F1551" s="16">
        <f>ABS(Solieusap!F1551)</f>
        <v>0.9984962771</v>
      </c>
      <c r="G1551" s="16">
        <f>ABS(Solieusap!G1551)</f>
        <v>1.374289784</v>
      </c>
      <c r="H1551" s="16">
        <f>ABS(Solieusap!H1551)</f>
        <v>0.0005995742078</v>
      </c>
      <c r="I1551" s="16">
        <f>ABS(Solieusap!I1551)</f>
        <v>3.433923489</v>
      </c>
      <c r="J1551" s="16">
        <f>ABS(Solieusap!J1551)</f>
        <v>2.319639532</v>
      </c>
      <c r="K1551" s="16">
        <f t="shared" si="1"/>
        <v>11.05341844</v>
      </c>
      <c r="L1551" s="16">
        <f t="shared" si="2"/>
        <v>3.433923489</v>
      </c>
    </row>
    <row r="1552" ht="16.5" customHeight="1">
      <c r="A1552" s="15" t="str">
        <f>Solieusap!A1552</f>
        <v>Cũ</v>
      </c>
      <c r="B1552" s="15">
        <f>Solieusap!B1552</f>
        <v>0</v>
      </c>
      <c r="C1552" s="15" t="str">
        <f>Solieusap!C1552</f>
        <v>COMB6</v>
      </c>
      <c r="D1552" s="15" t="str">
        <f>Solieusap!D1552</f>
        <v>Combination</v>
      </c>
      <c r="E1552" s="16">
        <f>ABS(Solieusap!E1552)</f>
        <v>11.07027481</v>
      </c>
      <c r="F1552" s="16">
        <f>ABS(Solieusap!F1552)</f>
        <v>1.000206797</v>
      </c>
      <c r="G1552" s="16">
        <f>ABS(Solieusap!G1552)</f>
        <v>1.376554199</v>
      </c>
      <c r="H1552" s="16">
        <f>ABS(Solieusap!H1552)</f>
        <v>0.0006006293117</v>
      </c>
      <c r="I1552" s="16">
        <f>ABS(Solieusap!I1552)</f>
        <v>3.440718281</v>
      </c>
      <c r="J1552" s="16">
        <f>ABS(Solieusap!J1552)</f>
        <v>2.324186584</v>
      </c>
      <c r="K1552" s="16">
        <f t="shared" si="1"/>
        <v>11.07027481</v>
      </c>
      <c r="L1552" s="16">
        <f t="shared" si="2"/>
        <v>3.440718281</v>
      </c>
    </row>
    <row r="1553" ht="16.5" customHeight="1">
      <c r="A1553" s="15" t="str">
        <f>Solieusap!A1553</f>
        <v>Cũ</v>
      </c>
      <c r="B1553" s="15">
        <f>Solieusap!B1553</f>
        <v>1.75</v>
      </c>
      <c r="C1553" s="15" t="str">
        <f>Solieusap!C1553</f>
        <v>COMB6</v>
      </c>
      <c r="D1553" s="15" t="str">
        <f>Solieusap!D1553</f>
        <v>Combination</v>
      </c>
      <c r="E1553" s="16">
        <f>ABS(Solieusap!E1553)</f>
        <v>11.08713117</v>
      </c>
      <c r="F1553" s="16">
        <f>ABS(Solieusap!F1553)</f>
        <v>1.001917316</v>
      </c>
      <c r="G1553" s="16">
        <f>ABS(Solieusap!G1553)</f>
        <v>1.378818615</v>
      </c>
      <c r="H1553" s="16">
        <f>ABS(Solieusap!H1553)</f>
        <v>0.0006016844156</v>
      </c>
      <c r="I1553" s="16">
        <f>ABS(Solieusap!I1553)</f>
        <v>3.447513074</v>
      </c>
      <c r="J1553" s="16">
        <f>ABS(Solieusap!J1553)</f>
        <v>2.328733636</v>
      </c>
      <c r="K1553" s="16">
        <f t="shared" si="1"/>
        <v>11.08713117</v>
      </c>
      <c r="L1553" s="16">
        <f t="shared" si="2"/>
        <v>3.447513074</v>
      </c>
    </row>
    <row r="1554" ht="16.5" customHeight="1">
      <c r="A1554" s="15" t="str">
        <f>Solieusap!A1554</f>
        <v>Cũ</v>
      </c>
      <c r="B1554" s="15">
        <f>Solieusap!B1554</f>
        <v>3.5</v>
      </c>
      <c r="C1554" s="15" t="str">
        <f>Solieusap!C1554</f>
        <v>COMB6</v>
      </c>
      <c r="D1554" s="15" t="str">
        <f>Solieusap!D1554</f>
        <v>Combination</v>
      </c>
      <c r="E1554" s="16">
        <f>ABS(Solieusap!E1554)</f>
        <v>11.10398753</v>
      </c>
      <c r="F1554" s="16">
        <f>ABS(Solieusap!F1554)</f>
        <v>1.003627835</v>
      </c>
      <c r="G1554" s="16">
        <f>ABS(Solieusap!G1554)</f>
        <v>1.38108303</v>
      </c>
      <c r="H1554" s="16">
        <f>ABS(Solieusap!H1554)</f>
        <v>0.0006027395195</v>
      </c>
      <c r="I1554" s="16">
        <f>ABS(Solieusap!I1554)</f>
        <v>3.454307866</v>
      </c>
      <c r="J1554" s="16">
        <f>ABS(Solieusap!J1554)</f>
        <v>2.333280688</v>
      </c>
      <c r="K1554" s="16">
        <f t="shared" si="1"/>
        <v>11.10398753</v>
      </c>
      <c r="L1554" s="16">
        <f t="shared" si="2"/>
        <v>3.454307866</v>
      </c>
    </row>
    <row r="1555" ht="16.5" customHeight="1">
      <c r="A1555" s="15" t="str">
        <f>Solieusap!A1555</f>
        <v>Cũ</v>
      </c>
      <c r="B1555" s="15">
        <f>Solieusap!B1555</f>
        <v>0</v>
      </c>
      <c r="C1555" s="15" t="str">
        <f>Solieusap!C1555</f>
        <v>COMB7</v>
      </c>
      <c r="D1555" s="15" t="str">
        <f>Solieusap!D1555</f>
        <v>Combination</v>
      </c>
      <c r="E1555" s="16">
        <f>ABS(Solieusap!E1555)</f>
        <v>11.1208439</v>
      </c>
      <c r="F1555" s="16">
        <f>ABS(Solieusap!F1555)</f>
        <v>1.005338355</v>
      </c>
      <c r="G1555" s="16">
        <f>ABS(Solieusap!G1555)</f>
        <v>1.383347446</v>
      </c>
      <c r="H1555" s="16">
        <f>ABS(Solieusap!H1555)</f>
        <v>0.0006037946234</v>
      </c>
      <c r="I1555" s="16">
        <f>ABS(Solieusap!I1555)</f>
        <v>3.461102658</v>
      </c>
      <c r="J1555" s="16">
        <f>ABS(Solieusap!J1555)</f>
        <v>2.33782774</v>
      </c>
      <c r="K1555" s="16">
        <f t="shared" si="1"/>
        <v>11.1208439</v>
      </c>
      <c r="L1555" s="16">
        <f t="shared" si="2"/>
        <v>3.461102658</v>
      </c>
    </row>
    <row r="1556" ht="16.5" customHeight="1">
      <c r="A1556" s="15" t="str">
        <f>Solieusap!A1556</f>
        <v>Cũ</v>
      </c>
      <c r="B1556" s="15">
        <f>Solieusap!B1556</f>
        <v>1.75</v>
      </c>
      <c r="C1556" s="15" t="str">
        <f>Solieusap!C1556</f>
        <v>COMB7</v>
      </c>
      <c r="D1556" s="15" t="str">
        <f>Solieusap!D1556</f>
        <v>Combination</v>
      </c>
      <c r="E1556" s="16">
        <f>ABS(Solieusap!E1556)</f>
        <v>11.13770026</v>
      </c>
      <c r="F1556" s="16">
        <f>ABS(Solieusap!F1556)</f>
        <v>1.007048874</v>
      </c>
      <c r="G1556" s="16">
        <f>ABS(Solieusap!G1556)</f>
        <v>1.385611861</v>
      </c>
      <c r="H1556" s="16">
        <f>ABS(Solieusap!H1556)</f>
        <v>0.0006048497273</v>
      </c>
      <c r="I1556" s="16">
        <f>ABS(Solieusap!I1556)</f>
        <v>3.46789745</v>
      </c>
      <c r="J1556" s="16">
        <f>ABS(Solieusap!J1556)</f>
        <v>2.342374792</v>
      </c>
      <c r="K1556" s="16">
        <f t="shared" si="1"/>
        <v>11.13770026</v>
      </c>
      <c r="L1556" s="16">
        <f t="shared" si="2"/>
        <v>3.46789745</v>
      </c>
    </row>
    <row r="1557" ht="16.5" customHeight="1">
      <c r="A1557" s="15" t="str">
        <f>Solieusap!A1557</f>
        <v>Cũ</v>
      </c>
      <c r="B1557" s="15">
        <f>Solieusap!B1557</f>
        <v>3.5</v>
      </c>
      <c r="C1557" s="15" t="str">
        <f>Solieusap!C1557</f>
        <v>COMB7</v>
      </c>
      <c r="D1557" s="15" t="str">
        <f>Solieusap!D1557</f>
        <v>Combination</v>
      </c>
      <c r="E1557" s="16">
        <f>ABS(Solieusap!E1557)</f>
        <v>11.15455662</v>
      </c>
      <c r="F1557" s="16">
        <f>ABS(Solieusap!F1557)</f>
        <v>1.008759394</v>
      </c>
      <c r="G1557" s="16">
        <f>ABS(Solieusap!G1557)</f>
        <v>1.387876277</v>
      </c>
      <c r="H1557" s="16">
        <f>ABS(Solieusap!H1557)</f>
        <v>0.0006059048312</v>
      </c>
      <c r="I1557" s="16">
        <f>ABS(Solieusap!I1557)</f>
        <v>3.474692242</v>
      </c>
      <c r="J1557" s="16">
        <f>ABS(Solieusap!J1557)</f>
        <v>2.346921844</v>
      </c>
      <c r="K1557" s="16">
        <f t="shared" si="1"/>
        <v>11.15455662</v>
      </c>
      <c r="L1557" s="16">
        <f t="shared" si="2"/>
        <v>3.474692242</v>
      </c>
    </row>
    <row r="1558" ht="16.5" customHeight="1">
      <c r="A1558" s="15" t="str">
        <f>Solieusap!A1558</f>
        <v>Cũ</v>
      </c>
      <c r="B1558" s="15">
        <f>Solieusap!B1558</f>
        <v>0</v>
      </c>
      <c r="C1558" s="15" t="str">
        <f>Solieusap!C1558</f>
        <v>COMB1</v>
      </c>
      <c r="D1558" s="15" t="str">
        <f>Solieusap!D1558</f>
        <v>Combination</v>
      </c>
      <c r="E1558" s="16">
        <f>ABS(Solieusap!E1558)</f>
        <v>11.17141299</v>
      </c>
      <c r="F1558" s="16">
        <f>ABS(Solieusap!F1558)</f>
        <v>1.010469913</v>
      </c>
      <c r="G1558" s="16">
        <f>ABS(Solieusap!G1558)</f>
        <v>1.390140693</v>
      </c>
      <c r="H1558" s="16">
        <f>ABS(Solieusap!H1558)</f>
        <v>0.0006069599351</v>
      </c>
      <c r="I1558" s="16">
        <f>ABS(Solieusap!I1558)</f>
        <v>3.481487035</v>
      </c>
      <c r="J1558" s="16">
        <f>ABS(Solieusap!J1558)</f>
        <v>2.351468896</v>
      </c>
      <c r="K1558" s="16">
        <f t="shared" si="1"/>
        <v>11.17141299</v>
      </c>
      <c r="L1558" s="16">
        <f t="shared" si="2"/>
        <v>3.481487035</v>
      </c>
    </row>
    <row r="1559" ht="16.5" customHeight="1">
      <c r="A1559" s="15" t="str">
        <f>Solieusap!A1559</f>
        <v>Cũ</v>
      </c>
      <c r="B1559" s="15">
        <f>Solieusap!B1559</f>
        <v>1.75</v>
      </c>
      <c r="C1559" s="15" t="str">
        <f>Solieusap!C1559</f>
        <v>COMB1</v>
      </c>
      <c r="D1559" s="15" t="str">
        <f>Solieusap!D1559</f>
        <v>Combination</v>
      </c>
      <c r="E1559" s="16">
        <f>ABS(Solieusap!E1559)</f>
        <v>11.18826935</v>
      </c>
      <c r="F1559" s="16">
        <f>ABS(Solieusap!F1559)</f>
        <v>1.012180433</v>
      </c>
      <c r="G1559" s="16">
        <f>ABS(Solieusap!G1559)</f>
        <v>1.392405108</v>
      </c>
      <c r="H1559" s="16">
        <f>ABS(Solieusap!H1559)</f>
        <v>0.000608015039</v>
      </c>
      <c r="I1559" s="16">
        <f>ABS(Solieusap!I1559)</f>
        <v>3.488281827</v>
      </c>
      <c r="J1559" s="16">
        <f>ABS(Solieusap!J1559)</f>
        <v>2.356015948</v>
      </c>
      <c r="K1559" s="16">
        <f t="shared" si="1"/>
        <v>11.18826935</v>
      </c>
      <c r="L1559" s="16">
        <f t="shared" si="2"/>
        <v>3.488281827</v>
      </c>
    </row>
    <row r="1560" ht="16.5" customHeight="1">
      <c r="A1560" s="15" t="str">
        <f>Solieusap!A1560</f>
        <v>Cũ</v>
      </c>
      <c r="B1560" s="15">
        <f>Solieusap!B1560</f>
        <v>3.5</v>
      </c>
      <c r="C1560" s="15" t="str">
        <f>Solieusap!C1560</f>
        <v>COMB1</v>
      </c>
      <c r="D1560" s="15" t="str">
        <f>Solieusap!D1560</f>
        <v>Combination</v>
      </c>
      <c r="E1560" s="16">
        <f>ABS(Solieusap!E1560)</f>
        <v>11.20512571</v>
      </c>
      <c r="F1560" s="16">
        <f>ABS(Solieusap!F1560)</f>
        <v>1.013890952</v>
      </c>
      <c r="G1560" s="16">
        <f>ABS(Solieusap!G1560)</f>
        <v>1.394669524</v>
      </c>
      <c r="H1560" s="16">
        <f>ABS(Solieusap!H1560)</f>
        <v>0.0006090701429</v>
      </c>
      <c r="I1560" s="16">
        <f>ABS(Solieusap!I1560)</f>
        <v>3.495076619</v>
      </c>
      <c r="J1560" s="16">
        <f>ABS(Solieusap!J1560)</f>
        <v>2.360563</v>
      </c>
      <c r="K1560" s="16">
        <f t="shared" si="1"/>
        <v>11.20512571</v>
      </c>
      <c r="L1560" s="16">
        <f t="shared" si="2"/>
        <v>3.495076619</v>
      </c>
    </row>
    <row r="1561" ht="16.5" customHeight="1">
      <c r="A1561" s="15" t="str">
        <f>Solieusap!A1561</f>
        <v>Cũ</v>
      </c>
      <c r="B1561" s="15">
        <f>Solieusap!B1561</f>
        <v>0</v>
      </c>
      <c r="C1561" s="15" t="str">
        <f>Solieusap!C1561</f>
        <v>COMB2</v>
      </c>
      <c r="D1561" s="15" t="str">
        <f>Solieusap!D1561</f>
        <v>Combination</v>
      </c>
      <c r="E1561" s="16">
        <f>ABS(Solieusap!E1561)</f>
        <v>11.22198208</v>
      </c>
      <c r="F1561" s="16">
        <f>ABS(Solieusap!F1561)</f>
        <v>1.015601472</v>
      </c>
      <c r="G1561" s="16">
        <f>ABS(Solieusap!G1561)</f>
        <v>1.396933939</v>
      </c>
      <c r="H1561" s="16">
        <f>ABS(Solieusap!H1561)</f>
        <v>0.0006101252468</v>
      </c>
      <c r="I1561" s="16">
        <f>ABS(Solieusap!I1561)</f>
        <v>3.501871411</v>
      </c>
      <c r="J1561" s="16">
        <f>ABS(Solieusap!J1561)</f>
        <v>2.365110052</v>
      </c>
      <c r="K1561" s="16">
        <f t="shared" si="1"/>
        <v>11.22198208</v>
      </c>
      <c r="L1561" s="16">
        <f t="shared" si="2"/>
        <v>3.501871411</v>
      </c>
    </row>
    <row r="1562" ht="16.5" customHeight="1">
      <c r="A1562" s="15" t="str">
        <f>Solieusap!A1562</f>
        <v>Cũ</v>
      </c>
      <c r="B1562" s="15">
        <f>Solieusap!B1562</f>
        <v>1.75</v>
      </c>
      <c r="C1562" s="15" t="str">
        <f>Solieusap!C1562</f>
        <v>COMB2</v>
      </c>
      <c r="D1562" s="15" t="str">
        <f>Solieusap!D1562</f>
        <v>Combination</v>
      </c>
      <c r="E1562" s="16">
        <f>ABS(Solieusap!E1562)</f>
        <v>11.23883844</v>
      </c>
      <c r="F1562" s="16">
        <f>ABS(Solieusap!F1562)</f>
        <v>1.017311991</v>
      </c>
      <c r="G1562" s="16">
        <f>ABS(Solieusap!G1562)</f>
        <v>1.399198355</v>
      </c>
      <c r="H1562" s="16">
        <f>ABS(Solieusap!H1562)</f>
        <v>0.0006111803506</v>
      </c>
      <c r="I1562" s="16">
        <f>ABS(Solieusap!I1562)</f>
        <v>3.508666203</v>
      </c>
      <c r="J1562" s="16">
        <f>ABS(Solieusap!J1562)</f>
        <v>2.369657104</v>
      </c>
      <c r="K1562" s="16">
        <f t="shared" si="1"/>
        <v>11.23883844</v>
      </c>
      <c r="L1562" s="16">
        <f t="shared" si="2"/>
        <v>3.508666203</v>
      </c>
    </row>
    <row r="1563" ht="16.5" customHeight="1">
      <c r="A1563" s="15" t="str">
        <f>Solieusap!A1563</f>
        <v>Cũ</v>
      </c>
      <c r="B1563" s="15">
        <f>Solieusap!B1563</f>
        <v>3.5</v>
      </c>
      <c r="C1563" s="15" t="str">
        <f>Solieusap!C1563</f>
        <v>COMB2</v>
      </c>
      <c r="D1563" s="15" t="str">
        <f>Solieusap!D1563</f>
        <v>Combination</v>
      </c>
      <c r="E1563" s="16">
        <f>ABS(Solieusap!E1563)</f>
        <v>11.25569481</v>
      </c>
      <c r="F1563" s="16">
        <f>ABS(Solieusap!F1563)</f>
        <v>1.019022511</v>
      </c>
      <c r="G1563" s="16">
        <f>ABS(Solieusap!G1563)</f>
        <v>1.401462771</v>
      </c>
      <c r="H1563" s="16">
        <f>ABS(Solieusap!H1563)</f>
        <v>0.0006122354545</v>
      </c>
      <c r="I1563" s="16">
        <f>ABS(Solieusap!I1563)</f>
        <v>3.515460996</v>
      </c>
      <c r="J1563" s="16">
        <f>ABS(Solieusap!J1563)</f>
        <v>2.374204156</v>
      </c>
      <c r="K1563" s="16">
        <f t="shared" si="1"/>
        <v>11.25569481</v>
      </c>
      <c r="L1563" s="16">
        <f t="shared" si="2"/>
        <v>3.515460996</v>
      </c>
    </row>
    <row r="1564" ht="16.5" customHeight="1">
      <c r="A1564" s="15" t="str">
        <f>Solieusap!A1564</f>
        <v>Cũ</v>
      </c>
      <c r="B1564" s="15">
        <f>Solieusap!B1564</f>
        <v>0</v>
      </c>
      <c r="C1564" s="15" t="str">
        <f>Solieusap!C1564</f>
        <v>COMB3</v>
      </c>
      <c r="D1564" s="15" t="str">
        <f>Solieusap!D1564</f>
        <v>Combination</v>
      </c>
      <c r="E1564" s="16">
        <f>ABS(Solieusap!E1564)</f>
        <v>11.27255117</v>
      </c>
      <c r="F1564" s="16">
        <f>ABS(Solieusap!F1564)</f>
        <v>1.02073303</v>
      </c>
      <c r="G1564" s="16">
        <f>ABS(Solieusap!G1564)</f>
        <v>1.403727186</v>
      </c>
      <c r="H1564" s="16">
        <f>ABS(Solieusap!H1564)</f>
        <v>0.0006132905584</v>
      </c>
      <c r="I1564" s="16">
        <f>ABS(Solieusap!I1564)</f>
        <v>3.522255788</v>
      </c>
      <c r="J1564" s="16">
        <f>ABS(Solieusap!J1564)</f>
        <v>2.378751208</v>
      </c>
      <c r="K1564" s="16">
        <f t="shared" si="1"/>
        <v>11.27255117</v>
      </c>
      <c r="L1564" s="16">
        <f t="shared" si="2"/>
        <v>3.522255788</v>
      </c>
    </row>
    <row r="1565" ht="16.5" customHeight="1">
      <c r="A1565" s="15" t="str">
        <f>Solieusap!A1565</f>
        <v>Cũ</v>
      </c>
      <c r="B1565" s="15">
        <f>Solieusap!B1565</f>
        <v>1.75</v>
      </c>
      <c r="C1565" s="15" t="str">
        <f>Solieusap!C1565</f>
        <v>COMB3</v>
      </c>
      <c r="D1565" s="15" t="str">
        <f>Solieusap!D1565</f>
        <v>Combination</v>
      </c>
      <c r="E1565" s="16">
        <f>ABS(Solieusap!E1565)</f>
        <v>11.28940753</v>
      </c>
      <c r="F1565" s="16">
        <f>ABS(Solieusap!F1565)</f>
        <v>1.02244355</v>
      </c>
      <c r="G1565" s="16">
        <f>ABS(Solieusap!G1565)</f>
        <v>1.405991602</v>
      </c>
      <c r="H1565" s="16">
        <f>ABS(Solieusap!H1565)</f>
        <v>0.0006143456623</v>
      </c>
      <c r="I1565" s="16">
        <f>ABS(Solieusap!I1565)</f>
        <v>3.52905058</v>
      </c>
      <c r="J1565" s="16">
        <f>ABS(Solieusap!J1565)</f>
        <v>2.38329826</v>
      </c>
      <c r="K1565" s="16">
        <f t="shared" si="1"/>
        <v>11.28940753</v>
      </c>
      <c r="L1565" s="16">
        <f t="shared" si="2"/>
        <v>3.52905058</v>
      </c>
    </row>
    <row r="1566" ht="16.5" customHeight="1">
      <c r="A1566" s="15" t="str">
        <f>Solieusap!A1566</f>
        <v>Cũ</v>
      </c>
      <c r="B1566" s="15">
        <f>Solieusap!B1566</f>
        <v>3.5</v>
      </c>
      <c r="C1566" s="15" t="str">
        <f>Solieusap!C1566</f>
        <v>COMB3</v>
      </c>
      <c r="D1566" s="15" t="str">
        <f>Solieusap!D1566</f>
        <v>Combination</v>
      </c>
      <c r="E1566" s="16">
        <f>ABS(Solieusap!E1566)</f>
        <v>11.3062639</v>
      </c>
      <c r="F1566" s="16">
        <f>ABS(Solieusap!F1566)</f>
        <v>1.024154069</v>
      </c>
      <c r="G1566" s="16">
        <f>ABS(Solieusap!G1566)</f>
        <v>1.408256017</v>
      </c>
      <c r="H1566" s="16">
        <f>ABS(Solieusap!H1566)</f>
        <v>0.0006154007662</v>
      </c>
      <c r="I1566" s="16">
        <f>ABS(Solieusap!I1566)</f>
        <v>3.535845372</v>
      </c>
      <c r="J1566" s="16">
        <f>ABS(Solieusap!J1566)</f>
        <v>2.387845312</v>
      </c>
      <c r="K1566" s="16">
        <f t="shared" si="1"/>
        <v>11.3062639</v>
      </c>
      <c r="L1566" s="16">
        <f t="shared" si="2"/>
        <v>3.535845372</v>
      </c>
    </row>
    <row r="1567" ht="16.5" customHeight="1">
      <c r="A1567" s="15" t="str">
        <f>Solieusap!A1567</f>
        <v>Cũ</v>
      </c>
      <c r="B1567" s="15">
        <f>Solieusap!B1567</f>
        <v>0</v>
      </c>
      <c r="C1567" s="15" t="str">
        <f>Solieusap!C1567</f>
        <v>COMB4</v>
      </c>
      <c r="D1567" s="15" t="str">
        <f>Solieusap!D1567</f>
        <v>Combination</v>
      </c>
      <c r="E1567" s="16">
        <f>ABS(Solieusap!E1567)</f>
        <v>11.32312026</v>
      </c>
      <c r="F1567" s="16">
        <f>ABS(Solieusap!F1567)</f>
        <v>1.025864589</v>
      </c>
      <c r="G1567" s="16">
        <f>ABS(Solieusap!G1567)</f>
        <v>1.410520433</v>
      </c>
      <c r="H1567" s="16">
        <f>ABS(Solieusap!H1567)</f>
        <v>0.0006164558701</v>
      </c>
      <c r="I1567" s="16">
        <f>ABS(Solieusap!I1567)</f>
        <v>3.542640165</v>
      </c>
      <c r="J1567" s="16">
        <f>ABS(Solieusap!J1567)</f>
        <v>2.392392364</v>
      </c>
      <c r="K1567" s="16">
        <f t="shared" si="1"/>
        <v>11.32312026</v>
      </c>
      <c r="L1567" s="16">
        <f t="shared" si="2"/>
        <v>3.542640165</v>
      </c>
    </row>
    <row r="1568" ht="16.5" customHeight="1">
      <c r="A1568" s="15" t="str">
        <f>Solieusap!A1568</f>
        <v>Cũ</v>
      </c>
      <c r="B1568" s="15">
        <f>Solieusap!B1568</f>
        <v>1.75</v>
      </c>
      <c r="C1568" s="15" t="str">
        <f>Solieusap!C1568</f>
        <v>COMB4</v>
      </c>
      <c r="D1568" s="15" t="str">
        <f>Solieusap!D1568</f>
        <v>Combination</v>
      </c>
      <c r="E1568" s="16">
        <f>ABS(Solieusap!E1568)</f>
        <v>11.33997662</v>
      </c>
      <c r="F1568" s="16">
        <f>ABS(Solieusap!F1568)</f>
        <v>1.027575108</v>
      </c>
      <c r="G1568" s="16">
        <f>ABS(Solieusap!G1568)</f>
        <v>1.412784848</v>
      </c>
      <c r="H1568" s="16">
        <f>ABS(Solieusap!H1568)</f>
        <v>0.000617510974</v>
      </c>
      <c r="I1568" s="16">
        <f>ABS(Solieusap!I1568)</f>
        <v>3.549434957</v>
      </c>
      <c r="J1568" s="16">
        <f>ABS(Solieusap!J1568)</f>
        <v>2.396939416</v>
      </c>
      <c r="K1568" s="16">
        <f t="shared" si="1"/>
        <v>11.33997662</v>
      </c>
      <c r="L1568" s="16">
        <f t="shared" si="2"/>
        <v>3.549434957</v>
      </c>
    </row>
    <row r="1569" ht="16.5" customHeight="1">
      <c r="A1569" s="15" t="str">
        <f>Solieusap!A1569</f>
        <v>Cũ</v>
      </c>
      <c r="B1569" s="15">
        <f>Solieusap!B1569</f>
        <v>3.5</v>
      </c>
      <c r="C1569" s="15" t="str">
        <f>Solieusap!C1569</f>
        <v>COMB4</v>
      </c>
      <c r="D1569" s="15" t="str">
        <f>Solieusap!D1569</f>
        <v>Combination</v>
      </c>
      <c r="E1569" s="16">
        <f>ABS(Solieusap!E1569)</f>
        <v>11.35683299</v>
      </c>
      <c r="F1569" s="16">
        <f>ABS(Solieusap!F1569)</f>
        <v>1.029285628</v>
      </c>
      <c r="G1569" s="16">
        <f>ABS(Solieusap!G1569)</f>
        <v>1.415049264</v>
      </c>
      <c r="H1569" s="16">
        <f>ABS(Solieusap!H1569)</f>
        <v>0.0006185660779</v>
      </c>
      <c r="I1569" s="16">
        <f>ABS(Solieusap!I1569)</f>
        <v>3.556229749</v>
      </c>
      <c r="J1569" s="16">
        <f>ABS(Solieusap!J1569)</f>
        <v>2.401486468</v>
      </c>
      <c r="K1569" s="16">
        <f t="shared" si="1"/>
        <v>11.35683299</v>
      </c>
      <c r="L1569" s="16">
        <f t="shared" si="2"/>
        <v>3.556229749</v>
      </c>
    </row>
    <row r="1570" ht="16.5" customHeight="1">
      <c r="A1570" s="15" t="str">
        <f>Solieusap!A1570</f>
        <v>Cũ</v>
      </c>
      <c r="B1570" s="15">
        <f>Solieusap!B1570</f>
        <v>0</v>
      </c>
      <c r="C1570" s="15" t="str">
        <f>Solieusap!C1570</f>
        <v>COMB5</v>
      </c>
      <c r="D1570" s="15" t="str">
        <f>Solieusap!D1570</f>
        <v>Combination</v>
      </c>
      <c r="E1570" s="16">
        <f>ABS(Solieusap!E1570)</f>
        <v>11.37368935</v>
      </c>
      <c r="F1570" s="16">
        <f>ABS(Solieusap!F1570)</f>
        <v>1.030996147</v>
      </c>
      <c r="G1570" s="16">
        <f>ABS(Solieusap!G1570)</f>
        <v>1.41731368</v>
      </c>
      <c r="H1570" s="16">
        <f>ABS(Solieusap!H1570)</f>
        <v>0.0006196211818</v>
      </c>
      <c r="I1570" s="16">
        <f>ABS(Solieusap!I1570)</f>
        <v>3.563024541</v>
      </c>
      <c r="J1570" s="16">
        <f>ABS(Solieusap!J1570)</f>
        <v>2.406033519</v>
      </c>
      <c r="K1570" s="16">
        <f t="shared" si="1"/>
        <v>11.37368935</v>
      </c>
      <c r="L1570" s="16">
        <f t="shared" si="2"/>
        <v>3.563024541</v>
      </c>
    </row>
    <row r="1571" ht="16.5" customHeight="1">
      <c r="A1571" s="15" t="str">
        <f>Solieusap!A1571</f>
        <v>Cũ</v>
      </c>
      <c r="B1571" s="15">
        <f>Solieusap!B1571</f>
        <v>1.75</v>
      </c>
      <c r="C1571" s="15" t="str">
        <f>Solieusap!C1571</f>
        <v>COMB5</v>
      </c>
      <c r="D1571" s="15" t="str">
        <f>Solieusap!D1571</f>
        <v>Combination</v>
      </c>
      <c r="E1571" s="16">
        <f>ABS(Solieusap!E1571)</f>
        <v>11.39054571</v>
      </c>
      <c r="F1571" s="16">
        <f>ABS(Solieusap!F1571)</f>
        <v>1.032706667</v>
      </c>
      <c r="G1571" s="16">
        <f>ABS(Solieusap!G1571)</f>
        <v>1.419578095</v>
      </c>
      <c r="H1571" s="16">
        <f>ABS(Solieusap!H1571)</f>
        <v>0.0006206762857</v>
      </c>
      <c r="I1571" s="16">
        <f>ABS(Solieusap!I1571)</f>
        <v>3.569819333</v>
      </c>
      <c r="J1571" s="16">
        <f>ABS(Solieusap!J1571)</f>
        <v>2.410580571</v>
      </c>
      <c r="K1571" s="16">
        <f t="shared" si="1"/>
        <v>11.39054571</v>
      </c>
      <c r="L1571" s="16">
        <f t="shared" si="2"/>
        <v>3.569819333</v>
      </c>
    </row>
    <row r="1572" ht="16.5" customHeight="1">
      <c r="A1572" s="15" t="str">
        <f>Solieusap!A1572</f>
        <v>Cũ</v>
      </c>
      <c r="B1572" s="15">
        <f>Solieusap!B1572</f>
        <v>3.5</v>
      </c>
      <c r="C1572" s="15" t="str">
        <f>Solieusap!C1572</f>
        <v>COMB5</v>
      </c>
      <c r="D1572" s="15" t="str">
        <f>Solieusap!D1572</f>
        <v>Combination</v>
      </c>
      <c r="E1572" s="16">
        <f>ABS(Solieusap!E1572)</f>
        <v>11.40740208</v>
      </c>
      <c r="F1572" s="16">
        <f>ABS(Solieusap!F1572)</f>
        <v>1.034417186</v>
      </c>
      <c r="G1572" s="16">
        <f>ABS(Solieusap!G1572)</f>
        <v>1.421842511</v>
      </c>
      <c r="H1572" s="16">
        <f>ABS(Solieusap!H1572)</f>
        <v>0.0006217313896</v>
      </c>
      <c r="I1572" s="16">
        <f>ABS(Solieusap!I1572)</f>
        <v>3.576614126</v>
      </c>
      <c r="J1572" s="16">
        <f>ABS(Solieusap!J1572)</f>
        <v>2.415127623</v>
      </c>
      <c r="K1572" s="16">
        <f t="shared" si="1"/>
        <v>11.40740208</v>
      </c>
      <c r="L1572" s="16">
        <f t="shared" si="2"/>
        <v>3.576614126</v>
      </c>
    </row>
    <row r="1573" ht="16.5" customHeight="1">
      <c r="A1573" s="15" t="str">
        <f>Solieusap!A1573</f>
        <v>Cũ</v>
      </c>
      <c r="B1573" s="15">
        <f>Solieusap!B1573</f>
        <v>0</v>
      </c>
      <c r="C1573" s="15" t="str">
        <f>Solieusap!C1573</f>
        <v>COMB6</v>
      </c>
      <c r="D1573" s="15" t="str">
        <f>Solieusap!D1573</f>
        <v>Combination</v>
      </c>
      <c r="E1573" s="16">
        <f>ABS(Solieusap!E1573)</f>
        <v>11.42425844</v>
      </c>
      <c r="F1573" s="16">
        <f>ABS(Solieusap!F1573)</f>
        <v>1.036127706</v>
      </c>
      <c r="G1573" s="16">
        <f>ABS(Solieusap!G1573)</f>
        <v>1.424106926</v>
      </c>
      <c r="H1573" s="16">
        <f>ABS(Solieusap!H1573)</f>
        <v>0.0006227864935</v>
      </c>
      <c r="I1573" s="16">
        <f>ABS(Solieusap!I1573)</f>
        <v>3.583408918</v>
      </c>
      <c r="J1573" s="16">
        <f>ABS(Solieusap!J1573)</f>
        <v>2.419674675</v>
      </c>
      <c r="K1573" s="16">
        <f t="shared" si="1"/>
        <v>11.42425844</v>
      </c>
      <c r="L1573" s="16">
        <f t="shared" si="2"/>
        <v>3.583408918</v>
      </c>
    </row>
    <row r="1574" ht="16.5" customHeight="1">
      <c r="A1574" s="15" t="str">
        <f>Solieusap!A1574</f>
        <v>Cũ</v>
      </c>
      <c r="B1574" s="15">
        <f>Solieusap!B1574</f>
        <v>1.75</v>
      </c>
      <c r="C1574" s="15" t="str">
        <f>Solieusap!C1574</f>
        <v>COMB6</v>
      </c>
      <c r="D1574" s="15" t="str">
        <f>Solieusap!D1574</f>
        <v>Combination</v>
      </c>
      <c r="E1574" s="16">
        <f>ABS(Solieusap!E1574)</f>
        <v>11.44111481</v>
      </c>
      <c r="F1574" s="16">
        <f>ABS(Solieusap!F1574)</f>
        <v>1.037838225</v>
      </c>
      <c r="G1574" s="16">
        <f>ABS(Solieusap!G1574)</f>
        <v>1.426371342</v>
      </c>
      <c r="H1574" s="16">
        <f>ABS(Solieusap!H1574)</f>
        <v>0.0006238415974</v>
      </c>
      <c r="I1574" s="16">
        <f>ABS(Solieusap!I1574)</f>
        <v>3.59020371</v>
      </c>
      <c r="J1574" s="16">
        <f>ABS(Solieusap!J1574)</f>
        <v>2.424221727</v>
      </c>
      <c r="K1574" s="16">
        <f t="shared" si="1"/>
        <v>11.44111481</v>
      </c>
      <c r="L1574" s="16">
        <f t="shared" si="2"/>
        <v>3.59020371</v>
      </c>
    </row>
    <row r="1575" ht="16.5" customHeight="1">
      <c r="A1575" s="15" t="str">
        <f>Solieusap!A1575</f>
        <v>Cũ</v>
      </c>
      <c r="B1575" s="15">
        <f>Solieusap!B1575</f>
        <v>3.5</v>
      </c>
      <c r="C1575" s="15" t="str">
        <f>Solieusap!C1575</f>
        <v>COMB6</v>
      </c>
      <c r="D1575" s="15" t="str">
        <f>Solieusap!D1575</f>
        <v>Combination</v>
      </c>
      <c r="E1575" s="16">
        <f>ABS(Solieusap!E1575)</f>
        <v>11.45797117</v>
      </c>
      <c r="F1575" s="16">
        <f>ABS(Solieusap!F1575)</f>
        <v>1.039548745</v>
      </c>
      <c r="G1575" s="16">
        <f>ABS(Solieusap!G1575)</f>
        <v>1.428635758</v>
      </c>
      <c r="H1575" s="16">
        <f>ABS(Solieusap!H1575)</f>
        <v>0.0006248967013</v>
      </c>
      <c r="I1575" s="16">
        <f>ABS(Solieusap!I1575)</f>
        <v>3.596998502</v>
      </c>
      <c r="J1575" s="16">
        <f>ABS(Solieusap!J1575)</f>
        <v>2.428768779</v>
      </c>
      <c r="K1575" s="16">
        <f t="shared" si="1"/>
        <v>11.45797117</v>
      </c>
      <c r="L1575" s="16">
        <f t="shared" si="2"/>
        <v>3.596998502</v>
      </c>
    </row>
    <row r="1576" ht="16.5" customHeight="1">
      <c r="A1576" s="15" t="str">
        <f>Solieusap!A1576</f>
        <v>Cũ</v>
      </c>
      <c r="B1576" s="15">
        <f>Solieusap!B1576</f>
        <v>0</v>
      </c>
      <c r="C1576" s="15" t="str">
        <f>Solieusap!C1576</f>
        <v>COMB7</v>
      </c>
      <c r="D1576" s="15" t="str">
        <f>Solieusap!D1576</f>
        <v>Combination</v>
      </c>
      <c r="E1576" s="16">
        <f>ABS(Solieusap!E1576)</f>
        <v>11.47482753</v>
      </c>
      <c r="F1576" s="16">
        <f>ABS(Solieusap!F1576)</f>
        <v>1.041259264</v>
      </c>
      <c r="G1576" s="16">
        <f>ABS(Solieusap!G1576)</f>
        <v>1.430900173</v>
      </c>
      <c r="H1576" s="16">
        <f>ABS(Solieusap!H1576)</f>
        <v>0.0006259518052</v>
      </c>
      <c r="I1576" s="16">
        <f>ABS(Solieusap!I1576)</f>
        <v>3.603793294</v>
      </c>
      <c r="J1576" s="16">
        <f>ABS(Solieusap!J1576)</f>
        <v>2.433315831</v>
      </c>
      <c r="K1576" s="16">
        <f t="shared" si="1"/>
        <v>11.47482753</v>
      </c>
      <c r="L1576" s="16">
        <f t="shared" si="2"/>
        <v>3.603793294</v>
      </c>
    </row>
    <row r="1577" ht="16.5" customHeight="1">
      <c r="A1577" s="15" t="str">
        <f>Solieusap!A1577</f>
        <v>Cũ</v>
      </c>
      <c r="B1577" s="15">
        <f>Solieusap!B1577</f>
        <v>1.75</v>
      </c>
      <c r="C1577" s="15" t="str">
        <f>Solieusap!C1577</f>
        <v>COMB7</v>
      </c>
      <c r="D1577" s="15" t="str">
        <f>Solieusap!D1577</f>
        <v>Combination</v>
      </c>
      <c r="E1577" s="16">
        <f>ABS(Solieusap!E1577)</f>
        <v>11.4916839</v>
      </c>
      <c r="F1577" s="16">
        <f>ABS(Solieusap!F1577)</f>
        <v>1.042969784</v>
      </c>
      <c r="G1577" s="16">
        <f>ABS(Solieusap!G1577)</f>
        <v>1.433164589</v>
      </c>
      <c r="H1577" s="16">
        <f>ABS(Solieusap!H1577)</f>
        <v>0.0006270069091</v>
      </c>
      <c r="I1577" s="16">
        <f>ABS(Solieusap!I1577)</f>
        <v>3.610588087</v>
      </c>
      <c r="J1577" s="16">
        <f>ABS(Solieusap!J1577)</f>
        <v>2.437862883</v>
      </c>
      <c r="K1577" s="16">
        <f t="shared" si="1"/>
        <v>11.4916839</v>
      </c>
      <c r="L1577" s="16">
        <f t="shared" si="2"/>
        <v>3.610588087</v>
      </c>
    </row>
    <row r="1578" ht="16.5" customHeight="1">
      <c r="A1578" s="15" t="str">
        <f>Solieusap!A1578</f>
        <v>Cũ</v>
      </c>
      <c r="B1578" s="15">
        <f>Solieusap!B1578</f>
        <v>3.5</v>
      </c>
      <c r="C1578" s="15" t="str">
        <f>Solieusap!C1578</f>
        <v>COMB7</v>
      </c>
      <c r="D1578" s="15" t="str">
        <f>Solieusap!D1578</f>
        <v>Combination</v>
      </c>
      <c r="E1578" s="16">
        <f>ABS(Solieusap!E1578)</f>
        <v>11.50854026</v>
      </c>
      <c r="F1578" s="16">
        <f>ABS(Solieusap!F1578)</f>
        <v>1.044680303</v>
      </c>
      <c r="G1578" s="16">
        <f>ABS(Solieusap!G1578)</f>
        <v>1.435429004</v>
      </c>
      <c r="H1578" s="16">
        <f>ABS(Solieusap!H1578)</f>
        <v>0.000628062013</v>
      </c>
      <c r="I1578" s="16">
        <f>ABS(Solieusap!I1578)</f>
        <v>3.617382879</v>
      </c>
      <c r="J1578" s="16">
        <f>ABS(Solieusap!J1578)</f>
        <v>2.442409935</v>
      </c>
      <c r="K1578" s="16">
        <f t="shared" si="1"/>
        <v>11.50854026</v>
      </c>
      <c r="L1578" s="16">
        <f t="shared" si="2"/>
        <v>3.617382879</v>
      </c>
    </row>
    <row r="1579" ht="16.5" customHeight="1">
      <c r="A1579" s="15" t="str">
        <f>Solieusap!A1579</f>
        <v>Cũ</v>
      </c>
      <c r="B1579" s="15">
        <f>Solieusap!B1579</f>
        <v>0</v>
      </c>
      <c r="C1579" s="15" t="str">
        <f>Solieusap!C1579</f>
        <v>COMB1</v>
      </c>
      <c r="D1579" s="15" t="str">
        <f>Solieusap!D1579</f>
        <v>Combination</v>
      </c>
      <c r="E1579" s="16">
        <f>ABS(Solieusap!E1579)</f>
        <v>11.52539662</v>
      </c>
      <c r="F1579" s="16">
        <f>ABS(Solieusap!F1579)</f>
        <v>1.046390823</v>
      </c>
      <c r="G1579" s="16">
        <f>ABS(Solieusap!G1579)</f>
        <v>1.43769342</v>
      </c>
      <c r="H1579" s="16">
        <f>ABS(Solieusap!H1579)</f>
        <v>0.0006291171169</v>
      </c>
      <c r="I1579" s="16">
        <f>ABS(Solieusap!I1579)</f>
        <v>3.624177671</v>
      </c>
      <c r="J1579" s="16">
        <f>ABS(Solieusap!J1579)</f>
        <v>2.446956987</v>
      </c>
      <c r="K1579" s="16">
        <f t="shared" si="1"/>
        <v>11.52539662</v>
      </c>
      <c r="L1579" s="16">
        <f t="shared" si="2"/>
        <v>3.624177671</v>
      </c>
    </row>
    <row r="1580" ht="16.5" customHeight="1">
      <c r="A1580" s="15" t="str">
        <f>Solieusap!A1580</f>
        <v>Cũ</v>
      </c>
      <c r="B1580" s="15">
        <f>Solieusap!B1580</f>
        <v>1.75</v>
      </c>
      <c r="C1580" s="15" t="str">
        <f>Solieusap!C1580</f>
        <v>COMB1</v>
      </c>
      <c r="D1580" s="15" t="str">
        <f>Solieusap!D1580</f>
        <v>Combination</v>
      </c>
      <c r="E1580" s="16">
        <f>ABS(Solieusap!E1580)</f>
        <v>11.54225299</v>
      </c>
      <c r="F1580" s="16">
        <f>ABS(Solieusap!F1580)</f>
        <v>1.048101342</v>
      </c>
      <c r="G1580" s="16">
        <f>ABS(Solieusap!G1580)</f>
        <v>1.439957835</v>
      </c>
      <c r="H1580" s="16">
        <f>ABS(Solieusap!H1580)</f>
        <v>0.0006301722208</v>
      </c>
      <c r="I1580" s="16">
        <f>ABS(Solieusap!I1580)</f>
        <v>3.630972463</v>
      </c>
      <c r="J1580" s="16">
        <f>ABS(Solieusap!J1580)</f>
        <v>2.451504039</v>
      </c>
      <c r="K1580" s="16">
        <f t="shared" si="1"/>
        <v>11.54225299</v>
      </c>
      <c r="L1580" s="16">
        <f t="shared" si="2"/>
        <v>3.630972463</v>
      </c>
    </row>
    <row r="1581" ht="16.5" customHeight="1">
      <c r="A1581" s="15" t="str">
        <f>Solieusap!A1581</f>
        <v>Cũ</v>
      </c>
      <c r="B1581" s="15">
        <f>Solieusap!B1581</f>
        <v>3.5</v>
      </c>
      <c r="C1581" s="15" t="str">
        <f>Solieusap!C1581</f>
        <v>COMB1</v>
      </c>
      <c r="D1581" s="15" t="str">
        <f>Solieusap!D1581</f>
        <v>Combination</v>
      </c>
      <c r="E1581" s="16">
        <f>ABS(Solieusap!E1581)</f>
        <v>11.55910935</v>
      </c>
      <c r="F1581" s="16">
        <f>ABS(Solieusap!F1581)</f>
        <v>1.049811861</v>
      </c>
      <c r="G1581" s="16">
        <f>ABS(Solieusap!G1581)</f>
        <v>1.442222251</v>
      </c>
      <c r="H1581" s="16">
        <f>ABS(Solieusap!H1581)</f>
        <v>0.0006312273247</v>
      </c>
      <c r="I1581" s="16">
        <f>ABS(Solieusap!I1581)</f>
        <v>3.637767255</v>
      </c>
      <c r="J1581" s="16">
        <f>ABS(Solieusap!J1581)</f>
        <v>2.456051091</v>
      </c>
      <c r="K1581" s="16">
        <f t="shared" si="1"/>
        <v>11.55910935</v>
      </c>
      <c r="L1581" s="16">
        <f t="shared" si="2"/>
        <v>3.637767255</v>
      </c>
    </row>
    <row r="1582" ht="16.5" customHeight="1">
      <c r="A1582" s="15" t="str">
        <f>Solieusap!A1582</f>
        <v>Cũ</v>
      </c>
      <c r="B1582" s="15">
        <f>Solieusap!B1582</f>
        <v>0</v>
      </c>
      <c r="C1582" s="15" t="str">
        <f>Solieusap!C1582</f>
        <v>COMB2</v>
      </c>
      <c r="D1582" s="15" t="str">
        <f>Solieusap!D1582</f>
        <v>Combination</v>
      </c>
      <c r="E1582" s="16">
        <f>ABS(Solieusap!E1582)</f>
        <v>11.57596571</v>
      </c>
      <c r="F1582" s="16">
        <f>ABS(Solieusap!F1582)</f>
        <v>1.051522381</v>
      </c>
      <c r="G1582" s="16">
        <f>ABS(Solieusap!G1582)</f>
        <v>1.444486667</v>
      </c>
      <c r="H1582" s="16">
        <f>ABS(Solieusap!H1582)</f>
        <v>0.0006322824286</v>
      </c>
      <c r="I1582" s="16">
        <f>ABS(Solieusap!I1582)</f>
        <v>3.644562048</v>
      </c>
      <c r="J1582" s="16">
        <f>ABS(Solieusap!J1582)</f>
        <v>2.460598143</v>
      </c>
      <c r="K1582" s="16">
        <f t="shared" si="1"/>
        <v>11.57596571</v>
      </c>
      <c r="L1582" s="16">
        <f t="shared" si="2"/>
        <v>3.644562048</v>
      </c>
    </row>
    <row r="1583" ht="16.5" customHeight="1">
      <c r="A1583" s="15" t="str">
        <f>Solieusap!A1583</f>
        <v>Cũ</v>
      </c>
      <c r="B1583" s="15">
        <f>Solieusap!B1583</f>
        <v>1.75</v>
      </c>
      <c r="C1583" s="15" t="str">
        <f>Solieusap!C1583</f>
        <v>COMB2</v>
      </c>
      <c r="D1583" s="15" t="str">
        <f>Solieusap!D1583</f>
        <v>Combination</v>
      </c>
      <c r="E1583" s="16">
        <f>ABS(Solieusap!E1583)</f>
        <v>11.59282208</v>
      </c>
      <c r="F1583" s="16">
        <f>ABS(Solieusap!F1583)</f>
        <v>1.0532329</v>
      </c>
      <c r="G1583" s="16">
        <f>ABS(Solieusap!G1583)</f>
        <v>1.446751082</v>
      </c>
      <c r="H1583" s="16">
        <f>ABS(Solieusap!H1583)</f>
        <v>0.0006333375325</v>
      </c>
      <c r="I1583" s="16">
        <f>ABS(Solieusap!I1583)</f>
        <v>3.65135684</v>
      </c>
      <c r="J1583" s="16">
        <f>ABS(Solieusap!J1583)</f>
        <v>2.465145195</v>
      </c>
      <c r="K1583" s="16">
        <f t="shared" si="1"/>
        <v>11.59282208</v>
      </c>
      <c r="L1583" s="16">
        <f t="shared" si="2"/>
        <v>3.65135684</v>
      </c>
    </row>
    <row r="1584" ht="16.5" customHeight="1">
      <c r="A1584" s="15" t="str">
        <f>Solieusap!A1584</f>
        <v>Cũ</v>
      </c>
      <c r="B1584" s="15">
        <f>Solieusap!B1584</f>
        <v>3.5</v>
      </c>
      <c r="C1584" s="15" t="str">
        <f>Solieusap!C1584</f>
        <v>COMB2</v>
      </c>
      <c r="D1584" s="15" t="str">
        <f>Solieusap!D1584</f>
        <v>Combination</v>
      </c>
      <c r="E1584" s="16">
        <f>ABS(Solieusap!E1584)</f>
        <v>11.60967844</v>
      </c>
      <c r="F1584" s="16">
        <f>ABS(Solieusap!F1584)</f>
        <v>1.05494342</v>
      </c>
      <c r="G1584" s="16">
        <f>ABS(Solieusap!G1584)</f>
        <v>1.449015498</v>
      </c>
      <c r="H1584" s="16">
        <f>ABS(Solieusap!H1584)</f>
        <v>0.0006343926364</v>
      </c>
      <c r="I1584" s="16">
        <f>ABS(Solieusap!I1584)</f>
        <v>3.658151632</v>
      </c>
      <c r="J1584" s="16">
        <f>ABS(Solieusap!J1584)</f>
        <v>2.469692247</v>
      </c>
      <c r="K1584" s="16">
        <f t="shared" si="1"/>
        <v>11.60967844</v>
      </c>
      <c r="L1584" s="16">
        <f t="shared" si="2"/>
        <v>3.658151632</v>
      </c>
    </row>
    <row r="1585" ht="16.5" customHeight="1">
      <c r="A1585" s="15" t="str">
        <f>Solieusap!A1585</f>
        <v>Cũ</v>
      </c>
      <c r="B1585" s="15">
        <f>Solieusap!B1585</f>
        <v>0</v>
      </c>
      <c r="C1585" s="15" t="str">
        <f>Solieusap!C1585</f>
        <v>COMB3</v>
      </c>
      <c r="D1585" s="15" t="str">
        <f>Solieusap!D1585</f>
        <v>Combination</v>
      </c>
      <c r="E1585" s="16">
        <f>ABS(Solieusap!E1585)</f>
        <v>11.62653481</v>
      </c>
      <c r="F1585" s="16">
        <f>ABS(Solieusap!F1585)</f>
        <v>1.056653939</v>
      </c>
      <c r="G1585" s="16">
        <f>ABS(Solieusap!G1585)</f>
        <v>1.451279913</v>
      </c>
      <c r="H1585" s="16">
        <f>ABS(Solieusap!H1585)</f>
        <v>0.0006354477403</v>
      </c>
      <c r="I1585" s="16">
        <f>ABS(Solieusap!I1585)</f>
        <v>3.664946424</v>
      </c>
      <c r="J1585" s="16">
        <f>ABS(Solieusap!J1585)</f>
        <v>2.474239299</v>
      </c>
      <c r="K1585" s="16">
        <f t="shared" si="1"/>
        <v>11.62653481</v>
      </c>
      <c r="L1585" s="16">
        <f t="shared" si="2"/>
        <v>3.664946424</v>
      </c>
    </row>
    <row r="1586" ht="16.5" customHeight="1">
      <c r="A1586" s="15" t="str">
        <f>Solieusap!A1586</f>
        <v>Cũ</v>
      </c>
      <c r="B1586" s="15">
        <f>Solieusap!B1586</f>
        <v>1.75</v>
      </c>
      <c r="C1586" s="15" t="str">
        <f>Solieusap!C1586</f>
        <v>COMB3</v>
      </c>
      <c r="D1586" s="15" t="str">
        <f>Solieusap!D1586</f>
        <v>Combination</v>
      </c>
      <c r="E1586" s="16">
        <f>ABS(Solieusap!E1586)</f>
        <v>11.64339117</v>
      </c>
      <c r="F1586" s="16">
        <f>ABS(Solieusap!F1586)</f>
        <v>1.058364459</v>
      </c>
      <c r="G1586" s="16">
        <f>ABS(Solieusap!G1586)</f>
        <v>1.453544329</v>
      </c>
      <c r="H1586" s="16">
        <f>ABS(Solieusap!H1586)</f>
        <v>0.0006365028442</v>
      </c>
      <c r="I1586" s="16">
        <f>ABS(Solieusap!I1586)</f>
        <v>3.671741216</v>
      </c>
      <c r="J1586" s="16">
        <f>ABS(Solieusap!J1586)</f>
        <v>2.478786351</v>
      </c>
      <c r="K1586" s="16">
        <f t="shared" si="1"/>
        <v>11.64339117</v>
      </c>
      <c r="L1586" s="16">
        <f t="shared" si="2"/>
        <v>3.671741216</v>
      </c>
    </row>
    <row r="1587" ht="16.5" customHeight="1">
      <c r="A1587" s="15" t="str">
        <f>Solieusap!A1587</f>
        <v>Cũ</v>
      </c>
      <c r="B1587" s="15">
        <f>Solieusap!B1587</f>
        <v>3.5</v>
      </c>
      <c r="C1587" s="15" t="str">
        <f>Solieusap!C1587</f>
        <v>COMB3</v>
      </c>
      <c r="D1587" s="15" t="str">
        <f>Solieusap!D1587</f>
        <v>Combination</v>
      </c>
      <c r="E1587" s="16">
        <f>ABS(Solieusap!E1587)</f>
        <v>11.66024753</v>
      </c>
      <c r="F1587" s="16">
        <f>ABS(Solieusap!F1587)</f>
        <v>1.060074978</v>
      </c>
      <c r="G1587" s="16">
        <f>ABS(Solieusap!G1587)</f>
        <v>1.455808745</v>
      </c>
      <c r="H1587" s="16">
        <f>ABS(Solieusap!H1587)</f>
        <v>0.0006375579481</v>
      </c>
      <c r="I1587" s="16">
        <f>ABS(Solieusap!I1587)</f>
        <v>3.678536009</v>
      </c>
      <c r="J1587" s="16">
        <f>ABS(Solieusap!J1587)</f>
        <v>2.483333403</v>
      </c>
      <c r="K1587" s="16">
        <f t="shared" si="1"/>
        <v>11.66024753</v>
      </c>
      <c r="L1587" s="16">
        <f t="shared" si="2"/>
        <v>3.678536009</v>
      </c>
    </row>
    <row r="1588" ht="16.5" customHeight="1">
      <c r="A1588" s="15" t="str">
        <f>Solieusap!A1588</f>
        <v>Cũ</v>
      </c>
      <c r="B1588" s="15">
        <f>Solieusap!B1588</f>
        <v>0</v>
      </c>
      <c r="C1588" s="15" t="str">
        <f>Solieusap!C1588</f>
        <v>COMB4</v>
      </c>
      <c r="D1588" s="15" t="str">
        <f>Solieusap!D1588</f>
        <v>Combination</v>
      </c>
      <c r="E1588" s="16">
        <f>ABS(Solieusap!E1588)</f>
        <v>11.6771039</v>
      </c>
      <c r="F1588" s="16">
        <f>ABS(Solieusap!F1588)</f>
        <v>1.061785498</v>
      </c>
      <c r="G1588" s="16">
        <f>ABS(Solieusap!G1588)</f>
        <v>1.45807316</v>
      </c>
      <c r="H1588" s="16">
        <f>ABS(Solieusap!H1588)</f>
        <v>0.0006386130519</v>
      </c>
      <c r="I1588" s="16">
        <f>ABS(Solieusap!I1588)</f>
        <v>3.685330801</v>
      </c>
      <c r="J1588" s="16">
        <f>ABS(Solieusap!J1588)</f>
        <v>2.487880455</v>
      </c>
      <c r="K1588" s="16">
        <f t="shared" si="1"/>
        <v>11.6771039</v>
      </c>
      <c r="L1588" s="16">
        <f t="shared" si="2"/>
        <v>3.685330801</v>
      </c>
    </row>
    <row r="1589" ht="16.5" customHeight="1">
      <c r="A1589" s="15" t="str">
        <f>Solieusap!A1589</f>
        <v>Cũ</v>
      </c>
      <c r="B1589" s="15">
        <f>Solieusap!B1589</f>
        <v>1.75</v>
      </c>
      <c r="C1589" s="15" t="str">
        <f>Solieusap!C1589</f>
        <v>COMB4</v>
      </c>
      <c r="D1589" s="15" t="str">
        <f>Solieusap!D1589</f>
        <v>Combination</v>
      </c>
      <c r="E1589" s="16">
        <f>ABS(Solieusap!E1589)</f>
        <v>11.69396026</v>
      </c>
      <c r="F1589" s="16">
        <f>ABS(Solieusap!F1589)</f>
        <v>1.063496017</v>
      </c>
      <c r="G1589" s="16">
        <f>ABS(Solieusap!G1589)</f>
        <v>1.460337576</v>
      </c>
      <c r="H1589" s="16">
        <f>ABS(Solieusap!H1589)</f>
        <v>0.0006396681558</v>
      </c>
      <c r="I1589" s="16">
        <f>ABS(Solieusap!I1589)</f>
        <v>3.692125593</v>
      </c>
      <c r="J1589" s="16">
        <f>ABS(Solieusap!J1589)</f>
        <v>2.492427506</v>
      </c>
      <c r="K1589" s="16">
        <f t="shared" si="1"/>
        <v>11.69396026</v>
      </c>
      <c r="L1589" s="16">
        <f t="shared" si="2"/>
        <v>3.692125593</v>
      </c>
    </row>
    <row r="1590" ht="16.5" customHeight="1">
      <c r="A1590" s="15" t="str">
        <f>Solieusap!A1590</f>
        <v>Cũ</v>
      </c>
      <c r="B1590" s="15">
        <f>Solieusap!B1590</f>
        <v>3.5</v>
      </c>
      <c r="C1590" s="15" t="str">
        <f>Solieusap!C1590</f>
        <v>COMB4</v>
      </c>
      <c r="D1590" s="15" t="str">
        <f>Solieusap!D1590</f>
        <v>Combination</v>
      </c>
      <c r="E1590" s="16">
        <f>ABS(Solieusap!E1590)</f>
        <v>11.71081662</v>
      </c>
      <c r="F1590" s="16">
        <f>ABS(Solieusap!F1590)</f>
        <v>1.065206537</v>
      </c>
      <c r="G1590" s="16">
        <f>ABS(Solieusap!G1590)</f>
        <v>1.462601991</v>
      </c>
      <c r="H1590" s="16">
        <f>ABS(Solieusap!H1590)</f>
        <v>0.0006407232597</v>
      </c>
      <c r="I1590" s="16">
        <f>ABS(Solieusap!I1590)</f>
        <v>3.698920385</v>
      </c>
      <c r="J1590" s="16">
        <f>ABS(Solieusap!J1590)</f>
        <v>2.496974558</v>
      </c>
      <c r="K1590" s="16">
        <f t="shared" si="1"/>
        <v>11.71081662</v>
      </c>
      <c r="L1590" s="16">
        <f t="shared" si="2"/>
        <v>3.698920385</v>
      </c>
    </row>
    <row r="1591" ht="16.5" customHeight="1">
      <c r="A1591" s="15" t="str">
        <f>Solieusap!A1591</f>
        <v>Cũ</v>
      </c>
      <c r="B1591" s="15">
        <f>Solieusap!B1591</f>
        <v>0</v>
      </c>
      <c r="C1591" s="15" t="str">
        <f>Solieusap!C1591</f>
        <v>COMB5</v>
      </c>
      <c r="D1591" s="15" t="str">
        <f>Solieusap!D1591</f>
        <v>Combination</v>
      </c>
      <c r="E1591" s="16">
        <f>ABS(Solieusap!E1591)</f>
        <v>11.72767299</v>
      </c>
      <c r="F1591" s="16">
        <f>ABS(Solieusap!F1591)</f>
        <v>1.066917056</v>
      </c>
      <c r="G1591" s="16">
        <f>ABS(Solieusap!G1591)</f>
        <v>1.464866407</v>
      </c>
      <c r="H1591" s="16">
        <f>ABS(Solieusap!H1591)</f>
        <v>0.0006417783636</v>
      </c>
      <c r="I1591" s="16">
        <f>ABS(Solieusap!I1591)</f>
        <v>3.705715177</v>
      </c>
      <c r="J1591" s="16">
        <f>ABS(Solieusap!J1591)</f>
        <v>2.50152161</v>
      </c>
      <c r="K1591" s="16">
        <f t="shared" si="1"/>
        <v>11.72767299</v>
      </c>
      <c r="L1591" s="16">
        <f t="shared" si="2"/>
        <v>3.705715177</v>
      </c>
    </row>
    <row r="1592" ht="16.5" customHeight="1">
      <c r="A1592" s="15" t="str">
        <f>Solieusap!A1592</f>
        <v>Cũ</v>
      </c>
      <c r="B1592" s="15">
        <f>Solieusap!B1592</f>
        <v>1.75</v>
      </c>
      <c r="C1592" s="15" t="str">
        <f>Solieusap!C1592</f>
        <v>COMB5</v>
      </c>
      <c r="D1592" s="15" t="str">
        <f>Solieusap!D1592</f>
        <v>Combination</v>
      </c>
      <c r="E1592" s="16">
        <f>ABS(Solieusap!E1592)</f>
        <v>11.74452935</v>
      </c>
      <c r="F1592" s="16">
        <f>ABS(Solieusap!F1592)</f>
        <v>1.068627576</v>
      </c>
      <c r="G1592" s="16">
        <f>ABS(Solieusap!G1592)</f>
        <v>1.467130823</v>
      </c>
      <c r="H1592" s="16">
        <f>ABS(Solieusap!H1592)</f>
        <v>0.0006428334675</v>
      </c>
      <c r="I1592" s="16">
        <f>ABS(Solieusap!I1592)</f>
        <v>3.71250997</v>
      </c>
      <c r="J1592" s="16">
        <f>ABS(Solieusap!J1592)</f>
        <v>2.506068662</v>
      </c>
      <c r="K1592" s="16">
        <f t="shared" si="1"/>
        <v>11.74452935</v>
      </c>
      <c r="L1592" s="16">
        <f t="shared" si="2"/>
        <v>3.71250997</v>
      </c>
    </row>
    <row r="1593" ht="16.5" customHeight="1">
      <c r="A1593" s="15" t="str">
        <f>Solieusap!A1593</f>
        <v>Cũ</v>
      </c>
      <c r="B1593" s="15">
        <f>Solieusap!B1593</f>
        <v>3.5</v>
      </c>
      <c r="C1593" s="15" t="str">
        <f>Solieusap!C1593</f>
        <v>COMB5</v>
      </c>
      <c r="D1593" s="15" t="str">
        <f>Solieusap!D1593</f>
        <v>Combination</v>
      </c>
      <c r="E1593" s="16">
        <f>ABS(Solieusap!E1593)</f>
        <v>11.76138571</v>
      </c>
      <c r="F1593" s="16">
        <f>ABS(Solieusap!F1593)</f>
        <v>1.070338095</v>
      </c>
      <c r="G1593" s="16">
        <f>ABS(Solieusap!G1593)</f>
        <v>1.469395238</v>
      </c>
      <c r="H1593" s="16">
        <f>ABS(Solieusap!H1593)</f>
        <v>0.0006438885714</v>
      </c>
      <c r="I1593" s="16">
        <f>ABS(Solieusap!I1593)</f>
        <v>3.719304762</v>
      </c>
      <c r="J1593" s="16">
        <f>ABS(Solieusap!J1593)</f>
        <v>2.510615714</v>
      </c>
      <c r="K1593" s="16">
        <f t="shared" si="1"/>
        <v>11.76138571</v>
      </c>
      <c r="L1593" s="16">
        <f t="shared" si="2"/>
        <v>3.719304762</v>
      </c>
    </row>
    <row r="1594" ht="16.5" customHeight="1">
      <c r="A1594" s="15" t="str">
        <f>Solieusap!A1594</f>
        <v>Cũ</v>
      </c>
      <c r="B1594" s="15">
        <f>Solieusap!B1594</f>
        <v>0</v>
      </c>
      <c r="C1594" s="15" t="str">
        <f>Solieusap!C1594</f>
        <v>COMB6</v>
      </c>
      <c r="D1594" s="15" t="str">
        <f>Solieusap!D1594</f>
        <v>Combination</v>
      </c>
      <c r="E1594" s="16">
        <f>ABS(Solieusap!E1594)</f>
        <v>11.77824208</v>
      </c>
      <c r="F1594" s="16">
        <f>ABS(Solieusap!F1594)</f>
        <v>1.072048615</v>
      </c>
      <c r="G1594" s="16">
        <f>ABS(Solieusap!G1594)</f>
        <v>1.471659654</v>
      </c>
      <c r="H1594" s="16">
        <f>ABS(Solieusap!H1594)</f>
        <v>0.0006449436753</v>
      </c>
      <c r="I1594" s="16">
        <f>ABS(Solieusap!I1594)</f>
        <v>3.726099554</v>
      </c>
      <c r="J1594" s="16">
        <f>ABS(Solieusap!J1594)</f>
        <v>2.515162766</v>
      </c>
      <c r="K1594" s="16">
        <f t="shared" si="1"/>
        <v>11.77824208</v>
      </c>
      <c r="L1594" s="16">
        <f t="shared" si="2"/>
        <v>3.726099554</v>
      </c>
    </row>
    <row r="1595" ht="16.5" customHeight="1">
      <c r="A1595" s="15" t="str">
        <f>Solieusap!A1595</f>
        <v>Cũ</v>
      </c>
      <c r="B1595" s="15">
        <f>Solieusap!B1595</f>
        <v>1.75</v>
      </c>
      <c r="C1595" s="15" t="str">
        <f>Solieusap!C1595</f>
        <v>COMB6</v>
      </c>
      <c r="D1595" s="15" t="str">
        <f>Solieusap!D1595</f>
        <v>Combination</v>
      </c>
      <c r="E1595" s="16">
        <f>ABS(Solieusap!E1595)</f>
        <v>11.79509844</v>
      </c>
      <c r="F1595" s="16">
        <f>ABS(Solieusap!F1595)</f>
        <v>1.073759134</v>
      </c>
      <c r="G1595" s="16">
        <f>ABS(Solieusap!G1595)</f>
        <v>1.473924069</v>
      </c>
      <c r="H1595" s="16">
        <f>ABS(Solieusap!H1595)</f>
        <v>0.0006459987792</v>
      </c>
      <c r="I1595" s="16">
        <f>ABS(Solieusap!I1595)</f>
        <v>3.732894346</v>
      </c>
      <c r="J1595" s="16">
        <f>ABS(Solieusap!J1595)</f>
        <v>2.519709818</v>
      </c>
      <c r="K1595" s="16">
        <f t="shared" si="1"/>
        <v>11.79509844</v>
      </c>
      <c r="L1595" s="16">
        <f t="shared" si="2"/>
        <v>3.732894346</v>
      </c>
    </row>
    <row r="1596" ht="16.5" customHeight="1">
      <c r="A1596" s="15" t="str">
        <f>Solieusap!A1596</f>
        <v>Cũ</v>
      </c>
      <c r="B1596" s="15">
        <f>Solieusap!B1596</f>
        <v>3.5</v>
      </c>
      <c r="C1596" s="15" t="str">
        <f>Solieusap!C1596</f>
        <v>COMB6</v>
      </c>
      <c r="D1596" s="15" t="str">
        <f>Solieusap!D1596</f>
        <v>Combination</v>
      </c>
      <c r="E1596" s="16">
        <f>ABS(Solieusap!E1596)</f>
        <v>11.81195481</v>
      </c>
      <c r="F1596" s="16">
        <f>ABS(Solieusap!F1596)</f>
        <v>1.075469654</v>
      </c>
      <c r="G1596" s="16">
        <f>ABS(Solieusap!G1596)</f>
        <v>1.476188485</v>
      </c>
      <c r="H1596" s="16">
        <f>ABS(Solieusap!H1596)</f>
        <v>0.0006470538831</v>
      </c>
      <c r="I1596" s="16">
        <f>ABS(Solieusap!I1596)</f>
        <v>3.739689139</v>
      </c>
      <c r="J1596" s="16">
        <f>ABS(Solieusap!J1596)</f>
        <v>2.52425687</v>
      </c>
      <c r="K1596" s="16">
        <f t="shared" si="1"/>
        <v>11.81195481</v>
      </c>
      <c r="L1596" s="16">
        <f t="shared" si="2"/>
        <v>3.739689139</v>
      </c>
    </row>
    <row r="1597" ht="16.5" customHeight="1">
      <c r="A1597" s="15" t="str">
        <f>Solieusap!A1597</f>
        <v>Cũ</v>
      </c>
      <c r="B1597" s="15">
        <f>Solieusap!B1597</f>
        <v>0</v>
      </c>
      <c r="C1597" s="15" t="str">
        <f>Solieusap!C1597</f>
        <v>COMB7</v>
      </c>
      <c r="D1597" s="15" t="str">
        <f>Solieusap!D1597</f>
        <v>Combination</v>
      </c>
      <c r="E1597" s="16">
        <f>ABS(Solieusap!E1597)</f>
        <v>11.82881117</v>
      </c>
      <c r="F1597" s="16">
        <f>ABS(Solieusap!F1597)</f>
        <v>1.077180173</v>
      </c>
      <c r="G1597" s="16">
        <f>ABS(Solieusap!G1597)</f>
        <v>1.4784529</v>
      </c>
      <c r="H1597" s="16">
        <f>ABS(Solieusap!H1597)</f>
        <v>0.000648108987</v>
      </c>
      <c r="I1597" s="16">
        <f>ABS(Solieusap!I1597)</f>
        <v>3.746483931</v>
      </c>
      <c r="J1597" s="16">
        <f>ABS(Solieusap!J1597)</f>
        <v>2.528803922</v>
      </c>
      <c r="K1597" s="16">
        <f t="shared" si="1"/>
        <v>11.82881117</v>
      </c>
      <c r="L1597" s="16">
        <f t="shared" si="2"/>
        <v>3.746483931</v>
      </c>
    </row>
    <row r="1598" ht="16.5" customHeight="1">
      <c r="A1598" s="15" t="str">
        <f>Solieusap!A1598</f>
        <v>Cũ</v>
      </c>
      <c r="B1598" s="15">
        <f>Solieusap!B1598</f>
        <v>1.75</v>
      </c>
      <c r="C1598" s="15" t="str">
        <f>Solieusap!C1598</f>
        <v>COMB7</v>
      </c>
      <c r="D1598" s="15" t="str">
        <f>Solieusap!D1598</f>
        <v>Combination</v>
      </c>
      <c r="E1598" s="16">
        <f>ABS(Solieusap!E1598)</f>
        <v>11.84566753</v>
      </c>
      <c r="F1598" s="16">
        <f>ABS(Solieusap!F1598)</f>
        <v>1.078890693</v>
      </c>
      <c r="G1598" s="16">
        <f>ABS(Solieusap!G1598)</f>
        <v>1.480717316</v>
      </c>
      <c r="H1598" s="16">
        <f>ABS(Solieusap!H1598)</f>
        <v>0.0006491640909</v>
      </c>
      <c r="I1598" s="16">
        <f>ABS(Solieusap!I1598)</f>
        <v>3.753278723</v>
      </c>
      <c r="J1598" s="16">
        <f>ABS(Solieusap!J1598)</f>
        <v>2.533350974</v>
      </c>
      <c r="K1598" s="16">
        <f t="shared" si="1"/>
        <v>11.84566753</v>
      </c>
      <c r="L1598" s="16">
        <f t="shared" si="2"/>
        <v>3.753278723</v>
      </c>
    </row>
    <row r="1599" ht="16.5" customHeight="1">
      <c r="A1599" s="15" t="str">
        <f>Solieusap!A1599</f>
        <v>Cũ</v>
      </c>
      <c r="B1599" s="15">
        <f>Solieusap!B1599</f>
        <v>3.5</v>
      </c>
      <c r="C1599" s="15" t="str">
        <f>Solieusap!C1599</f>
        <v>COMB7</v>
      </c>
      <c r="D1599" s="15" t="str">
        <f>Solieusap!D1599</f>
        <v>Combination</v>
      </c>
      <c r="E1599" s="16">
        <f>ABS(Solieusap!E1599)</f>
        <v>11.8625239</v>
      </c>
      <c r="F1599" s="16">
        <f>ABS(Solieusap!F1599)</f>
        <v>1.080601212</v>
      </c>
      <c r="G1599" s="16">
        <f>ABS(Solieusap!G1599)</f>
        <v>1.482981732</v>
      </c>
      <c r="H1599" s="16">
        <f>ABS(Solieusap!H1599)</f>
        <v>0.0006502191948</v>
      </c>
      <c r="I1599" s="16">
        <f>ABS(Solieusap!I1599)</f>
        <v>3.760073515</v>
      </c>
      <c r="J1599" s="16">
        <f>ABS(Solieusap!J1599)</f>
        <v>2.537898026</v>
      </c>
      <c r="K1599" s="16">
        <f t="shared" si="1"/>
        <v>11.8625239</v>
      </c>
      <c r="L1599" s="16">
        <f t="shared" si="2"/>
        <v>3.760073515</v>
      </c>
    </row>
    <row r="1600" ht="16.5" customHeight="1">
      <c r="A1600" s="15" t="str">
        <f>Solieusap!A1600</f>
        <v>Cũ</v>
      </c>
      <c r="B1600" s="15">
        <f>Solieusap!B1600</f>
        <v>0</v>
      </c>
      <c r="C1600" s="15" t="str">
        <f>Solieusap!C1600</f>
        <v>COMB1</v>
      </c>
      <c r="D1600" s="15" t="str">
        <f>Solieusap!D1600</f>
        <v>Combination</v>
      </c>
      <c r="E1600" s="16">
        <f>ABS(Solieusap!E1600)</f>
        <v>11.87938026</v>
      </c>
      <c r="F1600" s="16">
        <f>ABS(Solieusap!F1600)</f>
        <v>1.082311732</v>
      </c>
      <c r="G1600" s="16">
        <f>ABS(Solieusap!G1600)</f>
        <v>1.485246147</v>
      </c>
      <c r="H1600" s="16">
        <f>ABS(Solieusap!H1600)</f>
        <v>0.0006512742987</v>
      </c>
      <c r="I1600" s="16">
        <f>ABS(Solieusap!I1600)</f>
        <v>3.766868307</v>
      </c>
      <c r="J1600" s="16">
        <f>ABS(Solieusap!J1600)</f>
        <v>2.542445078</v>
      </c>
      <c r="K1600" s="16">
        <f t="shared" si="1"/>
        <v>11.87938026</v>
      </c>
      <c r="L1600" s="16">
        <f t="shared" si="2"/>
        <v>3.766868307</v>
      </c>
    </row>
    <row r="1601" ht="16.5" customHeight="1">
      <c r="A1601" s="15" t="str">
        <f>Solieusap!A1601</f>
        <v>Cũ</v>
      </c>
      <c r="B1601" s="15">
        <f>Solieusap!B1601</f>
        <v>1.75</v>
      </c>
      <c r="C1601" s="15" t="str">
        <f>Solieusap!C1601</f>
        <v>COMB1</v>
      </c>
      <c r="D1601" s="15" t="str">
        <f>Solieusap!D1601</f>
        <v>Combination</v>
      </c>
      <c r="E1601" s="16">
        <f>ABS(Solieusap!E1601)</f>
        <v>11.89623662</v>
      </c>
      <c r="F1601" s="16">
        <f>ABS(Solieusap!F1601)</f>
        <v>1.084022251</v>
      </c>
      <c r="G1601" s="16">
        <f>ABS(Solieusap!G1601)</f>
        <v>1.487510563</v>
      </c>
      <c r="H1601" s="16">
        <f>ABS(Solieusap!H1601)</f>
        <v>0.0006523294026</v>
      </c>
      <c r="I1601" s="16">
        <f>ABS(Solieusap!I1601)</f>
        <v>3.7736631</v>
      </c>
      <c r="J1601" s="16">
        <f>ABS(Solieusap!J1601)</f>
        <v>2.54699213</v>
      </c>
      <c r="K1601" s="16">
        <f t="shared" si="1"/>
        <v>11.89623662</v>
      </c>
      <c r="L1601" s="16">
        <f t="shared" si="2"/>
        <v>3.7736631</v>
      </c>
    </row>
    <row r="1602" ht="16.5" customHeight="1">
      <c r="A1602" s="15" t="str">
        <f>Solieusap!A1602</f>
        <v>Cũ</v>
      </c>
      <c r="B1602" s="15">
        <f>Solieusap!B1602</f>
        <v>3.5</v>
      </c>
      <c r="C1602" s="15" t="str">
        <f>Solieusap!C1602</f>
        <v>COMB1</v>
      </c>
      <c r="D1602" s="15" t="str">
        <f>Solieusap!D1602</f>
        <v>Combination</v>
      </c>
      <c r="E1602" s="16">
        <f>ABS(Solieusap!E1602)</f>
        <v>11.91309299</v>
      </c>
      <c r="F1602" s="16">
        <f>ABS(Solieusap!F1602)</f>
        <v>1.085732771</v>
      </c>
      <c r="G1602" s="16">
        <f>ABS(Solieusap!G1602)</f>
        <v>1.489774978</v>
      </c>
      <c r="H1602" s="16">
        <f>ABS(Solieusap!H1602)</f>
        <v>0.0006533845065</v>
      </c>
      <c r="I1602" s="16">
        <f>ABS(Solieusap!I1602)</f>
        <v>3.780457892</v>
      </c>
      <c r="J1602" s="16">
        <f>ABS(Solieusap!J1602)</f>
        <v>2.551539182</v>
      </c>
      <c r="K1602" s="16">
        <f t="shared" si="1"/>
        <v>11.91309299</v>
      </c>
      <c r="L1602" s="16">
        <f t="shared" si="2"/>
        <v>3.780457892</v>
      </c>
    </row>
    <row r="1603" ht="16.5" customHeight="1">
      <c r="A1603" s="15" t="str">
        <f>Solieusap!A1603</f>
        <v>Cũ</v>
      </c>
      <c r="B1603" s="15">
        <f>Solieusap!B1603</f>
        <v>0</v>
      </c>
      <c r="C1603" s="15" t="str">
        <f>Solieusap!C1603</f>
        <v>COMB2</v>
      </c>
      <c r="D1603" s="15" t="str">
        <f>Solieusap!D1603</f>
        <v>Combination</v>
      </c>
      <c r="E1603" s="16">
        <f>ABS(Solieusap!E1603)</f>
        <v>11.92994935</v>
      </c>
      <c r="F1603" s="16">
        <f>ABS(Solieusap!F1603)</f>
        <v>1.08744329</v>
      </c>
      <c r="G1603" s="16">
        <f>ABS(Solieusap!G1603)</f>
        <v>1.492039394</v>
      </c>
      <c r="H1603" s="16">
        <f>ABS(Solieusap!H1603)</f>
        <v>0.0006544396104</v>
      </c>
      <c r="I1603" s="16">
        <f>ABS(Solieusap!I1603)</f>
        <v>3.787252684</v>
      </c>
      <c r="J1603" s="16">
        <f>ABS(Solieusap!J1603)</f>
        <v>2.556086234</v>
      </c>
      <c r="K1603" s="16">
        <f t="shared" si="1"/>
        <v>11.92994935</v>
      </c>
      <c r="L1603" s="16">
        <f t="shared" si="2"/>
        <v>3.787252684</v>
      </c>
    </row>
    <row r="1604" ht="16.5" customHeight="1">
      <c r="A1604" s="15" t="str">
        <f>Solieusap!A1604</f>
        <v>Cũ</v>
      </c>
      <c r="B1604" s="15">
        <f>Solieusap!B1604</f>
        <v>1.75</v>
      </c>
      <c r="C1604" s="15" t="str">
        <f>Solieusap!C1604</f>
        <v>COMB2</v>
      </c>
      <c r="D1604" s="15" t="str">
        <f>Solieusap!D1604</f>
        <v>Combination</v>
      </c>
      <c r="E1604" s="16">
        <f>ABS(Solieusap!E1604)</f>
        <v>11.94680571</v>
      </c>
      <c r="F1604" s="16">
        <f>ABS(Solieusap!F1604)</f>
        <v>1.08915381</v>
      </c>
      <c r="G1604" s="16">
        <f>ABS(Solieusap!G1604)</f>
        <v>1.49430381</v>
      </c>
      <c r="H1604" s="16">
        <f>ABS(Solieusap!H1604)</f>
        <v>0.0006554947143</v>
      </c>
      <c r="I1604" s="16">
        <f>ABS(Solieusap!I1604)</f>
        <v>3.794047476</v>
      </c>
      <c r="J1604" s="16">
        <f>ABS(Solieusap!J1604)</f>
        <v>2.560633286</v>
      </c>
      <c r="K1604" s="16">
        <f t="shared" si="1"/>
        <v>11.94680571</v>
      </c>
      <c r="L1604" s="16">
        <f t="shared" si="2"/>
        <v>3.794047476</v>
      </c>
    </row>
    <row r="1605" ht="16.5" customHeight="1">
      <c r="A1605" s="15" t="str">
        <f>Solieusap!A1605</f>
        <v>Cũ</v>
      </c>
      <c r="B1605" s="15">
        <f>Solieusap!B1605</f>
        <v>3.5</v>
      </c>
      <c r="C1605" s="15" t="str">
        <f>Solieusap!C1605</f>
        <v>COMB2</v>
      </c>
      <c r="D1605" s="15" t="str">
        <f>Solieusap!D1605</f>
        <v>Combination</v>
      </c>
      <c r="E1605" s="16">
        <f>ABS(Solieusap!E1605)</f>
        <v>11.96366208</v>
      </c>
      <c r="F1605" s="16">
        <f>ABS(Solieusap!F1605)</f>
        <v>1.090864329</v>
      </c>
      <c r="G1605" s="16">
        <f>ABS(Solieusap!G1605)</f>
        <v>1.496568225</v>
      </c>
      <c r="H1605" s="16">
        <f>ABS(Solieusap!H1605)</f>
        <v>0.0006565498182</v>
      </c>
      <c r="I1605" s="16">
        <f>ABS(Solieusap!I1605)</f>
        <v>3.800842268</v>
      </c>
      <c r="J1605" s="16">
        <f>ABS(Solieusap!J1605)</f>
        <v>2.565180338</v>
      </c>
      <c r="K1605" s="16">
        <f t="shared" si="1"/>
        <v>11.96366208</v>
      </c>
      <c r="L1605" s="16">
        <f t="shared" si="2"/>
        <v>3.800842268</v>
      </c>
    </row>
    <row r="1606" ht="16.5" customHeight="1">
      <c r="A1606" s="15" t="str">
        <f>Solieusap!A1606</f>
        <v>Cũ</v>
      </c>
      <c r="B1606" s="15">
        <f>Solieusap!B1606</f>
        <v>0</v>
      </c>
      <c r="C1606" s="15" t="str">
        <f>Solieusap!C1606</f>
        <v>COMB3</v>
      </c>
      <c r="D1606" s="15" t="str">
        <f>Solieusap!D1606</f>
        <v>Combination</v>
      </c>
      <c r="E1606" s="16">
        <f>ABS(Solieusap!E1606)</f>
        <v>11.98051844</v>
      </c>
      <c r="F1606" s="16">
        <f>ABS(Solieusap!F1606)</f>
        <v>1.092574848</v>
      </c>
      <c r="G1606" s="16">
        <f>ABS(Solieusap!G1606)</f>
        <v>1.498832641</v>
      </c>
      <c r="H1606" s="16">
        <f>ABS(Solieusap!H1606)</f>
        <v>0.0006576049221</v>
      </c>
      <c r="I1606" s="16">
        <f>ABS(Solieusap!I1606)</f>
        <v>3.807637061</v>
      </c>
      <c r="J1606" s="16">
        <f>ABS(Solieusap!J1606)</f>
        <v>2.56972739</v>
      </c>
      <c r="K1606" s="16">
        <f t="shared" si="1"/>
        <v>11.98051844</v>
      </c>
      <c r="L1606" s="16">
        <f t="shared" si="2"/>
        <v>3.807637061</v>
      </c>
    </row>
    <row r="1607" ht="16.5" customHeight="1">
      <c r="A1607" s="15" t="str">
        <f>Solieusap!A1607</f>
        <v>Cũ</v>
      </c>
      <c r="B1607" s="15">
        <f>Solieusap!B1607</f>
        <v>1.75</v>
      </c>
      <c r="C1607" s="15" t="str">
        <f>Solieusap!C1607</f>
        <v>COMB3</v>
      </c>
      <c r="D1607" s="15" t="str">
        <f>Solieusap!D1607</f>
        <v>Combination</v>
      </c>
      <c r="E1607" s="16">
        <f>ABS(Solieusap!E1607)</f>
        <v>11.99737481</v>
      </c>
      <c r="F1607" s="16">
        <f>ABS(Solieusap!F1607)</f>
        <v>1.094285368</v>
      </c>
      <c r="G1607" s="16">
        <f>ABS(Solieusap!G1607)</f>
        <v>1.501097056</v>
      </c>
      <c r="H1607" s="16">
        <f>ABS(Solieusap!H1607)</f>
        <v>0.000658660026</v>
      </c>
      <c r="I1607" s="16">
        <f>ABS(Solieusap!I1607)</f>
        <v>3.814431853</v>
      </c>
      <c r="J1607" s="16">
        <f>ABS(Solieusap!J1607)</f>
        <v>2.574274442</v>
      </c>
      <c r="K1607" s="16">
        <f t="shared" si="1"/>
        <v>11.99737481</v>
      </c>
      <c r="L1607" s="16">
        <f t="shared" si="2"/>
        <v>3.814431853</v>
      </c>
    </row>
    <row r="1608" ht="16.5" customHeight="1">
      <c r="A1608" s="15" t="str">
        <f>Solieusap!A1608</f>
        <v>Cũ</v>
      </c>
      <c r="B1608" s="15">
        <f>Solieusap!B1608</f>
        <v>3.5</v>
      </c>
      <c r="C1608" s="15" t="str">
        <f>Solieusap!C1608</f>
        <v>COMB3</v>
      </c>
      <c r="D1608" s="15" t="str">
        <f>Solieusap!D1608</f>
        <v>Combination</v>
      </c>
      <c r="E1608" s="16">
        <f>ABS(Solieusap!E1608)</f>
        <v>12.01423117</v>
      </c>
      <c r="F1608" s="16">
        <f>ABS(Solieusap!F1608)</f>
        <v>1.095995887</v>
      </c>
      <c r="G1608" s="16">
        <f>ABS(Solieusap!G1608)</f>
        <v>1.503361472</v>
      </c>
      <c r="H1608" s="16">
        <f>ABS(Solieusap!H1608)</f>
        <v>0.0006597151299</v>
      </c>
      <c r="I1608" s="16">
        <f>ABS(Solieusap!I1608)</f>
        <v>3.821226645</v>
      </c>
      <c r="J1608" s="16">
        <f>ABS(Solieusap!J1608)</f>
        <v>2.578821494</v>
      </c>
      <c r="K1608" s="16">
        <f t="shared" si="1"/>
        <v>12.01423117</v>
      </c>
      <c r="L1608" s="16">
        <f t="shared" si="2"/>
        <v>3.821226645</v>
      </c>
    </row>
    <row r="1609" ht="16.5" customHeight="1">
      <c r="A1609" s="15" t="str">
        <f>Solieusap!A1609</f>
        <v>Cũ</v>
      </c>
      <c r="B1609" s="15">
        <f>Solieusap!B1609</f>
        <v>0</v>
      </c>
      <c r="C1609" s="15" t="str">
        <f>Solieusap!C1609</f>
        <v>COMB4</v>
      </c>
      <c r="D1609" s="15" t="str">
        <f>Solieusap!D1609</f>
        <v>Combination</v>
      </c>
      <c r="E1609" s="16">
        <f>ABS(Solieusap!E1609)</f>
        <v>12.03108753</v>
      </c>
      <c r="F1609" s="16">
        <f>ABS(Solieusap!F1609)</f>
        <v>1.097706407</v>
      </c>
      <c r="G1609" s="16">
        <f>ABS(Solieusap!G1609)</f>
        <v>1.505625887</v>
      </c>
      <c r="H1609" s="16">
        <f>ABS(Solieusap!H1609)</f>
        <v>0.0006607702338</v>
      </c>
      <c r="I1609" s="16">
        <f>ABS(Solieusap!I1609)</f>
        <v>3.828021437</v>
      </c>
      <c r="J1609" s="16">
        <f>ABS(Solieusap!J1609)</f>
        <v>2.583368545</v>
      </c>
      <c r="K1609" s="16">
        <f t="shared" si="1"/>
        <v>12.03108753</v>
      </c>
      <c r="L1609" s="16">
        <f t="shared" si="2"/>
        <v>3.828021437</v>
      </c>
    </row>
    <row r="1610" ht="16.5" customHeight="1">
      <c r="A1610" s="15" t="str">
        <f>Solieusap!A1610</f>
        <v>Cũ</v>
      </c>
      <c r="B1610" s="15">
        <f>Solieusap!B1610</f>
        <v>1.75</v>
      </c>
      <c r="C1610" s="15" t="str">
        <f>Solieusap!C1610</f>
        <v>COMB4</v>
      </c>
      <c r="D1610" s="15" t="str">
        <f>Solieusap!D1610</f>
        <v>Combination</v>
      </c>
      <c r="E1610" s="16">
        <f>ABS(Solieusap!E1610)</f>
        <v>12.0479439</v>
      </c>
      <c r="F1610" s="16">
        <f>ABS(Solieusap!F1610)</f>
        <v>1.099416926</v>
      </c>
      <c r="G1610" s="16">
        <f>ABS(Solieusap!G1610)</f>
        <v>1.507890303</v>
      </c>
      <c r="H1610" s="16">
        <f>ABS(Solieusap!H1610)</f>
        <v>0.0006618253377</v>
      </c>
      <c r="I1610" s="16">
        <f>ABS(Solieusap!I1610)</f>
        <v>3.834816229</v>
      </c>
      <c r="J1610" s="16">
        <f>ABS(Solieusap!J1610)</f>
        <v>2.587915597</v>
      </c>
      <c r="K1610" s="16">
        <f t="shared" si="1"/>
        <v>12.0479439</v>
      </c>
      <c r="L1610" s="16">
        <f t="shared" si="2"/>
        <v>3.834816229</v>
      </c>
    </row>
    <row r="1611" ht="16.5" customHeight="1">
      <c r="A1611" s="15" t="str">
        <f>Solieusap!A1611</f>
        <v>Cũ</v>
      </c>
      <c r="B1611" s="15">
        <f>Solieusap!B1611</f>
        <v>3.5</v>
      </c>
      <c r="C1611" s="15" t="str">
        <f>Solieusap!C1611</f>
        <v>COMB4</v>
      </c>
      <c r="D1611" s="15" t="str">
        <f>Solieusap!D1611</f>
        <v>Combination</v>
      </c>
      <c r="E1611" s="16">
        <f>ABS(Solieusap!E1611)</f>
        <v>12.06480026</v>
      </c>
      <c r="F1611" s="16">
        <f>ABS(Solieusap!F1611)</f>
        <v>1.101127446</v>
      </c>
      <c r="G1611" s="16">
        <f>ABS(Solieusap!G1611)</f>
        <v>1.510154719</v>
      </c>
      <c r="H1611" s="16">
        <f>ABS(Solieusap!H1611)</f>
        <v>0.0006628804416</v>
      </c>
      <c r="I1611" s="16">
        <f>ABS(Solieusap!I1611)</f>
        <v>3.841611022</v>
      </c>
      <c r="J1611" s="16">
        <f>ABS(Solieusap!J1611)</f>
        <v>2.592462649</v>
      </c>
      <c r="K1611" s="16">
        <f t="shared" si="1"/>
        <v>12.06480026</v>
      </c>
      <c r="L1611" s="16">
        <f t="shared" si="2"/>
        <v>3.841611022</v>
      </c>
    </row>
    <row r="1612" ht="16.5" customHeight="1">
      <c r="A1612" s="15" t="str">
        <f>Solieusap!A1612</f>
        <v>Cũ</v>
      </c>
      <c r="B1612" s="15">
        <f>Solieusap!B1612</f>
        <v>0</v>
      </c>
      <c r="C1612" s="15" t="str">
        <f>Solieusap!C1612</f>
        <v>COMB5</v>
      </c>
      <c r="D1612" s="15" t="str">
        <f>Solieusap!D1612</f>
        <v>Combination</v>
      </c>
      <c r="E1612" s="16">
        <f>ABS(Solieusap!E1612)</f>
        <v>12.08165662</v>
      </c>
      <c r="F1612" s="16">
        <f>ABS(Solieusap!F1612)</f>
        <v>1.102837965</v>
      </c>
      <c r="G1612" s="16">
        <f>ABS(Solieusap!G1612)</f>
        <v>1.512419134</v>
      </c>
      <c r="H1612" s="16">
        <f>ABS(Solieusap!H1612)</f>
        <v>0.0006639355455</v>
      </c>
      <c r="I1612" s="16">
        <f>ABS(Solieusap!I1612)</f>
        <v>3.848405814</v>
      </c>
      <c r="J1612" s="16">
        <f>ABS(Solieusap!J1612)</f>
        <v>2.597009701</v>
      </c>
      <c r="K1612" s="16">
        <f t="shared" si="1"/>
        <v>12.08165662</v>
      </c>
      <c r="L1612" s="16">
        <f t="shared" si="2"/>
        <v>3.848405814</v>
      </c>
    </row>
    <row r="1613" ht="16.5" customHeight="1">
      <c r="A1613" s="15" t="str">
        <f>Solieusap!A1613</f>
        <v>Cũ</v>
      </c>
      <c r="B1613" s="15">
        <f>Solieusap!B1613</f>
        <v>1.75</v>
      </c>
      <c r="C1613" s="15" t="str">
        <f>Solieusap!C1613</f>
        <v>COMB5</v>
      </c>
      <c r="D1613" s="15" t="str">
        <f>Solieusap!D1613</f>
        <v>Combination</v>
      </c>
      <c r="E1613" s="16">
        <f>ABS(Solieusap!E1613)</f>
        <v>12.09851299</v>
      </c>
      <c r="F1613" s="16">
        <f>ABS(Solieusap!F1613)</f>
        <v>1.104548485</v>
      </c>
      <c r="G1613" s="16">
        <f>ABS(Solieusap!G1613)</f>
        <v>1.51468355</v>
      </c>
      <c r="H1613" s="16">
        <f>ABS(Solieusap!H1613)</f>
        <v>0.0006649906494</v>
      </c>
      <c r="I1613" s="16">
        <f>ABS(Solieusap!I1613)</f>
        <v>3.855200606</v>
      </c>
      <c r="J1613" s="16">
        <f>ABS(Solieusap!J1613)</f>
        <v>2.601556753</v>
      </c>
      <c r="K1613" s="16">
        <f t="shared" si="1"/>
        <v>12.09851299</v>
      </c>
      <c r="L1613" s="16">
        <f t="shared" si="2"/>
        <v>3.855200606</v>
      </c>
    </row>
    <row r="1614" ht="16.5" customHeight="1">
      <c r="A1614" s="15" t="str">
        <f>Solieusap!A1614</f>
        <v>Cũ</v>
      </c>
      <c r="B1614" s="15">
        <f>Solieusap!B1614</f>
        <v>3.5</v>
      </c>
      <c r="C1614" s="15" t="str">
        <f>Solieusap!C1614</f>
        <v>COMB5</v>
      </c>
      <c r="D1614" s="15" t="str">
        <f>Solieusap!D1614</f>
        <v>Combination</v>
      </c>
      <c r="E1614" s="16">
        <f>ABS(Solieusap!E1614)</f>
        <v>12.11536935</v>
      </c>
      <c r="F1614" s="16">
        <f>ABS(Solieusap!F1614)</f>
        <v>1.106259004</v>
      </c>
      <c r="G1614" s="16">
        <f>ABS(Solieusap!G1614)</f>
        <v>1.516947965</v>
      </c>
      <c r="H1614" s="16">
        <f>ABS(Solieusap!H1614)</f>
        <v>0.0006660457532</v>
      </c>
      <c r="I1614" s="16">
        <f>ABS(Solieusap!I1614)</f>
        <v>3.861995398</v>
      </c>
      <c r="J1614" s="16">
        <f>ABS(Solieusap!J1614)</f>
        <v>2.606103805</v>
      </c>
      <c r="K1614" s="16">
        <f t="shared" si="1"/>
        <v>12.11536935</v>
      </c>
      <c r="L1614" s="16">
        <f t="shared" si="2"/>
        <v>3.861995398</v>
      </c>
    </row>
    <row r="1615" ht="16.5" customHeight="1">
      <c r="A1615" s="15" t="str">
        <f>Solieusap!A1615</f>
        <v>Cũ</v>
      </c>
      <c r="B1615" s="15">
        <f>Solieusap!B1615</f>
        <v>0</v>
      </c>
      <c r="C1615" s="15" t="str">
        <f>Solieusap!C1615</f>
        <v>COMB6</v>
      </c>
      <c r="D1615" s="15" t="str">
        <f>Solieusap!D1615</f>
        <v>Combination</v>
      </c>
      <c r="E1615" s="16">
        <f>ABS(Solieusap!E1615)</f>
        <v>12.13222571</v>
      </c>
      <c r="F1615" s="16">
        <f>ABS(Solieusap!F1615)</f>
        <v>1.107969524</v>
      </c>
      <c r="G1615" s="16">
        <f>ABS(Solieusap!G1615)</f>
        <v>1.519212381</v>
      </c>
      <c r="H1615" s="16">
        <f>ABS(Solieusap!H1615)</f>
        <v>0.0006671008571</v>
      </c>
      <c r="I1615" s="16">
        <f>ABS(Solieusap!I1615)</f>
        <v>3.86879019</v>
      </c>
      <c r="J1615" s="16">
        <f>ABS(Solieusap!J1615)</f>
        <v>2.610650857</v>
      </c>
      <c r="K1615" s="16">
        <f t="shared" si="1"/>
        <v>12.13222571</v>
      </c>
      <c r="L1615" s="16">
        <f t="shared" si="2"/>
        <v>3.86879019</v>
      </c>
    </row>
    <row r="1616" ht="16.5" customHeight="1">
      <c r="A1616" s="15" t="str">
        <f>Solieusap!A1616</f>
        <v>Cũ</v>
      </c>
      <c r="B1616" s="15">
        <f>Solieusap!B1616</f>
        <v>1.75</v>
      </c>
      <c r="C1616" s="15" t="str">
        <f>Solieusap!C1616</f>
        <v>COMB6</v>
      </c>
      <c r="D1616" s="15" t="str">
        <f>Solieusap!D1616</f>
        <v>Combination</v>
      </c>
      <c r="E1616" s="16">
        <f>ABS(Solieusap!E1616)</f>
        <v>12.14908208</v>
      </c>
      <c r="F1616" s="16">
        <f>ABS(Solieusap!F1616)</f>
        <v>1.109680043</v>
      </c>
      <c r="G1616" s="16">
        <f>ABS(Solieusap!G1616)</f>
        <v>1.521476797</v>
      </c>
      <c r="H1616" s="16">
        <f>ABS(Solieusap!H1616)</f>
        <v>0.000668155961</v>
      </c>
      <c r="I1616" s="16">
        <f>ABS(Solieusap!I1616)</f>
        <v>3.875584983</v>
      </c>
      <c r="J1616" s="16">
        <f>ABS(Solieusap!J1616)</f>
        <v>2.615197909</v>
      </c>
      <c r="K1616" s="16">
        <f t="shared" si="1"/>
        <v>12.14908208</v>
      </c>
      <c r="L1616" s="16">
        <f t="shared" si="2"/>
        <v>3.875584983</v>
      </c>
    </row>
    <row r="1617" ht="16.5" customHeight="1">
      <c r="A1617" s="15" t="str">
        <f>Solieusap!A1617</f>
        <v>Cũ</v>
      </c>
      <c r="B1617" s="15">
        <f>Solieusap!B1617</f>
        <v>3.5</v>
      </c>
      <c r="C1617" s="15" t="str">
        <f>Solieusap!C1617</f>
        <v>COMB6</v>
      </c>
      <c r="D1617" s="15" t="str">
        <f>Solieusap!D1617</f>
        <v>Combination</v>
      </c>
      <c r="E1617" s="16">
        <f>ABS(Solieusap!E1617)</f>
        <v>12.16593844</v>
      </c>
      <c r="F1617" s="16">
        <f>ABS(Solieusap!F1617)</f>
        <v>1.111390563</v>
      </c>
      <c r="G1617" s="16">
        <f>ABS(Solieusap!G1617)</f>
        <v>1.523741212</v>
      </c>
      <c r="H1617" s="16">
        <f>ABS(Solieusap!H1617)</f>
        <v>0.0006692110649</v>
      </c>
      <c r="I1617" s="16">
        <f>ABS(Solieusap!I1617)</f>
        <v>3.882379775</v>
      </c>
      <c r="J1617" s="16">
        <f>ABS(Solieusap!J1617)</f>
        <v>2.619744961</v>
      </c>
      <c r="K1617" s="16">
        <f t="shared" si="1"/>
        <v>12.16593844</v>
      </c>
      <c r="L1617" s="16">
        <f t="shared" si="2"/>
        <v>3.882379775</v>
      </c>
    </row>
    <row r="1618" ht="16.5" customHeight="1">
      <c r="A1618" s="15" t="str">
        <f>Solieusap!A1618</f>
        <v>Cũ</v>
      </c>
      <c r="B1618" s="15">
        <f>Solieusap!B1618</f>
        <v>0</v>
      </c>
      <c r="C1618" s="15" t="str">
        <f>Solieusap!C1618</f>
        <v>COMB7</v>
      </c>
      <c r="D1618" s="15" t="str">
        <f>Solieusap!D1618</f>
        <v>Combination</v>
      </c>
      <c r="E1618" s="16">
        <f>ABS(Solieusap!E1618)</f>
        <v>12.18279481</v>
      </c>
      <c r="F1618" s="16">
        <f>ABS(Solieusap!F1618)</f>
        <v>1.113101082</v>
      </c>
      <c r="G1618" s="16">
        <f>ABS(Solieusap!G1618)</f>
        <v>1.526005628</v>
      </c>
      <c r="H1618" s="16">
        <f>ABS(Solieusap!H1618)</f>
        <v>0.0006702661688</v>
      </c>
      <c r="I1618" s="16">
        <f>ABS(Solieusap!I1618)</f>
        <v>3.889174567</v>
      </c>
      <c r="J1618" s="16">
        <f>ABS(Solieusap!J1618)</f>
        <v>2.624292013</v>
      </c>
      <c r="K1618" s="16">
        <f t="shared" si="1"/>
        <v>12.18279481</v>
      </c>
      <c r="L1618" s="16">
        <f t="shared" si="2"/>
        <v>3.889174567</v>
      </c>
    </row>
    <row r="1619" ht="16.5" customHeight="1">
      <c r="A1619" s="15" t="str">
        <f>Solieusap!A1619</f>
        <v>Cũ</v>
      </c>
      <c r="B1619" s="15">
        <f>Solieusap!B1619</f>
        <v>1.75</v>
      </c>
      <c r="C1619" s="15" t="str">
        <f>Solieusap!C1619</f>
        <v>COMB7</v>
      </c>
      <c r="D1619" s="15" t="str">
        <f>Solieusap!D1619</f>
        <v>Combination</v>
      </c>
      <c r="E1619" s="16">
        <f>ABS(Solieusap!E1619)</f>
        <v>12.19965117</v>
      </c>
      <c r="F1619" s="16">
        <f>ABS(Solieusap!F1619)</f>
        <v>1.114811602</v>
      </c>
      <c r="G1619" s="16">
        <f>ABS(Solieusap!G1619)</f>
        <v>1.528270043</v>
      </c>
      <c r="H1619" s="16">
        <f>ABS(Solieusap!H1619)</f>
        <v>0.0006713212727</v>
      </c>
      <c r="I1619" s="16">
        <f>ABS(Solieusap!I1619)</f>
        <v>3.895969359</v>
      </c>
      <c r="J1619" s="16">
        <f>ABS(Solieusap!J1619)</f>
        <v>2.628839065</v>
      </c>
      <c r="K1619" s="16">
        <f t="shared" si="1"/>
        <v>12.19965117</v>
      </c>
      <c r="L1619" s="16">
        <f t="shared" si="2"/>
        <v>3.895969359</v>
      </c>
    </row>
    <row r="1620" ht="16.5" customHeight="1">
      <c r="A1620" s="15" t="str">
        <f>Solieusap!A1620</f>
        <v>Cũ</v>
      </c>
      <c r="B1620" s="15">
        <f>Solieusap!B1620</f>
        <v>3.5</v>
      </c>
      <c r="C1620" s="15" t="str">
        <f>Solieusap!C1620</f>
        <v>COMB7</v>
      </c>
      <c r="D1620" s="15" t="str">
        <f>Solieusap!D1620</f>
        <v>Combination</v>
      </c>
      <c r="E1620" s="16">
        <f>ABS(Solieusap!E1620)</f>
        <v>12.21650753</v>
      </c>
      <c r="F1620" s="16">
        <f>ABS(Solieusap!F1620)</f>
        <v>1.116522121</v>
      </c>
      <c r="G1620" s="16">
        <f>ABS(Solieusap!G1620)</f>
        <v>1.530534459</v>
      </c>
      <c r="H1620" s="16">
        <f>ABS(Solieusap!H1620)</f>
        <v>0.0006723763766</v>
      </c>
      <c r="I1620" s="16">
        <f>ABS(Solieusap!I1620)</f>
        <v>3.902764152</v>
      </c>
      <c r="J1620" s="16">
        <f>ABS(Solieusap!J1620)</f>
        <v>2.633386117</v>
      </c>
      <c r="K1620" s="16">
        <f t="shared" si="1"/>
        <v>12.21650753</v>
      </c>
      <c r="L1620" s="16">
        <f t="shared" si="2"/>
        <v>3.902764152</v>
      </c>
    </row>
    <row r="1621" ht="16.5" customHeight="1">
      <c r="A1621" s="15" t="str">
        <f>Solieusap!A1621</f>
        <v>Cũ</v>
      </c>
      <c r="B1621" s="15">
        <f>Solieusap!B1621</f>
        <v>0</v>
      </c>
      <c r="C1621" s="15" t="str">
        <f>Solieusap!C1621</f>
        <v>COMB1</v>
      </c>
      <c r="D1621" s="15" t="str">
        <f>Solieusap!D1621</f>
        <v>Combination</v>
      </c>
      <c r="E1621" s="16">
        <f>ABS(Solieusap!E1621)</f>
        <v>12.2333639</v>
      </c>
      <c r="F1621" s="16">
        <f>ABS(Solieusap!F1621)</f>
        <v>1.118232641</v>
      </c>
      <c r="G1621" s="16">
        <f>ABS(Solieusap!G1621)</f>
        <v>1.532798874</v>
      </c>
      <c r="H1621" s="16">
        <f>ABS(Solieusap!H1621)</f>
        <v>0.0006734314805</v>
      </c>
      <c r="I1621" s="16">
        <f>ABS(Solieusap!I1621)</f>
        <v>3.909558944</v>
      </c>
      <c r="J1621" s="16">
        <f>ABS(Solieusap!J1621)</f>
        <v>2.637933169</v>
      </c>
      <c r="K1621" s="16">
        <f t="shared" si="1"/>
        <v>12.2333639</v>
      </c>
      <c r="L1621" s="16">
        <f t="shared" si="2"/>
        <v>3.909558944</v>
      </c>
    </row>
    <row r="1622" ht="16.5" customHeight="1">
      <c r="A1622" s="15" t="str">
        <f>Solieusap!A1622</f>
        <v>Cũ</v>
      </c>
      <c r="B1622" s="15">
        <f>Solieusap!B1622</f>
        <v>1.75</v>
      </c>
      <c r="C1622" s="15" t="str">
        <f>Solieusap!C1622</f>
        <v>COMB1</v>
      </c>
      <c r="D1622" s="15" t="str">
        <f>Solieusap!D1622</f>
        <v>Combination</v>
      </c>
      <c r="E1622" s="16">
        <f>ABS(Solieusap!E1622)</f>
        <v>12.25022026</v>
      </c>
      <c r="F1622" s="16">
        <f>ABS(Solieusap!F1622)</f>
        <v>1.11994316</v>
      </c>
      <c r="G1622" s="16">
        <f>ABS(Solieusap!G1622)</f>
        <v>1.53506329</v>
      </c>
      <c r="H1622" s="16">
        <f>ABS(Solieusap!H1622)</f>
        <v>0.0006744865844</v>
      </c>
      <c r="I1622" s="16">
        <f>ABS(Solieusap!I1622)</f>
        <v>3.916353736</v>
      </c>
      <c r="J1622" s="16">
        <f>ABS(Solieusap!J1622)</f>
        <v>2.642480221</v>
      </c>
      <c r="K1622" s="16">
        <f t="shared" si="1"/>
        <v>12.25022026</v>
      </c>
      <c r="L1622" s="16">
        <f t="shared" si="2"/>
        <v>3.916353736</v>
      </c>
    </row>
    <row r="1623" ht="16.5" customHeight="1">
      <c r="A1623" s="15" t="str">
        <f>Solieusap!A1623</f>
        <v>Cũ</v>
      </c>
      <c r="B1623" s="15">
        <f>Solieusap!B1623</f>
        <v>3.5</v>
      </c>
      <c r="C1623" s="15" t="str">
        <f>Solieusap!C1623</f>
        <v>COMB1</v>
      </c>
      <c r="D1623" s="15" t="str">
        <f>Solieusap!D1623</f>
        <v>Combination</v>
      </c>
      <c r="E1623" s="16">
        <f>ABS(Solieusap!E1623)</f>
        <v>12.26707662</v>
      </c>
      <c r="F1623" s="16">
        <f>ABS(Solieusap!F1623)</f>
        <v>1.12165368</v>
      </c>
      <c r="G1623" s="16">
        <f>ABS(Solieusap!G1623)</f>
        <v>1.537327706</v>
      </c>
      <c r="H1623" s="16">
        <f>ABS(Solieusap!H1623)</f>
        <v>0.0006755416883</v>
      </c>
      <c r="I1623" s="16">
        <f>ABS(Solieusap!I1623)</f>
        <v>3.923148528</v>
      </c>
      <c r="J1623" s="16">
        <f>ABS(Solieusap!J1623)</f>
        <v>2.647027273</v>
      </c>
      <c r="K1623" s="16">
        <f t="shared" si="1"/>
        <v>12.26707662</v>
      </c>
      <c r="L1623" s="16">
        <f t="shared" si="2"/>
        <v>3.923148528</v>
      </c>
    </row>
    <row r="1624" ht="16.5" customHeight="1">
      <c r="A1624" s="15" t="str">
        <f>Solieusap!A1624</f>
        <v>Cũ</v>
      </c>
      <c r="B1624" s="15">
        <f>Solieusap!B1624</f>
        <v>0</v>
      </c>
      <c r="C1624" s="15" t="str">
        <f>Solieusap!C1624</f>
        <v>COMB2</v>
      </c>
      <c r="D1624" s="15" t="str">
        <f>Solieusap!D1624</f>
        <v>Combination</v>
      </c>
      <c r="E1624" s="16">
        <f>ABS(Solieusap!E1624)</f>
        <v>12.28393299</v>
      </c>
      <c r="F1624" s="16">
        <f>ABS(Solieusap!F1624)</f>
        <v>1.123364199</v>
      </c>
      <c r="G1624" s="16">
        <f>ABS(Solieusap!G1624)</f>
        <v>1.539592121</v>
      </c>
      <c r="H1624" s="16">
        <f>ABS(Solieusap!H1624)</f>
        <v>0.0006765967922</v>
      </c>
      <c r="I1624" s="16">
        <f>ABS(Solieusap!I1624)</f>
        <v>3.92994332</v>
      </c>
      <c r="J1624" s="16">
        <f>ABS(Solieusap!J1624)</f>
        <v>2.651574325</v>
      </c>
      <c r="K1624" s="16">
        <f t="shared" si="1"/>
        <v>12.28393299</v>
      </c>
      <c r="L1624" s="16">
        <f t="shared" si="2"/>
        <v>3.92994332</v>
      </c>
    </row>
    <row r="1625" ht="16.5" customHeight="1">
      <c r="A1625" s="15" t="str">
        <f>Solieusap!A1625</f>
        <v>Cũ</v>
      </c>
      <c r="B1625" s="15">
        <f>Solieusap!B1625</f>
        <v>1.75</v>
      </c>
      <c r="C1625" s="15" t="str">
        <f>Solieusap!C1625</f>
        <v>COMB2</v>
      </c>
      <c r="D1625" s="15" t="str">
        <f>Solieusap!D1625</f>
        <v>Combination</v>
      </c>
      <c r="E1625" s="16">
        <f>ABS(Solieusap!E1625)</f>
        <v>12.30078935</v>
      </c>
      <c r="F1625" s="16">
        <f>ABS(Solieusap!F1625)</f>
        <v>1.125074719</v>
      </c>
      <c r="G1625" s="16">
        <f>ABS(Solieusap!G1625)</f>
        <v>1.541856537</v>
      </c>
      <c r="H1625" s="16">
        <f>ABS(Solieusap!H1625)</f>
        <v>0.0006776518961</v>
      </c>
      <c r="I1625" s="16">
        <f>ABS(Solieusap!I1625)</f>
        <v>3.936738113</v>
      </c>
      <c r="J1625" s="16">
        <f>ABS(Solieusap!J1625)</f>
        <v>2.656121377</v>
      </c>
      <c r="K1625" s="16">
        <f t="shared" si="1"/>
        <v>12.30078935</v>
      </c>
      <c r="L1625" s="16">
        <f t="shared" si="2"/>
        <v>3.936738113</v>
      </c>
    </row>
    <row r="1626" ht="16.5" customHeight="1">
      <c r="A1626" s="15" t="str">
        <f>Solieusap!A1626</f>
        <v>Cũ</v>
      </c>
      <c r="B1626" s="15">
        <f>Solieusap!B1626</f>
        <v>3.5</v>
      </c>
      <c r="C1626" s="15" t="str">
        <f>Solieusap!C1626</f>
        <v>COMB2</v>
      </c>
      <c r="D1626" s="15" t="str">
        <f>Solieusap!D1626</f>
        <v>Combination</v>
      </c>
      <c r="E1626" s="16">
        <f>ABS(Solieusap!E1626)</f>
        <v>12.31764571</v>
      </c>
      <c r="F1626" s="16">
        <f>ABS(Solieusap!F1626)</f>
        <v>1.126785238</v>
      </c>
      <c r="G1626" s="16">
        <f>ABS(Solieusap!G1626)</f>
        <v>1.544120952</v>
      </c>
      <c r="H1626" s="16">
        <f>ABS(Solieusap!H1626)</f>
        <v>0.000678707</v>
      </c>
      <c r="I1626" s="16">
        <f>ABS(Solieusap!I1626)</f>
        <v>3.943532905</v>
      </c>
      <c r="J1626" s="16">
        <f>ABS(Solieusap!J1626)</f>
        <v>2.660668429</v>
      </c>
      <c r="K1626" s="16">
        <f t="shared" si="1"/>
        <v>12.31764571</v>
      </c>
      <c r="L1626" s="16">
        <f t="shared" si="2"/>
        <v>3.943532905</v>
      </c>
    </row>
    <row r="1627" ht="16.5" customHeight="1">
      <c r="A1627" s="15" t="str">
        <f>Solieusap!A1627</f>
        <v>Cũ</v>
      </c>
      <c r="B1627" s="15">
        <f>Solieusap!B1627</f>
        <v>0</v>
      </c>
      <c r="C1627" s="15" t="str">
        <f>Solieusap!C1627</f>
        <v>COMB3</v>
      </c>
      <c r="D1627" s="15" t="str">
        <f>Solieusap!D1627</f>
        <v>Combination</v>
      </c>
      <c r="E1627" s="16">
        <f>ABS(Solieusap!E1627)</f>
        <v>12.33450208</v>
      </c>
      <c r="F1627" s="16">
        <f>ABS(Solieusap!F1627)</f>
        <v>1.128495758</v>
      </c>
      <c r="G1627" s="16">
        <f>ABS(Solieusap!G1627)</f>
        <v>1.546385368</v>
      </c>
      <c r="H1627" s="16">
        <f>ABS(Solieusap!H1627)</f>
        <v>0.0006797621039</v>
      </c>
      <c r="I1627" s="16">
        <f>ABS(Solieusap!I1627)</f>
        <v>3.950327697</v>
      </c>
      <c r="J1627" s="16">
        <f>ABS(Solieusap!J1627)</f>
        <v>2.665215481</v>
      </c>
      <c r="K1627" s="16">
        <f t="shared" si="1"/>
        <v>12.33450208</v>
      </c>
      <c r="L1627" s="16">
        <f t="shared" si="2"/>
        <v>3.950327697</v>
      </c>
    </row>
    <row r="1628" ht="16.5" customHeight="1">
      <c r="A1628" s="15" t="str">
        <f>Solieusap!A1628</f>
        <v>Cũ</v>
      </c>
      <c r="B1628" s="15">
        <f>Solieusap!B1628</f>
        <v>1.75</v>
      </c>
      <c r="C1628" s="15" t="str">
        <f>Solieusap!C1628</f>
        <v>COMB3</v>
      </c>
      <c r="D1628" s="15" t="str">
        <f>Solieusap!D1628</f>
        <v>Combination</v>
      </c>
      <c r="E1628" s="16">
        <f>ABS(Solieusap!E1628)</f>
        <v>12.35135844</v>
      </c>
      <c r="F1628" s="16">
        <f>ABS(Solieusap!F1628)</f>
        <v>1.130206277</v>
      </c>
      <c r="G1628" s="16">
        <f>ABS(Solieusap!G1628)</f>
        <v>1.548649784</v>
      </c>
      <c r="H1628" s="16">
        <f>ABS(Solieusap!H1628)</f>
        <v>0.0006808172078</v>
      </c>
      <c r="I1628" s="16">
        <f>ABS(Solieusap!I1628)</f>
        <v>3.957122489</v>
      </c>
      <c r="J1628" s="16">
        <f>ABS(Solieusap!J1628)</f>
        <v>2.669762532</v>
      </c>
      <c r="K1628" s="16">
        <f t="shared" si="1"/>
        <v>12.35135844</v>
      </c>
      <c r="L1628" s="16">
        <f t="shared" si="2"/>
        <v>3.957122489</v>
      </c>
    </row>
    <row r="1629" ht="16.5" customHeight="1">
      <c r="A1629" s="15" t="str">
        <f>Solieusap!A1629</f>
        <v>Cũ</v>
      </c>
      <c r="B1629" s="15">
        <f>Solieusap!B1629</f>
        <v>3.5</v>
      </c>
      <c r="C1629" s="15" t="str">
        <f>Solieusap!C1629</f>
        <v>COMB3</v>
      </c>
      <c r="D1629" s="15" t="str">
        <f>Solieusap!D1629</f>
        <v>Combination</v>
      </c>
      <c r="E1629" s="16">
        <f>ABS(Solieusap!E1629)</f>
        <v>12.36821481</v>
      </c>
      <c r="F1629" s="16">
        <f>ABS(Solieusap!F1629)</f>
        <v>1.131916797</v>
      </c>
      <c r="G1629" s="16">
        <f>ABS(Solieusap!G1629)</f>
        <v>1.550914199</v>
      </c>
      <c r="H1629" s="16">
        <f>ABS(Solieusap!H1629)</f>
        <v>0.0006818723117</v>
      </c>
      <c r="I1629" s="16">
        <f>ABS(Solieusap!I1629)</f>
        <v>3.963917281</v>
      </c>
      <c r="J1629" s="16">
        <f>ABS(Solieusap!J1629)</f>
        <v>2.674309584</v>
      </c>
      <c r="K1629" s="16">
        <f t="shared" si="1"/>
        <v>12.36821481</v>
      </c>
      <c r="L1629" s="16">
        <f t="shared" si="2"/>
        <v>3.963917281</v>
      </c>
    </row>
    <row r="1630" ht="16.5" customHeight="1">
      <c r="A1630" s="15" t="str">
        <f>Solieusap!A1630</f>
        <v>Cũ</v>
      </c>
      <c r="B1630" s="15">
        <f>Solieusap!B1630</f>
        <v>0</v>
      </c>
      <c r="C1630" s="15" t="str">
        <f>Solieusap!C1630</f>
        <v>COMB4</v>
      </c>
      <c r="D1630" s="15" t="str">
        <f>Solieusap!D1630</f>
        <v>Combination</v>
      </c>
      <c r="E1630" s="16">
        <f>ABS(Solieusap!E1630)</f>
        <v>12.38507117</v>
      </c>
      <c r="F1630" s="16">
        <f>ABS(Solieusap!F1630)</f>
        <v>1.133627316</v>
      </c>
      <c r="G1630" s="16">
        <f>ABS(Solieusap!G1630)</f>
        <v>1.553178615</v>
      </c>
      <c r="H1630" s="16">
        <f>ABS(Solieusap!H1630)</f>
        <v>0.0006829274156</v>
      </c>
      <c r="I1630" s="16">
        <f>ABS(Solieusap!I1630)</f>
        <v>3.970712074</v>
      </c>
      <c r="J1630" s="16">
        <f>ABS(Solieusap!J1630)</f>
        <v>2.678856636</v>
      </c>
      <c r="K1630" s="16">
        <f t="shared" si="1"/>
        <v>12.38507117</v>
      </c>
      <c r="L1630" s="16">
        <f t="shared" si="2"/>
        <v>3.970712074</v>
      </c>
    </row>
    <row r="1631" ht="16.5" customHeight="1">
      <c r="A1631" s="15" t="str">
        <f>Solieusap!A1631</f>
        <v>Cũ</v>
      </c>
      <c r="B1631" s="15">
        <f>Solieusap!B1631</f>
        <v>1.75</v>
      </c>
      <c r="C1631" s="15" t="str">
        <f>Solieusap!C1631</f>
        <v>COMB4</v>
      </c>
      <c r="D1631" s="15" t="str">
        <f>Solieusap!D1631</f>
        <v>Combination</v>
      </c>
      <c r="E1631" s="16">
        <f>ABS(Solieusap!E1631)</f>
        <v>12.40192753</v>
      </c>
      <c r="F1631" s="16">
        <f>ABS(Solieusap!F1631)</f>
        <v>1.135337835</v>
      </c>
      <c r="G1631" s="16">
        <f>ABS(Solieusap!G1631)</f>
        <v>1.55544303</v>
      </c>
      <c r="H1631" s="16">
        <f>ABS(Solieusap!H1631)</f>
        <v>0.0006839825195</v>
      </c>
      <c r="I1631" s="16">
        <f>ABS(Solieusap!I1631)</f>
        <v>3.977506866</v>
      </c>
      <c r="J1631" s="16">
        <f>ABS(Solieusap!J1631)</f>
        <v>2.683403688</v>
      </c>
      <c r="K1631" s="16">
        <f t="shared" si="1"/>
        <v>12.40192753</v>
      </c>
      <c r="L1631" s="16">
        <f t="shared" si="2"/>
        <v>3.977506866</v>
      </c>
    </row>
    <row r="1632" ht="16.5" customHeight="1">
      <c r="A1632" s="15" t="str">
        <f>Solieusap!A1632</f>
        <v>Cũ</v>
      </c>
      <c r="B1632" s="15">
        <f>Solieusap!B1632</f>
        <v>3.5</v>
      </c>
      <c r="C1632" s="15" t="str">
        <f>Solieusap!C1632</f>
        <v>COMB4</v>
      </c>
      <c r="D1632" s="15" t="str">
        <f>Solieusap!D1632</f>
        <v>Combination</v>
      </c>
      <c r="E1632" s="16">
        <f>ABS(Solieusap!E1632)</f>
        <v>12.4187839</v>
      </c>
      <c r="F1632" s="16">
        <f>ABS(Solieusap!F1632)</f>
        <v>1.137048355</v>
      </c>
      <c r="G1632" s="16">
        <f>ABS(Solieusap!G1632)</f>
        <v>1.557707446</v>
      </c>
      <c r="H1632" s="16">
        <f>ABS(Solieusap!H1632)</f>
        <v>0.0006850376234</v>
      </c>
      <c r="I1632" s="16">
        <f>ABS(Solieusap!I1632)</f>
        <v>3.984301658</v>
      </c>
      <c r="J1632" s="16">
        <f>ABS(Solieusap!J1632)</f>
        <v>2.68795074</v>
      </c>
      <c r="K1632" s="16">
        <f t="shared" si="1"/>
        <v>12.4187839</v>
      </c>
      <c r="L1632" s="16">
        <f t="shared" si="2"/>
        <v>3.984301658</v>
      </c>
    </row>
    <row r="1633" ht="16.5" customHeight="1">
      <c r="A1633" s="15" t="str">
        <f>Solieusap!A1633</f>
        <v>Cũ</v>
      </c>
      <c r="B1633" s="15">
        <f>Solieusap!B1633</f>
        <v>0</v>
      </c>
      <c r="C1633" s="15" t="str">
        <f>Solieusap!C1633</f>
        <v>COMB5</v>
      </c>
      <c r="D1633" s="15" t="str">
        <f>Solieusap!D1633</f>
        <v>Combination</v>
      </c>
      <c r="E1633" s="16">
        <f>ABS(Solieusap!E1633)</f>
        <v>12.43564026</v>
      </c>
      <c r="F1633" s="16">
        <f>ABS(Solieusap!F1633)</f>
        <v>1.138758874</v>
      </c>
      <c r="G1633" s="16">
        <f>ABS(Solieusap!G1633)</f>
        <v>1.559971861</v>
      </c>
      <c r="H1633" s="16">
        <f>ABS(Solieusap!H1633)</f>
        <v>0.0006860927273</v>
      </c>
      <c r="I1633" s="16">
        <f>ABS(Solieusap!I1633)</f>
        <v>3.99109645</v>
      </c>
      <c r="J1633" s="16">
        <f>ABS(Solieusap!J1633)</f>
        <v>2.692497792</v>
      </c>
      <c r="K1633" s="16">
        <f t="shared" si="1"/>
        <v>12.43564026</v>
      </c>
      <c r="L1633" s="16">
        <f t="shared" si="2"/>
        <v>3.99109645</v>
      </c>
    </row>
    <row r="1634" ht="16.5" customHeight="1">
      <c r="A1634" s="15" t="str">
        <f>Solieusap!A1634</f>
        <v>Cũ</v>
      </c>
      <c r="B1634" s="15">
        <f>Solieusap!B1634</f>
        <v>1.75</v>
      </c>
      <c r="C1634" s="15" t="str">
        <f>Solieusap!C1634</f>
        <v>COMB5</v>
      </c>
      <c r="D1634" s="15" t="str">
        <f>Solieusap!D1634</f>
        <v>Combination</v>
      </c>
      <c r="E1634" s="16">
        <f>ABS(Solieusap!E1634)</f>
        <v>12.45249662</v>
      </c>
      <c r="F1634" s="16">
        <f>ABS(Solieusap!F1634)</f>
        <v>1.140469394</v>
      </c>
      <c r="G1634" s="16">
        <f>ABS(Solieusap!G1634)</f>
        <v>1.562236277</v>
      </c>
      <c r="H1634" s="16">
        <f>ABS(Solieusap!H1634)</f>
        <v>0.0006871478312</v>
      </c>
      <c r="I1634" s="16">
        <f>ABS(Solieusap!I1634)</f>
        <v>3.997891242</v>
      </c>
      <c r="J1634" s="16">
        <f>ABS(Solieusap!J1634)</f>
        <v>2.697044844</v>
      </c>
      <c r="K1634" s="16">
        <f t="shared" si="1"/>
        <v>12.45249662</v>
      </c>
      <c r="L1634" s="16">
        <f t="shared" si="2"/>
        <v>3.997891242</v>
      </c>
    </row>
    <row r="1635" ht="16.5" customHeight="1">
      <c r="A1635" s="15" t="str">
        <f>Solieusap!A1635</f>
        <v>Cũ</v>
      </c>
      <c r="B1635" s="15">
        <f>Solieusap!B1635</f>
        <v>3.5</v>
      </c>
      <c r="C1635" s="15" t="str">
        <f>Solieusap!C1635</f>
        <v>COMB5</v>
      </c>
      <c r="D1635" s="15" t="str">
        <f>Solieusap!D1635</f>
        <v>Combination</v>
      </c>
      <c r="E1635" s="16">
        <f>ABS(Solieusap!E1635)</f>
        <v>12.46935299</v>
      </c>
      <c r="F1635" s="16">
        <f>ABS(Solieusap!F1635)</f>
        <v>1.142179913</v>
      </c>
      <c r="G1635" s="16">
        <f>ABS(Solieusap!G1635)</f>
        <v>1.564500693</v>
      </c>
      <c r="H1635" s="16">
        <f>ABS(Solieusap!H1635)</f>
        <v>0.0006882029351</v>
      </c>
      <c r="I1635" s="16">
        <f>ABS(Solieusap!I1635)</f>
        <v>4.004686035</v>
      </c>
      <c r="J1635" s="16">
        <f>ABS(Solieusap!J1635)</f>
        <v>2.701591896</v>
      </c>
      <c r="K1635" s="16">
        <f t="shared" si="1"/>
        <v>12.46935299</v>
      </c>
      <c r="L1635" s="16">
        <f t="shared" si="2"/>
        <v>4.004686035</v>
      </c>
    </row>
    <row r="1636" ht="16.5" customHeight="1">
      <c r="A1636" s="15" t="str">
        <f>Solieusap!A1636</f>
        <v>Cũ</v>
      </c>
      <c r="B1636" s="15">
        <f>Solieusap!B1636</f>
        <v>0</v>
      </c>
      <c r="C1636" s="15" t="str">
        <f>Solieusap!C1636</f>
        <v>COMB6</v>
      </c>
      <c r="D1636" s="15" t="str">
        <f>Solieusap!D1636</f>
        <v>Combination</v>
      </c>
      <c r="E1636" s="16">
        <f>ABS(Solieusap!E1636)</f>
        <v>12.48620935</v>
      </c>
      <c r="F1636" s="16">
        <f>ABS(Solieusap!F1636)</f>
        <v>1.143890433</v>
      </c>
      <c r="G1636" s="16">
        <f>ABS(Solieusap!G1636)</f>
        <v>1.566765108</v>
      </c>
      <c r="H1636" s="16">
        <f>ABS(Solieusap!H1636)</f>
        <v>0.000689258039</v>
      </c>
      <c r="I1636" s="16">
        <f>ABS(Solieusap!I1636)</f>
        <v>4.011480827</v>
      </c>
      <c r="J1636" s="16">
        <f>ABS(Solieusap!J1636)</f>
        <v>2.706138948</v>
      </c>
      <c r="K1636" s="16">
        <f t="shared" si="1"/>
        <v>12.48620935</v>
      </c>
      <c r="L1636" s="16">
        <f t="shared" si="2"/>
        <v>4.011480827</v>
      </c>
    </row>
    <row r="1637" ht="16.5" customHeight="1">
      <c r="A1637" s="15" t="str">
        <f>Solieusap!A1637</f>
        <v>Cũ</v>
      </c>
      <c r="B1637" s="15">
        <f>Solieusap!B1637</f>
        <v>1.75</v>
      </c>
      <c r="C1637" s="15" t="str">
        <f>Solieusap!C1637</f>
        <v>COMB6</v>
      </c>
      <c r="D1637" s="15" t="str">
        <f>Solieusap!D1637</f>
        <v>Combination</v>
      </c>
      <c r="E1637" s="16">
        <f>ABS(Solieusap!E1637)</f>
        <v>12.50306571</v>
      </c>
      <c r="F1637" s="16">
        <f>ABS(Solieusap!F1637)</f>
        <v>1.145600952</v>
      </c>
      <c r="G1637" s="16">
        <f>ABS(Solieusap!G1637)</f>
        <v>1.569029524</v>
      </c>
      <c r="H1637" s="16">
        <f>ABS(Solieusap!H1637)</f>
        <v>0.0006903131429</v>
      </c>
      <c r="I1637" s="16">
        <f>ABS(Solieusap!I1637)</f>
        <v>4.018275619</v>
      </c>
      <c r="J1637" s="16">
        <f>ABS(Solieusap!J1637)</f>
        <v>2.710686</v>
      </c>
      <c r="K1637" s="16">
        <f t="shared" si="1"/>
        <v>12.50306571</v>
      </c>
      <c r="L1637" s="16">
        <f t="shared" si="2"/>
        <v>4.018275619</v>
      </c>
    </row>
    <row r="1638" ht="16.5" customHeight="1">
      <c r="A1638" s="15" t="str">
        <f>Solieusap!A1638</f>
        <v>Cũ</v>
      </c>
      <c r="B1638" s="15">
        <f>Solieusap!B1638</f>
        <v>3.5</v>
      </c>
      <c r="C1638" s="15" t="str">
        <f>Solieusap!C1638</f>
        <v>COMB6</v>
      </c>
      <c r="D1638" s="15" t="str">
        <f>Solieusap!D1638</f>
        <v>Combination</v>
      </c>
      <c r="E1638" s="16">
        <f>ABS(Solieusap!E1638)</f>
        <v>12.51992208</v>
      </c>
      <c r="F1638" s="16">
        <f>ABS(Solieusap!F1638)</f>
        <v>1.147311472</v>
      </c>
      <c r="G1638" s="16">
        <f>ABS(Solieusap!G1638)</f>
        <v>1.571293939</v>
      </c>
      <c r="H1638" s="16">
        <f>ABS(Solieusap!H1638)</f>
        <v>0.0006913682468</v>
      </c>
      <c r="I1638" s="16">
        <f>ABS(Solieusap!I1638)</f>
        <v>4.025070411</v>
      </c>
      <c r="J1638" s="16">
        <f>ABS(Solieusap!J1638)</f>
        <v>2.715233052</v>
      </c>
      <c r="K1638" s="16">
        <f t="shared" si="1"/>
        <v>12.51992208</v>
      </c>
      <c r="L1638" s="16">
        <f t="shared" si="2"/>
        <v>4.025070411</v>
      </c>
    </row>
    <row r="1639" ht="16.5" customHeight="1">
      <c r="A1639" s="15" t="str">
        <f>Solieusap!A1639</f>
        <v>Cũ</v>
      </c>
      <c r="B1639" s="15">
        <f>Solieusap!B1639</f>
        <v>0</v>
      </c>
      <c r="C1639" s="15" t="str">
        <f>Solieusap!C1639</f>
        <v>COMB7</v>
      </c>
      <c r="D1639" s="15" t="str">
        <f>Solieusap!D1639</f>
        <v>Combination</v>
      </c>
      <c r="E1639" s="16">
        <f>ABS(Solieusap!E1639)</f>
        <v>12.53677844</v>
      </c>
      <c r="F1639" s="16">
        <f>ABS(Solieusap!F1639)</f>
        <v>1.149021991</v>
      </c>
      <c r="G1639" s="16">
        <f>ABS(Solieusap!G1639)</f>
        <v>1.573558355</v>
      </c>
      <c r="H1639" s="16">
        <f>ABS(Solieusap!H1639)</f>
        <v>0.0006924233506</v>
      </c>
      <c r="I1639" s="16">
        <f>ABS(Solieusap!I1639)</f>
        <v>4.031865203</v>
      </c>
      <c r="J1639" s="16">
        <f>ABS(Solieusap!J1639)</f>
        <v>2.719780104</v>
      </c>
      <c r="K1639" s="16">
        <f t="shared" si="1"/>
        <v>12.53677844</v>
      </c>
      <c r="L1639" s="16">
        <f t="shared" si="2"/>
        <v>4.031865203</v>
      </c>
    </row>
    <row r="1640" ht="16.5" customHeight="1">
      <c r="A1640" s="15" t="str">
        <f>Solieusap!A1640</f>
        <v>Cũ</v>
      </c>
      <c r="B1640" s="15">
        <f>Solieusap!B1640</f>
        <v>1.75</v>
      </c>
      <c r="C1640" s="15" t="str">
        <f>Solieusap!C1640</f>
        <v>COMB7</v>
      </c>
      <c r="D1640" s="15" t="str">
        <f>Solieusap!D1640</f>
        <v>Combination</v>
      </c>
      <c r="E1640" s="16">
        <f>ABS(Solieusap!E1640)</f>
        <v>12.55363481</v>
      </c>
      <c r="F1640" s="16">
        <f>ABS(Solieusap!F1640)</f>
        <v>1.150732511</v>
      </c>
      <c r="G1640" s="16">
        <f>ABS(Solieusap!G1640)</f>
        <v>1.575822771</v>
      </c>
      <c r="H1640" s="16">
        <f>ABS(Solieusap!H1640)</f>
        <v>0.0006934784545</v>
      </c>
      <c r="I1640" s="16">
        <f>ABS(Solieusap!I1640)</f>
        <v>4.038659996</v>
      </c>
      <c r="J1640" s="16">
        <f>ABS(Solieusap!J1640)</f>
        <v>2.724327156</v>
      </c>
      <c r="K1640" s="16">
        <f t="shared" si="1"/>
        <v>12.55363481</v>
      </c>
      <c r="L1640" s="16">
        <f t="shared" si="2"/>
        <v>4.038659996</v>
      </c>
    </row>
    <row r="1641" ht="16.5" customHeight="1">
      <c r="A1641" s="15" t="str">
        <f>Solieusap!A1641</f>
        <v>Cũ</v>
      </c>
      <c r="B1641" s="15">
        <f>Solieusap!B1641</f>
        <v>3.5</v>
      </c>
      <c r="C1641" s="15" t="str">
        <f>Solieusap!C1641</f>
        <v>COMB7</v>
      </c>
      <c r="D1641" s="15" t="str">
        <f>Solieusap!D1641</f>
        <v>Combination</v>
      </c>
      <c r="E1641" s="16">
        <f>ABS(Solieusap!E1641)</f>
        <v>12.57049117</v>
      </c>
      <c r="F1641" s="16">
        <f>ABS(Solieusap!F1641)</f>
        <v>1.15244303</v>
      </c>
      <c r="G1641" s="16">
        <f>ABS(Solieusap!G1641)</f>
        <v>1.578087186</v>
      </c>
      <c r="H1641" s="16">
        <f>ABS(Solieusap!H1641)</f>
        <v>0.0006945335584</v>
      </c>
      <c r="I1641" s="16">
        <f>ABS(Solieusap!I1641)</f>
        <v>4.045454788</v>
      </c>
      <c r="J1641" s="16">
        <f>ABS(Solieusap!J1641)</f>
        <v>2.728874208</v>
      </c>
      <c r="K1641" s="16">
        <f t="shared" si="1"/>
        <v>12.57049117</v>
      </c>
      <c r="L1641" s="16">
        <f t="shared" si="2"/>
        <v>4.045454788</v>
      </c>
    </row>
    <row r="1642" ht="16.5" customHeight="1">
      <c r="A1642" s="15" t="str">
        <f>Solieusap!A1642</f>
        <v>Cũ</v>
      </c>
      <c r="B1642" s="15">
        <f>Solieusap!B1642</f>
        <v>0</v>
      </c>
      <c r="C1642" s="15" t="str">
        <f>Solieusap!C1642</f>
        <v>COMB1</v>
      </c>
      <c r="D1642" s="15" t="str">
        <f>Solieusap!D1642</f>
        <v>Combination</v>
      </c>
      <c r="E1642" s="16">
        <f>ABS(Solieusap!E1642)</f>
        <v>12.58734753</v>
      </c>
      <c r="F1642" s="16">
        <f>ABS(Solieusap!F1642)</f>
        <v>1.15415355</v>
      </c>
      <c r="G1642" s="16">
        <f>ABS(Solieusap!G1642)</f>
        <v>1.580351602</v>
      </c>
      <c r="H1642" s="16">
        <f>ABS(Solieusap!H1642)</f>
        <v>0.0006955886623</v>
      </c>
      <c r="I1642" s="16">
        <f>ABS(Solieusap!I1642)</f>
        <v>4.05224958</v>
      </c>
      <c r="J1642" s="16">
        <f>ABS(Solieusap!J1642)</f>
        <v>2.73342126</v>
      </c>
      <c r="K1642" s="16">
        <f t="shared" si="1"/>
        <v>12.58734753</v>
      </c>
      <c r="L1642" s="16">
        <f t="shared" si="2"/>
        <v>4.05224958</v>
      </c>
    </row>
    <row r="1643" ht="16.5" customHeight="1">
      <c r="A1643" s="15" t="str">
        <f>Solieusap!A1643</f>
        <v>Cũ</v>
      </c>
      <c r="B1643" s="15">
        <f>Solieusap!B1643</f>
        <v>1.75</v>
      </c>
      <c r="C1643" s="15" t="str">
        <f>Solieusap!C1643</f>
        <v>COMB1</v>
      </c>
      <c r="D1643" s="15" t="str">
        <f>Solieusap!D1643</f>
        <v>Combination</v>
      </c>
      <c r="E1643" s="16">
        <f>ABS(Solieusap!E1643)</f>
        <v>12.6042039</v>
      </c>
      <c r="F1643" s="16">
        <f>ABS(Solieusap!F1643)</f>
        <v>1.155864069</v>
      </c>
      <c r="G1643" s="16">
        <f>ABS(Solieusap!G1643)</f>
        <v>1.582616017</v>
      </c>
      <c r="H1643" s="16">
        <f>ABS(Solieusap!H1643)</f>
        <v>0.0006966437662</v>
      </c>
      <c r="I1643" s="16">
        <f>ABS(Solieusap!I1643)</f>
        <v>4.059044372</v>
      </c>
      <c r="J1643" s="16">
        <f>ABS(Solieusap!J1643)</f>
        <v>2.737968312</v>
      </c>
      <c r="K1643" s="16">
        <f t="shared" si="1"/>
        <v>12.6042039</v>
      </c>
      <c r="L1643" s="16">
        <f t="shared" si="2"/>
        <v>4.059044372</v>
      </c>
    </row>
    <row r="1644" ht="16.5" customHeight="1">
      <c r="A1644" s="15" t="str">
        <f>Solieusap!A1644</f>
        <v>Cũ</v>
      </c>
      <c r="B1644" s="15">
        <f>Solieusap!B1644</f>
        <v>3.5</v>
      </c>
      <c r="C1644" s="15" t="str">
        <f>Solieusap!C1644</f>
        <v>COMB1</v>
      </c>
      <c r="D1644" s="15" t="str">
        <f>Solieusap!D1644</f>
        <v>Combination</v>
      </c>
      <c r="E1644" s="16">
        <f>ABS(Solieusap!E1644)</f>
        <v>12.62106026</v>
      </c>
      <c r="F1644" s="16">
        <f>ABS(Solieusap!F1644)</f>
        <v>1.157574589</v>
      </c>
      <c r="G1644" s="16">
        <f>ABS(Solieusap!G1644)</f>
        <v>1.584880433</v>
      </c>
      <c r="H1644" s="16">
        <f>ABS(Solieusap!H1644)</f>
        <v>0.0006976988701</v>
      </c>
      <c r="I1644" s="16">
        <f>ABS(Solieusap!I1644)</f>
        <v>4.065839165</v>
      </c>
      <c r="J1644" s="16">
        <f>ABS(Solieusap!J1644)</f>
        <v>2.742515364</v>
      </c>
      <c r="K1644" s="16">
        <f t="shared" si="1"/>
        <v>12.62106026</v>
      </c>
      <c r="L1644" s="16">
        <f t="shared" si="2"/>
        <v>4.065839165</v>
      </c>
    </row>
    <row r="1645" ht="16.5" customHeight="1">
      <c r="A1645" s="15" t="str">
        <f>Solieusap!A1645</f>
        <v>Cũ</v>
      </c>
      <c r="B1645" s="15">
        <f>Solieusap!B1645</f>
        <v>0</v>
      </c>
      <c r="C1645" s="15" t="str">
        <f>Solieusap!C1645</f>
        <v>COMB2</v>
      </c>
      <c r="D1645" s="15" t="str">
        <f>Solieusap!D1645</f>
        <v>Combination</v>
      </c>
      <c r="E1645" s="16">
        <f>ABS(Solieusap!E1645)</f>
        <v>12.63791662</v>
      </c>
      <c r="F1645" s="16">
        <f>ABS(Solieusap!F1645)</f>
        <v>1.159285108</v>
      </c>
      <c r="G1645" s="16">
        <f>ABS(Solieusap!G1645)</f>
        <v>1.587144848</v>
      </c>
      <c r="H1645" s="16">
        <f>ABS(Solieusap!H1645)</f>
        <v>0.000698753974</v>
      </c>
      <c r="I1645" s="16">
        <f>ABS(Solieusap!I1645)</f>
        <v>4.072633957</v>
      </c>
      <c r="J1645" s="16">
        <f>ABS(Solieusap!J1645)</f>
        <v>2.747062416</v>
      </c>
      <c r="K1645" s="16">
        <f t="shared" si="1"/>
        <v>12.63791662</v>
      </c>
      <c r="L1645" s="16">
        <f t="shared" si="2"/>
        <v>4.072633957</v>
      </c>
    </row>
    <row r="1646" ht="16.5" customHeight="1">
      <c r="A1646" s="15" t="str">
        <f>Solieusap!A1646</f>
        <v>Cũ</v>
      </c>
      <c r="B1646" s="15">
        <f>Solieusap!B1646</f>
        <v>1.75</v>
      </c>
      <c r="C1646" s="15" t="str">
        <f>Solieusap!C1646</f>
        <v>COMB2</v>
      </c>
      <c r="D1646" s="15" t="str">
        <f>Solieusap!D1646</f>
        <v>Combination</v>
      </c>
      <c r="E1646" s="16">
        <f>ABS(Solieusap!E1646)</f>
        <v>12.65477299</v>
      </c>
      <c r="F1646" s="16">
        <f>ABS(Solieusap!F1646)</f>
        <v>1.160995628</v>
      </c>
      <c r="G1646" s="16">
        <f>ABS(Solieusap!G1646)</f>
        <v>1.589409264</v>
      </c>
      <c r="H1646" s="16">
        <f>ABS(Solieusap!H1646)</f>
        <v>0.0006998090779</v>
      </c>
      <c r="I1646" s="16">
        <f>ABS(Solieusap!I1646)</f>
        <v>4.079428749</v>
      </c>
      <c r="J1646" s="16">
        <f>ABS(Solieusap!J1646)</f>
        <v>2.751609468</v>
      </c>
      <c r="K1646" s="16">
        <f t="shared" si="1"/>
        <v>12.65477299</v>
      </c>
      <c r="L1646" s="16">
        <f t="shared" si="2"/>
        <v>4.079428749</v>
      </c>
    </row>
    <row r="1647" ht="16.5" customHeight="1">
      <c r="A1647" s="15" t="str">
        <f>Solieusap!A1647</f>
        <v>Cũ</v>
      </c>
      <c r="B1647" s="15">
        <f>Solieusap!B1647</f>
        <v>3.5</v>
      </c>
      <c r="C1647" s="15" t="str">
        <f>Solieusap!C1647</f>
        <v>COMB2</v>
      </c>
      <c r="D1647" s="15" t="str">
        <f>Solieusap!D1647</f>
        <v>Combination</v>
      </c>
      <c r="E1647" s="16">
        <f>ABS(Solieusap!E1647)</f>
        <v>12.67162935</v>
      </c>
      <c r="F1647" s="16">
        <f>ABS(Solieusap!F1647)</f>
        <v>1.162706147</v>
      </c>
      <c r="G1647" s="16">
        <f>ABS(Solieusap!G1647)</f>
        <v>1.59167368</v>
      </c>
      <c r="H1647" s="16">
        <f>ABS(Solieusap!H1647)</f>
        <v>0.0007008641818</v>
      </c>
      <c r="I1647" s="16">
        <f>ABS(Solieusap!I1647)</f>
        <v>4.086223541</v>
      </c>
      <c r="J1647" s="16">
        <f>ABS(Solieusap!J1647)</f>
        <v>2.756156519</v>
      </c>
      <c r="K1647" s="16">
        <f t="shared" si="1"/>
        <v>12.67162935</v>
      </c>
      <c r="L1647" s="16">
        <f t="shared" si="2"/>
        <v>4.086223541</v>
      </c>
    </row>
    <row r="1648" ht="16.5" customHeight="1">
      <c r="A1648" s="15" t="str">
        <f>Solieusap!A1648</f>
        <v>Cũ</v>
      </c>
      <c r="B1648" s="15">
        <f>Solieusap!B1648</f>
        <v>0</v>
      </c>
      <c r="C1648" s="15" t="str">
        <f>Solieusap!C1648</f>
        <v>COMB3</v>
      </c>
      <c r="D1648" s="15" t="str">
        <f>Solieusap!D1648</f>
        <v>Combination</v>
      </c>
      <c r="E1648" s="16">
        <f>ABS(Solieusap!E1648)</f>
        <v>12.68848571</v>
      </c>
      <c r="F1648" s="16">
        <f>ABS(Solieusap!F1648)</f>
        <v>1.164416667</v>
      </c>
      <c r="G1648" s="16">
        <f>ABS(Solieusap!G1648)</f>
        <v>1.593938095</v>
      </c>
      <c r="H1648" s="16">
        <f>ABS(Solieusap!H1648)</f>
        <v>0.0007019192857</v>
      </c>
      <c r="I1648" s="16">
        <f>ABS(Solieusap!I1648)</f>
        <v>4.093018333</v>
      </c>
      <c r="J1648" s="16">
        <f>ABS(Solieusap!J1648)</f>
        <v>2.760703571</v>
      </c>
      <c r="K1648" s="16">
        <f t="shared" si="1"/>
        <v>12.68848571</v>
      </c>
      <c r="L1648" s="16">
        <f t="shared" si="2"/>
        <v>4.093018333</v>
      </c>
    </row>
    <row r="1649" ht="16.5" customHeight="1">
      <c r="A1649" s="15" t="str">
        <f>Solieusap!A1649</f>
        <v>Cũ</v>
      </c>
      <c r="B1649" s="15">
        <f>Solieusap!B1649</f>
        <v>1.75</v>
      </c>
      <c r="C1649" s="15" t="str">
        <f>Solieusap!C1649</f>
        <v>COMB3</v>
      </c>
      <c r="D1649" s="15" t="str">
        <f>Solieusap!D1649</f>
        <v>Combination</v>
      </c>
      <c r="E1649" s="16">
        <f>ABS(Solieusap!E1649)</f>
        <v>12.70534208</v>
      </c>
      <c r="F1649" s="16">
        <f>ABS(Solieusap!F1649)</f>
        <v>1.166127186</v>
      </c>
      <c r="G1649" s="16">
        <f>ABS(Solieusap!G1649)</f>
        <v>1.596202511</v>
      </c>
      <c r="H1649" s="16">
        <f>ABS(Solieusap!H1649)</f>
        <v>0.0007029743896</v>
      </c>
      <c r="I1649" s="16">
        <f>ABS(Solieusap!I1649)</f>
        <v>4.099813126</v>
      </c>
      <c r="J1649" s="16">
        <f>ABS(Solieusap!J1649)</f>
        <v>2.765250623</v>
      </c>
      <c r="K1649" s="16">
        <f t="shared" si="1"/>
        <v>12.70534208</v>
      </c>
      <c r="L1649" s="16">
        <f t="shared" si="2"/>
        <v>4.099813126</v>
      </c>
    </row>
    <row r="1650" ht="16.5" customHeight="1">
      <c r="A1650" s="15" t="str">
        <f>Solieusap!A1650</f>
        <v>Cũ</v>
      </c>
      <c r="B1650" s="15">
        <f>Solieusap!B1650</f>
        <v>3.5</v>
      </c>
      <c r="C1650" s="15" t="str">
        <f>Solieusap!C1650</f>
        <v>COMB3</v>
      </c>
      <c r="D1650" s="15" t="str">
        <f>Solieusap!D1650</f>
        <v>Combination</v>
      </c>
      <c r="E1650" s="16">
        <f>ABS(Solieusap!E1650)</f>
        <v>12.72219844</v>
      </c>
      <c r="F1650" s="16">
        <f>ABS(Solieusap!F1650)</f>
        <v>1.167837706</v>
      </c>
      <c r="G1650" s="16">
        <f>ABS(Solieusap!G1650)</f>
        <v>1.598466926</v>
      </c>
      <c r="H1650" s="16">
        <f>ABS(Solieusap!H1650)</f>
        <v>0.0007040294935</v>
      </c>
      <c r="I1650" s="16">
        <f>ABS(Solieusap!I1650)</f>
        <v>4.106607918</v>
      </c>
      <c r="J1650" s="16">
        <f>ABS(Solieusap!J1650)</f>
        <v>2.769797675</v>
      </c>
      <c r="K1650" s="16">
        <f t="shared" si="1"/>
        <v>12.72219844</v>
      </c>
      <c r="L1650" s="16">
        <f t="shared" si="2"/>
        <v>4.106607918</v>
      </c>
    </row>
    <row r="1651" ht="16.5" customHeight="1">
      <c r="A1651" s="15" t="str">
        <f>Solieusap!A1651</f>
        <v>Cũ</v>
      </c>
      <c r="B1651" s="15">
        <f>Solieusap!B1651</f>
        <v>0</v>
      </c>
      <c r="C1651" s="15" t="str">
        <f>Solieusap!C1651</f>
        <v>COMB4</v>
      </c>
      <c r="D1651" s="15" t="str">
        <f>Solieusap!D1651</f>
        <v>Combination</v>
      </c>
      <c r="E1651" s="16">
        <f>ABS(Solieusap!E1651)</f>
        <v>12.73905481</v>
      </c>
      <c r="F1651" s="16">
        <f>ABS(Solieusap!F1651)</f>
        <v>1.169548225</v>
      </c>
      <c r="G1651" s="16">
        <f>ABS(Solieusap!G1651)</f>
        <v>1.600731342</v>
      </c>
      <c r="H1651" s="16">
        <f>ABS(Solieusap!H1651)</f>
        <v>0.0007050845974</v>
      </c>
      <c r="I1651" s="16">
        <f>ABS(Solieusap!I1651)</f>
        <v>4.11340271</v>
      </c>
      <c r="J1651" s="16">
        <f>ABS(Solieusap!J1651)</f>
        <v>2.774344727</v>
      </c>
      <c r="K1651" s="16">
        <f t="shared" si="1"/>
        <v>12.73905481</v>
      </c>
      <c r="L1651" s="16">
        <f t="shared" si="2"/>
        <v>4.11340271</v>
      </c>
    </row>
    <row r="1652" ht="16.5" customHeight="1">
      <c r="A1652" s="15" t="str">
        <f>Solieusap!A1652</f>
        <v>Cũ</v>
      </c>
      <c r="B1652" s="15">
        <f>Solieusap!B1652</f>
        <v>1.75</v>
      </c>
      <c r="C1652" s="15" t="str">
        <f>Solieusap!C1652</f>
        <v>COMB4</v>
      </c>
      <c r="D1652" s="15" t="str">
        <f>Solieusap!D1652</f>
        <v>Combination</v>
      </c>
      <c r="E1652" s="16">
        <f>ABS(Solieusap!E1652)</f>
        <v>12.75591117</v>
      </c>
      <c r="F1652" s="16">
        <f>ABS(Solieusap!F1652)</f>
        <v>1.171258745</v>
      </c>
      <c r="G1652" s="16">
        <f>ABS(Solieusap!G1652)</f>
        <v>1.602995758</v>
      </c>
      <c r="H1652" s="16">
        <f>ABS(Solieusap!H1652)</f>
        <v>0.0007061397013</v>
      </c>
      <c r="I1652" s="16">
        <f>ABS(Solieusap!I1652)</f>
        <v>4.120197502</v>
      </c>
      <c r="J1652" s="16">
        <f>ABS(Solieusap!J1652)</f>
        <v>2.778891779</v>
      </c>
      <c r="K1652" s="16">
        <f t="shared" si="1"/>
        <v>12.75591117</v>
      </c>
      <c r="L1652" s="16">
        <f t="shared" si="2"/>
        <v>4.120197502</v>
      </c>
    </row>
    <row r="1653" ht="16.5" customHeight="1">
      <c r="A1653" s="15" t="str">
        <f>Solieusap!A1653</f>
        <v>Cũ</v>
      </c>
      <c r="B1653" s="15">
        <f>Solieusap!B1653</f>
        <v>3.5</v>
      </c>
      <c r="C1653" s="15" t="str">
        <f>Solieusap!C1653</f>
        <v>COMB4</v>
      </c>
      <c r="D1653" s="15" t="str">
        <f>Solieusap!D1653</f>
        <v>Combination</v>
      </c>
      <c r="E1653" s="16">
        <f>ABS(Solieusap!E1653)</f>
        <v>12.77276753</v>
      </c>
      <c r="F1653" s="16">
        <f>ABS(Solieusap!F1653)</f>
        <v>1.172969264</v>
      </c>
      <c r="G1653" s="16">
        <f>ABS(Solieusap!G1653)</f>
        <v>1.605260173</v>
      </c>
      <c r="H1653" s="16">
        <f>ABS(Solieusap!H1653)</f>
        <v>0.0007071948052</v>
      </c>
      <c r="I1653" s="16">
        <f>ABS(Solieusap!I1653)</f>
        <v>4.126992294</v>
      </c>
      <c r="J1653" s="16">
        <f>ABS(Solieusap!J1653)</f>
        <v>2.783438831</v>
      </c>
      <c r="K1653" s="16">
        <f t="shared" si="1"/>
        <v>12.77276753</v>
      </c>
      <c r="L1653" s="16">
        <f t="shared" si="2"/>
        <v>4.126992294</v>
      </c>
    </row>
    <row r="1654" ht="16.5" customHeight="1">
      <c r="A1654" s="15" t="str">
        <f>Solieusap!A1654</f>
        <v>Cũ</v>
      </c>
      <c r="B1654" s="15">
        <f>Solieusap!B1654</f>
        <v>0</v>
      </c>
      <c r="C1654" s="15" t="str">
        <f>Solieusap!C1654</f>
        <v>COMB5</v>
      </c>
      <c r="D1654" s="15" t="str">
        <f>Solieusap!D1654</f>
        <v>Combination</v>
      </c>
      <c r="E1654" s="16">
        <f>ABS(Solieusap!E1654)</f>
        <v>12.7896239</v>
      </c>
      <c r="F1654" s="16">
        <f>ABS(Solieusap!F1654)</f>
        <v>1.174679784</v>
      </c>
      <c r="G1654" s="16">
        <f>ABS(Solieusap!G1654)</f>
        <v>1.607524589</v>
      </c>
      <c r="H1654" s="16">
        <f>ABS(Solieusap!H1654)</f>
        <v>0.0007082499091</v>
      </c>
      <c r="I1654" s="16">
        <f>ABS(Solieusap!I1654)</f>
        <v>4.133787087</v>
      </c>
      <c r="J1654" s="16">
        <f>ABS(Solieusap!J1654)</f>
        <v>2.787985883</v>
      </c>
      <c r="K1654" s="16">
        <f t="shared" si="1"/>
        <v>12.7896239</v>
      </c>
      <c r="L1654" s="16">
        <f t="shared" si="2"/>
        <v>4.133787087</v>
      </c>
    </row>
    <row r="1655" ht="16.5" customHeight="1">
      <c r="A1655" s="15" t="str">
        <f>Solieusap!A1655</f>
        <v>Cũ</v>
      </c>
      <c r="B1655" s="15">
        <f>Solieusap!B1655</f>
        <v>1.75</v>
      </c>
      <c r="C1655" s="15" t="str">
        <f>Solieusap!C1655</f>
        <v>COMB5</v>
      </c>
      <c r="D1655" s="15" t="str">
        <f>Solieusap!D1655</f>
        <v>Combination</v>
      </c>
      <c r="E1655" s="16">
        <f>ABS(Solieusap!E1655)</f>
        <v>12.80648026</v>
      </c>
      <c r="F1655" s="16">
        <f>ABS(Solieusap!F1655)</f>
        <v>1.176390303</v>
      </c>
      <c r="G1655" s="16">
        <f>ABS(Solieusap!G1655)</f>
        <v>1.609789004</v>
      </c>
      <c r="H1655" s="16">
        <f>ABS(Solieusap!H1655)</f>
        <v>0.000709305013</v>
      </c>
      <c r="I1655" s="16">
        <f>ABS(Solieusap!I1655)</f>
        <v>4.140581879</v>
      </c>
      <c r="J1655" s="16">
        <f>ABS(Solieusap!J1655)</f>
        <v>2.792532935</v>
      </c>
      <c r="K1655" s="16">
        <f t="shared" si="1"/>
        <v>12.80648026</v>
      </c>
      <c r="L1655" s="16">
        <f t="shared" si="2"/>
        <v>4.140581879</v>
      </c>
    </row>
    <row r="1656" ht="16.5" customHeight="1">
      <c r="A1656" s="15" t="str">
        <f>Solieusap!A1656</f>
        <v>Cũ</v>
      </c>
      <c r="B1656" s="15">
        <f>Solieusap!B1656</f>
        <v>3.5</v>
      </c>
      <c r="C1656" s="15" t="str">
        <f>Solieusap!C1656</f>
        <v>COMB5</v>
      </c>
      <c r="D1656" s="15" t="str">
        <f>Solieusap!D1656</f>
        <v>Combination</v>
      </c>
      <c r="E1656" s="16">
        <f>ABS(Solieusap!E1656)</f>
        <v>12.82333662</v>
      </c>
      <c r="F1656" s="16">
        <f>ABS(Solieusap!F1656)</f>
        <v>1.178100823</v>
      </c>
      <c r="G1656" s="16">
        <f>ABS(Solieusap!G1656)</f>
        <v>1.61205342</v>
      </c>
      <c r="H1656" s="16">
        <f>ABS(Solieusap!H1656)</f>
        <v>0.0007103601169</v>
      </c>
      <c r="I1656" s="16">
        <f>ABS(Solieusap!I1656)</f>
        <v>4.147376671</v>
      </c>
      <c r="J1656" s="16">
        <f>ABS(Solieusap!J1656)</f>
        <v>2.797079987</v>
      </c>
      <c r="K1656" s="16">
        <f t="shared" si="1"/>
        <v>12.82333662</v>
      </c>
      <c r="L1656" s="16">
        <f t="shared" si="2"/>
        <v>4.147376671</v>
      </c>
    </row>
    <row r="1657" ht="16.5" customHeight="1">
      <c r="A1657" s="15" t="str">
        <f>Solieusap!A1657</f>
        <v>Cũ</v>
      </c>
      <c r="B1657" s="15">
        <f>Solieusap!B1657</f>
        <v>0</v>
      </c>
      <c r="C1657" s="15" t="str">
        <f>Solieusap!C1657</f>
        <v>COMB6</v>
      </c>
      <c r="D1657" s="15" t="str">
        <f>Solieusap!D1657</f>
        <v>Combination</v>
      </c>
      <c r="E1657" s="16">
        <f>ABS(Solieusap!E1657)</f>
        <v>12.84019299</v>
      </c>
      <c r="F1657" s="16">
        <f>ABS(Solieusap!F1657)</f>
        <v>1.179811342</v>
      </c>
      <c r="G1657" s="16">
        <f>ABS(Solieusap!G1657)</f>
        <v>1.614317835</v>
      </c>
      <c r="H1657" s="16">
        <f>ABS(Solieusap!H1657)</f>
        <v>0.0007114152208</v>
      </c>
      <c r="I1657" s="16">
        <f>ABS(Solieusap!I1657)</f>
        <v>4.154171463</v>
      </c>
      <c r="J1657" s="16">
        <f>ABS(Solieusap!J1657)</f>
        <v>2.801627039</v>
      </c>
      <c r="K1657" s="16">
        <f t="shared" si="1"/>
        <v>12.84019299</v>
      </c>
      <c r="L1657" s="16">
        <f t="shared" si="2"/>
        <v>4.154171463</v>
      </c>
    </row>
    <row r="1658" ht="16.5" customHeight="1">
      <c r="A1658" s="15" t="str">
        <f>Solieusap!A1658</f>
        <v>Cũ</v>
      </c>
      <c r="B1658" s="15">
        <f>Solieusap!B1658</f>
        <v>1.75</v>
      </c>
      <c r="C1658" s="15" t="str">
        <f>Solieusap!C1658</f>
        <v>COMB6</v>
      </c>
      <c r="D1658" s="15" t="str">
        <f>Solieusap!D1658</f>
        <v>Combination</v>
      </c>
      <c r="E1658" s="16">
        <f>ABS(Solieusap!E1658)</f>
        <v>12.85704935</v>
      </c>
      <c r="F1658" s="16">
        <f>ABS(Solieusap!F1658)</f>
        <v>1.181521861</v>
      </c>
      <c r="G1658" s="16">
        <f>ABS(Solieusap!G1658)</f>
        <v>1.616582251</v>
      </c>
      <c r="H1658" s="16">
        <f>ABS(Solieusap!H1658)</f>
        <v>0.0007124703247</v>
      </c>
      <c r="I1658" s="16">
        <f>ABS(Solieusap!I1658)</f>
        <v>4.160966255</v>
      </c>
      <c r="J1658" s="16">
        <f>ABS(Solieusap!J1658)</f>
        <v>2.806174091</v>
      </c>
      <c r="K1658" s="16">
        <f t="shared" si="1"/>
        <v>12.85704935</v>
      </c>
      <c r="L1658" s="16">
        <f t="shared" si="2"/>
        <v>4.160966255</v>
      </c>
    </row>
    <row r="1659" ht="16.5" customHeight="1">
      <c r="A1659" s="15" t="str">
        <f>Solieusap!A1659</f>
        <v>Cũ</v>
      </c>
      <c r="B1659" s="15">
        <f>Solieusap!B1659</f>
        <v>3.5</v>
      </c>
      <c r="C1659" s="15" t="str">
        <f>Solieusap!C1659</f>
        <v>COMB6</v>
      </c>
      <c r="D1659" s="15" t="str">
        <f>Solieusap!D1659</f>
        <v>Combination</v>
      </c>
      <c r="E1659" s="16">
        <f>ABS(Solieusap!E1659)</f>
        <v>12.87390571</v>
      </c>
      <c r="F1659" s="16">
        <f>ABS(Solieusap!F1659)</f>
        <v>1.183232381</v>
      </c>
      <c r="G1659" s="16">
        <f>ABS(Solieusap!G1659)</f>
        <v>1.618846667</v>
      </c>
      <c r="H1659" s="16">
        <f>ABS(Solieusap!H1659)</f>
        <v>0.0007135254286</v>
      </c>
      <c r="I1659" s="16">
        <f>ABS(Solieusap!I1659)</f>
        <v>4.167761048</v>
      </c>
      <c r="J1659" s="16">
        <f>ABS(Solieusap!J1659)</f>
        <v>2.810721143</v>
      </c>
      <c r="K1659" s="16">
        <f t="shared" si="1"/>
        <v>12.87390571</v>
      </c>
      <c r="L1659" s="16">
        <f t="shared" si="2"/>
        <v>4.167761048</v>
      </c>
    </row>
    <row r="1660" ht="16.5" customHeight="1">
      <c r="A1660" s="15" t="str">
        <f>Solieusap!A1660</f>
        <v>Cũ</v>
      </c>
      <c r="B1660" s="15">
        <f>Solieusap!B1660</f>
        <v>0</v>
      </c>
      <c r="C1660" s="15" t="str">
        <f>Solieusap!C1660</f>
        <v>COMB7</v>
      </c>
      <c r="D1660" s="15" t="str">
        <f>Solieusap!D1660</f>
        <v>Combination</v>
      </c>
      <c r="E1660" s="16">
        <f>ABS(Solieusap!E1660)</f>
        <v>12.89076208</v>
      </c>
      <c r="F1660" s="16">
        <f>ABS(Solieusap!F1660)</f>
        <v>1.1849429</v>
      </c>
      <c r="G1660" s="16">
        <f>ABS(Solieusap!G1660)</f>
        <v>1.621111082</v>
      </c>
      <c r="H1660" s="16">
        <f>ABS(Solieusap!H1660)</f>
        <v>0.0007145805325</v>
      </c>
      <c r="I1660" s="16">
        <f>ABS(Solieusap!I1660)</f>
        <v>4.17455584</v>
      </c>
      <c r="J1660" s="16">
        <f>ABS(Solieusap!J1660)</f>
        <v>2.815268195</v>
      </c>
      <c r="K1660" s="16">
        <f t="shared" si="1"/>
        <v>12.89076208</v>
      </c>
      <c r="L1660" s="16">
        <f t="shared" si="2"/>
        <v>4.17455584</v>
      </c>
    </row>
    <row r="1661" ht="16.5" customHeight="1">
      <c r="A1661" s="15" t="str">
        <f>Solieusap!A1661</f>
        <v>Cũ</v>
      </c>
      <c r="B1661" s="15">
        <f>Solieusap!B1661</f>
        <v>1.75</v>
      </c>
      <c r="C1661" s="15" t="str">
        <f>Solieusap!C1661</f>
        <v>COMB7</v>
      </c>
      <c r="D1661" s="15" t="str">
        <f>Solieusap!D1661</f>
        <v>Combination</v>
      </c>
      <c r="E1661" s="16">
        <f>ABS(Solieusap!E1661)</f>
        <v>12.90761844</v>
      </c>
      <c r="F1661" s="16">
        <f>ABS(Solieusap!F1661)</f>
        <v>1.18665342</v>
      </c>
      <c r="G1661" s="16">
        <f>ABS(Solieusap!G1661)</f>
        <v>1.623375498</v>
      </c>
      <c r="H1661" s="16">
        <f>ABS(Solieusap!H1661)</f>
        <v>0.0007156356364</v>
      </c>
      <c r="I1661" s="16">
        <f>ABS(Solieusap!I1661)</f>
        <v>4.181350632</v>
      </c>
      <c r="J1661" s="16">
        <f>ABS(Solieusap!J1661)</f>
        <v>2.819815247</v>
      </c>
      <c r="K1661" s="16">
        <f t="shared" si="1"/>
        <v>12.90761844</v>
      </c>
      <c r="L1661" s="16">
        <f t="shared" si="2"/>
        <v>4.181350632</v>
      </c>
    </row>
    <row r="1662" ht="16.5" customHeight="1">
      <c r="A1662" s="15" t="str">
        <f>Solieusap!A1662</f>
        <v>Cũ</v>
      </c>
      <c r="B1662" s="15">
        <f>Solieusap!B1662</f>
        <v>3.5</v>
      </c>
      <c r="C1662" s="15" t="str">
        <f>Solieusap!C1662</f>
        <v>COMB7</v>
      </c>
      <c r="D1662" s="15" t="str">
        <f>Solieusap!D1662</f>
        <v>Combination</v>
      </c>
      <c r="E1662" s="16">
        <f>ABS(Solieusap!E1662)</f>
        <v>12.92447481</v>
      </c>
      <c r="F1662" s="16">
        <f>ABS(Solieusap!F1662)</f>
        <v>1.188363939</v>
      </c>
      <c r="G1662" s="16">
        <f>ABS(Solieusap!G1662)</f>
        <v>1.625639913</v>
      </c>
      <c r="H1662" s="16">
        <f>ABS(Solieusap!H1662)</f>
        <v>0.0007166907403</v>
      </c>
      <c r="I1662" s="16">
        <f>ABS(Solieusap!I1662)</f>
        <v>4.188145424</v>
      </c>
      <c r="J1662" s="16">
        <f>ABS(Solieusap!J1662)</f>
        <v>2.824362299</v>
      </c>
      <c r="K1662" s="16">
        <f t="shared" si="1"/>
        <v>12.92447481</v>
      </c>
      <c r="L1662" s="16">
        <f t="shared" si="2"/>
        <v>4.188145424</v>
      </c>
    </row>
    <row r="1663" ht="16.5" customHeight="1">
      <c r="A1663" s="15" t="str">
        <f>Solieusap!A1663</f>
        <v>Cũ</v>
      </c>
      <c r="B1663" s="15">
        <f>Solieusap!B1663</f>
        <v>0</v>
      </c>
      <c r="C1663" s="15" t="str">
        <f>Solieusap!C1663</f>
        <v>COMB1</v>
      </c>
      <c r="D1663" s="15" t="str">
        <f>Solieusap!D1663</f>
        <v>Combination</v>
      </c>
      <c r="E1663" s="16">
        <f>ABS(Solieusap!E1663)</f>
        <v>12.94133117</v>
      </c>
      <c r="F1663" s="16">
        <f>ABS(Solieusap!F1663)</f>
        <v>1.190074459</v>
      </c>
      <c r="G1663" s="16">
        <f>ABS(Solieusap!G1663)</f>
        <v>1.627904329</v>
      </c>
      <c r="H1663" s="16">
        <f>ABS(Solieusap!H1663)</f>
        <v>0.0007177458442</v>
      </c>
      <c r="I1663" s="16">
        <f>ABS(Solieusap!I1663)</f>
        <v>4.194940216</v>
      </c>
      <c r="J1663" s="16">
        <f>ABS(Solieusap!J1663)</f>
        <v>2.828909351</v>
      </c>
      <c r="K1663" s="16">
        <f t="shared" si="1"/>
        <v>12.94133117</v>
      </c>
      <c r="L1663" s="16">
        <f t="shared" si="2"/>
        <v>4.194940216</v>
      </c>
    </row>
    <row r="1664" ht="16.5" customHeight="1">
      <c r="A1664" s="15" t="str">
        <f>Solieusap!A1664</f>
        <v>Cũ</v>
      </c>
      <c r="B1664" s="15">
        <f>Solieusap!B1664</f>
        <v>1.75</v>
      </c>
      <c r="C1664" s="15" t="str">
        <f>Solieusap!C1664</f>
        <v>COMB1</v>
      </c>
      <c r="D1664" s="15" t="str">
        <f>Solieusap!D1664</f>
        <v>Combination</v>
      </c>
      <c r="E1664" s="16">
        <f>ABS(Solieusap!E1664)</f>
        <v>12.95818753</v>
      </c>
      <c r="F1664" s="16">
        <f>ABS(Solieusap!F1664)</f>
        <v>1.191784978</v>
      </c>
      <c r="G1664" s="16">
        <f>ABS(Solieusap!G1664)</f>
        <v>1.630168745</v>
      </c>
      <c r="H1664" s="16">
        <f>ABS(Solieusap!H1664)</f>
        <v>0.0007188009481</v>
      </c>
      <c r="I1664" s="16">
        <f>ABS(Solieusap!I1664)</f>
        <v>4.201735009</v>
      </c>
      <c r="J1664" s="16">
        <f>ABS(Solieusap!J1664)</f>
        <v>2.833456403</v>
      </c>
      <c r="K1664" s="16">
        <f t="shared" si="1"/>
        <v>12.95818753</v>
      </c>
      <c r="L1664" s="16">
        <f t="shared" si="2"/>
        <v>4.201735009</v>
      </c>
    </row>
    <row r="1665" ht="16.5" customHeight="1">
      <c r="A1665" s="15" t="str">
        <f>Solieusap!A1665</f>
        <v>Cũ</v>
      </c>
      <c r="B1665" s="15">
        <f>Solieusap!B1665</f>
        <v>3.5</v>
      </c>
      <c r="C1665" s="15" t="str">
        <f>Solieusap!C1665</f>
        <v>COMB1</v>
      </c>
      <c r="D1665" s="15" t="str">
        <f>Solieusap!D1665</f>
        <v>Combination</v>
      </c>
      <c r="E1665" s="16">
        <f>ABS(Solieusap!E1665)</f>
        <v>12.9750439</v>
      </c>
      <c r="F1665" s="16">
        <f>ABS(Solieusap!F1665)</f>
        <v>1.193495498</v>
      </c>
      <c r="G1665" s="16">
        <f>ABS(Solieusap!G1665)</f>
        <v>1.63243316</v>
      </c>
      <c r="H1665" s="16">
        <f>ABS(Solieusap!H1665)</f>
        <v>0.0007198560519</v>
      </c>
      <c r="I1665" s="16">
        <f>ABS(Solieusap!I1665)</f>
        <v>4.208529801</v>
      </c>
      <c r="J1665" s="16">
        <f>ABS(Solieusap!J1665)</f>
        <v>2.838003455</v>
      </c>
      <c r="K1665" s="16">
        <f t="shared" si="1"/>
        <v>12.9750439</v>
      </c>
      <c r="L1665" s="16">
        <f t="shared" si="2"/>
        <v>4.208529801</v>
      </c>
    </row>
    <row r="1666" ht="16.5" customHeight="1">
      <c r="A1666" s="15" t="str">
        <f>Solieusap!A1666</f>
        <v>Cũ</v>
      </c>
      <c r="B1666" s="15">
        <f>Solieusap!B1666</f>
        <v>0</v>
      </c>
      <c r="C1666" s="15" t="str">
        <f>Solieusap!C1666</f>
        <v>COMB2</v>
      </c>
      <c r="D1666" s="15" t="str">
        <f>Solieusap!D1666</f>
        <v>Combination</v>
      </c>
      <c r="E1666" s="16">
        <f>ABS(Solieusap!E1666)</f>
        <v>12.99190026</v>
      </c>
      <c r="F1666" s="16">
        <f>ABS(Solieusap!F1666)</f>
        <v>1.195206017</v>
      </c>
      <c r="G1666" s="16">
        <f>ABS(Solieusap!G1666)</f>
        <v>1.634697576</v>
      </c>
      <c r="H1666" s="16">
        <f>ABS(Solieusap!H1666)</f>
        <v>0.0007209111558</v>
      </c>
      <c r="I1666" s="16">
        <f>ABS(Solieusap!I1666)</f>
        <v>4.215324593</v>
      </c>
      <c r="J1666" s="16">
        <f>ABS(Solieusap!J1666)</f>
        <v>2.842550506</v>
      </c>
      <c r="K1666" s="16">
        <f t="shared" si="1"/>
        <v>12.99190026</v>
      </c>
      <c r="L1666" s="16">
        <f t="shared" si="2"/>
        <v>4.215324593</v>
      </c>
    </row>
    <row r="1667" ht="16.5" customHeight="1">
      <c r="A1667" s="15" t="str">
        <f>Solieusap!A1667</f>
        <v>Cũ</v>
      </c>
      <c r="B1667" s="15">
        <f>Solieusap!B1667</f>
        <v>1.75</v>
      </c>
      <c r="C1667" s="15" t="str">
        <f>Solieusap!C1667</f>
        <v>COMB2</v>
      </c>
      <c r="D1667" s="15" t="str">
        <f>Solieusap!D1667</f>
        <v>Combination</v>
      </c>
      <c r="E1667" s="16">
        <f>ABS(Solieusap!E1667)</f>
        <v>13.00875662</v>
      </c>
      <c r="F1667" s="16">
        <f>ABS(Solieusap!F1667)</f>
        <v>1.196916537</v>
      </c>
      <c r="G1667" s="16">
        <f>ABS(Solieusap!G1667)</f>
        <v>1.636961991</v>
      </c>
      <c r="H1667" s="16">
        <f>ABS(Solieusap!H1667)</f>
        <v>0.0007219662597</v>
      </c>
      <c r="I1667" s="16">
        <f>ABS(Solieusap!I1667)</f>
        <v>4.222119385</v>
      </c>
      <c r="J1667" s="16">
        <f>ABS(Solieusap!J1667)</f>
        <v>2.847097558</v>
      </c>
      <c r="K1667" s="16">
        <f t="shared" si="1"/>
        <v>13.00875662</v>
      </c>
      <c r="L1667" s="16">
        <f t="shared" si="2"/>
        <v>4.222119385</v>
      </c>
    </row>
    <row r="1668" ht="16.5" customHeight="1">
      <c r="A1668" s="15" t="str">
        <f>Solieusap!A1668</f>
        <v>Cũ</v>
      </c>
      <c r="B1668" s="15">
        <f>Solieusap!B1668</f>
        <v>3.5</v>
      </c>
      <c r="C1668" s="15" t="str">
        <f>Solieusap!C1668</f>
        <v>COMB2</v>
      </c>
      <c r="D1668" s="15" t="str">
        <f>Solieusap!D1668</f>
        <v>Combination</v>
      </c>
      <c r="E1668" s="16">
        <f>ABS(Solieusap!E1668)</f>
        <v>13.02561299</v>
      </c>
      <c r="F1668" s="16">
        <f>ABS(Solieusap!F1668)</f>
        <v>1.198627056</v>
      </c>
      <c r="G1668" s="16">
        <f>ABS(Solieusap!G1668)</f>
        <v>1.639226407</v>
      </c>
      <c r="H1668" s="16">
        <f>ABS(Solieusap!H1668)</f>
        <v>0.0007230213636</v>
      </c>
      <c r="I1668" s="16">
        <f>ABS(Solieusap!I1668)</f>
        <v>4.228914177</v>
      </c>
      <c r="J1668" s="16">
        <f>ABS(Solieusap!J1668)</f>
        <v>2.85164461</v>
      </c>
      <c r="K1668" s="16">
        <f t="shared" si="1"/>
        <v>13.02561299</v>
      </c>
      <c r="L1668" s="16">
        <f t="shared" si="2"/>
        <v>4.228914177</v>
      </c>
    </row>
    <row r="1669" ht="16.5" customHeight="1">
      <c r="A1669" s="15" t="str">
        <f>Solieusap!A1669</f>
        <v>Cũ</v>
      </c>
      <c r="B1669" s="15">
        <f>Solieusap!B1669</f>
        <v>0</v>
      </c>
      <c r="C1669" s="15" t="str">
        <f>Solieusap!C1669</f>
        <v>COMB3</v>
      </c>
      <c r="D1669" s="15" t="str">
        <f>Solieusap!D1669</f>
        <v>Combination</v>
      </c>
      <c r="E1669" s="16">
        <f>ABS(Solieusap!E1669)</f>
        <v>13.04246935</v>
      </c>
      <c r="F1669" s="16">
        <f>ABS(Solieusap!F1669)</f>
        <v>1.200337576</v>
      </c>
      <c r="G1669" s="16">
        <f>ABS(Solieusap!G1669)</f>
        <v>1.641490823</v>
      </c>
      <c r="H1669" s="16">
        <f>ABS(Solieusap!H1669)</f>
        <v>0.0007240764675</v>
      </c>
      <c r="I1669" s="16">
        <f>ABS(Solieusap!I1669)</f>
        <v>4.23570897</v>
      </c>
      <c r="J1669" s="16">
        <f>ABS(Solieusap!J1669)</f>
        <v>2.856191662</v>
      </c>
      <c r="K1669" s="16">
        <f t="shared" si="1"/>
        <v>13.04246935</v>
      </c>
      <c r="L1669" s="16">
        <f t="shared" si="2"/>
        <v>4.23570897</v>
      </c>
    </row>
    <row r="1670" ht="16.5" customHeight="1">
      <c r="A1670" s="15" t="str">
        <f>Solieusap!A1670</f>
        <v>Cũ</v>
      </c>
      <c r="B1670" s="15">
        <f>Solieusap!B1670</f>
        <v>1.75</v>
      </c>
      <c r="C1670" s="15" t="str">
        <f>Solieusap!C1670</f>
        <v>COMB3</v>
      </c>
      <c r="D1670" s="15" t="str">
        <f>Solieusap!D1670</f>
        <v>Combination</v>
      </c>
      <c r="E1670" s="16">
        <f>ABS(Solieusap!E1670)</f>
        <v>13.05932571</v>
      </c>
      <c r="F1670" s="16">
        <f>ABS(Solieusap!F1670)</f>
        <v>1.202048095</v>
      </c>
      <c r="G1670" s="16">
        <f>ABS(Solieusap!G1670)</f>
        <v>1.643755238</v>
      </c>
      <c r="H1670" s="16">
        <f>ABS(Solieusap!H1670)</f>
        <v>0.0007251315714</v>
      </c>
      <c r="I1670" s="16">
        <f>ABS(Solieusap!I1670)</f>
        <v>4.242503762</v>
      </c>
      <c r="J1670" s="16">
        <f>ABS(Solieusap!J1670)</f>
        <v>2.860738714</v>
      </c>
      <c r="K1670" s="16">
        <f t="shared" si="1"/>
        <v>13.05932571</v>
      </c>
      <c r="L1670" s="16">
        <f t="shared" si="2"/>
        <v>4.242503762</v>
      </c>
    </row>
    <row r="1671" ht="16.5" customHeight="1">
      <c r="A1671" s="15" t="str">
        <f>Solieusap!A1671</f>
        <v>Cũ</v>
      </c>
      <c r="B1671" s="15">
        <f>Solieusap!B1671</f>
        <v>3.5</v>
      </c>
      <c r="C1671" s="15" t="str">
        <f>Solieusap!C1671</f>
        <v>COMB3</v>
      </c>
      <c r="D1671" s="15" t="str">
        <f>Solieusap!D1671</f>
        <v>Combination</v>
      </c>
      <c r="E1671" s="16">
        <f>ABS(Solieusap!E1671)</f>
        <v>13.07618208</v>
      </c>
      <c r="F1671" s="16">
        <f>ABS(Solieusap!F1671)</f>
        <v>1.203758615</v>
      </c>
      <c r="G1671" s="16">
        <f>ABS(Solieusap!G1671)</f>
        <v>1.646019654</v>
      </c>
      <c r="H1671" s="16">
        <f>ABS(Solieusap!H1671)</f>
        <v>0.0007261866753</v>
      </c>
      <c r="I1671" s="16">
        <f>ABS(Solieusap!I1671)</f>
        <v>4.249298554</v>
      </c>
      <c r="J1671" s="16">
        <f>ABS(Solieusap!J1671)</f>
        <v>2.865285766</v>
      </c>
      <c r="K1671" s="16">
        <f t="shared" si="1"/>
        <v>13.07618208</v>
      </c>
      <c r="L1671" s="16">
        <f t="shared" si="2"/>
        <v>4.249298554</v>
      </c>
    </row>
    <row r="1672" ht="16.5" customHeight="1">
      <c r="A1672" s="15" t="str">
        <f>Solieusap!A1672</f>
        <v>Cũ</v>
      </c>
      <c r="B1672" s="15">
        <f>Solieusap!B1672</f>
        <v>0</v>
      </c>
      <c r="C1672" s="15" t="str">
        <f>Solieusap!C1672</f>
        <v>COMB4</v>
      </c>
      <c r="D1672" s="15" t="str">
        <f>Solieusap!D1672</f>
        <v>Combination</v>
      </c>
      <c r="E1672" s="16">
        <f>ABS(Solieusap!E1672)</f>
        <v>13.09303844</v>
      </c>
      <c r="F1672" s="16">
        <f>ABS(Solieusap!F1672)</f>
        <v>1.205469134</v>
      </c>
      <c r="G1672" s="16">
        <f>ABS(Solieusap!G1672)</f>
        <v>1.648284069</v>
      </c>
      <c r="H1672" s="16">
        <f>ABS(Solieusap!H1672)</f>
        <v>0.0007272417792</v>
      </c>
      <c r="I1672" s="16">
        <f>ABS(Solieusap!I1672)</f>
        <v>4.256093346</v>
      </c>
      <c r="J1672" s="16">
        <f>ABS(Solieusap!J1672)</f>
        <v>2.869832818</v>
      </c>
      <c r="K1672" s="16">
        <f t="shared" si="1"/>
        <v>13.09303844</v>
      </c>
      <c r="L1672" s="16">
        <f t="shared" si="2"/>
        <v>4.256093346</v>
      </c>
    </row>
    <row r="1673" ht="16.5" customHeight="1">
      <c r="A1673" s="15" t="str">
        <f>Solieusap!A1673</f>
        <v>Cũ</v>
      </c>
      <c r="B1673" s="15">
        <f>Solieusap!B1673</f>
        <v>1.75</v>
      </c>
      <c r="C1673" s="15" t="str">
        <f>Solieusap!C1673</f>
        <v>COMB4</v>
      </c>
      <c r="D1673" s="15" t="str">
        <f>Solieusap!D1673</f>
        <v>Combination</v>
      </c>
      <c r="E1673" s="16">
        <f>ABS(Solieusap!E1673)</f>
        <v>13.10989481</v>
      </c>
      <c r="F1673" s="16">
        <f>ABS(Solieusap!F1673)</f>
        <v>1.207179654</v>
      </c>
      <c r="G1673" s="16">
        <f>ABS(Solieusap!G1673)</f>
        <v>1.650548485</v>
      </c>
      <c r="H1673" s="16">
        <f>ABS(Solieusap!H1673)</f>
        <v>0.0007282968831</v>
      </c>
      <c r="I1673" s="16">
        <f>ABS(Solieusap!I1673)</f>
        <v>4.262888139</v>
      </c>
      <c r="J1673" s="16">
        <f>ABS(Solieusap!J1673)</f>
        <v>2.87437987</v>
      </c>
      <c r="K1673" s="16">
        <f t="shared" si="1"/>
        <v>13.10989481</v>
      </c>
      <c r="L1673" s="16">
        <f t="shared" si="2"/>
        <v>4.262888139</v>
      </c>
    </row>
    <row r="1674" ht="16.5" customHeight="1">
      <c r="A1674" s="15" t="str">
        <f>Solieusap!A1674</f>
        <v>Cũ</v>
      </c>
      <c r="B1674" s="15">
        <f>Solieusap!B1674</f>
        <v>3.5</v>
      </c>
      <c r="C1674" s="15" t="str">
        <f>Solieusap!C1674</f>
        <v>COMB4</v>
      </c>
      <c r="D1674" s="15" t="str">
        <f>Solieusap!D1674</f>
        <v>Combination</v>
      </c>
      <c r="E1674" s="16">
        <f>ABS(Solieusap!E1674)</f>
        <v>13.12675117</v>
      </c>
      <c r="F1674" s="16">
        <f>ABS(Solieusap!F1674)</f>
        <v>1.208890173</v>
      </c>
      <c r="G1674" s="16">
        <f>ABS(Solieusap!G1674)</f>
        <v>1.6528129</v>
      </c>
      <c r="H1674" s="16">
        <f>ABS(Solieusap!H1674)</f>
        <v>0.000729351987</v>
      </c>
      <c r="I1674" s="16">
        <f>ABS(Solieusap!I1674)</f>
        <v>4.269682931</v>
      </c>
      <c r="J1674" s="16">
        <f>ABS(Solieusap!J1674)</f>
        <v>2.878926922</v>
      </c>
      <c r="K1674" s="16">
        <f t="shared" si="1"/>
        <v>13.12675117</v>
      </c>
      <c r="L1674" s="16">
        <f t="shared" si="2"/>
        <v>4.269682931</v>
      </c>
    </row>
    <row r="1675" ht="16.5" customHeight="1">
      <c r="A1675" s="15" t="str">
        <f>Solieusap!A1675</f>
        <v>Cũ</v>
      </c>
      <c r="B1675" s="15">
        <f>Solieusap!B1675</f>
        <v>0</v>
      </c>
      <c r="C1675" s="15" t="str">
        <f>Solieusap!C1675</f>
        <v>COMB5</v>
      </c>
      <c r="D1675" s="15" t="str">
        <f>Solieusap!D1675</f>
        <v>Combination</v>
      </c>
      <c r="E1675" s="16">
        <f>ABS(Solieusap!E1675)</f>
        <v>13.14360753</v>
      </c>
      <c r="F1675" s="16">
        <f>ABS(Solieusap!F1675)</f>
        <v>1.210600693</v>
      </c>
      <c r="G1675" s="16">
        <f>ABS(Solieusap!G1675)</f>
        <v>1.655077316</v>
      </c>
      <c r="H1675" s="16">
        <f>ABS(Solieusap!H1675)</f>
        <v>0.0007304070909</v>
      </c>
      <c r="I1675" s="16">
        <f>ABS(Solieusap!I1675)</f>
        <v>4.276477723</v>
      </c>
      <c r="J1675" s="16">
        <f>ABS(Solieusap!J1675)</f>
        <v>2.883473974</v>
      </c>
      <c r="K1675" s="16">
        <f t="shared" si="1"/>
        <v>13.14360753</v>
      </c>
      <c r="L1675" s="16">
        <f t="shared" si="2"/>
        <v>4.276477723</v>
      </c>
    </row>
    <row r="1676" ht="16.5" customHeight="1">
      <c r="A1676" s="15" t="str">
        <f>Solieusap!A1676</f>
        <v>Cũ</v>
      </c>
      <c r="B1676" s="15">
        <f>Solieusap!B1676</f>
        <v>1.75</v>
      </c>
      <c r="C1676" s="15" t="str">
        <f>Solieusap!C1676</f>
        <v>COMB5</v>
      </c>
      <c r="D1676" s="15" t="str">
        <f>Solieusap!D1676</f>
        <v>Combination</v>
      </c>
      <c r="E1676" s="16">
        <f>ABS(Solieusap!E1676)</f>
        <v>13.1604639</v>
      </c>
      <c r="F1676" s="16">
        <f>ABS(Solieusap!F1676)</f>
        <v>1.212311212</v>
      </c>
      <c r="G1676" s="16">
        <f>ABS(Solieusap!G1676)</f>
        <v>1.657341732</v>
      </c>
      <c r="H1676" s="16">
        <f>ABS(Solieusap!H1676)</f>
        <v>0.0007314621948</v>
      </c>
      <c r="I1676" s="16">
        <f>ABS(Solieusap!I1676)</f>
        <v>4.283272515</v>
      </c>
      <c r="J1676" s="16">
        <f>ABS(Solieusap!J1676)</f>
        <v>2.888021026</v>
      </c>
      <c r="K1676" s="16">
        <f t="shared" si="1"/>
        <v>13.1604639</v>
      </c>
      <c r="L1676" s="16">
        <f t="shared" si="2"/>
        <v>4.283272515</v>
      </c>
    </row>
    <row r="1677" ht="16.5" customHeight="1">
      <c r="A1677" s="15" t="str">
        <f>Solieusap!A1677</f>
        <v>Cũ</v>
      </c>
      <c r="B1677" s="15">
        <f>Solieusap!B1677</f>
        <v>3.5</v>
      </c>
      <c r="C1677" s="15" t="str">
        <f>Solieusap!C1677</f>
        <v>COMB5</v>
      </c>
      <c r="D1677" s="15" t="str">
        <f>Solieusap!D1677</f>
        <v>Combination</v>
      </c>
      <c r="E1677" s="16">
        <f>ABS(Solieusap!E1677)</f>
        <v>13.17732026</v>
      </c>
      <c r="F1677" s="16">
        <f>ABS(Solieusap!F1677)</f>
        <v>1.214021732</v>
      </c>
      <c r="G1677" s="16">
        <f>ABS(Solieusap!G1677)</f>
        <v>1.659606147</v>
      </c>
      <c r="H1677" s="16">
        <f>ABS(Solieusap!H1677)</f>
        <v>0.0007325172987</v>
      </c>
      <c r="I1677" s="16">
        <f>ABS(Solieusap!I1677)</f>
        <v>4.290067307</v>
      </c>
      <c r="J1677" s="16">
        <f>ABS(Solieusap!J1677)</f>
        <v>2.892568078</v>
      </c>
      <c r="K1677" s="16">
        <f t="shared" si="1"/>
        <v>13.17732026</v>
      </c>
      <c r="L1677" s="16">
        <f t="shared" si="2"/>
        <v>4.290067307</v>
      </c>
    </row>
    <row r="1678" ht="16.5" customHeight="1">
      <c r="A1678" s="15" t="str">
        <f>Solieusap!A1678</f>
        <v>Cũ</v>
      </c>
      <c r="B1678" s="15">
        <f>Solieusap!B1678</f>
        <v>0</v>
      </c>
      <c r="C1678" s="15" t="str">
        <f>Solieusap!C1678</f>
        <v>COMB6</v>
      </c>
      <c r="D1678" s="15" t="str">
        <f>Solieusap!D1678</f>
        <v>Combination</v>
      </c>
      <c r="E1678" s="16">
        <f>ABS(Solieusap!E1678)</f>
        <v>13.19417662</v>
      </c>
      <c r="F1678" s="16">
        <f>ABS(Solieusap!F1678)</f>
        <v>1.215732251</v>
      </c>
      <c r="G1678" s="16">
        <f>ABS(Solieusap!G1678)</f>
        <v>1.661870563</v>
      </c>
      <c r="H1678" s="16">
        <f>ABS(Solieusap!H1678)</f>
        <v>0.0007335724026</v>
      </c>
      <c r="I1678" s="16">
        <f>ABS(Solieusap!I1678)</f>
        <v>4.2968621</v>
      </c>
      <c r="J1678" s="16">
        <f>ABS(Solieusap!J1678)</f>
        <v>2.89711513</v>
      </c>
      <c r="K1678" s="16">
        <f t="shared" si="1"/>
        <v>13.19417662</v>
      </c>
      <c r="L1678" s="16">
        <f t="shared" si="2"/>
        <v>4.2968621</v>
      </c>
    </row>
    <row r="1679" ht="16.5" customHeight="1">
      <c r="A1679" s="15" t="str">
        <f>Solieusap!A1679</f>
        <v>Cũ</v>
      </c>
      <c r="B1679" s="15">
        <f>Solieusap!B1679</f>
        <v>1.75</v>
      </c>
      <c r="C1679" s="15" t="str">
        <f>Solieusap!C1679</f>
        <v>COMB6</v>
      </c>
      <c r="D1679" s="15" t="str">
        <f>Solieusap!D1679</f>
        <v>Combination</v>
      </c>
      <c r="E1679" s="16">
        <f>ABS(Solieusap!E1679)</f>
        <v>13.21103299</v>
      </c>
      <c r="F1679" s="16">
        <f>ABS(Solieusap!F1679)</f>
        <v>1.217442771</v>
      </c>
      <c r="G1679" s="16">
        <f>ABS(Solieusap!G1679)</f>
        <v>1.664134978</v>
      </c>
      <c r="H1679" s="16">
        <f>ABS(Solieusap!H1679)</f>
        <v>0.0007346275065</v>
      </c>
      <c r="I1679" s="16">
        <f>ABS(Solieusap!I1679)</f>
        <v>4.303656892</v>
      </c>
      <c r="J1679" s="16">
        <f>ABS(Solieusap!J1679)</f>
        <v>2.901662182</v>
      </c>
      <c r="K1679" s="16">
        <f t="shared" si="1"/>
        <v>13.21103299</v>
      </c>
      <c r="L1679" s="16">
        <f t="shared" si="2"/>
        <v>4.303656892</v>
      </c>
    </row>
    <row r="1680" ht="16.5" customHeight="1">
      <c r="A1680" s="15" t="str">
        <f>Solieusap!A1680</f>
        <v>Cũ</v>
      </c>
      <c r="B1680" s="15">
        <f>Solieusap!B1680</f>
        <v>3.5</v>
      </c>
      <c r="C1680" s="15" t="str">
        <f>Solieusap!C1680</f>
        <v>COMB6</v>
      </c>
      <c r="D1680" s="15" t="str">
        <f>Solieusap!D1680</f>
        <v>Combination</v>
      </c>
      <c r="E1680" s="16">
        <f>ABS(Solieusap!E1680)</f>
        <v>13.22788935</v>
      </c>
      <c r="F1680" s="16">
        <f>ABS(Solieusap!F1680)</f>
        <v>1.21915329</v>
      </c>
      <c r="G1680" s="16">
        <f>ABS(Solieusap!G1680)</f>
        <v>1.666399394</v>
      </c>
      <c r="H1680" s="16">
        <f>ABS(Solieusap!H1680)</f>
        <v>0.0007356826104</v>
      </c>
      <c r="I1680" s="16">
        <f>ABS(Solieusap!I1680)</f>
        <v>4.310451684</v>
      </c>
      <c r="J1680" s="16">
        <f>ABS(Solieusap!J1680)</f>
        <v>2.906209234</v>
      </c>
      <c r="K1680" s="16">
        <f t="shared" si="1"/>
        <v>13.22788935</v>
      </c>
      <c r="L1680" s="16">
        <f t="shared" si="2"/>
        <v>4.310451684</v>
      </c>
    </row>
    <row r="1681" ht="16.5" customHeight="1">
      <c r="A1681" s="15" t="str">
        <f>Solieusap!A1681</f>
        <v>Cũ</v>
      </c>
      <c r="B1681" s="15">
        <f>Solieusap!B1681</f>
        <v>0</v>
      </c>
      <c r="C1681" s="15" t="str">
        <f>Solieusap!C1681</f>
        <v>COMB7</v>
      </c>
      <c r="D1681" s="15" t="str">
        <f>Solieusap!D1681</f>
        <v>Combination</v>
      </c>
      <c r="E1681" s="16">
        <f>ABS(Solieusap!E1681)</f>
        <v>13.24474571</v>
      </c>
      <c r="F1681" s="16">
        <f>ABS(Solieusap!F1681)</f>
        <v>1.22086381</v>
      </c>
      <c r="G1681" s="16">
        <f>ABS(Solieusap!G1681)</f>
        <v>1.66866381</v>
      </c>
      <c r="H1681" s="16">
        <f>ABS(Solieusap!H1681)</f>
        <v>0.0007367377143</v>
      </c>
      <c r="I1681" s="16">
        <f>ABS(Solieusap!I1681)</f>
        <v>4.317246476</v>
      </c>
      <c r="J1681" s="16">
        <f>ABS(Solieusap!J1681)</f>
        <v>2.910756286</v>
      </c>
      <c r="K1681" s="16">
        <f t="shared" si="1"/>
        <v>13.24474571</v>
      </c>
      <c r="L1681" s="16">
        <f t="shared" si="2"/>
        <v>4.317246476</v>
      </c>
    </row>
    <row r="1682" ht="16.5" customHeight="1">
      <c r="A1682" s="15" t="str">
        <f>Solieusap!A1682</f>
        <v>Cũ</v>
      </c>
      <c r="B1682" s="15">
        <f>Solieusap!B1682</f>
        <v>1.75</v>
      </c>
      <c r="C1682" s="15" t="str">
        <f>Solieusap!C1682</f>
        <v>COMB7</v>
      </c>
      <c r="D1682" s="15" t="str">
        <f>Solieusap!D1682</f>
        <v>Combination</v>
      </c>
      <c r="E1682" s="16">
        <f>ABS(Solieusap!E1682)</f>
        <v>13.26160208</v>
      </c>
      <c r="F1682" s="16">
        <f>ABS(Solieusap!F1682)</f>
        <v>1.222574329</v>
      </c>
      <c r="G1682" s="16">
        <f>ABS(Solieusap!G1682)</f>
        <v>1.670928225</v>
      </c>
      <c r="H1682" s="16">
        <f>ABS(Solieusap!H1682)</f>
        <v>0.0007377928182</v>
      </c>
      <c r="I1682" s="16">
        <f>ABS(Solieusap!I1682)</f>
        <v>4.324041268</v>
      </c>
      <c r="J1682" s="16">
        <f>ABS(Solieusap!J1682)</f>
        <v>2.915303338</v>
      </c>
      <c r="K1682" s="16">
        <f t="shared" si="1"/>
        <v>13.26160208</v>
      </c>
      <c r="L1682" s="16">
        <f t="shared" si="2"/>
        <v>4.324041268</v>
      </c>
    </row>
    <row r="1683" ht="16.5" customHeight="1">
      <c r="A1683" s="15" t="str">
        <f>Solieusap!A1683</f>
        <v>Cũ</v>
      </c>
      <c r="B1683" s="15">
        <f>Solieusap!B1683</f>
        <v>3.5</v>
      </c>
      <c r="C1683" s="15" t="str">
        <f>Solieusap!C1683</f>
        <v>COMB7</v>
      </c>
      <c r="D1683" s="15" t="str">
        <f>Solieusap!D1683</f>
        <v>Combination</v>
      </c>
      <c r="E1683" s="16">
        <f>ABS(Solieusap!E1683)</f>
        <v>13.27845844</v>
      </c>
      <c r="F1683" s="16">
        <f>ABS(Solieusap!F1683)</f>
        <v>1.224284848</v>
      </c>
      <c r="G1683" s="16">
        <f>ABS(Solieusap!G1683)</f>
        <v>1.673192641</v>
      </c>
      <c r="H1683" s="16">
        <f>ABS(Solieusap!H1683)</f>
        <v>0.0007388479221</v>
      </c>
      <c r="I1683" s="16">
        <f>ABS(Solieusap!I1683)</f>
        <v>4.330836061</v>
      </c>
      <c r="J1683" s="16">
        <f>ABS(Solieusap!J1683)</f>
        <v>2.91985039</v>
      </c>
      <c r="K1683" s="16">
        <f t="shared" si="1"/>
        <v>13.27845844</v>
      </c>
      <c r="L1683" s="16">
        <f t="shared" si="2"/>
        <v>4.330836061</v>
      </c>
    </row>
    <row r="1684" ht="16.5" customHeight="1">
      <c r="A1684" s="15" t="str">
        <f>Solieusap!A1684</f>
        <v>Cũ</v>
      </c>
      <c r="B1684" s="15">
        <f>Solieusap!B1684</f>
        <v>0</v>
      </c>
      <c r="C1684" s="15" t="str">
        <f>Solieusap!C1684</f>
        <v>COMB1</v>
      </c>
      <c r="D1684" s="15" t="str">
        <f>Solieusap!D1684</f>
        <v>Combination</v>
      </c>
      <c r="E1684" s="16">
        <f>ABS(Solieusap!E1684)</f>
        <v>13.29531481</v>
      </c>
      <c r="F1684" s="16">
        <f>ABS(Solieusap!F1684)</f>
        <v>1.225995368</v>
      </c>
      <c r="G1684" s="16">
        <f>ABS(Solieusap!G1684)</f>
        <v>1.675457056</v>
      </c>
      <c r="H1684" s="16">
        <f>ABS(Solieusap!H1684)</f>
        <v>0.000739903026</v>
      </c>
      <c r="I1684" s="16">
        <f>ABS(Solieusap!I1684)</f>
        <v>4.337630853</v>
      </c>
      <c r="J1684" s="16">
        <f>ABS(Solieusap!J1684)</f>
        <v>2.924397442</v>
      </c>
      <c r="K1684" s="16">
        <f t="shared" si="1"/>
        <v>13.29531481</v>
      </c>
      <c r="L1684" s="16">
        <f t="shared" si="2"/>
        <v>4.337630853</v>
      </c>
    </row>
    <row r="1685" ht="16.5" customHeight="1">
      <c r="A1685" s="15" t="str">
        <f>Solieusap!A1685</f>
        <v>Cũ</v>
      </c>
      <c r="B1685" s="15">
        <f>Solieusap!B1685</f>
        <v>1.75</v>
      </c>
      <c r="C1685" s="15" t="str">
        <f>Solieusap!C1685</f>
        <v>COMB1</v>
      </c>
      <c r="D1685" s="15" t="str">
        <f>Solieusap!D1685</f>
        <v>Combination</v>
      </c>
      <c r="E1685" s="16">
        <f>ABS(Solieusap!E1685)</f>
        <v>13.31217117</v>
      </c>
      <c r="F1685" s="16">
        <f>ABS(Solieusap!F1685)</f>
        <v>1.227705887</v>
      </c>
      <c r="G1685" s="16">
        <f>ABS(Solieusap!G1685)</f>
        <v>1.677721472</v>
      </c>
      <c r="H1685" s="16">
        <f>ABS(Solieusap!H1685)</f>
        <v>0.0007409581299</v>
      </c>
      <c r="I1685" s="16">
        <f>ABS(Solieusap!I1685)</f>
        <v>4.344425645</v>
      </c>
      <c r="J1685" s="16">
        <f>ABS(Solieusap!J1685)</f>
        <v>2.928944494</v>
      </c>
      <c r="K1685" s="16">
        <f t="shared" si="1"/>
        <v>13.31217117</v>
      </c>
      <c r="L1685" s="16">
        <f t="shared" si="2"/>
        <v>4.344425645</v>
      </c>
    </row>
    <row r="1686" ht="16.5" customHeight="1">
      <c r="A1686" s="15" t="str">
        <f>Solieusap!A1686</f>
        <v>Cũ</v>
      </c>
      <c r="B1686" s="15">
        <f>Solieusap!B1686</f>
        <v>3.5</v>
      </c>
      <c r="C1686" s="15" t="str">
        <f>Solieusap!C1686</f>
        <v>COMB1</v>
      </c>
      <c r="D1686" s="15" t="str">
        <f>Solieusap!D1686</f>
        <v>Combination</v>
      </c>
      <c r="E1686" s="16">
        <f>ABS(Solieusap!E1686)</f>
        <v>13.32902753</v>
      </c>
      <c r="F1686" s="16">
        <f>ABS(Solieusap!F1686)</f>
        <v>1.229416407</v>
      </c>
      <c r="G1686" s="16">
        <f>ABS(Solieusap!G1686)</f>
        <v>1.679985887</v>
      </c>
      <c r="H1686" s="16">
        <f>ABS(Solieusap!H1686)</f>
        <v>0.0007420132338</v>
      </c>
      <c r="I1686" s="16">
        <f>ABS(Solieusap!I1686)</f>
        <v>4.351220437</v>
      </c>
      <c r="J1686" s="16">
        <f>ABS(Solieusap!J1686)</f>
        <v>2.933491545</v>
      </c>
      <c r="K1686" s="16">
        <f t="shared" si="1"/>
        <v>13.32902753</v>
      </c>
      <c r="L1686" s="16">
        <f t="shared" si="2"/>
        <v>4.351220437</v>
      </c>
    </row>
    <row r="1687" ht="16.5" customHeight="1">
      <c r="A1687" s="15" t="str">
        <f>Solieusap!A1687</f>
        <v>Cũ</v>
      </c>
      <c r="B1687" s="15">
        <f>Solieusap!B1687</f>
        <v>0</v>
      </c>
      <c r="C1687" s="15" t="str">
        <f>Solieusap!C1687</f>
        <v>COMB2</v>
      </c>
      <c r="D1687" s="15" t="str">
        <f>Solieusap!D1687</f>
        <v>Combination</v>
      </c>
      <c r="E1687" s="16">
        <f>ABS(Solieusap!E1687)</f>
        <v>13.3458839</v>
      </c>
      <c r="F1687" s="16">
        <f>ABS(Solieusap!F1687)</f>
        <v>1.231126926</v>
      </c>
      <c r="G1687" s="16">
        <f>ABS(Solieusap!G1687)</f>
        <v>1.682250303</v>
      </c>
      <c r="H1687" s="16">
        <f>ABS(Solieusap!H1687)</f>
        <v>0.0007430683377</v>
      </c>
      <c r="I1687" s="16">
        <f>ABS(Solieusap!I1687)</f>
        <v>4.358015229</v>
      </c>
      <c r="J1687" s="16">
        <f>ABS(Solieusap!J1687)</f>
        <v>2.938038597</v>
      </c>
      <c r="K1687" s="16">
        <f t="shared" si="1"/>
        <v>13.3458839</v>
      </c>
      <c r="L1687" s="16">
        <f t="shared" si="2"/>
        <v>4.358015229</v>
      </c>
    </row>
    <row r="1688" ht="16.5" customHeight="1">
      <c r="A1688" s="15" t="str">
        <f>Solieusap!A1688</f>
        <v>Cũ</v>
      </c>
      <c r="B1688" s="15">
        <f>Solieusap!B1688</f>
        <v>1.75</v>
      </c>
      <c r="C1688" s="15" t="str">
        <f>Solieusap!C1688</f>
        <v>COMB2</v>
      </c>
      <c r="D1688" s="15" t="str">
        <f>Solieusap!D1688</f>
        <v>Combination</v>
      </c>
      <c r="E1688" s="16">
        <f>ABS(Solieusap!E1688)</f>
        <v>13.36274026</v>
      </c>
      <c r="F1688" s="16">
        <f>ABS(Solieusap!F1688)</f>
        <v>1.232837446</v>
      </c>
      <c r="G1688" s="16">
        <f>ABS(Solieusap!G1688)</f>
        <v>1.684514719</v>
      </c>
      <c r="H1688" s="16">
        <f>ABS(Solieusap!H1688)</f>
        <v>0.0007441234416</v>
      </c>
      <c r="I1688" s="16">
        <f>ABS(Solieusap!I1688)</f>
        <v>4.364810022</v>
      </c>
      <c r="J1688" s="16">
        <f>ABS(Solieusap!J1688)</f>
        <v>2.942585649</v>
      </c>
      <c r="K1688" s="16">
        <f t="shared" si="1"/>
        <v>13.36274026</v>
      </c>
      <c r="L1688" s="16">
        <f t="shared" si="2"/>
        <v>4.364810022</v>
      </c>
    </row>
    <row r="1689" ht="16.5" customHeight="1">
      <c r="A1689" s="15" t="str">
        <f>Solieusap!A1689</f>
        <v>Cũ</v>
      </c>
      <c r="B1689" s="15">
        <f>Solieusap!B1689</f>
        <v>3.5</v>
      </c>
      <c r="C1689" s="15" t="str">
        <f>Solieusap!C1689</f>
        <v>COMB2</v>
      </c>
      <c r="D1689" s="15" t="str">
        <f>Solieusap!D1689</f>
        <v>Combination</v>
      </c>
      <c r="E1689" s="16">
        <f>ABS(Solieusap!E1689)</f>
        <v>13.37959662</v>
      </c>
      <c r="F1689" s="16">
        <f>ABS(Solieusap!F1689)</f>
        <v>1.234547965</v>
      </c>
      <c r="G1689" s="16">
        <f>ABS(Solieusap!G1689)</f>
        <v>1.686779134</v>
      </c>
      <c r="H1689" s="16">
        <f>ABS(Solieusap!H1689)</f>
        <v>0.0007451785455</v>
      </c>
      <c r="I1689" s="16">
        <f>ABS(Solieusap!I1689)</f>
        <v>4.371604814</v>
      </c>
      <c r="J1689" s="16">
        <f>ABS(Solieusap!J1689)</f>
        <v>2.947132701</v>
      </c>
      <c r="K1689" s="16">
        <f t="shared" si="1"/>
        <v>13.37959662</v>
      </c>
      <c r="L1689" s="16">
        <f t="shared" si="2"/>
        <v>4.371604814</v>
      </c>
    </row>
    <row r="1690" ht="16.5" customHeight="1">
      <c r="A1690" s="15" t="str">
        <f>Solieusap!A1690</f>
        <v>Cũ</v>
      </c>
      <c r="B1690" s="15">
        <f>Solieusap!B1690</f>
        <v>0</v>
      </c>
      <c r="C1690" s="15" t="str">
        <f>Solieusap!C1690</f>
        <v>COMB3</v>
      </c>
      <c r="D1690" s="15" t="str">
        <f>Solieusap!D1690</f>
        <v>Combination</v>
      </c>
      <c r="E1690" s="16">
        <f>ABS(Solieusap!E1690)</f>
        <v>13.39645299</v>
      </c>
      <c r="F1690" s="16">
        <f>ABS(Solieusap!F1690)</f>
        <v>1.236258485</v>
      </c>
      <c r="G1690" s="16">
        <f>ABS(Solieusap!G1690)</f>
        <v>1.68904355</v>
      </c>
      <c r="H1690" s="16">
        <f>ABS(Solieusap!H1690)</f>
        <v>0.0007462336494</v>
      </c>
      <c r="I1690" s="16">
        <f>ABS(Solieusap!I1690)</f>
        <v>4.378399606</v>
      </c>
      <c r="J1690" s="16">
        <f>ABS(Solieusap!J1690)</f>
        <v>2.951679753</v>
      </c>
      <c r="K1690" s="16">
        <f t="shared" si="1"/>
        <v>13.39645299</v>
      </c>
      <c r="L1690" s="16">
        <f t="shared" si="2"/>
        <v>4.378399606</v>
      </c>
    </row>
    <row r="1691" ht="16.5" customHeight="1">
      <c r="A1691" s="15" t="str">
        <f>Solieusap!A1691</f>
        <v>Cũ</v>
      </c>
      <c r="B1691" s="15">
        <f>Solieusap!B1691</f>
        <v>1.75</v>
      </c>
      <c r="C1691" s="15" t="str">
        <f>Solieusap!C1691</f>
        <v>COMB3</v>
      </c>
      <c r="D1691" s="15" t="str">
        <f>Solieusap!D1691</f>
        <v>Combination</v>
      </c>
      <c r="E1691" s="16">
        <f>ABS(Solieusap!E1691)</f>
        <v>13.41330935</v>
      </c>
      <c r="F1691" s="16">
        <f>ABS(Solieusap!F1691)</f>
        <v>1.237969004</v>
      </c>
      <c r="G1691" s="16">
        <f>ABS(Solieusap!G1691)</f>
        <v>1.691307965</v>
      </c>
      <c r="H1691" s="16">
        <f>ABS(Solieusap!H1691)</f>
        <v>0.0007472887532</v>
      </c>
      <c r="I1691" s="16">
        <f>ABS(Solieusap!I1691)</f>
        <v>4.385194398</v>
      </c>
      <c r="J1691" s="16">
        <f>ABS(Solieusap!J1691)</f>
        <v>2.956226805</v>
      </c>
      <c r="K1691" s="16">
        <f t="shared" si="1"/>
        <v>13.41330935</v>
      </c>
      <c r="L1691" s="16">
        <f t="shared" si="2"/>
        <v>4.385194398</v>
      </c>
    </row>
    <row r="1692" ht="16.5" customHeight="1">
      <c r="A1692" s="15" t="str">
        <f>Solieusap!A1692</f>
        <v>Cũ</v>
      </c>
      <c r="B1692" s="15">
        <f>Solieusap!B1692</f>
        <v>3.5</v>
      </c>
      <c r="C1692" s="15" t="str">
        <f>Solieusap!C1692</f>
        <v>COMB3</v>
      </c>
      <c r="D1692" s="15" t="str">
        <f>Solieusap!D1692</f>
        <v>Combination</v>
      </c>
      <c r="E1692" s="16">
        <f>ABS(Solieusap!E1692)</f>
        <v>13.43016571</v>
      </c>
      <c r="F1692" s="16">
        <f>ABS(Solieusap!F1692)</f>
        <v>1.239679524</v>
      </c>
      <c r="G1692" s="16">
        <f>ABS(Solieusap!G1692)</f>
        <v>1.693572381</v>
      </c>
      <c r="H1692" s="16">
        <f>ABS(Solieusap!H1692)</f>
        <v>0.0007483438571</v>
      </c>
      <c r="I1692" s="16">
        <f>ABS(Solieusap!I1692)</f>
        <v>4.39198919</v>
      </c>
      <c r="J1692" s="16">
        <f>ABS(Solieusap!J1692)</f>
        <v>2.960773857</v>
      </c>
      <c r="K1692" s="16">
        <f t="shared" si="1"/>
        <v>13.43016571</v>
      </c>
      <c r="L1692" s="16">
        <f t="shared" si="2"/>
        <v>4.39198919</v>
      </c>
    </row>
    <row r="1693" ht="16.5" customHeight="1">
      <c r="A1693" s="15" t="str">
        <f>Solieusap!A1693</f>
        <v>Cũ</v>
      </c>
      <c r="B1693" s="15">
        <f>Solieusap!B1693</f>
        <v>0</v>
      </c>
      <c r="C1693" s="15" t="str">
        <f>Solieusap!C1693</f>
        <v>COMB4</v>
      </c>
      <c r="D1693" s="15" t="str">
        <f>Solieusap!D1693</f>
        <v>Combination</v>
      </c>
      <c r="E1693" s="16">
        <f>ABS(Solieusap!E1693)</f>
        <v>13.44702208</v>
      </c>
      <c r="F1693" s="16">
        <f>ABS(Solieusap!F1693)</f>
        <v>1.241390043</v>
      </c>
      <c r="G1693" s="16">
        <f>ABS(Solieusap!G1693)</f>
        <v>1.695836797</v>
      </c>
      <c r="H1693" s="16">
        <f>ABS(Solieusap!H1693)</f>
        <v>0.000749398961</v>
      </c>
      <c r="I1693" s="16">
        <f>ABS(Solieusap!I1693)</f>
        <v>4.398783983</v>
      </c>
      <c r="J1693" s="16">
        <f>ABS(Solieusap!J1693)</f>
        <v>2.965320909</v>
      </c>
      <c r="K1693" s="16">
        <f t="shared" si="1"/>
        <v>13.44702208</v>
      </c>
      <c r="L1693" s="16">
        <f t="shared" si="2"/>
        <v>4.398783983</v>
      </c>
    </row>
    <row r="1694" ht="16.5" customHeight="1">
      <c r="A1694" s="15" t="str">
        <f>Solieusap!A1694</f>
        <v>Cũ</v>
      </c>
      <c r="B1694" s="15">
        <f>Solieusap!B1694</f>
        <v>1.75</v>
      </c>
      <c r="C1694" s="15" t="str">
        <f>Solieusap!C1694</f>
        <v>COMB4</v>
      </c>
      <c r="D1694" s="15" t="str">
        <f>Solieusap!D1694</f>
        <v>Combination</v>
      </c>
      <c r="E1694" s="16">
        <f>ABS(Solieusap!E1694)</f>
        <v>13.46387844</v>
      </c>
      <c r="F1694" s="16">
        <f>ABS(Solieusap!F1694)</f>
        <v>1.243100563</v>
      </c>
      <c r="G1694" s="16">
        <f>ABS(Solieusap!G1694)</f>
        <v>1.698101212</v>
      </c>
      <c r="H1694" s="16">
        <f>ABS(Solieusap!H1694)</f>
        <v>0.0007504540649</v>
      </c>
      <c r="I1694" s="16">
        <f>ABS(Solieusap!I1694)</f>
        <v>4.405578775</v>
      </c>
      <c r="J1694" s="16">
        <f>ABS(Solieusap!J1694)</f>
        <v>2.969867961</v>
      </c>
      <c r="K1694" s="16">
        <f t="shared" si="1"/>
        <v>13.46387844</v>
      </c>
      <c r="L1694" s="16">
        <f t="shared" si="2"/>
        <v>4.405578775</v>
      </c>
    </row>
    <row r="1695" ht="16.5" customHeight="1">
      <c r="A1695" s="15" t="str">
        <f>Solieusap!A1695</f>
        <v>Cũ</v>
      </c>
      <c r="B1695" s="15">
        <f>Solieusap!B1695</f>
        <v>3.5</v>
      </c>
      <c r="C1695" s="15" t="str">
        <f>Solieusap!C1695</f>
        <v>COMB4</v>
      </c>
      <c r="D1695" s="15" t="str">
        <f>Solieusap!D1695</f>
        <v>Combination</v>
      </c>
      <c r="E1695" s="16">
        <f>ABS(Solieusap!E1695)</f>
        <v>13.48073481</v>
      </c>
      <c r="F1695" s="16">
        <f>ABS(Solieusap!F1695)</f>
        <v>1.244811082</v>
      </c>
      <c r="G1695" s="16">
        <f>ABS(Solieusap!G1695)</f>
        <v>1.700365628</v>
      </c>
      <c r="H1695" s="16">
        <f>ABS(Solieusap!H1695)</f>
        <v>0.0007515091688</v>
      </c>
      <c r="I1695" s="16">
        <f>ABS(Solieusap!I1695)</f>
        <v>4.412373567</v>
      </c>
      <c r="J1695" s="16">
        <f>ABS(Solieusap!J1695)</f>
        <v>2.974415013</v>
      </c>
      <c r="K1695" s="16">
        <f t="shared" si="1"/>
        <v>13.48073481</v>
      </c>
      <c r="L1695" s="16">
        <f t="shared" si="2"/>
        <v>4.412373567</v>
      </c>
    </row>
    <row r="1696" ht="16.5" customHeight="1">
      <c r="A1696" s="15" t="str">
        <f>Solieusap!A1696</f>
        <v>Cũ</v>
      </c>
      <c r="B1696" s="15">
        <f>Solieusap!B1696</f>
        <v>0</v>
      </c>
      <c r="C1696" s="15" t="str">
        <f>Solieusap!C1696</f>
        <v>COMB5</v>
      </c>
      <c r="D1696" s="15" t="str">
        <f>Solieusap!D1696</f>
        <v>Combination</v>
      </c>
      <c r="E1696" s="16">
        <f>ABS(Solieusap!E1696)</f>
        <v>13.49759117</v>
      </c>
      <c r="F1696" s="16">
        <f>ABS(Solieusap!F1696)</f>
        <v>1.246521602</v>
      </c>
      <c r="G1696" s="16">
        <f>ABS(Solieusap!G1696)</f>
        <v>1.702630043</v>
      </c>
      <c r="H1696" s="16">
        <f>ABS(Solieusap!H1696)</f>
        <v>0.0007525642727</v>
      </c>
      <c r="I1696" s="16">
        <f>ABS(Solieusap!I1696)</f>
        <v>4.419168359</v>
      </c>
      <c r="J1696" s="16">
        <f>ABS(Solieusap!J1696)</f>
        <v>2.978962065</v>
      </c>
      <c r="K1696" s="16">
        <f t="shared" si="1"/>
        <v>13.49759117</v>
      </c>
      <c r="L1696" s="16">
        <f t="shared" si="2"/>
        <v>4.419168359</v>
      </c>
    </row>
    <row r="1697" ht="16.5" customHeight="1">
      <c r="A1697" s="15" t="str">
        <f>Solieusap!A1697</f>
        <v>Cũ</v>
      </c>
      <c r="B1697" s="15">
        <f>Solieusap!B1697</f>
        <v>1.75</v>
      </c>
      <c r="C1697" s="15" t="str">
        <f>Solieusap!C1697</f>
        <v>COMB5</v>
      </c>
      <c r="D1697" s="15" t="str">
        <f>Solieusap!D1697</f>
        <v>Combination</v>
      </c>
      <c r="E1697" s="16">
        <f>ABS(Solieusap!E1697)</f>
        <v>13.51444753</v>
      </c>
      <c r="F1697" s="16">
        <f>ABS(Solieusap!F1697)</f>
        <v>1.248232121</v>
      </c>
      <c r="G1697" s="16">
        <f>ABS(Solieusap!G1697)</f>
        <v>1.704894459</v>
      </c>
      <c r="H1697" s="16">
        <f>ABS(Solieusap!H1697)</f>
        <v>0.0007536193766</v>
      </c>
      <c r="I1697" s="16">
        <f>ABS(Solieusap!I1697)</f>
        <v>4.425963152</v>
      </c>
      <c r="J1697" s="16">
        <f>ABS(Solieusap!J1697)</f>
        <v>2.983509117</v>
      </c>
      <c r="K1697" s="16">
        <f t="shared" si="1"/>
        <v>13.51444753</v>
      </c>
      <c r="L1697" s="16">
        <f t="shared" si="2"/>
        <v>4.425963152</v>
      </c>
    </row>
    <row r="1698" ht="16.5" customHeight="1">
      <c r="A1698" s="15" t="str">
        <f>Solieusap!A1698</f>
        <v>Cũ</v>
      </c>
      <c r="B1698" s="15">
        <f>Solieusap!B1698</f>
        <v>3.5</v>
      </c>
      <c r="C1698" s="15" t="str">
        <f>Solieusap!C1698</f>
        <v>COMB5</v>
      </c>
      <c r="D1698" s="15" t="str">
        <f>Solieusap!D1698</f>
        <v>Combination</v>
      </c>
      <c r="E1698" s="16">
        <f>ABS(Solieusap!E1698)</f>
        <v>13.5313039</v>
      </c>
      <c r="F1698" s="16">
        <f>ABS(Solieusap!F1698)</f>
        <v>1.249942641</v>
      </c>
      <c r="G1698" s="16">
        <f>ABS(Solieusap!G1698)</f>
        <v>1.707158874</v>
      </c>
      <c r="H1698" s="16">
        <f>ABS(Solieusap!H1698)</f>
        <v>0.0007546744805</v>
      </c>
      <c r="I1698" s="16">
        <f>ABS(Solieusap!I1698)</f>
        <v>4.432757944</v>
      </c>
      <c r="J1698" s="16">
        <f>ABS(Solieusap!J1698)</f>
        <v>2.988056169</v>
      </c>
      <c r="K1698" s="16">
        <f t="shared" si="1"/>
        <v>13.5313039</v>
      </c>
      <c r="L1698" s="16">
        <f t="shared" si="2"/>
        <v>4.432757944</v>
      </c>
    </row>
    <row r="1699" ht="16.5" customHeight="1">
      <c r="A1699" s="15" t="str">
        <f>Solieusap!A1699</f>
        <v>Cũ</v>
      </c>
      <c r="B1699" s="15">
        <f>Solieusap!B1699</f>
        <v>0</v>
      </c>
      <c r="C1699" s="15" t="str">
        <f>Solieusap!C1699</f>
        <v>COMB6</v>
      </c>
      <c r="D1699" s="15" t="str">
        <f>Solieusap!D1699</f>
        <v>Combination</v>
      </c>
      <c r="E1699" s="16">
        <f>ABS(Solieusap!E1699)</f>
        <v>13.54816026</v>
      </c>
      <c r="F1699" s="16">
        <f>ABS(Solieusap!F1699)</f>
        <v>1.25165316</v>
      </c>
      <c r="G1699" s="16">
        <f>ABS(Solieusap!G1699)</f>
        <v>1.70942329</v>
      </c>
      <c r="H1699" s="16">
        <f>ABS(Solieusap!H1699)</f>
        <v>0.0007557295844</v>
      </c>
      <c r="I1699" s="16">
        <f>ABS(Solieusap!I1699)</f>
        <v>4.439552736</v>
      </c>
      <c r="J1699" s="16">
        <f>ABS(Solieusap!J1699)</f>
        <v>2.992603221</v>
      </c>
      <c r="K1699" s="16">
        <f t="shared" si="1"/>
        <v>13.54816026</v>
      </c>
      <c r="L1699" s="16">
        <f t="shared" si="2"/>
        <v>4.439552736</v>
      </c>
    </row>
    <row r="1700" ht="16.5" customHeight="1">
      <c r="A1700" s="15" t="str">
        <f>Solieusap!A1700</f>
        <v>Cũ</v>
      </c>
      <c r="B1700" s="15">
        <f>Solieusap!B1700</f>
        <v>1.75</v>
      </c>
      <c r="C1700" s="15" t="str">
        <f>Solieusap!C1700</f>
        <v>COMB6</v>
      </c>
      <c r="D1700" s="15" t="str">
        <f>Solieusap!D1700</f>
        <v>Combination</v>
      </c>
      <c r="E1700" s="16">
        <f>ABS(Solieusap!E1700)</f>
        <v>13.56501662</v>
      </c>
      <c r="F1700" s="16">
        <f>ABS(Solieusap!F1700)</f>
        <v>1.25336368</v>
      </c>
      <c r="G1700" s="16">
        <f>ABS(Solieusap!G1700)</f>
        <v>1.711687706</v>
      </c>
      <c r="H1700" s="16">
        <f>ABS(Solieusap!H1700)</f>
        <v>0.0007567846883</v>
      </c>
      <c r="I1700" s="16">
        <f>ABS(Solieusap!I1700)</f>
        <v>4.446347528</v>
      </c>
      <c r="J1700" s="16">
        <f>ABS(Solieusap!J1700)</f>
        <v>2.997150273</v>
      </c>
      <c r="K1700" s="16">
        <f t="shared" si="1"/>
        <v>13.56501662</v>
      </c>
      <c r="L1700" s="16">
        <f t="shared" si="2"/>
        <v>4.446347528</v>
      </c>
    </row>
    <row r="1701" ht="16.5" customHeight="1">
      <c r="A1701" s="15" t="str">
        <f>Solieusap!A1701</f>
        <v>Cũ</v>
      </c>
      <c r="B1701" s="15">
        <f>Solieusap!B1701</f>
        <v>3.5</v>
      </c>
      <c r="C1701" s="15" t="str">
        <f>Solieusap!C1701</f>
        <v>COMB6</v>
      </c>
      <c r="D1701" s="15" t="str">
        <f>Solieusap!D1701</f>
        <v>Combination</v>
      </c>
      <c r="E1701" s="16">
        <f>ABS(Solieusap!E1701)</f>
        <v>13.58187299</v>
      </c>
      <c r="F1701" s="16">
        <f>ABS(Solieusap!F1701)</f>
        <v>1.255074199</v>
      </c>
      <c r="G1701" s="16">
        <f>ABS(Solieusap!G1701)</f>
        <v>1.713952121</v>
      </c>
      <c r="H1701" s="16">
        <f>ABS(Solieusap!H1701)</f>
        <v>0.0007578397922</v>
      </c>
      <c r="I1701" s="16">
        <f>ABS(Solieusap!I1701)</f>
        <v>4.45314232</v>
      </c>
      <c r="J1701" s="16">
        <f>ABS(Solieusap!J1701)</f>
        <v>3.001697325</v>
      </c>
      <c r="K1701" s="16">
        <f t="shared" si="1"/>
        <v>13.58187299</v>
      </c>
      <c r="L1701" s="16">
        <f t="shared" si="2"/>
        <v>4.45314232</v>
      </c>
    </row>
    <row r="1702" ht="16.5" customHeight="1">
      <c r="A1702" s="15" t="str">
        <f>Solieusap!A1702</f>
        <v>Cũ</v>
      </c>
      <c r="B1702" s="15">
        <f>Solieusap!B1702</f>
        <v>0</v>
      </c>
      <c r="C1702" s="15" t="str">
        <f>Solieusap!C1702</f>
        <v>COMB7</v>
      </c>
      <c r="D1702" s="15" t="str">
        <f>Solieusap!D1702</f>
        <v>Combination</v>
      </c>
      <c r="E1702" s="16">
        <f>ABS(Solieusap!E1702)</f>
        <v>13.59872935</v>
      </c>
      <c r="F1702" s="16">
        <f>ABS(Solieusap!F1702)</f>
        <v>1.256784719</v>
      </c>
      <c r="G1702" s="16">
        <f>ABS(Solieusap!G1702)</f>
        <v>1.716216537</v>
      </c>
      <c r="H1702" s="16">
        <f>ABS(Solieusap!H1702)</f>
        <v>0.0007588948961</v>
      </c>
      <c r="I1702" s="16">
        <f>ABS(Solieusap!I1702)</f>
        <v>4.459937113</v>
      </c>
      <c r="J1702" s="16">
        <f>ABS(Solieusap!J1702)</f>
        <v>3.006244377</v>
      </c>
      <c r="K1702" s="16">
        <f t="shared" si="1"/>
        <v>13.59872935</v>
      </c>
      <c r="L1702" s="16">
        <f t="shared" si="2"/>
        <v>4.459937113</v>
      </c>
    </row>
    <row r="1703" ht="16.5" customHeight="1">
      <c r="A1703" s="15" t="str">
        <f>Solieusap!A1703</f>
        <v>Cũ</v>
      </c>
      <c r="B1703" s="15">
        <f>Solieusap!B1703</f>
        <v>1.75</v>
      </c>
      <c r="C1703" s="15" t="str">
        <f>Solieusap!C1703</f>
        <v>COMB7</v>
      </c>
      <c r="D1703" s="15" t="str">
        <f>Solieusap!D1703</f>
        <v>Combination</v>
      </c>
      <c r="E1703" s="16">
        <f>ABS(Solieusap!E1703)</f>
        <v>13.61558571</v>
      </c>
      <c r="F1703" s="16">
        <f>ABS(Solieusap!F1703)</f>
        <v>1.258495238</v>
      </c>
      <c r="G1703" s="16">
        <f>ABS(Solieusap!G1703)</f>
        <v>1.718480952</v>
      </c>
      <c r="H1703" s="16">
        <f>ABS(Solieusap!H1703)</f>
        <v>0.00075995</v>
      </c>
      <c r="I1703" s="16">
        <f>ABS(Solieusap!I1703)</f>
        <v>4.466731905</v>
      </c>
      <c r="J1703" s="16">
        <f>ABS(Solieusap!J1703)</f>
        <v>3.010791429</v>
      </c>
      <c r="K1703" s="16">
        <f t="shared" si="1"/>
        <v>13.61558571</v>
      </c>
      <c r="L1703" s="16">
        <f t="shared" si="2"/>
        <v>4.466731905</v>
      </c>
    </row>
    <row r="1704" ht="16.5" customHeight="1">
      <c r="A1704" s="15" t="str">
        <f>Solieusap!A1704</f>
        <v>Cũ</v>
      </c>
      <c r="B1704" s="15">
        <f>Solieusap!B1704</f>
        <v>3.5</v>
      </c>
      <c r="C1704" s="15" t="str">
        <f>Solieusap!C1704</f>
        <v>COMB7</v>
      </c>
      <c r="D1704" s="15" t="str">
        <f>Solieusap!D1704</f>
        <v>Combination</v>
      </c>
      <c r="E1704" s="16">
        <f>ABS(Solieusap!E1704)</f>
        <v>13.63244208</v>
      </c>
      <c r="F1704" s="16">
        <f>ABS(Solieusap!F1704)</f>
        <v>1.260205758</v>
      </c>
      <c r="G1704" s="16">
        <f>ABS(Solieusap!G1704)</f>
        <v>1.720745368</v>
      </c>
      <c r="H1704" s="16">
        <f>ABS(Solieusap!H1704)</f>
        <v>0.0007610051039</v>
      </c>
      <c r="I1704" s="16">
        <f>ABS(Solieusap!I1704)</f>
        <v>4.473526697</v>
      </c>
      <c r="J1704" s="16">
        <f>ABS(Solieusap!J1704)</f>
        <v>3.015338481</v>
      </c>
      <c r="K1704" s="16">
        <f t="shared" si="1"/>
        <v>13.63244208</v>
      </c>
      <c r="L1704" s="16">
        <f t="shared" si="2"/>
        <v>4.473526697</v>
      </c>
    </row>
    <row r="1705" ht="16.5" customHeight="1">
      <c r="A1705" s="15" t="str">
        <f>Solieusap!A1705</f>
        <v>Cũ</v>
      </c>
      <c r="B1705" s="15">
        <f>Solieusap!B1705</f>
        <v>0</v>
      </c>
      <c r="C1705" s="15" t="str">
        <f>Solieusap!C1705</f>
        <v>COMB1</v>
      </c>
      <c r="D1705" s="15" t="str">
        <f>Solieusap!D1705</f>
        <v>Combination</v>
      </c>
      <c r="E1705" s="16">
        <f>ABS(Solieusap!E1705)</f>
        <v>13.64929844</v>
      </c>
      <c r="F1705" s="16">
        <f>ABS(Solieusap!F1705)</f>
        <v>1.261916277</v>
      </c>
      <c r="G1705" s="16">
        <f>ABS(Solieusap!G1705)</f>
        <v>1.723009784</v>
      </c>
      <c r="H1705" s="16">
        <f>ABS(Solieusap!H1705)</f>
        <v>0.0007620602078</v>
      </c>
      <c r="I1705" s="16">
        <f>ABS(Solieusap!I1705)</f>
        <v>4.480321489</v>
      </c>
      <c r="J1705" s="16">
        <f>ABS(Solieusap!J1705)</f>
        <v>3.019885532</v>
      </c>
      <c r="K1705" s="16">
        <f t="shared" si="1"/>
        <v>13.64929844</v>
      </c>
      <c r="L1705" s="16">
        <f t="shared" si="2"/>
        <v>4.480321489</v>
      </c>
    </row>
    <row r="1706" ht="16.5" customHeight="1">
      <c r="A1706" s="15" t="str">
        <f>Solieusap!A1706</f>
        <v>Cũ</v>
      </c>
      <c r="B1706" s="15">
        <f>Solieusap!B1706</f>
        <v>1.75</v>
      </c>
      <c r="C1706" s="15" t="str">
        <f>Solieusap!C1706</f>
        <v>COMB1</v>
      </c>
      <c r="D1706" s="15" t="str">
        <f>Solieusap!D1706</f>
        <v>Combination</v>
      </c>
      <c r="E1706" s="16">
        <f>ABS(Solieusap!E1706)</f>
        <v>13.66615481</v>
      </c>
      <c r="F1706" s="16">
        <f>ABS(Solieusap!F1706)</f>
        <v>1.263626797</v>
      </c>
      <c r="G1706" s="16">
        <f>ABS(Solieusap!G1706)</f>
        <v>1.725274199</v>
      </c>
      <c r="H1706" s="16">
        <f>ABS(Solieusap!H1706)</f>
        <v>0.0007631153117</v>
      </c>
      <c r="I1706" s="16">
        <f>ABS(Solieusap!I1706)</f>
        <v>4.487116281</v>
      </c>
      <c r="J1706" s="16">
        <f>ABS(Solieusap!J1706)</f>
        <v>3.024432584</v>
      </c>
      <c r="K1706" s="16">
        <f t="shared" si="1"/>
        <v>13.66615481</v>
      </c>
      <c r="L1706" s="16">
        <f t="shared" si="2"/>
        <v>4.487116281</v>
      </c>
    </row>
    <row r="1707" ht="16.5" customHeight="1">
      <c r="A1707" s="15" t="str">
        <f>Solieusap!A1707</f>
        <v>Cũ</v>
      </c>
      <c r="B1707" s="15">
        <f>Solieusap!B1707</f>
        <v>3.5</v>
      </c>
      <c r="C1707" s="15" t="str">
        <f>Solieusap!C1707</f>
        <v>COMB1</v>
      </c>
      <c r="D1707" s="15" t="str">
        <f>Solieusap!D1707</f>
        <v>Combination</v>
      </c>
      <c r="E1707" s="16">
        <f>ABS(Solieusap!E1707)</f>
        <v>13.68301117</v>
      </c>
      <c r="F1707" s="16">
        <f>ABS(Solieusap!F1707)</f>
        <v>1.265337316</v>
      </c>
      <c r="G1707" s="16">
        <f>ABS(Solieusap!G1707)</f>
        <v>1.727538615</v>
      </c>
      <c r="H1707" s="16">
        <f>ABS(Solieusap!H1707)</f>
        <v>0.0007641704156</v>
      </c>
      <c r="I1707" s="16">
        <f>ABS(Solieusap!I1707)</f>
        <v>4.493911074</v>
      </c>
      <c r="J1707" s="16">
        <f>ABS(Solieusap!J1707)</f>
        <v>3.028979636</v>
      </c>
      <c r="K1707" s="16">
        <f t="shared" si="1"/>
        <v>13.68301117</v>
      </c>
      <c r="L1707" s="16">
        <f t="shared" si="2"/>
        <v>4.493911074</v>
      </c>
    </row>
    <row r="1708" ht="16.5" customHeight="1">
      <c r="A1708" s="15" t="str">
        <f>Solieusap!A1708</f>
        <v>Cũ</v>
      </c>
      <c r="B1708" s="15">
        <f>Solieusap!B1708</f>
        <v>0</v>
      </c>
      <c r="C1708" s="15" t="str">
        <f>Solieusap!C1708</f>
        <v>COMB2</v>
      </c>
      <c r="D1708" s="15" t="str">
        <f>Solieusap!D1708</f>
        <v>Combination</v>
      </c>
      <c r="E1708" s="16">
        <f>ABS(Solieusap!E1708)</f>
        <v>13.69986753</v>
      </c>
      <c r="F1708" s="16">
        <f>ABS(Solieusap!F1708)</f>
        <v>1.267047835</v>
      </c>
      <c r="G1708" s="16">
        <f>ABS(Solieusap!G1708)</f>
        <v>1.72980303</v>
      </c>
      <c r="H1708" s="16">
        <f>ABS(Solieusap!H1708)</f>
        <v>0.0007652255195</v>
      </c>
      <c r="I1708" s="16">
        <f>ABS(Solieusap!I1708)</f>
        <v>4.500705866</v>
      </c>
      <c r="J1708" s="16">
        <f>ABS(Solieusap!J1708)</f>
        <v>3.033526688</v>
      </c>
      <c r="K1708" s="16">
        <f t="shared" si="1"/>
        <v>13.69986753</v>
      </c>
      <c r="L1708" s="16">
        <f t="shared" si="2"/>
        <v>4.500705866</v>
      </c>
    </row>
    <row r="1709" ht="16.5" customHeight="1">
      <c r="A1709" s="15" t="str">
        <f>Solieusap!A1709</f>
        <v>Cũ</v>
      </c>
      <c r="B1709" s="15">
        <f>Solieusap!B1709</f>
        <v>1.75</v>
      </c>
      <c r="C1709" s="15" t="str">
        <f>Solieusap!C1709</f>
        <v>COMB2</v>
      </c>
      <c r="D1709" s="15" t="str">
        <f>Solieusap!D1709</f>
        <v>Combination</v>
      </c>
      <c r="E1709" s="16">
        <f>ABS(Solieusap!E1709)</f>
        <v>13.7167239</v>
      </c>
      <c r="F1709" s="16">
        <f>ABS(Solieusap!F1709)</f>
        <v>1.268758355</v>
      </c>
      <c r="G1709" s="16">
        <f>ABS(Solieusap!G1709)</f>
        <v>1.732067446</v>
      </c>
      <c r="H1709" s="16">
        <f>ABS(Solieusap!H1709)</f>
        <v>0.0007662806234</v>
      </c>
      <c r="I1709" s="16">
        <f>ABS(Solieusap!I1709)</f>
        <v>4.507500658</v>
      </c>
      <c r="J1709" s="16">
        <f>ABS(Solieusap!J1709)</f>
        <v>3.03807374</v>
      </c>
      <c r="K1709" s="16">
        <f t="shared" si="1"/>
        <v>13.7167239</v>
      </c>
      <c r="L1709" s="16">
        <f t="shared" si="2"/>
        <v>4.507500658</v>
      </c>
    </row>
    <row r="1710" ht="16.5" customHeight="1">
      <c r="A1710" s="15" t="str">
        <f>Solieusap!A1710</f>
        <v>Cũ</v>
      </c>
      <c r="B1710" s="15">
        <f>Solieusap!B1710</f>
        <v>3.5</v>
      </c>
      <c r="C1710" s="15" t="str">
        <f>Solieusap!C1710</f>
        <v>COMB2</v>
      </c>
      <c r="D1710" s="15" t="str">
        <f>Solieusap!D1710</f>
        <v>Combination</v>
      </c>
      <c r="E1710" s="16">
        <f>ABS(Solieusap!E1710)</f>
        <v>13.73358026</v>
      </c>
      <c r="F1710" s="16">
        <f>ABS(Solieusap!F1710)</f>
        <v>1.270468874</v>
      </c>
      <c r="G1710" s="16">
        <f>ABS(Solieusap!G1710)</f>
        <v>1.734331861</v>
      </c>
      <c r="H1710" s="16">
        <f>ABS(Solieusap!H1710)</f>
        <v>0.0007673357273</v>
      </c>
      <c r="I1710" s="16">
        <f>ABS(Solieusap!I1710)</f>
        <v>4.51429545</v>
      </c>
      <c r="J1710" s="16">
        <f>ABS(Solieusap!J1710)</f>
        <v>3.042620792</v>
      </c>
      <c r="K1710" s="16">
        <f t="shared" si="1"/>
        <v>13.73358026</v>
      </c>
      <c r="L1710" s="16">
        <f t="shared" si="2"/>
        <v>4.51429545</v>
      </c>
    </row>
    <row r="1711" ht="16.5" customHeight="1">
      <c r="A1711" s="15" t="str">
        <f>Solieusap!A1711</f>
        <v>Cũ</v>
      </c>
      <c r="B1711" s="15">
        <f>Solieusap!B1711</f>
        <v>0</v>
      </c>
      <c r="C1711" s="15" t="str">
        <f>Solieusap!C1711</f>
        <v>COMB3</v>
      </c>
      <c r="D1711" s="15" t="str">
        <f>Solieusap!D1711</f>
        <v>Combination</v>
      </c>
      <c r="E1711" s="16">
        <f>ABS(Solieusap!E1711)</f>
        <v>13.75043662</v>
      </c>
      <c r="F1711" s="16">
        <f>ABS(Solieusap!F1711)</f>
        <v>1.272179394</v>
      </c>
      <c r="G1711" s="16">
        <f>ABS(Solieusap!G1711)</f>
        <v>1.736596277</v>
      </c>
      <c r="H1711" s="16">
        <f>ABS(Solieusap!H1711)</f>
        <v>0.0007683908312</v>
      </c>
      <c r="I1711" s="16">
        <f>ABS(Solieusap!I1711)</f>
        <v>4.521090242</v>
      </c>
      <c r="J1711" s="16">
        <f>ABS(Solieusap!J1711)</f>
        <v>3.047167844</v>
      </c>
      <c r="K1711" s="16">
        <f t="shared" si="1"/>
        <v>13.75043662</v>
      </c>
      <c r="L1711" s="16">
        <f t="shared" si="2"/>
        <v>4.521090242</v>
      </c>
    </row>
    <row r="1712" ht="16.5" customHeight="1">
      <c r="A1712" s="15" t="str">
        <f>Solieusap!A1712</f>
        <v>Cũ</v>
      </c>
      <c r="B1712" s="15">
        <f>Solieusap!B1712</f>
        <v>1.75</v>
      </c>
      <c r="C1712" s="15" t="str">
        <f>Solieusap!C1712</f>
        <v>COMB3</v>
      </c>
      <c r="D1712" s="15" t="str">
        <f>Solieusap!D1712</f>
        <v>Combination</v>
      </c>
      <c r="E1712" s="16">
        <f>ABS(Solieusap!E1712)</f>
        <v>13.76729299</v>
      </c>
      <c r="F1712" s="16">
        <f>ABS(Solieusap!F1712)</f>
        <v>1.273889913</v>
      </c>
      <c r="G1712" s="16">
        <f>ABS(Solieusap!G1712)</f>
        <v>1.738860693</v>
      </c>
      <c r="H1712" s="16">
        <f>ABS(Solieusap!H1712)</f>
        <v>0.0007694459351</v>
      </c>
      <c r="I1712" s="16">
        <f>ABS(Solieusap!I1712)</f>
        <v>4.527885035</v>
      </c>
      <c r="J1712" s="16">
        <f>ABS(Solieusap!J1712)</f>
        <v>3.051714896</v>
      </c>
      <c r="K1712" s="16">
        <f t="shared" si="1"/>
        <v>13.76729299</v>
      </c>
      <c r="L1712" s="16">
        <f t="shared" si="2"/>
        <v>4.527885035</v>
      </c>
    </row>
    <row r="1713" ht="16.5" customHeight="1">
      <c r="A1713" s="15" t="str">
        <f>Solieusap!A1713</f>
        <v>Cũ</v>
      </c>
      <c r="B1713" s="15">
        <f>Solieusap!B1713</f>
        <v>3.5</v>
      </c>
      <c r="C1713" s="15" t="str">
        <f>Solieusap!C1713</f>
        <v>COMB3</v>
      </c>
      <c r="D1713" s="15" t="str">
        <f>Solieusap!D1713</f>
        <v>Combination</v>
      </c>
      <c r="E1713" s="16">
        <f>ABS(Solieusap!E1713)</f>
        <v>13.78414935</v>
      </c>
      <c r="F1713" s="16">
        <f>ABS(Solieusap!F1713)</f>
        <v>1.275600433</v>
      </c>
      <c r="G1713" s="16">
        <f>ABS(Solieusap!G1713)</f>
        <v>1.741125108</v>
      </c>
      <c r="H1713" s="16">
        <f>ABS(Solieusap!H1713)</f>
        <v>0.000770501039</v>
      </c>
      <c r="I1713" s="16">
        <f>ABS(Solieusap!I1713)</f>
        <v>4.534679827</v>
      </c>
      <c r="J1713" s="16">
        <f>ABS(Solieusap!J1713)</f>
        <v>3.056261948</v>
      </c>
      <c r="K1713" s="16">
        <f t="shared" si="1"/>
        <v>13.78414935</v>
      </c>
      <c r="L1713" s="16">
        <f t="shared" si="2"/>
        <v>4.534679827</v>
      </c>
    </row>
    <row r="1714" ht="16.5" customHeight="1">
      <c r="A1714" s="15" t="str">
        <f>Solieusap!A1714</f>
        <v>Cũ</v>
      </c>
      <c r="B1714" s="15">
        <f>Solieusap!B1714</f>
        <v>0</v>
      </c>
      <c r="C1714" s="15" t="str">
        <f>Solieusap!C1714</f>
        <v>COMB4</v>
      </c>
      <c r="D1714" s="15" t="str">
        <f>Solieusap!D1714</f>
        <v>Combination</v>
      </c>
      <c r="E1714" s="16">
        <f>ABS(Solieusap!E1714)</f>
        <v>13.80100571</v>
      </c>
      <c r="F1714" s="16">
        <f>ABS(Solieusap!F1714)</f>
        <v>1.277310952</v>
      </c>
      <c r="G1714" s="16">
        <f>ABS(Solieusap!G1714)</f>
        <v>1.743389524</v>
      </c>
      <c r="H1714" s="16">
        <f>ABS(Solieusap!H1714)</f>
        <v>0.0007715561429</v>
      </c>
      <c r="I1714" s="16">
        <f>ABS(Solieusap!I1714)</f>
        <v>4.541474619</v>
      </c>
      <c r="J1714" s="16">
        <f>ABS(Solieusap!J1714)</f>
        <v>3.060809</v>
      </c>
      <c r="K1714" s="16">
        <f t="shared" si="1"/>
        <v>13.80100571</v>
      </c>
      <c r="L1714" s="16">
        <f t="shared" si="2"/>
        <v>4.541474619</v>
      </c>
    </row>
    <row r="1715" ht="16.5" customHeight="1">
      <c r="A1715" s="15" t="str">
        <f>Solieusap!A1715</f>
        <v>Cũ</v>
      </c>
      <c r="B1715" s="15">
        <f>Solieusap!B1715</f>
        <v>1.75</v>
      </c>
      <c r="C1715" s="15" t="str">
        <f>Solieusap!C1715</f>
        <v>COMB4</v>
      </c>
      <c r="D1715" s="15" t="str">
        <f>Solieusap!D1715</f>
        <v>Combination</v>
      </c>
      <c r="E1715" s="16">
        <f>ABS(Solieusap!E1715)</f>
        <v>13.81786208</v>
      </c>
      <c r="F1715" s="16">
        <f>ABS(Solieusap!F1715)</f>
        <v>1.279021472</v>
      </c>
      <c r="G1715" s="16">
        <f>ABS(Solieusap!G1715)</f>
        <v>1.745653939</v>
      </c>
      <c r="H1715" s="16">
        <f>ABS(Solieusap!H1715)</f>
        <v>0.0007726112468</v>
      </c>
      <c r="I1715" s="16">
        <f>ABS(Solieusap!I1715)</f>
        <v>4.548269411</v>
      </c>
      <c r="J1715" s="16">
        <f>ABS(Solieusap!J1715)</f>
        <v>3.065356052</v>
      </c>
      <c r="K1715" s="16">
        <f t="shared" si="1"/>
        <v>13.81786208</v>
      </c>
      <c r="L1715" s="16">
        <f t="shared" si="2"/>
        <v>4.548269411</v>
      </c>
    </row>
    <row r="1716" ht="16.5" customHeight="1">
      <c r="A1716" s="15" t="str">
        <f>Solieusap!A1716</f>
        <v>Cũ</v>
      </c>
      <c r="B1716" s="15">
        <f>Solieusap!B1716</f>
        <v>3.5</v>
      </c>
      <c r="C1716" s="15" t="str">
        <f>Solieusap!C1716</f>
        <v>COMB4</v>
      </c>
      <c r="D1716" s="15" t="str">
        <f>Solieusap!D1716</f>
        <v>Combination</v>
      </c>
      <c r="E1716" s="16">
        <f>ABS(Solieusap!E1716)</f>
        <v>13.83471844</v>
      </c>
      <c r="F1716" s="16">
        <f>ABS(Solieusap!F1716)</f>
        <v>1.280731991</v>
      </c>
      <c r="G1716" s="16">
        <f>ABS(Solieusap!G1716)</f>
        <v>1.747918355</v>
      </c>
      <c r="H1716" s="16">
        <f>ABS(Solieusap!H1716)</f>
        <v>0.0007736663506</v>
      </c>
      <c r="I1716" s="16">
        <f>ABS(Solieusap!I1716)</f>
        <v>4.555064203</v>
      </c>
      <c r="J1716" s="16">
        <f>ABS(Solieusap!J1716)</f>
        <v>3.069903104</v>
      </c>
      <c r="K1716" s="16">
        <f t="shared" si="1"/>
        <v>13.83471844</v>
      </c>
      <c r="L1716" s="16">
        <f t="shared" si="2"/>
        <v>4.555064203</v>
      </c>
    </row>
    <row r="1717" ht="16.5" customHeight="1">
      <c r="A1717" s="15" t="str">
        <f>Solieusap!A1717</f>
        <v>Cũ</v>
      </c>
      <c r="B1717" s="15">
        <f>Solieusap!B1717</f>
        <v>0</v>
      </c>
      <c r="C1717" s="15" t="str">
        <f>Solieusap!C1717</f>
        <v>COMB5</v>
      </c>
      <c r="D1717" s="15" t="str">
        <f>Solieusap!D1717</f>
        <v>Combination</v>
      </c>
      <c r="E1717" s="16">
        <f>ABS(Solieusap!E1717)</f>
        <v>13.85157481</v>
      </c>
      <c r="F1717" s="16">
        <f>ABS(Solieusap!F1717)</f>
        <v>1.282442511</v>
      </c>
      <c r="G1717" s="16">
        <f>ABS(Solieusap!G1717)</f>
        <v>1.750182771</v>
      </c>
      <c r="H1717" s="16">
        <f>ABS(Solieusap!H1717)</f>
        <v>0.0007747214545</v>
      </c>
      <c r="I1717" s="16">
        <f>ABS(Solieusap!I1717)</f>
        <v>4.561858996</v>
      </c>
      <c r="J1717" s="16">
        <f>ABS(Solieusap!J1717)</f>
        <v>3.074450156</v>
      </c>
      <c r="K1717" s="16">
        <f t="shared" si="1"/>
        <v>13.85157481</v>
      </c>
      <c r="L1717" s="16">
        <f t="shared" si="2"/>
        <v>4.561858996</v>
      </c>
    </row>
    <row r="1718" ht="16.5" customHeight="1">
      <c r="A1718" s="15" t="str">
        <f>Solieusap!A1718</f>
        <v>Cũ</v>
      </c>
      <c r="B1718" s="15">
        <f>Solieusap!B1718</f>
        <v>1.75</v>
      </c>
      <c r="C1718" s="15" t="str">
        <f>Solieusap!C1718</f>
        <v>COMB5</v>
      </c>
      <c r="D1718" s="15" t="str">
        <f>Solieusap!D1718</f>
        <v>Combination</v>
      </c>
      <c r="E1718" s="16">
        <f>ABS(Solieusap!E1718)</f>
        <v>13.86843117</v>
      </c>
      <c r="F1718" s="16">
        <f>ABS(Solieusap!F1718)</f>
        <v>1.28415303</v>
      </c>
      <c r="G1718" s="16">
        <f>ABS(Solieusap!G1718)</f>
        <v>1.752447186</v>
      </c>
      <c r="H1718" s="16">
        <f>ABS(Solieusap!H1718)</f>
        <v>0.0007757765584</v>
      </c>
      <c r="I1718" s="16">
        <f>ABS(Solieusap!I1718)</f>
        <v>4.568653788</v>
      </c>
      <c r="J1718" s="16">
        <f>ABS(Solieusap!J1718)</f>
        <v>3.078997208</v>
      </c>
      <c r="K1718" s="16">
        <f t="shared" si="1"/>
        <v>13.86843117</v>
      </c>
      <c r="L1718" s="16">
        <f t="shared" si="2"/>
        <v>4.568653788</v>
      </c>
    </row>
    <row r="1719" ht="16.5" customHeight="1">
      <c r="A1719" s="15" t="str">
        <f>Solieusap!A1719</f>
        <v>Cũ</v>
      </c>
      <c r="B1719" s="15">
        <f>Solieusap!B1719</f>
        <v>3.5</v>
      </c>
      <c r="C1719" s="15" t="str">
        <f>Solieusap!C1719</f>
        <v>COMB5</v>
      </c>
      <c r="D1719" s="15" t="str">
        <f>Solieusap!D1719</f>
        <v>Combination</v>
      </c>
      <c r="E1719" s="16">
        <f>ABS(Solieusap!E1719)</f>
        <v>13.88528753</v>
      </c>
      <c r="F1719" s="16">
        <f>ABS(Solieusap!F1719)</f>
        <v>1.28586355</v>
      </c>
      <c r="G1719" s="16">
        <f>ABS(Solieusap!G1719)</f>
        <v>1.754711602</v>
      </c>
      <c r="H1719" s="16">
        <f>ABS(Solieusap!H1719)</f>
        <v>0.0007768316623</v>
      </c>
      <c r="I1719" s="16">
        <f>ABS(Solieusap!I1719)</f>
        <v>4.57544858</v>
      </c>
      <c r="J1719" s="16">
        <f>ABS(Solieusap!J1719)</f>
        <v>3.08354426</v>
      </c>
      <c r="K1719" s="16">
        <f t="shared" si="1"/>
        <v>13.88528753</v>
      </c>
      <c r="L1719" s="16">
        <f t="shared" si="2"/>
        <v>4.57544858</v>
      </c>
    </row>
    <row r="1720" ht="16.5" customHeight="1">
      <c r="A1720" s="15" t="str">
        <f>Solieusap!A1720</f>
        <v>Cũ</v>
      </c>
      <c r="B1720" s="15">
        <f>Solieusap!B1720</f>
        <v>0</v>
      </c>
      <c r="C1720" s="15" t="str">
        <f>Solieusap!C1720</f>
        <v>COMB6</v>
      </c>
      <c r="D1720" s="15" t="str">
        <f>Solieusap!D1720</f>
        <v>Combination</v>
      </c>
      <c r="E1720" s="16">
        <f>ABS(Solieusap!E1720)</f>
        <v>13.9021439</v>
      </c>
      <c r="F1720" s="16">
        <f>ABS(Solieusap!F1720)</f>
        <v>1.287574069</v>
      </c>
      <c r="G1720" s="16">
        <f>ABS(Solieusap!G1720)</f>
        <v>1.756976017</v>
      </c>
      <c r="H1720" s="16">
        <f>ABS(Solieusap!H1720)</f>
        <v>0.0007778867662</v>
      </c>
      <c r="I1720" s="16">
        <f>ABS(Solieusap!I1720)</f>
        <v>4.582243372</v>
      </c>
      <c r="J1720" s="16">
        <f>ABS(Solieusap!J1720)</f>
        <v>3.088091312</v>
      </c>
      <c r="K1720" s="16">
        <f t="shared" si="1"/>
        <v>13.9021439</v>
      </c>
      <c r="L1720" s="16">
        <f t="shared" si="2"/>
        <v>4.582243372</v>
      </c>
    </row>
    <row r="1721" ht="16.5" customHeight="1">
      <c r="A1721" s="15" t="str">
        <f>Solieusap!A1721</f>
        <v>Cũ</v>
      </c>
      <c r="B1721" s="15">
        <f>Solieusap!B1721</f>
        <v>1.75</v>
      </c>
      <c r="C1721" s="15" t="str">
        <f>Solieusap!C1721</f>
        <v>COMB6</v>
      </c>
      <c r="D1721" s="15" t="str">
        <f>Solieusap!D1721</f>
        <v>Combination</v>
      </c>
      <c r="E1721" s="16">
        <f>ABS(Solieusap!E1721)</f>
        <v>13.91900026</v>
      </c>
      <c r="F1721" s="16">
        <f>ABS(Solieusap!F1721)</f>
        <v>1.289284589</v>
      </c>
      <c r="G1721" s="16">
        <f>ABS(Solieusap!G1721)</f>
        <v>1.759240433</v>
      </c>
      <c r="H1721" s="16">
        <f>ABS(Solieusap!H1721)</f>
        <v>0.0007789418701</v>
      </c>
      <c r="I1721" s="16">
        <f>ABS(Solieusap!I1721)</f>
        <v>4.589038165</v>
      </c>
      <c r="J1721" s="16">
        <f>ABS(Solieusap!J1721)</f>
        <v>3.092638364</v>
      </c>
      <c r="K1721" s="16">
        <f t="shared" si="1"/>
        <v>13.91900026</v>
      </c>
      <c r="L1721" s="16">
        <f t="shared" si="2"/>
        <v>4.589038165</v>
      </c>
    </row>
    <row r="1722" ht="16.5" customHeight="1">
      <c r="A1722" s="15" t="str">
        <f>Solieusap!A1722</f>
        <v>Cũ</v>
      </c>
      <c r="B1722" s="15">
        <f>Solieusap!B1722</f>
        <v>3.5</v>
      </c>
      <c r="C1722" s="15" t="str">
        <f>Solieusap!C1722</f>
        <v>COMB6</v>
      </c>
      <c r="D1722" s="15" t="str">
        <f>Solieusap!D1722</f>
        <v>Combination</v>
      </c>
      <c r="E1722" s="16">
        <f>ABS(Solieusap!E1722)</f>
        <v>13.93585662</v>
      </c>
      <c r="F1722" s="16">
        <f>ABS(Solieusap!F1722)</f>
        <v>1.290995108</v>
      </c>
      <c r="G1722" s="16">
        <f>ABS(Solieusap!G1722)</f>
        <v>1.761504848</v>
      </c>
      <c r="H1722" s="16">
        <f>ABS(Solieusap!H1722)</f>
        <v>0.000779996974</v>
      </c>
      <c r="I1722" s="16">
        <f>ABS(Solieusap!I1722)</f>
        <v>4.595832957</v>
      </c>
      <c r="J1722" s="16">
        <f>ABS(Solieusap!J1722)</f>
        <v>3.097185416</v>
      </c>
      <c r="K1722" s="16">
        <f t="shared" si="1"/>
        <v>13.93585662</v>
      </c>
      <c r="L1722" s="16">
        <f t="shared" si="2"/>
        <v>4.595832957</v>
      </c>
    </row>
    <row r="1723" ht="16.5" customHeight="1">
      <c r="A1723" s="15" t="str">
        <f>Solieusap!A1723</f>
        <v>Cũ</v>
      </c>
      <c r="B1723" s="15">
        <f>Solieusap!B1723</f>
        <v>0</v>
      </c>
      <c r="C1723" s="15" t="str">
        <f>Solieusap!C1723</f>
        <v>COMB7</v>
      </c>
      <c r="D1723" s="15" t="str">
        <f>Solieusap!D1723</f>
        <v>Combination</v>
      </c>
      <c r="E1723" s="16">
        <f>ABS(Solieusap!E1723)</f>
        <v>13.95271299</v>
      </c>
      <c r="F1723" s="16">
        <f>ABS(Solieusap!F1723)</f>
        <v>1.292705628</v>
      </c>
      <c r="G1723" s="16">
        <f>ABS(Solieusap!G1723)</f>
        <v>1.763769264</v>
      </c>
      <c r="H1723" s="16">
        <f>ABS(Solieusap!H1723)</f>
        <v>0.0007810520779</v>
      </c>
      <c r="I1723" s="16">
        <f>ABS(Solieusap!I1723)</f>
        <v>4.602627749</v>
      </c>
      <c r="J1723" s="16">
        <f>ABS(Solieusap!J1723)</f>
        <v>3.101732468</v>
      </c>
      <c r="K1723" s="16">
        <f t="shared" si="1"/>
        <v>13.95271299</v>
      </c>
      <c r="L1723" s="16">
        <f t="shared" si="2"/>
        <v>4.602627749</v>
      </c>
    </row>
    <row r="1724" ht="16.5" customHeight="1">
      <c r="A1724" s="15" t="str">
        <f>Solieusap!A1724</f>
        <v>Cũ</v>
      </c>
      <c r="B1724" s="15">
        <f>Solieusap!B1724</f>
        <v>1.75</v>
      </c>
      <c r="C1724" s="15" t="str">
        <f>Solieusap!C1724</f>
        <v>COMB7</v>
      </c>
      <c r="D1724" s="15" t="str">
        <f>Solieusap!D1724</f>
        <v>Combination</v>
      </c>
      <c r="E1724" s="16">
        <f>ABS(Solieusap!E1724)</f>
        <v>13.96956935</v>
      </c>
      <c r="F1724" s="16">
        <f>ABS(Solieusap!F1724)</f>
        <v>1.294416147</v>
      </c>
      <c r="G1724" s="16">
        <f>ABS(Solieusap!G1724)</f>
        <v>1.76603368</v>
      </c>
      <c r="H1724" s="16">
        <f>ABS(Solieusap!H1724)</f>
        <v>0.0007821071818</v>
      </c>
      <c r="I1724" s="16">
        <f>ABS(Solieusap!I1724)</f>
        <v>4.609422541</v>
      </c>
      <c r="J1724" s="16">
        <f>ABS(Solieusap!J1724)</f>
        <v>3.106279519</v>
      </c>
      <c r="K1724" s="16">
        <f t="shared" si="1"/>
        <v>13.96956935</v>
      </c>
      <c r="L1724" s="16">
        <f t="shared" si="2"/>
        <v>4.609422541</v>
      </c>
    </row>
    <row r="1725" ht="16.5" customHeight="1">
      <c r="A1725" s="15" t="str">
        <f>Solieusap!A1725</f>
        <v>Cũ</v>
      </c>
      <c r="B1725" s="15">
        <f>Solieusap!B1725</f>
        <v>3.5</v>
      </c>
      <c r="C1725" s="15" t="str">
        <f>Solieusap!C1725</f>
        <v>COMB7</v>
      </c>
      <c r="D1725" s="15" t="str">
        <f>Solieusap!D1725</f>
        <v>Combination</v>
      </c>
      <c r="E1725" s="16">
        <f>ABS(Solieusap!E1725)</f>
        <v>13.98642571</v>
      </c>
      <c r="F1725" s="16">
        <f>ABS(Solieusap!F1725)</f>
        <v>1.296126667</v>
      </c>
      <c r="G1725" s="16">
        <f>ABS(Solieusap!G1725)</f>
        <v>1.768298095</v>
      </c>
      <c r="H1725" s="16">
        <f>ABS(Solieusap!H1725)</f>
        <v>0.0007831622857</v>
      </c>
      <c r="I1725" s="16">
        <f>ABS(Solieusap!I1725)</f>
        <v>4.616217333</v>
      </c>
      <c r="J1725" s="16">
        <f>ABS(Solieusap!J1725)</f>
        <v>3.110826571</v>
      </c>
      <c r="K1725" s="16">
        <f t="shared" si="1"/>
        <v>13.98642571</v>
      </c>
      <c r="L1725" s="16">
        <f t="shared" si="2"/>
        <v>4.616217333</v>
      </c>
    </row>
    <row r="1726" ht="16.5" customHeight="1">
      <c r="A1726" s="15" t="str">
        <f>Solieusap!A1726</f>
        <v>Cũ</v>
      </c>
      <c r="B1726" s="15">
        <f>Solieusap!B1726</f>
        <v>0</v>
      </c>
      <c r="C1726" s="15" t="str">
        <f>Solieusap!C1726</f>
        <v>COMB1</v>
      </c>
      <c r="D1726" s="15" t="str">
        <f>Solieusap!D1726</f>
        <v>Combination</v>
      </c>
      <c r="E1726" s="16">
        <f>ABS(Solieusap!E1726)</f>
        <v>14.00328208</v>
      </c>
      <c r="F1726" s="16">
        <f>ABS(Solieusap!F1726)</f>
        <v>1.297837186</v>
      </c>
      <c r="G1726" s="16">
        <f>ABS(Solieusap!G1726)</f>
        <v>1.770562511</v>
      </c>
      <c r="H1726" s="16">
        <f>ABS(Solieusap!H1726)</f>
        <v>0.0007842173896</v>
      </c>
      <c r="I1726" s="16">
        <f>ABS(Solieusap!I1726)</f>
        <v>4.623012126</v>
      </c>
      <c r="J1726" s="16">
        <f>ABS(Solieusap!J1726)</f>
        <v>3.115373623</v>
      </c>
      <c r="K1726" s="16">
        <f t="shared" si="1"/>
        <v>14.00328208</v>
      </c>
      <c r="L1726" s="16">
        <f t="shared" si="2"/>
        <v>4.623012126</v>
      </c>
    </row>
    <row r="1727" ht="16.5" customHeight="1">
      <c r="A1727" s="15" t="str">
        <f>Solieusap!A1727</f>
        <v>Cũ</v>
      </c>
      <c r="B1727" s="15">
        <f>Solieusap!B1727</f>
        <v>1.75</v>
      </c>
      <c r="C1727" s="15" t="str">
        <f>Solieusap!C1727</f>
        <v>COMB1</v>
      </c>
      <c r="D1727" s="15" t="str">
        <f>Solieusap!D1727</f>
        <v>Combination</v>
      </c>
      <c r="E1727" s="16">
        <f>ABS(Solieusap!E1727)</f>
        <v>14.02013844</v>
      </c>
      <c r="F1727" s="16">
        <f>ABS(Solieusap!F1727)</f>
        <v>1.299547706</v>
      </c>
      <c r="G1727" s="16">
        <f>ABS(Solieusap!G1727)</f>
        <v>1.772826926</v>
      </c>
      <c r="H1727" s="16">
        <f>ABS(Solieusap!H1727)</f>
        <v>0.0007852724935</v>
      </c>
      <c r="I1727" s="16">
        <f>ABS(Solieusap!I1727)</f>
        <v>4.629806918</v>
      </c>
      <c r="J1727" s="16">
        <f>ABS(Solieusap!J1727)</f>
        <v>3.119920675</v>
      </c>
      <c r="K1727" s="16">
        <f t="shared" si="1"/>
        <v>14.02013844</v>
      </c>
      <c r="L1727" s="16">
        <f t="shared" si="2"/>
        <v>4.629806918</v>
      </c>
    </row>
    <row r="1728" ht="16.5" customHeight="1">
      <c r="A1728" s="15" t="str">
        <f>Solieusap!A1728</f>
        <v>Cũ</v>
      </c>
      <c r="B1728" s="15">
        <f>Solieusap!B1728</f>
        <v>3.5</v>
      </c>
      <c r="C1728" s="15" t="str">
        <f>Solieusap!C1728</f>
        <v>COMB1</v>
      </c>
      <c r="D1728" s="15" t="str">
        <f>Solieusap!D1728</f>
        <v>Combination</v>
      </c>
      <c r="E1728" s="16">
        <f>ABS(Solieusap!E1728)</f>
        <v>14.03699481</v>
      </c>
      <c r="F1728" s="16">
        <f>ABS(Solieusap!F1728)</f>
        <v>1.301258225</v>
      </c>
      <c r="G1728" s="16">
        <f>ABS(Solieusap!G1728)</f>
        <v>1.775091342</v>
      </c>
      <c r="H1728" s="16">
        <f>ABS(Solieusap!H1728)</f>
        <v>0.0007863275974</v>
      </c>
      <c r="I1728" s="16">
        <f>ABS(Solieusap!I1728)</f>
        <v>4.63660171</v>
      </c>
      <c r="J1728" s="16">
        <f>ABS(Solieusap!J1728)</f>
        <v>3.124467727</v>
      </c>
      <c r="K1728" s="16">
        <f t="shared" si="1"/>
        <v>14.03699481</v>
      </c>
      <c r="L1728" s="16">
        <f t="shared" si="2"/>
        <v>4.63660171</v>
      </c>
    </row>
    <row r="1729" ht="16.5" customHeight="1">
      <c r="A1729" s="15" t="str">
        <f>Solieusap!A1729</f>
        <v>Cũ</v>
      </c>
      <c r="B1729" s="15">
        <f>Solieusap!B1729</f>
        <v>0</v>
      </c>
      <c r="C1729" s="15" t="str">
        <f>Solieusap!C1729</f>
        <v>COMB2</v>
      </c>
      <c r="D1729" s="15" t="str">
        <f>Solieusap!D1729</f>
        <v>Combination</v>
      </c>
      <c r="E1729" s="16">
        <f>ABS(Solieusap!E1729)</f>
        <v>14.05385117</v>
      </c>
      <c r="F1729" s="16">
        <f>ABS(Solieusap!F1729)</f>
        <v>1.302968745</v>
      </c>
      <c r="G1729" s="16">
        <f>ABS(Solieusap!G1729)</f>
        <v>1.777355758</v>
      </c>
      <c r="H1729" s="16">
        <f>ABS(Solieusap!H1729)</f>
        <v>0.0007873827013</v>
      </c>
      <c r="I1729" s="16">
        <f>ABS(Solieusap!I1729)</f>
        <v>4.643396502</v>
      </c>
      <c r="J1729" s="16">
        <f>ABS(Solieusap!J1729)</f>
        <v>3.129014779</v>
      </c>
      <c r="K1729" s="16">
        <f t="shared" si="1"/>
        <v>14.05385117</v>
      </c>
      <c r="L1729" s="16">
        <f t="shared" si="2"/>
        <v>4.643396502</v>
      </c>
    </row>
    <row r="1730" ht="16.5" customHeight="1">
      <c r="A1730" s="15" t="str">
        <f>Solieusap!A1730</f>
        <v>Cũ</v>
      </c>
      <c r="B1730" s="15">
        <f>Solieusap!B1730</f>
        <v>1.75</v>
      </c>
      <c r="C1730" s="15" t="str">
        <f>Solieusap!C1730</f>
        <v>COMB2</v>
      </c>
      <c r="D1730" s="15" t="str">
        <f>Solieusap!D1730</f>
        <v>Combination</v>
      </c>
      <c r="E1730" s="16">
        <f>ABS(Solieusap!E1730)</f>
        <v>14.07070753</v>
      </c>
      <c r="F1730" s="16">
        <f>ABS(Solieusap!F1730)</f>
        <v>1.304679264</v>
      </c>
      <c r="G1730" s="16">
        <f>ABS(Solieusap!G1730)</f>
        <v>1.779620173</v>
      </c>
      <c r="H1730" s="16">
        <f>ABS(Solieusap!H1730)</f>
        <v>0.0007884378052</v>
      </c>
      <c r="I1730" s="16">
        <f>ABS(Solieusap!I1730)</f>
        <v>4.650191294</v>
      </c>
      <c r="J1730" s="16">
        <f>ABS(Solieusap!J1730)</f>
        <v>3.133561831</v>
      </c>
      <c r="K1730" s="16">
        <f t="shared" si="1"/>
        <v>14.07070753</v>
      </c>
      <c r="L1730" s="16">
        <f t="shared" si="2"/>
        <v>4.650191294</v>
      </c>
    </row>
    <row r="1731" ht="16.5" customHeight="1">
      <c r="A1731" s="15" t="str">
        <f>Solieusap!A1731</f>
        <v>Cũ</v>
      </c>
      <c r="B1731" s="15">
        <f>Solieusap!B1731</f>
        <v>3.5</v>
      </c>
      <c r="C1731" s="15" t="str">
        <f>Solieusap!C1731</f>
        <v>COMB2</v>
      </c>
      <c r="D1731" s="15" t="str">
        <f>Solieusap!D1731</f>
        <v>Combination</v>
      </c>
      <c r="E1731" s="16">
        <f>ABS(Solieusap!E1731)</f>
        <v>14.0875639</v>
      </c>
      <c r="F1731" s="16">
        <f>ABS(Solieusap!F1731)</f>
        <v>1.306389784</v>
      </c>
      <c r="G1731" s="16">
        <f>ABS(Solieusap!G1731)</f>
        <v>1.781884589</v>
      </c>
      <c r="H1731" s="16">
        <f>ABS(Solieusap!H1731)</f>
        <v>0.0007894929091</v>
      </c>
      <c r="I1731" s="16">
        <f>ABS(Solieusap!I1731)</f>
        <v>4.656986087</v>
      </c>
      <c r="J1731" s="16">
        <f>ABS(Solieusap!J1731)</f>
        <v>3.138108883</v>
      </c>
      <c r="K1731" s="16">
        <f t="shared" si="1"/>
        <v>14.0875639</v>
      </c>
      <c r="L1731" s="16">
        <f t="shared" si="2"/>
        <v>4.656986087</v>
      </c>
    </row>
    <row r="1732" ht="16.5" customHeight="1">
      <c r="A1732" s="15" t="str">
        <f>Solieusap!A1732</f>
        <v>Cũ</v>
      </c>
      <c r="B1732" s="15">
        <f>Solieusap!B1732</f>
        <v>0</v>
      </c>
      <c r="C1732" s="15" t="str">
        <f>Solieusap!C1732</f>
        <v>COMB3</v>
      </c>
      <c r="D1732" s="15" t="str">
        <f>Solieusap!D1732</f>
        <v>Combination</v>
      </c>
      <c r="E1732" s="16">
        <f>ABS(Solieusap!E1732)</f>
        <v>14.10442026</v>
      </c>
      <c r="F1732" s="16">
        <f>ABS(Solieusap!F1732)</f>
        <v>1.308100303</v>
      </c>
      <c r="G1732" s="16">
        <f>ABS(Solieusap!G1732)</f>
        <v>1.784149004</v>
      </c>
      <c r="H1732" s="16">
        <f>ABS(Solieusap!H1732)</f>
        <v>0.000790548013</v>
      </c>
      <c r="I1732" s="16">
        <f>ABS(Solieusap!I1732)</f>
        <v>4.663780879</v>
      </c>
      <c r="J1732" s="16">
        <f>ABS(Solieusap!J1732)</f>
        <v>3.142655935</v>
      </c>
      <c r="K1732" s="16">
        <f t="shared" si="1"/>
        <v>14.10442026</v>
      </c>
      <c r="L1732" s="16">
        <f t="shared" si="2"/>
        <v>4.663780879</v>
      </c>
    </row>
    <row r="1733" ht="16.5" customHeight="1">
      <c r="A1733" s="15" t="str">
        <f>Solieusap!A1733</f>
        <v>Cũ</v>
      </c>
      <c r="B1733" s="15">
        <f>Solieusap!B1733</f>
        <v>1.75</v>
      </c>
      <c r="C1733" s="15" t="str">
        <f>Solieusap!C1733</f>
        <v>COMB3</v>
      </c>
      <c r="D1733" s="15" t="str">
        <f>Solieusap!D1733</f>
        <v>Combination</v>
      </c>
      <c r="E1733" s="16">
        <f>ABS(Solieusap!E1733)</f>
        <v>14.12127662</v>
      </c>
      <c r="F1733" s="16">
        <f>ABS(Solieusap!F1733)</f>
        <v>1.309810823</v>
      </c>
      <c r="G1733" s="16">
        <f>ABS(Solieusap!G1733)</f>
        <v>1.78641342</v>
      </c>
      <c r="H1733" s="16">
        <f>ABS(Solieusap!H1733)</f>
        <v>0.0007916031169</v>
      </c>
      <c r="I1733" s="16">
        <f>ABS(Solieusap!I1733)</f>
        <v>4.670575671</v>
      </c>
      <c r="J1733" s="16">
        <f>ABS(Solieusap!J1733)</f>
        <v>3.147202987</v>
      </c>
      <c r="K1733" s="16">
        <f t="shared" si="1"/>
        <v>14.12127662</v>
      </c>
      <c r="L1733" s="16">
        <f t="shared" si="2"/>
        <v>4.670575671</v>
      </c>
    </row>
    <row r="1734" ht="16.5" customHeight="1">
      <c r="A1734" s="15" t="str">
        <f>Solieusap!A1734</f>
        <v>Cũ</v>
      </c>
      <c r="B1734" s="15">
        <f>Solieusap!B1734</f>
        <v>3.5</v>
      </c>
      <c r="C1734" s="15" t="str">
        <f>Solieusap!C1734</f>
        <v>COMB3</v>
      </c>
      <c r="D1734" s="15" t="str">
        <f>Solieusap!D1734</f>
        <v>Combination</v>
      </c>
      <c r="E1734" s="16">
        <f>ABS(Solieusap!E1734)</f>
        <v>14.13813299</v>
      </c>
      <c r="F1734" s="16">
        <f>ABS(Solieusap!F1734)</f>
        <v>1.311521342</v>
      </c>
      <c r="G1734" s="16">
        <f>ABS(Solieusap!G1734)</f>
        <v>1.788677835</v>
      </c>
      <c r="H1734" s="16">
        <f>ABS(Solieusap!H1734)</f>
        <v>0.0007926582208</v>
      </c>
      <c r="I1734" s="16">
        <f>ABS(Solieusap!I1734)</f>
        <v>4.677370463</v>
      </c>
      <c r="J1734" s="16">
        <f>ABS(Solieusap!J1734)</f>
        <v>3.151750039</v>
      </c>
      <c r="K1734" s="16">
        <f t="shared" si="1"/>
        <v>14.13813299</v>
      </c>
      <c r="L1734" s="16">
        <f t="shared" si="2"/>
        <v>4.677370463</v>
      </c>
    </row>
    <row r="1735" ht="16.5" customHeight="1">
      <c r="A1735" s="15" t="str">
        <f>Solieusap!A1735</f>
        <v>Cũ</v>
      </c>
      <c r="B1735" s="15">
        <f>Solieusap!B1735</f>
        <v>0</v>
      </c>
      <c r="C1735" s="15" t="str">
        <f>Solieusap!C1735</f>
        <v>COMB4</v>
      </c>
      <c r="D1735" s="15" t="str">
        <f>Solieusap!D1735</f>
        <v>Combination</v>
      </c>
      <c r="E1735" s="16">
        <f>ABS(Solieusap!E1735)</f>
        <v>14.15498935</v>
      </c>
      <c r="F1735" s="16">
        <f>ABS(Solieusap!F1735)</f>
        <v>1.313231861</v>
      </c>
      <c r="G1735" s="16">
        <f>ABS(Solieusap!G1735)</f>
        <v>1.790942251</v>
      </c>
      <c r="H1735" s="16">
        <f>ABS(Solieusap!H1735)</f>
        <v>0.0007937133247</v>
      </c>
      <c r="I1735" s="16">
        <f>ABS(Solieusap!I1735)</f>
        <v>4.684165255</v>
      </c>
      <c r="J1735" s="16">
        <f>ABS(Solieusap!J1735)</f>
        <v>3.156297091</v>
      </c>
      <c r="K1735" s="16">
        <f t="shared" si="1"/>
        <v>14.15498935</v>
      </c>
      <c r="L1735" s="16">
        <f t="shared" si="2"/>
        <v>4.684165255</v>
      </c>
    </row>
    <row r="1736" ht="16.5" customHeight="1">
      <c r="A1736" s="15" t="str">
        <f>Solieusap!A1736</f>
        <v>Cũ</v>
      </c>
      <c r="B1736" s="15">
        <f>Solieusap!B1736</f>
        <v>1.75</v>
      </c>
      <c r="C1736" s="15" t="str">
        <f>Solieusap!C1736</f>
        <v>COMB4</v>
      </c>
      <c r="D1736" s="15" t="str">
        <f>Solieusap!D1736</f>
        <v>Combination</v>
      </c>
      <c r="E1736" s="16">
        <f>ABS(Solieusap!E1736)</f>
        <v>14.17184571</v>
      </c>
      <c r="F1736" s="16">
        <f>ABS(Solieusap!F1736)</f>
        <v>1.314942381</v>
      </c>
      <c r="G1736" s="16">
        <f>ABS(Solieusap!G1736)</f>
        <v>1.793206667</v>
      </c>
      <c r="H1736" s="16">
        <f>ABS(Solieusap!H1736)</f>
        <v>0.0007947684286</v>
      </c>
      <c r="I1736" s="16">
        <f>ABS(Solieusap!I1736)</f>
        <v>4.690960048</v>
      </c>
      <c r="J1736" s="16">
        <f>ABS(Solieusap!J1736)</f>
        <v>3.160844143</v>
      </c>
      <c r="K1736" s="16">
        <f t="shared" si="1"/>
        <v>14.17184571</v>
      </c>
      <c r="L1736" s="16">
        <f t="shared" si="2"/>
        <v>4.690960048</v>
      </c>
    </row>
    <row r="1737" ht="16.5" customHeight="1">
      <c r="A1737" s="15" t="str">
        <f>Solieusap!A1737</f>
        <v>Cũ</v>
      </c>
      <c r="B1737" s="15">
        <f>Solieusap!B1737</f>
        <v>3.5</v>
      </c>
      <c r="C1737" s="15" t="str">
        <f>Solieusap!C1737</f>
        <v>COMB4</v>
      </c>
      <c r="D1737" s="15" t="str">
        <f>Solieusap!D1737</f>
        <v>Combination</v>
      </c>
      <c r="E1737" s="16">
        <f>ABS(Solieusap!E1737)</f>
        <v>14.18870208</v>
      </c>
      <c r="F1737" s="16">
        <f>ABS(Solieusap!F1737)</f>
        <v>1.3166529</v>
      </c>
      <c r="G1737" s="16">
        <f>ABS(Solieusap!G1737)</f>
        <v>1.795471082</v>
      </c>
      <c r="H1737" s="16">
        <f>ABS(Solieusap!H1737)</f>
        <v>0.0007958235325</v>
      </c>
      <c r="I1737" s="16">
        <f>ABS(Solieusap!I1737)</f>
        <v>4.69775484</v>
      </c>
      <c r="J1737" s="16">
        <f>ABS(Solieusap!J1737)</f>
        <v>3.165391195</v>
      </c>
      <c r="K1737" s="16">
        <f t="shared" si="1"/>
        <v>14.18870208</v>
      </c>
      <c r="L1737" s="16">
        <f t="shared" si="2"/>
        <v>4.69775484</v>
      </c>
    </row>
    <row r="1738" ht="16.5" customHeight="1">
      <c r="A1738" s="15" t="str">
        <f>Solieusap!A1738</f>
        <v>Cũ</v>
      </c>
      <c r="B1738" s="15">
        <f>Solieusap!B1738</f>
        <v>0</v>
      </c>
      <c r="C1738" s="15" t="str">
        <f>Solieusap!C1738</f>
        <v>COMB5</v>
      </c>
      <c r="D1738" s="15" t="str">
        <f>Solieusap!D1738</f>
        <v>Combination</v>
      </c>
      <c r="E1738" s="16">
        <f>ABS(Solieusap!E1738)</f>
        <v>14.20555844</v>
      </c>
      <c r="F1738" s="16">
        <f>ABS(Solieusap!F1738)</f>
        <v>1.31836342</v>
      </c>
      <c r="G1738" s="16">
        <f>ABS(Solieusap!G1738)</f>
        <v>1.797735498</v>
      </c>
      <c r="H1738" s="16">
        <f>ABS(Solieusap!H1738)</f>
        <v>0.0007968786364</v>
      </c>
      <c r="I1738" s="16">
        <f>ABS(Solieusap!I1738)</f>
        <v>4.704549632</v>
      </c>
      <c r="J1738" s="16">
        <f>ABS(Solieusap!J1738)</f>
        <v>3.169938247</v>
      </c>
      <c r="K1738" s="16">
        <f t="shared" si="1"/>
        <v>14.20555844</v>
      </c>
      <c r="L1738" s="16">
        <f t="shared" si="2"/>
        <v>4.704549632</v>
      </c>
    </row>
    <row r="1739" ht="16.5" customHeight="1">
      <c r="A1739" s="15" t="str">
        <f>Solieusap!A1739</f>
        <v>Cũ</v>
      </c>
      <c r="B1739" s="15">
        <f>Solieusap!B1739</f>
        <v>1.75</v>
      </c>
      <c r="C1739" s="15" t="str">
        <f>Solieusap!C1739</f>
        <v>COMB5</v>
      </c>
      <c r="D1739" s="15" t="str">
        <f>Solieusap!D1739</f>
        <v>Combination</v>
      </c>
      <c r="E1739" s="16">
        <f>ABS(Solieusap!E1739)</f>
        <v>14.22241481</v>
      </c>
      <c r="F1739" s="16">
        <f>ABS(Solieusap!F1739)</f>
        <v>1.320073939</v>
      </c>
      <c r="G1739" s="16">
        <f>ABS(Solieusap!G1739)</f>
        <v>1.799999913</v>
      </c>
      <c r="H1739" s="16">
        <f>ABS(Solieusap!H1739)</f>
        <v>0.0007979337403</v>
      </c>
      <c r="I1739" s="16">
        <f>ABS(Solieusap!I1739)</f>
        <v>4.711344424</v>
      </c>
      <c r="J1739" s="16">
        <f>ABS(Solieusap!J1739)</f>
        <v>3.174485299</v>
      </c>
      <c r="K1739" s="16">
        <f t="shared" si="1"/>
        <v>14.22241481</v>
      </c>
      <c r="L1739" s="16">
        <f t="shared" si="2"/>
        <v>4.711344424</v>
      </c>
    </row>
    <row r="1740" ht="16.5" customHeight="1">
      <c r="A1740" s="15" t="str">
        <f>Solieusap!A1740</f>
        <v>Cũ</v>
      </c>
      <c r="B1740" s="15">
        <f>Solieusap!B1740</f>
        <v>3.5</v>
      </c>
      <c r="C1740" s="15" t="str">
        <f>Solieusap!C1740</f>
        <v>COMB5</v>
      </c>
      <c r="D1740" s="15" t="str">
        <f>Solieusap!D1740</f>
        <v>Combination</v>
      </c>
      <c r="E1740" s="16">
        <f>ABS(Solieusap!E1740)</f>
        <v>14.23927117</v>
      </c>
      <c r="F1740" s="16">
        <f>ABS(Solieusap!F1740)</f>
        <v>1.321784459</v>
      </c>
      <c r="G1740" s="16">
        <f>ABS(Solieusap!G1740)</f>
        <v>1.802264329</v>
      </c>
      <c r="H1740" s="16">
        <f>ABS(Solieusap!H1740)</f>
        <v>0.0007989888442</v>
      </c>
      <c r="I1740" s="16">
        <f>ABS(Solieusap!I1740)</f>
        <v>4.718139216</v>
      </c>
      <c r="J1740" s="16">
        <f>ABS(Solieusap!J1740)</f>
        <v>3.179032351</v>
      </c>
      <c r="K1740" s="16">
        <f t="shared" si="1"/>
        <v>14.23927117</v>
      </c>
      <c r="L1740" s="16">
        <f t="shared" si="2"/>
        <v>4.718139216</v>
      </c>
    </row>
    <row r="1741" ht="16.5" customHeight="1">
      <c r="A1741" s="15" t="str">
        <f>Solieusap!A1741</f>
        <v>Cũ</v>
      </c>
      <c r="B1741" s="15">
        <f>Solieusap!B1741</f>
        <v>0</v>
      </c>
      <c r="C1741" s="15" t="str">
        <f>Solieusap!C1741</f>
        <v>COMB6</v>
      </c>
      <c r="D1741" s="15" t="str">
        <f>Solieusap!D1741</f>
        <v>Combination</v>
      </c>
      <c r="E1741" s="16">
        <f>ABS(Solieusap!E1741)</f>
        <v>14.25612753</v>
      </c>
      <c r="F1741" s="16">
        <f>ABS(Solieusap!F1741)</f>
        <v>1.323494978</v>
      </c>
      <c r="G1741" s="16">
        <f>ABS(Solieusap!G1741)</f>
        <v>1.804528745</v>
      </c>
      <c r="H1741" s="16">
        <f>ABS(Solieusap!H1741)</f>
        <v>0.0008000439481</v>
      </c>
      <c r="I1741" s="16">
        <f>ABS(Solieusap!I1741)</f>
        <v>4.724934009</v>
      </c>
      <c r="J1741" s="16">
        <f>ABS(Solieusap!J1741)</f>
        <v>3.183579403</v>
      </c>
      <c r="K1741" s="16">
        <f t="shared" si="1"/>
        <v>14.25612753</v>
      </c>
      <c r="L1741" s="16">
        <f t="shared" si="2"/>
        <v>4.724934009</v>
      </c>
    </row>
    <row r="1742" ht="16.5" customHeight="1">
      <c r="A1742" s="15" t="str">
        <f>Solieusap!A1742</f>
        <v>Cũ</v>
      </c>
      <c r="B1742" s="15">
        <f>Solieusap!B1742</f>
        <v>1.75</v>
      </c>
      <c r="C1742" s="15" t="str">
        <f>Solieusap!C1742</f>
        <v>COMB6</v>
      </c>
      <c r="D1742" s="15" t="str">
        <f>Solieusap!D1742</f>
        <v>Combination</v>
      </c>
      <c r="E1742" s="16">
        <f>ABS(Solieusap!E1742)</f>
        <v>14.2729839</v>
      </c>
      <c r="F1742" s="16">
        <f>ABS(Solieusap!F1742)</f>
        <v>1.325205498</v>
      </c>
      <c r="G1742" s="16">
        <f>ABS(Solieusap!G1742)</f>
        <v>1.80679316</v>
      </c>
      <c r="H1742" s="16">
        <f>ABS(Solieusap!H1742)</f>
        <v>0.0008010990519</v>
      </c>
      <c r="I1742" s="16">
        <f>ABS(Solieusap!I1742)</f>
        <v>4.731728801</v>
      </c>
      <c r="J1742" s="16">
        <f>ABS(Solieusap!J1742)</f>
        <v>3.188126455</v>
      </c>
      <c r="K1742" s="16">
        <f t="shared" si="1"/>
        <v>14.2729839</v>
      </c>
      <c r="L1742" s="16">
        <f t="shared" si="2"/>
        <v>4.731728801</v>
      </c>
    </row>
    <row r="1743" ht="16.5" customHeight="1">
      <c r="A1743" s="15" t="str">
        <f>Solieusap!A1743</f>
        <v>Cũ</v>
      </c>
      <c r="B1743" s="15">
        <f>Solieusap!B1743</f>
        <v>3.5</v>
      </c>
      <c r="C1743" s="15" t="str">
        <f>Solieusap!C1743</f>
        <v>COMB6</v>
      </c>
      <c r="D1743" s="15" t="str">
        <f>Solieusap!D1743</f>
        <v>Combination</v>
      </c>
      <c r="E1743" s="16">
        <f>ABS(Solieusap!E1743)</f>
        <v>14.28984026</v>
      </c>
      <c r="F1743" s="16">
        <f>ABS(Solieusap!F1743)</f>
        <v>1.326916017</v>
      </c>
      <c r="G1743" s="16">
        <f>ABS(Solieusap!G1743)</f>
        <v>1.809057576</v>
      </c>
      <c r="H1743" s="16">
        <f>ABS(Solieusap!H1743)</f>
        <v>0.0008021541558</v>
      </c>
      <c r="I1743" s="16">
        <f>ABS(Solieusap!I1743)</f>
        <v>4.738523593</v>
      </c>
      <c r="J1743" s="16">
        <f>ABS(Solieusap!J1743)</f>
        <v>3.192673506</v>
      </c>
      <c r="K1743" s="16">
        <f t="shared" si="1"/>
        <v>14.28984026</v>
      </c>
      <c r="L1743" s="16">
        <f t="shared" si="2"/>
        <v>4.738523593</v>
      </c>
    </row>
    <row r="1744" ht="16.5" customHeight="1">
      <c r="A1744" s="15" t="str">
        <f>Solieusap!A1744</f>
        <v>Cũ</v>
      </c>
      <c r="B1744" s="15">
        <f>Solieusap!B1744</f>
        <v>0</v>
      </c>
      <c r="C1744" s="15" t="str">
        <f>Solieusap!C1744</f>
        <v>COMB7</v>
      </c>
      <c r="D1744" s="15" t="str">
        <f>Solieusap!D1744</f>
        <v>Combination</v>
      </c>
      <c r="E1744" s="16">
        <f>ABS(Solieusap!E1744)</f>
        <v>14.30669662</v>
      </c>
      <c r="F1744" s="16">
        <f>ABS(Solieusap!F1744)</f>
        <v>1.328626537</v>
      </c>
      <c r="G1744" s="16">
        <f>ABS(Solieusap!G1744)</f>
        <v>1.811321991</v>
      </c>
      <c r="H1744" s="16">
        <f>ABS(Solieusap!H1744)</f>
        <v>0.0008032092597</v>
      </c>
      <c r="I1744" s="16">
        <f>ABS(Solieusap!I1744)</f>
        <v>4.745318385</v>
      </c>
      <c r="J1744" s="16">
        <f>ABS(Solieusap!J1744)</f>
        <v>3.197220558</v>
      </c>
      <c r="K1744" s="16">
        <f t="shared" si="1"/>
        <v>14.30669662</v>
      </c>
      <c r="L1744" s="16">
        <f t="shared" si="2"/>
        <v>4.745318385</v>
      </c>
    </row>
    <row r="1745" ht="16.5" customHeight="1">
      <c r="A1745" s="15" t="str">
        <f>Solieusap!A1745</f>
        <v>Cũ</v>
      </c>
      <c r="B1745" s="15">
        <f>Solieusap!B1745</f>
        <v>1.75</v>
      </c>
      <c r="C1745" s="15" t="str">
        <f>Solieusap!C1745</f>
        <v>COMB7</v>
      </c>
      <c r="D1745" s="15" t="str">
        <f>Solieusap!D1745</f>
        <v>Combination</v>
      </c>
      <c r="E1745" s="16">
        <f>ABS(Solieusap!E1745)</f>
        <v>14.32355299</v>
      </c>
      <c r="F1745" s="16">
        <f>ABS(Solieusap!F1745)</f>
        <v>1.330337056</v>
      </c>
      <c r="G1745" s="16">
        <f>ABS(Solieusap!G1745)</f>
        <v>1.813586407</v>
      </c>
      <c r="H1745" s="16">
        <f>ABS(Solieusap!H1745)</f>
        <v>0.0008042643636</v>
      </c>
      <c r="I1745" s="16">
        <f>ABS(Solieusap!I1745)</f>
        <v>4.752113177</v>
      </c>
      <c r="J1745" s="16">
        <f>ABS(Solieusap!J1745)</f>
        <v>3.20176761</v>
      </c>
      <c r="K1745" s="16">
        <f t="shared" si="1"/>
        <v>14.32355299</v>
      </c>
      <c r="L1745" s="16">
        <f t="shared" si="2"/>
        <v>4.752113177</v>
      </c>
    </row>
    <row r="1746" ht="16.5" customHeight="1">
      <c r="A1746" s="15" t="str">
        <f>Solieusap!A1746</f>
        <v>Cũ</v>
      </c>
      <c r="B1746" s="15">
        <f>Solieusap!B1746</f>
        <v>3.5</v>
      </c>
      <c r="C1746" s="15" t="str">
        <f>Solieusap!C1746</f>
        <v>COMB7</v>
      </c>
      <c r="D1746" s="15" t="str">
        <f>Solieusap!D1746</f>
        <v>Combination</v>
      </c>
      <c r="E1746" s="16">
        <f>ABS(Solieusap!E1746)</f>
        <v>14.34040935</v>
      </c>
      <c r="F1746" s="16">
        <f>ABS(Solieusap!F1746)</f>
        <v>1.332047576</v>
      </c>
      <c r="G1746" s="16">
        <f>ABS(Solieusap!G1746)</f>
        <v>1.815850823</v>
      </c>
      <c r="H1746" s="16">
        <f>ABS(Solieusap!H1746)</f>
        <v>0.0008053194675</v>
      </c>
      <c r="I1746" s="16">
        <f>ABS(Solieusap!I1746)</f>
        <v>4.75890797</v>
      </c>
      <c r="J1746" s="16">
        <f>ABS(Solieusap!J1746)</f>
        <v>3.206314662</v>
      </c>
      <c r="K1746" s="16">
        <f t="shared" si="1"/>
        <v>14.34040935</v>
      </c>
      <c r="L1746" s="16">
        <f t="shared" si="2"/>
        <v>4.75890797</v>
      </c>
    </row>
    <row r="1747" ht="16.5" customHeight="1">
      <c r="A1747" s="15" t="str">
        <f>Solieusap!A1747</f>
        <v>Cũ</v>
      </c>
      <c r="B1747" s="15">
        <f>Solieusap!B1747</f>
        <v>0</v>
      </c>
      <c r="C1747" s="15" t="str">
        <f>Solieusap!C1747</f>
        <v>COMB1</v>
      </c>
      <c r="D1747" s="15" t="str">
        <f>Solieusap!D1747</f>
        <v>Combination</v>
      </c>
      <c r="E1747" s="16">
        <f>ABS(Solieusap!E1747)</f>
        <v>14.35726571</v>
      </c>
      <c r="F1747" s="16">
        <f>ABS(Solieusap!F1747)</f>
        <v>1.333758095</v>
      </c>
      <c r="G1747" s="16">
        <f>ABS(Solieusap!G1747)</f>
        <v>1.818115238</v>
      </c>
      <c r="H1747" s="16">
        <f>ABS(Solieusap!H1747)</f>
        <v>0.0008063745714</v>
      </c>
      <c r="I1747" s="16">
        <f>ABS(Solieusap!I1747)</f>
        <v>4.765702762</v>
      </c>
      <c r="J1747" s="16">
        <f>ABS(Solieusap!J1747)</f>
        <v>3.210861714</v>
      </c>
      <c r="K1747" s="16">
        <f t="shared" si="1"/>
        <v>14.35726571</v>
      </c>
      <c r="L1747" s="16">
        <f t="shared" si="2"/>
        <v>4.765702762</v>
      </c>
    </row>
    <row r="1748" ht="16.5" customHeight="1">
      <c r="A1748" s="15" t="str">
        <f>Solieusap!A1748</f>
        <v>Cũ</v>
      </c>
      <c r="B1748" s="15">
        <f>Solieusap!B1748</f>
        <v>1.75</v>
      </c>
      <c r="C1748" s="15" t="str">
        <f>Solieusap!C1748</f>
        <v>COMB1</v>
      </c>
      <c r="D1748" s="15" t="str">
        <f>Solieusap!D1748</f>
        <v>Combination</v>
      </c>
      <c r="E1748" s="16">
        <f>ABS(Solieusap!E1748)</f>
        <v>14.37412208</v>
      </c>
      <c r="F1748" s="16">
        <f>ABS(Solieusap!F1748)</f>
        <v>1.335468615</v>
      </c>
      <c r="G1748" s="16">
        <f>ABS(Solieusap!G1748)</f>
        <v>1.820379654</v>
      </c>
      <c r="H1748" s="16">
        <f>ABS(Solieusap!H1748)</f>
        <v>0.0008074296753</v>
      </c>
      <c r="I1748" s="16">
        <f>ABS(Solieusap!I1748)</f>
        <v>4.772497554</v>
      </c>
      <c r="J1748" s="16">
        <f>ABS(Solieusap!J1748)</f>
        <v>3.215408766</v>
      </c>
      <c r="K1748" s="16">
        <f t="shared" si="1"/>
        <v>14.37412208</v>
      </c>
      <c r="L1748" s="16">
        <f t="shared" si="2"/>
        <v>4.772497554</v>
      </c>
    </row>
    <row r="1749" ht="16.5" customHeight="1">
      <c r="A1749" s="15" t="str">
        <f>Solieusap!A1749</f>
        <v>Cũ</v>
      </c>
      <c r="B1749" s="15">
        <f>Solieusap!B1749</f>
        <v>3.5</v>
      </c>
      <c r="C1749" s="15" t="str">
        <f>Solieusap!C1749</f>
        <v>COMB1</v>
      </c>
      <c r="D1749" s="15" t="str">
        <f>Solieusap!D1749</f>
        <v>Combination</v>
      </c>
      <c r="E1749" s="16">
        <f>ABS(Solieusap!E1749)</f>
        <v>14.39097844</v>
      </c>
      <c r="F1749" s="16">
        <f>ABS(Solieusap!F1749)</f>
        <v>1.337179134</v>
      </c>
      <c r="G1749" s="16">
        <f>ABS(Solieusap!G1749)</f>
        <v>1.822644069</v>
      </c>
      <c r="H1749" s="16">
        <f>ABS(Solieusap!H1749)</f>
        <v>0.0008084847792</v>
      </c>
      <c r="I1749" s="16">
        <f>ABS(Solieusap!I1749)</f>
        <v>4.779292346</v>
      </c>
      <c r="J1749" s="16">
        <f>ABS(Solieusap!J1749)</f>
        <v>3.219955818</v>
      </c>
      <c r="K1749" s="16">
        <f t="shared" si="1"/>
        <v>14.39097844</v>
      </c>
      <c r="L1749" s="16">
        <f t="shared" si="2"/>
        <v>4.779292346</v>
      </c>
    </row>
    <row r="1750" ht="16.5" customHeight="1">
      <c r="A1750" s="15" t="str">
        <f>Solieusap!A1750</f>
        <v>Cũ</v>
      </c>
      <c r="B1750" s="15">
        <f>Solieusap!B1750</f>
        <v>0</v>
      </c>
      <c r="C1750" s="15" t="str">
        <f>Solieusap!C1750</f>
        <v>COMB2</v>
      </c>
      <c r="D1750" s="15" t="str">
        <f>Solieusap!D1750</f>
        <v>Combination</v>
      </c>
      <c r="E1750" s="16">
        <f>ABS(Solieusap!E1750)</f>
        <v>14.40783481</v>
      </c>
      <c r="F1750" s="16">
        <f>ABS(Solieusap!F1750)</f>
        <v>1.338889654</v>
      </c>
      <c r="G1750" s="16">
        <f>ABS(Solieusap!G1750)</f>
        <v>1.824908485</v>
      </c>
      <c r="H1750" s="16">
        <f>ABS(Solieusap!H1750)</f>
        <v>0.0008095398831</v>
      </c>
      <c r="I1750" s="16">
        <f>ABS(Solieusap!I1750)</f>
        <v>4.786087139</v>
      </c>
      <c r="J1750" s="16">
        <f>ABS(Solieusap!J1750)</f>
        <v>3.22450287</v>
      </c>
      <c r="K1750" s="16">
        <f t="shared" si="1"/>
        <v>14.40783481</v>
      </c>
      <c r="L1750" s="16">
        <f t="shared" si="2"/>
        <v>4.786087139</v>
      </c>
    </row>
    <row r="1751" ht="16.5" customHeight="1">
      <c r="A1751" s="15" t="str">
        <f>Solieusap!A1751</f>
        <v>Cũ</v>
      </c>
      <c r="B1751" s="15">
        <f>Solieusap!B1751</f>
        <v>1.75</v>
      </c>
      <c r="C1751" s="15" t="str">
        <f>Solieusap!C1751</f>
        <v>COMB2</v>
      </c>
      <c r="D1751" s="15" t="str">
        <f>Solieusap!D1751</f>
        <v>Combination</v>
      </c>
      <c r="E1751" s="16">
        <f>ABS(Solieusap!E1751)</f>
        <v>14.42469117</v>
      </c>
      <c r="F1751" s="16">
        <f>ABS(Solieusap!F1751)</f>
        <v>1.340600173</v>
      </c>
      <c r="G1751" s="16">
        <f>ABS(Solieusap!G1751)</f>
        <v>1.8271729</v>
      </c>
      <c r="H1751" s="16">
        <f>ABS(Solieusap!H1751)</f>
        <v>0.000810594987</v>
      </c>
      <c r="I1751" s="16">
        <f>ABS(Solieusap!I1751)</f>
        <v>4.792881931</v>
      </c>
      <c r="J1751" s="16">
        <f>ABS(Solieusap!J1751)</f>
        <v>3.229049922</v>
      </c>
      <c r="K1751" s="16">
        <f t="shared" si="1"/>
        <v>14.42469117</v>
      </c>
      <c r="L1751" s="16">
        <f t="shared" si="2"/>
        <v>4.792881931</v>
      </c>
    </row>
    <row r="1752" ht="16.5" customHeight="1">
      <c r="A1752" s="15" t="str">
        <f>Solieusap!A1752</f>
        <v>Cũ</v>
      </c>
      <c r="B1752" s="15">
        <f>Solieusap!B1752</f>
        <v>3.5</v>
      </c>
      <c r="C1752" s="15" t="str">
        <f>Solieusap!C1752</f>
        <v>COMB2</v>
      </c>
      <c r="D1752" s="15" t="str">
        <f>Solieusap!D1752</f>
        <v>Combination</v>
      </c>
      <c r="E1752" s="16">
        <f>ABS(Solieusap!E1752)</f>
        <v>14.44154753</v>
      </c>
      <c r="F1752" s="16">
        <f>ABS(Solieusap!F1752)</f>
        <v>1.342310693</v>
      </c>
      <c r="G1752" s="16">
        <f>ABS(Solieusap!G1752)</f>
        <v>1.829437316</v>
      </c>
      <c r="H1752" s="16">
        <f>ABS(Solieusap!H1752)</f>
        <v>0.0008116500909</v>
      </c>
      <c r="I1752" s="16">
        <f>ABS(Solieusap!I1752)</f>
        <v>4.799676723</v>
      </c>
      <c r="J1752" s="16">
        <f>ABS(Solieusap!J1752)</f>
        <v>3.233596974</v>
      </c>
      <c r="K1752" s="16">
        <f t="shared" si="1"/>
        <v>14.44154753</v>
      </c>
      <c r="L1752" s="16">
        <f t="shared" si="2"/>
        <v>4.799676723</v>
      </c>
    </row>
    <row r="1753" ht="16.5" customHeight="1">
      <c r="A1753" s="15" t="str">
        <f>Solieusap!A1753</f>
        <v>Cũ</v>
      </c>
      <c r="B1753" s="15">
        <f>Solieusap!B1753</f>
        <v>0</v>
      </c>
      <c r="C1753" s="15" t="str">
        <f>Solieusap!C1753</f>
        <v>COMB3</v>
      </c>
      <c r="D1753" s="15" t="str">
        <f>Solieusap!D1753</f>
        <v>Combination</v>
      </c>
      <c r="E1753" s="16">
        <f>ABS(Solieusap!E1753)</f>
        <v>14.4584039</v>
      </c>
      <c r="F1753" s="16">
        <f>ABS(Solieusap!F1753)</f>
        <v>1.344021212</v>
      </c>
      <c r="G1753" s="16">
        <f>ABS(Solieusap!G1753)</f>
        <v>1.831701732</v>
      </c>
      <c r="H1753" s="16">
        <f>ABS(Solieusap!H1753)</f>
        <v>0.0008127051948</v>
      </c>
      <c r="I1753" s="16">
        <f>ABS(Solieusap!I1753)</f>
        <v>4.806471515</v>
      </c>
      <c r="J1753" s="16">
        <f>ABS(Solieusap!J1753)</f>
        <v>3.238144026</v>
      </c>
      <c r="K1753" s="16">
        <f t="shared" si="1"/>
        <v>14.4584039</v>
      </c>
      <c r="L1753" s="16">
        <f t="shared" si="2"/>
        <v>4.806471515</v>
      </c>
    </row>
    <row r="1754" ht="16.5" customHeight="1">
      <c r="A1754" s="15" t="str">
        <f>Solieusap!A1754</f>
        <v>Cũ</v>
      </c>
      <c r="B1754" s="15">
        <f>Solieusap!B1754</f>
        <v>1.75</v>
      </c>
      <c r="C1754" s="15" t="str">
        <f>Solieusap!C1754</f>
        <v>COMB3</v>
      </c>
      <c r="D1754" s="15" t="str">
        <f>Solieusap!D1754</f>
        <v>Combination</v>
      </c>
      <c r="E1754" s="16">
        <f>ABS(Solieusap!E1754)</f>
        <v>14.47526026</v>
      </c>
      <c r="F1754" s="16">
        <f>ABS(Solieusap!F1754)</f>
        <v>1.345731732</v>
      </c>
      <c r="G1754" s="16">
        <f>ABS(Solieusap!G1754)</f>
        <v>1.833966147</v>
      </c>
      <c r="H1754" s="16">
        <f>ABS(Solieusap!H1754)</f>
        <v>0.0008137602987</v>
      </c>
      <c r="I1754" s="16">
        <f>ABS(Solieusap!I1754)</f>
        <v>4.813266307</v>
      </c>
      <c r="J1754" s="16">
        <f>ABS(Solieusap!J1754)</f>
        <v>3.242691078</v>
      </c>
      <c r="K1754" s="16">
        <f t="shared" si="1"/>
        <v>14.47526026</v>
      </c>
      <c r="L1754" s="16">
        <f t="shared" si="2"/>
        <v>4.813266307</v>
      </c>
    </row>
    <row r="1755" ht="16.5" customHeight="1">
      <c r="A1755" s="15" t="str">
        <f>Solieusap!A1755</f>
        <v>Cũ</v>
      </c>
      <c r="B1755" s="15">
        <f>Solieusap!B1755</f>
        <v>3.5</v>
      </c>
      <c r="C1755" s="15" t="str">
        <f>Solieusap!C1755</f>
        <v>COMB3</v>
      </c>
      <c r="D1755" s="15" t="str">
        <f>Solieusap!D1755</f>
        <v>Combination</v>
      </c>
      <c r="E1755" s="16">
        <f>ABS(Solieusap!E1755)</f>
        <v>14.49211662</v>
      </c>
      <c r="F1755" s="16">
        <f>ABS(Solieusap!F1755)</f>
        <v>1.347442251</v>
      </c>
      <c r="G1755" s="16">
        <f>ABS(Solieusap!G1755)</f>
        <v>1.836230563</v>
      </c>
      <c r="H1755" s="16">
        <f>ABS(Solieusap!H1755)</f>
        <v>0.0008148154026</v>
      </c>
      <c r="I1755" s="16">
        <f>ABS(Solieusap!I1755)</f>
        <v>4.8200611</v>
      </c>
      <c r="J1755" s="16">
        <f>ABS(Solieusap!J1755)</f>
        <v>3.24723813</v>
      </c>
      <c r="K1755" s="16">
        <f t="shared" si="1"/>
        <v>14.49211662</v>
      </c>
      <c r="L1755" s="16">
        <f t="shared" si="2"/>
        <v>4.8200611</v>
      </c>
    </row>
    <row r="1756" ht="16.5" customHeight="1">
      <c r="A1756" s="15" t="str">
        <f>Solieusap!A1756</f>
        <v>Cũ</v>
      </c>
      <c r="B1756" s="15">
        <f>Solieusap!B1756</f>
        <v>0</v>
      </c>
      <c r="C1756" s="15" t="str">
        <f>Solieusap!C1756</f>
        <v>COMB4</v>
      </c>
      <c r="D1756" s="15" t="str">
        <f>Solieusap!D1756</f>
        <v>Combination</v>
      </c>
      <c r="E1756" s="16">
        <f>ABS(Solieusap!E1756)</f>
        <v>14.50897299</v>
      </c>
      <c r="F1756" s="16">
        <f>ABS(Solieusap!F1756)</f>
        <v>1.349152771</v>
      </c>
      <c r="G1756" s="16">
        <f>ABS(Solieusap!G1756)</f>
        <v>1.838494978</v>
      </c>
      <c r="H1756" s="16">
        <f>ABS(Solieusap!H1756)</f>
        <v>0.0008158705065</v>
      </c>
      <c r="I1756" s="16">
        <f>ABS(Solieusap!I1756)</f>
        <v>4.826855892</v>
      </c>
      <c r="J1756" s="16">
        <f>ABS(Solieusap!J1756)</f>
        <v>3.251785182</v>
      </c>
      <c r="K1756" s="16">
        <f t="shared" si="1"/>
        <v>14.50897299</v>
      </c>
      <c r="L1756" s="16">
        <f t="shared" si="2"/>
        <v>4.826855892</v>
      </c>
    </row>
    <row r="1757" ht="16.5" customHeight="1">
      <c r="A1757" s="15" t="str">
        <f>Solieusap!A1757</f>
        <v>Cũ</v>
      </c>
      <c r="B1757" s="15">
        <f>Solieusap!B1757</f>
        <v>1.75</v>
      </c>
      <c r="C1757" s="15" t="str">
        <f>Solieusap!C1757</f>
        <v>COMB4</v>
      </c>
      <c r="D1757" s="15" t="str">
        <f>Solieusap!D1757</f>
        <v>Combination</v>
      </c>
      <c r="E1757" s="16">
        <f>ABS(Solieusap!E1757)</f>
        <v>14.52582935</v>
      </c>
      <c r="F1757" s="16">
        <f>ABS(Solieusap!F1757)</f>
        <v>1.35086329</v>
      </c>
      <c r="G1757" s="16">
        <f>ABS(Solieusap!G1757)</f>
        <v>1.840759394</v>
      </c>
      <c r="H1757" s="16">
        <f>ABS(Solieusap!H1757)</f>
        <v>0.0008169256104</v>
      </c>
      <c r="I1757" s="16">
        <f>ABS(Solieusap!I1757)</f>
        <v>4.833650684</v>
      </c>
      <c r="J1757" s="16">
        <f>ABS(Solieusap!J1757)</f>
        <v>3.256332234</v>
      </c>
      <c r="K1757" s="16">
        <f t="shared" si="1"/>
        <v>14.52582935</v>
      </c>
      <c r="L1757" s="16">
        <f t="shared" si="2"/>
        <v>4.833650684</v>
      </c>
    </row>
    <row r="1758" ht="16.5" customHeight="1">
      <c r="A1758" s="15" t="str">
        <f>Solieusap!A1758</f>
        <v>Cũ</v>
      </c>
      <c r="B1758" s="15">
        <f>Solieusap!B1758</f>
        <v>3.5</v>
      </c>
      <c r="C1758" s="15" t="str">
        <f>Solieusap!C1758</f>
        <v>COMB4</v>
      </c>
      <c r="D1758" s="15" t="str">
        <f>Solieusap!D1758</f>
        <v>Combination</v>
      </c>
      <c r="E1758" s="16">
        <f>ABS(Solieusap!E1758)</f>
        <v>14.54268571</v>
      </c>
      <c r="F1758" s="16">
        <f>ABS(Solieusap!F1758)</f>
        <v>1.35257381</v>
      </c>
      <c r="G1758" s="16">
        <f>ABS(Solieusap!G1758)</f>
        <v>1.84302381</v>
      </c>
      <c r="H1758" s="16">
        <f>ABS(Solieusap!H1758)</f>
        <v>0.0008179807143</v>
      </c>
      <c r="I1758" s="16">
        <f>ABS(Solieusap!I1758)</f>
        <v>4.840445476</v>
      </c>
      <c r="J1758" s="16">
        <f>ABS(Solieusap!J1758)</f>
        <v>3.260879286</v>
      </c>
      <c r="K1758" s="16">
        <f t="shared" si="1"/>
        <v>14.54268571</v>
      </c>
      <c r="L1758" s="16">
        <f t="shared" si="2"/>
        <v>4.840445476</v>
      </c>
    </row>
    <row r="1759" ht="16.5" customHeight="1">
      <c r="A1759" s="15" t="str">
        <f>Solieusap!A1759</f>
        <v>Cũ</v>
      </c>
      <c r="B1759" s="15">
        <f>Solieusap!B1759</f>
        <v>0</v>
      </c>
      <c r="C1759" s="15" t="str">
        <f>Solieusap!C1759</f>
        <v>COMB5</v>
      </c>
      <c r="D1759" s="15" t="str">
        <f>Solieusap!D1759</f>
        <v>Combination</v>
      </c>
      <c r="E1759" s="16">
        <f>ABS(Solieusap!E1759)</f>
        <v>14.55954208</v>
      </c>
      <c r="F1759" s="16">
        <f>ABS(Solieusap!F1759)</f>
        <v>1.354284329</v>
      </c>
      <c r="G1759" s="16">
        <f>ABS(Solieusap!G1759)</f>
        <v>1.845288225</v>
      </c>
      <c r="H1759" s="16">
        <f>ABS(Solieusap!H1759)</f>
        <v>0.0008190358182</v>
      </c>
      <c r="I1759" s="16">
        <f>ABS(Solieusap!I1759)</f>
        <v>4.847240268</v>
      </c>
      <c r="J1759" s="16">
        <f>ABS(Solieusap!J1759)</f>
        <v>3.265426338</v>
      </c>
      <c r="K1759" s="16">
        <f t="shared" si="1"/>
        <v>14.55954208</v>
      </c>
      <c r="L1759" s="16">
        <f t="shared" si="2"/>
        <v>4.847240268</v>
      </c>
    </row>
    <row r="1760" ht="16.5" customHeight="1">
      <c r="A1760" s="15" t="str">
        <f>Solieusap!A1760</f>
        <v>Cũ</v>
      </c>
      <c r="B1760" s="15">
        <f>Solieusap!B1760</f>
        <v>1.75</v>
      </c>
      <c r="C1760" s="15" t="str">
        <f>Solieusap!C1760</f>
        <v>COMB5</v>
      </c>
      <c r="D1760" s="15" t="str">
        <f>Solieusap!D1760</f>
        <v>Combination</v>
      </c>
      <c r="E1760" s="16">
        <f>ABS(Solieusap!E1760)</f>
        <v>14.57639844</v>
      </c>
      <c r="F1760" s="16">
        <f>ABS(Solieusap!F1760)</f>
        <v>1.355994848</v>
      </c>
      <c r="G1760" s="16">
        <f>ABS(Solieusap!G1760)</f>
        <v>1.847552641</v>
      </c>
      <c r="H1760" s="16">
        <f>ABS(Solieusap!H1760)</f>
        <v>0.0008200909221</v>
      </c>
      <c r="I1760" s="16">
        <f>ABS(Solieusap!I1760)</f>
        <v>4.854035061</v>
      </c>
      <c r="J1760" s="16">
        <f>ABS(Solieusap!J1760)</f>
        <v>3.26997339</v>
      </c>
      <c r="K1760" s="16">
        <f t="shared" si="1"/>
        <v>14.57639844</v>
      </c>
      <c r="L1760" s="16">
        <f t="shared" si="2"/>
        <v>4.854035061</v>
      </c>
    </row>
    <row r="1761" ht="16.5" customHeight="1">
      <c r="A1761" s="15" t="str">
        <f>Solieusap!A1761</f>
        <v>Cũ</v>
      </c>
      <c r="B1761" s="15">
        <f>Solieusap!B1761</f>
        <v>3.5</v>
      </c>
      <c r="C1761" s="15" t="str">
        <f>Solieusap!C1761</f>
        <v>COMB5</v>
      </c>
      <c r="D1761" s="15" t="str">
        <f>Solieusap!D1761</f>
        <v>Combination</v>
      </c>
      <c r="E1761" s="16">
        <f>ABS(Solieusap!E1761)</f>
        <v>14.59325481</v>
      </c>
      <c r="F1761" s="16">
        <f>ABS(Solieusap!F1761)</f>
        <v>1.357705368</v>
      </c>
      <c r="G1761" s="16">
        <f>ABS(Solieusap!G1761)</f>
        <v>1.849817056</v>
      </c>
      <c r="H1761" s="16">
        <f>ABS(Solieusap!H1761)</f>
        <v>0.000821146026</v>
      </c>
      <c r="I1761" s="16">
        <f>ABS(Solieusap!I1761)</f>
        <v>4.860829853</v>
      </c>
      <c r="J1761" s="16">
        <f>ABS(Solieusap!J1761)</f>
        <v>3.274520442</v>
      </c>
      <c r="K1761" s="16">
        <f t="shared" si="1"/>
        <v>14.59325481</v>
      </c>
      <c r="L1761" s="16">
        <f t="shared" si="2"/>
        <v>4.860829853</v>
      </c>
    </row>
    <row r="1762" ht="16.5" customHeight="1">
      <c r="A1762" s="15" t="str">
        <f>Solieusap!A1762</f>
        <v>Cũ</v>
      </c>
      <c r="B1762" s="15">
        <f>Solieusap!B1762</f>
        <v>0</v>
      </c>
      <c r="C1762" s="15" t="str">
        <f>Solieusap!C1762</f>
        <v>COMB6</v>
      </c>
      <c r="D1762" s="15" t="str">
        <f>Solieusap!D1762</f>
        <v>Combination</v>
      </c>
      <c r="E1762" s="16">
        <f>ABS(Solieusap!E1762)</f>
        <v>14.61011117</v>
      </c>
      <c r="F1762" s="16">
        <f>ABS(Solieusap!F1762)</f>
        <v>1.359415887</v>
      </c>
      <c r="G1762" s="16">
        <f>ABS(Solieusap!G1762)</f>
        <v>1.852081472</v>
      </c>
      <c r="H1762" s="16">
        <f>ABS(Solieusap!H1762)</f>
        <v>0.0008222011299</v>
      </c>
      <c r="I1762" s="16">
        <f>ABS(Solieusap!I1762)</f>
        <v>4.867624645</v>
      </c>
      <c r="J1762" s="16">
        <f>ABS(Solieusap!J1762)</f>
        <v>3.279067494</v>
      </c>
      <c r="K1762" s="16">
        <f t="shared" si="1"/>
        <v>14.61011117</v>
      </c>
      <c r="L1762" s="16">
        <f t="shared" si="2"/>
        <v>4.867624645</v>
      </c>
    </row>
    <row r="1763" ht="16.5" customHeight="1">
      <c r="A1763" s="15" t="str">
        <f>Solieusap!A1763</f>
        <v>Cũ</v>
      </c>
      <c r="B1763" s="15">
        <f>Solieusap!B1763</f>
        <v>1.75</v>
      </c>
      <c r="C1763" s="15" t="str">
        <f>Solieusap!C1763</f>
        <v>COMB6</v>
      </c>
      <c r="D1763" s="15" t="str">
        <f>Solieusap!D1763</f>
        <v>Combination</v>
      </c>
      <c r="E1763" s="16">
        <f>ABS(Solieusap!E1763)</f>
        <v>14.62696753</v>
      </c>
      <c r="F1763" s="16">
        <f>ABS(Solieusap!F1763)</f>
        <v>1.361126407</v>
      </c>
      <c r="G1763" s="16">
        <f>ABS(Solieusap!G1763)</f>
        <v>1.854345887</v>
      </c>
      <c r="H1763" s="16">
        <f>ABS(Solieusap!H1763)</f>
        <v>0.0008232562338</v>
      </c>
      <c r="I1763" s="16">
        <f>ABS(Solieusap!I1763)</f>
        <v>4.874419437</v>
      </c>
      <c r="J1763" s="16">
        <f>ABS(Solieusap!J1763)</f>
        <v>3.283614545</v>
      </c>
      <c r="K1763" s="16">
        <f t="shared" si="1"/>
        <v>14.62696753</v>
      </c>
      <c r="L1763" s="16">
        <f t="shared" si="2"/>
        <v>4.874419437</v>
      </c>
    </row>
    <row r="1764" ht="16.5" customHeight="1">
      <c r="A1764" s="15" t="str">
        <f>Solieusap!A1764</f>
        <v>Cũ</v>
      </c>
      <c r="B1764" s="15">
        <f>Solieusap!B1764</f>
        <v>3.5</v>
      </c>
      <c r="C1764" s="15" t="str">
        <f>Solieusap!C1764</f>
        <v>COMB6</v>
      </c>
      <c r="D1764" s="15" t="str">
        <f>Solieusap!D1764</f>
        <v>Combination</v>
      </c>
      <c r="E1764" s="16">
        <f>ABS(Solieusap!E1764)</f>
        <v>14.6438239</v>
      </c>
      <c r="F1764" s="16">
        <f>ABS(Solieusap!F1764)</f>
        <v>1.362836926</v>
      </c>
      <c r="G1764" s="16">
        <f>ABS(Solieusap!G1764)</f>
        <v>1.856610303</v>
      </c>
      <c r="H1764" s="16">
        <f>ABS(Solieusap!H1764)</f>
        <v>0.0008243113377</v>
      </c>
      <c r="I1764" s="16">
        <f>ABS(Solieusap!I1764)</f>
        <v>4.881214229</v>
      </c>
      <c r="J1764" s="16">
        <f>ABS(Solieusap!J1764)</f>
        <v>3.288161597</v>
      </c>
      <c r="K1764" s="16">
        <f t="shared" si="1"/>
        <v>14.6438239</v>
      </c>
      <c r="L1764" s="16">
        <f t="shared" si="2"/>
        <v>4.881214229</v>
      </c>
    </row>
    <row r="1765" ht="16.5" customHeight="1">
      <c r="A1765" s="15" t="str">
        <f>Solieusap!A1765</f>
        <v>Cũ</v>
      </c>
      <c r="B1765" s="15">
        <f>Solieusap!B1765</f>
        <v>0</v>
      </c>
      <c r="C1765" s="15" t="str">
        <f>Solieusap!C1765</f>
        <v>COMB7</v>
      </c>
      <c r="D1765" s="15" t="str">
        <f>Solieusap!D1765</f>
        <v>Combination</v>
      </c>
      <c r="E1765" s="16">
        <f>ABS(Solieusap!E1765)</f>
        <v>14.66068026</v>
      </c>
      <c r="F1765" s="16">
        <f>ABS(Solieusap!F1765)</f>
        <v>1.364547446</v>
      </c>
      <c r="G1765" s="16">
        <f>ABS(Solieusap!G1765)</f>
        <v>1.858874719</v>
      </c>
      <c r="H1765" s="16">
        <f>ABS(Solieusap!H1765)</f>
        <v>0.0008253664416</v>
      </c>
      <c r="I1765" s="16">
        <f>ABS(Solieusap!I1765)</f>
        <v>4.888009022</v>
      </c>
      <c r="J1765" s="16">
        <f>ABS(Solieusap!J1765)</f>
        <v>3.292708649</v>
      </c>
      <c r="K1765" s="16">
        <f t="shared" si="1"/>
        <v>14.66068026</v>
      </c>
      <c r="L1765" s="16">
        <f t="shared" si="2"/>
        <v>4.888009022</v>
      </c>
    </row>
    <row r="1766" ht="16.5" customHeight="1">
      <c r="A1766" s="15" t="str">
        <f>Solieusap!A1766</f>
        <v>Cũ</v>
      </c>
      <c r="B1766" s="15">
        <f>Solieusap!B1766</f>
        <v>1.75</v>
      </c>
      <c r="C1766" s="15" t="str">
        <f>Solieusap!C1766</f>
        <v>COMB7</v>
      </c>
      <c r="D1766" s="15" t="str">
        <f>Solieusap!D1766</f>
        <v>Combination</v>
      </c>
      <c r="E1766" s="16">
        <f>ABS(Solieusap!E1766)</f>
        <v>14.67753662</v>
      </c>
      <c r="F1766" s="16">
        <f>ABS(Solieusap!F1766)</f>
        <v>1.366257965</v>
      </c>
      <c r="G1766" s="16">
        <f>ABS(Solieusap!G1766)</f>
        <v>1.861139134</v>
      </c>
      <c r="H1766" s="16">
        <f>ABS(Solieusap!H1766)</f>
        <v>0.0008264215455</v>
      </c>
      <c r="I1766" s="16">
        <f>ABS(Solieusap!I1766)</f>
        <v>4.894803814</v>
      </c>
      <c r="J1766" s="16">
        <f>ABS(Solieusap!J1766)</f>
        <v>3.297255701</v>
      </c>
      <c r="K1766" s="16">
        <f t="shared" si="1"/>
        <v>14.67753662</v>
      </c>
      <c r="L1766" s="16">
        <f t="shared" si="2"/>
        <v>4.894803814</v>
      </c>
    </row>
    <row r="1767" ht="16.5" customHeight="1">
      <c r="A1767" s="15" t="str">
        <f>Solieusap!A1767</f>
        <v>Cũ</v>
      </c>
      <c r="B1767" s="15">
        <f>Solieusap!B1767</f>
        <v>3.5</v>
      </c>
      <c r="C1767" s="15" t="str">
        <f>Solieusap!C1767</f>
        <v>COMB7</v>
      </c>
      <c r="D1767" s="15" t="str">
        <f>Solieusap!D1767</f>
        <v>Combination</v>
      </c>
      <c r="E1767" s="16">
        <f>ABS(Solieusap!E1767)</f>
        <v>14.69439299</v>
      </c>
      <c r="F1767" s="16">
        <f>ABS(Solieusap!F1767)</f>
        <v>1.367968485</v>
      </c>
      <c r="G1767" s="16">
        <f>ABS(Solieusap!G1767)</f>
        <v>1.86340355</v>
      </c>
      <c r="H1767" s="16">
        <f>ABS(Solieusap!H1767)</f>
        <v>0.0008274766494</v>
      </c>
      <c r="I1767" s="16">
        <f>ABS(Solieusap!I1767)</f>
        <v>4.901598606</v>
      </c>
      <c r="J1767" s="16">
        <f>ABS(Solieusap!J1767)</f>
        <v>3.301802753</v>
      </c>
      <c r="K1767" s="16">
        <f t="shared" si="1"/>
        <v>14.69439299</v>
      </c>
      <c r="L1767" s="16">
        <f t="shared" si="2"/>
        <v>4.901598606</v>
      </c>
    </row>
    <row r="1768" ht="16.5" customHeight="1">
      <c r="A1768" s="15" t="str">
        <f>Solieusap!A1768</f>
        <v>Cũ</v>
      </c>
      <c r="B1768" s="15">
        <f>Solieusap!B1768</f>
        <v>0</v>
      </c>
      <c r="C1768" s="15" t="str">
        <f>Solieusap!C1768</f>
        <v>COMB1</v>
      </c>
      <c r="D1768" s="15" t="str">
        <f>Solieusap!D1768</f>
        <v>Combination</v>
      </c>
      <c r="E1768" s="16">
        <f>ABS(Solieusap!E1768)</f>
        <v>14.71124935</v>
      </c>
      <c r="F1768" s="16">
        <f>ABS(Solieusap!F1768)</f>
        <v>1.369679004</v>
      </c>
      <c r="G1768" s="16">
        <f>ABS(Solieusap!G1768)</f>
        <v>1.865667965</v>
      </c>
      <c r="H1768" s="16">
        <f>ABS(Solieusap!H1768)</f>
        <v>0.0008285317532</v>
      </c>
      <c r="I1768" s="16">
        <f>ABS(Solieusap!I1768)</f>
        <v>4.908393398</v>
      </c>
      <c r="J1768" s="16">
        <f>ABS(Solieusap!J1768)</f>
        <v>3.306349805</v>
      </c>
      <c r="K1768" s="16">
        <f t="shared" si="1"/>
        <v>14.71124935</v>
      </c>
      <c r="L1768" s="16">
        <f t="shared" si="2"/>
        <v>4.908393398</v>
      </c>
    </row>
    <row r="1769" ht="16.5" customHeight="1">
      <c r="A1769" s="15" t="str">
        <f>Solieusap!A1769</f>
        <v>Cũ</v>
      </c>
      <c r="B1769" s="15">
        <f>Solieusap!B1769</f>
        <v>1.75</v>
      </c>
      <c r="C1769" s="15" t="str">
        <f>Solieusap!C1769</f>
        <v>COMB1</v>
      </c>
      <c r="D1769" s="15" t="str">
        <f>Solieusap!D1769</f>
        <v>Combination</v>
      </c>
      <c r="E1769" s="16">
        <f>ABS(Solieusap!E1769)</f>
        <v>14.72810571</v>
      </c>
      <c r="F1769" s="16">
        <f>ABS(Solieusap!F1769)</f>
        <v>1.371389524</v>
      </c>
      <c r="G1769" s="16">
        <f>ABS(Solieusap!G1769)</f>
        <v>1.867932381</v>
      </c>
      <c r="H1769" s="16">
        <f>ABS(Solieusap!H1769)</f>
        <v>0.0008295868571</v>
      </c>
      <c r="I1769" s="16">
        <f>ABS(Solieusap!I1769)</f>
        <v>4.91518819</v>
      </c>
      <c r="J1769" s="16">
        <f>ABS(Solieusap!J1769)</f>
        <v>3.310896857</v>
      </c>
      <c r="K1769" s="16">
        <f t="shared" si="1"/>
        <v>14.72810571</v>
      </c>
      <c r="L1769" s="16">
        <f t="shared" si="2"/>
        <v>4.91518819</v>
      </c>
    </row>
    <row r="1770" ht="16.5" customHeight="1">
      <c r="A1770" s="15" t="str">
        <f>Solieusap!A1770</f>
        <v>Cũ</v>
      </c>
      <c r="B1770" s="15">
        <f>Solieusap!B1770</f>
        <v>3.5</v>
      </c>
      <c r="C1770" s="15" t="str">
        <f>Solieusap!C1770</f>
        <v>COMB1</v>
      </c>
      <c r="D1770" s="15" t="str">
        <f>Solieusap!D1770</f>
        <v>Combination</v>
      </c>
      <c r="E1770" s="16">
        <f>ABS(Solieusap!E1770)</f>
        <v>14.74496208</v>
      </c>
      <c r="F1770" s="16">
        <f>ABS(Solieusap!F1770)</f>
        <v>1.373100043</v>
      </c>
      <c r="G1770" s="16">
        <f>ABS(Solieusap!G1770)</f>
        <v>1.870196797</v>
      </c>
      <c r="H1770" s="16">
        <f>ABS(Solieusap!H1770)</f>
        <v>0.000830641961</v>
      </c>
      <c r="I1770" s="16">
        <f>ABS(Solieusap!I1770)</f>
        <v>4.921982983</v>
      </c>
      <c r="J1770" s="16">
        <f>ABS(Solieusap!J1770)</f>
        <v>3.315443909</v>
      </c>
      <c r="K1770" s="16">
        <f t="shared" si="1"/>
        <v>14.74496208</v>
      </c>
      <c r="L1770" s="16">
        <f t="shared" si="2"/>
        <v>4.921982983</v>
      </c>
    </row>
    <row r="1771" ht="16.5" customHeight="1">
      <c r="A1771" s="15" t="str">
        <f>Solieusap!A1771</f>
        <v>Cũ</v>
      </c>
      <c r="B1771" s="15">
        <f>Solieusap!B1771</f>
        <v>0</v>
      </c>
      <c r="C1771" s="15" t="str">
        <f>Solieusap!C1771</f>
        <v>COMB2</v>
      </c>
      <c r="D1771" s="15" t="str">
        <f>Solieusap!D1771</f>
        <v>Combination</v>
      </c>
      <c r="E1771" s="16">
        <f>ABS(Solieusap!E1771)</f>
        <v>14.76181844</v>
      </c>
      <c r="F1771" s="16">
        <f>ABS(Solieusap!F1771)</f>
        <v>1.374810563</v>
      </c>
      <c r="G1771" s="16">
        <f>ABS(Solieusap!G1771)</f>
        <v>1.872461212</v>
      </c>
      <c r="H1771" s="16">
        <f>ABS(Solieusap!H1771)</f>
        <v>0.0008316970649</v>
      </c>
      <c r="I1771" s="16">
        <f>ABS(Solieusap!I1771)</f>
        <v>4.928777775</v>
      </c>
      <c r="J1771" s="16">
        <f>ABS(Solieusap!J1771)</f>
        <v>3.319990961</v>
      </c>
      <c r="K1771" s="16">
        <f t="shared" si="1"/>
        <v>14.76181844</v>
      </c>
      <c r="L1771" s="16">
        <f t="shared" si="2"/>
        <v>4.928777775</v>
      </c>
    </row>
    <row r="1772" ht="16.5" customHeight="1">
      <c r="A1772" s="15" t="str">
        <f>Solieusap!A1772</f>
        <v>Cũ</v>
      </c>
      <c r="B1772" s="15">
        <f>Solieusap!B1772</f>
        <v>1.75</v>
      </c>
      <c r="C1772" s="15" t="str">
        <f>Solieusap!C1772</f>
        <v>COMB2</v>
      </c>
      <c r="D1772" s="15" t="str">
        <f>Solieusap!D1772</f>
        <v>Combination</v>
      </c>
      <c r="E1772" s="16">
        <f>ABS(Solieusap!E1772)</f>
        <v>14.77867481</v>
      </c>
      <c r="F1772" s="16">
        <f>ABS(Solieusap!F1772)</f>
        <v>1.376521082</v>
      </c>
      <c r="G1772" s="16">
        <f>ABS(Solieusap!G1772)</f>
        <v>1.874725628</v>
      </c>
      <c r="H1772" s="16">
        <f>ABS(Solieusap!H1772)</f>
        <v>0.0008327521688</v>
      </c>
      <c r="I1772" s="16">
        <f>ABS(Solieusap!I1772)</f>
        <v>4.935572567</v>
      </c>
      <c r="J1772" s="16">
        <f>ABS(Solieusap!J1772)</f>
        <v>3.324538013</v>
      </c>
      <c r="K1772" s="16">
        <f t="shared" si="1"/>
        <v>14.77867481</v>
      </c>
      <c r="L1772" s="16">
        <f t="shared" si="2"/>
        <v>4.935572567</v>
      </c>
    </row>
    <row r="1773" ht="16.5" customHeight="1">
      <c r="A1773" s="15" t="str">
        <f>Solieusap!A1773</f>
        <v>Cũ</v>
      </c>
      <c r="B1773" s="15">
        <f>Solieusap!B1773</f>
        <v>3.5</v>
      </c>
      <c r="C1773" s="15" t="str">
        <f>Solieusap!C1773</f>
        <v>COMB2</v>
      </c>
      <c r="D1773" s="15" t="str">
        <f>Solieusap!D1773</f>
        <v>Combination</v>
      </c>
      <c r="E1773" s="16">
        <f>ABS(Solieusap!E1773)</f>
        <v>14.79553117</v>
      </c>
      <c r="F1773" s="16">
        <f>ABS(Solieusap!F1773)</f>
        <v>1.378231602</v>
      </c>
      <c r="G1773" s="16">
        <f>ABS(Solieusap!G1773)</f>
        <v>1.876990043</v>
      </c>
      <c r="H1773" s="16">
        <f>ABS(Solieusap!H1773)</f>
        <v>0.0008338072727</v>
      </c>
      <c r="I1773" s="16">
        <f>ABS(Solieusap!I1773)</f>
        <v>4.942367359</v>
      </c>
      <c r="J1773" s="16">
        <f>ABS(Solieusap!J1773)</f>
        <v>3.329085065</v>
      </c>
      <c r="K1773" s="16">
        <f t="shared" si="1"/>
        <v>14.79553117</v>
      </c>
      <c r="L1773" s="16">
        <f t="shared" si="2"/>
        <v>4.942367359</v>
      </c>
    </row>
    <row r="1774" ht="16.5" customHeight="1">
      <c r="A1774" s="15" t="str">
        <f>Solieusap!A1774</f>
        <v>Cũ</v>
      </c>
      <c r="B1774" s="15">
        <f>Solieusap!B1774</f>
        <v>0</v>
      </c>
      <c r="C1774" s="15" t="str">
        <f>Solieusap!C1774</f>
        <v>COMB3</v>
      </c>
      <c r="D1774" s="15" t="str">
        <f>Solieusap!D1774</f>
        <v>Combination</v>
      </c>
      <c r="E1774" s="16">
        <f>ABS(Solieusap!E1774)</f>
        <v>14.81238753</v>
      </c>
      <c r="F1774" s="16">
        <f>ABS(Solieusap!F1774)</f>
        <v>1.379942121</v>
      </c>
      <c r="G1774" s="16">
        <f>ABS(Solieusap!G1774)</f>
        <v>1.879254459</v>
      </c>
      <c r="H1774" s="16">
        <f>ABS(Solieusap!H1774)</f>
        <v>0.0008348623766</v>
      </c>
      <c r="I1774" s="16">
        <f>ABS(Solieusap!I1774)</f>
        <v>4.949162152</v>
      </c>
      <c r="J1774" s="16">
        <f>ABS(Solieusap!J1774)</f>
        <v>3.333632117</v>
      </c>
      <c r="K1774" s="16">
        <f t="shared" si="1"/>
        <v>14.81238753</v>
      </c>
      <c r="L1774" s="16">
        <f t="shared" si="2"/>
        <v>4.949162152</v>
      </c>
    </row>
    <row r="1775" ht="16.5" customHeight="1">
      <c r="A1775" s="15" t="str">
        <f>Solieusap!A1775</f>
        <v>Cũ</v>
      </c>
      <c r="B1775" s="15">
        <f>Solieusap!B1775</f>
        <v>1.75</v>
      </c>
      <c r="C1775" s="15" t="str">
        <f>Solieusap!C1775</f>
        <v>COMB3</v>
      </c>
      <c r="D1775" s="15" t="str">
        <f>Solieusap!D1775</f>
        <v>Combination</v>
      </c>
      <c r="E1775" s="16">
        <f>ABS(Solieusap!E1775)</f>
        <v>14.8292439</v>
      </c>
      <c r="F1775" s="16">
        <f>ABS(Solieusap!F1775)</f>
        <v>1.381652641</v>
      </c>
      <c r="G1775" s="16">
        <f>ABS(Solieusap!G1775)</f>
        <v>1.881518874</v>
      </c>
      <c r="H1775" s="16">
        <f>ABS(Solieusap!H1775)</f>
        <v>0.0008359174805</v>
      </c>
      <c r="I1775" s="16">
        <f>ABS(Solieusap!I1775)</f>
        <v>4.955956944</v>
      </c>
      <c r="J1775" s="16">
        <f>ABS(Solieusap!J1775)</f>
        <v>3.338179169</v>
      </c>
      <c r="K1775" s="16">
        <f t="shared" si="1"/>
        <v>14.8292439</v>
      </c>
      <c r="L1775" s="16">
        <f t="shared" si="2"/>
        <v>4.955956944</v>
      </c>
    </row>
    <row r="1776" ht="16.5" customHeight="1">
      <c r="A1776" s="15" t="str">
        <f>Solieusap!A1776</f>
        <v>Cũ</v>
      </c>
      <c r="B1776" s="15">
        <f>Solieusap!B1776</f>
        <v>3.5</v>
      </c>
      <c r="C1776" s="15" t="str">
        <f>Solieusap!C1776</f>
        <v>COMB3</v>
      </c>
      <c r="D1776" s="15" t="str">
        <f>Solieusap!D1776</f>
        <v>Combination</v>
      </c>
      <c r="E1776" s="16">
        <f>ABS(Solieusap!E1776)</f>
        <v>14.84610026</v>
      </c>
      <c r="F1776" s="16">
        <f>ABS(Solieusap!F1776)</f>
        <v>1.38336316</v>
      </c>
      <c r="G1776" s="16">
        <f>ABS(Solieusap!G1776)</f>
        <v>1.88378329</v>
      </c>
      <c r="H1776" s="16">
        <f>ABS(Solieusap!H1776)</f>
        <v>0.0008369725844</v>
      </c>
      <c r="I1776" s="16">
        <f>ABS(Solieusap!I1776)</f>
        <v>4.962751736</v>
      </c>
      <c r="J1776" s="16">
        <f>ABS(Solieusap!J1776)</f>
        <v>3.342726221</v>
      </c>
      <c r="K1776" s="16">
        <f t="shared" si="1"/>
        <v>14.84610026</v>
      </c>
      <c r="L1776" s="16">
        <f t="shared" si="2"/>
        <v>4.962751736</v>
      </c>
    </row>
    <row r="1777" ht="16.5" customHeight="1">
      <c r="A1777" s="15" t="str">
        <f>Solieusap!A1777</f>
        <v>Cũ</v>
      </c>
      <c r="B1777" s="15">
        <f>Solieusap!B1777</f>
        <v>0</v>
      </c>
      <c r="C1777" s="15" t="str">
        <f>Solieusap!C1777</f>
        <v>COMB4</v>
      </c>
      <c r="D1777" s="15" t="str">
        <f>Solieusap!D1777</f>
        <v>Combination</v>
      </c>
      <c r="E1777" s="16">
        <f>ABS(Solieusap!E1777)</f>
        <v>14.86295662</v>
      </c>
      <c r="F1777" s="16">
        <f>ABS(Solieusap!F1777)</f>
        <v>1.38507368</v>
      </c>
      <c r="G1777" s="16">
        <f>ABS(Solieusap!G1777)</f>
        <v>1.886047706</v>
      </c>
      <c r="H1777" s="16">
        <f>ABS(Solieusap!H1777)</f>
        <v>0.0008380276883</v>
      </c>
      <c r="I1777" s="16">
        <f>ABS(Solieusap!I1777)</f>
        <v>4.969546528</v>
      </c>
      <c r="J1777" s="16">
        <f>ABS(Solieusap!J1777)</f>
        <v>3.347273273</v>
      </c>
      <c r="K1777" s="16">
        <f t="shared" si="1"/>
        <v>14.86295662</v>
      </c>
      <c r="L1777" s="16">
        <f t="shared" si="2"/>
        <v>4.969546528</v>
      </c>
    </row>
    <row r="1778" ht="16.5" customHeight="1">
      <c r="A1778" s="15" t="str">
        <f>Solieusap!A1778</f>
        <v>Cũ</v>
      </c>
      <c r="B1778" s="15">
        <f>Solieusap!B1778</f>
        <v>1.75</v>
      </c>
      <c r="C1778" s="15" t="str">
        <f>Solieusap!C1778</f>
        <v>COMB4</v>
      </c>
      <c r="D1778" s="15" t="str">
        <f>Solieusap!D1778</f>
        <v>Combination</v>
      </c>
      <c r="E1778" s="16">
        <f>ABS(Solieusap!E1778)</f>
        <v>14.87981299</v>
      </c>
      <c r="F1778" s="16">
        <f>ABS(Solieusap!F1778)</f>
        <v>1.386784199</v>
      </c>
      <c r="G1778" s="16">
        <f>ABS(Solieusap!G1778)</f>
        <v>1.888312121</v>
      </c>
      <c r="H1778" s="16">
        <f>ABS(Solieusap!H1778)</f>
        <v>0.0008390827922</v>
      </c>
      <c r="I1778" s="16">
        <f>ABS(Solieusap!I1778)</f>
        <v>4.97634132</v>
      </c>
      <c r="J1778" s="16">
        <f>ABS(Solieusap!J1778)</f>
        <v>3.351820325</v>
      </c>
      <c r="K1778" s="16">
        <f t="shared" si="1"/>
        <v>14.87981299</v>
      </c>
      <c r="L1778" s="16">
        <f t="shared" si="2"/>
        <v>4.97634132</v>
      </c>
    </row>
    <row r="1779" ht="16.5" customHeight="1">
      <c r="A1779" s="15" t="str">
        <f>Solieusap!A1779</f>
        <v>Cũ</v>
      </c>
      <c r="B1779" s="15">
        <f>Solieusap!B1779</f>
        <v>3.5</v>
      </c>
      <c r="C1779" s="15" t="str">
        <f>Solieusap!C1779</f>
        <v>COMB4</v>
      </c>
      <c r="D1779" s="15" t="str">
        <f>Solieusap!D1779</f>
        <v>Combination</v>
      </c>
      <c r="E1779" s="16">
        <f>ABS(Solieusap!E1779)</f>
        <v>14.89666935</v>
      </c>
      <c r="F1779" s="16">
        <f>ABS(Solieusap!F1779)</f>
        <v>1.388494719</v>
      </c>
      <c r="G1779" s="16">
        <f>ABS(Solieusap!G1779)</f>
        <v>1.890576537</v>
      </c>
      <c r="H1779" s="16">
        <f>ABS(Solieusap!H1779)</f>
        <v>0.0008401378961</v>
      </c>
      <c r="I1779" s="16">
        <f>ABS(Solieusap!I1779)</f>
        <v>4.983136113</v>
      </c>
      <c r="J1779" s="16">
        <f>ABS(Solieusap!J1779)</f>
        <v>3.356367377</v>
      </c>
      <c r="K1779" s="16">
        <f t="shared" si="1"/>
        <v>14.89666935</v>
      </c>
      <c r="L1779" s="16">
        <f t="shared" si="2"/>
        <v>4.983136113</v>
      </c>
    </row>
    <row r="1780" ht="16.5" customHeight="1">
      <c r="A1780" s="15" t="str">
        <f>Solieusap!A1780</f>
        <v>Cũ</v>
      </c>
      <c r="B1780" s="15">
        <f>Solieusap!B1780</f>
        <v>0</v>
      </c>
      <c r="C1780" s="15" t="str">
        <f>Solieusap!C1780</f>
        <v>COMB5</v>
      </c>
      <c r="D1780" s="15" t="str">
        <f>Solieusap!D1780</f>
        <v>Combination</v>
      </c>
      <c r="E1780" s="16">
        <f>ABS(Solieusap!E1780)</f>
        <v>14.91352571</v>
      </c>
      <c r="F1780" s="16">
        <f>ABS(Solieusap!F1780)</f>
        <v>1.390205238</v>
      </c>
      <c r="G1780" s="16">
        <f>ABS(Solieusap!G1780)</f>
        <v>1.892840952</v>
      </c>
      <c r="H1780" s="16">
        <f>ABS(Solieusap!H1780)</f>
        <v>0.000841193</v>
      </c>
      <c r="I1780" s="16">
        <f>ABS(Solieusap!I1780)</f>
        <v>4.989930905</v>
      </c>
      <c r="J1780" s="16">
        <f>ABS(Solieusap!J1780)</f>
        <v>3.360914429</v>
      </c>
      <c r="K1780" s="16">
        <f t="shared" si="1"/>
        <v>14.91352571</v>
      </c>
      <c r="L1780" s="16">
        <f t="shared" si="2"/>
        <v>4.989930905</v>
      </c>
    </row>
    <row r="1781" ht="16.5" customHeight="1">
      <c r="A1781" s="15" t="str">
        <f>Solieusap!A1781</f>
        <v>Cũ</v>
      </c>
      <c r="B1781" s="15">
        <f>Solieusap!B1781</f>
        <v>1.75</v>
      </c>
      <c r="C1781" s="15" t="str">
        <f>Solieusap!C1781</f>
        <v>COMB5</v>
      </c>
      <c r="D1781" s="15" t="str">
        <f>Solieusap!D1781</f>
        <v>Combination</v>
      </c>
      <c r="E1781" s="16">
        <f>ABS(Solieusap!E1781)</f>
        <v>14.93038208</v>
      </c>
      <c r="F1781" s="16">
        <f>ABS(Solieusap!F1781)</f>
        <v>1.391915758</v>
      </c>
      <c r="G1781" s="16">
        <f>ABS(Solieusap!G1781)</f>
        <v>1.895105368</v>
      </c>
      <c r="H1781" s="16">
        <f>ABS(Solieusap!H1781)</f>
        <v>0.0008422481039</v>
      </c>
      <c r="I1781" s="16">
        <f>ABS(Solieusap!I1781)</f>
        <v>4.996725697</v>
      </c>
      <c r="J1781" s="16">
        <f>ABS(Solieusap!J1781)</f>
        <v>3.365461481</v>
      </c>
      <c r="K1781" s="16">
        <f t="shared" si="1"/>
        <v>14.93038208</v>
      </c>
      <c r="L1781" s="16">
        <f t="shared" si="2"/>
        <v>4.996725697</v>
      </c>
    </row>
    <row r="1782" ht="16.5" customHeight="1">
      <c r="A1782" s="15" t="str">
        <f>Solieusap!A1782</f>
        <v>Cũ</v>
      </c>
      <c r="B1782" s="15">
        <f>Solieusap!B1782</f>
        <v>3.5</v>
      </c>
      <c r="C1782" s="15" t="str">
        <f>Solieusap!C1782</f>
        <v>COMB5</v>
      </c>
      <c r="D1782" s="15" t="str">
        <f>Solieusap!D1782</f>
        <v>Combination</v>
      </c>
      <c r="E1782" s="16">
        <f>ABS(Solieusap!E1782)</f>
        <v>14.94723844</v>
      </c>
      <c r="F1782" s="16">
        <f>ABS(Solieusap!F1782)</f>
        <v>1.393626277</v>
      </c>
      <c r="G1782" s="16">
        <f>ABS(Solieusap!G1782)</f>
        <v>1.897369784</v>
      </c>
      <c r="H1782" s="16">
        <f>ABS(Solieusap!H1782)</f>
        <v>0.0008433032078</v>
      </c>
      <c r="I1782" s="16">
        <f>ABS(Solieusap!I1782)</f>
        <v>5.003520489</v>
      </c>
      <c r="J1782" s="16">
        <f>ABS(Solieusap!J1782)</f>
        <v>3.370008532</v>
      </c>
      <c r="K1782" s="16">
        <f t="shared" si="1"/>
        <v>14.94723844</v>
      </c>
      <c r="L1782" s="16">
        <f t="shared" si="2"/>
        <v>5.003520489</v>
      </c>
    </row>
    <row r="1783" ht="16.5" customHeight="1">
      <c r="A1783" s="15" t="str">
        <f>Solieusap!A1783</f>
        <v>Cũ</v>
      </c>
      <c r="B1783" s="15">
        <f>Solieusap!B1783</f>
        <v>0</v>
      </c>
      <c r="C1783" s="15" t="str">
        <f>Solieusap!C1783</f>
        <v>COMB6</v>
      </c>
      <c r="D1783" s="15" t="str">
        <f>Solieusap!D1783</f>
        <v>Combination</v>
      </c>
      <c r="E1783" s="16">
        <f>ABS(Solieusap!E1783)</f>
        <v>14.96409481</v>
      </c>
      <c r="F1783" s="16">
        <f>ABS(Solieusap!F1783)</f>
        <v>1.395336797</v>
      </c>
      <c r="G1783" s="16">
        <f>ABS(Solieusap!G1783)</f>
        <v>1.899634199</v>
      </c>
      <c r="H1783" s="16">
        <f>ABS(Solieusap!H1783)</f>
        <v>0.0008443583117</v>
      </c>
      <c r="I1783" s="16">
        <f>ABS(Solieusap!I1783)</f>
        <v>5.010315281</v>
      </c>
      <c r="J1783" s="16">
        <f>ABS(Solieusap!J1783)</f>
        <v>3.374555584</v>
      </c>
      <c r="K1783" s="16">
        <f t="shared" si="1"/>
        <v>14.96409481</v>
      </c>
      <c r="L1783" s="16">
        <f t="shared" si="2"/>
        <v>5.010315281</v>
      </c>
    </row>
    <row r="1784" ht="16.5" customHeight="1">
      <c r="A1784" s="15" t="str">
        <f>Solieusap!A1784</f>
        <v>Cũ</v>
      </c>
      <c r="B1784" s="15">
        <f>Solieusap!B1784</f>
        <v>1.75</v>
      </c>
      <c r="C1784" s="15" t="str">
        <f>Solieusap!C1784</f>
        <v>COMB6</v>
      </c>
      <c r="D1784" s="15" t="str">
        <f>Solieusap!D1784</f>
        <v>Combination</v>
      </c>
      <c r="E1784" s="16">
        <f>ABS(Solieusap!E1784)</f>
        <v>14.98095117</v>
      </c>
      <c r="F1784" s="16">
        <f>ABS(Solieusap!F1784)</f>
        <v>1.397047316</v>
      </c>
      <c r="G1784" s="16">
        <f>ABS(Solieusap!G1784)</f>
        <v>1.901898615</v>
      </c>
      <c r="H1784" s="16">
        <f>ABS(Solieusap!H1784)</f>
        <v>0.0008454134156</v>
      </c>
      <c r="I1784" s="16">
        <f>ABS(Solieusap!I1784)</f>
        <v>5.017110074</v>
      </c>
      <c r="J1784" s="16">
        <f>ABS(Solieusap!J1784)</f>
        <v>3.379102636</v>
      </c>
      <c r="K1784" s="16">
        <f t="shared" si="1"/>
        <v>14.98095117</v>
      </c>
      <c r="L1784" s="16">
        <f t="shared" si="2"/>
        <v>5.017110074</v>
      </c>
    </row>
    <row r="1785" ht="16.5" customHeight="1">
      <c r="A1785" s="15" t="str">
        <f>Solieusap!A1785</f>
        <v>Cũ</v>
      </c>
      <c r="B1785" s="15">
        <f>Solieusap!B1785</f>
        <v>3.5</v>
      </c>
      <c r="C1785" s="15" t="str">
        <f>Solieusap!C1785</f>
        <v>COMB6</v>
      </c>
      <c r="D1785" s="15" t="str">
        <f>Solieusap!D1785</f>
        <v>Combination</v>
      </c>
      <c r="E1785" s="16">
        <f>ABS(Solieusap!E1785)</f>
        <v>14.99780753</v>
      </c>
      <c r="F1785" s="16">
        <f>ABS(Solieusap!F1785)</f>
        <v>1.398757835</v>
      </c>
      <c r="G1785" s="16">
        <f>ABS(Solieusap!G1785)</f>
        <v>1.90416303</v>
      </c>
      <c r="H1785" s="16">
        <f>ABS(Solieusap!H1785)</f>
        <v>0.0008464685195</v>
      </c>
      <c r="I1785" s="16">
        <f>ABS(Solieusap!I1785)</f>
        <v>5.023904866</v>
      </c>
      <c r="J1785" s="16">
        <f>ABS(Solieusap!J1785)</f>
        <v>3.383649688</v>
      </c>
      <c r="K1785" s="16">
        <f t="shared" si="1"/>
        <v>14.99780753</v>
      </c>
      <c r="L1785" s="16">
        <f t="shared" si="2"/>
        <v>5.023904866</v>
      </c>
    </row>
    <row r="1786" ht="16.5" customHeight="1">
      <c r="A1786" s="15" t="str">
        <f>Solieusap!A1786</f>
        <v>Cũ</v>
      </c>
      <c r="B1786" s="15">
        <f>Solieusap!B1786</f>
        <v>0</v>
      </c>
      <c r="C1786" s="15" t="str">
        <f>Solieusap!C1786</f>
        <v>COMB7</v>
      </c>
      <c r="D1786" s="15" t="str">
        <f>Solieusap!D1786</f>
        <v>Combination</v>
      </c>
      <c r="E1786" s="16">
        <f>ABS(Solieusap!E1786)</f>
        <v>15.0146639</v>
      </c>
      <c r="F1786" s="16">
        <f>ABS(Solieusap!F1786)</f>
        <v>1.400468355</v>
      </c>
      <c r="G1786" s="16">
        <f>ABS(Solieusap!G1786)</f>
        <v>1.906427446</v>
      </c>
      <c r="H1786" s="16">
        <f>ABS(Solieusap!H1786)</f>
        <v>0.0008475236234</v>
      </c>
      <c r="I1786" s="16">
        <f>ABS(Solieusap!I1786)</f>
        <v>5.030699658</v>
      </c>
      <c r="J1786" s="16">
        <f>ABS(Solieusap!J1786)</f>
        <v>3.38819674</v>
      </c>
      <c r="K1786" s="16">
        <f t="shared" si="1"/>
        <v>15.0146639</v>
      </c>
      <c r="L1786" s="16">
        <f t="shared" si="2"/>
        <v>5.030699658</v>
      </c>
    </row>
    <row r="1787" ht="16.5" customHeight="1">
      <c r="A1787" s="15" t="str">
        <f>Solieusap!A1787</f>
        <v>Cũ</v>
      </c>
      <c r="B1787" s="15">
        <f>Solieusap!B1787</f>
        <v>1.75</v>
      </c>
      <c r="C1787" s="15" t="str">
        <f>Solieusap!C1787</f>
        <v>COMB7</v>
      </c>
      <c r="D1787" s="15" t="str">
        <f>Solieusap!D1787</f>
        <v>Combination</v>
      </c>
      <c r="E1787" s="16">
        <f>ABS(Solieusap!E1787)</f>
        <v>15.03152026</v>
      </c>
      <c r="F1787" s="16">
        <f>ABS(Solieusap!F1787)</f>
        <v>1.402178874</v>
      </c>
      <c r="G1787" s="16">
        <f>ABS(Solieusap!G1787)</f>
        <v>1.908691861</v>
      </c>
      <c r="H1787" s="16">
        <f>ABS(Solieusap!H1787)</f>
        <v>0.0008485787273</v>
      </c>
      <c r="I1787" s="16">
        <f>ABS(Solieusap!I1787)</f>
        <v>5.03749445</v>
      </c>
      <c r="J1787" s="16">
        <f>ABS(Solieusap!J1787)</f>
        <v>3.392743792</v>
      </c>
      <c r="K1787" s="16">
        <f t="shared" si="1"/>
        <v>15.03152026</v>
      </c>
      <c r="L1787" s="16">
        <f t="shared" si="2"/>
        <v>5.03749445</v>
      </c>
    </row>
    <row r="1788" ht="16.5" customHeight="1">
      <c r="A1788" s="15" t="str">
        <f>Solieusap!A1788</f>
        <v>Cũ</v>
      </c>
      <c r="B1788" s="15">
        <f>Solieusap!B1788</f>
        <v>3.5</v>
      </c>
      <c r="C1788" s="15" t="str">
        <f>Solieusap!C1788</f>
        <v>COMB7</v>
      </c>
      <c r="D1788" s="15" t="str">
        <f>Solieusap!D1788</f>
        <v>Combination</v>
      </c>
      <c r="E1788" s="16">
        <f>ABS(Solieusap!E1788)</f>
        <v>15.04837662</v>
      </c>
      <c r="F1788" s="16">
        <f>ABS(Solieusap!F1788)</f>
        <v>1.403889394</v>
      </c>
      <c r="G1788" s="16">
        <f>ABS(Solieusap!G1788)</f>
        <v>1.910956277</v>
      </c>
      <c r="H1788" s="16">
        <f>ABS(Solieusap!H1788)</f>
        <v>0.0008496338312</v>
      </c>
      <c r="I1788" s="16">
        <f>ABS(Solieusap!I1788)</f>
        <v>5.044289242</v>
      </c>
      <c r="J1788" s="16">
        <f>ABS(Solieusap!J1788)</f>
        <v>3.397290844</v>
      </c>
      <c r="K1788" s="16">
        <f t="shared" si="1"/>
        <v>15.04837662</v>
      </c>
      <c r="L1788" s="16">
        <f t="shared" si="2"/>
        <v>5.044289242</v>
      </c>
    </row>
    <row r="1789" ht="16.5" customHeight="1">
      <c r="A1789" s="15" t="str">
        <f>Solieusap!A1789</f>
        <v>Cũ</v>
      </c>
      <c r="B1789" s="15">
        <f>Solieusap!B1789</f>
        <v>0</v>
      </c>
      <c r="C1789" s="15" t="str">
        <f>Solieusap!C1789</f>
        <v>COMB1</v>
      </c>
      <c r="D1789" s="15" t="str">
        <f>Solieusap!D1789</f>
        <v>Combination</v>
      </c>
      <c r="E1789" s="16">
        <f>ABS(Solieusap!E1789)</f>
        <v>15.06523299</v>
      </c>
      <c r="F1789" s="16">
        <f>ABS(Solieusap!F1789)</f>
        <v>1.405599913</v>
      </c>
      <c r="G1789" s="16">
        <f>ABS(Solieusap!G1789)</f>
        <v>1.913220693</v>
      </c>
      <c r="H1789" s="16">
        <f>ABS(Solieusap!H1789)</f>
        <v>0.0008506889351</v>
      </c>
      <c r="I1789" s="16">
        <f>ABS(Solieusap!I1789)</f>
        <v>5.051084035</v>
      </c>
      <c r="J1789" s="16">
        <f>ABS(Solieusap!J1789)</f>
        <v>3.401837896</v>
      </c>
      <c r="K1789" s="16">
        <f t="shared" si="1"/>
        <v>15.06523299</v>
      </c>
      <c r="L1789" s="16">
        <f t="shared" si="2"/>
        <v>5.051084035</v>
      </c>
    </row>
    <row r="1790" ht="16.5" customHeight="1">
      <c r="A1790" s="15" t="str">
        <f>Solieusap!A1790</f>
        <v>Cũ</v>
      </c>
      <c r="B1790" s="15">
        <f>Solieusap!B1790</f>
        <v>1.75</v>
      </c>
      <c r="C1790" s="15" t="str">
        <f>Solieusap!C1790</f>
        <v>COMB1</v>
      </c>
      <c r="D1790" s="15" t="str">
        <f>Solieusap!D1790</f>
        <v>Combination</v>
      </c>
      <c r="E1790" s="16">
        <f>ABS(Solieusap!E1790)</f>
        <v>15.08208935</v>
      </c>
      <c r="F1790" s="16">
        <f>ABS(Solieusap!F1790)</f>
        <v>1.407310433</v>
      </c>
      <c r="G1790" s="16">
        <f>ABS(Solieusap!G1790)</f>
        <v>1.915485108</v>
      </c>
      <c r="H1790" s="16">
        <f>ABS(Solieusap!H1790)</f>
        <v>0.000851744039</v>
      </c>
      <c r="I1790" s="16">
        <f>ABS(Solieusap!I1790)</f>
        <v>5.057878827</v>
      </c>
      <c r="J1790" s="16">
        <f>ABS(Solieusap!J1790)</f>
        <v>3.406384948</v>
      </c>
      <c r="K1790" s="16">
        <f t="shared" si="1"/>
        <v>15.08208935</v>
      </c>
      <c r="L1790" s="16">
        <f t="shared" si="2"/>
        <v>5.057878827</v>
      </c>
    </row>
    <row r="1791" ht="16.5" customHeight="1">
      <c r="A1791" s="15" t="str">
        <f>Solieusap!A1791</f>
        <v>Cũ</v>
      </c>
      <c r="B1791" s="15">
        <f>Solieusap!B1791</f>
        <v>3.5</v>
      </c>
      <c r="C1791" s="15" t="str">
        <f>Solieusap!C1791</f>
        <v>COMB1</v>
      </c>
      <c r="D1791" s="15" t="str">
        <f>Solieusap!D1791</f>
        <v>Combination</v>
      </c>
      <c r="E1791" s="16">
        <f>ABS(Solieusap!E1791)</f>
        <v>15.09894571</v>
      </c>
      <c r="F1791" s="16">
        <f>ABS(Solieusap!F1791)</f>
        <v>1.409020952</v>
      </c>
      <c r="G1791" s="16">
        <f>ABS(Solieusap!G1791)</f>
        <v>1.917749524</v>
      </c>
      <c r="H1791" s="16">
        <f>ABS(Solieusap!H1791)</f>
        <v>0.0008527991429</v>
      </c>
      <c r="I1791" s="16">
        <f>ABS(Solieusap!I1791)</f>
        <v>5.064673619</v>
      </c>
      <c r="J1791" s="16">
        <f>ABS(Solieusap!J1791)</f>
        <v>3.410932</v>
      </c>
      <c r="K1791" s="16">
        <f t="shared" si="1"/>
        <v>15.09894571</v>
      </c>
      <c r="L1791" s="16">
        <f t="shared" si="2"/>
        <v>5.064673619</v>
      </c>
    </row>
    <row r="1792" ht="16.5" customHeight="1">
      <c r="A1792" s="15" t="str">
        <f>Solieusap!A1792</f>
        <v>Cũ</v>
      </c>
      <c r="B1792" s="15">
        <f>Solieusap!B1792</f>
        <v>0</v>
      </c>
      <c r="C1792" s="15" t="str">
        <f>Solieusap!C1792</f>
        <v>COMB2</v>
      </c>
      <c r="D1792" s="15" t="str">
        <f>Solieusap!D1792</f>
        <v>Combination</v>
      </c>
      <c r="E1792" s="16">
        <f>ABS(Solieusap!E1792)</f>
        <v>15.11580208</v>
      </c>
      <c r="F1792" s="16">
        <f>ABS(Solieusap!F1792)</f>
        <v>1.410731472</v>
      </c>
      <c r="G1792" s="16">
        <f>ABS(Solieusap!G1792)</f>
        <v>1.920013939</v>
      </c>
      <c r="H1792" s="16">
        <f>ABS(Solieusap!H1792)</f>
        <v>0.0008538542468</v>
      </c>
      <c r="I1792" s="16">
        <f>ABS(Solieusap!I1792)</f>
        <v>5.071468411</v>
      </c>
      <c r="J1792" s="16">
        <f>ABS(Solieusap!J1792)</f>
        <v>3.415479052</v>
      </c>
      <c r="K1792" s="16">
        <f t="shared" si="1"/>
        <v>15.11580208</v>
      </c>
      <c r="L1792" s="16">
        <f t="shared" si="2"/>
        <v>5.071468411</v>
      </c>
    </row>
    <row r="1793" ht="16.5" customHeight="1">
      <c r="A1793" s="15" t="str">
        <f>Solieusap!A1793</f>
        <v>Cũ</v>
      </c>
      <c r="B1793" s="15">
        <f>Solieusap!B1793</f>
        <v>1.75</v>
      </c>
      <c r="C1793" s="15" t="str">
        <f>Solieusap!C1793</f>
        <v>COMB2</v>
      </c>
      <c r="D1793" s="15" t="str">
        <f>Solieusap!D1793</f>
        <v>Combination</v>
      </c>
      <c r="E1793" s="16">
        <f>ABS(Solieusap!E1793)</f>
        <v>15.13265844</v>
      </c>
      <c r="F1793" s="16">
        <f>ABS(Solieusap!F1793)</f>
        <v>1.412441991</v>
      </c>
      <c r="G1793" s="16">
        <f>ABS(Solieusap!G1793)</f>
        <v>1.922278355</v>
      </c>
      <c r="H1793" s="16">
        <f>ABS(Solieusap!H1793)</f>
        <v>0.0008549093506</v>
      </c>
      <c r="I1793" s="16">
        <f>ABS(Solieusap!I1793)</f>
        <v>5.078263203</v>
      </c>
      <c r="J1793" s="16">
        <f>ABS(Solieusap!J1793)</f>
        <v>3.420026104</v>
      </c>
      <c r="K1793" s="16">
        <f t="shared" si="1"/>
        <v>15.13265844</v>
      </c>
      <c r="L1793" s="16">
        <f t="shared" si="2"/>
        <v>5.078263203</v>
      </c>
    </row>
    <row r="1794" ht="16.5" customHeight="1">
      <c r="A1794" s="15" t="str">
        <f>Solieusap!A1794</f>
        <v>Cũ</v>
      </c>
      <c r="B1794" s="15">
        <f>Solieusap!B1794</f>
        <v>3.5</v>
      </c>
      <c r="C1794" s="15" t="str">
        <f>Solieusap!C1794</f>
        <v>COMB2</v>
      </c>
      <c r="D1794" s="15" t="str">
        <f>Solieusap!D1794</f>
        <v>Combination</v>
      </c>
      <c r="E1794" s="16">
        <f>ABS(Solieusap!E1794)</f>
        <v>15.14951481</v>
      </c>
      <c r="F1794" s="16">
        <f>ABS(Solieusap!F1794)</f>
        <v>1.414152511</v>
      </c>
      <c r="G1794" s="16">
        <f>ABS(Solieusap!G1794)</f>
        <v>1.924542771</v>
      </c>
      <c r="H1794" s="16">
        <f>ABS(Solieusap!H1794)</f>
        <v>0.0008559644545</v>
      </c>
      <c r="I1794" s="16">
        <f>ABS(Solieusap!I1794)</f>
        <v>5.085057996</v>
      </c>
      <c r="J1794" s="16">
        <f>ABS(Solieusap!J1794)</f>
        <v>3.424573156</v>
      </c>
      <c r="K1794" s="16">
        <f t="shared" si="1"/>
        <v>15.14951481</v>
      </c>
      <c r="L1794" s="16">
        <f t="shared" si="2"/>
        <v>5.085057996</v>
      </c>
    </row>
    <row r="1795" ht="16.5" customHeight="1">
      <c r="A1795" s="15" t="str">
        <f>Solieusap!A1795</f>
        <v>Cũ</v>
      </c>
      <c r="B1795" s="15">
        <f>Solieusap!B1795</f>
        <v>0</v>
      </c>
      <c r="C1795" s="15" t="str">
        <f>Solieusap!C1795</f>
        <v>COMB3</v>
      </c>
      <c r="D1795" s="15" t="str">
        <f>Solieusap!D1795</f>
        <v>Combination</v>
      </c>
      <c r="E1795" s="16">
        <f>ABS(Solieusap!E1795)</f>
        <v>15.16637117</v>
      </c>
      <c r="F1795" s="16">
        <f>ABS(Solieusap!F1795)</f>
        <v>1.41586303</v>
      </c>
      <c r="G1795" s="16">
        <f>ABS(Solieusap!G1795)</f>
        <v>1.926807186</v>
      </c>
      <c r="H1795" s="16">
        <f>ABS(Solieusap!H1795)</f>
        <v>0.0008570195584</v>
      </c>
      <c r="I1795" s="16">
        <f>ABS(Solieusap!I1795)</f>
        <v>5.091852788</v>
      </c>
      <c r="J1795" s="16">
        <f>ABS(Solieusap!J1795)</f>
        <v>3.429120208</v>
      </c>
      <c r="K1795" s="16">
        <f t="shared" si="1"/>
        <v>15.16637117</v>
      </c>
      <c r="L1795" s="16">
        <f t="shared" si="2"/>
        <v>5.091852788</v>
      </c>
    </row>
    <row r="1796" ht="16.5" customHeight="1">
      <c r="A1796" s="15" t="str">
        <f>Solieusap!A1796</f>
        <v>Cũ</v>
      </c>
      <c r="B1796" s="15">
        <f>Solieusap!B1796</f>
        <v>1.75</v>
      </c>
      <c r="C1796" s="15" t="str">
        <f>Solieusap!C1796</f>
        <v>COMB3</v>
      </c>
      <c r="D1796" s="15" t="str">
        <f>Solieusap!D1796</f>
        <v>Combination</v>
      </c>
      <c r="E1796" s="16">
        <f>ABS(Solieusap!E1796)</f>
        <v>15.18322753</v>
      </c>
      <c r="F1796" s="16">
        <f>ABS(Solieusap!F1796)</f>
        <v>1.41757355</v>
      </c>
      <c r="G1796" s="16">
        <f>ABS(Solieusap!G1796)</f>
        <v>1.929071602</v>
      </c>
      <c r="H1796" s="16">
        <f>ABS(Solieusap!H1796)</f>
        <v>0.0008580746623</v>
      </c>
      <c r="I1796" s="16">
        <f>ABS(Solieusap!I1796)</f>
        <v>5.09864758</v>
      </c>
      <c r="J1796" s="16">
        <f>ABS(Solieusap!J1796)</f>
        <v>3.43366726</v>
      </c>
      <c r="K1796" s="16">
        <f t="shared" si="1"/>
        <v>15.18322753</v>
      </c>
      <c r="L1796" s="16">
        <f t="shared" si="2"/>
        <v>5.09864758</v>
      </c>
    </row>
    <row r="1797" ht="16.5" customHeight="1">
      <c r="A1797" s="15" t="str">
        <f>Solieusap!A1797</f>
        <v>Cũ</v>
      </c>
      <c r="B1797" s="15">
        <f>Solieusap!B1797</f>
        <v>3.5</v>
      </c>
      <c r="C1797" s="15" t="str">
        <f>Solieusap!C1797</f>
        <v>COMB3</v>
      </c>
      <c r="D1797" s="15" t="str">
        <f>Solieusap!D1797</f>
        <v>Combination</v>
      </c>
      <c r="E1797" s="16">
        <f>ABS(Solieusap!E1797)</f>
        <v>15.2000839</v>
      </c>
      <c r="F1797" s="16">
        <f>ABS(Solieusap!F1797)</f>
        <v>1.419284069</v>
      </c>
      <c r="G1797" s="16">
        <f>ABS(Solieusap!G1797)</f>
        <v>1.931336017</v>
      </c>
      <c r="H1797" s="16">
        <f>ABS(Solieusap!H1797)</f>
        <v>0.0008591297662</v>
      </c>
      <c r="I1797" s="16">
        <f>ABS(Solieusap!I1797)</f>
        <v>5.105442372</v>
      </c>
      <c r="J1797" s="16">
        <f>ABS(Solieusap!J1797)</f>
        <v>3.438214312</v>
      </c>
      <c r="K1797" s="16">
        <f t="shared" si="1"/>
        <v>15.2000839</v>
      </c>
      <c r="L1797" s="16">
        <f t="shared" si="2"/>
        <v>5.105442372</v>
      </c>
    </row>
    <row r="1798" ht="16.5" customHeight="1">
      <c r="A1798" s="15" t="str">
        <f>Solieusap!A1798</f>
        <v>Cũ</v>
      </c>
      <c r="B1798" s="15">
        <f>Solieusap!B1798</f>
        <v>0</v>
      </c>
      <c r="C1798" s="15" t="str">
        <f>Solieusap!C1798</f>
        <v>COMB4</v>
      </c>
      <c r="D1798" s="15" t="str">
        <f>Solieusap!D1798</f>
        <v>Combination</v>
      </c>
      <c r="E1798" s="16">
        <f>ABS(Solieusap!E1798)</f>
        <v>15.21694026</v>
      </c>
      <c r="F1798" s="16">
        <f>ABS(Solieusap!F1798)</f>
        <v>1.420994589</v>
      </c>
      <c r="G1798" s="16">
        <f>ABS(Solieusap!G1798)</f>
        <v>1.933600433</v>
      </c>
      <c r="H1798" s="16">
        <f>ABS(Solieusap!H1798)</f>
        <v>0.0008601848701</v>
      </c>
      <c r="I1798" s="16">
        <f>ABS(Solieusap!I1798)</f>
        <v>5.112237165</v>
      </c>
      <c r="J1798" s="16">
        <f>ABS(Solieusap!J1798)</f>
        <v>3.442761364</v>
      </c>
      <c r="K1798" s="16">
        <f t="shared" si="1"/>
        <v>15.21694026</v>
      </c>
      <c r="L1798" s="16">
        <f t="shared" si="2"/>
        <v>5.112237165</v>
      </c>
    </row>
    <row r="1799" ht="16.5" customHeight="1">
      <c r="A1799" s="15" t="str">
        <f>Solieusap!A1799</f>
        <v>Cũ</v>
      </c>
      <c r="B1799" s="15">
        <f>Solieusap!B1799</f>
        <v>1.75</v>
      </c>
      <c r="C1799" s="15" t="str">
        <f>Solieusap!C1799</f>
        <v>COMB4</v>
      </c>
      <c r="D1799" s="15" t="str">
        <f>Solieusap!D1799</f>
        <v>Combination</v>
      </c>
      <c r="E1799" s="16">
        <f>ABS(Solieusap!E1799)</f>
        <v>15.23379662</v>
      </c>
      <c r="F1799" s="16">
        <f>ABS(Solieusap!F1799)</f>
        <v>1.422705108</v>
      </c>
      <c r="G1799" s="16">
        <f>ABS(Solieusap!G1799)</f>
        <v>1.935864848</v>
      </c>
      <c r="H1799" s="16">
        <f>ABS(Solieusap!H1799)</f>
        <v>0.000861239974</v>
      </c>
      <c r="I1799" s="16">
        <f>ABS(Solieusap!I1799)</f>
        <v>5.119031957</v>
      </c>
      <c r="J1799" s="16">
        <f>ABS(Solieusap!J1799)</f>
        <v>3.447308416</v>
      </c>
      <c r="K1799" s="16">
        <f t="shared" si="1"/>
        <v>15.23379662</v>
      </c>
      <c r="L1799" s="16">
        <f t="shared" si="2"/>
        <v>5.119031957</v>
      </c>
    </row>
    <row r="1800" ht="16.5" customHeight="1">
      <c r="A1800" s="15" t="str">
        <f>Solieusap!A1800</f>
        <v>Cũ</v>
      </c>
      <c r="B1800" s="15">
        <f>Solieusap!B1800</f>
        <v>3.5</v>
      </c>
      <c r="C1800" s="15" t="str">
        <f>Solieusap!C1800</f>
        <v>COMB4</v>
      </c>
      <c r="D1800" s="15" t="str">
        <f>Solieusap!D1800</f>
        <v>Combination</v>
      </c>
      <c r="E1800" s="16">
        <f>ABS(Solieusap!E1800)</f>
        <v>15.25065299</v>
      </c>
      <c r="F1800" s="16">
        <f>ABS(Solieusap!F1800)</f>
        <v>1.424415628</v>
      </c>
      <c r="G1800" s="16">
        <f>ABS(Solieusap!G1800)</f>
        <v>1.938129264</v>
      </c>
      <c r="H1800" s="16">
        <f>ABS(Solieusap!H1800)</f>
        <v>0.0008622950779</v>
      </c>
      <c r="I1800" s="16">
        <f>ABS(Solieusap!I1800)</f>
        <v>5.125826749</v>
      </c>
      <c r="J1800" s="16">
        <f>ABS(Solieusap!J1800)</f>
        <v>3.451855468</v>
      </c>
      <c r="K1800" s="16">
        <f t="shared" si="1"/>
        <v>15.25065299</v>
      </c>
      <c r="L1800" s="16">
        <f t="shared" si="2"/>
        <v>5.125826749</v>
      </c>
    </row>
    <row r="1801" ht="16.5" customHeight="1">
      <c r="A1801" s="15" t="str">
        <f>Solieusap!A1801</f>
        <v>Cũ</v>
      </c>
      <c r="B1801" s="15">
        <f>Solieusap!B1801</f>
        <v>0</v>
      </c>
      <c r="C1801" s="15" t="str">
        <f>Solieusap!C1801</f>
        <v>COMB5</v>
      </c>
      <c r="D1801" s="15" t="str">
        <f>Solieusap!D1801</f>
        <v>Combination</v>
      </c>
      <c r="E1801" s="16">
        <f>ABS(Solieusap!E1801)</f>
        <v>15.26750935</v>
      </c>
      <c r="F1801" s="16">
        <f>ABS(Solieusap!F1801)</f>
        <v>1.426126147</v>
      </c>
      <c r="G1801" s="16">
        <f>ABS(Solieusap!G1801)</f>
        <v>1.94039368</v>
      </c>
      <c r="H1801" s="16">
        <f>ABS(Solieusap!H1801)</f>
        <v>0.0008633501818</v>
      </c>
      <c r="I1801" s="16">
        <f>ABS(Solieusap!I1801)</f>
        <v>5.132621541</v>
      </c>
      <c r="J1801" s="16">
        <f>ABS(Solieusap!J1801)</f>
        <v>3.456402519</v>
      </c>
      <c r="K1801" s="16">
        <f t="shared" si="1"/>
        <v>15.26750935</v>
      </c>
      <c r="L1801" s="16">
        <f t="shared" si="2"/>
        <v>5.132621541</v>
      </c>
    </row>
    <row r="1802" ht="16.5" customHeight="1">
      <c r="A1802" s="15" t="str">
        <f>Solieusap!A1802</f>
        <v>Cũ</v>
      </c>
      <c r="B1802" s="15">
        <f>Solieusap!B1802</f>
        <v>1.75</v>
      </c>
      <c r="C1802" s="15" t="str">
        <f>Solieusap!C1802</f>
        <v>COMB5</v>
      </c>
      <c r="D1802" s="15" t="str">
        <f>Solieusap!D1802</f>
        <v>Combination</v>
      </c>
      <c r="E1802" s="16">
        <f>ABS(Solieusap!E1802)</f>
        <v>15.28436571</v>
      </c>
      <c r="F1802" s="16">
        <f>ABS(Solieusap!F1802)</f>
        <v>1.427836667</v>
      </c>
      <c r="G1802" s="16">
        <f>ABS(Solieusap!G1802)</f>
        <v>1.942658095</v>
      </c>
      <c r="H1802" s="16">
        <f>ABS(Solieusap!H1802)</f>
        <v>0.0008644052857</v>
      </c>
      <c r="I1802" s="16">
        <f>ABS(Solieusap!I1802)</f>
        <v>5.139416333</v>
      </c>
      <c r="J1802" s="16">
        <f>ABS(Solieusap!J1802)</f>
        <v>3.460949571</v>
      </c>
      <c r="K1802" s="16">
        <f t="shared" si="1"/>
        <v>15.28436571</v>
      </c>
      <c r="L1802" s="16">
        <f t="shared" si="2"/>
        <v>5.139416333</v>
      </c>
    </row>
    <row r="1803" ht="16.5" customHeight="1">
      <c r="A1803" s="15" t="str">
        <f>Solieusap!A1803</f>
        <v>Cũ</v>
      </c>
      <c r="B1803" s="15">
        <f>Solieusap!B1803</f>
        <v>3.5</v>
      </c>
      <c r="C1803" s="15" t="str">
        <f>Solieusap!C1803</f>
        <v>COMB5</v>
      </c>
      <c r="D1803" s="15" t="str">
        <f>Solieusap!D1803</f>
        <v>Combination</v>
      </c>
      <c r="E1803" s="16">
        <f>ABS(Solieusap!E1803)</f>
        <v>15.30122208</v>
      </c>
      <c r="F1803" s="16">
        <f>ABS(Solieusap!F1803)</f>
        <v>1.429547186</v>
      </c>
      <c r="G1803" s="16">
        <f>ABS(Solieusap!G1803)</f>
        <v>1.944922511</v>
      </c>
      <c r="H1803" s="16">
        <f>ABS(Solieusap!H1803)</f>
        <v>0.0008654603896</v>
      </c>
      <c r="I1803" s="16">
        <f>ABS(Solieusap!I1803)</f>
        <v>5.146211126</v>
      </c>
      <c r="J1803" s="16">
        <f>ABS(Solieusap!J1803)</f>
        <v>3.465496623</v>
      </c>
      <c r="K1803" s="16">
        <f t="shared" si="1"/>
        <v>15.30122208</v>
      </c>
      <c r="L1803" s="16">
        <f t="shared" si="2"/>
        <v>5.146211126</v>
      </c>
    </row>
    <row r="1804" ht="16.5" customHeight="1">
      <c r="A1804" s="15" t="str">
        <f>Solieusap!A1804</f>
        <v>Cũ</v>
      </c>
      <c r="B1804" s="15">
        <f>Solieusap!B1804</f>
        <v>0</v>
      </c>
      <c r="C1804" s="15" t="str">
        <f>Solieusap!C1804</f>
        <v>COMB6</v>
      </c>
      <c r="D1804" s="15" t="str">
        <f>Solieusap!D1804</f>
        <v>Combination</v>
      </c>
      <c r="E1804" s="16">
        <f>ABS(Solieusap!E1804)</f>
        <v>15.31807844</v>
      </c>
      <c r="F1804" s="16">
        <f>ABS(Solieusap!F1804)</f>
        <v>1.431257706</v>
      </c>
      <c r="G1804" s="16">
        <f>ABS(Solieusap!G1804)</f>
        <v>1.947186926</v>
      </c>
      <c r="H1804" s="16">
        <f>ABS(Solieusap!H1804)</f>
        <v>0.0008665154935</v>
      </c>
      <c r="I1804" s="16">
        <f>ABS(Solieusap!I1804)</f>
        <v>5.153005918</v>
      </c>
      <c r="J1804" s="16">
        <f>ABS(Solieusap!J1804)</f>
        <v>3.470043675</v>
      </c>
      <c r="K1804" s="16">
        <f t="shared" si="1"/>
        <v>15.31807844</v>
      </c>
      <c r="L1804" s="16">
        <f t="shared" si="2"/>
        <v>5.153005918</v>
      </c>
    </row>
    <row r="1805" ht="16.5" customHeight="1">
      <c r="A1805" s="15" t="str">
        <f>Solieusap!A1805</f>
        <v>Cũ</v>
      </c>
      <c r="B1805" s="15">
        <f>Solieusap!B1805</f>
        <v>1.75</v>
      </c>
      <c r="C1805" s="15" t="str">
        <f>Solieusap!C1805</f>
        <v>COMB6</v>
      </c>
      <c r="D1805" s="15" t="str">
        <f>Solieusap!D1805</f>
        <v>Combination</v>
      </c>
      <c r="E1805" s="16">
        <f>ABS(Solieusap!E1805)</f>
        <v>15.33493481</v>
      </c>
      <c r="F1805" s="16">
        <f>ABS(Solieusap!F1805)</f>
        <v>1.432968225</v>
      </c>
      <c r="G1805" s="16">
        <f>ABS(Solieusap!G1805)</f>
        <v>1.949451342</v>
      </c>
      <c r="H1805" s="16">
        <f>ABS(Solieusap!H1805)</f>
        <v>0.0008675705974</v>
      </c>
      <c r="I1805" s="16">
        <f>ABS(Solieusap!I1805)</f>
        <v>5.15980071</v>
      </c>
      <c r="J1805" s="16">
        <f>ABS(Solieusap!J1805)</f>
        <v>3.474590727</v>
      </c>
      <c r="K1805" s="16">
        <f t="shared" si="1"/>
        <v>15.33493481</v>
      </c>
      <c r="L1805" s="16">
        <f t="shared" si="2"/>
        <v>5.15980071</v>
      </c>
    </row>
    <row r="1806" ht="16.5" customHeight="1">
      <c r="A1806" s="15" t="str">
        <f>Solieusap!A1806</f>
        <v>Cũ</v>
      </c>
      <c r="B1806" s="15">
        <f>Solieusap!B1806</f>
        <v>3.5</v>
      </c>
      <c r="C1806" s="15" t="str">
        <f>Solieusap!C1806</f>
        <v>COMB6</v>
      </c>
      <c r="D1806" s="15" t="str">
        <f>Solieusap!D1806</f>
        <v>Combination</v>
      </c>
      <c r="E1806" s="16">
        <f>ABS(Solieusap!E1806)</f>
        <v>15.35179117</v>
      </c>
      <c r="F1806" s="16">
        <f>ABS(Solieusap!F1806)</f>
        <v>1.434678745</v>
      </c>
      <c r="G1806" s="16">
        <f>ABS(Solieusap!G1806)</f>
        <v>1.951715758</v>
      </c>
      <c r="H1806" s="16">
        <f>ABS(Solieusap!H1806)</f>
        <v>0.0008686257013</v>
      </c>
      <c r="I1806" s="16">
        <f>ABS(Solieusap!I1806)</f>
        <v>5.166595502</v>
      </c>
      <c r="J1806" s="16">
        <f>ABS(Solieusap!J1806)</f>
        <v>3.479137779</v>
      </c>
      <c r="K1806" s="16">
        <f t="shared" si="1"/>
        <v>15.35179117</v>
      </c>
      <c r="L1806" s="16">
        <f t="shared" si="2"/>
        <v>5.166595502</v>
      </c>
    </row>
    <row r="1807" ht="16.5" customHeight="1">
      <c r="A1807" s="15" t="str">
        <f>Solieusap!A1807</f>
        <v>Cũ</v>
      </c>
      <c r="B1807" s="15">
        <f>Solieusap!B1807</f>
        <v>0</v>
      </c>
      <c r="C1807" s="15" t="str">
        <f>Solieusap!C1807</f>
        <v>COMB7</v>
      </c>
      <c r="D1807" s="15" t="str">
        <f>Solieusap!D1807</f>
        <v>Combination</v>
      </c>
      <c r="E1807" s="16">
        <f>ABS(Solieusap!E1807)</f>
        <v>15.36864753</v>
      </c>
      <c r="F1807" s="16">
        <f>ABS(Solieusap!F1807)</f>
        <v>1.436389264</v>
      </c>
      <c r="G1807" s="16">
        <f>ABS(Solieusap!G1807)</f>
        <v>1.953980173</v>
      </c>
      <c r="H1807" s="16">
        <f>ABS(Solieusap!H1807)</f>
        <v>0.0008696808052</v>
      </c>
      <c r="I1807" s="16">
        <f>ABS(Solieusap!I1807)</f>
        <v>5.173390294</v>
      </c>
      <c r="J1807" s="16">
        <f>ABS(Solieusap!J1807)</f>
        <v>3.483684831</v>
      </c>
      <c r="K1807" s="16">
        <f t="shared" si="1"/>
        <v>15.36864753</v>
      </c>
      <c r="L1807" s="16">
        <f t="shared" si="2"/>
        <v>5.173390294</v>
      </c>
    </row>
    <row r="1808" ht="16.5" customHeight="1">
      <c r="A1808" s="15" t="str">
        <f>Solieusap!A1808</f>
        <v>Cũ</v>
      </c>
      <c r="B1808" s="15">
        <f>Solieusap!B1808</f>
        <v>1.75</v>
      </c>
      <c r="C1808" s="15" t="str">
        <f>Solieusap!C1808</f>
        <v>COMB7</v>
      </c>
      <c r="D1808" s="15" t="str">
        <f>Solieusap!D1808</f>
        <v>Combination</v>
      </c>
      <c r="E1808" s="16">
        <f>ABS(Solieusap!E1808)</f>
        <v>15.3855039</v>
      </c>
      <c r="F1808" s="16">
        <f>ABS(Solieusap!F1808)</f>
        <v>1.438099784</v>
      </c>
      <c r="G1808" s="16">
        <f>ABS(Solieusap!G1808)</f>
        <v>1.956244589</v>
      </c>
      <c r="H1808" s="16">
        <f>ABS(Solieusap!H1808)</f>
        <v>0.0008707359091</v>
      </c>
      <c r="I1808" s="16">
        <f>ABS(Solieusap!I1808)</f>
        <v>5.180185087</v>
      </c>
      <c r="J1808" s="16">
        <f>ABS(Solieusap!J1808)</f>
        <v>3.488231883</v>
      </c>
      <c r="K1808" s="16">
        <f t="shared" si="1"/>
        <v>15.3855039</v>
      </c>
      <c r="L1808" s="16">
        <f t="shared" si="2"/>
        <v>5.180185087</v>
      </c>
    </row>
    <row r="1809" ht="16.5" customHeight="1">
      <c r="A1809" s="15" t="str">
        <f>Solieusap!A1809</f>
        <v>Cũ</v>
      </c>
      <c r="B1809" s="15">
        <f>Solieusap!B1809</f>
        <v>3.5</v>
      </c>
      <c r="C1809" s="15" t="str">
        <f>Solieusap!C1809</f>
        <v>COMB7</v>
      </c>
      <c r="D1809" s="15" t="str">
        <f>Solieusap!D1809</f>
        <v>Combination</v>
      </c>
      <c r="E1809" s="16">
        <f>ABS(Solieusap!E1809)</f>
        <v>15.40236026</v>
      </c>
      <c r="F1809" s="16">
        <f>ABS(Solieusap!F1809)</f>
        <v>1.439810303</v>
      </c>
      <c r="G1809" s="16">
        <f>ABS(Solieusap!G1809)</f>
        <v>1.958509004</v>
      </c>
      <c r="H1809" s="16">
        <f>ABS(Solieusap!H1809)</f>
        <v>0.000871791013</v>
      </c>
      <c r="I1809" s="16">
        <f>ABS(Solieusap!I1809)</f>
        <v>5.186979879</v>
      </c>
      <c r="J1809" s="16">
        <f>ABS(Solieusap!J1809)</f>
        <v>3.492778935</v>
      </c>
      <c r="K1809" s="16">
        <f t="shared" si="1"/>
        <v>15.40236026</v>
      </c>
      <c r="L1809" s="16">
        <f t="shared" si="2"/>
        <v>5.186979879</v>
      </c>
    </row>
    <row r="1810" ht="16.5" customHeight="1">
      <c r="A1810" s="15" t="str">
        <f>Solieusap!A1810</f>
        <v>Cũ</v>
      </c>
      <c r="B1810" s="15">
        <f>Solieusap!B1810</f>
        <v>0</v>
      </c>
      <c r="C1810" s="15" t="str">
        <f>Solieusap!C1810</f>
        <v>COMB1</v>
      </c>
      <c r="D1810" s="15" t="str">
        <f>Solieusap!D1810</f>
        <v>Combination</v>
      </c>
      <c r="E1810" s="16">
        <f>ABS(Solieusap!E1810)</f>
        <v>15.41921662</v>
      </c>
      <c r="F1810" s="16">
        <f>ABS(Solieusap!F1810)</f>
        <v>1.441520823</v>
      </c>
      <c r="G1810" s="16">
        <f>ABS(Solieusap!G1810)</f>
        <v>1.96077342</v>
      </c>
      <c r="H1810" s="16">
        <f>ABS(Solieusap!H1810)</f>
        <v>0.0008728461169</v>
      </c>
      <c r="I1810" s="16">
        <f>ABS(Solieusap!I1810)</f>
        <v>5.193774671</v>
      </c>
      <c r="J1810" s="16">
        <f>ABS(Solieusap!J1810)</f>
        <v>3.497325987</v>
      </c>
      <c r="K1810" s="16">
        <f t="shared" si="1"/>
        <v>15.41921662</v>
      </c>
      <c r="L1810" s="16">
        <f t="shared" si="2"/>
        <v>5.193774671</v>
      </c>
    </row>
    <row r="1811" ht="16.5" customHeight="1">
      <c r="A1811" s="15" t="str">
        <f>Solieusap!A1811</f>
        <v>Cũ</v>
      </c>
      <c r="B1811" s="15">
        <f>Solieusap!B1811</f>
        <v>1.75</v>
      </c>
      <c r="C1811" s="15" t="str">
        <f>Solieusap!C1811</f>
        <v>COMB1</v>
      </c>
      <c r="D1811" s="15" t="str">
        <f>Solieusap!D1811</f>
        <v>Combination</v>
      </c>
      <c r="E1811" s="16">
        <f>ABS(Solieusap!E1811)</f>
        <v>15.43607299</v>
      </c>
      <c r="F1811" s="16">
        <f>ABS(Solieusap!F1811)</f>
        <v>1.443231342</v>
      </c>
      <c r="G1811" s="16">
        <f>ABS(Solieusap!G1811)</f>
        <v>1.963037835</v>
      </c>
      <c r="H1811" s="16">
        <f>ABS(Solieusap!H1811)</f>
        <v>0.0008739012208</v>
      </c>
      <c r="I1811" s="16">
        <f>ABS(Solieusap!I1811)</f>
        <v>5.200569463</v>
      </c>
      <c r="J1811" s="16">
        <f>ABS(Solieusap!J1811)</f>
        <v>3.501873039</v>
      </c>
      <c r="K1811" s="16">
        <f t="shared" si="1"/>
        <v>15.43607299</v>
      </c>
      <c r="L1811" s="16">
        <f t="shared" si="2"/>
        <v>5.200569463</v>
      </c>
    </row>
    <row r="1812" ht="16.5" customHeight="1">
      <c r="A1812" s="15" t="str">
        <f>Solieusap!A1812</f>
        <v>Cũ</v>
      </c>
      <c r="B1812" s="15">
        <f>Solieusap!B1812</f>
        <v>3.5</v>
      </c>
      <c r="C1812" s="15" t="str">
        <f>Solieusap!C1812</f>
        <v>COMB1</v>
      </c>
      <c r="D1812" s="15" t="str">
        <f>Solieusap!D1812</f>
        <v>Combination</v>
      </c>
      <c r="E1812" s="16">
        <f>ABS(Solieusap!E1812)</f>
        <v>15.45292935</v>
      </c>
      <c r="F1812" s="16">
        <f>ABS(Solieusap!F1812)</f>
        <v>1.444941861</v>
      </c>
      <c r="G1812" s="16">
        <f>ABS(Solieusap!G1812)</f>
        <v>1.965302251</v>
      </c>
      <c r="H1812" s="16">
        <f>ABS(Solieusap!H1812)</f>
        <v>0.0008749563247</v>
      </c>
      <c r="I1812" s="16">
        <f>ABS(Solieusap!I1812)</f>
        <v>5.207364255</v>
      </c>
      <c r="J1812" s="16">
        <f>ABS(Solieusap!J1812)</f>
        <v>3.506420091</v>
      </c>
      <c r="K1812" s="16">
        <f t="shared" si="1"/>
        <v>15.45292935</v>
      </c>
      <c r="L1812" s="16">
        <f t="shared" si="2"/>
        <v>5.207364255</v>
      </c>
    </row>
    <row r="1813" ht="16.5" customHeight="1">
      <c r="A1813" s="15" t="str">
        <f>Solieusap!A1813</f>
        <v>Cũ</v>
      </c>
      <c r="B1813" s="15">
        <f>Solieusap!B1813</f>
        <v>0</v>
      </c>
      <c r="C1813" s="15" t="str">
        <f>Solieusap!C1813</f>
        <v>COMB2</v>
      </c>
      <c r="D1813" s="15" t="str">
        <f>Solieusap!D1813</f>
        <v>Combination</v>
      </c>
      <c r="E1813" s="16">
        <f>ABS(Solieusap!E1813)</f>
        <v>15.46978571</v>
      </c>
      <c r="F1813" s="16">
        <f>ABS(Solieusap!F1813)</f>
        <v>1.446652381</v>
      </c>
      <c r="G1813" s="16">
        <f>ABS(Solieusap!G1813)</f>
        <v>1.967566667</v>
      </c>
      <c r="H1813" s="16">
        <f>ABS(Solieusap!H1813)</f>
        <v>0.0008760114286</v>
      </c>
      <c r="I1813" s="16">
        <f>ABS(Solieusap!I1813)</f>
        <v>5.214159048</v>
      </c>
      <c r="J1813" s="16">
        <f>ABS(Solieusap!J1813)</f>
        <v>3.510967143</v>
      </c>
      <c r="K1813" s="16">
        <f t="shared" si="1"/>
        <v>15.46978571</v>
      </c>
      <c r="L1813" s="16">
        <f t="shared" si="2"/>
        <v>5.214159048</v>
      </c>
    </row>
    <row r="1814" ht="16.5" customHeight="1">
      <c r="A1814" s="15" t="str">
        <f>Solieusap!A1814</f>
        <v>Cũ</v>
      </c>
      <c r="B1814" s="15">
        <f>Solieusap!B1814</f>
        <v>1.75</v>
      </c>
      <c r="C1814" s="15" t="str">
        <f>Solieusap!C1814</f>
        <v>COMB2</v>
      </c>
      <c r="D1814" s="15" t="str">
        <f>Solieusap!D1814</f>
        <v>Combination</v>
      </c>
      <c r="E1814" s="16">
        <f>ABS(Solieusap!E1814)</f>
        <v>15.48664208</v>
      </c>
      <c r="F1814" s="16">
        <f>ABS(Solieusap!F1814)</f>
        <v>1.4483629</v>
      </c>
      <c r="G1814" s="16">
        <f>ABS(Solieusap!G1814)</f>
        <v>1.969831082</v>
      </c>
      <c r="H1814" s="16">
        <f>ABS(Solieusap!H1814)</f>
        <v>0.0008770665325</v>
      </c>
      <c r="I1814" s="16">
        <f>ABS(Solieusap!I1814)</f>
        <v>5.22095384</v>
      </c>
      <c r="J1814" s="16">
        <f>ABS(Solieusap!J1814)</f>
        <v>3.515514195</v>
      </c>
      <c r="K1814" s="16">
        <f t="shared" si="1"/>
        <v>15.48664208</v>
      </c>
      <c r="L1814" s="16">
        <f t="shared" si="2"/>
        <v>5.22095384</v>
      </c>
    </row>
    <row r="1815" ht="16.5" customHeight="1">
      <c r="A1815" s="15" t="str">
        <f>Solieusap!A1815</f>
        <v>Cũ</v>
      </c>
      <c r="B1815" s="15">
        <f>Solieusap!B1815</f>
        <v>3.5</v>
      </c>
      <c r="C1815" s="15" t="str">
        <f>Solieusap!C1815</f>
        <v>COMB2</v>
      </c>
      <c r="D1815" s="15" t="str">
        <f>Solieusap!D1815</f>
        <v>Combination</v>
      </c>
      <c r="E1815" s="16">
        <f>ABS(Solieusap!E1815)</f>
        <v>15.50349844</v>
      </c>
      <c r="F1815" s="16">
        <f>ABS(Solieusap!F1815)</f>
        <v>1.45007342</v>
      </c>
      <c r="G1815" s="16">
        <f>ABS(Solieusap!G1815)</f>
        <v>1.972095498</v>
      </c>
      <c r="H1815" s="16">
        <f>ABS(Solieusap!H1815)</f>
        <v>0.0008781216364</v>
      </c>
      <c r="I1815" s="16">
        <f>ABS(Solieusap!I1815)</f>
        <v>5.227748632</v>
      </c>
      <c r="J1815" s="16">
        <f>ABS(Solieusap!J1815)</f>
        <v>3.520061247</v>
      </c>
      <c r="K1815" s="16">
        <f t="shared" si="1"/>
        <v>15.50349844</v>
      </c>
      <c r="L1815" s="16">
        <f t="shared" si="2"/>
        <v>5.227748632</v>
      </c>
    </row>
    <row r="1816" ht="16.5" customHeight="1">
      <c r="A1816" s="15" t="str">
        <f>Solieusap!A1816</f>
        <v>Cũ</v>
      </c>
      <c r="B1816" s="15">
        <f>Solieusap!B1816</f>
        <v>0</v>
      </c>
      <c r="C1816" s="15" t="str">
        <f>Solieusap!C1816</f>
        <v>COMB3</v>
      </c>
      <c r="D1816" s="15" t="str">
        <f>Solieusap!D1816</f>
        <v>Combination</v>
      </c>
      <c r="E1816" s="16">
        <f>ABS(Solieusap!E1816)</f>
        <v>15.52035481</v>
      </c>
      <c r="F1816" s="16">
        <f>ABS(Solieusap!F1816)</f>
        <v>1.451783939</v>
      </c>
      <c r="G1816" s="16">
        <f>ABS(Solieusap!G1816)</f>
        <v>1.974359913</v>
      </c>
      <c r="H1816" s="16">
        <f>ABS(Solieusap!H1816)</f>
        <v>0.0008791767403</v>
      </c>
      <c r="I1816" s="16">
        <f>ABS(Solieusap!I1816)</f>
        <v>5.234543424</v>
      </c>
      <c r="J1816" s="16">
        <f>ABS(Solieusap!J1816)</f>
        <v>3.524608299</v>
      </c>
      <c r="K1816" s="16">
        <f t="shared" si="1"/>
        <v>15.52035481</v>
      </c>
      <c r="L1816" s="16">
        <f t="shared" si="2"/>
        <v>5.234543424</v>
      </c>
    </row>
    <row r="1817" ht="16.5" customHeight="1">
      <c r="A1817" s="15" t="str">
        <f>Solieusap!A1817</f>
        <v>Cũ</v>
      </c>
      <c r="B1817" s="15">
        <f>Solieusap!B1817</f>
        <v>1.75</v>
      </c>
      <c r="C1817" s="15" t="str">
        <f>Solieusap!C1817</f>
        <v>COMB3</v>
      </c>
      <c r="D1817" s="15" t="str">
        <f>Solieusap!D1817</f>
        <v>Combination</v>
      </c>
      <c r="E1817" s="16">
        <f>ABS(Solieusap!E1817)</f>
        <v>15.53721117</v>
      </c>
      <c r="F1817" s="16">
        <f>ABS(Solieusap!F1817)</f>
        <v>1.453494459</v>
      </c>
      <c r="G1817" s="16">
        <f>ABS(Solieusap!G1817)</f>
        <v>1.976624329</v>
      </c>
      <c r="H1817" s="16">
        <f>ABS(Solieusap!H1817)</f>
        <v>0.0008802318442</v>
      </c>
      <c r="I1817" s="16">
        <f>ABS(Solieusap!I1817)</f>
        <v>5.241338216</v>
      </c>
      <c r="J1817" s="16">
        <f>ABS(Solieusap!J1817)</f>
        <v>3.529155351</v>
      </c>
      <c r="K1817" s="16">
        <f t="shared" si="1"/>
        <v>15.53721117</v>
      </c>
      <c r="L1817" s="16">
        <f t="shared" si="2"/>
        <v>5.241338216</v>
      </c>
    </row>
    <row r="1818" ht="16.5" customHeight="1">
      <c r="A1818" s="15" t="str">
        <f>Solieusap!A1818</f>
        <v>Cũ</v>
      </c>
      <c r="B1818" s="15">
        <f>Solieusap!B1818</f>
        <v>3.5</v>
      </c>
      <c r="C1818" s="15" t="str">
        <f>Solieusap!C1818</f>
        <v>COMB3</v>
      </c>
      <c r="D1818" s="15" t="str">
        <f>Solieusap!D1818</f>
        <v>Combination</v>
      </c>
      <c r="E1818" s="16">
        <f>ABS(Solieusap!E1818)</f>
        <v>15.55406753</v>
      </c>
      <c r="F1818" s="16">
        <f>ABS(Solieusap!F1818)</f>
        <v>1.455204978</v>
      </c>
      <c r="G1818" s="16">
        <f>ABS(Solieusap!G1818)</f>
        <v>1.978888745</v>
      </c>
      <c r="H1818" s="16">
        <f>ABS(Solieusap!H1818)</f>
        <v>0.0008812869481</v>
      </c>
      <c r="I1818" s="16">
        <f>ABS(Solieusap!I1818)</f>
        <v>5.248133009</v>
      </c>
      <c r="J1818" s="16">
        <f>ABS(Solieusap!J1818)</f>
        <v>3.533702403</v>
      </c>
      <c r="K1818" s="16">
        <f t="shared" si="1"/>
        <v>15.55406753</v>
      </c>
      <c r="L1818" s="16">
        <f t="shared" si="2"/>
        <v>5.248133009</v>
      </c>
    </row>
    <row r="1819" ht="16.5" customHeight="1">
      <c r="A1819" s="15" t="str">
        <f>Solieusap!A1819</f>
        <v>Cũ</v>
      </c>
      <c r="B1819" s="15">
        <f>Solieusap!B1819</f>
        <v>0</v>
      </c>
      <c r="C1819" s="15" t="str">
        <f>Solieusap!C1819</f>
        <v>COMB4</v>
      </c>
      <c r="D1819" s="15" t="str">
        <f>Solieusap!D1819</f>
        <v>Combination</v>
      </c>
      <c r="E1819" s="16">
        <f>ABS(Solieusap!E1819)</f>
        <v>15.5709239</v>
      </c>
      <c r="F1819" s="16">
        <f>ABS(Solieusap!F1819)</f>
        <v>1.456915498</v>
      </c>
      <c r="G1819" s="16">
        <f>ABS(Solieusap!G1819)</f>
        <v>1.98115316</v>
      </c>
      <c r="H1819" s="16">
        <f>ABS(Solieusap!H1819)</f>
        <v>0.0008823420519</v>
      </c>
      <c r="I1819" s="16">
        <f>ABS(Solieusap!I1819)</f>
        <v>5.254927801</v>
      </c>
      <c r="J1819" s="16">
        <f>ABS(Solieusap!J1819)</f>
        <v>3.538249455</v>
      </c>
      <c r="K1819" s="16">
        <f t="shared" si="1"/>
        <v>15.5709239</v>
      </c>
      <c r="L1819" s="16">
        <f t="shared" si="2"/>
        <v>5.254927801</v>
      </c>
    </row>
    <row r="1820" ht="16.5" customHeight="1">
      <c r="A1820" s="15" t="str">
        <f>Solieusap!A1820</f>
        <v>Cũ</v>
      </c>
      <c r="B1820" s="15">
        <f>Solieusap!B1820</f>
        <v>1.75</v>
      </c>
      <c r="C1820" s="15" t="str">
        <f>Solieusap!C1820</f>
        <v>COMB4</v>
      </c>
      <c r="D1820" s="15" t="str">
        <f>Solieusap!D1820</f>
        <v>Combination</v>
      </c>
      <c r="E1820" s="16">
        <f>ABS(Solieusap!E1820)</f>
        <v>15.58778026</v>
      </c>
      <c r="F1820" s="16">
        <f>ABS(Solieusap!F1820)</f>
        <v>1.458626017</v>
      </c>
      <c r="G1820" s="16">
        <f>ABS(Solieusap!G1820)</f>
        <v>1.983417576</v>
      </c>
      <c r="H1820" s="16">
        <f>ABS(Solieusap!H1820)</f>
        <v>0.0008833971558</v>
      </c>
      <c r="I1820" s="16">
        <f>ABS(Solieusap!I1820)</f>
        <v>5.261722593</v>
      </c>
      <c r="J1820" s="16">
        <f>ABS(Solieusap!J1820)</f>
        <v>3.542796506</v>
      </c>
      <c r="K1820" s="16">
        <f t="shared" si="1"/>
        <v>15.58778026</v>
      </c>
      <c r="L1820" s="16">
        <f t="shared" si="2"/>
        <v>5.261722593</v>
      </c>
    </row>
    <row r="1821" ht="16.5" customHeight="1">
      <c r="A1821" s="15" t="str">
        <f>Solieusap!A1821</f>
        <v>Cũ</v>
      </c>
      <c r="B1821" s="15">
        <f>Solieusap!B1821</f>
        <v>3.5</v>
      </c>
      <c r="C1821" s="15" t="str">
        <f>Solieusap!C1821</f>
        <v>COMB4</v>
      </c>
      <c r="D1821" s="15" t="str">
        <f>Solieusap!D1821</f>
        <v>Combination</v>
      </c>
      <c r="E1821" s="16">
        <f>ABS(Solieusap!E1821)</f>
        <v>15.60463662</v>
      </c>
      <c r="F1821" s="16">
        <f>ABS(Solieusap!F1821)</f>
        <v>1.460336537</v>
      </c>
      <c r="G1821" s="16">
        <f>ABS(Solieusap!G1821)</f>
        <v>1.985681991</v>
      </c>
      <c r="H1821" s="16">
        <f>ABS(Solieusap!H1821)</f>
        <v>0.0008844522597</v>
      </c>
      <c r="I1821" s="16">
        <f>ABS(Solieusap!I1821)</f>
        <v>5.268517385</v>
      </c>
      <c r="J1821" s="16">
        <f>ABS(Solieusap!J1821)</f>
        <v>3.547343558</v>
      </c>
      <c r="K1821" s="16">
        <f t="shared" si="1"/>
        <v>15.60463662</v>
      </c>
      <c r="L1821" s="16">
        <f t="shared" si="2"/>
        <v>5.268517385</v>
      </c>
    </row>
    <row r="1822" ht="16.5" customHeight="1">
      <c r="A1822" s="15" t="str">
        <f>Solieusap!A1822</f>
        <v>Cũ</v>
      </c>
      <c r="B1822" s="15">
        <f>Solieusap!B1822</f>
        <v>0</v>
      </c>
      <c r="C1822" s="15" t="str">
        <f>Solieusap!C1822</f>
        <v>COMB5</v>
      </c>
      <c r="D1822" s="15" t="str">
        <f>Solieusap!D1822</f>
        <v>Combination</v>
      </c>
      <c r="E1822" s="16">
        <f>ABS(Solieusap!E1822)</f>
        <v>15.62149299</v>
      </c>
      <c r="F1822" s="16">
        <f>ABS(Solieusap!F1822)</f>
        <v>1.462047056</v>
      </c>
      <c r="G1822" s="16">
        <f>ABS(Solieusap!G1822)</f>
        <v>1.987946407</v>
      </c>
      <c r="H1822" s="16">
        <f>ABS(Solieusap!H1822)</f>
        <v>0.0008855073636</v>
      </c>
      <c r="I1822" s="16">
        <f>ABS(Solieusap!I1822)</f>
        <v>5.275312177</v>
      </c>
      <c r="J1822" s="16">
        <f>ABS(Solieusap!J1822)</f>
        <v>3.55189061</v>
      </c>
      <c r="K1822" s="16">
        <f t="shared" si="1"/>
        <v>15.62149299</v>
      </c>
      <c r="L1822" s="16">
        <f t="shared" si="2"/>
        <v>5.275312177</v>
      </c>
    </row>
    <row r="1823" ht="16.5" customHeight="1">
      <c r="A1823" s="15" t="str">
        <f>Solieusap!A1823</f>
        <v>Cũ</v>
      </c>
      <c r="B1823" s="15">
        <f>Solieusap!B1823</f>
        <v>1.75</v>
      </c>
      <c r="C1823" s="15" t="str">
        <f>Solieusap!C1823</f>
        <v>COMB5</v>
      </c>
      <c r="D1823" s="15" t="str">
        <f>Solieusap!D1823</f>
        <v>Combination</v>
      </c>
      <c r="E1823" s="16">
        <f>ABS(Solieusap!E1823)</f>
        <v>15.63834935</v>
      </c>
      <c r="F1823" s="16">
        <f>ABS(Solieusap!F1823)</f>
        <v>1.463757576</v>
      </c>
      <c r="G1823" s="16">
        <f>ABS(Solieusap!G1823)</f>
        <v>1.990210823</v>
      </c>
      <c r="H1823" s="16">
        <f>ABS(Solieusap!H1823)</f>
        <v>0.0008865624675</v>
      </c>
      <c r="I1823" s="16">
        <f>ABS(Solieusap!I1823)</f>
        <v>5.28210697</v>
      </c>
      <c r="J1823" s="16">
        <f>ABS(Solieusap!J1823)</f>
        <v>3.556437662</v>
      </c>
      <c r="K1823" s="16">
        <f t="shared" si="1"/>
        <v>15.63834935</v>
      </c>
      <c r="L1823" s="16">
        <f t="shared" si="2"/>
        <v>5.28210697</v>
      </c>
    </row>
    <row r="1824" ht="16.5" customHeight="1">
      <c r="A1824" s="15" t="str">
        <f>Solieusap!A1824</f>
        <v>Cũ</v>
      </c>
      <c r="B1824" s="15">
        <f>Solieusap!B1824</f>
        <v>3.5</v>
      </c>
      <c r="C1824" s="15" t="str">
        <f>Solieusap!C1824</f>
        <v>COMB5</v>
      </c>
      <c r="D1824" s="15" t="str">
        <f>Solieusap!D1824</f>
        <v>Combination</v>
      </c>
      <c r="E1824" s="16">
        <f>ABS(Solieusap!E1824)</f>
        <v>15.65520571</v>
      </c>
      <c r="F1824" s="16">
        <f>ABS(Solieusap!F1824)</f>
        <v>1.465468095</v>
      </c>
      <c r="G1824" s="16">
        <f>ABS(Solieusap!G1824)</f>
        <v>1.992475238</v>
      </c>
      <c r="H1824" s="16">
        <f>ABS(Solieusap!H1824)</f>
        <v>0.0008876175714</v>
      </c>
      <c r="I1824" s="16">
        <f>ABS(Solieusap!I1824)</f>
        <v>5.288901762</v>
      </c>
      <c r="J1824" s="16">
        <f>ABS(Solieusap!J1824)</f>
        <v>3.560984714</v>
      </c>
      <c r="K1824" s="16">
        <f t="shared" si="1"/>
        <v>15.65520571</v>
      </c>
      <c r="L1824" s="16">
        <f t="shared" si="2"/>
        <v>5.288901762</v>
      </c>
    </row>
    <row r="1825" ht="16.5" customHeight="1">
      <c r="A1825" s="15" t="str">
        <f>Solieusap!A1825</f>
        <v>Cũ</v>
      </c>
      <c r="B1825" s="15">
        <f>Solieusap!B1825</f>
        <v>0</v>
      </c>
      <c r="C1825" s="15" t="str">
        <f>Solieusap!C1825</f>
        <v>COMB6</v>
      </c>
      <c r="D1825" s="15" t="str">
        <f>Solieusap!D1825</f>
        <v>Combination</v>
      </c>
      <c r="E1825" s="16">
        <f>ABS(Solieusap!E1825)</f>
        <v>15.67206208</v>
      </c>
      <c r="F1825" s="16">
        <f>ABS(Solieusap!F1825)</f>
        <v>1.467178615</v>
      </c>
      <c r="G1825" s="16">
        <f>ABS(Solieusap!G1825)</f>
        <v>1.994739654</v>
      </c>
      <c r="H1825" s="16">
        <f>ABS(Solieusap!H1825)</f>
        <v>0.0008886726753</v>
      </c>
      <c r="I1825" s="16">
        <f>ABS(Solieusap!I1825)</f>
        <v>5.295696554</v>
      </c>
      <c r="J1825" s="16">
        <f>ABS(Solieusap!J1825)</f>
        <v>3.565531766</v>
      </c>
      <c r="K1825" s="16">
        <f t="shared" si="1"/>
        <v>15.67206208</v>
      </c>
      <c r="L1825" s="16">
        <f t="shared" si="2"/>
        <v>5.295696554</v>
      </c>
    </row>
    <row r="1826" ht="16.5" customHeight="1">
      <c r="A1826" s="15" t="str">
        <f>Solieusap!A1826</f>
        <v>Cũ</v>
      </c>
      <c r="B1826" s="15">
        <f>Solieusap!B1826</f>
        <v>1.75</v>
      </c>
      <c r="C1826" s="15" t="str">
        <f>Solieusap!C1826</f>
        <v>COMB6</v>
      </c>
      <c r="D1826" s="15" t="str">
        <f>Solieusap!D1826</f>
        <v>Combination</v>
      </c>
      <c r="E1826" s="16">
        <f>ABS(Solieusap!E1826)</f>
        <v>15.68891844</v>
      </c>
      <c r="F1826" s="16">
        <f>ABS(Solieusap!F1826)</f>
        <v>1.468889134</v>
      </c>
      <c r="G1826" s="16">
        <f>ABS(Solieusap!G1826)</f>
        <v>1.997004069</v>
      </c>
      <c r="H1826" s="16">
        <f>ABS(Solieusap!H1826)</f>
        <v>0.0008897277792</v>
      </c>
      <c r="I1826" s="16">
        <f>ABS(Solieusap!I1826)</f>
        <v>5.302491346</v>
      </c>
      <c r="J1826" s="16">
        <f>ABS(Solieusap!J1826)</f>
        <v>3.570078818</v>
      </c>
      <c r="K1826" s="16">
        <f t="shared" si="1"/>
        <v>15.68891844</v>
      </c>
      <c r="L1826" s="16">
        <f t="shared" si="2"/>
        <v>5.302491346</v>
      </c>
    </row>
    <row r="1827" ht="16.5" customHeight="1">
      <c r="A1827" s="15" t="str">
        <f>Solieusap!A1827</f>
        <v>Cũ</v>
      </c>
      <c r="B1827" s="15">
        <f>Solieusap!B1827</f>
        <v>3.5</v>
      </c>
      <c r="C1827" s="15" t="str">
        <f>Solieusap!C1827</f>
        <v>COMB6</v>
      </c>
      <c r="D1827" s="15" t="str">
        <f>Solieusap!D1827</f>
        <v>Combination</v>
      </c>
      <c r="E1827" s="16">
        <f>ABS(Solieusap!E1827)</f>
        <v>15.70577481</v>
      </c>
      <c r="F1827" s="16">
        <f>ABS(Solieusap!F1827)</f>
        <v>1.470599654</v>
      </c>
      <c r="G1827" s="16">
        <f>ABS(Solieusap!G1827)</f>
        <v>1.999268485</v>
      </c>
      <c r="H1827" s="16">
        <f>ABS(Solieusap!H1827)</f>
        <v>0.0008907828831</v>
      </c>
      <c r="I1827" s="16">
        <f>ABS(Solieusap!I1827)</f>
        <v>5.309286139</v>
      </c>
      <c r="J1827" s="16">
        <f>ABS(Solieusap!J1827)</f>
        <v>3.57462587</v>
      </c>
      <c r="K1827" s="16">
        <f t="shared" si="1"/>
        <v>15.70577481</v>
      </c>
      <c r="L1827" s="16">
        <f t="shared" si="2"/>
        <v>5.309286139</v>
      </c>
    </row>
    <row r="1828" ht="16.5" customHeight="1">
      <c r="A1828" s="15" t="str">
        <f>Solieusap!A1828</f>
        <v>Cũ</v>
      </c>
      <c r="B1828" s="15">
        <f>Solieusap!B1828</f>
        <v>0</v>
      </c>
      <c r="C1828" s="15" t="str">
        <f>Solieusap!C1828</f>
        <v>COMB7</v>
      </c>
      <c r="D1828" s="15" t="str">
        <f>Solieusap!D1828</f>
        <v>Combination</v>
      </c>
      <c r="E1828" s="16">
        <f>ABS(Solieusap!E1828)</f>
        <v>15.72263117</v>
      </c>
      <c r="F1828" s="16">
        <f>ABS(Solieusap!F1828)</f>
        <v>1.472310173</v>
      </c>
      <c r="G1828" s="16">
        <f>ABS(Solieusap!G1828)</f>
        <v>2.0015329</v>
      </c>
      <c r="H1828" s="16">
        <f>ABS(Solieusap!H1828)</f>
        <v>0.000891837987</v>
      </c>
      <c r="I1828" s="16">
        <f>ABS(Solieusap!I1828)</f>
        <v>5.316080931</v>
      </c>
      <c r="J1828" s="16">
        <f>ABS(Solieusap!J1828)</f>
        <v>3.579172922</v>
      </c>
      <c r="K1828" s="16">
        <f t="shared" si="1"/>
        <v>15.72263117</v>
      </c>
      <c r="L1828" s="16">
        <f t="shared" si="2"/>
        <v>5.316080931</v>
      </c>
    </row>
    <row r="1829" ht="16.5" customHeight="1">
      <c r="A1829" s="15" t="str">
        <f>Solieusap!A1829</f>
        <v>Cũ</v>
      </c>
      <c r="B1829" s="15">
        <f>Solieusap!B1829</f>
        <v>1.75</v>
      </c>
      <c r="C1829" s="15" t="str">
        <f>Solieusap!C1829</f>
        <v>COMB7</v>
      </c>
      <c r="D1829" s="15" t="str">
        <f>Solieusap!D1829</f>
        <v>Combination</v>
      </c>
      <c r="E1829" s="16">
        <f>ABS(Solieusap!E1829)</f>
        <v>15.73948753</v>
      </c>
      <c r="F1829" s="16">
        <f>ABS(Solieusap!F1829)</f>
        <v>1.474020693</v>
      </c>
      <c r="G1829" s="16">
        <f>ABS(Solieusap!G1829)</f>
        <v>2.003797316</v>
      </c>
      <c r="H1829" s="16">
        <f>ABS(Solieusap!H1829)</f>
        <v>0.0008928930909</v>
      </c>
      <c r="I1829" s="16">
        <f>ABS(Solieusap!I1829)</f>
        <v>5.322875723</v>
      </c>
      <c r="J1829" s="16">
        <f>ABS(Solieusap!J1829)</f>
        <v>3.583719974</v>
      </c>
      <c r="K1829" s="16">
        <f t="shared" si="1"/>
        <v>15.73948753</v>
      </c>
      <c r="L1829" s="16">
        <f t="shared" si="2"/>
        <v>5.322875723</v>
      </c>
    </row>
    <row r="1830" ht="16.5" customHeight="1">
      <c r="A1830" s="15" t="str">
        <f>Solieusap!A1830</f>
        <v>Cũ</v>
      </c>
      <c r="B1830" s="15">
        <f>Solieusap!B1830</f>
        <v>3.5</v>
      </c>
      <c r="C1830" s="15" t="str">
        <f>Solieusap!C1830</f>
        <v>COMB7</v>
      </c>
      <c r="D1830" s="15" t="str">
        <f>Solieusap!D1830</f>
        <v>Combination</v>
      </c>
      <c r="E1830" s="16">
        <f>ABS(Solieusap!E1830)</f>
        <v>15.7563439</v>
      </c>
      <c r="F1830" s="16">
        <f>ABS(Solieusap!F1830)</f>
        <v>1.475731212</v>
      </c>
      <c r="G1830" s="16">
        <f>ABS(Solieusap!G1830)</f>
        <v>2.006061732</v>
      </c>
      <c r="H1830" s="16">
        <f>ABS(Solieusap!H1830)</f>
        <v>0.0008939481948</v>
      </c>
      <c r="I1830" s="16">
        <f>ABS(Solieusap!I1830)</f>
        <v>5.329670515</v>
      </c>
      <c r="J1830" s="16">
        <f>ABS(Solieusap!J1830)</f>
        <v>3.588267026</v>
      </c>
      <c r="K1830" s="16">
        <f t="shared" si="1"/>
        <v>15.7563439</v>
      </c>
      <c r="L1830" s="16">
        <f t="shared" si="2"/>
        <v>5.329670515</v>
      </c>
    </row>
    <row r="1831" ht="16.5" customHeight="1">
      <c r="A1831" s="15" t="str">
        <f>Solieusap!A1831</f>
        <v>Cũ</v>
      </c>
      <c r="B1831" s="15">
        <f>Solieusap!B1831</f>
        <v>0</v>
      </c>
      <c r="C1831" s="15" t="str">
        <f>Solieusap!C1831</f>
        <v>COMB1</v>
      </c>
      <c r="D1831" s="15" t="str">
        <f>Solieusap!D1831</f>
        <v>Combination</v>
      </c>
      <c r="E1831" s="16">
        <f>ABS(Solieusap!E1831)</f>
        <v>15.77320026</v>
      </c>
      <c r="F1831" s="16">
        <f>ABS(Solieusap!F1831)</f>
        <v>1.477441732</v>
      </c>
      <c r="G1831" s="16">
        <f>ABS(Solieusap!G1831)</f>
        <v>2.008326147</v>
      </c>
      <c r="H1831" s="16">
        <f>ABS(Solieusap!H1831)</f>
        <v>0.0008950032987</v>
      </c>
      <c r="I1831" s="16">
        <f>ABS(Solieusap!I1831)</f>
        <v>5.336465307</v>
      </c>
      <c r="J1831" s="16">
        <f>ABS(Solieusap!J1831)</f>
        <v>3.592814078</v>
      </c>
      <c r="K1831" s="16">
        <f t="shared" si="1"/>
        <v>15.77320026</v>
      </c>
      <c r="L1831" s="16">
        <f t="shared" si="2"/>
        <v>5.336465307</v>
      </c>
    </row>
    <row r="1832" ht="16.5" customHeight="1">
      <c r="A1832" s="15" t="str">
        <f>Solieusap!A1832</f>
        <v>Cũ</v>
      </c>
      <c r="B1832" s="15">
        <f>Solieusap!B1832</f>
        <v>1.75</v>
      </c>
      <c r="C1832" s="15" t="str">
        <f>Solieusap!C1832</f>
        <v>COMB1</v>
      </c>
      <c r="D1832" s="15" t="str">
        <f>Solieusap!D1832</f>
        <v>Combination</v>
      </c>
      <c r="E1832" s="16">
        <f>ABS(Solieusap!E1832)</f>
        <v>15.79005662</v>
      </c>
      <c r="F1832" s="16">
        <f>ABS(Solieusap!F1832)</f>
        <v>1.479152251</v>
      </c>
      <c r="G1832" s="16">
        <f>ABS(Solieusap!G1832)</f>
        <v>2.010590563</v>
      </c>
      <c r="H1832" s="16">
        <f>ABS(Solieusap!H1832)</f>
        <v>0.0008960584026</v>
      </c>
      <c r="I1832" s="16">
        <f>ABS(Solieusap!I1832)</f>
        <v>5.3432601</v>
      </c>
      <c r="J1832" s="16">
        <f>ABS(Solieusap!J1832)</f>
        <v>3.59736113</v>
      </c>
      <c r="K1832" s="16">
        <f t="shared" si="1"/>
        <v>15.79005662</v>
      </c>
      <c r="L1832" s="16">
        <f t="shared" si="2"/>
        <v>5.3432601</v>
      </c>
    </row>
    <row r="1833" ht="16.5" customHeight="1">
      <c r="A1833" s="15" t="str">
        <f>Solieusap!A1833</f>
        <v>Cũ</v>
      </c>
      <c r="B1833" s="15">
        <f>Solieusap!B1833</f>
        <v>3.5</v>
      </c>
      <c r="C1833" s="15" t="str">
        <f>Solieusap!C1833</f>
        <v>COMB1</v>
      </c>
      <c r="D1833" s="15" t="str">
        <f>Solieusap!D1833</f>
        <v>Combination</v>
      </c>
      <c r="E1833" s="16">
        <f>ABS(Solieusap!E1833)</f>
        <v>15.80691299</v>
      </c>
      <c r="F1833" s="16">
        <f>ABS(Solieusap!F1833)</f>
        <v>1.480862771</v>
      </c>
      <c r="G1833" s="16">
        <f>ABS(Solieusap!G1833)</f>
        <v>2.012854978</v>
      </c>
      <c r="H1833" s="16">
        <f>ABS(Solieusap!H1833)</f>
        <v>0.0008971135065</v>
      </c>
      <c r="I1833" s="16">
        <f>ABS(Solieusap!I1833)</f>
        <v>5.350054892</v>
      </c>
      <c r="J1833" s="16">
        <f>ABS(Solieusap!J1833)</f>
        <v>3.601908182</v>
      </c>
      <c r="K1833" s="16">
        <f t="shared" si="1"/>
        <v>15.80691299</v>
      </c>
      <c r="L1833" s="16">
        <f t="shared" si="2"/>
        <v>5.350054892</v>
      </c>
    </row>
    <row r="1834" ht="16.5" customHeight="1">
      <c r="A1834" s="15" t="str">
        <f>Solieusap!A1834</f>
        <v>Cũ</v>
      </c>
      <c r="B1834" s="15">
        <f>Solieusap!B1834</f>
        <v>0</v>
      </c>
      <c r="C1834" s="15" t="str">
        <f>Solieusap!C1834</f>
        <v>COMB2</v>
      </c>
      <c r="D1834" s="15" t="str">
        <f>Solieusap!D1834</f>
        <v>Combination</v>
      </c>
      <c r="E1834" s="16">
        <f>ABS(Solieusap!E1834)</f>
        <v>15.82376935</v>
      </c>
      <c r="F1834" s="16">
        <f>ABS(Solieusap!F1834)</f>
        <v>1.48257329</v>
      </c>
      <c r="G1834" s="16">
        <f>ABS(Solieusap!G1834)</f>
        <v>2.015119394</v>
      </c>
      <c r="H1834" s="16">
        <f>ABS(Solieusap!H1834)</f>
        <v>0.0008981686104</v>
      </c>
      <c r="I1834" s="16">
        <f>ABS(Solieusap!I1834)</f>
        <v>5.356849684</v>
      </c>
      <c r="J1834" s="16">
        <f>ABS(Solieusap!J1834)</f>
        <v>3.606455234</v>
      </c>
      <c r="K1834" s="16">
        <f t="shared" si="1"/>
        <v>15.82376935</v>
      </c>
      <c r="L1834" s="16">
        <f t="shared" si="2"/>
        <v>5.356849684</v>
      </c>
    </row>
    <row r="1835" ht="16.5" customHeight="1">
      <c r="A1835" s="15" t="str">
        <f>Solieusap!A1835</f>
        <v>Cũ</v>
      </c>
      <c r="B1835" s="15">
        <f>Solieusap!B1835</f>
        <v>1.75</v>
      </c>
      <c r="C1835" s="15" t="str">
        <f>Solieusap!C1835</f>
        <v>COMB2</v>
      </c>
      <c r="D1835" s="15" t="str">
        <f>Solieusap!D1835</f>
        <v>Combination</v>
      </c>
      <c r="E1835" s="16">
        <f>ABS(Solieusap!E1835)</f>
        <v>15.84062571</v>
      </c>
      <c r="F1835" s="16">
        <f>ABS(Solieusap!F1835)</f>
        <v>1.48428381</v>
      </c>
      <c r="G1835" s="16">
        <f>ABS(Solieusap!G1835)</f>
        <v>2.01738381</v>
      </c>
      <c r="H1835" s="16">
        <f>ABS(Solieusap!H1835)</f>
        <v>0.0008992237143</v>
      </c>
      <c r="I1835" s="16">
        <f>ABS(Solieusap!I1835)</f>
        <v>5.363644476</v>
      </c>
      <c r="J1835" s="16">
        <f>ABS(Solieusap!J1835)</f>
        <v>3.611002286</v>
      </c>
      <c r="K1835" s="16">
        <f t="shared" si="1"/>
        <v>15.84062571</v>
      </c>
      <c r="L1835" s="16">
        <f t="shared" si="2"/>
        <v>5.363644476</v>
      </c>
    </row>
    <row r="1836" ht="16.5" customHeight="1">
      <c r="A1836" s="15" t="str">
        <f>Solieusap!A1836</f>
        <v>Cũ</v>
      </c>
      <c r="B1836" s="15">
        <f>Solieusap!B1836</f>
        <v>3.5</v>
      </c>
      <c r="C1836" s="15" t="str">
        <f>Solieusap!C1836</f>
        <v>COMB2</v>
      </c>
      <c r="D1836" s="15" t="str">
        <f>Solieusap!D1836</f>
        <v>Combination</v>
      </c>
      <c r="E1836" s="16">
        <f>ABS(Solieusap!E1836)</f>
        <v>15.85748208</v>
      </c>
      <c r="F1836" s="16">
        <f>ABS(Solieusap!F1836)</f>
        <v>1.485994329</v>
      </c>
      <c r="G1836" s="16">
        <f>ABS(Solieusap!G1836)</f>
        <v>2.019648225</v>
      </c>
      <c r="H1836" s="16">
        <f>ABS(Solieusap!H1836)</f>
        <v>0.0009002788182</v>
      </c>
      <c r="I1836" s="16">
        <f>ABS(Solieusap!I1836)</f>
        <v>5.370439268</v>
      </c>
      <c r="J1836" s="16">
        <f>ABS(Solieusap!J1836)</f>
        <v>3.615549338</v>
      </c>
      <c r="K1836" s="16">
        <f t="shared" si="1"/>
        <v>15.85748208</v>
      </c>
      <c r="L1836" s="16">
        <f t="shared" si="2"/>
        <v>5.370439268</v>
      </c>
    </row>
    <row r="1837" ht="16.5" customHeight="1">
      <c r="A1837" s="15" t="str">
        <f>Solieusap!A1837</f>
        <v>Cũ</v>
      </c>
      <c r="B1837" s="15">
        <f>Solieusap!B1837</f>
        <v>0</v>
      </c>
      <c r="C1837" s="15" t="str">
        <f>Solieusap!C1837</f>
        <v>COMB3</v>
      </c>
      <c r="D1837" s="15" t="str">
        <f>Solieusap!D1837</f>
        <v>Combination</v>
      </c>
      <c r="E1837" s="16">
        <f>ABS(Solieusap!E1837)</f>
        <v>15.87433844</v>
      </c>
      <c r="F1837" s="16">
        <f>ABS(Solieusap!F1837)</f>
        <v>1.487704848</v>
      </c>
      <c r="G1837" s="16">
        <f>ABS(Solieusap!G1837)</f>
        <v>2.021912641</v>
      </c>
      <c r="H1837" s="16">
        <f>ABS(Solieusap!H1837)</f>
        <v>0.0009013339221</v>
      </c>
      <c r="I1837" s="16">
        <f>ABS(Solieusap!I1837)</f>
        <v>5.377234061</v>
      </c>
      <c r="J1837" s="16">
        <f>ABS(Solieusap!J1837)</f>
        <v>3.62009639</v>
      </c>
      <c r="K1837" s="16">
        <f t="shared" si="1"/>
        <v>15.87433844</v>
      </c>
      <c r="L1837" s="16">
        <f t="shared" si="2"/>
        <v>5.377234061</v>
      </c>
    </row>
    <row r="1838" ht="16.5" customHeight="1">
      <c r="A1838" s="15" t="str">
        <f>Solieusap!A1838</f>
        <v>Cũ</v>
      </c>
      <c r="B1838" s="15">
        <f>Solieusap!B1838</f>
        <v>1.75</v>
      </c>
      <c r="C1838" s="15" t="str">
        <f>Solieusap!C1838</f>
        <v>COMB3</v>
      </c>
      <c r="D1838" s="15" t="str">
        <f>Solieusap!D1838</f>
        <v>Combination</v>
      </c>
      <c r="E1838" s="16">
        <f>ABS(Solieusap!E1838)</f>
        <v>15.89119481</v>
      </c>
      <c r="F1838" s="16">
        <f>ABS(Solieusap!F1838)</f>
        <v>1.489415368</v>
      </c>
      <c r="G1838" s="16">
        <f>ABS(Solieusap!G1838)</f>
        <v>2.024177056</v>
      </c>
      <c r="H1838" s="16">
        <f>ABS(Solieusap!H1838)</f>
        <v>0.000902389026</v>
      </c>
      <c r="I1838" s="16">
        <f>ABS(Solieusap!I1838)</f>
        <v>5.384028853</v>
      </c>
      <c r="J1838" s="16">
        <f>ABS(Solieusap!J1838)</f>
        <v>3.624643442</v>
      </c>
      <c r="K1838" s="16">
        <f t="shared" si="1"/>
        <v>15.89119481</v>
      </c>
      <c r="L1838" s="16">
        <f t="shared" si="2"/>
        <v>5.384028853</v>
      </c>
    </row>
    <row r="1839" ht="16.5" customHeight="1">
      <c r="A1839" s="15" t="str">
        <f>Solieusap!A1839</f>
        <v>Cũ</v>
      </c>
      <c r="B1839" s="15">
        <f>Solieusap!B1839</f>
        <v>3.5</v>
      </c>
      <c r="C1839" s="15" t="str">
        <f>Solieusap!C1839</f>
        <v>COMB3</v>
      </c>
      <c r="D1839" s="15" t="str">
        <f>Solieusap!D1839</f>
        <v>Combination</v>
      </c>
      <c r="E1839" s="16">
        <f>ABS(Solieusap!E1839)</f>
        <v>15.90805117</v>
      </c>
      <c r="F1839" s="16">
        <f>ABS(Solieusap!F1839)</f>
        <v>1.491125887</v>
      </c>
      <c r="G1839" s="16">
        <f>ABS(Solieusap!G1839)</f>
        <v>2.026441472</v>
      </c>
      <c r="H1839" s="16">
        <f>ABS(Solieusap!H1839)</f>
        <v>0.0009034441299</v>
      </c>
      <c r="I1839" s="16">
        <f>ABS(Solieusap!I1839)</f>
        <v>5.390823645</v>
      </c>
      <c r="J1839" s="16">
        <f>ABS(Solieusap!J1839)</f>
        <v>3.629190494</v>
      </c>
      <c r="K1839" s="16">
        <f t="shared" si="1"/>
        <v>15.90805117</v>
      </c>
      <c r="L1839" s="16">
        <f t="shared" si="2"/>
        <v>5.390823645</v>
      </c>
    </row>
    <row r="1840" ht="16.5" customHeight="1">
      <c r="A1840" s="15" t="str">
        <f>Solieusap!A1840</f>
        <v>Cũ</v>
      </c>
      <c r="B1840" s="15">
        <f>Solieusap!B1840</f>
        <v>0</v>
      </c>
      <c r="C1840" s="15" t="str">
        <f>Solieusap!C1840</f>
        <v>COMB4</v>
      </c>
      <c r="D1840" s="15" t="str">
        <f>Solieusap!D1840</f>
        <v>Combination</v>
      </c>
      <c r="E1840" s="16">
        <f>ABS(Solieusap!E1840)</f>
        <v>15.92490753</v>
      </c>
      <c r="F1840" s="16">
        <f>ABS(Solieusap!F1840)</f>
        <v>1.492836407</v>
      </c>
      <c r="G1840" s="16">
        <f>ABS(Solieusap!G1840)</f>
        <v>2.028705887</v>
      </c>
      <c r="H1840" s="16">
        <f>ABS(Solieusap!H1840)</f>
        <v>0.0009044992338</v>
      </c>
      <c r="I1840" s="16">
        <f>ABS(Solieusap!I1840)</f>
        <v>5.397618437</v>
      </c>
      <c r="J1840" s="16">
        <f>ABS(Solieusap!J1840)</f>
        <v>3.633737545</v>
      </c>
      <c r="K1840" s="16">
        <f t="shared" si="1"/>
        <v>15.92490753</v>
      </c>
      <c r="L1840" s="16">
        <f t="shared" si="2"/>
        <v>5.397618437</v>
      </c>
    </row>
    <row r="1841" ht="16.5" customHeight="1">
      <c r="A1841" s="15" t="str">
        <f>Solieusap!A1841</f>
        <v>Cũ</v>
      </c>
      <c r="B1841" s="15">
        <f>Solieusap!B1841</f>
        <v>1.75</v>
      </c>
      <c r="C1841" s="15" t="str">
        <f>Solieusap!C1841</f>
        <v>COMB4</v>
      </c>
      <c r="D1841" s="15" t="str">
        <f>Solieusap!D1841</f>
        <v>Combination</v>
      </c>
      <c r="E1841" s="16">
        <f>ABS(Solieusap!E1841)</f>
        <v>15.9417639</v>
      </c>
      <c r="F1841" s="16">
        <f>ABS(Solieusap!F1841)</f>
        <v>1.494546926</v>
      </c>
      <c r="G1841" s="16">
        <f>ABS(Solieusap!G1841)</f>
        <v>2.030970303</v>
      </c>
      <c r="H1841" s="16">
        <f>ABS(Solieusap!H1841)</f>
        <v>0.0009055543377</v>
      </c>
      <c r="I1841" s="16">
        <f>ABS(Solieusap!I1841)</f>
        <v>5.404413229</v>
      </c>
      <c r="J1841" s="16">
        <f>ABS(Solieusap!J1841)</f>
        <v>3.638284597</v>
      </c>
      <c r="K1841" s="16">
        <f t="shared" si="1"/>
        <v>15.9417639</v>
      </c>
      <c r="L1841" s="16">
        <f t="shared" si="2"/>
        <v>5.404413229</v>
      </c>
    </row>
    <row r="1842" ht="16.5" customHeight="1">
      <c r="A1842" s="15" t="str">
        <f>Solieusap!A1842</f>
        <v>Cũ</v>
      </c>
      <c r="B1842" s="15">
        <f>Solieusap!B1842</f>
        <v>3.5</v>
      </c>
      <c r="C1842" s="15" t="str">
        <f>Solieusap!C1842</f>
        <v>COMB4</v>
      </c>
      <c r="D1842" s="15" t="str">
        <f>Solieusap!D1842</f>
        <v>Combination</v>
      </c>
      <c r="E1842" s="16">
        <f>ABS(Solieusap!E1842)</f>
        <v>15.95862026</v>
      </c>
      <c r="F1842" s="16">
        <f>ABS(Solieusap!F1842)</f>
        <v>1.496257446</v>
      </c>
      <c r="G1842" s="16">
        <f>ABS(Solieusap!G1842)</f>
        <v>2.033234719</v>
      </c>
      <c r="H1842" s="16">
        <f>ABS(Solieusap!H1842)</f>
        <v>0.0009066094416</v>
      </c>
      <c r="I1842" s="16">
        <f>ABS(Solieusap!I1842)</f>
        <v>5.411208022</v>
      </c>
      <c r="J1842" s="16">
        <f>ABS(Solieusap!J1842)</f>
        <v>3.642831649</v>
      </c>
      <c r="K1842" s="16">
        <f t="shared" si="1"/>
        <v>15.95862026</v>
      </c>
      <c r="L1842" s="16">
        <f t="shared" si="2"/>
        <v>5.411208022</v>
      </c>
    </row>
    <row r="1843" ht="16.5" customHeight="1">
      <c r="A1843" s="15" t="str">
        <f>Solieusap!A1843</f>
        <v>Cũ</v>
      </c>
      <c r="B1843" s="15">
        <f>Solieusap!B1843</f>
        <v>0</v>
      </c>
      <c r="C1843" s="15" t="str">
        <f>Solieusap!C1843</f>
        <v>COMB5</v>
      </c>
      <c r="D1843" s="15" t="str">
        <f>Solieusap!D1843</f>
        <v>Combination</v>
      </c>
      <c r="E1843" s="16">
        <f>ABS(Solieusap!E1843)</f>
        <v>15.97547662</v>
      </c>
      <c r="F1843" s="16">
        <f>ABS(Solieusap!F1843)</f>
        <v>1.497967965</v>
      </c>
      <c r="G1843" s="16">
        <f>ABS(Solieusap!G1843)</f>
        <v>2.035499134</v>
      </c>
      <c r="H1843" s="16">
        <f>ABS(Solieusap!H1843)</f>
        <v>0.0009076645455</v>
      </c>
      <c r="I1843" s="16">
        <f>ABS(Solieusap!I1843)</f>
        <v>5.418002814</v>
      </c>
      <c r="J1843" s="16">
        <f>ABS(Solieusap!J1843)</f>
        <v>3.647378701</v>
      </c>
      <c r="K1843" s="16">
        <f t="shared" si="1"/>
        <v>15.97547662</v>
      </c>
      <c r="L1843" s="16">
        <f t="shared" si="2"/>
        <v>5.418002814</v>
      </c>
    </row>
    <row r="1844" ht="16.5" customHeight="1">
      <c r="A1844" s="15" t="str">
        <f>Solieusap!A1844</f>
        <v>Cũ</v>
      </c>
      <c r="B1844" s="15">
        <f>Solieusap!B1844</f>
        <v>1.75</v>
      </c>
      <c r="C1844" s="15" t="str">
        <f>Solieusap!C1844</f>
        <v>COMB5</v>
      </c>
      <c r="D1844" s="15" t="str">
        <f>Solieusap!D1844</f>
        <v>Combination</v>
      </c>
      <c r="E1844" s="16">
        <f>ABS(Solieusap!E1844)</f>
        <v>15.99233299</v>
      </c>
      <c r="F1844" s="16">
        <f>ABS(Solieusap!F1844)</f>
        <v>1.499678485</v>
      </c>
      <c r="G1844" s="16">
        <f>ABS(Solieusap!G1844)</f>
        <v>2.03776355</v>
      </c>
      <c r="H1844" s="16">
        <f>ABS(Solieusap!H1844)</f>
        <v>0.0009087196494</v>
      </c>
      <c r="I1844" s="16">
        <f>ABS(Solieusap!I1844)</f>
        <v>5.424797606</v>
      </c>
      <c r="J1844" s="16">
        <f>ABS(Solieusap!J1844)</f>
        <v>3.651925753</v>
      </c>
      <c r="K1844" s="16">
        <f t="shared" si="1"/>
        <v>15.99233299</v>
      </c>
      <c r="L1844" s="16">
        <f t="shared" si="2"/>
        <v>5.424797606</v>
      </c>
    </row>
    <row r="1845" ht="16.5" customHeight="1">
      <c r="A1845" s="15" t="str">
        <f>Solieusap!A1845</f>
        <v>Cũ</v>
      </c>
      <c r="B1845" s="15">
        <f>Solieusap!B1845</f>
        <v>3.5</v>
      </c>
      <c r="C1845" s="15" t="str">
        <f>Solieusap!C1845</f>
        <v>COMB5</v>
      </c>
      <c r="D1845" s="15" t="str">
        <f>Solieusap!D1845</f>
        <v>Combination</v>
      </c>
      <c r="E1845" s="16">
        <f>ABS(Solieusap!E1845)</f>
        <v>16.00918935</v>
      </c>
      <c r="F1845" s="16">
        <f>ABS(Solieusap!F1845)</f>
        <v>1.501389004</v>
      </c>
      <c r="G1845" s="16">
        <f>ABS(Solieusap!G1845)</f>
        <v>2.040027965</v>
      </c>
      <c r="H1845" s="16">
        <f>ABS(Solieusap!H1845)</f>
        <v>0.0009097747532</v>
      </c>
      <c r="I1845" s="16">
        <f>ABS(Solieusap!I1845)</f>
        <v>5.431592398</v>
      </c>
      <c r="J1845" s="16">
        <f>ABS(Solieusap!J1845)</f>
        <v>3.656472805</v>
      </c>
      <c r="K1845" s="16">
        <f t="shared" si="1"/>
        <v>16.00918935</v>
      </c>
      <c r="L1845" s="16">
        <f t="shared" si="2"/>
        <v>5.431592398</v>
      </c>
    </row>
    <row r="1846" ht="16.5" customHeight="1">
      <c r="A1846" s="15" t="str">
        <f>Solieusap!A1846</f>
        <v>Cũ</v>
      </c>
      <c r="B1846" s="15">
        <f>Solieusap!B1846</f>
        <v>0</v>
      </c>
      <c r="C1846" s="15" t="str">
        <f>Solieusap!C1846</f>
        <v>COMB6</v>
      </c>
      <c r="D1846" s="15" t="str">
        <f>Solieusap!D1846</f>
        <v>Combination</v>
      </c>
      <c r="E1846" s="16">
        <f>ABS(Solieusap!E1846)</f>
        <v>16.02604571</v>
      </c>
      <c r="F1846" s="16">
        <f>ABS(Solieusap!F1846)</f>
        <v>1.503099524</v>
      </c>
      <c r="G1846" s="16">
        <f>ABS(Solieusap!G1846)</f>
        <v>2.042292381</v>
      </c>
      <c r="H1846" s="16">
        <f>ABS(Solieusap!H1846)</f>
        <v>0.0009108298571</v>
      </c>
      <c r="I1846" s="16">
        <f>ABS(Solieusap!I1846)</f>
        <v>5.43838719</v>
      </c>
      <c r="J1846" s="16">
        <f>ABS(Solieusap!J1846)</f>
        <v>3.661019857</v>
      </c>
      <c r="K1846" s="16">
        <f t="shared" si="1"/>
        <v>16.02604571</v>
      </c>
      <c r="L1846" s="16">
        <f t="shared" si="2"/>
        <v>5.43838719</v>
      </c>
    </row>
    <row r="1847" ht="16.5" customHeight="1">
      <c r="A1847" s="15" t="str">
        <f>Solieusap!A1847</f>
        <v>Cũ</v>
      </c>
      <c r="B1847" s="15">
        <f>Solieusap!B1847</f>
        <v>1.75</v>
      </c>
      <c r="C1847" s="15" t="str">
        <f>Solieusap!C1847</f>
        <v>COMB6</v>
      </c>
      <c r="D1847" s="15" t="str">
        <f>Solieusap!D1847</f>
        <v>Combination</v>
      </c>
      <c r="E1847" s="16">
        <f>ABS(Solieusap!E1847)</f>
        <v>16.04290208</v>
      </c>
      <c r="F1847" s="16">
        <f>ABS(Solieusap!F1847)</f>
        <v>1.504810043</v>
      </c>
      <c r="G1847" s="16">
        <f>ABS(Solieusap!G1847)</f>
        <v>2.044556797</v>
      </c>
      <c r="H1847" s="16">
        <f>ABS(Solieusap!H1847)</f>
        <v>0.000911884961</v>
      </c>
      <c r="I1847" s="16">
        <f>ABS(Solieusap!I1847)</f>
        <v>5.445181983</v>
      </c>
      <c r="J1847" s="16">
        <f>ABS(Solieusap!J1847)</f>
        <v>3.665566909</v>
      </c>
      <c r="K1847" s="16">
        <f t="shared" si="1"/>
        <v>16.04290208</v>
      </c>
      <c r="L1847" s="16">
        <f t="shared" si="2"/>
        <v>5.445181983</v>
      </c>
    </row>
    <row r="1848" ht="16.5" customHeight="1">
      <c r="A1848" s="15" t="str">
        <f>Solieusap!A1848</f>
        <v>Cũ</v>
      </c>
      <c r="B1848" s="15">
        <f>Solieusap!B1848</f>
        <v>3.5</v>
      </c>
      <c r="C1848" s="15" t="str">
        <f>Solieusap!C1848</f>
        <v>COMB6</v>
      </c>
      <c r="D1848" s="15" t="str">
        <f>Solieusap!D1848</f>
        <v>Combination</v>
      </c>
      <c r="E1848" s="16">
        <f>ABS(Solieusap!E1848)</f>
        <v>16.05975844</v>
      </c>
      <c r="F1848" s="16">
        <f>ABS(Solieusap!F1848)</f>
        <v>1.506520563</v>
      </c>
      <c r="G1848" s="16">
        <f>ABS(Solieusap!G1848)</f>
        <v>2.046821212</v>
      </c>
      <c r="H1848" s="16">
        <f>ABS(Solieusap!H1848)</f>
        <v>0.0009129400649</v>
      </c>
      <c r="I1848" s="16">
        <f>ABS(Solieusap!I1848)</f>
        <v>5.451976775</v>
      </c>
      <c r="J1848" s="16">
        <f>ABS(Solieusap!J1848)</f>
        <v>3.670113961</v>
      </c>
      <c r="K1848" s="16">
        <f t="shared" si="1"/>
        <v>16.05975844</v>
      </c>
      <c r="L1848" s="16">
        <f t="shared" si="2"/>
        <v>5.451976775</v>
      </c>
    </row>
    <row r="1849" ht="16.5" customHeight="1">
      <c r="A1849" s="15" t="str">
        <f>Solieusap!A1849</f>
        <v>Cũ</v>
      </c>
      <c r="B1849" s="15">
        <f>Solieusap!B1849</f>
        <v>0</v>
      </c>
      <c r="C1849" s="15" t="str">
        <f>Solieusap!C1849</f>
        <v>COMB7</v>
      </c>
      <c r="D1849" s="15" t="str">
        <f>Solieusap!D1849</f>
        <v>Combination</v>
      </c>
      <c r="E1849" s="16">
        <f>ABS(Solieusap!E1849)</f>
        <v>16.07661481</v>
      </c>
      <c r="F1849" s="16">
        <f>ABS(Solieusap!F1849)</f>
        <v>1.508231082</v>
      </c>
      <c r="G1849" s="16">
        <f>ABS(Solieusap!G1849)</f>
        <v>2.049085628</v>
      </c>
      <c r="H1849" s="16">
        <f>ABS(Solieusap!H1849)</f>
        <v>0.0009139951688</v>
      </c>
      <c r="I1849" s="16">
        <f>ABS(Solieusap!I1849)</f>
        <v>5.458771567</v>
      </c>
      <c r="J1849" s="16">
        <f>ABS(Solieusap!J1849)</f>
        <v>3.674661013</v>
      </c>
      <c r="K1849" s="16">
        <f t="shared" si="1"/>
        <v>16.07661481</v>
      </c>
      <c r="L1849" s="16">
        <f t="shared" si="2"/>
        <v>5.458771567</v>
      </c>
    </row>
    <row r="1850" ht="16.5" customHeight="1">
      <c r="A1850" s="15" t="str">
        <f>Solieusap!A1850</f>
        <v>Cũ</v>
      </c>
      <c r="B1850" s="15">
        <f>Solieusap!B1850</f>
        <v>1.75</v>
      </c>
      <c r="C1850" s="15" t="str">
        <f>Solieusap!C1850</f>
        <v>COMB7</v>
      </c>
      <c r="D1850" s="15" t="str">
        <f>Solieusap!D1850</f>
        <v>Combination</v>
      </c>
      <c r="E1850" s="16">
        <f>ABS(Solieusap!E1850)</f>
        <v>16.09347117</v>
      </c>
      <c r="F1850" s="16">
        <f>ABS(Solieusap!F1850)</f>
        <v>1.509941602</v>
      </c>
      <c r="G1850" s="16">
        <f>ABS(Solieusap!G1850)</f>
        <v>2.051350043</v>
      </c>
      <c r="H1850" s="16">
        <f>ABS(Solieusap!H1850)</f>
        <v>0.0009150502727</v>
      </c>
      <c r="I1850" s="16">
        <f>ABS(Solieusap!I1850)</f>
        <v>5.465566359</v>
      </c>
      <c r="J1850" s="16">
        <f>ABS(Solieusap!J1850)</f>
        <v>3.679208065</v>
      </c>
      <c r="K1850" s="16">
        <f t="shared" si="1"/>
        <v>16.09347117</v>
      </c>
      <c r="L1850" s="16">
        <f t="shared" si="2"/>
        <v>5.465566359</v>
      </c>
    </row>
    <row r="1851" ht="16.5" customHeight="1">
      <c r="A1851" s="15" t="str">
        <f>Solieusap!A1851</f>
        <v>Cũ</v>
      </c>
      <c r="B1851" s="15">
        <f>Solieusap!B1851</f>
        <v>3.5</v>
      </c>
      <c r="C1851" s="15" t="str">
        <f>Solieusap!C1851</f>
        <v>COMB7</v>
      </c>
      <c r="D1851" s="15" t="str">
        <f>Solieusap!D1851</f>
        <v>Combination</v>
      </c>
      <c r="E1851" s="16">
        <f>ABS(Solieusap!E1851)</f>
        <v>16.11032753</v>
      </c>
      <c r="F1851" s="16">
        <f>ABS(Solieusap!F1851)</f>
        <v>1.511652121</v>
      </c>
      <c r="G1851" s="16">
        <f>ABS(Solieusap!G1851)</f>
        <v>2.053614459</v>
      </c>
      <c r="H1851" s="16">
        <f>ABS(Solieusap!H1851)</f>
        <v>0.0009161053766</v>
      </c>
      <c r="I1851" s="16">
        <f>ABS(Solieusap!I1851)</f>
        <v>5.472361152</v>
      </c>
      <c r="J1851" s="16">
        <f>ABS(Solieusap!J1851)</f>
        <v>3.683755117</v>
      </c>
      <c r="K1851" s="16">
        <f t="shared" si="1"/>
        <v>16.11032753</v>
      </c>
      <c r="L1851" s="16">
        <f t="shared" si="2"/>
        <v>5.472361152</v>
      </c>
    </row>
    <row r="1852" ht="16.5" customHeight="1">
      <c r="A1852" s="15" t="str">
        <f>Solieusap!A1852</f>
        <v>Cũ</v>
      </c>
      <c r="B1852" s="15">
        <f>Solieusap!B1852</f>
        <v>0</v>
      </c>
      <c r="C1852" s="15" t="str">
        <f>Solieusap!C1852</f>
        <v>COMB1</v>
      </c>
      <c r="D1852" s="15" t="str">
        <f>Solieusap!D1852</f>
        <v>Combination</v>
      </c>
      <c r="E1852" s="16">
        <f>ABS(Solieusap!E1852)</f>
        <v>16.1271839</v>
      </c>
      <c r="F1852" s="16">
        <f>ABS(Solieusap!F1852)</f>
        <v>1.513362641</v>
      </c>
      <c r="G1852" s="16">
        <f>ABS(Solieusap!G1852)</f>
        <v>2.055878874</v>
      </c>
      <c r="H1852" s="16">
        <f>ABS(Solieusap!H1852)</f>
        <v>0.0009171604805</v>
      </c>
      <c r="I1852" s="16">
        <f>ABS(Solieusap!I1852)</f>
        <v>5.479155944</v>
      </c>
      <c r="J1852" s="16">
        <f>ABS(Solieusap!J1852)</f>
        <v>3.688302169</v>
      </c>
      <c r="K1852" s="16">
        <f t="shared" si="1"/>
        <v>16.1271839</v>
      </c>
      <c r="L1852" s="16">
        <f t="shared" si="2"/>
        <v>5.479155944</v>
      </c>
    </row>
    <row r="1853" ht="16.5" customHeight="1">
      <c r="A1853" s="15" t="str">
        <f>Solieusap!A1853</f>
        <v>Cũ</v>
      </c>
      <c r="B1853" s="15">
        <f>Solieusap!B1853</f>
        <v>1.75</v>
      </c>
      <c r="C1853" s="15" t="str">
        <f>Solieusap!C1853</f>
        <v>COMB1</v>
      </c>
      <c r="D1853" s="15" t="str">
        <f>Solieusap!D1853</f>
        <v>Combination</v>
      </c>
      <c r="E1853" s="16">
        <f>ABS(Solieusap!E1853)</f>
        <v>16.14404026</v>
      </c>
      <c r="F1853" s="16">
        <f>ABS(Solieusap!F1853)</f>
        <v>1.51507316</v>
      </c>
      <c r="G1853" s="16">
        <f>ABS(Solieusap!G1853)</f>
        <v>2.05814329</v>
      </c>
      <c r="H1853" s="16">
        <f>ABS(Solieusap!H1853)</f>
        <v>0.0009182155844</v>
      </c>
      <c r="I1853" s="16">
        <f>ABS(Solieusap!I1853)</f>
        <v>5.485950736</v>
      </c>
      <c r="J1853" s="16">
        <f>ABS(Solieusap!J1853)</f>
        <v>3.692849221</v>
      </c>
      <c r="K1853" s="16">
        <f t="shared" si="1"/>
        <v>16.14404026</v>
      </c>
      <c r="L1853" s="16">
        <f t="shared" si="2"/>
        <v>5.485950736</v>
      </c>
    </row>
    <row r="1854" ht="16.5" customHeight="1">
      <c r="A1854" s="15" t="str">
        <f>Solieusap!A1854</f>
        <v>Cũ</v>
      </c>
      <c r="B1854" s="15">
        <f>Solieusap!B1854</f>
        <v>3.5</v>
      </c>
      <c r="C1854" s="15" t="str">
        <f>Solieusap!C1854</f>
        <v>COMB1</v>
      </c>
      <c r="D1854" s="15" t="str">
        <f>Solieusap!D1854</f>
        <v>Combination</v>
      </c>
      <c r="E1854" s="16">
        <f>ABS(Solieusap!E1854)</f>
        <v>16.16089662</v>
      </c>
      <c r="F1854" s="16">
        <f>ABS(Solieusap!F1854)</f>
        <v>1.51678368</v>
      </c>
      <c r="G1854" s="16">
        <f>ABS(Solieusap!G1854)</f>
        <v>2.060407706</v>
      </c>
      <c r="H1854" s="16">
        <f>ABS(Solieusap!H1854)</f>
        <v>0.0009192706883</v>
      </c>
      <c r="I1854" s="16">
        <f>ABS(Solieusap!I1854)</f>
        <v>5.492745528</v>
      </c>
      <c r="J1854" s="16">
        <f>ABS(Solieusap!J1854)</f>
        <v>3.697396273</v>
      </c>
      <c r="K1854" s="16">
        <f t="shared" si="1"/>
        <v>16.16089662</v>
      </c>
      <c r="L1854" s="16">
        <f t="shared" si="2"/>
        <v>5.492745528</v>
      </c>
    </row>
    <row r="1855" ht="16.5" customHeight="1">
      <c r="A1855" s="15" t="str">
        <f>Solieusap!A1855</f>
        <v>Cũ</v>
      </c>
      <c r="B1855" s="15">
        <f>Solieusap!B1855</f>
        <v>0</v>
      </c>
      <c r="C1855" s="15" t="str">
        <f>Solieusap!C1855</f>
        <v>COMB2</v>
      </c>
      <c r="D1855" s="15" t="str">
        <f>Solieusap!D1855</f>
        <v>Combination</v>
      </c>
      <c r="E1855" s="16">
        <f>ABS(Solieusap!E1855)</f>
        <v>16.17775299</v>
      </c>
      <c r="F1855" s="16">
        <f>ABS(Solieusap!F1855)</f>
        <v>1.518494199</v>
      </c>
      <c r="G1855" s="16">
        <f>ABS(Solieusap!G1855)</f>
        <v>2.062672121</v>
      </c>
      <c r="H1855" s="16">
        <f>ABS(Solieusap!H1855)</f>
        <v>0.0009203257922</v>
      </c>
      <c r="I1855" s="16">
        <f>ABS(Solieusap!I1855)</f>
        <v>5.49954032</v>
      </c>
      <c r="J1855" s="16">
        <f>ABS(Solieusap!J1855)</f>
        <v>3.701943325</v>
      </c>
      <c r="K1855" s="16">
        <f t="shared" si="1"/>
        <v>16.17775299</v>
      </c>
      <c r="L1855" s="16">
        <f t="shared" si="2"/>
        <v>5.49954032</v>
      </c>
    </row>
    <row r="1856" ht="16.5" customHeight="1">
      <c r="A1856" s="15" t="str">
        <f>Solieusap!A1856</f>
        <v>Cũ</v>
      </c>
      <c r="B1856" s="15">
        <f>Solieusap!B1856</f>
        <v>1.75</v>
      </c>
      <c r="C1856" s="15" t="str">
        <f>Solieusap!C1856</f>
        <v>COMB2</v>
      </c>
      <c r="D1856" s="15" t="str">
        <f>Solieusap!D1856</f>
        <v>Combination</v>
      </c>
      <c r="E1856" s="16">
        <f>ABS(Solieusap!E1856)</f>
        <v>16.19460935</v>
      </c>
      <c r="F1856" s="16">
        <f>ABS(Solieusap!F1856)</f>
        <v>1.520204719</v>
      </c>
      <c r="G1856" s="16">
        <f>ABS(Solieusap!G1856)</f>
        <v>2.064936537</v>
      </c>
      <c r="H1856" s="16">
        <f>ABS(Solieusap!H1856)</f>
        <v>0.0009213808961</v>
      </c>
      <c r="I1856" s="16">
        <f>ABS(Solieusap!I1856)</f>
        <v>5.506335113</v>
      </c>
      <c r="J1856" s="16">
        <f>ABS(Solieusap!J1856)</f>
        <v>3.706490377</v>
      </c>
      <c r="K1856" s="16">
        <f t="shared" si="1"/>
        <v>16.19460935</v>
      </c>
      <c r="L1856" s="16">
        <f t="shared" si="2"/>
        <v>5.506335113</v>
      </c>
    </row>
    <row r="1857" ht="16.5" customHeight="1">
      <c r="A1857" s="15" t="str">
        <f>Solieusap!A1857</f>
        <v>Cũ</v>
      </c>
      <c r="B1857" s="15">
        <f>Solieusap!B1857</f>
        <v>3.5</v>
      </c>
      <c r="C1857" s="15" t="str">
        <f>Solieusap!C1857</f>
        <v>COMB2</v>
      </c>
      <c r="D1857" s="15" t="str">
        <f>Solieusap!D1857</f>
        <v>Combination</v>
      </c>
      <c r="E1857" s="16">
        <f>ABS(Solieusap!E1857)</f>
        <v>16.21146571</v>
      </c>
      <c r="F1857" s="16">
        <f>ABS(Solieusap!F1857)</f>
        <v>1.521915238</v>
      </c>
      <c r="G1857" s="16">
        <f>ABS(Solieusap!G1857)</f>
        <v>2.067200952</v>
      </c>
      <c r="H1857" s="16">
        <f>ABS(Solieusap!H1857)</f>
        <v>0.000922436</v>
      </c>
      <c r="I1857" s="16">
        <f>ABS(Solieusap!I1857)</f>
        <v>5.513129905</v>
      </c>
      <c r="J1857" s="16">
        <f>ABS(Solieusap!J1857)</f>
        <v>3.711037429</v>
      </c>
      <c r="K1857" s="16">
        <f t="shared" si="1"/>
        <v>16.21146571</v>
      </c>
      <c r="L1857" s="16">
        <f t="shared" si="2"/>
        <v>5.513129905</v>
      </c>
    </row>
    <row r="1858" ht="16.5" customHeight="1">
      <c r="A1858" s="15" t="str">
        <f>Solieusap!A1858</f>
        <v>Cũ</v>
      </c>
      <c r="B1858" s="15">
        <f>Solieusap!B1858</f>
        <v>0</v>
      </c>
      <c r="C1858" s="15" t="str">
        <f>Solieusap!C1858</f>
        <v>COMB3</v>
      </c>
      <c r="D1858" s="15" t="str">
        <f>Solieusap!D1858</f>
        <v>Combination</v>
      </c>
      <c r="E1858" s="16">
        <f>ABS(Solieusap!E1858)</f>
        <v>16.22832208</v>
      </c>
      <c r="F1858" s="16">
        <f>ABS(Solieusap!F1858)</f>
        <v>1.523625758</v>
      </c>
      <c r="G1858" s="16">
        <f>ABS(Solieusap!G1858)</f>
        <v>2.069465368</v>
      </c>
      <c r="H1858" s="16">
        <f>ABS(Solieusap!H1858)</f>
        <v>0.0009234911039</v>
      </c>
      <c r="I1858" s="16">
        <f>ABS(Solieusap!I1858)</f>
        <v>5.519924697</v>
      </c>
      <c r="J1858" s="16">
        <f>ABS(Solieusap!J1858)</f>
        <v>3.715584481</v>
      </c>
      <c r="K1858" s="16">
        <f t="shared" si="1"/>
        <v>16.22832208</v>
      </c>
      <c r="L1858" s="16">
        <f t="shared" si="2"/>
        <v>5.519924697</v>
      </c>
    </row>
    <row r="1859" ht="16.5" customHeight="1">
      <c r="A1859" s="15" t="str">
        <f>Solieusap!A1859</f>
        <v>Cũ</v>
      </c>
      <c r="B1859" s="15">
        <f>Solieusap!B1859</f>
        <v>1.75</v>
      </c>
      <c r="C1859" s="15" t="str">
        <f>Solieusap!C1859</f>
        <v>COMB3</v>
      </c>
      <c r="D1859" s="15" t="str">
        <f>Solieusap!D1859</f>
        <v>Combination</v>
      </c>
      <c r="E1859" s="16">
        <f>ABS(Solieusap!E1859)</f>
        <v>16.24517844</v>
      </c>
      <c r="F1859" s="16">
        <f>ABS(Solieusap!F1859)</f>
        <v>1.525336277</v>
      </c>
      <c r="G1859" s="16">
        <f>ABS(Solieusap!G1859)</f>
        <v>2.071729784</v>
      </c>
      <c r="H1859" s="16">
        <f>ABS(Solieusap!H1859)</f>
        <v>0.0009245462078</v>
      </c>
      <c r="I1859" s="16">
        <f>ABS(Solieusap!I1859)</f>
        <v>5.526719489</v>
      </c>
      <c r="J1859" s="16">
        <f>ABS(Solieusap!J1859)</f>
        <v>3.720131532</v>
      </c>
      <c r="K1859" s="16">
        <f t="shared" si="1"/>
        <v>16.24517844</v>
      </c>
      <c r="L1859" s="16">
        <f t="shared" si="2"/>
        <v>5.526719489</v>
      </c>
    </row>
    <row r="1860" ht="16.5" customHeight="1">
      <c r="A1860" s="15" t="str">
        <f>Solieusap!A1860</f>
        <v>Cũ</v>
      </c>
      <c r="B1860" s="15">
        <f>Solieusap!B1860</f>
        <v>3.5</v>
      </c>
      <c r="C1860" s="15" t="str">
        <f>Solieusap!C1860</f>
        <v>COMB3</v>
      </c>
      <c r="D1860" s="15" t="str">
        <f>Solieusap!D1860</f>
        <v>Combination</v>
      </c>
      <c r="E1860" s="16">
        <f>ABS(Solieusap!E1860)</f>
        <v>16.26203481</v>
      </c>
      <c r="F1860" s="16">
        <f>ABS(Solieusap!F1860)</f>
        <v>1.527046797</v>
      </c>
      <c r="G1860" s="16">
        <f>ABS(Solieusap!G1860)</f>
        <v>2.073994199</v>
      </c>
      <c r="H1860" s="16">
        <f>ABS(Solieusap!H1860)</f>
        <v>0.0009256013117</v>
      </c>
      <c r="I1860" s="16">
        <f>ABS(Solieusap!I1860)</f>
        <v>5.533514281</v>
      </c>
      <c r="J1860" s="16">
        <f>ABS(Solieusap!J1860)</f>
        <v>3.724678584</v>
      </c>
      <c r="K1860" s="16">
        <f t="shared" si="1"/>
        <v>16.26203481</v>
      </c>
      <c r="L1860" s="16">
        <f t="shared" si="2"/>
        <v>5.533514281</v>
      </c>
    </row>
    <row r="1861" ht="16.5" customHeight="1">
      <c r="A1861" s="15" t="str">
        <f>Solieusap!A1861</f>
        <v>Cũ</v>
      </c>
      <c r="B1861" s="15">
        <f>Solieusap!B1861</f>
        <v>0</v>
      </c>
      <c r="C1861" s="15" t="str">
        <f>Solieusap!C1861</f>
        <v>COMB4</v>
      </c>
      <c r="D1861" s="15" t="str">
        <f>Solieusap!D1861</f>
        <v>Combination</v>
      </c>
      <c r="E1861" s="16">
        <f>ABS(Solieusap!E1861)</f>
        <v>16.27889117</v>
      </c>
      <c r="F1861" s="16">
        <f>ABS(Solieusap!F1861)</f>
        <v>1.528757316</v>
      </c>
      <c r="G1861" s="16">
        <f>ABS(Solieusap!G1861)</f>
        <v>2.076258615</v>
      </c>
      <c r="H1861" s="16">
        <f>ABS(Solieusap!H1861)</f>
        <v>0.0009266564156</v>
      </c>
      <c r="I1861" s="16">
        <f>ABS(Solieusap!I1861)</f>
        <v>5.540309074</v>
      </c>
      <c r="J1861" s="16">
        <f>ABS(Solieusap!J1861)</f>
        <v>3.729225636</v>
      </c>
      <c r="K1861" s="16">
        <f t="shared" si="1"/>
        <v>16.27889117</v>
      </c>
      <c r="L1861" s="16">
        <f t="shared" si="2"/>
        <v>5.540309074</v>
      </c>
    </row>
    <row r="1862" ht="16.5" customHeight="1">
      <c r="A1862" s="15" t="str">
        <f>Solieusap!A1862</f>
        <v>Cũ</v>
      </c>
      <c r="B1862" s="15">
        <f>Solieusap!B1862</f>
        <v>1.75</v>
      </c>
      <c r="C1862" s="15" t="str">
        <f>Solieusap!C1862</f>
        <v>COMB4</v>
      </c>
      <c r="D1862" s="15" t="str">
        <f>Solieusap!D1862</f>
        <v>Combination</v>
      </c>
      <c r="E1862" s="16">
        <f>ABS(Solieusap!E1862)</f>
        <v>16.29574753</v>
      </c>
      <c r="F1862" s="16">
        <f>ABS(Solieusap!F1862)</f>
        <v>1.530467835</v>
      </c>
      <c r="G1862" s="16">
        <f>ABS(Solieusap!G1862)</f>
        <v>2.07852303</v>
      </c>
      <c r="H1862" s="16">
        <f>ABS(Solieusap!H1862)</f>
        <v>0.0009277115195</v>
      </c>
      <c r="I1862" s="16">
        <f>ABS(Solieusap!I1862)</f>
        <v>5.547103866</v>
      </c>
      <c r="J1862" s="16">
        <f>ABS(Solieusap!J1862)</f>
        <v>3.733772688</v>
      </c>
      <c r="K1862" s="16">
        <f t="shared" si="1"/>
        <v>16.29574753</v>
      </c>
      <c r="L1862" s="16">
        <f t="shared" si="2"/>
        <v>5.547103866</v>
      </c>
    </row>
    <row r="1863" ht="16.5" customHeight="1">
      <c r="A1863" s="15" t="str">
        <f>Solieusap!A1863</f>
        <v>Cũ</v>
      </c>
      <c r="B1863" s="15">
        <f>Solieusap!B1863</f>
        <v>3.5</v>
      </c>
      <c r="C1863" s="15" t="str">
        <f>Solieusap!C1863</f>
        <v>COMB4</v>
      </c>
      <c r="D1863" s="15" t="str">
        <f>Solieusap!D1863</f>
        <v>Combination</v>
      </c>
      <c r="E1863" s="16">
        <f>ABS(Solieusap!E1863)</f>
        <v>16.3126039</v>
      </c>
      <c r="F1863" s="16">
        <f>ABS(Solieusap!F1863)</f>
        <v>1.532178355</v>
      </c>
      <c r="G1863" s="16">
        <f>ABS(Solieusap!G1863)</f>
        <v>2.080787446</v>
      </c>
      <c r="H1863" s="16">
        <f>ABS(Solieusap!H1863)</f>
        <v>0.0009287666234</v>
      </c>
      <c r="I1863" s="16">
        <f>ABS(Solieusap!I1863)</f>
        <v>5.553898658</v>
      </c>
      <c r="J1863" s="16">
        <f>ABS(Solieusap!J1863)</f>
        <v>3.73831974</v>
      </c>
      <c r="K1863" s="16">
        <f t="shared" si="1"/>
        <v>16.3126039</v>
      </c>
      <c r="L1863" s="16">
        <f t="shared" si="2"/>
        <v>5.553898658</v>
      </c>
    </row>
    <row r="1864" ht="16.5" customHeight="1">
      <c r="A1864" s="15" t="str">
        <f>Solieusap!A1864</f>
        <v>Cũ</v>
      </c>
      <c r="B1864" s="15">
        <f>Solieusap!B1864</f>
        <v>0</v>
      </c>
      <c r="C1864" s="15" t="str">
        <f>Solieusap!C1864</f>
        <v>COMB5</v>
      </c>
      <c r="D1864" s="15" t="str">
        <f>Solieusap!D1864</f>
        <v>Combination</v>
      </c>
      <c r="E1864" s="16">
        <f>ABS(Solieusap!E1864)</f>
        <v>16.32946026</v>
      </c>
      <c r="F1864" s="16">
        <f>ABS(Solieusap!F1864)</f>
        <v>1.533888874</v>
      </c>
      <c r="G1864" s="16">
        <f>ABS(Solieusap!G1864)</f>
        <v>2.083051861</v>
      </c>
      <c r="H1864" s="16">
        <f>ABS(Solieusap!H1864)</f>
        <v>0.0009298217273</v>
      </c>
      <c r="I1864" s="16">
        <f>ABS(Solieusap!I1864)</f>
        <v>5.56069345</v>
      </c>
      <c r="J1864" s="16">
        <f>ABS(Solieusap!J1864)</f>
        <v>3.742866792</v>
      </c>
      <c r="K1864" s="16">
        <f t="shared" si="1"/>
        <v>16.32946026</v>
      </c>
      <c r="L1864" s="16">
        <f t="shared" si="2"/>
        <v>5.56069345</v>
      </c>
    </row>
    <row r="1865" ht="16.5" customHeight="1">
      <c r="A1865" s="15" t="str">
        <f>Solieusap!A1865</f>
        <v>Cũ</v>
      </c>
      <c r="B1865" s="15">
        <f>Solieusap!B1865</f>
        <v>1.75</v>
      </c>
      <c r="C1865" s="15" t="str">
        <f>Solieusap!C1865</f>
        <v>COMB5</v>
      </c>
      <c r="D1865" s="15" t="str">
        <f>Solieusap!D1865</f>
        <v>Combination</v>
      </c>
      <c r="E1865" s="16">
        <f>ABS(Solieusap!E1865)</f>
        <v>16.34631662</v>
      </c>
      <c r="F1865" s="16">
        <f>ABS(Solieusap!F1865)</f>
        <v>1.535599394</v>
      </c>
      <c r="G1865" s="16">
        <f>ABS(Solieusap!G1865)</f>
        <v>2.085316277</v>
      </c>
      <c r="H1865" s="16">
        <f>ABS(Solieusap!H1865)</f>
        <v>0.0009308768312</v>
      </c>
      <c r="I1865" s="16">
        <f>ABS(Solieusap!I1865)</f>
        <v>5.567488242</v>
      </c>
      <c r="J1865" s="16">
        <f>ABS(Solieusap!J1865)</f>
        <v>3.747413844</v>
      </c>
      <c r="K1865" s="16">
        <f t="shared" si="1"/>
        <v>16.34631662</v>
      </c>
      <c r="L1865" s="16">
        <f t="shared" si="2"/>
        <v>5.567488242</v>
      </c>
    </row>
    <row r="1866" ht="16.5" customHeight="1">
      <c r="A1866" s="15" t="str">
        <f>Solieusap!A1866</f>
        <v>Cũ</v>
      </c>
      <c r="B1866" s="15">
        <f>Solieusap!B1866</f>
        <v>3.5</v>
      </c>
      <c r="C1866" s="15" t="str">
        <f>Solieusap!C1866</f>
        <v>COMB5</v>
      </c>
      <c r="D1866" s="15" t="str">
        <f>Solieusap!D1866</f>
        <v>Combination</v>
      </c>
      <c r="E1866" s="16">
        <f>ABS(Solieusap!E1866)</f>
        <v>16.36317299</v>
      </c>
      <c r="F1866" s="16">
        <f>ABS(Solieusap!F1866)</f>
        <v>1.537309913</v>
      </c>
      <c r="G1866" s="16">
        <f>ABS(Solieusap!G1866)</f>
        <v>2.087580693</v>
      </c>
      <c r="H1866" s="16">
        <f>ABS(Solieusap!H1866)</f>
        <v>0.0009319319351</v>
      </c>
      <c r="I1866" s="16">
        <f>ABS(Solieusap!I1866)</f>
        <v>5.574283035</v>
      </c>
      <c r="J1866" s="16">
        <f>ABS(Solieusap!J1866)</f>
        <v>3.751960896</v>
      </c>
      <c r="K1866" s="16">
        <f t="shared" si="1"/>
        <v>16.36317299</v>
      </c>
      <c r="L1866" s="16">
        <f t="shared" si="2"/>
        <v>5.574283035</v>
      </c>
    </row>
    <row r="1867" ht="16.5" customHeight="1">
      <c r="A1867" s="15" t="str">
        <f>Solieusap!A1867</f>
        <v>Cũ</v>
      </c>
      <c r="B1867" s="15">
        <f>Solieusap!B1867</f>
        <v>0</v>
      </c>
      <c r="C1867" s="15" t="str">
        <f>Solieusap!C1867</f>
        <v>COMB6</v>
      </c>
      <c r="D1867" s="15" t="str">
        <f>Solieusap!D1867</f>
        <v>Combination</v>
      </c>
      <c r="E1867" s="16">
        <f>ABS(Solieusap!E1867)</f>
        <v>16.38002935</v>
      </c>
      <c r="F1867" s="16">
        <f>ABS(Solieusap!F1867)</f>
        <v>1.539020433</v>
      </c>
      <c r="G1867" s="16">
        <f>ABS(Solieusap!G1867)</f>
        <v>2.089845108</v>
      </c>
      <c r="H1867" s="16">
        <f>ABS(Solieusap!H1867)</f>
        <v>0.000932987039</v>
      </c>
      <c r="I1867" s="16">
        <f>ABS(Solieusap!I1867)</f>
        <v>5.581077827</v>
      </c>
      <c r="J1867" s="16">
        <f>ABS(Solieusap!J1867)</f>
        <v>3.756507948</v>
      </c>
      <c r="K1867" s="16">
        <f t="shared" si="1"/>
        <v>16.38002935</v>
      </c>
      <c r="L1867" s="16">
        <f t="shared" si="2"/>
        <v>5.581077827</v>
      </c>
    </row>
    <row r="1868" ht="16.5" customHeight="1">
      <c r="A1868" s="15" t="str">
        <f>Solieusap!A1868</f>
        <v>Cũ</v>
      </c>
      <c r="B1868" s="15">
        <f>Solieusap!B1868</f>
        <v>1.75</v>
      </c>
      <c r="C1868" s="15" t="str">
        <f>Solieusap!C1868</f>
        <v>COMB6</v>
      </c>
      <c r="D1868" s="15" t="str">
        <f>Solieusap!D1868</f>
        <v>Combination</v>
      </c>
      <c r="E1868" s="16">
        <f>ABS(Solieusap!E1868)</f>
        <v>16.39688571</v>
      </c>
      <c r="F1868" s="16">
        <f>ABS(Solieusap!F1868)</f>
        <v>1.540730952</v>
      </c>
      <c r="G1868" s="16">
        <f>ABS(Solieusap!G1868)</f>
        <v>2.092109524</v>
      </c>
      <c r="H1868" s="16">
        <f>ABS(Solieusap!H1868)</f>
        <v>0.0009340421429</v>
      </c>
      <c r="I1868" s="16">
        <f>ABS(Solieusap!I1868)</f>
        <v>5.587872619</v>
      </c>
      <c r="J1868" s="16">
        <f>ABS(Solieusap!J1868)</f>
        <v>3.761055</v>
      </c>
      <c r="K1868" s="16">
        <f t="shared" si="1"/>
        <v>16.39688571</v>
      </c>
      <c r="L1868" s="16">
        <f t="shared" si="2"/>
        <v>5.587872619</v>
      </c>
    </row>
    <row r="1869" ht="16.5" customHeight="1">
      <c r="A1869" s="15" t="str">
        <f>Solieusap!A1869</f>
        <v>Cũ</v>
      </c>
      <c r="B1869" s="15">
        <f>Solieusap!B1869</f>
        <v>3.5</v>
      </c>
      <c r="C1869" s="15" t="str">
        <f>Solieusap!C1869</f>
        <v>COMB6</v>
      </c>
      <c r="D1869" s="15" t="str">
        <f>Solieusap!D1869</f>
        <v>Combination</v>
      </c>
      <c r="E1869" s="16">
        <f>ABS(Solieusap!E1869)</f>
        <v>16.41374208</v>
      </c>
      <c r="F1869" s="16">
        <f>ABS(Solieusap!F1869)</f>
        <v>1.542441472</v>
      </c>
      <c r="G1869" s="16">
        <f>ABS(Solieusap!G1869)</f>
        <v>2.094373939</v>
      </c>
      <c r="H1869" s="16">
        <f>ABS(Solieusap!H1869)</f>
        <v>0.0009350972468</v>
      </c>
      <c r="I1869" s="16">
        <f>ABS(Solieusap!I1869)</f>
        <v>5.594667411</v>
      </c>
      <c r="J1869" s="16">
        <f>ABS(Solieusap!J1869)</f>
        <v>3.765602052</v>
      </c>
      <c r="K1869" s="16">
        <f t="shared" si="1"/>
        <v>16.41374208</v>
      </c>
      <c r="L1869" s="16">
        <f t="shared" si="2"/>
        <v>5.594667411</v>
      </c>
    </row>
    <row r="1870" ht="16.5" customHeight="1">
      <c r="A1870" s="15" t="str">
        <f>Solieusap!A1870</f>
        <v>Cũ</v>
      </c>
      <c r="B1870" s="15">
        <f>Solieusap!B1870</f>
        <v>0</v>
      </c>
      <c r="C1870" s="15" t="str">
        <f>Solieusap!C1870</f>
        <v>COMB7</v>
      </c>
      <c r="D1870" s="15" t="str">
        <f>Solieusap!D1870</f>
        <v>Combination</v>
      </c>
      <c r="E1870" s="16">
        <f>ABS(Solieusap!E1870)</f>
        <v>16.43059844</v>
      </c>
      <c r="F1870" s="16">
        <f>ABS(Solieusap!F1870)</f>
        <v>1.544151991</v>
      </c>
      <c r="G1870" s="16">
        <f>ABS(Solieusap!G1870)</f>
        <v>2.096638355</v>
      </c>
      <c r="H1870" s="16">
        <f>ABS(Solieusap!H1870)</f>
        <v>0.0009361523506</v>
      </c>
      <c r="I1870" s="16">
        <f>ABS(Solieusap!I1870)</f>
        <v>5.601462203</v>
      </c>
      <c r="J1870" s="16">
        <f>ABS(Solieusap!J1870)</f>
        <v>3.770149104</v>
      </c>
      <c r="K1870" s="16">
        <f t="shared" si="1"/>
        <v>16.43059844</v>
      </c>
      <c r="L1870" s="16">
        <f t="shared" si="2"/>
        <v>5.601462203</v>
      </c>
    </row>
    <row r="1871" ht="16.5" customHeight="1">
      <c r="A1871" s="15" t="str">
        <f>Solieusap!A1871</f>
        <v>Cũ</v>
      </c>
      <c r="B1871" s="15">
        <f>Solieusap!B1871</f>
        <v>1.75</v>
      </c>
      <c r="C1871" s="15" t="str">
        <f>Solieusap!C1871</f>
        <v>COMB7</v>
      </c>
      <c r="D1871" s="15" t="str">
        <f>Solieusap!D1871</f>
        <v>Combination</v>
      </c>
      <c r="E1871" s="16">
        <f>ABS(Solieusap!E1871)</f>
        <v>16.44745481</v>
      </c>
      <c r="F1871" s="16">
        <f>ABS(Solieusap!F1871)</f>
        <v>1.545862511</v>
      </c>
      <c r="G1871" s="16">
        <f>ABS(Solieusap!G1871)</f>
        <v>2.098902771</v>
      </c>
      <c r="H1871" s="16">
        <f>ABS(Solieusap!H1871)</f>
        <v>0.0009372074545</v>
      </c>
      <c r="I1871" s="16">
        <f>ABS(Solieusap!I1871)</f>
        <v>5.608256996</v>
      </c>
      <c r="J1871" s="16">
        <f>ABS(Solieusap!J1871)</f>
        <v>3.774696156</v>
      </c>
      <c r="K1871" s="16">
        <f t="shared" si="1"/>
        <v>16.44745481</v>
      </c>
      <c r="L1871" s="16">
        <f t="shared" si="2"/>
        <v>5.608256996</v>
      </c>
    </row>
    <row r="1872" ht="16.5" customHeight="1">
      <c r="A1872" s="15" t="str">
        <f>Solieusap!A1872</f>
        <v>Cũ</v>
      </c>
      <c r="B1872" s="15">
        <f>Solieusap!B1872</f>
        <v>3.5</v>
      </c>
      <c r="C1872" s="15" t="str">
        <f>Solieusap!C1872</f>
        <v>COMB7</v>
      </c>
      <c r="D1872" s="15" t="str">
        <f>Solieusap!D1872</f>
        <v>Combination</v>
      </c>
      <c r="E1872" s="16">
        <f>ABS(Solieusap!E1872)</f>
        <v>16.46431117</v>
      </c>
      <c r="F1872" s="16">
        <f>ABS(Solieusap!F1872)</f>
        <v>1.54757303</v>
      </c>
      <c r="G1872" s="16">
        <f>ABS(Solieusap!G1872)</f>
        <v>2.101167186</v>
      </c>
      <c r="H1872" s="16">
        <f>ABS(Solieusap!H1872)</f>
        <v>0.0009382625584</v>
      </c>
      <c r="I1872" s="16">
        <f>ABS(Solieusap!I1872)</f>
        <v>5.615051788</v>
      </c>
      <c r="J1872" s="16">
        <f>ABS(Solieusap!J1872)</f>
        <v>3.779243208</v>
      </c>
      <c r="K1872" s="16">
        <f t="shared" si="1"/>
        <v>16.46431117</v>
      </c>
      <c r="L1872" s="16">
        <f t="shared" si="2"/>
        <v>5.615051788</v>
      </c>
    </row>
    <row r="1873" ht="16.5" customHeight="1">
      <c r="A1873" s="15" t="str">
        <f>Solieusap!A1873</f>
        <v>Cũ</v>
      </c>
      <c r="B1873" s="15">
        <f>Solieusap!B1873</f>
        <v>0</v>
      </c>
      <c r="C1873" s="15" t="str">
        <f>Solieusap!C1873</f>
        <v>COMB1</v>
      </c>
      <c r="D1873" s="15" t="str">
        <f>Solieusap!D1873</f>
        <v>Combination</v>
      </c>
      <c r="E1873" s="16">
        <f>ABS(Solieusap!E1873)</f>
        <v>16.48116753</v>
      </c>
      <c r="F1873" s="16">
        <f>ABS(Solieusap!F1873)</f>
        <v>1.54928355</v>
      </c>
      <c r="G1873" s="16">
        <f>ABS(Solieusap!G1873)</f>
        <v>2.103431602</v>
      </c>
      <c r="H1873" s="16">
        <f>ABS(Solieusap!H1873)</f>
        <v>0.0009393176623</v>
      </c>
      <c r="I1873" s="16">
        <f>ABS(Solieusap!I1873)</f>
        <v>5.62184658</v>
      </c>
      <c r="J1873" s="16">
        <f>ABS(Solieusap!J1873)</f>
        <v>3.78379026</v>
      </c>
      <c r="K1873" s="16">
        <f t="shared" si="1"/>
        <v>16.48116753</v>
      </c>
      <c r="L1873" s="16">
        <f t="shared" si="2"/>
        <v>5.62184658</v>
      </c>
    </row>
    <row r="1874" ht="16.5" customHeight="1">
      <c r="A1874" s="15" t="str">
        <f>Solieusap!A1874</f>
        <v>Cũ</v>
      </c>
      <c r="B1874" s="15">
        <f>Solieusap!B1874</f>
        <v>1.75</v>
      </c>
      <c r="C1874" s="15" t="str">
        <f>Solieusap!C1874</f>
        <v>COMB1</v>
      </c>
      <c r="D1874" s="15" t="str">
        <f>Solieusap!D1874</f>
        <v>Combination</v>
      </c>
      <c r="E1874" s="16">
        <f>ABS(Solieusap!E1874)</f>
        <v>16.4980239</v>
      </c>
      <c r="F1874" s="16">
        <f>ABS(Solieusap!F1874)</f>
        <v>1.550994069</v>
      </c>
      <c r="G1874" s="16">
        <f>ABS(Solieusap!G1874)</f>
        <v>2.105696017</v>
      </c>
      <c r="H1874" s="16">
        <f>ABS(Solieusap!H1874)</f>
        <v>0.0009403727662</v>
      </c>
      <c r="I1874" s="16">
        <f>ABS(Solieusap!I1874)</f>
        <v>5.628641372</v>
      </c>
      <c r="J1874" s="16">
        <f>ABS(Solieusap!J1874)</f>
        <v>3.788337312</v>
      </c>
      <c r="K1874" s="16">
        <f t="shared" si="1"/>
        <v>16.4980239</v>
      </c>
      <c r="L1874" s="16">
        <f t="shared" si="2"/>
        <v>5.628641372</v>
      </c>
    </row>
    <row r="1875" ht="16.5" customHeight="1">
      <c r="A1875" s="15" t="str">
        <f>Solieusap!A1875</f>
        <v>Cũ</v>
      </c>
      <c r="B1875" s="15">
        <f>Solieusap!B1875</f>
        <v>3.5</v>
      </c>
      <c r="C1875" s="15" t="str">
        <f>Solieusap!C1875</f>
        <v>COMB1</v>
      </c>
      <c r="D1875" s="15" t="str">
        <f>Solieusap!D1875</f>
        <v>Combination</v>
      </c>
      <c r="E1875" s="16">
        <f>ABS(Solieusap!E1875)</f>
        <v>16.51488026</v>
      </c>
      <c r="F1875" s="16">
        <f>ABS(Solieusap!F1875)</f>
        <v>1.552704589</v>
      </c>
      <c r="G1875" s="16">
        <f>ABS(Solieusap!G1875)</f>
        <v>2.107960433</v>
      </c>
      <c r="H1875" s="16">
        <f>ABS(Solieusap!H1875)</f>
        <v>0.0009414278701</v>
      </c>
      <c r="I1875" s="16">
        <f>ABS(Solieusap!I1875)</f>
        <v>5.635436165</v>
      </c>
      <c r="J1875" s="16">
        <f>ABS(Solieusap!J1875)</f>
        <v>3.792884364</v>
      </c>
      <c r="K1875" s="16">
        <f t="shared" si="1"/>
        <v>16.51488026</v>
      </c>
      <c r="L1875" s="16">
        <f t="shared" si="2"/>
        <v>5.635436165</v>
      </c>
    </row>
    <row r="1876" ht="16.5" customHeight="1">
      <c r="A1876" s="15" t="str">
        <f>Solieusap!A1876</f>
        <v>Cũ</v>
      </c>
      <c r="B1876" s="15">
        <f>Solieusap!B1876</f>
        <v>0</v>
      </c>
      <c r="C1876" s="15" t="str">
        <f>Solieusap!C1876</f>
        <v>COMB2</v>
      </c>
      <c r="D1876" s="15" t="str">
        <f>Solieusap!D1876</f>
        <v>Combination</v>
      </c>
      <c r="E1876" s="16">
        <f>ABS(Solieusap!E1876)</f>
        <v>16.53173662</v>
      </c>
      <c r="F1876" s="16">
        <f>ABS(Solieusap!F1876)</f>
        <v>1.554415108</v>
      </c>
      <c r="G1876" s="16">
        <f>ABS(Solieusap!G1876)</f>
        <v>2.110224848</v>
      </c>
      <c r="H1876" s="16">
        <f>ABS(Solieusap!H1876)</f>
        <v>0.000942482974</v>
      </c>
      <c r="I1876" s="16">
        <f>ABS(Solieusap!I1876)</f>
        <v>5.642230957</v>
      </c>
      <c r="J1876" s="16">
        <f>ABS(Solieusap!J1876)</f>
        <v>3.797431416</v>
      </c>
      <c r="K1876" s="16">
        <f t="shared" si="1"/>
        <v>16.53173662</v>
      </c>
      <c r="L1876" s="16">
        <f t="shared" si="2"/>
        <v>5.642230957</v>
      </c>
    </row>
    <row r="1877" ht="16.5" customHeight="1">
      <c r="A1877" s="15" t="str">
        <f>Solieusap!A1877</f>
        <v>Cũ</v>
      </c>
      <c r="B1877" s="15">
        <f>Solieusap!B1877</f>
        <v>1.75</v>
      </c>
      <c r="C1877" s="15" t="str">
        <f>Solieusap!C1877</f>
        <v>COMB2</v>
      </c>
      <c r="D1877" s="15" t="str">
        <f>Solieusap!D1877</f>
        <v>Combination</v>
      </c>
      <c r="E1877" s="16">
        <f>ABS(Solieusap!E1877)</f>
        <v>16.54859299</v>
      </c>
      <c r="F1877" s="16">
        <f>ABS(Solieusap!F1877)</f>
        <v>1.556125628</v>
      </c>
      <c r="G1877" s="16">
        <f>ABS(Solieusap!G1877)</f>
        <v>2.112489264</v>
      </c>
      <c r="H1877" s="16">
        <f>ABS(Solieusap!H1877)</f>
        <v>0.0009435380779</v>
      </c>
      <c r="I1877" s="16">
        <f>ABS(Solieusap!I1877)</f>
        <v>5.649025749</v>
      </c>
      <c r="J1877" s="16">
        <f>ABS(Solieusap!J1877)</f>
        <v>3.801978468</v>
      </c>
      <c r="K1877" s="16">
        <f t="shared" si="1"/>
        <v>16.54859299</v>
      </c>
      <c r="L1877" s="16">
        <f t="shared" si="2"/>
        <v>5.649025749</v>
      </c>
    </row>
    <row r="1878" ht="16.5" customHeight="1">
      <c r="A1878" s="15" t="str">
        <f>Solieusap!A1878</f>
        <v>Cũ</v>
      </c>
      <c r="B1878" s="15">
        <f>Solieusap!B1878</f>
        <v>3.5</v>
      </c>
      <c r="C1878" s="15" t="str">
        <f>Solieusap!C1878</f>
        <v>COMB2</v>
      </c>
      <c r="D1878" s="15" t="str">
        <f>Solieusap!D1878</f>
        <v>Combination</v>
      </c>
      <c r="E1878" s="16">
        <f>ABS(Solieusap!E1878)</f>
        <v>16.56544935</v>
      </c>
      <c r="F1878" s="16">
        <f>ABS(Solieusap!F1878)</f>
        <v>1.557836147</v>
      </c>
      <c r="G1878" s="16">
        <f>ABS(Solieusap!G1878)</f>
        <v>2.11475368</v>
      </c>
      <c r="H1878" s="16">
        <f>ABS(Solieusap!H1878)</f>
        <v>0.0009445931818</v>
      </c>
      <c r="I1878" s="16">
        <f>ABS(Solieusap!I1878)</f>
        <v>5.655820541</v>
      </c>
      <c r="J1878" s="16">
        <f>ABS(Solieusap!J1878)</f>
        <v>3.806525519</v>
      </c>
      <c r="K1878" s="16">
        <f t="shared" si="1"/>
        <v>16.56544935</v>
      </c>
      <c r="L1878" s="16">
        <f t="shared" si="2"/>
        <v>5.655820541</v>
      </c>
    </row>
    <row r="1879" ht="16.5" customHeight="1">
      <c r="A1879" s="15" t="str">
        <f>Solieusap!A1879</f>
        <v>Cũ</v>
      </c>
      <c r="B1879" s="15">
        <f>Solieusap!B1879</f>
        <v>0</v>
      </c>
      <c r="C1879" s="15" t="str">
        <f>Solieusap!C1879</f>
        <v>COMB3</v>
      </c>
      <c r="D1879" s="15" t="str">
        <f>Solieusap!D1879</f>
        <v>Combination</v>
      </c>
      <c r="E1879" s="16">
        <f>ABS(Solieusap!E1879)</f>
        <v>16.58230571</v>
      </c>
      <c r="F1879" s="16">
        <f>ABS(Solieusap!F1879)</f>
        <v>1.559546667</v>
      </c>
      <c r="G1879" s="16">
        <f>ABS(Solieusap!G1879)</f>
        <v>2.117018095</v>
      </c>
      <c r="H1879" s="16">
        <f>ABS(Solieusap!H1879)</f>
        <v>0.0009456482857</v>
      </c>
      <c r="I1879" s="16">
        <f>ABS(Solieusap!I1879)</f>
        <v>5.662615333</v>
      </c>
      <c r="J1879" s="16">
        <f>ABS(Solieusap!J1879)</f>
        <v>3.811072571</v>
      </c>
      <c r="K1879" s="16">
        <f t="shared" si="1"/>
        <v>16.58230571</v>
      </c>
      <c r="L1879" s="16">
        <f t="shared" si="2"/>
        <v>5.662615333</v>
      </c>
    </row>
    <row r="1880" ht="16.5" customHeight="1">
      <c r="A1880" s="15" t="str">
        <f>Solieusap!A1880</f>
        <v>Cũ</v>
      </c>
      <c r="B1880" s="15">
        <f>Solieusap!B1880</f>
        <v>1.75</v>
      </c>
      <c r="C1880" s="15" t="str">
        <f>Solieusap!C1880</f>
        <v>COMB3</v>
      </c>
      <c r="D1880" s="15" t="str">
        <f>Solieusap!D1880</f>
        <v>Combination</v>
      </c>
      <c r="E1880" s="16">
        <f>ABS(Solieusap!E1880)</f>
        <v>16.59916208</v>
      </c>
      <c r="F1880" s="16">
        <f>ABS(Solieusap!F1880)</f>
        <v>1.561257186</v>
      </c>
      <c r="G1880" s="16">
        <f>ABS(Solieusap!G1880)</f>
        <v>2.119282511</v>
      </c>
      <c r="H1880" s="16">
        <f>ABS(Solieusap!H1880)</f>
        <v>0.0009467033896</v>
      </c>
      <c r="I1880" s="16">
        <f>ABS(Solieusap!I1880)</f>
        <v>5.669410126</v>
      </c>
      <c r="J1880" s="16">
        <f>ABS(Solieusap!J1880)</f>
        <v>3.815619623</v>
      </c>
      <c r="K1880" s="16">
        <f t="shared" si="1"/>
        <v>16.59916208</v>
      </c>
      <c r="L1880" s="16">
        <f t="shared" si="2"/>
        <v>5.669410126</v>
      </c>
    </row>
    <row r="1881" ht="16.5" customHeight="1">
      <c r="A1881" s="15" t="str">
        <f>Solieusap!A1881</f>
        <v>Cũ</v>
      </c>
      <c r="B1881" s="15">
        <f>Solieusap!B1881</f>
        <v>3.5</v>
      </c>
      <c r="C1881" s="15" t="str">
        <f>Solieusap!C1881</f>
        <v>COMB3</v>
      </c>
      <c r="D1881" s="15" t="str">
        <f>Solieusap!D1881</f>
        <v>Combination</v>
      </c>
      <c r="E1881" s="16">
        <f>ABS(Solieusap!E1881)</f>
        <v>16.61601844</v>
      </c>
      <c r="F1881" s="16">
        <f>ABS(Solieusap!F1881)</f>
        <v>1.562967706</v>
      </c>
      <c r="G1881" s="16">
        <f>ABS(Solieusap!G1881)</f>
        <v>2.121546926</v>
      </c>
      <c r="H1881" s="16">
        <f>ABS(Solieusap!H1881)</f>
        <v>0.0009477584935</v>
      </c>
      <c r="I1881" s="16">
        <f>ABS(Solieusap!I1881)</f>
        <v>5.676204918</v>
      </c>
      <c r="J1881" s="16">
        <f>ABS(Solieusap!J1881)</f>
        <v>3.820166675</v>
      </c>
      <c r="K1881" s="16">
        <f t="shared" si="1"/>
        <v>16.61601844</v>
      </c>
      <c r="L1881" s="16">
        <f t="shared" si="2"/>
        <v>5.676204918</v>
      </c>
    </row>
    <row r="1882" ht="16.5" customHeight="1">
      <c r="A1882" s="15" t="str">
        <f>Solieusap!A1882</f>
        <v>Cũ</v>
      </c>
      <c r="B1882" s="15">
        <f>Solieusap!B1882</f>
        <v>0</v>
      </c>
      <c r="C1882" s="15" t="str">
        <f>Solieusap!C1882</f>
        <v>COMB4</v>
      </c>
      <c r="D1882" s="15" t="str">
        <f>Solieusap!D1882</f>
        <v>Combination</v>
      </c>
      <c r="E1882" s="16">
        <f>ABS(Solieusap!E1882)</f>
        <v>16.63287481</v>
      </c>
      <c r="F1882" s="16">
        <f>ABS(Solieusap!F1882)</f>
        <v>1.564678225</v>
      </c>
      <c r="G1882" s="16">
        <f>ABS(Solieusap!G1882)</f>
        <v>2.123811342</v>
      </c>
      <c r="H1882" s="16">
        <f>ABS(Solieusap!H1882)</f>
        <v>0.0009488135974</v>
      </c>
      <c r="I1882" s="16">
        <f>ABS(Solieusap!I1882)</f>
        <v>5.68299971</v>
      </c>
      <c r="J1882" s="16">
        <f>ABS(Solieusap!J1882)</f>
        <v>3.824713727</v>
      </c>
      <c r="K1882" s="16">
        <f t="shared" si="1"/>
        <v>16.63287481</v>
      </c>
      <c r="L1882" s="16">
        <f t="shared" si="2"/>
        <v>5.68299971</v>
      </c>
    </row>
    <row r="1883" ht="16.5" customHeight="1">
      <c r="A1883" s="15" t="str">
        <f>Solieusap!A1883</f>
        <v>Cũ</v>
      </c>
      <c r="B1883" s="15">
        <f>Solieusap!B1883</f>
        <v>1.75</v>
      </c>
      <c r="C1883" s="15" t="str">
        <f>Solieusap!C1883</f>
        <v>COMB4</v>
      </c>
      <c r="D1883" s="15" t="str">
        <f>Solieusap!D1883</f>
        <v>Combination</v>
      </c>
      <c r="E1883" s="16">
        <f>ABS(Solieusap!E1883)</f>
        <v>16.64973117</v>
      </c>
      <c r="F1883" s="16">
        <f>ABS(Solieusap!F1883)</f>
        <v>1.566388745</v>
      </c>
      <c r="G1883" s="16">
        <f>ABS(Solieusap!G1883)</f>
        <v>2.126075758</v>
      </c>
      <c r="H1883" s="16">
        <f>ABS(Solieusap!H1883)</f>
        <v>0.0009498687013</v>
      </c>
      <c r="I1883" s="16">
        <f>ABS(Solieusap!I1883)</f>
        <v>5.689794502</v>
      </c>
      <c r="J1883" s="16">
        <f>ABS(Solieusap!J1883)</f>
        <v>3.829260779</v>
      </c>
      <c r="K1883" s="16">
        <f t="shared" si="1"/>
        <v>16.64973117</v>
      </c>
      <c r="L1883" s="16">
        <f t="shared" si="2"/>
        <v>5.689794502</v>
      </c>
    </row>
    <row r="1884" ht="16.5" customHeight="1">
      <c r="A1884" s="15" t="str">
        <f>Solieusap!A1884</f>
        <v>Cũ</v>
      </c>
      <c r="B1884" s="15">
        <f>Solieusap!B1884</f>
        <v>3.5</v>
      </c>
      <c r="C1884" s="15" t="str">
        <f>Solieusap!C1884</f>
        <v>COMB4</v>
      </c>
      <c r="D1884" s="15" t="str">
        <f>Solieusap!D1884</f>
        <v>Combination</v>
      </c>
      <c r="E1884" s="16">
        <f>ABS(Solieusap!E1884)</f>
        <v>16.66658753</v>
      </c>
      <c r="F1884" s="16">
        <f>ABS(Solieusap!F1884)</f>
        <v>1.568099264</v>
      </c>
      <c r="G1884" s="16">
        <f>ABS(Solieusap!G1884)</f>
        <v>2.128340173</v>
      </c>
      <c r="H1884" s="16">
        <f>ABS(Solieusap!H1884)</f>
        <v>0.0009509238052</v>
      </c>
      <c r="I1884" s="16">
        <f>ABS(Solieusap!I1884)</f>
        <v>5.696589294</v>
      </c>
      <c r="J1884" s="16">
        <f>ABS(Solieusap!J1884)</f>
        <v>3.833807831</v>
      </c>
      <c r="K1884" s="16">
        <f t="shared" si="1"/>
        <v>16.66658753</v>
      </c>
      <c r="L1884" s="16">
        <f t="shared" si="2"/>
        <v>5.696589294</v>
      </c>
    </row>
    <row r="1885" ht="16.5" customHeight="1">
      <c r="A1885" s="15" t="str">
        <f>Solieusap!A1885</f>
        <v>Cũ</v>
      </c>
      <c r="B1885" s="15">
        <f>Solieusap!B1885</f>
        <v>0</v>
      </c>
      <c r="C1885" s="15" t="str">
        <f>Solieusap!C1885</f>
        <v>COMB5</v>
      </c>
      <c r="D1885" s="15" t="str">
        <f>Solieusap!D1885</f>
        <v>Combination</v>
      </c>
      <c r="E1885" s="16">
        <f>ABS(Solieusap!E1885)</f>
        <v>16.6834439</v>
      </c>
      <c r="F1885" s="16">
        <f>ABS(Solieusap!F1885)</f>
        <v>1.569809784</v>
      </c>
      <c r="G1885" s="16">
        <f>ABS(Solieusap!G1885)</f>
        <v>2.130604589</v>
      </c>
      <c r="H1885" s="16">
        <f>ABS(Solieusap!H1885)</f>
        <v>0.0009519789091</v>
      </c>
      <c r="I1885" s="16">
        <f>ABS(Solieusap!I1885)</f>
        <v>5.703384087</v>
      </c>
      <c r="J1885" s="16">
        <f>ABS(Solieusap!J1885)</f>
        <v>3.838354883</v>
      </c>
      <c r="K1885" s="16">
        <f t="shared" si="1"/>
        <v>16.6834439</v>
      </c>
      <c r="L1885" s="16">
        <f t="shared" si="2"/>
        <v>5.703384087</v>
      </c>
    </row>
    <row r="1886" ht="16.5" customHeight="1">
      <c r="A1886" s="15" t="str">
        <f>Solieusap!A1886</f>
        <v>Cũ</v>
      </c>
      <c r="B1886" s="15">
        <f>Solieusap!B1886</f>
        <v>1.75</v>
      </c>
      <c r="C1886" s="15" t="str">
        <f>Solieusap!C1886</f>
        <v>COMB5</v>
      </c>
      <c r="D1886" s="15" t="str">
        <f>Solieusap!D1886</f>
        <v>Combination</v>
      </c>
      <c r="E1886" s="16">
        <f>ABS(Solieusap!E1886)</f>
        <v>16.70030026</v>
      </c>
      <c r="F1886" s="16">
        <f>ABS(Solieusap!F1886)</f>
        <v>1.571520303</v>
      </c>
      <c r="G1886" s="16">
        <f>ABS(Solieusap!G1886)</f>
        <v>2.132869004</v>
      </c>
      <c r="H1886" s="16">
        <f>ABS(Solieusap!H1886)</f>
        <v>0.000953034013</v>
      </c>
      <c r="I1886" s="16">
        <f>ABS(Solieusap!I1886)</f>
        <v>5.710178879</v>
      </c>
      <c r="J1886" s="16">
        <f>ABS(Solieusap!J1886)</f>
        <v>3.842901935</v>
      </c>
      <c r="K1886" s="16">
        <f t="shared" si="1"/>
        <v>16.70030026</v>
      </c>
      <c r="L1886" s="16">
        <f t="shared" si="2"/>
        <v>5.710178879</v>
      </c>
    </row>
    <row r="1887" ht="16.5" customHeight="1">
      <c r="A1887" s="15" t="str">
        <f>Solieusap!A1887</f>
        <v>Cũ</v>
      </c>
      <c r="B1887" s="15">
        <f>Solieusap!B1887</f>
        <v>3.5</v>
      </c>
      <c r="C1887" s="15" t="str">
        <f>Solieusap!C1887</f>
        <v>COMB5</v>
      </c>
      <c r="D1887" s="15" t="str">
        <f>Solieusap!D1887</f>
        <v>Combination</v>
      </c>
      <c r="E1887" s="16">
        <f>ABS(Solieusap!E1887)</f>
        <v>16.71715662</v>
      </c>
      <c r="F1887" s="16">
        <f>ABS(Solieusap!F1887)</f>
        <v>1.573230823</v>
      </c>
      <c r="G1887" s="16">
        <f>ABS(Solieusap!G1887)</f>
        <v>2.13513342</v>
      </c>
      <c r="H1887" s="16">
        <f>ABS(Solieusap!H1887)</f>
        <v>0.0009540891169</v>
      </c>
      <c r="I1887" s="16">
        <f>ABS(Solieusap!I1887)</f>
        <v>5.716973671</v>
      </c>
      <c r="J1887" s="16">
        <f>ABS(Solieusap!J1887)</f>
        <v>3.847448987</v>
      </c>
      <c r="K1887" s="16">
        <f t="shared" si="1"/>
        <v>16.71715662</v>
      </c>
      <c r="L1887" s="16">
        <f t="shared" si="2"/>
        <v>5.716973671</v>
      </c>
    </row>
    <row r="1888" ht="16.5" customHeight="1">
      <c r="A1888" s="15" t="str">
        <f>Solieusap!A1888</f>
        <v>Cũ</v>
      </c>
      <c r="B1888" s="15">
        <f>Solieusap!B1888</f>
        <v>0</v>
      </c>
      <c r="C1888" s="15" t="str">
        <f>Solieusap!C1888</f>
        <v>COMB6</v>
      </c>
      <c r="D1888" s="15" t="str">
        <f>Solieusap!D1888</f>
        <v>Combination</v>
      </c>
      <c r="E1888" s="16">
        <f>ABS(Solieusap!E1888)</f>
        <v>16.73401299</v>
      </c>
      <c r="F1888" s="16">
        <f>ABS(Solieusap!F1888)</f>
        <v>1.574941342</v>
      </c>
      <c r="G1888" s="16">
        <f>ABS(Solieusap!G1888)</f>
        <v>2.137397835</v>
      </c>
      <c r="H1888" s="16">
        <f>ABS(Solieusap!H1888)</f>
        <v>0.0009551442208</v>
      </c>
      <c r="I1888" s="16">
        <f>ABS(Solieusap!I1888)</f>
        <v>5.723768463</v>
      </c>
      <c r="J1888" s="16">
        <f>ABS(Solieusap!J1888)</f>
        <v>3.851996039</v>
      </c>
      <c r="K1888" s="16">
        <f t="shared" si="1"/>
        <v>16.73401299</v>
      </c>
      <c r="L1888" s="16">
        <f t="shared" si="2"/>
        <v>5.723768463</v>
      </c>
    </row>
    <row r="1889" ht="16.5" customHeight="1">
      <c r="A1889" s="15" t="str">
        <f>Solieusap!A1889</f>
        <v>Cũ</v>
      </c>
      <c r="B1889" s="15">
        <f>Solieusap!B1889</f>
        <v>1.75</v>
      </c>
      <c r="C1889" s="15" t="str">
        <f>Solieusap!C1889</f>
        <v>COMB6</v>
      </c>
      <c r="D1889" s="15" t="str">
        <f>Solieusap!D1889</f>
        <v>Combination</v>
      </c>
      <c r="E1889" s="16">
        <f>ABS(Solieusap!E1889)</f>
        <v>16.75086935</v>
      </c>
      <c r="F1889" s="16">
        <f>ABS(Solieusap!F1889)</f>
        <v>1.576651861</v>
      </c>
      <c r="G1889" s="16">
        <f>ABS(Solieusap!G1889)</f>
        <v>2.139662251</v>
      </c>
      <c r="H1889" s="16">
        <f>ABS(Solieusap!H1889)</f>
        <v>0.0009561993247</v>
      </c>
      <c r="I1889" s="16">
        <f>ABS(Solieusap!I1889)</f>
        <v>5.730563255</v>
      </c>
      <c r="J1889" s="16">
        <f>ABS(Solieusap!J1889)</f>
        <v>3.856543091</v>
      </c>
      <c r="K1889" s="16">
        <f t="shared" si="1"/>
        <v>16.75086935</v>
      </c>
      <c r="L1889" s="16">
        <f t="shared" si="2"/>
        <v>5.730563255</v>
      </c>
    </row>
    <row r="1890" ht="16.5" customHeight="1">
      <c r="A1890" s="15" t="str">
        <f>Solieusap!A1890</f>
        <v>Cũ</v>
      </c>
      <c r="B1890" s="15">
        <f>Solieusap!B1890</f>
        <v>3.5</v>
      </c>
      <c r="C1890" s="15" t="str">
        <f>Solieusap!C1890</f>
        <v>COMB6</v>
      </c>
      <c r="D1890" s="15" t="str">
        <f>Solieusap!D1890</f>
        <v>Combination</v>
      </c>
      <c r="E1890" s="16">
        <f>ABS(Solieusap!E1890)</f>
        <v>16.76772571</v>
      </c>
      <c r="F1890" s="16">
        <f>ABS(Solieusap!F1890)</f>
        <v>1.578362381</v>
      </c>
      <c r="G1890" s="16">
        <f>ABS(Solieusap!G1890)</f>
        <v>2.141926667</v>
      </c>
      <c r="H1890" s="16">
        <f>ABS(Solieusap!H1890)</f>
        <v>0.0009572544286</v>
      </c>
      <c r="I1890" s="16">
        <f>ABS(Solieusap!I1890)</f>
        <v>5.737358048</v>
      </c>
      <c r="J1890" s="16">
        <f>ABS(Solieusap!J1890)</f>
        <v>3.861090143</v>
      </c>
      <c r="K1890" s="16">
        <f t="shared" si="1"/>
        <v>16.76772571</v>
      </c>
      <c r="L1890" s="16">
        <f t="shared" si="2"/>
        <v>5.737358048</v>
      </c>
    </row>
    <row r="1891" ht="16.5" customHeight="1">
      <c r="A1891" s="15" t="str">
        <f>Solieusap!A1891</f>
        <v>Cũ</v>
      </c>
      <c r="B1891" s="15">
        <f>Solieusap!B1891</f>
        <v>0</v>
      </c>
      <c r="C1891" s="15" t="str">
        <f>Solieusap!C1891</f>
        <v>COMB7</v>
      </c>
      <c r="D1891" s="15" t="str">
        <f>Solieusap!D1891</f>
        <v>Combination</v>
      </c>
      <c r="E1891" s="16">
        <f>ABS(Solieusap!E1891)</f>
        <v>16.78458208</v>
      </c>
      <c r="F1891" s="16">
        <f>ABS(Solieusap!F1891)</f>
        <v>1.5800729</v>
      </c>
      <c r="G1891" s="16">
        <f>ABS(Solieusap!G1891)</f>
        <v>2.144191082</v>
      </c>
      <c r="H1891" s="16">
        <f>ABS(Solieusap!H1891)</f>
        <v>0.0009583095325</v>
      </c>
      <c r="I1891" s="16">
        <f>ABS(Solieusap!I1891)</f>
        <v>5.74415284</v>
      </c>
      <c r="J1891" s="16">
        <f>ABS(Solieusap!J1891)</f>
        <v>3.865637195</v>
      </c>
      <c r="K1891" s="16">
        <f t="shared" si="1"/>
        <v>16.78458208</v>
      </c>
      <c r="L1891" s="16">
        <f t="shared" si="2"/>
        <v>5.74415284</v>
      </c>
    </row>
    <row r="1892" ht="16.5" customHeight="1">
      <c r="A1892" s="15" t="str">
        <f>Solieusap!A1892</f>
        <v>Cũ</v>
      </c>
      <c r="B1892" s="15">
        <f>Solieusap!B1892</f>
        <v>1.75</v>
      </c>
      <c r="C1892" s="15" t="str">
        <f>Solieusap!C1892</f>
        <v>COMB7</v>
      </c>
      <c r="D1892" s="15" t="str">
        <f>Solieusap!D1892</f>
        <v>Combination</v>
      </c>
      <c r="E1892" s="16">
        <f>ABS(Solieusap!E1892)</f>
        <v>16.80143844</v>
      </c>
      <c r="F1892" s="16">
        <f>ABS(Solieusap!F1892)</f>
        <v>1.58178342</v>
      </c>
      <c r="G1892" s="16">
        <f>ABS(Solieusap!G1892)</f>
        <v>2.146455498</v>
      </c>
      <c r="H1892" s="16">
        <f>ABS(Solieusap!H1892)</f>
        <v>0.0009593646364</v>
      </c>
      <c r="I1892" s="16">
        <f>ABS(Solieusap!I1892)</f>
        <v>5.750947632</v>
      </c>
      <c r="J1892" s="16">
        <f>ABS(Solieusap!J1892)</f>
        <v>3.870184247</v>
      </c>
      <c r="K1892" s="16">
        <f t="shared" si="1"/>
        <v>16.80143844</v>
      </c>
      <c r="L1892" s="16">
        <f t="shared" si="2"/>
        <v>5.750947632</v>
      </c>
    </row>
    <row r="1893" ht="16.5" customHeight="1">
      <c r="A1893" s="15" t="str">
        <f>Solieusap!A1893</f>
        <v>Cũ</v>
      </c>
      <c r="B1893" s="15">
        <f>Solieusap!B1893</f>
        <v>3.5</v>
      </c>
      <c r="C1893" s="15" t="str">
        <f>Solieusap!C1893</f>
        <v>COMB7</v>
      </c>
      <c r="D1893" s="15" t="str">
        <f>Solieusap!D1893</f>
        <v>Combination</v>
      </c>
      <c r="E1893" s="16">
        <f>ABS(Solieusap!E1893)</f>
        <v>16.81829481</v>
      </c>
      <c r="F1893" s="16">
        <f>ABS(Solieusap!F1893)</f>
        <v>1.583493939</v>
      </c>
      <c r="G1893" s="16">
        <f>ABS(Solieusap!G1893)</f>
        <v>2.148719913</v>
      </c>
      <c r="H1893" s="16">
        <f>ABS(Solieusap!H1893)</f>
        <v>0.0009604197403</v>
      </c>
      <c r="I1893" s="16">
        <f>ABS(Solieusap!I1893)</f>
        <v>5.757742424</v>
      </c>
      <c r="J1893" s="16">
        <f>ABS(Solieusap!J1893)</f>
        <v>3.874731299</v>
      </c>
      <c r="K1893" s="16">
        <f t="shared" si="1"/>
        <v>16.81829481</v>
      </c>
      <c r="L1893" s="16">
        <f t="shared" si="2"/>
        <v>5.757742424</v>
      </c>
    </row>
    <row r="1894" ht="16.5" customHeight="1">
      <c r="A1894" s="15" t="str">
        <f>Solieusap!A1894</f>
        <v>Cũ</v>
      </c>
      <c r="B1894" s="15">
        <f>Solieusap!B1894</f>
        <v>0</v>
      </c>
      <c r="C1894" s="15" t="str">
        <f>Solieusap!C1894</f>
        <v>COMB1</v>
      </c>
      <c r="D1894" s="15" t="str">
        <f>Solieusap!D1894</f>
        <v>Combination</v>
      </c>
      <c r="E1894" s="16">
        <f>ABS(Solieusap!E1894)</f>
        <v>16.83515117</v>
      </c>
      <c r="F1894" s="16">
        <f>ABS(Solieusap!F1894)</f>
        <v>1.585204459</v>
      </c>
      <c r="G1894" s="16">
        <f>ABS(Solieusap!G1894)</f>
        <v>2.150984329</v>
      </c>
      <c r="H1894" s="16">
        <f>ABS(Solieusap!H1894)</f>
        <v>0.0009614748442</v>
      </c>
      <c r="I1894" s="16">
        <f>ABS(Solieusap!I1894)</f>
        <v>5.764537216</v>
      </c>
      <c r="J1894" s="16">
        <f>ABS(Solieusap!J1894)</f>
        <v>3.879278351</v>
      </c>
      <c r="K1894" s="16">
        <f t="shared" si="1"/>
        <v>16.83515117</v>
      </c>
      <c r="L1894" s="16">
        <f t="shared" si="2"/>
        <v>5.764537216</v>
      </c>
    </row>
    <row r="1895" ht="16.5" customHeight="1">
      <c r="A1895" s="15" t="str">
        <f>Solieusap!A1895</f>
        <v>Cũ</v>
      </c>
      <c r="B1895" s="15">
        <f>Solieusap!B1895</f>
        <v>1.75</v>
      </c>
      <c r="C1895" s="15" t="str">
        <f>Solieusap!C1895</f>
        <v>COMB1</v>
      </c>
      <c r="D1895" s="15" t="str">
        <f>Solieusap!D1895</f>
        <v>Combination</v>
      </c>
      <c r="E1895" s="16">
        <f>ABS(Solieusap!E1895)</f>
        <v>16.85200753</v>
      </c>
      <c r="F1895" s="16">
        <f>ABS(Solieusap!F1895)</f>
        <v>1.586914978</v>
      </c>
      <c r="G1895" s="16">
        <f>ABS(Solieusap!G1895)</f>
        <v>2.153248745</v>
      </c>
      <c r="H1895" s="16">
        <f>ABS(Solieusap!H1895)</f>
        <v>0.0009625299481</v>
      </c>
      <c r="I1895" s="16">
        <f>ABS(Solieusap!I1895)</f>
        <v>5.771332009</v>
      </c>
      <c r="J1895" s="16">
        <f>ABS(Solieusap!J1895)</f>
        <v>3.883825403</v>
      </c>
      <c r="K1895" s="16">
        <f t="shared" si="1"/>
        <v>16.85200753</v>
      </c>
      <c r="L1895" s="16">
        <f t="shared" si="2"/>
        <v>5.771332009</v>
      </c>
    </row>
    <row r="1896" ht="16.5" customHeight="1">
      <c r="A1896" s="15" t="str">
        <f>Solieusap!A1896</f>
        <v>Cũ</v>
      </c>
      <c r="B1896" s="15">
        <f>Solieusap!B1896</f>
        <v>3.5</v>
      </c>
      <c r="C1896" s="15" t="str">
        <f>Solieusap!C1896</f>
        <v>COMB1</v>
      </c>
      <c r="D1896" s="15" t="str">
        <f>Solieusap!D1896</f>
        <v>Combination</v>
      </c>
      <c r="E1896" s="16">
        <f>ABS(Solieusap!E1896)</f>
        <v>16.8688639</v>
      </c>
      <c r="F1896" s="16">
        <f>ABS(Solieusap!F1896)</f>
        <v>1.588625498</v>
      </c>
      <c r="G1896" s="16">
        <f>ABS(Solieusap!G1896)</f>
        <v>2.15551316</v>
      </c>
      <c r="H1896" s="16">
        <f>ABS(Solieusap!H1896)</f>
        <v>0.0009635850519</v>
      </c>
      <c r="I1896" s="16">
        <f>ABS(Solieusap!I1896)</f>
        <v>5.778126801</v>
      </c>
      <c r="J1896" s="16">
        <f>ABS(Solieusap!J1896)</f>
        <v>3.888372455</v>
      </c>
      <c r="K1896" s="16">
        <f t="shared" si="1"/>
        <v>16.8688639</v>
      </c>
      <c r="L1896" s="16">
        <f t="shared" si="2"/>
        <v>5.778126801</v>
      </c>
    </row>
    <row r="1897" ht="16.5" customHeight="1">
      <c r="A1897" s="15" t="str">
        <f>Solieusap!A1897</f>
        <v>Cũ</v>
      </c>
      <c r="B1897" s="15">
        <f>Solieusap!B1897</f>
        <v>0</v>
      </c>
      <c r="C1897" s="15" t="str">
        <f>Solieusap!C1897</f>
        <v>COMB2</v>
      </c>
      <c r="D1897" s="15" t="str">
        <f>Solieusap!D1897</f>
        <v>Combination</v>
      </c>
      <c r="E1897" s="16">
        <f>ABS(Solieusap!E1897)</f>
        <v>16.88572026</v>
      </c>
      <c r="F1897" s="16">
        <f>ABS(Solieusap!F1897)</f>
        <v>1.590336017</v>
      </c>
      <c r="G1897" s="16">
        <f>ABS(Solieusap!G1897)</f>
        <v>2.157777576</v>
      </c>
      <c r="H1897" s="16">
        <f>ABS(Solieusap!H1897)</f>
        <v>0.0009646401558</v>
      </c>
      <c r="I1897" s="16">
        <f>ABS(Solieusap!I1897)</f>
        <v>5.784921593</v>
      </c>
      <c r="J1897" s="16">
        <f>ABS(Solieusap!J1897)</f>
        <v>3.892919506</v>
      </c>
      <c r="K1897" s="16">
        <f t="shared" si="1"/>
        <v>16.88572026</v>
      </c>
      <c r="L1897" s="16">
        <f t="shared" si="2"/>
        <v>5.784921593</v>
      </c>
    </row>
    <row r="1898" ht="16.5" customHeight="1">
      <c r="A1898" s="15" t="str">
        <f>Solieusap!A1898</f>
        <v>Cũ</v>
      </c>
      <c r="B1898" s="15">
        <f>Solieusap!B1898</f>
        <v>1.75</v>
      </c>
      <c r="C1898" s="15" t="str">
        <f>Solieusap!C1898</f>
        <v>COMB2</v>
      </c>
      <c r="D1898" s="15" t="str">
        <f>Solieusap!D1898</f>
        <v>Combination</v>
      </c>
      <c r="E1898" s="16">
        <f>ABS(Solieusap!E1898)</f>
        <v>16.90257662</v>
      </c>
      <c r="F1898" s="16">
        <f>ABS(Solieusap!F1898)</f>
        <v>1.592046537</v>
      </c>
      <c r="G1898" s="16">
        <f>ABS(Solieusap!G1898)</f>
        <v>2.160041991</v>
      </c>
      <c r="H1898" s="16">
        <f>ABS(Solieusap!H1898)</f>
        <v>0.0009656952597</v>
      </c>
      <c r="I1898" s="16">
        <f>ABS(Solieusap!I1898)</f>
        <v>5.791716385</v>
      </c>
      <c r="J1898" s="16">
        <f>ABS(Solieusap!J1898)</f>
        <v>3.897466558</v>
      </c>
      <c r="K1898" s="16">
        <f t="shared" si="1"/>
        <v>16.90257662</v>
      </c>
      <c r="L1898" s="16">
        <f t="shared" si="2"/>
        <v>5.791716385</v>
      </c>
    </row>
    <row r="1899" ht="16.5" customHeight="1">
      <c r="A1899" s="15" t="str">
        <f>Solieusap!A1899</f>
        <v>Cũ</v>
      </c>
      <c r="B1899" s="15">
        <f>Solieusap!B1899</f>
        <v>3.5</v>
      </c>
      <c r="C1899" s="15" t="str">
        <f>Solieusap!C1899</f>
        <v>COMB2</v>
      </c>
      <c r="D1899" s="15" t="str">
        <f>Solieusap!D1899</f>
        <v>Combination</v>
      </c>
      <c r="E1899" s="16">
        <f>ABS(Solieusap!E1899)</f>
        <v>16.91943299</v>
      </c>
      <c r="F1899" s="16">
        <f>ABS(Solieusap!F1899)</f>
        <v>1.593757056</v>
      </c>
      <c r="G1899" s="16">
        <f>ABS(Solieusap!G1899)</f>
        <v>2.162306407</v>
      </c>
      <c r="H1899" s="16">
        <f>ABS(Solieusap!H1899)</f>
        <v>0.0009667503636</v>
      </c>
      <c r="I1899" s="16">
        <f>ABS(Solieusap!I1899)</f>
        <v>5.798511177</v>
      </c>
      <c r="J1899" s="16">
        <f>ABS(Solieusap!J1899)</f>
        <v>3.90201361</v>
      </c>
      <c r="K1899" s="16">
        <f t="shared" si="1"/>
        <v>16.91943299</v>
      </c>
      <c r="L1899" s="16">
        <f t="shared" si="2"/>
        <v>5.798511177</v>
      </c>
    </row>
    <row r="1900" ht="16.5" customHeight="1">
      <c r="A1900" s="15" t="str">
        <f>Solieusap!A1900</f>
        <v>Cũ</v>
      </c>
      <c r="B1900" s="15">
        <f>Solieusap!B1900</f>
        <v>0</v>
      </c>
      <c r="C1900" s="15" t="str">
        <f>Solieusap!C1900</f>
        <v>COMB3</v>
      </c>
      <c r="D1900" s="15" t="str">
        <f>Solieusap!D1900</f>
        <v>Combination</v>
      </c>
      <c r="E1900" s="16">
        <f>ABS(Solieusap!E1900)</f>
        <v>16.93628935</v>
      </c>
      <c r="F1900" s="16">
        <f>ABS(Solieusap!F1900)</f>
        <v>1.595467576</v>
      </c>
      <c r="G1900" s="16">
        <f>ABS(Solieusap!G1900)</f>
        <v>2.164570823</v>
      </c>
      <c r="H1900" s="16">
        <f>ABS(Solieusap!H1900)</f>
        <v>0.0009678054675</v>
      </c>
      <c r="I1900" s="16">
        <f>ABS(Solieusap!I1900)</f>
        <v>5.80530597</v>
      </c>
      <c r="J1900" s="16">
        <f>ABS(Solieusap!J1900)</f>
        <v>3.906560662</v>
      </c>
      <c r="K1900" s="16">
        <f t="shared" si="1"/>
        <v>16.93628935</v>
      </c>
      <c r="L1900" s="16">
        <f t="shared" si="2"/>
        <v>5.80530597</v>
      </c>
    </row>
    <row r="1901" ht="16.5" customHeight="1">
      <c r="A1901" s="15" t="str">
        <f>Solieusap!A1901</f>
        <v>Cũ</v>
      </c>
      <c r="B1901" s="15">
        <f>Solieusap!B1901</f>
        <v>1.75</v>
      </c>
      <c r="C1901" s="15" t="str">
        <f>Solieusap!C1901</f>
        <v>COMB3</v>
      </c>
      <c r="D1901" s="15" t="str">
        <f>Solieusap!D1901</f>
        <v>Combination</v>
      </c>
      <c r="E1901" s="16">
        <f>ABS(Solieusap!E1901)</f>
        <v>16.95314571</v>
      </c>
      <c r="F1901" s="16">
        <f>ABS(Solieusap!F1901)</f>
        <v>1.597178095</v>
      </c>
      <c r="G1901" s="16">
        <f>ABS(Solieusap!G1901)</f>
        <v>2.166835238</v>
      </c>
      <c r="H1901" s="16">
        <f>ABS(Solieusap!H1901)</f>
        <v>0.0009688605714</v>
      </c>
      <c r="I1901" s="16">
        <f>ABS(Solieusap!I1901)</f>
        <v>5.812100762</v>
      </c>
      <c r="J1901" s="16">
        <f>ABS(Solieusap!J1901)</f>
        <v>3.911107714</v>
      </c>
      <c r="K1901" s="16">
        <f t="shared" si="1"/>
        <v>16.95314571</v>
      </c>
      <c r="L1901" s="16">
        <f t="shared" si="2"/>
        <v>5.812100762</v>
      </c>
    </row>
    <row r="1902" ht="16.5" customHeight="1">
      <c r="A1902" s="15" t="str">
        <f>Solieusap!A1902</f>
        <v>Cũ</v>
      </c>
      <c r="B1902" s="15">
        <f>Solieusap!B1902</f>
        <v>3.5</v>
      </c>
      <c r="C1902" s="15" t="str">
        <f>Solieusap!C1902</f>
        <v>COMB3</v>
      </c>
      <c r="D1902" s="15" t="str">
        <f>Solieusap!D1902</f>
        <v>Combination</v>
      </c>
      <c r="E1902" s="16">
        <f>ABS(Solieusap!E1902)</f>
        <v>16.97000208</v>
      </c>
      <c r="F1902" s="16">
        <f>ABS(Solieusap!F1902)</f>
        <v>1.598888615</v>
      </c>
      <c r="G1902" s="16">
        <f>ABS(Solieusap!G1902)</f>
        <v>2.169099654</v>
      </c>
      <c r="H1902" s="16">
        <f>ABS(Solieusap!H1902)</f>
        <v>0.0009699156753</v>
      </c>
      <c r="I1902" s="16">
        <f>ABS(Solieusap!I1902)</f>
        <v>5.818895554</v>
      </c>
      <c r="J1902" s="16">
        <f>ABS(Solieusap!J1902)</f>
        <v>3.915654766</v>
      </c>
      <c r="K1902" s="16">
        <f t="shared" si="1"/>
        <v>16.97000208</v>
      </c>
      <c r="L1902" s="16">
        <f t="shared" si="2"/>
        <v>5.818895554</v>
      </c>
    </row>
    <row r="1903" ht="16.5" customHeight="1">
      <c r="A1903" s="15" t="str">
        <f>Solieusap!A1903</f>
        <v>Cũ</v>
      </c>
      <c r="B1903" s="15">
        <f>Solieusap!B1903</f>
        <v>0</v>
      </c>
      <c r="C1903" s="15" t="str">
        <f>Solieusap!C1903</f>
        <v>COMB4</v>
      </c>
      <c r="D1903" s="15" t="str">
        <f>Solieusap!D1903</f>
        <v>Combination</v>
      </c>
      <c r="E1903" s="16">
        <f>ABS(Solieusap!E1903)</f>
        <v>16.98685844</v>
      </c>
      <c r="F1903" s="16">
        <f>ABS(Solieusap!F1903)</f>
        <v>1.600599134</v>
      </c>
      <c r="G1903" s="16">
        <f>ABS(Solieusap!G1903)</f>
        <v>2.171364069</v>
      </c>
      <c r="H1903" s="16">
        <f>ABS(Solieusap!H1903)</f>
        <v>0.0009709707792</v>
      </c>
      <c r="I1903" s="16">
        <f>ABS(Solieusap!I1903)</f>
        <v>5.825690346</v>
      </c>
      <c r="J1903" s="16">
        <f>ABS(Solieusap!J1903)</f>
        <v>3.920201818</v>
      </c>
      <c r="K1903" s="16">
        <f t="shared" si="1"/>
        <v>16.98685844</v>
      </c>
      <c r="L1903" s="16">
        <f t="shared" si="2"/>
        <v>5.825690346</v>
      </c>
    </row>
    <row r="1904" ht="16.5" customHeight="1">
      <c r="A1904" s="15" t="str">
        <f>Solieusap!A1904</f>
        <v>Cũ</v>
      </c>
      <c r="B1904" s="15">
        <f>Solieusap!B1904</f>
        <v>1.75</v>
      </c>
      <c r="C1904" s="15" t="str">
        <f>Solieusap!C1904</f>
        <v>COMB4</v>
      </c>
      <c r="D1904" s="15" t="str">
        <f>Solieusap!D1904</f>
        <v>Combination</v>
      </c>
      <c r="E1904" s="16">
        <f>ABS(Solieusap!E1904)</f>
        <v>17.00371481</v>
      </c>
      <c r="F1904" s="16">
        <f>ABS(Solieusap!F1904)</f>
        <v>1.602309654</v>
      </c>
      <c r="G1904" s="16">
        <f>ABS(Solieusap!G1904)</f>
        <v>2.173628485</v>
      </c>
      <c r="H1904" s="16">
        <f>ABS(Solieusap!H1904)</f>
        <v>0.0009720258831</v>
      </c>
      <c r="I1904" s="16">
        <f>ABS(Solieusap!I1904)</f>
        <v>5.832485139</v>
      </c>
      <c r="J1904" s="16">
        <f>ABS(Solieusap!J1904)</f>
        <v>3.92474887</v>
      </c>
      <c r="K1904" s="16">
        <f t="shared" si="1"/>
        <v>17.00371481</v>
      </c>
      <c r="L1904" s="16">
        <f t="shared" si="2"/>
        <v>5.832485139</v>
      </c>
    </row>
    <row r="1905" ht="16.5" customHeight="1">
      <c r="A1905" s="15" t="str">
        <f>Solieusap!A1905</f>
        <v>Cũ</v>
      </c>
      <c r="B1905" s="15">
        <f>Solieusap!B1905</f>
        <v>3.5</v>
      </c>
      <c r="C1905" s="15" t="str">
        <f>Solieusap!C1905</f>
        <v>COMB4</v>
      </c>
      <c r="D1905" s="15" t="str">
        <f>Solieusap!D1905</f>
        <v>Combination</v>
      </c>
      <c r="E1905" s="16">
        <f>ABS(Solieusap!E1905)</f>
        <v>17.02057117</v>
      </c>
      <c r="F1905" s="16">
        <f>ABS(Solieusap!F1905)</f>
        <v>1.604020173</v>
      </c>
      <c r="G1905" s="16">
        <f>ABS(Solieusap!G1905)</f>
        <v>2.1758929</v>
      </c>
      <c r="H1905" s="16">
        <f>ABS(Solieusap!H1905)</f>
        <v>0.000973080987</v>
      </c>
      <c r="I1905" s="16">
        <f>ABS(Solieusap!I1905)</f>
        <v>5.839279931</v>
      </c>
      <c r="J1905" s="16">
        <f>ABS(Solieusap!J1905)</f>
        <v>3.929295922</v>
      </c>
      <c r="K1905" s="16">
        <f t="shared" si="1"/>
        <v>17.02057117</v>
      </c>
      <c r="L1905" s="16">
        <f t="shared" si="2"/>
        <v>5.839279931</v>
      </c>
    </row>
    <row r="1906" ht="16.5" customHeight="1">
      <c r="A1906" s="15" t="str">
        <f>Solieusap!A1906</f>
        <v>Cũ</v>
      </c>
      <c r="B1906" s="15">
        <f>Solieusap!B1906</f>
        <v>0</v>
      </c>
      <c r="C1906" s="15" t="str">
        <f>Solieusap!C1906</f>
        <v>COMB5</v>
      </c>
      <c r="D1906" s="15" t="str">
        <f>Solieusap!D1906</f>
        <v>Combination</v>
      </c>
      <c r="E1906" s="16">
        <f>ABS(Solieusap!E1906)</f>
        <v>17.03742753</v>
      </c>
      <c r="F1906" s="16">
        <f>ABS(Solieusap!F1906)</f>
        <v>1.605730693</v>
      </c>
      <c r="G1906" s="16">
        <f>ABS(Solieusap!G1906)</f>
        <v>2.178157316</v>
      </c>
      <c r="H1906" s="16">
        <f>ABS(Solieusap!H1906)</f>
        <v>0.0009741360909</v>
      </c>
      <c r="I1906" s="16">
        <f>ABS(Solieusap!I1906)</f>
        <v>5.846074723</v>
      </c>
      <c r="J1906" s="16">
        <f>ABS(Solieusap!J1906)</f>
        <v>3.933842974</v>
      </c>
      <c r="K1906" s="16">
        <f t="shared" si="1"/>
        <v>17.03742753</v>
      </c>
      <c r="L1906" s="16">
        <f t="shared" si="2"/>
        <v>5.846074723</v>
      </c>
    </row>
    <row r="1907" ht="16.5" customHeight="1">
      <c r="A1907" s="15" t="str">
        <f>Solieusap!A1907</f>
        <v>Cũ</v>
      </c>
      <c r="B1907" s="15">
        <f>Solieusap!B1907</f>
        <v>1.75</v>
      </c>
      <c r="C1907" s="15" t="str">
        <f>Solieusap!C1907</f>
        <v>COMB5</v>
      </c>
      <c r="D1907" s="15" t="str">
        <f>Solieusap!D1907</f>
        <v>Combination</v>
      </c>
      <c r="E1907" s="16">
        <f>ABS(Solieusap!E1907)</f>
        <v>17.0542839</v>
      </c>
      <c r="F1907" s="16">
        <f>ABS(Solieusap!F1907)</f>
        <v>1.607441212</v>
      </c>
      <c r="G1907" s="16">
        <f>ABS(Solieusap!G1907)</f>
        <v>2.180421732</v>
      </c>
      <c r="H1907" s="16">
        <f>ABS(Solieusap!H1907)</f>
        <v>0.0009751911948</v>
      </c>
      <c r="I1907" s="16">
        <f>ABS(Solieusap!I1907)</f>
        <v>5.852869515</v>
      </c>
      <c r="J1907" s="16">
        <f>ABS(Solieusap!J1907)</f>
        <v>3.938390026</v>
      </c>
      <c r="K1907" s="16">
        <f t="shared" si="1"/>
        <v>17.0542839</v>
      </c>
      <c r="L1907" s="16">
        <f t="shared" si="2"/>
        <v>5.852869515</v>
      </c>
    </row>
    <row r="1908" ht="16.5" customHeight="1">
      <c r="A1908" s="15" t="str">
        <f>Solieusap!A1908</f>
        <v>Cũ</v>
      </c>
      <c r="B1908" s="15">
        <f>Solieusap!B1908</f>
        <v>3.5</v>
      </c>
      <c r="C1908" s="15" t="str">
        <f>Solieusap!C1908</f>
        <v>COMB5</v>
      </c>
      <c r="D1908" s="15" t="str">
        <f>Solieusap!D1908</f>
        <v>Combination</v>
      </c>
      <c r="E1908" s="16">
        <f>ABS(Solieusap!E1908)</f>
        <v>17.07114026</v>
      </c>
      <c r="F1908" s="16">
        <f>ABS(Solieusap!F1908)</f>
        <v>1.609151732</v>
      </c>
      <c r="G1908" s="16">
        <f>ABS(Solieusap!G1908)</f>
        <v>2.182686147</v>
      </c>
      <c r="H1908" s="16">
        <f>ABS(Solieusap!H1908)</f>
        <v>0.0009762462987</v>
      </c>
      <c r="I1908" s="16">
        <f>ABS(Solieusap!I1908)</f>
        <v>5.859664307</v>
      </c>
      <c r="J1908" s="16">
        <f>ABS(Solieusap!J1908)</f>
        <v>3.942937078</v>
      </c>
      <c r="K1908" s="16">
        <f t="shared" si="1"/>
        <v>17.07114026</v>
      </c>
      <c r="L1908" s="16">
        <f t="shared" si="2"/>
        <v>5.859664307</v>
      </c>
    </row>
    <row r="1909" ht="16.5" customHeight="1">
      <c r="A1909" s="15" t="str">
        <f>Solieusap!A1909</f>
        <v>Cũ</v>
      </c>
      <c r="B1909" s="15">
        <f>Solieusap!B1909</f>
        <v>0</v>
      </c>
      <c r="C1909" s="15" t="str">
        <f>Solieusap!C1909</f>
        <v>COMB6</v>
      </c>
      <c r="D1909" s="15" t="str">
        <f>Solieusap!D1909</f>
        <v>Combination</v>
      </c>
      <c r="E1909" s="16">
        <f>ABS(Solieusap!E1909)</f>
        <v>17.08799662</v>
      </c>
      <c r="F1909" s="16">
        <f>ABS(Solieusap!F1909)</f>
        <v>1.610862251</v>
      </c>
      <c r="G1909" s="16">
        <f>ABS(Solieusap!G1909)</f>
        <v>2.184950563</v>
      </c>
      <c r="H1909" s="16">
        <f>ABS(Solieusap!H1909)</f>
        <v>0.0009773014026</v>
      </c>
      <c r="I1909" s="16">
        <f>ABS(Solieusap!I1909)</f>
        <v>5.8664591</v>
      </c>
      <c r="J1909" s="16">
        <f>ABS(Solieusap!J1909)</f>
        <v>3.94748413</v>
      </c>
      <c r="K1909" s="16">
        <f t="shared" si="1"/>
        <v>17.08799662</v>
      </c>
      <c r="L1909" s="16">
        <f t="shared" si="2"/>
        <v>5.8664591</v>
      </c>
    </row>
    <row r="1910" ht="16.5" customHeight="1">
      <c r="A1910" s="15" t="str">
        <f>Solieusap!A1910</f>
        <v>Cũ</v>
      </c>
      <c r="B1910" s="15">
        <f>Solieusap!B1910</f>
        <v>1.75</v>
      </c>
      <c r="C1910" s="15" t="str">
        <f>Solieusap!C1910</f>
        <v>COMB6</v>
      </c>
      <c r="D1910" s="15" t="str">
        <f>Solieusap!D1910</f>
        <v>Combination</v>
      </c>
      <c r="E1910" s="16">
        <f>ABS(Solieusap!E1910)</f>
        <v>17.10485299</v>
      </c>
      <c r="F1910" s="16">
        <f>ABS(Solieusap!F1910)</f>
        <v>1.612572771</v>
      </c>
      <c r="G1910" s="16">
        <f>ABS(Solieusap!G1910)</f>
        <v>2.187214978</v>
      </c>
      <c r="H1910" s="16">
        <f>ABS(Solieusap!H1910)</f>
        <v>0.0009783565065</v>
      </c>
      <c r="I1910" s="16">
        <f>ABS(Solieusap!I1910)</f>
        <v>5.873253892</v>
      </c>
      <c r="J1910" s="16">
        <f>ABS(Solieusap!J1910)</f>
        <v>3.952031182</v>
      </c>
      <c r="K1910" s="16">
        <f t="shared" si="1"/>
        <v>17.10485299</v>
      </c>
      <c r="L1910" s="16">
        <f t="shared" si="2"/>
        <v>5.873253892</v>
      </c>
    </row>
    <row r="1911" ht="16.5" customHeight="1">
      <c r="A1911" s="15" t="str">
        <f>Solieusap!A1911</f>
        <v>Cũ</v>
      </c>
      <c r="B1911" s="15">
        <f>Solieusap!B1911</f>
        <v>3.5</v>
      </c>
      <c r="C1911" s="15" t="str">
        <f>Solieusap!C1911</f>
        <v>COMB6</v>
      </c>
      <c r="D1911" s="15" t="str">
        <f>Solieusap!D1911</f>
        <v>Combination</v>
      </c>
      <c r="E1911" s="16">
        <f>ABS(Solieusap!E1911)</f>
        <v>17.12170935</v>
      </c>
      <c r="F1911" s="16">
        <f>ABS(Solieusap!F1911)</f>
        <v>1.61428329</v>
      </c>
      <c r="G1911" s="16">
        <f>ABS(Solieusap!G1911)</f>
        <v>2.189479394</v>
      </c>
      <c r="H1911" s="16">
        <f>ABS(Solieusap!H1911)</f>
        <v>0.0009794116104</v>
      </c>
      <c r="I1911" s="16">
        <f>ABS(Solieusap!I1911)</f>
        <v>5.880048684</v>
      </c>
      <c r="J1911" s="16">
        <f>ABS(Solieusap!J1911)</f>
        <v>3.956578234</v>
      </c>
      <c r="K1911" s="16">
        <f t="shared" si="1"/>
        <v>17.12170935</v>
      </c>
      <c r="L1911" s="16">
        <f t="shared" si="2"/>
        <v>5.880048684</v>
      </c>
    </row>
    <row r="1912" ht="16.5" customHeight="1">
      <c r="A1912" s="15" t="str">
        <f>Solieusap!A1912</f>
        <v>Cũ</v>
      </c>
      <c r="B1912" s="15">
        <f>Solieusap!B1912</f>
        <v>0</v>
      </c>
      <c r="C1912" s="15" t="str">
        <f>Solieusap!C1912</f>
        <v>COMB7</v>
      </c>
      <c r="D1912" s="15" t="str">
        <f>Solieusap!D1912</f>
        <v>Combination</v>
      </c>
      <c r="E1912" s="16">
        <f>ABS(Solieusap!E1912)</f>
        <v>17.13856571</v>
      </c>
      <c r="F1912" s="16">
        <f>ABS(Solieusap!F1912)</f>
        <v>1.61599381</v>
      </c>
      <c r="G1912" s="16">
        <f>ABS(Solieusap!G1912)</f>
        <v>2.19174381</v>
      </c>
      <c r="H1912" s="16">
        <f>ABS(Solieusap!H1912)</f>
        <v>0.0009804667143</v>
      </c>
      <c r="I1912" s="16">
        <f>ABS(Solieusap!I1912)</f>
        <v>5.886843476</v>
      </c>
      <c r="J1912" s="16">
        <f>ABS(Solieusap!J1912)</f>
        <v>3.961125286</v>
      </c>
      <c r="K1912" s="16">
        <f t="shared" si="1"/>
        <v>17.13856571</v>
      </c>
      <c r="L1912" s="16">
        <f t="shared" si="2"/>
        <v>5.886843476</v>
      </c>
    </row>
    <row r="1913" ht="16.5" customHeight="1">
      <c r="A1913" s="15" t="str">
        <f>Solieusap!A1913</f>
        <v>Cũ</v>
      </c>
      <c r="B1913" s="15">
        <f>Solieusap!B1913</f>
        <v>1.75</v>
      </c>
      <c r="C1913" s="15" t="str">
        <f>Solieusap!C1913</f>
        <v>COMB7</v>
      </c>
      <c r="D1913" s="15" t="str">
        <f>Solieusap!D1913</f>
        <v>Combination</v>
      </c>
      <c r="E1913" s="16">
        <f>ABS(Solieusap!E1913)</f>
        <v>17.15542208</v>
      </c>
      <c r="F1913" s="16">
        <f>ABS(Solieusap!F1913)</f>
        <v>1.617704329</v>
      </c>
      <c r="G1913" s="16">
        <f>ABS(Solieusap!G1913)</f>
        <v>2.194008225</v>
      </c>
      <c r="H1913" s="16">
        <f>ABS(Solieusap!H1913)</f>
        <v>0.0009815218182</v>
      </c>
      <c r="I1913" s="16">
        <f>ABS(Solieusap!I1913)</f>
        <v>5.893638268</v>
      </c>
      <c r="J1913" s="16">
        <f>ABS(Solieusap!J1913)</f>
        <v>3.965672338</v>
      </c>
      <c r="K1913" s="16">
        <f t="shared" si="1"/>
        <v>17.15542208</v>
      </c>
      <c r="L1913" s="16">
        <f t="shared" si="2"/>
        <v>5.893638268</v>
      </c>
    </row>
    <row r="1914" ht="16.5" customHeight="1">
      <c r="A1914" s="15" t="str">
        <f>Solieusap!A1914</f>
        <v>Cũ</v>
      </c>
      <c r="B1914" s="15">
        <f>Solieusap!B1914</f>
        <v>3.5</v>
      </c>
      <c r="C1914" s="15" t="str">
        <f>Solieusap!C1914</f>
        <v>COMB7</v>
      </c>
      <c r="D1914" s="15" t="str">
        <f>Solieusap!D1914</f>
        <v>Combination</v>
      </c>
      <c r="E1914" s="16">
        <f>ABS(Solieusap!E1914)</f>
        <v>17.17227844</v>
      </c>
      <c r="F1914" s="16">
        <f>ABS(Solieusap!F1914)</f>
        <v>1.619414848</v>
      </c>
      <c r="G1914" s="16">
        <f>ABS(Solieusap!G1914)</f>
        <v>2.196272641</v>
      </c>
      <c r="H1914" s="16">
        <f>ABS(Solieusap!H1914)</f>
        <v>0.0009825769221</v>
      </c>
      <c r="I1914" s="16">
        <f>ABS(Solieusap!I1914)</f>
        <v>5.900433061</v>
      </c>
      <c r="J1914" s="16">
        <f>ABS(Solieusap!J1914)</f>
        <v>3.97021939</v>
      </c>
      <c r="K1914" s="16">
        <f t="shared" si="1"/>
        <v>17.17227844</v>
      </c>
      <c r="L1914" s="16">
        <f t="shared" si="2"/>
        <v>5.900433061</v>
      </c>
    </row>
    <row r="1915" ht="16.5" customHeight="1">
      <c r="A1915" s="15" t="str">
        <f>Solieusap!A1915</f>
        <v>Cũ</v>
      </c>
      <c r="B1915" s="15">
        <f>Solieusap!B1915</f>
        <v>0</v>
      </c>
      <c r="C1915" s="15" t="str">
        <f>Solieusap!C1915</f>
        <v>COMB1</v>
      </c>
      <c r="D1915" s="15" t="str">
        <f>Solieusap!D1915</f>
        <v>Combination</v>
      </c>
      <c r="E1915" s="16">
        <f>ABS(Solieusap!E1915)</f>
        <v>17.18913481</v>
      </c>
      <c r="F1915" s="16">
        <f>ABS(Solieusap!F1915)</f>
        <v>1.621125368</v>
      </c>
      <c r="G1915" s="16">
        <f>ABS(Solieusap!G1915)</f>
        <v>2.198537056</v>
      </c>
      <c r="H1915" s="16">
        <f>ABS(Solieusap!H1915)</f>
        <v>0.000983632026</v>
      </c>
      <c r="I1915" s="16">
        <f>ABS(Solieusap!I1915)</f>
        <v>5.907227853</v>
      </c>
      <c r="J1915" s="16">
        <f>ABS(Solieusap!J1915)</f>
        <v>3.974766442</v>
      </c>
      <c r="K1915" s="16">
        <f t="shared" si="1"/>
        <v>17.18913481</v>
      </c>
      <c r="L1915" s="16">
        <f t="shared" si="2"/>
        <v>5.907227853</v>
      </c>
    </row>
    <row r="1916" ht="16.5" customHeight="1">
      <c r="A1916" s="15" t="str">
        <f>Solieusap!A1916</f>
        <v>Cũ</v>
      </c>
      <c r="B1916" s="15">
        <f>Solieusap!B1916</f>
        <v>1.75</v>
      </c>
      <c r="C1916" s="15" t="str">
        <f>Solieusap!C1916</f>
        <v>COMB1</v>
      </c>
      <c r="D1916" s="15" t="str">
        <f>Solieusap!D1916</f>
        <v>Combination</v>
      </c>
      <c r="E1916" s="16">
        <f>ABS(Solieusap!E1916)</f>
        <v>17.20599117</v>
      </c>
      <c r="F1916" s="16">
        <f>ABS(Solieusap!F1916)</f>
        <v>1.622835887</v>
      </c>
      <c r="G1916" s="16">
        <f>ABS(Solieusap!G1916)</f>
        <v>2.200801472</v>
      </c>
      <c r="H1916" s="16">
        <f>ABS(Solieusap!H1916)</f>
        <v>0.0009846871299</v>
      </c>
      <c r="I1916" s="16">
        <f>ABS(Solieusap!I1916)</f>
        <v>5.914022645</v>
      </c>
      <c r="J1916" s="16">
        <f>ABS(Solieusap!J1916)</f>
        <v>3.979313494</v>
      </c>
      <c r="K1916" s="16">
        <f t="shared" si="1"/>
        <v>17.20599117</v>
      </c>
      <c r="L1916" s="16">
        <f t="shared" si="2"/>
        <v>5.914022645</v>
      </c>
    </row>
    <row r="1917" ht="16.5" customHeight="1">
      <c r="A1917" s="15" t="str">
        <f>Solieusap!A1917</f>
        <v>Cũ</v>
      </c>
      <c r="B1917" s="15">
        <f>Solieusap!B1917</f>
        <v>3.5</v>
      </c>
      <c r="C1917" s="15" t="str">
        <f>Solieusap!C1917</f>
        <v>COMB1</v>
      </c>
      <c r="D1917" s="15" t="str">
        <f>Solieusap!D1917</f>
        <v>Combination</v>
      </c>
      <c r="E1917" s="16">
        <f>ABS(Solieusap!E1917)</f>
        <v>17.22284753</v>
      </c>
      <c r="F1917" s="16">
        <f>ABS(Solieusap!F1917)</f>
        <v>1.624546407</v>
      </c>
      <c r="G1917" s="16">
        <f>ABS(Solieusap!G1917)</f>
        <v>2.203065887</v>
      </c>
      <c r="H1917" s="16">
        <f>ABS(Solieusap!H1917)</f>
        <v>0.0009857422338</v>
      </c>
      <c r="I1917" s="16">
        <f>ABS(Solieusap!I1917)</f>
        <v>5.920817437</v>
      </c>
      <c r="J1917" s="16">
        <f>ABS(Solieusap!J1917)</f>
        <v>3.983860545</v>
      </c>
      <c r="K1917" s="16">
        <f t="shared" si="1"/>
        <v>17.22284753</v>
      </c>
      <c r="L1917" s="16">
        <f t="shared" si="2"/>
        <v>5.920817437</v>
      </c>
    </row>
    <row r="1918" ht="16.5" customHeight="1">
      <c r="A1918" s="15" t="str">
        <f>Solieusap!A1918</f>
        <v>Cũ</v>
      </c>
      <c r="B1918" s="15">
        <f>Solieusap!B1918</f>
        <v>0</v>
      </c>
      <c r="C1918" s="15" t="str">
        <f>Solieusap!C1918</f>
        <v>COMB2</v>
      </c>
      <c r="D1918" s="15" t="str">
        <f>Solieusap!D1918</f>
        <v>Combination</v>
      </c>
      <c r="E1918" s="16">
        <f>ABS(Solieusap!E1918)</f>
        <v>17.2397039</v>
      </c>
      <c r="F1918" s="16">
        <f>ABS(Solieusap!F1918)</f>
        <v>1.626256926</v>
      </c>
      <c r="G1918" s="16">
        <f>ABS(Solieusap!G1918)</f>
        <v>2.205330303</v>
      </c>
      <c r="H1918" s="16">
        <f>ABS(Solieusap!H1918)</f>
        <v>0.0009867973377</v>
      </c>
      <c r="I1918" s="16">
        <f>ABS(Solieusap!I1918)</f>
        <v>5.927612229</v>
      </c>
      <c r="J1918" s="16">
        <f>ABS(Solieusap!J1918)</f>
        <v>3.988407597</v>
      </c>
      <c r="K1918" s="16">
        <f t="shared" si="1"/>
        <v>17.2397039</v>
      </c>
      <c r="L1918" s="16">
        <f t="shared" si="2"/>
        <v>5.927612229</v>
      </c>
    </row>
    <row r="1919" ht="16.5" customHeight="1">
      <c r="A1919" s="15" t="str">
        <f>Solieusap!A1919</f>
        <v>Cũ</v>
      </c>
      <c r="B1919" s="15">
        <f>Solieusap!B1919</f>
        <v>1.75</v>
      </c>
      <c r="C1919" s="15" t="str">
        <f>Solieusap!C1919</f>
        <v>COMB2</v>
      </c>
      <c r="D1919" s="15" t="str">
        <f>Solieusap!D1919</f>
        <v>Combination</v>
      </c>
      <c r="E1919" s="16">
        <f>ABS(Solieusap!E1919)</f>
        <v>17.25656026</v>
      </c>
      <c r="F1919" s="16">
        <f>ABS(Solieusap!F1919)</f>
        <v>1.627967446</v>
      </c>
      <c r="G1919" s="16">
        <f>ABS(Solieusap!G1919)</f>
        <v>2.207594719</v>
      </c>
      <c r="H1919" s="16">
        <f>ABS(Solieusap!H1919)</f>
        <v>0.0009878524416</v>
      </c>
      <c r="I1919" s="16">
        <f>ABS(Solieusap!I1919)</f>
        <v>5.934407022</v>
      </c>
      <c r="J1919" s="16">
        <f>ABS(Solieusap!J1919)</f>
        <v>3.992954649</v>
      </c>
      <c r="K1919" s="16">
        <f t="shared" si="1"/>
        <v>17.25656026</v>
      </c>
      <c r="L1919" s="16">
        <f t="shared" si="2"/>
        <v>5.934407022</v>
      </c>
    </row>
    <row r="1920" ht="16.5" customHeight="1">
      <c r="A1920" s="15" t="str">
        <f>Solieusap!A1920</f>
        <v>Cũ</v>
      </c>
      <c r="B1920" s="15">
        <f>Solieusap!B1920</f>
        <v>3.5</v>
      </c>
      <c r="C1920" s="15" t="str">
        <f>Solieusap!C1920</f>
        <v>COMB2</v>
      </c>
      <c r="D1920" s="15" t="str">
        <f>Solieusap!D1920</f>
        <v>Combination</v>
      </c>
      <c r="E1920" s="16">
        <f>ABS(Solieusap!E1920)</f>
        <v>17.27341662</v>
      </c>
      <c r="F1920" s="16">
        <f>ABS(Solieusap!F1920)</f>
        <v>1.629677965</v>
      </c>
      <c r="G1920" s="16">
        <f>ABS(Solieusap!G1920)</f>
        <v>2.209859134</v>
      </c>
      <c r="H1920" s="16">
        <f>ABS(Solieusap!H1920)</f>
        <v>0.0009889075455</v>
      </c>
      <c r="I1920" s="16">
        <f>ABS(Solieusap!I1920)</f>
        <v>5.941201814</v>
      </c>
      <c r="J1920" s="16">
        <f>ABS(Solieusap!J1920)</f>
        <v>3.997501701</v>
      </c>
      <c r="K1920" s="16">
        <f t="shared" si="1"/>
        <v>17.27341662</v>
      </c>
      <c r="L1920" s="16">
        <f t="shared" si="2"/>
        <v>5.941201814</v>
      </c>
    </row>
    <row r="1921" ht="16.5" customHeight="1">
      <c r="A1921" s="15" t="str">
        <f>Solieusap!A1921</f>
        <v>Cũ</v>
      </c>
      <c r="B1921" s="15">
        <f>Solieusap!B1921</f>
        <v>0</v>
      </c>
      <c r="C1921" s="15" t="str">
        <f>Solieusap!C1921</f>
        <v>COMB3</v>
      </c>
      <c r="D1921" s="15" t="str">
        <f>Solieusap!D1921</f>
        <v>Combination</v>
      </c>
      <c r="E1921" s="16">
        <f>ABS(Solieusap!E1921)</f>
        <v>17.29027299</v>
      </c>
      <c r="F1921" s="16">
        <f>ABS(Solieusap!F1921)</f>
        <v>1.631388485</v>
      </c>
      <c r="G1921" s="16">
        <f>ABS(Solieusap!G1921)</f>
        <v>2.21212355</v>
      </c>
      <c r="H1921" s="16">
        <f>ABS(Solieusap!H1921)</f>
        <v>0.0009899626494</v>
      </c>
      <c r="I1921" s="16">
        <f>ABS(Solieusap!I1921)</f>
        <v>5.947996606</v>
      </c>
      <c r="J1921" s="16">
        <f>ABS(Solieusap!J1921)</f>
        <v>4.002048753</v>
      </c>
      <c r="K1921" s="16">
        <f t="shared" si="1"/>
        <v>17.29027299</v>
      </c>
      <c r="L1921" s="16">
        <f t="shared" si="2"/>
        <v>5.947996606</v>
      </c>
    </row>
    <row r="1922" ht="16.5" customHeight="1">
      <c r="A1922" s="15" t="str">
        <f>Solieusap!A1922</f>
        <v>Cũ</v>
      </c>
      <c r="B1922" s="15">
        <f>Solieusap!B1922</f>
        <v>1.75</v>
      </c>
      <c r="C1922" s="15" t="str">
        <f>Solieusap!C1922</f>
        <v>COMB3</v>
      </c>
      <c r="D1922" s="15" t="str">
        <f>Solieusap!D1922</f>
        <v>Combination</v>
      </c>
      <c r="E1922" s="16">
        <f>ABS(Solieusap!E1922)</f>
        <v>17.30712935</v>
      </c>
      <c r="F1922" s="16">
        <f>ABS(Solieusap!F1922)</f>
        <v>1.633099004</v>
      </c>
      <c r="G1922" s="16">
        <f>ABS(Solieusap!G1922)</f>
        <v>2.214387965</v>
      </c>
      <c r="H1922" s="16">
        <f>ABS(Solieusap!H1922)</f>
        <v>0.0009910177532</v>
      </c>
      <c r="I1922" s="16">
        <f>ABS(Solieusap!I1922)</f>
        <v>5.954791398</v>
      </c>
      <c r="J1922" s="16">
        <f>ABS(Solieusap!J1922)</f>
        <v>4.006595805</v>
      </c>
      <c r="K1922" s="16">
        <f t="shared" si="1"/>
        <v>17.30712935</v>
      </c>
      <c r="L1922" s="16">
        <f t="shared" si="2"/>
        <v>5.954791398</v>
      </c>
    </row>
    <row r="1923" ht="16.5" customHeight="1">
      <c r="A1923" s="15" t="str">
        <f>Solieusap!A1923</f>
        <v>Cũ</v>
      </c>
      <c r="B1923" s="15">
        <f>Solieusap!B1923</f>
        <v>3.5</v>
      </c>
      <c r="C1923" s="15" t="str">
        <f>Solieusap!C1923</f>
        <v>COMB3</v>
      </c>
      <c r="D1923" s="15" t="str">
        <f>Solieusap!D1923</f>
        <v>Combination</v>
      </c>
      <c r="E1923" s="16">
        <f>ABS(Solieusap!E1923)</f>
        <v>17.32398571</v>
      </c>
      <c r="F1923" s="16">
        <f>ABS(Solieusap!F1923)</f>
        <v>1.634809524</v>
      </c>
      <c r="G1923" s="16">
        <f>ABS(Solieusap!G1923)</f>
        <v>2.216652381</v>
      </c>
      <c r="H1923" s="16">
        <f>ABS(Solieusap!H1923)</f>
        <v>0.0009920728571</v>
      </c>
      <c r="I1923" s="16">
        <f>ABS(Solieusap!I1923)</f>
        <v>5.96158619</v>
      </c>
      <c r="J1923" s="16">
        <f>ABS(Solieusap!J1923)</f>
        <v>4.011142857</v>
      </c>
      <c r="K1923" s="16">
        <f t="shared" si="1"/>
        <v>17.32398571</v>
      </c>
      <c r="L1923" s="16">
        <f t="shared" si="2"/>
        <v>5.96158619</v>
      </c>
    </row>
    <row r="1924" ht="16.5" customHeight="1">
      <c r="A1924" s="15" t="str">
        <f>Solieusap!A1924</f>
        <v>Cũ</v>
      </c>
      <c r="B1924" s="15">
        <f>Solieusap!B1924</f>
        <v>0</v>
      </c>
      <c r="C1924" s="15" t="str">
        <f>Solieusap!C1924</f>
        <v>COMB4</v>
      </c>
      <c r="D1924" s="15" t="str">
        <f>Solieusap!D1924</f>
        <v>Combination</v>
      </c>
      <c r="E1924" s="16">
        <f>ABS(Solieusap!E1924)</f>
        <v>17.34084208</v>
      </c>
      <c r="F1924" s="16">
        <f>ABS(Solieusap!F1924)</f>
        <v>1.636520043</v>
      </c>
      <c r="G1924" s="16">
        <f>ABS(Solieusap!G1924)</f>
        <v>2.218916797</v>
      </c>
      <c r="H1924" s="16">
        <f>ABS(Solieusap!H1924)</f>
        <v>0.000993127961</v>
      </c>
      <c r="I1924" s="16">
        <f>ABS(Solieusap!I1924)</f>
        <v>5.968380983</v>
      </c>
      <c r="J1924" s="16">
        <f>ABS(Solieusap!J1924)</f>
        <v>4.015689909</v>
      </c>
      <c r="K1924" s="16">
        <f t="shared" si="1"/>
        <v>17.34084208</v>
      </c>
      <c r="L1924" s="16">
        <f t="shared" si="2"/>
        <v>5.968380983</v>
      </c>
    </row>
    <row r="1925" ht="16.5" customHeight="1">
      <c r="A1925" s="15" t="str">
        <f>Solieusap!A1925</f>
        <v>Cũ</v>
      </c>
      <c r="B1925" s="15">
        <f>Solieusap!B1925</f>
        <v>1.75</v>
      </c>
      <c r="C1925" s="15" t="str">
        <f>Solieusap!C1925</f>
        <v>COMB4</v>
      </c>
      <c r="D1925" s="15" t="str">
        <f>Solieusap!D1925</f>
        <v>Combination</v>
      </c>
      <c r="E1925" s="16">
        <f>ABS(Solieusap!E1925)</f>
        <v>17.35769844</v>
      </c>
      <c r="F1925" s="16">
        <f>ABS(Solieusap!F1925)</f>
        <v>1.638230563</v>
      </c>
      <c r="G1925" s="16">
        <f>ABS(Solieusap!G1925)</f>
        <v>2.221181212</v>
      </c>
      <c r="H1925" s="16">
        <f>ABS(Solieusap!H1925)</f>
        <v>0.0009941830649</v>
      </c>
      <c r="I1925" s="16">
        <f>ABS(Solieusap!I1925)</f>
        <v>5.975175775</v>
      </c>
      <c r="J1925" s="16">
        <f>ABS(Solieusap!J1925)</f>
        <v>4.020236961</v>
      </c>
      <c r="K1925" s="16">
        <f t="shared" si="1"/>
        <v>17.35769844</v>
      </c>
      <c r="L1925" s="16">
        <f t="shared" si="2"/>
        <v>5.975175775</v>
      </c>
    </row>
    <row r="1926" ht="16.5" customHeight="1">
      <c r="A1926" s="15" t="str">
        <f>Solieusap!A1926</f>
        <v>Cũ</v>
      </c>
      <c r="B1926" s="15">
        <f>Solieusap!B1926</f>
        <v>3.5</v>
      </c>
      <c r="C1926" s="15" t="str">
        <f>Solieusap!C1926</f>
        <v>COMB4</v>
      </c>
      <c r="D1926" s="15" t="str">
        <f>Solieusap!D1926</f>
        <v>Combination</v>
      </c>
      <c r="E1926" s="16">
        <f>ABS(Solieusap!E1926)</f>
        <v>17.37455481</v>
      </c>
      <c r="F1926" s="16">
        <f>ABS(Solieusap!F1926)</f>
        <v>1.639941082</v>
      </c>
      <c r="G1926" s="16">
        <f>ABS(Solieusap!G1926)</f>
        <v>2.223445628</v>
      </c>
      <c r="H1926" s="16">
        <f>ABS(Solieusap!H1926)</f>
        <v>0.0009952381688</v>
      </c>
      <c r="I1926" s="16">
        <f>ABS(Solieusap!I1926)</f>
        <v>5.981970567</v>
      </c>
      <c r="J1926" s="16">
        <f>ABS(Solieusap!J1926)</f>
        <v>4.024784013</v>
      </c>
      <c r="K1926" s="16">
        <f t="shared" si="1"/>
        <v>17.37455481</v>
      </c>
      <c r="L1926" s="16">
        <f t="shared" si="2"/>
        <v>5.981970567</v>
      </c>
    </row>
    <row r="1927" ht="16.5" customHeight="1">
      <c r="A1927" s="15" t="str">
        <f>Solieusap!A1927</f>
        <v>Cũ</v>
      </c>
      <c r="B1927" s="15">
        <f>Solieusap!B1927</f>
        <v>0</v>
      </c>
      <c r="C1927" s="15" t="str">
        <f>Solieusap!C1927</f>
        <v>COMB5</v>
      </c>
      <c r="D1927" s="15" t="str">
        <f>Solieusap!D1927</f>
        <v>Combination</v>
      </c>
      <c r="E1927" s="16">
        <f>ABS(Solieusap!E1927)</f>
        <v>17.39141117</v>
      </c>
      <c r="F1927" s="16">
        <f>ABS(Solieusap!F1927)</f>
        <v>1.641651602</v>
      </c>
      <c r="G1927" s="16">
        <f>ABS(Solieusap!G1927)</f>
        <v>2.225710043</v>
      </c>
      <c r="H1927" s="16">
        <f>ABS(Solieusap!H1927)</f>
        <v>0.0009962932727</v>
      </c>
      <c r="I1927" s="16">
        <f>ABS(Solieusap!I1927)</f>
        <v>5.988765359</v>
      </c>
      <c r="J1927" s="16">
        <f>ABS(Solieusap!J1927)</f>
        <v>4.029331065</v>
      </c>
      <c r="K1927" s="16">
        <f t="shared" si="1"/>
        <v>17.39141117</v>
      </c>
      <c r="L1927" s="16">
        <f t="shared" si="2"/>
        <v>5.988765359</v>
      </c>
    </row>
    <row r="1928" ht="16.5" customHeight="1">
      <c r="A1928" s="15" t="str">
        <f>Solieusap!A1928</f>
        <v>Cũ</v>
      </c>
      <c r="B1928" s="15">
        <f>Solieusap!B1928</f>
        <v>1.75</v>
      </c>
      <c r="C1928" s="15" t="str">
        <f>Solieusap!C1928</f>
        <v>COMB5</v>
      </c>
      <c r="D1928" s="15" t="str">
        <f>Solieusap!D1928</f>
        <v>Combination</v>
      </c>
      <c r="E1928" s="16">
        <f>ABS(Solieusap!E1928)</f>
        <v>17.40826753</v>
      </c>
      <c r="F1928" s="16">
        <f>ABS(Solieusap!F1928)</f>
        <v>1.643362121</v>
      </c>
      <c r="G1928" s="16">
        <f>ABS(Solieusap!G1928)</f>
        <v>2.227974459</v>
      </c>
      <c r="H1928" s="16">
        <f>ABS(Solieusap!H1928)</f>
        <v>0.0009973483766</v>
      </c>
      <c r="I1928" s="16">
        <f>ABS(Solieusap!I1928)</f>
        <v>5.995560152</v>
      </c>
      <c r="J1928" s="16">
        <f>ABS(Solieusap!J1928)</f>
        <v>4.033878117</v>
      </c>
      <c r="K1928" s="16">
        <f t="shared" si="1"/>
        <v>17.40826753</v>
      </c>
      <c r="L1928" s="16">
        <f t="shared" si="2"/>
        <v>5.995560152</v>
      </c>
    </row>
    <row r="1929" ht="16.5" customHeight="1">
      <c r="A1929" s="15" t="str">
        <f>Solieusap!A1929</f>
        <v>Cũ</v>
      </c>
      <c r="B1929" s="15">
        <f>Solieusap!B1929</f>
        <v>3.5</v>
      </c>
      <c r="C1929" s="15" t="str">
        <f>Solieusap!C1929</f>
        <v>COMB5</v>
      </c>
      <c r="D1929" s="15" t="str">
        <f>Solieusap!D1929</f>
        <v>Combination</v>
      </c>
      <c r="E1929" s="16">
        <f>ABS(Solieusap!E1929)</f>
        <v>17.4251239</v>
      </c>
      <c r="F1929" s="16">
        <f>ABS(Solieusap!F1929)</f>
        <v>1.645072641</v>
      </c>
      <c r="G1929" s="16">
        <f>ABS(Solieusap!G1929)</f>
        <v>2.230238874</v>
      </c>
      <c r="H1929" s="16">
        <f>ABS(Solieusap!H1929)</f>
        <v>0.0009984034805</v>
      </c>
      <c r="I1929" s="16">
        <f>ABS(Solieusap!I1929)</f>
        <v>6.002354944</v>
      </c>
      <c r="J1929" s="16">
        <f>ABS(Solieusap!J1929)</f>
        <v>4.038425169</v>
      </c>
      <c r="K1929" s="16">
        <f t="shared" si="1"/>
        <v>17.4251239</v>
      </c>
      <c r="L1929" s="16">
        <f t="shared" si="2"/>
        <v>6.002354944</v>
      </c>
    </row>
    <row r="1930" ht="16.5" customHeight="1">
      <c r="A1930" s="15" t="str">
        <f>Solieusap!A1930</f>
        <v>Cũ</v>
      </c>
      <c r="B1930" s="15">
        <f>Solieusap!B1930</f>
        <v>0</v>
      </c>
      <c r="C1930" s="15" t="str">
        <f>Solieusap!C1930</f>
        <v>COMB6</v>
      </c>
      <c r="D1930" s="15" t="str">
        <f>Solieusap!D1930</f>
        <v>Combination</v>
      </c>
      <c r="E1930" s="16">
        <f>ABS(Solieusap!E1930)</f>
        <v>17.44198026</v>
      </c>
      <c r="F1930" s="16">
        <f>ABS(Solieusap!F1930)</f>
        <v>1.64678316</v>
      </c>
      <c r="G1930" s="16">
        <f>ABS(Solieusap!G1930)</f>
        <v>2.23250329</v>
      </c>
      <c r="H1930" s="16">
        <f>ABS(Solieusap!H1930)</f>
        <v>0.0009994585844</v>
      </c>
      <c r="I1930" s="16">
        <f>ABS(Solieusap!I1930)</f>
        <v>6.009149736</v>
      </c>
      <c r="J1930" s="16">
        <f>ABS(Solieusap!J1930)</f>
        <v>4.042972221</v>
      </c>
      <c r="K1930" s="16">
        <f t="shared" si="1"/>
        <v>17.44198026</v>
      </c>
      <c r="L1930" s="16">
        <f t="shared" si="2"/>
        <v>6.009149736</v>
      </c>
    </row>
    <row r="1931" ht="16.5" customHeight="1">
      <c r="A1931" s="15" t="str">
        <f>Solieusap!A1931</f>
        <v>Cũ</v>
      </c>
      <c r="B1931" s="15">
        <f>Solieusap!B1931</f>
        <v>1.75</v>
      </c>
      <c r="C1931" s="15" t="str">
        <f>Solieusap!C1931</f>
        <v>COMB6</v>
      </c>
      <c r="D1931" s="15" t="str">
        <f>Solieusap!D1931</f>
        <v>Combination</v>
      </c>
      <c r="E1931" s="16">
        <f>ABS(Solieusap!E1931)</f>
        <v>17.45883662</v>
      </c>
      <c r="F1931" s="16">
        <f>ABS(Solieusap!F1931)</f>
        <v>1.64849368</v>
      </c>
      <c r="G1931" s="16">
        <f>ABS(Solieusap!G1931)</f>
        <v>2.234767706</v>
      </c>
      <c r="H1931" s="16">
        <f>ABS(Solieusap!H1931)</f>
        <v>0.001000513688</v>
      </c>
      <c r="I1931" s="16">
        <f>ABS(Solieusap!I1931)</f>
        <v>6.015944528</v>
      </c>
      <c r="J1931" s="16">
        <f>ABS(Solieusap!J1931)</f>
        <v>4.047519273</v>
      </c>
      <c r="K1931" s="16">
        <f t="shared" si="1"/>
        <v>17.45883662</v>
      </c>
      <c r="L1931" s="16">
        <f t="shared" si="2"/>
        <v>6.015944528</v>
      </c>
    </row>
    <row r="1932" ht="16.5" customHeight="1">
      <c r="A1932" s="15" t="str">
        <f>Solieusap!A1932</f>
        <v>Cũ</v>
      </c>
      <c r="B1932" s="15">
        <f>Solieusap!B1932</f>
        <v>3.5</v>
      </c>
      <c r="C1932" s="15" t="str">
        <f>Solieusap!C1932</f>
        <v>COMB6</v>
      </c>
      <c r="D1932" s="15" t="str">
        <f>Solieusap!D1932</f>
        <v>Combination</v>
      </c>
      <c r="E1932" s="16">
        <f>ABS(Solieusap!E1932)</f>
        <v>17.47569299</v>
      </c>
      <c r="F1932" s="16">
        <f>ABS(Solieusap!F1932)</f>
        <v>1.650204199</v>
      </c>
      <c r="G1932" s="16">
        <f>ABS(Solieusap!G1932)</f>
        <v>2.237032121</v>
      </c>
      <c r="H1932" s="16">
        <f>ABS(Solieusap!H1932)</f>
        <v>0.001001568792</v>
      </c>
      <c r="I1932" s="16">
        <f>ABS(Solieusap!I1932)</f>
        <v>6.02273932</v>
      </c>
      <c r="J1932" s="16">
        <f>ABS(Solieusap!J1932)</f>
        <v>4.052066325</v>
      </c>
      <c r="K1932" s="16">
        <f t="shared" si="1"/>
        <v>17.47569299</v>
      </c>
      <c r="L1932" s="16">
        <f t="shared" si="2"/>
        <v>6.02273932</v>
      </c>
    </row>
    <row r="1933" ht="16.5" customHeight="1">
      <c r="A1933" s="15" t="str">
        <f>Solieusap!A1933</f>
        <v>Cũ</v>
      </c>
      <c r="B1933" s="15">
        <f>Solieusap!B1933</f>
        <v>0</v>
      </c>
      <c r="C1933" s="15" t="str">
        <f>Solieusap!C1933</f>
        <v>COMB7</v>
      </c>
      <c r="D1933" s="15" t="str">
        <f>Solieusap!D1933</f>
        <v>Combination</v>
      </c>
      <c r="E1933" s="16">
        <f>ABS(Solieusap!E1933)</f>
        <v>17.49254935</v>
      </c>
      <c r="F1933" s="16">
        <f>ABS(Solieusap!F1933)</f>
        <v>1.651914719</v>
      </c>
      <c r="G1933" s="16">
        <f>ABS(Solieusap!G1933)</f>
        <v>2.239296537</v>
      </c>
      <c r="H1933" s="16">
        <f>ABS(Solieusap!H1933)</f>
        <v>0.001002623896</v>
      </c>
      <c r="I1933" s="16">
        <f>ABS(Solieusap!I1933)</f>
        <v>6.029534113</v>
      </c>
      <c r="J1933" s="16">
        <f>ABS(Solieusap!J1933)</f>
        <v>4.056613377</v>
      </c>
      <c r="K1933" s="16">
        <f t="shared" si="1"/>
        <v>17.49254935</v>
      </c>
      <c r="L1933" s="16">
        <f t="shared" si="2"/>
        <v>6.029534113</v>
      </c>
    </row>
    <row r="1934" ht="16.5" customHeight="1">
      <c r="A1934" s="15" t="str">
        <f>Solieusap!A1934</f>
        <v>Cũ</v>
      </c>
      <c r="B1934" s="15">
        <f>Solieusap!B1934</f>
        <v>1.75</v>
      </c>
      <c r="C1934" s="15" t="str">
        <f>Solieusap!C1934</f>
        <v>COMB7</v>
      </c>
      <c r="D1934" s="15" t="str">
        <f>Solieusap!D1934</f>
        <v>Combination</v>
      </c>
      <c r="E1934" s="16">
        <f>ABS(Solieusap!E1934)</f>
        <v>17.50940571</v>
      </c>
      <c r="F1934" s="16">
        <f>ABS(Solieusap!F1934)</f>
        <v>1.653625238</v>
      </c>
      <c r="G1934" s="16">
        <f>ABS(Solieusap!G1934)</f>
        <v>2.241560952</v>
      </c>
      <c r="H1934" s="16">
        <f>ABS(Solieusap!H1934)</f>
        <v>0.001003679</v>
      </c>
      <c r="I1934" s="16">
        <f>ABS(Solieusap!I1934)</f>
        <v>6.036328905</v>
      </c>
      <c r="J1934" s="16">
        <f>ABS(Solieusap!J1934)</f>
        <v>4.061160429</v>
      </c>
      <c r="K1934" s="16">
        <f t="shared" si="1"/>
        <v>17.50940571</v>
      </c>
      <c r="L1934" s="16">
        <f t="shared" si="2"/>
        <v>6.036328905</v>
      </c>
    </row>
    <row r="1935" ht="16.5" customHeight="1">
      <c r="A1935" s="15" t="str">
        <f>Solieusap!A1935</f>
        <v>Cũ</v>
      </c>
      <c r="B1935" s="15">
        <f>Solieusap!B1935</f>
        <v>3.5</v>
      </c>
      <c r="C1935" s="15" t="str">
        <f>Solieusap!C1935</f>
        <v>COMB7</v>
      </c>
      <c r="D1935" s="15" t="str">
        <f>Solieusap!D1935</f>
        <v>Combination</v>
      </c>
      <c r="E1935" s="16">
        <f>ABS(Solieusap!E1935)</f>
        <v>17.52626208</v>
      </c>
      <c r="F1935" s="16">
        <f>ABS(Solieusap!F1935)</f>
        <v>1.655335758</v>
      </c>
      <c r="G1935" s="16">
        <f>ABS(Solieusap!G1935)</f>
        <v>2.243825368</v>
      </c>
      <c r="H1935" s="16">
        <f>ABS(Solieusap!H1935)</f>
        <v>0.001004734104</v>
      </c>
      <c r="I1935" s="16">
        <f>ABS(Solieusap!I1935)</f>
        <v>6.043123697</v>
      </c>
      <c r="J1935" s="16">
        <f>ABS(Solieusap!J1935)</f>
        <v>4.065707481</v>
      </c>
      <c r="K1935" s="16">
        <f t="shared" si="1"/>
        <v>17.52626208</v>
      </c>
      <c r="L1935" s="16">
        <f t="shared" si="2"/>
        <v>6.043123697</v>
      </c>
    </row>
    <row r="1936" ht="16.5" customHeight="1">
      <c r="A1936" s="15" t="str">
        <f>Solieusap!A1936</f>
        <v>Cũ</v>
      </c>
      <c r="B1936" s="15">
        <f>Solieusap!B1936</f>
        <v>0</v>
      </c>
      <c r="C1936" s="15" t="str">
        <f>Solieusap!C1936</f>
        <v>COMB1</v>
      </c>
      <c r="D1936" s="15" t="str">
        <f>Solieusap!D1936</f>
        <v>Combination</v>
      </c>
      <c r="E1936" s="16">
        <f>ABS(Solieusap!E1936)</f>
        <v>17.54311844</v>
      </c>
      <c r="F1936" s="16">
        <f>ABS(Solieusap!F1936)</f>
        <v>1.657046277</v>
      </c>
      <c r="G1936" s="16">
        <f>ABS(Solieusap!G1936)</f>
        <v>2.246089784</v>
      </c>
      <c r="H1936" s="16">
        <f>ABS(Solieusap!H1936)</f>
        <v>0.001005789208</v>
      </c>
      <c r="I1936" s="16">
        <f>ABS(Solieusap!I1936)</f>
        <v>6.049918489</v>
      </c>
      <c r="J1936" s="16">
        <f>ABS(Solieusap!J1936)</f>
        <v>4.070254532</v>
      </c>
      <c r="K1936" s="16">
        <f t="shared" si="1"/>
        <v>17.54311844</v>
      </c>
      <c r="L1936" s="16">
        <f t="shared" si="2"/>
        <v>6.049918489</v>
      </c>
    </row>
    <row r="1937" ht="16.5" customHeight="1">
      <c r="A1937" s="15" t="str">
        <f>Solieusap!A1937</f>
        <v>Cũ</v>
      </c>
      <c r="B1937" s="15">
        <f>Solieusap!B1937</f>
        <v>1.75</v>
      </c>
      <c r="C1937" s="15" t="str">
        <f>Solieusap!C1937</f>
        <v>COMB1</v>
      </c>
      <c r="D1937" s="15" t="str">
        <f>Solieusap!D1937</f>
        <v>Combination</v>
      </c>
      <c r="E1937" s="16">
        <f>ABS(Solieusap!E1937)</f>
        <v>17.55997481</v>
      </c>
      <c r="F1937" s="16">
        <f>ABS(Solieusap!F1937)</f>
        <v>1.658756797</v>
      </c>
      <c r="G1937" s="16">
        <f>ABS(Solieusap!G1937)</f>
        <v>2.248354199</v>
      </c>
      <c r="H1937" s="16">
        <f>ABS(Solieusap!H1937)</f>
        <v>0.001006844312</v>
      </c>
      <c r="I1937" s="16">
        <f>ABS(Solieusap!I1937)</f>
        <v>6.056713281</v>
      </c>
      <c r="J1937" s="16">
        <f>ABS(Solieusap!J1937)</f>
        <v>4.074801584</v>
      </c>
      <c r="K1937" s="16">
        <f t="shared" si="1"/>
        <v>17.55997481</v>
      </c>
      <c r="L1937" s="16">
        <f t="shared" si="2"/>
        <v>6.056713281</v>
      </c>
    </row>
    <row r="1938" ht="16.5" customHeight="1">
      <c r="A1938" s="15" t="str">
        <f>Solieusap!A1938</f>
        <v>Cũ</v>
      </c>
      <c r="B1938" s="15">
        <f>Solieusap!B1938</f>
        <v>3.5</v>
      </c>
      <c r="C1938" s="15" t="str">
        <f>Solieusap!C1938</f>
        <v>COMB1</v>
      </c>
      <c r="D1938" s="15" t="str">
        <f>Solieusap!D1938</f>
        <v>Combination</v>
      </c>
      <c r="E1938" s="16">
        <f>ABS(Solieusap!E1938)</f>
        <v>17.57683117</v>
      </c>
      <c r="F1938" s="16">
        <f>ABS(Solieusap!F1938)</f>
        <v>1.660467316</v>
      </c>
      <c r="G1938" s="16">
        <f>ABS(Solieusap!G1938)</f>
        <v>2.250618615</v>
      </c>
      <c r="H1938" s="16">
        <f>ABS(Solieusap!H1938)</f>
        <v>0.001007899416</v>
      </c>
      <c r="I1938" s="16">
        <f>ABS(Solieusap!I1938)</f>
        <v>6.063508074</v>
      </c>
      <c r="J1938" s="16">
        <f>ABS(Solieusap!J1938)</f>
        <v>4.079348636</v>
      </c>
      <c r="K1938" s="16">
        <f t="shared" si="1"/>
        <v>17.57683117</v>
      </c>
      <c r="L1938" s="16">
        <f t="shared" si="2"/>
        <v>6.063508074</v>
      </c>
    </row>
    <row r="1939" ht="16.5" customHeight="1">
      <c r="A1939" s="15" t="str">
        <f>Solieusap!A1939</f>
        <v>Cũ</v>
      </c>
      <c r="B1939" s="15">
        <f>Solieusap!B1939</f>
        <v>0</v>
      </c>
      <c r="C1939" s="15" t="str">
        <f>Solieusap!C1939</f>
        <v>COMB2</v>
      </c>
      <c r="D1939" s="15" t="str">
        <f>Solieusap!D1939</f>
        <v>Combination</v>
      </c>
      <c r="E1939" s="16">
        <f>ABS(Solieusap!E1939)</f>
        <v>17.59368753</v>
      </c>
      <c r="F1939" s="16">
        <f>ABS(Solieusap!F1939)</f>
        <v>1.662177835</v>
      </c>
      <c r="G1939" s="16">
        <f>ABS(Solieusap!G1939)</f>
        <v>2.25288303</v>
      </c>
      <c r="H1939" s="16">
        <f>ABS(Solieusap!H1939)</f>
        <v>0.001008954519</v>
      </c>
      <c r="I1939" s="16">
        <f>ABS(Solieusap!I1939)</f>
        <v>6.070302866</v>
      </c>
      <c r="J1939" s="16">
        <f>ABS(Solieusap!J1939)</f>
        <v>4.083895688</v>
      </c>
      <c r="K1939" s="16">
        <f t="shared" si="1"/>
        <v>17.59368753</v>
      </c>
      <c r="L1939" s="16">
        <f t="shared" si="2"/>
        <v>6.070302866</v>
      </c>
    </row>
    <row r="1940" ht="16.5" customHeight="1">
      <c r="A1940" s="15" t="str">
        <f>Solieusap!A1940</f>
        <v>Cũ</v>
      </c>
      <c r="B1940" s="15">
        <f>Solieusap!B1940</f>
        <v>1.75</v>
      </c>
      <c r="C1940" s="15" t="str">
        <f>Solieusap!C1940</f>
        <v>COMB2</v>
      </c>
      <c r="D1940" s="15" t="str">
        <f>Solieusap!D1940</f>
        <v>Combination</v>
      </c>
      <c r="E1940" s="16">
        <f>ABS(Solieusap!E1940)</f>
        <v>17.6105439</v>
      </c>
      <c r="F1940" s="16">
        <f>ABS(Solieusap!F1940)</f>
        <v>1.663888355</v>
      </c>
      <c r="G1940" s="16">
        <f>ABS(Solieusap!G1940)</f>
        <v>2.255147446</v>
      </c>
      <c r="H1940" s="16">
        <f>ABS(Solieusap!H1940)</f>
        <v>0.001010009623</v>
      </c>
      <c r="I1940" s="16">
        <f>ABS(Solieusap!I1940)</f>
        <v>6.077097658</v>
      </c>
      <c r="J1940" s="16">
        <f>ABS(Solieusap!J1940)</f>
        <v>4.08844274</v>
      </c>
      <c r="K1940" s="16">
        <f t="shared" si="1"/>
        <v>17.6105439</v>
      </c>
      <c r="L1940" s="16">
        <f t="shared" si="2"/>
        <v>6.077097658</v>
      </c>
    </row>
    <row r="1941" ht="16.5" customHeight="1">
      <c r="A1941" s="15" t="str">
        <f>Solieusap!A1941</f>
        <v>Cũ</v>
      </c>
      <c r="B1941" s="15">
        <f>Solieusap!B1941</f>
        <v>3.5</v>
      </c>
      <c r="C1941" s="15" t="str">
        <f>Solieusap!C1941</f>
        <v>COMB2</v>
      </c>
      <c r="D1941" s="15" t="str">
        <f>Solieusap!D1941</f>
        <v>Combination</v>
      </c>
      <c r="E1941" s="16">
        <f>ABS(Solieusap!E1941)</f>
        <v>17.62740026</v>
      </c>
      <c r="F1941" s="16">
        <f>ABS(Solieusap!F1941)</f>
        <v>1.665598874</v>
      </c>
      <c r="G1941" s="16">
        <f>ABS(Solieusap!G1941)</f>
        <v>2.257411861</v>
      </c>
      <c r="H1941" s="16">
        <f>ABS(Solieusap!H1941)</f>
        <v>0.001011064727</v>
      </c>
      <c r="I1941" s="16">
        <f>ABS(Solieusap!I1941)</f>
        <v>6.08389245</v>
      </c>
      <c r="J1941" s="16">
        <f>ABS(Solieusap!J1941)</f>
        <v>4.092989792</v>
      </c>
      <c r="K1941" s="16">
        <f t="shared" si="1"/>
        <v>17.62740026</v>
      </c>
      <c r="L1941" s="16">
        <f t="shared" si="2"/>
        <v>6.08389245</v>
      </c>
    </row>
    <row r="1942" ht="16.5" customHeight="1">
      <c r="A1942" s="15" t="str">
        <f>Solieusap!A1942</f>
        <v>Cũ</v>
      </c>
      <c r="B1942" s="15">
        <f>Solieusap!B1942</f>
        <v>0</v>
      </c>
      <c r="C1942" s="15" t="str">
        <f>Solieusap!C1942</f>
        <v>COMB3</v>
      </c>
      <c r="D1942" s="15" t="str">
        <f>Solieusap!D1942</f>
        <v>Combination</v>
      </c>
      <c r="E1942" s="16">
        <f>ABS(Solieusap!E1942)</f>
        <v>17.64425662</v>
      </c>
      <c r="F1942" s="16">
        <f>ABS(Solieusap!F1942)</f>
        <v>1.667309394</v>
      </c>
      <c r="G1942" s="16">
        <f>ABS(Solieusap!G1942)</f>
        <v>2.259676277</v>
      </c>
      <c r="H1942" s="16">
        <f>ABS(Solieusap!H1942)</f>
        <v>0.001012119831</v>
      </c>
      <c r="I1942" s="16">
        <f>ABS(Solieusap!I1942)</f>
        <v>6.090687242</v>
      </c>
      <c r="J1942" s="16">
        <f>ABS(Solieusap!J1942)</f>
        <v>4.097536844</v>
      </c>
      <c r="K1942" s="16">
        <f t="shared" si="1"/>
        <v>17.64425662</v>
      </c>
      <c r="L1942" s="16">
        <f t="shared" si="2"/>
        <v>6.090687242</v>
      </c>
    </row>
    <row r="1943" ht="16.5" customHeight="1">
      <c r="A1943" s="15" t="str">
        <f>Solieusap!A1943</f>
        <v>Cũ</v>
      </c>
      <c r="B1943" s="15">
        <f>Solieusap!B1943</f>
        <v>1.75</v>
      </c>
      <c r="C1943" s="15" t="str">
        <f>Solieusap!C1943</f>
        <v>COMB3</v>
      </c>
      <c r="D1943" s="15" t="str">
        <f>Solieusap!D1943</f>
        <v>Combination</v>
      </c>
      <c r="E1943" s="16">
        <f>ABS(Solieusap!E1943)</f>
        <v>17.66111299</v>
      </c>
      <c r="F1943" s="16">
        <f>ABS(Solieusap!F1943)</f>
        <v>1.669019913</v>
      </c>
      <c r="G1943" s="16">
        <f>ABS(Solieusap!G1943)</f>
        <v>2.261940693</v>
      </c>
      <c r="H1943" s="16">
        <f>ABS(Solieusap!H1943)</f>
        <v>0.001013174935</v>
      </c>
      <c r="I1943" s="16">
        <f>ABS(Solieusap!I1943)</f>
        <v>6.097482035</v>
      </c>
      <c r="J1943" s="16">
        <f>ABS(Solieusap!J1943)</f>
        <v>4.102083896</v>
      </c>
      <c r="K1943" s="16">
        <f t="shared" si="1"/>
        <v>17.66111299</v>
      </c>
      <c r="L1943" s="16">
        <f t="shared" si="2"/>
        <v>6.097482035</v>
      </c>
    </row>
    <row r="1944" ht="16.5" customHeight="1">
      <c r="A1944" s="15" t="str">
        <f>Solieusap!A1944</f>
        <v>Cũ</v>
      </c>
      <c r="B1944" s="15">
        <f>Solieusap!B1944</f>
        <v>3.5</v>
      </c>
      <c r="C1944" s="15" t="str">
        <f>Solieusap!C1944</f>
        <v>COMB3</v>
      </c>
      <c r="D1944" s="15" t="str">
        <f>Solieusap!D1944</f>
        <v>Combination</v>
      </c>
      <c r="E1944" s="16">
        <f>ABS(Solieusap!E1944)</f>
        <v>17.67796935</v>
      </c>
      <c r="F1944" s="16">
        <f>ABS(Solieusap!F1944)</f>
        <v>1.670730433</v>
      </c>
      <c r="G1944" s="16">
        <f>ABS(Solieusap!G1944)</f>
        <v>2.264205108</v>
      </c>
      <c r="H1944" s="16">
        <f>ABS(Solieusap!H1944)</f>
        <v>0.001014230039</v>
      </c>
      <c r="I1944" s="16">
        <f>ABS(Solieusap!I1944)</f>
        <v>6.104276827</v>
      </c>
      <c r="J1944" s="16">
        <f>ABS(Solieusap!J1944)</f>
        <v>4.106630948</v>
      </c>
      <c r="K1944" s="16">
        <f t="shared" si="1"/>
        <v>17.67796935</v>
      </c>
      <c r="L1944" s="16">
        <f t="shared" si="2"/>
        <v>6.104276827</v>
      </c>
    </row>
    <row r="1945" ht="16.5" customHeight="1">
      <c r="A1945" s="15" t="str">
        <f>Solieusap!A1945</f>
        <v>Cũ</v>
      </c>
      <c r="B1945" s="15">
        <f>Solieusap!B1945</f>
        <v>0</v>
      </c>
      <c r="C1945" s="15" t="str">
        <f>Solieusap!C1945</f>
        <v>COMB4</v>
      </c>
      <c r="D1945" s="15" t="str">
        <f>Solieusap!D1945</f>
        <v>Combination</v>
      </c>
      <c r="E1945" s="16">
        <f>ABS(Solieusap!E1945)</f>
        <v>17.69482571</v>
      </c>
      <c r="F1945" s="16">
        <f>ABS(Solieusap!F1945)</f>
        <v>1.672440952</v>
      </c>
      <c r="G1945" s="16">
        <f>ABS(Solieusap!G1945)</f>
        <v>2.266469524</v>
      </c>
      <c r="H1945" s="16">
        <f>ABS(Solieusap!H1945)</f>
        <v>0.001015285143</v>
      </c>
      <c r="I1945" s="16">
        <f>ABS(Solieusap!I1945)</f>
        <v>6.111071619</v>
      </c>
      <c r="J1945" s="16">
        <f>ABS(Solieusap!J1945)</f>
        <v>4.111178</v>
      </c>
      <c r="K1945" s="16">
        <f t="shared" si="1"/>
        <v>17.69482571</v>
      </c>
      <c r="L1945" s="16">
        <f t="shared" si="2"/>
        <v>6.111071619</v>
      </c>
    </row>
    <row r="1946" ht="16.5" customHeight="1">
      <c r="A1946" s="15" t="str">
        <f>Solieusap!A1946</f>
        <v>Cũ</v>
      </c>
      <c r="B1946" s="15">
        <f>Solieusap!B1946</f>
        <v>1.75</v>
      </c>
      <c r="C1946" s="15" t="str">
        <f>Solieusap!C1946</f>
        <v>COMB4</v>
      </c>
      <c r="D1946" s="15" t="str">
        <f>Solieusap!D1946</f>
        <v>Combination</v>
      </c>
      <c r="E1946" s="16">
        <f>ABS(Solieusap!E1946)</f>
        <v>17.71168208</v>
      </c>
      <c r="F1946" s="16">
        <f>ABS(Solieusap!F1946)</f>
        <v>1.674151472</v>
      </c>
      <c r="G1946" s="16">
        <f>ABS(Solieusap!G1946)</f>
        <v>2.268733939</v>
      </c>
      <c r="H1946" s="16">
        <f>ABS(Solieusap!H1946)</f>
        <v>0.001016340247</v>
      </c>
      <c r="I1946" s="16">
        <f>ABS(Solieusap!I1946)</f>
        <v>6.117866411</v>
      </c>
      <c r="J1946" s="16">
        <f>ABS(Solieusap!J1946)</f>
        <v>4.115725052</v>
      </c>
      <c r="K1946" s="16">
        <f t="shared" si="1"/>
        <v>17.71168208</v>
      </c>
      <c r="L1946" s="16">
        <f t="shared" si="2"/>
        <v>6.117866411</v>
      </c>
    </row>
    <row r="1947" ht="16.5" customHeight="1">
      <c r="A1947" s="15" t="str">
        <f>Solieusap!A1947</f>
        <v>Cũ</v>
      </c>
      <c r="B1947" s="15">
        <f>Solieusap!B1947</f>
        <v>3.5</v>
      </c>
      <c r="C1947" s="15" t="str">
        <f>Solieusap!C1947</f>
        <v>COMB4</v>
      </c>
      <c r="D1947" s="15" t="str">
        <f>Solieusap!D1947</f>
        <v>Combination</v>
      </c>
      <c r="E1947" s="16">
        <f>ABS(Solieusap!E1947)</f>
        <v>17.72853844</v>
      </c>
      <c r="F1947" s="16">
        <f>ABS(Solieusap!F1947)</f>
        <v>1.675861991</v>
      </c>
      <c r="G1947" s="16">
        <f>ABS(Solieusap!G1947)</f>
        <v>2.270998355</v>
      </c>
      <c r="H1947" s="16">
        <f>ABS(Solieusap!H1947)</f>
        <v>0.001017395351</v>
      </c>
      <c r="I1947" s="16">
        <f>ABS(Solieusap!I1947)</f>
        <v>6.124661203</v>
      </c>
      <c r="J1947" s="16">
        <f>ABS(Solieusap!J1947)</f>
        <v>4.120272104</v>
      </c>
      <c r="K1947" s="16">
        <f t="shared" si="1"/>
        <v>17.72853844</v>
      </c>
      <c r="L1947" s="16">
        <f t="shared" si="2"/>
        <v>6.124661203</v>
      </c>
    </row>
    <row r="1948" ht="16.5" customHeight="1">
      <c r="A1948" s="15" t="str">
        <f>Solieusap!A1948</f>
        <v>Cũ</v>
      </c>
      <c r="B1948" s="15">
        <f>Solieusap!B1948</f>
        <v>0</v>
      </c>
      <c r="C1948" s="15" t="str">
        <f>Solieusap!C1948</f>
        <v>COMB5</v>
      </c>
      <c r="D1948" s="15" t="str">
        <f>Solieusap!D1948</f>
        <v>Combination</v>
      </c>
      <c r="E1948" s="16">
        <f>ABS(Solieusap!E1948)</f>
        <v>17.74539481</v>
      </c>
      <c r="F1948" s="16">
        <f>ABS(Solieusap!F1948)</f>
        <v>1.677572511</v>
      </c>
      <c r="G1948" s="16">
        <f>ABS(Solieusap!G1948)</f>
        <v>2.273262771</v>
      </c>
      <c r="H1948" s="16">
        <f>ABS(Solieusap!H1948)</f>
        <v>0.001018450455</v>
      </c>
      <c r="I1948" s="16">
        <f>ABS(Solieusap!I1948)</f>
        <v>6.131455996</v>
      </c>
      <c r="J1948" s="16">
        <f>ABS(Solieusap!J1948)</f>
        <v>4.124819156</v>
      </c>
      <c r="K1948" s="16">
        <f t="shared" si="1"/>
        <v>17.74539481</v>
      </c>
      <c r="L1948" s="16">
        <f t="shared" si="2"/>
        <v>6.131455996</v>
      </c>
    </row>
    <row r="1949" ht="16.5" customHeight="1">
      <c r="A1949" s="15" t="str">
        <f>Solieusap!A1949</f>
        <v>Cũ</v>
      </c>
      <c r="B1949" s="15">
        <f>Solieusap!B1949</f>
        <v>1.75</v>
      </c>
      <c r="C1949" s="15" t="str">
        <f>Solieusap!C1949</f>
        <v>COMB5</v>
      </c>
      <c r="D1949" s="15" t="str">
        <f>Solieusap!D1949</f>
        <v>Combination</v>
      </c>
      <c r="E1949" s="16">
        <f>ABS(Solieusap!E1949)</f>
        <v>17.76225117</v>
      </c>
      <c r="F1949" s="16">
        <f>ABS(Solieusap!F1949)</f>
        <v>1.67928303</v>
      </c>
      <c r="G1949" s="16">
        <f>ABS(Solieusap!G1949)</f>
        <v>2.275527186</v>
      </c>
      <c r="H1949" s="16">
        <f>ABS(Solieusap!H1949)</f>
        <v>0.001019505558</v>
      </c>
      <c r="I1949" s="16">
        <f>ABS(Solieusap!I1949)</f>
        <v>6.138250788</v>
      </c>
      <c r="J1949" s="16">
        <f>ABS(Solieusap!J1949)</f>
        <v>4.129366208</v>
      </c>
      <c r="K1949" s="16">
        <f t="shared" si="1"/>
        <v>17.76225117</v>
      </c>
      <c r="L1949" s="16">
        <f t="shared" si="2"/>
        <v>6.138250788</v>
      </c>
    </row>
    <row r="1950" ht="16.5" customHeight="1">
      <c r="A1950" s="15" t="str">
        <f>Solieusap!A1950</f>
        <v>Cũ</v>
      </c>
      <c r="B1950" s="15">
        <f>Solieusap!B1950</f>
        <v>3.5</v>
      </c>
      <c r="C1950" s="15" t="str">
        <f>Solieusap!C1950</f>
        <v>COMB5</v>
      </c>
      <c r="D1950" s="15" t="str">
        <f>Solieusap!D1950</f>
        <v>Combination</v>
      </c>
      <c r="E1950" s="16">
        <f>ABS(Solieusap!E1950)</f>
        <v>17.77910753</v>
      </c>
      <c r="F1950" s="16">
        <f>ABS(Solieusap!F1950)</f>
        <v>1.68099355</v>
      </c>
      <c r="G1950" s="16">
        <f>ABS(Solieusap!G1950)</f>
        <v>2.277791602</v>
      </c>
      <c r="H1950" s="16">
        <f>ABS(Solieusap!H1950)</f>
        <v>0.001020560662</v>
      </c>
      <c r="I1950" s="16">
        <f>ABS(Solieusap!I1950)</f>
        <v>6.14504558</v>
      </c>
      <c r="J1950" s="16">
        <f>ABS(Solieusap!J1950)</f>
        <v>4.13391326</v>
      </c>
      <c r="K1950" s="16">
        <f t="shared" si="1"/>
        <v>17.77910753</v>
      </c>
      <c r="L1950" s="16">
        <f t="shared" si="2"/>
        <v>6.14504558</v>
      </c>
    </row>
    <row r="1951" ht="16.5" customHeight="1">
      <c r="A1951" s="15" t="str">
        <f>Solieusap!A1951</f>
        <v>Cũ</v>
      </c>
      <c r="B1951" s="15">
        <f>Solieusap!B1951</f>
        <v>0</v>
      </c>
      <c r="C1951" s="15" t="str">
        <f>Solieusap!C1951</f>
        <v>COMB6</v>
      </c>
      <c r="D1951" s="15" t="str">
        <f>Solieusap!D1951</f>
        <v>Combination</v>
      </c>
      <c r="E1951" s="16">
        <f>ABS(Solieusap!E1951)</f>
        <v>17.7959639</v>
      </c>
      <c r="F1951" s="16">
        <f>ABS(Solieusap!F1951)</f>
        <v>1.682704069</v>
      </c>
      <c r="G1951" s="16">
        <f>ABS(Solieusap!G1951)</f>
        <v>2.280056017</v>
      </c>
      <c r="H1951" s="16">
        <f>ABS(Solieusap!H1951)</f>
        <v>0.001021615766</v>
      </c>
      <c r="I1951" s="16">
        <f>ABS(Solieusap!I1951)</f>
        <v>6.151840372</v>
      </c>
      <c r="J1951" s="16">
        <f>ABS(Solieusap!J1951)</f>
        <v>4.138460312</v>
      </c>
      <c r="K1951" s="16">
        <f t="shared" si="1"/>
        <v>17.7959639</v>
      </c>
      <c r="L1951" s="16">
        <f t="shared" si="2"/>
        <v>6.151840372</v>
      </c>
    </row>
    <row r="1952" ht="16.5" customHeight="1">
      <c r="A1952" s="15" t="str">
        <f>Solieusap!A1952</f>
        <v>Cũ</v>
      </c>
      <c r="B1952" s="15">
        <f>Solieusap!B1952</f>
        <v>1.75</v>
      </c>
      <c r="C1952" s="15" t="str">
        <f>Solieusap!C1952</f>
        <v>COMB6</v>
      </c>
      <c r="D1952" s="15" t="str">
        <f>Solieusap!D1952</f>
        <v>Combination</v>
      </c>
      <c r="E1952" s="16">
        <f>ABS(Solieusap!E1952)</f>
        <v>17.81282026</v>
      </c>
      <c r="F1952" s="16">
        <f>ABS(Solieusap!F1952)</f>
        <v>1.684414589</v>
      </c>
      <c r="G1952" s="16">
        <f>ABS(Solieusap!G1952)</f>
        <v>2.282320433</v>
      </c>
      <c r="H1952" s="16">
        <f>ABS(Solieusap!H1952)</f>
        <v>0.00102267087</v>
      </c>
      <c r="I1952" s="16">
        <f>ABS(Solieusap!I1952)</f>
        <v>6.158635165</v>
      </c>
      <c r="J1952" s="16">
        <f>ABS(Solieusap!J1952)</f>
        <v>4.143007364</v>
      </c>
      <c r="K1952" s="16">
        <f t="shared" si="1"/>
        <v>17.81282026</v>
      </c>
      <c r="L1952" s="16">
        <f t="shared" si="2"/>
        <v>6.158635165</v>
      </c>
    </row>
    <row r="1953" ht="16.5" customHeight="1">
      <c r="A1953" s="15" t="str">
        <f>Solieusap!A1953</f>
        <v>Cũ</v>
      </c>
      <c r="B1953" s="15">
        <f>Solieusap!B1953</f>
        <v>3.5</v>
      </c>
      <c r="C1953" s="15" t="str">
        <f>Solieusap!C1953</f>
        <v>COMB6</v>
      </c>
      <c r="D1953" s="15" t="str">
        <f>Solieusap!D1953</f>
        <v>Combination</v>
      </c>
      <c r="E1953" s="16">
        <f>ABS(Solieusap!E1953)</f>
        <v>17.82967662</v>
      </c>
      <c r="F1953" s="16">
        <f>ABS(Solieusap!F1953)</f>
        <v>1.686125108</v>
      </c>
      <c r="G1953" s="16">
        <f>ABS(Solieusap!G1953)</f>
        <v>2.284584848</v>
      </c>
      <c r="H1953" s="16">
        <f>ABS(Solieusap!H1953)</f>
        <v>0.001023725974</v>
      </c>
      <c r="I1953" s="16">
        <f>ABS(Solieusap!I1953)</f>
        <v>6.165429957</v>
      </c>
      <c r="J1953" s="16">
        <f>ABS(Solieusap!J1953)</f>
        <v>4.147554416</v>
      </c>
      <c r="K1953" s="16">
        <f t="shared" si="1"/>
        <v>17.82967662</v>
      </c>
      <c r="L1953" s="16">
        <f t="shared" si="2"/>
        <v>6.165429957</v>
      </c>
    </row>
    <row r="1954" ht="16.5" customHeight="1">
      <c r="A1954" s="15" t="str">
        <f>Solieusap!A1954</f>
        <v>Cũ</v>
      </c>
      <c r="B1954" s="15">
        <f>Solieusap!B1954</f>
        <v>0</v>
      </c>
      <c r="C1954" s="15" t="str">
        <f>Solieusap!C1954</f>
        <v>COMB7</v>
      </c>
      <c r="D1954" s="15" t="str">
        <f>Solieusap!D1954</f>
        <v>Combination</v>
      </c>
      <c r="E1954" s="16">
        <f>ABS(Solieusap!E1954)</f>
        <v>17.84653299</v>
      </c>
      <c r="F1954" s="16">
        <f>ABS(Solieusap!F1954)</f>
        <v>1.687835628</v>
      </c>
      <c r="G1954" s="16">
        <f>ABS(Solieusap!G1954)</f>
        <v>2.286849264</v>
      </c>
      <c r="H1954" s="16">
        <f>ABS(Solieusap!H1954)</f>
        <v>0.001024781078</v>
      </c>
      <c r="I1954" s="16">
        <f>ABS(Solieusap!I1954)</f>
        <v>6.172224749</v>
      </c>
      <c r="J1954" s="16">
        <f>ABS(Solieusap!J1954)</f>
        <v>4.152101468</v>
      </c>
      <c r="K1954" s="16">
        <f t="shared" si="1"/>
        <v>17.84653299</v>
      </c>
      <c r="L1954" s="16">
        <f t="shared" si="2"/>
        <v>6.172224749</v>
      </c>
    </row>
    <row r="1955" ht="16.5" customHeight="1">
      <c r="A1955" s="15" t="str">
        <f>Solieusap!A1955</f>
        <v>Cũ</v>
      </c>
      <c r="B1955" s="15">
        <f>Solieusap!B1955</f>
        <v>1.75</v>
      </c>
      <c r="C1955" s="15" t="str">
        <f>Solieusap!C1955</f>
        <v>COMB7</v>
      </c>
      <c r="D1955" s="15" t="str">
        <f>Solieusap!D1955</f>
        <v>Combination</v>
      </c>
      <c r="E1955" s="16">
        <f>ABS(Solieusap!E1955)</f>
        <v>17.86338935</v>
      </c>
      <c r="F1955" s="16">
        <f>ABS(Solieusap!F1955)</f>
        <v>1.689546147</v>
      </c>
      <c r="G1955" s="16">
        <f>ABS(Solieusap!G1955)</f>
        <v>2.28911368</v>
      </c>
      <c r="H1955" s="16">
        <f>ABS(Solieusap!H1955)</f>
        <v>0.001025836182</v>
      </c>
      <c r="I1955" s="16">
        <f>ABS(Solieusap!I1955)</f>
        <v>6.179019541</v>
      </c>
      <c r="J1955" s="16">
        <f>ABS(Solieusap!J1955)</f>
        <v>4.156648519</v>
      </c>
      <c r="K1955" s="16">
        <f t="shared" si="1"/>
        <v>17.86338935</v>
      </c>
      <c r="L1955" s="16">
        <f t="shared" si="2"/>
        <v>6.179019541</v>
      </c>
    </row>
    <row r="1956" ht="16.5" customHeight="1">
      <c r="A1956" s="15" t="str">
        <f>Solieusap!A1956</f>
        <v>Cũ</v>
      </c>
      <c r="B1956" s="15">
        <f>Solieusap!B1956</f>
        <v>3.5</v>
      </c>
      <c r="C1956" s="15" t="str">
        <f>Solieusap!C1956</f>
        <v>COMB7</v>
      </c>
      <c r="D1956" s="15" t="str">
        <f>Solieusap!D1956</f>
        <v>Combination</v>
      </c>
      <c r="E1956" s="16">
        <f>ABS(Solieusap!E1956)</f>
        <v>17.88024571</v>
      </c>
      <c r="F1956" s="16">
        <f>ABS(Solieusap!F1956)</f>
        <v>1.691256667</v>
      </c>
      <c r="G1956" s="16">
        <f>ABS(Solieusap!G1956)</f>
        <v>2.291378095</v>
      </c>
      <c r="H1956" s="16">
        <f>ABS(Solieusap!H1956)</f>
        <v>0.001026891286</v>
      </c>
      <c r="I1956" s="16">
        <f>ABS(Solieusap!I1956)</f>
        <v>6.185814333</v>
      </c>
      <c r="J1956" s="16">
        <f>ABS(Solieusap!J1956)</f>
        <v>4.161195571</v>
      </c>
      <c r="K1956" s="16">
        <f t="shared" si="1"/>
        <v>17.88024571</v>
      </c>
      <c r="L1956" s="16">
        <f t="shared" si="2"/>
        <v>6.185814333</v>
      </c>
    </row>
    <row r="1957" ht="16.5" customHeight="1">
      <c r="A1957" s="15" t="str">
        <f>Solieusap!A1957</f>
        <v>Cũ</v>
      </c>
      <c r="B1957" s="15">
        <f>Solieusap!B1957</f>
        <v>0</v>
      </c>
      <c r="C1957" s="15" t="str">
        <f>Solieusap!C1957</f>
        <v>COMB1</v>
      </c>
      <c r="D1957" s="15" t="str">
        <f>Solieusap!D1957</f>
        <v>Combination</v>
      </c>
      <c r="E1957" s="16">
        <f>ABS(Solieusap!E1957)</f>
        <v>17.89710208</v>
      </c>
      <c r="F1957" s="16">
        <f>ABS(Solieusap!F1957)</f>
        <v>1.692967186</v>
      </c>
      <c r="G1957" s="16">
        <f>ABS(Solieusap!G1957)</f>
        <v>2.293642511</v>
      </c>
      <c r="H1957" s="16">
        <f>ABS(Solieusap!H1957)</f>
        <v>0.00102794639</v>
      </c>
      <c r="I1957" s="16">
        <f>ABS(Solieusap!I1957)</f>
        <v>6.192609126</v>
      </c>
      <c r="J1957" s="16">
        <f>ABS(Solieusap!J1957)</f>
        <v>4.165742623</v>
      </c>
      <c r="K1957" s="16">
        <f t="shared" si="1"/>
        <v>17.89710208</v>
      </c>
      <c r="L1957" s="16">
        <f t="shared" si="2"/>
        <v>6.192609126</v>
      </c>
    </row>
    <row r="1958" ht="16.5" customHeight="1">
      <c r="A1958" s="15" t="str">
        <f>Solieusap!A1958</f>
        <v>Cũ</v>
      </c>
      <c r="B1958" s="15">
        <f>Solieusap!B1958</f>
        <v>1.75</v>
      </c>
      <c r="C1958" s="15" t="str">
        <f>Solieusap!C1958</f>
        <v>COMB1</v>
      </c>
      <c r="D1958" s="15" t="str">
        <f>Solieusap!D1958</f>
        <v>Combination</v>
      </c>
      <c r="E1958" s="16">
        <f>ABS(Solieusap!E1958)</f>
        <v>17.91395844</v>
      </c>
      <c r="F1958" s="16">
        <f>ABS(Solieusap!F1958)</f>
        <v>1.694677706</v>
      </c>
      <c r="G1958" s="16">
        <f>ABS(Solieusap!G1958)</f>
        <v>2.295906926</v>
      </c>
      <c r="H1958" s="16">
        <f>ABS(Solieusap!H1958)</f>
        <v>0.001029001494</v>
      </c>
      <c r="I1958" s="16">
        <f>ABS(Solieusap!I1958)</f>
        <v>6.199403918</v>
      </c>
      <c r="J1958" s="16">
        <f>ABS(Solieusap!J1958)</f>
        <v>4.170289675</v>
      </c>
      <c r="K1958" s="16">
        <f t="shared" si="1"/>
        <v>17.91395844</v>
      </c>
      <c r="L1958" s="16">
        <f t="shared" si="2"/>
        <v>6.199403918</v>
      </c>
    </row>
    <row r="1959" ht="16.5" customHeight="1">
      <c r="A1959" s="15" t="str">
        <f>Solieusap!A1959</f>
        <v>Cũ</v>
      </c>
      <c r="B1959" s="15">
        <f>Solieusap!B1959</f>
        <v>3.5</v>
      </c>
      <c r="C1959" s="15" t="str">
        <f>Solieusap!C1959</f>
        <v>COMB1</v>
      </c>
      <c r="D1959" s="15" t="str">
        <f>Solieusap!D1959</f>
        <v>Combination</v>
      </c>
      <c r="E1959" s="16">
        <f>ABS(Solieusap!E1959)</f>
        <v>17.93081481</v>
      </c>
      <c r="F1959" s="16">
        <f>ABS(Solieusap!F1959)</f>
        <v>1.696388225</v>
      </c>
      <c r="G1959" s="16">
        <f>ABS(Solieusap!G1959)</f>
        <v>2.298171342</v>
      </c>
      <c r="H1959" s="16">
        <f>ABS(Solieusap!H1959)</f>
        <v>0.001030056597</v>
      </c>
      <c r="I1959" s="16">
        <f>ABS(Solieusap!I1959)</f>
        <v>6.20619871</v>
      </c>
      <c r="J1959" s="16">
        <f>ABS(Solieusap!J1959)</f>
        <v>4.174836727</v>
      </c>
      <c r="K1959" s="16">
        <f t="shared" si="1"/>
        <v>17.93081481</v>
      </c>
      <c r="L1959" s="16">
        <f t="shared" si="2"/>
        <v>6.20619871</v>
      </c>
    </row>
    <row r="1960" ht="16.5" customHeight="1">
      <c r="A1960" s="15" t="str">
        <f>Solieusap!A1960</f>
        <v>Cũ</v>
      </c>
      <c r="B1960" s="15">
        <f>Solieusap!B1960</f>
        <v>0</v>
      </c>
      <c r="C1960" s="15" t="str">
        <f>Solieusap!C1960</f>
        <v>COMB2</v>
      </c>
      <c r="D1960" s="15" t="str">
        <f>Solieusap!D1960</f>
        <v>Combination</v>
      </c>
      <c r="E1960" s="16">
        <f>ABS(Solieusap!E1960)</f>
        <v>17.94767117</v>
      </c>
      <c r="F1960" s="16">
        <f>ABS(Solieusap!F1960)</f>
        <v>1.698098745</v>
      </c>
      <c r="G1960" s="16">
        <f>ABS(Solieusap!G1960)</f>
        <v>2.300435758</v>
      </c>
      <c r="H1960" s="16">
        <f>ABS(Solieusap!H1960)</f>
        <v>0.001031111701</v>
      </c>
      <c r="I1960" s="16">
        <f>ABS(Solieusap!I1960)</f>
        <v>6.212993502</v>
      </c>
      <c r="J1960" s="16">
        <f>ABS(Solieusap!J1960)</f>
        <v>4.179383779</v>
      </c>
      <c r="K1960" s="16">
        <f t="shared" si="1"/>
        <v>17.94767117</v>
      </c>
      <c r="L1960" s="16">
        <f t="shared" si="2"/>
        <v>6.212993502</v>
      </c>
    </row>
    <row r="1961" ht="16.5" customHeight="1">
      <c r="A1961" s="15" t="str">
        <f>Solieusap!A1961</f>
        <v>Cũ</v>
      </c>
      <c r="B1961" s="15">
        <f>Solieusap!B1961</f>
        <v>1.75</v>
      </c>
      <c r="C1961" s="15" t="str">
        <f>Solieusap!C1961</f>
        <v>COMB2</v>
      </c>
      <c r="D1961" s="15" t="str">
        <f>Solieusap!D1961</f>
        <v>Combination</v>
      </c>
      <c r="E1961" s="16">
        <f>ABS(Solieusap!E1961)</f>
        <v>17.96452753</v>
      </c>
      <c r="F1961" s="16">
        <f>ABS(Solieusap!F1961)</f>
        <v>1.699809264</v>
      </c>
      <c r="G1961" s="16">
        <f>ABS(Solieusap!G1961)</f>
        <v>2.302700173</v>
      </c>
      <c r="H1961" s="16">
        <f>ABS(Solieusap!H1961)</f>
        <v>0.001032166805</v>
      </c>
      <c r="I1961" s="16">
        <f>ABS(Solieusap!I1961)</f>
        <v>6.219788294</v>
      </c>
      <c r="J1961" s="16">
        <f>ABS(Solieusap!J1961)</f>
        <v>4.183930831</v>
      </c>
      <c r="K1961" s="16">
        <f t="shared" si="1"/>
        <v>17.96452753</v>
      </c>
      <c r="L1961" s="16">
        <f t="shared" si="2"/>
        <v>6.219788294</v>
      </c>
    </row>
    <row r="1962" ht="16.5" customHeight="1">
      <c r="A1962" s="15" t="str">
        <f>Solieusap!A1962</f>
        <v>Cũ</v>
      </c>
      <c r="B1962" s="15">
        <f>Solieusap!B1962</f>
        <v>3.5</v>
      </c>
      <c r="C1962" s="15" t="str">
        <f>Solieusap!C1962</f>
        <v>COMB2</v>
      </c>
      <c r="D1962" s="15" t="str">
        <f>Solieusap!D1962</f>
        <v>Combination</v>
      </c>
      <c r="E1962" s="16">
        <f>ABS(Solieusap!E1962)</f>
        <v>17.9813839</v>
      </c>
      <c r="F1962" s="16">
        <f>ABS(Solieusap!F1962)</f>
        <v>1.701519784</v>
      </c>
      <c r="G1962" s="16">
        <f>ABS(Solieusap!G1962)</f>
        <v>2.304964589</v>
      </c>
      <c r="H1962" s="16">
        <f>ABS(Solieusap!H1962)</f>
        <v>0.001033221909</v>
      </c>
      <c r="I1962" s="16">
        <f>ABS(Solieusap!I1962)</f>
        <v>6.226583087</v>
      </c>
      <c r="J1962" s="16">
        <f>ABS(Solieusap!J1962)</f>
        <v>4.188477883</v>
      </c>
      <c r="K1962" s="16">
        <f t="shared" si="1"/>
        <v>17.9813839</v>
      </c>
      <c r="L1962" s="16">
        <f t="shared" si="2"/>
        <v>6.226583087</v>
      </c>
    </row>
    <row r="1963" ht="16.5" customHeight="1">
      <c r="A1963" s="15" t="str">
        <f>Solieusap!A1963</f>
        <v>Cũ</v>
      </c>
      <c r="B1963" s="15">
        <f>Solieusap!B1963</f>
        <v>0</v>
      </c>
      <c r="C1963" s="15" t="str">
        <f>Solieusap!C1963</f>
        <v>COMB3</v>
      </c>
      <c r="D1963" s="15" t="str">
        <f>Solieusap!D1963</f>
        <v>Combination</v>
      </c>
      <c r="E1963" s="16">
        <f>ABS(Solieusap!E1963)</f>
        <v>17.99824026</v>
      </c>
      <c r="F1963" s="16">
        <f>ABS(Solieusap!F1963)</f>
        <v>1.703230303</v>
      </c>
      <c r="G1963" s="16">
        <f>ABS(Solieusap!G1963)</f>
        <v>2.307229004</v>
      </c>
      <c r="H1963" s="16">
        <f>ABS(Solieusap!H1963)</f>
        <v>0.001034277013</v>
      </c>
      <c r="I1963" s="16">
        <f>ABS(Solieusap!I1963)</f>
        <v>6.233377879</v>
      </c>
      <c r="J1963" s="16">
        <f>ABS(Solieusap!J1963)</f>
        <v>4.193024935</v>
      </c>
      <c r="K1963" s="16">
        <f t="shared" si="1"/>
        <v>17.99824026</v>
      </c>
      <c r="L1963" s="16">
        <f t="shared" si="2"/>
        <v>6.233377879</v>
      </c>
    </row>
    <row r="1964" ht="16.5" customHeight="1">
      <c r="A1964" s="15" t="str">
        <f>Solieusap!A1964</f>
        <v>Cũ</v>
      </c>
      <c r="B1964" s="15">
        <f>Solieusap!B1964</f>
        <v>1.75</v>
      </c>
      <c r="C1964" s="15" t="str">
        <f>Solieusap!C1964</f>
        <v>COMB3</v>
      </c>
      <c r="D1964" s="15" t="str">
        <f>Solieusap!D1964</f>
        <v>Combination</v>
      </c>
      <c r="E1964" s="16">
        <f>ABS(Solieusap!E1964)</f>
        <v>18.01509662</v>
      </c>
      <c r="F1964" s="16">
        <f>ABS(Solieusap!F1964)</f>
        <v>1.704940823</v>
      </c>
      <c r="G1964" s="16">
        <f>ABS(Solieusap!G1964)</f>
        <v>2.30949342</v>
      </c>
      <c r="H1964" s="16">
        <f>ABS(Solieusap!H1964)</f>
        <v>0.001035332117</v>
      </c>
      <c r="I1964" s="16">
        <f>ABS(Solieusap!I1964)</f>
        <v>6.240172671</v>
      </c>
      <c r="J1964" s="16">
        <f>ABS(Solieusap!J1964)</f>
        <v>4.197571987</v>
      </c>
      <c r="K1964" s="16">
        <f t="shared" si="1"/>
        <v>18.01509662</v>
      </c>
      <c r="L1964" s="16">
        <f t="shared" si="2"/>
        <v>6.240172671</v>
      </c>
    </row>
    <row r="1965" ht="16.5" customHeight="1">
      <c r="A1965" s="15" t="str">
        <f>Solieusap!A1965</f>
        <v>Cũ</v>
      </c>
      <c r="B1965" s="15">
        <f>Solieusap!B1965</f>
        <v>3.5</v>
      </c>
      <c r="C1965" s="15" t="str">
        <f>Solieusap!C1965</f>
        <v>COMB3</v>
      </c>
      <c r="D1965" s="15" t="str">
        <f>Solieusap!D1965</f>
        <v>Combination</v>
      </c>
      <c r="E1965" s="16">
        <f>ABS(Solieusap!E1965)</f>
        <v>18.03195299</v>
      </c>
      <c r="F1965" s="16">
        <f>ABS(Solieusap!F1965)</f>
        <v>1.706651342</v>
      </c>
      <c r="G1965" s="16">
        <f>ABS(Solieusap!G1965)</f>
        <v>2.311757835</v>
      </c>
      <c r="H1965" s="16">
        <f>ABS(Solieusap!H1965)</f>
        <v>0.001036387221</v>
      </c>
      <c r="I1965" s="16">
        <f>ABS(Solieusap!I1965)</f>
        <v>6.246967463</v>
      </c>
      <c r="J1965" s="16">
        <f>ABS(Solieusap!J1965)</f>
        <v>4.202119039</v>
      </c>
      <c r="K1965" s="16">
        <f t="shared" si="1"/>
        <v>18.03195299</v>
      </c>
      <c r="L1965" s="16">
        <f t="shared" si="2"/>
        <v>6.246967463</v>
      </c>
    </row>
    <row r="1966" ht="16.5" customHeight="1">
      <c r="A1966" s="15" t="str">
        <f>Solieusap!A1966</f>
        <v>Cũ</v>
      </c>
      <c r="B1966" s="15">
        <f>Solieusap!B1966</f>
        <v>0</v>
      </c>
      <c r="C1966" s="15" t="str">
        <f>Solieusap!C1966</f>
        <v>COMB4</v>
      </c>
      <c r="D1966" s="15" t="str">
        <f>Solieusap!D1966</f>
        <v>Combination</v>
      </c>
      <c r="E1966" s="16">
        <f>ABS(Solieusap!E1966)</f>
        <v>18.04880935</v>
      </c>
      <c r="F1966" s="16">
        <f>ABS(Solieusap!F1966)</f>
        <v>1.708361861</v>
      </c>
      <c r="G1966" s="16">
        <f>ABS(Solieusap!G1966)</f>
        <v>2.314022251</v>
      </c>
      <c r="H1966" s="16">
        <f>ABS(Solieusap!H1966)</f>
        <v>0.001037442325</v>
      </c>
      <c r="I1966" s="16">
        <f>ABS(Solieusap!I1966)</f>
        <v>6.253762255</v>
      </c>
      <c r="J1966" s="16">
        <f>ABS(Solieusap!J1966)</f>
        <v>4.206666091</v>
      </c>
      <c r="K1966" s="16">
        <f t="shared" si="1"/>
        <v>18.04880935</v>
      </c>
      <c r="L1966" s="16">
        <f t="shared" si="2"/>
        <v>6.253762255</v>
      </c>
    </row>
    <row r="1967" ht="16.5" customHeight="1">
      <c r="A1967" s="15" t="str">
        <f>Solieusap!A1967</f>
        <v>Cũ</v>
      </c>
      <c r="B1967" s="15">
        <f>Solieusap!B1967</f>
        <v>1.75</v>
      </c>
      <c r="C1967" s="15" t="str">
        <f>Solieusap!C1967</f>
        <v>COMB4</v>
      </c>
      <c r="D1967" s="15" t="str">
        <f>Solieusap!D1967</f>
        <v>Combination</v>
      </c>
      <c r="E1967" s="16">
        <f>ABS(Solieusap!E1967)</f>
        <v>18.06566571</v>
      </c>
      <c r="F1967" s="16">
        <f>ABS(Solieusap!F1967)</f>
        <v>1.710072381</v>
      </c>
      <c r="G1967" s="16">
        <f>ABS(Solieusap!G1967)</f>
        <v>2.316286667</v>
      </c>
      <c r="H1967" s="16">
        <f>ABS(Solieusap!H1967)</f>
        <v>0.001038497429</v>
      </c>
      <c r="I1967" s="16">
        <f>ABS(Solieusap!I1967)</f>
        <v>6.260557048</v>
      </c>
      <c r="J1967" s="16">
        <f>ABS(Solieusap!J1967)</f>
        <v>4.211213143</v>
      </c>
      <c r="K1967" s="16">
        <f t="shared" si="1"/>
        <v>18.06566571</v>
      </c>
      <c r="L1967" s="16">
        <f t="shared" si="2"/>
        <v>6.260557048</v>
      </c>
    </row>
    <row r="1968" ht="16.5" customHeight="1">
      <c r="A1968" s="15" t="str">
        <f>Solieusap!A1968</f>
        <v>Cũ</v>
      </c>
      <c r="B1968" s="15">
        <f>Solieusap!B1968</f>
        <v>3.5</v>
      </c>
      <c r="C1968" s="15" t="str">
        <f>Solieusap!C1968</f>
        <v>COMB4</v>
      </c>
      <c r="D1968" s="15" t="str">
        <f>Solieusap!D1968</f>
        <v>Combination</v>
      </c>
      <c r="E1968" s="16">
        <f>ABS(Solieusap!E1968)</f>
        <v>18.08252208</v>
      </c>
      <c r="F1968" s="16">
        <f>ABS(Solieusap!F1968)</f>
        <v>1.7117829</v>
      </c>
      <c r="G1968" s="16">
        <f>ABS(Solieusap!G1968)</f>
        <v>2.318551082</v>
      </c>
      <c r="H1968" s="16">
        <f>ABS(Solieusap!H1968)</f>
        <v>0.001039552532</v>
      </c>
      <c r="I1968" s="16">
        <f>ABS(Solieusap!I1968)</f>
        <v>6.26735184</v>
      </c>
      <c r="J1968" s="16">
        <f>ABS(Solieusap!J1968)</f>
        <v>4.215760195</v>
      </c>
      <c r="K1968" s="16">
        <f t="shared" si="1"/>
        <v>18.08252208</v>
      </c>
      <c r="L1968" s="16">
        <f t="shared" si="2"/>
        <v>6.26735184</v>
      </c>
    </row>
    <row r="1969" ht="16.5" customHeight="1">
      <c r="A1969" s="15" t="str">
        <f>Solieusap!A1969</f>
        <v>Cũ</v>
      </c>
      <c r="B1969" s="15">
        <f>Solieusap!B1969</f>
        <v>0</v>
      </c>
      <c r="C1969" s="15" t="str">
        <f>Solieusap!C1969</f>
        <v>COMB5</v>
      </c>
      <c r="D1969" s="15" t="str">
        <f>Solieusap!D1969</f>
        <v>Combination</v>
      </c>
      <c r="E1969" s="16">
        <f>ABS(Solieusap!E1969)</f>
        <v>18.09937844</v>
      </c>
      <c r="F1969" s="16">
        <f>ABS(Solieusap!F1969)</f>
        <v>1.71349342</v>
      </c>
      <c r="G1969" s="16">
        <f>ABS(Solieusap!G1969)</f>
        <v>2.320815498</v>
      </c>
      <c r="H1969" s="16">
        <f>ABS(Solieusap!H1969)</f>
        <v>0.001040607636</v>
      </c>
      <c r="I1969" s="16">
        <f>ABS(Solieusap!I1969)</f>
        <v>6.274146632</v>
      </c>
      <c r="J1969" s="16">
        <f>ABS(Solieusap!J1969)</f>
        <v>4.220307247</v>
      </c>
      <c r="K1969" s="16">
        <f t="shared" si="1"/>
        <v>18.09937844</v>
      </c>
      <c r="L1969" s="16">
        <f t="shared" si="2"/>
        <v>6.274146632</v>
      </c>
    </row>
    <row r="1970" ht="16.5" customHeight="1">
      <c r="A1970" s="15" t="str">
        <f>Solieusap!A1970</f>
        <v>Cũ</v>
      </c>
      <c r="B1970" s="15">
        <f>Solieusap!B1970</f>
        <v>1.75</v>
      </c>
      <c r="C1970" s="15" t="str">
        <f>Solieusap!C1970</f>
        <v>COMB5</v>
      </c>
      <c r="D1970" s="15" t="str">
        <f>Solieusap!D1970</f>
        <v>Combination</v>
      </c>
      <c r="E1970" s="16">
        <f>ABS(Solieusap!E1970)</f>
        <v>18.11623481</v>
      </c>
      <c r="F1970" s="16">
        <f>ABS(Solieusap!F1970)</f>
        <v>1.715203939</v>
      </c>
      <c r="G1970" s="16">
        <f>ABS(Solieusap!G1970)</f>
        <v>2.323079913</v>
      </c>
      <c r="H1970" s="16">
        <f>ABS(Solieusap!H1970)</f>
        <v>0.00104166274</v>
      </c>
      <c r="I1970" s="16">
        <f>ABS(Solieusap!I1970)</f>
        <v>6.280941424</v>
      </c>
      <c r="J1970" s="16">
        <f>ABS(Solieusap!J1970)</f>
        <v>4.224854299</v>
      </c>
      <c r="K1970" s="16">
        <f t="shared" si="1"/>
        <v>18.11623481</v>
      </c>
      <c r="L1970" s="16">
        <f t="shared" si="2"/>
        <v>6.280941424</v>
      </c>
    </row>
    <row r="1971" ht="16.5" customHeight="1">
      <c r="A1971" s="15" t="str">
        <f>Solieusap!A1971</f>
        <v>Cũ</v>
      </c>
      <c r="B1971" s="15">
        <f>Solieusap!B1971</f>
        <v>3.5</v>
      </c>
      <c r="C1971" s="15" t="str">
        <f>Solieusap!C1971</f>
        <v>COMB5</v>
      </c>
      <c r="D1971" s="15" t="str">
        <f>Solieusap!D1971</f>
        <v>Combination</v>
      </c>
      <c r="E1971" s="16">
        <f>ABS(Solieusap!E1971)</f>
        <v>18.13309117</v>
      </c>
      <c r="F1971" s="16">
        <f>ABS(Solieusap!F1971)</f>
        <v>1.716914459</v>
      </c>
      <c r="G1971" s="16">
        <f>ABS(Solieusap!G1971)</f>
        <v>2.325344329</v>
      </c>
      <c r="H1971" s="16">
        <f>ABS(Solieusap!H1971)</f>
        <v>0.001042717844</v>
      </c>
      <c r="I1971" s="16">
        <f>ABS(Solieusap!I1971)</f>
        <v>6.287736216</v>
      </c>
      <c r="J1971" s="16">
        <f>ABS(Solieusap!J1971)</f>
        <v>4.229401351</v>
      </c>
      <c r="K1971" s="16">
        <f t="shared" si="1"/>
        <v>18.13309117</v>
      </c>
      <c r="L1971" s="16">
        <f t="shared" si="2"/>
        <v>6.287736216</v>
      </c>
    </row>
    <row r="1972" ht="16.5" customHeight="1">
      <c r="A1972" s="15" t="str">
        <f>Solieusap!A1972</f>
        <v>Cũ</v>
      </c>
      <c r="B1972" s="15">
        <f>Solieusap!B1972</f>
        <v>0</v>
      </c>
      <c r="C1972" s="15" t="str">
        <f>Solieusap!C1972</f>
        <v>COMB6</v>
      </c>
      <c r="D1972" s="15" t="str">
        <f>Solieusap!D1972</f>
        <v>Combination</v>
      </c>
      <c r="E1972" s="16">
        <f>ABS(Solieusap!E1972)</f>
        <v>18.14994753</v>
      </c>
      <c r="F1972" s="16">
        <f>ABS(Solieusap!F1972)</f>
        <v>1.718624978</v>
      </c>
      <c r="G1972" s="16">
        <f>ABS(Solieusap!G1972)</f>
        <v>2.327608745</v>
      </c>
      <c r="H1972" s="16">
        <f>ABS(Solieusap!H1972)</f>
        <v>0.001043772948</v>
      </c>
      <c r="I1972" s="16">
        <f>ABS(Solieusap!I1972)</f>
        <v>6.294531009</v>
      </c>
      <c r="J1972" s="16">
        <f>ABS(Solieusap!J1972)</f>
        <v>4.233948403</v>
      </c>
      <c r="K1972" s="16">
        <f t="shared" si="1"/>
        <v>18.14994753</v>
      </c>
      <c r="L1972" s="16">
        <f t="shared" si="2"/>
        <v>6.294531009</v>
      </c>
    </row>
    <row r="1973" ht="16.5" customHeight="1">
      <c r="A1973" s="15" t="str">
        <f>Solieusap!A1973</f>
        <v>Cũ</v>
      </c>
      <c r="B1973" s="15">
        <f>Solieusap!B1973</f>
        <v>1.75</v>
      </c>
      <c r="C1973" s="15" t="str">
        <f>Solieusap!C1973</f>
        <v>COMB6</v>
      </c>
      <c r="D1973" s="15" t="str">
        <f>Solieusap!D1973</f>
        <v>Combination</v>
      </c>
      <c r="E1973" s="16">
        <f>ABS(Solieusap!E1973)</f>
        <v>18.1668039</v>
      </c>
      <c r="F1973" s="16">
        <f>ABS(Solieusap!F1973)</f>
        <v>1.720335498</v>
      </c>
      <c r="G1973" s="16">
        <f>ABS(Solieusap!G1973)</f>
        <v>2.32987316</v>
      </c>
      <c r="H1973" s="16">
        <f>ABS(Solieusap!H1973)</f>
        <v>0.001044828052</v>
      </c>
      <c r="I1973" s="16">
        <f>ABS(Solieusap!I1973)</f>
        <v>6.301325801</v>
      </c>
      <c r="J1973" s="16">
        <f>ABS(Solieusap!J1973)</f>
        <v>4.238495455</v>
      </c>
      <c r="K1973" s="16">
        <f t="shared" si="1"/>
        <v>18.1668039</v>
      </c>
      <c r="L1973" s="16">
        <f t="shared" si="2"/>
        <v>6.301325801</v>
      </c>
    </row>
    <row r="1974" ht="16.5" customHeight="1">
      <c r="A1974" s="15" t="str">
        <f>Solieusap!A1974</f>
        <v>Cũ</v>
      </c>
      <c r="B1974" s="15">
        <f>Solieusap!B1974</f>
        <v>3.5</v>
      </c>
      <c r="C1974" s="15" t="str">
        <f>Solieusap!C1974</f>
        <v>COMB6</v>
      </c>
      <c r="D1974" s="15" t="str">
        <f>Solieusap!D1974</f>
        <v>Combination</v>
      </c>
      <c r="E1974" s="16">
        <f>ABS(Solieusap!E1974)</f>
        <v>18.18366026</v>
      </c>
      <c r="F1974" s="16">
        <f>ABS(Solieusap!F1974)</f>
        <v>1.722046017</v>
      </c>
      <c r="G1974" s="16">
        <f>ABS(Solieusap!G1974)</f>
        <v>2.332137576</v>
      </c>
      <c r="H1974" s="16">
        <f>ABS(Solieusap!H1974)</f>
        <v>0.001045883156</v>
      </c>
      <c r="I1974" s="16">
        <f>ABS(Solieusap!I1974)</f>
        <v>6.308120593</v>
      </c>
      <c r="J1974" s="16">
        <f>ABS(Solieusap!J1974)</f>
        <v>4.243042506</v>
      </c>
      <c r="K1974" s="16">
        <f t="shared" si="1"/>
        <v>18.18366026</v>
      </c>
      <c r="L1974" s="16">
        <f t="shared" si="2"/>
        <v>6.308120593</v>
      </c>
    </row>
    <row r="1975" ht="16.5" customHeight="1">
      <c r="A1975" s="15" t="str">
        <f>Solieusap!A1975</f>
        <v>Cũ</v>
      </c>
      <c r="B1975" s="15">
        <f>Solieusap!B1975</f>
        <v>0</v>
      </c>
      <c r="C1975" s="15" t="str">
        <f>Solieusap!C1975</f>
        <v>COMB7</v>
      </c>
      <c r="D1975" s="15" t="str">
        <f>Solieusap!D1975</f>
        <v>Combination</v>
      </c>
      <c r="E1975" s="16">
        <f>ABS(Solieusap!E1975)</f>
        <v>18.20051662</v>
      </c>
      <c r="F1975" s="16">
        <f>ABS(Solieusap!F1975)</f>
        <v>1.723756537</v>
      </c>
      <c r="G1975" s="16">
        <f>ABS(Solieusap!G1975)</f>
        <v>2.334401991</v>
      </c>
      <c r="H1975" s="16">
        <f>ABS(Solieusap!H1975)</f>
        <v>0.00104693826</v>
      </c>
      <c r="I1975" s="16">
        <f>ABS(Solieusap!I1975)</f>
        <v>6.314915385</v>
      </c>
      <c r="J1975" s="16">
        <f>ABS(Solieusap!J1975)</f>
        <v>4.247589558</v>
      </c>
      <c r="K1975" s="16">
        <f t="shared" si="1"/>
        <v>18.20051662</v>
      </c>
      <c r="L1975" s="16">
        <f t="shared" si="2"/>
        <v>6.314915385</v>
      </c>
    </row>
    <row r="1976" ht="16.5" customHeight="1">
      <c r="A1976" s="15" t="str">
        <f>Solieusap!A1976</f>
        <v>Cũ</v>
      </c>
      <c r="B1976" s="15">
        <f>Solieusap!B1976</f>
        <v>1.75</v>
      </c>
      <c r="C1976" s="15" t="str">
        <f>Solieusap!C1976</f>
        <v>COMB7</v>
      </c>
      <c r="D1976" s="15" t="str">
        <f>Solieusap!D1976</f>
        <v>Combination</v>
      </c>
      <c r="E1976" s="16">
        <f>ABS(Solieusap!E1976)</f>
        <v>18.21737299</v>
      </c>
      <c r="F1976" s="16">
        <f>ABS(Solieusap!F1976)</f>
        <v>1.725467056</v>
      </c>
      <c r="G1976" s="16">
        <f>ABS(Solieusap!G1976)</f>
        <v>2.336666407</v>
      </c>
      <c r="H1976" s="16">
        <f>ABS(Solieusap!H1976)</f>
        <v>0.001047993364</v>
      </c>
      <c r="I1976" s="16">
        <f>ABS(Solieusap!I1976)</f>
        <v>6.321710177</v>
      </c>
      <c r="J1976" s="16">
        <f>ABS(Solieusap!J1976)</f>
        <v>4.25213661</v>
      </c>
      <c r="K1976" s="16">
        <f t="shared" si="1"/>
        <v>18.21737299</v>
      </c>
      <c r="L1976" s="16">
        <f t="shared" si="2"/>
        <v>6.321710177</v>
      </c>
    </row>
    <row r="1977" ht="16.5" customHeight="1">
      <c r="A1977" s="15" t="str">
        <f>Solieusap!A1977</f>
        <v>Cũ</v>
      </c>
      <c r="B1977" s="15">
        <f>Solieusap!B1977</f>
        <v>3.5</v>
      </c>
      <c r="C1977" s="15" t="str">
        <f>Solieusap!C1977</f>
        <v>COMB7</v>
      </c>
      <c r="D1977" s="15" t="str">
        <f>Solieusap!D1977</f>
        <v>Combination</v>
      </c>
      <c r="E1977" s="16">
        <f>ABS(Solieusap!E1977)</f>
        <v>18.23422935</v>
      </c>
      <c r="F1977" s="16">
        <f>ABS(Solieusap!F1977)</f>
        <v>1.727177576</v>
      </c>
      <c r="G1977" s="16">
        <f>ABS(Solieusap!G1977)</f>
        <v>2.338930823</v>
      </c>
      <c r="H1977" s="16">
        <f>ABS(Solieusap!H1977)</f>
        <v>0.001049048468</v>
      </c>
      <c r="I1977" s="16">
        <f>ABS(Solieusap!I1977)</f>
        <v>6.32850497</v>
      </c>
      <c r="J1977" s="16">
        <f>ABS(Solieusap!J1977)</f>
        <v>4.256683662</v>
      </c>
      <c r="K1977" s="16">
        <f t="shared" si="1"/>
        <v>18.23422935</v>
      </c>
      <c r="L1977" s="16">
        <f t="shared" si="2"/>
        <v>6.32850497</v>
      </c>
    </row>
    <row r="1978" ht="16.5" customHeight="1">
      <c r="A1978" s="15" t="str">
        <f>Solieusap!A1978</f>
        <v>Cũ</v>
      </c>
      <c r="B1978" s="15">
        <f>Solieusap!B1978</f>
        <v>0</v>
      </c>
      <c r="C1978" s="15" t="str">
        <f>Solieusap!C1978</f>
        <v>COMB1</v>
      </c>
      <c r="D1978" s="15" t="str">
        <f>Solieusap!D1978</f>
        <v>Combination</v>
      </c>
      <c r="E1978" s="16">
        <f>ABS(Solieusap!E1978)</f>
        <v>18.25108571</v>
      </c>
      <c r="F1978" s="16">
        <f>ABS(Solieusap!F1978)</f>
        <v>1.728888095</v>
      </c>
      <c r="G1978" s="16">
        <f>ABS(Solieusap!G1978)</f>
        <v>2.341195238</v>
      </c>
      <c r="H1978" s="16">
        <f>ABS(Solieusap!H1978)</f>
        <v>0.001050103571</v>
      </c>
      <c r="I1978" s="16">
        <f>ABS(Solieusap!I1978)</f>
        <v>6.335299762</v>
      </c>
      <c r="J1978" s="16">
        <f>ABS(Solieusap!J1978)</f>
        <v>4.261230714</v>
      </c>
      <c r="K1978" s="16">
        <f t="shared" si="1"/>
        <v>18.25108571</v>
      </c>
      <c r="L1978" s="16">
        <f t="shared" si="2"/>
        <v>6.335299762</v>
      </c>
    </row>
    <row r="1979" ht="16.5" customHeight="1">
      <c r="A1979" s="15" t="str">
        <f>Solieusap!A1979</f>
        <v>Cũ</v>
      </c>
      <c r="B1979" s="15">
        <f>Solieusap!B1979</f>
        <v>1.75</v>
      </c>
      <c r="C1979" s="15" t="str">
        <f>Solieusap!C1979</f>
        <v>COMB1</v>
      </c>
      <c r="D1979" s="15" t="str">
        <f>Solieusap!D1979</f>
        <v>Combination</v>
      </c>
      <c r="E1979" s="16">
        <f>ABS(Solieusap!E1979)</f>
        <v>18.26794208</v>
      </c>
      <c r="F1979" s="16">
        <f>ABS(Solieusap!F1979)</f>
        <v>1.730598615</v>
      </c>
      <c r="G1979" s="16">
        <f>ABS(Solieusap!G1979)</f>
        <v>2.343459654</v>
      </c>
      <c r="H1979" s="16">
        <f>ABS(Solieusap!H1979)</f>
        <v>0.001051158675</v>
      </c>
      <c r="I1979" s="16">
        <f>ABS(Solieusap!I1979)</f>
        <v>6.342094554</v>
      </c>
      <c r="J1979" s="16">
        <f>ABS(Solieusap!J1979)</f>
        <v>4.265777766</v>
      </c>
      <c r="K1979" s="16">
        <f t="shared" si="1"/>
        <v>18.26794208</v>
      </c>
      <c r="L1979" s="16">
        <f t="shared" si="2"/>
        <v>6.342094554</v>
      </c>
    </row>
    <row r="1980" ht="16.5" customHeight="1">
      <c r="A1980" s="15" t="str">
        <f>Solieusap!A1980</f>
        <v>Cũ</v>
      </c>
      <c r="B1980" s="15">
        <f>Solieusap!B1980</f>
        <v>3.5</v>
      </c>
      <c r="C1980" s="15" t="str">
        <f>Solieusap!C1980</f>
        <v>COMB1</v>
      </c>
      <c r="D1980" s="15" t="str">
        <f>Solieusap!D1980</f>
        <v>Combination</v>
      </c>
      <c r="E1980" s="16">
        <f>ABS(Solieusap!E1980)</f>
        <v>18.28479844</v>
      </c>
      <c r="F1980" s="16">
        <f>ABS(Solieusap!F1980)</f>
        <v>1.732309134</v>
      </c>
      <c r="G1980" s="16">
        <f>ABS(Solieusap!G1980)</f>
        <v>2.345724069</v>
      </c>
      <c r="H1980" s="16">
        <f>ABS(Solieusap!H1980)</f>
        <v>0.001052213779</v>
      </c>
      <c r="I1980" s="16">
        <f>ABS(Solieusap!I1980)</f>
        <v>6.348889346</v>
      </c>
      <c r="J1980" s="16">
        <f>ABS(Solieusap!J1980)</f>
        <v>4.270324818</v>
      </c>
      <c r="K1980" s="16">
        <f t="shared" si="1"/>
        <v>18.28479844</v>
      </c>
      <c r="L1980" s="16">
        <f t="shared" si="2"/>
        <v>6.348889346</v>
      </c>
    </row>
    <row r="1981" ht="16.5" customHeight="1">
      <c r="A1981" s="15" t="str">
        <f>Solieusap!A1981</f>
        <v>Cũ</v>
      </c>
      <c r="B1981" s="15">
        <f>Solieusap!B1981</f>
        <v>0</v>
      </c>
      <c r="C1981" s="15" t="str">
        <f>Solieusap!C1981</f>
        <v>COMB2</v>
      </c>
      <c r="D1981" s="15" t="str">
        <f>Solieusap!D1981</f>
        <v>Combination</v>
      </c>
      <c r="E1981" s="16">
        <f>ABS(Solieusap!E1981)</f>
        <v>18.30165481</v>
      </c>
      <c r="F1981" s="16">
        <f>ABS(Solieusap!F1981)</f>
        <v>1.734019654</v>
      </c>
      <c r="G1981" s="16">
        <f>ABS(Solieusap!G1981)</f>
        <v>2.347988485</v>
      </c>
      <c r="H1981" s="16">
        <f>ABS(Solieusap!H1981)</f>
        <v>0.001053268883</v>
      </c>
      <c r="I1981" s="16">
        <f>ABS(Solieusap!I1981)</f>
        <v>6.355684139</v>
      </c>
      <c r="J1981" s="16">
        <f>ABS(Solieusap!J1981)</f>
        <v>4.27487187</v>
      </c>
      <c r="K1981" s="16">
        <f t="shared" si="1"/>
        <v>18.30165481</v>
      </c>
      <c r="L1981" s="16">
        <f t="shared" si="2"/>
        <v>6.355684139</v>
      </c>
    </row>
    <row r="1982" ht="16.5" customHeight="1">
      <c r="A1982" s="15" t="str">
        <f>Solieusap!A1982</f>
        <v>Cũ</v>
      </c>
      <c r="B1982" s="15">
        <f>Solieusap!B1982</f>
        <v>1.75</v>
      </c>
      <c r="C1982" s="15" t="str">
        <f>Solieusap!C1982</f>
        <v>COMB2</v>
      </c>
      <c r="D1982" s="15" t="str">
        <f>Solieusap!D1982</f>
        <v>Combination</v>
      </c>
      <c r="E1982" s="16">
        <f>ABS(Solieusap!E1982)</f>
        <v>18.31851117</v>
      </c>
      <c r="F1982" s="16">
        <f>ABS(Solieusap!F1982)</f>
        <v>1.735730173</v>
      </c>
      <c r="G1982" s="16">
        <f>ABS(Solieusap!G1982)</f>
        <v>2.3502529</v>
      </c>
      <c r="H1982" s="16">
        <f>ABS(Solieusap!H1982)</f>
        <v>0.001054323987</v>
      </c>
      <c r="I1982" s="16">
        <f>ABS(Solieusap!I1982)</f>
        <v>6.362478931</v>
      </c>
      <c r="J1982" s="16">
        <f>ABS(Solieusap!J1982)</f>
        <v>4.279418922</v>
      </c>
      <c r="K1982" s="16">
        <f t="shared" si="1"/>
        <v>18.31851117</v>
      </c>
      <c r="L1982" s="16">
        <f t="shared" si="2"/>
        <v>6.362478931</v>
      </c>
    </row>
    <row r="1983" ht="16.5" customHeight="1">
      <c r="A1983" s="15" t="str">
        <f>Solieusap!A1983</f>
        <v>Cũ</v>
      </c>
      <c r="B1983" s="15">
        <f>Solieusap!B1983</f>
        <v>3.5</v>
      </c>
      <c r="C1983" s="15" t="str">
        <f>Solieusap!C1983</f>
        <v>COMB2</v>
      </c>
      <c r="D1983" s="15" t="str">
        <f>Solieusap!D1983</f>
        <v>Combination</v>
      </c>
      <c r="E1983" s="16">
        <f>ABS(Solieusap!E1983)</f>
        <v>18.33536753</v>
      </c>
      <c r="F1983" s="16">
        <f>ABS(Solieusap!F1983)</f>
        <v>1.737440693</v>
      </c>
      <c r="G1983" s="16">
        <f>ABS(Solieusap!G1983)</f>
        <v>2.352517316</v>
      </c>
      <c r="H1983" s="16">
        <f>ABS(Solieusap!H1983)</f>
        <v>0.001055379091</v>
      </c>
      <c r="I1983" s="16">
        <f>ABS(Solieusap!I1983)</f>
        <v>6.369273723</v>
      </c>
      <c r="J1983" s="16">
        <f>ABS(Solieusap!J1983)</f>
        <v>4.283965974</v>
      </c>
      <c r="K1983" s="16">
        <f t="shared" si="1"/>
        <v>18.33536753</v>
      </c>
      <c r="L1983" s="16">
        <f t="shared" si="2"/>
        <v>6.369273723</v>
      </c>
    </row>
    <row r="1984" ht="16.5" customHeight="1">
      <c r="A1984" s="15" t="str">
        <f>Solieusap!A1984</f>
        <v>Cũ</v>
      </c>
      <c r="B1984" s="15">
        <f>Solieusap!B1984</f>
        <v>0</v>
      </c>
      <c r="C1984" s="15" t="str">
        <f>Solieusap!C1984</f>
        <v>COMB3</v>
      </c>
      <c r="D1984" s="15" t="str">
        <f>Solieusap!D1984</f>
        <v>Combination</v>
      </c>
      <c r="E1984" s="16">
        <f>ABS(Solieusap!E1984)</f>
        <v>18.3522239</v>
      </c>
      <c r="F1984" s="16">
        <f>ABS(Solieusap!F1984)</f>
        <v>1.739151212</v>
      </c>
      <c r="G1984" s="16">
        <f>ABS(Solieusap!G1984)</f>
        <v>2.354781732</v>
      </c>
      <c r="H1984" s="16">
        <f>ABS(Solieusap!H1984)</f>
        <v>0.001056434195</v>
      </c>
      <c r="I1984" s="16">
        <f>ABS(Solieusap!I1984)</f>
        <v>6.376068515</v>
      </c>
      <c r="J1984" s="16">
        <f>ABS(Solieusap!J1984)</f>
        <v>4.288513026</v>
      </c>
      <c r="K1984" s="16">
        <f t="shared" si="1"/>
        <v>18.3522239</v>
      </c>
      <c r="L1984" s="16">
        <f t="shared" si="2"/>
        <v>6.376068515</v>
      </c>
    </row>
    <row r="1985" ht="16.5" customHeight="1">
      <c r="A1985" s="15" t="str">
        <f>Solieusap!A1985</f>
        <v>Cũ</v>
      </c>
      <c r="B1985" s="15">
        <f>Solieusap!B1985</f>
        <v>1.75</v>
      </c>
      <c r="C1985" s="15" t="str">
        <f>Solieusap!C1985</f>
        <v>COMB3</v>
      </c>
      <c r="D1985" s="15" t="str">
        <f>Solieusap!D1985</f>
        <v>Combination</v>
      </c>
      <c r="E1985" s="16">
        <f>ABS(Solieusap!E1985)</f>
        <v>18.36908026</v>
      </c>
      <c r="F1985" s="16">
        <f>ABS(Solieusap!F1985)</f>
        <v>1.740861732</v>
      </c>
      <c r="G1985" s="16">
        <f>ABS(Solieusap!G1985)</f>
        <v>2.357046147</v>
      </c>
      <c r="H1985" s="16">
        <f>ABS(Solieusap!H1985)</f>
        <v>0.001057489299</v>
      </c>
      <c r="I1985" s="16">
        <f>ABS(Solieusap!I1985)</f>
        <v>6.382863307</v>
      </c>
      <c r="J1985" s="16">
        <f>ABS(Solieusap!J1985)</f>
        <v>4.293060078</v>
      </c>
      <c r="K1985" s="16">
        <f t="shared" si="1"/>
        <v>18.36908026</v>
      </c>
      <c r="L1985" s="16">
        <f t="shared" si="2"/>
        <v>6.382863307</v>
      </c>
    </row>
    <row r="1986" ht="16.5" customHeight="1">
      <c r="A1986" s="15" t="str">
        <f>Solieusap!A1986</f>
        <v>Cũ</v>
      </c>
      <c r="B1986" s="15">
        <f>Solieusap!B1986</f>
        <v>3.5</v>
      </c>
      <c r="C1986" s="15" t="str">
        <f>Solieusap!C1986</f>
        <v>COMB3</v>
      </c>
      <c r="D1986" s="15" t="str">
        <f>Solieusap!D1986</f>
        <v>Combination</v>
      </c>
      <c r="E1986" s="16">
        <f>ABS(Solieusap!E1986)</f>
        <v>18.38593662</v>
      </c>
      <c r="F1986" s="16">
        <f>ABS(Solieusap!F1986)</f>
        <v>1.742572251</v>
      </c>
      <c r="G1986" s="16">
        <f>ABS(Solieusap!G1986)</f>
        <v>2.359310563</v>
      </c>
      <c r="H1986" s="16">
        <f>ABS(Solieusap!H1986)</f>
        <v>0.001058544403</v>
      </c>
      <c r="I1986" s="16">
        <f>ABS(Solieusap!I1986)</f>
        <v>6.3896581</v>
      </c>
      <c r="J1986" s="16">
        <f>ABS(Solieusap!J1986)</f>
        <v>4.29760713</v>
      </c>
      <c r="K1986" s="16">
        <f t="shared" si="1"/>
        <v>18.38593662</v>
      </c>
      <c r="L1986" s="16">
        <f t="shared" si="2"/>
        <v>6.3896581</v>
      </c>
    </row>
    <row r="1987" ht="16.5" customHeight="1">
      <c r="A1987" s="15" t="str">
        <f>Solieusap!A1987</f>
        <v>Cũ</v>
      </c>
      <c r="B1987" s="15">
        <f>Solieusap!B1987</f>
        <v>0</v>
      </c>
      <c r="C1987" s="15" t="str">
        <f>Solieusap!C1987</f>
        <v>COMB4</v>
      </c>
      <c r="D1987" s="15" t="str">
        <f>Solieusap!D1987</f>
        <v>Combination</v>
      </c>
      <c r="E1987" s="16">
        <f>ABS(Solieusap!E1987)</f>
        <v>18.40279299</v>
      </c>
      <c r="F1987" s="16">
        <f>ABS(Solieusap!F1987)</f>
        <v>1.744282771</v>
      </c>
      <c r="G1987" s="16">
        <f>ABS(Solieusap!G1987)</f>
        <v>2.361574978</v>
      </c>
      <c r="H1987" s="16">
        <f>ABS(Solieusap!H1987)</f>
        <v>0.001059599506</v>
      </c>
      <c r="I1987" s="16">
        <f>ABS(Solieusap!I1987)</f>
        <v>6.396452892</v>
      </c>
      <c r="J1987" s="16">
        <f>ABS(Solieusap!J1987)</f>
        <v>4.302154182</v>
      </c>
      <c r="K1987" s="16">
        <f t="shared" si="1"/>
        <v>18.40279299</v>
      </c>
      <c r="L1987" s="16">
        <f t="shared" si="2"/>
        <v>6.396452892</v>
      </c>
    </row>
    <row r="1988" ht="16.5" customHeight="1">
      <c r="A1988" s="15" t="str">
        <f>Solieusap!A1988</f>
        <v>Cũ</v>
      </c>
      <c r="B1988" s="15">
        <f>Solieusap!B1988</f>
        <v>1.75</v>
      </c>
      <c r="C1988" s="15" t="str">
        <f>Solieusap!C1988</f>
        <v>COMB4</v>
      </c>
      <c r="D1988" s="15" t="str">
        <f>Solieusap!D1988</f>
        <v>Combination</v>
      </c>
      <c r="E1988" s="16">
        <f>ABS(Solieusap!E1988)</f>
        <v>18.41964935</v>
      </c>
      <c r="F1988" s="16">
        <f>ABS(Solieusap!F1988)</f>
        <v>1.74599329</v>
      </c>
      <c r="G1988" s="16">
        <f>ABS(Solieusap!G1988)</f>
        <v>2.363839394</v>
      </c>
      <c r="H1988" s="16">
        <f>ABS(Solieusap!H1988)</f>
        <v>0.00106065461</v>
      </c>
      <c r="I1988" s="16">
        <f>ABS(Solieusap!I1988)</f>
        <v>6.403247684</v>
      </c>
      <c r="J1988" s="16">
        <f>ABS(Solieusap!J1988)</f>
        <v>4.306701234</v>
      </c>
      <c r="K1988" s="16">
        <f t="shared" si="1"/>
        <v>18.41964935</v>
      </c>
      <c r="L1988" s="16">
        <f t="shared" si="2"/>
        <v>6.403247684</v>
      </c>
    </row>
    <row r="1989" ht="16.5" customHeight="1">
      <c r="A1989" s="15" t="str">
        <f>Solieusap!A1989</f>
        <v>Cũ</v>
      </c>
      <c r="B1989" s="15">
        <f>Solieusap!B1989</f>
        <v>3.5</v>
      </c>
      <c r="C1989" s="15" t="str">
        <f>Solieusap!C1989</f>
        <v>COMB4</v>
      </c>
      <c r="D1989" s="15" t="str">
        <f>Solieusap!D1989</f>
        <v>Combination</v>
      </c>
      <c r="E1989" s="16">
        <f>ABS(Solieusap!E1989)</f>
        <v>18.43650571</v>
      </c>
      <c r="F1989" s="16">
        <f>ABS(Solieusap!F1989)</f>
        <v>1.74770381</v>
      </c>
      <c r="G1989" s="16">
        <f>ABS(Solieusap!G1989)</f>
        <v>2.36610381</v>
      </c>
      <c r="H1989" s="16">
        <f>ABS(Solieusap!H1989)</f>
        <v>0.001061709714</v>
      </c>
      <c r="I1989" s="16">
        <f>ABS(Solieusap!I1989)</f>
        <v>6.410042476</v>
      </c>
      <c r="J1989" s="16">
        <f>ABS(Solieusap!J1989)</f>
        <v>4.311248286</v>
      </c>
      <c r="K1989" s="16">
        <f t="shared" si="1"/>
        <v>18.43650571</v>
      </c>
      <c r="L1989" s="16">
        <f t="shared" si="2"/>
        <v>6.410042476</v>
      </c>
    </row>
    <row r="1990" ht="16.5" customHeight="1">
      <c r="A1990" s="15" t="str">
        <f>Solieusap!A1990</f>
        <v>Cũ</v>
      </c>
      <c r="B1990" s="15">
        <f>Solieusap!B1990</f>
        <v>0</v>
      </c>
      <c r="C1990" s="15" t="str">
        <f>Solieusap!C1990</f>
        <v>COMB5</v>
      </c>
      <c r="D1990" s="15" t="str">
        <f>Solieusap!D1990</f>
        <v>Combination</v>
      </c>
      <c r="E1990" s="16">
        <f>ABS(Solieusap!E1990)</f>
        <v>18.45336208</v>
      </c>
      <c r="F1990" s="16">
        <f>ABS(Solieusap!F1990)</f>
        <v>1.749414329</v>
      </c>
      <c r="G1990" s="16">
        <f>ABS(Solieusap!G1990)</f>
        <v>2.368368225</v>
      </c>
      <c r="H1990" s="16">
        <f>ABS(Solieusap!H1990)</f>
        <v>0.001062764818</v>
      </c>
      <c r="I1990" s="16">
        <f>ABS(Solieusap!I1990)</f>
        <v>6.416837268</v>
      </c>
      <c r="J1990" s="16">
        <f>ABS(Solieusap!J1990)</f>
        <v>4.315795338</v>
      </c>
      <c r="K1990" s="16">
        <f t="shared" si="1"/>
        <v>18.45336208</v>
      </c>
      <c r="L1990" s="16">
        <f t="shared" si="2"/>
        <v>6.416837268</v>
      </c>
    </row>
    <row r="1991" ht="16.5" customHeight="1">
      <c r="A1991" s="15" t="str">
        <f>Solieusap!A1991</f>
        <v>Cũ</v>
      </c>
      <c r="B1991" s="15">
        <f>Solieusap!B1991</f>
        <v>1.75</v>
      </c>
      <c r="C1991" s="15" t="str">
        <f>Solieusap!C1991</f>
        <v>COMB5</v>
      </c>
      <c r="D1991" s="15" t="str">
        <f>Solieusap!D1991</f>
        <v>Combination</v>
      </c>
      <c r="E1991" s="16">
        <f>ABS(Solieusap!E1991)</f>
        <v>18.47021844</v>
      </c>
      <c r="F1991" s="16">
        <f>ABS(Solieusap!F1991)</f>
        <v>1.751124848</v>
      </c>
      <c r="G1991" s="16">
        <f>ABS(Solieusap!G1991)</f>
        <v>2.370632641</v>
      </c>
      <c r="H1991" s="16">
        <f>ABS(Solieusap!H1991)</f>
        <v>0.001063819922</v>
      </c>
      <c r="I1991" s="16">
        <f>ABS(Solieusap!I1991)</f>
        <v>6.423632061</v>
      </c>
      <c r="J1991" s="16">
        <f>ABS(Solieusap!J1991)</f>
        <v>4.32034239</v>
      </c>
      <c r="K1991" s="16">
        <f t="shared" si="1"/>
        <v>18.47021844</v>
      </c>
      <c r="L1991" s="16">
        <f t="shared" si="2"/>
        <v>6.423632061</v>
      </c>
    </row>
    <row r="1992" ht="16.5" customHeight="1">
      <c r="A1992" s="15" t="str">
        <f>Solieusap!A1992</f>
        <v>Cũ</v>
      </c>
      <c r="B1992" s="15">
        <f>Solieusap!B1992</f>
        <v>3.5</v>
      </c>
      <c r="C1992" s="15" t="str">
        <f>Solieusap!C1992</f>
        <v>COMB5</v>
      </c>
      <c r="D1992" s="15" t="str">
        <f>Solieusap!D1992</f>
        <v>Combination</v>
      </c>
      <c r="E1992" s="16">
        <f>ABS(Solieusap!E1992)</f>
        <v>18.48707481</v>
      </c>
      <c r="F1992" s="16">
        <f>ABS(Solieusap!F1992)</f>
        <v>1.752835368</v>
      </c>
      <c r="G1992" s="16">
        <f>ABS(Solieusap!G1992)</f>
        <v>2.372897056</v>
      </c>
      <c r="H1992" s="16">
        <f>ABS(Solieusap!H1992)</f>
        <v>0.001064875026</v>
      </c>
      <c r="I1992" s="16">
        <f>ABS(Solieusap!I1992)</f>
        <v>6.430426853</v>
      </c>
      <c r="J1992" s="16">
        <f>ABS(Solieusap!J1992)</f>
        <v>4.324889442</v>
      </c>
      <c r="K1992" s="16">
        <f t="shared" si="1"/>
        <v>18.48707481</v>
      </c>
      <c r="L1992" s="16">
        <f t="shared" si="2"/>
        <v>6.430426853</v>
      </c>
    </row>
    <row r="1993" ht="16.5" customHeight="1">
      <c r="A1993" s="15" t="str">
        <f>Solieusap!A1993</f>
        <v>Cũ</v>
      </c>
      <c r="B1993" s="15">
        <f>Solieusap!B1993</f>
        <v>0</v>
      </c>
      <c r="C1993" s="15" t="str">
        <f>Solieusap!C1993</f>
        <v>COMB6</v>
      </c>
      <c r="D1993" s="15" t="str">
        <f>Solieusap!D1993</f>
        <v>Combination</v>
      </c>
      <c r="E1993" s="16">
        <f>ABS(Solieusap!E1993)</f>
        <v>18.50393117</v>
      </c>
      <c r="F1993" s="16">
        <f>ABS(Solieusap!F1993)</f>
        <v>1.754545887</v>
      </c>
      <c r="G1993" s="16">
        <f>ABS(Solieusap!G1993)</f>
        <v>2.375161472</v>
      </c>
      <c r="H1993" s="16">
        <f>ABS(Solieusap!H1993)</f>
        <v>0.00106593013</v>
      </c>
      <c r="I1993" s="16">
        <f>ABS(Solieusap!I1993)</f>
        <v>6.437221645</v>
      </c>
      <c r="J1993" s="16">
        <f>ABS(Solieusap!J1993)</f>
        <v>4.329436494</v>
      </c>
      <c r="K1993" s="16">
        <f t="shared" si="1"/>
        <v>18.50393117</v>
      </c>
      <c r="L1993" s="16">
        <f t="shared" si="2"/>
        <v>6.437221645</v>
      </c>
    </row>
    <row r="1994" ht="16.5" customHeight="1">
      <c r="A1994" s="15" t="str">
        <f>Solieusap!A1994</f>
        <v>Cũ</v>
      </c>
      <c r="B1994" s="15">
        <f>Solieusap!B1994</f>
        <v>1.75</v>
      </c>
      <c r="C1994" s="15" t="str">
        <f>Solieusap!C1994</f>
        <v>COMB6</v>
      </c>
      <c r="D1994" s="15" t="str">
        <f>Solieusap!D1994</f>
        <v>Combination</v>
      </c>
      <c r="E1994" s="16">
        <f>ABS(Solieusap!E1994)</f>
        <v>18.52078753</v>
      </c>
      <c r="F1994" s="16">
        <f>ABS(Solieusap!F1994)</f>
        <v>1.756256407</v>
      </c>
      <c r="G1994" s="16">
        <f>ABS(Solieusap!G1994)</f>
        <v>2.377425887</v>
      </c>
      <c r="H1994" s="16">
        <f>ABS(Solieusap!H1994)</f>
        <v>0.001066985234</v>
      </c>
      <c r="I1994" s="16">
        <f>ABS(Solieusap!I1994)</f>
        <v>6.444016437</v>
      </c>
      <c r="J1994" s="16">
        <f>ABS(Solieusap!J1994)</f>
        <v>4.333983545</v>
      </c>
      <c r="K1994" s="16">
        <f t="shared" si="1"/>
        <v>18.52078753</v>
      </c>
      <c r="L1994" s="16">
        <f t="shared" si="2"/>
        <v>6.444016437</v>
      </c>
    </row>
    <row r="1995" ht="16.5" customHeight="1">
      <c r="A1995" s="15" t="str">
        <f>Solieusap!A1995</f>
        <v>Cũ</v>
      </c>
      <c r="B1995" s="15">
        <f>Solieusap!B1995</f>
        <v>3.5</v>
      </c>
      <c r="C1995" s="15" t="str">
        <f>Solieusap!C1995</f>
        <v>COMB6</v>
      </c>
      <c r="D1995" s="15" t="str">
        <f>Solieusap!D1995</f>
        <v>Combination</v>
      </c>
      <c r="E1995" s="16">
        <f>ABS(Solieusap!E1995)</f>
        <v>18.5376439</v>
      </c>
      <c r="F1995" s="16">
        <f>ABS(Solieusap!F1995)</f>
        <v>1.757966926</v>
      </c>
      <c r="G1995" s="16">
        <f>ABS(Solieusap!G1995)</f>
        <v>2.379690303</v>
      </c>
      <c r="H1995" s="16">
        <f>ABS(Solieusap!H1995)</f>
        <v>0.001068040338</v>
      </c>
      <c r="I1995" s="16">
        <f>ABS(Solieusap!I1995)</f>
        <v>6.450811229</v>
      </c>
      <c r="J1995" s="16">
        <f>ABS(Solieusap!J1995)</f>
        <v>4.338530597</v>
      </c>
      <c r="K1995" s="16">
        <f t="shared" si="1"/>
        <v>18.5376439</v>
      </c>
      <c r="L1995" s="16">
        <f t="shared" si="2"/>
        <v>6.450811229</v>
      </c>
    </row>
    <row r="1996" ht="16.5" customHeight="1">
      <c r="A1996" s="15" t="str">
        <f>Solieusap!A1996</f>
        <v>Cũ</v>
      </c>
      <c r="B1996" s="15">
        <f>Solieusap!B1996</f>
        <v>0</v>
      </c>
      <c r="C1996" s="15" t="str">
        <f>Solieusap!C1996</f>
        <v>COMB7</v>
      </c>
      <c r="D1996" s="15" t="str">
        <f>Solieusap!D1996</f>
        <v>Combination</v>
      </c>
      <c r="E1996" s="16">
        <f>ABS(Solieusap!E1996)</f>
        <v>18.55450026</v>
      </c>
      <c r="F1996" s="16">
        <f>ABS(Solieusap!F1996)</f>
        <v>1.759677446</v>
      </c>
      <c r="G1996" s="16">
        <f>ABS(Solieusap!G1996)</f>
        <v>2.381954719</v>
      </c>
      <c r="H1996" s="16">
        <f>ABS(Solieusap!H1996)</f>
        <v>0.001069095442</v>
      </c>
      <c r="I1996" s="16">
        <f>ABS(Solieusap!I1996)</f>
        <v>6.457606022</v>
      </c>
      <c r="J1996" s="16">
        <f>ABS(Solieusap!J1996)</f>
        <v>4.343077649</v>
      </c>
      <c r="K1996" s="16">
        <f t="shared" si="1"/>
        <v>18.55450026</v>
      </c>
      <c r="L1996" s="16">
        <f t="shared" si="2"/>
        <v>6.457606022</v>
      </c>
    </row>
    <row r="1997" ht="16.5" customHeight="1">
      <c r="A1997" s="15" t="str">
        <f>Solieusap!A1997</f>
        <v>Cũ</v>
      </c>
      <c r="B1997" s="15">
        <f>Solieusap!B1997</f>
        <v>1.75</v>
      </c>
      <c r="C1997" s="15" t="str">
        <f>Solieusap!C1997</f>
        <v>COMB7</v>
      </c>
      <c r="D1997" s="15" t="str">
        <f>Solieusap!D1997</f>
        <v>Combination</v>
      </c>
      <c r="E1997" s="16">
        <f>ABS(Solieusap!E1997)</f>
        <v>18.57135662</v>
      </c>
      <c r="F1997" s="16">
        <f>ABS(Solieusap!F1997)</f>
        <v>1.761387965</v>
      </c>
      <c r="G1997" s="16">
        <f>ABS(Solieusap!G1997)</f>
        <v>2.384219134</v>
      </c>
      <c r="H1997" s="16">
        <f>ABS(Solieusap!H1997)</f>
        <v>0.001070150545</v>
      </c>
      <c r="I1997" s="16">
        <f>ABS(Solieusap!I1997)</f>
        <v>6.464400814</v>
      </c>
      <c r="J1997" s="16">
        <f>ABS(Solieusap!J1997)</f>
        <v>4.347624701</v>
      </c>
      <c r="K1997" s="16">
        <f t="shared" si="1"/>
        <v>18.57135662</v>
      </c>
      <c r="L1997" s="16">
        <f t="shared" si="2"/>
        <v>6.464400814</v>
      </c>
    </row>
    <row r="1998" ht="16.5" customHeight="1">
      <c r="A1998" s="15" t="str">
        <f>Solieusap!A1998</f>
        <v>Cũ</v>
      </c>
      <c r="B1998" s="15">
        <f>Solieusap!B1998</f>
        <v>3.5</v>
      </c>
      <c r="C1998" s="15" t="str">
        <f>Solieusap!C1998</f>
        <v>COMB7</v>
      </c>
      <c r="D1998" s="15" t="str">
        <f>Solieusap!D1998</f>
        <v>Combination</v>
      </c>
      <c r="E1998" s="16">
        <f>ABS(Solieusap!E1998)</f>
        <v>18.58821299</v>
      </c>
      <c r="F1998" s="16">
        <f>ABS(Solieusap!F1998)</f>
        <v>1.763098485</v>
      </c>
      <c r="G1998" s="16">
        <f>ABS(Solieusap!G1998)</f>
        <v>2.38648355</v>
      </c>
      <c r="H1998" s="16">
        <f>ABS(Solieusap!H1998)</f>
        <v>0.001071205649</v>
      </c>
      <c r="I1998" s="16">
        <f>ABS(Solieusap!I1998)</f>
        <v>6.471195606</v>
      </c>
      <c r="J1998" s="16">
        <f>ABS(Solieusap!J1998)</f>
        <v>4.352171753</v>
      </c>
      <c r="K1998" s="16">
        <f t="shared" si="1"/>
        <v>18.58821299</v>
      </c>
      <c r="L1998" s="16">
        <f t="shared" si="2"/>
        <v>6.471195606</v>
      </c>
    </row>
    <row r="1999" ht="16.5" customHeight="1">
      <c r="A1999" s="15" t="str">
        <f>Solieusap!A1999</f>
        <v>Cũ</v>
      </c>
      <c r="B1999" s="15">
        <f>Solieusap!B1999</f>
        <v>0</v>
      </c>
      <c r="C1999" s="15" t="str">
        <f>Solieusap!C1999</f>
        <v>COMB1</v>
      </c>
      <c r="D1999" s="15" t="str">
        <f>Solieusap!D1999</f>
        <v>Combination</v>
      </c>
      <c r="E1999" s="16">
        <f>ABS(Solieusap!E1999)</f>
        <v>18.60506935</v>
      </c>
      <c r="F1999" s="16">
        <f>ABS(Solieusap!F1999)</f>
        <v>1.764809004</v>
      </c>
      <c r="G1999" s="16">
        <f>ABS(Solieusap!G1999)</f>
        <v>2.388747965</v>
      </c>
      <c r="H1999" s="16">
        <f>ABS(Solieusap!H1999)</f>
        <v>0.001072260753</v>
      </c>
      <c r="I1999" s="16">
        <f>ABS(Solieusap!I1999)</f>
        <v>6.477990398</v>
      </c>
      <c r="J1999" s="16">
        <f>ABS(Solieusap!J1999)</f>
        <v>4.356718805</v>
      </c>
      <c r="K1999" s="16">
        <f t="shared" si="1"/>
        <v>18.60506935</v>
      </c>
      <c r="L1999" s="16">
        <f t="shared" si="2"/>
        <v>6.477990398</v>
      </c>
    </row>
    <row r="2000" ht="16.5" customHeight="1">
      <c r="A2000" s="15" t="str">
        <f>Solieusap!A2000</f>
        <v>Cũ</v>
      </c>
      <c r="B2000" s="15">
        <f>Solieusap!B2000</f>
        <v>1.75</v>
      </c>
      <c r="C2000" s="15" t="str">
        <f>Solieusap!C2000</f>
        <v>COMB1</v>
      </c>
      <c r="D2000" s="15" t="str">
        <f>Solieusap!D2000</f>
        <v>Combination</v>
      </c>
      <c r="E2000" s="16">
        <f>ABS(Solieusap!E2000)</f>
        <v>18.62192571</v>
      </c>
      <c r="F2000" s="16">
        <f>ABS(Solieusap!F2000)</f>
        <v>1.766519524</v>
      </c>
      <c r="G2000" s="16">
        <f>ABS(Solieusap!G2000)</f>
        <v>2.391012381</v>
      </c>
      <c r="H2000" s="16">
        <f>ABS(Solieusap!H2000)</f>
        <v>0.001073315857</v>
      </c>
      <c r="I2000" s="16">
        <f>ABS(Solieusap!I2000)</f>
        <v>6.48478519</v>
      </c>
      <c r="J2000" s="16">
        <f>ABS(Solieusap!J2000)</f>
        <v>4.361265857</v>
      </c>
      <c r="K2000" s="16">
        <f t="shared" si="1"/>
        <v>18.62192571</v>
      </c>
      <c r="L2000" s="16">
        <f t="shared" si="2"/>
        <v>6.48478519</v>
      </c>
    </row>
    <row r="2001" ht="16.5" customHeight="1">
      <c r="A2001" s="15" t="str">
        <f>Solieusap!A2001</f>
        <v>Cũ</v>
      </c>
      <c r="B2001" s="15">
        <f>Solieusap!B2001</f>
        <v>3.5</v>
      </c>
      <c r="C2001" s="15" t="str">
        <f>Solieusap!C2001</f>
        <v>COMB1</v>
      </c>
      <c r="D2001" s="15" t="str">
        <f>Solieusap!D2001</f>
        <v>Combination</v>
      </c>
      <c r="E2001" s="16">
        <f>ABS(Solieusap!E2001)</f>
        <v>18.63878208</v>
      </c>
      <c r="F2001" s="16">
        <f>ABS(Solieusap!F2001)</f>
        <v>1.768230043</v>
      </c>
      <c r="G2001" s="16">
        <f>ABS(Solieusap!G2001)</f>
        <v>2.393276797</v>
      </c>
      <c r="H2001" s="16">
        <f>ABS(Solieusap!H2001)</f>
        <v>0.001074370961</v>
      </c>
      <c r="I2001" s="16">
        <f>ABS(Solieusap!I2001)</f>
        <v>6.491579983</v>
      </c>
      <c r="J2001" s="16">
        <f>ABS(Solieusap!J2001)</f>
        <v>4.365812909</v>
      </c>
      <c r="K2001" s="16">
        <f t="shared" si="1"/>
        <v>18.63878208</v>
      </c>
      <c r="L2001" s="16">
        <f t="shared" si="2"/>
        <v>6.491579983</v>
      </c>
    </row>
    <row r="2002" ht="16.5" customHeight="1">
      <c r="A2002" s="15" t="str">
        <f>Solieusap!A2002</f>
        <v>Cũ</v>
      </c>
      <c r="B2002" s="15">
        <f>Solieusap!B2002</f>
        <v>0</v>
      </c>
      <c r="C2002" s="15" t="str">
        <f>Solieusap!C2002</f>
        <v>COMB2</v>
      </c>
      <c r="D2002" s="15" t="str">
        <f>Solieusap!D2002</f>
        <v>Combination</v>
      </c>
      <c r="E2002" s="16">
        <f>ABS(Solieusap!E2002)</f>
        <v>18.65563844</v>
      </c>
      <c r="F2002" s="16">
        <f>ABS(Solieusap!F2002)</f>
        <v>1.769940563</v>
      </c>
      <c r="G2002" s="16">
        <f>ABS(Solieusap!G2002)</f>
        <v>2.395541212</v>
      </c>
      <c r="H2002" s="16">
        <f>ABS(Solieusap!H2002)</f>
        <v>0.001075426065</v>
      </c>
      <c r="I2002" s="16">
        <f>ABS(Solieusap!I2002)</f>
        <v>6.498374775</v>
      </c>
      <c r="J2002" s="16">
        <f>ABS(Solieusap!J2002)</f>
        <v>4.370359961</v>
      </c>
      <c r="K2002" s="16">
        <f t="shared" si="1"/>
        <v>18.65563844</v>
      </c>
      <c r="L2002" s="16">
        <f t="shared" si="2"/>
        <v>6.498374775</v>
      </c>
    </row>
    <row r="2003" ht="16.5" customHeight="1">
      <c r="A2003" s="15" t="str">
        <f>Solieusap!A2003</f>
        <v>Cũ</v>
      </c>
      <c r="B2003" s="15">
        <f>Solieusap!B2003</f>
        <v>1.75</v>
      </c>
      <c r="C2003" s="15" t="str">
        <f>Solieusap!C2003</f>
        <v>COMB2</v>
      </c>
      <c r="D2003" s="15" t="str">
        <f>Solieusap!D2003</f>
        <v>Combination</v>
      </c>
      <c r="E2003" s="16">
        <f>ABS(Solieusap!E2003)</f>
        <v>18.67249481</v>
      </c>
      <c r="F2003" s="16">
        <f>ABS(Solieusap!F2003)</f>
        <v>1.771651082</v>
      </c>
      <c r="G2003" s="16">
        <f>ABS(Solieusap!G2003)</f>
        <v>2.397805628</v>
      </c>
      <c r="H2003" s="16">
        <f>ABS(Solieusap!H2003)</f>
        <v>0.001076481169</v>
      </c>
      <c r="I2003" s="16">
        <f>ABS(Solieusap!I2003)</f>
        <v>6.505169567</v>
      </c>
      <c r="J2003" s="16">
        <f>ABS(Solieusap!J2003)</f>
        <v>4.374907013</v>
      </c>
      <c r="K2003" s="16">
        <f t="shared" si="1"/>
        <v>18.67249481</v>
      </c>
      <c r="L2003" s="16">
        <f t="shared" si="2"/>
        <v>6.505169567</v>
      </c>
    </row>
    <row r="2004" ht="16.5" customHeight="1">
      <c r="A2004" s="15" t="str">
        <f>Solieusap!A2004</f>
        <v>Cũ</v>
      </c>
      <c r="B2004" s="15">
        <f>Solieusap!B2004</f>
        <v>3.5</v>
      </c>
      <c r="C2004" s="15" t="str">
        <f>Solieusap!C2004</f>
        <v>COMB2</v>
      </c>
      <c r="D2004" s="15" t="str">
        <f>Solieusap!D2004</f>
        <v>Combination</v>
      </c>
      <c r="E2004" s="16">
        <f>ABS(Solieusap!E2004)</f>
        <v>18.68935117</v>
      </c>
      <c r="F2004" s="16">
        <f>ABS(Solieusap!F2004)</f>
        <v>1.773361602</v>
      </c>
      <c r="G2004" s="16">
        <f>ABS(Solieusap!G2004)</f>
        <v>2.400070043</v>
      </c>
      <c r="H2004" s="16">
        <f>ABS(Solieusap!H2004)</f>
        <v>0.001077536273</v>
      </c>
      <c r="I2004" s="16">
        <f>ABS(Solieusap!I2004)</f>
        <v>6.511964359</v>
      </c>
      <c r="J2004" s="16">
        <f>ABS(Solieusap!J2004)</f>
        <v>4.379454065</v>
      </c>
      <c r="K2004" s="16">
        <f t="shared" si="1"/>
        <v>18.68935117</v>
      </c>
      <c r="L2004" s="16">
        <f t="shared" si="2"/>
        <v>6.511964359</v>
      </c>
    </row>
    <row r="2005" ht="16.5" customHeight="1">
      <c r="A2005" s="15" t="str">
        <f>Solieusap!A2005</f>
        <v>Cũ</v>
      </c>
      <c r="B2005" s="15">
        <f>Solieusap!B2005</f>
        <v>0</v>
      </c>
      <c r="C2005" s="15" t="str">
        <f>Solieusap!C2005</f>
        <v>COMB3</v>
      </c>
      <c r="D2005" s="15" t="str">
        <f>Solieusap!D2005</f>
        <v>Combination</v>
      </c>
      <c r="E2005" s="16">
        <f>ABS(Solieusap!E2005)</f>
        <v>18.70620753</v>
      </c>
      <c r="F2005" s="16">
        <f>ABS(Solieusap!F2005)</f>
        <v>1.775072121</v>
      </c>
      <c r="G2005" s="16">
        <f>ABS(Solieusap!G2005)</f>
        <v>2.402334459</v>
      </c>
      <c r="H2005" s="16">
        <f>ABS(Solieusap!H2005)</f>
        <v>0.001078591377</v>
      </c>
      <c r="I2005" s="16">
        <f>ABS(Solieusap!I2005)</f>
        <v>6.518759152</v>
      </c>
      <c r="J2005" s="16">
        <f>ABS(Solieusap!J2005)</f>
        <v>4.384001117</v>
      </c>
      <c r="K2005" s="16">
        <f t="shared" si="1"/>
        <v>18.70620753</v>
      </c>
      <c r="L2005" s="16">
        <f t="shared" si="2"/>
        <v>6.518759152</v>
      </c>
    </row>
    <row r="2006" ht="16.5" customHeight="1">
      <c r="A2006" s="15" t="str">
        <f>Solieusap!A2006</f>
        <v>Cũ</v>
      </c>
      <c r="B2006" s="15">
        <f>Solieusap!B2006</f>
        <v>1.75</v>
      </c>
      <c r="C2006" s="15" t="str">
        <f>Solieusap!C2006</f>
        <v>COMB3</v>
      </c>
      <c r="D2006" s="15" t="str">
        <f>Solieusap!D2006</f>
        <v>Combination</v>
      </c>
      <c r="E2006" s="16">
        <f>ABS(Solieusap!E2006)</f>
        <v>18.7230639</v>
      </c>
      <c r="F2006" s="16">
        <f>ABS(Solieusap!F2006)</f>
        <v>1.776782641</v>
      </c>
      <c r="G2006" s="16">
        <f>ABS(Solieusap!G2006)</f>
        <v>2.404598874</v>
      </c>
      <c r="H2006" s="16">
        <f>ABS(Solieusap!H2006)</f>
        <v>0.001079646481</v>
      </c>
      <c r="I2006" s="16">
        <f>ABS(Solieusap!I2006)</f>
        <v>6.525553944</v>
      </c>
      <c r="J2006" s="16">
        <f>ABS(Solieusap!J2006)</f>
        <v>4.388548169</v>
      </c>
      <c r="K2006" s="16">
        <f t="shared" si="1"/>
        <v>18.7230639</v>
      </c>
      <c r="L2006" s="16">
        <f t="shared" si="2"/>
        <v>6.525553944</v>
      </c>
    </row>
    <row r="2007" ht="16.5" customHeight="1">
      <c r="A2007" s="15" t="str">
        <f>Solieusap!A2007</f>
        <v>Cũ</v>
      </c>
      <c r="B2007" s="15">
        <f>Solieusap!B2007</f>
        <v>3.5</v>
      </c>
      <c r="C2007" s="15" t="str">
        <f>Solieusap!C2007</f>
        <v>COMB3</v>
      </c>
      <c r="D2007" s="15" t="str">
        <f>Solieusap!D2007</f>
        <v>Combination</v>
      </c>
      <c r="E2007" s="16">
        <f>ABS(Solieusap!E2007)</f>
        <v>18.73992026</v>
      </c>
      <c r="F2007" s="16">
        <f>ABS(Solieusap!F2007)</f>
        <v>1.77849316</v>
      </c>
      <c r="G2007" s="16">
        <f>ABS(Solieusap!G2007)</f>
        <v>2.40686329</v>
      </c>
      <c r="H2007" s="16">
        <f>ABS(Solieusap!H2007)</f>
        <v>0.001080701584</v>
      </c>
      <c r="I2007" s="16">
        <f>ABS(Solieusap!I2007)</f>
        <v>6.532348736</v>
      </c>
      <c r="J2007" s="16">
        <f>ABS(Solieusap!J2007)</f>
        <v>4.393095221</v>
      </c>
      <c r="K2007" s="16">
        <f t="shared" si="1"/>
        <v>18.73992026</v>
      </c>
      <c r="L2007" s="16">
        <f t="shared" si="2"/>
        <v>6.532348736</v>
      </c>
    </row>
    <row r="2008" ht="16.5" customHeight="1">
      <c r="A2008" s="15" t="str">
        <f>Solieusap!A2008</f>
        <v>Cũ</v>
      </c>
      <c r="B2008" s="15">
        <f>Solieusap!B2008</f>
        <v>0</v>
      </c>
      <c r="C2008" s="15" t="str">
        <f>Solieusap!C2008</f>
        <v>COMB4</v>
      </c>
      <c r="D2008" s="15" t="str">
        <f>Solieusap!D2008</f>
        <v>Combination</v>
      </c>
      <c r="E2008" s="16">
        <f>ABS(Solieusap!E2008)</f>
        <v>18.75677662</v>
      </c>
      <c r="F2008" s="16">
        <f>ABS(Solieusap!F2008)</f>
        <v>1.78020368</v>
      </c>
      <c r="G2008" s="16">
        <f>ABS(Solieusap!G2008)</f>
        <v>2.409127706</v>
      </c>
      <c r="H2008" s="16">
        <f>ABS(Solieusap!H2008)</f>
        <v>0.001081756688</v>
      </c>
      <c r="I2008" s="16">
        <f>ABS(Solieusap!I2008)</f>
        <v>6.539143528</v>
      </c>
      <c r="J2008" s="16">
        <f>ABS(Solieusap!J2008)</f>
        <v>4.397642273</v>
      </c>
      <c r="K2008" s="16">
        <f t="shared" si="1"/>
        <v>18.75677662</v>
      </c>
      <c r="L2008" s="16">
        <f t="shared" si="2"/>
        <v>6.539143528</v>
      </c>
    </row>
    <row r="2009" ht="16.5" customHeight="1">
      <c r="A2009" s="15" t="str">
        <f>Solieusap!A2009</f>
        <v>Cũ</v>
      </c>
      <c r="B2009" s="15">
        <f>Solieusap!B2009</f>
        <v>1.75</v>
      </c>
      <c r="C2009" s="15" t="str">
        <f>Solieusap!C2009</f>
        <v>COMB4</v>
      </c>
      <c r="D2009" s="15" t="str">
        <f>Solieusap!D2009</f>
        <v>Combination</v>
      </c>
      <c r="E2009" s="16">
        <f>ABS(Solieusap!E2009)</f>
        <v>18.77363299</v>
      </c>
      <c r="F2009" s="16">
        <f>ABS(Solieusap!F2009)</f>
        <v>1.781914199</v>
      </c>
      <c r="G2009" s="16">
        <f>ABS(Solieusap!G2009)</f>
        <v>2.411392121</v>
      </c>
      <c r="H2009" s="16">
        <f>ABS(Solieusap!H2009)</f>
        <v>0.001082811792</v>
      </c>
      <c r="I2009" s="16">
        <f>ABS(Solieusap!I2009)</f>
        <v>6.54593832</v>
      </c>
      <c r="J2009" s="16">
        <f>ABS(Solieusap!J2009)</f>
        <v>4.402189325</v>
      </c>
      <c r="K2009" s="16">
        <f t="shared" si="1"/>
        <v>18.77363299</v>
      </c>
      <c r="L2009" s="16">
        <f t="shared" si="2"/>
        <v>6.54593832</v>
      </c>
    </row>
    <row r="2010" ht="16.5" customHeight="1">
      <c r="A2010" s="15" t="str">
        <f>Solieusap!A2010</f>
        <v>Cũ</v>
      </c>
      <c r="B2010" s="15">
        <f>Solieusap!B2010</f>
        <v>3.5</v>
      </c>
      <c r="C2010" s="15" t="str">
        <f>Solieusap!C2010</f>
        <v>COMB4</v>
      </c>
      <c r="D2010" s="15" t="str">
        <f>Solieusap!D2010</f>
        <v>Combination</v>
      </c>
      <c r="E2010" s="16">
        <f>ABS(Solieusap!E2010)</f>
        <v>18.79048935</v>
      </c>
      <c r="F2010" s="16">
        <f>ABS(Solieusap!F2010)</f>
        <v>1.783624719</v>
      </c>
      <c r="G2010" s="16">
        <f>ABS(Solieusap!G2010)</f>
        <v>2.413656537</v>
      </c>
      <c r="H2010" s="16">
        <f>ABS(Solieusap!H2010)</f>
        <v>0.001083866896</v>
      </c>
      <c r="I2010" s="16">
        <f>ABS(Solieusap!I2010)</f>
        <v>6.552733113</v>
      </c>
      <c r="J2010" s="16">
        <f>ABS(Solieusap!J2010)</f>
        <v>4.406736377</v>
      </c>
      <c r="K2010" s="16">
        <f t="shared" si="1"/>
        <v>18.79048935</v>
      </c>
      <c r="L2010" s="16">
        <f t="shared" si="2"/>
        <v>6.552733113</v>
      </c>
    </row>
    <row r="2011" ht="16.5" customHeight="1">
      <c r="A2011" s="15" t="str">
        <f>Solieusap!A2011</f>
        <v>Cũ</v>
      </c>
      <c r="B2011" s="15">
        <f>Solieusap!B2011</f>
        <v>0</v>
      </c>
      <c r="C2011" s="15" t="str">
        <f>Solieusap!C2011</f>
        <v>COMB5</v>
      </c>
      <c r="D2011" s="15" t="str">
        <f>Solieusap!D2011</f>
        <v>Combination</v>
      </c>
      <c r="E2011" s="16">
        <f>ABS(Solieusap!E2011)</f>
        <v>18.80734571</v>
      </c>
      <c r="F2011" s="16">
        <f>ABS(Solieusap!F2011)</f>
        <v>1.785335238</v>
      </c>
      <c r="G2011" s="16">
        <f>ABS(Solieusap!G2011)</f>
        <v>2.415920952</v>
      </c>
      <c r="H2011" s="16">
        <f>ABS(Solieusap!H2011)</f>
        <v>0.001084922</v>
      </c>
      <c r="I2011" s="16">
        <f>ABS(Solieusap!I2011)</f>
        <v>6.559527905</v>
      </c>
      <c r="J2011" s="16">
        <f>ABS(Solieusap!J2011)</f>
        <v>4.411283429</v>
      </c>
      <c r="K2011" s="16">
        <f t="shared" si="1"/>
        <v>18.80734571</v>
      </c>
      <c r="L2011" s="16">
        <f t="shared" si="2"/>
        <v>6.559527905</v>
      </c>
    </row>
    <row r="2012" ht="16.5" customHeight="1">
      <c r="A2012" s="15" t="str">
        <f>Solieusap!A2012</f>
        <v>Cũ</v>
      </c>
      <c r="B2012" s="15">
        <f>Solieusap!B2012</f>
        <v>1.75</v>
      </c>
      <c r="C2012" s="15" t="str">
        <f>Solieusap!C2012</f>
        <v>COMB5</v>
      </c>
      <c r="D2012" s="15" t="str">
        <f>Solieusap!D2012</f>
        <v>Combination</v>
      </c>
      <c r="E2012" s="16">
        <f>ABS(Solieusap!E2012)</f>
        <v>18.82420208</v>
      </c>
      <c r="F2012" s="16">
        <f>ABS(Solieusap!F2012)</f>
        <v>1.787045758</v>
      </c>
      <c r="G2012" s="16">
        <f>ABS(Solieusap!G2012)</f>
        <v>2.418185368</v>
      </c>
      <c r="H2012" s="16">
        <f>ABS(Solieusap!H2012)</f>
        <v>0.001085977104</v>
      </c>
      <c r="I2012" s="16">
        <f>ABS(Solieusap!I2012)</f>
        <v>6.566322697</v>
      </c>
      <c r="J2012" s="16">
        <f>ABS(Solieusap!J2012)</f>
        <v>4.415830481</v>
      </c>
      <c r="K2012" s="16">
        <f t="shared" si="1"/>
        <v>18.82420208</v>
      </c>
      <c r="L2012" s="16">
        <f t="shared" si="2"/>
        <v>6.566322697</v>
      </c>
    </row>
    <row r="2013" ht="16.5" customHeight="1">
      <c r="A2013" s="15" t="str">
        <f>Solieusap!A2013</f>
        <v>Cũ</v>
      </c>
      <c r="B2013" s="15">
        <f>Solieusap!B2013</f>
        <v>3.5</v>
      </c>
      <c r="C2013" s="15" t="str">
        <f>Solieusap!C2013</f>
        <v>COMB5</v>
      </c>
      <c r="D2013" s="15" t="str">
        <f>Solieusap!D2013</f>
        <v>Combination</v>
      </c>
      <c r="E2013" s="16">
        <f>ABS(Solieusap!E2013)</f>
        <v>18.84105844</v>
      </c>
      <c r="F2013" s="16">
        <f>ABS(Solieusap!F2013)</f>
        <v>1.788756277</v>
      </c>
      <c r="G2013" s="16">
        <f>ABS(Solieusap!G2013)</f>
        <v>2.420449784</v>
      </c>
      <c r="H2013" s="16">
        <f>ABS(Solieusap!H2013)</f>
        <v>0.001087032208</v>
      </c>
      <c r="I2013" s="16">
        <f>ABS(Solieusap!I2013)</f>
        <v>6.573117489</v>
      </c>
      <c r="J2013" s="16">
        <f>ABS(Solieusap!J2013)</f>
        <v>4.420377532</v>
      </c>
      <c r="K2013" s="16">
        <f t="shared" si="1"/>
        <v>18.84105844</v>
      </c>
      <c r="L2013" s="16">
        <f t="shared" si="2"/>
        <v>6.573117489</v>
      </c>
    </row>
    <row r="2014" ht="16.5" customHeight="1">
      <c r="A2014" s="15" t="str">
        <f>Solieusap!A2014</f>
        <v>Cũ</v>
      </c>
      <c r="B2014" s="15">
        <f>Solieusap!B2014</f>
        <v>0</v>
      </c>
      <c r="C2014" s="15" t="str">
        <f>Solieusap!C2014</f>
        <v>COMB6</v>
      </c>
      <c r="D2014" s="15" t="str">
        <f>Solieusap!D2014</f>
        <v>Combination</v>
      </c>
      <c r="E2014" s="16">
        <f>ABS(Solieusap!E2014)</f>
        <v>18.85791481</v>
      </c>
      <c r="F2014" s="16">
        <f>ABS(Solieusap!F2014)</f>
        <v>1.790466797</v>
      </c>
      <c r="G2014" s="16">
        <f>ABS(Solieusap!G2014)</f>
        <v>2.422714199</v>
      </c>
      <c r="H2014" s="16">
        <f>ABS(Solieusap!H2014)</f>
        <v>0.001088087312</v>
      </c>
      <c r="I2014" s="16">
        <f>ABS(Solieusap!I2014)</f>
        <v>6.579912281</v>
      </c>
      <c r="J2014" s="16">
        <f>ABS(Solieusap!J2014)</f>
        <v>4.424924584</v>
      </c>
      <c r="K2014" s="16">
        <f t="shared" si="1"/>
        <v>18.85791481</v>
      </c>
      <c r="L2014" s="16">
        <f t="shared" si="2"/>
        <v>6.579912281</v>
      </c>
    </row>
    <row r="2015" ht="16.5" customHeight="1">
      <c r="A2015" s="15" t="str">
        <f>Solieusap!A2015</f>
        <v>Cũ</v>
      </c>
      <c r="B2015" s="15">
        <f>Solieusap!B2015</f>
        <v>1.75</v>
      </c>
      <c r="C2015" s="15" t="str">
        <f>Solieusap!C2015</f>
        <v>COMB6</v>
      </c>
      <c r="D2015" s="15" t="str">
        <f>Solieusap!D2015</f>
        <v>Combination</v>
      </c>
      <c r="E2015" s="16">
        <f>ABS(Solieusap!E2015)</f>
        <v>18.87477117</v>
      </c>
      <c r="F2015" s="16">
        <f>ABS(Solieusap!F2015)</f>
        <v>1.792177316</v>
      </c>
      <c r="G2015" s="16">
        <f>ABS(Solieusap!G2015)</f>
        <v>2.424978615</v>
      </c>
      <c r="H2015" s="16">
        <f>ABS(Solieusap!H2015)</f>
        <v>0.001089142416</v>
      </c>
      <c r="I2015" s="16">
        <f>ABS(Solieusap!I2015)</f>
        <v>6.586707074</v>
      </c>
      <c r="J2015" s="16">
        <f>ABS(Solieusap!J2015)</f>
        <v>4.429471636</v>
      </c>
      <c r="K2015" s="16">
        <f t="shared" si="1"/>
        <v>18.87477117</v>
      </c>
      <c r="L2015" s="16">
        <f t="shared" si="2"/>
        <v>6.586707074</v>
      </c>
    </row>
    <row r="2016" ht="16.5" customHeight="1">
      <c r="A2016" s="15" t="str">
        <f>Solieusap!A2016</f>
        <v>Cũ</v>
      </c>
      <c r="B2016" s="15">
        <f>Solieusap!B2016</f>
        <v>3.5</v>
      </c>
      <c r="C2016" s="15" t="str">
        <f>Solieusap!C2016</f>
        <v>COMB6</v>
      </c>
      <c r="D2016" s="15" t="str">
        <f>Solieusap!D2016</f>
        <v>Combination</v>
      </c>
      <c r="E2016" s="16">
        <f>ABS(Solieusap!E2016)</f>
        <v>18.89162753</v>
      </c>
      <c r="F2016" s="16">
        <f>ABS(Solieusap!F2016)</f>
        <v>1.793887835</v>
      </c>
      <c r="G2016" s="16">
        <f>ABS(Solieusap!G2016)</f>
        <v>2.42724303</v>
      </c>
      <c r="H2016" s="16">
        <f>ABS(Solieusap!H2016)</f>
        <v>0.001090197519</v>
      </c>
      <c r="I2016" s="16">
        <f>ABS(Solieusap!I2016)</f>
        <v>6.593501866</v>
      </c>
      <c r="J2016" s="16">
        <f>ABS(Solieusap!J2016)</f>
        <v>4.434018688</v>
      </c>
      <c r="K2016" s="16">
        <f t="shared" si="1"/>
        <v>18.89162753</v>
      </c>
      <c r="L2016" s="16">
        <f t="shared" si="2"/>
        <v>6.593501866</v>
      </c>
    </row>
    <row r="2017" ht="16.5" customHeight="1">
      <c r="A2017" s="15" t="str">
        <f>Solieusap!A2017</f>
        <v>Cũ</v>
      </c>
      <c r="B2017" s="15">
        <f>Solieusap!B2017</f>
        <v>0</v>
      </c>
      <c r="C2017" s="15" t="str">
        <f>Solieusap!C2017</f>
        <v>COMB7</v>
      </c>
      <c r="D2017" s="15" t="str">
        <f>Solieusap!D2017</f>
        <v>Combination</v>
      </c>
      <c r="E2017" s="16">
        <f>ABS(Solieusap!E2017)</f>
        <v>18.9084839</v>
      </c>
      <c r="F2017" s="16">
        <f>ABS(Solieusap!F2017)</f>
        <v>1.795598355</v>
      </c>
      <c r="G2017" s="16">
        <f>ABS(Solieusap!G2017)</f>
        <v>2.429507446</v>
      </c>
      <c r="H2017" s="16">
        <f>ABS(Solieusap!H2017)</f>
        <v>0.001091252623</v>
      </c>
      <c r="I2017" s="16">
        <f>ABS(Solieusap!I2017)</f>
        <v>6.600296658</v>
      </c>
      <c r="J2017" s="16">
        <f>ABS(Solieusap!J2017)</f>
        <v>4.43856574</v>
      </c>
      <c r="K2017" s="16">
        <f t="shared" si="1"/>
        <v>18.9084839</v>
      </c>
      <c r="L2017" s="16">
        <f t="shared" si="2"/>
        <v>6.600296658</v>
      </c>
    </row>
    <row r="2018" ht="16.5" customHeight="1">
      <c r="A2018" s="15" t="str">
        <f>Solieusap!A2018</f>
        <v>Cũ</v>
      </c>
      <c r="B2018" s="15">
        <f>Solieusap!B2018</f>
        <v>1.75</v>
      </c>
      <c r="C2018" s="15" t="str">
        <f>Solieusap!C2018</f>
        <v>COMB7</v>
      </c>
      <c r="D2018" s="15" t="str">
        <f>Solieusap!D2018</f>
        <v>Combination</v>
      </c>
      <c r="E2018" s="16">
        <f>ABS(Solieusap!E2018)</f>
        <v>18.92534026</v>
      </c>
      <c r="F2018" s="16">
        <f>ABS(Solieusap!F2018)</f>
        <v>1.797308874</v>
      </c>
      <c r="G2018" s="16">
        <f>ABS(Solieusap!G2018)</f>
        <v>2.431771861</v>
      </c>
      <c r="H2018" s="16">
        <f>ABS(Solieusap!H2018)</f>
        <v>0.001092307727</v>
      </c>
      <c r="I2018" s="16">
        <f>ABS(Solieusap!I2018)</f>
        <v>6.60709145</v>
      </c>
      <c r="J2018" s="16">
        <f>ABS(Solieusap!J2018)</f>
        <v>4.443112792</v>
      </c>
      <c r="K2018" s="16">
        <f t="shared" si="1"/>
        <v>18.92534026</v>
      </c>
      <c r="L2018" s="16">
        <f t="shared" si="2"/>
        <v>6.60709145</v>
      </c>
    </row>
    <row r="2019" ht="16.5" customHeight="1">
      <c r="A2019" s="15" t="str">
        <f>Solieusap!A2019</f>
        <v>Cũ</v>
      </c>
      <c r="B2019" s="15">
        <f>Solieusap!B2019</f>
        <v>3.5</v>
      </c>
      <c r="C2019" s="15" t="str">
        <f>Solieusap!C2019</f>
        <v>COMB7</v>
      </c>
      <c r="D2019" s="15" t="str">
        <f>Solieusap!D2019</f>
        <v>Combination</v>
      </c>
      <c r="E2019" s="16">
        <f>ABS(Solieusap!E2019)</f>
        <v>18.94219662</v>
      </c>
      <c r="F2019" s="16">
        <f>ABS(Solieusap!F2019)</f>
        <v>1.799019394</v>
      </c>
      <c r="G2019" s="16">
        <f>ABS(Solieusap!G2019)</f>
        <v>2.434036277</v>
      </c>
      <c r="H2019" s="16">
        <f>ABS(Solieusap!H2019)</f>
        <v>0.001093362831</v>
      </c>
      <c r="I2019" s="16">
        <f>ABS(Solieusap!I2019)</f>
        <v>6.613886242</v>
      </c>
      <c r="J2019" s="16">
        <f>ABS(Solieusap!J2019)</f>
        <v>4.447659844</v>
      </c>
      <c r="K2019" s="16">
        <f t="shared" si="1"/>
        <v>18.94219662</v>
      </c>
      <c r="L2019" s="16">
        <f t="shared" si="2"/>
        <v>6.613886242</v>
      </c>
    </row>
    <row r="2020" ht="16.5" customHeight="1">
      <c r="A2020" s="15" t="str">
        <f>Solieusap!A2020</f>
        <v>Cũ</v>
      </c>
      <c r="B2020" s="15">
        <f>Solieusap!B2020</f>
        <v>0</v>
      </c>
      <c r="C2020" s="15" t="str">
        <f>Solieusap!C2020</f>
        <v>COMB1</v>
      </c>
      <c r="D2020" s="15" t="str">
        <f>Solieusap!D2020</f>
        <v>Combination</v>
      </c>
      <c r="E2020" s="16">
        <f>ABS(Solieusap!E2020)</f>
        <v>18.95905299</v>
      </c>
      <c r="F2020" s="16">
        <f>ABS(Solieusap!F2020)</f>
        <v>1.800729913</v>
      </c>
      <c r="G2020" s="16">
        <f>ABS(Solieusap!G2020)</f>
        <v>2.436300693</v>
      </c>
      <c r="H2020" s="16">
        <f>ABS(Solieusap!H2020)</f>
        <v>0.001094417935</v>
      </c>
      <c r="I2020" s="16">
        <f>ABS(Solieusap!I2020)</f>
        <v>6.620681035</v>
      </c>
      <c r="J2020" s="16">
        <f>ABS(Solieusap!J2020)</f>
        <v>4.452206896</v>
      </c>
      <c r="K2020" s="16">
        <f t="shared" si="1"/>
        <v>18.95905299</v>
      </c>
      <c r="L2020" s="16">
        <f t="shared" si="2"/>
        <v>6.620681035</v>
      </c>
    </row>
    <row r="2021" ht="16.5" customHeight="1">
      <c r="A2021" s="15" t="str">
        <f>Solieusap!A2021</f>
        <v>Cũ</v>
      </c>
      <c r="B2021" s="15">
        <f>Solieusap!B2021</f>
        <v>1.75</v>
      </c>
      <c r="C2021" s="15" t="str">
        <f>Solieusap!C2021</f>
        <v>COMB1</v>
      </c>
      <c r="D2021" s="15" t="str">
        <f>Solieusap!D2021</f>
        <v>Combination</v>
      </c>
      <c r="E2021" s="16">
        <f>ABS(Solieusap!E2021)</f>
        <v>18.97590935</v>
      </c>
      <c r="F2021" s="16">
        <f>ABS(Solieusap!F2021)</f>
        <v>1.802440433</v>
      </c>
      <c r="G2021" s="16">
        <f>ABS(Solieusap!G2021)</f>
        <v>2.438565108</v>
      </c>
      <c r="H2021" s="16">
        <f>ABS(Solieusap!H2021)</f>
        <v>0.001095473039</v>
      </c>
      <c r="I2021" s="16">
        <f>ABS(Solieusap!I2021)</f>
        <v>6.627475827</v>
      </c>
      <c r="J2021" s="16">
        <f>ABS(Solieusap!J2021)</f>
        <v>4.456753948</v>
      </c>
      <c r="K2021" s="16">
        <f t="shared" si="1"/>
        <v>18.97590935</v>
      </c>
      <c r="L2021" s="16">
        <f t="shared" si="2"/>
        <v>6.627475827</v>
      </c>
    </row>
    <row r="2022" ht="16.5" customHeight="1">
      <c r="A2022" s="15" t="str">
        <f>Solieusap!A2022</f>
        <v>Cũ</v>
      </c>
      <c r="B2022" s="15">
        <f>Solieusap!B2022</f>
        <v>3.5</v>
      </c>
      <c r="C2022" s="15" t="str">
        <f>Solieusap!C2022</f>
        <v>COMB1</v>
      </c>
      <c r="D2022" s="15" t="str">
        <f>Solieusap!D2022</f>
        <v>Combination</v>
      </c>
      <c r="E2022" s="16">
        <f>ABS(Solieusap!E2022)</f>
        <v>18.99276571</v>
      </c>
      <c r="F2022" s="16">
        <f>ABS(Solieusap!F2022)</f>
        <v>1.804150952</v>
      </c>
      <c r="G2022" s="16">
        <f>ABS(Solieusap!G2022)</f>
        <v>2.440829524</v>
      </c>
      <c r="H2022" s="16">
        <f>ABS(Solieusap!H2022)</f>
        <v>0.001096528143</v>
      </c>
      <c r="I2022" s="16">
        <f>ABS(Solieusap!I2022)</f>
        <v>6.634270619</v>
      </c>
      <c r="J2022" s="16">
        <f>ABS(Solieusap!J2022)</f>
        <v>4.461301</v>
      </c>
      <c r="K2022" s="16">
        <f t="shared" si="1"/>
        <v>18.99276571</v>
      </c>
      <c r="L2022" s="16">
        <f t="shared" si="2"/>
        <v>6.634270619</v>
      </c>
    </row>
    <row r="2023" ht="16.5" customHeight="1">
      <c r="A2023" s="15" t="str">
        <f>Solieusap!A2023</f>
        <v>Cũ</v>
      </c>
      <c r="B2023" s="15">
        <f>Solieusap!B2023</f>
        <v>0</v>
      </c>
      <c r="C2023" s="15" t="str">
        <f>Solieusap!C2023</f>
        <v>COMB2</v>
      </c>
      <c r="D2023" s="15" t="str">
        <f>Solieusap!D2023</f>
        <v>Combination</v>
      </c>
      <c r="E2023" s="16">
        <f>ABS(Solieusap!E2023)</f>
        <v>19.00962208</v>
      </c>
      <c r="F2023" s="16">
        <f>ABS(Solieusap!F2023)</f>
        <v>1.805861472</v>
      </c>
      <c r="G2023" s="16">
        <f>ABS(Solieusap!G2023)</f>
        <v>2.443093939</v>
      </c>
      <c r="H2023" s="16">
        <f>ABS(Solieusap!H2023)</f>
        <v>0.001097583247</v>
      </c>
      <c r="I2023" s="16">
        <f>ABS(Solieusap!I2023)</f>
        <v>6.641065411</v>
      </c>
      <c r="J2023" s="16">
        <f>ABS(Solieusap!J2023)</f>
        <v>4.465848052</v>
      </c>
      <c r="K2023" s="16">
        <f t="shared" si="1"/>
        <v>19.00962208</v>
      </c>
      <c r="L2023" s="16">
        <f t="shared" si="2"/>
        <v>6.641065411</v>
      </c>
    </row>
    <row r="2024" ht="16.5" customHeight="1">
      <c r="A2024" s="15" t="str">
        <f>Solieusap!A2024</f>
        <v>Cũ</v>
      </c>
      <c r="B2024" s="15">
        <f>Solieusap!B2024</f>
        <v>1.75</v>
      </c>
      <c r="C2024" s="15" t="str">
        <f>Solieusap!C2024</f>
        <v>COMB2</v>
      </c>
      <c r="D2024" s="15" t="str">
        <f>Solieusap!D2024</f>
        <v>Combination</v>
      </c>
      <c r="E2024" s="16">
        <f>ABS(Solieusap!E2024)</f>
        <v>19.02647844</v>
      </c>
      <c r="F2024" s="16">
        <f>ABS(Solieusap!F2024)</f>
        <v>1.807571991</v>
      </c>
      <c r="G2024" s="16">
        <f>ABS(Solieusap!G2024)</f>
        <v>2.445358355</v>
      </c>
      <c r="H2024" s="16">
        <f>ABS(Solieusap!H2024)</f>
        <v>0.001098638351</v>
      </c>
      <c r="I2024" s="16">
        <f>ABS(Solieusap!I2024)</f>
        <v>6.647860203</v>
      </c>
      <c r="J2024" s="16">
        <f>ABS(Solieusap!J2024)</f>
        <v>4.470395104</v>
      </c>
      <c r="K2024" s="16">
        <f t="shared" si="1"/>
        <v>19.02647844</v>
      </c>
      <c r="L2024" s="16">
        <f t="shared" si="2"/>
        <v>6.647860203</v>
      </c>
    </row>
    <row r="2025" ht="16.5" customHeight="1">
      <c r="A2025" s="15" t="str">
        <f>Solieusap!A2025</f>
        <v>Cũ</v>
      </c>
      <c r="B2025" s="15">
        <f>Solieusap!B2025</f>
        <v>3.5</v>
      </c>
      <c r="C2025" s="15" t="str">
        <f>Solieusap!C2025</f>
        <v>COMB2</v>
      </c>
      <c r="D2025" s="15" t="str">
        <f>Solieusap!D2025</f>
        <v>Combination</v>
      </c>
      <c r="E2025" s="16">
        <f>ABS(Solieusap!E2025)</f>
        <v>19.04333481</v>
      </c>
      <c r="F2025" s="16">
        <f>ABS(Solieusap!F2025)</f>
        <v>1.809282511</v>
      </c>
      <c r="G2025" s="16">
        <f>ABS(Solieusap!G2025)</f>
        <v>2.447622771</v>
      </c>
      <c r="H2025" s="16">
        <f>ABS(Solieusap!H2025)</f>
        <v>0.001099693455</v>
      </c>
      <c r="I2025" s="16">
        <f>ABS(Solieusap!I2025)</f>
        <v>6.654654996</v>
      </c>
      <c r="J2025" s="16">
        <f>ABS(Solieusap!J2025)</f>
        <v>4.474942156</v>
      </c>
      <c r="K2025" s="16">
        <f t="shared" si="1"/>
        <v>19.04333481</v>
      </c>
      <c r="L2025" s="16">
        <f t="shared" si="2"/>
        <v>6.654654996</v>
      </c>
    </row>
    <row r="2026" ht="16.5" customHeight="1">
      <c r="A2026" s="15" t="str">
        <f>Solieusap!A2026</f>
        <v>Cũ</v>
      </c>
      <c r="B2026" s="15">
        <f>Solieusap!B2026</f>
        <v>0</v>
      </c>
      <c r="C2026" s="15" t="str">
        <f>Solieusap!C2026</f>
        <v>COMB3</v>
      </c>
      <c r="D2026" s="15" t="str">
        <f>Solieusap!D2026</f>
        <v>Combination</v>
      </c>
      <c r="E2026" s="16">
        <f>ABS(Solieusap!E2026)</f>
        <v>19.06019117</v>
      </c>
      <c r="F2026" s="16">
        <f>ABS(Solieusap!F2026)</f>
        <v>1.81099303</v>
      </c>
      <c r="G2026" s="16">
        <f>ABS(Solieusap!G2026)</f>
        <v>2.449887186</v>
      </c>
      <c r="H2026" s="16">
        <f>ABS(Solieusap!H2026)</f>
        <v>0.001100748558</v>
      </c>
      <c r="I2026" s="16">
        <f>ABS(Solieusap!I2026)</f>
        <v>6.661449788</v>
      </c>
      <c r="J2026" s="16">
        <f>ABS(Solieusap!J2026)</f>
        <v>4.479489208</v>
      </c>
      <c r="K2026" s="16">
        <f t="shared" si="1"/>
        <v>19.06019117</v>
      </c>
      <c r="L2026" s="16">
        <f t="shared" si="2"/>
        <v>6.661449788</v>
      </c>
    </row>
    <row r="2027" ht="16.5" customHeight="1">
      <c r="A2027" s="15" t="str">
        <f>Solieusap!A2027</f>
        <v>Cũ</v>
      </c>
      <c r="B2027" s="15">
        <f>Solieusap!B2027</f>
        <v>1.75</v>
      </c>
      <c r="C2027" s="15" t="str">
        <f>Solieusap!C2027</f>
        <v>COMB3</v>
      </c>
      <c r="D2027" s="15" t="str">
        <f>Solieusap!D2027</f>
        <v>Combination</v>
      </c>
      <c r="E2027" s="16">
        <f>ABS(Solieusap!E2027)</f>
        <v>19.07704753</v>
      </c>
      <c r="F2027" s="16">
        <f>ABS(Solieusap!F2027)</f>
        <v>1.81270355</v>
      </c>
      <c r="G2027" s="16">
        <f>ABS(Solieusap!G2027)</f>
        <v>2.452151602</v>
      </c>
      <c r="H2027" s="16">
        <f>ABS(Solieusap!H2027)</f>
        <v>0.001101803662</v>
      </c>
      <c r="I2027" s="16">
        <f>ABS(Solieusap!I2027)</f>
        <v>6.66824458</v>
      </c>
      <c r="J2027" s="16">
        <f>ABS(Solieusap!J2027)</f>
        <v>4.48403626</v>
      </c>
      <c r="K2027" s="16">
        <f t="shared" si="1"/>
        <v>19.07704753</v>
      </c>
      <c r="L2027" s="16">
        <f t="shared" si="2"/>
        <v>6.66824458</v>
      </c>
    </row>
    <row r="2028" ht="16.5" customHeight="1">
      <c r="A2028" s="15" t="str">
        <f>Solieusap!A2028</f>
        <v>Cũ</v>
      </c>
      <c r="B2028" s="15">
        <f>Solieusap!B2028</f>
        <v>3.5</v>
      </c>
      <c r="C2028" s="15" t="str">
        <f>Solieusap!C2028</f>
        <v>COMB3</v>
      </c>
      <c r="D2028" s="15" t="str">
        <f>Solieusap!D2028</f>
        <v>Combination</v>
      </c>
      <c r="E2028" s="16">
        <f>ABS(Solieusap!E2028)</f>
        <v>19.0939039</v>
      </c>
      <c r="F2028" s="16">
        <f>ABS(Solieusap!F2028)</f>
        <v>1.814414069</v>
      </c>
      <c r="G2028" s="16">
        <f>ABS(Solieusap!G2028)</f>
        <v>2.454416017</v>
      </c>
      <c r="H2028" s="16">
        <f>ABS(Solieusap!H2028)</f>
        <v>0.001102858766</v>
      </c>
      <c r="I2028" s="16">
        <f>ABS(Solieusap!I2028)</f>
        <v>6.675039372</v>
      </c>
      <c r="J2028" s="16">
        <f>ABS(Solieusap!J2028)</f>
        <v>4.488583312</v>
      </c>
      <c r="K2028" s="16">
        <f t="shared" si="1"/>
        <v>19.0939039</v>
      </c>
      <c r="L2028" s="16">
        <f t="shared" si="2"/>
        <v>6.675039372</v>
      </c>
    </row>
    <row r="2029" ht="16.5" customHeight="1">
      <c r="A2029" s="15" t="str">
        <f>Solieusap!A2029</f>
        <v>Cũ</v>
      </c>
      <c r="B2029" s="15">
        <f>Solieusap!B2029</f>
        <v>0</v>
      </c>
      <c r="C2029" s="15" t="str">
        <f>Solieusap!C2029</f>
        <v>COMB4</v>
      </c>
      <c r="D2029" s="15" t="str">
        <f>Solieusap!D2029</f>
        <v>Combination</v>
      </c>
      <c r="E2029" s="16">
        <f>ABS(Solieusap!E2029)</f>
        <v>19.11076026</v>
      </c>
      <c r="F2029" s="16">
        <f>ABS(Solieusap!F2029)</f>
        <v>1.816124589</v>
      </c>
      <c r="G2029" s="16">
        <f>ABS(Solieusap!G2029)</f>
        <v>2.456680433</v>
      </c>
      <c r="H2029" s="16">
        <f>ABS(Solieusap!H2029)</f>
        <v>0.00110391387</v>
      </c>
      <c r="I2029" s="16">
        <f>ABS(Solieusap!I2029)</f>
        <v>6.681834165</v>
      </c>
      <c r="J2029" s="16">
        <f>ABS(Solieusap!J2029)</f>
        <v>4.493130364</v>
      </c>
      <c r="K2029" s="16">
        <f t="shared" si="1"/>
        <v>19.11076026</v>
      </c>
      <c r="L2029" s="16">
        <f t="shared" si="2"/>
        <v>6.681834165</v>
      </c>
    </row>
    <row r="2030" ht="16.5" customHeight="1">
      <c r="A2030" s="15" t="str">
        <f>Solieusap!A2030</f>
        <v>Cũ</v>
      </c>
      <c r="B2030" s="15">
        <f>Solieusap!B2030</f>
        <v>1.75</v>
      </c>
      <c r="C2030" s="15" t="str">
        <f>Solieusap!C2030</f>
        <v>COMB4</v>
      </c>
      <c r="D2030" s="15" t="str">
        <f>Solieusap!D2030</f>
        <v>Combination</v>
      </c>
      <c r="E2030" s="16">
        <f>ABS(Solieusap!E2030)</f>
        <v>19.12761662</v>
      </c>
      <c r="F2030" s="16">
        <f>ABS(Solieusap!F2030)</f>
        <v>1.817835108</v>
      </c>
      <c r="G2030" s="16">
        <f>ABS(Solieusap!G2030)</f>
        <v>2.458944848</v>
      </c>
      <c r="H2030" s="16">
        <f>ABS(Solieusap!H2030)</f>
        <v>0.001104968974</v>
      </c>
      <c r="I2030" s="16">
        <f>ABS(Solieusap!I2030)</f>
        <v>6.688628957</v>
      </c>
      <c r="J2030" s="16">
        <f>ABS(Solieusap!J2030)</f>
        <v>4.497677416</v>
      </c>
      <c r="K2030" s="16">
        <f t="shared" si="1"/>
        <v>19.12761662</v>
      </c>
      <c r="L2030" s="16">
        <f t="shared" si="2"/>
        <v>6.688628957</v>
      </c>
    </row>
    <row r="2031" ht="16.5" customHeight="1">
      <c r="A2031" s="15" t="str">
        <f>Solieusap!A2031</f>
        <v>Cũ</v>
      </c>
      <c r="B2031" s="15">
        <f>Solieusap!B2031</f>
        <v>3.5</v>
      </c>
      <c r="C2031" s="15" t="str">
        <f>Solieusap!C2031</f>
        <v>COMB4</v>
      </c>
      <c r="D2031" s="15" t="str">
        <f>Solieusap!D2031</f>
        <v>Combination</v>
      </c>
      <c r="E2031" s="16">
        <f>ABS(Solieusap!E2031)</f>
        <v>19.14447299</v>
      </c>
      <c r="F2031" s="16">
        <f>ABS(Solieusap!F2031)</f>
        <v>1.819545628</v>
      </c>
      <c r="G2031" s="16">
        <f>ABS(Solieusap!G2031)</f>
        <v>2.461209264</v>
      </c>
      <c r="H2031" s="16">
        <f>ABS(Solieusap!H2031)</f>
        <v>0.001106024078</v>
      </c>
      <c r="I2031" s="16">
        <f>ABS(Solieusap!I2031)</f>
        <v>6.695423749</v>
      </c>
      <c r="J2031" s="16">
        <f>ABS(Solieusap!J2031)</f>
        <v>4.502224468</v>
      </c>
      <c r="K2031" s="16">
        <f t="shared" si="1"/>
        <v>19.14447299</v>
      </c>
      <c r="L2031" s="16">
        <f t="shared" si="2"/>
        <v>6.695423749</v>
      </c>
    </row>
    <row r="2032" ht="16.5" customHeight="1">
      <c r="A2032" s="15" t="str">
        <f>Solieusap!A2032</f>
        <v>Cũ</v>
      </c>
      <c r="B2032" s="15">
        <f>Solieusap!B2032</f>
        <v>0</v>
      </c>
      <c r="C2032" s="15" t="str">
        <f>Solieusap!C2032</f>
        <v>COMB5</v>
      </c>
      <c r="D2032" s="15" t="str">
        <f>Solieusap!D2032</f>
        <v>Combination</v>
      </c>
      <c r="E2032" s="16">
        <f>ABS(Solieusap!E2032)</f>
        <v>19.16132935</v>
      </c>
      <c r="F2032" s="16">
        <f>ABS(Solieusap!F2032)</f>
        <v>1.821256147</v>
      </c>
      <c r="G2032" s="16">
        <f>ABS(Solieusap!G2032)</f>
        <v>2.46347368</v>
      </c>
      <c r="H2032" s="16">
        <f>ABS(Solieusap!H2032)</f>
        <v>0.001107079182</v>
      </c>
      <c r="I2032" s="16">
        <f>ABS(Solieusap!I2032)</f>
        <v>6.702218541</v>
      </c>
      <c r="J2032" s="16">
        <f>ABS(Solieusap!J2032)</f>
        <v>4.506771519</v>
      </c>
      <c r="K2032" s="16">
        <f t="shared" si="1"/>
        <v>19.16132935</v>
      </c>
      <c r="L2032" s="16">
        <f t="shared" si="2"/>
        <v>6.702218541</v>
      </c>
    </row>
    <row r="2033" ht="16.5" customHeight="1">
      <c r="A2033" s="15" t="str">
        <f>Solieusap!A2033</f>
        <v>Cũ</v>
      </c>
      <c r="B2033" s="15">
        <f>Solieusap!B2033</f>
        <v>1.75</v>
      </c>
      <c r="C2033" s="15" t="str">
        <f>Solieusap!C2033</f>
        <v>COMB5</v>
      </c>
      <c r="D2033" s="15" t="str">
        <f>Solieusap!D2033</f>
        <v>Combination</v>
      </c>
      <c r="E2033" s="16">
        <f>ABS(Solieusap!E2033)</f>
        <v>19.17818571</v>
      </c>
      <c r="F2033" s="16">
        <f>ABS(Solieusap!F2033)</f>
        <v>1.822966667</v>
      </c>
      <c r="G2033" s="16">
        <f>ABS(Solieusap!G2033)</f>
        <v>2.465738095</v>
      </c>
      <c r="H2033" s="16">
        <f>ABS(Solieusap!H2033)</f>
        <v>0.001108134286</v>
      </c>
      <c r="I2033" s="16">
        <f>ABS(Solieusap!I2033)</f>
        <v>6.709013333</v>
      </c>
      <c r="J2033" s="16">
        <f>ABS(Solieusap!J2033)</f>
        <v>4.511318571</v>
      </c>
      <c r="K2033" s="16">
        <f t="shared" si="1"/>
        <v>19.17818571</v>
      </c>
      <c r="L2033" s="16">
        <f t="shared" si="2"/>
        <v>6.709013333</v>
      </c>
    </row>
    <row r="2034" ht="16.5" customHeight="1">
      <c r="A2034" s="15" t="str">
        <f>Solieusap!A2034</f>
        <v>Cũ</v>
      </c>
      <c r="B2034" s="15">
        <f>Solieusap!B2034</f>
        <v>3.5</v>
      </c>
      <c r="C2034" s="15" t="str">
        <f>Solieusap!C2034</f>
        <v>COMB5</v>
      </c>
      <c r="D2034" s="15" t="str">
        <f>Solieusap!D2034</f>
        <v>Combination</v>
      </c>
      <c r="E2034" s="16">
        <f>ABS(Solieusap!E2034)</f>
        <v>19.19504208</v>
      </c>
      <c r="F2034" s="16">
        <f>ABS(Solieusap!F2034)</f>
        <v>1.824677186</v>
      </c>
      <c r="G2034" s="16">
        <f>ABS(Solieusap!G2034)</f>
        <v>2.468002511</v>
      </c>
      <c r="H2034" s="16">
        <f>ABS(Solieusap!H2034)</f>
        <v>0.00110918939</v>
      </c>
      <c r="I2034" s="16">
        <f>ABS(Solieusap!I2034)</f>
        <v>6.715808126</v>
      </c>
      <c r="J2034" s="16">
        <f>ABS(Solieusap!J2034)</f>
        <v>4.515865623</v>
      </c>
      <c r="K2034" s="16">
        <f t="shared" si="1"/>
        <v>19.19504208</v>
      </c>
      <c r="L2034" s="16">
        <f t="shared" si="2"/>
        <v>6.715808126</v>
      </c>
    </row>
    <row r="2035" ht="16.5" customHeight="1">
      <c r="A2035" s="15" t="str">
        <f>Solieusap!A2035</f>
        <v>Cũ</v>
      </c>
      <c r="B2035" s="15">
        <f>Solieusap!B2035</f>
        <v>0</v>
      </c>
      <c r="C2035" s="15" t="str">
        <f>Solieusap!C2035</f>
        <v>COMB6</v>
      </c>
      <c r="D2035" s="15" t="str">
        <f>Solieusap!D2035</f>
        <v>Combination</v>
      </c>
      <c r="E2035" s="16">
        <f>ABS(Solieusap!E2035)</f>
        <v>19.21189844</v>
      </c>
      <c r="F2035" s="16">
        <f>ABS(Solieusap!F2035)</f>
        <v>1.826387706</v>
      </c>
      <c r="G2035" s="16">
        <f>ABS(Solieusap!G2035)</f>
        <v>2.470266926</v>
      </c>
      <c r="H2035" s="16">
        <f>ABS(Solieusap!H2035)</f>
        <v>0.001110244494</v>
      </c>
      <c r="I2035" s="16">
        <f>ABS(Solieusap!I2035)</f>
        <v>6.722602918</v>
      </c>
      <c r="J2035" s="16">
        <f>ABS(Solieusap!J2035)</f>
        <v>4.520412675</v>
      </c>
      <c r="K2035" s="16">
        <f t="shared" si="1"/>
        <v>19.21189844</v>
      </c>
      <c r="L2035" s="16">
        <f t="shared" si="2"/>
        <v>6.722602918</v>
      </c>
    </row>
    <row r="2036" ht="16.5" customHeight="1">
      <c r="A2036" s="15" t="str">
        <f>Solieusap!A2036</f>
        <v>Cũ</v>
      </c>
      <c r="B2036" s="15">
        <f>Solieusap!B2036</f>
        <v>1.75</v>
      </c>
      <c r="C2036" s="15" t="str">
        <f>Solieusap!C2036</f>
        <v>COMB6</v>
      </c>
      <c r="D2036" s="15" t="str">
        <f>Solieusap!D2036</f>
        <v>Combination</v>
      </c>
      <c r="E2036" s="16">
        <f>ABS(Solieusap!E2036)</f>
        <v>19.22875481</v>
      </c>
      <c r="F2036" s="16">
        <f>ABS(Solieusap!F2036)</f>
        <v>1.828098225</v>
      </c>
      <c r="G2036" s="16">
        <f>ABS(Solieusap!G2036)</f>
        <v>2.472531342</v>
      </c>
      <c r="H2036" s="16">
        <f>ABS(Solieusap!H2036)</f>
        <v>0.001111299597</v>
      </c>
      <c r="I2036" s="16">
        <f>ABS(Solieusap!I2036)</f>
        <v>6.72939771</v>
      </c>
      <c r="J2036" s="16">
        <f>ABS(Solieusap!J2036)</f>
        <v>4.524959727</v>
      </c>
      <c r="K2036" s="16">
        <f t="shared" si="1"/>
        <v>19.22875481</v>
      </c>
      <c r="L2036" s="16">
        <f t="shared" si="2"/>
        <v>6.72939771</v>
      </c>
    </row>
    <row r="2037" ht="16.5" customHeight="1">
      <c r="A2037" s="15" t="str">
        <f>Solieusap!A2037</f>
        <v>Cũ</v>
      </c>
      <c r="B2037" s="15">
        <f>Solieusap!B2037</f>
        <v>3.5</v>
      </c>
      <c r="C2037" s="15" t="str">
        <f>Solieusap!C2037</f>
        <v>COMB6</v>
      </c>
      <c r="D2037" s="15" t="str">
        <f>Solieusap!D2037</f>
        <v>Combination</v>
      </c>
      <c r="E2037" s="16">
        <f>ABS(Solieusap!E2037)</f>
        <v>19.24561117</v>
      </c>
      <c r="F2037" s="16">
        <f>ABS(Solieusap!F2037)</f>
        <v>1.829808745</v>
      </c>
      <c r="G2037" s="16">
        <f>ABS(Solieusap!G2037)</f>
        <v>2.474795758</v>
      </c>
      <c r="H2037" s="16">
        <f>ABS(Solieusap!H2037)</f>
        <v>0.001112354701</v>
      </c>
      <c r="I2037" s="16">
        <f>ABS(Solieusap!I2037)</f>
        <v>6.736192502</v>
      </c>
      <c r="J2037" s="16">
        <f>ABS(Solieusap!J2037)</f>
        <v>4.529506779</v>
      </c>
      <c r="K2037" s="16">
        <f t="shared" si="1"/>
        <v>19.24561117</v>
      </c>
      <c r="L2037" s="16">
        <f t="shared" si="2"/>
        <v>6.736192502</v>
      </c>
    </row>
    <row r="2038" ht="16.5" customHeight="1">
      <c r="A2038" s="15" t="str">
        <f>Solieusap!A2038</f>
        <v>Cũ</v>
      </c>
      <c r="B2038" s="15">
        <f>Solieusap!B2038</f>
        <v>0</v>
      </c>
      <c r="C2038" s="15" t="str">
        <f>Solieusap!C2038</f>
        <v>COMB7</v>
      </c>
      <c r="D2038" s="15" t="str">
        <f>Solieusap!D2038</f>
        <v>Combination</v>
      </c>
      <c r="E2038" s="16">
        <f>ABS(Solieusap!E2038)</f>
        <v>19.26246753</v>
      </c>
      <c r="F2038" s="16">
        <f>ABS(Solieusap!F2038)</f>
        <v>1.831519264</v>
      </c>
      <c r="G2038" s="16">
        <f>ABS(Solieusap!G2038)</f>
        <v>2.477060173</v>
      </c>
      <c r="H2038" s="16">
        <f>ABS(Solieusap!H2038)</f>
        <v>0.001113409805</v>
      </c>
      <c r="I2038" s="16">
        <f>ABS(Solieusap!I2038)</f>
        <v>6.742987294</v>
      </c>
      <c r="J2038" s="16">
        <f>ABS(Solieusap!J2038)</f>
        <v>4.534053831</v>
      </c>
      <c r="K2038" s="16">
        <f t="shared" si="1"/>
        <v>19.26246753</v>
      </c>
      <c r="L2038" s="16">
        <f t="shared" si="2"/>
        <v>6.742987294</v>
      </c>
    </row>
    <row r="2039" ht="16.5" customHeight="1">
      <c r="A2039" s="15" t="str">
        <f>Solieusap!A2039</f>
        <v>Cũ</v>
      </c>
      <c r="B2039" s="15">
        <f>Solieusap!B2039</f>
        <v>1.75</v>
      </c>
      <c r="C2039" s="15" t="str">
        <f>Solieusap!C2039</f>
        <v>COMB7</v>
      </c>
      <c r="D2039" s="15" t="str">
        <f>Solieusap!D2039</f>
        <v>Combination</v>
      </c>
      <c r="E2039" s="16">
        <f>ABS(Solieusap!E2039)</f>
        <v>19.2793239</v>
      </c>
      <c r="F2039" s="16">
        <f>ABS(Solieusap!F2039)</f>
        <v>1.833229784</v>
      </c>
      <c r="G2039" s="16">
        <f>ABS(Solieusap!G2039)</f>
        <v>2.479324589</v>
      </c>
      <c r="H2039" s="16">
        <f>ABS(Solieusap!H2039)</f>
        <v>0.001114464909</v>
      </c>
      <c r="I2039" s="16">
        <f>ABS(Solieusap!I2039)</f>
        <v>6.749782087</v>
      </c>
      <c r="J2039" s="16">
        <f>ABS(Solieusap!J2039)</f>
        <v>4.538600883</v>
      </c>
      <c r="K2039" s="16">
        <f t="shared" si="1"/>
        <v>19.2793239</v>
      </c>
      <c r="L2039" s="16">
        <f t="shared" si="2"/>
        <v>6.749782087</v>
      </c>
    </row>
    <row r="2040" ht="16.5" customHeight="1">
      <c r="A2040" s="15" t="str">
        <f>Solieusap!A2040</f>
        <v>Cũ</v>
      </c>
      <c r="B2040" s="15">
        <f>Solieusap!B2040</f>
        <v>3.5</v>
      </c>
      <c r="C2040" s="15" t="str">
        <f>Solieusap!C2040</f>
        <v>COMB7</v>
      </c>
      <c r="D2040" s="15" t="str">
        <f>Solieusap!D2040</f>
        <v>Combination</v>
      </c>
      <c r="E2040" s="16">
        <f>ABS(Solieusap!E2040)</f>
        <v>19.29618026</v>
      </c>
      <c r="F2040" s="16">
        <f>ABS(Solieusap!F2040)</f>
        <v>1.834940303</v>
      </c>
      <c r="G2040" s="16">
        <f>ABS(Solieusap!G2040)</f>
        <v>2.481589004</v>
      </c>
      <c r="H2040" s="16">
        <f>ABS(Solieusap!H2040)</f>
        <v>0.001115520013</v>
      </c>
      <c r="I2040" s="16">
        <f>ABS(Solieusap!I2040)</f>
        <v>6.756576879</v>
      </c>
      <c r="J2040" s="16">
        <f>ABS(Solieusap!J2040)</f>
        <v>4.543147935</v>
      </c>
      <c r="K2040" s="16">
        <f t="shared" si="1"/>
        <v>19.29618026</v>
      </c>
      <c r="L2040" s="16">
        <f t="shared" si="2"/>
        <v>6.756576879</v>
      </c>
    </row>
    <row r="2041" ht="16.5" customHeight="1">
      <c r="A2041" s="15" t="str">
        <f>Solieusap!A2041</f>
        <v>Cũ</v>
      </c>
      <c r="B2041" s="15">
        <f>Solieusap!B2041</f>
        <v>0</v>
      </c>
      <c r="C2041" s="15" t="str">
        <f>Solieusap!C2041</f>
        <v>COMB1</v>
      </c>
      <c r="D2041" s="15" t="str">
        <f>Solieusap!D2041</f>
        <v>Combination</v>
      </c>
      <c r="E2041" s="16">
        <f>ABS(Solieusap!E2041)</f>
        <v>19.31303662</v>
      </c>
      <c r="F2041" s="16">
        <f>ABS(Solieusap!F2041)</f>
        <v>1.836650823</v>
      </c>
      <c r="G2041" s="16">
        <f>ABS(Solieusap!G2041)</f>
        <v>2.48385342</v>
      </c>
      <c r="H2041" s="16">
        <f>ABS(Solieusap!H2041)</f>
        <v>0.001116575117</v>
      </c>
      <c r="I2041" s="16">
        <f>ABS(Solieusap!I2041)</f>
        <v>6.763371671</v>
      </c>
      <c r="J2041" s="16">
        <f>ABS(Solieusap!J2041)</f>
        <v>4.547694987</v>
      </c>
      <c r="K2041" s="16">
        <f t="shared" si="1"/>
        <v>19.31303662</v>
      </c>
      <c r="L2041" s="16">
        <f t="shared" si="2"/>
        <v>6.763371671</v>
      </c>
    </row>
    <row r="2042" ht="16.5" customHeight="1">
      <c r="A2042" s="15" t="str">
        <f>Solieusap!A2042</f>
        <v>Cũ</v>
      </c>
      <c r="B2042" s="15">
        <f>Solieusap!B2042</f>
        <v>1.75</v>
      </c>
      <c r="C2042" s="15" t="str">
        <f>Solieusap!C2042</f>
        <v>COMB1</v>
      </c>
      <c r="D2042" s="15" t="str">
        <f>Solieusap!D2042</f>
        <v>Combination</v>
      </c>
      <c r="E2042" s="16">
        <f>ABS(Solieusap!E2042)</f>
        <v>19.32989299</v>
      </c>
      <c r="F2042" s="16">
        <f>ABS(Solieusap!F2042)</f>
        <v>1.838361342</v>
      </c>
      <c r="G2042" s="16">
        <f>ABS(Solieusap!G2042)</f>
        <v>2.486117835</v>
      </c>
      <c r="H2042" s="16">
        <f>ABS(Solieusap!H2042)</f>
        <v>0.001117630221</v>
      </c>
      <c r="I2042" s="16">
        <f>ABS(Solieusap!I2042)</f>
        <v>6.770166463</v>
      </c>
      <c r="J2042" s="16">
        <f>ABS(Solieusap!J2042)</f>
        <v>4.552242039</v>
      </c>
      <c r="K2042" s="16">
        <f t="shared" si="1"/>
        <v>19.32989299</v>
      </c>
      <c r="L2042" s="16">
        <f t="shared" si="2"/>
        <v>6.770166463</v>
      </c>
    </row>
    <row r="2043" ht="16.5" customHeight="1">
      <c r="A2043" s="15" t="str">
        <f>Solieusap!A2043</f>
        <v>Cũ</v>
      </c>
      <c r="B2043" s="15">
        <f>Solieusap!B2043</f>
        <v>3.5</v>
      </c>
      <c r="C2043" s="15" t="str">
        <f>Solieusap!C2043</f>
        <v>COMB1</v>
      </c>
      <c r="D2043" s="15" t="str">
        <f>Solieusap!D2043</f>
        <v>Combination</v>
      </c>
      <c r="E2043" s="16">
        <f>ABS(Solieusap!E2043)</f>
        <v>19.34674935</v>
      </c>
      <c r="F2043" s="16">
        <f>ABS(Solieusap!F2043)</f>
        <v>1.840071861</v>
      </c>
      <c r="G2043" s="16">
        <f>ABS(Solieusap!G2043)</f>
        <v>2.488382251</v>
      </c>
      <c r="H2043" s="16">
        <f>ABS(Solieusap!H2043)</f>
        <v>0.001118685325</v>
      </c>
      <c r="I2043" s="16">
        <f>ABS(Solieusap!I2043)</f>
        <v>6.776961255</v>
      </c>
      <c r="J2043" s="16">
        <f>ABS(Solieusap!J2043)</f>
        <v>4.556789091</v>
      </c>
      <c r="K2043" s="16">
        <f t="shared" si="1"/>
        <v>19.34674935</v>
      </c>
      <c r="L2043" s="16">
        <f t="shared" si="2"/>
        <v>6.776961255</v>
      </c>
    </row>
    <row r="2044" ht="16.5" customHeight="1">
      <c r="A2044" s="15" t="str">
        <f>Solieusap!A2044</f>
        <v>Cũ</v>
      </c>
      <c r="B2044" s="15">
        <f>Solieusap!B2044</f>
        <v>0</v>
      </c>
      <c r="C2044" s="15" t="str">
        <f>Solieusap!C2044</f>
        <v>COMB2</v>
      </c>
      <c r="D2044" s="15" t="str">
        <f>Solieusap!D2044</f>
        <v>Combination</v>
      </c>
      <c r="E2044" s="16">
        <f>ABS(Solieusap!E2044)</f>
        <v>19.36360571</v>
      </c>
      <c r="F2044" s="16">
        <f>ABS(Solieusap!F2044)</f>
        <v>1.841782381</v>
      </c>
      <c r="G2044" s="16">
        <f>ABS(Solieusap!G2044)</f>
        <v>2.490646667</v>
      </c>
      <c r="H2044" s="16">
        <f>ABS(Solieusap!H2044)</f>
        <v>0.001119740429</v>
      </c>
      <c r="I2044" s="16">
        <f>ABS(Solieusap!I2044)</f>
        <v>6.783756048</v>
      </c>
      <c r="J2044" s="16">
        <f>ABS(Solieusap!J2044)</f>
        <v>4.561336143</v>
      </c>
      <c r="K2044" s="16">
        <f t="shared" si="1"/>
        <v>19.36360571</v>
      </c>
      <c r="L2044" s="16">
        <f t="shared" si="2"/>
        <v>6.783756048</v>
      </c>
    </row>
    <row r="2045" ht="16.5" customHeight="1">
      <c r="A2045" s="15" t="str">
        <f>Solieusap!A2045</f>
        <v>Cũ</v>
      </c>
      <c r="B2045" s="15">
        <f>Solieusap!B2045</f>
        <v>1.75</v>
      </c>
      <c r="C2045" s="15" t="str">
        <f>Solieusap!C2045</f>
        <v>COMB2</v>
      </c>
      <c r="D2045" s="15" t="str">
        <f>Solieusap!D2045</f>
        <v>Combination</v>
      </c>
      <c r="E2045" s="16">
        <f>ABS(Solieusap!E2045)</f>
        <v>19.38046208</v>
      </c>
      <c r="F2045" s="16">
        <f>ABS(Solieusap!F2045)</f>
        <v>1.8434929</v>
      </c>
      <c r="G2045" s="16">
        <f>ABS(Solieusap!G2045)</f>
        <v>2.492911082</v>
      </c>
      <c r="H2045" s="16">
        <f>ABS(Solieusap!H2045)</f>
        <v>0.001120795532</v>
      </c>
      <c r="I2045" s="16">
        <f>ABS(Solieusap!I2045)</f>
        <v>6.79055084</v>
      </c>
      <c r="J2045" s="16">
        <f>ABS(Solieusap!J2045)</f>
        <v>4.565883195</v>
      </c>
      <c r="K2045" s="16">
        <f t="shared" si="1"/>
        <v>19.38046208</v>
      </c>
      <c r="L2045" s="16">
        <f t="shared" si="2"/>
        <v>6.79055084</v>
      </c>
    </row>
    <row r="2046" ht="16.5" customHeight="1">
      <c r="A2046" s="15" t="str">
        <f>Solieusap!A2046</f>
        <v>Cũ</v>
      </c>
      <c r="B2046" s="15">
        <f>Solieusap!B2046</f>
        <v>3.5</v>
      </c>
      <c r="C2046" s="15" t="str">
        <f>Solieusap!C2046</f>
        <v>COMB2</v>
      </c>
      <c r="D2046" s="15" t="str">
        <f>Solieusap!D2046</f>
        <v>Combination</v>
      </c>
      <c r="E2046" s="16">
        <f>ABS(Solieusap!E2046)</f>
        <v>19.39731844</v>
      </c>
      <c r="F2046" s="16">
        <f>ABS(Solieusap!F2046)</f>
        <v>1.84520342</v>
      </c>
      <c r="G2046" s="16">
        <f>ABS(Solieusap!G2046)</f>
        <v>2.495175498</v>
      </c>
      <c r="H2046" s="16">
        <f>ABS(Solieusap!H2046)</f>
        <v>0.001121850636</v>
      </c>
      <c r="I2046" s="16">
        <f>ABS(Solieusap!I2046)</f>
        <v>6.797345632</v>
      </c>
      <c r="J2046" s="16">
        <f>ABS(Solieusap!J2046)</f>
        <v>4.570430247</v>
      </c>
      <c r="K2046" s="16">
        <f t="shared" si="1"/>
        <v>19.39731844</v>
      </c>
      <c r="L2046" s="16">
        <f t="shared" si="2"/>
        <v>6.797345632</v>
      </c>
    </row>
    <row r="2047" ht="16.5" customHeight="1">
      <c r="A2047" s="15" t="str">
        <f>Solieusap!A2047</f>
        <v>Cũ</v>
      </c>
      <c r="B2047" s="15">
        <f>Solieusap!B2047</f>
        <v>0</v>
      </c>
      <c r="C2047" s="15" t="str">
        <f>Solieusap!C2047</f>
        <v>COMB3</v>
      </c>
      <c r="D2047" s="15" t="str">
        <f>Solieusap!D2047</f>
        <v>Combination</v>
      </c>
      <c r="E2047" s="16">
        <f>ABS(Solieusap!E2047)</f>
        <v>19.41417481</v>
      </c>
      <c r="F2047" s="16">
        <f>ABS(Solieusap!F2047)</f>
        <v>1.846913939</v>
      </c>
      <c r="G2047" s="16">
        <f>ABS(Solieusap!G2047)</f>
        <v>2.497439913</v>
      </c>
      <c r="H2047" s="16">
        <f>ABS(Solieusap!H2047)</f>
        <v>0.00112290574</v>
      </c>
      <c r="I2047" s="16">
        <f>ABS(Solieusap!I2047)</f>
        <v>6.804140424</v>
      </c>
      <c r="J2047" s="16">
        <f>ABS(Solieusap!J2047)</f>
        <v>4.574977299</v>
      </c>
      <c r="K2047" s="16">
        <f t="shared" si="1"/>
        <v>19.41417481</v>
      </c>
      <c r="L2047" s="16">
        <f t="shared" si="2"/>
        <v>6.804140424</v>
      </c>
    </row>
    <row r="2048" ht="16.5" customHeight="1">
      <c r="A2048" s="15" t="str">
        <f>Solieusap!A2048</f>
        <v>Cũ</v>
      </c>
      <c r="B2048" s="15">
        <f>Solieusap!B2048</f>
        <v>1.75</v>
      </c>
      <c r="C2048" s="15" t="str">
        <f>Solieusap!C2048</f>
        <v>COMB3</v>
      </c>
      <c r="D2048" s="15" t="str">
        <f>Solieusap!D2048</f>
        <v>Combination</v>
      </c>
      <c r="E2048" s="16">
        <f>ABS(Solieusap!E2048)</f>
        <v>19.43103117</v>
      </c>
      <c r="F2048" s="16">
        <f>ABS(Solieusap!F2048)</f>
        <v>1.848624459</v>
      </c>
      <c r="G2048" s="16">
        <f>ABS(Solieusap!G2048)</f>
        <v>2.499704329</v>
      </c>
      <c r="H2048" s="16">
        <f>ABS(Solieusap!H2048)</f>
        <v>0.001123960844</v>
      </c>
      <c r="I2048" s="16">
        <f>ABS(Solieusap!I2048)</f>
        <v>6.810935216</v>
      </c>
      <c r="J2048" s="16">
        <f>ABS(Solieusap!J2048)</f>
        <v>4.579524351</v>
      </c>
      <c r="K2048" s="16">
        <f t="shared" si="1"/>
        <v>19.43103117</v>
      </c>
      <c r="L2048" s="16">
        <f t="shared" si="2"/>
        <v>6.810935216</v>
      </c>
    </row>
    <row r="2049" ht="16.5" customHeight="1">
      <c r="A2049" s="15" t="str">
        <f>Solieusap!A2049</f>
        <v>Cũ</v>
      </c>
      <c r="B2049" s="15">
        <f>Solieusap!B2049</f>
        <v>3.5</v>
      </c>
      <c r="C2049" s="15" t="str">
        <f>Solieusap!C2049</f>
        <v>COMB3</v>
      </c>
      <c r="D2049" s="15" t="str">
        <f>Solieusap!D2049</f>
        <v>Combination</v>
      </c>
      <c r="E2049" s="16">
        <f>ABS(Solieusap!E2049)</f>
        <v>19.44788753</v>
      </c>
      <c r="F2049" s="16">
        <f>ABS(Solieusap!F2049)</f>
        <v>1.850334978</v>
      </c>
      <c r="G2049" s="16">
        <f>ABS(Solieusap!G2049)</f>
        <v>2.501968745</v>
      </c>
      <c r="H2049" s="16">
        <f>ABS(Solieusap!H2049)</f>
        <v>0.001125015948</v>
      </c>
      <c r="I2049" s="16">
        <f>ABS(Solieusap!I2049)</f>
        <v>6.817730009</v>
      </c>
      <c r="J2049" s="16">
        <f>ABS(Solieusap!J2049)</f>
        <v>4.584071403</v>
      </c>
      <c r="K2049" s="16">
        <f t="shared" si="1"/>
        <v>19.44788753</v>
      </c>
      <c r="L2049" s="16">
        <f t="shared" si="2"/>
        <v>6.817730009</v>
      </c>
    </row>
    <row r="2050" ht="16.5" customHeight="1">
      <c r="A2050" s="15" t="str">
        <f>Solieusap!A2050</f>
        <v>Cũ</v>
      </c>
      <c r="B2050" s="15">
        <f>Solieusap!B2050</f>
        <v>0</v>
      </c>
      <c r="C2050" s="15" t="str">
        <f>Solieusap!C2050</f>
        <v>COMB4</v>
      </c>
      <c r="D2050" s="15" t="str">
        <f>Solieusap!D2050</f>
        <v>Combination</v>
      </c>
      <c r="E2050" s="16">
        <f>ABS(Solieusap!E2050)</f>
        <v>19.4647439</v>
      </c>
      <c r="F2050" s="16">
        <f>ABS(Solieusap!F2050)</f>
        <v>1.852045498</v>
      </c>
      <c r="G2050" s="16">
        <f>ABS(Solieusap!G2050)</f>
        <v>2.50423316</v>
      </c>
      <c r="H2050" s="16">
        <f>ABS(Solieusap!H2050)</f>
        <v>0.001126071052</v>
      </c>
      <c r="I2050" s="16">
        <f>ABS(Solieusap!I2050)</f>
        <v>6.824524801</v>
      </c>
      <c r="J2050" s="16">
        <f>ABS(Solieusap!J2050)</f>
        <v>4.588618455</v>
      </c>
      <c r="K2050" s="16">
        <f t="shared" si="1"/>
        <v>19.4647439</v>
      </c>
      <c r="L2050" s="16">
        <f t="shared" si="2"/>
        <v>6.824524801</v>
      </c>
    </row>
    <row r="2051" ht="16.5" customHeight="1">
      <c r="A2051" s="15" t="str">
        <f>Solieusap!A2051</f>
        <v>Cũ</v>
      </c>
      <c r="B2051" s="15">
        <f>Solieusap!B2051</f>
        <v>1.75</v>
      </c>
      <c r="C2051" s="15" t="str">
        <f>Solieusap!C2051</f>
        <v>COMB4</v>
      </c>
      <c r="D2051" s="15" t="str">
        <f>Solieusap!D2051</f>
        <v>Combination</v>
      </c>
      <c r="E2051" s="16">
        <f>ABS(Solieusap!E2051)</f>
        <v>19.48160026</v>
      </c>
      <c r="F2051" s="16">
        <f>ABS(Solieusap!F2051)</f>
        <v>1.853756017</v>
      </c>
      <c r="G2051" s="16">
        <f>ABS(Solieusap!G2051)</f>
        <v>2.506497576</v>
      </c>
      <c r="H2051" s="16">
        <f>ABS(Solieusap!H2051)</f>
        <v>0.001127126156</v>
      </c>
      <c r="I2051" s="16">
        <f>ABS(Solieusap!I2051)</f>
        <v>6.831319593</v>
      </c>
      <c r="J2051" s="16">
        <f>ABS(Solieusap!J2051)</f>
        <v>4.593165506</v>
      </c>
      <c r="K2051" s="16">
        <f t="shared" si="1"/>
        <v>19.48160026</v>
      </c>
      <c r="L2051" s="16">
        <f t="shared" si="2"/>
        <v>6.831319593</v>
      </c>
    </row>
    <row r="2052" ht="16.5" customHeight="1">
      <c r="A2052" s="15" t="str">
        <f>Solieusap!A2052</f>
        <v>Cũ</v>
      </c>
      <c r="B2052" s="15">
        <f>Solieusap!B2052</f>
        <v>3.5</v>
      </c>
      <c r="C2052" s="15" t="str">
        <f>Solieusap!C2052</f>
        <v>COMB4</v>
      </c>
      <c r="D2052" s="15" t="str">
        <f>Solieusap!D2052</f>
        <v>Combination</v>
      </c>
      <c r="E2052" s="16">
        <f>ABS(Solieusap!E2052)</f>
        <v>19.49845662</v>
      </c>
      <c r="F2052" s="16">
        <f>ABS(Solieusap!F2052)</f>
        <v>1.855466537</v>
      </c>
      <c r="G2052" s="16">
        <f>ABS(Solieusap!G2052)</f>
        <v>2.508761991</v>
      </c>
      <c r="H2052" s="16">
        <f>ABS(Solieusap!H2052)</f>
        <v>0.00112818126</v>
      </c>
      <c r="I2052" s="16">
        <f>ABS(Solieusap!I2052)</f>
        <v>6.838114385</v>
      </c>
      <c r="J2052" s="16">
        <f>ABS(Solieusap!J2052)</f>
        <v>4.597712558</v>
      </c>
      <c r="K2052" s="16">
        <f t="shared" si="1"/>
        <v>19.49845662</v>
      </c>
      <c r="L2052" s="16">
        <f t="shared" si="2"/>
        <v>6.838114385</v>
      </c>
    </row>
    <row r="2053" ht="16.5" customHeight="1">
      <c r="A2053" s="15" t="str">
        <f>Solieusap!A2053</f>
        <v>Cũ</v>
      </c>
      <c r="B2053" s="15">
        <f>Solieusap!B2053</f>
        <v>0</v>
      </c>
      <c r="C2053" s="15" t="str">
        <f>Solieusap!C2053</f>
        <v>COMB5</v>
      </c>
      <c r="D2053" s="15" t="str">
        <f>Solieusap!D2053</f>
        <v>Combination</v>
      </c>
      <c r="E2053" s="16">
        <f>ABS(Solieusap!E2053)</f>
        <v>19.51531299</v>
      </c>
      <c r="F2053" s="16">
        <f>ABS(Solieusap!F2053)</f>
        <v>1.857177056</v>
      </c>
      <c r="G2053" s="16">
        <f>ABS(Solieusap!G2053)</f>
        <v>2.511026407</v>
      </c>
      <c r="H2053" s="16">
        <f>ABS(Solieusap!H2053)</f>
        <v>0.001129236364</v>
      </c>
      <c r="I2053" s="16">
        <f>ABS(Solieusap!I2053)</f>
        <v>6.844909177</v>
      </c>
      <c r="J2053" s="16">
        <f>ABS(Solieusap!J2053)</f>
        <v>4.60225961</v>
      </c>
      <c r="K2053" s="16">
        <f t="shared" si="1"/>
        <v>19.51531299</v>
      </c>
      <c r="L2053" s="16">
        <f t="shared" si="2"/>
        <v>6.844909177</v>
      </c>
    </row>
    <row r="2054" ht="16.5" customHeight="1">
      <c r="A2054" s="15" t="str">
        <f>Solieusap!A2054</f>
        <v>Cũ</v>
      </c>
      <c r="B2054" s="15">
        <f>Solieusap!B2054</f>
        <v>1.75</v>
      </c>
      <c r="C2054" s="15" t="str">
        <f>Solieusap!C2054</f>
        <v>COMB5</v>
      </c>
      <c r="D2054" s="15" t="str">
        <f>Solieusap!D2054</f>
        <v>Combination</v>
      </c>
      <c r="E2054" s="16">
        <f>ABS(Solieusap!E2054)</f>
        <v>19.53216935</v>
      </c>
      <c r="F2054" s="16">
        <f>ABS(Solieusap!F2054)</f>
        <v>1.858887576</v>
      </c>
      <c r="G2054" s="16">
        <f>ABS(Solieusap!G2054)</f>
        <v>2.513290823</v>
      </c>
      <c r="H2054" s="16">
        <f>ABS(Solieusap!H2054)</f>
        <v>0.001130291468</v>
      </c>
      <c r="I2054" s="16">
        <f>ABS(Solieusap!I2054)</f>
        <v>6.85170397</v>
      </c>
      <c r="J2054" s="16">
        <f>ABS(Solieusap!J2054)</f>
        <v>4.606806662</v>
      </c>
      <c r="K2054" s="16">
        <f t="shared" si="1"/>
        <v>19.53216935</v>
      </c>
      <c r="L2054" s="16">
        <f t="shared" si="2"/>
        <v>6.85170397</v>
      </c>
    </row>
    <row r="2055" ht="16.5" customHeight="1">
      <c r="A2055" s="15" t="str">
        <f>Solieusap!A2055</f>
        <v>Cũ</v>
      </c>
      <c r="B2055" s="15">
        <f>Solieusap!B2055</f>
        <v>3.5</v>
      </c>
      <c r="C2055" s="15" t="str">
        <f>Solieusap!C2055</f>
        <v>COMB5</v>
      </c>
      <c r="D2055" s="15" t="str">
        <f>Solieusap!D2055</f>
        <v>Combination</v>
      </c>
      <c r="E2055" s="16">
        <f>ABS(Solieusap!E2055)</f>
        <v>19.54902571</v>
      </c>
      <c r="F2055" s="16">
        <f>ABS(Solieusap!F2055)</f>
        <v>1.860598095</v>
      </c>
      <c r="G2055" s="16">
        <f>ABS(Solieusap!G2055)</f>
        <v>2.515555238</v>
      </c>
      <c r="H2055" s="16">
        <f>ABS(Solieusap!H2055)</f>
        <v>0.001131346571</v>
      </c>
      <c r="I2055" s="16">
        <f>ABS(Solieusap!I2055)</f>
        <v>6.858498762</v>
      </c>
      <c r="J2055" s="16">
        <f>ABS(Solieusap!J2055)</f>
        <v>4.611353714</v>
      </c>
      <c r="K2055" s="16">
        <f t="shared" si="1"/>
        <v>19.54902571</v>
      </c>
      <c r="L2055" s="16">
        <f t="shared" si="2"/>
        <v>6.858498762</v>
      </c>
    </row>
    <row r="2056" ht="16.5" customHeight="1">
      <c r="A2056" s="15" t="str">
        <f>Solieusap!A2056</f>
        <v>Cũ</v>
      </c>
      <c r="B2056" s="15">
        <f>Solieusap!B2056</f>
        <v>0</v>
      </c>
      <c r="C2056" s="15" t="str">
        <f>Solieusap!C2056</f>
        <v>COMB6</v>
      </c>
      <c r="D2056" s="15" t="str">
        <f>Solieusap!D2056</f>
        <v>Combination</v>
      </c>
      <c r="E2056" s="16">
        <f>ABS(Solieusap!E2056)</f>
        <v>19.56588208</v>
      </c>
      <c r="F2056" s="16">
        <f>ABS(Solieusap!F2056)</f>
        <v>1.862308615</v>
      </c>
      <c r="G2056" s="16">
        <f>ABS(Solieusap!G2056)</f>
        <v>2.517819654</v>
      </c>
      <c r="H2056" s="16">
        <f>ABS(Solieusap!H2056)</f>
        <v>0.001132401675</v>
      </c>
      <c r="I2056" s="16">
        <f>ABS(Solieusap!I2056)</f>
        <v>6.865293554</v>
      </c>
      <c r="J2056" s="16">
        <f>ABS(Solieusap!J2056)</f>
        <v>4.615900766</v>
      </c>
      <c r="K2056" s="16">
        <f t="shared" si="1"/>
        <v>19.56588208</v>
      </c>
      <c r="L2056" s="16">
        <f t="shared" si="2"/>
        <v>6.865293554</v>
      </c>
    </row>
    <row r="2057" ht="16.5" customHeight="1">
      <c r="A2057" s="15" t="str">
        <f>Solieusap!A2057</f>
        <v>Cũ</v>
      </c>
      <c r="B2057" s="15">
        <f>Solieusap!B2057</f>
        <v>1.75</v>
      </c>
      <c r="C2057" s="15" t="str">
        <f>Solieusap!C2057</f>
        <v>COMB6</v>
      </c>
      <c r="D2057" s="15" t="str">
        <f>Solieusap!D2057</f>
        <v>Combination</v>
      </c>
      <c r="E2057" s="16">
        <f>ABS(Solieusap!E2057)</f>
        <v>19.58273844</v>
      </c>
      <c r="F2057" s="16">
        <f>ABS(Solieusap!F2057)</f>
        <v>1.864019134</v>
      </c>
      <c r="G2057" s="16">
        <f>ABS(Solieusap!G2057)</f>
        <v>2.520084069</v>
      </c>
      <c r="H2057" s="16">
        <f>ABS(Solieusap!H2057)</f>
        <v>0.001133456779</v>
      </c>
      <c r="I2057" s="16">
        <f>ABS(Solieusap!I2057)</f>
        <v>6.872088346</v>
      </c>
      <c r="J2057" s="16">
        <f>ABS(Solieusap!J2057)</f>
        <v>4.620447818</v>
      </c>
      <c r="K2057" s="16">
        <f t="shared" si="1"/>
        <v>19.58273844</v>
      </c>
      <c r="L2057" s="16">
        <f t="shared" si="2"/>
        <v>6.872088346</v>
      </c>
    </row>
    <row r="2058" ht="16.5" customHeight="1">
      <c r="A2058" s="15" t="str">
        <f>Solieusap!A2058</f>
        <v>Cũ</v>
      </c>
      <c r="B2058" s="15">
        <f>Solieusap!B2058</f>
        <v>3.5</v>
      </c>
      <c r="C2058" s="15" t="str">
        <f>Solieusap!C2058</f>
        <v>COMB6</v>
      </c>
      <c r="D2058" s="15" t="str">
        <f>Solieusap!D2058</f>
        <v>Combination</v>
      </c>
      <c r="E2058" s="16">
        <f>ABS(Solieusap!E2058)</f>
        <v>19.59959481</v>
      </c>
      <c r="F2058" s="16">
        <f>ABS(Solieusap!F2058)</f>
        <v>1.865729654</v>
      </c>
      <c r="G2058" s="16">
        <f>ABS(Solieusap!G2058)</f>
        <v>2.522348485</v>
      </c>
      <c r="H2058" s="16">
        <f>ABS(Solieusap!H2058)</f>
        <v>0.001134511883</v>
      </c>
      <c r="I2058" s="16">
        <f>ABS(Solieusap!I2058)</f>
        <v>6.878883139</v>
      </c>
      <c r="J2058" s="16">
        <f>ABS(Solieusap!J2058)</f>
        <v>4.62499487</v>
      </c>
      <c r="K2058" s="16">
        <f t="shared" si="1"/>
        <v>19.59959481</v>
      </c>
      <c r="L2058" s="16">
        <f t="shared" si="2"/>
        <v>6.878883139</v>
      </c>
    </row>
    <row r="2059" ht="16.5" customHeight="1">
      <c r="A2059" s="15" t="str">
        <f>Solieusap!A2059</f>
        <v>Cũ</v>
      </c>
      <c r="B2059" s="15">
        <f>Solieusap!B2059</f>
        <v>0</v>
      </c>
      <c r="C2059" s="15" t="str">
        <f>Solieusap!C2059</f>
        <v>COMB7</v>
      </c>
      <c r="D2059" s="15" t="str">
        <f>Solieusap!D2059</f>
        <v>Combination</v>
      </c>
      <c r="E2059" s="16">
        <f>ABS(Solieusap!E2059)</f>
        <v>19.61645117</v>
      </c>
      <c r="F2059" s="16">
        <f>ABS(Solieusap!F2059)</f>
        <v>1.867440173</v>
      </c>
      <c r="G2059" s="16">
        <f>ABS(Solieusap!G2059)</f>
        <v>2.5246129</v>
      </c>
      <c r="H2059" s="16">
        <f>ABS(Solieusap!H2059)</f>
        <v>0.001135566987</v>
      </c>
      <c r="I2059" s="16">
        <f>ABS(Solieusap!I2059)</f>
        <v>6.885677931</v>
      </c>
      <c r="J2059" s="16">
        <f>ABS(Solieusap!J2059)</f>
        <v>4.629541922</v>
      </c>
      <c r="K2059" s="16">
        <f t="shared" si="1"/>
        <v>19.61645117</v>
      </c>
      <c r="L2059" s="16">
        <f t="shared" si="2"/>
        <v>6.885677931</v>
      </c>
    </row>
    <row r="2060" ht="16.5" customHeight="1">
      <c r="A2060" s="15" t="str">
        <f>Solieusap!A2060</f>
        <v>Cũ</v>
      </c>
      <c r="B2060" s="15">
        <f>Solieusap!B2060</f>
        <v>1.75</v>
      </c>
      <c r="C2060" s="15" t="str">
        <f>Solieusap!C2060</f>
        <v>COMB7</v>
      </c>
      <c r="D2060" s="15" t="str">
        <f>Solieusap!D2060</f>
        <v>Combination</v>
      </c>
      <c r="E2060" s="16">
        <f>ABS(Solieusap!E2060)</f>
        <v>19.63330753</v>
      </c>
      <c r="F2060" s="16">
        <f>ABS(Solieusap!F2060)</f>
        <v>1.869150693</v>
      </c>
      <c r="G2060" s="16">
        <f>ABS(Solieusap!G2060)</f>
        <v>2.526877316</v>
      </c>
      <c r="H2060" s="16">
        <f>ABS(Solieusap!H2060)</f>
        <v>0.001136622091</v>
      </c>
      <c r="I2060" s="16">
        <f>ABS(Solieusap!I2060)</f>
        <v>6.892472723</v>
      </c>
      <c r="J2060" s="16">
        <f>ABS(Solieusap!J2060)</f>
        <v>4.634088974</v>
      </c>
      <c r="K2060" s="16">
        <f t="shared" si="1"/>
        <v>19.63330753</v>
      </c>
      <c r="L2060" s="16">
        <f t="shared" si="2"/>
        <v>6.892472723</v>
      </c>
    </row>
    <row r="2061" ht="16.5" customHeight="1">
      <c r="A2061" s="15" t="str">
        <f>Solieusap!A2061</f>
        <v>Cũ</v>
      </c>
      <c r="B2061" s="15">
        <f>Solieusap!B2061</f>
        <v>3.5</v>
      </c>
      <c r="C2061" s="15" t="str">
        <f>Solieusap!C2061</f>
        <v>COMB7</v>
      </c>
      <c r="D2061" s="15" t="str">
        <f>Solieusap!D2061</f>
        <v>Combination</v>
      </c>
      <c r="E2061" s="16">
        <f>ABS(Solieusap!E2061)</f>
        <v>19.6501639</v>
      </c>
      <c r="F2061" s="16">
        <f>ABS(Solieusap!F2061)</f>
        <v>1.870861212</v>
      </c>
      <c r="G2061" s="16">
        <f>ABS(Solieusap!G2061)</f>
        <v>2.529141732</v>
      </c>
      <c r="H2061" s="16">
        <f>ABS(Solieusap!H2061)</f>
        <v>0.001137677195</v>
      </c>
      <c r="I2061" s="16">
        <f>ABS(Solieusap!I2061)</f>
        <v>6.899267515</v>
      </c>
      <c r="J2061" s="16">
        <f>ABS(Solieusap!J2061)</f>
        <v>4.638636026</v>
      </c>
      <c r="K2061" s="16">
        <f t="shared" si="1"/>
        <v>19.6501639</v>
      </c>
      <c r="L2061" s="16">
        <f t="shared" si="2"/>
        <v>6.899267515</v>
      </c>
    </row>
    <row r="2062" ht="16.5" customHeight="1">
      <c r="A2062" s="15" t="str">
        <f>Solieusap!A2062</f>
        <v>Cũ</v>
      </c>
      <c r="B2062" s="15">
        <f>Solieusap!B2062</f>
        <v>0</v>
      </c>
      <c r="C2062" s="15" t="str">
        <f>Solieusap!C2062</f>
        <v>COMB1</v>
      </c>
      <c r="D2062" s="15" t="str">
        <f>Solieusap!D2062</f>
        <v>Combination</v>
      </c>
      <c r="E2062" s="16">
        <f>ABS(Solieusap!E2062)</f>
        <v>19.66702026</v>
      </c>
      <c r="F2062" s="16">
        <f>ABS(Solieusap!F2062)</f>
        <v>1.872571732</v>
      </c>
      <c r="G2062" s="16">
        <f>ABS(Solieusap!G2062)</f>
        <v>2.531406147</v>
      </c>
      <c r="H2062" s="16">
        <f>ABS(Solieusap!H2062)</f>
        <v>0.001138732299</v>
      </c>
      <c r="I2062" s="16">
        <f>ABS(Solieusap!I2062)</f>
        <v>6.906062307</v>
      </c>
      <c r="J2062" s="16">
        <f>ABS(Solieusap!J2062)</f>
        <v>4.643183078</v>
      </c>
      <c r="K2062" s="16">
        <f t="shared" si="1"/>
        <v>19.66702026</v>
      </c>
      <c r="L2062" s="16">
        <f t="shared" si="2"/>
        <v>6.906062307</v>
      </c>
    </row>
    <row r="2063" ht="16.5" customHeight="1">
      <c r="A2063" s="15" t="str">
        <f>Solieusap!A2063</f>
        <v>Cũ</v>
      </c>
      <c r="B2063" s="15">
        <f>Solieusap!B2063</f>
        <v>1.75</v>
      </c>
      <c r="C2063" s="15" t="str">
        <f>Solieusap!C2063</f>
        <v>COMB1</v>
      </c>
      <c r="D2063" s="15" t="str">
        <f>Solieusap!D2063</f>
        <v>Combination</v>
      </c>
      <c r="E2063" s="16">
        <f>ABS(Solieusap!E2063)</f>
        <v>19.68387662</v>
      </c>
      <c r="F2063" s="16">
        <f>ABS(Solieusap!F2063)</f>
        <v>1.874282251</v>
      </c>
      <c r="G2063" s="16">
        <f>ABS(Solieusap!G2063)</f>
        <v>2.533670563</v>
      </c>
      <c r="H2063" s="16">
        <f>ABS(Solieusap!H2063)</f>
        <v>0.001139787403</v>
      </c>
      <c r="I2063" s="16">
        <f>ABS(Solieusap!I2063)</f>
        <v>6.9128571</v>
      </c>
      <c r="J2063" s="16">
        <f>ABS(Solieusap!J2063)</f>
        <v>4.64773013</v>
      </c>
      <c r="K2063" s="16">
        <f t="shared" si="1"/>
        <v>19.68387662</v>
      </c>
      <c r="L2063" s="16">
        <f t="shared" si="2"/>
        <v>6.9128571</v>
      </c>
    </row>
    <row r="2064" ht="16.5" customHeight="1">
      <c r="A2064" s="15" t="str">
        <f>Solieusap!A2064</f>
        <v>Cũ</v>
      </c>
      <c r="B2064" s="15">
        <f>Solieusap!B2064</f>
        <v>3.5</v>
      </c>
      <c r="C2064" s="15" t="str">
        <f>Solieusap!C2064</f>
        <v>COMB1</v>
      </c>
      <c r="D2064" s="15" t="str">
        <f>Solieusap!D2064</f>
        <v>Combination</v>
      </c>
      <c r="E2064" s="16">
        <f>ABS(Solieusap!E2064)</f>
        <v>19.70073299</v>
      </c>
      <c r="F2064" s="16">
        <f>ABS(Solieusap!F2064)</f>
        <v>1.875992771</v>
      </c>
      <c r="G2064" s="16">
        <f>ABS(Solieusap!G2064)</f>
        <v>2.535934978</v>
      </c>
      <c r="H2064" s="16">
        <f>ABS(Solieusap!H2064)</f>
        <v>0.001140842506</v>
      </c>
      <c r="I2064" s="16">
        <f>ABS(Solieusap!I2064)</f>
        <v>6.919651892</v>
      </c>
      <c r="J2064" s="16">
        <f>ABS(Solieusap!J2064)</f>
        <v>4.652277182</v>
      </c>
      <c r="K2064" s="16">
        <f t="shared" si="1"/>
        <v>19.70073299</v>
      </c>
      <c r="L2064" s="16">
        <f t="shared" si="2"/>
        <v>6.919651892</v>
      </c>
    </row>
    <row r="2065" ht="16.5" customHeight="1">
      <c r="A2065" s="15" t="str">
        <f>Solieusap!A2065</f>
        <v>Cũ</v>
      </c>
      <c r="B2065" s="15">
        <f>Solieusap!B2065</f>
        <v>0</v>
      </c>
      <c r="C2065" s="15" t="str">
        <f>Solieusap!C2065</f>
        <v>COMB2</v>
      </c>
      <c r="D2065" s="15" t="str">
        <f>Solieusap!D2065</f>
        <v>Combination</v>
      </c>
      <c r="E2065" s="16">
        <f>ABS(Solieusap!E2065)</f>
        <v>19.71758935</v>
      </c>
      <c r="F2065" s="16">
        <f>ABS(Solieusap!F2065)</f>
        <v>1.87770329</v>
      </c>
      <c r="G2065" s="16">
        <f>ABS(Solieusap!G2065)</f>
        <v>2.538199394</v>
      </c>
      <c r="H2065" s="16">
        <f>ABS(Solieusap!H2065)</f>
        <v>0.00114189761</v>
      </c>
      <c r="I2065" s="16">
        <f>ABS(Solieusap!I2065)</f>
        <v>6.926446684</v>
      </c>
      <c r="J2065" s="16">
        <f>ABS(Solieusap!J2065)</f>
        <v>4.656824234</v>
      </c>
      <c r="K2065" s="16">
        <f t="shared" si="1"/>
        <v>19.71758935</v>
      </c>
      <c r="L2065" s="16">
        <f t="shared" si="2"/>
        <v>6.926446684</v>
      </c>
    </row>
    <row r="2066" ht="16.5" customHeight="1">
      <c r="A2066" s="15" t="str">
        <f>Solieusap!A2066</f>
        <v>Cũ</v>
      </c>
      <c r="B2066" s="15">
        <f>Solieusap!B2066</f>
        <v>1.75</v>
      </c>
      <c r="C2066" s="15" t="str">
        <f>Solieusap!C2066</f>
        <v>COMB2</v>
      </c>
      <c r="D2066" s="15" t="str">
        <f>Solieusap!D2066</f>
        <v>Combination</v>
      </c>
      <c r="E2066" s="16">
        <f>ABS(Solieusap!E2066)</f>
        <v>19.73444571</v>
      </c>
      <c r="F2066" s="16">
        <f>ABS(Solieusap!F2066)</f>
        <v>1.87941381</v>
      </c>
      <c r="G2066" s="16">
        <f>ABS(Solieusap!G2066)</f>
        <v>2.54046381</v>
      </c>
      <c r="H2066" s="16">
        <f>ABS(Solieusap!H2066)</f>
        <v>0.001142952714</v>
      </c>
      <c r="I2066" s="16">
        <f>ABS(Solieusap!I2066)</f>
        <v>6.933241476</v>
      </c>
      <c r="J2066" s="16">
        <f>ABS(Solieusap!J2066)</f>
        <v>4.661371286</v>
      </c>
      <c r="K2066" s="16">
        <f t="shared" si="1"/>
        <v>19.73444571</v>
      </c>
      <c r="L2066" s="16">
        <f t="shared" si="2"/>
        <v>6.933241476</v>
      </c>
    </row>
    <row r="2067" ht="16.5" customHeight="1">
      <c r="A2067" s="15" t="str">
        <f>Solieusap!A2067</f>
        <v>Cũ</v>
      </c>
      <c r="B2067" s="15">
        <f>Solieusap!B2067</f>
        <v>3.5</v>
      </c>
      <c r="C2067" s="15" t="str">
        <f>Solieusap!C2067</f>
        <v>COMB2</v>
      </c>
      <c r="D2067" s="15" t="str">
        <f>Solieusap!D2067</f>
        <v>Combination</v>
      </c>
      <c r="E2067" s="16">
        <f>ABS(Solieusap!E2067)</f>
        <v>19.75130208</v>
      </c>
      <c r="F2067" s="16">
        <f>ABS(Solieusap!F2067)</f>
        <v>1.881124329</v>
      </c>
      <c r="G2067" s="16">
        <f>ABS(Solieusap!G2067)</f>
        <v>2.542728225</v>
      </c>
      <c r="H2067" s="16">
        <f>ABS(Solieusap!H2067)</f>
        <v>0.001144007818</v>
      </c>
      <c r="I2067" s="16">
        <f>ABS(Solieusap!I2067)</f>
        <v>6.940036268</v>
      </c>
      <c r="J2067" s="16">
        <f>ABS(Solieusap!J2067)</f>
        <v>4.665918338</v>
      </c>
      <c r="K2067" s="16">
        <f t="shared" si="1"/>
        <v>19.75130208</v>
      </c>
      <c r="L2067" s="16">
        <f t="shared" si="2"/>
        <v>6.940036268</v>
      </c>
    </row>
    <row r="2068" ht="16.5" customHeight="1">
      <c r="A2068" s="15" t="str">
        <f>Solieusap!A2068</f>
        <v>Cũ</v>
      </c>
      <c r="B2068" s="15">
        <f>Solieusap!B2068</f>
        <v>0</v>
      </c>
      <c r="C2068" s="15" t="str">
        <f>Solieusap!C2068</f>
        <v>COMB3</v>
      </c>
      <c r="D2068" s="15" t="str">
        <f>Solieusap!D2068</f>
        <v>Combination</v>
      </c>
      <c r="E2068" s="16">
        <f>ABS(Solieusap!E2068)</f>
        <v>19.76815844</v>
      </c>
      <c r="F2068" s="16">
        <f>ABS(Solieusap!F2068)</f>
        <v>1.882834848</v>
      </c>
      <c r="G2068" s="16">
        <f>ABS(Solieusap!G2068)</f>
        <v>2.544992641</v>
      </c>
      <c r="H2068" s="16">
        <f>ABS(Solieusap!H2068)</f>
        <v>0.001145062922</v>
      </c>
      <c r="I2068" s="16">
        <f>ABS(Solieusap!I2068)</f>
        <v>6.946831061</v>
      </c>
      <c r="J2068" s="16">
        <f>ABS(Solieusap!J2068)</f>
        <v>4.67046539</v>
      </c>
      <c r="K2068" s="16">
        <f t="shared" si="1"/>
        <v>19.76815844</v>
      </c>
      <c r="L2068" s="16">
        <f t="shared" si="2"/>
        <v>6.946831061</v>
      </c>
    </row>
    <row r="2069" ht="16.5" customHeight="1">
      <c r="A2069" s="15" t="str">
        <f>Solieusap!A2069</f>
        <v>Cũ</v>
      </c>
      <c r="B2069" s="15">
        <f>Solieusap!B2069</f>
        <v>1.75</v>
      </c>
      <c r="C2069" s="15" t="str">
        <f>Solieusap!C2069</f>
        <v>COMB3</v>
      </c>
      <c r="D2069" s="15" t="str">
        <f>Solieusap!D2069</f>
        <v>Combination</v>
      </c>
      <c r="E2069" s="16">
        <f>ABS(Solieusap!E2069)</f>
        <v>19.78501481</v>
      </c>
      <c r="F2069" s="16">
        <f>ABS(Solieusap!F2069)</f>
        <v>1.884545368</v>
      </c>
      <c r="G2069" s="16">
        <f>ABS(Solieusap!G2069)</f>
        <v>2.547257056</v>
      </c>
      <c r="H2069" s="16">
        <f>ABS(Solieusap!H2069)</f>
        <v>0.001146118026</v>
      </c>
      <c r="I2069" s="16">
        <f>ABS(Solieusap!I2069)</f>
        <v>6.953625853</v>
      </c>
      <c r="J2069" s="16">
        <f>ABS(Solieusap!J2069)</f>
        <v>4.675012442</v>
      </c>
      <c r="K2069" s="16">
        <f t="shared" si="1"/>
        <v>19.78501481</v>
      </c>
      <c r="L2069" s="16">
        <f t="shared" si="2"/>
        <v>6.953625853</v>
      </c>
    </row>
    <row r="2070" ht="16.5" customHeight="1">
      <c r="A2070" s="15" t="str">
        <f>Solieusap!A2070</f>
        <v>Cũ</v>
      </c>
      <c r="B2070" s="15">
        <f>Solieusap!B2070</f>
        <v>3.5</v>
      </c>
      <c r="C2070" s="15" t="str">
        <f>Solieusap!C2070</f>
        <v>COMB3</v>
      </c>
      <c r="D2070" s="15" t="str">
        <f>Solieusap!D2070</f>
        <v>Combination</v>
      </c>
      <c r="E2070" s="16">
        <f>ABS(Solieusap!E2070)</f>
        <v>19.80187117</v>
      </c>
      <c r="F2070" s="16">
        <f>ABS(Solieusap!F2070)</f>
        <v>1.886255887</v>
      </c>
      <c r="G2070" s="16">
        <f>ABS(Solieusap!G2070)</f>
        <v>2.549521472</v>
      </c>
      <c r="H2070" s="16">
        <f>ABS(Solieusap!H2070)</f>
        <v>0.00114717313</v>
      </c>
      <c r="I2070" s="16">
        <f>ABS(Solieusap!I2070)</f>
        <v>6.960420645</v>
      </c>
      <c r="J2070" s="16">
        <f>ABS(Solieusap!J2070)</f>
        <v>4.679559494</v>
      </c>
      <c r="K2070" s="16">
        <f t="shared" si="1"/>
        <v>19.80187117</v>
      </c>
      <c r="L2070" s="16">
        <f t="shared" si="2"/>
        <v>6.960420645</v>
      </c>
    </row>
    <row r="2071" ht="16.5" customHeight="1">
      <c r="A2071" s="15" t="str">
        <f>Solieusap!A2071</f>
        <v>Cũ</v>
      </c>
      <c r="B2071" s="15">
        <f>Solieusap!B2071</f>
        <v>0</v>
      </c>
      <c r="C2071" s="15" t="str">
        <f>Solieusap!C2071</f>
        <v>COMB4</v>
      </c>
      <c r="D2071" s="15" t="str">
        <f>Solieusap!D2071</f>
        <v>Combination</v>
      </c>
      <c r="E2071" s="16">
        <f>ABS(Solieusap!E2071)</f>
        <v>19.81872753</v>
      </c>
      <c r="F2071" s="16">
        <f>ABS(Solieusap!F2071)</f>
        <v>1.887966407</v>
      </c>
      <c r="G2071" s="16">
        <f>ABS(Solieusap!G2071)</f>
        <v>2.551785887</v>
      </c>
      <c r="H2071" s="16">
        <f>ABS(Solieusap!H2071)</f>
        <v>0.001148228234</v>
      </c>
      <c r="I2071" s="16">
        <f>ABS(Solieusap!I2071)</f>
        <v>6.967215437</v>
      </c>
      <c r="J2071" s="16">
        <f>ABS(Solieusap!J2071)</f>
        <v>4.684106545</v>
      </c>
      <c r="K2071" s="16">
        <f t="shared" si="1"/>
        <v>19.81872753</v>
      </c>
      <c r="L2071" s="16">
        <f t="shared" si="2"/>
        <v>6.967215437</v>
      </c>
    </row>
    <row r="2072" ht="16.5" customHeight="1">
      <c r="A2072" s="15" t="str">
        <f>Solieusap!A2072</f>
        <v>Cũ</v>
      </c>
      <c r="B2072" s="15">
        <f>Solieusap!B2072</f>
        <v>1.75</v>
      </c>
      <c r="C2072" s="15" t="str">
        <f>Solieusap!C2072</f>
        <v>COMB4</v>
      </c>
      <c r="D2072" s="15" t="str">
        <f>Solieusap!D2072</f>
        <v>Combination</v>
      </c>
      <c r="E2072" s="16">
        <f>ABS(Solieusap!E2072)</f>
        <v>19.8355839</v>
      </c>
      <c r="F2072" s="16">
        <f>ABS(Solieusap!F2072)</f>
        <v>1.889676926</v>
      </c>
      <c r="G2072" s="16">
        <f>ABS(Solieusap!G2072)</f>
        <v>2.554050303</v>
      </c>
      <c r="H2072" s="16">
        <f>ABS(Solieusap!H2072)</f>
        <v>0.001149283338</v>
      </c>
      <c r="I2072" s="16">
        <f>ABS(Solieusap!I2072)</f>
        <v>6.974010229</v>
      </c>
      <c r="J2072" s="16">
        <f>ABS(Solieusap!J2072)</f>
        <v>4.688653597</v>
      </c>
      <c r="K2072" s="16">
        <f t="shared" si="1"/>
        <v>19.8355839</v>
      </c>
      <c r="L2072" s="16">
        <f t="shared" si="2"/>
        <v>6.974010229</v>
      </c>
    </row>
    <row r="2073" ht="16.5" customHeight="1">
      <c r="A2073" s="15" t="str">
        <f>Solieusap!A2073</f>
        <v>Cũ</v>
      </c>
      <c r="B2073" s="15">
        <f>Solieusap!B2073</f>
        <v>3.5</v>
      </c>
      <c r="C2073" s="15" t="str">
        <f>Solieusap!C2073</f>
        <v>COMB4</v>
      </c>
      <c r="D2073" s="15" t="str">
        <f>Solieusap!D2073</f>
        <v>Combination</v>
      </c>
      <c r="E2073" s="16">
        <f>ABS(Solieusap!E2073)</f>
        <v>19.85244026</v>
      </c>
      <c r="F2073" s="16">
        <f>ABS(Solieusap!F2073)</f>
        <v>1.891387446</v>
      </c>
      <c r="G2073" s="16">
        <f>ABS(Solieusap!G2073)</f>
        <v>2.556314719</v>
      </c>
      <c r="H2073" s="16">
        <f>ABS(Solieusap!H2073)</f>
        <v>0.001150338442</v>
      </c>
      <c r="I2073" s="16">
        <f>ABS(Solieusap!I2073)</f>
        <v>6.980805022</v>
      </c>
      <c r="J2073" s="16">
        <f>ABS(Solieusap!J2073)</f>
        <v>4.693200649</v>
      </c>
      <c r="K2073" s="16">
        <f t="shared" si="1"/>
        <v>19.85244026</v>
      </c>
      <c r="L2073" s="16">
        <f t="shared" si="2"/>
        <v>6.980805022</v>
      </c>
    </row>
    <row r="2074" ht="16.5" customHeight="1">
      <c r="A2074" s="15" t="str">
        <f>Solieusap!A2074</f>
        <v>Cũ</v>
      </c>
      <c r="B2074" s="15">
        <f>Solieusap!B2074</f>
        <v>0</v>
      </c>
      <c r="C2074" s="15" t="str">
        <f>Solieusap!C2074</f>
        <v>COMB5</v>
      </c>
      <c r="D2074" s="15" t="str">
        <f>Solieusap!D2074</f>
        <v>Combination</v>
      </c>
      <c r="E2074" s="16">
        <f>ABS(Solieusap!E2074)</f>
        <v>19.86929662</v>
      </c>
      <c r="F2074" s="16">
        <f>ABS(Solieusap!F2074)</f>
        <v>1.893097965</v>
      </c>
      <c r="G2074" s="16">
        <f>ABS(Solieusap!G2074)</f>
        <v>2.558579134</v>
      </c>
      <c r="H2074" s="16">
        <f>ABS(Solieusap!H2074)</f>
        <v>0.001151393545</v>
      </c>
      <c r="I2074" s="16">
        <f>ABS(Solieusap!I2074)</f>
        <v>6.987599814</v>
      </c>
      <c r="J2074" s="16">
        <f>ABS(Solieusap!J2074)</f>
        <v>4.697747701</v>
      </c>
      <c r="K2074" s="16">
        <f t="shared" si="1"/>
        <v>19.86929662</v>
      </c>
      <c r="L2074" s="16">
        <f t="shared" si="2"/>
        <v>6.987599814</v>
      </c>
    </row>
    <row r="2075" ht="16.5" customHeight="1">
      <c r="A2075" s="15" t="str">
        <f>Solieusap!A2075</f>
        <v>Cũ</v>
      </c>
      <c r="B2075" s="15">
        <f>Solieusap!B2075</f>
        <v>1.75</v>
      </c>
      <c r="C2075" s="15" t="str">
        <f>Solieusap!C2075</f>
        <v>COMB5</v>
      </c>
      <c r="D2075" s="15" t="str">
        <f>Solieusap!D2075</f>
        <v>Combination</v>
      </c>
      <c r="E2075" s="16">
        <f>ABS(Solieusap!E2075)</f>
        <v>19.88615299</v>
      </c>
      <c r="F2075" s="16">
        <f>ABS(Solieusap!F2075)</f>
        <v>1.894808485</v>
      </c>
      <c r="G2075" s="16">
        <f>ABS(Solieusap!G2075)</f>
        <v>2.56084355</v>
      </c>
      <c r="H2075" s="16">
        <f>ABS(Solieusap!H2075)</f>
        <v>0.001152448649</v>
      </c>
      <c r="I2075" s="16">
        <f>ABS(Solieusap!I2075)</f>
        <v>6.994394606</v>
      </c>
      <c r="J2075" s="16">
        <f>ABS(Solieusap!J2075)</f>
        <v>4.702294753</v>
      </c>
      <c r="K2075" s="16">
        <f t="shared" si="1"/>
        <v>19.88615299</v>
      </c>
      <c r="L2075" s="16">
        <f t="shared" si="2"/>
        <v>6.994394606</v>
      </c>
    </row>
    <row r="2076" ht="16.5" customHeight="1">
      <c r="A2076" s="15" t="str">
        <f>Solieusap!A2076</f>
        <v>Cũ</v>
      </c>
      <c r="B2076" s="15">
        <f>Solieusap!B2076</f>
        <v>3.5</v>
      </c>
      <c r="C2076" s="15" t="str">
        <f>Solieusap!C2076</f>
        <v>COMB5</v>
      </c>
      <c r="D2076" s="15" t="str">
        <f>Solieusap!D2076</f>
        <v>Combination</v>
      </c>
      <c r="E2076" s="16">
        <f>ABS(Solieusap!E2076)</f>
        <v>19.90300935</v>
      </c>
      <c r="F2076" s="16">
        <f>ABS(Solieusap!F2076)</f>
        <v>1.896519004</v>
      </c>
      <c r="G2076" s="16">
        <f>ABS(Solieusap!G2076)</f>
        <v>2.563107965</v>
      </c>
      <c r="H2076" s="16">
        <f>ABS(Solieusap!H2076)</f>
        <v>0.001153503753</v>
      </c>
      <c r="I2076" s="16">
        <f>ABS(Solieusap!I2076)</f>
        <v>7.001189398</v>
      </c>
      <c r="J2076" s="16">
        <f>ABS(Solieusap!J2076)</f>
        <v>4.706841805</v>
      </c>
      <c r="K2076" s="16">
        <f t="shared" si="1"/>
        <v>19.90300935</v>
      </c>
      <c r="L2076" s="16">
        <f t="shared" si="2"/>
        <v>7.001189398</v>
      </c>
    </row>
    <row r="2077" ht="16.5" customHeight="1">
      <c r="A2077" s="15" t="str">
        <f>Solieusap!A2077</f>
        <v>Cũ</v>
      </c>
      <c r="B2077" s="15">
        <f>Solieusap!B2077</f>
        <v>0</v>
      </c>
      <c r="C2077" s="15" t="str">
        <f>Solieusap!C2077</f>
        <v>COMB6</v>
      </c>
      <c r="D2077" s="15" t="str">
        <f>Solieusap!D2077</f>
        <v>Combination</v>
      </c>
      <c r="E2077" s="16">
        <f>ABS(Solieusap!E2077)</f>
        <v>19.91986571</v>
      </c>
      <c r="F2077" s="16">
        <f>ABS(Solieusap!F2077)</f>
        <v>1.898229524</v>
      </c>
      <c r="G2077" s="16">
        <f>ABS(Solieusap!G2077)</f>
        <v>2.565372381</v>
      </c>
      <c r="H2077" s="16">
        <f>ABS(Solieusap!H2077)</f>
        <v>0.001154558857</v>
      </c>
      <c r="I2077" s="16">
        <f>ABS(Solieusap!I2077)</f>
        <v>7.00798419</v>
      </c>
      <c r="J2077" s="16">
        <f>ABS(Solieusap!J2077)</f>
        <v>4.711388857</v>
      </c>
      <c r="K2077" s="16">
        <f t="shared" si="1"/>
        <v>19.91986571</v>
      </c>
      <c r="L2077" s="16">
        <f t="shared" si="2"/>
        <v>7.00798419</v>
      </c>
    </row>
    <row r="2078" ht="16.5" customHeight="1">
      <c r="A2078" s="15" t="str">
        <f>Solieusap!A2078</f>
        <v>Cũ</v>
      </c>
      <c r="B2078" s="15">
        <f>Solieusap!B2078</f>
        <v>1.75</v>
      </c>
      <c r="C2078" s="15" t="str">
        <f>Solieusap!C2078</f>
        <v>COMB6</v>
      </c>
      <c r="D2078" s="15" t="str">
        <f>Solieusap!D2078</f>
        <v>Combination</v>
      </c>
      <c r="E2078" s="16">
        <f>ABS(Solieusap!E2078)</f>
        <v>19.93672208</v>
      </c>
      <c r="F2078" s="16">
        <f>ABS(Solieusap!F2078)</f>
        <v>1.899940043</v>
      </c>
      <c r="G2078" s="16">
        <f>ABS(Solieusap!G2078)</f>
        <v>2.567636797</v>
      </c>
      <c r="H2078" s="16">
        <f>ABS(Solieusap!H2078)</f>
        <v>0.001155613961</v>
      </c>
      <c r="I2078" s="16">
        <f>ABS(Solieusap!I2078)</f>
        <v>7.014778983</v>
      </c>
      <c r="J2078" s="16">
        <f>ABS(Solieusap!J2078)</f>
        <v>4.715935909</v>
      </c>
      <c r="K2078" s="16">
        <f t="shared" si="1"/>
        <v>19.93672208</v>
      </c>
      <c r="L2078" s="16">
        <f t="shared" si="2"/>
        <v>7.014778983</v>
      </c>
    </row>
    <row r="2079" ht="16.5" customHeight="1">
      <c r="A2079" s="15" t="str">
        <f>Solieusap!A2079</f>
        <v>Cũ</v>
      </c>
      <c r="B2079" s="15">
        <f>Solieusap!B2079</f>
        <v>3.5</v>
      </c>
      <c r="C2079" s="15" t="str">
        <f>Solieusap!C2079</f>
        <v>COMB6</v>
      </c>
      <c r="D2079" s="15" t="str">
        <f>Solieusap!D2079</f>
        <v>Combination</v>
      </c>
      <c r="E2079" s="16">
        <f>ABS(Solieusap!E2079)</f>
        <v>19.95357844</v>
      </c>
      <c r="F2079" s="16">
        <f>ABS(Solieusap!F2079)</f>
        <v>1.901650563</v>
      </c>
      <c r="G2079" s="16">
        <f>ABS(Solieusap!G2079)</f>
        <v>2.569901212</v>
      </c>
      <c r="H2079" s="16">
        <f>ABS(Solieusap!H2079)</f>
        <v>0.001156669065</v>
      </c>
      <c r="I2079" s="16">
        <f>ABS(Solieusap!I2079)</f>
        <v>7.021573775</v>
      </c>
      <c r="J2079" s="16">
        <f>ABS(Solieusap!J2079)</f>
        <v>4.720482961</v>
      </c>
      <c r="K2079" s="16">
        <f t="shared" si="1"/>
        <v>19.95357844</v>
      </c>
      <c r="L2079" s="16">
        <f t="shared" si="2"/>
        <v>7.021573775</v>
      </c>
    </row>
    <row r="2080" ht="16.5" customHeight="1">
      <c r="A2080" s="15" t="str">
        <f>Solieusap!A2080</f>
        <v>Cũ</v>
      </c>
      <c r="B2080" s="15">
        <f>Solieusap!B2080</f>
        <v>0</v>
      </c>
      <c r="C2080" s="15" t="str">
        <f>Solieusap!C2080</f>
        <v>COMB7</v>
      </c>
      <c r="D2080" s="15" t="str">
        <f>Solieusap!D2080</f>
        <v>Combination</v>
      </c>
      <c r="E2080" s="16">
        <f>ABS(Solieusap!E2080)</f>
        <v>19.97043481</v>
      </c>
      <c r="F2080" s="16">
        <f>ABS(Solieusap!F2080)</f>
        <v>1.903361082</v>
      </c>
      <c r="G2080" s="16">
        <f>ABS(Solieusap!G2080)</f>
        <v>2.572165628</v>
      </c>
      <c r="H2080" s="16">
        <f>ABS(Solieusap!H2080)</f>
        <v>0.001157724169</v>
      </c>
      <c r="I2080" s="16">
        <f>ABS(Solieusap!I2080)</f>
        <v>7.028368567</v>
      </c>
      <c r="J2080" s="16">
        <f>ABS(Solieusap!J2080)</f>
        <v>4.725030013</v>
      </c>
      <c r="K2080" s="16">
        <f t="shared" si="1"/>
        <v>19.97043481</v>
      </c>
      <c r="L2080" s="16">
        <f t="shared" si="2"/>
        <v>7.028368567</v>
      </c>
    </row>
    <row r="2081" ht="16.5" customHeight="1">
      <c r="A2081" s="15" t="str">
        <f>Solieusap!A2081</f>
        <v>Cũ</v>
      </c>
      <c r="B2081" s="15">
        <f>Solieusap!B2081</f>
        <v>1.75</v>
      </c>
      <c r="C2081" s="15" t="str">
        <f>Solieusap!C2081</f>
        <v>COMB7</v>
      </c>
      <c r="D2081" s="15" t="str">
        <f>Solieusap!D2081</f>
        <v>Combination</v>
      </c>
      <c r="E2081" s="16">
        <f>ABS(Solieusap!E2081)</f>
        <v>19.98729117</v>
      </c>
      <c r="F2081" s="16">
        <f>ABS(Solieusap!F2081)</f>
        <v>1.905071602</v>
      </c>
      <c r="G2081" s="16">
        <f>ABS(Solieusap!G2081)</f>
        <v>2.574430043</v>
      </c>
      <c r="H2081" s="16">
        <f>ABS(Solieusap!H2081)</f>
        <v>0.001158779273</v>
      </c>
      <c r="I2081" s="16">
        <f>ABS(Solieusap!I2081)</f>
        <v>7.035163359</v>
      </c>
      <c r="J2081" s="16">
        <f>ABS(Solieusap!J2081)</f>
        <v>4.729577065</v>
      </c>
      <c r="K2081" s="16">
        <f t="shared" si="1"/>
        <v>19.98729117</v>
      </c>
      <c r="L2081" s="16">
        <f t="shared" si="2"/>
        <v>7.035163359</v>
      </c>
    </row>
    <row r="2082" ht="16.5" customHeight="1">
      <c r="A2082" s="15" t="str">
        <f>Solieusap!A2082</f>
        <v>Cũ</v>
      </c>
      <c r="B2082" s="15">
        <f>Solieusap!B2082</f>
        <v>3.5</v>
      </c>
      <c r="C2082" s="15" t="str">
        <f>Solieusap!C2082</f>
        <v>COMB7</v>
      </c>
      <c r="D2082" s="15" t="str">
        <f>Solieusap!D2082</f>
        <v>Combination</v>
      </c>
      <c r="E2082" s="16">
        <f>ABS(Solieusap!E2082)</f>
        <v>20.00414753</v>
      </c>
      <c r="F2082" s="16">
        <f>ABS(Solieusap!F2082)</f>
        <v>1.906782121</v>
      </c>
      <c r="G2082" s="16">
        <f>ABS(Solieusap!G2082)</f>
        <v>2.576694459</v>
      </c>
      <c r="H2082" s="16">
        <f>ABS(Solieusap!H2082)</f>
        <v>0.001159834377</v>
      </c>
      <c r="I2082" s="16">
        <f>ABS(Solieusap!I2082)</f>
        <v>7.041958152</v>
      </c>
      <c r="J2082" s="16">
        <f>ABS(Solieusap!J2082)</f>
        <v>4.734124117</v>
      </c>
      <c r="K2082" s="16">
        <f t="shared" si="1"/>
        <v>20.00414753</v>
      </c>
      <c r="L2082" s="16">
        <f t="shared" si="2"/>
        <v>7.041958152</v>
      </c>
    </row>
    <row r="2083" ht="16.5" customHeight="1">
      <c r="A2083" s="15" t="str">
        <f>Solieusap!A2083</f>
        <v>Cũ</v>
      </c>
      <c r="B2083" s="15">
        <f>Solieusap!B2083</f>
        <v>0</v>
      </c>
      <c r="C2083" s="15" t="str">
        <f>Solieusap!C2083</f>
        <v>COMB1</v>
      </c>
      <c r="D2083" s="15" t="str">
        <f>Solieusap!D2083</f>
        <v>Combination</v>
      </c>
      <c r="E2083" s="16">
        <f>ABS(Solieusap!E2083)</f>
        <v>20.0210039</v>
      </c>
      <c r="F2083" s="16">
        <f>ABS(Solieusap!F2083)</f>
        <v>1.908492641</v>
      </c>
      <c r="G2083" s="16">
        <f>ABS(Solieusap!G2083)</f>
        <v>2.578958874</v>
      </c>
      <c r="H2083" s="16">
        <f>ABS(Solieusap!H2083)</f>
        <v>0.001160889481</v>
      </c>
      <c r="I2083" s="16">
        <f>ABS(Solieusap!I2083)</f>
        <v>7.048752944</v>
      </c>
      <c r="J2083" s="16">
        <f>ABS(Solieusap!J2083)</f>
        <v>4.738671169</v>
      </c>
      <c r="K2083" s="16">
        <f t="shared" si="1"/>
        <v>20.0210039</v>
      </c>
      <c r="L2083" s="16">
        <f t="shared" si="2"/>
        <v>7.048752944</v>
      </c>
    </row>
    <row r="2084" ht="16.5" customHeight="1">
      <c r="A2084" s="15" t="str">
        <f>Solieusap!A2084</f>
        <v>Cũ</v>
      </c>
      <c r="B2084" s="15">
        <f>Solieusap!B2084</f>
        <v>1.75</v>
      </c>
      <c r="C2084" s="15" t="str">
        <f>Solieusap!C2084</f>
        <v>COMB1</v>
      </c>
      <c r="D2084" s="15" t="str">
        <f>Solieusap!D2084</f>
        <v>Combination</v>
      </c>
      <c r="E2084" s="16">
        <f>ABS(Solieusap!E2084)</f>
        <v>20.03786026</v>
      </c>
      <c r="F2084" s="16">
        <f>ABS(Solieusap!F2084)</f>
        <v>1.91020316</v>
      </c>
      <c r="G2084" s="16">
        <f>ABS(Solieusap!G2084)</f>
        <v>2.58122329</v>
      </c>
      <c r="H2084" s="16">
        <f>ABS(Solieusap!H2084)</f>
        <v>0.001161944584</v>
      </c>
      <c r="I2084" s="16">
        <f>ABS(Solieusap!I2084)</f>
        <v>7.055547736</v>
      </c>
      <c r="J2084" s="16">
        <f>ABS(Solieusap!J2084)</f>
        <v>4.743218221</v>
      </c>
      <c r="K2084" s="16">
        <f t="shared" si="1"/>
        <v>20.03786026</v>
      </c>
      <c r="L2084" s="16">
        <f t="shared" si="2"/>
        <v>7.055547736</v>
      </c>
    </row>
    <row r="2085" ht="16.5" customHeight="1">
      <c r="A2085" s="15" t="str">
        <f>Solieusap!A2085</f>
        <v>Cũ</v>
      </c>
      <c r="B2085" s="15">
        <f>Solieusap!B2085</f>
        <v>3.5</v>
      </c>
      <c r="C2085" s="15" t="str">
        <f>Solieusap!C2085</f>
        <v>COMB1</v>
      </c>
      <c r="D2085" s="15" t="str">
        <f>Solieusap!D2085</f>
        <v>Combination</v>
      </c>
      <c r="E2085" s="16">
        <f>ABS(Solieusap!E2085)</f>
        <v>20.05471662</v>
      </c>
      <c r="F2085" s="16">
        <f>ABS(Solieusap!F2085)</f>
        <v>1.91191368</v>
      </c>
      <c r="G2085" s="16">
        <f>ABS(Solieusap!G2085)</f>
        <v>2.583487706</v>
      </c>
      <c r="H2085" s="16">
        <f>ABS(Solieusap!H2085)</f>
        <v>0.001162999688</v>
      </c>
      <c r="I2085" s="16">
        <f>ABS(Solieusap!I2085)</f>
        <v>7.062342528</v>
      </c>
      <c r="J2085" s="16">
        <f>ABS(Solieusap!J2085)</f>
        <v>4.747765273</v>
      </c>
      <c r="K2085" s="16">
        <f t="shared" si="1"/>
        <v>20.05471662</v>
      </c>
      <c r="L2085" s="16">
        <f t="shared" si="2"/>
        <v>7.062342528</v>
      </c>
    </row>
    <row r="2086" ht="16.5" customHeight="1">
      <c r="A2086" s="15" t="str">
        <f>Solieusap!A2086</f>
        <v>Cũ</v>
      </c>
      <c r="B2086" s="15">
        <f>Solieusap!B2086</f>
        <v>0</v>
      </c>
      <c r="C2086" s="15" t="str">
        <f>Solieusap!C2086</f>
        <v>COMB2</v>
      </c>
      <c r="D2086" s="15" t="str">
        <f>Solieusap!D2086</f>
        <v>Combination</v>
      </c>
      <c r="E2086" s="16">
        <f>ABS(Solieusap!E2086)</f>
        <v>20.07157299</v>
      </c>
      <c r="F2086" s="16">
        <f>ABS(Solieusap!F2086)</f>
        <v>1.913624199</v>
      </c>
      <c r="G2086" s="16">
        <f>ABS(Solieusap!G2086)</f>
        <v>2.585752121</v>
      </c>
      <c r="H2086" s="16">
        <f>ABS(Solieusap!H2086)</f>
        <v>0.001164054792</v>
      </c>
      <c r="I2086" s="16">
        <f>ABS(Solieusap!I2086)</f>
        <v>7.06913732</v>
      </c>
      <c r="J2086" s="16">
        <f>ABS(Solieusap!J2086)</f>
        <v>4.752312325</v>
      </c>
      <c r="K2086" s="16">
        <f t="shared" si="1"/>
        <v>20.07157299</v>
      </c>
      <c r="L2086" s="16">
        <f t="shared" si="2"/>
        <v>7.06913732</v>
      </c>
    </row>
    <row r="2087" ht="16.5" customHeight="1">
      <c r="A2087" s="15" t="str">
        <f>Solieusap!A2087</f>
        <v>Cũ</v>
      </c>
      <c r="B2087" s="15">
        <f>Solieusap!B2087</f>
        <v>1.75</v>
      </c>
      <c r="C2087" s="15" t="str">
        <f>Solieusap!C2087</f>
        <v>COMB2</v>
      </c>
      <c r="D2087" s="15" t="str">
        <f>Solieusap!D2087</f>
        <v>Combination</v>
      </c>
      <c r="E2087" s="16">
        <f>ABS(Solieusap!E2087)</f>
        <v>20.08842935</v>
      </c>
      <c r="F2087" s="16">
        <f>ABS(Solieusap!F2087)</f>
        <v>1.915334719</v>
      </c>
      <c r="G2087" s="16">
        <f>ABS(Solieusap!G2087)</f>
        <v>2.588016537</v>
      </c>
      <c r="H2087" s="16">
        <f>ABS(Solieusap!H2087)</f>
        <v>0.001165109896</v>
      </c>
      <c r="I2087" s="16">
        <f>ABS(Solieusap!I2087)</f>
        <v>7.075932113</v>
      </c>
      <c r="J2087" s="16">
        <f>ABS(Solieusap!J2087)</f>
        <v>4.756859377</v>
      </c>
      <c r="K2087" s="16">
        <f t="shared" si="1"/>
        <v>20.08842935</v>
      </c>
      <c r="L2087" s="16">
        <f t="shared" si="2"/>
        <v>7.075932113</v>
      </c>
    </row>
    <row r="2088" ht="16.5" customHeight="1">
      <c r="A2088" s="15" t="str">
        <f>Solieusap!A2088</f>
        <v>Cũ</v>
      </c>
      <c r="B2088" s="15">
        <f>Solieusap!B2088</f>
        <v>3.5</v>
      </c>
      <c r="C2088" s="15" t="str">
        <f>Solieusap!C2088</f>
        <v>COMB2</v>
      </c>
      <c r="D2088" s="15" t="str">
        <f>Solieusap!D2088</f>
        <v>Combination</v>
      </c>
      <c r="E2088" s="16">
        <f>ABS(Solieusap!E2088)</f>
        <v>20.10528571</v>
      </c>
      <c r="F2088" s="16">
        <f>ABS(Solieusap!F2088)</f>
        <v>1.917045238</v>
      </c>
      <c r="G2088" s="16">
        <f>ABS(Solieusap!G2088)</f>
        <v>2.590280952</v>
      </c>
      <c r="H2088" s="16">
        <f>ABS(Solieusap!H2088)</f>
        <v>0.001166165</v>
      </c>
      <c r="I2088" s="16">
        <f>ABS(Solieusap!I2088)</f>
        <v>7.082726905</v>
      </c>
      <c r="J2088" s="16">
        <f>ABS(Solieusap!J2088)</f>
        <v>4.761406429</v>
      </c>
      <c r="K2088" s="16">
        <f t="shared" si="1"/>
        <v>20.10528571</v>
      </c>
      <c r="L2088" s="16">
        <f t="shared" si="2"/>
        <v>7.082726905</v>
      </c>
    </row>
    <row r="2089" ht="16.5" customHeight="1">
      <c r="A2089" s="15" t="str">
        <f>Solieusap!A2089</f>
        <v>Cũ</v>
      </c>
      <c r="B2089" s="15">
        <f>Solieusap!B2089</f>
        <v>0</v>
      </c>
      <c r="C2089" s="15" t="str">
        <f>Solieusap!C2089</f>
        <v>COMB3</v>
      </c>
      <c r="D2089" s="15" t="str">
        <f>Solieusap!D2089</f>
        <v>Combination</v>
      </c>
      <c r="E2089" s="16">
        <f>ABS(Solieusap!E2089)</f>
        <v>20.12214208</v>
      </c>
      <c r="F2089" s="16">
        <f>ABS(Solieusap!F2089)</f>
        <v>1.918755758</v>
      </c>
      <c r="G2089" s="16">
        <f>ABS(Solieusap!G2089)</f>
        <v>2.592545368</v>
      </c>
      <c r="H2089" s="16">
        <f>ABS(Solieusap!H2089)</f>
        <v>0.001167220104</v>
      </c>
      <c r="I2089" s="16">
        <f>ABS(Solieusap!I2089)</f>
        <v>7.089521697</v>
      </c>
      <c r="J2089" s="16">
        <f>ABS(Solieusap!J2089)</f>
        <v>4.765953481</v>
      </c>
      <c r="K2089" s="16">
        <f t="shared" si="1"/>
        <v>20.12214208</v>
      </c>
      <c r="L2089" s="16">
        <f t="shared" si="2"/>
        <v>7.089521697</v>
      </c>
    </row>
    <row r="2090" ht="16.5" customHeight="1">
      <c r="A2090" s="15" t="str">
        <f>Solieusap!A2090</f>
        <v>Cũ</v>
      </c>
      <c r="B2090" s="15">
        <f>Solieusap!B2090</f>
        <v>1.75</v>
      </c>
      <c r="C2090" s="15" t="str">
        <f>Solieusap!C2090</f>
        <v>COMB3</v>
      </c>
      <c r="D2090" s="15" t="str">
        <f>Solieusap!D2090</f>
        <v>Combination</v>
      </c>
      <c r="E2090" s="16">
        <f>ABS(Solieusap!E2090)</f>
        <v>20.13899844</v>
      </c>
      <c r="F2090" s="16">
        <f>ABS(Solieusap!F2090)</f>
        <v>1.920466277</v>
      </c>
      <c r="G2090" s="16">
        <f>ABS(Solieusap!G2090)</f>
        <v>2.594809784</v>
      </c>
      <c r="H2090" s="16">
        <f>ABS(Solieusap!H2090)</f>
        <v>0.001168275208</v>
      </c>
      <c r="I2090" s="16">
        <f>ABS(Solieusap!I2090)</f>
        <v>7.096316489</v>
      </c>
      <c r="J2090" s="16">
        <f>ABS(Solieusap!J2090)</f>
        <v>4.770500532</v>
      </c>
      <c r="K2090" s="16">
        <f t="shared" si="1"/>
        <v>20.13899844</v>
      </c>
      <c r="L2090" s="16">
        <f t="shared" si="2"/>
        <v>7.096316489</v>
      </c>
    </row>
    <row r="2091" ht="16.5" customHeight="1">
      <c r="A2091" s="15" t="str">
        <f>Solieusap!A2091</f>
        <v>Cũ</v>
      </c>
      <c r="B2091" s="15">
        <f>Solieusap!B2091</f>
        <v>3.5</v>
      </c>
      <c r="C2091" s="15" t="str">
        <f>Solieusap!C2091</f>
        <v>COMB3</v>
      </c>
      <c r="D2091" s="15" t="str">
        <f>Solieusap!D2091</f>
        <v>Combination</v>
      </c>
      <c r="E2091" s="16">
        <f>ABS(Solieusap!E2091)</f>
        <v>20.15585481</v>
      </c>
      <c r="F2091" s="16">
        <f>ABS(Solieusap!F2091)</f>
        <v>1.922176797</v>
      </c>
      <c r="G2091" s="16">
        <f>ABS(Solieusap!G2091)</f>
        <v>2.597074199</v>
      </c>
      <c r="H2091" s="16">
        <f>ABS(Solieusap!H2091)</f>
        <v>0.001169330312</v>
      </c>
      <c r="I2091" s="16">
        <f>ABS(Solieusap!I2091)</f>
        <v>7.103111281</v>
      </c>
      <c r="J2091" s="16">
        <f>ABS(Solieusap!J2091)</f>
        <v>4.775047584</v>
      </c>
      <c r="K2091" s="16">
        <f t="shared" si="1"/>
        <v>20.15585481</v>
      </c>
      <c r="L2091" s="16">
        <f t="shared" si="2"/>
        <v>7.103111281</v>
      </c>
    </row>
    <row r="2092" ht="16.5" customHeight="1">
      <c r="A2092" s="15" t="str">
        <f>Solieusap!A2092</f>
        <v>Cũ</v>
      </c>
      <c r="B2092" s="15">
        <f>Solieusap!B2092</f>
        <v>0</v>
      </c>
      <c r="C2092" s="15" t="str">
        <f>Solieusap!C2092</f>
        <v>COMB4</v>
      </c>
      <c r="D2092" s="15" t="str">
        <f>Solieusap!D2092</f>
        <v>Combination</v>
      </c>
      <c r="E2092" s="16">
        <f>ABS(Solieusap!E2092)</f>
        <v>20.17271117</v>
      </c>
      <c r="F2092" s="16">
        <f>ABS(Solieusap!F2092)</f>
        <v>1.923887316</v>
      </c>
      <c r="G2092" s="16">
        <f>ABS(Solieusap!G2092)</f>
        <v>2.599338615</v>
      </c>
      <c r="H2092" s="16">
        <f>ABS(Solieusap!H2092)</f>
        <v>0.001170385416</v>
      </c>
      <c r="I2092" s="16">
        <f>ABS(Solieusap!I2092)</f>
        <v>7.109906074</v>
      </c>
      <c r="J2092" s="16">
        <f>ABS(Solieusap!J2092)</f>
        <v>4.779594636</v>
      </c>
      <c r="K2092" s="16">
        <f t="shared" si="1"/>
        <v>20.17271117</v>
      </c>
      <c r="L2092" s="16">
        <f t="shared" si="2"/>
        <v>7.109906074</v>
      </c>
    </row>
    <row r="2093" ht="16.5" customHeight="1">
      <c r="A2093" s="15" t="str">
        <f>Solieusap!A2093</f>
        <v>Cũ</v>
      </c>
      <c r="B2093" s="15">
        <f>Solieusap!B2093</f>
        <v>1.75</v>
      </c>
      <c r="C2093" s="15" t="str">
        <f>Solieusap!C2093</f>
        <v>COMB4</v>
      </c>
      <c r="D2093" s="15" t="str">
        <f>Solieusap!D2093</f>
        <v>Combination</v>
      </c>
      <c r="E2093" s="16">
        <f>ABS(Solieusap!E2093)</f>
        <v>20.18956753</v>
      </c>
      <c r="F2093" s="16">
        <f>ABS(Solieusap!F2093)</f>
        <v>1.925597835</v>
      </c>
      <c r="G2093" s="16">
        <f>ABS(Solieusap!G2093)</f>
        <v>2.60160303</v>
      </c>
      <c r="H2093" s="16">
        <f>ABS(Solieusap!H2093)</f>
        <v>0.001171440519</v>
      </c>
      <c r="I2093" s="16">
        <f>ABS(Solieusap!I2093)</f>
        <v>7.116700866</v>
      </c>
      <c r="J2093" s="16">
        <f>ABS(Solieusap!J2093)</f>
        <v>4.784141688</v>
      </c>
      <c r="K2093" s="16">
        <f t="shared" si="1"/>
        <v>20.18956753</v>
      </c>
      <c r="L2093" s="16">
        <f t="shared" si="2"/>
        <v>7.116700866</v>
      </c>
    </row>
    <row r="2094" ht="16.5" customHeight="1">
      <c r="A2094" s="15" t="str">
        <f>Solieusap!A2094</f>
        <v>Cũ</v>
      </c>
      <c r="B2094" s="15">
        <f>Solieusap!B2094</f>
        <v>3.5</v>
      </c>
      <c r="C2094" s="15" t="str">
        <f>Solieusap!C2094</f>
        <v>COMB4</v>
      </c>
      <c r="D2094" s="15" t="str">
        <f>Solieusap!D2094</f>
        <v>Combination</v>
      </c>
      <c r="E2094" s="16">
        <f>ABS(Solieusap!E2094)</f>
        <v>20.2064239</v>
      </c>
      <c r="F2094" s="16">
        <f>ABS(Solieusap!F2094)</f>
        <v>1.927308355</v>
      </c>
      <c r="G2094" s="16">
        <f>ABS(Solieusap!G2094)</f>
        <v>2.603867446</v>
      </c>
      <c r="H2094" s="16">
        <f>ABS(Solieusap!H2094)</f>
        <v>0.001172495623</v>
      </c>
      <c r="I2094" s="16">
        <f>ABS(Solieusap!I2094)</f>
        <v>7.123495658</v>
      </c>
      <c r="J2094" s="16">
        <f>ABS(Solieusap!J2094)</f>
        <v>4.78868874</v>
      </c>
      <c r="K2094" s="16">
        <f t="shared" si="1"/>
        <v>20.2064239</v>
      </c>
      <c r="L2094" s="16">
        <f t="shared" si="2"/>
        <v>7.123495658</v>
      </c>
    </row>
    <row r="2095" ht="16.5" customHeight="1">
      <c r="A2095" s="15" t="str">
        <f>Solieusap!A2095</f>
        <v>Cũ</v>
      </c>
      <c r="B2095" s="15">
        <f>Solieusap!B2095</f>
        <v>0</v>
      </c>
      <c r="C2095" s="15" t="str">
        <f>Solieusap!C2095</f>
        <v>COMB5</v>
      </c>
      <c r="D2095" s="15" t="str">
        <f>Solieusap!D2095</f>
        <v>Combination</v>
      </c>
      <c r="E2095" s="16">
        <f>ABS(Solieusap!E2095)</f>
        <v>20.22328026</v>
      </c>
      <c r="F2095" s="16">
        <f>ABS(Solieusap!F2095)</f>
        <v>1.929018874</v>
      </c>
      <c r="G2095" s="16">
        <f>ABS(Solieusap!G2095)</f>
        <v>2.606131861</v>
      </c>
      <c r="H2095" s="16">
        <f>ABS(Solieusap!H2095)</f>
        <v>0.001173550727</v>
      </c>
      <c r="I2095" s="16">
        <f>ABS(Solieusap!I2095)</f>
        <v>7.13029045</v>
      </c>
      <c r="J2095" s="16">
        <f>ABS(Solieusap!J2095)</f>
        <v>4.793235792</v>
      </c>
      <c r="K2095" s="16">
        <f t="shared" si="1"/>
        <v>20.22328026</v>
      </c>
      <c r="L2095" s="16">
        <f t="shared" si="2"/>
        <v>7.13029045</v>
      </c>
    </row>
    <row r="2096" ht="16.5" customHeight="1">
      <c r="A2096" s="15" t="str">
        <f>Solieusap!A2096</f>
        <v>Cũ</v>
      </c>
      <c r="B2096" s="15">
        <f>Solieusap!B2096</f>
        <v>1.75</v>
      </c>
      <c r="C2096" s="15" t="str">
        <f>Solieusap!C2096</f>
        <v>COMB5</v>
      </c>
      <c r="D2096" s="15" t="str">
        <f>Solieusap!D2096</f>
        <v>Combination</v>
      </c>
      <c r="E2096" s="16">
        <f>ABS(Solieusap!E2096)</f>
        <v>20.24013662</v>
      </c>
      <c r="F2096" s="16">
        <f>ABS(Solieusap!F2096)</f>
        <v>1.930729394</v>
      </c>
      <c r="G2096" s="16">
        <f>ABS(Solieusap!G2096)</f>
        <v>2.608396277</v>
      </c>
      <c r="H2096" s="16">
        <f>ABS(Solieusap!H2096)</f>
        <v>0.001174605831</v>
      </c>
      <c r="I2096" s="16">
        <f>ABS(Solieusap!I2096)</f>
        <v>7.137085242</v>
      </c>
      <c r="J2096" s="16">
        <f>ABS(Solieusap!J2096)</f>
        <v>4.797782844</v>
      </c>
      <c r="K2096" s="16">
        <f t="shared" si="1"/>
        <v>20.24013662</v>
      </c>
      <c r="L2096" s="16">
        <f t="shared" si="2"/>
        <v>7.137085242</v>
      </c>
    </row>
    <row r="2097" ht="16.5" customHeight="1">
      <c r="A2097" s="15" t="str">
        <f>Solieusap!A2097</f>
        <v>Cũ</v>
      </c>
      <c r="B2097" s="15">
        <f>Solieusap!B2097</f>
        <v>3.5</v>
      </c>
      <c r="C2097" s="15" t="str">
        <f>Solieusap!C2097</f>
        <v>COMB5</v>
      </c>
      <c r="D2097" s="15" t="str">
        <f>Solieusap!D2097</f>
        <v>Combination</v>
      </c>
      <c r="E2097" s="16">
        <f>ABS(Solieusap!E2097)</f>
        <v>20.25699299</v>
      </c>
      <c r="F2097" s="16">
        <f>ABS(Solieusap!F2097)</f>
        <v>1.932439913</v>
      </c>
      <c r="G2097" s="16">
        <f>ABS(Solieusap!G2097)</f>
        <v>2.610660693</v>
      </c>
      <c r="H2097" s="16">
        <f>ABS(Solieusap!H2097)</f>
        <v>0.001175660935</v>
      </c>
      <c r="I2097" s="16">
        <f>ABS(Solieusap!I2097)</f>
        <v>7.143880035</v>
      </c>
      <c r="J2097" s="16">
        <f>ABS(Solieusap!J2097)</f>
        <v>4.802329896</v>
      </c>
      <c r="K2097" s="16">
        <f t="shared" si="1"/>
        <v>20.25699299</v>
      </c>
      <c r="L2097" s="16">
        <f t="shared" si="2"/>
        <v>7.143880035</v>
      </c>
    </row>
    <row r="2098" ht="16.5" customHeight="1">
      <c r="A2098" s="15" t="str">
        <f>Solieusap!A2098</f>
        <v>Cũ</v>
      </c>
      <c r="B2098" s="15">
        <f>Solieusap!B2098</f>
        <v>0</v>
      </c>
      <c r="C2098" s="15" t="str">
        <f>Solieusap!C2098</f>
        <v>COMB6</v>
      </c>
      <c r="D2098" s="15" t="str">
        <f>Solieusap!D2098</f>
        <v>Combination</v>
      </c>
      <c r="E2098" s="16">
        <f>ABS(Solieusap!E2098)</f>
        <v>20.27384935</v>
      </c>
      <c r="F2098" s="16">
        <f>ABS(Solieusap!F2098)</f>
        <v>1.934150433</v>
      </c>
      <c r="G2098" s="16">
        <f>ABS(Solieusap!G2098)</f>
        <v>2.612925108</v>
      </c>
      <c r="H2098" s="16">
        <f>ABS(Solieusap!H2098)</f>
        <v>0.001176716039</v>
      </c>
      <c r="I2098" s="16">
        <f>ABS(Solieusap!I2098)</f>
        <v>7.150674827</v>
      </c>
      <c r="J2098" s="16">
        <f>ABS(Solieusap!J2098)</f>
        <v>4.806876948</v>
      </c>
      <c r="K2098" s="16">
        <f t="shared" si="1"/>
        <v>20.27384935</v>
      </c>
      <c r="L2098" s="16">
        <f t="shared" si="2"/>
        <v>7.150674827</v>
      </c>
    </row>
    <row r="2099" ht="16.5" customHeight="1">
      <c r="A2099" s="15" t="str">
        <f>Solieusap!A2099</f>
        <v>Cũ</v>
      </c>
      <c r="B2099" s="15">
        <f>Solieusap!B2099</f>
        <v>1.75</v>
      </c>
      <c r="C2099" s="15" t="str">
        <f>Solieusap!C2099</f>
        <v>COMB6</v>
      </c>
      <c r="D2099" s="15" t="str">
        <f>Solieusap!D2099</f>
        <v>Combination</v>
      </c>
      <c r="E2099" s="16">
        <f>ABS(Solieusap!E2099)</f>
        <v>20.29070571</v>
      </c>
      <c r="F2099" s="16">
        <f>ABS(Solieusap!F2099)</f>
        <v>1.935860952</v>
      </c>
      <c r="G2099" s="16">
        <f>ABS(Solieusap!G2099)</f>
        <v>2.615189524</v>
      </c>
      <c r="H2099" s="16">
        <f>ABS(Solieusap!H2099)</f>
        <v>0.001177771143</v>
      </c>
      <c r="I2099" s="16">
        <f>ABS(Solieusap!I2099)</f>
        <v>7.157469619</v>
      </c>
      <c r="J2099" s="16">
        <f>ABS(Solieusap!J2099)</f>
        <v>4.811424</v>
      </c>
      <c r="K2099" s="16">
        <f t="shared" si="1"/>
        <v>20.29070571</v>
      </c>
      <c r="L2099" s="16">
        <f t="shared" si="2"/>
        <v>7.157469619</v>
      </c>
    </row>
    <row r="2100" ht="16.5" customHeight="1">
      <c r="A2100" s="15" t="str">
        <f>Solieusap!A2100</f>
        <v>Cũ</v>
      </c>
      <c r="B2100" s="15">
        <f>Solieusap!B2100</f>
        <v>3.5</v>
      </c>
      <c r="C2100" s="15" t="str">
        <f>Solieusap!C2100</f>
        <v>COMB6</v>
      </c>
      <c r="D2100" s="15" t="str">
        <f>Solieusap!D2100</f>
        <v>Combination</v>
      </c>
      <c r="E2100" s="16">
        <f>ABS(Solieusap!E2100)</f>
        <v>20.30756208</v>
      </c>
      <c r="F2100" s="16">
        <f>ABS(Solieusap!F2100)</f>
        <v>1.937571472</v>
      </c>
      <c r="G2100" s="16">
        <f>ABS(Solieusap!G2100)</f>
        <v>2.617453939</v>
      </c>
      <c r="H2100" s="16">
        <f>ABS(Solieusap!H2100)</f>
        <v>0.001178826247</v>
      </c>
      <c r="I2100" s="16">
        <f>ABS(Solieusap!I2100)</f>
        <v>7.164264411</v>
      </c>
      <c r="J2100" s="16">
        <f>ABS(Solieusap!J2100)</f>
        <v>4.815971052</v>
      </c>
      <c r="K2100" s="16">
        <f t="shared" si="1"/>
        <v>20.30756208</v>
      </c>
      <c r="L2100" s="16">
        <f t="shared" si="2"/>
        <v>7.164264411</v>
      </c>
    </row>
    <row r="2101" ht="16.5" customHeight="1">
      <c r="A2101" s="15" t="str">
        <f>Solieusap!A2101</f>
        <v>Cũ</v>
      </c>
      <c r="B2101" s="15">
        <f>Solieusap!B2101</f>
        <v>0</v>
      </c>
      <c r="C2101" s="15" t="str">
        <f>Solieusap!C2101</f>
        <v>COMB7</v>
      </c>
      <c r="D2101" s="15" t="str">
        <f>Solieusap!D2101</f>
        <v>Combination</v>
      </c>
      <c r="E2101" s="16">
        <f>ABS(Solieusap!E2101)</f>
        <v>20.32441844</v>
      </c>
      <c r="F2101" s="16">
        <f>ABS(Solieusap!F2101)</f>
        <v>1.939281991</v>
      </c>
      <c r="G2101" s="16">
        <f>ABS(Solieusap!G2101)</f>
        <v>2.619718355</v>
      </c>
      <c r="H2101" s="16">
        <f>ABS(Solieusap!H2101)</f>
        <v>0.001179881351</v>
      </c>
      <c r="I2101" s="16">
        <f>ABS(Solieusap!I2101)</f>
        <v>7.171059203</v>
      </c>
      <c r="J2101" s="16">
        <f>ABS(Solieusap!J2101)</f>
        <v>4.820518104</v>
      </c>
      <c r="K2101" s="16">
        <f t="shared" si="1"/>
        <v>20.32441844</v>
      </c>
      <c r="L2101" s="16">
        <f t="shared" si="2"/>
        <v>7.171059203</v>
      </c>
    </row>
    <row r="2102" ht="16.5" customHeight="1">
      <c r="A2102" s="15" t="str">
        <f>Solieusap!A2102</f>
        <v>Cũ</v>
      </c>
      <c r="B2102" s="15">
        <f>Solieusap!B2102</f>
        <v>1.75</v>
      </c>
      <c r="C2102" s="15" t="str">
        <f>Solieusap!C2102</f>
        <v>COMB7</v>
      </c>
      <c r="D2102" s="15" t="str">
        <f>Solieusap!D2102</f>
        <v>Combination</v>
      </c>
      <c r="E2102" s="16">
        <f>ABS(Solieusap!E2102)</f>
        <v>20.34127481</v>
      </c>
      <c r="F2102" s="16">
        <f>ABS(Solieusap!F2102)</f>
        <v>1.940992511</v>
      </c>
      <c r="G2102" s="16">
        <f>ABS(Solieusap!G2102)</f>
        <v>2.621982771</v>
      </c>
      <c r="H2102" s="16">
        <f>ABS(Solieusap!H2102)</f>
        <v>0.001180936455</v>
      </c>
      <c r="I2102" s="16">
        <f>ABS(Solieusap!I2102)</f>
        <v>7.177853996</v>
      </c>
      <c r="J2102" s="16">
        <f>ABS(Solieusap!J2102)</f>
        <v>4.825065156</v>
      </c>
      <c r="K2102" s="16">
        <f t="shared" si="1"/>
        <v>20.34127481</v>
      </c>
      <c r="L2102" s="16">
        <f t="shared" si="2"/>
        <v>7.177853996</v>
      </c>
    </row>
    <row r="2103" ht="16.5" customHeight="1">
      <c r="A2103" s="15" t="str">
        <f>Solieusap!A2103</f>
        <v>Cũ</v>
      </c>
      <c r="B2103" s="15">
        <f>Solieusap!B2103</f>
        <v>3.5</v>
      </c>
      <c r="C2103" s="15" t="str">
        <f>Solieusap!C2103</f>
        <v>COMB7</v>
      </c>
      <c r="D2103" s="15" t="str">
        <f>Solieusap!D2103</f>
        <v>Combination</v>
      </c>
      <c r="E2103" s="16">
        <f>ABS(Solieusap!E2103)</f>
        <v>20.35813117</v>
      </c>
      <c r="F2103" s="16">
        <f>ABS(Solieusap!F2103)</f>
        <v>1.94270303</v>
      </c>
      <c r="G2103" s="16">
        <f>ABS(Solieusap!G2103)</f>
        <v>2.624247186</v>
      </c>
      <c r="H2103" s="16">
        <f>ABS(Solieusap!H2103)</f>
        <v>0.001181991558</v>
      </c>
      <c r="I2103" s="16">
        <f>ABS(Solieusap!I2103)</f>
        <v>7.184648788</v>
      </c>
      <c r="J2103" s="16">
        <f>ABS(Solieusap!J2103)</f>
        <v>4.829612208</v>
      </c>
      <c r="K2103" s="16">
        <f t="shared" si="1"/>
        <v>20.35813117</v>
      </c>
      <c r="L2103" s="16">
        <f t="shared" si="2"/>
        <v>7.184648788</v>
      </c>
    </row>
    <row r="2104" ht="16.5" customHeight="1">
      <c r="A2104" s="15" t="str">
        <f>Solieusap!A2104</f>
        <v>Cũ</v>
      </c>
      <c r="B2104" s="15">
        <f>Solieusap!B2104</f>
        <v>0</v>
      </c>
      <c r="C2104" s="15" t="str">
        <f>Solieusap!C2104</f>
        <v>COMB1</v>
      </c>
      <c r="D2104" s="15" t="str">
        <f>Solieusap!D2104</f>
        <v>Combination</v>
      </c>
      <c r="E2104" s="16">
        <f>ABS(Solieusap!E2104)</f>
        <v>20.37498753</v>
      </c>
      <c r="F2104" s="16">
        <f>ABS(Solieusap!F2104)</f>
        <v>1.94441355</v>
      </c>
      <c r="G2104" s="16">
        <f>ABS(Solieusap!G2104)</f>
        <v>2.626511602</v>
      </c>
      <c r="H2104" s="16">
        <f>ABS(Solieusap!H2104)</f>
        <v>0.001183046662</v>
      </c>
      <c r="I2104" s="16">
        <f>ABS(Solieusap!I2104)</f>
        <v>7.19144358</v>
      </c>
      <c r="J2104" s="16">
        <f>ABS(Solieusap!J2104)</f>
        <v>4.83415926</v>
      </c>
      <c r="K2104" s="16">
        <f t="shared" si="1"/>
        <v>20.37498753</v>
      </c>
      <c r="L2104" s="16">
        <f t="shared" si="2"/>
        <v>7.19144358</v>
      </c>
    </row>
    <row r="2105" ht="16.5" customHeight="1">
      <c r="A2105" s="15" t="str">
        <f>Solieusap!A2105</f>
        <v>Cũ</v>
      </c>
      <c r="B2105" s="15">
        <f>Solieusap!B2105</f>
        <v>1.75</v>
      </c>
      <c r="C2105" s="15" t="str">
        <f>Solieusap!C2105</f>
        <v>COMB1</v>
      </c>
      <c r="D2105" s="15" t="str">
        <f>Solieusap!D2105</f>
        <v>Combination</v>
      </c>
      <c r="E2105" s="16">
        <f>ABS(Solieusap!E2105)</f>
        <v>20.3918439</v>
      </c>
      <c r="F2105" s="16">
        <f>ABS(Solieusap!F2105)</f>
        <v>1.946124069</v>
      </c>
      <c r="G2105" s="16">
        <f>ABS(Solieusap!G2105)</f>
        <v>2.628776017</v>
      </c>
      <c r="H2105" s="16">
        <f>ABS(Solieusap!H2105)</f>
        <v>0.001184101766</v>
      </c>
      <c r="I2105" s="16">
        <f>ABS(Solieusap!I2105)</f>
        <v>7.198238372</v>
      </c>
      <c r="J2105" s="16">
        <f>ABS(Solieusap!J2105)</f>
        <v>4.838706312</v>
      </c>
      <c r="K2105" s="16">
        <f t="shared" si="1"/>
        <v>20.3918439</v>
      </c>
      <c r="L2105" s="16">
        <f t="shared" si="2"/>
        <v>7.198238372</v>
      </c>
    </row>
    <row r="2106" ht="16.5" customHeight="1">
      <c r="A2106" s="15" t="str">
        <f>Solieusap!A2106</f>
        <v>Cũ</v>
      </c>
      <c r="B2106" s="15">
        <f>Solieusap!B2106</f>
        <v>3.5</v>
      </c>
      <c r="C2106" s="15" t="str">
        <f>Solieusap!C2106</f>
        <v>COMB1</v>
      </c>
      <c r="D2106" s="15" t="str">
        <f>Solieusap!D2106</f>
        <v>Combination</v>
      </c>
      <c r="E2106" s="16">
        <f>ABS(Solieusap!E2106)</f>
        <v>20.40870026</v>
      </c>
      <c r="F2106" s="16">
        <f>ABS(Solieusap!F2106)</f>
        <v>1.947834589</v>
      </c>
      <c r="G2106" s="16">
        <f>ABS(Solieusap!G2106)</f>
        <v>2.631040433</v>
      </c>
      <c r="H2106" s="16">
        <f>ABS(Solieusap!H2106)</f>
        <v>0.00118515687</v>
      </c>
      <c r="I2106" s="16">
        <f>ABS(Solieusap!I2106)</f>
        <v>7.205033165</v>
      </c>
      <c r="J2106" s="16">
        <f>ABS(Solieusap!J2106)</f>
        <v>4.843253364</v>
      </c>
      <c r="K2106" s="16">
        <f t="shared" si="1"/>
        <v>20.40870026</v>
      </c>
      <c r="L2106" s="16">
        <f t="shared" si="2"/>
        <v>7.205033165</v>
      </c>
    </row>
    <row r="2107" ht="16.5" customHeight="1">
      <c r="A2107" s="15" t="str">
        <f>Solieusap!A2107</f>
        <v>Cũ</v>
      </c>
      <c r="B2107" s="15">
        <f>Solieusap!B2107</f>
        <v>0</v>
      </c>
      <c r="C2107" s="15" t="str">
        <f>Solieusap!C2107</f>
        <v>COMB2</v>
      </c>
      <c r="D2107" s="15" t="str">
        <f>Solieusap!D2107</f>
        <v>Combination</v>
      </c>
      <c r="E2107" s="16">
        <f>ABS(Solieusap!E2107)</f>
        <v>20.42555662</v>
      </c>
      <c r="F2107" s="16">
        <f>ABS(Solieusap!F2107)</f>
        <v>1.949545108</v>
      </c>
      <c r="G2107" s="16">
        <f>ABS(Solieusap!G2107)</f>
        <v>2.633304848</v>
      </c>
      <c r="H2107" s="16">
        <f>ABS(Solieusap!H2107)</f>
        <v>0.001186211974</v>
      </c>
      <c r="I2107" s="16">
        <f>ABS(Solieusap!I2107)</f>
        <v>7.211827957</v>
      </c>
      <c r="J2107" s="16">
        <f>ABS(Solieusap!J2107)</f>
        <v>4.847800416</v>
      </c>
      <c r="K2107" s="16">
        <f t="shared" si="1"/>
        <v>20.42555662</v>
      </c>
      <c r="L2107" s="16">
        <f t="shared" si="2"/>
        <v>7.211827957</v>
      </c>
    </row>
    <row r="2108" ht="16.5" customHeight="1">
      <c r="A2108" s="15" t="str">
        <f>Solieusap!A2108</f>
        <v>Cũ</v>
      </c>
      <c r="B2108" s="15">
        <f>Solieusap!B2108</f>
        <v>1.75</v>
      </c>
      <c r="C2108" s="15" t="str">
        <f>Solieusap!C2108</f>
        <v>COMB2</v>
      </c>
      <c r="D2108" s="15" t="str">
        <f>Solieusap!D2108</f>
        <v>Combination</v>
      </c>
      <c r="E2108" s="16">
        <f>ABS(Solieusap!E2108)</f>
        <v>20.44241299</v>
      </c>
      <c r="F2108" s="16">
        <f>ABS(Solieusap!F2108)</f>
        <v>1.951255628</v>
      </c>
      <c r="G2108" s="16">
        <f>ABS(Solieusap!G2108)</f>
        <v>2.635569264</v>
      </c>
      <c r="H2108" s="16">
        <f>ABS(Solieusap!H2108)</f>
        <v>0.001187267078</v>
      </c>
      <c r="I2108" s="16">
        <f>ABS(Solieusap!I2108)</f>
        <v>7.218622749</v>
      </c>
      <c r="J2108" s="16">
        <f>ABS(Solieusap!J2108)</f>
        <v>4.852347468</v>
      </c>
      <c r="K2108" s="16">
        <f t="shared" si="1"/>
        <v>20.44241299</v>
      </c>
      <c r="L2108" s="16">
        <f t="shared" si="2"/>
        <v>7.218622749</v>
      </c>
    </row>
    <row r="2109" ht="16.5" customHeight="1">
      <c r="A2109" s="15" t="str">
        <f>Solieusap!A2109</f>
        <v>Cũ</v>
      </c>
      <c r="B2109" s="15">
        <f>Solieusap!B2109</f>
        <v>3.5</v>
      </c>
      <c r="C2109" s="15" t="str">
        <f>Solieusap!C2109</f>
        <v>COMB2</v>
      </c>
      <c r="D2109" s="15" t="str">
        <f>Solieusap!D2109</f>
        <v>Combination</v>
      </c>
      <c r="E2109" s="16">
        <f>ABS(Solieusap!E2109)</f>
        <v>20.45926935</v>
      </c>
      <c r="F2109" s="16">
        <f>ABS(Solieusap!F2109)</f>
        <v>1.952966147</v>
      </c>
      <c r="G2109" s="16">
        <f>ABS(Solieusap!G2109)</f>
        <v>2.63783368</v>
      </c>
      <c r="H2109" s="16">
        <f>ABS(Solieusap!H2109)</f>
        <v>0.001188322182</v>
      </c>
      <c r="I2109" s="16">
        <f>ABS(Solieusap!I2109)</f>
        <v>7.225417541</v>
      </c>
      <c r="J2109" s="16">
        <f>ABS(Solieusap!J2109)</f>
        <v>4.856894519</v>
      </c>
      <c r="K2109" s="16">
        <f t="shared" si="1"/>
        <v>20.45926935</v>
      </c>
      <c r="L2109" s="16">
        <f t="shared" si="2"/>
        <v>7.225417541</v>
      </c>
    </row>
    <row r="2110" ht="16.5" customHeight="1">
      <c r="A2110" s="15" t="str">
        <f>Solieusap!A2110</f>
        <v>Cũ</v>
      </c>
      <c r="B2110" s="15">
        <f>Solieusap!B2110</f>
        <v>0</v>
      </c>
      <c r="C2110" s="15" t="str">
        <f>Solieusap!C2110</f>
        <v>COMB3</v>
      </c>
      <c r="D2110" s="15" t="str">
        <f>Solieusap!D2110</f>
        <v>Combination</v>
      </c>
      <c r="E2110" s="16">
        <f>ABS(Solieusap!E2110)</f>
        <v>20.47612571</v>
      </c>
      <c r="F2110" s="16">
        <f>ABS(Solieusap!F2110)</f>
        <v>1.954676667</v>
      </c>
      <c r="G2110" s="16">
        <f>ABS(Solieusap!G2110)</f>
        <v>2.640098095</v>
      </c>
      <c r="H2110" s="16">
        <f>ABS(Solieusap!H2110)</f>
        <v>0.001189377286</v>
      </c>
      <c r="I2110" s="16">
        <f>ABS(Solieusap!I2110)</f>
        <v>7.232212333</v>
      </c>
      <c r="J2110" s="16">
        <f>ABS(Solieusap!J2110)</f>
        <v>4.861441571</v>
      </c>
      <c r="K2110" s="16">
        <f t="shared" si="1"/>
        <v>20.47612571</v>
      </c>
      <c r="L2110" s="16">
        <f t="shared" si="2"/>
        <v>7.232212333</v>
      </c>
    </row>
    <row r="2111" ht="16.5" customHeight="1">
      <c r="A2111" s="15" t="str">
        <f>Solieusap!A2111</f>
        <v>Cũ</v>
      </c>
      <c r="B2111" s="15">
        <f>Solieusap!B2111</f>
        <v>1.75</v>
      </c>
      <c r="C2111" s="15" t="str">
        <f>Solieusap!C2111</f>
        <v>COMB3</v>
      </c>
      <c r="D2111" s="15" t="str">
        <f>Solieusap!D2111</f>
        <v>Combination</v>
      </c>
      <c r="E2111" s="16">
        <f>ABS(Solieusap!E2111)</f>
        <v>20.49298208</v>
      </c>
      <c r="F2111" s="16">
        <f>ABS(Solieusap!F2111)</f>
        <v>1.956387186</v>
      </c>
      <c r="G2111" s="16">
        <f>ABS(Solieusap!G2111)</f>
        <v>2.642362511</v>
      </c>
      <c r="H2111" s="16">
        <f>ABS(Solieusap!H2111)</f>
        <v>0.00119043239</v>
      </c>
      <c r="I2111" s="16">
        <f>ABS(Solieusap!I2111)</f>
        <v>7.239007126</v>
      </c>
      <c r="J2111" s="16">
        <f>ABS(Solieusap!J2111)</f>
        <v>4.865988623</v>
      </c>
      <c r="K2111" s="16">
        <f t="shared" si="1"/>
        <v>20.49298208</v>
      </c>
      <c r="L2111" s="16">
        <f t="shared" si="2"/>
        <v>7.239007126</v>
      </c>
    </row>
    <row r="2112" ht="16.5" customHeight="1">
      <c r="A2112" s="15" t="str">
        <f>Solieusap!A2112</f>
        <v>Cũ</v>
      </c>
      <c r="B2112" s="15">
        <f>Solieusap!B2112</f>
        <v>3.5</v>
      </c>
      <c r="C2112" s="15" t="str">
        <f>Solieusap!C2112</f>
        <v>COMB3</v>
      </c>
      <c r="D2112" s="15" t="str">
        <f>Solieusap!D2112</f>
        <v>Combination</v>
      </c>
      <c r="E2112" s="16">
        <f>ABS(Solieusap!E2112)</f>
        <v>20.50983844</v>
      </c>
      <c r="F2112" s="16">
        <f>ABS(Solieusap!F2112)</f>
        <v>1.958097706</v>
      </c>
      <c r="G2112" s="16">
        <f>ABS(Solieusap!G2112)</f>
        <v>2.644626926</v>
      </c>
      <c r="H2112" s="16">
        <f>ABS(Solieusap!H2112)</f>
        <v>0.001191487494</v>
      </c>
      <c r="I2112" s="16">
        <f>ABS(Solieusap!I2112)</f>
        <v>7.245801918</v>
      </c>
      <c r="J2112" s="16">
        <f>ABS(Solieusap!J2112)</f>
        <v>4.870535675</v>
      </c>
      <c r="K2112" s="16">
        <f t="shared" si="1"/>
        <v>20.50983844</v>
      </c>
      <c r="L2112" s="16">
        <f t="shared" si="2"/>
        <v>7.245801918</v>
      </c>
    </row>
    <row r="2113" ht="16.5" customHeight="1">
      <c r="A2113" s="15" t="str">
        <f>Solieusap!A2113</f>
        <v>Cũ</v>
      </c>
      <c r="B2113" s="15">
        <f>Solieusap!B2113</f>
        <v>0</v>
      </c>
      <c r="C2113" s="15" t="str">
        <f>Solieusap!C2113</f>
        <v>COMB4</v>
      </c>
      <c r="D2113" s="15" t="str">
        <f>Solieusap!D2113</f>
        <v>Combination</v>
      </c>
      <c r="E2113" s="16">
        <f>ABS(Solieusap!E2113)</f>
        <v>20.52669481</v>
      </c>
      <c r="F2113" s="16">
        <f>ABS(Solieusap!F2113)</f>
        <v>1.959808225</v>
      </c>
      <c r="G2113" s="16">
        <f>ABS(Solieusap!G2113)</f>
        <v>2.646891342</v>
      </c>
      <c r="H2113" s="16">
        <f>ABS(Solieusap!H2113)</f>
        <v>0.001192542597</v>
      </c>
      <c r="I2113" s="16">
        <f>ABS(Solieusap!I2113)</f>
        <v>7.25259671</v>
      </c>
      <c r="J2113" s="16">
        <f>ABS(Solieusap!J2113)</f>
        <v>4.875082727</v>
      </c>
      <c r="K2113" s="16">
        <f t="shared" si="1"/>
        <v>20.52669481</v>
      </c>
      <c r="L2113" s="16">
        <f t="shared" si="2"/>
        <v>7.25259671</v>
      </c>
    </row>
    <row r="2114" ht="16.5" customHeight="1">
      <c r="A2114" s="15" t="str">
        <f>Solieusap!A2114</f>
        <v>Cũ</v>
      </c>
      <c r="B2114" s="15">
        <f>Solieusap!B2114</f>
        <v>1.75</v>
      </c>
      <c r="C2114" s="15" t="str">
        <f>Solieusap!C2114</f>
        <v>COMB4</v>
      </c>
      <c r="D2114" s="15" t="str">
        <f>Solieusap!D2114</f>
        <v>Combination</v>
      </c>
      <c r="E2114" s="16">
        <f>ABS(Solieusap!E2114)</f>
        <v>20.54355117</v>
      </c>
      <c r="F2114" s="16">
        <f>ABS(Solieusap!F2114)</f>
        <v>1.961518745</v>
      </c>
      <c r="G2114" s="16">
        <f>ABS(Solieusap!G2114)</f>
        <v>2.649155758</v>
      </c>
      <c r="H2114" s="16">
        <f>ABS(Solieusap!H2114)</f>
        <v>0.001193597701</v>
      </c>
      <c r="I2114" s="16">
        <f>ABS(Solieusap!I2114)</f>
        <v>7.259391502</v>
      </c>
      <c r="J2114" s="16">
        <f>ABS(Solieusap!J2114)</f>
        <v>4.879629779</v>
      </c>
      <c r="K2114" s="16">
        <f t="shared" si="1"/>
        <v>20.54355117</v>
      </c>
      <c r="L2114" s="16">
        <f t="shared" si="2"/>
        <v>7.259391502</v>
      </c>
    </row>
    <row r="2115" ht="16.5" customHeight="1">
      <c r="A2115" s="15" t="str">
        <f>Solieusap!A2115</f>
        <v>Cũ</v>
      </c>
      <c r="B2115" s="15">
        <f>Solieusap!B2115</f>
        <v>3.5</v>
      </c>
      <c r="C2115" s="15" t="str">
        <f>Solieusap!C2115</f>
        <v>COMB4</v>
      </c>
      <c r="D2115" s="15" t="str">
        <f>Solieusap!D2115</f>
        <v>Combination</v>
      </c>
      <c r="E2115" s="16">
        <f>ABS(Solieusap!E2115)</f>
        <v>20.56040753</v>
      </c>
      <c r="F2115" s="16">
        <f>ABS(Solieusap!F2115)</f>
        <v>1.963229264</v>
      </c>
      <c r="G2115" s="16">
        <f>ABS(Solieusap!G2115)</f>
        <v>2.651420173</v>
      </c>
      <c r="H2115" s="16">
        <f>ABS(Solieusap!H2115)</f>
        <v>0.001194652805</v>
      </c>
      <c r="I2115" s="16">
        <f>ABS(Solieusap!I2115)</f>
        <v>7.266186294</v>
      </c>
      <c r="J2115" s="16">
        <f>ABS(Solieusap!J2115)</f>
        <v>4.884176831</v>
      </c>
      <c r="K2115" s="16">
        <f t="shared" si="1"/>
        <v>20.56040753</v>
      </c>
      <c r="L2115" s="16">
        <f t="shared" si="2"/>
        <v>7.266186294</v>
      </c>
    </row>
    <row r="2116" ht="16.5" customHeight="1">
      <c r="A2116" s="15" t="str">
        <f>Solieusap!A2116</f>
        <v>Cũ</v>
      </c>
      <c r="B2116" s="15">
        <f>Solieusap!B2116</f>
        <v>0</v>
      </c>
      <c r="C2116" s="15" t="str">
        <f>Solieusap!C2116</f>
        <v>COMB5</v>
      </c>
      <c r="D2116" s="15" t="str">
        <f>Solieusap!D2116</f>
        <v>Combination</v>
      </c>
      <c r="E2116" s="16">
        <f>ABS(Solieusap!E2116)</f>
        <v>20.5772639</v>
      </c>
      <c r="F2116" s="16">
        <f>ABS(Solieusap!F2116)</f>
        <v>1.964939784</v>
      </c>
      <c r="G2116" s="16">
        <f>ABS(Solieusap!G2116)</f>
        <v>2.653684589</v>
      </c>
      <c r="H2116" s="16">
        <f>ABS(Solieusap!H2116)</f>
        <v>0.001195707909</v>
      </c>
      <c r="I2116" s="16">
        <f>ABS(Solieusap!I2116)</f>
        <v>7.272981087</v>
      </c>
      <c r="J2116" s="16">
        <f>ABS(Solieusap!J2116)</f>
        <v>4.888723883</v>
      </c>
      <c r="K2116" s="16">
        <f t="shared" si="1"/>
        <v>20.5772639</v>
      </c>
      <c r="L2116" s="16">
        <f t="shared" si="2"/>
        <v>7.272981087</v>
      </c>
    </row>
    <row r="2117" ht="16.5" customHeight="1">
      <c r="A2117" s="15" t="str">
        <f>Solieusap!A2117</f>
        <v>Cũ</v>
      </c>
      <c r="B2117" s="15">
        <f>Solieusap!B2117</f>
        <v>1.75</v>
      </c>
      <c r="C2117" s="15" t="str">
        <f>Solieusap!C2117</f>
        <v>COMB5</v>
      </c>
      <c r="D2117" s="15" t="str">
        <f>Solieusap!D2117</f>
        <v>Combination</v>
      </c>
      <c r="E2117" s="16">
        <f>ABS(Solieusap!E2117)</f>
        <v>20.59412026</v>
      </c>
      <c r="F2117" s="16">
        <f>ABS(Solieusap!F2117)</f>
        <v>1.966650303</v>
      </c>
      <c r="G2117" s="16">
        <f>ABS(Solieusap!G2117)</f>
        <v>2.655949004</v>
      </c>
      <c r="H2117" s="16">
        <f>ABS(Solieusap!H2117)</f>
        <v>0.001196763013</v>
      </c>
      <c r="I2117" s="16">
        <f>ABS(Solieusap!I2117)</f>
        <v>7.279775879</v>
      </c>
      <c r="J2117" s="16">
        <f>ABS(Solieusap!J2117)</f>
        <v>4.893270935</v>
      </c>
      <c r="K2117" s="16">
        <f t="shared" si="1"/>
        <v>20.59412026</v>
      </c>
      <c r="L2117" s="16">
        <f t="shared" si="2"/>
        <v>7.279775879</v>
      </c>
    </row>
    <row r="2118" ht="16.5" customHeight="1">
      <c r="A2118" s="15" t="str">
        <f>Solieusap!A2118</f>
        <v>Cũ</v>
      </c>
      <c r="B2118" s="15">
        <f>Solieusap!B2118</f>
        <v>3.5</v>
      </c>
      <c r="C2118" s="15" t="str">
        <f>Solieusap!C2118</f>
        <v>COMB5</v>
      </c>
      <c r="D2118" s="15" t="str">
        <f>Solieusap!D2118</f>
        <v>Combination</v>
      </c>
      <c r="E2118" s="16">
        <f>ABS(Solieusap!E2118)</f>
        <v>20.61097662</v>
      </c>
      <c r="F2118" s="16">
        <f>ABS(Solieusap!F2118)</f>
        <v>1.968360823</v>
      </c>
      <c r="G2118" s="16">
        <f>ABS(Solieusap!G2118)</f>
        <v>2.65821342</v>
      </c>
      <c r="H2118" s="16">
        <f>ABS(Solieusap!H2118)</f>
        <v>0.001197818117</v>
      </c>
      <c r="I2118" s="16">
        <f>ABS(Solieusap!I2118)</f>
        <v>7.286570671</v>
      </c>
      <c r="J2118" s="16">
        <f>ABS(Solieusap!J2118)</f>
        <v>4.897817987</v>
      </c>
      <c r="K2118" s="16">
        <f t="shared" si="1"/>
        <v>20.61097662</v>
      </c>
      <c r="L2118" s="16">
        <f t="shared" si="2"/>
        <v>7.286570671</v>
      </c>
    </row>
    <row r="2119" ht="16.5" customHeight="1">
      <c r="A2119" s="15" t="str">
        <f>Solieusap!A2119</f>
        <v>Cũ</v>
      </c>
      <c r="B2119" s="15">
        <f>Solieusap!B2119</f>
        <v>0</v>
      </c>
      <c r="C2119" s="15" t="str">
        <f>Solieusap!C2119</f>
        <v>COMB6</v>
      </c>
      <c r="D2119" s="15" t="str">
        <f>Solieusap!D2119</f>
        <v>Combination</v>
      </c>
      <c r="E2119" s="16">
        <f>ABS(Solieusap!E2119)</f>
        <v>20.62783299</v>
      </c>
      <c r="F2119" s="16">
        <f>ABS(Solieusap!F2119)</f>
        <v>1.970071342</v>
      </c>
      <c r="G2119" s="16">
        <f>ABS(Solieusap!G2119)</f>
        <v>2.660477835</v>
      </c>
      <c r="H2119" s="16">
        <f>ABS(Solieusap!H2119)</f>
        <v>0.001198873221</v>
      </c>
      <c r="I2119" s="16">
        <f>ABS(Solieusap!I2119)</f>
        <v>7.293365463</v>
      </c>
      <c r="J2119" s="16">
        <f>ABS(Solieusap!J2119)</f>
        <v>4.902365039</v>
      </c>
      <c r="K2119" s="16">
        <f t="shared" si="1"/>
        <v>20.62783299</v>
      </c>
      <c r="L2119" s="16">
        <f t="shared" si="2"/>
        <v>7.293365463</v>
      </c>
    </row>
    <row r="2120" ht="16.5" customHeight="1">
      <c r="A2120" s="15" t="str">
        <f>Solieusap!A2120</f>
        <v>Cũ</v>
      </c>
      <c r="B2120" s="15">
        <f>Solieusap!B2120</f>
        <v>1.75</v>
      </c>
      <c r="C2120" s="15" t="str">
        <f>Solieusap!C2120</f>
        <v>COMB6</v>
      </c>
      <c r="D2120" s="15" t="str">
        <f>Solieusap!D2120</f>
        <v>Combination</v>
      </c>
      <c r="E2120" s="16">
        <f>ABS(Solieusap!E2120)</f>
        <v>20.64468935</v>
      </c>
      <c r="F2120" s="16">
        <f>ABS(Solieusap!F2120)</f>
        <v>1.971781861</v>
      </c>
      <c r="G2120" s="16">
        <f>ABS(Solieusap!G2120)</f>
        <v>2.662742251</v>
      </c>
      <c r="H2120" s="16">
        <f>ABS(Solieusap!H2120)</f>
        <v>0.001199928325</v>
      </c>
      <c r="I2120" s="16">
        <f>ABS(Solieusap!I2120)</f>
        <v>7.300160255</v>
      </c>
      <c r="J2120" s="16">
        <f>ABS(Solieusap!J2120)</f>
        <v>4.906912091</v>
      </c>
      <c r="K2120" s="16">
        <f t="shared" si="1"/>
        <v>20.64468935</v>
      </c>
      <c r="L2120" s="16">
        <f t="shared" si="2"/>
        <v>7.300160255</v>
      </c>
    </row>
    <row r="2121" ht="16.5" customHeight="1">
      <c r="A2121" s="15" t="str">
        <f>Solieusap!A2121</f>
        <v>Cũ</v>
      </c>
      <c r="B2121" s="15">
        <f>Solieusap!B2121</f>
        <v>3.5</v>
      </c>
      <c r="C2121" s="15" t="str">
        <f>Solieusap!C2121</f>
        <v>COMB6</v>
      </c>
      <c r="D2121" s="15" t="str">
        <f>Solieusap!D2121</f>
        <v>Combination</v>
      </c>
      <c r="E2121" s="16">
        <f>ABS(Solieusap!E2121)</f>
        <v>20.66154571</v>
      </c>
      <c r="F2121" s="16">
        <f>ABS(Solieusap!F2121)</f>
        <v>1.973492381</v>
      </c>
      <c r="G2121" s="16">
        <f>ABS(Solieusap!G2121)</f>
        <v>2.665006667</v>
      </c>
      <c r="H2121" s="16">
        <f>ABS(Solieusap!H2121)</f>
        <v>0.001200983429</v>
      </c>
      <c r="I2121" s="16">
        <f>ABS(Solieusap!I2121)</f>
        <v>7.306955048</v>
      </c>
      <c r="J2121" s="16">
        <f>ABS(Solieusap!J2121)</f>
        <v>4.911459143</v>
      </c>
      <c r="K2121" s="16">
        <f t="shared" si="1"/>
        <v>20.66154571</v>
      </c>
      <c r="L2121" s="16">
        <f t="shared" si="2"/>
        <v>7.306955048</v>
      </c>
    </row>
    <row r="2122" ht="16.5" customHeight="1">
      <c r="A2122" s="15" t="str">
        <f>Solieusap!A2122</f>
        <v>Cũ</v>
      </c>
      <c r="B2122" s="15">
        <f>Solieusap!B2122</f>
        <v>0</v>
      </c>
      <c r="C2122" s="15" t="str">
        <f>Solieusap!C2122</f>
        <v>COMB7</v>
      </c>
      <c r="D2122" s="15" t="str">
        <f>Solieusap!D2122</f>
        <v>Combination</v>
      </c>
      <c r="E2122" s="16">
        <f>ABS(Solieusap!E2122)</f>
        <v>20.67840208</v>
      </c>
      <c r="F2122" s="16">
        <f>ABS(Solieusap!F2122)</f>
        <v>1.9752029</v>
      </c>
      <c r="G2122" s="16">
        <f>ABS(Solieusap!G2122)</f>
        <v>2.667271082</v>
      </c>
      <c r="H2122" s="16">
        <f>ABS(Solieusap!H2122)</f>
        <v>0.001202038532</v>
      </c>
      <c r="I2122" s="16">
        <f>ABS(Solieusap!I2122)</f>
        <v>7.31374984</v>
      </c>
      <c r="J2122" s="16">
        <f>ABS(Solieusap!J2122)</f>
        <v>4.916006195</v>
      </c>
      <c r="K2122" s="16">
        <f t="shared" si="1"/>
        <v>20.67840208</v>
      </c>
      <c r="L2122" s="16">
        <f t="shared" si="2"/>
        <v>7.31374984</v>
      </c>
    </row>
    <row r="2123" ht="16.5" customHeight="1">
      <c r="A2123" s="15" t="str">
        <f>Solieusap!A2123</f>
        <v>Cũ</v>
      </c>
      <c r="B2123" s="15">
        <f>Solieusap!B2123</f>
        <v>1.75</v>
      </c>
      <c r="C2123" s="15" t="str">
        <f>Solieusap!C2123</f>
        <v>COMB7</v>
      </c>
      <c r="D2123" s="15" t="str">
        <f>Solieusap!D2123</f>
        <v>Combination</v>
      </c>
      <c r="E2123" s="16">
        <f>ABS(Solieusap!E2123)</f>
        <v>20.69525844</v>
      </c>
      <c r="F2123" s="16">
        <f>ABS(Solieusap!F2123)</f>
        <v>1.97691342</v>
      </c>
      <c r="G2123" s="16">
        <f>ABS(Solieusap!G2123)</f>
        <v>2.669535498</v>
      </c>
      <c r="H2123" s="16">
        <f>ABS(Solieusap!H2123)</f>
        <v>0.001203093636</v>
      </c>
      <c r="I2123" s="16">
        <f>ABS(Solieusap!I2123)</f>
        <v>7.320544632</v>
      </c>
      <c r="J2123" s="16">
        <f>ABS(Solieusap!J2123)</f>
        <v>4.920553247</v>
      </c>
      <c r="K2123" s="16">
        <f t="shared" si="1"/>
        <v>20.69525844</v>
      </c>
      <c r="L2123" s="16">
        <f t="shared" si="2"/>
        <v>7.320544632</v>
      </c>
    </row>
    <row r="2124" ht="16.5" customHeight="1">
      <c r="A2124" s="15" t="str">
        <f>Solieusap!A2124</f>
        <v>Cũ</v>
      </c>
      <c r="B2124" s="15">
        <f>Solieusap!B2124</f>
        <v>3.5</v>
      </c>
      <c r="C2124" s="15" t="str">
        <f>Solieusap!C2124</f>
        <v>COMB7</v>
      </c>
      <c r="D2124" s="15" t="str">
        <f>Solieusap!D2124</f>
        <v>Combination</v>
      </c>
      <c r="E2124" s="16">
        <f>ABS(Solieusap!E2124)</f>
        <v>20.71211481</v>
      </c>
      <c r="F2124" s="16">
        <f>ABS(Solieusap!F2124)</f>
        <v>1.978623939</v>
      </c>
      <c r="G2124" s="16">
        <f>ABS(Solieusap!G2124)</f>
        <v>2.671799913</v>
      </c>
      <c r="H2124" s="16">
        <f>ABS(Solieusap!H2124)</f>
        <v>0.00120414874</v>
      </c>
      <c r="I2124" s="16">
        <f>ABS(Solieusap!I2124)</f>
        <v>7.327339424</v>
      </c>
      <c r="J2124" s="16">
        <f>ABS(Solieusap!J2124)</f>
        <v>4.925100299</v>
      </c>
      <c r="K2124" s="16">
        <f t="shared" si="1"/>
        <v>20.71211481</v>
      </c>
      <c r="L2124" s="16">
        <f t="shared" si="2"/>
        <v>7.327339424</v>
      </c>
    </row>
    <row r="2125" ht="16.5" customHeight="1">
      <c r="A2125" s="15" t="str">
        <f>Solieusap!A2125</f>
        <v>Cũ</v>
      </c>
      <c r="B2125" s="15">
        <f>Solieusap!B2125</f>
        <v>0</v>
      </c>
      <c r="C2125" s="15" t="str">
        <f>Solieusap!C2125</f>
        <v>COMB1</v>
      </c>
      <c r="D2125" s="15" t="str">
        <f>Solieusap!D2125</f>
        <v>Combination</v>
      </c>
      <c r="E2125" s="16">
        <f>ABS(Solieusap!E2125)</f>
        <v>20.72897117</v>
      </c>
      <c r="F2125" s="16">
        <f>ABS(Solieusap!F2125)</f>
        <v>1.980334459</v>
      </c>
      <c r="G2125" s="16">
        <f>ABS(Solieusap!G2125)</f>
        <v>2.674064329</v>
      </c>
      <c r="H2125" s="16">
        <f>ABS(Solieusap!H2125)</f>
        <v>0.001205203844</v>
      </c>
      <c r="I2125" s="16">
        <f>ABS(Solieusap!I2125)</f>
        <v>7.334134216</v>
      </c>
      <c r="J2125" s="16">
        <f>ABS(Solieusap!J2125)</f>
        <v>4.929647351</v>
      </c>
      <c r="K2125" s="16">
        <f t="shared" si="1"/>
        <v>20.72897117</v>
      </c>
      <c r="L2125" s="16">
        <f t="shared" si="2"/>
        <v>7.334134216</v>
      </c>
    </row>
    <row r="2126" ht="16.5" customHeight="1">
      <c r="A2126" s="15" t="str">
        <f>Solieusap!A2126</f>
        <v>Cũ</v>
      </c>
      <c r="B2126" s="15">
        <f>Solieusap!B2126</f>
        <v>1.75</v>
      </c>
      <c r="C2126" s="15" t="str">
        <f>Solieusap!C2126</f>
        <v>COMB1</v>
      </c>
      <c r="D2126" s="15" t="str">
        <f>Solieusap!D2126</f>
        <v>Combination</v>
      </c>
      <c r="E2126" s="16">
        <f>ABS(Solieusap!E2126)</f>
        <v>20.74582753</v>
      </c>
      <c r="F2126" s="16">
        <f>ABS(Solieusap!F2126)</f>
        <v>1.982044978</v>
      </c>
      <c r="G2126" s="16">
        <f>ABS(Solieusap!G2126)</f>
        <v>2.676328745</v>
      </c>
      <c r="H2126" s="16">
        <f>ABS(Solieusap!H2126)</f>
        <v>0.001206258948</v>
      </c>
      <c r="I2126" s="16">
        <f>ABS(Solieusap!I2126)</f>
        <v>7.340929009</v>
      </c>
      <c r="J2126" s="16">
        <f>ABS(Solieusap!J2126)</f>
        <v>4.934194403</v>
      </c>
      <c r="K2126" s="16">
        <f t="shared" si="1"/>
        <v>20.74582753</v>
      </c>
      <c r="L2126" s="16">
        <f t="shared" si="2"/>
        <v>7.340929009</v>
      </c>
    </row>
    <row r="2127" ht="16.5" customHeight="1">
      <c r="A2127" s="15" t="str">
        <f>Solieusap!A2127</f>
        <v>Cũ</v>
      </c>
      <c r="B2127" s="15">
        <f>Solieusap!B2127</f>
        <v>3.5</v>
      </c>
      <c r="C2127" s="15" t="str">
        <f>Solieusap!C2127</f>
        <v>COMB1</v>
      </c>
      <c r="D2127" s="15" t="str">
        <f>Solieusap!D2127</f>
        <v>Combination</v>
      </c>
      <c r="E2127" s="16">
        <f>ABS(Solieusap!E2127)</f>
        <v>20.7626839</v>
      </c>
      <c r="F2127" s="16">
        <f>ABS(Solieusap!F2127)</f>
        <v>1.983755498</v>
      </c>
      <c r="G2127" s="16">
        <f>ABS(Solieusap!G2127)</f>
        <v>2.67859316</v>
      </c>
      <c r="H2127" s="16">
        <f>ABS(Solieusap!H2127)</f>
        <v>0.001207314052</v>
      </c>
      <c r="I2127" s="16">
        <f>ABS(Solieusap!I2127)</f>
        <v>7.347723801</v>
      </c>
      <c r="J2127" s="16">
        <f>ABS(Solieusap!J2127)</f>
        <v>4.938741455</v>
      </c>
      <c r="K2127" s="16">
        <f t="shared" si="1"/>
        <v>20.7626839</v>
      </c>
      <c r="L2127" s="16">
        <f t="shared" si="2"/>
        <v>7.347723801</v>
      </c>
    </row>
    <row r="2128" ht="16.5" customHeight="1">
      <c r="A2128" s="15" t="str">
        <f>Solieusap!A2128</f>
        <v>Cũ</v>
      </c>
      <c r="B2128" s="15">
        <f>Solieusap!B2128</f>
        <v>0</v>
      </c>
      <c r="C2128" s="15" t="str">
        <f>Solieusap!C2128</f>
        <v>COMB2</v>
      </c>
      <c r="D2128" s="15" t="str">
        <f>Solieusap!D2128</f>
        <v>Combination</v>
      </c>
      <c r="E2128" s="16">
        <f>ABS(Solieusap!E2128)</f>
        <v>20.77954026</v>
      </c>
      <c r="F2128" s="16">
        <f>ABS(Solieusap!F2128)</f>
        <v>1.985466017</v>
      </c>
      <c r="G2128" s="16">
        <f>ABS(Solieusap!G2128)</f>
        <v>2.680857576</v>
      </c>
      <c r="H2128" s="16">
        <f>ABS(Solieusap!H2128)</f>
        <v>0.001208369156</v>
      </c>
      <c r="I2128" s="16">
        <f>ABS(Solieusap!I2128)</f>
        <v>7.354518593</v>
      </c>
      <c r="J2128" s="16">
        <f>ABS(Solieusap!J2128)</f>
        <v>4.943288506</v>
      </c>
      <c r="K2128" s="16">
        <f t="shared" si="1"/>
        <v>20.77954026</v>
      </c>
      <c r="L2128" s="16">
        <f t="shared" si="2"/>
        <v>7.354518593</v>
      </c>
    </row>
    <row r="2129" ht="16.5" customHeight="1">
      <c r="A2129" s="15" t="str">
        <f>Solieusap!A2129</f>
        <v>Cũ</v>
      </c>
      <c r="B2129" s="15">
        <f>Solieusap!B2129</f>
        <v>1.75</v>
      </c>
      <c r="C2129" s="15" t="str">
        <f>Solieusap!C2129</f>
        <v>COMB2</v>
      </c>
      <c r="D2129" s="15" t="str">
        <f>Solieusap!D2129</f>
        <v>Combination</v>
      </c>
      <c r="E2129" s="16">
        <f>ABS(Solieusap!E2129)</f>
        <v>20.79639662</v>
      </c>
      <c r="F2129" s="16">
        <f>ABS(Solieusap!F2129)</f>
        <v>1.987176537</v>
      </c>
      <c r="G2129" s="16">
        <f>ABS(Solieusap!G2129)</f>
        <v>2.683121991</v>
      </c>
      <c r="H2129" s="16">
        <f>ABS(Solieusap!H2129)</f>
        <v>0.00120942426</v>
      </c>
      <c r="I2129" s="16">
        <f>ABS(Solieusap!I2129)</f>
        <v>7.361313385</v>
      </c>
      <c r="J2129" s="16">
        <f>ABS(Solieusap!J2129)</f>
        <v>4.947835558</v>
      </c>
      <c r="K2129" s="16">
        <f t="shared" si="1"/>
        <v>20.79639662</v>
      </c>
      <c r="L2129" s="16">
        <f t="shared" si="2"/>
        <v>7.361313385</v>
      </c>
    </row>
    <row r="2130" ht="16.5" customHeight="1">
      <c r="A2130" s="15" t="str">
        <f>Solieusap!A2130</f>
        <v>Cũ</v>
      </c>
      <c r="B2130" s="15">
        <f>Solieusap!B2130</f>
        <v>3.5</v>
      </c>
      <c r="C2130" s="15" t="str">
        <f>Solieusap!C2130</f>
        <v>COMB2</v>
      </c>
      <c r="D2130" s="15" t="str">
        <f>Solieusap!D2130</f>
        <v>Combination</v>
      </c>
      <c r="E2130" s="16">
        <f>ABS(Solieusap!E2130)</f>
        <v>20.81325299</v>
      </c>
      <c r="F2130" s="16">
        <f>ABS(Solieusap!F2130)</f>
        <v>1.988887056</v>
      </c>
      <c r="G2130" s="16">
        <f>ABS(Solieusap!G2130)</f>
        <v>2.685386407</v>
      </c>
      <c r="H2130" s="16">
        <f>ABS(Solieusap!H2130)</f>
        <v>0.001210479364</v>
      </c>
      <c r="I2130" s="16">
        <f>ABS(Solieusap!I2130)</f>
        <v>7.368108177</v>
      </c>
      <c r="J2130" s="16">
        <f>ABS(Solieusap!J2130)</f>
        <v>4.95238261</v>
      </c>
      <c r="K2130" s="16">
        <f t="shared" si="1"/>
        <v>20.81325299</v>
      </c>
      <c r="L2130" s="16">
        <f t="shared" si="2"/>
        <v>7.368108177</v>
      </c>
    </row>
    <row r="2131" ht="16.5" customHeight="1">
      <c r="A2131" s="15" t="str">
        <f>Solieusap!A2131</f>
        <v>Cũ</v>
      </c>
      <c r="B2131" s="15">
        <f>Solieusap!B2131</f>
        <v>0</v>
      </c>
      <c r="C2131" s="15" t="str">
        <f>Solieusap!C2131</f>
        <v>COMB3</v>
      </c>
      <c r="D2131" s="15" t="str">
        <f>Solieusap!D2131</f>
        <v>Combination</v>
      </c>
      <c r="E2131" s="16">
        <f>ABS(Solieusap!E2131)</f>
        <v>20.83010935</v>
      </c>
      <c r="F2131" s="16">
        <f>ABS(Solieusap!F2131)</f>
        <v>1.990597576</v>
      </c>
      <c r="G2131" s="16">
        <f>ABS(Solieusap!G2131)</f>
        <v>2.687650823</v>
      </c>
      <c r="H2131" s="16">
        <f>ABS(Solieusap!H2131)</f>
        <v>0.001211534468</v>
      </c>
      <c r="I2131" s="16">
        <f>ABS(Solieusap!I2131)</f>
        <v>7.37490297</v>
      </c>
      <c r="J2131" s="16">
        <f>ABS(Solieusap!J2131)</f>
        <v>4.956929662</v>
      </c>
      <c r="K2131" s="16">
        <f t="shared" si="1"/>
        <v>20.83010935</v>
      </c>
      <c r="L2131" s="16">
        <f t="shared" si="2"/>
        <v>7.37490297</v>
      </c>
    </row>
    <row r="2132" ht="16.5" customHeight="1">
      <c r="A2132" s="15" t="str">
        <f>Solieusap!A2132</f>
        <v>Cũ</v>
      </c>
      <c r="B2132" s="15">
        <f>Solieusap!B2132</f>
        <v>1.75</v>
      </c>
      <c r="C2132" s="15" t="str">
        <f>Solieusap!C2132</f>
        <v>COMB3</v>
      </c>
      <c r="D2132" s="15" t="str">
        <f>Solieusap!D2132</f>
        <v>Combination</v>
      </c>
      <c r="E2132" s="16">
        <f>ABS(Solieusap!E2132)</f>
        <v>20.84696571</v>
      </c>
      <c r="F2132" s="16">
        <f>ABS(Solieusap!F2132)</f>
        <v>1.992308095</v>
      </c>
      <c r="G2132" s="16">
        <f>ABS(Solieusap!G2132)</f>
        <v>2.689915238</v>
      </c>
      <c r="H2132" s="16">
        <f>ABS(Solieusap!H2132)</f>
        <v>0.001212589571</v>
      </c>
      <c r="I2132" s="16">
        <f>ABS(Solieusap!I2132)</f>
        <v>7.381697762</v>
      </c>
      <c r="J2132" s="16">
        <f>ABS(Solieusap!J2132)</f>
        <v>4.961476714</v>
      </c>
      <c r="K2132" s="16">
        <f t="shared" si="1"/>
        <v>20.84696571</v>
      </c>
      <c r="L2132" s="16">
        <f t="shared" si="2"/>
        <v>7.381697762</v>
      </c>
    </row>
    <row r="2133" ht="16.5" customHeight="1">
      <c r="A2133" s="15" t="str">
        <f>Solieusap!A2133</f>
        <v>Cũ</v>
      </c>
      <c r="B2133" s="15">
        <f>Solieusap!B2133</f>
        <v>3.5</v>
      </c>
      <c r="C2133" s="15" t="str">
        <f>Solieusap!C2133</f>
        <v>COMB3</v>
      </c>
      <c r="D2133" s="15" t="str">
        <f>Solieusap!D2133</f>
        <v>Combination</v>
      </c>
      <c r="E2133" s="16">
        <f>ABS(Solieusap!E2133)</f>
        <v>20.86382208</v>
      </c>
      <c r="F2133" s="16">
        <f>ABS(Solieusap!F2133)</f>
        <v>1.994018615</v>
      </c>
      <c r="G2133" s="16">
        <f>ABS(Solieusap!G2133)</f>
        <v>2.692179654</v>
      </c>
      <c r="H2133" s="16">
        <f>ABS(Solieusap!H2133)</f>
        <v>0.001213644675</v>
      </c>
      <c r="I2133" s="16">
        <f>ABS(Solieusap!I2133)</f>
        <v>7.388492554</v>
      </c>
      <c r="J2133" s="16">
        <f>ABS(Solieusap!J2133)</f>
        <v>4.966023766</v>
      </c>
      <c r="K2133" s="16">
        <f t="shared" si="1"/>
        <v>20.86382208</v>
      </c>
      <c r="L2133" s="16">
        <f t="shared" si="2"/>
        <v>7.388492554</v>
      </c>
    </row>
    <row r="2134" ht="16.5" customHeight="1">
      <c r="A2134" s="15" t="str">
        <f>Solieusap!A2134</f>
        <v>Cũ</v>
      </c>
      <c r="B2134" s="15">
        <f>Solieusap!B2134</f>
        <v>0</v>
      </c>
      <c r="C2134" s="15" t="str">
        <f>Solieusap!C2134</f>
        <v>COMB4</v>
      </c>
      <c r="D2134" s="15" t="str">
        <f>Solieusap!D2134</f>
        <v>Combination</v>
      </c>
      <c r="E2134" s="16">
        <f>ABS(Solieusap!E2134)</f>
        <v>20.88067844</v>
      </c>
      <c r="F2134" s="16">
        <f>ABS(Solieusap!F2134)</f>
        <v>1.995729134</v>
      </c>
      <c r="G2134" s="16">
        <f>ABS(Solieusap!G2134)</f>
        <v>2.694444069</v>
      </c>
      <c r="H2134" s="16">
        <f>ABS(Solieusap!H2134)</f>
        <v>0.001214699779</v>
      </c>
      <c r="I2134" s="16">
        <f>ABS(Solieusap!I2134)</f>
        <v>7.395287346</v>
      </c>
      <c r="J2134" s="16">
        <f>ABS(Solieusap!J2134)</f>
        <v>4.970570818</v>
      </c>
      <c r="K2134" s="16">
        <f t="shared" si="1"/>
        <v>20.88067844</v>
      </c>
      <c r="L2134" s="16">
        <f t="shared" si="2"/>
        <v>7.395287346</v>
      </c>
    </row>
    <row r="2135" ht="16.5" customHeight="1">
      <c r="A2135" s="15" t="str">
        <f>Solieusap!A2135</f>
        <v>Cũ</v>
      </c>
      <c r="B2135" s="15">
        <f>Solieusap!B2135</f>
        <v>1.75</v>
      </c>
      <c r="C2135" s="15" t="str">
        <f>Solieusap!C2135</f>
        <v>COMB4</v>
      </c>
      <c r="D2135" s="15" t="str">
        <f>Solieusap!D2135</f>
        <v>Combination</v>
      </c>
      <c r="E2135" s="16">
        <f>ABS(Solieusap!E2135)</f>
        <v>20.89753481</v>
      </c>
      <c r="F2135" s="16">
        <f>ABS(Solieusap!F2135)</f>
        <v>1.997439654</v>
      </c>
      <c r="G2135" s="16">
        <f>ABS(Solieusap!G2135)</f>
        <v>2.696708485</v>
      </c>
      <c r="H2135" s="16">
        <f>ABS(Solieusap!H2135)</f>
        <v>0.001215754883</v>
      </c>
      <c r="I2135" s="16">
        <f>ABS(Solieusap!I2135)</f>
        <v>7.402082139</v>
      </c>
      <c r="J2135" s="16">
        <f>ABS(Solieusap!J2135)</f>
        <v>4.97511787</v>
      </c>
      <c r="K2135" s="16">
        <f t="shared" si="1"/>
        <v>20.89753481</v>
      </c>
      <c r="L2135" s="16">
        <f t="shared" si="2"/>
        <v>7.402082139</v>
      </c>
    </row>
    <row r="2136" ht="16.5" customHeight="1">
      <c r="A2136" s="15" t="str">
        <f>Solieusap!A2136</f>
        <v>Cũ</v>
      </c>
      <c r="B2136" s="15">
        <f>Solieusap!B2136</f>
        <v>3.5</v>
      </c>
      <c r="C2136" s="15" t="str">
        <f>Solieusap!C2136</f>
        <v>COMB4</v>
      </c>
      <c r="D2136" s="15" t="str">
        <f>Solieusap!D2136</f>
        <v>Combination</v>
      </c>
      <c r="E2136" s="16">
        <f>ABS(Solieusap!E2136)</f>
        <v>20.91439117</v>
      </c>
      <c r="F2136" s="16">
        <f>ABS(Solieusap!F2136)</f>
        <v>1.999150173</v>
      </c>
      <c r="G2136" s="16">
        <f>ABS(Solieusap!G2136)</f>
        <v>2.6989729</v>
      </c>
      <c r="H2136" s="16">
        <f>ABS(Solieusap!H2136)</f>
        <v>0.001216809987</v>
      </c>
      <c r="I2136" s="16">
        <f>ABS(Solieusap!I2136)</f>
        <v>7.408876931</v>
      </c>
      <c r="J2136" s="16">
        <f>ABS(Solieusap!J2136)</f>
        <v>4.979664922</v>
      </c>
      <c r="K2136" s="16">
        <f t="shared" si="1"/>
        <v>20.91439117</v>
      </c>
      <c r="L2136" s="16">
        <f t="shared" si="2"/>
        <v>7.408876931</v>
      </c>
    </row>
    <row r="2137" ht="16.5" customHeight="1">
      <c r="A2137" s="15" t="str">
        <f>Solieusap!A2137</f>
        <v>Cũ</v>
      </c>
      <c r="B2137" s="15">
        <f>Solieusap!B2137</f>
        <v>0</v>
      </c>
      <c r="C2137" s="15" t="str">
        <f>Solieusap!C2137</f>
        <v>COMB5</v>
      </c>
      <c r="D2137" s="15" t="str">
        <f>Solieusap!D2137</f>
        <v>Combination</v>
      </c>
      <c r="E2137" s="16">
        <f>ABS(Solieusap!E2137)</f>
        <v>20.93124753</v>
      </c>
      <c r="F2137" s="16">
        <f>ABS(Solieusap!F2137)</f>
        <v>2.000860693</v>
      </c>
      <c r="G2137" s="16">
        <f>ABS(Solieusap!G2137)</f>
        <v>2.701237316</v>
      </c>
      <c r="H2137" s="16">
        <f>ABS(Solieusap!H2137)</f>
        <v>0.001217865091</v>
      </c>
      <c r="I2137" s="16">
        <f>ABS(Solieusap!I2137)</f>
        <v>7.415671723</v>
      </c>
      <c r="J2137" s="16">
        <f>ABS(Solieusap!J2137)</f>
        <v>4.984211974</v>
      </c>
      <c r="K2137" s="16">
        <f t="shared" si="1"/>
        <v>20.93124753</v>
      </c>
      <c r="L2137" s="16">
        <f t="shared" si="2"/>
        <v>7.415671723</v>
      </c>
    </row>
    <row r="2138" ht="16.5" customHeight="1">
      <c r="A2138" s="15" t="str">
        <f>Solieusap!A2138</f>
        <v>Cũ</v>
      </c>
      <c r="B2138" s="15">
        <f>Solieusap!B2138</f>
        <v>1.75</v>
      </c>
      <c r="C2138" s="15" t="str">
        <f>Solieusap!C2138</f>
        <v>COMB5</v>
      </c>
      <c r="D2138" s="15" t="str">
        <f>Solieusap!D2138</f>
        <v>Combination</v>
      </c>
      <c r="E2138" s="16">
        <f>ABS(Solieusap!E2138)</f>
        <v>20.9481039</v>
      </c>
      <c r="F2138" s="16">
        <f>ABS(Solieusap!F2138)</f>
        <v>2.002571212</v>
      </c>
      <c r="G2138" s="16">
        <f>ABS(Solieusap!G2138)</f>
        <v>2.703501732</v>
      </c>
      <c r="H2138" s="16">
        <f>ABS(Solieusap!H2138)</f>
        <v>0.001218920195</v>
      </c>
      <c r="I2138" s="16">
        <f>ABS(Solieusap!I2138)</f>
        <v>7.422466515</v>
      </c>
      <c r="J2138" s="16">
        <f>ABS(Solieusap!J2138)</f>
        <v>4.988759026</v>
      </c>
      <c r="K2138" s="16">
        <f t="shared" si="1"/>
        <v>20.9481039</v>
      </c>
      <c r="L2138" s="16">
        <f t="shared" si="2"/>
        <v>7.422466515</v>
      </c>
    </row>
    <row r="2139" ht="16.5" customHeight="1">
      <c r="A2139" s="15" t="str">
        <f>Solieusap!A2139</f>
        <v>Cũ</v>
      </c>
      <c r="B2139" s="15">
        <f>Solieusap!B2139</f>
        <v>3.5</v>
      </c>
      <c r="C2139" s="15" t="str">
        <f>Solieusap!C2139</f>
        <v>COMB5</v>
      </c>
      <c r="D2139" s="15" t="str">
        <f>Solieusap!D2139</f>
        <v>Combination</v>
      </c>
      <c r="E2139" s="16">
        <f>ABS(Solieusap!E2139)</f>
        <v>20.96496026</v>
      </c>
      <c r="F2139" s="16">
        <f>ABS(Solieusap!F2139)</f>
        <v>2.004281732</v>
      </c>
      <c r="G2139" s="16">
        <f>ABS(Solieusap!G2139)</f>
        <v>2.705766147</v>
      </c>
      <c r="H2139" s="16">
        <f>ABS(Solieusap!H2139)</f>
        <v>0.001219975299</v>
      </c>
      <c r="I2139" s="16">
        <f>ABS(Solieusap!I2139)</f>
        <v>7.429261307</v>
      </c>
      <c r="J2139" s="16">
        <f>ABS(Solieusap!J2139)</f>
        <v>4.993306078</v>
      </c>
      <c r="K2139" s="16">
        <f t="shared" si="1"/>
        <v>20.96496026</v>
      </c>
      <c r="L2139" s="16">
        <f t="shared" si="2"/>
        <v>7.429261307</v>
      </c>
    </row>
    <row r="2140" ht="16.5" customHeight="1">
      <c r="A2140" s="15" t="str">
        <f>Solieusap!A2140</f>
        <v>Cũ</v>
      </c>
      <c r="B2140" s="15">
        <f>Solieusap!B2140</f>
        <v>0</v>
      </c>
      <c r="C2140" s="15" t="str">
        <f>Solieusap!C2140</f>
        <v>COMB6</v>
      </c>
      <c r="D2140" s="15" t="str">
        <f>Solieusap!D2140</f>
        <v>Combination</v>
      </c>
      <c r="E2140" s="16">
        <f>ABS(Solieusap!E2140)</f>
        <v>20.98181662</v>
      </c>
      <c r="F2140" s="16">
        <f>ABS(Solieusap!F2140)</f>
        <v>2.005992251</v>
      </c>
      <c r="G2140" s="16">
        <f>ABS(Solieusap!G2140)</f>
        <v>2.708030563</v>
      </c>
      <c r="H2140" s="16">
        <f>ABS(Solieusap!H2140)</f>
        <v>0.001221030403</v>
      </c>
      <c r="I2140" s="16">
        <f>ABS(Solieusap!I2140)</f>
        <v>7.4360561</v>
      </c>
      <c r="J2140" s="16">
        <f>ABS(Solieusap!J2140)</f>
        <v>4.99785313</v>
      </c>
      <c r="K2140" s="16">
        <f t="shared" si="1"/>
        <v>20.98181662</v>
      </c>
      <c r="L2140" s="16">
        <f t="shared" si="2"/>
        <v>7.4360561</v>
      </c>
    </row>
    <row r="2141" ht="16.5" customHeight="1">
      <c r="A2141" s="15" t="str">
        <f>Solieusap!A2141</f>
        <v>Cũ</v>
      </c>
      <c r="B2141" s="15">
        <f>Solieusap!B2141</f>
        <v>1.75</v>
      </c>
      <c r="C2141" s="15" t="str">
        <f>Solieusap!C2141</f>
        <v>COMB6</v>
      </c>
      <c r="D2141" s="15" t="str">
        <f>Solieusap!D2141</f>
        <v>Combination</v>
      </c>
      <c r="E2141" s="16">
        <f>ABS(Solieusap!E2141)</f>
        <v>20.99867299</v>
      </c>
      <c r="F2141" s="16">
        <f>ABS(Solieusap!F2141)</f>
        <v>2.007702771</v>
      </c>
      <c r="G2141" s="16">
        <f>ABS(Solieusap!G2141)</f>
        <v>2.710294978</v>
      </c>
      <c r="H2141" s="16">
        <f>ABS(Solieusap!H2141)</f>
        <v>0.001222085506</v>
      </c>
      <c r="I2141" s="16">
        <f>ABS(Solieusap!I2141)</f>
        <v>7.442850892</v>
      </c>
      <c r="J2141" s="16">
        <f>ABS(Solieusap!J2141)</f>
        <v>5.002400182</v>
      </c>
      <c r="K2141" s="16">
        <f t="shared" si="1"/>
        <v>20.99867299</v>
      </c>
      <c r="L2141" s="16">
        <f t="shared" si="2"/>
        <v>7.442850892</v>
      </c>
    </row>
    <row r="2142" ht="16.5" customHeight="1">
      <c r="A2142" s="15" t="str">
        <f>Solieusap!A2142</f>
        <v>Cũ</v>
      </c>
      <c r="B2142" s="15">
        <f>Solieusap!B2142</f>
        <v>3.5</v>
      </c>
      <c r="C2142" s="15" t="str">
        <f>Solieusap!C2142</f>
        <v>COMB6</v>
      </c>
      <c r="D2142" s="15" t="str">
        <f>Solieusap!D2142</f>
        <v>Combination</v>
      </c>
      <c r="E2142" s="16">
        <f>ABS(Solieusap!E2142)</f>
        <v>21.01552935</v>
      </c>
      <c r="F2142" s="16">
        <f>ABS(Solieusap!F2142)</f>
        <v>2.00941329</v>
      </c>
      <c r="G2142" s="16">
        <f>ABS(Solieusap!G2142)</f>
        <v>2.712559394</v>
      </c>
      <c r="H2142" s="16">
        <f>ABS(Solieusap!H2142)</f>
        <v>0.00122314061</v>
      </c>
      <c r="I2142" s="16">
        <f>ABS(Solieusap!I2142)</f>
        <v>7.449645684</v>
      </c>
      <c r="J2142" s="16">
        <f>ABS(Solieusap!J2142)</f>
        <v>5.006947234</v>
      </c>
      <c r="K2142" s="16">
        <f t="shared" si="1"/>
        <v>21.01552935</v>
      </c>
      <c r="L2142" s="16">
        <f t="shared" si="2"/>
        <v>7.449645684</v>
      </c>
    </row>
    <row r="2143" ht="16.5" customHeight="1">
      <c r="A2143" s="15" t="str">
        <f>Solieusap!A2143</f>
        <v>Cũ</v>
      </c>
      <c r="B2143" s="15">
        <f>Solieusap!B2143</f>
        <v>0</v>
      </c>
      <c r="C2143" s="15" t="str">
        <f>Solieusap!C2143</f>
        <v>COMB7</v>
      </c>
      <c r="D2143" s="15" t="str">
        <f>Solieusap!D2143</f>
        <v>Combination</v>
      </c>
      <c r="E2143" s="16">
        <f>ABS(Solieusap!E2143)</f>
        <v>21.03238571</v>
      </c>
      <c r="F2143" s="16">
        <f>ABS(Solieusap!F2143)</f>
        <v>2.01112381</v>
      </c>
      <c r="G2143" s="16">
        <f>ABS(Solieusap!G2143)</f>
        <v>2.71482381</v>
      </c>
      <c r="H2143" s="16">
        <f>ABS(Solieusap!H2143)</f>
        <v>0.001224195714</v>
      </c>
      <c r="I2143" s="16">
        <f>ABS(Solieusap!I2143)</f>
        <v>7.456440476</v>
      </c>
      <c r="J2143" s="16">
        <f>ABS(Solieusap!J2143)</f>
        <v>5.011494286</v>
      </c>
      <c r="K2143" s="16">
        <f t="shared" si="1"/>
        <v>21.03238571</v>
      </c>
      <c r="L2143" s="16">
        <f t="shared" si="2"/>
        <v>7.456440476</v>
      </c>
    </row>
    <row r="2144" ht="16.5" customHeight="1">
      <c r="A2144" s="15" t="str">
        <f>Solieusap!A2144</f>
        <v>Cũ</v>
      </c>
      <c r="B2144" s="15">
        <f>Solieusap!B2144</f>
        <v>1.75</v>
      </c>
      <c r="C2144" s="15" t="str">
        <f>Solieusap!C2144</f>
        <v>COMB7</v>
      </c>
      <c r="D2144" s="15" t="str">
        <f>Solieusap!D2144</f>
        <v>Combination</v>
      </c>
      <c r="E2144" s="16">
        <f>ABS(Solieusap!E2144)</f>
        <v>21.04924208</v>
      </c>
      <c r="F2144" s="16">
        <f>ABS(Solieusap!F2144)</f>
        <v>2.012834329</v>
      </c>
      <c r="G2144" s="16">
        <f>ABS(Solieusap!G2144)</f>
        <v>2.717088225</v>
      </c>
      <c r="H2144" s="16">
        <f>ABS(Solieusap!H2144)</f>
        <v>0.001225250818</v>
      </c>
      <c r="I2144" s="16">
        <f>ABS(Solieusap!I2144)</f>
        <v>7.463235268</v>
      </c>
      <c r="J2144" s="16">
        <f>ABS(Solieusap!J2144)</f>
        <v>5.016041338</v>
      </c>
      <c r="K2144" s="16">
        <f t="shared" si="1"/>
        <v>21.04924208</v>
      </c>
      <c r="L2144" s="16">
        <f t="shared" si="2"/>
        <v>7.463235268</v>
      </c>
    </row>
    <row r="2145" ht="16.5" customHeight="1">
      <c r="A2145" s="15" t="str">
        <f>Solieusap!A2145</f>
        <v>Cũ</v>
      </c>
      <c r="B2145" s="15">
        <f>Solieusap!B2145</f>
        <v>3.5</v>
      </c>
      <c r="C2145" s="15" t="str">
        <f>Solieusap!C2145</f>
        <v>COMB7</v>
      </c>
      <c r="D2145" s="15" t="str">
        <f>Solieusap!D2145</f>
        <v>Combination</v>
      </c>
      <c r="E2145" s="16">
        <f>ABS(Solieusap!E2145)</f>
        <v>21.06609844</v>
      </c>
      <c r="F2145" s="16">
        <f>ABS(Solieusap!F2145)</f>
        <v>2.014544848</v>
      </c>
      <c r="G2145" s="16">
        <f>ABS(Solieusap!G2145)</f>
        <v>2.719352641</v>
      </c>
      <c r="H2145" s="16">
        <f>ABS(Solieusap!H2145)</f>
        <v>0.001226305922</v>
      </c>
      <c r="I2145" s="16">
        <f>ABS(Solieusap!I2145)</f>
        <v>7.470030061</v>
      </c>
      <c r="J2145" s="16">
        <f>ABS(Solieusap!J2145)</f>
        <v>5.02058839</v>
      </c>
      <c r="K2145" s="16">
        <f t="shared" si="1"/>
        <v>21.06609844</v>
      </c>
      <c r="L2145" s="16">
        <f t="shared" si="2"/>
        <v>7.470030061</v>
      </c>
    </row>
    <row r="2146" ht="16.5" customHeight="1">
      <c r="A2146" s="15" t="str">
        <f>Solieusap!A2146</f>
        <v>Cũ</v>
      </c>
      <c r="B2146" s="15">
        <f>Solieusap!B2146</f>
        <v>0</v>
      </c>
      <c r="C2146" s="15" t="str">
        <f>Solieusap!C2146</f>
        <v>COMB1</v>
      </c>
      <c r="D2146" s="15" t="str">
        <f>Solieusap!D2146</f>
        <v>Combination</v>
      </c>
      <c r="E2146" s="16">
        <f>ABS(Solieusap!E2146)</f>
        <v>21.08295481</v>
      </c>
      <c r="F2146" s="16">
        <f>ABS(Solieusap!F2146)</f>
        <v>2.016255368</v>
      </c>
      <c r="G2146" s="16">
        <f>ABS(Solieusap!G2146)</f>
        <v>2.721617056</v>
      </c>
      <c r="H2146" s="16">
        <f>ABS(Solieusap!H2146)</f>
        <v>0.001227361026</v>
      </c>
      <c r="I2146" s="16">
        <f>ABS(Solieusap!I2146)</f>
        <v>7.476824853</v>
      </c>
      <c r="J2146" s="16">
        <f>ABS(Solieusap!J2146)</f>
        <v>5.025135442</v>
      </c>
      <c r="K2146" s="16">
        <f t="shared" si="1"/>
        <v>21.08295481</v>
      </c>
      <c r="L2146" s="16">
        <f t="shared" si="2"/>
        <v>7.476824853</v>
      </c>
    </row>
    <row r="2147" ht="16.5" customHeight="1">
      <c r="A2147" s="15" t="str">
        <f>Solieusap!A2147</f>
        <v>Cũ</v>
      </c>
      <c r="B2147" s="15">
        <f>Solieusap!B2147</f>
        <v>1.75</v>
      </c>
      <c r="C2147" s="15" t="str">
        <f>Solieusap!C2147</f>
        <v>COMB1</v>
      </c>
      <c r="D2147" s="15" t="str">
        <f>Solieusap!D2147</f>
        <v>Combination</v>
      </c>
      <c r="E2147" s="16">
        <f>ABS(Solieusap!E2147)</f>
        <v>21.09981117</v>
      </c>
      <c r="F2147" s="16">
        <f>ABS(Solieusap!F2147)</f>
        <v>2.017965887</v>
      </c>
      <c r="G2147" s="16">
        <f>ABS(Solieusap!G2147)</f>
        <v>2.723881472</v>
      </c>
      <c r="H2147" s="16">
        <f>ABS(Solieusap!H2147)</f>
        <v>0.00122841613</v>
      </c>
      <c r="I2147" s="16">
        <f>ABS(Solieusap!I2147)</f>
        <v>7.483619645</v>
      </c>
      <c r="J2147" s="16">
        <f>ABS(Solieusap!J2147)</f>
        <v>5.029682494</v>
      </c>
      <c r="K2147" s="16">
        <f t="shared" si="1"/>
        <v>21.09981117</v>
      </c>
      <c r="L2147" s="16">
        <f t="shared" si="2"/>
        <v>7.483619645</v>
      </c>
    </row>
    <row r="2148" ht="16.5" customHeight="1">
      <c r="A2148" s="15" t="str">
        <f>Solieusap!A2148</f>
        <v>Cũ</v>
      </c>
      <c r="B2148" s="15">
        <f>Solieusap!B2148</f>
        <v>3.5</v>
      </c>
      <c r="C2148" s="15" t="str">
        <f>Solieusap!C2148</f>
        <v>COMB1</v>
      </c>
      <c r="D2148" s="15" t="str">
        <f>Solieusap!D2148</f>
        <v>Combination</v>
      </c>
      <c r="E2148" s="16">
        <f>ABS(Solieusap!E2148)</f>
        <v>21.11666753</v>
      </c>
      <c r="F2148" s="16">
        <f>ABS(Solieusap!F2148)</f>
        <v>2.019676407</v>
      </c>
      <c r="G2148" s="16">
        <f>ABS(Solieusap!G2148)</f>
        <v>2.726145887</v>
      </c>
      <c r="H2148" s="16">
        <f>ABS(Solieusap!H2148)</f>
        <v>0.001229471234</v>
      </c>
      <c r="I2148" s="16">
        <f>ABS(Solieusap!I2148)</f>
        <v>7.490414437</v>
      </c>
      <c r="J2148" s="16">
        <f>ABS(Solieusap!J2148)</f>
        <v>5.034229545</v>
      </c>
      <c r="K2148" s="16">
        <f t="shared" si="1"/>
        <v>21.11666753</v>
      </c>
      <c r="L2148" s="16">
        <f t="shared" si="2"/>
        <v>7.490414437</v>
      </c>
    </row>
    <row r="2149" ht="16.5" customHeight="1">
      <c r="A2149" s="15" t="str">
        <f>Solieusap!A2149</f>
        <v>Cũ</v>
      </c>
      <c r="B2149" s="15">
        <f>Solieusap!B2149</f>
        <v>0</v>
      </c>
      <c r="C2149" s="15" t="str">
        <f>Solieusap!C2149</f>
        <v>COMB2</v>
      </c>
      <c r="D2149" s="15" t="str">
        <f>Solieusap!D2149</f>
        <v>Combination</v>
      </c>
      <c r="E2149" s="16">
        <f>ABS(Solieusap!E2149)</f>
        <v>21.1335239</v>
      </c>
      <c r="F2149" s="16">
        <f>ABS(Solieusap!F2149)</f>
        <v>2.021386926</v>
      </c>
      <c r="G2149" s="16">
        <f>ABS(Solieusap!G2149)</f>
        <v>2.728410303</v>
      </c>
      <c r="H2149" s="16">
        <f>ABS(Solieusap!H2149)</f>
        <v>0.001230526338</v>
      </c>
      <c r="I2149" s="16">
        <f>ABS(Solieusap!I2149)</f>
        <v>7.497209229</v>
      </c>
      <c r="J2149" s="16">
        <f>ABS(Solieusap!J2149)</f>
        <v>5.038776597</v>
      </c>
      <c r="K2149" s="16">
        <f t="shared" si="1"/>
        <v>21.1335239</v>
      </c>
      <c r="L2149" s="16">
        <f t="shared" si="2"/>
        <v>7.497209229</v>
      </c>
    </row>
    <row r="2150" ht="16.5" customHeight="1">
      <c r="A2150" s="15" t="str">
        <f>Solieusap!A2150</f>
        <v>Cũ</v>
      </c>
      <c r="B2150" s="15">
        <f>Solieusap!B2150</f>
        <v>1.75</v>
      </c>
      <c r="C2150" s="15" t="str">
        <f>Solieusap!C2150</f>
        <v>COMB2</v>
      </c>
      <c r="D2150" s="15" t="str">
        <f>Solieusap!D2150</f>
        <v>Combination</v>
      </c>
      <c r="E2150" s="16">
        <f>ABS(Solieusap!E2150)</f>
        <v>21.15038026</v>
      </c>
      <c r="F2150" s="16">
        <f>ABS(Solieusap!F2150)</f>
        <v>2.023097446</v>
      </c>
      <c r="G2150" s="16">
        <f>ABS(Solieusap!G2150)</f>
        <v>2.730674719</v>
      </c>
      <c r="H2150" s="16">
        <f>ABS(Solieusap!H2150)</f>
        <v>0.001231581442</v>
      </c>
      <c r="I2150" s="16">
        <f>ABS(Solieusap!I2150)</f>
        <v>7.504004022</v>
      </c>
      <c r="J2150" s="16">
        <f>ABS(Solieusap!J2150)</f>
        <v>5.043323649</v>
      </c>
      <c r="K2150" s="16">
        <f t="shared" si="1"/>
        <v>21.15038026</v>
      </c>
      <c r="L2150" s="16">
        <f t="shared" si="2"/>
        <v>7.504004022</v>
      </c>
    </row>
    <row r="2151" ht="16.5" customHeight="1">
      <c r="A2151" s="15" t="str">
        <f>Solieusap!A2151</f>
        <v>Cũ</v>
      </c>
      <c r="B2151" s="15">
        <f>Solieusap!B2151</f>
        <v>3.5</v>
      </c>
      <c r="C2151" s="15" t="str">
        <f>Solieusap!C2151</f>
        <v>COMB2</v>
      </c>
      <c r="D2151" s="15" t="str">
        <f>Solieusap!D2151</f>
        <v>Combination</v>
      </c>
      <c r="E2151" s="16">
        <f>ABS(Solieusap!E2151)</f>
        <v>21.16723662</v>
      </c>
      <c r="F2151" s="16">
        <f>ABS(Solieusap!F2151)</f>
        <v>2.024807965</v>
      </c>
      <c r="G2151" s="16">
        <f>ABS(Solieusap!G2151)</f>
        <v>2.732939134</v>
      </c>
      <c r="H2151" s="16">
        <f>ABS(Solieusap!H2151)</f>
        <v>0.001232636545</v>
      </c>
      <c r="I2151" s="16">
        <f>ABS(Solieusap!I2151)</f>
        <v>7.510798814</v>
      </c>
      <c r="J2151" s="16">
        <f>ABS(Solieusap!J2151)</f>
        <v>5.047870701</v>
      </c>
      <c r="K2151" s="16">
        <f t="shared" si="1"/>
        <v>21.16723662</v>
      </c>
      <c r="L2151" s="16">
        <f t="shared" si="2"/>
        <v>7.510798814</v>
      </c>
    </row>
    <row r="2152" ht="16.5" customHeight="1">
      <c r="A2152" s="15" t="str">
        <f>Solieusap!A2152</f>
        <v>Cũ</v>
      </c>
      <c r="B2152" s="15">
        <f>Solieusap!B2152</f>
        <v>0</v>
      </c>
      <c r="C2152" s="15" t="str">
        <f>Solieusap!C2152</f>
        <v>COMB3</v>
      </c>
      <c r="D2152" s="15" t="str">
        <f>Solieusap!D2152</f>
        <v>Combination</v>
      </c>
      <c r="E2152" s="16">
        <f>ABS(Solieusap!E2152)</f>
        <v>21.18409299</v>
      </c>
      <c r="F2152" s="16">
        <f>ABS(Solieusap!F2152)</f>
        <v>2.026518485</v>
      </c>
      <c r="G2152" s="16">
        <f>ABS(Solieusap!G2152)</f>
        <v>2.73520355</v>
      </c>
      <c r="H2152" s="16">
        <f>ABS(Solieusap!H2152)</f>
        <v>0.001233691649</v>
      </c>
      <c r="I2152" s="16">
        <f>ABS(Solieusap!I2152)</f>
        <v>7.517593606</v>
      </c>
      <c r="J2152" s="16">
        <f>ABS(Solieusap!J2152)</f>
        <v>5.052417753</v>
      </c>
      <c r="K2152" s="16">
        <f t="shared" si="1"/>
        <v>21.18409299</v>
      </c>
      <c r="L2152" s="16">
        <f t="shared" si="2"/>
        <v>7.517593606</v>
      </c>
    </row>
    <row r="2153" ht="16.5" customHeight="1">
      <c r="A2153" s="15" t="str">
        <f>Solieusap!A2153</f>
        <v>Cũ</v>
      </c>
      <c r="B2153" s="15">
        <f>Solieusap!B2153</f>
        <v>1.75</v>
      </c>
      <c r="C2153" s="15" t="str">
        <f>Solieusap!C2153</f>
        <v>COMB3</v>
      </c>
      <c r="D2153" s="15" t="str">
        <f>Solieusap!D2153</f>
        <v>Combination</v>
      </c>
      <c r="E2153" s="16">
        <f>ABS(Solieusap!E2153)</f>
        <v>21.20094935</v>
      </c>
      <c r="F2153" s="16">
        <f>ABS(Solieusap!F2153)</f>
        <v>2.028229004</v>
      </c>
      <c r="G2153" s="16">
        <f>ABS(Solieusap!G2153)</f>
        <v>2.737467965</v>
      </c>
      <c r="H2153" s="16">
        <f>ABS(Solieusap!H2153)</f>
        <v>0.001234746753</v>
      </c>
      <c r="I2153" s="16">
        <f>ABS(Solieusap!I2153)</f>
        <v>7.524388398</v>
      </c>
      <c r="J2153" s="16">
        <f>ABS(Solieusap!J2153)</f>
        <v>5.056964805</v>
      </c>
      <c r="K2153" s="16">
        <f t="shared" si="1"/>
        <v>21.20094935</v>
      </c>
      <c r="L2153" s="16">
        <f t="shared" si="2"/>
        <v>7.524388398</v>
      </c>
    </row>
    <row r="2154" ht="16.5" customHeight="1">
      <c r="A2154" s="15" t="str">
        <f>Solieusap!A2154</f>
        <v>Cũ</v>
      </c>
      <c r="B2154" s="15">
        <f>Solieusap!B2154</f>
        <v>3.5</v>
      </c>
      <c r="C2154" s="15" t="str">
        <f>Solieusap!C2154</f>
        <v>COMB3</v>
      </c>
      <c r="D2154" s="15" t="str">
        <f>Solieusap!D2154</f>
        <v>Combination</v>
      </c>
      <c r="E2154" s="16">
        <f>ABS(Solieusap!E2154)</f>
        <v>21.21780571</v>
      </c>
      <c r="F2154" s="16">
        <f>ABS(Solieusap!F2154)</f>
        <v>2.029939524</v>
      </c>
      <c r="G2154" s="16">
        <f>ABS(Solieusap!G2154)</f>
        <v>2.739732381</v>
      </c>
      <c r="H2154" s="16">
        <f>ABS(Solieusap!H2154)</f>
        <v>0.001235801857</v>
      </c>
      <c r="I2154" s="16">
        <f>ABS(Solieusap!I2154)</f>
        <v>7.53118319</v>
      </c>
      <c r="J2154" s="16">
        <f>ABS(Solieusap!J2154)</f>
        <v>5.061511857</v>
      </c>
      <c r="K2154" s="16">
        <f t="shared" si="1"/>
        <v>21.21780571</v>
      </c>
      <c r="L2154" s="16">
        <f t="shared" si="2"/>
        <v>7.53118319</v>
      </c>
    </row>
    <row r="2155" ht="16.5" customHeight="1">
      <c r="A2155" s="15" t="str">
        <f>Solieusap!A2155</f>
        <v>Cũ</v>
      </c>
      <c r="B2155" s="15">
        <f>Solieusap!B2155</f>
        <v>0</v>
      </c>
      <c r="C2155" s="15" t="str">
        <f>Solieusap!C2155</f>
        <v>COMB4</v>
      </c>
      <c r="D2155" s="15" t="str">
        <f>Solieusap!D2155</f>
        <v>Combination</v>
      </c>
      <c r="E2155" s="16">
        <f>ABS(Solieusap!E2155)</f>
        <v>21.23466208</v>
      </c>
      <c r="F2155" s="16">
        <f>ABS(Solieusap!F2155)</f>
        <v>2.031650043</v>
      </c>
      <c r="G2155" s="16">
        <f>ABS(Solieusap!G2155)</f>
        <v>2.741996797</v>
      </c>
      <c r="H2155" s="16">
        <f>ABS(Solieusap!H2155)</f>
        <v>0.001236856961</v>
      </c>
      <c r="I2155" s="16">
        <f>ABS(Solieusap!I2155)</f>
        <v>7.537977983</v>
      </c>
      <c r="J2155" s="16">
        <f>ABS(Solieusap!J2155)</f>
        <v>5.066058909</v>
      </c>
      <c r="K2155" s="16">
        <f t="shared" si="1"/>
        <v>21.23466208</v>
      </c>
      <c r="L2155" s="16">
        <f t="shared" si="2"/>
        <v>7.537977983</v>
      </c>
    </row>
    <row r="2156" ht="16.5" customHeight="1">
      <c r="A2156" s="15" t="str">
        <f>Solieusap!A2156</f>
        <v>Cũ</v>
      </c>
      <c r="B2156" s="15">
        <f>Solieusap!B2156</f>
        <v>1.75</v>
      </c>
      <c r="C2156" s="15" t="str">
        <f>Solieusap!C2156</f>
        <v>COMB4</v>
      </c>
      <c r="D2156" s="15" t="str">
        <f>Solieusap!D2156</f>
        <v>Combination</v>
      </c>
      <c r="E2156" s="16">
        <f>ABS(Solieusap!E2156)</f>
        <v>21.25151844</v>
      </c>
      <c r="F2156" s="16">
        <f>ABS(Solieusap!F2156)</f>
        <v>2.033360563</v>
      </c>
      <c r="G2156" s="16">
        <f>ABS(Solieusap!G2156)</f>
        <v>2.744261212</v>
      </c>
      <c r="H2156" s="16">
        <f>ABS(Solieusap!H2156)</f>
        <v>0.001237912065</v>
      </c>
      <c r="I2156" s="16">
        <f>ABS(Solieusap!I2156)</f>
        <v>7.544772775</v>
      </c>
      <c r="J2156" s="16">
        <f>ABS(Solieusap!J2156)</f>
        <v>5.070605961</v>
      </c>
      <c r="K2156" s="16">
        <f t="shared" si="1"/>
        <v>21.25151844</v>
      </c>
      <c r="L2156" s="16">
        <f t="shared" si="2"/>
        <v>7.544772775</v>
      </c>
    </row>
    <row r="2157" ht="16.5" customHeight="1">
      <c r="A2157" s="15" t="str">
        <f>Solieusap!A2157</f>
        <v>Cũ</v>
      </c>
      <c r="B2157" s="15">
        <f>Solieusap!B2157</f>
        <v>3.5</v>
      </c>
      <c r="C2157" s="15" t="str">
        <f>Solieusap!C2157</f>
        <v>COMB4</v>
      </c>
      <c r="D2157" s="15" t="str">
        <f>Solieusap!D2157</f>
        <v>Combination</v>
      </c>
      <c r="E2157" s="16">
        <f>ABS(Solieusap!E2157)</f>
        <v>21.26837481</v>
      </c>
      <c r="F2157" s="16">
        <f>ABS(Solieusap!F2157)</f>
        <v>2.035071082</v>
      </c>
      <c r="G2157" s="16">
        <f>ABS(Solieusap!G2157)</f>
        <v>2.746525628</v>
      </c>
      <c r="H2157" s="16">
        <f>ABS(Solieusap!H2157)</f>
        <v>0.001238967169</v>
      </c>
      <c r="I2157" s="16">
        <f>ABS(Solieusap!I2157)</f>
        <v>7.551567567</v>
      </c>
      <c r="J2157" s="16">
        <f>ABS(Solieusap!J2157)</f>
        <v>5.075153013</v>
      </c>
      <c r="K2157" s="16">
        <f t="shared" si="1"/>
        <v>21.26837481</v>
      </c>
      <c r="L2157" s="16">
        <f t="shared" si="2"/>
        <v>7.551567567</v>
      </c>
    </row>
    <row r="2158" ht="16.5" customHeight="1">
      <c r="A2158" s="15" t="str">
        <f>Solieusap!A2158</f>
        <v>Cũ</v>
      </c>
      <c r="B2158" s="15">
        <f>Solieusap!B2158</f>
        <v>0</v>
      </c>
      <c r="C2158" s="15" t="str">
        <f>Solieusap!C2158</f>
        <v>COMB5</v>
      </c>
      <c r="D2158" s="15" t="str">
        <f>Solieusap!D2158</f>
        <v>Combination</v>
      </c>
      <c r="E2158" s="16">
        <f>ABS(Solieusap!E2158)</f>
        <v>21.28523117</v>
      </c>
      <c r="F2158" s="16">
        <f>ABS(Solieusap!F2158)</f>
        <v>2.036781602</v>
      </c>
      <c r="G2158" s="16">
        <f>ABS(Solieusap!G2158)</f>
        <v>2.748790043</v>
      </c>
      <c r="H2158" s="16">
        <f>ABS(Solieusap!H2158)</f>
        <v>0.001240022273</v>
      </c>
      <c r="I2158" s="16">
        <f>ABS(Solieusap!I2158)</f>
        <v>7.558362359</v>
      </c>
      <c r="J2158" s="16">
        <f>ABS(Solieusap!J2158)</f>
        <v>5.079700065</v>
      </c>
      <c r="K2158" s="16">
        <f t="shared" si="1"/>
        <v>21.28523117</v>
      </c>
      <c r="L2158" s="16">
        <f t="shared" si="2"/>
        <v>7.558362359</v>
      </c>
    </row>
    <row r="2159" ht="16.5" customHeight="1">
      <c r="A2159" s="15" t="str">
        <f>Solieusap!A2159</f>
        <v>Cũ</v>
      </c>
      <c r="B2159" s="15">
        <f>Solieusap!B2159</f>
        <v>1.75</v>
      </c>
      <c r="C2159" s="15" t="str">
        <f>Solieusap!C2159</f>
        <v>COMB5</v>
      </c>
      <c r="D2159" s="15" t="str">
        <f>Solieusap!D2159</f>
        <v>Combination</v>
      </c>
      <c r="E2159" s="16">
        <f>ABS(Solieusap!E2159)</f>
        <v>21.30208753</v>
      </c>
      <c r="F2159" s="16">
        <f>ABS(Solieusap!F2159)</f>
        <v>2.038492121</v>
      </c>
      <c r="G2159" s="16">
        <f>ABS(Solieusap!G2159)</f>
        <v>2.751054459</v>
      </c>
      <c r="H2159" s="16">
        <f>ABS(Solieusap!H2159)</f>
        <v>0.001241077377</v>
      </c>
      <c r="I2159" s="16">
        <f>ABS(Solieusap!I2159)</f>
        <v>7.565157152</v>
      </c>
      <c r="J2159" s="16">
        <f>ABS(Solieusap!J2159)</f>
        <v>5.084247117</v>
      </c>
      <c r="K2159" s="16">
        <f t="shared" si="1"/>
        <v>21.30208753</v>
      </c>
      <c r="L2159" s="16">
        <f t="shared" si="2"/>
        <v>7.565157152</v>
      </c>
    </row>
    <row r="2160" ht="16.5" customHeight="1">
      <c r="A2160" s="15" t="str">
        <f>Solieusap!A2160</f>
        <v>Cũ</v>
      </c>
      <c r="B2160" s="15">
        <f>Solieusap!B2160</f>
        <v>3.5</v>
      </c>
      <c r="C2160" s="15" t="str">
        <f>Solieusap!C2160</f>
        <v>COMB5</v>
      </c>
      <c r="D2160" s="15" t="str">
        <f>Solieusap!D2160</f>
        <v>Combination</v>
      </c>
      <c r="E2160" s="16">
        <f>ABS(Solieusap!E2160)</f>
        <v>21.3189439</v>
      </c>
      <c r="F2160" s="16">
        <f>ABS(Solieusap!F2160)</f>
        <v>2.040202641</v>
      </c>
      <c r="G2160" s="16">
        <f>ABS(Solieusap!G2160)</f>
        <v>2.753318874</v>
      </c>
      <c r="H2160" s="16">
        <f>ABS(Solieusap!H2160)</f>
        <v>0.001242132481</v>
      </c>
      <c r="I2160" s="16">
        <f>ABS(Solieusap!I2160)</f>
        <v>7.571951944</v>
      </c>
      <c r="J2160" s="16">
        <f>ABS(Solieusap!J2160)</f>
        <v>5.088794169</v>
      </c>
      <c r="K2160" s="16">
        <f t="shared" si="1"/>
        <v>21.3189439</v>
      </c>
      <c r="L2160" s="16">
        <f t="shared" si="2"/>
        <v>7.571951944</v>
      </c>
    </row>
    <row r="2161" ht="16.5" customHeight="1">
      <c r="A2161" s="15" t="str">
        <f>Solieusap!A2161</f>
        <v>Cũ</v>
      </c>
      <c r="B2161" s="15">
        <f>Solieusap!B2161</f>
        <v>0</v>
      </c>
      <c r="C2161" s="15" t="str">
        <f>Solieusap!C2161</f>
        <v>COMB6</v>
      </c>
      <c r="D2161" s="15" t="str">
        <f>Solieusap!D2161</f>
        <v>Combination</v>
      </c>
      <c r="E2161" s="16">
        <f>ABS(Solieusap!E2161)</f>
        <v>21.33580026</v>
      </c>
      <c r="F2161" s="16">
        <f>ABS(Solieusap!F2161)</f>
        <v>2.04191316</v>
      </c>
      <c r="G2161" s="16">
        <f>ABS(Solieusap!G2161)</f>
        <v>2.75558329</v>
      </c>
      <c r="H2161" s="16">
        <f>ABS(Solieusap!H2161)</f>
        <v>0.001243187584</v>
      </c>
      <c r="I2161" s="16">
        <f>ABS(Solieusap!I2161)</f>
        <v>7.578746736</v>
      </c>
      <c r="J2161" s="16">
        <f>ABS(Solieusap!J2161)</f>
        <v>5.093341221</v>
      </c>
      <c r="K2161" s="16">
        <f t="shared" si="1"/>
        <v>21.33580026</v>
      </c>
      <c r="L2161" s="16">
        <f t="shared" si="2"/>
        <v>7.578746736</v>
      </c>
    </row>
    <row r="2162" ht="16.5" customHeight="1">
      <c r="A2162" s="15" t="str">
        <f>Solieusap!A2162</f>
        <v>Cũ</v>
      </c>
      <c r="B2162" s="15">
        <f>Solieusap!B2162</f>
        <v>1.75</v>
      </c>
      <c r="C2162" s="15" t="str">
        <f>Solieusap!C2162</f>
        <v>COMB6</v>
      </c>
      <c r="D2162" s="15" t="str">
        <f>Solieusap!D2162</f>
        <v>Combination</v>
      </c>
      <c r="E2162" s="16">
        <f>ABS(Solieusap!E2162)</f>
        <v>21.35265662</v>
      </c>
      <c r="F2162" s="16">
        <f>ABS(Solieusap!F2162)</f>
        <v>2.04362368</v>
      </c>
      <c r="G2162" s="16">
        <f>ABS(Solieusap!G2162)</f>
        <v>2.757847706</v>
      </c>
      <c r="H2162" s="16">
        <f>ABS(Solieusap!H2162)</f>
        <v>0.001244242688</v>
      </c>
      <c r="I2162" s="16">
        <f>ABS(Solieusap!I2162)</f>
        <v>7.585541528</v>
      </c>
      <c r="J2162" s="16">
        <f>ABS(Solieusap!J2162)</f>
        <v>5.097888273</v>
      </c>
      <c r="K2162" s="16">
        <f t="shared" si="1"/>
        <v>21.35265662</v>
      </c>
      <c r="L2162" s="16">
        <f t="shared" si="2"/>
        <v>7.585541528</v>
      </c>
    </row>
    <row r="2163" ht="16.5" customHeight="1">
      <c r="A2163" s="15" t="str">
        <f>Solieusap!A2163</f>
        <v>Cũ</v>
      </c>
      <c r="B2163" s="15">
        <f>Solieusap!B2163</f>
        <v>3.5</v>
      </c>
      <c r="C2163" s="15" t="str">
        <f>Solieusap!C2163</f>
        <v>COMB6</v>
      </c>
      <c r="D2163" s="15" t="str">
        <f>Solieusap!D2163</f>
        <v>Combination</v>
      </c>
      <c r="E2163" s="16">
        <f>ABS(Solieusap!E2163)</f>
        <v>21.36951299</v>
      </c>
      <c r="F2163" s="16">
        <f>ABS(Solieusap!F2163)</f>
        <v>2.045334199</v>
      </c>
      <c r="G2163" s="16">
        <f>ABS(Solieusap!G2163)</f>
        <v>2.760112121</v>
      </c>
      <c r="H2163" s="16">
        <f>ABS(Solieusap!H2163)</f>
        <v>0.001245297792</v>
      </c>
      <c r="I2163" s="16">
        <f>ABS(Solieusap!I2163)</f>
        <v>7.59233632</v>
      </c>
      <c r="J2163" s="16">
        <f>ABS(Solieusap!J2163)</f>
        <v>5.102435325</v>
      </c>
      <c r="K2163" s="16">
        <f t="shared" si="1"/>
        <v>21.36951299</v>
      </c>
      <c r="L2163" s="16">
        <f t="shared" si="2"/>
        <v>7.59233632</v>
      </c>
    </row>
    <row r="2164" ht="16.5" customHeight="1">
      <c r="A2164" s="15" t="str">
        <f>Solieusap!A2164</f>
        <v>Cũ</v>
      </c>
      <c r="B2164" s="15">
        <f>Solieusap!B2164</f>
        <v>0</v>
      </c>
      <c r="C2164" s="15" t="str">
        <f>Solieusap!C2164</f>
        <v>COMB7</v>
      </c>
      <c r="D2164" s="15" t="str">
        <f>Solieusap!D2164</f>
        <v>Combination</v>
      </c>
      <c r="E2164" s="16">
        <f>ABS(Solieusap!E2164)</f>
        <v>21.38636935</v>
      </c>
      <c r="F2164" s="16">
        <f>ABS(Solieusap!F2164)</f>
        <v>2.047044719</v>
      </c>
      <c r="G2164" s="16">
        <f>ABS(Solieusap!G2164)</f>
        <v>2.762376537</v>
      </c>
      <c r="H2164" s="16">
        <f>ABS(Solieusap!H2164)</f>
        <v>0.001246352896</v>
      </c>
      <c r="I2164" s="16">
        <f>ABS(Solieusap!I2164)</f>
        <v>7.599131113</v>
      </c>
      <c r="J2164" s="16">
        <f>ABS(Solieusap!J2164)</f>
        <v>5.106982377</v>
      </c>
      <c r="K2164" s="16">
        <f t="shared" si="1"/>
        <v>21.38636935</v>
      </c>
      <c r="L2164" s="16">
        <f t="shared" si="2"/>
        <v>7.599131113</v>
      </c>
    </row>
    <row r="2165" ht="16.5" customHeight="1">
      <c r="A2165" s="15" t="str">
        <f>Solieusap!A2165</f>
        <v>Cũ</v>
      </c>
      <c r="B2165" s="15">
        <f>Solieusap!B2165</f>
        <v>1.75</v>
      </c>
      <c r="C2165" s="15" t="str">
        <f>Solieusap!C2165</f>
        <v>COMB7</v>
      </c>
      <c r="D2165" s="15" t="str">
        <f>Solieusap!D2165</f>
        <v>Combination</v>
      </c>
      <c r="E2165" s="16">
        <f>ABS(Solieusap!E2165)</f>
        <v>21.40322571</v>
      </c>
      <c r="F2165" s="16">
        <f>ABS(Solieusap!F2165)</f>
        <v>2.048755238</v>
      </c>
      <c r="G2165" s="16">
        <f>ABS(Solieusap!G2165)</f>
        <v>2.764640952</v>
      </c>
      <c r="H2165" s="16">
        <f>ABS(Solieusap!H2165)</f>
        <v>0.001247408</v>
      </c>
      <c r="I2165" s="16">
        <f>ABS(Solieusap!I2165)</f>
        <v>7.605925905</v>
      </c>
      <c r="J2165" s="16">
        <f>ABS(Solieusap!J2165)</f>
        <v>5.111529429</v>
      </c>
      <c r="K2165" s="16">
        <f t="shared" si="1"/>
        <v>21.40322571</v>
      </c>
      <c r="L2165" s="16">
        <f t="shared" si="2"/>
        <v>7.605925905</v>
      </c>
    </row>
    <row r="2166" ht="16.5" customHeight="1">
      <c r="A2166" s="15" t="str">
        <f>Solieusap!A2166</f>
        <v>Cũ</v>
      </c>
      <c r="B2166" s="15">
        <f>Solieusap!B2166</f>
        <v>3.5</v>
      </c>
      <c r="C2166" s="15" t="str">
        <f>Solieusap!C2166</f>
        <v>COMB7</v>
      </c>
      <c r="D2166" s="15" t="str">
        <f>Solieusap!D2166</f>
        <v>Combination</v>
      </c>
      <c r="E2166" s="16">
        <f>ABS(Solieusap!E2166)</f>
        <v>21.42008208</v>
      </c>
      <c r="F2166" s="16">
        <f>ABS(Solieusap!F2166)</f>
        <v>2.050465758</v>
      </c>
      <c r="G2166" s="16">
        <f>ABS(Solieusap!G2166)</f>
        <v>2.766905368</v>
      </c>
      <c r="H2166" s="16">
        <f>ABS(Solieusap!H2166)</f>
        <v>0.001248463104</v>
      </c>
      <c r="I2166" s="16">
        <f>ABS(Solieusap!I2166)</f>
        <v>7.612720697</v>
      </c>
      <c r="J2166" s="16">
        <f>ABS(Solieusap!J2166)</f>
        <v>5.116076481</v>
      </c>
      <c r="K2166" s="16">
        <f t="shared" si="1"/>
        <v>21.42008208</v>
      </c>
      <c r="L2166" s="16">
        <f t="shared" si="2"/>
        <v>7.612720697</v>
      </c>
    </row>
    <row r="2167" ht="16.5" customHeight="1">
      <c r="A2167" s="15" t="str">
        <f>Solieusap!A2167</f>
        <v>Cũ</v>
      </c>
      <c r="B2167" s="15">
        <f>Solieusap!B2167</f>
        <v>0</v>
      </c>
      <c r="C2167" s="15" t="str">
        <f>Solieusap!C2167</f>
        <v>COMB1</v>
      </c>
      <c r="D2167" s="15" t="str">
        <f>Solieusap!D2167</f>
        <v>Combination</v>
      </c>
      <c r="E2167" s="16">
        <f>ABS(Solieusap!E2167)</f>
        <v>21.43693844</v>
      </c>
      <c r="F2167" s="16">
        <f>ABS(Solieusap!F2167)</f>
        <v>2.052176277</v>
      </c>
      <c r="G2167" s="16">
        <f>ABS(Solieusap!G2167)</f>
        <v>2.769169784</v>
      </c>
      <c r="H2167" s="16">
        <f>ABS(Solieusap!H2167)</f>
        <v>0.001249518208</v>
      </c>
      <c r="I2167" s="16">
        <f>ABS(Solieusap!I2167)</f>
        <v>7.619515489</v>
      </c>
      <c r="J2167" s="16">
        <f>ABS(Solieusap!J2167)</f>
        <v>5.120623532</v>
      </c>
      <c r="K2167" s="16">
        <f t="shared" si="1"/>
        <v>21.43693844</v>
      </c>
      <c r="L2167" s="16">
        <f t="shared" si="2"/>
        <v>7.619515489</v>
      </c>
    </row>
    <row r="2168" ht="16.5" customHeight="1">
      <c r="A2168" s="15" t="str">
        <f>Solieusap!A2168</f>
        <v>Cũ</v>
      </c>
      <c r="B2168" s="15">
        <f>Solieusap!B2168</f>
        <v>1.75</v>
      </c>
      <c r="C2168" s="15" t="str">
        <f>Solieusap!C2168</f>
        <v>COMB1</v>
      </c>
      <c r="D2168" s="15" t="str">
        <f>Solieusap!D2168</f>
        <v>Combination</v>
      </c>
      <c r="E2168" s="16">
        <f>ABS(Solieusap!E2168)</f>
        <v>21.45379481</v>
      </c>
      <c r="F2168" s="16">
        <f>ABS(Solieusap!F2168)</f>
        <v>2.053886797</v>
      </c>
      <c r="G2168" s="16">
        <f>ABS(Solieusap!G2168)</f>
        <v>2.771434199</v>
      </c>
      <c r="H2168" s="16">
        <f>ABS(Solieusap!H2168)</f>
        <v>0.001250573312</v>
      </c>
      <c r="I2168" s="16">
        <f>ABS(Solieusap!I2168)</f>
        <v>7.626310281</v>
      </c>
      <c r="J2168" s="16">
        <f>ABS(Solieusap!J2168)</f>
        <v>5.125170584</v>
      </c>
      <c r="K2168" s="16">
        <f t="shared" si="1"/>
        <v>21.45379481</v>
      </c>
      <c r="L2168" s="16">
        <f t="shared" si="2"/>
        <v>7.626310281</v>
      </c>
    </row>
    <row r="2169" ht="16.5" customHeight="1">
      <c r="A2169" s="15" t="str">
        <f>Solieusap!A2169</f>
        <v>Cũ</v>
      </c>
      <c r="B2169" s="15">
        <f>Solieusap!B2169</f>
        <v>3.5</v>
      </c>
      <c r="C2169" s="15" t="str">
        <f>Solieusap!C2169</f>
        <v>COMB1</v>
      </c>
      <c r="D2169" s="15" t="str">
        <f>Solieusap!D2169</f>
        <v>Combination</v>
      </c>
      <c r="E2169" s="16">
        <f>ABS(Solieusap!E2169)</f>
        <v>21.47065117</v>
      </c>
      <c r="F2169" s="16">
        <f>ABS(Solieusap!F2169)</f>
        <v>2.055597316</v>
      </c>
      <c r="G2169" s="16">
        <f>ABS(Solieusap!G2169)</f>
        <v>2.773698615</v>
      </c>
      <c r="H2169" s="16">
        <f>ABS(Solieusap!H2169)</f>
        <v>0.001251628416</v>
      </c>
      <c r="I2169" s="16">
        <f>ABS(Solieusap!I2169)</f>
        <v>7.633105074</v>
      </c>
      <c r="J2169" s="16">
        <f>ABS(Solieusap!J2169)</f>
        <v>5.129717636</v>
      </c>
      <c r="K2169" s="16">
        <f t="shared" si="1"/>
        <v>21.47065117</v>
      </c>
      <c r="L2169" s="16">
        <f t="shared" si="2"/>
        <v>7.633105074</v>
      </c>
    </row>
    <row r="2170" ht="16.5" customHeight="1">
      <c r="A2170" s="15" t="str">
        <f>Solieusap!A2170</f>
        <v>Cũ</v>
      </c>
      <c r="B2170" s="15">
        <f>Solieusap!B2170</f>
        <v>0</v>
      </c>
      <c r="C2170" s="15" t="str">
        <f>Solieusap!C2170</f>
        <v>COMB2</v>
      </c>
      <c r="D2170" s="15" t="str">
        <f>Solieusap!D2170</f>
        <v>Combination</v>
      </c>
      <c r="E2170" s="16">
        <f>ABS(Solieusap!E2170)</f>
        <v>21.48750753</v>
      </c>
      <c r="F2170" s="16">
        <f>ABS(Solieusap!F2170)</f>
        <v>2.057307835</v>
      </c>
      <c r="G2170" s="16">
        <f>ABS(Solieusap!G2170)</f>
        <v>2.77596303</v>
      </c>
      <c r="H2170" s="16">
        <f>ABS(Solieusap!H2170)</f>
        <v>0.001252683519</v>
      </c>
      <c r="I2170" s="16">
        <f>ABS(Solieusap!I2170)</f>
        <v>7.639899866</v>
      </c>
      <c r="J2170" s="16">
        <f>ABS(Solieusap!J2170)</f>
        <v>5.134264688</v>
      </c>
      <c r="K2170" s="16">
        <f t="shared" si="1"/>
        <v>21.48750753</v>
      </c>
      <c r="L2170" s="16">
        <f t="shared" si="2"/>
        <v>7.639899866</v>
      </c>
    </row>
    <row r="2171" ht="16.5" customHeight="1">
      <c r="A2171" s="15" t="str">
        <f>Solieusap!A2171</f>
        <v>Cũ</v>
      </c>
      <c r="B2171" s="15">
        <f>Solieusap!B2171</f>
        <v>1.75</v>
      </c>
      <c r="C2171" s="15" t="str">
        <f>Solieusap!C2171</f>
        <v>COMB2</v>
      </c>
      <c r="D2171" s="15" t="str">
        <f>Solieusap!D2171</f>
        <v>Combination</v>
      </c>
      <c r="E2171" s="16">
        <f>ABS(Solieusap!E2171)</f>
        <v>21.5043639</v>
      </c>
      <c r="F2171" s="16">
        <f>ABS(Solieusap!F2171)</f>
        <v>2.059018355</v>
      </c>
      <c r="G2171" s="16">
        <f>ABS(Solieusap!G2171)</f>
        <v>2.778227446</v>
      </c>
      <c r="H2171" s="16">
        <f>ABS(Solieusap!H2171)</f>
        <v>0.001253738623</v>
      </c>
      <c r="I2171" s="16">
        <f>ABS(Solieusap!I2171)</f>
        <v>7.646694658</v>
      </c>
      <c r="J2171" s="16">
        <f>ABS(Solieusap!J2171)</f>
        <v>5.13881174</v>
      </c>
      <c r="K2171" s="16">
        <f t="shared" si="1"/>
        <v>21.5043639</v>
      </c>
      <c r="L2171" s="16">
        <f t="shared" si="2"/>
        <v>7.646694658</v>
      </c>
    </row>
    <row r="2172" ht="16.5" customHeight="1">
      <c r="A2172" s="15" t="str">
        <f>Solieusap!A2172</f>
        <v>Cũ</v>
      </c>
      <c r="B2172" s="15">
        <f>Solieusap!B2172</f>
        <v>3.5</v>
      </c>
      <c r="C2172" s="15" t="str">
        <f>Solieusap!C2172</f>
        <v>COMB2</v>
      </c>
      <c r="D2172" s="15" t="str">
        <f>Solieusap!D2172</f>
        <v>Combination</v>
      </c>
      <c r="E2172" s="16">
        <f>ABS(Solieusap!E2172)</f>
        <v>21.52122026</v>
      </c>
      <c r="F2172" s="16">
        <f>ABS(Solieusap!F2172)</f>
        <v>2.060728874</v>
      </c>
      <c r="G2172" s="16">
        <f>ABS(Solieusap!G2172)</f>
        <v>2.780491861</v>
      </c>
      <c r="H2172" s="16">
        <f>ABS(Solieusap!H2172)</f>
        <v>0.001254793727</v>
      </c>
      <c r="I2172" s="16">
        <f>ABS(Solieusap!I2172)</f>
        <v>7.65348945</v>
      </c>
      <c r="J2172" s="16">
        <f>ABS(Solieusap!J2172)</f>
        <v>5.143358792</v>
      </c>
      <c r="K2172" s="16">
        <f t="shared" si="1"/>
        <v>21.52122026</v>
      </c>
      <c r="L2172" s="16">
        <f t="shared" si="2"/>
        <v>7.65348945</v>
      </c>
    </row>
    <row r="2173" ht="16.5" customHeight="1">
      <c r="A2173" s="15" t="str">
        <f>Solieusap!A2173</f>
        <v>Cũ</v>
      </c>
      <c r="B2173" s="15">
        <f>Solieusap!B2173</f>
        <v>0</v>
      </c>
      <c r="C2173" s="15" t="str">
        <f>Solieusap!C2173</f>
        <v>COMB3</v>
      </c>
      <c r="D2173" s="15" t="str">
        <f>Solieusap!D2173</f>
        <v>Combination</v>
      </c>
      <c r="E2173" s="16">
        <f>ABS(Solieusap!E2173)</f>
        <v>21.53807662</v>
      </c>
      <c r="F2173" s="16">
        <f>ABS(Solieusap!F2173)</f>
        <v>2.062439394</v>
      </c>
      <c r="G2173" s="16">
        <f>ABS(Solieusap!G2173)</f>
        <v>2.782756277</v>
      </c>
      <c r="H2173" s="16">
        <f>ABS(Solieusap!H2173)</f>
        <v>0.001255848831</v>
      </c>
      <c r="I2173" s="16">
        <f>ABS(Solieusap!I2173)</f>
        <v>7.660284242</v>
      </c>
      <c r="J2173" s="16">
        <f>ABS(Solieusap!J2173)</f>
        <v>5.147905844</v>
      </c>
      <c r="K2173" s="16">
        <f t="shared" si="1"/>
        <v>21.53807662</v>
      </c>
      <c r="L2173" s="16">
        <f t="shared" si="2"/>
        <v>7.660284242</v>
      </c>
    </row>
    <row r="2174" ht="16.5" customHeight="1">
      <c r="A2174" s="15" t="str">
        <f>Solieusap!A2174</f>
        <v>Cũ</v>
      </c>
      <c r="B2174" s="15">
        <f>Solieusap!B2174</f>
        <v>1.75</v>
      </c>
      <c r="C2174" s="15" t="str">
        <f>Solieusap!C2174</f>
        <v>COMB3</v>
      </c>
      <c r="D2174" s="15" t="str">
        <f>Solieusap!D2174</f>
        <v>Combination</v>
      </c>
      <c r="E2174" s="16">
        <f>ABS(Solieusap!E2174)</f>
        <v>21.55493299</v>
      </c>
      <c r="F2174" s="16">
        <f>ABS(Solieusap!F2174)</f>
        <v>2.064149913</v>
      </c>
      <c r="G2174" s="16">
        <f>ABS(Solieusap!G2174)</f>
        <v>2.785020693</v>
      </c>
      <c r="H2174" s="16">
        <f>ABS(Solieusap!H2174)</f>
        <v>0.001256903935</v>
      </c>
      <c r="I2174" s="16">
        <f>ABS(Solieusap!I2174)</f>
        <v>7.667079035</v>
      </c>
      <c r="J2174" s="16">
        <f>ABS(Solieusap!J2174)</f>
        <v>5.152452896</v>
      </c>
      <c r="K2174" s="16">
        <f t="shared" si="1"/>
        <v>21.55493299</v>
      </c>
      <c r="L2174" s="16">
        <f t="shared" si="2"/>
        <v>7.667079035</v>
      </c>
    </row>
    <row r="2175" ht="16.5" customHeight="1">
      <c r="A2175" s="15" t="str">
        <f>Solieusap!A2175</f>
        <v>Cũ</v>
      </c>
      <c r="B2175" s="15">
        <f>Solieusap!B2175</f>
        <v>3.5</v>
      </c>
      <c r="C2175" s="15" t="str">
        <f>Solieusap!C2175</f>
        <v>COMB3</v>
      </c>
      <c r="D2175" s="15" t="str">
        <f>Solieusap!D2175</f>
        <v>Combination</v>
      </c>
      <c r="E2175" s="16">
        <f>ABS(Solieusap!E2175)</f>
        <v>21.57178935</v>
      </c>
      <c r="F2175" s="16">
        <f>ABS(Solieusap!F2175)</f>
        <v>2.065860433</v>
      </c>
      <c r="G2175" s="16">
        <f>ABS(Solieusap!G2175)</f>
        <v>2.787285108</v>
      </c>
      <c r="H2175" s="16">
        <f>ABS(Solieusap!H2175)</f>
        <v>0.001257959039</v>
      </c>
      <c r="I2175" s="16">
        <f>ABS(Solieusap!I2175)</f>
        <v>7.673873827</v>
      </c>
      <c r="J2175" s="16">
        <f>ABS(Solieusap!J2175)</f>
        <v>5.156999948</v>
      </c>
      <c r="K2175" s="16">
        <f t="shared" si="1"/>
        <v>21.57178935</v>
      </c>
      <c r="L2175" s="16">
        <f t="shared" si="2"/>
        <v>7.673873827</v>
      </c>
    </row>
    <row r="2176" ht="16.5" customHeight="1">
      <c r="A2176" s="15" t="str">
        <f>Solieusap!A2176</f>
        <v>Cũ</v>
      </c>
      <c r="B2176" s="15">
        <f>Solieusap!B2176</f>
        <v>0</v>
      </c>
      <c r="C2176" s="15" t="str">
        <f>Solieusap!C2176</f>
        <v>COMB4</v>
      </c>
      <c r="D2176" s="15" t="str">
        <f>Solieusap!D2176</f>
        <v>Combination</v>
      </c>
      <c r="E2176" s="16">
        <f>ABS(Solieusap!E2176)</f>
        <v>21.58864571</v>
      </c>
      <c r="F2176" s="16">
        <f>ABS(Solieusap!F2176)</f>
        <v>2.067570952</v>
      </c>
      <c r="G2176" s="16">
        <f>ABS(Solieusap!G2176)</f>
        <v>2.789549524</v>
      </c>
      <c r="H2176" s="16">
        <f>ABS(Solieusap!H2176)</f>
        <v>0.001259014143</v>
      </c>
      <c r="I2176" s="16">
        <f>ABS(Solieusap!I2176)</f>
        <v>7.680668619</v>
      </c>
      <c r="J2176" s="16">
        <f>ABS(Solieusap!J2176)</f>
        <v>5.161547</v>
      </c>
      <c r="K2176" s="16">
        <f t="shared" si="1"/>
        <v>21.58864571</v>
      </c>
      <c r="L2176" s="16">
        <f t="shared" si="2"/>
        <v>7.680668619</v>
      </c>
    </row>
    <row r="2177" ht="16.5" customHeight="1">
      <c r="A2177" s="15" t="str">
        <f>Solieusap!A2177</f>
        <v>Cũ</v>
      </c>
      <c r="B2177" s="15">
        <f>Solieusap!B2177</f>
        <v>1.75</v>
      </c>
      <c r="C2177" s="15" t="str">
        <f>Solieusap!C2177</f>
        <v>COMB4</v>
      </c>
      <c r="D2177" s="15" t="str">
        <f>Solieusap!D2177</f>
        <v>Combination</v>
      </c>
      <c r="E2177" s="16">
        <f>ABS(Solieusap!E2177)</f>
        <v>21.60550208</v>
      </c>
      <c r="F2177" s="16">
        <f>ABS(Solieusap!F2177)</f>
        <v>2.069281472</v>
      </c>
      <c r="G2177" s="16">
        <f>ABS(Solieusap!G2177)</f>
        <v>2.791813939</v>
      </c>
      <c r="H2177" s="16">
        <f>ABS(Solieusap!H2177)</f>
        <v>0.001260069247</v>
      </c>
      <c r="I2177" s="16">
        <f>ABS(Solieusap!I2177)</f>
        <v>7.687463411</v>
      </c>
      <c r="J2177" s="16">
        <f>ABS(Solieusap!J2177)</f>
        <v>5.166094052</v>
      </c>
      <c r="K2177" s="16">
        <f t="shared" si="1"/>
        <v>21.60550208</v>
      </c>
      <c r="L2177" s="16">
        <f t="shared" si="2"/>
        <v>7.687463411</v>
      </c>
    </row>
    <row r="2178" ht="16.5" customHeight="1">
      <c r="A2178" s="15" t="str">
        <f>Solieusap!A2178</f>
        <v>Cũ</v>
      </c>
      <c r="B2178" s="15">
        <f>Solieusap!B2178</f>
        <v>3.5</v>
      </c>
      <c r="C2178" s="15" t="str">
        <f>Solieusap!C2178</f>
        <v>COMB4</v>
      </c>
      <c r="D2178" s="15" t="str">
        <f>Solieusap!D2178</f>
        <v>Combination</v>
      </c>
      <c r="E2178" s="16">
        <f>ABS(Solieusap!E2178)</f>
        <v>21.62235844</v>
      </c>
      <c r="F2178" s="16">
        <f>ABS(Solieusap!F2178)</f>
        <v>2.070991991</v>
      </c>
      <c r="G2178" s="16">
        <f>ABS(Solieusap!G2178)</f>
        <v>2.794078355</v>
      </c>
      <c r="H2178" s="16">
        <f>ABS(Solieusap!H2178)</f>
        <v>0.001261124351</v>
      </c>
      <c r="I2178" s="16">
        <f>ABS(Solieusap!I2178)</f>
        <v>7.694258203</v>
      </c>
      <c r="J2178" s="16">
        <f>ABS(Solieusap!J2178)</f>
        <v>5.170641104</v>
      </c>
      <c r="K2178" s="16">
        <f t="shared" si="1"/>
        <v>21.62235844</v>
      </c>
      <c r="L2178" s="16">
        <f t="shared" si="2"/>
        <v>7.694258203</v>
      </c>
    </row>
    <row r="2179" ht="16.5" customHeight="1">
      <c r="A2179" s="15" t="str">
        <f>Solieusap!A2179</f>
        <v>Cũ</v>
      </c>
      <c r="B2179" s="15">
        <f>Solieusap!B2179</f>
        <v>0</v>
      </c>
      <c r="C2179" s="15" t="str">
        <f>Solieusap!C2179</f>
        <v>COMB5</v>
      </c>
      <c r="D2179" s="15" t="str">
        <f>Solieusap!D2179</f>
        <v>Combination</v>
      </c>
      <c r="E2179" s="16">
        <f>ABS(Solieusap!E2179)</f>
        <v>21.63921481</v>
      </c>
      <c r="F2179" s="16">
        <f>ABS(Solieusap!F2179)</f>
        <v>2.072702511</v>
      </c>
      <c r="G2179" s="16">
        <f>ABS(Solieusap!G2179)</f>
        <v>2.796342771</v>
      </c>
      <c r="H2179" s="16">
        <f>ABS(Solieusap!H2179)</f>
        <v>0.001262179455</v>
      </c>
      <c r="I2179" s="16">
        <f>ABS(Solieusap!I2179)</f>
        <v>7.701052996</v>
      </c>
      <c r="J2179" s="16">
        <f>ABS(Solieusap!J2179)</f>
        <v>5.175188156</v>
      </c>
      <c r="K2179" s="16">
        <f t="shared" si="1"/>
        <v>21.63921481</v>
      </c>
      <c r="L2179" s="16">
        <f t="shared" si="2"/>
        <v>7.701052996</v>
      </c>
    </row>
    <row r="2180" ht="16.5" customHeight="1">
      <c r="A2180" s="15" t="str">
        <f>Solieusap!A2180</f>
        <v>Cũ</v>
      </c>
      <c r="B2180" s="15">
        <f>Solieusap!B2180</f>
        <v>1.75</v>
      </c>
      <c r="C2180" s="15" t="str">
        <f>Solieusap!C2180</f>
        <v>COMB5</v>
      </c>
      <c r="D2180" s="15" t="str">
        <f>Solieusap!D2180</f>
        <v>Combination</v>
      </c>
      <c r="E2180" s="16">
        <f>ABS(Solieusap!E2180)</f>
        <v>21.65607117</v>
      </c>
      <c r="F2180" s="16">
        <f>ABS(Solieusap!F2180)</f>
        <v>2.07441303</v>
      </c>
      <c r="G2180" s="16">
        <f>ABS(Solieusap!G2180)</f>
        <v>2.798607186</v>
      </c>
      <c r="H2180" s="16">
        <f>ABS(Solieusap!H2180)</f>
        <v>0.001263234558</v>
      </c>
      <c r="I2180" s="16">
        <f>ABS(Solieusap!I2180)</f>
        <v>7.707847788</v>
      </c>
      <c r="J2180" s="16">
        <f>ABS(Solieusap!J2180)</f>
        <v>5.179735208</v>
      </c>
      <c r="K2180" s="16">
        <f t="shared" si="1"/>
        <v>21.65607117</v>
      </c>
      <c r="L2180" s="16">
        <f t="shared" si="2"/>
        <v>7.707847788</v>
      </c>
    </row>
    <row r="2181" ht="16.5" customHeight="1">
      <c r="A2181" s="15" t="str">
        <f>Solieusap!A2181</f>
        <v>Cũ</v>
      </c>
      <c r="B2181" s="15">
        <f>Solieusap!B2181</f>
        <v>3.5</v>
      </c>
      <c r="C2181" s="15" t="str">
        <f>Solieusap!C2181</f>
        <v>COMB5</v>
      </c>
      <c r="D2181" s="15" t="str">
        <f>Solieusap!D2181</f>
        <v>Combination</v>
      </c>
      <c r="E2181" s="16">
        <f>ABS(Solieusap!E2181)</f>
        <v>21.67292753</v>
      </c>
      <c r="F2181" s="16">
        <f>ABS(Solieusap!F2181)</f>
        <v>2.07612355</v>
      </c>
      <c r="G2181" s="16">
        <f>ABS(Solieusap!G2181)</f>
        <v>2.800871602</v>
      </c>
      <c r="H2181" s="16">
        <f>ABS(Solieusap!H2181)</f>
        <v>0.001264289662</v>
      </c>
      <c r="I2181" s="16">
        <f>ABS(Solieusap!I2181)</f>
        <v>7.71464258</v>
      </c>
      <c r="J2181" s="16">
        <f>ABS(Solieusap!J2181)</f>
        <v>5.18428226</v>
      </c>
      <c r="K2181" s="16">
        <f t="shared" si="1"/>
        <v>21.67292753</v>
      </c>
      <c r="L2181" s="16">
        <f t="shared" si="2"/>
        <v>7.71464258</v>
      </c>
    </row>
    <row r="2182" ht="16.5" customHeight="1">
      <c r="A2182" s="15" t="str">
        <f>Solieusap!A2182</f>
        <v>Cũ</v>
      </c>
      <c r="B2182" s="15">
        <f>Solieusap!B2182</f>
        <v>0</v>
      </c>
      <c r="C2182" s="15" t="str">
        <f>Solieusap!C2182</f>
        <v>COMB6</v>
      </c>
      <c r="D2182" s="15" t="str">
        <f>Solieusap!D2182</f>
        <v>Combination</v>
      </c>
      <c r="E2182" s="16">
        <f>ABS(Solieusap!E2182)</f>
        <v>21.6897839</v>
      </c>
      <c r="F2182" s="16">
        <f>ABS(Solieusap!F2182)</f>
        <v>2.077834069</v>
      </c>
      <c r="G2182" s="16">
        <f>ABS(Solieusap!G2182)</f>
        <v>2.803136017</v>
      </c>
      <c r="H2182" s="16">
        <f>ABS(Solieusap!H2182)</f>
        <v>0.001265344766</v>
      </c>
      <c r="I2182" s="16">
        <f>ABS(Solieusap!I2182)</f>
        <v>7.721437372</v>
      </c>
      <c r="J2182" s="16">
        <f>ABS(Solieusap!J2182)</f>
        <v>5.188829312</v>
      </c>
      <c r="K2182" s="16">
        <f t="shared" si="1"/>
        <v>21.6897839</v>
      </c>
      <c r="L2182" s="16">
        <f t="shared" si="2"/>
        <v>7.721437372</v>
      </c>
    </row>
    <row r="2183" ht="16.5" customHeight="1">
      <c r="A2183" s="15" t="str">
        <f>Solieusap!A2183</f>
        <v>Cũ</v>
      </c>
      <c r="B2183" s="15">
        <f>Solieusap!B2183</f>
        <v>1.75</v>
      </c>
      <c r="C2183" s="15" t="str">
        <f>Solieusap!C2183</f>
        <v>COMB6</v>
      </c>
      <c r="D2183" s="15" t="str">
        <f>Solieusap!D2183</f>
        <v>Combination</v>
      </c>
      <c r="E2183" s="16">
        <f>ABS(Solieusap!E2183)</f>
        <v>21.70664026</v>
      </c>
      <c r="F2183" s="16">
        <f>ABS(Solieusap!F2183)</f>
        <v>2.079544589</v>
      </c>
      <c r="G2183" s="16">
        <f>ABS(Solieusap!G2183)</f>
        <v>2.805400433</v>
      </c>
      <c r="H2183" s="16">
        <f>ABS(Solieusap!H2183)</f>
        <v>0.00126639987</v>
      </c>
      <c r="I2183" s="16">
        <f>ABS(Solieusap!I2183)</f>
        <v>7.728232165</v>
      </c>
      <c r="J2183" s="16">
        <f>ABS(Solieusap!J2183)</f>
        <v>5.193376364</v>
      </c>
      <c r="K2183" s="16">
        <f t="shared" si="1"/>
        <v>21.70664026</v>
      </c>
      <c r="L2183" s="16">
        <f t="shared" si="2"/>
        <v>7.728232165</v>
      </c>
    </row>
    <row r="2184" ht="16.5" customHeight="1">
      <c r="A2184" s="15" t="str">
        <f>Solieusap!A2184</f>
        <v>Cũ</v>
      </c>
      <c r="B2184" s="15">
        <f>Solieusap!B2184</f>
        <v>3.5</v>
      </c>
      <c r="C2184" s="15" t="str">
        <f>Solieusap!C2184</f>
        <v>COMB6</v>
      </c>
      <c r="D2184" s="15" t="str">
        <f>Solieusap!D2184</f>
        <v>Combination</v>
      </c>
      <c r="E2184" s="16">
        <f>ABS(Solieusap!E2184)</f>
        <v>21.72349662</v>
      </c>
      <c r="F2184" s="16">
        <f>ABS(Solieusap!F2184)</f>
        <v>2.081255108</v>
      </c>
      <c r="G2184" s="16">
        <f>ABS(Solieusap!G2184)</f>
        <v>2.807664848</v>
      </c>
      <c r="H2184" s="16">
        <f>ABS(Solieusap!H2184)</f>
        <v>0.001267454974</v>
      </c>
      <c r="I2184" s="16">
        <f>ABS(Solieusap!I2184)</f>
        <v>7.735026957</v>
      </c>
      <c r="J2184" s="16">
        <f>ABS(Solieusap!J2184)</f>
        <v>5.197923416</v>
      </c>
      <c r="K2184" s="16">
        <f t="shared" si="1"/>
        <v>21.72349662</v>
      </c>
      <c r="L2184" s="16">
        <f t="shared" si="2"/>
        <v>7.735026957</v>
      </c>
    </row>
    <row r="2185" ht="16.5" customHeight="1">
      <c r="A2185" s="15" t="str">
        <f>Solieusap!A2185</f>
        <v>Cũ</v>
      </c>
      <c r="B2185" s="15">
        <f>Solieusap!B2185</f>
        <v>0</v>
      </c>
      <c r="C2185" s="15" t="str">
        <f>Solieusap!C2185</f>
        <v>COMB7</v>
      </c>
      <c r="D2185" s="15" t="str">
        <f>Solieusap!D2185</f>
        <v>Combination</v>
      </c>
      <c r="E2185" s="16">
        <f>ABS(Solieusap!E2185)</f>
        <v>21.74035299</v>
      </c>
      <c r="F2185" s="16">
        <f>ABS(Solieusap!F2185)</f>
        <v>2.082965628</v>
      </c>
      <c r="G2185" s="16">
        <f>ABS(Solieusap!G2185)</f>
        <v>2.809929264</v>
      </c>
      <c r="H2185" s="16">
        <f>ABS(Solieusap!H2185)</f>
        <v>0.001268510078</v>
      </c>
      <c r="I2185" s="16">
        <f>ABS(Solieusap!I2185)</f>
        <v>7.741821749</v>
      </c>
      <c r="J2185" s="16">
        <f>ABS(Solieusap!J2185)</f>
        <v>5.202470468</v>
      </c>
      <c r="K2185" s="16">
        <f t="shared" si="1"/>
        <v>21.74035299</v>
      </c>
      <c r="L2185" s="16">
        <f t="shared" si="2"/>
        <v>7.741821749</v>
      </c>
    </row>
    <row r="2186" ht="16.5" customHeight="1">
      <c r="A2186" s="15" t="str">
        <f>Solieusap!A2186</f>
        <v>Cũ</v>
      </c>
      <c r="B2186" s="15">
        <f>Solieusap!B2186</f>
        <v>1.75</v>
      </c>
      <c r="C2186" s="15" t="str">
        <f>Solieusap!C2186</f>
        <v>COMB7</v>
      </c>
      <c r="D2186" s="15" t="str">
        <f>Solieusap!D2186</f>
        <v>Combination</v>
      </c>
      <c r="E2186" s="16">
        <f>ABS(Solieusap!E2186)</f>
        <v>21.75720935</v>
      </c>
      <c r="F2186" s="16">
        <f>ABS(Solieusap!F2186)</f>
        <v>2.084676147</v>
      </c>
      <c r="G2186" s="16">
        <f>ABS(Solieusap!G2186)</f>
        <v>2.81219368</v>
      </c>
      <c r="H2186" s="16">
        <f>ABS(Solieusap!H2186)</f>
        <v>0.001269565182</v>
      </c>
      <c r="I2186" s="16">
        <f>ABS(Solieusap!I2186)</f>
        <v>7.748616541</v>
      </c>
      <c r="J2186" s="16">
        <f>ABS(Solieusap!J2186)</f>
        <v>5.207017519</v>
      </c>
      <c r="K2186" s="16">
        <f t="shared" si="1"/>
        <v>21.75720935</v>
      </c>
      <c r="L2186" s="16">
        <f t="shared" si="2"/>
        <v>7.748616541</v>
      </c>
    </row>
    <row r="2187" ht="16.5" customHeight="1">
      <c r="A2187" s="15" t="str">
        <f>Solieusap!A2187</f>
        <v>Cũ</v>
      </c>
      <c r="B2187" s="15">
        <f>Solieusap!B2187</f>
        <v>3.5</v>
      </c>
      <c r="C2187" s="15" t="str">
        <f>Solieusap!C2187</f>
        <v>COMB7</v>
      </c>
      <c r="D2187" s="15" t="str">
        <f>Solieusap!D2187</f>
        <v>Combination</v>
      </c>
      <c r="E2187" s="16">
        <f>ABS(Solieusap!E2187)</f>
        <v>21.77406571</v>
      </c>
      <c r="F2187" s="16">
        <f>ABS(Solieusap!F2187)</f>
        <v>2.086386667</v>
      </c>
      <c r="G2187" s="16">
        <f>ABS(Solieusap!G2187)</f>
        <v>2.814458095</v>
      </c>
      <c r="H2187" s="16">
        <f>ABS(Solieusap!H2187)</f>
        <v>0.001270620286</v>
      </c>
      <c r="I2187" s="16">
        <f>ABS(Solieusap!I2187)</f>
        <v>7.755411333</v>
      </c>
      <c r="J2187" s="16">
        <f>ABS(Solieusap!J2187)</f>
        <v>5.211564571</v>
      </c>
      <c r="K2187" s="16">
        <f t="shared" si="1"/>
        <v>21.77406571</v>
      </c>
      <c r="L2187" s="16">
        <f t="shared" si="2"/>
        <v>7.755411333</v>
      </c>
    </row>
    <row r="2188" ht="16.5" customHeight="1">
      <c r="A2188" s="15" t="str">
        <f>Solieusap!A2188</f>
        <v>Cũ</v>
      </c>
      <c r="B2188" s="15">
        <f>Solieusap!B2188</f>
        <v>0</v>
      </c>
      <c r="C2188" s="15" t="str">
        <f>Solieusap!C2188</f>
        <v>COMB1</v>
      </c>
      <c r="D2188" s="15" t="str">
        <f>Solieusap!D2188</f>
        <v>Combination</v>
      </c>
      <c r="E2188" s="16">
        <f>ABS(Solieusap!E2188)</f>
        <v>21.79092208</v>
      </c>
      <c r="F2188" s="16">
        <f>ABS(Solieusap!F2188)</f>
        <v>2.088097186</v>
      </c>
      <c r="G2188" s="16">
        <f>ABS(Solieusap!G2188)</f>
        <v>2.816722511</v>
      </c>
      <c r="H2188" s="16">
        <f>ABS(Solieusap!H2188)</f>
        <v>0.00127167539</v>
      </c>
      <c r="I2188" s="16">
        <f>ABS(Solieusap!I2188)</f>
        <v>7.762206126</v>
      </c>
      <c r="J2188" s="16">
        <f>ABS(Solieusap!J2188)</f>
        <v>5.216111623</v>
      </c>
      <c r="K2188" s="16">
        <f t="shared" si="1"/>
        <v>21.79092208</v>
      </c>
      <c r="L2188" s="16">
        <f t="shared" si="2"/>
        <v>7.762206126</v>
      </c>
    </row>
    <row r="2189" ht="16.5" customHeight="1">
      <c r="A2189" s="15" t="str">
        <f>Solieusap!A2189</f>
        <v>Cũ</v>
      </c>
      <c r="B2189" s="15">
        <f>Solieusap!B2189</f>
        <v>1.75</v>
      </c>
      <c r="C2189" s="15" t="str">
        <f>Solieusap!C2189</f>
        <v>COMB1</v>
      </c>
      <c r="D2189" s="15" t="str">
        <f>Solieusap!D2189</f>
        <v>Combination</v>
      </c>
      <c r="E2189" s="16">
        <f>ABS(Solieusap!E2189)</f>
        <v>21.80777844</v>
      </c>
      <c r="F2189" s="16">
        <f>ABS(Solieusap!F2189)</f>
        <v>2.089807706</v>
      </c>
      <c r="G2189" s="16">
        <f>ABS(Solieusap!G2189)</f>
        <v>2.818986926</v>
      </c>
      <c r="H2189" s="16">
        <f>ABS(Solieusap!H2189)</f>
        <v>0.001272730494</v>
      </c>
      <c r="I2189" s="16">
        <f>ABS(Solieusap!I2189)</f>
        <v>7.769000918</v>
      </c>
      <c r="J2189" s="16">
        <f>ABS(Solieusap!J2189)</f>
        <v>5.220658675</v>
      </c>
      <c r="K2189" s="16">
        <f t="shared" si="1"/>
        <v>21.80777844</v>
      </c>
      <c r="L2189" s="16">
        <f t="shared" si="2"/>
        <v>7.769000918</v>
      </c>
    </row>
    <row r="2190" ht="16.5" customHeight="1">
      <c r="A2190" s="15" t="str">
        <f>Solieusap!A2190</f>
        <v>Cũ</v>
      </c>
      <c r="B2190" s="15">
        <f>Solieusap!B2190</f>
        <v>3.5</v>
      </c>
      <c r="C2190" s="15" t="str">
        <f>Solieusap!C2190</f>
        <v>COMB1</v>
      </c>
      <c r="D2190" s="15" t="str">
        <f>Solieusap!D2190</f>
        <v>Combination</v>
      </c>
      <c r="E2190" s="16">
        <f>ABS(Solieusap!E2190)</f>
        <v>21.82463481</v>
      </c>
      <c r="F2190" s="16">
        <f>ABS(Solieusap!F2190)</f>
        <v>2.091518225</v>
      </c>
      <c r="G2190" s="16">
        <f>ABS(Solieusap!G2190)</f>
        <v>2.821251342</v>
      </c>
      <c r="H2190" s="16">
        <f>ABS(Solieusap!H2190)</f>
        <v>0.001273785597</v>
      </c>
      <c r="I2190" s="16">
        <f>ABS(Solieusap!I2190)</f>
        <v>7.77579571</v>
      </c>
      <c r="J2190" s="16">
        <f>ABS(Solieusap!J2190)</f>
        <v>5.225205727</v>
      </c>
      <c r="K2190" s="16">
        <f t="shared" si="1"/>
        <v>21.82463481</v>
      </c>
      <c r="L2190" s="16">
        <f t="shared" si="2"/>
        <v>7.77579571</v>
      </c>
    </row>
    <row r="2191" ht="16.5" customHeight="1">
      <c r="A2191" s="15" t="str">
        <f>Solieusap!A2191</f>
        <v>Cũ</v>
      </c>
      <c r="B2191" s="15">
        <f>Solieusap!B2191</f>
        <v>0</v>
      </c>
      <c r="C2191" s="15" t="str">
        <f>Solieusap!C2191</f>
        <v>COMB2</v>
      </c>
      <c r="D2191" s="15" t="str">
        <f>Solieusap!D2191</f>
        <v>Combination</v>
      </c>
      <c r="E2191" s="16">
        <f>ABS(Solieusap!E2191)</f>
        <v>21.84149117</v>
      </c>
      <c r="F2191" s="16">
        <f>ABS(Solieusap!F2191)</f>
        <v>2.093228745</v>
      </c>
      <c r="G2191" s="16">
        <f>ABS(Solieusap!G2191)</f>
        <v>2.823515758</v>
      </c>
      <c r="H2191" s="16">
        <f>ABS(Solieusap!H2191)</f>
        <v>0.001274840701</v>
      </c>
      <c r="I2191" s="16">
        <f>ABS(Solieusap!I2191)</f>
        <v>7.782590502</v>
      </c>
      <c r="J2191" s="16">
        <f>ABS(Solieusap!J2191)</f>
        <v>5.229752779</v>
      </c>
      <c r="K2191" s="16">
        <f t="shared" si="1"/>
        <v>21.84149117</v>
      </c>
      <c r="L2191" s="16">
        <f t="shared" si="2"/>
        <v>7.782590502</v>
      </c>
    </row>
    <row r="2192" ht="16.5" customHeight="1">
      <c r="A2192" s="15" t="str">
        <f>Solieusap!A2192</f>
        <v>Cũ</v>
      </c>
      <c r="B2192" s="15">
        <f>Solieusap!B2192</f>
        <v>1.75</v>
      </c>
      <c r="C2192" s="15" t="str">
        <f>Solieusap!C2192</f>
        <v>COMB2</v>
      </c>
      <c r="D2192" s="15" t="str">
        <f>Solieusap!D2192</f>
        <v>Combination</v>
      </c>
      <c r="E2192" s="16">
        <f>ABS(Solieusap!E2192)</f>
        <v>21.85834753</v>
      </c>
      <c r="F2192" s="16">
        <f>ABS(Solieusap!F2192)</f>
        <v>2.094939264</v>
      </c>
      <c r="G2192" s="16">
        <f>ABS(Solieusap!G2192)</f>
        <v>2.825780173</v>
      </c>
      <c r="H2192" s="16">
        <f>ABS(Solieusap!H2192)</f>
        <v>0.001275895805</v>
      </c>
      <c r="I2192" s="16">
        <f>ABS(Solieusap!I2192)</f>
        <v>7.789385294</v>
      </c>
      <c r="J2192" s="16">
        <f>ABS(Solieusap!J2192)</f>
        <v>5.234299831</v>
      </c>
      <c r="K2192" s="16">
        <f t="shared" si="1"/>
        <v>21.85834753</v>
      </c>
      <c r="L2192" s="16">
        <f t="shared" si="2"/>
        <v>7.789385294</v>
      </c>
    </row>
    <row r="2193" ht="16.5" customHeight="1">
      <c r="A2193" s="15" t="str">
        <f>Solieusap!A2193</f>
        <v>Cũ</v>
      </c>
      <c r="B2193" s="15">
        <f>Solieusap!B2193</f>
        <v>3.5</v>
      </c>
      <c r="C2193" s="15" t="str">
        <f>Solieusap!C2193</f>
        <v>COMB2</v>
      </c>
      <c r="D2193" s="15" t="str">
        <f>Solieusap!D2193</f>
        <v>Combination</v>
      </c>
      <c r="E2193" s="16">
        <f>ABS(Solieusap!E2193)</f>
        <v>21.8752039</v>
      </c>
      <c r="F2193" s="16">
        <f>ABS(Solieusap!F2193)</f>
        <v>2.096649784</v>
      </c>
      <c r="G2193" s="16">
        <f>ABS(Solieusap!G2193)</f>
        <v>2.828044589</v>
      </c>
      <c r="H2193" s="16">
        <f>ABS(Solieusap!H2193)</f>
        <v>0.001276950909</v>
      </c>
      <c r="I2193" s="16">
        <f>ABS(Solieusap!I2193)</f>
        <v>7.796180087</v>
      </c>
      <c r="J2193" s="16">
        <f>ABS(Solieusap!J2193)</f>
        <v>5.238846883</v>
      </c>
      <c r="K2193" s="16">
        <f t="shared" si="1"/>
        <v>21.8752039</v>
      </c>
      <c r="L2193" s="16">
        <f t="shared" si="2"/>
        <v>7.796180087</v>
      </c>
    </row>
    <row r="2194" ht="16.5" customHeight="1">
      <c r="A2194" s="15" t="str">
        <f>Solieusap!A2194</f>
        <v>Cũ</v>
      </c>
      <c r="B2194" s="15">
        <f>Solieusap!B2194</f>
        <v>0</v>
      </c>
      <c r="C2194" s="15" t="str">
        <f>Solieusap!C2194</f>
        <v>COMB3</v>
      </c>
      <c r="D2194" s="15" t="str">
        <f>Solieusap!D2194</f>
        <v>Combination</v>
      </c>
      <c r="E2194" s="16">
        <f>ABS(Solieusap!E2194)</f>
        <v>21.89206026</v>
      </c>
      <c r="F2194" s="16">
        <f>ABS(Solieusap!F2194)</f>
        <v>2.098360303</v>
      </c>
      <c r="G2194" s="16">
        <f>ABS(Solieusap!G2194)</f>
        <v>2.830309004</v>
      </c>
      <c r="H2194" s="16">
        <f>ABS(Solieusap!H2194)</f>
        <v>0.001278006013</v>
      </c>
      <c r="I2194" s="16">
        <f>ABS(Solieusap!I2194)</f>
        <v>7.802974879</v>
      </c>
      <c r="J2194" s="16">
        <f>ABS(Solieusap!J2194)</f>
        <v>5.243393935</v>
      </c>
      <c r="K2194" s="16">
        <f t="shared" si="1"/>
        <v>21.89206026</v>
      </c>
      <c r="L2194" s="16">
        <f t="shared" si="2"/>
        <v>7.802974879</v>
      </c>
    </row>
    <row r="2195" ht="16.5" customHeight="1">
      <c r="A2195" s="15" t="str">
        <f>Solieusap!A2195</f>
        <v>Cũ</v>
      </c>
      <c r="B2195" s="15">
        <f>Solieusap!B2195</f>
        <v>1.75</v>
      </c>
      <c r="C2195" s="15" t="str">
        <f>Solieusap!C2195</f>
        <v>COMB3</v>
      </c>
      <c r="D2195" s="15" t="str">
        <f>Solieusap!D2195</f>
        <v>Combination</v>
      </c>
      <c r="E2195" s="16">
        <f>ABS(Solieusap!E2195)</f>
        <v>21.90891662</v>
      </c>
      <c r="F2195" s="16">
        <f>ABS(Solieusap!F2195)</f>
        <v>2.100070823</v>
      </c>
      <c r="G2195" s="16">
        <f>ABS(Solieusap!G2195)</f>
        <v>2.83257342</v>
      </c>
      <c r="H2195" s="16">
        <f>ABS(Solieusap!H2195)</f>
        <v>0.001279061117</v>
      </c>
      <c r="I2195" s="16">
        <f>ABS(Solieusap!I2195)</f>
        <v>7.809769671</v>
      </c>
      <c r="J2195" s="16">
        <f>ABS(Solieusap!J2195)</f>
        <v>5.247940987</v>
      </c>
      <c r="K2195" s="16">
        <f t="shared" si="1"/>
        <v>21.90891662</v>
      </c>
      <c r="L2195" s="16">
        <f t="shared" si="2"/>
        <v>7.809769671</v>
      </c>
    </row>
    <row r="2196" ht="16.5" customHeight="1">
      <c r="A2196" s="15" t="str">
        <f>Solieusap!A2196</f>
        <v>Cũ</v>
      </c>
      <c r="B2196" s="15">
        <f>Solieusap!B2196</f>
        <v>3.5</v>
      </c>
      <c r="C2196" s="15" t="str">
        <f>Solieusap!C2196</f>
        <v>COMB3</v>
      </c>
      <c r="D2196" s="15" t="str">
        <f>Solieusap!D2196</f>
        <v>Combination</v>
      </c>
      <c r="E2196" s="16">
        <f>ABS(Solieusap!E2196)</f>
        <v>21.92577299</v>
      </c>
      <c r="F2196" s="16">
        <f>ABS(Solieusap!F2196)</f>
        <v>2.101781342</v>
      </c>
      <c r="G2196" s="16">
        <f>ABS(Solieusap!G2196)</f>
        <v>2.834837835</v>
      </c>
      <c r="H2196" s="16">
        <f>ABS(Solieusap!H2196)</f>
        <v>0.001280116221</v>
      </c>
      <c r="I2196" s="16">
        <f>ABS(Solieusap!I2196)</f>
        <v>7.816564463</v>
      </c>
      <c r="J2196" s="16">
        <f>ABS(Solieusap!J2196)</f>
        <v>5.252488039</v>
      </c>
      <c r="K2196" s="16">
        <f t="shared" si="1"/>
        <v>21.92577299</v>
      </c>
      <c r="L2196" s="16">
        <f t="shared" si="2"/>
        <v>7.816564463</v>
      </c>
    </row>
    <row r="2197" ht="16.5" customHeight="1">
      <c r="A2197" s="15" t="str">
        <f>Solieusap!A2197</f>
        <v>Cũ</v>
      </c>
      <c r="B2197" s="15">
        <f>Solieusap!B2197</f>
        <v>0</v>
      </c>
      <c r="C2197" s="15" t="str">
        <f>Solieusap!C2197</f>
        <v>COMB4</v>
      </c>
      <c r="D2197" s="15" t="str">
        <f>Solieusap!D2197</f>
        <v>Combination</v>
      </c>
      <c r="E2197" s="16">
        <f>ABS(Solieusap!E2197)</f>
        <v>21.94262935</v>
      </c>
      <c r="F2197" s="16">
        <f>ABS(Solieusap!F2197)</f>
        <v>2.103491861</v>
      </c>
      <c r="G2197" s="16">
        <f>ABS(Solieusap!G2197)</f>
        <v>2.837102251</v>
      </c>
      <c r="H2197" s="16">
        <f>ABS(Solieusap!H2197)</f>
        <v>0.001281171325</v>
      </c>
      <c r="I2197" s="16">
        <f>ABS(Solieusap!I2197)</f>
        <v>7.823359255</v>
      </c>
      <c r="J2197" s="16">
        <f>ABS(Solieusap!J2197)</f>
        <v>5.257035091</v>
      </c>
      <c r="K2197" s="16">
        <f t="shared" si="1"/>
        <v>21.94262935</v>
      </c>
      <c r="L2197" s="16">
        <f t="shared" si="2"/>
        <v>7.823359255</v>
      </c>
    </row>
    <row r="2198" ht="16.5" customHeight="1">
      <c r="A2198" s="15" t="str">
        <f>Solieusap!A2198</f>
        <v>Cũ</v>
      </c>
      <c r="B2198" s="15">
        <f>Solieusap!B2198</f>
        <v>1.75</v>
      </c>
      <c r="C2198" s="15" t="str">
        <f>Solieusap!C2198</f>
        <v>COMB4</v>
      </c>
      <c r="D2198" s="15" t="str">
        <f>Solieusap!D2198</f>
        <v>Combination</v>
      </c>
      <c r="E2198" s="16">
        <f>ABS(Solieusap!E2198)</f>
        <v>21.95948571</v>
      </c>
      <c r="F2198" s="16">
        <f>ABS(Solieusap!F2198)</f>
        <v>2.105202381</v>
      </c>
      <c r="G2198" s="16">
        <f>ABS(Solieusap!G2198)</f>
        <v>2.839366667</v>
      </c>
      <c r="H2198" s="16">
        <f>ABS(Solieusap!H2198)</f>
        <v>0.001282226429</v>
      </c>
      <c r="I2198" s="16">
        <f>ABS(Solieusap!I2198)</f>
        <v>7.830154048</v>
      </c>
      <c r="J2198" s="16">
        <f>ABS(Solieusap!J2198)</f>
        <v>5.261582143</v>
      </c>
      <c r="K2198" s="16">
        <f t="shared" si="1"/>
        <v>21.95948571</v>
      </c>
      <c r="L2198" s="16">
        <f t="shared" si="2"/>
        <v>7.830154048</v>
      </c>
    </row>
    <row r="2199" ht="16.5" customHeight="1">
      <c r="A2199" s="15" t="str">
        <f>Solieusap!A2199</f>
        <v>Cũ</v>
      </c>
      <c r="B2199" s="15">
        <f>Solieusap!B2199</f>
        <v>3.5</v>
      </c>
      <c r="C2199" s="15" t="str">
        <f>Solieusap!C2199</f>
        <v>COMB4</v>
      </c>
      <c r="D2199" s="15" t="str">
        <f>Solieusap!D2199</f>
        <v>Combination</v>
      </c>
      <c r="E2199" s="16">
        <f>ABS(Solieusap!E2199)</f>
        <v>21.97634208</v>
      </c>
      <c r="F2199" s="16">
        <f>ABS(Solieusap!F2199)</f>
        <v>2.1069129</v>
      </c>
      <c r="G2199" s="16">
        <f>ABS(Solieusap!G2199)</f>
        <v>2.841631082</v>
      </c>
      <c r="H2199" s="16">
        <f>ABS(Solieusap!H2199)</f>
        <v>0.001283281532</v>
      </c>
      <c r="I2199" s="16">
        <f>ABS(Solieusap!I2199)</f>
        <v>7.83694884</v>
      </c>
      <c r="J2199" s="16">
        <f>ABS(Solieusap!J2199)</f>
        <v>5.266129195</v>
      </c>
      <c r="K2199" s="16">
        <f t="shared" si="1"/>
        <v>21.97634208</v>
      </c>
      <c r="L2199" s="16">
        <f t="shared" si="2"/>
        <v>7.83694884</v>
      </c>
    </row>
    <row r="2200" ht="16.5" customHeight="1">
      <c r="A2200" s="15" t="str">
        <f>Solieusap!A2200</f>
        <v>Cũ</v>
      </c>
      <c r="B2200" s="15">
        <f>Solieusap!B2200</f>
        <v>0</v>
      </c>
      <c r="C2200" s="15" t="str">
        <f>Solieusap!C2200</f>
        <v>COMB5</v>
      </c>
      <c r="D2200" s="15" t="str">
        <f>Solieusap!D2200</f>
        <v>Combination</v>
      </c>
      <c r="E2200" s="16">
        <f>ABS(Solieusap!E2200)</f>
        <v>21.99319844</v>
      </c>
      <c r="F2200" s="16">
        <f>ABS(Solieusap!F2200)</f>
        <v>2.10862342</v>
      </c>
      <c r="G2200" s="16">
        <f>ABS(Solieusap!G2200)</f>
        <v>2.843895498</v>
      </c>
      <c r="H2200" s="16">
        <f>ABS(Solieusap!H2200)</f>
        <v>0.001284336636</v>
      </c>
      <c r="I2200" s="16">
        <f>ABS(Solieusap!I2200)</f>
        <v>7.843743632</v>
      </c>
      <c r="J2200" s="16">
        <f>ABS(Solieusap!J2200)</f>
        <v>5.270676247</v>
      </c>
      <c r="K2200" s="16">
        <f t="shared" si="1"/>
        <v>21.99319844</v>
      </c>
      <c r="L2200" s="16">
        <f t="shared" si="2"/>
        <v>7.843743632</v>
      </c>
    </row>
    <row r="2201" ht="16.5" customHeight="1">
      <c r="A2201" s="15" t="str">
        <f>Solieusap!A2201</f>
        <v>Cũ</v>
      </c>
      <c r="B2201" s="15">
        <f>Solieusap!B2201</f>
        <v>1.75</v>
      </c>
      <c r="C2201" s="15" t="str">
        <f>Solieusap!C2201</f>
        <v>COMB5</v>
      </c>
      <c r="D2201" s="15" t="str">
        <f>Solieusap!D2201</f>
        <v>Combination</v>
      </c>
      <c r="E2201" s="16">
        <f>ABS(Solieusap!E2201)</f>
        <v>22.01005481</v>
      </c>
      <c r="F2201" s="16">
        <f>ABS(Solieusap!F2201)</f>
        <v>2.110333939</v>
      </c>
      <c r="G2201" s="16">
        <f>ABS(Solieusap!G2201)</f>
        <v>2.846159913</v>
      </c>
      <c r="H2201" s="16">
        <f>ABS(Solieusap!H2201)</f>
        <v>0.00128539174</v>
      </c>
      <c r="I2201" s="16">
        <f>ABS(Solieusap!I2201)</f>
        <v>7.850538424</v>
      </c>
      <c r="J2201" s="16">
        <f>ABS(Solieusap!J2201)</f>
        <v>5.275223299</v>
      </c>
      <c r="K2201" s="16">
        <f t="shared" si="1"/>
        <v>22.01005481</v>
      </c>
      <c r="L2201" s="16">
        <f t="shared" si="2"/>
        <v>7.850538424</v>
      </c>
    </row>
    <row r="2202" ht="16.5" customHeight="1">
      <c r="A2202" s="15" t="str">
        <f>Solieusap!A2202</f>
        <v>Cũ</v>
      </c>
      <c r="B2202" s="15">
        <f>Solieusap!B2202</f>
        <v>3.5</v>
      </c>
      <c r="C2202" s="15" t="str">
        <f>Solieusap!C2202</f>
        <v>COMB5</v>
      </c>
      <c r="D2202" s="15" t="str">
        <f>Solieusap!D2202</f>
        <v>Combination</v>
      </c>
      <c r="E2202" s="16">
        <f>ABS(Solieusap!E2202)</f>
        <v>22.02691117</v>
      </c>
      <c r="F2202" s="16">
        <f>ABS(Solieusap!F2202)</f>
        <v>2.112044459</v>
      </c>
      <c r="G2202" s="16">
        <f>ABS(Solieusap!G2202)</f>
        <v>2.848424329</v>
      </c>
      <c r="H2202" s="16">
        <f>ABS(Solieusap!H2202)</f>
        <v>0.001286446844</v>
      </c>
      <c r="I2202" s="16">
        <f>ABS(Solieusap!I2202)</f>
        <v>7.857333216</v>
      </c>
      <c r="J2202" s="16">
        <f>ABS(Solieusap!J2202)</f>
        <v>5.279770351</v>
      </c>
      <c r="K2202" s="16">
        <f t="shared" si="1"/>
        <v>22.02691117</v>
      </c>
      <c r="L2202" s="16">
        <f t="shared" si="2"/>
        <v>7.857333216</v>
      </c>
    </row>
    <row r="2203" ht="16.5" customHeight="1">
      <c r="A2203" s="15" t="str">
        <f>Solieusap!A2203</f>
        <v>Cũ</v>
      </c>
      <c r="B2203" s="15">
        <f>Solieusap!B2203</f>
        <v>0</v>
      </c>
      <c r="C2203" s="15" t="str">
        <f>Solieusap!C2203</f>
        <v>COMB6</v>
      </c>
      <c r="D2203" s="15" t="str">
        <f>Solieusap!D2203</f>
        <v>Combination</v>
      </c>
      <c r="E2203" s="16">
        <f>ABS(Solieusap!E2203)</f>
        <v>22.04376753</v>
      </c>
      <c r="F2203" s="16">
        <f>ABS(Solieusap!F2203)</f>
        <v>2.113754978</v>
      </c>
      <c r="G2203" s="16">
        <f>ABS(Solieusap!G2203)</f>
        <v>2.850688745</v>
      </c>
      <c r="H2203" s="16">
        <f>ABS(Solieusap!H2203)</f>
        <v>0.001287501948</v>
      </c>
      <c r="I2203" s="16">
        <f>ABS(Solieusap!I2203)</f>
        <v>7.864128009</v>
      </c>
      <c r="J2203" s="16">
        <f>ABS(Solieusap!J2203)</f>
        <v>5.284317403</v>
      </c>
      <c r="K2203" s="16">
        <f t="shared" si="1"/>
        <v>22.04376753</v>
      </c>
      <c r="L2203" s="16">
        <f t="shared" si="2"/>
        <v>7.864128009</v>
      </c>
    </row>
    <row r="2204" ht="16.5" customHeight="1">
      <c r="A2204" s="15" t="str">
        <f>Solieusap!A2204</f>
        <v>Cũ</v>
      </c>
      <c r="B2204" s="15">
        <f>Solieusap!B2204</f>
        <v>1.75</v>
      </c>
      <c r="C2204" s="15" t="str">
        <f>Solieusap!C2204</f>
        <v>COMB6</v>
      </c>
      <c r="D2204" s="15" t="str">
        <f>Solieusap!D2204</f>
        <v>Combination</v>
      </c>
      <c r="E2204" s="16">
        <f>ABS(Solieusap!E2204)</f>
        <v>22.0606239</v>
      </c>
      <c r="F2204" s="16">
        <f>ABS(Solieusap!F2204)</f>
        <v>2.115465498</v>
      </c>
      <c r="G2204" s="16">
        <f>ABS(Solieusap!G2204)</f>
        <v>2.85295316</v>
      </c>
      <c r="H2204" s="16">
        <f>ABS(Solieusap!H2204)</f>
        <v>0.001288557052</v>
      </c>
      <c r="I2204" s="16">
        <f>ABS(Solieusap!I2204)</f>
        <v>7.870922801</v>
      </c>
      <c r="J2204" s="16">
        <f>ABS(Solieusap!J2204)</f>
        <v>5.288864455</v>
      </c>
      <c r="K2204" s="16">
        <f t="shared" si="1"/>
        <v>22.0606239</v>
      </c>
      <c r="L2204" s="16">
        <f t="shared" si="2"/>
        <v>7.870922801</v>
      </c>
    </row>
    <row r="2205" ht="16.5" customHeight="1">
      <c r="A2205" s="15" t="str">
        <f>Solieusap!A2205</f>
        <v>Cũ</v>
      </c>
      <c r="B2205" s="15">
        <f>Solieusap!B2205</f>
        <v>3.5</v>
      </c>
      <c r="C2205" s="15" t="str">
        <f>Solieusap!C2205</f>
        <v>COMB6</v>
      </c>
      <c r="D2205" s="15" t="str">
        <f>Solieusap!D2205</f>
        <v>Combination</v>
      </c>
      <c r="E2205" s="16">
        <f>ABS(Solieusap!E2205)</f>
        <v>22.07748026</v>
      </c>
      <c r="F2205" s="16">
        <f>ABS(Solieusap!F2205)</f>
        <v>2.117176017</v>
      </c>
      <c r="G2205" s="16">
        <f>ABS(Solieusap!G2205)</f>
        <v>2.855217576</v>
      </c>
      <c r="H2205" s="16">
        <f>ABS(Solieusap!H2205)</f>
        <v>0.001289612156</v>
      </c>
      <c r="I2205" s="16">
        <f>ABS(Solieusap!I2205)</f>
        <v>7.877717593</v>
      </c>
      <c r="J2205" s="16">
        <f>ABS(Solieusap!J2205)</f>
        <v>5.293411506</v>
      </c>
      <c r="K2205" s="16">
        <f t="shared" si="1"/>
        <v>22.07748026</v>
      </c>
      <c r="L2205" s="16">
        <f t="shared" si="2"/>
        <v>7.877717593</v>
      </c>
    </row>
    <row r="2206" ht="16.5" customHeight="1">
      <c r="A2206" s="15" t="str">
        <f>Solieusap!A2206</f>
        <v>Cũ</v>
      </c>
      <c r="B2206" s="15">
        <f>Solieusap!B2206</f>
        <v>0</v>
      </c>
      <c r="C2206" s="15" t="str">
        <f>Solieusap!C2206</f>
        <v>COMB7</v>
      </c>
      <c r="D2206" s="15" t="str">
        <f>Solieusap!D2206</f>
        <v>Combination</v>
      </c>
      <c r="E2206" s="16">
        <f>ABS(Solieusap!E2206)</f>
        <v>22.09433662</v>
      </c>
      <c r="F2206" s="16">
        <f>ABS(Solieusap!F2206)</f>
        <v>2.118886537</v>
      </c>
      <c r="G2206" s="16">
        <f>ABS(Solieusap!G2206)</f>
        <v>2.857481991</v>
      </c>
      <c r="H2206" s="16">
        <f>ABS(Solieusap!H2206)</f>
        <v>0.00129066726</v>
      </c>
      <c r="I2206" s="16">
        <f>ABS(Solieusap!I2206)</f>
        <v>7.884512385</v>
      </c>
      <c r="J2206" s="16">
        <f>ABS(Solieusap!J2206)</f>
        <v>5.297958558</v>
      </c>
      <c r="K2206" s="16">
        <f t="shared" si="1"/>
        <v>22.09433662</v>
      </c>
      <c r="L2206" s="16">
        <f t="shared" si="2"/>
        <v>7.884512385</v>
      </c>
    </row>
    <row r="2207" ht="16.5" customHeight="1">
      <c r="A2207" s="15" t="str">
        <f>Solieusap!A2207</f>
        <v>Cũ</v>
      </c>
      <c r="B2207" s="15">
        <f>Solieusap!B2207</f>
        <v>1.75</v>
      </c>
      <c r="C2207" s="15" t="str">
        <f>Solieusap!C2207</f>
        <v>COMB7</v>
      </c>
      <c r="D2207" s="15" t="str">
        <f>Solieusap!D2207</f>
        <v>Combination</v>
      </c>
      <c r="E2207" s="16">
        <f>ABS(Solieusap!E2207)</f>
        <v>22.11119299</v>
      </c>
      <c r="F2207" s="16">
        <f>ABS(Solieusap!F2207)</f>
        <v>2.120597056</v>
      </c>
      <c r="G2207" s="16">
        <f>ABS(Solieusap!G2207)</f>
        <v>2.859746407</v>
      </c>
      <c r="H2207" s="16">
        <f>ABS(Solieusap!H2207)</f>
        <v>0.001291722364</v>
      </c>
      <c r="I2207" s="16">
        <f>ABS(Solieusap!I2207)</f>
        <v>7.891307177</v>
      </c>
      <c r="J2207" s="16">
        <f>ABS(Solieusap!J2207)</f>
        <v>5.30250561</v>
      </c>
      <c r="K2207" s="16">
        <f t="shared" si="1"/>
        <v>22.11119299</v>
      </c>
      <c r="L2207" s="16">
        <f t="shared" si="2"/>
        <v>7.891307177</v>
      </c>
    </row>
    <row r="2208" ht="16.5" customHeight="1">
      <c r="A2208" s="15" t="str">
        <f>Solieusap!A2208</f>
        <v>Cũ</v>
      </c>
      <c r="B2208" s="15">
        <f>Solieusap!B2208</f>
        <v>3.5</v>
      </c>
      <c r="C2208" s="15" t="str">
        <f>Solieusap!C2208</f>
        <v>COMB7</v>
      </c>
      <c r="D2208" s="15" t="str">
        <f>Solieusap!D2208</f>
        <v>Combination</v>
      </c>
      <c r="E2208" s="16">
        <f>ABS(Solieusap!E2208)</f>
        <v>22.12804935</v>
      </c>
      <c r="F2208" s="16">
        <f>ABS(Solieusap!F2208)</f>
        <v>2.122307576</v>
      </c>
      <c r="G2208" s="16">
        <f>ABS(Solieusap!G2208)</f>
        <v>2.862010823</v>
      </c>
      <c r="H2208" s="16">
        <f>ABS(Solieusap!H2208)</f>
        <v>0.001292777468</v>
      </c>
      <c r="I2208" s="16">
        <f>ABS(Solieusap!I2208)</f>
        <v>7.89810197</v>
      </c>
      <c r="J2208" s="16">
        <f>ABS(Solieusap!J2208)</f>
        <v>5.307052662</v>
      </c>
      <c r="K2208" s="16">
        <f t="shared" si="1"/>
        <v>22.12804935</v>
      </c>
      <c r="L2208" s="16">
        <f t="shared" si="2"/>
        <v>7.89810197</v>
      </c>
    </row>
    <row r="2209" ht="16.5" customHeight="1">
      <c r="A2209" s="15" t="str">
        <f>Solieusap!A2209</f>
        <v>Cũ</v>
      </c>
      <c r="B2209" s="15">
        <f>Solieusap!B2209</f>
        <v>0</v>
      </c>
      <c r="C2209" s="15" t="str">
        <f>Solieusap!C2209</f>
        <v>COMB1</v>
      </c>
      <c r="D2209" s="15" t="str">
        <f>Solieusap!D2209</f>
        <v>Combination</v>
      </c>
      <c r="E2209" s="16">
        <f>ABS(Solieusap!E2209)</f>
        <v>22.14490571</v>
      </c>
      <c r="F2209" s="16">
        <f>ABS(Solieusap!F2209)</f>
        <v>2.124018095</v>
      </c>
      <c r="G2209" s="16">
        <f>ABS(Solieusap!G2209)</f>
        <v>2.864275238</v>
      </c>
      <c r="H2209" s="16">
        <f>ABS(Solieusap!H2209)</f>
        <v>0.001293832571</v>
      </c>
      <c r="I2209" s="16">
        <f>ABS(Solieusap!I2209)</f>
        <v>7.904896762</v>
      </c>
      <c r="J2209" s="16">
        <f>ABS(Solieusap!J2209)</f>
        <v>5.311599714</v>
      </c>
      <c r="K2209" s="16">
        <f t="shared" si="1"/>
        <v>22.14490571</v>
      </c>
      <c r="L2209" s="16">
        <f t="shared" si="2"/>
        <v>7.904896762</v>
      </c>
    </row>
    <row r="2210" ht="16.5" customHeight="1">
      <c r="A2210" s="15" t="str">
        <f>Solieusap!A2210</f>
        <v>Cũ</v>
      </c>
      <c r="B2210" s="15">
        <f>Solieusap!B2210</f>
        <v>1.75</v>
      </c>
      <c r="C2210" s="15" t="str">
        <f>Solieusap!C2210</f>
        <v>COMB1</v>
      </c>
      <c r="D2210" s="15" t="str">
        <f>Solieusap!D2210</f>
        <v>Combination</v>
      </c>
      <c r="E2210" s="16">
        <f>ABS(Solieusap!E2210)</f>
        <v>22.16176208</v>
      </c>
      <c r="F2210" s="16">
        <f>ABS(Solieusap!F2210)</f>
        <v>2.125728615</v>
      </c>
      <c r="G2210" s="16">
        <f>ABS(Solieusap!G2210)</f>
        <v>2.866539654</v>
      </c>
      <c r="H2210" s="16">
        <f>ABS(Solieusap!H2210)</f>
        <v>0.001294887675</v>
      </c>
      <c r="I2210" s="16">
        <f>ABS(Solieusap!I2210)</f>
        <v>7.911691554</v>
      </c>
      <c r="J2210" s="16">
        <f>ABS(Solieusap!J2210)</f>
        <v>5.316146766</v>
      </c>
      <c r="K2210" s="16">
        <f t="shared" si="1"/>
        <v>22.16176208</v>
      </c>
      <c r="L2210" s="16">
        <f t="shared" si="2"/>
        <v>7.911691554</v>
      </c>
    </row>
    <row r="2211" ht="16.5" customHeight="1">
      <c r="A2211" s="15" t="str">
        <f>Solieusap!A2211</f>
        <v>Cũ</v>
      </c>
      <c r="B2211" s="15">
        <f>Solieusap!B2211</f>
        <v>3.5</v>
      </c>
      <c r="C2211" s="15" t="str">
        <f>Solieusap!C2211</f>
        <v>COMB1</v>
      </c>
      <c r="D2211" s="15" t="str">
        <f>Solieusap!D2211</f>
        <v>Combination</v>
      </c>
      <c r="E2211" s="16">
        <f>ABS(Solieusap!E2211)</f>
        <v>22.17861844</v>
      </c>
      <c r="F2211" s="16">
        <f>ABS(Solieusap!F2211)</f>
        <v>2.127439134</v>
      </c>
      <c r="G2211" s="16">
        <f>ABS(Solieusap!G2211)</f>
        <v>2.868804069</v>
      </c>
      <c r="H2211" s="16">
        <f>ABS(Solieusap!H2211)</f>
        <v>0.001295942779</v>
      </c>
      <c r="I2211" s="16">
        <f>ABS(Solieusap!I2211)</f>
        <v>7.918486346</v>
      </c>
      <c r="J2211" s="16">
        <f>ABS(Solieusap!J2211)</f>
        <v>5.320693818</v>
      </c>
      <c r="K2211" s="16">
        <f t="shared" si="1"/>
        <v>22.17861844</v>
      </c>
      <c r="L2211" s="16">
        <f t="shared" si="2"/>
        <v>7.918486346</v>
      </c>
    </row>
    <row r="2212" ht="16.5" customHeight="1">
      <c r="A2212" s="15" t="str">
        <f>Solieusap!A2212</f>
        <v>Cũ</v>
      </c>
      <c r="B2212" s="15">
        <f>Solieusap!B2212</f>
        <v>0</v>
      </c>
      <c r="C2212" s="15" t="str">
        <f>Solieusap!C2212</f>
        <v>COMB2</v>
      </c>
      <c r="D2212" s="15" t="str">
        <f>Solieusap!D2212</f>
        <v>Combination</v>
      </c>
      <c r="E2212" s="16">
        <f>ABS(Solieusap!E2212)</f>
        <v>22.19547481</v>
      </c>
      <c r="F2212" s="16">
        <f>ABS(Solieusap!F2212)</f>
        <v>2.129149654</v>
      </c>
      <c r="G2212" s="16">
        <f>ABS(Solieusap!G2212)</f>
        <v>2.871068485</v>
      </c>
      <c r="H2212" s="16">
        <f>ABS(Solieusap!H2212)</f>
        <v>0.001296997883</v>
      </c>
      <c r="I2212" s="16">
        <f>ABS(Solieusap!I2212)</f>
        <v>7.925281139</v>
      </c>
      <c r="J2212" s="16">
        <f>ABS(Solieusap!J2212)</f>
        <v>5.32524087</v>
      </c>
      <c r="K2212" s="16">
        <f t="shared" si="1"/>
        <v>22.19547481</v>
      </c>
      <c r="L2212" s="16">
        <f t="shared" si="2"/>
        <v>7.925281139</v>
      </c>
    </row>
    <row r="2213" ht="16.5" customHeight="1">
      <c r="A2213" s="15" t="str">
        <f>Solieusap!A2213</f>
        <v>Cũ</v>
      </c>
      <c r="B2213" s="15">
        <f>Solieusap!B2213</f>
        <v>1.75</v>
      </c>
      <c r="C2213" s="15" t="str">
        <f>Solieusap!C2213</f>
        <v>COMB2</v>
      </c>
      <c r="D2213" s="15" t="str">
        <f>Solieusap!D2213</f>
        <v>Combination</v>
      </c>
      <c r="E2213" s="16">
        <f>ABS(Solieusap!E2213)</f>
        <v>22.21233117</v>
      </c>
      <c r="F2213" s="16">
        <f>ABS(Solieusap!F2213)</f>
        <v>2.130860173</v>
      </c>
      <c r="G2213" s="16">
        <f>ABS(Solieusap!G2213)</f>
        <v>2.8733329</v>
      </c>
      <c r="H2213" s="16">
        <f>ABS(Solieusap!H2213)</f>
        <v>0.001298052987</v>
      </c>
      <c r="I2213" s="16">
        <f>ABS(Solieusap!I2213)</f>
        <v>7.932075931</v>
      </c>
      <c r="J2213" s="16">
        <f>ABS(Solieusap!J2213)</f>
        <v>5.329787922</v>
      </c>
      <c r="K2213" s="16">
        <f t="shared" si="1"/>
        <v>22.21233117</v>
      </c>
      <c r="L2213" s="16">
        <f t="shared" si="2"/>
        <v>7.932075931</v>
      </c>
    </row>
    <row r="2214" ht="16.5" customHeight="1">
      <c r="A2214" s="15" t="str">
        <f>Solieusap!A2214</f>
        <v>Cũ</v>
      </c>
      <c r="B2214" s="15">
        <f>Solieusap!B2214</f>
        <v>3.5</v>
      </c>
      <c r="C2214" s="15" t="str">
        <f>Solieusap!C2214</f>
        <v>COMB2</v>
      </c>
      <c r="D2214" s="15" t="str">
        <f>Solieusap!D2214</f>
        <v>Combination</v>
      </c>
      <c r="E2214" s="16">
        <f>ABS(Solieusap!E2214)</f>
        <v>22.22918753</v>
      </c>
      <c r="F2214" s="16">
        <f>ABS(Solieusap!F2214)</f>
        <v>2.132570693</v>
      </c>
      <c r="G2214" s="16">
        <f>ABS(Solieusap!G2214)</f>
        <v>2.875597316</v>
      </c>
      <c r="H2214" s="16">
        <f>ABS(Solieusap!H2214)</f>
        <v>0.001299108091</v>
      </c>
      <c r="I2214" s="16">
        <f>ABS(Solieusap!I2214)</f>
        <v>7.938870723</v>
      </c>
      <c r="J2214" s="16">
        <f>ABS(Solieusap!J2214)</f>
        <v>5.334334974</v>
      </c>
      <c r="K2214" s="16">
        <f t="shared" si="1"/>
        <v>22.22918753</v>
      </c>
      <c r="L2214" s="16">
        <f t="shared" si="2"/>
        <v>7.938870723</v>
      </c>
    </row>
    <row r="2215" ht="16.5" customHeight="1">
      <c r="A2215" s="15" t="str">
        <f>Solieusap!A2215</f>
        <v>Cũ</v>
      </c>
      <c r="B2215" s="15">
        <f>Solieusap!B2215</f>
        <v>0</v>
      </c>
      <c r="C2215" s="15" t="str">
        <f>Solieusap!C2215</f>
        <v>COMB3</v>
      </c>
      <c r="D2215" s="15" t="str">
        <f>Solieusap!D2215</f>
        <v>Combination</v>
      </c>
      <c r="E2215" s="16">
        <f>ABS(Solieusap!E2215)</f>
        <v>22.2460439</v>
      </c>
      <c r="F2215" s="16">
        <f>ABS(Solieusap!F2215)</f>
        <v>2.134281212</v>
      </c>
      <c r="G2215" s="16">
        <f>ABS(Solieusap!G2215)</f>
        <v>2.877861732</v>
      </c>
      <c r="H2215" s="16">
        <f>ABS(Solieusap!H2215)</f>
        <v>0.001300163195</v>
      </c>
      <c r="I2215" s="16">
        <f>ABS(Solieusap!I2215)</f>
        <v>7.945665515</v>
      </c>
      <c r="J2215" s="16">
        <f>ABS(Solieusap!J2215)</f>
        <v>5.338882026</v>
      </c>
      <c r="K2215" s="16">
        <f t="shared" si="1"/>
        <v>22.2460439</v>
      </c>
      <c r="L2215" s="16">
        <f t="shared" si="2"/>
        <v>7.945665515</v>
      </c>
    </row>
    <row r="2216" ht="16.5" customHeight="1">
      <c r="A2216" s="15" t="str">
        <f>Solieusap!A2216</f>
        <v>Cũ</v>
      </c>
      <c r="B2216" s="15">
        <f>Solieusap!B2216</f>
        <v>1.75</v>
      </c>
      <c r="C2216" s="15" t="str">
        <f>Solieusap!C2216</f>
        <v>COMB3</v>
      </c>
      <c r="D2216" s="15" t="str">
        <f>Solieusap!D2216</f>
        <v>Combination</v>
      </c>
      <c r="E2216" s="16">
        <f>ABS(Solieusap!E2216)</f>
        <v>22.26290026</v>
      </c>
      <c r="F2216" s="16">
        <f>ABS(Solieusap!F2216)</f>
        <v>2.135991732</v>
      </c>
      <c r="G2216" s="16">
        <f>ABS(Solieusap!G2216)</f>
        <v>2.880126147</v>
      </c>
      <c r="H2216" s="16">
        <f>ABS(Solieusap!H2216)</f>
        <v>0.001301218299</v>
      </c>
      <c r="I2216" s="16">
        <f>ABS(Solieusap!I2216)</f>
        <v>7.952460307</v>
      </c>
      <c r="J2216" s="16">
        <f>ABS(Solieusap!J2216)</f>
        <v>5.343429078</v>
      </c>
      <c r="K2216" s="16">
        <f t="shared" si="1"/>
        <v>22.26290026</v>
      </c>
      <c r="L2216" s="16">
        <f t="shared" si="2"/>
        <v>7.952460307</v>
      </c>
    </row>
    <row r="2217" ht="16.5" customHeight="1">
      <c r="A2217" s="15" t="str">
        <f>Solieusap!A2217</f>
        <v>Cũ</v>
      </c>
      <c r="B2217" s="15">
        <f>Solieusap!B2217</f>
        <v>3.5</v>
      </c>
      <c r="C2217" s="15" t="str">
        <f>Solieusap!C2217</f>
        <v>COMB3</v>
      </c>
      <c r="D2217" s="15" t="str">
        <f>Solieusap!D2217</f>
        <v>Combination</v>
      </c>
      <c r="E2217" s="16">
        <f>ABS(Solieusap!E2217)</f>
        <v>22.27975662</v>
      </c>
      <c r="F2217" s="16">
        <f>ABS(Solieusap!F2217)</f>
        <v>2.137702251</v>
      </c>
      <c r="G2217" s="16">
        <f>ABS(Solieusap!G2217)</f>
        <v>2.882390563</v>
      </c>
      <c r="H2217" s="16">
        <f>ABS(Solieusap!H2217)</f>
        <v>0.001302273403</v>
      </c>
      <c r="I2217" s="16">
        <f>ABS(Solieusap!I2217)</f>
        <v>7.9592551</v>
      </c>
      <c r="J2217" s="16">
        <f>ABS(Solieusap!J2217)</f>
        <v>5.34797613</v>
      </c>
      <c r="K2217" s="16">
        <f t="shared" si="1"/>
        <v>22.27975662</v>
      </c>
      <c r="L2217" s="16">
        <f t="shared" si="2"/>
        <v>7.9592551</v>
      </c>
    </row>
    <row r="2218" ht="16.5" customHeight="1">
      <c r="A2218" s="15" t="str">
        <f>Solieusap!A2218</f>
        <v>Cũ</v>
      </c>
      <c r="B2218" s="15">
        <f>Solieusap!B2218</f>
        <v>0</v>
      </c>
      <c r="C2218" s="15" t="str">
        <f>Solieusap!C2218</f>
        <v>COMB4</v>
      </c>
      <c r="D2218" s="15" t="str">
        <f>Solieusap!D2218</f>
        <v>Combination</v>
      </c>
      <c r="E2218" s="16">
        <f>ABS(Solieusap!E2218)</f>
        <v>22.29661299</v>
      </c>
      <c r="F2218" s="16">
        <f>ABS(Solieusap!F2218)</f>
        <v>2.139412771</v>
      </c>
      <c r="G2218" s="16">
        <f>ABS(Solieusap!G2218)</f>
        <v>2.884654978</v>
      </c>
      <c r="H2218" s="16">
        <f>ABS(Solieusap!H2218)</f>
        <v>0.001303328506</v>
      </c>
      <c r="I2218" s="16">
        <f>ABS(Solieusap!I2218)</f>
        <v>7.966049892</v>
      </c>
      <c r="J2218" s="16">
        <f>ABS(Solieusap!J2218)</f>
        <v>5.352523182</v>
      </c>
      <c r="K2218" s="16">
        <f t="shared" si="1"/>
        <v>22.29661299</v>
      </c>
      <c r="L2218" s="16">
        <f t="shared" si="2"/>
        <v>7.966049892</v>
      </c>
    </row>
    <row r="2219" ht="16.5" customHeight="1">
      <c r="A2219" s="15" t="str">
        <f>Solieusap!A2219</f>
        <v>Cũ</v>
      </c>
      <c r="B2219" s="15">
        <f>Solieusap!B2219</f>
        <v>1.75</v>
      </c>
      <c r="C2219" s="15" t="str">
        <f>Solieusap!C2219</f>
        <v>COMB4</v>
      </c>
      <c r="D2219" s="15" t="str">
        <f>Solieusap!D2219</f>
        <v>Combination</v>
      </c>
      <c r="E2219" s="16">
        <f>ABS(Solieusap!E2219)</f>
        <v>22.31346935</v>
      </c>
      <c r="F2219" s="16">
        <f>ABS(Solieusap!F2219)</f>
        <v>2.14112329</v>
      </c>
      <c r="G2219" s="16">
        <f>ABS(Solieusap!G2219)</f>
        <v>2.886919394</v>
      </c>
      <c r="H2219" s="16">
        <f>ABS(Solieusap!H2219)</f>
        <v>0.00130438361</v>
      </c>
      <c r="I2219" s="16">
        <f>ABS(Solieusap!I2219)</f>
        <v>7.972844684</v>
      </c>
      <c r="J2219" s="16">
        <f>ABS(Solieusap!J2219)</f>
        <v>5.357070234</v>
      </c>
      <c r="K2219" s="16">
        <f t="shared" si="1"/>
        <v>22.31346935</v>
      </c>
      <c r="L2219" s="16">
        <f t="shared" si="2"/>
        <v>7.972844684</v>
      </c>
    </row>
    <row r="2220" ht="16.5" customHeight="1">
      <c r="A2220" s="15" t="str">
        <f>Solieusap!A2220</f>
        <v>Cũ</v>
      </c>
      <c r="B2220" s="15">
        <f>Solieusap!B2220</f>
        <v>3.5</v>
      </c>
      <c r="C2220" s="15" t="str">
        <f>Solieusap!C2220</f>
        <v>COMB4</v>
      </c>
      <c r="D2220" s="15" t="str">
        <f>Solieusap!D2220</f>
        <v>Combination</v>
      </c>
      <c r="E2220" s="16">
        <f>ABS(Solieusap!E2220)</f>
        <v>22.33032571</v>
      </c>
      <c r="F2220" s="16">
        <f>ABS(Solieusap!F2220)</f>
        <v>2.14283381</v>
      </c>
      <c r="G2220" s="16">
        <f>ABS(Solieusap!G2220)</f>
        <v>2.88918381</v>
      </c>
      <c r="H2220" s="16">
        <f>ABS(Solieusap!H2220)</f>
        <v>0.001305438714</v>
      </c>
      <c r="I2220" s="16">
        <f>ABS(Solieusap!I2220)</f>
        <v>7.979639476</v>
      </c>
      <c r="J2220" s="16">
        <f>ABS(Solieusap!J2220)</f>
        <v>5.361617286</v>
      </c>
      <c r="K2220" s="16">
        <f t="shared" si="1"/>
        <v>22.33032571</v>
      </c>
      <c r="L2220" s="16">
        <f t="shared" si="2"/>
        <v>7.979639476</v>
      </c>
    </row>
    <row r="2221" ht="16.5" customHeight="1">
      <c r="A2221" s="15" t="str">
        <f>Solieusap!A2221</f>
        <v>Cũ</v>
      </c>
      <c r="B2221" s="15">
        <f>Solieusap!B2221</f>
        <v>0</v>
      </c>
      <c r="C2221" s="15" t="str">
        <f>Solieusap!C2221</f>
        <v>COMB5</v>
      </c>
      <c r="D2221" s="15" t="str">
        <f>Solieusap!D2221</f>
        <v>Combination</v>
      </c>
      <c r="E2221" s="16">
        <f>ABS(Solieusap!E2221)</f>
        <v>22.34718208</v>
      </c>
      <c r="F2221" s="16">
        <f>ABS(Solieusap!F2221)</f>
        <v>2.144544329</v>
      </c>
      <c r="G2221" s="16">
        <f>ABS(Solieusap!G2221)</f>
        <v>2.891448225</v>
      </c>
      <c r="H2221" s="16">
        <f>ABS(Solieusap!H2221)</f>
        <v>0.001306493818</v>
      </c>
      <c r="I2221" s="16">
        <f>ABS(Solieusap!I2221)</f>
        <v>7.986434268</v>
      </c>
      <c r="J2221" s="16">
        <f>ABS(Solieusap!J2221)</f>
        <v>5.366164338</v>
      </c>
      <c r="K2221" s="16">
        <f t="shared" si="1"/>
        <v>22.34718208</v>
      </c>
      <c r="L2221" s="16">
        <f t="shared" si="2"/>
        <v>7.986434268</v>
      </c>
    </row>
    <row r="2222" ht="16.5" customHeight="1">
      <c r="A2222" s="15" t="str">
        <f>Solieusap!A2222</f>
        <v>Cũ</v>
      </c>
      <c r="B2222" s="15">
        <f>Solieusap!B2222</f>
        <v>1.75</v>
      </c>
      <c r="C2222" s="15" t="str">
        <f>Solieusap!C2222</f>
        <v>COMB5</v>
      </c>
      <c r="D2222" s="15" t="str">
        <f>Solieusap!D2222</f>
        <v>Combination</v>
      </c>
      <c r="E2222" s="16">
        <f>ABS(Solieusap!E2222)</f>
        <v>22.36403844</v>
      </c>
      <c r="F2222" s="16">
        <f>ABS(Solieusap!F2222)</f>
        <v>2.146254848</v>
      </c>
      <c r="G2222" s="16">
        <f>ABS(Solieusap!G2222)</f>
        <v>2.893712641</v>
      </c>
      <c r="H2222" s="16">
        <f>ABS(Solieusap!H2222)</f>
        <v>0.001307548922</v>
      </c>
      <c r="I2222" s="16">
        <f>ABS(Solieusap!I2222)</f>
        <v>7.993229061</v>
      </c>
      <c r="J2222" s="16">
        <f>ABS(Solieusap!J2222)</f>
        <v>5.37071139</v>
      </c>
      <c r="K2222" s="16">
        <f t="shared" si="1"/>
        <v>22.36403844</v>
      </c>
      <c r="L2222" s="16">
        <f t="shared" si="2"/>
        <v>7.993229061</v>
      </c>
    </row>
    <row r="2223" ht="16.5" customHeight="1">
      <c r="A2223" s="15" t="str">
        <f>Solieusap!A2223</f>
        <v>Cũ</v>
      </c>
      <c r="B2223" s="15">
        <f>Solieusap!B2223</f>
        <v>3.5</v>
      </c>
      <c r="C2223" s="15" t="str">
        <f>Solieusap!C2223</f>
        <v>COMB5</v>
      </c>
      <c r="D2223" s="15" t="str">
        <f>Solieusap!D2223</f>
        <v>Combination</v>
      </c>
      <c r="E2223" s="16">
        <f>ABS(Solieusap!E2223)</f>
        <v>22.38089481</v>
      </c>
      <c r="F2223" s="16">
        <f>ABS(Solieusap!F2223)</f>
        <v>2.147965368</v>
      </c>
      <c r="G2223" s="16">
        <f>ABS(Solieusap!G2223)</f>
        <v>2.895977056</v>
      </c>
      <c r="H2223" s="16">
        <f>ABS(Solieusap!H2223)</f>
        <v>0.001308604026</v>
      </c>
      <c r="I2223" s="16">
        <f>ABS(Solieusap!I2223)</f>
        <v>8.000023853</v>
      </c>
      <c r="J2223" s="16">
        <f>ABS(Solieusap!J2223)</f>
        <v>5.375258442</v>
      </c>
      <c r="K2223" s="16">
        <f t="shared" si="1"/>
        <v>22.38089481</v>
      </c>
      <c r="L2223" s="16">
        <f t="shared" si="2"/>
        <v>8.000023853</v>
      </c>
    </row>
    <row r="2224" ht="16.5" customHeight="1">
      <c r="A2224" s="15" t="str">
        <f>Solieusap!A2224</f>
        <v>Cũ</v>
      </c>
      <c r="B2224" s="15">
        <f>Solieusap!B2224</f>
        <v>0</v>
      </c>
      <c r="C2224" s="15" t="str">
        <f>Solieusap!C2224</f>
        <v>COMB6</v>
      </c>
      <c r="D2224" s="15" t="str">
        <f>Solieusap!D2224</f>
        <v>Combination</v>
      </c>
      <c r="E2224" s="16">
        <f>ABS(Solieusap!E2224)</f>
        <v>22.39775117</v>
      </c>
      <c r="F2224" s="16">
        <f>ABS(Solieusap!F2224)</f>
        <v>2.149675887</v>
      </c>
      <c r="G2224" s="16">
        <f>ABS(Solieusap!G2224)</f>
        <v>2.898241472</v>
      </c>
      <c r="H2224" s="16">
        <f>ABS(Solieusap!H2224)</f>
        <v>0.00130965913</v>
      </c>
      <c r="I2224" s="16">
        <f>ABS(Solieusap!I2224)</f>
        <v>8.006818645</v>
      </c>
      <c r="J2224" s="16">
        <f>ABS(Solieusap!J2224)</f>
        <v>5.379805494</v>
      </c>
      <c r="K2224" s="16">
        <f t="shared" si="1"/>
        <v>22.39775117</v>
      </c>
      <c r="L2224" s="16">
        <f t="shared" si="2"/>
        <v>8.006818645</v>
      </c>
    </row>
    <row r="2225" ht="16.5" customHeight="1">
      <c r="A2225" s="15" t="str">
        <f>Solieusap!A2225</f>
        <v>Cũ</v>
      </c>
      <c r="B2225" s="15">
        <f>Solieusap!B2225</f>
        <v>1.75</v>
      </c>
      <c r="C2225" s="15" t="str">
        <f>Solieusap!C2225</f>
        <v>COMB6</v>
      </c>
      <c r="D2225" s="15" t="str">
        <f>Solieusap!D2225</f>
        <v>Combination</v>
      </c>
      <c r="E2225" s="16">
        <f>ABS(Solieusap!E2225)</f>
        <v>22.41460753</v>
      </c>
      <c r="F2225" s="16">
        <f>ABS(Solieusap!F2225)</f>
        <v>2.151386407</v>
      </c>
      <c r="G2225" s="16">
        <f>ABS(Solieusap!G2225)</f>
        <v>2.900505887</v>
      </c>
      <c r="H2225" s="16">
        <f>ABS(Solieusap!H2225)</f>
        <v>0.001310714234</v>
      </c>
      <c r="I2225" s="16">
        <f>ABS(Solieusap!I2225)</f>
        <v>8.013613437</v>
      </c>
      <c r="J2225" s="16">
        <f>ABS(Solieusap!J2225)</f>
        <v>5.384352545</v>
      </c>
      <c r="K2225" s="16">
        <f t="shared" si="1"/>
        <v>22.41460753</v>
      </c>
      <c r="L2225" s="16">
        <f t="shared" si="2"/>
        <v>8.013613437</v>
      </c>
    </row>
    <row r="2226" ht="16.5" customHeight="1">
      <c r="A2226" s="15" t="str">
        <f>Solieusap!A2226</f>
        <v>Cũ</v>
      </c>
      <c r="B2226" s="15">
        <f>Solieusap!B2226</f>
        <v>3.5</v>
      </c>
      <c r="C2226" s="15" t="str">
        <f>Solieusap!C2226</f>
        <v>COMB6</v>
      </c>
      <c r="D2226" s="15" t="str">
        <f>Solieusap!D2226</f>
        <v>Combination</v>
      </c>
      <c r="E2226" s="16">
        <f>ABS(Solieusap!E2226)</f>
        <v>22.4314639</v>
      </c>
      <c r="F2226" s="16">
        <f>ABS(Solieusap!F2226)</f>
        <v>2.153096926</v>
      </c>
      <c r="G2226" s="16">
        <f>ABS(Solieusap!G2226)</f>
        <v>2.902770303</v>
      </c>
      <c r="H2226" s="16">
        <f>ABS(Solieusap!H2226)</f>
        <v>0.001311769338</v>
      </c>
      <c r="I2226" s="16">
        <f>ABS(Solieusap!I2226)</f>
        <v>8.020408229</v>
      </c>
      <c r="J2226" s="16">
        <f>ABS(Solieusap!J2226)</f>
        <v>5.388899597</v>
      </c>
      <c r="K2226" s="16">
        <f t="shared" si="1"/>
        <v>22.4314639</v>
      </c>
      <c r="L2226" s="16">
        <f t="shared" si="2"/>
        <v>8.020408229</v>
      </c>
    </row>
    <row r="2227" ht="16.5" customHeight="1">
      <c r="A2227" s="15" t="str">
        <f>Solieusap!A2227</f>
        <v>Cũ</v>
      </c>
      <c r="B2227" s="15">
        <f>Solieusap!B2227</f>
        <v>0</v>
      </c>
      <c r="C2227" s="15" t="str">
        <f>Solieusap!C2227</f>
        <v>COMB7</v>
      </c>
      <c r="D2227" s="15" t="str">
        <f>Solieusap!D2227</f>
        <v>Combination</v>
      </c>
      <c r="E2227" s="16">
        <f>ABS(Solieusap!E2227)</f>
        <v>22.44832026</v>
      </c>
      <c r="F2227" s="16">
        <f>ABS(Solieusap!F2227)</f>
        <v>2.154807446</v>
      </c>
      <c r="G2227" s="16">
        <f>ABS(Solieusap!G2227)</f>
        <v>2.905034719</v>
      </c>
      <c r="H2227" s="16">
        <f>ABS(Solieusap!H2227)</f>
        <v>0.001312824442</v>
      </c>
      <c r="I2227" s="16">
        <f>ABS(Solieusap!I2227)</f>
        <v>8.027203022</v>
      </c>
      <c r="J2227" s="16">
        <f>ABS(Solieusap!J2227)</f>
        <v>5.393446649</v>
      </c>
      <c r="K2227" s="16">
        <f t="shared" si="1"/>
        <v>22.44832026</v>
      </c>
      <c r="L2227" s="16">
        <f t="shared" si="2"/>
        <v>8.027203022</v>
      </c>
    </row>
    <row r="2228" ht="16.5" customHeight="1">
      <c r="A2228" s="15" t="str">
        <f>Solieusap!A2228</f>
        <v>Cũ</v>
      </c>
      <c r="B2228" s="15">
        <f>Solieusap!B2228</f>
        <v>1.75</v>
      </c>
      <c r="C2228" s="15" t="str">
        <f>Solieusap!C2228</f>
        <v>COMB7</v>
      </c>
      <c r="D2228" s="15" t="str">
        <f>Solieusap!D2228</f>
        <v>Combination</v>
      </c>
      <c r="E2228" s="16">
        <f>ABS(Solieusap!E2228)</f>
        <v>22.46517662</v>
      </c>
      <c r="F2228" s="16">
        <f>ABS(Solieusap!F2228)</f>
        <v>2.156517965</v>
      </c>
      <c r="G2228" s="16">
        <f>ABS(Solieusap!G2228)</f>
        <v>2.907299134</v>
      </c>
      <c r="H2228" s="16">
        <f>ABS(Solieusap!H2228)</f>
        <v>0.001313879545</v>
      </c>
      <c r="I2228" s="16">
        <f>ABS(Solieusap!I2228)</f>
        <v>8.033997814</v>
      </c>
      <c r="J2228" s="16">
        <f>ABS(Solieusap!J2228)</f>
        <v>5.397993701</v>
      </c>
      <c r="K2228" s="16">
        <f t="shared" si="1"/>
        <v>22.46517662</v>
      </c>
      <c r="L2228" s="16">
        <f t="shared" si="2"/>
        <v>8.033997814</v>
      </c>
    </row>
    <row r="2229" ht="16.5" customHeight="1">
      <c r="A2229" s="15" t="str">
        <f>Solieusap!A2229</f>
        <v>Cũ</v>
      </c>
      <c r="B2229" s="15">
        <f>Solieusap!B2229</f>
        <v>3.5</v>
      </c>
      <c r="C2229" s="15" t="str">
        <f>Solieusap!C2229</f>
        <v>COMB7</v>
      </c>
      <c r="D2229" s="15" t="str">
        <f>Solieusap!D2229</f>
        <v>Combination</v>
      </c>
      <c r="E2229" s="16">
        <f>ABS(Solieusap!E2229)</f>
        <v>22.48203299</v>
      </c>
      <c r="F2229" s="16">
        <f>ABS(Solieusap!F2229)</f>
        <v>2.158228485</v>
      </c>
      <c r="G2229" s="16">
        <f>ABS(Solieusap!G2229)</f>
        <v>2.90956355</v>
      </c>
      <c r="H2229" s="16">
        <f>ABS(Solieusap!H2229)</f>
        <v>0.001314934649</v>
      </c>
      <c r="I2229" s="16">
        <f>ABS(Solieusap!I2229)</f>
        <v>8.040792606</v>
      </c>
      <c r="J2229" s="16">
        <f>ABS(Solieusap!J2229)</f>
        <v>5.402540753</v>
      </c>
      <c r="K2229" s="16">
        <f t="shared" si="1"/>
        <v>22.48203299</v>
      </c>
      <c r="L2229" s="16">
        <f t="shared" si="2"/>
        <v>8.040792606</v>
      </c>
    </row>
    <row r="2230" ht="16.5" customHeight="1">
      <c r="A2230" s="15" t="str">
        <f>Solieusap!A2230</f>
        <v>Cũ</v>
      </c>
      <c r="B2230" s="15">
        <f>Solieusap!B2230</f>
        <v>0</v>
      </c>
      <c r="C2230" s="15" t="str">
        <f>Solieusap!C2230</f>
        <v>COMB1</v>
      </c>
      <c r="D2230" s="15" t="str">
        <f>Solieusap!D2230</f>
        <v>Combination</v>
      </c>
      <c r="E2230" s="16">
        <f>ABS(Solieusap!E2230)</f>
        <v>22.49888935</v>
      </c>
      <c r="F2230" s="16">
        <f>ABS(Solieusap!F2230)</f>
        <v>2.159939004</v>
      </c>
      <c r="G2230" s="16">
        <f>ABS(Solieusap!G2230)</f>
        <v>2.911827965</v>
      </c>
      <c r="H2230" s="16">
        <f>ABS(Solieusap!H2230)</f>
        <v>0.001315989753</v>
      </c>
      <c r="I2230" s="16">
        <f>ABS(Solieusap!I2230)</f>
        <v>8.047587398</v>
      </c>
      <c r="J2230" s="16">
        <f>ABS(Solieusap!J2230)</f>
        <v>5.407087805</v>
      </c>
      <c r="K2230" s="16">
        <f t="shared" si="1"/>
        <v>22.49888935</v>
      </c>
      <c r="L2230" s="16">
        <f t="shared" si="2"/>
        <v>8.047587398</v>
      </c>
    </row>
    <row r="2231" ht="16.5" customHeight="1">
      <c r="A2231" s="15" t="str">
        <f>Solieusap!A2231</f>
        <v>Cũ</v>
      </c>
      <c r="B2231" s="15">
        <f>Solieusap!B2231</f>
        <v>1.75</v>
      </c>
      <c r="C2231" s="15" t="str">
        <f>Solieusap!C2231</f>
        <v>COMB1</v>
      </c>
      <c r="D2231" s="15" t="str">
        <f>Solieusap!D2231</f>
        <v>Combination</v>
      </c>
      <c r="E2231" s="16">
        <f>ABS(Solieusap!E2231)</f>
        <v>22.51574571</v>
      </c>
      <c r="F2231" s="16">
        <f>ABS(Solieusap!F2231)</f>
        <v>2.161649524</v>
      </c>
      <c r="G2231" s="16">
        <f>ABS(Solieusap!G2231)</f>
        <v>2.914092381</v>
      </c>
      <c r="H2231" s="16">
        <f>ABS(Solieusap!H2231)</f>
        <v>0.001317044857</v>
      </c>
      <c r="I2231" s="16">
        <f>ABS(Solieusap!I2231)</f>
        <v>8.05438219</v>
      </c>
      <c r="J2231" s="16">
        <f>ABS(Solieusap!J2231)</f>
        <v>5.411634857</v>
      </c>
      <c r="K2231" s="16">
        <f t="shared" si="1"/>
        <v>22.51574571</v>
      </c>
      <c r="L2231" s="16">
        <f t="shared" si="2"/>
        <v>8.05438219</v>
      </c>
    </row>
    <row r="2232" ht="16.5" customHeight="1">
      <c r="A2232" s="15" t="str">
        <f>Solieusap!A2232</f>
        <v>Cũ</v>
      </c>
      <c r="B2232" s="15">
        <f>Solieusap!B2232</f>
        <v>3.5</v>
      </c>
      <c r="C2232" s="15" t="str">
        <f>Solieusap!C2232</f>
        <v>COMB1</v>
      </c>
      <c r="D2232" s="15" t="str">
        <f>Solieusap!D2232</f>
        <v>Combination</v>
      </c>
      <c r="E2232" s="16">
        <f>ABS(Solieusap!E2232)</f>
        <v>22.53260208</v>
      </c>
      <c r="F2232" s="16">
        <f>ABS(Solieusap!F2232)</f>
        <v>2.163360043</v>
      </c>
      <c r="G2232" s="16">
        <f>ABS(Solieusap!G2232)</f>
        <v>2.916356797</v>
      </c>
      <c r="H2232" s="16">
        <f>ABS(Solieusap!H2232)</f>
        <v>0.001318099961</v>
      </c>
      <c r="I2232" s="16">
        <f>ABS(Solieusap!I2232)</f>
        <v>8.061176983</v>
      </c>
      <c r="J2232" s="16">
        <f>ABS(Solieusap!J2232)</f>
        <v>5.416181909</v>
      </c>
      <c r="K2232" s="16">
        <f t="shared" si="1"/>
        <v>22.53260208</v>
      </c>
      <c r="L2232" s="16">
        <f t="shared" si="2"/>
        <v>8.061176983</v>
      </c>
    </row>
    <row r="2233" ht="16.5" customHeight="1">
      <c r="A2233" s="15" t="str">
        <f>Solieusap!A2233</f>
        <v>Cũ</v>
      </c>
      <c r="B2233" s="15">
        <f>Solieusap!B2233</f>
        <v>0</v>
      </c>
      <c r="C2233" s="15" t="str">
        <f>Solieusap!C2233</f>
        <v>COMB2</v>
      </c>
      <c r="D2233" s="15" t="str">
        <f>Solieusap!D2233</f>
        <v>Combination</v>
      </c>
      <c r="E2233" s="16">
        <f>ABS(Solieusap!E2233)</f>
        <v>22.54945844</v>
      </c>
      <c r="F2233" s="16">
        <f>ABS(Solieusap!F2233)</f>
        <v>2.165070563</v>
      </c>
      <c r="G2233" s="16">
        <f>ABS(Solieusap!G2233)</f>
        <v>2.918621212</v>
      </c>
      <c r="H2233" s="16">
        <f>ABS(Solieusap!H2233)</f>
        <v>0.001319155065</v>
      </c>
      <c r="I2233" s="16">
        <f>ABS(Solieusap!I2233)</f>
        <v>8.067971775</v>
      </c>
      <c r="J2233" s="16">
        <f>ABS(Solieusap!J2233)</f>
        <v>5.420728961</v>
      </c>
      <c r="K2233" s="16">
        <f t="shared" si="1"/>
        <v>22.54945844</v>
      </c>
      <c r="L2233" s="16">
        <f t="shared" si="2"/>
        <v>8.067971775</v>
      </c>
    </row>
    <row r="2234" ht="16.5" customHeight="1">
      <c r="A2234" s="15" t="str">
        <f>Solieusap!A2234</f>
        <v>Cũ</v>
      </c>
      <c r="B2234" s="15">
        <f>Solieusap!B2234</f>
        <v>1.75</v>
      </c>
      <c r="C2234" s="15" t="str">
        <f>Solieusap!C2234</f>
        <v>COMB2</v>
      </c>
      <c r="D2234" s="15" t="str">
        <f>Solieusap!D2234</f>
        <v>Combination</v>
      </c>
      <c r="E2234" s="16">
        <f>ABS(Solieusap!E2234)</f>
        <v>22.56631481</v>
      </c>
      <c r="F2234" s="16">
        <f>ABS(Solieusap!F2234)</f>
        <v>2.166781082</v>
      </c>
      <c r="G2234" s="16">
        <f>ABS(Solieusap!G2234)</f>
        <v>2.920885628</v>
      </c>
      <c r="H2234" s="16">
        <f>ABS(Solieusap!H2234)</f>
        <v>0.001320210169</v>
      </c>
      <c r="I2234" s="16">
        <f>ABS(Solieusap!I2234)</f>
        <v>8.074766567</v>
      </c>
      <c r="J2234" s="16">
        <f>ABS(Solieusap!J2234)</f>
        <v>5.425276013</v>
      </c>
      <c r="K2234" s="16">
        <f t="shared" si="1"/>
        <v>22.56631481</v>
      </c>
      <c r="L2234" s="16">
        <f t="shared" si="2"/>
        <v>8.074766567</v>
      </c>
    </row>
    <row r="2235" ht="16.5" customHeight="1">
      <c r="A2235" s="15" t="str">
        <f>Solieusap!A2235</f>
        <v>Cũ</v>
      </c>
      <c r="B2235" s="15">
        <f>Solieusap!B2235</f>
        <v>3.5</v>
      </c>
      <c r="C2235" s="15" t="str">
        <f>Solieusap!C2235</f>
        <v>COMB2</v>
      </c>
      <c r="D2235" s="15" t="str">
        <f>Solieusap!D2235</f>
        <v>Combination</v>
      </c>
      <c r="E2235" s="16">
        <f>ABS(Solieusap!E2235)</f>
        <v>22.58317117</v>
      </c>
      <c r="F2235" s="16">
        <f>ABS(Solieusap!F2235)</f>
        <v>2.168491602</v>
      </c>
      <c r="G2235" s="16">
        <f>ABS(Solieusap!G2235)</f>
        <v>2.923150043</v>
      </c>
      <c r="H2235" s="16">
        <f>ABS(Solieusap!H2235)</f>
        <v>0.001321265273</v>
      </c>
      <c r="I2235" s="16">
        <f>ABS(Solieusap!I2235)</f>
        <v>8.081561359</v>
      </c>
      <c r="J2235" s="16">
        <f>ABS(Solieusap!J2235)</f>
        <v>5.429823065</v>
      </c>
      <c r="K2235" s="16">
        <f t="shared" si="1"/>
        <v>22.58317117</v>
      </c>
      <c r="L2235" s="16">
        <f t="shared" si="2"/>
        <v>8.081561359</v>
      </c>
    </row>
    <row r="2236" ht="16.5" customHeight="1">
      <c r="A2236" s="15" t="str">
        <f>Solieusap!A2236</f>
        <v>Cũ</v>
      </c>
      <c r="B2236" s="15">
        <f>Solieusap!B2236</f>
        <v>0</v>
      </c>
      <c r="C2236" s="15" t="str">
        <f>Solieusap!C2236</f>
        <v>COMB3</v>
      </c>
      <c r="D2236" s="15" t="str">
        <f>Solieusap!D2236</f>
        <v>Combination</v>
      </c>
      <c r="E2236" s="16">
        <f>ABS(Solieusap!E2236)</f>
        <v>22.60002753</v>
      </c>
      <c r="F2236" s="16">
        <f>ABS(Solieusap!F2236)</f>
        <v>2.170202121</v>
      </c>
      <c r="G2236" s="16">
        <f>ABS(Solieusap!G2236)</f>
        <v>2.925414459</v>
      </c>
      <c r="H2236" s="16">
        <f>ABS(Solieusap!H2236)</f>
        <v>0.001322320377</v>
      </c>
      <c r="I2236" s="16">
        <f>ABS(Solieusap!I2236)</f>
        <v>8.088356152</v>
      </c>
      <c r="J2236" s="16">
        <f>ABS(Solieusap!J2236)</f>
        <v>5.434370117</v>
      </c>
      <c r="K2236" s="16">
        <f t="shared" si="1"/>
        <v>22.60002753</v>
      </c>
      <c r="L2236" s="16">
        <f t="shared" si="2"/>
        <v>8.088356152</v>
      </c>
    </row>
    <row r="2237" ht="16.5" customHeight="1">
      <c r="A2237" s="15" t="str">
        <f>Solieusap!A2237</f>
        <v>Cũ</v>
      </c>
      <c r="B2237" s="15">
        <f>Solieusap!B2237</f>
        <v>1.75</v>
      </c>
      <c r="C2237" s="15" t="str">
        <f>Solieusap!C2237</f>
        <v>COMB3</v>
      </c>
      <c r="D2237" s="15" t="str">
        <f>Solieusap!D2237</f>
        <v>Combination</v>
      </c>
      <c r="E2237" s="16">
        <f>ABS(Solieusap!E2237)</f>
        <v>22.6168839</v>
      </c>
      <c r="F2237" s="16">
        <f>ABS(Solieusap!F2237)</f>
        <v>2.171912641</v>
      </c>
      <c r="G2237" s="16">
        <f>ABS(Solieusap!G2237)</f>
        <v>2.927678874</v>
      </c>
      <c r="H2237" s="16">
        <f>ABS(Solieusap!H2237)</f>
        <v>0.001323375481</v>
      </c>
      <c r="I2237" s="16">
        <f>ABS(Solieusap!I2237)</f>
        <v>8.095150944</v>
      </c>
      <c r="J2237" s="16">
        <f>ABS(Solieusap!J2237)</f>
        <v>5.438917169</v>
      </c>
      <c r="K2237" s="16">
        <f t="shared" si="1"/>
        <v>22.6168839</v>
      </c>
      <c r="L2237" s="16">
        <f t="shared" si="2"/>
        <v>8.095150944</v>
      </c>
    </row>
    <row r="2238" ht="16.5" customHeight="1">
      <c r="A2238" s="15" t="str">
        <f>Solieusap!A2238</f>
        <v>Cũ</v>
      </c>
      <c r="B2238" s="15">
        <f>Solieusap!B2238</f>
        <v>3.5</v>
      </c>
      <c r="C2238" s="15" t="str">
        <f>Solieusap!C2238</f>
        <v>COMB3</v>
      </c>
      <c r="D2238" s="15" t="str">
        <f>Solieusap!D2238</f>
        <v>Combination</v>
      </c>
      <c r="E2238" s="16">
        <f>ABS(Solieusap!E2238)</f>
        <v>22.63374026</v>
      </c>
      <c r="F2238" s="16">
        <f>ABS(Solieusap!F2238)</f>
        <v>2.17362316</v>
      </c>
      <c r="G2238" s="16">
        <f>ABS(Solieusap!G2238)</f>
        <v>2.92994329</v>
      </c>
      <c r="H2238" s="16">
        <f>ABS(Solieusap!H2238)</f>
        <v>0.001324430584</v>
      </c>
      <c r="I2238" s="16">
        <f>ABS(Solieusap!I2238)</f>
        <v>8.101945736</v>
      </c>
      <c r="J2238" s="16">
        <f>ABS(Solieusap!J2238)</f>
        <v>5.443464221</v>
      </c>
      <c r="K2238" s="16">
        <f t="shared" si="1"/>
        <v>22.63374026</v>
      </c>
      <c r="L2238" s="16">
        <f t="shared" si="2"/>
        <v>8.101945736</v>
      </c>
    </row>
    <row r="2239" ht="16.5" customHeight="1">
      <c r="A2239" s="15" t="str">
        <f>Solieusap!A2239</f>
        <v>Cũ</v>
      </c>
      <c r="B2239" s="15">
        <f>Solieusap!B2239</f>
        <v>0</v>
      </c>
      <c r="C2239" s="15" t="str">
        <f>Solieusap!C2239</f>
        <v>COMB4</v>
      </c>
      <c r="D2239" s="15" t="str">
        <f>Solieusap!D2239</f>
        <v>Combination</v>
      </c>
      <c r="E2239" s="16">
        <f>ABS(Solieusap!E2239)</f>
        <v>22.65059662</v>
      </c>
      <c r="F2239" s="16">
        <f>ABS(Solieusap!F2239)</f>
        <v>2.17533368</v>
      </c>
      <c r="G2239" s="16">
        <f>ABS(Solieusap!G2239)</f>
        <v>2.932207706</v>
      </c>
      <c r="H2239" s="16">
        <f>ABS(Solieusap!H2239)</f>
        <v>0.001325485688</v>
      </c>
      <c r="I2239" s="16">
        <f>ABS(Solieusap!I2239)</f>
        <v>8.108740528</v>
      </c>
      <c r="J2239" s="16">
        <f>ABS(Solieusap!J2239)</f>
        <v>5.448011273</v>
      </c>
      <c r="K2239" s="16">
        <f t="shared" si="1"/>
        <v>22.65059662</v>
      </c>
      <c r="L2239" s="16">
        <f t="shared" si="2"/>
        <v>8.108740528</v>
      </c>
    </row>
    <row r="2240" ht="16.5" customHeight="1">
      <c r="A2240" s="15" t="str">
        <f>Solieusap!A2240</f>
        <v>Cũ</v>
      </c>
      <c r="B2240" s="15">
        <f>Solieusap!B2240</f>
        <v>1.75</v>
      </c>
      <c r="C2240" s="15" t="str">
        <f>Solieusap!C2240</f>
        <v>COMB4</v>
      </c>
      <c r="D2240" s="15" t="str">
        <f>Solieusap!D2240</f>
        <v>Combination</v>
      </c>
      <c r="E2240" s="16">
        <f>ABS(Solieusap!E2240)</f>
        <v>22.66745299</v>
      </c>
      <c r="F2240" s="16">
        <f>ABS(Solieusap!F2240)</f>
        <v>2.177044199</v>
      </c>
      <c r="G2240" s="16">
        <f>ABS(Solieusap!G2240)</f>
        <v>2.934472121</v>
      </c>
      <c r="H2240" s="16">
        <f>ABS(Solieusap!H2240)</f>
        <v>0.001326540792</v>
      </c>
      <c r="I2240" s="16">
        <f>ABS(Solieusap!I2240)</f>
        <v>8.11553532</v>
      </c>
      <c r="J2240" s="16">
        <f>ABS(Solieusap!J2240)</f>
        <v>5.452558325</v>
      </c>
      <c r="K2240" s="16">
        <f t="shared" si="1"/>
        <v>22.66745299</v>
      </c>
      <c r="L2240" s="16">
        <f t="shared" si="2"/>
        <v>8.11553532</v>
      </c>
    </row>
    <row r="2241" ht="16.5" customHeight="1">
      <c r="A2241" s="15" t="str">
        <f>Solieusap!A2241</f>
        <v>Cũ</v>
      </c>
      <c r="B2241" s="15">
        <f>Solieusap!B2241</f>
        <v>3.5</v>
      </c>
      <c r="C2241" s="15" t="str">
        <f>Solieusap!C2241</f>
        <v>COMB4</v>
      </c>
      <c r="D2241" s="15" t="str">
        <f>Solieusap!D2241</f>
        <v>Combination</v>
      </c>
      <c r="E2241" s="16">
        <f>ABS(Solieusap!E2241)</f>
        <v>22.68430935</v>
      </c>
      <c r="F2241" s="16">
        <f>ABS(Solieusap!F2241)</f>
        <v>2.178754719</v>
      </c>
      <c r="G2241" s="16">
        <f>ABS(Solieusap!G2241)</f>
        <v>2.936736537</v>
      </c>
      <c r="H2241" s="16">
        <f>ABS(Solieusap!H2241)</f>
        <v>0.001327595896</v>
      </c>
      <c r="I2241" s="16">
        <f>ABS(Solieusap!I2241)</f>
        <v>8.122330113</v>
      </c>
      <c r="J2241" s="16">
        <f>ABS(Solieusap!J2241)</f>
        <v>5.457105377</v>
      </c>
      <c r="K2241" s="16">
        <f t="shared" si="1"/>
        <v>22.68430935</v>
      </c>
      <c r="L2241" s="16">
        <f t="shared" si="2"/>
        <v>8.122330113</v>
      </c>
    </row>
    <row r="2242" ht="16.5" customHeight="1">
      <c r="A2242" s="15" t="str">
        <f>Solieusap!A2242</f>
        <v>Cũ</v>
      </c>
      <c r="B2242" s="15">
        <f>Solieusap!B2242</f>
        <v>0</v>
      </c>
      <c r="C2242" s="15" t="str">
        <f>Solieusap!C2242</f>
        <v>COMB5</v>
      </c>
      <c r="D2242" s="15" t="str">
        <f>Solieusap!D2242</f>
        <v>Combination</v>
      </c>
      <c r="E2242" s="16">
        <f>ABS(Solieusap!E2242)</f>
        <v>22.70116571</v>
      </c>
      <c r="F2242" s="16">
        <f>ABS(Solieusap!F2242)</f>
        <v>2.180465238</v>
      </c>
      <c r="G2242" s="16">
        <f>ABS(Solieusap!G2242)</f>
        <v>2.939000952</v>
      </c>
      <c r="H2242" s="16">
        <f>ABS(Solieusap!H2242)</f>
        <v>0.001328651</v>
      </c>
      <c r="I2242" s="16">
        <f>ABS(Solieusap!I2242)</f>
        <v>8.129124905</v>
      </c>
      <c r="J2242" s="16">
        <f>ABS(Solieusap!J2242)</f>
        <v>5.461652429</v>
      </c>
      <c r="K2242" s="16">
        <f t="shared" si="1"/>
        <v>22.70116571</v>
      </c>
      <c r="L2242" s="16">
        <f t="shared" si="2"/>
        <v>8.129124905</v>
      </c>
    </row>
    <row r="2243" ht="16.5" customHeight="1">
      <c r="A2243" s="15" t="str">
        <f>Solieusap!A2243</f>
        <v>Cũ</v>
      </c>
      <c r="B2243" s="15">
        <f>Solieusap!B2243</f>
        <v>1.75</v>
      </c>
      <c r="C2243" s="15" t="str">
        <f>Solieusap!C2243</f>
        <v>COMB5</v>
      </c>
      <c r="D2243" s="15" t="str">
        <f>Solieusap!D2243</f>
        <v>Combination</v>
      </c>
      <c r="E2243" s="16">
        <f>ABS(Solieusap!E2243)</f>
        <v>22.71802208</v>
      </c>
      <c r="F2243" s="16">
        <f>ABS(Solieusap!F2243)</f>
        <v>2.182175758</v>
      </c>
      <c r="G2243" s="16">
        <f>ABS(Solieusap!G2243)</f>
        <v>2.941265368</v>
      </c>
      <c r="H2243" s="16">
        <f>ABS(Solieusap!H2243)</f>
        <v>0.001329706104</v>
      </c>
      <c r="I2243" s="16">
        <f>ABS(Solieusap!I2243)</f>
        <v>8.135919697</v>
      </c>
      <c r="J2243" s="16">
        <f>ABS(Solieusap!J2243)</f>
        <v>5.466199481</v>
      </c>
      <c r="K2243" s="16">
        <f t="shared" si="1"/>
        <v>22.71802208</v>
      </c>
      <c r="L2243" s="16">
        <f t="shared" si="2"/>
        <v>8.135919697</v>
      </c>
    </row>
    <row r="2244" ht="16.5" customHeight="1">
      <c r="A2244" s="15" t="str">
        <f>Solieusap!A2244</f>
        <v>Cũ</v>
      </c>
      <c r="B2244" s="15">
        <f>Solieusap!B2244</f>
        <v>3.5</v>
      </c>
      <c r="C2244" s="15" t="str">
        <f>Solieusap!C2244</f>
        <v>COMB5</v>
      </c>
      <c r="D2244" s="15" t="str">
        <f>Solieusap!D2244</f>
        <v>Combination</v>
      </c>
      <c r="E2244" s="16">
        <f>ABS(Solieusap!E2244)</f>
        <v>22.73487844</v>
      </c>
      <c r="F2244" s="16">
        <f>ABS(Solieusap!F2244)</f>
        <v>2.183886277</v>
      </c>
      <c r="G2244" s="16">
        <f>ABS(Solieusap!G2244)</f>
        <v>2.943529784</v>
      </c>
      <c r="H2244" s="16">
        <f>ABS(Solieusap!H2244)</f>
        <v>0.001330761208</v>
      </c>
      <c r="I2244" s="16">
        <f>ABS(Solieusap!I2244)</f>
        <v>8.142714489</v>
      </c>
      <c r="J2244" s="16">
        <f>ABS(Solieusap!J2244)</f>
        <v>5.470746532</v>
      </c>
      <c r="K2244" s="16">
        <f t="shared" si="1"/>
        <v>22.73487844</v>
      </c>
      <c r="L2244" s="16">
        <f t="shared" si="2"/>
        <v>8.142714489</v>
      </c>
    </row>
    <row r="2245" ht="16.5" customHeight="1">
      <c r="A2245" s="15" t="str">
        <f>Solieusap!A2245</f>
        <v>Cũ</v>
      </c>
      <c r="B2245" s="15">
        <f>Solieusap!B2245</f>
        <v>0</v>
      </c>
      <c r="C2245" s="15" t="str">
        <f>Solieusap!C2245</f>
        <v>COMB6</v>
      </c>
      <c r="D2245" s="15" t="str">
        <f>Solieusap!D2245</f>
        <v>Combination</v>
      </c>
      <c r="E2245" s="16">
        <f>ABS(Solieusap!E2245)</f>
        <v>22.75173481</v>
      </c>
      <c r="F2245" s="16">
        <f>ABS(Solieusap!F2245)</f>
        <v>2.185596797</v>
      </c>
      <c r="G2245" s="16">
        <f>ABS(Solieusap!G2245)</f>
        <v>2.945794199</v>
      </c>
      <c r="H2245" s="16">
        <f>ABS(Solieusap!H2245)</f>
        <v>0.001331816312</v>
      </c>
      <c r="I2245" s="16">
        <f>ABS(Solieusap!I2245)</f>
        <v>8.149509281</v>
      </c>
      <c r="J2245" s="16">
        <f>ABS(Solieusap!J2245)</f>
        <v>5.475293584</v>
      </c>
      <c r="K2245" s="16">
        <f t="shared" si="1"/>
        <v>22.75173481</v>
      </c>
      <c r="L2245" s="16">
        <f t="shared" si="2"/>
        <v>8.149509281</v>
      </c>
    </row>
    <row r="2246" ht="16.5" customHeight="1">
      <c r="A2246" s="15" t="str">
        <f>Solieusap!A2246</f>
        <v>Cũ</v>
      </c>
      <c r="B2246" s="15">
        <f>Solieusap!B2246</f>
        <v>1.75</v>
      </c>
      <c r="C2246" s="15" t="str">
        <f>Solieusap!C2246</f>
        <v>COMB6</v>
      </c>
      <c r="D2246" s="15" t="str">
        <f>Solieusap!D2246</f>
        <v>Combination</v>
      </c>
      <c r="E2246" s="16">
        <f>ABS(Solieusap!E2246)</f>
        <v>22.76859117</v>
      </c>
      <c r="F2246" s="16">
        <f>ABS(Solieusap!F2246)</f>
        <v>2.187307316</v>
      </c>
      <c r="G2246" s="16">
        <f>ABS(Solieusap!G2246)</f>
        <v>2.948058615</v>
      </c>
      <c r="H2246" s="16">
        <f>ABS(Solieusap!H2246)</f>
        <v>0.001332871416</v>
      </c>
      <c r="I2246" s="16">
        <f>ABS(Solieusap!I2246)</f>
        <v>8.156304074</v>
      </c>
      <c r="J2246" s="16">
        <f>ABS(Solieusap!J2246)</f>
        <v>5.479840636</v>
      </c>
      <c r="K2246" s="16">
        <f t="shared" si="1"/>
        <v>22.76859117</v>
      </c>
      <c r="L2246" s="16">
        <f t="shared" si="2"/>
        <v>8.156304074</v>
      </c>
    </row>
    <row r="2247" ht="16.5" customHeight="1">
      <c r="A2247" s="15" t="str">
        <f>Solieusap!A2247</f>
        <v>Cũ</v>
      </c>
      <c r="B2247" s="15">
        <f>Solieusap!B2247</f>
        <v>3.5</v>
      </c>
      <c r="C2247" s="15" t="str">
        <f>Solieusap!C2247</f>
        <v>COMB6</v>
      </c>
      <c r="D2247" s="15" t="str">
        <f>Solieusap!D2247</f>
        <v>Combination</v>
      </c>
      <c r="E2247" s="16">
        <f>ABS(Solieusap!E2247)</f>
        <v>22.78544753</v>
      </c>
      <c r="F2247" s="16">
        <f>ABS(Solieusap!F2247)</f>
        <v>2.189017835</v>
      </c>
      <c r="G2247" s="16">
        <f>ABS(Solieusap!G2247)</f>
        <v>2.95032303</v>
      </c>
      <c r="H2247" s="16">
        <f>ABS(Solieusap!H2247)</f>
        <v>0.001333926519</v>
      </c>
      <c r="I2247" s="16">
        <f>ABS(Solieusap!I2247)</f>
        <v>8.163098866</v>
      </c>
      <c r="J2247" s="16">
        <f>ABS(Solieusap!J2247)</f>
        <v>5.484387688</v>
      </c>
      <c r="K2247" s="16">
        <f t="shared" si="1"/>
        <v>22.78544753</v>
      </c>
      <c r="L2247" s="16">
        <f t="shared" si="2"/>
        <v>8.163098866</v>
      </c>
    </row>
    <row r="2248" ht="16.5" customHeight="1">
      <c r="A2248" s="15" t="str">
        <f>Solieusap!A2248</f>
        <v>Cũ</v>
      </c>
      <c r="B2248" s="15">
        <f>Solieusap!B2248</f>
        <v>0</v>
      </c>
      <c r="C2248" s="15" t="str">
        <f>Solieusap!C2248</f>
        <v>COMB7</v>
      </c>
      <c r="D2248" s="15" t="str">
        <f>Solieusap!D2248</f>
        <v>Combination</v>
      </c>
      <c r="E2248" s="16">
        <f>ABS(Solieusap!E2248)</f>
        <v>22.8023039</v>
      </c>
      <c r="F2248" s="16">
        <f>ABS(Solieusap!F2248)</f>
        <v>2.190728355</v>
      </c>
      <c r="G2248" s="16">
        <f>ABS(Solieusap!G2248)</f>
        <v>2.952587446</v>
      </c>
      <c r="H2248" s="16">
        <f>ABS(Solieusap!H2248)</f>
        <v>0.001334981623</v>
      </c>
      <c r="I2248" s="16">
        <f>ABS(Solieusap!I2248)</f>
        <v>8.169893658</v>
      </c>
      <c r="J2248" s="16">
        <f>ABS(Solieusap!J2248)</f>
        <v>5.48893474</v>
      </c>
      <c r="K2248" s="16">
        <f t="shared" si="1"/>
        <v>22.8023039</v>
      </c>
      <c r="L2248" s="16">
        <f t="shared" si="2"/>
        <v>8.169893658</v>
      </c>
    </row>
    <row r="2249" ht="16.5" customHeight="1">
      <c r="A2249" s="15" t="str">
        <f>Solieusap!A2249</f>
        <v>Cũ</v>
      </c>
      <c r="B2249" s="15">
        <f>Solieusap!B2249</f>
        <v>1.75</v>
      </c>
      <c r="C2249" s="15" t="str">
        <f>Solieusap!C2249</f>
        <v>COMB7</v>
      </c>
      <c r="D2249" s="15" t="str">
        <f>Solieusap!D2249</f>
        <v>Combination</v>
      </c>
      <c r="E2249" s="16">
        <f>ABS(Solieusap!E2249)</f>
        <v>22.81916026</v>
      </c>
      <c r="F2249" s="16">
        <f>ABS(Solieusap!F2249)</f>
        <v>2.192438874</v>
      </c>
      <c r="G2249" s="16">
        <f>ABS(Solieusap!G2249)</f>
        <v>2.954851861</v>
      </c>
      <c r="H2249" s="16">
        <f>ABS(Solieusap!H2249)</f>
        <v>0.001336036727</v>
      </c>
      <c r="I2249" s="16">
        <f>ABS(Solieusap!I2249)</f>
        <v>8.17668845</v>
      </c>
      <c r="J2249" s="16">
        <f>ABS(Solieusap!J2249)</f>
        <v>5.493481792</v>
      </c>
      <c r="K2249" s="16">
        <f t="shared" si="1"/>
        <v>22.81916026</v>
      </c>
      <c r="L2249" s="16">
        <f t="shared" si="2"/>
        <v>8.17668845</v>
      </c>
    </row>
    <row r="2250" ht="16.5" customHeight="1">
      <c r="A2250" s="15" t="str">
        <f>Solieusap!A2250</f>
        <v>Cũ</v>
      </c>
      <c r="B2250" s="15">
        <f>Solieusap!B2250</f>
        <v>3.5</v>
      </c>
      <c r="C2250" s="15" t="str">
        <f>Solieusap!C2250</f>
        <v>COMB7</v>
      </c>
      <c r="D2250" s="15" t="str">
        <f>Solieusap!D2250</f>
        <v>Combination</v>
      </c>
      <c r="E2250" s="16">
        <f>ABS(Solieusap!E2250)</f>
        <v>22.83601662</v>
      </c>
      <c r="F2250" s="16">
        <f>ABS(Solieusap!F2250)</f>
        <v>2.194149394</v>
      </c>
      <c r="G2250" s="16">
        <f>ABS(Solieusap!G2250)</f>
        <v>2.957116277</v>
      </c>
      <c r="H2250" s="16">
        <f>ABS(Solieusap!H2250)</f>
        <v>0.001337091831</v>
      </c>
      <c r="I2250" s="16">
        <f>ABS(Solieusap!I2250)</f>
        <v>8.183483242</v>
      </c>
      <c r="J2250" s="16">
        <f>ABS(Solieusap!J2250)</f>
        <v>5.498028844</v>
      </c>
      <c r="K2250" s="16">
        <f t="shared" si="1"/>
        <v>22.83601662</v>
      </c>
      <c r="L2250" s="16">
        <f t="shared" si="2"/>
        <v>8.183483242</v>
      </c>
    </row>
    <row r="2251" ht="16.5" customHeight="1">
      <c r="A2251" s="15" t="str">
        <f>Solieusap!A2251</f>
        <v>Cũ</v>
      </c>
      <c r="B2251" s="15">
        <f>Solieusap!B2251</f>
        <v>0</v>
      </c>
      <c r="C2251" s="15" t="str">
        <f>Solieusap!C2251</f>
        <v>COMB1</v>
      </c>
      <c r="D2251" s="15" t="str">
        <f>Solieusap!D2251</f>
        <v>Combination</v>
      </c>
      <c r="E2251" s="16">
        <f>ABS(Solieusap!E2251)</f>
        <v>22.85287299</v>
      </c>
      <c r="F2251" s="16">
        <f>ABS(Solieusap!F2251)</f>
        <v>2.195859913</v>
      </c>
      <c r="G2251" s="16">
        <f>ABS(Solieusap!G2251)</f>
        <v>2.959380693</v>
      </c>
      <c r="H2251" s="16">
        <f>ABS(Solieusap!H2251)</f>
        <v>0.001338146935</v>
      </c>
      <c r="I2251" s="16">
        <f>ABS(Solieusap!I2251)</f>
        <v>8.190278035</v>
      </c>
      <c r="J2251" s="16">
        <f>ABS(Solieusap!J2251)</f>
        <v>5.502575896</v>
      </c>
      <c r="K2251" s="16">
        <f t="shared" si="1"/>
        <v>22.85287299</v>
      </c>
      <c r="L2251" s="16">
        <f t="shared" si="2"/>
        <v>8.190278035</v>
      </c>
    </row>
    <row r="2252" ht="16.5" customHeight="1">
      <c r="A2252" s="15" t="str">
        <f>Solieusap!A2252</f>
        <v>Cũ</v>
      </c>
      <c r="B2252" s="15">
        <f>Solieusap!B2252</f>
        <v>1.75</v>
      </c>
      <c r="C2252" s="15" t="str">
        <f>Solieusap!C2252</f>
        <v>COMB1</v>
      </c>
      <c r="D2252" s="15" t="str">
        <f>Solieusap!D2252</f>
        <v>Combination</v>
      </c>
      <c r="E2252" s="16">
        <f>ABS(Solieusap!E2252)</f>
        <v>22.86972935</v>
      </c>
      <c r="F2252" s="16">
        <f>ABS(Solieusap!F2252)</f>
        <v>2.197570433</v>
      </c>
      <c r="G2252" s="16">
        <f>ABS(Solieusap!G2252)</f>
        <v>2.961645108</v>
      </c>
      <c r="H2252" s="16">
        <f>ABS(Solieusap!H2252)</f>
        <v>0.001339202039</v>
      </c>
      <c r="I2252" s="16">
        <f>ABS(Solieusap!I2252)</f>
        <v>8.197072827</v>
      </c>
      <c r="J2252" s="16">
        <f>ABS(Solieusap!J2252)</f>
        <v>5.507122948</v>
      </c>
      <c r="K2252" s="16">
        <f t="shared" si="1"/>
        <v>22.86972935</v>
      </c>
      <c r="L2252" s="16">
        <f t="shared" si="2"/>
        <v>8.197072827</v>
      </c>
    </row>
    <row r="2253" ht="16.5" customHeight="1">
      <c r="A2253" s="15" t="str">
        <f>Solieusap!A2253</f>
        <v>Cũ</v>
      </c>
      <c r="B2253" s="15">
        <f>Solieusap!B2253</f>
        <v>3.5</v>
      </c>
      <c r="C2253" s="15" t="str">
        <f>Solieusap!C2253</f>
        <v>COMB1</v>
      </c>
      <c r="D2253" s="15" t="str">
        <f>Solieusap!D2253</f>
        <v>Combination</v>
      </c>
      <c r="E2253" s="16">
        <f>ABS(Solieusap!E2253)</f>
        <v>22.88658571</v>
      </c>
      <c r="F2253" s="16">
        <f>ABS(Solieusap!F2253)</f>
        <v>2.199280952</v>
      </c>
      <c r="G2253" s="16">
        <f>ABS(Solieusap!G2253)</f>
        <v>2.963909524</v>
      </c>
      <c r="H2253" s="16">
        <f>ABS(Solieusap!H2253)</f>
        <v>0.001340257143</v>
      </c>
      <c r="I2253" s="16">
        <f>ABS(Solieusap!I2253)</f>
        <v>8.203867619</v>
      </c>
      <c r="J2253" s="16">
        <f>ABS(Solieusap!J2253)</f>
        <v>5.51167</v>
      </c>
      <c r="K2253" s="16">
        <f t="shared" si="1"/>
        <v>22.88658571</v>
      </c>
      <c r="L2253" s="16">
        <f t="shared" si="2"/>
        <v>8.203867619</v>
      </c>
    </row>
    <row r="2254" ht="16.5" customHeight="1">
      <c r="A2254" s="15" t="str">
        <f>Solieusap!A2254</f>
        <v>Cũ</v>
      </c>
      <c r="B2254" s="15">
        <f>Solieusap!B2254</f>
        <v>0</v>
      </c>
      <c r="C2254" s="15" t="str">
        <f>Solieusap!C2254</f>
        <v>COMB2</v>
      </c>
      <c r="D2254" s="15" t="str">
        <f>Solieusap!D2254</f>
        <v>Combination</v>
      </c>
      <c r="E2254" s="16">
        <f>ABS(Solieusap!E2254)</f>
        <v>22.90344208</v>
      </c>
      <c r="F2254" s="16">
        <f>ABS(Solieusap!F2254)</f>
        <v>2.200991472</v>
      </c>
      <c r="G2254" s="16">
        <f>ABS(Solieusap!G2254)</f>
        <v>2.966173939</v>
      </c>
      <c r="H2254" s="16">
        <f>ABS(Solieusap!H2254)</f>
        <v>0.001341312247</v>
      </c>
      <c r="I2254" s="16">
        <f>ABS(Solieusap!I2254)</f>
        <v>8.210662411</v>
      </c>
      <c r="J2254" s="16">
        <f>ABS(Solieusap!J2254)</f>
        <v>5.516217052</v>
      </c>
      <c r="K2254" s="16">
        <f t="shared" si="1"/>
        <v>22.90344208</v>
      </c>
      <c r="L2254" s="16">
        <f t="shared" si="2"/>
        <v>8.210662411</v>
      </c>
    </row>
    <row r="2255" ht="16.5" customHeight="1">
      <c r="A2255" s="15" t="str">
        <f>Solieusap!A2255</f>
        <v>Cũ</v>
      </c>
      <c r="B2255" s="15">
        <f>Solieusap!B2255</f>
        <v>1.75</v>
      </c>
      <c r="C2255" s="15" t="str">
        <f>Solieusap!C2255</f>
        <v>COMB2</v>
      </c>
      <c r="D2255" s="15" t="str">
        <f>Solieusap!D2255</f>
        <v>Combination</v>
      </c>
      <c r="E2255" s="16">
        <f>ABS(Solieusap!E2255)</f>
        <v>22.92029844</v>
      </c>
      <c r="F2255" s="16">
        <f>ABS(Solieusap!F2255)</f>
        <v>2.202701991</v>
      </c>
      <c r="G2255" s="16">
        <f>ABS(Solieusap!G2255)</f>
        <v>2.968438355</v>
      </c>
      <c r="H2255" s="16">
        <f>ABS(Solieusap!H2255)</f>
        <v>0.001342367351</v>
      </c>
      <c r="I2255" s="16">
        <f>ABS(Solieusap!I2255)</f>
        <v>8.217457203</v>
      </c>
      <c r="J2255" s="16">
        <f>ABS(Solieusap!J2255)</f>
        <v>5.520764104</v>
      </c>
      <c r="K2255" s="16">
        <f t="shared" si="1"/>
        <v>22.92029844</v>
      </c>
      <c r="L2255" s="16">
        <f t="shared" si="2"/>
        <v>8.217457203</v>
      </c>
    </row>
    <row r="2256" ht="16.5" customHeight="1">
      <c r="A2256" s="15" t="str">
        <f>Solieusap!A2256</f>
        <v>Cũ</v>
      </c>
      <c r="B2256" s="15">
        <f>Solieusap!B2256</f>
        <v>3.5</v>
      </c>
      <c r="C2256" s="15" t="str">
        <f>Solieusap!C2256</f>
        <v>COMB2</v>
      </c>
      <c r="D2256" s="15" t="str">
        <f>Solieusap!D2256</f>
        <v>Combination</v>
      </c>
      <c r="E2256" s="16">
        <f>ABS(Solieusap!E2256)</f>
        <v>22.93715481</v>
      </c>
      <c r="F2256" s="16">
        <f>ABS(Solieusap!F2256)</f>
        <v>2.204412511</v>
      </c>
      <c r="G2256" s="16">
        <f>ABS(Solieusap!G2256)</f>
        <v>2.970702771</v>
      </c>
      <c r="H2256" s="16">
        <f>ABS(Solieusap!H2256)</f>
        <v>0.001343422455</v>
      </c>
      <c r="I2256" s="16">
        <f>ABS(Solieusap!I2256)</f>
        <v>8.224251996</v>
      </c>
      <c r="J2256" s="16">
        <f>ABS(Solieusap!J2256)</f>
        <v>5.525311156</v>
      </c>
      <c r="K2256" s="16">
        <f t="shared" si="1"/>
        <v>22.93715481</v>
      </c>
      <c r="L2256" s="16">
        <f t="shared" si="2"/>
        <v>8.224251996</v>
      </c>
    </row>
    <row r="2257" ht="16.5" customHeight="1">
      <c r="A2257" s="15" t="str">
        <f>Solieusap!A2257</f>
        <v>Cũ</v>
      </c>
      <c r="B2257" s="15">
        <f>Solieusap!B2257</f>
        <v>0</v>
      </c>
      <c r="C2257" s="15" t="str">
        <f>Solieusap!C2257</f>
        <v>COMB3</v>
      </c>
      <c r="D2257" s="15" t="str">
        <f>Solieusap!D2257</f>
        <v>Combination</v>
      </c>
      <c r="E2257" s="16">
        <f>ABS(Solieusap!E2257)</f>
        <v>22.95401117</v>
      </c>
      <c r="F2257" s="16">
        <f>ABS(Solieusap!F2257)</f>
        <v>2.20612303</v>
      </c>
      <c r="G2257" s="16">
        <f>ABS(Solieusap!G2257)</f>
        <v>2.972967186</v>
      </c>
      <c r="H2257" s="16">
        <f>ABS(Solieusap!H2257)</f>
        <v>0.001344477558</v>
      </c>
      <c r="I2257" s="16">
        <f>ABS(Solieusap!I2257)</f>
        <v>8.231046788</v>
      </c>
      <c r="J2257" s="16">
        <f>ABS(Solieusap!J2257)</f>
        <v>5.529858208</v>
      </c>
      <c r="K2257" s="16">
        <f t="shared" si="1"/>
        <v>22.95401117</v>
      </c>
      <c r="L2257" s="16">
        <f t="shared" si="2"/>
        <v>8.231046788</v>
      </c>
    </row>
    <row r="2258" ht="16.5" customHeight="1">
      <c r="A2258" s="15" t="str">
        <f>Solieusap!A2258</f>
        <v>Cũ</v>
      </c>
      <c r="B2258" s="15">
        <f>Solieusap!B2258</f>
        <v>1.75</v>
      </c>
      <c r="C2258" s="15" t="str">
        <f>Solieusap!C2258</f>
        <v>COMB3</v>
      </c>
      <c r="D2258" s="15" t="str">
        <f>Solieusap!D2258</f>
        <v>Combination</v>
      </c>
      <c r="E2258" s="16">
        <f>ABS(Solieusap!E2258)</f>
        <v>22.97086753</v>
      </c>
      <c r="F2258" s="16">
        <f>ABS(Solieusap!F2258)</f>
        <v>2.20783355</v>
      </c>
      <c r="G2258" s="16">
        <f>ABS(Solieusap!G2258)</f>
        <v>2.975231602</v>
      </c>
      <c r="H2258" s="16">
        <f>ABS(Solieusap!H2258)</f>
        <v>0.001345532662</v>
      </c>
      <c r="I2258" s="16">
        <f>ABS(Solieusap!I2258)</f>
        <v>8.23784158</v>
      </c>
      <c r="J2258" s="16">
        <f>ABS(Solieusap!J2258)</f>
        <v>5.53440526</v>
      </c>
      <c r="K2258" s="16">
        <f t="shared" si="1"/>
        <v>22.97086753</v>
      </c>
      <c r="L2258" s="16">
        <f t="shared" si="2"/>
        <v>8.23784158</v>
      </c>
    </row>
    <row r="2259" ht="16.5" customHeight="1">
      <c r="A2259" s="15" t="str">
        <f>Solieusap!A2259</f>
        <v>Cũ</v>
      </c>
      <c r="B2259" s="15">
        <f>Solieusap!B2259</f>
        <v>3.5</v>
      </c>
      <c r="C2259" s="15" t="str">
        <f>Solieusap!C2259</f>
        <v>COMB3</v>
      </c>
      <c r="D2259" s="15" t="str">
        <f>Solieusap!D2259</f>
        <v>Combination</v>
      </c>
      <c r="E2259" s="16">
        <f>ABS(Solieusap!E2259)</f>
        <v>22.9877239</v>
      </c>
      <c r="F2259" s="16">
        <f>ABS(Solieusap!F2259)</f>
        <v>2.209544069</v>
      </c>
      <c r="G2259" s="16">
        <f>ABS(Solieusap!G2259)</f>
        <v>2.977496017</v>
      </c>
      <c r="H2259" s="16">
        <f>ABS(Solieusap!H2259)</f>
        <v>0.001346587766</v>
      </c>
      <c r="I2259" s="16">
        <f>ABS(Solieusap!I2259)</f>
        <v>8.244636372</v>
      </c>
      <c r="J2259" s="16">
        <f>ABS(Solieusap!J2259)</f>
        <v>5.538952312</v>
      </c>
      <c r="K2259" s="16">
        <f t="shared" si="1"/>
        <v>22.9877239</v>
      </c>
      <c r="L2259" s="16">
        <f t="shared" si="2"/>
        <v>8.244636372</v>
      </c>
    </row>
    <row r="2260" ht="16.5" customHeight="1">
      <c r="A2260" s="15" t="str">
        <f>Solieusap!A2260</f>
        <v>Cũ</v>
      </c>
      <c r="B2260" s="15">
        <f>Solieusap!B2260</f>
        <v>0</v>
      </c>
      <c r="C2260" s="15" t="str">
        <f>Solieusap!C2260</f>
        <v>COMB4</v>
      </c>
      <c r="D2260" s="15" t="str">
        <f>Solieusap!D2260</f>
        <v>Combination</v>
      </c>
      <c r="E2260" s="16">
        <f>ABS(Solieusap!E2260)</f>
        <v>23.00458026</v>
      </c>
      <c r="F2260" s="16">
        <f>ABS(Solieusap!F2260)</f>
        <v>2.211254589</v>
      </c>
      <c r="G2260" s="16">
        <f>ABS(Solieusap!G2260)</f>
        <v>2.979760433</v>
      </c>
      <c r="H2260" s="16">
        <f>ABS(Solieusap!H2260)</f>
        <v>0.00134764287</v>
      </c>
      <c r="I2260" s="16">
        <f>ABS(Solieusap!I2260)</f>
        <v>8.251431165</v>
      </c>
      <c r="J2260" s="16">
        <f>ABS(Solieusap!J2260)</f>
        <v>5.543499364</v>
      </c>
      <c r="K2260" s="16">
        <f t="shared" si="1"/>
        <v>23.00458026</v>
      </c>
      <c r="L2260" s="16">
        <f t="shared" si="2"/>
        <v>8.251431165</v>
      </c>
    </row>
    <row r="2261" ht="16.5" customHeight="1">
      <c r="A2261" s="15" t="str">
        <f>Solieusap!A2261</f>
        <v>Cũ</v>
      </c>
      <c r="B2261" s="15">
        <f>Solieusap!B2261</f>
        <v>1.75</v>
      </c>
      <c r="C2261" s="15" t="str">
        <f>Solieusap!C2261</f>
        <v>COMB4</v>
      </c>
      <c r="D2261" s="15" t="str">
        <f>Solieusap!D2261</f>
        <v>Combination</v>
      </c>
      <c r="E2261" s="16">
        <f>ABS(Solieusap!E2261)</f>
        <v>23.02143662</v>
      </c>
      <c r="F2261" s="16">
        <f>ABS(Solieusap!F2261)</f>
        <v>2.212965108</v>
      </c>
      <c r="G2261" s="16">
        <f>ABS(Solieusap!G2261)</f>
        <v>2.982024848</v>
      </c>
      <c r="H2261" s="16">
        <f>ABS(Solieusap!H2261)</f>
        <v>0.001348697974</v>
      </c>
      <c r="I2261" s="16">
        <f>ABS(Solieusap!I2261)</f>
        <v>8.258225957</v>
      </c>
      <c r="J2261" s="16">
        <f>ABS(Solieusap!J2261)</f>
        <v>5.548046416</v>
      </c>
      <c r="K2261" s="16">
        <f t="shared" si="1"/>
        <v>23.02143662</v>
      </c>
      <c r="L2261" s="16">
        <f t="shared" si="2"/>
        <v>8.258225957</v>
      </c>
    </row>
    <row r="2262" ht="16.5" customHeight="1">
      <c r="A2262" s="15" t="str">
        <f>Solieusap!A2262</f>
        <v>Cũ</v>
      </c>
      <c r="B2262" s="15">
        <f>Solieusap!B2262</f>
        <v>3.5</v>
      </c>
      <c r="C2262" s="15" t="str">
        <f>Solieusap!C2262</f>
        <v>COMB4</v>
      </c>
      <c r="D2262" s="15" t="str">
        <f>Solieusap!D2262</f>
        <v>Combination</v>
      </c>
      <c r="E2262" s="16">
        <f>ABS(Solieusap!E2262)</f>
        <v>23.03829299</v>
      </c>
      <c r="F2262" s="16">
        <f>ABS(Solieusap!F2262)</f>
        <v>2.214675628</v>
      </c>
      <c r="G2262" s="16">
        <f>ABS(Solieusap!G2262)</f>
        <v>2.984289264</v>
      </c>
      <c r="H2262" s="16">
        <f>ABS(Solieusap!H2262)</f>
        <v>0.001349753078</v>
      </c>
      <c r="I2262" s="16">
        <f>ABS(Solieusap!I2262)</f>
        <v>8.265020749</v>
      </c>
      <c r="J2262" s="16">
        <f>ABS(Solieusap!J2262)</f>
        <v>5.552593468</v>
      </c>
      <c r="K2262" s="16">
        <f t="shared" si="1"/>
        <v>23.03829299</v>
      </c>
      <c r="L2262" s="16">
        <f t="shared" si="2"/>
        <v>8.265020749</v>
      </c>
    </row>
    <row r="2263" ht="16.5" customHeight="1">
      <c r="A2263" s="15" t="str">
        <f>Solieusap!A2263</f>
        <v>Cũ</v>
      </c>
      <c r="B2263" s="15">
        <f>Solieusap!B2263</f>
        <v>0</v>
      </c>
      <c r="C2263" s="15" t="str">
        <f>Solieusap!C2263</f>
        <v>COMB5</v>
      </c>
      <c r="D2263" s="15" t="str">
        <f>Solieusap!D2263</f>
        <v>Combination</v>
      </c>
      <c r="E2263" s="16">
        <f>ABS(Solieusap!E2263)</f>
        <v>23.05514935</v>
      </c>
      <c r="F2263" s="16">
        <f>ABS(Solieusap!F2263)</f>
        <v>2.216386147</v>
      </c>
      <c r="G2263" s="16">
        <f>ABS(Solieusap!G2263)</f>
        <v>2.98655368</v>
      </c>
      <c r="H2263" s="16">
        <f>ABS(Solieusap!H2263)</f>
        <v>0.001350808182</v>
      </c>
      <c r="I2263" s="16">
        <f>ABS(Solieusap!I2263)</f>
        <v>8.271815541</v>
      </c>
      <c r="J2263" s="16">
        <f>ABS(Solieusap!J2263)</f>
        <v>5.557140519</v>
      </c>
      <c r="K2263" s="16">
        <f t="shared" si="1"/>
        <v>23.05514935</v>
      </c>
      <c r="L2263" s="16">
        <f t="shared" si="2"/>
        <v>8.271815541</v>
      </c>
    </row>
    <row r="2264" ht="16.5" customHeight="1">
      <c r="A2264" s="15" t="str">
        <f>Solieusap!A2264</f>
        <v>Cũ</v>
      </c>
      <c r="B2264" s="15">
        <f>Solieusap!B2264</f>
        <v>1.75</v>
      </c>
      <c r="C2264" s="15" t="str">
        <f>Solieusap!C2264</f>
        <v>COMB5</v>
      </c>
      <c r="D2264" s="15" t="str">
        <f>Solieusap!D2264</f>
        <v>Combination</v>
      </c>
      <c r="E2264" s="16">
        <f>ABS(Solieusap!E2264)</f>
        <v>23.07200571</v>
      </c>
      <c r="F2264" s="16">
        <f>ABS(Solieusap!F2264)</f>
        <v>2.218096667</v>
      </c>
      <c r="G2264" s="16">
        <f>ABS(Solieusap!G2264)</f>
        <v>2.988818095</v>
      </c>
      <c r="H2264" s="16">
        <f>ABS(Solieusap!H2264)</f>
        <v>0.001351863286</v>
      </c>
      <c r="I2264" s="16">
        <f>ABS(Solieusap!I2264)</f>
        <v>8.278610333</v>
      </c>
      <c r="J2264" s="16">
        <f>ABS(Solieusap!J2264)</f>
        <v>5.561687571</v>
      </c>
      <c r="K2264" s="16">
        <f t="shared" si="1"/>
        <v>23.07200571</v>
      </c>
      <c r="L2264" s="16">
        <f t="shared" si="2"/>
        <v>8.278610333</v>
      </c>
    </row>
    <row r="2265" ht="16.5" customHeight="1">
      <c r="A2265" s="15" t="str">
        <f>Solieusap!A2265</f>
        <v>Cũ</v>
      </c>
      <c r="B2265" s="15">
        <f>Solieusap!B2265</f>
        <v>3.5</v>
      </c>
      <c r="C2265" s="15" t="str">
        <f>Solieusap!C2265</f>
        <v>COMB5</v>
      </c>
      <c r="D2265" s="15" t="str">
        <f>Solieusap!D2265</f>
        <v>Combination</v>
      </c>
      <c r="E2265" s="16">
        <f>ABS(Solieusap!E2265)</f>
        <v>23.08886208</v>
      </c>
      <c r="F2265" s="16">
        <f>ABS(Solieusap!F2265)</f>
        <v>2.219807186</v>
      </c>
      <c r="G2265" s="16">
        <f>ABS(Solieusap!G2265)</f>
        <v>2.991082511</v>
      </c>
      <c r="H2265" s="16">
        <f>ABS(Solieusap!H2265)</f>
        <v>0.00135291839</v>
      </c>
      <c r="I2265" s="16">
        <f>ABS(Solieusap!I2265)</f>
        <v>8.285405126</v>
      </c>
      <c r="J2265" s="16">
        <f>ABS(Solieusap!J2265)</f>
        <v>5.566234623</v>
      </c>
      <c r="K2265" s="16">
        <f t="shared" si="1"/>
        <v>23.08886208</v>
      </c>
      <c r="L2265" s="16">
        <f t="shared" si="2"/>
        <v>8.285405126</v>
      </c>
    </row>
    <row r="2266" ht="16.5" customHeight="1">
      <c r="A2266" s="15" t="str">
        <f>Solieusap!A2266</f>
        <v>Cũ</v>
      </c>
      <c r="B2266" s="15">
        <f>Solieusap!B2266</f>
        <v>0</v>
      </c>
      <c r="C2266" s="15" t="str">
        <f>Solieusap!C2266</f>
        <v>COMB6</v>
      </c>
      <c r="D2266" s="15" t="str">
        <f>Solieusap!D2266</f>
        <v>Combination</v>
      </c>
      <c r="E2266" s="16">
        <f>ABS(Solieusap!E2266)</f>
        <v>23.10571844</v>
      </c>
      <c r="F2266" s="16">
        <f>ABS(Solieusap!F2266)</f>
        <v>2.221517706</v>
      </c>
      <c r="G2266" s="16">
        <f>ABS(Solieusap!G2266)</f>
        <v>2.993346926</v>
      </c>
      <c r="H2266" s="16">
        <f>ABS(Solieusap!H2266)</f>
        <v>0.001353973494</v>
      </c>
      <c r="I2266" s="16">
        <f>ABS(Solieusap!I2266)</f>
        <v>8.292199918</v>
      </c>
      <c r="J2266" s="16">
        <f>ABS(Solieusap!J2266)</f>
        <v>5.570781675</v>
      </c>
      <c r="K2266" s="16">
        <f t="shared" si="1"/>
        <v>23.10571844</v>
      </c>
      <c r="L2266" s="16">
        <f t="shared" si="2"/>
        <v>8.292199918</v>
      </c>
    </row>
    <row r="2267" ht="16.5" customHeight="1">
      <c r="A2267" s="15" t="str">
        <f>Solieusap!A2267</f>
        <v>Cũ</v>
      </c>
      <c r="B2267" s="15">
        <f>Solieusap!B2267</f>
        <v>1.75</v>
      </c>
      <c r="C2267" s="15" t="str">
        <f>Solieusap!C2267</f>
        <v>COMB6</v>
      </c>
      <c r="D2267" s="15" t="str">
        <f>Solieusap!D2267</f>
        <v>Combination</v>
      </c>
      <c r="E2267" s="16">
        <f>ABS(Solieusap!E2267)</f>
        <v>23.12257481</v>
      </c>
      <c r="F2267" s="16">
        <f>ABS(Solieusap!F2267)</f>
        <v>2.223228225</v>
      </c>
      <c r="G2267" s="16">
        <f>ABS(Solieusap!G2267)</f>
        <v>2.995611342</v>
      </c>
      <c r="H2267" s="16">
        <f>ABS(Solieusap!H2267)</f>
        <v>0.001355028597</v>
      </c>
      <c r="I2267" s="16">
        <f>ABS(Solieusap!I2267)</f>
        <v>8.29899471</v>
      </c>
      <c r="J2267" s="16">
        <f>ABS(Solieusap!J2267)</f>
        <v>5.575328727</v>
      </c>
      <c r="K2267" s="16">
        <f t="shared" si="1"/>
        <v>23.12257481</v>
      </c>
      <c r="L2267" s="16">
        <f t="shared" si="2"/>
        <v>8.29899471</v>
      </c>
    </row>
    <row r="2268" ht="16.5" customHeight="1">
      <c r="A2268" s="15" t="str">
        <f>Solieusap!A2268</f>
        <v>Cũ</v>
      </c>
      <c r="B2268" s="15">
        <f>Solieusap!B2268</f>
        <v>3.5</v>
      </c>
      <c r="C2268" s="15" t="str">
        <f>Solieusap!C2268</f>
        <v>COMB6</v>
      </c>
      <c r="D2268" s="15" t="str">
        <f>Solieusap!D2268</f>
        <v>Combination</v>
      </c>
      <c r="E2268" s="16">
        <f>ABS(Solieusap!E2268)</f>
        <v>23.13943117</v>
      </c>
      <c r="F2268" s="16">
        <f>ABS(Solieusap!F2268)</f>
        <v>2.224938745</v>
      </c>
      <c r="G2268" s="16">
        <f>ABS(Solieusap!G2268)</f>
        <v>2.997875758</v>
      </c>
      <c r="H2268" s="16">
        <f>ABS(Solieusap!H2268)</f>
        <v>0.001356083701</v>
      </c>
      <c r="I2268" s="16">
        <f>ABS(Solieusap!I2268)</f>
        <v>8.305789502</v>
      </c>
      <c r="J2268" s="16">
        <f>ABS(Solieusap!J2268)</f>
        <v>5.579875779</v>
      </c>
      <c r="K2268" s="16">
        <f t="shared" si="1"/>
        <v>23.13943117</v>
      </c>
      <c r="L2268" s="16">
        <f t="shared" si="2"/>
        <v>8.305789502</v>
      </c>
    </row>
    <row r="2269" ht="16.5" customHeight="1">
      <c r="A2269" s="15" t="str">
        <f>Solieusap!A2269</f>
        <v>Cũ</v>
      </c>
      <c r="B2269" s="15">
        <f>Solieusap!B2269</f>
        <v>0</v>
      </c>
      <c r="C2269" s="15" t="str">
        <f>Solieusap!C2269</f>
        <v>COMB7</v>
      </c>
      <c r="D2269" s="15" t="str">
        <f>Solieusap!D2269</f>
        <v>Combination</v>
      </c>
      <c r="E2269" s="16">
        <f>ABS(Solieusap!E2269)</f>
        <v>23.15628753</v>
      </c>
      <c r="F2269" s="16">
        <f>ABS(Solieusap!F2269)</f>
        <v>2.226649264</v>
      </c>
      <c r="G2269" s="16">
        <f>ABS(Solieusap!G2269)</f>
        <v>3.000140173</v>
      </c>
      <c r="H2269" s="16">
        <f>ABS(Solieusap!H2269)</f>
        <v>0.001357138805</v>
      </c>
      <c r="I2269" s="16">
        <f>ABS(Solieusap!I2269)</f>
        <v>8.312584294</v>
      </c>
      <c r="J2269" s="16">
        <f>ABS(Solieusap!J2269)</f>
        <v>5.584422831</v>
      </c>
      <c r="K2269" s="16">
        <f t="shared" si="1"/>
        <v>23.15628753</v>
      </c>
      <c r="L2269" s="16">
        <f t="shared" si="2"/>
        <v>8.312584294</v>
      </c>
    </row>
    <row r="2270" ht="16.5" customHeight="1">
      <c r="A2270" s="15" t="str">
        <f>Solieusap!A2270</f>
        <v>Cũ</v>
      </c>
      <c r="B2270" s="15">
        <f>Solieusap!B2270</f>
        <v>1.75</v>
      </c>
      <c r="C2270" s="15" t="str">
        <f>Solieusap!C2270</f>
        <v>COMB7</v>
      </c>
      <c r="D2270" s="15" t="str">
        <f>Solieusap!D2270</f>
        <v>Combination</v>
      </c>
      <c r="E2270" s="16">
        <f>ABS(Solieusap!E2270)</f>
        <v>23.1731439</v>
      </c>
      <c r="F2270" s="16">
        <f>ABS(Solieusap!F2270)</f>
        <v>2.228359784</v>
      </c>
      <c r="G2270" s="16">
        <f>ABS(Solieusap!G2270)</f>
        <v>3.002404589</v>
      </c>
      <c r="H2270" s="16">
        <f>ABS(Solieusap!H2270)</f>
        <v>0.001358193909</v>
      </c>
      <c r="I2270" s="16">
        <f>ABS(Solieusap!I2270)</f>
        <v>8.319379087</v>
      </c>
      <c r="J2270" s="16">
        <f>ABS(Solieusap!J2270)</f>
        <v>5.588969883</v>
      </c>
      <c r="K2270" s="16">
        <f t="shared" si="1"/>
        <v>23.1731439</v>
      </c>
      <c r="L2270" s="16">
        <f t="shared" si="2"/>
        <v>8.319379087</v>
      </c>
    </row>
    <row r="2271" ht="16.5" customHeight="1">
      <c r="A2271" s="15" t="str">
        <f>Solieusap!A2271</f>
        <v>Cũ</v>
      </c>
      <c r="B2271" s="15">
        <f>Solieusap!B2271</f>
        <v>3.5</v>
      </c>
      <c r="C2271" s="15" t="str">
        <f>Solieusap!C2271</f>
        <v>COMB7</v>
      </c>
      <c r="D2271" s="15" t="str">
        <f>Solieusap!D2271</f>
        <v>Combination</v>
      </c>
      <c r="E2271" s="16">
        <f>ABS(Solieusap!E2271)</f>
        <v>23.19000026</v>
      </c>
      <c r="F2271" s="16">
        <f>ABS(Solieusap!F2271)</f>
        <v>2.230070303</v>
      </c>
      <c r="G2271" s="16">
        <f>ABS(Solieusap!G2271)</f>
        <v>3.004669004</v>
      </c>
      <c r="H2271" s="16">
        <f>ABS(Solieusap!H2271)</f>
        <v>0.001359249013</v>
      </c>
      <c r="I2271" s="16">
        <f>ABS(Solieusap!I2271)</f>
        <v>8.326173879</v>
      </c>
      <c r="J2271" s="16">
        <f>ABS(Solieusap!J2271)</f>
        <v>5.593516935</v>
      </c>
      <c r="K2271" s="16">
        <f t="shared" si="1"/>
        <v>23.19000026</v>
      </c>
      <c r="L2271" s="16">
        <f t="shared" si="2"/>
        <v>8.326173879</v>
      </c>
    </row>
    <row r="2272" ht="16.5" customHeight="1">
      <c r="A2272" s="15" t="str">
        <f>Solieusap!A2272</f>
        <v>Cũ</v>
      </c>
      <c r="B2272" s="15">
        <f>Solieusap!B2272</f>
        <v>0</v>
      </c>
      <c r="C2272" s="15" t="str">
        <f>Solieusap!C2272</f>
        <v>COMB1</v>
      </c>
      <c r="D2272" s="15" t="str">
        <f>Solieusap!D2272</f>
        <v>Combination</v>
      </c>
      <c r="E2272" s="16">
        <f>ABS(Solieusap!E2272)</f>
        <v>23.20685662</v>
      </c>
      <c r="F2272" s="16">
        <f>ABS(Solieusap!F2272)</f>
        <v>2.231780823</v>
      </c>
      <c r="G2272" s="16">
        <f>ABS(Solieusap!G2272)</f>
        <v>3.00693342</v>
      </c>
      <c r="H2272" s="16">
        <f>ABS(Solieusap!H2272)</f>
        <v>0.001360304117</v>
      </c>
      <c r="I2272" s="16">
        <f>ABS(Solieusap!I2272)</f>
        <v>8.332968671</v>
      </c>
      <c r="J2272" s="16">
        <f>ABS(Solieusap!J2272)</f>
        <v>5.598063987</v>
      </c>
      <c r="K2272" s="16">
        <f t="shared" si="1"/>
        <v>23.20685662</v>
      </c>
      <c r="L2272" s="16">
        <f t="shared" si="2"/>
        <v>8.332968671</v>
      </c>
    </row>
    <row r="2273" ht="16.5" customHeight="1">
      <c r="A2273" s="15" t="str">
        <f>Solieusap!A2273</f>
        <v>Cũ</v>
      </c>
      <c r="B2273" s="15">
        <f>Solieusap!B2273</f>
        <v>1.75</v>
      </c>
      <c r="C2273" s="15" t="str">
        <f>Solieusap!C2273</f>
        <v>COMB1</v>
      </c>
      <c r="D2273" s="15" t="str">
        <f>Solieusap!D2273</f>
        <v>Combination</v>
      </c>
      <c r="E2273" s="16">
        <f>ABS(Solieusap!E2273)</f>
        <v>23.22371299</v>
      </c>
      <c r="F2273" s="16">
        <f>ABS(Solieusap!F2273)</f>
        <v>2.233491342</v>
      </c>
      <c r="G2273" s="16">
        <f>ABS(Solieusap!G2273)</f>
        <v>3.009197835</v>
      </c>
      <c r="H2273" s="16">
        <f>ABS(Solieusap!H2273)</f>
        <v>0.001361359221</v>
      </c>
      <c r="I2273" s="16">
        <f>ABS(Solieusap!I2273)</f>
        <v>8.339763463</v>
      </c>
      <c r="J2273" s="16">
        <f>ABS(Solieusap!J2273)</f>
        <v>5.602611039</v>
      </c>
      <c r="K2273" s="16">
        <f t="shared" si="1"/>
        <v>23.22371299</v>
      </c>
      <c r="L2273" s="16">
        <f t="shared" si="2"/>
        <v>8.339763463</v>
      </c>
    </row>
    <row r="2274" ht="16.5" customHeight="1">
      <c r="A2274" s="15" t="str">
        <f>Solieusap!A2274</f>
        <v>Cũ</v>
      </c>
      <c r="B2274" s="15">
        <f>Solieusap!B2274</f>
        <v>3.5</v>
      </c>
      <c r="C2274" s="15" t="str">
        <f>Solieusap!C2274</f>
        <v>COMB1</v>
      </c>
      <c r="D2274" s="15" t="str">
        <f>Solieusap!D2274</f>
        <v>Combination</v>
      </c>
      <c r="E2274" s="16">
        <f>ABS(Solieusap!E2274)</f>
        <v>23.24056935</v>
      </c>
      <c r="F2274" s="16">
        <f>ABS(Solieusap!F2274)</f>
        <v>2.235201861</v>
      </c>
      <c r="G2274" s="16">
        <f>ABS(Solieusap!G2274)</f>
        <v>3.011462251</v>
      </c>
      <c r="H2274" s="16">
        <f>ABS(Solieusap!H2274)</f>
        <v>0.001362414325</v>
      </c>
      <c r="I2274" s="16">
        <f>ABS(Solieusap!I2274)</f>
        <v>8.346558255</v>
      </c>
      <c r="J2274" s="16">
        <f>ABS(Solieusap!J2274)</f>
        <v>5.607158091</v>
      </c>
      <c r="K2274" s="16">
        <f t="shared" si="1"/>
        <v>23.24056935</v>
      </c>
      <c r="L2274" s="16">
        <f t="shared" si="2"/>
        <v>8.346558255</v>
      </c>
    </row>
    <row r="2275" ht="16.5" customHeight="1">
      <c r="A2275" s="15" t="str">
        <f>Solieusap!A2275</f>
        <v>Cũ</v>
      </c>
      <c r="B2275" s="15">
        <f>Solieusap!B2275</f>
        <v>0</v>
      </c>
      <c r="C2275" s="15" t="str">
        <f>Solieusap!C2275</f>
        <v>COMB2</v>
      </c>
      <c r="D2275" s="15" t="str">
        <f>Solieusap!D2275</f>
        <v>Combination</v>
      </c>
      <c r="E2275" s="16">
        <f>ABS(Solieusap!E2275)</f>
        <v>23.25742571</v>
      </c>
      <c r="F2275" s="16">
        <f>ABS(Solieusap!F2275)</f>
        <v>2.236912381</v>
      </c>
      <c r="G2275" s="16">
        <f>ABS(Solieusap!G2275)</f>
        <v>3.013726667</v>
      </c>
      <c r="H2275" s="16">
        <f>ABS(Solieusap!H2275)</f>
        <v>0.001363469429</v>
      </c>
      <c r="I2275" s="16">
        <f>ABS(Solieusap!I2275)</f>
        <v>8.353353048</v>
      </c>
      <c r="J2275" s="16">
        <f>ABS(Solieusap!J2275)</f>
        <v>5.611705143</v>
      </c>
      <c r="K2275" s="16">
        <f t="shared" si="1"/>
        <v>23.25742571</v>
      </c>
      <c r="L2275" s="16">
        <f t="shared" si="2"/>
        <v>8.353353048</v>
      </c>
    </row>
    <row r="2276" ht="16.5" customHeight="1">
      <c r="A2276" s="15" t="str">
        <f>Solieusap!A2276</f>
        <v>Cũ</v>
      </c>
      <c r="B2276" s="15">
        <f>Solieusap!B2276</f>
        <v>1.75</v>
      </c>
      <c r="C2276" s="15" t="str">
        <f>Solieusap!C2276</f>
        <v>COMB2</v>
      </c>
      <c r="D2276" s="15" t="str">
        <f>Solieusap!D2276</f>
        <v>Combination</v>
      </c>
      <c r="E2276" s="16">
        <f>ABS(Solieusap!E2276)</f>
        <v>23.27428208</v>
      </c>
      <c r="F2276" s="16">
        <f>ABS(Solieusap!F2276)</f>
        <v>2.2386229</v>
      </c>
      <c r="G2276" s="16">
        <f>ABS(Solieusap!G2276)</f>
        <v>3.015991082</v>
      </c>
      <c r="H2276" s="16">
        <f>ABS(Solieusap!H2276)</f>
        <v>0.001364524532</v>
      </c>
      <c r="I2276" s="16">
        <f>ABS(Solieusap!I2276)</f>
        <v>8.36014784</v>
      </c>
      <c r="J2276" s="16">
        <f>ABS(Solieusap!J2276)</f>
        <v>5.616252195</v>
      </c>
      <c r="K2276" s="16">
        <f t="shared" si="1"/>
        <v>23.27428208</v>
      </c>
      <c r="L2276" s="16">
        <f t="shared" si="2"/>
        <v>8.36014784</v>
      </c>
    </row>
    <row r="2277" ht="16.5" customHeight="1">
      <c r="A2277" s="15" t="str">
        <f>Solieusap!A2277</f>
        <v>Cũ</v>
      </c>
      <c r="B2277" s="15">
        <f>Solieusap!B2277</f>
        <v>3.5</v>
      </c>
      <c r="C2277" s="15" t="str">
        <f>Solieusap!C2277</f>
        <v>COMB2</v>
      </c>
      <c r="D2277" s="15" t="str">
        <f>Solieusap!D2277</f>
        <v>Combination</v>
      </c>
      <c r="E2277" s="16">
        <f>ABS(Solieusap!E2277)</f>
        <v>23.29113844</v>
      </c>
      <c r="F2277" s="16">
        <f>ABS(Solieusap!F2277)</f>
        <v>2.24033342</v>
      </c>
      <c r="G2277" s="16">
        <f>ABS(Solieusap!G2277)</f>
        <v>3.018255498</v>
      </c>
      <c r="H2277" s="16">
        <f>ABS(Solieusap!H2277)</f>
        <v>0.001365579636</v>
      </c>
      <c r="I2277" s="16">
        <f>ABS(Solieusap!I2277)</f>
        <v>8.366942632</v>
      </c>
      <c r="J2277" s="16">
        <f>ABS(Solieusap!J2277)</f>
        <v>5.620799247</v>
      </c>
      <c r="K2277" s="16">
        <f t="shared" si="1"/>
        <v>23.29113844</v>
      </c>
      <c r="L2277" s="16">
        <f t="shared" si="2"/>
        <v>8.366942632</v>
      </c>
    </row>
    <row r="2278" ht="16.5" customHeight="1">
      <c r="A2278" s="15" t="str">
        <f>Solieusap!A2278</f>
        <v>Cũ</v>
      </c>
      <c r="B2278" s="15">
        <f>Solieusap!B2278</f>
        <v>0</v>
      </c>
      <c r="C2278" s="15" t="str">
        <f>Solieusap!C2278</f>
        <v>COMB3</v>
      </c>
      <c r="D2278" s="15" t="str">
        <f>Solieusap!D2278</f>
        <v>Combination</v>
      </c>
      <c r="E2278" s="16">
        <f>ABS(Solieusap!E2278)</f>
        <v>23.30799481</v>
      </c>
      <c r="F2278" s="16">
        <f>ABS(Solieusap!F2278)</f>
        <v>2.242043939</v>
      </c>
      <c r="G2278" s="16">
        <f>ABS(Solieusap!G2278)</f>
        <v>3.020519913</v>
      </c>
      <c r="H2278" s="16">
        <f>ABS(Solieusap!H2278)</f>
        <v>0.00136663474</v>
      </c>
      <c r="I2278" s="16">
        <f>ABS(Solieusap!I2278)</f>
        <v>8.373737424</v>
      </c>
      <c r="J2278" s="16">
        <f>ABS(Solieusap!J2278)</f>
        <v>5.625346299</v>
      </c>
      <c r="K2278" s="16">
        <f t="shared" si="1"/>
        <v>23.30799481</v>
      </c>
      <c r="L2278" s="16">
        <f t="shared" si="2"/>
        <v>8.373737424</v>
      </c>
    </row>
    <row r="2279" ht="16.5" customHeight="1">
      <c r="A2279" s="15" t="str">
        <f>Solieusap!A2279</f>
        <v>Cũ</v>
      </c>
      <c r="B2279" s="15">
        <f>Solieusap!B2279</f>
        <v>1.75</v>
      </c>
      <c r="C2279" s="15" t="str">
        <f>Solieusap!C2279</f>
        <v>COMB3</v>
      </c>
      <c r="D2279" s="15" t="str">
        <f>Solieusap!D2279</f>
        <v>Combination</v>
      </c>
      <c r="E2279" s="16">
        <f>ABS(Solieusap!E2279)</f>
        <v>23.32485117</v>
      </c>
      <c r="F2279" s="16">
        <f>ABS(Solieusap!F2279)</f>
        <v>2.243754459</v>
      </c>
      <c r="G2279" s="16">
        <f>ABS(Solieusap!G2279)</f>
        <v>3.022784329</v>
      </c>
      <c r="H2279" s="16">
        <f>ABS(Solieusap!H2279)</f>
        <v>0.001367689844</v>
      </c>
      <c r="I2279" s="16">
        <f>ABS(Solieusap!I2279)</f>
        <v>8.380532216</v>
      </c>
      <c r="J2279" s="16">
        <f>ABS(Solieusap!J2279)</f>
        <v>5.629893351</v>
      </c>
      <c r="K2279" s="16">
        <f t="shared" si="1"/>
        <v>23.32485117</v>
      </c>
      <c r="L2279" s="16">
        <f t="shared" si="2"/>
        <v>8.380532216</v>
      </c>
    </row>
    <row r="2280" ht="16.5" customHeight="1">
      <c r="A2280" s="15" t="str">
        <f>Solieusap!A2280</f>
        <v>Cũ</v>
      </c>
      <c r="B2280" s="15">
        <f>Solieusap!B2280</f>
        <v>3.5</v>
      </c>
      <c r="C2280" s="15" t="str">
        <f>Solieusap!C2280</f>
        <v>COMB3</v>
      </c>
      <c r="D2280" s="15" t="str">
        <f>Solieusap!D2280</f>
        <v>Combination</v>
      </c>
      <c r="E2280" s="16">
        <f>ABS(Solieusap!E2280)</f>
        <v>23.34170753</v>
      </c>
      <c r="F2280" s="16">
        <f>ABS(Solieusap!F2280)</f>
        <v>2.245464978</v>
      </c>
      <c r="G2280" s="16">
        <f>ABS(Solieusap!G2280)</f>
        <v>3.025048745</v>
      </c>
      <c r="H2280" s="16">
        <f>ABS(Solieusap!H2280)</f>
        <v>0.001368744948</v>
      </c>
      <c r="I2280" s="16">
        <f>ABS(Solieusap!I2280)</f>
        <v>8.387327009</v>
      </c>
      <c r="J2280" s="16">
        <f>ABS(Solieusap!J2280)</f>
        <v>5.634440403</v>
      </c>
      <c r="K2280" s="16">
        <f t="shared" si="1"/>
        <v>23.34170753</v>
      </c>
      <c r="L2280" s="16">
        <f t="shared" si="2"/>
        <v>8.387327009</v>
      </c>
    </row>
    <row r="2281" ht="16.5" customHeight="1">
      <c r="A2281" s="15" t="str">
        <f>Solieusap!A2281</f>
        <v>Cũ</v>
      </c>
      <c r="B2281" s="15">
        <f>Solieusap!B2281</f>
        <v>0</v>
      </c>
      <c r="C2281" s="15" t="str">
        <f>Solieusap!C2281</f>
        <v>COMB4</v>
      </c>
      <c r="D2281" s="15" t="str">
        <f>Solieusap!D2281</f>
        <v>Combination</v>
      </c>
      <c r="E2281" s="16">
        <f>ABS(Solieusap!E2281)</f>
        <v>23.3585639</v>
      </c>
      <c r="F2281" s="16">
        <f>ABS(Solieusap!F2281)</f>
        <v>2.247175498</v>
      </c>
      <c r="G2281" s="16">
        <f>ABS(Solieusap!G2281)</f>
        <v>3.02731316</v>
      </c>
      <c r="H2281" s="16">
        <f>ABS(Solieusap!H2281)</f>
        <v>0.001369800052</v>
      </c>
      <c r="I2281" s="16">
        <f>ABS(Solieusap!I2281)</f>
        <v>8.394121801</v>
      </c>
      <c r="J2281" s="16">
        <f>ABS(Solieusap!J2281)</f>
        <v>5.638987455</v>
      </c>
      <c r="K2281" s="16">
        <f t="shared" si="1"/>
        <v>23.3585639</v>
      </c>
      <c r="L2281" s="16">
        <f t="shared" si="2"/>
        <v>8.394121801</v>
      </c>
    </row>
    <row r="2282" ht="16.5" customHeight="1">
      <c r="A2282" s="15" t="str">
        <f>Solieusap!A2282</f>
        <v>Cũ</v>
      </c>
      <c r="B2282" s="15">
        <f>Solieusap!B2282</f>
        <v>1.75</v>
      </c>
      <c r="C2282" s="15" t="str">
        <f>Solieusap!C2282</f>
        <v>COMB4</v>
      </c>
      <c r="D2282" s="15" t="str">
        <f>Solieusap!D2282</f>
        <v>Combination</v>
      </c>
      <c r="E2282" s="16">
        <f>ABS(Solieusap!E2282)</f>
        <v>23.37542026</v>
      </c>
      <c r="F2282" s="16">
        <f>ABS(Solieusap!F2282)</f>
        <v>2.248886017</v>
      </c>
      <c r="G2282" s="16">
        <f>ABS(Solieusap!G2282)</f>
        <v>3.029577576</v>
      </c>
      <c r="H2282" s="16">
        <f>ABS(Solieusap!H2282)</f>
        <v>0.001370855156</v>
      </c>
      <c r="I2282" s="16">
        <f>ABS(Solieusap!I2282)</f>
        <v>8.400916593</v>
      </c>
      <c r="J2282" s="16">
        <f>ABS(Solieusap!J2282)</f>
        <v>5.643534506</v>
      </c>
      <c r="K2282" s="16">
        <f t="shared" si="1"/>
        <v>23.37542026</v>
      </c>
      <c r="L2282" s="16">
        <f t="shared" si="2"/>
        <v>8.400916593</v>
      </c>
    </row>
    <row r="2283" ht="16.5" customHeight="1">
      <c r="A2283" s="15" t="str">
        <f>Solieusap!A2283</f>
        <v>Cũ</v>
      </c>
      <c r="B2283" s="15">
        <f>Solieusap!B2283</f>
        <v>3.5</v>
      </c>
      <c r="C2283" s="15" t="str">
        <f>Solieusap!C2283</f>
        <v>COMB4</v>
      </c>
      <c r="D2283" s="15" t="str">
        <f>Solieusap!D2283</f>
        <v>Combination</v>
      </c>
      <c r="E2283" s="16">
        <f>ABS(Solieusap!E2283)</f>
        <v>23.39227662</v>
      </c>
      <c r="F2283" s="16">
        <f>ABS(Solieusap!F2283)</f>
        <v>2.250596537</v>
      </c>
      <c r="G2283" s="16">
        <f>ABS(Solieusap!G2283)</f>
        <v>3.031841991</v>
      </c>
      <c r="H2283" s="16">
        <f>ABS(Solieusap!H2283)</f>
        <v>0.00137191026</v>
      </c>
      <c r="I2283" s="16">
        <f>ABS(Solieusap!I2283)</f>
        <v>8.407711385</v>
      </c>
      <c r="J2283" s="16">
        <f>ABS(Solieusap!J2283)</f>
        <v>5.648081558</v>
      </c>
      <c r="K2283" s="16">
        <f t="shared" si="1"/>
        <v>23.39227662</v>
      </c>
      <c r="L2283" s="16">
        <f t="shared" si="2"/>
        <v>8.407711385</v>
      </c>
    </row>
    <row r="2284" ht="16.5" customHeight="1">
      <c r="A2284" s="15" t="str">
        <f>Solieusap!A2284</f>
        <v>Cũ</v>
      </c>
      <c r="B2284" s="15">
        <f>Solieusap!B2284</f>
        <v>0</v>
      </c>
      <c r="C2284" s="15" t="str">
        <f>Solieusap!C2284</f>
        <v>COMB5</v>
      </c>
      <c r="D2284" s="15" t="str">
        <f>Solieusap!D2284</f>
        <v>Combination</v>
      </c>
      <c r="E2284" s="16">
        <f>ABS(Solieusap!E2284)</f>
        <v>23.40913299</v>
      </c>
      <c r="F2284" s="16">
        <f>ABS(Solieusap!F2284)</f>
        <v>2.252307056</v>
      </c>
      <c r="G2284" s="16">
        <f>ABS(Solieusap!G2284)</f>
        <v>3.034106407</v>
      </c>
      <c r="H2284" s="16">
        <f>ABS(Solieusap!H2284)</f>
        <v>0.001372965364</v>
      </c>
      <c r="I2284" s="16">
        <f>ABS(Solieusap!I2284)</f>
        <v>8.414506177</v>
      </c>
      <c r="J2284" s="16">
        <f>ABS(Solieusap!J2284)</f>
        <v>5.65262861</v>
      </c>
      <c r="K2284" s="16">
        <f t="shared" si="1"/>
        <v>23.40913299</v>
      </c>
      <c r="L2284" s="16">
        <f t="shared" si="2"/>
        <v>8.414506177</v>
      </c>
    </row>
    <row r="2285" ht="16.5" customHeight="1">
      <c r="A2285" s="15" t="str">
        <f>Solieusap!A2285</f>
        <v>Cũ</v>
      </c>
      <c r="B2285" s="15">
        <f>Solieusap!B2285</f>
        <v>1.75</v>
      </c>
      <c r="C2285" s="15" t="str">
        <f>Solieusap!C2285</f>
        <v>COMB5</v>
      </c>
      <c r="D2285" s="15" t="str">
        <f>Solieusap!D2285</f>
        <v>Combination</v>
      </c>
      <c r="E2285" s="16">
        <f>ABS(Solieusap!E2285)</f>
        <v>23.42598935</v>
      </c>
      <c r="F2285" s="16">
        <f>ABS(Solieusap!F2285)</f>
        <v>2.254017576</v>
      </c>
      <c r="G2285" s="16">
        <f>ABS(Solieusap!G2285)</f>
        <v>3.036370823</v>
      </c>
      <c r="H2285" s="16">
        <f>ABS(Solieusap!H2285)</f>
        <v>0.001374020468</v>
      </c>
      <c r="I2285" s="16">
        <f>ABS(Solieusap!I2285)</f>
        <v>8.42130097</v>
      </c>
      <c r="J2285" s="16">
        <f>ABS(Solieusap!J2285)</f>
        <v>5.657175662</v>
      </c>
      <c r="K2285" s="16">
        <f t="shared" si="1"/>
        <v>23.42598935</v>
      </c>
      <c r="L2285" s="16">
        <f t="shared" si="2"/>
        <v>8.42130097</v>
      </c>
    </row>
    <row r="2286" ht="16.5" customHeight="1">
      <c r="A2286" s="15" t="str">
        <f>Solieusap!A2286</f>
        <v>Cũ</v>
      </c>
      <c r="B2286" s="15">
        <f>Solieusap!B2286</f>
        <v>3.5</v>
      </c>
      <c r="C2286" s="15" t="str">
        <f>Solieusap!C2286</f>
        <v>COMB5</v>
      </c>
      <c r="D2286" s="15" t="str">
        <f>Solieusap!D2286</f>
        <v>Combination</v>
      </c>
      <c r="E2286" s="16">
        <f>ABS(Solieusap!E2286)</f>
        <v>23.44284571</v>
      </c>
      <c r="F2286" s="16">
        <f>ABS(Solieusap!F2286)</f>
        <v>2.255728095</v>
      </c>
      <c r="G2286" s="16">
        <f>ABS(Solieusap!G2286)</f>
        <v>3.038635238</v>
      </c>
      <c r="H2286" s="16">
        <f>ABS(Solieusap!H2286)</f>
        <v>0.001375075571</v>
      </c>
      <c r="I2286" s="16">
        <f>ABS(Solieusap!I2286)</f>
        <v>8.428095762</v>
      </c>
      <c r="J2286" s="16">
        <f>ABS(Solieusap!J2286)</f>
        <v>5.661722714</v>
      </c>
      <c r="K2286" s="16">
        <f t="shared" si="1"/>
        <v>23.44284571</v>
      </c>
      <c r="L2286" s="16">
        <f t="shared" si="2"/>
        <v>8.428095762</v>
      </c>
    </row>
    <row r="2287" ht="16.5" customHeight="1">
      <c r="A2287" s="15" t="str">
        <f>Solieusap!A2287</f>
        <v>Cũ</v>
      </c>
      <c r="B2287" s="15">
        <f>Solieusap!B2287</f>
        <v>0</v>
      </c>
      <c r="C2287" s="15" t="str">
        <f>Solieusap!C2287</f>
        <v>COMB6</v>
      </c>
      <c r="D2287" s="15" t="str">
        <f>Solieusap!D2287</f>
        <v>Combination</v>
      </c>
      <c r="E2287" s="16">
        <f>ABS(Solieusap!E2287)</f>
        <v>23.45970208</v>
      </c>
      <c r="F2287" s="16">
        <f>ABS(Solieusap!F2287)</f>
        <v>2.257438615</v>
      </c>
      <c r="G2287" s="16">
        <f>ABS(Solieusap!G2287)</f>
        <v>3.040899654</v>
      </c>
      <c r="H2287" s="16">
        <f>ABS(Solieusap!H2287)</f>
        <v>0.001376130675</v>
      </c>
      <c r="I2287" s="16">
        <f>ABS(Solieusap!I2287)</f>
        <v>8.434890554</v>
      </c>
      <c r="J2287" s="16">
        <f>ABS(Solieusap!J2287)</f>
        <v>5.666269766</v>
      </c>
      <c r="K2287" s="16">
        <f t="shared" si="1"/>
        <v>23.45970208</v>
      </c>
      <c r="L2287" s="16">
        <f t="shared" si="2"/>
        <v>8.434890554</v>
      </c>
    </row>
    <row r="2288" ht="16.5" customHeight="1">
      <c r="A2288" s="15" t="str">
        <f>Solieusap!A2288</f>
        <v>Cũ</v>
      </c>
      <c r="B2288" s="15">
        <f>Solieusap!B2288</f>
        <v>1.75</v>
      </c>
      <c r="C2288" s="15" t="str">
        <f>Solieusap!C2288</f>
        <v>COMB6</v>
      </c>
      <c r="D2288" s="15" t="str">
        <f>Solieusap!D2288</f>
        <v>Combination</v>
      </c>
      <c r="E2288" s="16">
        <f>ABS(Solieusap!E2288)</f>
        <v>23.47655844</v>
      </c>
      <c r="F2288" s="16">
        <f>ABS(Solieusap!F2288)</f>
        <v>2.259149134</v>
      </c>
      <c r="G2288" s="16">
        <f>ABS(Solieusap!G2288)</f>
        <v>3.043164069</v>
      </c>
      <c r="H2288" s="16">
        <f>ABS(Solieusap!H2288)</f>
        <v>0.001377185779</v>
      </c>
      <c r="I2288" s="16">
        <f>ABS(Solieusap!I2288)</f>
        <v>8.441685346</v>
      </c>
      <c r="J2288" s="16">
        <f>ABS(Solieusap!J2288)</f>
        <v>5.670816818</v>
      </c>
      <c r="K2288" s="16">
        <f t="shared" si="1"/>
        <v>23.47655844</v>
      </c>
      <c r="L2288" s="16">
        <f t="shared" si="2"/>
        <v>8.441685346</v>
      </c>
    </row>
    <row r="2289" ht="16.5" customHeight="1">
      <c r="A2289" s="15" t="str">
        <f>Solieusap!A2289</f>
        <v>Cũ</v>
      </c>
      <c r="B2289" s="15">
        <f>Solieusap!B2289</f>
        <v>3.5</v>
      </c>
      <c r="C2289" s="15" t="str">
        <f>Solieusap!C2289</f>
        <v>COMB6</v>
      </c>
      <c r="D2289" s="15" t="str">
        <f>Solieusap!D2289</f>
        <v>Combination</v>
      </c>
      <c r="E2289" s="16">
        <f>ABS(Solieusap!E2289)</f>
        <v>23.49341481</v>
      </c>
      <c r="F2289" s="16">
        <f>ABS(Solieusap!F2289)</f>
        <v>2.260859654</v>
      </c>
      <c r="G2289" s="16">
        <f>ABS(Solieusap!G2289)</f>
        <v>3.045428485</v>
      </c>
      <c r="H2289" s="16">
        <f>ABS(Solieusap!H2289)</f>
        <v>0.001378240883</v>
      </c>
      <c r="I2289" s="16">
        <f>ABS(Solieusap!I2289)</f>
        <v>8.448480139</v>
      </c>
      <c r="J2289" s="16">
        <f>ABS(Solieusap!J2289)</f>
        <v>5.67536387</v>
      </c>
      <c r="K2289" s="16">
        <f t="shared" si="1"/>
        <v>23.49341481</v>
      </c>
      <c r="L2289" s="16">
        <f t="shared" si="2"/>
        <v>8.448480139</v>
      </c>
    </row>
    <row r="2290" ht="16.5" customHeight="1">
      <c r="A2290" s="15" t="str">
        <f>Solieusap!A2290</f>
        <v>Cũ</v>
      </c>
      <c r="B2290" s="15">
        <f>Solieusap!B2290</f>
        <v>0</v>
      </c>
      <c r="C2290" s="15" t="str">
        <f>Solieusap!C2290</f>
        <v>COMB7</v>
      </c>
      <c r="D2290" s="15" t="str">
        <f>Solieusap!D2290</f>
        <v>Combination</v>
      </c>
      <c r="E2290" s="16">
        <f>ABS(Solieusap!E2290)</f>
        <v>23.51027117</v>
      </c>
      <c r="F2290" s="16">
        <f>ABS(Solieusap!F2290)</f>
        <v>2.262570173</v>
      </c>
      <c r="G2290" s="16">
        <f>ABS(Solieusap!G2290)</f>
        <v>3.0476929</v>
      </c>
      <c r="H2290" s="16">
        <f>ABS(Solieusap!H2290)</f>
        <v>0.001379295987</v>
      </c>
      <c r="I2290" s="16">
        <f>ABS(Solieusap!I2290)</f>
        <v>8.455274931</v>
      </c>
      <c r="J2290" s="16">
        <f>ABS(Solieusap!J2290)</f>
        <v>5.679910922</v>
      </c>
      <c r="K2290" s="16">
        <f t="shared" si="1"/>
        <v>23.51027117</v>
      </c>
      <c r="L2290" s="16">
        <f t="shared" si="2"/>
        <v>8.455274931</v>
      </c>
    </row>
    <row r="2291" ht="16.5" customHeight="1">
      <c r="A2291" s="15" t="str">
        <f>Solieusap!A2291</f>
        <v>Cũ</v>
      </c>
      <c r="B2291" s="15">
        <f>Solieusap!B2291</f>
        <v>1.75</v>
      </c>
      <c r="C2291" s="15" t="str">
        <f>Solieusap!C2291</f>
        <v>COMB7</v>
      </c>
      <c r="D2291" s="15" t="str">
        <f>Solieusap!D2291</f>
        <v>Combination</v>
      </c>
      <c r="E2291" s="16">
        <f>ABS(Solieusap!E2291)</f>
        <v>23.52712753</v>
      </c>
      <c r="F2291" s="16">
        <f>ABS(Solieusap!F2291)</f>
        <v>2.264280693</v>
      </c>
      <c r="G2291" s="16">
        <f>ABS(Solieusap!G2291)</f>
        <v>3.049957316</v>
      </c>
      <c r="H2291" s="16">
        <f>ABS(Solieusap!H2291)</f>
        <v>0.001380351091</v>
      </c>
      <c r="I2291" s="16">
        <f>ABS(Solieusap!I2291)</f>
        <v>8.462069723</v>
      </c>
      <c r="J2291" s="16">
        <f>ABS(Solieusap!J2291)</f>
        <v>5.684457974</v>
      </c>
      <c r="K2291" s="16">
        <f t="shared" si="1"/>
        <v>23.52712753</v>
      </c>
      <c r="L2291" s="16">
        <f t="shared" si="2"/>
        <v>8.462069723</v>
      </c>
    </row>
    <row r="2292" ht="16.5" customHeight="1">
      <c r="A2292" s="15" t="str">
        <f>Solieusap!A2292</f>
        <v>Cũ</v>
      </c>
      <c r="B2292" s="15">
        <f>Solieusap!B2292</f>
        <v>3.5</v>
      </c>
      <c r="C2292" s="15" t="str">
        <f>Solieusap!C2292</f>
        <v>COMB7</v>
      </c>
      <c r="D2292" s="15" t="str">
        <f>Solieusap!D2292</f>
        <v>Combination</v>
      </c>
      <c r="E2292" s="16">
        <f>ABS(Solieusap!E2292)</f>
        <v>23.5439839</v>
      </c>
      <c r="F2292" s="16">
        <f>ABS(Solieusap!F2292)</f>
        <v>2.265991212</v>
      </c>
      <c r="G2292" s="16">
        <f>ABS(Solieusap!G2292)</f>
        <v>3.052221732</v>
      </c>
      <c r="H2292" s="16">
        <f>ABS(Solieusap!H2292)</f>
        <v>0.001381406195</v>
      </c>
      <c r="I2292" s="16">
        <f>ABS(Solieusap!I2292)</f>
        <v>8.468864515</v>
      </c>
      <c r="J2292" s="16">
        <f>ABS(Solieusap!J2292)</f>
        <v>5.689005026</v>
      </c>
      <c r="K2292" s="16">
        <f t="shared" si="1"/>
        <v>23.5439839</v>
      </c>
      <c r="L2292" s="16">
        <f t="shared" si="2"/>
        <v>8.468864515</v>
      </c>
    </row>
    <row r="2293" ht="16.5" customHeight="1">
      <c r="A2293" s="15" t="str">
        <f>Solieusap!A2293</f>
        <v>Cũ</v>
      </c>
      <c r="B2293" s="15">
        <f>Solieusap!B2293</f>
        <v>0</v>
      </c>
      <c r="C2293" s="15" t="str">
        <f>Solieusap!C2293</f>
        <v>COMB1</v>
      </c>
      <c r="D2293" s="15" t="str">
        <f>Solieusap!D2293</f>
        <v>Combination</v>
      </c>
      <c r="E2293" s="16">
        <f>ABS(Solieusap!E2293)</f>
        <v>23.56084026</v>
      </c>
      <c r="F2293" s="16">
        <f>ABS(Solieusap!F2293)</f>
        <v>2.267701732</v>
      </c>
      <c r="G2293" s="16">
        <f>ABS(Solieusap!G2293)</f>
        <v>3.054486147</v>
      </c>
      <c r="H2293" s="16">
        <f>ABS(Solieusap!H2293)</f>
        <v>0.001382461299</v>
      </c>
      <c r="I2293" s="16">
        <f>ABS(Solieusap!I2293)</f>
        <v>8.475659307</v>
      </c>
      <c r="J2293" s="16">
        <f>ABS(Solieusap!J2293)</f>
        <v>5.693552078</v>
      </c>
      <c r="K2293" s="16">
        <f t="shared" si="1"/>
        <v>23.56084026</v>
      </c>
      <c r="L2293" s="16">
        <f t="shared" si="2"/>
        <v>8.475659307</v>
      </c>
    </row>
    <row r="2294" ht="16.5" customHeight="1">
      <c r="A2294" s="15" t="str">
        <f>Solieusap!A2294</f>
        <v>Cũ</v>
      </c>
      <c r="B2294" s="15">
        <f>Solieusap!B2294</f>
        <v>1.75</v>
      </c>
      <c r="C2294" s="15" t="str">
        <f>Solieusap!C2294</f>
        <v>COMB1</v>
      </c>
      <c r="D2294" s="15" t="str">
        <f>Solieusap!D2294</f>
        <v>Combination</v>
      </c>
      <c r="E2294" s="16">
        <f>ABS(Solieusap!E2294)</f>
        <v>23.57769662</v>
      </c>
      <c r="F2294" s="16">
        <f>ABS(Solieusap!F2294)</f>
        <v>2.269412251</v>
      </c>
      <c r="G2294" s="16">
        <f>ABS(Solieusap!G2294)</f>
        <v>3.056750563</v>
      </c>
      <c r="H2294" s="16">
        <f>ABS(Solieusap!H2294)</f>
        <v>0.001383516403</v>
      </c>
      <c r="I2294" s="16">
        <f>ABS(Solieusap!I2294)</f>
        <v>8.4824541</v>
      </c>
      <c r="J2294" s="16">
        <f>ABS(Solieusap!J2294)</f>
        <v>5.69809913</v>
      </c>
      <c r="K2294" s="16">
        <f t="shared" si="1"/>
        <v>23.57769662</v>
      </c>
      <c r="L2294" s="16">
        <f t="shared" si="2"/>
        <v>8.4824541</v>
      </c>
    </row>
    <row r="2295" ht="16.5" customHeight="1">
      <c r="A2295" s="15" t="str">
        <f>Solieusap!A2295</f>
        <v>Cũ</v>
      </c>
      <c r="B2295" s="15">
        <f>Solieusap!B2295</f>
        <v>3.5</v>
      </c>
      <c r="C2295" s="15" t="str">
        <f>Solieusap!C2295</f>
        <v>COMB1</v>
      </c>
      <c r="D2295" s="15" t="str">
        <f>Solieusap!D2295</f>
        <v>Combination</v>
      </c>
      <c r="E2295" s="16">
        <f>ABS(Solieusap!E2295)</f>
        <v>23.59455299</v>
      </c>
      <c r="F2295" s="16">
        <f>ABS(Solieusap!F2295)</f>
        <v>2.271122771</v>
      </c>
      <c r="G2295" s="16">
        <f>ABS(Solieusap!G2295)</f>
        <v>3.059014978</v>
      </c>
      <c r="H2295" s="16">
        <f>ABS(Solieusap!H2295)</f>
        <v>0.001384571506</v>
      </c>
      <c r="I2295" s="16">
        <f>ABS(Solieusap!I2295)</f>
        <v>8.489248892</v>
      </c>
      <c r="J2295" s="16">
        <f>ABS(Solieusap!J2295)</f>
        <v>5.702646182</v>
      </c>
      <c r="K2295" s="16">
        <f t="shared" si="1"/>
        <v>23.59455299</v>
      </c>
      <c r="L2295" s="16">
        <f t="shared" si="2"/>
        <v>8.489248892</v>
      </c>
    </row>
    <row r="2296" ht="16.5" customHeight="1">
      <c r="A2296" s="15" t="str">
        <f>Solieusap!A2296</f>
        <v>Cũ</v>
      </c>
      <c r="B2296" s="15">
        <f>Solieusap!B2296</f>
        <v>0</v>
      </c>
      <c r="C2296" s="15" t="str">
        <f>Solieusap!C2296</f>
        <v>COMB2</v>
      </c>
      <c r="D2296" s="15" t="str">
        <f>Solieusap!D2296</f>
        <v>Combination</v>
      </c>
      <c r="E2296" s="16">
        <f>ABS(Solieusap!E2296)</f>
        <v>23.61140935</v>
      </c>
      <c r="F2296" s="16">
        <f>ABS(Solieusap!F2296)</f>
        <v>2.27283329</v>
      </c>
      <c r="G2296" s="16">
        <f>ABS(Solieusap!G2296)</f>
        <v>3.061279394</v>
      </c>
      <c r="H2296" s="16">
        <f>ABS(Solieusap!H2296)</f>
        <v>0.00138562661</v>
      </c>
      <c r="I2296" s="16">
        <f>ABS(Solieusap!I2296)</f>
        <v>8.496043684</v>
      </c>
      <c r="J2296" s="16">
        <f>ABS(Solieusap!J2296)</f>
        <v>5.707193234</v>
      </c>
      <c r="K2296" s="16">
        <f t="shared" si="1"/>
        <v>23.61140935</v>
      </c>
      <c r="L2296" s="16">
        <f t="shared" si="2"/>
        <v>8.496043684</v>
      </c>
    </row>
    <row r="2297" ht="16.5" customHeight="1">
      <c r="A2297" s="15" t="str">
        <f>Solieusap!A2297</f>
        <v>Cũ</v>
      </c>
      <c r="B2297" s="15">
        <f>Solieusap!B2297</f>
        <v>1.75</v>
      </c>
      <c r="C2297" s="15" t="str">
        <f>Solieusap!C2297</f>
        <v>COMB2</v>
      </c>
      <c r="D2297" s="15" t="str">
        <f>Solieusap!D2297</f>
        <v>Combination</v>
      </c>
      <c r="E2297" s="16">
        <f>ABS(Solieusap!E2297)</f>
        <v>23.62826571</v>
      </c>
      <c r="F2297" s="16">
        <f>ABS(Solieusap!F2297)</f>
        <v>2.27454381</v>
      </c>
      <c r="G2297" s="16">
        <f>ABS(Solieusap!G2297)</f>
        <v>3.06354381</v>
      </c>
      <c r="H2297" s="16">
        <f>ABS(Solieusap!H2297)</f>
        <v>0.001386681714</v>
      </c>
      <c r="I2297" s="16">
        <f>ABS(Solieusap!I2297)</f>
        <v>8.502838476</v>
      </c>
      <c r="J2297" s="16">
        <f>ABS(Solieusap!J2297)</f>
        <v>5.711740286</v>
      </c>
      <c r="K2297" s="16">
        <f t="shared" si="1"/>
        <v>23.62826571</v>
      </c>
      <c r="L2297" s="16">
        <f t="shared" si="2"/>
        <v>8.502838476</v>
      </c>
    </row>
    <row r="2298" ht="16.5" customHeight="1">
      <c r="A2298" s="15" t="str">
        <f>Solieusap!A2298</f>
        <v>Cũ</v>
      </c>
      <c r="B2298" s="15">
        <f>Solieusap!B2298</f>
        <v>3.5</v>
      </c>
      <c r="C2298" s="15" t="str">
        <f>Solieusap!C2298</f>
        <v>COMB2</v>
      </c>
      <c r="D2298" s="15" t="str">
        <f>Solieusap!D2298</f>
        <v>Combination</v>
      </c>
      <c r="E2298" s="16">
        <f>ABS(Solieusap!E2298)</f>
        <v>23.64512208</v>
      </c>
      <c r="F2298" s="16">
        <f>ABS(Solieusap!F2298)</f>
        <v>2.276254329</v>
      </c>
      <c r="G2298" s="16">
        <f>ABS(Solieusap!G2298)</f>
        <v>3.065808225</v>
      </c>
      <c r="H2298" s="16">
        <f>ABS(Solieusap!H2298)</f>
        <v>0.001387736818</v>
      </c>
      <c r="I2298" s="16">
        <f>ABS(Solieusap!I2298)</f>
        <v>8.509633268</v>
      </c>
      <c r="J2298" s="16">
        <f>ABS(Solieusap!J2298)</f>
        <v>5.716287338</v>
      </c>
      <c r="K2298" s="16">
        <f t="shared" si="1"/>
        <v>23.64512208</v>
      </c>
      <c r="L2298" s="16">
        <f t="shared" si="2"/>
        <v>8.509633268</v>
      </c>
    </row>
    <row r="2299" ht="16.5" customHeight="1">
      <c r="A2299" s="15" t="str">
        <f>Solieusap!A2299</f>
        <v>Cũ</v>
      </c>
      <c r="B2299" s="15">
        <f>Solieusap!B2299</f>
        <v>0</v>
      </c>
      <c r="C2299" s="15" t="str">
        <f>Solieusap!C2299</f>
        <v>COMB3</v>
      </c>
      <c r="D2299" s="15" t="str">
        <f>Solieusap!D2299</f>
        <v>Combination</v>
      </c>
      <c r="E2299" s="16">
        <f>ABS(Solieusap!E2299)</f>
        <v>23.66197844</v>
      </c>
      <c r="F2299" s="16">
        <f>ABS(Solieusap!F2299)</f>
        <v>2.277964848</v>
      </c>
      <c r="G2299" s="16">
        <f>ABS(Solieusap!G2299)</f>
        <v>3.068072641</v>
      </c>
      <c r="H2299" s="16">
        <f>ABS(Solieusap!H2299)</f>
        <v>0.001388791922</v>
      </c>
      <c r="I2299" s="16">
        <f>ABS(Solieusap!I2299)</f>
        <v>8.516428061</v>
      </c>
      <c r="J2299" s="16">
        <f>ABS(Solieusap!J2299)</f>
        <v>5.72083439</v>
      </c>
      <c r="K2299" s="16">
        <f t="shared" si="1"/>
        <v>23.66197844</v>
      </c>
      <c r="L2299" s="16">
        <f t="shared" si="2"/>
        <v>8.516428061</v>
      </c>
    </row>
    <row r="2300" ht="16.5" customHeight="1">
      <c r="A2300" s="15" t="str">
        <f>Solieusap!A2300</f>
        <v>Cũ</v>
      </c>
      <c r="B2300" s="15">
        <f>Solieusap!B2300</f>
        <v>1.75</v>
      </c>
      <c r="C2300" s="15" t="str">
        <f>Solieusap!C2300</f>
        <v>COMB3</v>
      </c>
      <c r="D2300" s="15" t="str">
        <f>Solieusap!D2300</f>
        <v>Combination</v>
      </c>
      <c r="E2300" s="16">
        <f>ABS(Solieusap!E2300)</f>
        <v>23.67883481</v>
      </c>
      <c r="F2300" s="16">
        <f>ABS(Solieusap!F2300)</f>
        <v>2.279675368</v>
      </c>
      <c r="G2300" s="16">
        <f>ABS(Solieusap!G2300)</f>
        <v>3.070337056</v>
      </c>
      <c r="H2300" s="16">
        <f>ABS(Solieusap!H2300)</f>
        <v>0.001389847026</v>
      </c>
      <c r="I2300" s="16">
        <f>ABS(Solieusap!I2300)</f>
        <v>8.523222853</v>
      </c>
      <c r="J2300" s="16">
        <f>ABS(Solieusap!J2300)</f>
        <v>5.725381442</v>
      </c>
      <c r="K2300" s="16">
        <f t="shared" si="1"/>
        <v>23.67883481</v>
      </c>
      <c r="L2300" s="16">
        <f t="shared" si="2"/>
        <v>8.523222853</v>
      </c>
    </row>
    <row r="2301" ht="16.5" customHeight="1">
      <c r="A2301" s="15" t="str">
        <f>Solieusap!A2301</f>
        <v>Cũ</v>
      </c>
      <c r="B2301" s="15">
        <f>Solieusap!B2301</f>
        <v>3.5</v>
      </c>
      <c r="C2301" s="15" t="str">
        <f>Solieusap!C2301</f>
        <v>COMB3</v>
      </c>
      <c r="D2301" s="15" t="str">
        <f>Solieusap!D2301</f>
        <v>Combination</v>
      </c>
      <c r="E2301" s="16">
        <f>ABS(Solieusap!E2301)</f>
        <v>23.69569117</v>
      </c>
      <c r="F2301" s="16">
        <f>ABS(Solieusap!F2301)</f>
        <v>2.281385887</v>
      </c>
      <c r="G2301" s="16">
        <f>ABS(Solieusap!G2301)</f>
        <v>3.072601472</v>
      </c>
      <c r="H2301" s="16">
        <f>ABS(Solieusap!H2301)</f>
        <v>0.00139090213</v>
      </c>
      <c r="I2301" s="16">
        <f>ABS(Solieusap!I2301)</f>
        <v>8.530017645</v>
      </c>
      <c r="J2301" s="16">
        <f>ABS(Solieusap!J2301)</f>
        <v>5.729928494</v>
      </c>
      <c r="K2301" s="16">
        <f t="shared" si="1"/>
        <v>23.69569117</v>
      </c>
      <c r="L2301" s="16">
        <f t="shared" si="2"/>
        <v>8.530017645</v>
      </c>
    </row>
    <row r="2302" ht="16.5" customHeight="1">
      <c r="A2302" s="15" t="str">
        <f>Solieusap!A2302</f>
        <v>Cũ</v>
      </c>
      <c r="B2302" s="15">
        <f>Solieusap!B2302</f>
        <v>0</v>
      </c>
      <c r="C2302" s="15" t="str">
        <f>Solieusap!C2302</f>
        <v>COMB4</v>
      </c>
      <c r="D2302" s="15" t="str">
        <f>Solieusap!D2302</f>
        <v>Combination</v>
      </c>
      <c r="E2302" s="16">
        <f>ABS(Solieusap!E2302)</f>
        <v>23.71254753</v>
      </c>
      <c r="F2302" s="16">
        <f>ABS(Solieusap!F2302)</f>
        <v>2.283096407</v>
      </c>
      <c r="G2302" s="16">
        <f>ABS(Solieusap!G2302)</f>
        <v>3.074865887</v>
      </c>
      <c r="H2302" s="16">
        <f>ABS(Solieusap!H2302)</f>
        <v>0.001391957234</v>
      </c>
      <c r="I2302" s="16">
        <f>ABS(Solieusap!I2302)</f>
        <v>8.536812437</v>
      </c>
      <c r="J2302" s="16">
        <f>ABS(Solieusap!J2302)</f>
        <v>5.734475545</v>
      </c>
      <c r="K2302" s="16">
        <f t="shared" si="1"/>
        <v>23.71254753</v>
      </c>
      <c r="L2302" s="16">
        <f t="shared" si="2"/>
        <v>8.536812437</v>
      </c>
    </row>
    <row r="2303" ht="16.5" customHeight="1">
      <c r="A2303" s="15" t="str">
        <f>Solieusap!A2303</f>
        <v>Cũ</v>
      </c>
      <c r="B2303" s="15">
        <f>Solieusap!B2303</f>
        <v>1.75</v>
      </c>
      <c r="C2303" s="15" t="str">
        <f>Solieusap!C2303</f>
        <v>COMB4</v>
      </c>
      <c r="D2303" s="15" t="str">
        <f>Solieusap!D2303</f>
        <v>Combination</v>
      </c>
      <c r="E2303" s="16">
        <f>ABS(Solieusap!E2303)</f>
        <v>23.7294039</v>
      </c>
      <c r="F2303" s="16">
        <f>ABS(Solieusap!F2303)</f>
        <v>2.284806926</v>
      </c>
      <c r="G2303" s="16">
        <f>ABS(Solieusap!G2303)</f>
        <v>3.077130303</v>
      </c>
      <c r="H2303" s="16">
        <f>ABS(Solieusap!H2303)</f>
        <v>0.001393012338</v>
      </c>
      <c r="I2303" s="16">
        <f>ABS(Solieusap!I2303)</f>
        <v>8.543607229</v>
      </c>
      <c r="J2303" s="16">
        <f>ABS(Solieusap!J2303)</f>
        <v>5.739022597</v>
      </c>
      <c r="K2303" s="16">
        <f t="shared" si="1"/>
        <v>23.7294039</v>
      </c>
      <c r="L2303" s="16">
        <f t="shared" si="2"/>
        <v>8.543607229</v>
      </c>
    </row>
    <row r="2304" ht="16.5" customHeight="1">
      <c r="A2304" s="15" t="str">
        <f>Solieusap!A2304</f>
        <v>Cũ</v>
      </c>
      <c r="B2304" s="15">
        <f>Solieusap!B2304</f>
        <v>3.5</v>
      </c>
      <c r="C2304" s="15" t="str">
        <f>Solieusap!C2304</f>
        <v>COMB4</v>
      </c>
      <c r="D2304" s="15" t="str">
        <f>Solieusap!D2304</f>
        <v>Combination</v>
      </c>
      <c r="E2304" s="16">
        <f>ABS(Solieusap!E2304)</f>
        <v>23.74626026</v>
      </c>
      <c r="F2304" s="16">
        <f>ABS(Solieusap!F2304)</f>
        <v>2.286517446</v>
      </c>
      <c r="G2304" s="16">
        <f>ABS(Solieusap!G2304)</f>
        <v>3.079394719</v>
      </c>
      <c r="H2304" s="16">
        <f>ABS(Solieusap!H2304)</f>
        <v>0.001394067442</v>
      </c>
      <c r="I2304" s="16">
        <f>ABS(Solieusap!I2304)</f>
        <v>8.550402022</v>
      </c>
      <c r="J2304" s="16">
        <f>ABS(Solieusap!J2304)</f>
        <v>5.743569649</v>
      </c>
      <c r="K2304" s="16">
        <f t="shared" si="1"/>
        <v>23.74626026</v>
      </c>
      <c r="L2304" s="16">
        <f t="shared" si="2"/>
        <v>8.550402022</v>
      </c>
    </row>
    <row r="2305" ht="16.5" customHeight="1">
      <c r="A2305" s="15" t="str">
        <f>Solieusap!A2305</f>
        <v>Cũ</v>
      </c>
      <c r="B2305" s="15">
        <f>Solieusap!B2305</f>
        <v>0</v>
      </c>
      <c r="C2305" s="15" t="str">
        <f>Solieusap!C2305</f>
        <v>COMB5</v>
      </c>
      <c r="D2305" s="15" t="str">
        <f>Solieusap!D2305</f>
        <v>Combination</v>
      </c>
      <c r="E2305" s="16">
        <f>ABS(Solieusap!E2305)</f>
        <v>23.76311662</v>
      </c>
      <c r="F2305" s="16">
        <f>ABS(Solieusap!F2305)</f>
        <v>2.288227965</v>
      </c>
      <c r="G2305" s="16">
        <f>ABS(Solieusap!G2305)</f>
        <v>3.081659134</v>
      </c>
      <c r="H2305" s="16">
        <f>ABS(Solieusap!H2305)</f>
        <v>0.001395122545</v>
      </c>
      <c r="I2305" s="16">
        <f>ABS(Solieusap!I2305)</f>
        <v>8.557196814</v>
      </c>
      <c r="J2305" s="16">
        <f>ABS(Solieusap!J2305)</f>
        <v>5.748116701</v>
      </c>
      <c r="K2305" s="16">
        <f t="shared" si="1"/>
        <v>23.76311662</v>
      </c>
      <c r="L2305" s="16">
        <f t="shared" si="2"/>
        <v>8.557196814</v>
      </c>
    </row>
    <row r="2306" ht="16.5" customHeight="1">
      <c r="A2306" s="15" t="str">
        <f>Solieusap!A2306</f>
        <v>Cũ</v>
      </c>
      <c r="B2306" s="15">
        <f>Solieusap!B2306</f>
        <v>1.75</v>
      </c>
      <c r="C2306" s="15" t="str">
        <f>Solieusap!C2306</f>
        <v>COMB5</v>
      </c>
      <c r="D2306" s="15" t="str">
        <f>Solieusap!D2306</f>
        <v>Combination</v>
      </c>
      <c r="E2306" s="16">
        <f>ABS(Solieusap!E2306)</f>
        <v>23.77997299</v>
      </c>
      <c r="F2306" s="16">
        <f>ABS(Solieusap!F2306)</f>
        <v>2.289938485</v>
      </c>
      <c r="G2306" s="16">
        <f>ABS(Solieusap!G2306)</f>
        <v>3.08392355</v>
      </c>
      <c r="H2306" s="16">
        <f>ABS(Solieusap!H2306)</f>
        <v>0.001396177649</v>
      </c>
      <c r="I2306" s="16">
        <f>ABS(Solieusap!I2306)</f>
        <v>8.563991606</v>
      </c>
      <c r="J2306" s="16">
        <f>ABS(Solieusap!J2306)</f>
        <v>5.752663753</v>
      </c>
      <c r="K2306" s="16">
        <f t="shared" si="1"/>
        <v>23.77997299</v>
      </c>
      <c r="L2306" s="16">
        <f t="shared" si="2"/>
        <v>8.563991606</v>
      </c>
    </row>
    <row r="2307" ht="16.5" customHeight="1">
      <c r="A2307" s="15" t="str">
        <f>Solieusap!A2307</f>
        <v>Cũ</v>
      </c>
      <c r="B2307" s="15">
        <f>Solieusap!B2307</f>
        <v>3.5</v>
      </c>
      <c r="C2307" s="15" t="str">
        <f>Solieusap!C2307</f>
        <v>COMB5</v>
      </c>
      <c r="D2307" s="15" t="str">
        <f>Solieusap!D2307</f>
        <v>Combination</v>
      </c>
      <c r="E2307" s="16">
        <f>ABS(Solieusap!E2307)</f>
        <v>23.79682935</v>
      </c>
      <c r="F2307" s="16">
        <f>ABS(Solieusap!F2307)</f>
        <v>2.291649004</v>
      </c>
      <c r="G2307" s="16">
        <f>ABS(Solieusap!G2307)</f>
        <v>3.086187965</v>
      </c>
      <c r="H2307" s="16">
        <f>ABS(Solieusap!H2307)</f>
        <v>0.001397232753</v>
      </c>
      <c r="I2307" s="16">
        <f>ABS(Solieusap!I2307)</f>
        <v>8.570786398</v>
      </c>
      <c r="J2307" s="16">
        <f>ABS(Solieusap!J2307)</f>
        <v>5.757210805</v>
      </c>
      <c r="K2307" s="16">
        <f t="shared" si="1"/>
        <v>23.79682935</v>
      </c>
      <c r="L2307" s="16">
        <f t="shared" si="2"/>
        <v>8.570786398</v>
      </c>
    </row>
    <row r="2308" ht="16.5" customHeight="1">
      <c r="A2308" s="15" t="str">
        <f>Solieusap!A2308</f>
        <v>Cũ</v>
      </c>
      <c r="B2308" s="15">
        <f>Solieusap!B2308</f>
        <v>0</v>
      </c>
      <c r="C2308" s="15" t="str">
        <f>Solieusap!C2308</f>
        <v>COMB6</v>
      </c>
      <c r="D2308" s="15" t="str">
        <f>Solieusap!D2308</f>
        <v>Combination</v>
      </c>
      <c r="E2308" s="16">
        <f>ABS(Solieusap!E2308)</f>
        <v>23.81368571</v>
      </c>
      <c r="F2308" s="16">
        <f>ABS(Solieusap!F2308)</f>
        <v>2.293359524</v>
      </c>
      <c r="G2308" s="16">
        <f>ABS(Solieusap!G2308)</f>
        <v>3.088452381</v>
      </c>
      <c r="H2308" s="16">
        <f>ABS(Solieusap!H2308)</f>
        <v>0.001398287857</v>
      </c>
      <c r="I2308" s="16">
        <f>ABS(Solieusap!I2308)</f>
        <v>8.57758119</v>
      </c>
      <c r="J2308" s="16">
        <f>ABS(Solieusap!J2308)</f>
        <v>5.761757857</v>
      </c>
      <c r="K2308" s="16">
        <f t="shared" si="1"/>
        <v>23.81368571</v>
      </c>
      <c r="L2308" s="16">
        <f t="shared" si="2"/>
        <v>8.57758119</v>
      </c>
    </row>
    <row r="2309" ht="16.5" customHeight="1">
      <c r="A2309" s="15" t="str">
        <f>Solieusap!A2309</f>
        <v>Cũ</v>
      </c>
      <c r="B2309" s="15">
        <f>Solieusap!B2309</f>
        <v>1.75</v>
      </c>
      <c r="C2309" s="15" t="str">
        <f>Solieusap!C2309</f>
        <v>COMB6</v>
      </c>
      <c r="D2309" s="15" t="str">
        <f>Solieusap!D2309</f>
        <v>Combination</v>
      </c>
      <c r="E2309" s="16">
        <f>ABS(Solieusap!E2309)</f>
        <v>23.83054208</v>
      </c>
      <c r="F2309" s="16">
        <f>ABS(Solieusap!F2309)</f>
        <v>2.295070043</v>
      </c>
      <c r="G2309" s="16">
        <f>ABS(Solieusap!G2309)</f>
        <v>3.090716797</v>
      </c>
      <c r="H2309" s="16">
        <f>ABS(Solieusap!H2309)</f>
        <v>0.001399342961</v>
      </c>
      <c r="I2309" s="16">
        <f>ABS(Solieusap!I2309)</f>
        <v>8.584375983</v>
      </c>
      <c r="J2309" s="16">
        <f>ABS(Solieusap!J2309)</f>
        <v>5.766304909</v>
      </c>
      <c r="K2309" s="16">
        <f t="shared" si="1"/>
        <v>23.83054208</v>
      </c>
      <c r="L2309" s="16">
        <f t="shared" si="2"/>
        <v>8.584375983</v>
      </c>
    </row>
    <row r="2310" ht="16.5" customHeight="1">
      <c r="A2310" s="15" t="str">
        <f>Solieusap!A2310</f>
        <v>Cũ</v>
      </c>
      <c r="B2310" s="15">
        <f>Solieusap!B2310</f>
        <v>3.5</v>
      </c>
      <c r="C2310" s="15" t="str">
        <f>Solieusap!C2310</f>
        <v>COMB6</v>
      </c>
      <c r="D2310" s="15" t="str">
        <f>Solieusap!D2310</f>
        <v>Combination</v>
      </c>
      <c r="E2310" s="16">
        <f>ABS(Solieusap!E2310)</f>
        <v>23.84739844</v>
      </c>
      <c r="F2310" s="16">
        <f>ABS(Solieusap!F2310)</f>
        <v>2.296780563</v>
      </c>
      <c r="G2310" s="16">
        <f>ABS(Solieusap!G2310)</f>
        <v>3.092981212</v>
      </c>
      <c r="H2310" s="16">
        <f>ABS(Solieusap!H2310)</f>
        <v>0.001400398065</v>
      </c>
      <c r="I2310" s="16">
        <f>ABS(Solieusap!I2310)</f>
        <v>8.591170775</v>
      </c>
      <c r="J2310" s="16">
        <f>ABS(Solieusap!J2310)</f>
        <v>5.770851961</v>
      </c>
      <c r="K2310" s="16">
        <f t="shared" si="1"/>
        <v>23.84739844</v>
      </c>
      <c r="L2310" s="16">
        <f t="shared" si="2"/>
        <v>8.591170775</v>
      </c>
    </row>
    <row r="2311" ht="16.5" customHeight="1">
      <c r="A2311" s="15" t="str">
        <f>Solieusap!A2311</f>
        <v>Cũ</v>
      </c>
      <c r="B2311" s="15">
        <f>Solieusap!B2311</f>
        <v>0</v>
      </c>
      <c r="C2311" s="15" t="str">
        <f>Solieusap!C2311</f>
        <v>COMB7</v>
      </c>
      <c r="D2311" s="15" t="str">
        <f>Solieusap!D2311</f>
        <v>Combination</v>
      </c>
      <c r="E2311" s="16">
        <f>ABS(Solieusap!E2311)</f>
        <v>23.86425481</v>
      </c>
      <c r="F2311" s="16">
        <f>ABS(Solieusap!F2311)</f>
        <v>2.298491082</v>
      </c>
      <c r="G2311" s="16">
        <f>ABS(Solieusap!G2311)</f>
        <v>3.095245628</v>
      </c>
      <c r="H2311" s="16">
        <f>ABS(Solieusap!H2311)</f>
        <v>0.001401453169</v>
      </c>
      <c r="I2311" s="16">
        <f>ABS(Solieusap!I2311)</f>
        <v>8.597965567</v>
      </c>
      <c r="J2311" s="16">
        <f>ABS(Solieusap!J2311)</f>
        <v>5.775399013</v>
      </c>
      <c r="K2311" s="16">
        <f t="shared" si="1"/>
        <v>23.86425481</v>
      </c>
      <c r="L2311" s="16">
        <f t="shared" si="2"/>
        <v>8.597965567</v>
      </c>
    </row>
    <row r="2312" ht="16.5" customHeight="1">
      <c r="A2312" s="15" t="str">
        <f>Solieusap!A2312</f>
        <v>Cũ</v>
      </c>
      <c r="B2312" s="15">
        <f>Solieusap!B2312</f>
        <v>1.75</v>
      </c>
      <c r="C2312" s="15" t="str">
        <f>Solieusap!C2312</f>
        <v>COMB7</v>
      </c>
      <c r="D2312" s="15" t="str">
        <f>Solieusap!D2312</f>
        <v>Combination</v>
      </c>
      <c r="E2312" s="16">
        <f>ABS(Solieusap!E2312)</f>
        <v>23.88111117</v>
      </c>
      <c r="F2312" s="16">
        <f>ABS(Solieusap!F2312)</f>
        <v>2.300201602</v>
      </c>
      <c r="G2312" s="16">
        <f>ABS(Solieusap!G2312)</f>
        <v>3.097510043</v>
      </c>
      <c r="H2312" s="16">
        <f>ABS(Solieusap!H2312)</f>
        <v>0.001402508273</v>
      </c>
      <c r="I2312" s="16">
        <f>ABS(Solieusap!I2312)</f>
        <v>8.604760359</v>
      </c>
      <c r="J2312" s="16">
        <f>ABS(Solieusap!J2312)</f>
        <v>5.779946065</v>
      </c>
      <c r="K2312" s="16">
        <f t="shared" si="1"/>
        <v>23.88111117</v>
      </c>
      <c r="L2312" s="16">
        <f t="shared" si="2"/>
        <v>8.604760359</v>
      </c>
    </row>
    <row r="2313" ht="16.5" customHeight="1">
      <c r="A2313" s="15" t="str">
        <f>Solieusap!A2313</f>
        <v>Cũ</v>
      </c>
      <c r="B2313" s="15">
        <f>Solieusap!B2313</f>
        <v>3.5</v>
      </c>
      <c r="C2313" s="15" t="str">
        <f>Solieusap!C2313</f>
        <v>COMB7</v>
      </c>
      <c r="D2313" s="15" t="str">
        <f>Solieusap!D2313</f>
        <v>Combination</v>
      </c>
      <c r="E2313" s="16">
        <f>ABS(Solieusap!E2313)</f>
        <v>23.89796753</v>
      </c>
      <c r="F2313" s="16">
        <f>ABS(Solieusap!F2313)</f>
        <v>2.301912121</v>
      </c>
      <c r="G2313" s="16">
        <f>ABS(Solieusap!G2313)</f>
        <v>3.099774459</v>
      </c>
      <c r="H2313" s="16">
        <f>ABS(Solieusap!H2313)</f>
        <v>0.001403563377</v>
      </c>
      <c r="I2313" s="16">
        <f>ABS(Solieusap!I2313)</f>
        <v>8.611555152</v>
      </c>
      <c r="J2313" s="16">
        <f>ABS(Solieusap!J2313)</f>
        <v>5.784493117</v>
      </c>
      <c r="K2313" s="16">
        <f t="shared" si="1"/>
        <v>23.89796753</v>
      </c>
      <c r="L2313" s="16">
        <f t="shared" si="2"/>
        <v>8.611555152</v>
      </c>
    </row>
    <row r="2314" ht="16.5" customHeight="1">
      <c r="A2314" s="15" t="str">
        <f>Solieusap!A2314</f>
        <v>Cũ</v>
      </c>
      <c r="B2314" s="15">
        <f>Solieusap!B2314</f>
        <v>0</v>
      </c>
      <c r="C2314" s="15" t="str">
        <f>Solieusap!C2314</f>
        <v>COMB1</v>
      </c>
      <c r="D2314" s="15" t="str">
        <f>Solieusap!D2314</f>
        <v>Combination</v>
      </c>
      <c r="E2314" s="16">
        <f>ABS(Solieusap!E2314)</f>
        <v>23.9148239</v>
      </c>
      <c r="F2314" s="16">
        <f>ABS(Solieusap!F2314)</f>
        <v>2.303622641</v>
      </c>
      <c r="G2314" s="16">
        <f>ABS(Solieusap!G2314)</f>
        <v>3.102038874</v>
      </c>
      <c r="H2314" s="16">
        <f>ABS(Solieusap!H2314)</f>
        <v>0.001404618481</v>
      </c>
      <c r="I2314" s="16">
        <f>ABS(Solieusap!I2314)</f>
        <v>8.618349944</v>
      </c>
      <c r="J2314" s="16">
        <f>ABS(Solieusap!J2314)</f>
        <v>5.789040169</v>
      </c>
      <c r="K2314" s="16">
        <f t="shared" si="1"/>
        <v>23.9148239</v>
      </c>
      <c r="L2314" s="16">
        <f t="shared" si="2"/>
        <v>8.618349944</v>
      </c>
    </row>
    <row r="2315" ht="16.5" customHeight="1">
      <c r="A2315" s="15" t="str">
        <f>Solieusap!A2315</f>
        <v>Cũ</v>
      </c>
      <c r="B2315" s="15">
        <f>Solieusap!B2315</f>
        <v>1.75</v>
      </c>
      <c r="C2315" s="15" t="str">
        <f>Solieusap!C2315</f>
        <v>COMB1</v>
      </c>
      <c r="D2315" s="15" t="str">
        <f>Solieusap!D2315</f>
        <v>Combination</v>
      </c>
      <c r="E2315" s="16">
        <f>ABS(Solieusap!E2315)</f>
        <v>23.93168026</v>
      </c>
      <c r="F2315" s="16">
        <f>ABS(Solieusap!F2315)</f>
        <v>2.30533316</v>
      </c>
      <c r="G2315" s="16">
        <f>ABS(Solieusap!G2315)</f>
        <v>3.10430329</v>
      </c>
      <c r="H2315" s="16">
        <f>ABS(Solieusap!H2315)</f>
        <v>0.001405673584</v>
      </c>
      <c r="I2315" s="16">
        <f>ABS(Solieusap!I2315)</f>
        <v>8.625144736</v>
      </c>
      <c r="J2315" s="16">
        <f>ABS(Solieusap!J2315)</f>
        <v>5.793587221</v>
      </c>
      <c r="K2315" s="16">
        <f t="shared" si="1"/>
        <v>23.93168026</v>
      </c>
      <c r="L2315" s="16">
        <f t="shared" si="2"/>
        <v>8.625144736</v>
      </c>
    </row>
    <row r="2316" ht="16.5" customHeight="1">
      <c r="A2316" s="15" t="str">
        <f>Solieusap!A2316</f>
        <v>Cũ</v>
      </c>
      <c r="B2316" s="15">
        <f>Solieusap!B2316</f>
        <v>3.5</v>
      </c>
      <c r="C2316" s="15" t="str">
        <f>Solieusap!C2316</f>
        <v>COMB1</v>
      </c>
      <c r="D2316" s="15" t="str">
        <f>Solieusap!D2316</f>
        <v>Combination</v>
      </c>
      <c r="E2316" s="16">
        <f>ABS(Solieusap!E2316)</f>
        <v>23.94853662</v>
      </c>
      <c r="F2316" s="16">
        <f>ABS(Solieusap!F2316)</f>
        <v>2.30704368</v>
      </c>
      <c r="G2316" s="16">
        <f>ABS(Solieusap!G2316)</f>
        <v>3.106567706</v>
      </c>
      <c r="H2316" s="16">
        <f>ABS(Solieusap!H2316)</f>
        <v>0.001406728688</v>
      </c>
      <c r="I2316" s="16">
        <f>ABS(Solieusap!I2316)</f>
        <v>8.631939528</v>
      </c>
      <c r="J2316" s="16">
        <f>ABS(Solieusap!J2316)</f>
        <v>5.798134273</v>
      </c>
      <c r="K2316" s="16">
        <f t="shared" si="1"/>
        <v>23.94853662</v>
      </c>
      <c r="L2316" s="16">
        <f t="shared" si="2"/>
        <v>8.631939528</v>
      </c>
    </row>
    <row r="2317" ht="16.5" customHeight="1">
      <c r="A2317" s="15" t="str">
        <f>Solieusap!A2317</f>
        <v>Cũ</v>
      </c>
      <c r="B2317" s="15">
        <f>Solieusap!B2317</f>
        <v>0</v>
      </c>
      <c r="C2317" s="15" t="str">
        <f>Solieusap!C2317</f>
        <v>COMB2</v>
      </c>
      <c r="D2317" s="15" t="str">
        <f>Solieusap!D2317</f>
        <v>Combination</v>
      </c>
      <c r="E2317" s="16">
        <f>ABS(Solieusap!E2317)</f>
        <v>23.96539299</v>
      </c>
      <c r="F2317" s="16">
        <f>ABS(Solieusap!F2317)</f>
        <v>2.308754199</v>
      </c>
      <c r="G2317" s="16">
        <f>ABS(Solieusap!G2317)</f>
        <v>3.108832121</v>
      </c>
      <c r="H2317" s="16">
        <f>ABS(Solieusap!H2317)</f>
        <v>0.001407783792</v>
      </c>
      <c r="I2317" s="16">
        <f>ABS(Solieusap!I2317)</f>
        <v>8.63873432</v>
      </c>
      <c r="J2317" s="16">
        <f>ABS(Solieusap!J2317)</f>
        <v>5.802681325</v>
      </c>
      <c r="K2317" s="16">
        <f t="shared" si="1"/>
        <v>23.96539299</v>
      </c>
      <c r="L2317" s="16">
        <f t="shared" si="2"/>
        <v>8.63873432</v>
      </c>
    </row>
    <row r="2318" ht="16.5" customHeight="1">
      <c r="A2318" s="15" t="str">
        <f>Solieusap!A2318</f>
        <v>Cũ</v>
      </c>
      <c r="B2318" s="15">
        <f>Solieusap!B2318</f>
        <v>1.75</v>
      </c>
      <c r="C2318" s="15" t="str">
        <f>Solieusap!C2318</f>
        <v>COMB2</v>
      </c>
      <c r="D2318" s="15" t="str">
        <f>Solieusap!D2318</f>
        <v>Combination</v>
      </c>
      <c r="E2318" s="16">
        <f>ABS(Solieusap!E2318)</f>
        <v>23.98224935</v>
      </c>
      <c r="F2318" s="16">
        <f>ABS(Solieusap!F2318)</f>
        <v>2.310464719</v>
      </c>
      <c r="G2318" s="16">
        <f>ABS(Solieusap!G2318)</f>
        <v>3.111096537</v>
      </c>
      <c r="H2318" s="16">
        <f>ABS(Solieusap!H2318)</f>
        <v>0.001408838896</v>
      </c>
      <c r="I2318" s="16">
        <f>ABS(Solieusap!I2318)</f>
        <v>8.645529113</v>
      </c>
      <c r="J2318" s="16">
        <f>ABS(Solieusap!J2318)</f>
        <v>5.807228377</v>
      </c>
      <c r="K2318" s="16">
        <f t="shared" si="1"/>
        <v>23.98224935</v>
      </c>
      <c r="L2318" s="16">
        <f t="shared" si="2"/>
        <v>8.645529113</v>
      </c>
    </row>
    <row r="2319" ht="16.5" customHeight="1">
      <c r="A2319" s="15" t="str">
        <f>Solieusap!A2319</f>
        <v>Cũ</v>
      </c>
      <c r="B2319" s="15">
        <f>Solieusap!B2319</f>
        <v>3.5</v>
      </c>
      <c r="C2319" s="15" t="str">
        <f>Solieusap!C2319</f>
        <v>COMB2</v>
      </c>
      <c r="D2319" s="15" t="str">
        <f>Solieusap!D2319</f>
        <v>Combination</v>
      </c>
      <c r="E2319" s="16">
        <f>ABS(Solieusap!E2319)</f>
        <v>23.99910571</v>
      </c>
      <c r="F2319" s="16">
        <f>ABS(Solieusap!F2319)</f>
        <v>2.312175238</v>
      </c>
      <c r="G2319" s="16">
        <f>ABS(Solieusap!G2319)</f>
        <v>3.113360952</v>
      </c>
      <c r="H2319" s="16">
        <f>ABS(Solieusap!H2319)</f>
        <v>0.001409894</v>
      </c>
      <c r="I2319" s="16">
        <f>ABS(Solieusap!I2319)</f>
        <v>8.652323905</v>
      </c>
      <c r="J2319" s="16">
        <f>ABS(Solieusap!J2319)</f>
        <v>5.811775429</v>
      </c>
      <c r="K2319" s="16">
        <f t="shared" si="1"/>
        <v>23.99910571</v>
      </c>
      <c r="L2319" s="16">
        <f t="shared" si="2"/>
        <v>8.652323905</v>
      </c>
    </row>
    <row r="2320" ht="16.5" customHeight="1">
      <c r="A2320" s="15" t="str">
        <f>Solieusap!A2320</f>
        <v>Cũ</v>
      </c>
      <c r="B2320" s="15">
        <f>Solieusap!B2320</f>
        <v>0</v>
      </c>
      <c r="C2320" s="15" t="str">
        <f>Solieusap!C2320</f>
        <v>COMB3</v>
      </c>
      <c r="D2320" s="15" t="str">
        <f>Solieusap!D2320</f>
        <v>Combination</v>
      </c>
      <c r="E2320" s="16">
        <f>ABS(Solieusap!E2320)</f>
        <v>24.01596208</v>
      </c>
      <c r="F2320" s="16">
        <f>ABS(Solieusap!F2320)</f>
        <v>2.313885758</v>
      </c>
      <c r="G2320" s="16">
        <f>ABS(Solieusap!G2320)</f>
        <v>3.115625368</v>
      </c>
      <c r="H2320" s="16">
        <f>ABS(Solieusap!H2320)</f>
        <v>0.001410949104</v>
      </c>
      <c r="I2320" s="16">
        <f>ABS(Solieusap!I2320)</f>
        <v>8.659118697</v>
      </c>
      <c r="J2320" s="16">
        <f>ABS(Solieusap!J2320)</f>
        <v>5.816322481</v>
      </c>
      <c r="K2320" s="16">
        <f t="shared" si="1"/>
        <v>24.01596208</v>
      </c>
      <c r="L2320" s="16">
        <f t="shared" si="2"/>
        <v>8.659118697</v>
      </c>
    </row>
    <row r="2321" ht="16.5" customHeight="1">
      <c r="A2321" s="15" t="str">
        <f>Solieusap!A2321</f>
        <v>Cũ</v>
      </c>
      <c r="B2321" s="15">
        <f>Solieusap!B2321</f>
        <v>1.75</v>
      </c>
      <c r="C2321" s="15" t="str">
        <f>Solieusap!C2321</f>
        <v>COMB3</v>
      </c>
      <c r="D2321" s="15" t="str">
        <f>Solieusap!D2321</f>
        <v>Combination</v>
      </c>
      <c r="E2321" s="16">
        <f>ABS(Solieusap!E2321)</f>
        <v>24.03281844</v>
      </c>
      <c r="F2321" s="16">
        <f>ABS(Solieusap!F2321)</f>
        <v>2.315596277</v>
      </c>
      <c r="G2321" s="16">
        <f>ABS(Solieusap!G2321)</f>
        <v>3.117889784</v>
      </c>
      <c r="H2321" s="16">
        <f>ABS(Solieusap!H2321)</f>
        <v>0.001412004208</v>
      </c>
      <c r="I2321" s="16">
        <f>ABS(Solieusap!I2321)</f>
        <v>8.665913489</v>
      </c>
      <c r="J2321" s="16">
        <f>ABS(Solieusap!J2321)</f>
        <v>5.820869532</v>
      </c>
      <c r="K2321" s="16">
        <f t="shared" si="1"/>
        <v>24.03281844</v>
      </c>
      <c r="L2321" s="16">
        <f t="shared" si="2"/>
        <v>8.665913489</v>
      </c>
    </row>
    <row r="2322" ht="16.5" customHeight="1">
      <c r="A2322" s="15" t="str">
        <f>Solieusap!A2322</f>
        <v>Cũ</v>
      </c>
      <c r="B2322" s="15">
        <f>Solieusap!B2322</f>
        <v>3.5</v>
      </c>
      <c r="C2322" s="15" t="str">
        <f>Solieusap!C2322</f>
        <v>COMB3</v>
      </c>
      <c r="D2322" s="15" t="str">
        <f>Solieusap!D2322</f>
        <v>Combination</v>
      </c>
      <c r="E2322" s="16">
        <f>ABS(Solieusap!E2322)</f>
        <v>24.04967481</v>
      </c>
      <c r="F2322" s="16">
        <f>ABS(Solieusap!F2322)</f>
        <v>2.317306797</v>
      </c>
      <c r="G2322" s="16">
        <f>ABS(Solieusap!G2322)</f>
        <v>3.120154199</v>
      </c>
      <c r="H2322" s="16">
        <f>ABS(Solieusap!H2322)</f>
        <v>0.001413059312</v>
      </c>
      <c r="I2322" s="16">
        <f>ABS(Solieusap!I2322)</f>
        <v>8.672708281</v>
      </c>
      <c r="J2322" s="16">
        <f>ABS(Solieusap!J2322)</f>
        <v>5.825416584</v>
      </c>
      <c r="K2322" s="16">
        <f t="shared" si="1"/>
        <v>24.04967481</v>
      </c>
      <c r="L2322" s="16">
        <f t="shared" si="2"/>
        <v>8.672708281</v>
      </c>
    </row>
    <row r="2323" ht="16.5" customHeight="1">
      <c r="A2323" s="15" t="str">
        <f>Solieusap!A2323</f>
        <v>Cũ</v>
      </c>
      <c r="B2323" s="15">
        <f>Solieusap!B2323</f>
        <v>0</v>
      </c>
      <c r="C2323" s="15" t="str">
        <f>Solieusap!C2323</f>
        <v>COMB4</v>
      </c>
      <c r="D2323" s="15" t="str">
        <f>Solieusap!D2323</f>
        <v>Combination</v>
      </c>
      <c r="E2323" s="16">
        <f>ABS(Solieusap!E2323)</f>
        <v>24.06653117</v>
      </c>
      <c r="F2323" s="16">
        <f>ABS(Solieusap!F2323)</f>
        <v>2.319017316</v>
      </c>
      <c r="G2323" s="16">
        <f>ABS(Solieusap!G2323)</f>
        <v>3.122418615</v>
      </c>
      <c r="H2323" s="16">
        <f>ABS(Solieusap!H2323)</f>
        <v>0.001414114416</v>
      </c>
      <c r="I2323" s="16">
        <f>ABS(Solieusap!I2323)</f>
        <v>8.679503074</v>
      </c>
      <c r="J2323" s="16">
        <f>ABS(Solieusap!J2323)</f>
        <v>5.829963636</v>
      </c>
      <c r="K2323" s="16">
        <f t="shared" si="1"/>
        <v>24.06653117</v>
      </c>
      <c r="L2323" s="16">
        <f t="shared" si="2"/>
        <v>8.679503074</v>
      </c>
    </row>
    <row r="2324" ht="16.5" customHeight="1">
      <c r="A2324" s="15" t="str">
        <f>Solieusap!A2324</f>
        <v>Cũ</v>
      </c>
      <c r="B2324" s="15">
        <f>Solieusap!B2324</f>
        <v>1.75</v>
      </c>
      <c r="C2324" s="15" t="str">
        <f>Solieusap!C2324</f>
        <v>COMB4</v>
      </c>
      <c r="D2324" s="15" t="str">
        <f>Solieusap!D2324</f>
        <v>Combination</v>
      </c>
      <c r="E2324" s="16">
        <f>ABS(Solieusap!E2324)</f>
        <v>24.08338753</v>
      </c>
      <c r="F2324" s="16">
        <f>ABS(Solieusap!F2324)</f>
        <v>2.320727835</v>
      </c>
      <c r="G2324" s="16">
        <f>ABS(Solieusap!G2324)</f>
        <v>3.12468303</v>
      </c>
      <c r="H2324" s="16">
        <f>ABS(Solieusap!H2324)</f>
        <v>0.001415169519</v>
      </c>
      <c r="I2324" s="16">
        <f>ABS(Solieusap!I2324)</f>
        <v>8.686297866</v>
      </c>
      <c r="J2324" s="16">
        <f>ABS(Solieusap!J2324)</f>
        <v>5.834510688</v>
      </c>
      <c r="K2324" s="16">
        <f t="shared" si="1"/>
        <v>24.08338753</v>
      </c>
      <c r="L2324" s="16">
        <f t="shared" si="2"/>
        <v>8.686297866</v>
      </c>
    </row>
    <row r="2325" ht="16.5" customHeight="1">
      <c r="A2325" s="15" t="str">
        <f>Solieusap!A2325</f>
        <v>Cũ</v>
      </c>
      <c r="B2325" s="15">
        <f>Solieusap!B2325</f>
        <v>3.5</v>
      </c>
      <c r="C2325" s="15" t="str">
        <f>Solieusap!C2325</f>
        <v>COMB4</v>
      </c>
      <c r="D2325" s="15" t="str">
        <f>Solieusap!D2325</f>
        <v>Combination</v>
      </c>
      <c r="E2325" s="16">
        <f>ABS(Solieusap!E2325)</f>
        <v>24.1002439</v>
      </c>
      <c r="F2325" s="16">
        <f>ABS(Solieusap!F2325)</f>
        <v>2.322438355</v>
      </c>
      <c r="G2325" s="16">
        <f>ABS(Solieusap!G2325)</f>
        <v>3.126947446</v>
      </c>
      <c r="H2325" s="16">
        <f>ABS(Solieusap!H2325)</f>
        <v>0.001416224623</v>
      </c>
      <c r="I2325" s="16">
        <f>ABS(Solieusap!I2325)</f>
        <v>8.693092658</v>
      </c>
      <c r="J2325" s="16">
        <f>ABS(Solieusap!J2325)</f>
        <v>5.83905774</v>
      </c>
      <c r="K2325" s="16">
        <f t="shared" si="1"/>
        <v>24.1002439</v>
      </c>
      <c r="L2325" s="16">
        <f t="shared" si="2"/>
        <v>8.693092658</v>
      </c>
    </row>
    <row r="2326" ht="16.5" customHeight="1">
      <c r="A2326" s="15" t="str">
        <f>Solieusap!A2326</f>
        <v>Cũ</v>
      </c>
      <c r="B2326" s="15">
        <f>Solieusap!B2326</f>
        <v>0</v>
      </c>
      <c r="C2326" s="15" t="str">
        <f>Solieusap!C2326</f>
        <v>COMB5</v>
      </c>
      <c r="D2326" s="15" t="str">
        <f>Solieusap!D2326</f>
        <v>Combination</v>
      </c>
      <c r="E2326" s="16">
        <f>ABS(Solieusap!E2326)</f>
        <v>24.11710026</v>
      </c>
      <c r="F2326" s="16">
        <f>ABS(Solieusap!F2326)</f>
        <v>2.324148874</v>
      </c>
      <c r="G2326" s="16">
        <f>ABS(Solieusap!G2326)</f>
        <v>3.129211861</v>
      </c>
      <c r="H2326" s="16">
        <f>ABS(Solieusap!H2326)</f>
        <v>0.001417279727</v>
      </c>
      <c r="I2326" s="16">
        <f>ABS(Solieusap!I2326)</f>
        <v>8.69988745</v>
      </c>
      <c r="J2326" s="16">
        <f>ABS(Solieusap!J2326)</f>
        <v>5.843604792</v>
      </c>
      <c r="K2326" s="16">
        <f t="shared" si="1"/>
        <v>24.11710026</v>
      </c>
      <c r="L2326" s="16">
        <f t="shared" si="2"/>
        <v>8.69988745</v>
      </c>
    </row>
    <row r="2327" ht="16.5" customHeight="1">
      <c r="A2327" s="15" t="str">
        <f>Solieusap!A2327</f>
        <v>Cũ</v>
      </c>
      <c r="B2327" s="15">
        <f>Solieusap!B2327</f>
        <v>1.75</v>
      </c>
      <c r="C2327" s="15" t="str">
        <f>Solieusap!C2327</f>
        <v>COMB5</v>
      </c>
      <c r="D2327" s="15" t="str">
        <f>Solieusap!D2327</f>
        <v>Combination</v>
      </c>
      <c r="E2327" s="16">
        <f>ABS(Solieusap!E2327)</f>
        <v>24.13395662</v>
      </c>
      <c r="F2327" s="16">
        <f>ABS(Solieusap!F2327)</f>
        <v>2.325859394</v>
      </c>
      <c r="G2327" s="16">
        <f>ABS(Solieusap!G2327)</f>
        <v>3.131476277</v>
      </c>
      <c r="H2327" s="16">
        <f>ABS(Solieusap!H2327)</f>
        <v>0.001418334831</v>
      </c>
      <c r="I2327" s="16">
        <f>ABS(Solieusap!I2327)</f>
        <v>8.706682242</v>
      </c>
      <c r="J2327" s="16">
        <f>ABS(Solieusap!J2327)</f>
        <v>5.848151844</v>
      </c>
      <c r="K2327" s="16">
        <f t="shared" si="1"/>
        <v>24.13395662</v>
      </c>
      <c r="L2327" s="16">
        <f t="shared" si="2"/>
        <v>8.706682242</v>
      </c>
    </row>
    <row r="2328" ht="16.5" customHeight="1">
      <c r="A2328" s="15" t="str">
        <f>Solieusap!A2328</f>
        <v>Cũ</v>
      </c>
      <c r="B2328" s="15">
        <f>Solieusap!B2328</f>
        <v>3.5</v>
      </c>
      <c r="C2328" s="15" t="str">
        <f>Solieusap!C2328</f>
        <v>COMB5</v>
      </c>
      <c r="D2328" s="15" t="str">
        <f>Solieusap!D2328</f>
        <v>Combination</v>
      </c>
      <c r="E2328" s="16">
        <f>ABS(Solieusap!E2328)</f>
        <v>24.15081299</v>
      </c>
      <c r="F2328" s="16">
        <f>ABS(Solieusap!F2328)</f>
        <v>2.327569913</v>
      </c>
      <c r="G2328" s="16">
        <f>ABS(Solieusap!G2328)</f>
        <v>3.133740693</v>
      </c>
      <c r="H2328" s="16">
        <f>ABS(Solieusap!H2328)</f>
        <v>0.001419389935</v>
      </c>
      <c r="I2328" s="16">
        <f>ABS(Solieusap!I2328)</f>
        <v>8.713477035</v>
      </c>
      <c r="J2328" s="16">
        <f>ABS(Solieusap!J2328)</f>
        <v>5.852698896</v>
      </c>
      <c r="K2328" s="16">
        <f t="shared" si="1"/>
        <v>24.15081299</v>
      </c>
      <c r="L2328" s="16">
        <f t="shared" si="2"/>
        <v>8.713477035</v>
      </c>
    </row>
    <row r="2329" ht="16.5" customHeight="1">
      <c r="A2329" s="15" t="str">
        <f>Solieusap!A2329</f>
        <v>Cũ</v>
      </c>
      <c r="B2329" s="15">
        <f>Solieusap!B2329</f>
        <v>0</v>
      </c>
      <c r="C2329" s="15" t="str">
        <f>Solieusap!C2329</f>
        <v>COMB6</v>
      </c>
      <c r="D2329" s="15" t="str">
        <f>Solieusap!D2329</f>
        <v>Combination</v>
      </c>
      <c r="E2329" s="16">
        <f>ABS(Solieusap!E2329)</f>
        <v>24.16766935</v>
      </c>
      <c r="F2329" s="16">
        <f>ABS(Solieusap!F2329)</f>
        <v>2.329280433</v>
      </c>
      <c r="G2329" s="16">
        <f>ABS(Solieusap!G2329)</f>
        <v>3.136005108</v>
      </c>
      <c r="H2329" s="16">
        <f>ABS(Solieusap!H2329)</f>
        <v>0.001420445039</v>
      </c>
      <c r="I2329" s="16">
        <f>ABS(Solieusap!I2329)</f>
        <v>8.720271827</v>
      </c>
      <c r="J2329" s="16">
        <f>ABS(Solieusap!J2329)</f>
        <v>5.857245948</v>
      </c>
      <c r="K2329" s="16">
        <f t="shared" si="1"/>
        <v>24.16766935</v>
      </c>
      <c r="L2329" s="16">
        <f t="shared" si="2"/>
        <v>8.720271827</v>
      </c>
    </row>
    <row r="2330" ht="16.5" customHeight="1">
      <c r="A2330" s="15" t="str">
        <f>Solieusap!A2330</f>
        <v>Cũ</v>
      </c>
      <c r="B2330" s="15">
        <f>Solieusap!B2330</f>
        <v>1.75</v>
      </c>
      <c r="C2330" s="15" t="str">
        <f>Solieusap!C2330</f>
        <v>COMB6</v>
      </c>
      <c r="D2330" s="15" t="str">
        <f>Solieusap!D2330</f>
        <v>Combination</v>
      </c>
      <c r="E2330" s="16">
        <f>ABS(Solieusap!E2330)</f>
        <v>24.18452571</v>
      </c>
      <c r="F2330" s="16">
        <f>ABS(Solieusap!F2330)</f>
        <v>2.330990952</v>
      </c>
      <c r="G2330" s="16">
        <f>ABS(Solieusap!G2330)</f>
        <v>3.138269524</v>
      </c>
      <c r="H2330" s="16">
        <f>ABS(Solieusap!H2330)</f>
        <v>0.001421500143</v>
      </c>
      <c r="I2330" s="16">
        <f>ABS(Solieusap!I2330)</f>
        <v>8.727066619</v>
      </c>
      <c r="J2330" s="16">
        <f>ABS(Solieusap!J2330)</f>
        <v>5.861793</v>
      </c>
      <c r="K2330" s="16">
        <f t="shared" si="1"/>
        <v>24.18452571</v>
      </c>
      <c r="L2330" s="16">
        <f t="shared" si="2"/>
        <v>8.727066619</v>
      </c>
    </row>
    <row r="2331" ht="16.5" customHeight="1">
      <c r="A2331" s="15" t="str">
        <f>Solieusap!A2331</f>
        <v>Cũ</v>
      </c>
      <c r="B2331" s="15">
        <f>Solieusap!B2331</f>
        <v>3.5</v>
      </c>
      <c r="C2331" s="15" t="str">
        <f>Solieusap!C2331</f>
        <v>COMB6</v>
      </c>
      <c r="D2331" s="15" t="str">
        <f>Solieusap!D2331</f>
        <v>Combination</v>
      </c>
      <c r="E2331" s="16">
        <f>ABS(Solieusap!E2331)</f>
        <v>24.20138208</v>
      </c>
      <c r="F2331" s="16">
        <f>ABS(Solieusap!F2331)</f>
        <v>2.332701472</v>
      </c>
      <c r="G2331" s="16">
        <f>ABS(Solieusap!G2331)</f>
        <v>3.140533939</v>
      </c>
      <c r="H2331" s="16">
        <f>ABS(Solieusap!H2331)</f>
        <v>0.001422555247</v>
      </c>
      <c r="I2331" s="16">
        <f>ABS(Solieusap!I2331)</f>
        <v>8.733861411</v>
      </c>
      <c r="J2331" s="16">
        <f>ABS(Solieusap!J2331)</f>
        <v>5.866340052</v>
      </c>
      <c r="K2331" s="16">
        <f t="shared" si="1"/>
        <v>24.20138208</v>
      </c>
      <c r="L2331" s="16">
        <f t="shared" si="2"/>
        <v>8.733861411</v>
      </c>
    </row>
    <row r="2332" ht="16.5" customHeight="1">
      <c r="A2332" s="15" t="str">
        <f>Solieusap!A2332</f>
        <v>Cũ</v>
      </c>
      <c r="B2332" s="15">
        <f>Solieusap!B2332</f>
        <v>0</v>
      </c>
      <c r="C2332" s="15" t="str">
        <f>Solieusap!C2332</f>
        <v>COMB7</v>
      </c>
      <c r="D2332" s="15" t="str">
        <f>Solieusap!D2332</f>
        <v>Combination</v>
      </c>
      <c r="E2332" s="16">
        <f>ABS(Solieusap!E2332)</f>
        <v>24.21823844</v>
      </c>
      <c r="F2332" s="16">
        <f>ABS(Solieusap!F2332)</f>
        <v>2.334411991</v>
      </c>
      <c r="G2332" s="16">
        <f>ABS(Solieusap!G2332)</f>
        <v>3.142798355</v>
      </c>
      <c r="H2332" s="16">
        <f>ABS(Solieusap!H2332)</f>
        <v>0.001423610351</v>
      </c>
      <c r="I2332" s="16">
        <f>ABS(Solieusap!I2332)</f>
        <v>8.740656203</v>
      </c>
      <c r="J2332" s="16">
        <f>ABS(Solieusap!J2332)</f>
        <v>5.870887104</v>
      </c>
      <c r="K2332" s="16">
        <f t="shared" si="1"/>
        <v>24.21823844</v>
      </c>
      <c r="L2332" s="16">
        <f t="shared" si="2"/>
        <v>8.740656203</v>
      </c>
    </row>
    <row r="2333" ht="16.5" customHeight="1">
      <c r="A2333" s="15" t="str">
        <f>Solieusap!A2333</f>
        <v>Cũ</v>
      </c>
      <c r="B2333" s="15">
        <f>Solieusap!B2333</f>
        <v>1.75</v>
      </c>
      <c r="C2333" s="15" t="str">
        <f>Solieusap!C2333</f>
        <v>COMB7</v>
      </c>
      <c r="D2333" s="15" t="str">
        <f>Solieusap!D2333</f>
        <v>Combination</v>
      </c>
      <c r="E2333" s="16">
        <f>ABS(Solieusap!E2333)</f>
        <v>24.23509481</v>
      </c>
      <c r="F2333" s="16">
        <f>ABS(Solieusap!F2333)</f>
        <v>2.336122511</v>
      </c>
      <c r="G2333" s="16">
        <f>ABS(Solieusap!G2333)</f>
        <v>3.145062771</v>
      </c>
      <c r="H2333" s="16">
        <f>ABS(Solieusap!H2333)</f>
        <v>0.001424665455</v>
      </c>
      <c r="I2333" s="16">
        <f>ABS(Solieusap!I2333)</f>
        <v>8.747450996</v>
      </c>
      <c r="J2333" s="16">
        <f>ABS(Solieusap!J2333)</f>
        <v>5.875434156</v>
      </c>
      <c r="K2333" s="16">
        <f t="shared" si="1"/>
        <v>24.23509481</v>
      </c>
      <c r="L2333" s="16">
        <f t="shared" si="2"/>
        <v>8.747450996</v>
      </c>
    </row>
    <row r="2334" ht="16.5" customHeight="1">
      <c r="A2334" s="15" t="str">
        <f>Solieusap!A2334</f>
        <v>Cũ</v>
      </c>
      <c r="B2334" s="15">
        <f>Solieusap!B2334</f>
        <v>3.5</v>
      </c>
      <c r="C2334" s="15" t="str">
        <f>Solieusap!C2334</f>
        <v>COMB7</v>
      </c>
      <c r="D2334" s="15" t="str">
        <f>Solieusap!D2334</f>
        <v>Combination</v>
      </c>
      <c r="E2334" s="16">
        <f>ABS(Solieusap!E2334)</f>
        <v>24.25195117</v>
      </c>
      <c r="F2334" s="16">
        <f>ABS(Solieusap!F2334)</f>
        <v>2.33783303</v>
      </c>
      <c r="G2334" s="16">
        <f>ABS(Solieusap!G2334)</f>
        <v>3.147327186</v>
      </c>
      <c r="H2334" s="16">
        <f>ABS(Solieusap!H2334)</f>
        <v>0.001425720558</v>
      </c>
      <c r="I2334" s="16">
        <f>ABS(Solieusap!I2334)</f>
        <v>8.754245788</v>
      </c>
      <c r="J2334" s="16">
        <f>ABS(Solieusap!J2334)</f>
        <v>5.879981208</v>
      </c>
      <c r="K2334" s="16">
        <f t="shared" si="1"/>
        <v>24.25195117</v>
      </c>
      <c r="L2334" s="16">
        <f t="shared" si="2"/>
        <v>8.754245788</v>
      </c>
    </row>
    <row r="2335" ht="16.5" customHeight="1">
      <c r="A2335" s="15" t="str">
        <f>Solieusap!A2335</f>
        <v>Cũ</v>
      </c>
      <c r="B2335" s="15">
        <f>Solieusap!B2335</f>
        <v>0</v>
      </c>
      <c r="C2335" s="15" t="str">
        <f>Solieusap!C2335</f>
        <v>COMB1</v>
      </c>
      <c r="D2335" s="15" t="str">
        <f>Solieusap!D2335</f>
        <v>Combination</v>
      </c>
      <c r="E2335" s="16">
        <f>ABS(Solieusap!E2335)</f>
        <v>24.26880753</v>
      </c>
      <c r="F2335" s="16">
        <f>ABS(Solieusap!F2335)</f>
        <v>2.33954355</v>
      </c>
      <c r="G2335" s="16">
        <f>ABS(Solieusap!G2335)</f>
        <v>3.149591602</v>
      </c>
      <c r="H2335" s="16">
        <f>ABS(Solieusap!H2335)</f>
        <v>0.001426775662</v>
      </c>
      <c r="I2335" s="16">
        <f>ABS(Solieusap!I2335)</f>
        <v>8.76104058</v>
      </c>
      <c r="J2335" s="16">
        <f>ABS(Solieusap!J2335)</f>
        <v>5.88452826</v>
      </c>
      <c r="K2335" s="16">
        <f t="shared" si="1"/>
        <v>24.26880753</v>
      </c>
      <c r="L2335" s="16">
        <f t="shared" si="2"/>
        <v>8.76104058</v>
      </c>
    </row>
    <row r="2336" ht="16.5" customHeight="1">
      <c r="A2336" s="15" t="str">
        <f>Solieusap!A2336</f>
        <v>Cũ</v>
      </c>
      <c r="B2336" s="15">
        <f>Solieusap!B2336</f>
        <v>1.75</v>
      </c>
      <c r="C2336" s="15" t="str">
        <f>Solieusap!C2336</f>
        <v>COMB1</v>
      </c>
      <c r="D2336" s="15" t="str">
        <f>Solieusap!D2336</f>
        <v>Combination</v>
      </c>
      <c r="E2336" s="16">
        <f>ABS(Solieusap!E2336)</f>
        <v>24.2856639</v>
      </c>
      <c r="F2336" s="16">
        <f>ABS(Solieusap!F2336)</f>
        <v>2.341254069</v>
      </c>
      <c r="G2336" s="16">
        <f>ABS(Solieusap!G2336)</f>
        <v>3.151856017</v>
      </c>
      <c r="H2336" s="16">
        <f>ABS(Solieusap!H2336)</f>
        <v>0.001427830766</v>
      </c>
      <c r="I2336" s="16">
        <f>ABS(Solieusap!I2336)</f>
        <v>8.767835372</v>
      </c>
      <c r="J2336" s="16">
        <f>ABS(Solieusap!J2336)</f>
        <v>5.889075312</v>
      </c>
      <c r="K2336" s="16">
        <f t="shared" si="1"/>
        <v>24.2856639</v>
      </c>
      <c r="L2336" s="16">
        <f t="shared" si="2"/>
        <v>8.767835372</v>
      </c>
    </row>
    <row r="2337" ht="16.5" customHeight="1">
      <c r="A2337" s="15" t="str">
        <f>Solieusap!A2337</f>
        <v>Cũ</v>
      </c>
      <c r="B2337" s="15">
        <f>Solieusap!B2337</f>
        <v>3.5</v>
      </c>
      <c r="C2337" s="15" t="str">
        <f>Solieusap!C2337</f>
        <v>COMB1</v>
      </c>
      <c r="D2337" s="15" t="str">
        <f>Solieusap!D2337</f>
        <v>Combination</v>
      </c>
      <c r="E2337" s="16">
        <f>ABS(Solieusap!E2337)</f>
        <v>24.30252026</v>
      </c>
      <c r="F2337" s="16">
        <f>ABS(Solieusap!F2337)</f>
        <v>2.342964589</v>
      </c>
      <c r="G2337" s="16">
        <f>ABS(Solieusap!G2337)</f>
        <v>3.154120433</v>
      </c>
      <c r="H2337" s="16">
        <f>ABS(Solieusap!H2337)</f>
        <v>0.00142888587</v>
      </c>
      <c r="I2337" s="16">
        <f>ABS(Solieusap!I2337)</f>
        <v>8.774630165</v>
      </c>
      <c r="J2337" s="16">
        <f>ABS(Solieusap!J2337)</f>
        <v>5.893622364</v>
      </c>
      <c r="K2337" s="16">
        <f t="shared" si="1"/>
        <v>24.30252026</v>
      </c>
      <c r="L2337" s="16">
        <f t="shared" si="2"/>
        <v>8.774630165</v>
      </c>
    </row>
    <row r="2338" ht="16.5" customHeight="1">
      <c r="A2338" s="15" t="str">
        <f>Solieusap!A2338</f>
        <v>Cũ</v>
      </c>
      <c r="B2338" s="15">
        <f>Solieusap!B2338</f>
        <v>0</v>
      </c>
      <c r="C2338" s="15" t="str">
        <f>Solieusap!C2338</f>
        <v>COMB2</v>
      </c>
      <c r="D2338" s="15" t="str">
        <f>Solieusap!D2338</f>
        <v>Combination</v>
      </c>
      <c r="E2338" s="16">
        <f>ABS(Solieusap!E2338)</f>
        <v>24.31937662</v>
      </c>
      <c r="F2338" s="16">
        <f>ABS(Solieusap!F2338)</f>
        <v>2.344675108</v>
      </c>
      <c r="G2338" s="16">
        <f>ABS(Solieusap!G2338)</f>
        <v>3.156384848</v>
      </c>
      <c r="H2338" s="16">
        <f>ABS(Solieusap!H2338)</f>
        <v>0.001429940974</v>
      </c>
      <c r="I2338" s="16">
        <f>ABS(Solieusap!I2338)</f>
        <v>8.781424957</v>
      </c>
      <c r="J2338" s="16">
        <f>ABS(Solieusap!J2338)</f>
        <v>5.898169416</v>
      </c>
      <c r="K2338" s="16">
        <f t="shared" si="1"/>
        <v>24.31937662</v>
      </c>
      <c r="L2338" s="16">
        <f t="shared" si="2"/>
        <v>8.781424957</v>
      </c>
    </row>
    <row r="2339" ht="16.5" customHeight="1">
      <c r="A2339" s="15" t="str">
        <f>Solieusap!A2339</f>
        <v>Cũ</v>
      </c>
      <c r="B2339" s="15">
        <f>Solieusap!B2339</f>
        <v>1.75</v>
      </c>
      <c r="C2339" s="15" t="str">
        <f>Solieusap!C2339</f>
        <v>COMB2</v>
      </c>
      <c r="D2339" s="15" t="str">
        <f>Solieusap!D2339</f>
        <v>Combination</v>
      </c>
      <c r="E2339" s="16">
        <f>ABS(Solieusap!E2339)</f>
        <v>24.33623299</v>
      </c>
      <c r="F2339" s="16">
        <f>ABS(Solieusap!F2339)</f>
        <v>2.346385628</v>
      </c>
      <c r="G2339" s="16">
        <f>ABS(Solieusap!G2339)</f>
        <v>3.158649264</v>
      </c>
      <c r="H2339" s="16">
        <f>ABS(Solieusap!H2339)</f>
        <v>0.001430996078</v>
      </c>
      <c r="I2339" s="16">
        <f>ABS(Solieusap!I2339)</f>
        <v>8.788219749</v>
      </c>
      <c r="J2339" s="16">
        <f>ABS(Solieusap!J2339)</f>
        <v>5.902716468</v>
      </c>
      <c r="K2339" s="16">
        <f t="shared" si="1"/>
        <v>24.33623299</v>
      </c>
      <c r="L2339" s="16">
        <f t="shared" si="2"/>
        <v>8.788219749</v>
      </c>
    </row>
    <row r="2340" ht="16.5" customHeight="1">
      <c r="A2340" s="15" t="str">
        <f>Solieusap!A2340</f>
        <v>Cũ</v>
      </c>
      <c r="B2340" s="15">
        <f>Solieusap!B2340</f>
        <v>3.5</v>
      </c>
      <c r="C2340" s="15" t="str">
        <f>Solieusap!C2340</f>
        <v>COMB2</v>
      </c>
      <c r="D2340" s="15" t="str">
        <f>Solieusap!D2340</f>
        <v>Combination</v>
      </c>
      <c r="E2340" s="16">
        <f>ABS(Solieusap!E2340)</f>
        <v>24.35308935</v>
      </c>
      <c r="F2340" s="16">
        <f>ABS(Solieusap!F2340)</f>
        <v>2.348096147</v>
      </c>
      <c r="G2340" s="16">
        <f>ABS(Solieusap!G2340)</f>
        <v>3.16091368</v>
      </c>
      <c r="H2340" s="16">
        <f>ABS(Solieusap!H2340)</f>
        <v>0.001432051182</v>
      </c>
      <c r="I2340" s="16">
        <f>ABS(Solieusap!I2340)</f>
        <v>8.795014541</v>
      </c>
      <c r="J2340" s="16">
        <f>ABS(Solieusap!J2340)</f>
        <v>5.907263519</v>
      </c>
      <c r="K2340" s="16">
        <f t="shared" si="1"/>
        <v>24.35308935</v>
      </c>
      <c r="L2340" s="16">
        <f t="shared" si="2"/>
        <v>8.795014541</v>
      </c>
    </row>
    <row r="2341" ht="16.5" customHeight="1">
      <c r="A2341" s="15" t="str">
        <f>Solieusap!A2341</f>
        <v>Cũ</v>
      </c>
      <c r="B2341" s="15">
        <f>Solieusap!B2341</f>
        <v>0</v>
      </c>
      <c r="C2341" s="15" t="str">
        <f>Solieusap!C2341</f>
        <v>COMB3</v>
      </c>
      <c r="D2341" s="15" t="str">
        <f>Solieusap!D2341</f>
        <v>Combination</v>
      </c>
      <c r="E2341" s="16">
        <f>ABS(Solieusap!E2341)</f>
        <v>24.36994571</v>
      </c>
      <c r="F2341" s="16">
        <f>ABS(Solieusap!F2341)</f>
        <v>2.349806667</v>
      </c>
      <c r="G2341" s="16">
        <f>ABS(Solieusap!G2341)</f>
        <v>3.163178095</v>
      </c>
      <c r="H2341" s="16">
        <f>ABS(Solieusap!H2341)</f>
        <v>0.001433106286</v>
      </c>
      <c r="I2341" s="16">
        <f>ABS(Solieusap!I2341)</f>
        <v>8.801809333</v>
      </c>
      <c r="J2341" s="16">
        <f>ABS(Solieusap!J2341)</f>
        <v>5.911810571</v>
      </c>
      <c r="K2341" s="16">
        <f t="shared" si="1"/>
        <v>24.36994571</v>
      </c>
      <c r="L2341" s="16">
        <f t="shared" si="2"/>
        <v>8.801809333</v>
      </c>
    </row>
    <row r="2342" ht="16.5" customHeight="1">
      <c r="A2342" s="15" t="str">
        <f>Solieusap!A2342</f>
        <v>Cũ</v>
      </c>
      <c r="B2342" s="15">
        <f>Solieusap!B2342</f>
        <v>1.75</v>
      </c>
      <c r="C2342" s="15" t="str">
        <f>Solieusap!C2342</f>
        <v>COMB3</v>
      </c>
      <c r="D2342" s="15" t="str">
        <f>Solieusap!D2342</f>
        <v>Combination</v>
      </c>
      <c r="E2342" s="16">
        <f>ABS(Solieusap!E2342)</f>
        <v>24.38680208</v>
      </c>
      <c r="F2342" s="16">
        <f>ABS(Solieusap!F2342)</f>
        <v>2.351517186</v>
      </c>
      <c r="G2342" s="16">
        <f>ABS(Solieusap!G2342)</f>
        <v>3.165442511</v>
      </c>
      <c r="H2342" s="16">
        <f>ABS(Solieusap!H2342)</f>
        <v>0.00143416139</v>
      </c>
      <c r="I2342" s="16">
        <f>ABS(Solieusap!I2342)</f>
        <v>8.808604126</v>
      </c>
      <c r="J2342" s="16">
        <f>ABS(Solieusap!J2342)</f>
        <v>5.916357623</v>
      </c>
      <c r="K2342" s="16">
        <f t="shared" si="1"/>
        <v>24.38680208</v>
      </c>
      <c r="L2342" s="16">
        <f t="shared" si="2"/>
        <v>8.808604126</v>
      </c>
    </row>
    <row r="2343" ht="16.5" customHeight="1">
      <c r="A2343" s="15" t="str">
        <f>Solieusap!A2343</f>
        <v>Cũ</v>
      </c>
      <c r="B2343" s="15">
        <f>Solieusap!B2343</f>
        <v>3.5</v>
      </c>
      <c r="C2343" s="15" t="str">
        <f>Solieusap!C2343</f>
        <v>COMB3</v>
      </c>
      <c r="D2343" s="15" t="str">
        <f>Solieusap!D2343</f>
        <v>Combination</v>
      </c>
      <c r="E2343" s="16">
        <f>ABS(Solieusap!E2343)</f>
        <v>24.40365844</v>
      </c>
      <c r="F2343" s="16">
        <f>ABS(Solieusap!F2343)</f>
        <v>2.353227706</v>
      </c>
      <c r="G2343" s="16">
        <f>ABS(Solieusap!G2343)</f>
        <v>3.167706926</v>
      </c>
      <c r="H2343" s="16">
        <f>ABS(Solieusap!H2343)</f>
        <v>0.001435216494</v>
      </c>
      <c r="I2343" s="16">
        <f>ABS(Solieusap!I2343)</f>
        <v>8.815398918</v>
      </c>
      <c r="J2343" s="16">
        <f>ABS(Solieusap!J2343)</f>
        <v>5.920904675</v>
      </c>
      <c r="K2343" s="16">
        <f t="shared" si="1"/>
        <v>24.40365844</v>
      </c>
      <c r="L2343" s="16">
        <f t="shared" si="2"/>
        <v>8.815398918</v>
      </c>
    </row>
    <row r="2344" ht="16.5" customHeight="1">
      <c r="A2344" s="15" t="str">
        <f>Solieusap!A2344</f>
        <v>Cũ</v>
      </c>
      <c r="B2344" s="15">
        <f>Solieusap!B2344</f>
        <v>0</v>
      </c>
      <c r="C2344" s="15" t="str">
        <f>Solieusap!C2344</f>
        <v>COMB4</v>
      </c>
      <c r="D2344" s="15" t="str">
        <f>Solieusap!D2344</f>
        <v>Combination</v>
      </c>
      <c r="E2344" s="16">
        <f>ABS(Solieusap!E2344)</f>
        <v>24.42051481</v>
      </c>
      <c r="F2344" s="16">
        <f>ABS(Solieusap!F2344)</f>
        <v>2.354938225</v>
      </c>
      <c r="G2344" s="16">
        <f>ABS(Solieusap!G2344)</f>
        <v>3.169971342</v>
      </c>
      <c r="H2344" s="16">
        <f>ABS(Solieusap!H2344)</f>
        <v>0.001436271597</v>
      </c>
      <c r="I2344" s="16">
        <f>ABS(Solieusap!I2344)</f>
        <v>8.82219371</v>
      </c>
      <c r="J2344" s="16">
        <f>ABS(Solieusap!J2344)</f>
        <v>5.925451727</v>
      </c>
      <c r="K2344" s="16">
        <f t="shared" si="1"/>
        <v>24.42051481</v>
      </c>
      <c r="L2344" s="16">
        <f t="shared" si="2"/>
        <v>8.82219371</v>
      </c>
    </row>
    <row r="2345" ht="16.5" customHeight="1">
      <c r="A2345" s="15" t="str">
        <f>Solieusap!A2345</f>
        <v>Cũ</v>
      </c>
      <c r="B2345" s="15">
        <f>Solieusap!B2345</f>
        <v>1.75</v>
      </c>
      <c r="C2345" s="15" t="str">
        <f>Solieusap!C2345</f>
        <v>COMB4</v>
      </c>
      <c r="D2345" s="15" t="str">
        <f>Solieusap!D2345</f>
        <v>Combination</v>
      </c>
      <c r="E2345" s="16">
        <f>ABS(Solieusap!E2345)</f>
        <v>24.43737117</v>
      </c>
      <c r="F2345" s="16">
        <f>ABS(Solieusap!F2345)</f>
        <v>2.356648745</v>
      </c>
      <c r="G2345" s="16">
        <f>ABS(Solieusap!G2345)</f>
        <v>3.172235758</v>
      </c>
      <c r="H2345" s="16">
        <f>ABS(Solieusap!H2345)</f>
        <v>0.001437326701</v>
      </c>
      <c r="I2345" s="16">
        <f>ABS(Solieusap!I2345)</f>
        <v>8.828988502</v>
      </c>
      <c r="J2345" s="16">
        <f>ABS(Solieusap!J2345)</f>
        <v>5.929998779</v>
      </c>
      <c r="K2345" s="16">
        <f t="shared" si="1"/>
        <v>24.43737117</v>
      </c>
      <c r="L2345" s="16">
        <f t="shared" si="2"/>
        <v>8.828988502</v>
      </c>
    </row>
    <row r="2346" ht="16.5" customHeight="1">
      <c r="A2346" s="15" t="str">
        <f>Solieusap!A2346</f>
        <v>Cũ</v>
      </c>
      <c r="B2346" s="15">
        <f>Solieusap!B2346</f>
        <v>3.5</v>
      </c>
      <c r="C2346" s="15" t="str">
        <f>Solieusap!C2346</f>
        <v>COMB4</v>
      </c>
      <c r="D2346" s="15" t="str">
        <f>Solieusap!D2346</f>
        <v>Combination</v>
      </c>
      <c r="E2346" s="16">
        <f>ABS(Solieusap!E2346)</f>
        <v>24.45422753</v>
      </c>
      <c r="F2346" s="16">
        <f>ABS(Solieusap!F2346)</f>
        <v>2.358359264</v>
      </c>
      <c r="G2346" s="16">
        <f>ABS(Solieusap!G2346)</f>
        <v>3.174500173</v>
      </c>
      <c r="H2346" s="16">
        <f>ABS(Solieusap!H2346)</f>
        <v>0.001438381805</v>
      </c>
      <c r="I2346" s="16">
        <f>ABS(Solieusap!I2346)</f>
        <v>8.835783294</v>
      </c>
      <c r="J2346" s="16">
        <f>ABS(Solieusap!J2346)</f>
        <v>5.934545831</v>
      </c>
      <c r="K2346" s="16">
        <f t="shared" si="1"/>
        <v>24.45422753</v>
      </c>
      <c r="L2346" s="16">
        <f t="shared" si="2"/>
        <v>8.835783294</v>
      </c>
    </row>
    <row r="2347" ht="16.5" customHeight="1">
      <c r="A2347" s="15" t="str">
        <f>Solieusap!A2347</f>
        <v>Cũ</v>
      </c>
      <c r="B2347" s="15">
        <f>Solieusap!B2347</f>
        <v>0</v>
      </c>
      <c r="C2347" s="15" t="str">
        <f>Solieusap!C2347</f>
        <v>COMB5</v>
      </c>
      <c r="D2347" s="15" t="str">
        <f>Solieusap!D2347</f>
        <v>Combination</v>
      </c>
      <c r="E2347" s="16">
        <f>ABS(Solieusap!E2347)</f>
        <v>24.4710839</v>
      </c>
      <c r="F2347" s="16">
        <f>ABS(Solieusap!F2347)</f>
        <v>2.360069784</v>
      </c>
      <c r="G2347" s="16">
        <f>ABS(Solieusap!G2347)</f>
        <v>3.176764589</v>
      </c>
      <c r="H2347" s="16">
        <f>ABS(Solieusap!H2347)</f>
        <v>0.001439436909</v>
      </c>
      <c r="I2347" s="16">
        <f>ABS(Solieusap!I2347)</f>
        <v>8.842578087</v>
      </c>
      <c r="J2347" s="16">
        <f>ABS(Solieusap!J2347)</f>
        <v>5.939092883</v>
      </c>
      <c r="K2347" s="16">
        <f t="shared" si="1"/>
        <v>24.4710839</v>
      </c>
      <c r="L2347" s="16">
        <f t="shared" si="2"/>
        <v>8.842578087</v>
      </c>
    </row>
    <row r="2348" ht="16.5" customHeight="1">
      <c r="A2348" s="15" t="str">
        <f>Solieusap!A2348</f>
        <v>Cũ</v>
      </c>
      <c r="B2348" s="15">
        <f>Solieusap!B2348</f>
        <v>1.75</v>
      </c>
      <c r="C2348" s="15" t="str">
        <f>Solieusap!C2348</f>
        <v>COMB5</v>
      </c>
      <c r="D2348" s="15" t="str">
        <f>Solieusap!D2348</f>
        <v>Combination</v>
      </c>
      <c r="E2348" s="16">
        <f>ABS(Solieusap!E2348)</f>
        <v>24.48794026</v>
      </c>
      <c r="F2348" s="16">
        <f>ABS(Solieusap!F2348)</f>
        <v>2.361780303</v>
      </c>
      <c r="G2348" s="16">
        <f>ABS(Solieusap!G2348)</f>
        <v>3.179029004</v>
      </c>
      <c r="H2348" s="16">
        <f>ABS(Solieusap!H2348)</f>
        <v>0.001440492013</v>
      </c>
      <c r="I2348" s="16">
        <f>ABS(Solieusap!I2348)</f>
        <v>8.849372879</v>
      </c>
      <c r="J2348" s="16">
        <f>ABS(Solieusap!J2348)</f>
        <v>5.943639935</v>
      </c>
      <c r="K2348" s="16">
        <f t="shared" si="1"/>
        <v>24.48794026</v>
      </c>
      <c r="L2348" s="16">
        <f t="shared" si="2"/>
        <v>8.849372879</v>
      </c>
    </row>
    <row r="2349" ht="16.5" customHeight="1">
      <c r="A2349" s="15" t="str">
        <f>Solieusap!A2349</f>
        <v>Cũ</v>
      </c>
      <c r="B2349" s="15">
        <f>Solieusap!B2349</f>
        <v>3.5</v>
      </c>
      <c r="C2349" s="15" t="str">
        <f>Solieusap!C2349</f>
        <v>COMB5</v>
      </c>
      <c r="D2349" s="15" t="str">
        <f>Solieusap!D2349</f>
        <v>Combination</v>
      </c>
      <c r="E2349" s="16">
        <f>ABS(Solieusap!E2349)</f>
        <v>24.50479662</v>
      </c>
      <c r="F2349" s="16">
        <f>ABS(Solieusap!F2349)</f>
        <v>2.363490823</v>
      </c>
      <c r="G2349" s="16">
        <f>ABS(Solieusap!G2349)</f>
        <v>3.18129342</v>
      </c>
      <c r="H2349" s="16">
        <f>ABS(Solieusap!H2349)</f>
        <v>0.001441547117</v>
      </c>
      <c r="I2349" s="16">
        <f>ABS(Solieusap!I2349)</f>
        <v>8.856167671</v>
      </c>
      <c r="J2349" s="16">
        <f>ABS(Solieusap!J2349)</f>
        <v>5.948186987</v>
      </c>
      <c r="K2349" s="16">
        <f t="shared" si="1"/>
        <v>24.50479662</v>
      </c>
      <c r="L2349" s="16">
        <f t="shared" si="2"/>
        <v>8.856167671</v>
      </c>
    </row>
    <row r="2350" ht="16.5" customHeight="1">
      <c r="A2350" s="15" t="str">
        <f>Solieusap!A2350</f>
        <v>Cũ</v>
      </c>
      <c r="B2350" s="15">
        <f>Solieusap!B2350</f>
        <v>0</v>
      </c>
      <c r="C2350" s="15" t="str">
        <f>Solieusap!C2350</f>
        <v>COMB6</v>
      </c>
      <c r="D2350" s="15" t="str">
        <f>Solieusap!D2350</f>
        <v>Combination</v>
      </c>
      <c r="E2350" s="16">
        <f>ABS(Solieusap!E2350)</f>
        <v>24.52165299</v>
      </c>
      <c r="F2350" s="16">
        <f>ABS(Solieusap!F2350)</f>
        <v>2.365201342</v>
      </c>
      <c r="G2350" s="16">
        <f>ABS(Solieusap!G2350)</f>
        <v>3.183557835</v>
      </c>
      <c r="H2350" s="16">
        <f>ABS(Solieusap!H2350)</f>
        <v>0.001442602221</v>
      </c>
      <c r="I2350" s="16">
        <f>ABS(Solieusap!I2350)</f>
        <v>8.862962463</v>
      </c>
      <c r="J2350" s="16">
        <f>ABS(Solieusap!J2350)</f>
        <v>5.952734039</v>
      </c>
      <c r="K2350" s="16">
        <f t="shared" si="1"/>
        <v>24.52165299</v>
      </c>
      <c r="L2350" s="16">
        <f t="shared" si="2"/>
        <v>8.862962463</v>
      </c>
    </row>
    <row r="2351" ht="16.5" customHeight="1">
      <c r="A2351" s="15" t="str">
        <f>Solieusap!A2351</f>
        <v>Cũ</v>
      </c>
      <c r="B2351" s="15">
        <f>Solieusap!B2351</f>
        <v>1.75</v>
      </c>
      <c r="C2351" s="15" t="str">
        <f>Solieusap!C2351</f>
        <v>COMB6</v>
      </c>
      <c r="D2351" s="15" t="str">
        <f>Solieusap!D2351</f>
        <v>Combination</v>
      </c>
      <c r="E2351" s="16">
        <f>ABS(Solieusap!E2351)</f>
        <v>24.53850935</v>
      </c>
      <c r="F2351" s="16">
        <f>ABS(Solieusap!F2351)</f>
        <v>2.366911861</v>
      </c>
      <c r="G2351" s="16">
        <f>ABS(Solieusap!G2351)</f>
        <v>3.185822251</v>
      </c>
      <c r="H2351" s="16">
        <f>ABS(Solieusap!H2351)</f>
        <v>0.001443657325</v>
      </c>
      <c r="I2351" s="16">
        <f>ABS(Solieusap!I2351)</f>
        <v>8.869757255</v>
      </c>
      <c r="J2351" s="16">
        <f>ABS(Solieusap!J2351)</f>
        <v>5.957281091</v>
      </c>
      <c r="K2351" s="16">
        <f t="shared" si="1"/>
        <v>24.53850935</v>
      </c>
      <c r="L2351" s="16">
        <f t="shared" si="2"/>
        <v>8.869757255</v>
      </c>
    </row>
    <row r="2352" ht="16.5" customHeight="1">
      <c r="A2352" s="15" t="str">
        <f>Solieusap!A2352</f>
        <v>Cũ</v>
      </c>
      <c r="B2352" s="15">
        <f>Solieusap!B2352</f>
        <v>3.5</v>
      </c>
      <c r="C2352" s="15" t="str">
        <f>Solieusap!C2352</f>
        <v>COMB6</v>
      </c>
      <c r="D2352" s="15" t="str">
        <f>Solieusap!D2352</f>
        <v>Combination</v>
      </c>
      <c r="E2352" s="16">
        <f>ABS(Solieusap!E2352)</f>
        <v>24.55536571</v>
      </c>
      <c r="F2352" s="16">
        <f>ABS(Solieusap!F2352)</f>
        <v>2.368622381</v>
      </c>
      <c r="G2352" s="16">
        <f>ABS(Solieusap!G2352)</f>
        <v>3.188086667</v>
      </c>
      <c r="H2352" s="16">
        <f>ABS(Solieusap!H2352)</f>
        <v>0.001444712429</v>
      </c>
      <c r="I2352" s="16">
        <f>ABS(Solieusap!I2352)</f>
        <v>8.876552048</v>
      </c>
      <c r="J2352" s="16">
        <f>ABS(Solieusap!J2352)</f>
        <v>5.961828143</v>
      </c>
      <c r="K2352" s="16">
        <f t="shared" si="1"/>
        <v>24.55536571</v>
      </c>
      <c r="L2352" s="16">
        <f t="shared" si="2"/>
        <v>8.876552048</v>
      </c>
    </row>
    <row r="2353" ht="16.5" customHeight="1">
      <c r="A2353" s="15" t="str">
        <f>Solieusap!A2353</f>
        <v>Cũ</v>
      </c>
      <c r="B2353" s="15">
        <f>Solieusap!B2353</f>
        <v>0</v>
      </c>
      <c r="C2353" s="15" t="str">
        <f>Solieusap!C2353</f>
        <v>COMB7</v>
      </c>
      <c r="D2353" s="15" t="str">
        <f>Solieusap!D2353</f>
        <v>Combination</v>
      </c>
      <c r="E2353" s="16">
        <f>ABS(Solieusap!E2353)</f>
        <v>24.57222208</v>
      </c>
      <c r="F2353" s="16">
        <f>ABS(Solieusap!F2353)</f>
        <v>2.3703329</v>
      </c>
      <c r="G2353" s="16">
        <f>ABS(Solieusap!G2353)</f>
        <v>3.190351082</v>
      </c>
      <c r="H2353" s="16">
        <f>ABS(Solieusap!H2353)</f>
        <v>0.001445767532</v>
      </c>
      <c r="I2353" s="16">
        <f>ABS(Solieusap!I2353)</f>
        <v>8.88334684</v>
      </c>
      <c r="J2353" s="16">
        <f>ABS(Solieusap!J2353)</f>
        <v>5.966375195</v>
      </c>
      <c r="K2353" s="16">
        <f t="shared" si="1"/>
        <v>24.57222208</v>
      </c>
      <c r="L2353" s="16">
        <f t="shared" si="2"/>
        <v>8.88334684</v>
      </c>
    </row>
    <row r="2354" ht="16.5" customHeight="1">
      <c r="A2354" s="15" t="str">
        <f>Solieusap!A2354</f>
        <v>Cũ</v>
      </c>
      <c r="B2354" s="15">
        <f>Solieusap!B2354</f>
        <v>1.75</v>
      </c>
      <c r="C2354" s="15" t="str">
        <f>Solieusap!C2354</f>
        <v>COMB7</v>
      </c>
      <c r="D2354" s="15" t="str">
        <f>Solieusap!D2354</f>
        <v>Combination</v>
      </c>
      <c r="E2354" s="16">
        <f>ABS(Solieusap!E2354)</f>
        <v>24.58907844</v>
      </c>
      <c r="F2354" s="16">
        <f>ABS(Solieusap!F2354)</f>
        <v>2.37204342</v>
      </c>
      <c r="G2354" s="16">
        <f>ABS(Solieusap!G2354)</f>
        <v>3.192615498</v>
      </c>
      <c r="H2354" s="16">
        <f>ABS(Solieusap!H2354)</f>
        <v>0.001446822636</v>
      </c>
      <c r="I2354" s="16">
        <f>ABS(Solieusap!I2354)</f>
        <v>8.890141632</v>
      </c>
      <c r="J2354" s="16">
        <f>ABS(Solieusap!J2354)</f>
        <v>5.970922247</v>
      </c>
      <c r="K2354" s="16">
        <f t="shared" si="1"/>
        <v>24.58907844</v>
      </c>
      <c r="L2354" s="16">
        <f t="shared" si="2"/>
        <v>8.890141632</v>
      </c>
    </row>
    <row r="2355" ht="16.5" customHeight="1">
      <c r="A2355" s="15" t="str">
        <f>Solieusap!A2355</f>
        <v>Cũ</v>
      </c>
      <c r="B2355" s="15">
        <f>Solieusap!B2355</f>
        <v>3.5</v>
      </c>
      <c r="C2355" s="15" t="str">
        <f>Solieusap!C2355</f>
        <v>COMB7</v>
      </c>
      <c r="D2355" s="15" t="str">
        <f>Solieusap!D2355</f>
        <v>Combination</v>
      </c>
      <c r="E2355" s="16">
        <f>ABS(Solieusap!E2355)</f>
        <v>24.60593481</v>
      </c>
      <c r="F2355" s="16">
        <f>ABS(Solieusap!F2355)</f>
        <v>2.373753939</v>
      </c>
      <c r="G2355" s="16">
        <f>ABS(Solieusap!G2355)</f>
        <v>3.194879913</v>
      </c>
      <c r="H2355" s="16">
        <f>ABS(Solieusap!H2355)</f>
        <v>0.00144787774</v>
      </c>
      <c r="I2355" s="16">
        <f>ABS(Solieusap!I2355)</f>
        <v>8.896936424</v>
      </c>
      <c r="J2355" s="16">
        <f>ABS(Solieusap!J2355)</f>
        <v>5.975469299</v>
      </c>
      <c r="K2355" s="16">
        <f t="shared" si="1"/>
        <v>24.60593481</v>
      </c>
      <c r="L2355" s="16">
        <f t="shared" si="2"/>
        <v>8.896936424</v>
      </c>
    </row>
    <row r="2356" ht="16.5" customHeight="1">
      <c r="A2356" s="15" t="str">
        <f>Solieusap!A2356</f>
        <v>Cũ</v>
      </c>
      <c r="B2356" s="15">
        <f>Solieusap!B2356</f>
        <v>0</v>
      </c>
      <c r="C2356" s="15" t="str">
        <f>Solieusap!C2356</f>
        <v>COMB1</v>
      </c>
      <c r="D2356" s="15" t="str">
        <f>Solieusap!D2356</f>
        <v>Combination</v>
      </c>
      <c r="E2356" s="16">
        <f>ABS(Solieusap!E2356)</f>
        <v>24.62279117</v>
      </c>
      <c r="F2356" s="16">
        <f>ABS(Solieusap!F2356)</f>
        <v>2.375464459</v>
      </c>
      <c r="G2356" s="16">
        <f>ABS(Solieusap!G2356)</f>
        <v>3.197144329</v>
      </c>
      <c r="H2356" s="16">
        <f>ABS(Solieusap!H2356)</f>
        <v>0.001448932844</v>
      </c>
      <c r="I2356" s="16">
        <f>ABS(Solieusap!I2356)</f>
        <v>8.903731216</v>
      </c>
      <c r="J2356" s="16">
        <f>ABS(Solieusap!J2356)</f>
        <v>5.980016351</v>
      </c>
      <c r="K2356" s="16">
        <f t="shared" si="1"/>
        <v>24.62279117</v>
      </c>
      <c r="L2356" s="16">
        <f t="shared" si="2"/>
        <v>8.903731216</v>
      </c>
    </row>
    <row r="2357" ht="16.5" customHeight="1">
      <c r="A2357" s="15" t="str">
        <f>Solieusap!A2357</f>
        <v>Cũ</v>
      </c>
      <c r="B2357" s="15">
        <f>Solieusap!B2357</f>
        <v>1.75</v>
      </c>
      <c r="C2357" s="15" t="str">
        <f>Solieusap!C2357</f>
        <v>COMB1</v>
      </c>
      <c r="D2357" s="15" t="str">
        <f>Solieusap!D2357</f>
        <v>Combination</v>
      </c>
      <c r="E2357" s="16">
        <f>ABS(Solieusap!E2357)</f>
        <v>24.63964753</v>
      </c>
      <c r="F2357" s="16">
        <f>ABS(Solieusap!F2357)</f>
        <v>2.377174978</v>
      </c>
      <c r="G2357" s="16">
        <f>ABS(Solieusap!G2357)</f>
        <v>3.199408745</v>
      </c>
      <c r="H2357" s="16">
        <f>ABS(Solieusap!H2357)</f>
        <v>0.001449987948</v>
      </c>
      <c r="I2357" s="16">
        <f>ABS(Solieusap!I2357)</f>
        <v>8.910526009</v>
      </c>
      <c r="J2357" s="16">
        <f>ABS(Solieusap!J2357)</f>
        <v>5.984563403</v>
      </c>
      <c r="K2357" s="16">
        <f t="shared" si="1"/>
        <v>24.63964753</v>
      </c>
      <c r="L2357" s="16">
        <f t="shared" si="2"/>
        <v>8.910526009</v>
      </c>
    </row>
    <row r="2358" ht="16.5" customHeight="1">
      <c r="A2358" s="15" t="str">
        <f>Solieusap!A2358</f>
        <v>Cũ</v>
      </c>
      <c r="B2358" s="15">
        <f>Solieusap!B2358</f>
        <v>3.5</v>
      </c>
      <c r="C2358" s="15" t="str">
        <f>Solieusap!C2358</f>
        <v>COMB1</v>
      </c>
      <c r="D2358" s="15" t="str">
        <f>Solieusap!D2358</f>
        <v>Combination</v>
      </c>
      <c r="E2358" s="16">
        <f>ABS(Solieusap!E2358)</f>
        <v>24.6565039</v>
      </c>
      <c r="F2358" s="16">
        <f>ABS(Solieusap!F2358)</f>
        <v>2.378885498</v>
      </c>
      <c r="G2358" s="16">
        <f>ABS(Solieusap!G2358)</f>
        <v>3.20167316</v>
      </c>
      <c r="H2358" s="16">
        <f>ABS(Solieusap!H2358)</f>
        <v>0.001451043052</v>
      </c>
      <c r="I2358" s="16">
        <f>ABS(Solieusap!I2358)</f>
        <v>8.917320801</v>
      </c>
      <c r="J2358" s="16">
        <f>ABS(Solieusap!J2358)</f>
        <v>5.989110455</v>
      </c>
      <c r="K2358" s="16">
        <f t="shared" si="1"/>
        <v>24.6565039</v>
      </c>
      <c r="L2358" s="16">
        <f t="shared" si="2"/>
        <v>8.917320801</v>
      </c>
    </row>
    <row r="2359" ht="16.5" customHeight="1">
      <c r="A2359" s="15" t="str">
        <f>Solieusap!A2359</f>
        <v>Cũ</v>
      </c>
      <c r="B2359" s="15">
        <f>Solieusap!B2359</f>
        <v>0</v>
      </c>
      <c r="C2359" s="15" t="str">
        <f>Solieusap!C2359</f>
        <v>COMB2</v>
      </c>
      <c r="D2359" s="15" t="str">
        <f>Solieusap!D2359</f>
        <v>Combination</v>
      </c>
      <c r="E2359" s="16">
        <f>ABS(Solieusap!E2359)</f>
        <v>24.67336026</v>
      </c>
      <c r="F2359" s="16">
        <f>ABS(Solieusap!F2359)</f>
        <v>2.380596017</v>
      </c>
      <c r="G2359" s="16">
        <f>ABS(Solieusap!G2359)</f>
        <v>3.203937576</v>
      </c>
      <c r="H2359" s="16">
        <f>ABS(Solieusap!H2359)</f>
        <v>0.001452098156</v>
      </c>
      <c r="I2359" s="16">
        <f>ABS(Solieusap!I2359)</f>
        <v>8.924115593</v>
      </c>
      <c r="J2359" s="16">
        <f>ABS(Solieusap!J2359)</f>
        <v>5.993657506</v>
      </c>
      <c r="K2359" s="16">
        <f t="shared" si="1"/>
        <v>24.67336026</v>
      </c>
      <c r="L2359" s="16">
        <f t="shared" si="2"/>
        <v>8.924115593</v>
      </c>
    </row>
    <row r="2360" ht="16.5" customHeight="1">
      <c r="A2360" s="15" t="str">
        <f>Solieusap!A2360</f>
        <v>Cũ</v>
      </c>
      <c r="B2360" s="15">
        <f>Solieusap!B2360</f>
        <v>1.75</v>
      </c>
      <c r="C2360" s="15" t="str">
        <f>Solieusap!C2360</f>
        <v>COMB2</v>
      </c>
      <c r="D2360" s="15" t="str">
        <f>Solieusap!D2360</f>
        <v>Combination</v>
      </c>
      <c r="E2360" s="16">
        <f>ABS(Solieusap!E2360)</f>
        <v>24.69021662</v>
      </c>
      <c r="F2360" s="16">
        <f>ABS(Solieusap!F2360)</f>
        <v>2.382306537</v>
      </c>
      <c r="G2360" s="16">
        <f>ABS(Solieusap!G2360)</f>
        <v>3.206201991</v>
      </c>
      <c r="H2360" s="16">
        <f>ABS(Solieusap!H2360)</f>
        <v>0.00145315326</v>
      </c>
      <c r="I2360" s="16">
        <f>ABS(Solieusap!I2360)</f>
        <v>8.930910385</v>
      </c>
      <c r="J2360" s="16">
        <f>ABS(Solieusap!J2360)</f>
        <v>5.998204558</v>
      </c>
      <c r="K2360" s="16">
        <f t="shared" si="1"/>
        <v>24.69021662</v>
      </c>
      <c r="L2360" s="16">
        <f t="shared" si="2"/>
        <v>8.930910385</v>
      </c>
    </row>
    <row r="2361" ht="16.5" customHeight="1">
      <c r="A2361" s="15" t="str">
        <f>Solieusap!A2361</f>
        <v>Cũ</v>
      </c>
      <c r="B2361" s="15">
        <f>Solieusap!B2361</f>
        <v>3.5</v>
      </c>
      <c r="C2361" s="15" t="str">
        <f>Solieusap!C2361</f>
        <v>COMB2</v>
      </c>
      <c r="D2361" s="15" t="str">
        <f>Solieusap!D2361</f>
        <v>Combination</v>
      </c>
      <c r="E2361" s="16">
        <f>ABS(Solieusap!E2361)</f>
        <v>24.70707299</v>
      </c>
      <c r="F2361" s="16">
        <f>ABS(Solieusap!F2361)</f>
        <v>2.384017056</v>
      </c>
      <c r="G2361" s="16">
        <f>ABS(Solieusap!G2361)</f>
        <v>3.208466407</v>
      </c>
      <c r="H2361" s="16">
        <f>ABS(Solieusap!H2361)</f>
        <v>0.001454208364</v>
      </c>
      <c r="I2361" s="16">
        <f>ABS(Solieusap!I2361)</f>
        <v>8.937705177</v>
      </c>
      <c r="J2361" s="16">
        <f>ABS(Solieusap!J2361)</f>
        <v>6.00275161</v>
      </c>
      <c r="K2361" s="16">
        <f t="shared" si="1"/>
        <v>24.70707299</v>
      </c>
      <c r="L2361" s="16">
        <f t="shared" si="2"/>
        <v>8.937705177</v>
      </c>
    </row>
    <row r="2362" ht="16.5" customHeight="1">
      <c r="A2362" s="15" t="str">
        <f>Solieusap!A2362</f>
        <v>Cũ</v>
      </c>
      <c r="B2362" s="15">
        <f>Solieusap!B2362</f>
        <v>0</v>
      </c>
      <c r="C2362" s="15" t="str">
        <f>Solieusap!C2362</f>
        <v>COMB3</v>
      </c>
      <c r="D2362" s="15" t="str">
        <f>Solieusap!D2362</f>
        <v>Combination</v>
      </c>
      <c r="E2362" s="16">
        <f>ABS(Solieusap!E2362)</f>
        <v>24.72392935</v>
      </c>
      <c r="F2362" s="16">
        <f>ABS(Solieusap!F2362)</f>
        <v>2.385727576</v>
      </c>
      <c r="G2362" s="16">
        <f>ABS(Solieusap!G2362)</f>
        <v>3.210730823</v>
      </c>
      <c r="H2362" s="16">
        <f>ABS(Solieusap!H2362)</f>
        <v>0.001455263468</v>
      </c>
      <c r="I2362" s="16">
        <f>ABS(Solieusap!I2362)</f>
        <v>8.94449997</v>
      </c>
      <c r="J2362" s="16">
        <f>ABS(Solieusap!J2362)</f>
        <v>6.007298662</v>
      </c>
      <c r="K2362" s="16">
        <f t="shared" si="1"/>
        <v>24.72392935</v>
      </c>
      <c r="L2362" s="16">
        <f t="shared" si="2"/>
        <v>8.94449997</v>
      </c>
    </row>
    <row r="2363" ht="16.5" customHeight="1">
      <c r="A2363" s="15" t="str">
        <f>Solieusap!A2363</f>
        <v>Cũ</v>
      </c>
      <c r="B2363" s="15">
        <f>Solieusap!B2363</f>
        <v>1.75</v>
      </c>
      <c r="C2363" s="15" t="str">
        <f>Solieusap!C2363</f>
        <v>COMB3</v>
      </c>
      <c r="D2363" s="15" t="str">
        <f>Solieusap!D2363</f>
        <v>Combination</v>
      </c>
      <c r="E2363" s="16">
        <f>ABS(Solieusap!E2363)</f>
        <v>24.74078571</v>
      </c>
      <c r="F2363" s="16">
        <f>ABS(Solieusap!F2363)</f>
        <v>2.387438095</v>
      </c>
      <c r="G2363" s="16">
        <f>ABS(Solieusap!G2363)</f>
        <v>3.212995238</v>
      </c>
      <c r="H2363" s="16">
        <f>ABS(Solieusap!H2363)</f>
        <v>0.001456318571</v>
      </c>
      <c r="I2363" s="16">
        <f>ABS(Solieusap!I2363)</f>
        <v>8.951294762</v>
      </c>
      <c r="J2363" s="16">
        <f>ABS(Solieusap!J2363)</f>
        <v>6.011845714</v>
      </c>
      <c r="K2363" s="16">
        <f t="shared" si="1"/>
        <v>24.74078571</v>
      </c>
      <c r="L2363" s="16">
        <f t="shared" si="2"/>
        <v>8.951294762</v>
      </c>
    </row>
    <row r="2364" ht="16.5" customHeight="1">
      <c r="A2364" s="15" t="str">
        <f>Solieusap!A2364</f>
        <v>Cũ</v>
      </c>
      <c r="B2364" s="15">
        <f>Solieusap!B2364</f>
        <v>3.5</v>
      </c>
      <c r="C2364" s="15" t="str">
        <f>Solieusap!C2364</f>
        <v>COMB3</v>
      </c>
      <c r="D2364" s="15" t="str">
        <f>Solieusap!D2364</f>
        <v>Combination</v>
      </c>
      <c r="E2364" s="16">
        <f>ABS(Solieusap!E2364)</f>
        <v>24.75764208</v>
      </c>
      <c r="F2364" s="16">
        <f>ABS(Solieusap!F2364)</f>
        <v>2.389148615</v>
      </c>
      <c r="G2364" s="16">
        <f>ABS(Solieusap!G2364)</f>
        <v>3.215259654</v>
      </c>
      <c r="H2364" s="16">
        <f>ABS(Solieusap!H2364)</f>
        <v>0.001457373675</v>
      </c>
      <c r="I2364" s="16">
        <f>ABS(Solieusap!I2364)</f>
        <v>8.958089554</v>
      </c>
      <c r="J2364" s="16">
        <f>ABS(Solieusap!J2364)</f>
        <v>6.016392766</v>
      </c>
      <c r="K2364" s="16">
        <f t="shared" si="1"/>
        <v>24.75764208</v>
      </c>
      <c r="L2364" s="16">
        <f t="shared" si="2"/>
        <v>8.958089554</v>
      </c>
    </row>
    <row r="2365" ht="16.5" customHeight="1">
      <c r="A2365" s="15" t="str">
        <f>Solieusap!A2365</f>
        <v>Cũ</v>
      </c>
      <c r="B2365" s="15">
        <f>Solieusap!B2365</f>
        <v>0</v>
      </c>
      <c r="C2365" s="15" t="str">
        <f>Solieusap!C2365</f>
        <v>COMB4</v>
      </c>
      <c r="D2365" s="15" t="str">
        <f>Solieusap!D2365</f>
        <v>Combination</v>
      </c>
      <c r="E2365" s="16">
        <f>ABS(Solieusap!E2365)</f>
        <v>24.77449844</v>
      </c>
      <c r="F2365" s="16">
        <f>ABS(Solieusap!F2365)</f>
        <v>2.390859134</v>
      </c>
      <c r="G2365" s="16">
        <f>ABS(Solieusap!G2365)</f>
        <v>3.217524069</v>
      </c>
      <c r="H2365" s="16">
        <f>ABS(Solieusap!H2365)</f>
        <v>0.001458428779</v>
      </c>
      <c r="I2365" s="16">
        <f>ABS(Solieusap!I2365)</f>
        <v>8.964884346</v>
      </c>
      <c r="J2365" s="16">
        <f>ABS(Solieusap!J2365)</f>
        <v>6.020939818</v>
      </c>
      <c r="K2365" s="16">
        <f t="shared" si="1"/>
        <v>24.77449844</v>
      </c>
      <c r="L2365" s="16">
        <f t="shared" si="2"/>
        <v>8.964884346</v>
      </c>
    </row>
    <row r="2366" ht="16.5" customHeight="1">
      <c r="A2366" s="15" t="str">
        <f>Solieusap!A2366</f>
        <v>Cũ</v>
      </c>
      <c r="B2366" s="15">
        <f>Solieusap!B2366</f>
        <v>1.75</v>
      </c>
      <c r="C2366" s="15" t="str">
        <f>Solieusap!C2366</f>
        <v>COMB4</v>
      </c>
      <c r="D2366" s="15" t="str">
        <f>Solieusap!D2366</f>
        <v>Combination</v>
      </c>
      <c r="E2366" s="16">
        <f>ABS(Solieusap!E2366)</f>
        <v>24.79135481</v>
      </c>
      <c r="F2366" s="16">
        <f>ABS(Solieusap!F2366)</f>
        <v>2.392569654</v>
      </c>
      <c r="G2366" s="16">
        <f>ABS(Solieusap!G2366)</f>
        <v>3.219788485</v>
      </c>
      <c r="H2366" s="16">
        <f>ABS(Solieusap!H2366)</f>
        <v>0.001459483883</v>
      </c>
      <c r="I2366" s="16">
        <f>ABS(Solieusap!I2366)</f>
        <v>8.971679139</v>
      </c>
      <c r="J2366" s="16">
        <f>ABS(Solieusap!J2366)</f>
        <v>6.02548687</v>
      </c>
      <c r="K2366" s="16">
        <f t="shared" si="1"/>
        <v>24.79135481</v>
      </c>
      <c r="L2366" s="16">
        <f t="shared" si="2"/>
        <v>8.971679139</v>
      </c>
    </row>
    <row r="2367" ht="16.5" customHeight="1">
      <c r="A2367" s="15" t="str">
        <f>Solieusap!A2367</f>
        <v>Cũ</v>
      </c>
      <c r="B2367" s="15">
        <f>Solieusap!B2367</f>
        <v>3.5</v>
      </c>
      <c r="C2367" s="15" t="str">
        <f>Solieusap!C2367</f>
        <v>COMB4</v>
      </c>
      <c r="D2367" s="15" t="str">
        <f>Solieusap!D2367</f>
        <v>Combination</v>
      </c>
      <c r="E2367" s="16">
        <f>ABS(Solieusap!E2367)</f>
        <v>24.80821117</v>
      </c>
      <c r="F2367" s="16">
        <f>ABS(Solieusap!F2367)</f>
        <v>2.394280173</v>
      </c>
      <c r="G2367" s="16">
        <f>ABS(Solieusap!G2367)</f>
        <v>3.2220529</v>
      </c>
      <c r="H2367" s="16">
        <f>ABS(Solieusap!H2367)</f>
        <v>0.001460538987</v>
      </c>
      <c r="I2367" s="16">
        <f>ABS(Solieusap!I2367)</f>
        <v>8.978473931</v>
      </c>
      <c r="J2367" s="16">
        <f>ABS(Solieusap!J2367)</f>
        <v>6.030033922</v>
      </c>
      <c r="K2367" s="16">
        <f t="shared" si="1"/>
        <v>24.80821117</v>
      </c>
      <c r="L2367" s="16">
        <f t="shared" si="2"/>
        <v>8.978473931</v>
      </c>
    </row>
    <row r="2368" ht="16.5" customHeight="1">
      <c r="A2368" s="15" t="str">
        <f>Solieusap!A2368</f>
        <v>Cũ</v>
      </c>
      <c r="B2368" s="15">
        <f>Solieusap!B2368</f>
        <v>0</v>
      </c>
      <c r="C2368" s="15" t="str">
        <f>Solieusap!C2368</f>
        <v>COMB5</v>
      </c>
      <c r="D2368" s="15" t="str">
        <f>Solieusap!D2368</f>
        <v>Combination</v>
      </c>
      <c r="E2368" s="16">
        <f>ABS(Solieusap!E2368)</f>
        <v>24.82506753</v>
      </c>
      <c r="F2368" s="16">
        <f>ABS(Solieusap!F2368)</f>
        <v>2.395990693</v>
      </c>
      <c r="G2368" s="16">
        <f>ABS(Solieusap!G2368)</f>
        <v>3.224317316</v>
      </c>
      <c r="H2368" s="16">
        <f>ABS(Solieusap!H2368)</f>
        <v>0.001461594091</v>
      </c>
      <c r="I2368" s="16">
        <f>ABS(Solieusap!I2368)</f>
        <v>8.985268723</v>
      </c>
      <c r="J2368" s="16">
        <f>ABS(Solieusap!J2368)</f>
        <v>6.034580974</v>
      </c>
      <c r="K2368" s="16">
        <f t="shared" si="1"/>
        <v>24.82506753</v>
      </c>
      <c r="L2368" s="16">
        <f t="shared" si="2"/>
        <v>8.985268723</v>
      </c>
    </row>
    <row r="2369" ht="16.5" customHeight="1">
      <c r="A2369" s="15" t="str">
        <f>Solieusap!A2369</f>
        <v>Cũ</v>
      </c>
      <c r="B2369" s="15">
        <f>Solieusap!B2369</f>
        <v>1.75</v>
      </c>
      <c r="C2369" s="15" t="str">
        <f>Solieusap!C2369</f>
        <v>COMB5</v>
      </c>
      <c r="D2369" s="15" t="str">
        <f>Solieusap!D2369</f>
        <v>Combination</v>
      </c>
      <c r="E2369" s="16">
        <f>ABS(Solieusap!E2369)</f>
        <v>24.8419239</v>
      </c>
      <c r="F2369" s="16">
        <f>ABS(Solieusap!F2369)</f>
        <v>2.397701212</v>
      </c>
      <c r="G2369" s="16">
        <f>ABS(Solieusap!G2369)</f>
        <v>3.226581732</v>
      </c>
      <c r="H2369" s="16">
        <f>ABS(Solieusap!H2369)</f>
        <v>0.001462649195</v>
      </c>
      <c r="I2369" s="16">
        <f>ABS(Solieusap!I2369)</f>
        <v>8.992063515</v>
      </c>
      <c r="J2369" s="16">
        <f>ABS(Solieusap!J2369)</f>
        <v>6.039128026</v>
      </c>
      <c r="K2369" s="16">
        <f t="shared" si="1"/>
        <v>24.8419239</v>
      </c>
      <c r="L2369" s="16">
        <f t="shared" si="2"/>
        <v>8.992063515</v>
      </c>
    </row>
    <row r="2370" ht="16.5" customHeight="1">
      <c r="A2370" s="15" t="str">
        <f>Solieusap!A2370</f>
        <v>Cũ</v>
      </c>
      <c r="B2370" s="15">
        <f>Solieusap!B2370</f>
        <v>3.5</v>
      </c>
      <c r="C2370" s="15" t="str">
        <f>Solieusap!C2370</f>
        <v>COMB5</v>
      </c>
      <c r="D2370" s="15" t="str">
        <f>Solieusap!D2370</f>
        <v>Combination</v>
      </c>
      <c r="E2370" s="16">
        <f>ABS(Solieusap!E2370)</f>
        <v>24.85878026</v>
      </c>
      <c r="F2370" s="16">
        <f>ABS(Solieusap!F2370)</f>
        <v>2.399411732</v>
      </c>
      <c r="G2370" s="16">
        <f>ABS(Solieusap!G2370)</f>
        <v>3.228846147</v>
      </c>
      <c r="H2370" s="16">
        <f>ABS(Solieusap!H2370)</f>
        <v>0.001463704299</v>
      </c>
      <c r="I2370" s="16">
        <f>ABS(Solieusap!I2370)</f>
        <v>8.998858307</v>
      </c>
      <c r="J2370" s="16">
        <f>ABS(Solieusap!J2370)</f>
        <v>6.043675078</v>
      </c>
      <c r="K2370" s="16">
        <f t="shared" si="1"/>
        <v>24.85878026</v>
      </c>
      <c r="L2370" s="16">
        <f t="shared" si="2"/>
        <v>8.998858307</v>
      </c>
    </row>
    <row r="2371" ht="16.5" customHeight="1">
      <c r="A2371" s="15" t="str">
        <f>Solieusap!A2371</f>
        <v>Cũ</v>
      </c>
      <c r="B2371" s="15">
        <f>Solieusap!B2371</f>
        <v>0</v>
      </c>
      <c r="C2371" s="15" t="str">
        <f>Solieusap!C2371</f>
        <v>COMB6</v>
      </c>
      <c r="D2371" s="15" t="str">
        <f>Solieusap!D2371</f>
        <v>Combination</v>
      </c>
      <c r="E2371" s="16">
        <f>ABS(Solieusap!E2371)</f>
        <v>24.87563662</v>
      </c>
      <c r="F2371" s="16">
        <f>ABS(Solieusap!F2371)</f>
        <v>2.401122251</v>
      </c>
      <c r="G2371" s="16">
        <f>ABS(Solieusap!G2371)</f>
        <v>3.231110563</v>
      </c>
      <c r="H2371" s="16">
        <f>ABS(Solieusap!H2371)</f>
        <v>0.001464759403</v>
      </c>
      <c r="I2371" s="16">
        <f>ABS(Solieusap!I2371)</f>
        <v>9.0056531</v>
      </c>
      <c r="J2371" s="16">
        <f>ABS(Solieusap!J2371)</f>
        <v>6.04822213</v>
      </c>
      <c r="K2371" s="16">
        <f t="shared" si="1"/>
        <v>24.87563662</v>
      </c>
      <c r="L2371" s="16">
        <f t="shared" si="2"/>
        <v>9.0056531</v>
      </c>
    </row>
    <row r="2372" ht="16.5" customHeight="1">
      <c r="A2372" s="15" t="str">
        <f>Solieusap!A2372</f>
        <v>Cũ</v>
      </c>
      <c r="B2372" s="15">
        <f>Solieusap!B2372</f>
        <v>1.75</v>
      </c>
      <c r="C2372" s="15" t="str">
        <f>Solieusap!C2372</f>
        <v>COMB6</v>
      </c>
      <c r="D2372" s="15" t="str">
        <f>Solieusap!D2372</f>
        <v>Combination</v>
      </c>
      <c r="E2372" s="16">
        <f>ABS(Solieusap!E2372)</f>
        <v>24.89249299</v>
      </c>
      <c r="F2372" s="16">
        <f>ABS(Solieusap!F2372)</f>
        <v>2.402832771</v>
      </c>
      <c r="G2372" s="16">
        <f>ABS(Solieusap!G2372)</f>
        <v>3.233374978</v>
      </c>
      <c r="H2372" s="16">
        <f>ABS(Solieusap!H2372)</f>
        <v>0.001465814506</v>
      </c>
      <c r="I2372" s="16">
        <f>ABS(Solieusap!I2372)</f>
        <v>9.012447892</v>
      </c>
      <c r="J2372" s="16">
        <f>ABS(Solieusap!J2372)</f>
        <v>6.052769182</v>
      </c>
      <c r="K2372" s="16">
        <f t="shared" si="1"/>
        <v>24.89249299</v>
      </c>
      <c r="L2372" s="16">
        <f t="shared" si="2"/>
        <v>9.012447892</v>
      </c>
    </row>
    <row r="2373" ht="16.5" customHeight="1">
      <c r="A2373" s="15" t="str">
        <f>Solieusap!A2373</f>
        <v>Cũ</v>
      </c>
      <c r="B2373" s="15">
        <f>Solieusap!B2373</f>
        <v>3.5</v>
      </c>
      <c r="C2373" s="15" t="str">
        <f>Solieusap!C2373</f>
        <v>COMB6</v>
      </c>
      <c r="D2373" s="15" t="str">
        <f>Solieusap!D2373</f>
        <v>Combination</v>
      </c>
      <c r="E2373" s="16">
        <f>ABS(Solieusap!E2373)</f>
        <v>24.90934935</v>
      </c>
      <c r="F2373" s="16">
        <f>ABS(Solieusap!F2373)</f>
        <v>2.40454329</v>
      </c>
      <c r="G2373" s="16">
        <f>ABS(Solieusap!G2373)</f>
        <v>3.235639394</v>
      </c>
      <c r="H2373" s="16">
        <f>ABS(Solieusap!H2373)</f>
        <v>0.00146686961</v>
      </c>
      <c r="I2373" s="16">
        <f>ABS(Solieusap!I2373)</f>
        <v>9.019242684</v>
      </c>
      <c r="J2373" s="16">
        <f>ABS(Solieusap!J2373)</f>
        <v>6.057316234</v>
      </c>
      <c r="K2373" s="16">
        <f t="shared" si="1"/>
        <v>24.90934935</v>
      </c>
      <c r="L2373" s="16">
        <f t="shared" si="2"/>
        <v>9.019242684</v>
      </c>
    </row>
    <row r="2374" ht="16.5" customHeight="1">
      <c r="A2374" s="15" t="str">
        <f>Solieusap!A2374</f>
        <v>Cũ</v>
      </c>
      <c r="B2374" s="15">
        <f>Solieusap!B2374</f>
        <v>0</v>
      </c>
      <c r="C2374" s="15" t="str">
        <f>Solieusap!C2374</f>
        <v>COMB7</v>
      </c>
      <c r="D2374" s="15" t="str">
        <f>Solieusap!D2374</f>
        <v>Combination</v>
      </c>
      <c r="E2374" s="16">
        <f>ABS(Solieusap!E2374)</f>
        <v>24.92620571</v>
      </c>
      <c r="F2374" s="16">
        <f>ABS(Solieusap!F2374)</f>
        <v>2.40625381</v>
      </c>
      <c r="G2374" s="16">
        <f>ABS(Solieusap!G2374)</f>
        <v>3.23790381</v>
      </c>
      <c r="H2374" s="16">
        <f>ABS(Solieusap!H2374)</f>
        <v>0.001467924714</v>
      </c>
      <c r="I2374" s="16">
        <f>ABS(Solieusap!I2374)</f>
        <v>9.026037476</v>
      </c>
      <c r="J2374" s="16">
        <f>ABS(Solieusap!J2374)</f>
        <v>6.061863286</v>
      </c>
      <c r="K2374" s="16">
        <f t="shared" si="1"/>
        <v>24.92620571</v>
      </c>
      <c r="L2374" s="16">
        <f t="shared" si="2"/>
        <v>9.026037476</v>
      </c>
    </row>
    <row r="2375" ht="16.5" customHeight="1">
      <c r="A2375" s="15" t="str">
        <f>Solieusap!A2375</f>
        <v>Cũ</v>
      </c>
      <c r="B2375" s="15">
        <f>Solieusap!B2375</f>
        <v>1.75</v>
      </c>
      <c r="C2375" s="15" t="str">
        <f>Solieusap!C2375</f>
        <v>COMB7</v>
      </c>
      <c r="D2375" s="15" t="str">
        <f>Solieusap!D2375</f>
        <v>Combination</v>
      </c>
      <c r="E2375" s="16">
        <f>ABS(Solieusap!E2375)</f>
        <v>24.94306208</v>
      </c>
      <c r="F2375" s="16">
        <f>ABS(Solieusap!F2375)</f>
        <v>2.407964329</v>
      </c>
      <c r="G2375" s="16">
        <f>ABS(Solieusap!G2375)</f>
        <v>3.240168225</v>
      </c>
      <c r="H2375" s="16">
        <f>ABS(Solieusap!H2375)</f>
        <v>0.001468979818</v>
      </c>
      <c r="I2375" s="16">
        <f>ABS(Solieusap!I2375)</f>
        <v>9.032832268</v>
      </c>
      <c r="J2375" s="16">
        <f>ABS(Solieusap!J2375)</f>
        <v>6.066410338</v>
      </c>
      <c r="K2375" s="16">
        <f t="shared" si="1"/>
        <v>24.94306208</v>
      </c>
      <c r="L2375" s="16">
        <f t="shared" si="2"/>
        <v>9.032832268</v>
      </c>
    </row>
    <row r="2376" ht="16.5" customHeight="1">
      <c r="A2376" s="15" t="str">
        <f>Solieusap!A2376</f>
        <v>Cũ</v>
      </c>
      <c r="B2376" s="15">
        <f>Solieusap!B2376</f>
        <v>3.5</v>
      </c>
      <c r="C2376" s="15" t="str">
        <f>Solieusap!C2376</f>
        <v>COMB7</v>
      </c>
      <c r="D2376" s="15" t="str">
        <f>Solieusap!D2376</f>
        <v>Combination</v>
      </c>
      <c r="E2376" s="16">
        <f>ABS(Solieusap!E2376)</f>
        <v>24.95991844</v>
      </c>
      <c r="F2376" s="16">
        <f>ABS(Solieusap!F2376)</f>
        <v>2.409674848</v>
      </c>
      <c r="G2376" s="16">
        <f>ABS(Solieusap!G2376)</f>
        <v>3.242432641</v>
      </c>
      <c r="H2376" s="16">
        <f>ABS(Solieusap!H2376)</f>
        <v>0.001470034922</v>
      </c>
      <c r="I2376" s="16">
        <f>ABS(Solieusap!I2376)</f>
        <v>9.039627061</v>
      </c>
      <c r="J2376" s="16">
        <f>ABS(Solieusap!J2376)</f>
        <v>6.07095739</v>
      </c>
      <c r="K2376" s="16">
        <f t="shared" si="1"/>
        <v>24.95991844</v>
      </c>
      <c r="L2376" s="16">
        <f t="shared" si="2"/>
        <v>9.039627061</v>
      </c>
    </row>
    <row r="2377" ht="16.5" customHeight="1">
      <c r="A2377" s="15" t="str">
        <f>Solieusap!A2377</f>
        <v>Cũ</v>
      </c>
      <c r="B2377" s="15">
        <f>Solieusap!B2377</f>
        <v>0</v>
      </c>
      <c r="C2377" s="15" t="str">
        <f>Solieusap!C2377</f>
        <v>COMB1</v>
      </c>
      <c r="D2377" s="15" t="str">
        <f>Solieusap!D2377</f>
        <v>Combination</v>
      </c>
      <c r="E2377" s="16">
        <f>ABS(Solieusap!E2377)</f>
        <v>24.97677481</v>
      </c>
      <c r="F2377" s="16">
        <f>ABS(Solieusap!F2377)</f>
        <v>2.411385368</v>
      </c>
      <c r="G2377" s="16">
        <f>ABS(Solieusap!G2377)</f>
        <v>3.244697056</v>
      </c>
      <c r="H2377" s="16">
        <f>ABS(Solieusap!H2377)</f>
        <v>0.001471090026</v>
      </c>
      <c r="I2377" s="16">
        <f>ABS(Solieusap!I2377)</f>
        <v>9.046421853</v>
      </c>
      <c r="J2377" s="16">
        <f>ABS(Solieusap!J2377)</f>
        <v>6.075504442</v>
      </c>
      <c r="K2377" s="16">
        <f t="shared" si="1"/>
        <v>24.97677481</v>
      </c>
      <c r="L2377" s="16">
        <f t="shared" si="2"/>
        <v>9.046421853</v>
      </c>
    </row>
    <row r="2378" ht="16.5" customHeight="1">
      <c r="A2378" s="15" t="str">
        <f>Solieusap!A2378</f>
        <v>Cũ</v>
      </c>
      <c r="B2378" s="15">
        <f>Solieusap!B2378</f>
        <v>1.75</v>
      </c>
      <c r="C2378" s="15" t="str">
        <f>Solieusap!C2378</f>
        <v>COMB1</v>
      </c>
      <c r="D2378" s="15" t="str">
        <f>Solieusap!D2378</f>
        <v>Combination</v>
      </c>
      <c r="E2378" s="16">
        <f>ABS(Solieusap!E2378)</f>
        <v>24.99363117</v>
      </c>
      <c r="F2378" s="16">
        <f>ABS(Solieusap!F2378)</f>
        <v>2.413095887</v>
      </c>
      <c r="G2378" s="16">
        <f>ABS(Solieusap!G2378)</f>
        <v>3.246961472</v>
      </c>
      <c r="H2378" s="16">
        <f>ABS(Solieusap!H2378)</f>
        <v>0.00147214513</v>
      </c>
      <c r="I2378" s="16">
        <f>ABS(Solieusap!I2378)</f>
        <v>9.053216645</v>
      </c>
      <c r="J2378" s="16">
        <f>ABS(Solieusap!J2378)</f>
        <v>6.080051494</v>
      </c>
      <c r="K2378" s="16">
        <f t="shared" si="1"/>
        <v>24.99363117</v>
      </c>
      <c r="L2378" s="16">
        <f t="shared" si="2"/>
        <v>9.053216645</v>
      </c>
    </row>
    <row r="2379" ht="16.5" customHeight="1">
      <c r="A2379" s="15" t="str">
        <f>Solieusap!A2379</f>
        <v>Cũ</v>
      </c>
      <c r="B2379" s="15">
        <f>Solieusap!B2379</f>
        <v>3.5</v>
      </c>
      <c r="C2379" s="15" t="str">
        <f>Solieusap!C2379</f>
        <v>COMB1</v>
      </c>
      <c r="D2379" s="15" t="str">
        <f>Solieusap!D2379</f>
        <v>Combination</v>
      </c>
      <c r="E2379" s="16">
        <f>ABS(Solieusap!E2379)</f>
        <v>25.01048753</v>
      </c>
      <c r="F2379" s="16">
        <f>ABS(Solieusap!F2379)</f>
        <v>2.414806407</v>
      </c>
      <c r="G2379" s="16">
        <f>ABS(Solieusap!G2379)</f>
        <v>3.249225887</v>
      </c>
      <c r="H2379" s="16">
        <f>ABS(Solieusap!H2379)</f>
        <v>0.001473200234</v>
      </c>
      <c r="I2379" s="16">
        <f>ABS(Solieusap!I2379)</f>
        <v>9.060011437</v>
      </c>
      <c r="J2379" s="16">
        <f>ABS(Solieusap!J2379)</f>
        <v>6.084598545</v>
      </c>
      <c r="K2379" s="16">
        <f t="shared" si="1"/>
        <v>25.01048753</v>
      </c>
      <c r="L2379" s="16">
        <f t="shared" si="2"/>
        <v>9.060011437</v>
      </c>
    </row>
    <row r="2380" ht="16.5" customHeight="1">
      <c r="A2380" s="15" t="str">
        <f>Solieusap!A2380</f>
        <v>Cũ</v>
      </c>
      <c r="B2380" s="15">
        <f>Solieusap!B2380</f>
        <v>0</v>
      </c>
      <c r="C2380" s="15" t="str">
        <f>Solieusap!C2380</f>
        <v>COMB2</v>
      </c>
      <c r="D2380" s="15" t="str">
        <f>Solieusap!D2380</f>
        <v>Combination</v>
      </c>
      <c r="E2380" s="16">
        <f>ABS(Solieusap!E2380)</f>
        <v>25.0273439</v>
      </c>
      <c r="F2380" s="16">
        <f>ABS(Solieusap!F2380)</f>
        <v>2.416516926</v>
      </c>
      <c r="G2380" s="16">
        <f>ABS(Solieusap!G2380)</f>
        <v>3.251490303</v>
      </c>
      <c r="H2380" s="16">
        <f>ABS(Solieusap!H2380)</f>
        <v>0.001474255338</v>
      </c>
      <c r="I2380" s="16">
        <f>ABS(Solieusap!I2380)</f>
        <v>9.066806229</v>
      </c>
      <c r="J2380" s="16">
        <f>ABS(Solieusap!J2380)</f>
        <v>6.089145597</v>
      </c>
      <c r="K2380" s="16">
        <f t="shared" si="1"/>
        <v>25.0273439</v>
      </c>
      <c r="L2380" s="16">
        <f t="shared" si="2"/>
        <v>9.066806229</v>
      </c>
    </row>
    <row r="2381" ht="16.5" customHeight="1">
      <c r="A2381" s="15" t="str">
        <f>Solieusap!A2381</f>
        <v>Cũ</v>
      </c>
      <c r="B2381" s="15">
        <f>Solieusap!B2381</f>
        <v>1.75</v>
      </c>
      <c r="C2381" s="15" t="str">
        <f>Solieusap!C2381</f>
        <v>COMB2</v>
      </c>
      <c r="D2381" s="15" t="str">
        <f>Solieusap!D2381</f>
        <v>Combination</v>
      </c>
      <c r="E2381" s="16">
        <f>ABS(Solieusap!E2381)</f>
        <v>25.04420026</v>
      </c>
      <c r="F2381" s="16">
        <f>ABS(Solieusap!F2381)</f>
        <v>2.418227446</v>
      </c>
      <c r="G2381" s="16">
        <f>ABS(Solieusap!G2381)</f>
        <v>3.253754719</v>
      </c>
      <c r="H2381" s="16">
        <f>ABS(Solieusap!H2381)</f>
        <v>0.001475310442</v>
      </c>
      <c r="I2381" s="16">
        <f>ABS(Solieusap!I2381)</f>
        <v>9.073601022</v>
      </c>
      <c r="J2381" s="16">
        <f>ABS(Solieusap!J2381)</f>
        <v>6.093692649</v>
      </c>
      <c r="K2381" s="16">
        <f t="shared" si="1"/>
        <v>25.04420026</v>
      </c>
      <c r="L2381" s="16">
        <f t="shared" si="2"/>
        <v>9.073601022</v>
      </c>
    </row>
    <row r="2382" ht="16.5" customHeight="1">
      <c r="A2382" s="15" t="str">
        <f>Solieusap!A2382</f>
        <v>Cũ</v>
      </c>
      <c r="B2382" s="15">
        <f>Solieusap!B2382</f>
        <v>3.5</v>
      </c>
      <c r="C2382" s="15" t="str">
        <f>Solieusap!C2382</f>
        <v>COMB2</v>
      </c>
      <c r="D2382" s="15" t="str">
        <f>Solieusap!D2382</f>
        <v>Combination</v>
      </c>
      <c r="E2382" s="16">
        <f>ABS(Solieusap!E2382)</f>
        <v>25.06105662</v>
      </c>
      <c r="F2382" s="16">
        <f>ABS(Solieusap!F2382)</f>
        <v>2.419937965</v>
      </c>
      <c r="G2382" s="16">
        <f>ABS(Solieusap!G2382)</f>
        <v>3.256019134</v>
      </c>
      <c r="H2382" s="16">
        <f>ABS(Solieusap!H2382)</f>
        <v>0.001476365545</v>
      </c>
      <c r="I2382" s="16">
        <f>ABS(Solieusap!I2382)</f>
        <v>9.080395814</v>
      </c>
      <c r="J2382" s="16">
        <f>ABS(Solieusap!J2382)</f>
        <v>6.098239701</v>
      </c>
      <c r="K2382" s="16">
        <f t="shared" si="1"/>
        <v>25.06105662</v>
      </c>
      <c r="L2382" s="16">
        <f t="shared" si="2"/>
        <v>9.080395814</v>
      </c>
    </row>
    <row r="2383" ht="16.5" customHeight="1">
      <c r="A2383" s="15" t="str">
        <f>Solieusap!A2383</f>
        <v>Cũ</v>
      </c>
      <c r="B2383" s="15">
        <f>Solieusap!B2383</f>
        <v>0</v>
      </c>
      <c r="C2383" s="15" t="str">
        <f>Solieusap!C2383</f>
        <v>COMB3</v>
      </c>
      <c r="D2383" s="15" t="str">
        <f>Solieusap!D2383</f>
        <v>Combination</v>
      </c>
      <c r="E2383" s="16">
        <f>ABS(Solieusap!E2383)</f>
        <v>25.07791299</v>
      </c>
      <c r="F2383" s="16">
        <f>ABS(Solieusap!F2383)</f>
        <v>2.421648485</v>
      </c>
      <c r="G2383" s="16">
        <f>ABS(Solieusap!G2383)</f>
        <v>3.25828355</v>
      </c>
      <c r="H2383" s="16">
        <f>ABS(Solieusap!H2383)</f>
        <v>0.001477420649</v>
      </c>
      <c r="I2383" s="16">
        <f>ABS(Solieusap!I2383)</f>
        <v>9.087190606</v>
      </c>
      <c r="J2383" s="16">
        <f>ABS(Solieusap!J2383)</f>
        <v>6.102786753</v>
      </c>
      <c r="K2383" s="16">
        <f t="shared" si="1"/>
        <v>25.07791299</v>
      </c>
      <c r="L2383" s="16">
        <f t="shared" si="2"/>
        <v>9.087190606</v>
      </c>
    </row>
    <row r="2384" ht="16.5" customHeight="1">
      <c r="A2384" s="15" t="str">
        <f>Solieusap!A2384</f>
        <v>Cũ</v>
      </c>
      <c r="B2384" s="15">
        <f>Solieusap!B2384</f>
        <v>1.75</v>
      </c>
      <c r="C2384" s="15" t="str">
        <f>Solieusap!C2384</f>
        <v>COMB3</v>
      </c>
      <c r="D2384" s="15" t="str">
        <f>Solieusap!D2384</f>
        <v>Combination</v>
      </c>
      <c r="E2384" s="16">
        <f>ABS(Solieusap!E2384)</f>
        <v>25.09476935</v>
      </c>
      <c r="F2384" s="16">
        <f>ABS(Solieusap!F2384)</f>
        <v>2.423359004</v>
      </c>
      <c r="G2384" s="16">
        <f>ABS(Solieusap!G2384)</f>
        <v>3.260547965</v>
      </c>
      <c r="H2384" s="16">
        <f>ABS(Solieusap!H2384)</f>
        <v>0.001478475753</v>
      </c>
      <c r="I2384" s="16">
        <f>ABS(Solieusap!I2384)</f>
        <v>9.093985398</v>
      </c>
      <c r="J2384" s="16">
        <f>ABS(Solieusap!J2384)</f>
        <v>6.107333805</v>
      </c>
      <c r="K2384" s="16">
        <f t="shared" si="1"/>
        <v>25.09476935</v>
      </c>
      <c r="L2384" s="16">
        <f t="shared" si="2"/>
        <v>9.093985398</v>
      </c>
    </row>
    <row r="2385" ht="16.5" customHeight="1">
      <c r="A2385" s="15" t="str">
        <f>Solieusap!A2385</f>
        <v>Cũ</v>
      </c>
      <c r="B2385" s="15">
        <f>Solieusap!B2385</f>
        <v>3.5</v>
      </c>
      <c r="C2385" s="15" t="str">
        <f>Solieusap!C2385</f>
        <v>COMB3</v>
      </c>
      <c r="D2385" s="15" t="str">
        <f>Solieusap!D2385</f>
        <v>Combination</v>
      </c>
      <c r="E2385" s="16">
        <f>ABS(Solieusap!E2385)</f>
        <v>25.11162571</v>
      </c>
      <c r="F2385" s="16">
        <f>ABS(Solieusap!F2385)</f>
        <v>2.425069524</v>
      </c>
      <c r="G2385" s="16">
        <f>ABS(Solieusap!G2385)</f>
        <v>3.262812381</v>
      </c>
      <c r="H2385" s="16">
        <f>ABS(Solieusap!H2385)</f>
        <v>0.001479530857</v>
      </c>
      <c r="I2385" s="16">
        <f>ABS(Solieusap!I2385)</f>
        <v>9.10078019</v>
      </c>
      <c r="J2385" s="16">
        <f>ABS(Solieusap!J2385)</f>
        <v>6.111880857</v>
      </c>
      <c r="K2385" s="16">
        <f t="shared" si="1"/>
        <v>25.11162571</v>
      </c>
      <c r="L2385" s="16">
        <f t="shared" si="2"/>
        <v>9.10078019</v>
      </c>
    </row>
    <row r="2386" ht="16.5" customHeight="1">
      <c r="A2386" s="15" t="str">
        <f>Solieusap!A2386</f>
        <v>Cũ</v>
      </c>
      <c r="B2386" s="15">
        <f>Solieusap!B2386</f>
        <v>0</v>
      </c>
      <c r="C2386" s="15" t="str">
        <f>Solieusap!C2386</f>
        <v>COMB4</v>
      </c>
      <c r="D2386" s="15" t="str">
        <f>Solieusap!D2386</f>
        <v>Combination</v>
      </c>
      <c r="E2386" s="16">
        <f>ABS(Solieusap!E2386)</f>
        <v>25.12848208</v>
      </c>
      <c r="F2386" s="16">
        <f>ABS(Solieusap!F2386)</f>
        <v>2.426780043</v>
      </c>
      <c r="G2386" s="16">
        <f>ABS(Solieusap!G2386)</f>
        <v>3.265076797</v>
      </c>
      <c r="H2386" s="16">
        <f>ABS(Solieusap!H2386)</f>
        <v>0.001480585961</v>
      </c>
      <c r="I2386" s="16">
        <f>ABS(Solieusap!I2386)</f>
        <v>9.107574983</v>
      </c>
      <c r="J2386" s="16">
        <f>ABS(Solieusap!J2386)</f>
        <v>6.116427909</v>
      </c>
      <c r="K2386" s="16">
        <f t="shared" si="1"/>
        <v>25.12848208</v>
      </c>
      <c r="L2386" s="16">
        <f t="shared" si="2"/>
        <v>9.107574983</v>
      </c>
    </row>
    <row r="2387" ht="16.5" customHeight="1">
      <c r="A2387" s="15" t="str">
        <f>Solieusap!A2387</f>
        <v>Cũ</v>
      </c>
      <c r="B2387" s="15">
        <f>Solieusap!B2387</f>
        <v>1.75</v>
      </c>
      <c r="C2387" s="15" t="str">
        <f>Solieusap!C2387</f>
        <v>COMB4</v>
      </c>
      <c r="D2387" s="15" t="str">
        <f>Solieusap!D2387</f>
        <v>Combination</v>
      </c>
      <c r="E2387" s="16">
        <f>ABS(Solieusap!E2387)</f>
        <v>25.14533844</v>
      </c>
      <c r="F2387" s="16">
        <f>ABS(Solieusap!F2387)</f>
        <v>2.428490563</v>
      </c>
      <c r="G2387" s="16">
        <f>ABS(Solieusap!G2387)</f>
        <v>3.267341212</v>
      </c>
      <c r="H2387" s="16">
        <f>ABS(Solieusap!H2387)</f>
        <v>0.001481641065</v>
      </c>
      <c r="I2387" s="16">
        <f>ABS(Solieusap!I2387)</f>
        <v>9.114369775</v>
      </c>
      <c r="J2387" s="16">
        <f>ABS(Solieusap!J2387)</f>
        <v>6.120974961</v>
      </c>
      <c r="K2387" s="16">
        <f t="shared" si="1"/>
        <v>25.14533844</v>
      </c>
      <c r="L2387" s="16">
        <f t="shared" si="2"/>
        <v>9.114369775</v>
      </c>
    </row>
    <row r="2388" ht="16.5" customHeight="1">
      <c r="A2388" s="15" t="str">
        <f>Solieusap!A2388</f>
        <v>Cũ</v>
      </c>
      <c r="B2388" s="15">
        <f>Solieusap!B2388</f>
        <v>3.5</v>
      </c>
      <c r="C2388" s="15" t="str">
        <f>Solieusap!C2388</f>
        <v>COMB4</v>
      </c>
      <c r="D2388" s="15" t="str">
        <f>Solieusap!D2388</f>
        <v>Combination</v>
      </c>
      <c r="E2388" s="16">
        <f>ABS(Solieusap!E2388)</f>
        <v>25.16219481</v>
      </c>
      <c r="F2388" s="16">
        <f>ABS(Solieusap!F2388)</f>
        <v>2.430201082</v>
      </c>
      <c r="G2388" s="16">
        <f>ABS(Solieusap!G2388)</f>
        <v>3.269605628</v>
      </c>
      <c r="H2388" s="16">
        <f>ABS(Solieusap!H2388)</f>
        <v>0.001482696169</v>
      </c>
      <c r="I2388" s="16">
        <f>ABS(Solieusap!I2388)</f>
        <v>9.121164567</v>
      </c>
      <c r="J2388" s="16">
        <f>ABS(Solieusap!J2388)</f>
        <v>6.125522013</v>
      </c>
      <c r="K2388" s="16">
        <f t="shared" si="1"/>
        <v>25.16219481</v>
      </c>
      <c r="L2388" s="16">
        <f t="shared" si="2"/>
        <v>9.121164567</v>
      </c>
    </row>
    <row r="2389" ht="16.5" customHeight="1">
      <c r="A2389" s="15" t="str">
        <f>Solieusap!A2389</f>
        <v>Cũ</v>
      </c>
      <c r="B2389" s="15">
        <f>Solieusap!B2389</f>
        <v>0</v>
      </c>
      <c r="C2389" s="15" t="str">
        <f>Solieusap!C2389</f>
        <v>COMB5</v>
      </c>
      <c r="D2389" s="15" t="str">
        <f>Solieusap!D2389</f>
        <v>Combination</v>
      </c>
      <c r="E2389" s="16">
        <f>ABS(Solieusap!E2389)</f>
        <v>25.17905117</v>
      </c>
      <c r="F2389" s="16">
        <f>ABS(Solieusap!F2389)</f>
        <v>2.431911602</v>
      </c>
      <c r="G2389" s="16">
        <f>ABS(Solieusap!G2389)</f>
        <v>3.271870043</v>
      </c>
      <c r="H2389" s="16">
        <f>ABS(Solieusap!H2389)</f>
        <v>0.001483751273</v>
      </c>
      <c r="I2389" s="16">
        <f>ABS(Solieusap!I2389)</f>
        <v>9.127959359</v>
      </c>
      <c r="J2389" s="16">
        <f>ABS(Solieusap!J2389)</f>
        <v>6.130069065</v>
      </c>
      <c r="K2389" s="16">
        <f t="shared" si="1"/>
        <v>25.17905117</v>
      </c>
      <c r="L2389" s="16">
        <f t="shared" si="2"/>
        <v>9.127959359</v>
      </c>
    </row>
    <row r="2390" ht="16.5" customHeight="1">
      <c r="A2390" s="15" t="str">
        <f>Solieusap!A2390</f>
        <v>Cũ</v>
      </c>
      <c r="B2390" s="15">
        <f>Solieusap!B2390</f>
        <v>1.75</v>
      </c>
      <c r="C2390" s="15" t="str">
        <f>Solieusap!C2390</f>
        <v>COMB5</v>
      </c>
      <c r="D2390" s="15" t="str">
        <f>Solieusap!D2390</f>
        <v>Combination</v>
      </c>
      <c r="E2390" s="16">
        <f>ABS(Solieusap!E2390)</f>
        <v>25.19590753</v>
      </c>
      <c r="F2390" s="16">
        <f>ABS(Solieusap!F2390)</f>
        <v>2.433622121</v>
      </c>
      <c r="G2390" s="16">
        <f>ABS(Solieusap!G2390)</f>
        <v>3.274134459</v>
      </c>
      <c r="H2390" s="16">
        <f>ABS(Solieusap!H2390)</f>
        <v>0.001484806377</v>
      </c>
      <c r="I2390" s="16">
        <f>ABS(Solieusap!I2390)</f>
        <v>9.134754152</v>
      </c>
      <c r="J2390" s="16">
        <f>ABS(Solieusap!J2390)</f>
        <v>6.134616117</v>
      </c>
      <c r="K2390" s="16">
        <f t="shared" si="1"/>
        <v>25.19590753</v>
      </c>
      <c r="L2390" s="16">
        <f t="shared" si="2"/>
        <v>9.134754152</v>
      </c>
    </row>
    <row r="2391" ht="16.5" customHeight="1">
      <c r="A2391" s="15" t="str">
        <f>Solieusap!A2391</f>
        <v>Cũ</v>
      </c>
      <c r="B2391" s="15">
        <f>Solieusap!B2391</f>
        <v>3.5</v>
      </c>
      <c r="C2391" s="15" t="str">
        <f>Solieusap!C2391</f>
        <v>COMB5</v>
      </c>
      <c r="D2391" s="15" t="str">
        <f>Solieusap!D2391</f>
        <v>Combination</v>
      </c>
      <c r="E2391" s="16">
        <f>ABS(Solieusap!E2391)</f>
        <v>25.2127639</v>
      </c>
      <c r="F2391" s="16">
        <f>ABS(Solieusap!F2391)</f>
        <v>2.435332641</v>
      </c>
      <c r="G2391" s="16">
        <f>ABS(Solieusap!G2391)</f>
        <v>3.276398874</v>
      </c>
      <c r="H2391" s="16">
        <f>ABS(Solieusap!H2391)</f>
        <v>0.001485861481</v>
      </c>
      <c r="I2391" s="16">
        <f>ABS(Solieusap!I2391)</f>
        <v>9.141548944</v>
      </c>
      <c r="J2391" s="16">
        <f>ABS(Solieusap!J2391)</f>
        <v>6.139163169</v>
      </c>
      <c r="K2391" s="16">
        <f t="shared" si="1"/>
        <v>25.2127639</v>
      </c>
      <c r="L2391" s="16">
        <f t="shared" si="2"/>
        <v>9.141548944</v>
      </c>
    </row>
    <row r="2392" ht="16.5" customHeight="1">
      <c r="A2392" s="15" t="str">
        <f>Solieusap!A2392</f>
        <v>Cũ</v>
      </c>
      <c r="B2392" s="15">
        <f>Solieusap!B2392</f>
        <v>0</v>
      </c>
      <c r="C2392" s="15" t="str">
        <f>Solieusap!C2392</f>
        <v>COMB6</v>
      </c>
      <c r="D2392" s="15" t="str">
        <f>Solieusap!D2392</f>
        <v>Combination</v>
      </c>
      <c r="E2392" s="16">
        <f>ABS(Solieusap!E2392)</f>
        <v>25.22962026</v>
      </c>
      <c r="F2392" s="16">
        <f>ABS(Solieusap!F2392)</f>
        <v>2.43704316</v>
      </c>
      <c r="G2392" s="16">
        <f>ABS(Solieusap!G2392)</f>
        <v>3.27866329</v>
      </c>
      <c r="H2392" s="16">
        <f>ABS(Solieusap!H2392)</f>
        <v>0.001486916584</v>
      </c>
      <c r="I2392" s="16">
        <f>ABS(Solieusap!I2392)</f>
        <v>9.148343736</v>
      </c>
      <c r="J2392" s="16">
        <f>ABS(Solieusap!J2392)</f>
        <v>6.143710221</v>
      </c>
      <c r="K2392" s="16">
        <f t="shared" si="1"/>
        <v>25.22962026</v>
      </c>
      <c r="L2392" s="16">
        <f t="shared" si="2"/>
        <v>9.148343736</v>
      </c>
    </row>
    <row r="2393" ht="16.5" customHeight="1">
      <c r="A2393" s="15" t="str">
        <f>Solieusap!A2393</f>
        <v>Cũ</v>
      </c>
      <c r="B2393" s="15">
        <f>Solieusap!B2393</f>
        <v>1.75</v>
      </c>
      <c r="C2393" s="15" t="str">
        <f>Solieusap!C2393</f>
        <v>COMB6</v>
      </c>
      <c r="D2393" s="15" t="str">
        <f>Solieusap!D2393</f>
        <v>Combination</v>
      </c>
      <c r="E2393" s="16">
        <f>ABS(Solieusap!E2393)</f>
        <v>25.24647662</v>
      </c>
      <c r="F2393" s="16">
        <f>ABS(Solieusap!F2393)</f>
        <v>2.43875368</v>
      </c>
      <c r="G2393" s="16">
        <f>ABS(Solieusap!G2393)</f>
        <v>3.280927706</v>
      </c>
      <c r="H2393" s="16">
        <f>ABS(Solieusap!H2393)</f>
        <v>0.001487971688</v>
      </c>
      <c r="I2393" s="16">
        <f>ABS(Solieusap!I2393)</f>
        <v>9.155138528</v>
      </c>
      <c r="J2393" s="16">
        <f>ABS(Solieusap!J2393)</f>
        <v>6.148257273</v>
      </c>
      <c r="K2393" s="16">
        <f t="shared" si="1"/>
        <v>25.24647662</v>
      </c>
      <c r="L2393" s="16">
        <f t="shared" si="2"/>
        <v>9.155138528</v>
      </c>
    </row>
    <row r="2394" ht="16.5" customHeight="1">
      <c r="A2394" s="15" t="str">
        <f>Solieusap!A2394</f>
        <v>Cũ</v>
      </c>
      <c r="B2394" s="15">
        <f>Solieusap!B2394</f>
        <v>3.5</v>
      </c>
      <c r="C2394" s="15" t="str">
        <f>Solieusap!C2394</f>
        <v>COMB6</v>
      </c>
      <c r="D2394" s="15" t="str">
        <f>Solieusap!D2394</f>
        <v>Combination</v>
      </c>
      <c r="E2394" s="16">
        <f>ABS(Solieusap!E2394)</f>
        <v>25.26333299</v>
      </c>
      <c r="F2394" s="16">
        <f>ABS(Solieusap!F2394)</f>
        <v>2.440464199</v>
      </c>
      <c r="G2394" s="16">
        <f>ABS(Solieusap!G2394)</f>
        <v>3.283192121</v>
      </c>
      <c r="H2394" s="16">
        <f>ABS(Solieusap!H2394)</f>
        <v>0.001489026792</v>
      </c>
      <c r="I2394" s="16">
        <f>ABS(Solieusap!I2394)</f>
        <v>9.16193332</v>
      </c>
      <c r="J2394" s="16">
        <f>ABS(Solieusap!J2394)</f>
        <v>6.152804325</v>
      </c>
      <c r="K2394" s="16">
        <f t="shared" si="1"/>
        <v>25.26333299</v>
      </c>
      <c r="L2394" s="16">
        <f t="shared" si="2"/>
        <v>9.16193332</v>
      </c>
    </row>
    <row r="2395" ht="16.5" customHeight="1">
      <c r="A2395" s="15" t="str">
        <f>Solieusap!A2395</f>
        <v>Cũ</v>
      </c>
      <c r="B2395" s="15">
        <f>Solieusap!B2395</f>
        <v>0</v>
      </c>
      <c r="C2395" s="15" t="str">
        <f>Solieusap!C2395</f>
        <v>COMB7</v>
      </c>
      <c r="D2395" s="15" t="str">
        <f>Solieusap!D2395</f>
        <v>Combination</v>
      </c>
      <c r="E2395" s="16">
        <f>ABS(Solieusap!E2395)</f>
        <v>25.28018935</v>
      </c>
      <c r="F2395" s="16">
        <f>ABS(Solieusap!F2395)</f>
        <v>2.442174719</v>
      </c>
      <c r="G2395" s="16">
        <f>ABS(Solieusap!G2395)</f>
        <v>3.285456537</v>
      </c>
      <c r="H2395" s="16">
        <f>ABS(Solieusap!H2395)</f>
        <v>0.001490081896</v>
      </c>
      <c r="I2395" s="16">
        <f>ABS(Solieusap!I2395)</f>
        <v>9.168728113</v>
      </c>
      <c r="J2395" s="16">
        <f>ABS(Solieusap!J2395)</f>
        <v>6.157351377</v>
      </c>
      <c r="K2395" s="16">
        <f t="shared" si="1"/>
        <v>25.28018935</v>
      </c>
      <c r="L2395" s="16">
        <f t="shared" si="2"/>
        <v>9.168728113</v>
      </c>
    </row>
    <row r="2396" ht="16.5" customHeight="1">
      <c r="A2396" s="15" t="str">
        <f>Solieusap!A2396</f>
        <v>Cũ</v>
      </c>
      <c r="B2396" s="15">
        <f>Solieusap!B2396</f>
        <v>1.75</v>
      </c>
      <c r="C2396" s="15" t="str">
        <f>Solieusap!C2396</f>
        <v>COMB7</v>
      </c>
      <c r="D2396" s="15" t="str">
        <f>Solieusap!D2396</f>
        <v>Combination</v>
      </c>
      <c r="E2396" s="16">
        <f>ABS(Solieusap!E2396)</f>
        <v>25.29704571</v>
      </c>
      <c r="F2396" s="16">
        <f>ABS(Solieusap!F2396)</f>
        <v>2.443885238</v>
      </c>
      <c r="G2396" s="16">
        <f>ABS(Solieusap!G2396)</f>
        <v>3.287720952</v>
      </c>
      <c r="H2396" s="16">
        <f>ABS(Solieusap!H2396)</f>
        <v>0.001491137</v>
      </c>
      <c r="I2396" s="16">
        <f>ABS(Solieusap!I2396)</f>
        <v>9.175522905</v>
      </c>
      <c r="J2396" s="16">
        <f>ABS(Solieusap!J2396)</f>
        <v>6.161898429</v>
      </c>
      <c r="K2396" s="16">
        <f t="shared" si="1"/>
        <v>25.29704571</v>
      </c>
      <c r="L2396" s="16">
        <f t="shared" si="2"/>
        <v>9.175522905</v>
      </c>
    </row>
    <row r="2397" ht="16.5" customHeight="1">
      <c r="A2397" s="15" t="str">
        <f>Solieusap!A2397</f>
        <v>Cũ</v>
      </c>
      <c r="B2397" s="15">
        <f>Solieusap!B2397</f>
        <v>3.5</v>
      </c>
      <c r="C2397" s="15" t="str">
        <f>Solieusap!C2397</f>
        <v>COMB7</v>
      </c>
      <c r="D2397" s="15" t="str">
        <f>Solieusap!D2397</f>
        <v>Combination</v>
      </c>
      <c r="E2397" s="16">
        <f>ABS(Solieusap!E2397)</f>
        <v>25.31390208</v>
      </c>
      <c r="F2397" s="16">
        <f>ABS(Solieusap!F2397)</f>
        <v>2.445595758</v>
      </c>
      <c r="G2397" s="16">
        <f>ABS(Solieusap!G2397)</f>
        <v>3.289985368</v>
      </c>
      <c r="H2397" s="16">
        <f>ABS(Solieusap!H2397)</f>
        <v>0.001492192104</v>
      </c>
      <c r="I2397" s="16">
        <f>ABS(Solieusap!I2397)</f>
        <v>9.182317697</v>
      </c>
      <c r="J2397" s="16">
        <f>ABS(Solieusap!J2397)</f>
        <v>6.166445481</v>
      </c>
      <c r="K2397" s="16">
        <f t="shared" si="1"/>
        <v>25.31390208</v>
      </c>
      <c r="L2397" s="16">
        <f t="shared" si="2"/>
        <v>9.182317697</v>
      </c>
    </row>
    <row r="2398" ht="16.5" customHeight="1">
      <c r="A2398" s="15" t="str">
        <f>Solieusap!A2398</f>
        <v>Cũ</v>
      </c>
      <c r="B2398" s="15">
        <f>Solieusap!B2398</f>
        <v>0</v>
      </c>
      <c r="C2398" s="15" t="str">
        <f>Solieusap!C2398</f>
        <v>COMB1</v>
      </c>
      <c r="D2398" s="15" t="str">
        <f>Solieusap!D2398</f>
        <v>Combination</v>
      </c>
      <c r="E2398" s="16">
        <f>ABS(Solieusap!E2398)</f>
        <v>25.33075844</v>
      </c>
      <c r="F2398" s="16">
        <f>ABS(Solieusap!F2398)</f>
        <v>2.447306277</v>
      </c>
      <c r="G2398" s="16">
        <f>ABS(Solieusap!G2398)</f>
        <v>3.292249784</v>
      </c>
      <c r="H2398" s="16">
        <f>ABS(Solieusap!H2398)</f>
        <v>0.001493247208</v>
      </c>
      <c r="I2398" s="16">
        <f>ABS(Solieusap!I2398)</f>
        <v>9.189112489</v>
      </c>
      <c r="J2398" s="16">
        <f>ABS(Solieusap!J2398)</f>
        <v>6.170992532</v>
      </c>
      <c r="K2398" s="16">
        <f t="shared" si="1"/>
        <v>25.33075844</v>
      </c>
      <c r="L2398" s="16">
        <f t="shared" si="2"/>
        <v>9.189112489</v>
      </c>
    </row>
    <row r="2399" ht="16.5" customHeight="1">
      <c r="A2399" s="15" t="str">
        <f>Solieusap!A2399</f>
        <v>Cũ</v>
      </c>
      <c r="B2399" s="15">
        <f>Solieusap!B2399</f>
        <v>1.75</v>
      </c>
      <c r="C2399" s="15" t="str">
        <f>Solieusap!C2399</f>
        <v>COMB1</v>
      </c>
      <c r="D2399" s="15" t="str">
        <f>Solieusap!D2399</f>
        <v>Combination</v>
      </c>
      <c r="E2399" s="16">
        <f>ABS(Solieusap!E2399)</f>
        <v>25.34761481</v>
      </c>
      <c r="F2399" s="16">
        <f>ABS(Solieusap!F2399)</f>
        <v>2.449016797</v>
      </c>
      <c r="G2399" s="16">
        <f>ABS(Solieusap!G2399)</f>
        <v>3.294514199</v>
      </c>
      <c r="H2399" s="16">
        <f>ABS(Solieusap!H2399)</f>
        <v>0.001494302312</v>
      </c>
      <c r="I2399" s="16">
        <f>ABS(Solieusap!I2399)</f>
        <v>9.195907281</v>
      </c>
      <c r="J2399" s="16">
        <f>ABS(Solieusap!J2399)</f>
        <v>6.175539584</v>
      </c>
      <c r="K2399" s="16">
        <f t="shared" si="1"/>
        <v>25.34761481</v>
      </c>
      <c r="L2399" s="16">
        <f t="shared" si="2"/>
        <v>9.195907281</v>
      </c>
    </row>
    <row r="2400" ht="16.5" customHeight="1">
      <c r="A2400" s="15" t="str">
        <f>Solieusap!A2400</f>
        <v>Cũ</v>
      </c>
      <c r="B2400" s="15">
        <f>Solieusap!B2400</f>
        <v>3.5</v>
      </c>
      <c r="C2400" s="15" t="str">
        <f>Solieusap!C2400</f>
        <v>COMB1</v>
      </c>
      <c r="D2400" s="15" t="str">
        <f>Solieusap!D2400</f>
        <v>Combination</v>
      </c>
      <c r="E2400" s="16">
        <f>ABS(Solieusap!E2400)</f>
        <v>25.36447117</v>
      </c>
      <c r="F2400" s="16">
        <f>ABS(Solieusap!F2400)</f>
        <v>2.450727316</v>
      </c>
      <c r="G2400" s="16">
        <f>ABS(Solieusap!G2400)</f>
        <v>3.296778615</v>
      </c>
      <c r="H2400" s="16">
        <f>ABS(Solieusap!H2400)</f>
        <v>0.001495357416</v>
      </c>
      <c r="I2400" s="16">
        <f>ABS(Solieusap!I2400)</f>
        <v>9.202702074</v>
      </c>
      <c r="J2400" s="16">
        <f>ABS(Solieusap!J2400)</f>
        <v>6.180086636</v>
      </c>
      <c r="K2400" s="16">
        <f t="shared" si="1"/>
        <v>25.36447117</v>
      </c>
      <c r="L2400" s="16">
        <f t="shared" si="2"/>
        <v>9.202702074</v>
      </c>
    </row>
    <row r="2401" ht="16.5" customHeight="1">
      <c r="A2401" s="15" t="str">
        <f>Solieusap!A2401</f>
        <v>Cũ</v>
      </c>
      <c r="B2401" s="15">
        <f>Solieusap!B2401</f>
        <v>0</v>
      </c>
      <c r="C2401" s="15" t="str">
        <f>Solieusap!C2401</f>
        <v>COMB2</v>
      </c>
      <c r="D2401" s="15" t="str">
        <f>Solieusap!D2401</f>
        <v>Combination</v>
      </c>
      <c r="E2401" s="16">
        <f>ABS(Solieusap!E2401)</f>
        <v>25.38132753</v>
      </c>
      <c r="F2401" s="16">
        <f>ABS(Solieusap!F2401)</f>
        <v>2.452437835</v>
      </c>
      <c r="G2401" s="16">
        <f>ABS(Solieusap!G2401)</f>
        <v>3.29904303</v>
      </c>
      <c r="H2401" s="16">
        <f>ABS(Solieusap!H2401)</f>
        <v>0.001496412519</v>
      </c>
      <c r="I2401" s="16">
        <f>ABS(Solieusap!I2401)</f>
        <v>9.209496866</v>
      </c>
      <c r="J2401" s="16">
        <f>ABS(Solieusap!J2401)</f>
        <v>6.184633688</v>
      </c>
      <c r="K2401" s="16">
        <f t="shared" si="1"/>
        <v>25.38132753</v>
      </c>
      <c r="L2401" s="16">
        <f t="shared" si="2"/>
        <v>9.209496866</v>
      </c>
    </row>
    <row r="2402" ht="16.5" customHeight="1">
      <c r="A2402" s="15" t="str">
        <f>Solieusap!A2402</f>
        <v>Cũ</v>
      </c>
      <c r="B2402" s="15">
        <f>Solieusap!B2402</f>
        <v>1.75</v>
      </c>
      <c r="C2402" s="15" t="str">
        <f>Solieusap!C2402</f>
        <v>COMB2</v>
      </c>
      <c r="D2402" s="15" t="str">
        <f>Solieusap!D2402</f>
        <v>Combination</v>
      </c>
      <c r="E2402" s="16">
        <f>ABS(Solieusap!E2402)</f>
        <v>25.3981839</v>
      </c>
      <c r="F2402" s="16">
        <f>ABS(Solieusap!F2402)</f>
        <v>2.454148355</v>
      </c>
      <c r="G2402" s="16">
        <f>ABS(Solieusap!G2402)</f>
        <v>3.301307446</v>
      </c>
      <c r="H2402" s="16">
        <f>ABS(Solieusap!H2402)</f>
        <v>0.001497467623</v>
      </c>
      <c r="I2402" s="16">
        <f>ABS(Solieusap!I2402)</f>
        <v>9.216291658</v>
      </c>
      <c r="J2402" s="16">
        <f>ABS(Solieusap!J2402)</f>
        <v>6.18918074</v>
      </c>
      <c r="K2402" s="16">
        <f t="shared" si="1"/>
        <v>25.3981839</v>
      </c>
      <c r="L2402" s="16">
        <f t="shared" si="2"/>
        <v>9.216291658</v>
      </c>
    </row>
    <row r="2403" ht="16.5" customHeight="1">
      <c r="A2403" s="15" t="str">
        <f>Solieusap!A2403</f>
        <v>Cũ</v>
      </c>
      <c r="B2403" s="15">
        <f>Solieusap!B2403</f>
        <v>3.5</v>
      </c>
      <c r="C2403" s="15" t="str">
        <f>Solieusap!C2403</f>
        <v>COMB2</v>
      </c>
      <c r="D2403" s="15" t="str">
        <f>Solieusap!D2403</f>
        <v>Combination</v>
      </c>
      <c r="E2403" s="16">
        <f>ABS(Solieusap!E2403)</f>
        <v>25.41504026</v>
      </c>
      <c r="F2403" s="16">
        <f>ABS(Solieusap!F2403)</f>
        <v>2.455858874</v>
      </c>
      <c r="G2403" s="16">
        <f>ABS(Solieusap!G2403)</f>
        <v>3.303571861</v>
      </c>
      <c r="H2403" s="16">
        <f>ABS(Solieusap!H2403)</f>
        <v>0.001498522727</v>
      </c>
      <c r="I2403" s="16">
        <f>ABS(Solieusap!I2403)</f>
        <v>9.22308645</v>
      </c>
      <c r="J2403" s="16">
        <f>ABS(Solieusap!J2403)</f>
        <v>6.193727792</v>
      </c>
      <c r="K2403" s="16">
        <f t="shared" si="1"/>
        <v>25.41504026</v>
      </c>
      <c r="L2403" s="16">
        <f t="shared" si="2"/>
        <v>9.22308645</v>
      </c>
    </row>
    <row r="2404" ht="16.5" customHeight="1">
      <c r="A2404" s="15" t="str">
        <f>Solieusap!A2404</f>
        <v>Cũ</v>
      </c>
      <c r="B2404" s="15">
        <f>Solieusap!B2404</f>
        <v>0</v>
      </c>
      <c r="C2404" s="15" t="str">
        <f>Solieusap!C2404</f>
        <v>COMB3</v>
      </c>
      <c r="D2404" s="15" t="str">
        <f>Solieusap!D2404</f>
        <v>Combination</v>
      </c>
      <c r="E2404" s="16">
        <f>ABS(Solieusap!E2404)</f>
        <v>25.43189662</v>
      </c>
      <c r="F2404" s="16">
        <f>ABS(Solieusap!F2404)</f>
        <v>2.457569394</v>
      </c>
      <c r="G2404" s="16">
        <f>ABS(Solieusap!G2404)</f>
        <v>3.305836277</v>
      </c>
      <c r="H2404" s="16">
        <f>ABS(Solieusap!H2404)</f>
        <v>0.001499577831</v>
      </c>
      <c r="I2404" s="16">
        <f>ABS(Solieusap!I2404)</f>
        <v>9.229881242</v>
      </c>
      <c r="J2404" s="16">
        <f>ABS(Solieusap!J2404)</f>
        <v>6.198274844</v>
      </c>
      <c r="K2404" s="16">
        <f t="shared" si="1"/>
        <v>25.43189662</v>
      </c>
      <c r="L2404" s="16">
        <f t="shared" si="2"/>
        <v>9.229881242</v>
      </c>
    </row>
    <row r="2405" ht="16.5" customHeight="1">
      <c r="A2405" s="15" t="str">
        <f>Solieusap!A2405</f>
        <v>Cũ</v>
      </c>
      <c r="B2405" s="15">
        <f>Solieusap!B2405</f>
        <v>1.75</v>
      </c>
      <c r="C2405" s="15" t="str">
        <f>Solieusap!C2405</f>
        <v>COMB3</v>
      </c>
      <c r="D2405" s="15" t="str">
        <f>Solieusap!D2405</f>
        <v>Combination</v>
      </c>
      <c r="E2405" s="16">
        <f>ABS(Solieusap!E2405)</f>
        <v>25.44875299</v>
      </c>
      <c r="F2405" s="16">
        <f>ABS(Solieusap!F2405)</f>
        <v>2.459279913</v>
      </c>
      <c r="G2405" s="16">
        <f>ABS(Solieusap!G2405)</f>
        <v>3.308100693</v>
      </c>
      <c r="H2405" s="16">
        <f>ABS(Solieusap!H2405)</f>
        <v>0.001500632935</v>
      </c>
      <c r="I2405" s="16">
        <f>ABS(Solieusap!I2405)</f>
        <v>9.236676035</v>
      </c>
      <c r="J2405" s="16">
        <f>ABS(Solieusap!J2405)</f>
        <v>6.202821896</v>
      </c>
      <c r="K2405" s="16">
        <f t="shared" si="1"/>
        <v>25.44875299</v>
      </c>
      <c r="L2405" s="16">
        <f t="shared" si="2"/>
        <v>9.236676035</v>
      </c>
    </row>
    <row r="2406" ht="16.5" customHeight="1">
      <c r="A2406" s="15" t="str">
        <f>Solieusap!A2406</f>
        <v>Cũ</v>
      </c>
      <c r="B2406" s="15">
        <f>Solieusap!B2406</f>
        <v>3.5</v>
      </c>
      <c r="C2406" s="15" t="str">
        <f>Solieusap!C2406</f>
        <v>COMB3</v>
      </c>
      <c r="D2406" s="15" t="str">
        <f>Solieusap!D2406</f>
        <v>Combination</v>
      </c>
      <c r="E2406" s="16">
        <f>ABS(Solieusap!E2406)</f>
        <v>25.46560935</v>
      </c>
      <c r="F2406" s="16">
        <f>ABS(Solieusap!F2406)</f>
        <v>2.460990433</v>
      </c>
      <c r="G2406" s="16">
        <f>ABS(Solieusap!G2406)</f>
        <v>3.310365108</v>
      </c>
      <c r="H2406" s="16">
        <f>ABS(Solieusap!H2406)</f>
        <v>0.001501688039</v>
      </c>
      <c r="I2406" s="16">
        <f>ABS(Solieusap!I2406)</f>
        <v>9.243470827</v>
      </c>
      <c r="J2406" s="16">
        <f>ABS(Solieusap!J2406)</f>
        <v>6.207368948</v>
      </c>
      <c r="K2406" s="16">
        <f t="shared" si="1"/>
        <v>25.46560935</v>
      </c>
      <c r="L2406" s="16">
        <f t="shared" si="2"/>
        <v>9.243470827</v>
      </c>
    </row>
    <row r="2407" ht="16.5" customHeight="1">
      <c r="A2407" s="15" t="str">
        <f>Solieusap!A2407</f>
        <v>Cũ</v>
      </c>
      <c r="B2407" s="15">
        <f>Solieusap!B2407</f>
        <v>0</v>
      </c>
      <c r="C2407" s="15" t="str">
        <f>Solieusap!C2407</f>
        <v>COMB4</v>
      </c>
      <c r="D2407" s="15" t="str">
        <f>Solieusap!D2407</f>
        <v>Combination</v>
      </c>
      <c r="E2407" s="16">
        <f>ABS(Solieusap!E2407)</f>
        <v>25.48246571</v>
      </c>
      <c r="F2407" s="16">
        <f>ABS(Solieusap!F2407)</f>
        <v>2.462700952</v>
      </c>
      <c r="G2407" s="16">
        <f>ABS(Solieusap!G2407)</f>
        <v>3.312629524</v>
      </c>
      <c r="H2407" s="16">
        <f>ABS(Solieusap!H2407)</f>
        <v>0.001502743143</v>
      </c>
      <c r="I2407" s="16">
        <f>ABS(Solieusap!I2407)</f>
        <v>9.250265619</v>
      </c>
      <c r="J2407" s="16">
        <f>ABS(Solieusap!J2407)</f>
        <v>6.211916</v>
      </c>
      <c r="K2407" s="16">
        <f t="shared" si="1"/>
        <v>25.48246571</v>
      </c>
      <c r="L2407" s="16">
        <f t="shared" si="2"/>
        <v>9.250265619</v>
      </c>
    </row>
    <row r="2408" ht="16.5" customHeight="1">
      <c r="A2408" s="15" t="str">
        <f>Solieusap!A2408</f>
        <v>Cũ</v>
      </c>
      <c r="B2408" s="15">
        <f>Solieusap!B2408</f>
        <v>1.75</v>
      </c>
      <c r="C2408" s="15" t="str">
        <f>Solieusap!C2408</f>
        <v>COMB4</v>
      </c>
      <c r="D2408" s="15" t="str">
        <f>Solieusap!D2408</f>
        <v>Combination</v>
      </c>
      <c r="E2408" s="16">
        <f>ABS(Solieusap!E2408)</f>
        <v>25.49932208</v>
      </c>
      <c r="F2408" s="16">
        <f>ABS(Solieusap!F2408)</f>
        <v>2.464411472</v>
      </c>
      <c r="G2408" s="16">
        <f>ABS(Solieusap!G2408)</f>
        <v>3.314893939</v>
      </c>
      <c r="H2408" s="16">
        <f>ABS(Solieusap!H2408)</f>
        <v>0.001503798247</v>
      </c>
      <c r="I2408" s="16">
        <f>ABS(Solieusap!I2408)</f>
        <v>9.257060411</v>
      </c>
      <c r="J2408" s="16">
        <f>ABS(Solieusap!J2408)</f>
        <v>6.216463052</v>
      </c>
      <c r="K2408" s="16">
        <f t="shared" si="1"/>
        <v>25.49932208</v>
      </c>
      <c r="L2408" s="16">
        <f t="shared" si="2"/>
        <v>9.257060411</v>
      </c>
    </row>
    <row r="2409" ht="16.5" customHeight="1">
      <c r="A2409" s="15" t="str">
        <f>Solieusap!A2409</f>
        <v>Cũ</v>
      </c>
      <c r="B2409" s="15">
        <f>Solieusap!B2409</f>
        <v>3.5</v>
      </c>
      <c r="C2409" s="15" t="str">
        <f>Solieusap!C2409</f>
        <v>COMB4</v>
      </c>
      <c r="D2409" s="15" t="str">
        <f>Solieusap!D2409</f>
        <v>Combination</v>
      </c>
      <c r="E2409" s="16">
        <f>ABS(Solieusap!E2409)</f>
        <v>25.51617844</v>
      </c>
      <c r="F2409" s="16">
        <f>ABS(Solieusap!F2409)</f>
        <v>2.466121991</v>
      </c>
      <c r="G2409" s="16">
        <f>ABS(Solieusap!G2409)</f>
        <v>3.317158355</v>
      </c>
      <c r="H2409" s="16">
        <f>ABS(Solieusap!H2409)</f>
        <v>0.001504853351</v>
      </c>
      <c r="I2409" s="16">
        <f>ABS(Solieusap!I2409)</f>
        <v>9.263855203</v>
      </c>
      <c r="J2409" s="16">
        <f>ABS(Solieusap!J2409)</f>
        <v>6.221010104</v>
      </c>
      <c r="K2409" s="16">
        <f t="shared" si="1"/>
        <v>25.51617844</v>
      </c>
      <c r="L2409" s="16">
        <f t="shared" si="2"/>
        <v>9.263855203</v>
      </c>
    </row>
    <row r="2410" ht="16.5" customHeight="1">
      <c r="A2410" s="15" t="str">
        <f>Solieusap!A2410</f>
        <v>Cũ</v>
      </c>
      <c r="B2410" s="15">
        <f>Solieusap!B2410</f>
        <v>0</v>
      </c>
      <c r="C2410" s="15" t="str">
        <f>Solieusap!C2410</f>
        <v>COMB5</v>
      </c>
      <c r="D2410" s="15" t="str">
        <f>Solieusap!D2410</f>
        <v>Combination</v>
      </c>
      <c r="E2410" s="16">
        <f>ABS(Solieusap!E2410)</f>
        <v>25.53303481</v>
      </c>
      <c r="F2410" s="16">
        <f>ABS(Solieusap!F2410)</f>
        <v>2.467832511</v>
      </c>
      <c r="G2410" s="16">
        <f>ABS(Solieusap!G2410)</f>
        <v>3.319422771</v>
      </c>
      <c r="H2410" s="16">
        <f>ABS(Solieusap!H2410)</f>
        <v>0.001505908455</v>
      </c>
      <c r="I2410" s="16">
        <f>ABS(Solieusap!I2410)</f>
        <v>9.270649996</v>
      </c>
      <c r="J2410" s="16">
        <f>ABS(Solieusap!J2410)</f>
        <v>6.225557156</v>
      </c>
      <c r="K2410" s="16">
        <f t="shared" si="1"/>
        <v>25.53303481</v>
      </c>
      <c r="L2410" s="16">
        <f t="shared" si="2"/>
        <v>9.270649996</v>
      </c>
    </row>
    <row r="2411" ht="16.5" customHeight="1">
      <c r="A2411" s="15" t="str">
        <f>Solieusap!A2411</f>
        <v>Cũ</v>
      </c>
      <c r="B2411" s="15">
        <f>Solieusap!B2411</f>
        <v>1.75</v>
      </c>
      <c r="C2411" s="15" t="str">
        <f>Solieusap!C2411</f>
        <v>COMB5</v>
      </c>
      <c r="D2411" s="15" t="str">
        <f>Solieusap!D2411</f>
        <v>Combination</v>
      </c>
      <c r="E2411" s="16">
        <f>ABS(Solieusap!E2411)</f>
        <v>25.54989117</v>
      </c>
      <c r="F2411" s="16">
        <f>ABS(Solieusap!F2411)</f>
        <v>2.46954303</v>
      </c>
      <c r="G2411" s="16">
        <f>ABS(Solieusap!G2411)</f>
        <v>3.321687186</v>
      </c>
      <c r="H2411" s="16">
        <f>ABS(Solieusap!H2411)</f>
        <v>0.001506963558</v>
      </c>
      <c r="I2411" s="16">
        <f>ABS(Solieusap!I2411)</f>
        <v>9.277444788</v>
      </c>
      <c r="J2411" s="16">
        <f>ABS(Solieusap!J2411)</f>
        <v>6.230104208</v>
      </c>
      <c r="K2411" s="16">
        <f t="shared" si="1"/>
        <v>25.54989117</v>
      </c>
      <c r="L2411" s="16">
        <f t="shared" si="2"/>
        <v>9.277444788</v>
      </c>
    </row>
    <row r="2412" ht="16.5" customHeight="1">
      <c r="A2412" s="15" t="str">
        <f>Solieusap!A2412</f>
        <v>Cũ</v>
      </c>
      <c r="B2412" s="15">
        <f>Solieusap!B2412</f>
        <v>3.5</v>
      </c>
      <c r="C2412" s="15" t="str">
        <f>Solieusap!C2412</f>
        <v>COMB5</v>
      </c>
      <c r="D2412" s="15" t="str">
        <f>Solieusap!D2412</f>
        <v>Combination</v>
      </c>
      <c r="E2412" s="16">
        <f>ABS(Solieusap!E2412)</f>
        <v>25.56674753</v>
      </c>
      <c r="F2412" s="16">
        <f>ABS(Solieusap!F2412)</f>
        <v>2.47125355</v>
      </c>
      <c r="G2412" s="16">
        <f>ABS(Solieusap!G2412)</f>
        <v>3.323951602</v>
      </c>
      <c r="H2412" s="16">
        <f>ABS(Solieusap!H2412)</f>
        <v>0.001508018662</v>
      </c>
      <c r="I2412" s="16">
        <f>ABS(Solieusap!I2412)</f>
        <v>9.28423958</v>
      </c>
      <c r="J2412" s="16">
        <f>ABS(Solieusap!J2412)</f>
        <v>6.23465126</v>
      </c>
      <c r="K2412" s="16">
        <f t="shared" si="1"/>
        <v>25.56674753</v>
      </c>
      <c r="L2412" s="16">
        <f t="shared" si="2"/>
        <v>9.28423958</v>
      </c>
    </row>
    <row r="2413" ht="16.5" customHeight="1">
      <c r="A2413" s="15" t="str">
        <f>Solieusap!A2413</f>
        <v>Cũ</v>
      </c>
      <c r="B2413" s="15">
        <f>Solieusap!B2413</f>
        <v>0</v>
      </c>
      <c r="C2413" s="15" t="str">
        <f>Solieusap!C2413</f>
        <v>COMB6</v>
      </c>
      <c r="D2413" s="15" t="str">
        <f>Solieusap!D2413</f>
        <v>Combination</v>
      </c>
      <c r="E2413" s="16">
        <f>ABS(Solieusap!E2413)</f>
        <v>25.5836039</v>
      </c>
      <c r="F2413" s="16">
        <f>ABS(Solieusap!F2413)</f>
        <v>2.472964069</v>
      </c>
      <c r="G2413" s="16">
        <f>ABS(Solieusap!G2413)</f>
        <v>3.326216017</v>
      </c>
      <c r="H2413" s="16">
        <f>ABS(Solieusap!H2413)</f>
        <v>0.001509073766</v>
      </c>
      <c r="I2413" s="16">
        <f>ABS(Solieusap!I2413)</f>
        <v>9.291034372</v>
      </c>
      <c r="J2413" s="16">
        <f>ABS(Solieusap!J2413)</f>
        <v>6.239198312</v>
      </c>
      <c r="K2413" s="16">
        <f t="shared" si="1"/>
        <v>25.5836039</v>
      </c>
      <c r="L2413" s="16">
        <f t="shared" si="2"/>
        <v>9.291034372</v>
      </c>
    </row>
    <row r="2414" ht="16.5" customHeight="1">
      <c r="A2414" s="15" t="str">
        <f>Solieusap!A2414</f>
        <v>Cũ</v>
      </c>
      <c r="B2414" s="15">
        <f>Solieusap!B2414</f>
        <v>1.75</v>
      </c>
      <c r="C2414" s="15" t="str">
        <f>Solieusap!C2414</f>
        <v>COMB6</v>
      </c>
      <c r="D2414" s="15" t="str">
        <f>Solieusap!D2414</f>
        <v>Combination</v>
      </c>
      <c r="E2414" s="16">
        <f>ABS(Solieusap!E2414)</f>
        <v>25.60046026</v>
      </c>
      <c r="F2414" s="16">
        <f>ABS(Solieusap!F2414)</f>
        <v>2.474674589</v>
      </c>
      <c r="G2414" s="16">
        <f>ABS(Solieusap!G2414)</f>
        <v>3.328480433</v>
      </c>
      <c r="H2414" s="16">
        <f>ABS(Solieusap!H2414)</f>
        <v>0.00151012887</v>
      </c>
      <c r="I2414" s="16">
        <f>ABS(Solieusap!I2414)</f>
        <v>9.297829165</v>
      </c>
      <c r="J2414" s="16">
        <f>ABS(Solieusap!J2414)</f>
        <v>6.243745364</v>
      </c>
      <c r="K2414" s="16">
        <f t="shared" si="1"/>
        <v>25.60046026</v>
      </c>
      <c r="L2414" s="16">
        <f t="shared" si="2"/>
        <v>9.297829165</v>
      </c>
    </row>
    <row r="2415" ht="16.5" customHeight="1">
      <c r="A2415" s="15" t="str">
        <f>Solieusap!A2415</f>
        <v>Cũ</v>
      </c>
      <c r="B2415" s="15">
        <f>Solieusap!B2415</f>
        <v>3.5</v>
      </c>
      <c r="C2415" s="15" t="str">
        <f>Solieusap!C2415</f>
        <v>COMB6</v>
      </c>
      <c r="D2415" s="15" t="str">
        <f>Solieusap!D2415</f>
        <v>Combination</v>
      </c>
      <c r="E2415" s="16">
        <f>ABS(Solieusap!E2415)</f>
        <v>25.61731662</v>
      </c>
      <c r="F2415" s="16">
        <f>ABS(Solieusap!F2415)</f>
        <v>2.476385108</v>
      </c>
      <c r="G2415" s="16">
        <f>ABS(Solieusap!G2415)</f>
        <v>3.330744848</v>
      </c>
      <c r="H2415" s="16">
        <f>ABS(Solieusap!H2415)</f>
        <v>0.001511183974</v>
      </c>
      <c r="I2415" s="16">
        <f>ABS(Solieusap!I2415)</f>
        <v>9.304623957</v>
      </c>
      <c r="J2415" s="16">
        <f>ABS(Solieusap!J2415)</f>
        <v>6.248292416</v>
      </c>
      <c r="K2415" s="16">
        <f t="shared" si="1"/>
        <v>25.61731662</v>
      </c>
      <c r="L2415" s="16">
        <f t="shared" si="2"/>
        <v>9.304623957</v>
      </c>
    </row>
    <row r="2416" ht="16.5" customHeight="1">
      <c r="A2416" s="15" t="str">
        <f>Solieusap!A2416</f>
        <v>Cũ</v>
      </c>
      <c r="B2416" s="15">
        <f>Solieusap!B2416</f>
        <v>0</v>
      </c>
      <c r="C2416" s="15" t="str">
        <f>Solieusap!C2416</f>
        <v>COMB7</v>
      </c>
      <c r="D2416" s="15" t="str">
        <f>Solieusap!D2416</f>
        <v>Combination</v>
      </c>
      <c r="E2416" s="16">
        <f>ABS(Solieusap!E2416)</f>
        <v>25.63417299</v>
      </c>
      <c r="F2416" s="16">
        <f>ABS(Solieusap!F2416)</f>
        <v>2.478095628</v>
      </c>
      <c r="G2416" s="16">
        <f>ABS(Solieusap!G2416)</f>
        <v>3.333009264</v>
      </c>
      <c r="H2416" s="16">
        <f>ABS(Solieusap!H2416)</f>
        <v>0.001512239078</v>
      </c>
      <c r="I2416" s="16">
        <f>ABS(Solieusap!I2416)</f>
        <v>9.311418749</v>
      </c>
      <c r="J2416" s="16">
        <f>ABS(Solieusap!J2416)</f>
        <v>6.252839468</v>
      </c>
      <c r="K2416" s="16">
        <f t="shared" si="1"/>
        <v>25.63417299</v>
      </c>
      <c r="L2416" s="16">
        <f t="shared" si="2"/>
        <v>9.311418749</v>
      </c>
    </row>
    <row r="2417" ht="16.5" customHeight="1">
      <c r="A2417" s="15" t="str">
        <f>Solieusap!A2417</f>
        <v>Cũ</v>
      </c>
      <c r="B2417" s="15">
        <f>Solieusap!B2417</f>
        <v>1.75</v>
      </c>
      <c r="C2417" s="15" t="str">
        <f>Solieusap!C2417</f>
        <v>COMB7</v>
      </c>
      <c r="D2417" s="15" t="str">
        <f>Solieusap!D2417</f>
        <v>Combination</v>
      </c>
      <c r="E2417" s="16">
        <f>ABS(Solieusap!E2417)</f>
        <v>25.65102935</v>
      </c>
      <c r="F2417" s="16">
        <f>ABS(Solieusap!F2417)</f>
        <v>2.479806147</v>
      </c>
      <c r="G2417" s="16">
        <f>ABS(Solieusap!G2417)</f>
        <v>3.33527368</v>
      </c>
      <c r="H2417" s="16">
        <f>ABS(Solieusap!H2417)</f>
        <v>0.001513294182</v>
      </c>
      <c r="I2417" s="16">
        <f>ABS(Solieusap!I2417)</f>
        <v>9.318213541</v>
      </c>
      <c r="J2417" s="16">
        <f>ABS(Solieusap!J2417)</f>
        <v>6.257386519</v>
      </c>
      <c r="K2417" s="16">
        <f t="shared" si="1"/>
        <v>25.65102935</v>
      </c>
      <c r="L2417" s="16">
        <f t="shared" si="2"/>
        <v>9.318213541</v>
      </c>
    </row>
    <row r="2418" ht="16.5" customHeight="1">
      <c r="A2418" s="15" t="str">
        <f>Solieusap!A2418</f>
        <v>Cũ</v>
      </c>
      <c r="B2418" s="15">
        <f>Solieusap!B2418</f>
        <v>3.5</v>
      </c>
      <c r="C2418" s="15" t="str">
        <f>Solieusap!C2418</f>
        <v>COMB7</v>
      </c>
      <c r="D2418" s="15" t="str">
        <f>Solieusap!D2418</f>
        <v>Combination</v>
      </c>
      <c r="E2418" s="16">
        <f>ABS(Solieusap!E2418)</f>
        <v>25.66788571</v>
      </c>
      <c r="F2418" s="16">
        <f>ABS(Solieusap!F2418)</f>
        <v>2.481516667</v>
      </c>
      <c r="G2418" s="16">
        <f>ABS(Solieusap!G2418)</f>
        <v>3.337538095</v>
      </c>
      <c r="H2418" s="16">
        <f>ABS(Solieusap!H2418)</f>
        <v>0.001514349286</v>
      </c>
      <c r="I2418" s="16">
        <f>ABS(Solieusap!I2418)</f>
        <v>9.325008333</v>
      </c>
      <c r="J2418" s="16">
        <f>ABS(Solieusap!J2418)</f>
        <v>6.261933571</v>
      </c>
      <c r="K2418" s="16">
        <f t="shared" si="1"/>
        <v>25.66788571</v>
      </c>
      <c r="L2418" s="16">
        <f t="shared" si="2"/>
        <v>9.325008333</v>
      </c>
    </row>
    <row r="2419" ht="16.5" customHeight="1">
      <c r="A2419" s="15" t="str">
        <f>Solieusap!A2419</f>
        <v>Cũ</v>
      </c>
      <c r="B2419" s="15">
        <f>Solieusap!B2419</f>
        <v>0</v>
      </c>
      <c r="C2419" s="15" t="str">
        <f>Solieusap!C2419</f>
        <v>COMB1</v>
      </c>
      <c r="D2419" s="15" t="str">
        <f>Solieusap!D2419</f>
        <v>Combination</v>
      </c>
      <c r="E2419" s="16">
        <f>ABS(Solieusap!E2419)</f>
        <v>25.68474208</v>
      </c>
      <c r="F2419" s="16">
        <f>ABS(Solieusap!F2419)</f>
        <v>2.483227186</v>
      </c>
      <c r="G2419" s="16">
        <f>ABS(Solieusap!G2419)</f>
        <v>3.339802511</v>
      </c>
      <c r="H2419" s="16">
        <f>ABS(Solieusap!H2419)</f>
        <v>0.00151540439</v>
      </c>
      <c r="I2419" s="16">
        <f>ABS(Solieusap!I2419)</f>
        <v>9.331803126</v>
      </c>
      <c r="J2419" s="16">
        <f>ABS(Solieusap!J2419)</f>
        <v>6.266480623</v>
      </c>
      <c r="K2419" s="16">
        <f t="shared" si="1"/>
        <v>25.68474208</v>
      </c>
      <c r="L2419" s="16">
        <f t="shared" si="2"/>
        <v>9.331803126</v>
      </c>
    </row>
    <row r="2420" ht="16.5" customHeight="1">
      <c r="A2420" s="15" t="str">
        <f>Solieusap!A2420</f>
        <v>Cũ</v>
      </c>
      <c r="B2420" s="15">
        <f>Solieusap!B2420</f>
        <v>1.75</v>
      </c>
      <c r="C2420" s="15" t="str">
        <f>Solieusap!C2420</f>
        <v>COMB1</v>
      </c>
      <c r="D2420" s="15" t="str">
        <f>Solieusap!D2420</f>
        <v>Combination</v>
      </c>
      <c r="E2420" s="16">
        <f>ABS(Solieusap!E2420)</f>
        <v>25.70159844</v>
      </c>
      <c r="F2420" s="16">
        <f>ABS(Solieusap!F2420)</f>
        <v>2.484937706</v>
      </c>
      <c r="G2420" s="16">
        <f>ABS(Solieusap!G2420)</f>
        <v>3.342066926</v>
      </c>
      <c r="H2420" s="16">
        <f>ABS(Solieusap!H2420)</f>
        <v>0.001516459494</v>
      </c>
      <c r="I2420" s="16">
        <f>ABS(Solieusap!I2420)</f>
        <v>9.338597918</v>
      </c>
      <c r="J2420" s="16">
        <f>ABS(Solieusap!J2420)</f>
        <v>6.271027675</v>
      </c>
      <c r="K2420" s="16">
        <f t="shared" si="1"/>
        <v>25.70159844</v>
      </c>
      <c r="L2420" s="16">
        <f t="shared" si="2"/>
        <v>9.338597918</v>
      </c>
    </row>
    <row r="2421" ht="16.5" customHeight="1">
      <c r="A2421" s="15" t="str">
        <f>Solieusap!A2421</f>
        <v>Cũ</v>
      </c>
      <c r="B2421" s="15">
        <f>Solieusap!B2421</f>
        <v>3.5</v>
      </c>
      <c r="C2421" s="15" t="str">
        <f>Solieusap!C2421</f>
        <v>COMB1</v>
      </c>
      <c r="D2421" s="15" t="str">
        <f>Solieusap!D2421</f>
        <v>Combination</v>
      </c>
      <c r="E2421" s="16">
        <f>ABS(Solieusap!E2421)</f>
        <v>25.71845481</v>
      </c>
      <c r="F2421" s="16">
        <f>ABS(Solieusap!F2421)</f>
        <v>2.486648225</v>
      </c>
      <c r="G2421" s="16">
        <f>ABS(Solieusap!G2421)</f>
        <v>3.344331342</v>
      </c>
      <c r="H2421" s="16">
        <f>ABS(Solieusap!H2421)</f>
        <v>0.001517514597</v>
      </c>
      <c r="I2421" s="16">
        <f>ABS(Solieusap!I2421)</f>
        <v>9.34539271</v>
      </c>
      <c r="J2421" s="16">
        <f>ABS(Solieusap!J2421)</f>
        <v>6.275574727</v>
      </c>
      <c r="K2421" s="16">
        <f t="shared" si="1"/>
        <v>25.71845481</v>
      </c>
      <c r="L2421" s="16">
        <f t="shared" si="2"/>
        <v>9.34539271</v>
      </c>
    </row>
    <row r="2422" ht="16.5" customHeight="1">
      <c r="A2422" s="15" t="str">
        <f>Solieusap!A2422</f>
        <v>Cũ</v>
      </c>
      <c r="B2422" s="15">
        <f>Solieusap!B2422</f>
        <v>0</v>
      </c>
      <c r="C2422" s="15" t="str">
        <f>Solieusap!C2422</f>
        <v>COMB2</v>
      </c>
      <c r="D2422" s="15" t="str">
        <f>Solieusap!D2422</f>
        <v>Combination</v>
      </c>
      <c r="E2422" s="16">
        <f>ABS(Solieusap!E2422)</f>
        <v>25.73531117</v>
      </c>
      <c r="F2422" s="16">
        <f>ABS(Solieusap!F2422)</f>
        <v>2.488358745</v>
      </c>
      <c r="G2422" s="16">
        <f>ABS(Solieusap!G2422)</f>
        <v>3.346595758</v>
      </c>
      <c r="H2422" s="16">
        <f>ABS(Solieusap!H2422)</f>
        <v>0.001518569701</v>
      </c>
      <c r="I2422" s="16">
        <f>ABS(Solieusap!I2422)</f>
        <v>9.352187502</v>
      </c>
      <c r="J2422" s="16">
        <f>ABS(Solieusap!J2422)</f>
        <v>6.280121779</v>
      </c>
      <c r="K2422" s="16">
        <f t="shared" si="1"/>
        <v>25.73531117</v>
      </c>
      <c r="L2422" s="16">
        <f t="shared" si="2"/>
        <v>9.352187502</v>
      </c>
    </row>
    <row r="2423" ht="16.5" customHeight="1">
      <c r="A2423" s="15" t="str">
        <f>Solieusap!A2423</f>
        <v>Cũ</v>
      </c>
      <c r="B2423" s="15">
        <f>Solieusap!B2423</f>
        <v>1.75</v>
      </c>
      <c r="C2423" s="15" t="str">
        <f>Solieusap!C2423</f>
        <v>COMB2</v>
      </c>
      <c r="D2423" s="15" t="str">
        <f>Solieusap!D2423</f>
        <v>Combination</v>
      </c>
      <c r="E2423" s="16">
        <f>ABS(Solieusap!E2423)</f>
        <v>25.75216753</v>
      </c>
      <c r="F2423" s="16">
        <f>ABS(Solieusap!F2423)</f>
        <v>2.490069264</v>
      </c>
      <c r="G2423" s="16">
        <f>ABS(Solieusap!G2423)</f>
        <v>3.348860173</v>
      </c>
      <c r="H2423" s="16">
        <f>ABS(Solieusap!H2423)</f>
        <v>0.001519624805</v>
      </c>
      <c r="I2423" s="16">
        <f>ABS(Solieusap!I2423)</f>
        <v>9.358982294</v>
      </c>
      <c r="J2423" s="16">
        <f>ABS(Solieusap!J2423)</f>
        <v>6.284668831</v>
      </c>
      <c r="K2423" s="16">
        <f t="shared" si="1"/>
        <v>25.75216753</v>
      </c>
      <c r="L2423" s="16">
        <f t="shared" si="2"/>
        <v>9.358982294</v>
      </c>
    </row>
    <row r="2424" ht="16.5" customHeight="1">
      <c r="A2424" s="15" t="str">
        <f>Solieusap!A2424</f>
        <v>Cũ</v>
      </c>
      <c r="B2424" s="15">
        <f>Solieusap!B2424</f>
        <v>3.5</v>
      </c>
      <c r="C2424" s="15" t="str">
        <f>Solieusap!C2424</f>
        <v>COMB2</v>
      </c>
      <c r="D2424" s="15" t="str">
        <f>Solieusap!D2424</f>
        <v>Combination</v>
      </c>
      <c r="E2424" s="16">
        <f>ABS(Solieusap!E2424)</f>
        <v>25.7690239</v>
      </c>
      <c r="F2424" s="16">
        <f>ABS(Solieusap!F2424)</f>
        <v>2.491779784</v>
      </c>
      <c r="G2424" s="16">
        <f>ABS(Solieusap!G2424)</f>
        <v>3.351124589</v>
      </c>
      <c r="H2424" s="16">
        <f>ABS(Solieusap!H2424)</f>
        <v>0.001520679909</v>
      </c>
      <c r="I2424" s="16">
        <f>ABS(Solieusap!I2424)</f>
        <v>9.365777087</v>
      </c>
      <c r="J2424" s="16">
        <f>ABS(Solieusap!J2424)</f>
        <v>6.289215883</v>
      </c>
      <c r="K2424" s="16">
        <f t="shared" si="1"/>
        <v>25.7690239</v>
      </c>
      <c r="L2424" s="16">
        <f t="shared" si="2"/>
        <v>9.365777087</v>
      </c>
    </row>
    <row r="2425" ht="16.5" customHeight="1">
      <c r="A2425" s="15" t="str">
        <f>Solieusap!A2425</f>
        <v>Cũ</v>
      </c>
      <c r="B2425" s="15">
        <f>Solieusap!B2425</f>
        <v>0</v>
      </c>
      <c r="C2425" s="15" t="str">
        <f>Solieusap!C2425</f>
        <v>COMB3</v>
      </c>
      <c r="D2425" s="15" t="str">
        <f>Solieusap!D2425</f>
        <v>Combination</v>
      </c>
      <c r="E2425" s="16">
        <f>ABS(Solieusap!E2425)</f>
        <v>25.78588026</v>
      </c>
      <c r="F2425" s="16">
        <f>ABS(Solieusap!F2425)</f>
        <v>2.493490303</v>
      </c>
      <c r="G2425" s="16">
        <f>ABS(Solieusap!G2425)</f>
        <v>3.353389004</v>
      </c>
      <c r="H2425" s="16">
        <f>ABS(Solieusap!H2425)</f>
        <v>0.001521735013</v>
      </c>
      <c r="I2425" s="16">
        <f>ABS(Solieusap!I2425)</f>
        <v>9.372571879</v>
      </c>
      <c r="J2425" s="16">
        <f>ABS(Solieusap!J2425)</f>
        <v>6.293762935</v>
      </c>
      <c r="K2425" s="16">
        <f t="shared" si="1"/>
        <v>25.78588026</v>
      </c>
      <c r="L2425" s="16">
        <f t="shared" si="2"/>
        <v>9.372571879</v>
      </c>
    </row>
    <row r="2426" ht="16.5" customHeight="1">
      <c r="A2426" s="15" t="str">
        <f>Solieusap!A2426</f>
        <v>Cũ</v>
      </c>
      <c r="B2426" s="15">
        <f>Solieusap!B2426</f>
        <v>1.75</v>
      </c>
      <c r="C2426" s="15" t="str">
        <f>Solieusap!C2426</f>
        <v>COMB3</v>
      </c>
      <c r="D2426" s="15" t="str">
        <f>Solieusap!D2426</f>
        <v>Combination</v>
      </c>
      <c r="E2426" s="16">
        <f>ABS(Solieusap!E2426)</f>
        <v>25.80273662</v>
      </c>
      <c r="F2426" s="16">
        <f>ABS(Solieusap!F2426)</f>
        <v>2.495200823</v>
      </c>
      <c r="G2426" s="16">
        <f>ABS(Solieusap!G2426)</f>
        <v>3.35565342</v>
      </c>
      <c r="H2426" s="16">
        <f>ABS(Solieusap!H2426)</f>
        <v>0.001522790117</v>
      </c>
      <c r="I2426" s="16">
        <f>ABS(Solieusap!I2426)</f>
        <v>9.379366671</v>
      </c>
      <c r="J2426" s="16">
        <f>ABS(Solieusap!J2426)</f>
        <v>6.298309987</v>
      </c>
      <c r="K2426" s="16">
        <f t="shared" si="1"/>
        <v>25.80273662</v>
      </c>
      <c r="L2426" s="16">
        <f t="shared" si="2"/>
        <v>9.379366671</v>
      </c>
    </row>
    <row r="2427" ht="16.5" customHeight="1">
      <c r="A2427" s="15" t="str">
        <f>Solieusap!A2427</f>
        <v>Cũ</v>
      </c>
      <c r="B2427" s="15">
        <f>Solieusap!B2427</f>
        <v>3.5</v>
      </c>
      <c r="C2427" s="15" t="str">
        <f>Solieusap!C2427</f>
        <v>COMB3</v>
      </c>
      <c r="D2427" s="15" t="str">
        <f>Solieusap!D2427</f>
        <v>Combination</v>
      </c>
      <c r="E2427" s="16">
        <f>ABS(Solieusap!E2427)</f>
        <v>25.81959299</v>
      </c>
      <c r="F2427" s="16">
        <f>ABS(Solieusap!F2427)</f>
        <v>2.496911342</v>
      </c>
      <c r="G2427" s="16">
        <f>ABS(Solieusap!G2427)</f>
        <v>3.357917835</v>
      </c>
      <c r="H2427" s="16">
        <f>ABS(Solieusap!H2427)</f>
        <v>0.001523845221</v>
      </c>
      <c r="I2427" s="16">
        <f>ABS(Solieusap!I2427)</f>
        <v>9.386161463</v>
      </c>
      <c r="J2427" s="16">
        <f>ABS(Solieusap!J2427)</f>
        <v>6.302857039</v>
      </c>
      <c r="K2427" s="16">
        <f t="shared" si="1"/>
        <v>25.81959299</v>
      </c>
      <c r="L2427" s="16">
        <f t="shared" si="2"/>
        <v>9.386161463</v>
      </c>
    </row>
    <row r="2428" ht="16.5" customHeight="1">
      <c r="A2428" s="15" t="str">
        <f>Solieusap!A2428</f>
        <v>Cũ</v>
      </c>
      <c r="B2428" s="15">
        <f>Solieusap!B2428</f>
        <v>0</v>
      </c>
      <c r="C2428" s="15" t="str">
        <f>Solieusap!C2428</f>
        <v>COMB4</v>
      </c>
      <c r="D2428" s="15" t="str">
        <f>Solieusap!D2428</f>
        <v>Combination</v>
      </c>
      <c r="E2428" s="16">
        <f>ABS(Solieusap!E2428)</f>
        <v>25.83644935</v>
      </c>
      <c r="F2428" s="16">
        <f>ABS(Solieusap!F2428)</f>
        <v>2.498621861</v>
      </c>
      <c r="G2428" s="16">
        <f>ABS(Solieusap!G2428)</f>
        <v>3.360182251</v>
      </c>
      <c r="H2428" s="16">
        <f>ABS(Solieusap!H2428)</f>
        <v>0.001524900325</v>
      </c>
      <c r="I2428" s="16">
        <f>ABS(Solieusap!I2428)</f>
        <v>9.392956255</v>
      </c>
      <c r="J2428" s="16">
        <f>ABS(Solieusap!J2428)</f>
        <v>6.307404091</v>
      </c>
      <c r="K2428" s="16">
        <f t="shared" si="1"/>
        <v>25.83644935</v>
      </c>
      <c r="L2428" s="16">
        <f t="shared" si="2"/>
        <v>9.392956255</v>
      </c>
    </row>
    <row r="2429" ht="16.5" customHeight="1">
      <c r="A2429" s="15" t="str">
        <f>Solieusap!A2429</f>
        <v>Cũ</v>
      </c>
      <c r="B2429" s="15">
        <f>Solieusap!B2429</f>
        <v>1.75</v>
      </c>
      <c r="C2429" s="15" t="str">
        <f>Solieusap!C2429</f>
        <v>COMB4</v>
      </c>
      <c r="D2429" s="15" t="str">
        <f>Solieusap!D2429</f>
        <v>Combination</v>
      </c>
      <c r="E2429" s="16">
        <f>ABS(Solieusap!E2429)</f>
        <v>25.85330571</v>
      </c>
      <c r="F2429" s="16">
        <f>ABS(Solieusap!F2429)</f>
        <v>2.500332381</v>
      </c>
      <c r="G2429" s="16">
        <f>ABS(Solieusap!G2429)</f>
        <v>3.362446667</v>
      </c>
      <c r="H2429" s="16">
        <f>ABS(Solieusap!H2429)</f>
        <v>0.001525955429</v>
      </c>
      <c r="I2429" s="16">
        <f>ABS(Solieusap!I2429)</f>
        <v>9.399751048</v>
      </c>
      <c r="J2429" s="16">
        <f>ABS(Solieusap!J2429)</f>
        <v>6.311951143</v>
      </c>
      <c r="K2429" s="16">
        <f t="shared" si="1"/>
        <v>25.85330571</v>
      </c>
      <c r="L2429" s="16">
        <f t="shared" si="2"/>
        <v>9.399751048</v>
      </c>
    </row>
    <row r="2430" ht="16.5" customHeight="1">
      <c r="A2430" s="15" t="str">
        <f>Solieusap!A2430</f>
        <v>Cũ</v>
      </c>
      <c r="B2430" s="15">
        <f>Solieusap!B2430</f>
        <v>3.5</v>
      </c>
      <c r="C2430" s="15" t="str">
        <f>Solieusap!C2430</f>
        <v>COMB4</v>
      </c>
      <c r="D2430" s="15" t="str">
        <f>Solieusap!D2430</f>
        <v>Combination</v>
      </c>
      <c r="E2430" s="16">
        <f>ABS(Solieusap!E2430)</f>
        <v>25.87016208</v>
      </c>
      <c r="F2430" s="16">
        <f>ABS(Solieusap!F2430)</f>
        <v>2.5020429</v>
      </c>
      <c r="G2430" s="16">
        <f>ABS(Solieusap!G2430)</f>
        <v>3.364711082</v>
      </c>
      <c r="H2430" s="16">
        <f>ABS(Solieusap!H2430)</f>
        <v>0.001527010532</v>
      </c>
      <c r="I2430" s="16">
        <f>ABS(Solieusap!I2430)</f>
        <v>9.40654584</v>
      </c>
      <c r="J2430" s="16">
        <f>ABS(Solieusap!J2430)</f>
        <v>6.316498195</v>
      </c>
      <c r="K2430" s="16">
        <f t="shared" si="1"/>
        <v>25.87016208</v>
      </c>
      <c r="L2430" s="16">
        <f t="shared" si="2"/>
        <v>9.40654584</v>
      </c>
    </row>
    <row r="2431" ht="16.5" customHeight="1">
      <c r="A2431" s="15" t="str">
        <f>Solieusap!A2431</f>
        <v>Cũ</v>
      </c>
      <c r="B2431" s="15">
        <f>Solieusap!B2431</f>
        <v>0</v>
      </c>
      <c r="C2431" s="15" t="str">
        <f>Solieusap!C2431</f>
        <v>COMB5</v>
      </c>
      <c r="D2431" s="15" t="str">
        <f>Solieusap!D2431</f>
        <v>Combination</v>
      </c>
      <c r="E2431" s="16">
        <f>ABS(Solieusap!E2431)</f>
        <v>25.88701844</v>
      </c>
      <c r="F2431" s="16">
        <f>ABS(Solieusap!F2431)</f>
        <v>2.50375342</v>
      </c>
      <c r="G2431" s="16">
        <f>ABS(Solieusap!G2431)</f>
        <v>3.366975498</v>
      </c>
      <c r="H2431" s="16">
        <f>ABS(Solieusap!H2431)</f>
        <v>0.001528065636</v>
      </c>
      <c r="I2431" s="16">
        <f>ABS(Solieusap!I2431)</f>
        <v>9.413340632</v>
      </c>
      <c r="J2431" s="16">
        <f>ABS(Solieusap!J2431)</f>
        <v>6.321045247</v>
      </c>
      <c r="K2431" s="16">
        <f t="shared" si="1"/>
        <v>25.88701844</v>
      </c>
      <c r="L2431" s="16">
        <f t="shared" si="2"/>
        <v>9.413340632</v>
      </c>
    </row>
    <row r="2432" ht="16.5" customHeight="1">
      <c r="A2432" s="15" t="str">
        <f>Solieusap!A2432</f>
        <v>Cũ</v>
      </c>
      <c r="B2432" s="15">
        <f>Solieusap!B2432</f>
        <v>1.75</v>
      </c>
      <c r="C2432" s="15" t="str">
        <f>Solieusap!C2432</f>
        <v>COMB5</v>
      </c>
      <c r="D2432" s="15" t="str">
        <f>Solieusap!D2432</f>
        <v>Combination</v>
      </c>
      <c r="E2432" s="16">
        <f>ABS(Solieusap!E2432)</f>
        <v>25.90387481</v>
      </c>
      <c r="F2432" s="16">
        <f>ABS(Solieusap!F2432)</f>
        <v>2.505463939</v>
      </c>
      <c r="G2432" s="16">
        <f>ABS(Solieusap!G2432)</f>
        <v>3.369239913</v>
      </c>
      <c r="H2432" s="16">
        <f>ABS(Solieusap!H2432)</f>
        <v>0.00152912074</v>
      </c>
      <c r="I2432" s="16">
        <f>ABS(Solieusap!I2432)</f>
        <v>9.420135424</v>
      </c>
      <c r="J2432" s="16">
        <f>ABS(Solieusap!J2432)</f>
        <v>6.325592299</v>
      </c>
      <c r="K2432" s="16">
        <f t="shared" si="1"/>
        <v>25.90387481</v>
      </c>
      <c r="L2432" s="16">
        <f t="shared" si="2"/>
        <v>9.420135424</v>
      </c>
    </row>
    <row r="2433" ht="16.5" customHeight="1">
      <c r="A2433" s="15" t="str">
        <f>Solieusap!A2433</f>
        <v>Cũ</v>
      </c>
      <c r="B2433" s="15">
        <f>Solieusap!B2433</f>
        <v>3.5</v>
      </c>
      <c r="C2433" s="15" t="str">
        <f>Solieusap!C2433</f>
        <v>COMB5</v>
      </c>
      <c r="D2433" s="15" t="str">
        <f>Solieusap!D2433</f>
        <v>Combination</v>
      </c>
      <c r="E2433" s="16">
        <f>ABS(Solieusap!E2433)</f>
        <v>25.92073117</v>
      </c>
      <c r="F2433" s="16">
        <f>ABS(Solieusap!F2433)</f>
        <v>2.507174459</v>
      </c>
      <c r="G2433" s="16">
        <f>ABS(Solieusap!G2433)</f>
        <v>3.371504329</v>
      </c>
      <c r="H2433" s="16">
        <f>ABS(Solieusap!H2433)</f>
        <v>0.001530175844</v>
      </c>
      <c r="I2433" s="16">
        <f>ABS(Solieusap!I2433)</f>
        <v>9.426930216</v>
      </c>
      <c r="J2433" s="16">
        <f>ABS(Solieusap!J2433)</f>
        <v>6.330139351</v>
      </c>
      <c r="K2433" s="16">
        <f t="shared" si="1"/>
        <v>25.92073117</v>
      </c>
      <c r="L2433" s="16">
        <f t="shared" si="2"/>
        <v>9.426930216</v>
      </c>
    </row>
    <row r="2434" ht="16.5" customHeight="1">
      <c r="A2434" s="15" t="str">
        <f>Solieusap!A2434</f>
        <v>Cũ</v>
      </c>
      <c r="B2434" s="15">
        <f>Solieusap!B2434</f>
        <v>0</v>
      </c>
      <c r="C2434" s="15" t="str">
        <f>Solieusap!C2434</f>
        <v>COMB6</v>
      </c>
      <c r="D2434" s="15" t="str">
        <f>Solieusap!D2434</f>
        <v>Combination</v>
      </c>
      <c r="E2434" s="16">
        <f>ABS(Solieusap!E2434)</f>
        <v>25.93758753</v>
      </c>
      <c r="F2434" s="16">
        <f>ABS(Solieusap!F2434)</f>
        <v>2.508884978</v>
      </c>
      <c r="G2434" s="16">
        <f>ABS(Solieusap!G2434)</f>
        <v>3.373768745</v>
      </c>
      <c r="H2434" s="16">
        <f>ABS(Solieusap!H2434)</f>
        <v>0.001531230948</v>
      </c>
      <c r="I2434" s="16">
        <f>ABS(Solieusap!I2434)</f>
        <v>9.433725009</v>
      </c>
      <c r="J2434" s="16">
        <f>ABS(Solieusap!J2434)</f>
        <v>6.334686403</v>
      </c>
      <c r="K2434" s="16">
        <f t="shared" si="1"/>
        <v>25.93758753</v>
      </c>
      <c r="L2434" s="16">
        <f t="shared" si="2"/>
        <v>9.433725009</v>
      </c>
    </row>
    <row r="2435" ht="16.5" customHeight="1">
      <c r="A2435" s="15" t="str">
        <f>Solieusap!A2435</f>
        <v>Cũ</v>
      </c>
      <c r="B2435" s="15">
        <f>Solieusap!B2435</f>
        <v>1.75</v>
      </c>
      <c r="C2435" s="15" t="str">
        <f>Solieusap!C2435</f>
        <v>COMB6</v>
      </c>
      <c r="D2435" s="15" t="str">
        <f>Solieusap!D2435</f>
        <v>Combination</v>
      </c>
      <c r="E2435" s="16">
        <f>ABS(Solieusap!E2435)</f>
        <v>25.9544439</v>
      </c>
      <c r="F2435" s="16">
        <f>ABS(Solieusap!F2435)</f>
        <v>2.510595498</v>
      </c>
      <c r="G2435" s="16">
        <f>ABS(Solieusap!G2435)</f>
        <v>3.37603316</v>
      </c>
      <c r="H2435" s="16">
        <f>ABS(Solieusap!H2435)</f>
        <v>0.001532286052</v>
      </c>
      <c r="I2435" s="16">
        <f>ABS(Solieusap!I2435)</f>
        <v>9.440519801</v>
      </c>
      <c r="J2435" s="16">
        <f>ABS(Solieusap!J2435)</f>
        <v>6.339233455</v>
      </c>
      <c r="K2435" s="16">
        <f t="shared" si="1"/>
        <v>25.9544439</v>
      </c>
      <c r="L2435" s="16">
        <f t="shared" si="2"/>
        <v>9.440519801</v>
      </c>
    </row>
    <row r="2436" ht="16.5" customHeight="1">
      <c r="A2436" s="15" t="str">
        <f>Solieusap!A2436</f>
        <v>Cũ</v>
      </c>
      <c r="B2436" s="15">
        <f>Solieusap!B2436</f>
        <v>3.5</v>
      </c>
      <c r="C2436" s="15" t="str">
        <f>Solieusap!C2436</f>
        <v>COMB6</v>
      </c>
      <c r="D2436" s="15" t="str">
        <f>Solieusap!D2436</f>
        <v>Combination</v>
      </c>
      <c r="E2436" s="16">
        <f>ABS(Solieusap!E2436)</f>
        <v>25.97130026</v>
      </c>
      <c r="F2436" s="16">
        <f>ABS(Solieusap!F2436)</f>
        <v>2.512306017</v>
      </c>
      <c r="G2436" s="16">
        <f>ABS(Solieusap!G2436)</f>
        <v>3.378297576</v>
      </c>
      <c r="H2436" s="16">
        <f>ABS(Solieusap!H2436)</f>
        <v>0.001533341156</v>
      </c>
      <c r="I2436" s="16">
        <f>ABS(Solieusap!I2436)</f>
        <v>9.447314593</v>
      </c>
      <c r="J2436" s="16">
        <f>ABS(Solieusap!J2436)</f>
        <v>6.343780506</v>
      </c>
      <c r="K2436" s="16">
        <f t="shared" si="1"/>
        <v>25.97130026</v>
      </c>
      <c r="L2436" s="16">
        <f t="shared" si="2"/>
        <v>9.447314593</v>
      </c>
    </row>
    <row r="2437" ht="16.5" customHeight="1">
      <c r="A2437" s="15" t="str">
        <f>Solieusap!A2437</f>
        <v>Cũ</v>
      </c>
      <c r="B2437" s="15">
        <f>Solieusap!B2437</f>
        <v>0</v>
      </c>
      <c r="C2437" s="15" t="str">
        <f>Solieusap!C2437</f>
        <v>COMB7</v>
      </c>
      <c r="D2437" s="15" t="str">
        <f>Solieusap!D2437</f>
        <v>Combination</v>
      </c>
      <c r="E2437" s="16">
        <f>ABS(Solieusap!E2437)</f>
        <v>25.98815662</v>
      </c>
      <c r="F2437" s="16">
        <f>ABS(Solieusap!F2437)</f>
        <v>2.514016537</v>
      </c>
      <c r="G2437" s="16">
        <f>ABS(Solieusap!G2437)</f>
        <v>3.380561991</v>
      </c>
      <c r="H2437" s="16">
        <f>ABS(Solieusap!H2437)</f>
        <v>0.00153439626</v>
      </c>
      <c r="I2437" s="16">
        <f>ABS(Solieusap!I2437)</f>
        <v>9.454109385</v>
      </c>
      <c r="J2437" s="16">
        <f>ABS(Solieusap!J2437)</f>
        <v>6.348327558</v>
      </c>
      <c r="K2437" s="16">
        <f t="shared" si="1"/>
        <v>25.98815662</v>
      </c>
      <c r="L2437" s="16">
        <f t="shared" si="2"/>
        <v>9.454109385</v>
      </c>
    </row>
    <row r="2438" ht="16.5" customHeight="1">
      <c r="A2438" s="15" t="str">
        <f>Solieusap!A2438</f>
        <v>Cũ</v>
      </c>
      <c r="B2438" s="15">
        <f>Solieusap!B2438</f>
        <v>1.75</v>
      </c>
      <c r="C2438" s="15" t="str">
        <f>Solieusap!C2438</f>
        <v>COMB7</v>
      </c>
      <c r="D2438" s="15" t="str">
        <f>Solieusap!D2438</f>
        <v>Combination</v>
      </c>
      <c r="E2438" s="16">
        <f>ABS(Solieusap!E2438)</f>
        <v>26.00501299</v>
      </c>
      <c r="F2438" s="16">
        <f>ABS(Solieusap!F2438)</f>
        <v>2.515727056</v>
      </c>
      <c r="G2438" s="16">
        <f>ABS(Solieusap!G2438)</f>
        <v>3.382826407</v>
      </c>
      <c r="H2438" s="16">
        <f>ABS(Solieusap!H2438)</f>
        <v>0.001535451364</v>
      </c>
      <c r="I2438" s="16">
        <f>ABS(Solieusap!I2438)</f>
        <v>9.460904177</v>
      </c>
      <c r="J2438" s="16">
        <f>ABS(Solieusap!J2438)</f>
        <v>6.35287461</v>
      </c>
      <c r="K2438" s="16">
        <f t="shared" si="1"/>
        <v>26.00501299</v>
      </c>
      <c r="L2438" s="16">
        <f t="shared" si="2"/>
        <v>9.460904177</v>
      </c>
    </row>
    <row r="2439" ht="16.5" customHeight="1">
      <c r="A2439" s="15" t="str">
        <f>Solieusap!A2439</f>
        <v>Cũ</v>
      </c>
      <c r="B2439" s="15">
        <f>Solieusap!B2439</f>
        <v>3.5</v>
      </c>
      <c r="C2439" s="15" t="str">
        <f>Solieusap!C2439</f>
        <v>COMB7</v>
      </c>
      <c r="D2439" s="15" t="str">
        <f>Solieusap!D2439</f>
        <v>Combination</v>
      </c>
      <c r="E2439" s="16">
        <f>ABS(Solieusap!E2439)</f>
        <v>26.02186935</v>
      </c>
      <c r="F2439" s="16">
        <f>ABS(Solieusap!F2439)</f>
        <v>2.517437576</v>
      </c>
      <c r="G2439" s="16">
        <f>ABS(Solieusap!G2439)</f>
        <v>3.385090823</v>
      </c>
      <c r="H2439" s="16">
        <f>ABS(Solieusap!H2439)</f>
        <v>0.001536506468</v>
      </c>
      <c r="I2439" s="16">
        <f>ABS(Solieusap!I2439)</f>
        <v>9.46769897</v>
      </c>
      <c r="J2439" s="16">
        <f>ABS(Solieusap!J2439)</f>
        <v>6.357421662</v>
      </c>
      <c r="K2439" s="16">
        <f t="shared" si="1"/>
        <v>26.02186935</v>
      </c>
      <c r="L2439" s="16">
        <f t="shared" si="2"/>
        <v>9.46769897</v>
      </c>
    </row>
    <row r="2440" ht="16.5" customHeight="1">
      <c r="A2440" s="15" t="str">
        <f>Solieusap!A2440</f>
        <v>Cũ</v>
      </c>
      <c r="B2440" s="15">
        <f>Solieusap!B2440</f>
        <v>0</v>
      </c>
      <c r="C2440" s="15" t="str">
        <f>Solieusap!C2440</f>
        <v>COMB1</v>
      </c>
      <c r="D2440" s="15" t="str">
        <f>Solieusap!D2440</f>
        <v>Combination</v>
      </c>
      <c r="E2440" s="16">
        <f>ABS(Solieusap!E2440)</f>
        <v>26.03872571</v>
      </c>
      <c r="F2440" s="16">
        <f>ABS(Solieusap!F2440)</f>
        <v>2.519148095</v>
      </c>
      <c r="G2440" s="16">
        <f>ABS(Solieusap!G2440)</f>
        <v>3.387355238</v>
      </c>
      <c r="H2440" s="16">
        <f>ABS(Solieusap!H2440)</f>
        <v>0.001537561571</v>
      </c>
      <c r="I2440" s="16">
        <f>ABS(Solieusap!I2440)</f>
        <v>9.474493762</v>
      </c>
      <c r="J2440" s="16">
        <f>ABS(Solieusap!J2440)</f>
        <v>6.361968714</v>
      </c>
      <c r="K2440" s="16">
        <f t="shared" si="1"/>
        <v>26.03872571</v>
      </c>
      <c r="L2440" s="16">
        <f t="shared" si="2"/>
        <v>9.474493762</v>
      </c>
    </row>
    <row r="2441" ht="16.5" customHeight="1">
      <c r="A2441" s="15" t="str">
        <f>Solieusap!A2441</f>
        <v>Cũ</v>
      </c>
      <c r="B2441" s="15">
        <f>Solieusap!B2441</f>
        <v>1.75</v>
      </c>
      <c r="C2441" s="15" t="str">
        <f>Solieusap!C2441</f>
        <v>COMB1</v>
      </c>
      <c r="D2441" s="15" t="str">
        <f>Solieusap!D2441</f>
        <v>Combination</v>
      </c>
      <c r="E2441" s="16">
        <f>ABS(Solieusap!E2441)</f>
        <v>26.05558208</v>
      </c>
      <c r="F2441" s="16">
        <f>ABS(Solieusap!F2441)</f>
        <v>2.520858615</v>
      </c>
      <c r="G2441" s="16">
        <f>ABS(Solieusap!G2441)</f>
        <v>3.389619654</v>
      </c>
      <c r="H2441" s="16">
        <f>ABS(Solieusap!H2441)</f>
        <v>0.001538616675</v>
      </c>
      <c r="I2441" s="16">
        <f>ABS(Solieusap!I2441)</f>
        <v>9.481288554</v>
      </c>
      <c r="J2441" s="16">
        <f>ABS(Solieusap!J2441)</f>
        <v>6.366515766</v>
      </c>
      <c r="K2441" s="16">
        <f t="shared" si="1"/>
        <v>26.05558208</v>
      </c>
      <c r="L2441" s="16">
        <f t="shared" si="2"/>
        <v>9.481288554</v>
      </c>
    </row>
    <row r="2442" ht="16.5" customHeight="1">
      <c r="A2442" s="15" t="str">
        <f>Solieusap!A2442</f>
        <v>Cũ</v>
      </c>
      <c r="B2442" s="15">
        <f>Solieusap!B2442</f>
        <v>3.5</v>
      </c>
      <c r="C2442" s="15" t="str">
        <f>Solieusap!C2442</f>
        <v>COMB1</v>
      </c>
      <c r="D2442" s="15" t="str">
        <f>Solieusap!D2442</f>
        <v>Combination</v>
      </c>
      <c r="E2442" s="16">
        <f>ABS(Solieusap!E2442)</f>
        <v>26.07243844</v>
      </c>
      <c r="F2442" s="16">
        <f>ABS(Solieusap!F2442)</f>
        <v>2.522569134</v>
      </c>
      <c r="G2442" s="16">
        <f>ABS(Solieusap!G2442)</f>
        <v>3.391884069</v>
      </c>
      <c r="H2442" s="16">
        <f>ABS(Solieusap!H2442)</f>
        <v>0.001539671779</v>
      </c>
      <c r="I2442" s="16">
        <f>ABS(Solieusap!I2442)</f>
        <v>9.488083346</v>
      </c>
      <c r="J2442" s="16">
        <f>ABS(Solieusap!J2442)</f>
        <v>6.371062818</v>
      </c>
      <c r="K2442" s="16">
        <f t="shared" si="1"/>
        <v>26.07243844</v>
      </c>
      <c r="L2442" s="16">
        <f t="shared" si="2"/>
        <v>9.488083346</v>
      </c>
    </row>
    <row r="2443" ht="16.5" customHeight="1">
      <c r="A2443" s="15" t="str">
        <f>Solieusap!A2443</f>
        <v>Cũ</v>
      </c>
      <c r="B2443" s="15">
        <f>Solieusap!B2443</f>
        <v>0</v>
      </c>
      <c r="C2443" s="15" t="str">
        <f>Solieusap!C2443</f>
        <v>COMB2</v>
      </c>
      <c r="D2443" s="15" t="str">
        <f>Solieusap!D2443</f>
        <v>Combination</v>
      </c>
      <c r="E2443" s="16">
        <f>ABS(Solieusap!E2443)</f>
        <v>26.08929481</v>
      </c>
      <c r="F2443" s="16">
        <f>ABS(Solieusap!F2443)</f>
        <v>2.524279654</v>
      </c>
      <c r="G2443" s="16">
        <f>ABS(Solieusap!G2443)</f>
        <v>3.394148485</v>
      </c>
      <c r="H2443" s="16">
        <f>ABS(Solieusap!H2443)</f>
        <v>0.001540726883</v>
      </c>
      <c r="I2443" s="16">
        <f>ABS(Solieusap!I2443)</f>
        <v>9.494878139</v>
      </c>
      <c r="J2443" s="16">
        <f>ABS(Solieusap!J2443)</f>
        <v>6.37560987</v>
      </c>
      <c r="K2443" s="16">
        <f t="shared" si="1"/>
        <v>26.08929481</v>
      </c>
      <c r="L2443" s="16">
        <f t="shared" si="2"/>
        <v>9.494878139</v>
      </c>
    </row>
    <row r="2444" ht="16.5" customHeight="1">
      <c r="A2444" s="15" t="str">
        <f>Solieusap!A2444</f>
        <v>Cũ</v>
      </c>
      <c r="B2444" s="15">
        <f>Solieusap!B2444</f>
        <v>1.75</v>
      </c>
      <c r="C2444" s="15" t="str">
        <f>Solieusap!C2444</f>
        <v>COMB2</v>
      </c>
      <c r="D2444" s="15" t="str">
        <f>Solieusap!D2444</f>
        <v>Combination</v>
      </c>
      <c r="E2444" s="16">
        <f>ABS(Solieusap!E2444)</f>
        <v>26.10615117</v>
      </c>
      <c r="F2444" s="16">
        <f>ABS(Solieusap!F2444)</f>
        <v>2.525990173</v>
      </c>
      <c r="G2444" s="16">
        <f>ABS(Solieusap!G2444)</f>
        <v>3.3964129</v>
      </c>
      <c r="H2444" s="16">
        <f>ABS(Solieusap!H2444)</f>
        <v>0.001541781987</v>
      </c>
      <c r="I2444" s="16">
        <f>ABS(Solieusap!I2444)</f>
        <v>9.501672931</v>
      </c>
      <c r="J2444" s="16">
        <f>ABS(Solieusap!J2444)</f>
        <v>6.380156922</v>
      </c>
      <c r="K2444" s="16">
        <f t="shared" si="1"/>
        <v>26.10615117</v>
      </c>
      <c r="L2444" s="16">
        <f t="shared" si="2"/>
        <v>9.501672931</v>
      </c>
    </row>
    <row r="2445" ht="16.5" customHeight="1">
      <c r="A2445" s="15" t="str">
        <f>Solieusap!A2445</f>
        <v>Cũ</v>
      </c>
      <c r="B2445" s="15">
        <f>Solieusap!B2445</f>
        <v>3.5</v>
      </c>
      <c r="C2445" s="15" t="str">
        <f>Solieusap!C2445</f>
        <v>COMB2</v>
      </c>
      <c r="D2445" s="15" t="str">
        <f>Solieusap!D2445</f>
        <v>Combination</v>
      </c>
      <c r="E2445" s="16">
        <f>ABS(Solieusap!E2445)</f>
        <v>26.12300753</v>
      </c>
      <c r="F2445" s="16">
        <f>ABS(Solieusap!F2445)</f>
        <v>2.527700693</v>
      </c>
      <c r="G2445" s="16">
        <f>ABS(Solieusap!G2445)</f>
        <v>3.398677316</v>
      </c>
      <c r="H2445" s="16">
        <f>ABS(Solieusap!H2445)</f>
        <v>0.001542837091</v>
      </c>
      <c r="I2445" s="16">
        <f>ABS(Solieusap!I2445)</f>
        <v>9.508467723</v>
      </c>
      <c r="J2445" s="16">
        <f>ABS(Solieusap!J2445)</f>
        <v>6.384703974</v>
      </c>
      <c r="K2445" s="16">
        <f t="shared" si="1"/>
        <v>26.12300753</v>
      </c>
      <c r="L2445" s="16">
        <f t="shared" si="2"/>
        <v>9.508467723</v>
      </c>
    </row>
    <row r="2446" ht="16.5" customHeight="1">
      <c r="A2446" s="15" t="str">
        <f>Solieusap!A2446</f>
        <v>Cũ</v>
      </c>
      <c r="B2446" s="15">
        <f>Solieusap!B2446</f>
        <v>0</v>
      </c>
      <c r="C2446" s="15" t="str">
        <f>Solieusap!C2446</f>
        <v>COMB3</v>
      </c>
      <c r="D2446" s="15" t="str">
        <f>Solieusap!D2446</f>
        <v>Combination</v>
      </c>
      <c r="E2446" s="16">
        <f>ABS(Solieusap!E2446)</f>
        <v>26.1398639</v>
      </c>
      <c r="F2446" s="16">
        <f>ABS(Solieusap!F2446)</f>
        <v>2.529411212</v>
      </c>
      <c r="G2446" s="16">
        <f>ABS(Solieusap!G2446)</f>
        <v>3.400941732</v>
      </c>
      <c r="H2446" s="16">
        <f>ABS(Solieusap!H2446)</f>
        <v>0.001543892195</v>
      </c>
      <c r="I2446" s="16">
        <f>ABS(Solieusap!I2446)</f>
        <v>9.515262515</v>
      </c>
      <c r="J2446" s="16">
        <f>ABS(Solieusap!J2446)</f>
        <v>6.389251026</v>
      </c>
      <c r="K2446" s="16">
        <f t="shared" si="1"/>
        <v>26.1398639</v>
      </c>
      <c r="L2446" s="16">
        <f t="shared" si="2"/>
        <v>9.515262515</v>
      </c>
    </row>
    <row r="2447" ht="16.5" customHeight="1">
      <c r="A2447" s="15" t="str">
        <f>Solieusap!A2447</f>
        <v>Cũ</v>
      </c>
      <c r="B2447" s="15">
        <f>Solieusap!B2447</f>
        <v>1.75</v>
      </c>
      <c r="C2447" s="15" t="str">
        <f>Solieusap!C2447</f>
        <v>COMB3</v>
      </c>
      <c r="D2447" s="15" t="str">
        <f>Solieusap!D2447</f>
        <v>Combination</v>
      </c>
      <c r="E2447" s="16">
        <f>ABS(Solieusap!E2447)</f>
        <v>26.15672026</v>
      </c>
      <c r="F2447" s="16">
        <f>ABS(Solieusap!F2447)</f>
        <v>2.531121732</v>
      </c>
      <c r="G2447" s="16">
        <f>ABS(Solieusap!G2447)</f>
        <v>3.403206147</v>
      </c>
      <c r="H2447" s="16">
        <f>ABS(Solieusap!H2447)</f>
        <v>0.001544947299</v>
      </c>
      <c r="I2447" s="16">
        <f>ABS(Solieusap!I2447)</f>
        <v>9.522057307</v>
      </c>
      <c r="J2447" s="16">
        <f>ABS(Solieusap!J2447)</f>
        <v>6.393798078</v>
      </c>
      <c r="K2447" s="16">
        <f t="shared" si="1"/>
        <v>26.15672026</v>
      </c>
      <c r="L2447" s="16">
        <f t="shared" si="2"/>
        <v>9.522057307</v>
      </c>
    </row>
    <row r="2448" ht="16.5" customHeight="1">
      <c r="A2448" s="15" t="str">
        <f>Solieusap!A2448</f>
        <v>Cũ</v>
      </c>
      <c r="B2448" s="15">
        <f>Solieusap!B2448</f>
        <v>3.5</v>
      </c>
      <c r="C2448" s="15" t="str">
        <f>Solieusap!C2448</f>
        <v>COMB3</v>
      </c>
      <c r="D2448" s="15" t="str">
        <f>Solieusap!D2448</f>
        <v>Combination</v>
      </c>
      <c r="E2448" s="16">
        <f>ABS(Solieusap!E2448)</f>
        <v>26.17357662</v>
      </c>
      <c r="F2448" s="16">
        <f>ABS(Solieusap!F2448)</f>
        <v>2.532832251</v>
      </c>
      <c r="G2448" s="16">
        <f>ABS(Solieusap!G2448)</f>
        <v>3.405470563</v>
      </c>
      <c r="H2448" s="16">
        <f>ABS(Solieusap!H2448)</f>
        <v>0.001546002403</v>
      </c>
      <c r="I2448" s="16">
        <f>ABS(Solieusap!I2448)</f>
        <v>9.5288521</v>
      </c>
      <c r="J2448" s="16">
        <f>ABS(Solieusap!J2448)</f>
        <v>6.39834513</v>
      </c>
      <c r="K2448" s="16">
        <f t="shared" si="1"/>
        <v>26.17357662</v>
      </c>
      <c r="L2448" s="16">
        <f t="shared" si="2"/>
        <v>9.5288521</v>
      </c>
    </row>
    <row r="2449" ht="16.5" customHeight="1">
      <c r="A2449" s="15" t="str">
        <f>Solieusap!A2449</f>
        <v>Cũ</v>
      </c>
      <c r="B2449" s="15">
        <f>Solieusap!B2449</f>
        <v>0</v>
      </c>
      <c r="C2449" s="15" t="str">
        <f>Solieusap!C2449</f>
        <v>COMB4</v>
      </c>
      <c r="D2449" s="15" t="str">
        <f>Solieusap!D2449</f>
        <v>Combination</v>
      </c>
      <c r="E2449" s="16">
        <f>ABS(Solieusap!E2449)</f>
        <v>26.19043299</v>
      </c>
      <c r="F2449" s="16">
        <f>ABS(Solieusap!F2449)</f>
        <v>2.534542771</v>
      </c>
      <c r="G2449" s="16">
        <f>ABS(Solieusap!G2449)</f>
        <v>3.407734978</v>
      </c>
      <c r="H2449" s="16">
        <f>ABS(Solieusap!H2449)</f>
        <v>0.001547057506</v>
      </c>
      <c r="I2449" s="16">
        <f>ABS(Solieusap!I2449)</f>
        <v>9.535646892</v>
      </c>
      <c r="J2449" s="16">
        <f>ABS(Solieusap!J2449)</f>
        <v>6.402892182</v>
      </c>
      <c r="K2449" s="16">
        <f t="shared" si="1"/>
        <v>26.19043299</v>
      </c>
      <c r="L2449" s="16">
        <f t="shared" si="2"/>
        <v>9.535646892</v>
      </c>
    </row>
    <row r="2450" ht="16.5" customHeight="1">
      <c r="A2450" s="15" t="str">
        <f>Solieusap!A2450</f>
        <v>Cũ</v>
      </c>
      <c r="B2450" s="15">
        <f>Solieusap!B2450</f>
        <v>1.75</v>
      </c>
      <c r="C2450" s="15" t="str">
        <f>Solieusap!C2450</f>
        <v>COMB4</v>
      </c>
      <c r="D2450" s="15" t="str">
        <f>Solieusap!D2450</f>
        <v>Combination</v>
      </c>
      <c r="E2450" s="16">
        <f>ABS(Solieusap!E2450)</f>
        <v>26.20728935</v>
      </c>
      <c r="F2450" s="16">
        <f>ABS(Solieusap!F2450)</f>
        <v>2.53625329</v>
      </c>
      <c r="G2450" s="16">
        <f>ABS(Solieusap!G2450)</f>
        <v>3.409999394</v>
      </c>
      <c r="H2450" s="16">
        <f>ABS(Solieusap!H2450)</f>
        <v>0.00154811261</v>
      </c>
      <c r="I2450" s="16">
        <f>ABS(Solieusap!I2450)</f>
        <v>9.542441684</v>
      </c>
      <c r="J2450" s="16">
        <f>ABS(Solieusap!J2450)</f>
        <v>6.407439234</v>
      </c>
      <c r="K2450" s="16">
        <f t="shared" si="1"/>
        <v>26.20728935</v>
      </c>
      <c r="L2450" s="16">
        <f t="shared" si="2"/>
        <v>9.542441684</v>
      </c>
    </row>
    <row r="2451" ht="16.5" customHeight="1">
      <c r="A2451" s="15" t="str">
        <f>Solieusap!A2451</f>
        <v>Cũ</v>
      </c>
      <c r="B2451" s="15">
        <f>Solieusap!B2451</f>
        <v>3.5</v>
      </c>
      <c r="C2451" s="15" t="str">
        <f>Solieusap!C2451</f>
        <v>COMB4</v>
      </c>
      <c r="D2451" s="15" t="str">
        <f>Solieusap!D2451</f>
        <v>Combination</v>
      </c>
      <c r="E2451" s="16">
        <f>ABS(Solieusap!E2451)</f>
        <v>26.22414571</v>
      </c>
      <c r="F2451" s="16">
        <f>ABS(Solieusap!F2451)</f>
        <v>2.53796381</v>
      </c>
      <c r="G2451" s="16">
        <f>ABS(Solieusap!G2451)</f>
        <v>3.41226381</v>
      </c>
      <c r="H2451" s="16">
        <f>ABS(Solieusap!H2451)</f>
        <v>0.001549167714</v>
      </c>
      <c r="I2451" s="16">
        <f>ABS(Solieusap!I2451)</f>
        <v>9.549236476</v>
      </c>
      <c r="J2451" s="16">
        <f>ABS(Solieusap!J2451)</f>
        <v>6.411986286</v>
      </c>
      <c r="K2451" s="16">
        <f t="shared" si="1"/>
        <v>26.22414571</v>
      </c>
      <c r="L2451" s="16">
        <f t="shared" si="2"/>
        <v>9.549236476</v>
      </c>
    </row>
    <row r="2452" ht="16.5" customHeight="1">
      <c r="A2452" s="15" t="str">
        <f>Solieusap!A2452</f>
        <v>Cũ</v>
      </c>
      <c r="B2452" s="15">
        <f>Solieusap!B2452</f>
        <v>0</v>
      </c>
      <c r="C2452" s="15" t="str">
        <f>Solieusap!C2452</f>
        <v>COMB5</v>
      </c>
      <c r="D2452" s="15" t="str">
        <f>Solieusap!D2452</f>
        <v>Combination</v>
      </c>
      <c r="E2452" s="16">
        <f>ABS(Solieusap!E2452)</f>
        <v>26.24100208</v>
      </c>
      <c r="F2452" s="16">
        <f>ABS(Solieusap!F2452)</f>
        <v>2.539674329</v>
      </c>
      <c r="G2452" s="16">
        <f>ABS(Solieusap!G2452)</f>
        <v>3.414528225</v>
      </c>
      <c r="H2452" s="16">
        <f>ABS(Solieusap!H2452)</f>
        <v>0.001550222818</v>
      </c>
      <c r="I2452" s="16">
        <f>ABS(Solieusap!I2452)</f>
        <v>9.556031268</v>
      </c>
      <c r="J2452" s="16">
        <f>ABS(Solieusap!J2452)</f>
        <v>6.416533338</v>
      </c>
      <c r="K2452" s="16">
        <f t="shared" si="1"/>
        <v>26.24100208</v>
      </c>
      <c r="L2452" s="16">
        <f t="shared" si="2"/>
        <v>9.556031268</v>
      </c>
    </row>
    <row r="2453" ht="16.5" customHeight="1">
      <c r="A2453" s="15" t="str">
        <f>Solieusap!A2453</f>
        <v>Cũ</v>
      </c>
      <c r="B2453" s="15">
        <f>Solieusap!B2453</f>
        <v>1.75</v>
      </c>
      <c r="C2453" s="15" t="str">
        <f>Solieusap!C2453</f>
        <v>COMB5</v>
      </c>
      <c r="D2453" s="15" t="str">
        <f>Solieusap!D2453</f>
        <v>Combination</v>
      </c>
      <c r="E2453" s="16">
        <f>ABS(Solieusap!E2453)</f>
        <v>26.25785844</v>
      </c>
      <c r="F2453" s="16">
        <f>ABS(Solieusap!F2453)</f>
        <v>2.541384848</v>
      </c>
      <c r="G2453" s="16">
        <f>ABS(Solieusap!G2453)</f>
        <v>3.416792641</v>
      </c>
      <c r="H2453" s="16">
        <f>ABS(Solieusap!H2453)</f>
        <v>0.001551277922</v>
      </c>
      <c r="I2453" s="16">
        <f>ABS(Solieusap!I2453)</f>
        <v>9.562826061</v>
      </c>
      <c r="J2453" s="16">
        <f>ABS(Solieusap!J2453)</f>
        <v>6.42108039</v>
      </c>
      <c r="K2453" s="16">
        <f t="shared" si="1"/>
        <v>26.25785844</v>
      </c>
      <c r="L2453" s="16">
        <f t="shared" si="2"/>
        <v>9.562826061</v>
      </c>
    </row>
    <row r="2454" ht="16.5" customHeight="1">
      <c r="A2454" s="15" t="str">
        <f>Solieusap!A2454</f>
        <v>Cũ</v>
      </c>
      <c r="B2454" s="15">
        <f>Solieusap!B2454</f>
        <v>3.5</v>
      </c>
      <c r="C2454" s="15" t="str">
        <f>Solieusap!C2454</f>
        <v>COMB5</v>
      </c>
      <c r="D2454" s="15" t="str">
        <f>Solieusap!D2454</f>
        <v>Combination</v>
      </c>
      <c r="E2454" s="16">
        <f>ABS(Solieusap!E2454)</f>
        <v>26.27471481</v>
      </c>
      <c r="F2454" s="16">
        <f>ABS(Solieusap!F2454)</f>
        <v>2.543095368</v>
      </c>
      <c r="G2454" s="16">
        <f>ABS(Solieusap!G2454)</f>
        <v>3.419057056</v>
      </c>
      <c r="H2454" s="16">
        <f>ABS(Solieusap!H2454)</f>
        <v>0.001552333026</v>
      </c>
      <c r="I2454" s="16">
        <f>ABS(Solieusap!I2454)</f>
        <v>9.569620853</v>
      </c>
      <c r="J2454" s="16">
        <f>ABS(Solieusap!J2454)</f>
        <v>6.425627442</v>
      </c>
      <c r="K2454" s="16">
        <f t="shared" si="1"/>
        <v>26.27471481</v>
      </c>
      <c r="L2454" s="16">
        <f t="shared" si="2"/>
        <v>9.569620853</v>
      </c>
    </row>
    <row r="2455" ht="16.5" customHeight="1">
      <c r="A2455" s="15" t="str">
        <f>Solieusap!A2455</f>
        <v>Cũ</v>
      </c>
      <c r="B2455" s="15">
        <f>Solieusap!B2455</f>
        <v>0</v>
      </c>
      <c r="C2455" s="15" t="str">
        <f>Solieusap!C2455</f>
        <v>COMB6</v>
      </c>
      <c r="D2455" s="15" t="str">
        <f>Solieusap!D2455</f>
        <v>Combination</v>
      </c>
      <c r="E2455" s="16">
        <f>ABS(Solieusap!E2455)</f>
        <v>26.29157117</v>
      </c>
      <c r="F2455" s="16">
        <f>ABS(Solieusap!F2455)</f>
        <v>2.544805887</v>
      </c>
      <c r="G2455" s="16">
        <f>ABS(Solieusap!G2455)</f>
        <v>3.421321472</v>
      </c>
      <c r="H2455" s="16">
        <f>ABS(Solieusap!H2455)</f>
        <v>0.00155338813</v>
      </c>
      <c r="I2455" s="16">
        <f>ABS(Solieusap!I2455)</f>
        <v>9.576415645</v>
      </c>
      <c r="J2455" s="16">
        <f>ABS(Solieusap!J2455)</f>
        <v>6.430174494</v>
      </c>
      <c r="K2455" s="16">
        <f t="shared" si="1"/>
        <v>26.29157117</v>
      </c>
      <c r="L2455" s="16">
        <f t="shared" si="2"/>
        <v>9.576415645</v>
      </c>
    </row>
    <row r="2456" ht="16.5" customHeight="1">
      <c r="A2456" s="15" t="str">
        <f>Solieusap!A2456</f>
        <v>Cũ</v>
      </c>
      <c r="B2456" s="15">
        <f>Solieusap!B2456</f>
        <v>1.75</v>
      </c>
      <c r="C2456" s="15" t="str">
        <f>Solieusap!C2456</f>
        <v>COMB6</v>
      </c>
      <c r="D2456" s="15" t="str">
        <f>Solieusap!D2456</f>
        <v>Combination</v>
      </c>
      <c r="E2456" s="16">
        <f>ABS(Solieusap!E2456)</f>
        <v>26.30842753</v>
      </c>
      <c r="F2456" s="16">
        <f>ABS(Solieusap!F2456)</f>
        <v>2.546516407</v>
      </c>
      <c r="G2456" s="16">
        <f>ABS(Solieusap!G2456)</f>
        <v>3.423585887</v>
      </c>
      <c r="H2456" s="16">
        <f>ABS(Solieusap!H2456)</f>
        <v>0.001554443234</v>
      </c>
      <c r="I2456" s="16">
        <f>ABS(Solieusap!I2456)</f>
        <v>9.583210437</v>
      </c>
      <c r="J2456" s="16">
        <f>ABS(Solieusap!J2456)</f>
        <v>6.434721545</v>
      </c>
      <c r="K2456" s="16">
        <f t="shared" si="1"/>
        <v>26.30842753</v>
      </c>
      <c r="L2456" s="16">
        <f t="shared" si="2"/>
        <v>9.583210437</v>
      </c>
    </row>
    <row r="2457" ht="16.5" customHeight="1">
      <c r="A2457" s="15" t="str">
        <f>Solieusap!A2457</f>
        <v>Cũ</v>
      </c>
      <c r="B2457" s="15">
        <f>Solieusap!B2457</f>
        <v>3.5</v>
      </c>
      <c r="C2457" s="15" t="str">
        <f>Solieusap!C2457</f>
        <v>COMB6</v>
      </c>
      <c r="D2457" s="15" t="str">
        <f>Solieusap!D2457</f>
        <v>Combination</v>
      </c>
      <c r="E2457" s="16">
        <f>ABS(Solieusap!E2457)</f>
        <v>26.3252839</v>
      </c>
      <c r="F2457" s="16">
        <f>ABS(Solieusap!F2457)</f>
        <v>2.548226926</v>
      </c>
      <c r="G2457" s="16">
        <f>ABS(Solieusap!G2457)</f>
        <v>3.425850303</v>
      </c>
      <c r="H2457" s="16">
        <f>ABS(Solieusap!H2457)</f>
        <v>0.001555498338</v>
      </c>
      <c r="I2457" s="16">
        <f>ABS(Solieusap!I2457)</f>
        <v>9.590005229</v>
      </c>
      <c r="J2457" s="16">
        <f>ABS(Solieusap!J2457)</f>
        <v>6.439268597</v>
      </c>
      <c r="K2457" s="16">
        <f t="shared" si="1"/>
        <v>26.3252839</v>
      </c>
      <c r="L2457" s="16">
        <f t="shared" si="2"/>
        <v>9.590005229</v>
      </c>
    </row>
    <row r="2458" ht="16.5" customHeight="1">
      <c r="A2458" s="15" t="str">
        <f>Solieusap!A2458</f>
        <v>Cũ</v>
      </c>
      <c r="B2458" s="15">
        <f>Solieusap!B2458</f>
        <v>0</v>
      </c>
      <c r="C2458" s="15" t="str">
        <f>Solieusap!C2458</f>
        <v>COMB7</v>
      </c>
      <c r="D2458" s="15" t="str">
        <f>Solieusap!D2458</f>
        <v>Combination</v>
      </c>
      <c r="E2458" s="16">
        <f>ABS(Solieusap!E2458)</f>
        <v>26.34214026</v>
      </c>
      <c r="F2458" s="16">
        <f>ABS(Solieusap!F2458)</f>
        <v>2.549937446</v>
      </c>
      <c r="G2458" s="16">
        <f>ABS(Solieusap!G2458)</f>
        <v>3.428114719</v>
      </c>
      <c r="H2458" s="16">
        <f>ABS(Solieusap!H2458)</f>
        <v>0.001556553442</v>
      </c>
      <c r="I2458" s="16">
        <f>ABS(Solieusap!I2458)</f>
        <v>9.596800022</v>
      </c>
      <c r="J2458" s="16">
        <f>ABS(Solieusap!J2458)</f>
        <v>6.443815649</v>
      </c>
      <c r="K2458" s="16">
        <f t="shared" si="1"/>
        <v>26.34214026</v>
      </c>
      <c r="L2458" s="16">
        <f t="shared" si="2"/>
        <v>9.596800022</v>
      </c>
    </row>
    <row r="2459" ht="16.5" customHeight="1">
      <c r="A2459" s="15" t="str">
        <f>Solieusap!A2459</f>
        <v>Cũ</v>
      </c>
      <c r="B2459" s="15">
        <f>Solieusap!B2459</f>
        <v>1.75</v>
      </c>
      <c r="C2459" s="15" t="str">
        <f>Solieusap!C2459</f>
        <v>COMB7</v>
      </c>
      <c r="D2459" s="15" t="str">
        <f>Solieusap!D2459</f>
        <v>Combination</v>
      </c>
      <c r="E2459" s="16">
        <f>ABS(Solieusap!E2459)</f>
        <v>26.35899662</v>
      </c>
      <c r="F2459" s="16">
        <f>ABS(Solieusap!F2459)</f>
        <v>2.551647965</v>
      </c>
      <c r="G2459" s="16">
        <f>ABS(Solieusap!G2459)</f>
        <v>3.430379134</v>
      </c>
      <c r="H2459" s="16">
        <f>ABS(Solieusap!H2459)</f>
        <v>0.001557608545</v>
      </c>
      <c r="I2459" s="16">
        <f>ABS(Solieusap!I2459)</f>
        <v>9.603594814</v>
      </c>
      <c r="J2459" s="16">
        <f>ABS(Solieusap!J2459)</f>
        <v>6.448362701</v>
      </c>
      <c r="K2459" s="16">
        <f t="shared" si="1"/>
        <v>26.35899662</v>
      </c>
      <c r="L2459" s="16">
        <f t="shared" si="2"/>
        <v>9.603594814</v>
      </c>
    </row>
    <row r="2460" ht="16.5" customHeight="1">
      <c r="A2460" s="15" t="str">
        <f>Solieusap!A2460</f>
        <v>Cũ</v>
      </c>
      <c r="B2460" s="15">
        <f>Solieusap!B2460</f>
        <v>3.5</v>
      </c>
      <c r="C2460" s="15" t="str">
        <f>Solieusap!C2460</f>
        <v>COMB7</v>
      </c>
      <c r="D2460" s="15" t="str">
        <f>Solieusap!D2460</f>
        <v>Combination</v>
      </c>
      <c r="E2460" s="16">
        <f>ABS(Solieusap!E2460)</f>
        <v>26.37585299</v>
      </c>
      <c r="F2460" s="16">
        <f>ABS(Solieusap!F2460)</f>
        <v>2.553358485</v>
      </c>
      <c r="G2460" s="16">
        <f>ABS(Solieusap!G2460)</f>
        <v>3.43264355</v>
      </c>
      <c r="H2460" s="16">
        <f>ABS(Solieusap!H2460)</f>
        <v>0.001558663649</v>
      </c>
      <c r="I2460" s="16">
        <f>ABS(Solieusap!I2460)</f>
        <v>9.610389606</v>
      </c>
      <c r="J2460" s="16">
        <f>ABS(Solieusap!J2460)</f>
        <v>6.452909753</v>
      </c>
      <c r="K2460" s="16">
        <f t="shared" si="1"/>
        <v>26.37585299</v>
      </c>
      <c r="L2460" s="16">
        <f t="shared" si="2"/>
        <v>9.610389606</v>
      </c>
    </row>
    <row r="2461" ht="16.5" customHeight="1">
      <c r="A2461" s="15" t="str">
        <f>Solieusap!A2461</f>
        <v>Cũ</v>
      </c>
      <c r="B2461" s="15">
        <f>Solieusap!B2461</f>
        <v>0</v>
      </c>
      <c r="C2461" s="15" t="str">
        <f>Solieusap!C2461</f>
        <v>COMB1</v>
      </c>
      <c r="D2461" s="15" t="str">
        <f>Solieusap!D2461</f>
        <v>Combination</v>
      </c>
      <c r="E2461" s="16">
        <f>ABS(Solieusap!E2461)</f>
        <v>26.39270935</v>
      </c>
      <c r="F2461" s="16">
        <f>ABS(Solieusap!F2461)</f>
        <v>2.555069004</v>
      </c>
      <c r="G2461" s="16">
        <f>ABS(Solieusap!G2461)</f>
        <v>3.434907965</v>
      </c>
      <c r="H2461" s="16">
        <f>ABS(Solieusap!H2461)</f>
        <v>0.001559718753</v>
      </c>
      <c r="I2461" s="16">
        <f>ABS(Solieusap!I2461)</f>
        <v>9.617184398</v>
      </c>
      <c r="J2461" s="16">
        <f>ABS(Solieusap!J2461)</f>
        <v>6.457456805</v>
      </c>
      <c r="K2461" s="16">
        <f t="shared" si="1"/>
        <v>26.39270935</v>
      </c>
      <c r="L2461" s="16">
        <f t="shared" si="2"/>
        <v>9.617184398</v>
      </c>
    </row>
    <row r="2462" ht="16.5" customHeight="1">
      <c r="A2462" s="15" t="str">
        <f>Solieusap!A2462</f>
        <v>Cũ</v>
      </c>
      <c r="B2462" s="15">
        <f>Solieusap!B2462</f>
        <v>1.75</v>
      </c>
      <c r="C2462" s="15" t="str">
        <f>Solieusap!C2462</f>
        <v>COMB1</v>
      </c>
      <c r="D2462" s="15" t="str">
        <f>Solieusap!D2462</f>
        <v>Combination</v>
      </c>
      <c r="E2462" s="16">
        <f>ABS(Solieusap!E2462)</f>
        <v>26.40956571</v>
      </c>
      <c r="F2462" s="16">
        <f>ABS(Solieusap!F2462)</f>
        <v>2.556779524</v>
      </c>
      <c r="G2462" s="16">
        <f>ABS(Solieusap!G2462)</f>
        <v>3.437172381</v>
      </c>
      <c r="H2462" s="16">
        <f>ABS(Solieusap!H2462)</f>
        <v>0.001560773857</v>
      </c>
      <c r="I2462" s="16">
        <f>ABS(Solieusap!I2462)</f>
        <v>9.62397919</v>
      </c>
      <c r="J2462" s="16">
        <f>ABS(Solieusap!J2462)</f>
        <v>6.462003857</v>
      </c>
      <c r="K2462" s="16">
        <f t="shared" si="1"/>
        <v>26.40956571</v>
      </c>
      <c r="L2462" s="16">
        <f t="shared" si="2"/>
        <v>9.62397919</v>
      </c>
    </row>
    <row r="2463" ht="16.5" customHeight="1">
      <c r="A2463" s="15" t="str">
        <f>Solieusap!A2463</f>
        <v>Cũ</v>
      </c>
      <c r="B2463" s="15">
        <f>Solieusap!B2463</f>
        <v>3.5</v>
      </c>
      <c r="C2463" s="15" t="str">
        <f>Solieusap!C2463</f>
        <v>COMB1</v>
      </c>
      <c r="D2463" s="15" t="str">
        <f>Solieusap!D2463</f>
        <v>Combination</v>
      </c>
      <c r="E2463" s="16">
        <f>ABS(Solieusap!E2463)</f>
        <v>26.42642208</v>
      </c>
      <c r="F2463" s="16">
        <f>ABS(Solieusap!F2463)</f>
        <v>2.558490043</v>
      </c>
      <c r="G2463" s="16">
        <f>ABS(Solieusap!G2463)</f>
        <v>3.439436797</v>
      </c>
      <c r="H2463" s="16">
        <f>ABS(Solieusap!H2463)</f>
        <v>0.001561828961</v>
      </c>
      <c r="I2463" s="16">
        <f>ABS(Solieusap!I2463)</f>
        <v>9.630773983</v>
      </c>
      <c r="J2463" s="16">
        <f>ABS(Solieusap!J2463)</f>
        <v>6.466550909</v>
      </c>
      <c r="K2463" s="16">
        <f t="shared" si="1"/>
        <v>26.42642208</v>
      </c>
      <c r="L2463" s="16">
        <f t="shared" si="2"/>
        <v>9.630773983</v>
      </c>
    </row>
    <row r="2464" ht="16.5" customHeight="1">
      <c r="A2464" s="15" t="str">
        <f>Solieusap!A2464</f>
        <v>Cũ</v>
      </c>
      <c r="B2464" s="15">
        <f>Solieusap!B2464</f>
        <v>0</v>
      </c>
      <c r="C2464" s="15" t="str">
        <f>Solieusap!C2464</f>
        <v>COMB2</v>
      </c>
      <c r="D2464" s="15" t="str">
        <f>Solieusap!D2464</f>
        <v>Combination</v>
      </c>
      <c r="E2464" s="16">
        <f>ABS(Solieusap!E2464)</f>
        <v>26.44327844</v>
      </c>
      <c r="F2464" s="16">
        <f>ABS(Solieusap!F2464)</f>
        <v>2.560200563</v>
      </c>
      <c r="G2464" s="16">
        <f>ABS(Solieusap!G2464)</f>
        <v>3.441701212</v>
      </c>
      <c r="H2464" s="16">
        <f>ABS(Solieusap!H2464)</f>
        <v>0.001562884065</v>
      </c>
      <c r="I2464" s="16">
        <f>ABS(Solieusap!I2464)</f>
        <v>9.637568775</v>
      </c>
      <c r="J2464" s="16">
        <f>ABS(Solieusap!J2464)</f>
        <v>6.471097961</v>
      </c>
      <c r="K2464" s="16">
        <f t="shared" si="1"/>
        <v>26.44327844</v>
      </c>
      <c r="L2464" s="16">
        <f t="shared" si="2"/>
        <v>9.637568775</v>
      </c>
    </row>
    <row r="2465" ht="16.5" customHeight="1">
      <c r="A2465" s="15" t="str">
        <f>Solieusap!A2465</f>
        <v>Cũ</v>
      </c>
      <c r="B2465" s="15">
        <f>Solieusap!B2465</f>
        <v>1.75</v>
      </c>
      <c r="C2465" s="15" t="str">
        <f>Solieusap!C2465</f>
        <v>COMB2</v>
      </c>
      <c r="D2465" s="15" t="str">
        <f>Solieusap!D2465</f>
        <v>Combination</v>
      </c>
      <c r="E2465" s="16">
        <f>ABS(Solieusap!E2465)</f>
        <v>26.46013481</v>
      </c>
      <c r="F2465" s="16">
        <f>ABS(Solieusap!F2465)</f>
        <v>2.561911082</v>
      </c>
      <c r="G2465" s="16">
        <f>ABS(Solieusap!G2465)</f>
        <v>3.443965628</v>
      </c>
      <c r="H2465" s="16">
        <f>ABS(Solieusap!H2465)</f>
        <v>0.001563939169</v>
      </c>
      <c r="I2465" s="16">
        <f>ABS(Solieusap!I2465)</f>
        <v>9.644363567</v>
      </c>
      <c r="J2465" s="16">
        <f>ABS(Solieusap!J2465)</f>
        <v>6.475645013</v>
      </c>
      <c r="K2465" s="16">
        <f t="shared" si="1"/>
        <v>26.46013481</v>
      </c>
      <c r="L2465" s="16">
        <f t="shared" si="2"/>
        <v>9.644363567</v>
      </c>
    </row>
    <row r="2466" ht="16.5" customHeight="1">
      <c r="A2466" s="15" t="str">
        <f>Solieusap!A2466</f>
        <v>Cũ</v>
      </c>
      <c r="B2466" s="15">
        <f>Solieusap!B2466</f>
        <v>3.5</v>
      </c>
      <c r="C2466" s="15" t="str">
        <f>Solieusap!C2466</f>
        <v>COMB2</v>
      </c>
      <c r="D2466" s="15" t="str">
        <f>Solieusap!D2466</f>
        <v>Combination</v>
      </c>
      <c r="E2466" s="16">
        <f>ABS(Solieusap!E2466)</f>
        <v>26.47699117</v>
      </c>
      <c r="F2466" s="16">
        <f>ABS(Solieusap!F2466)</f>
        <v>2.563621602</v>
      </c>
      <c r="G2466" s="16">
        <f>ABS(Solieusap!G2466)</f>
        <v>3.446230043</v>
      </c>
      <c r="H2466" s="16">
        <f>ABS(Solieusap!H2466)</f>
        <v>0.001564994273</v>
      </c>
      <c r="I2466" s="16">
        <f>ABS(Solieusap!I2466)</f>
        <v>9.651158359</v>
      </c>
      <c r="J2466" s="16">
        <f>ABS(Solieusap!J2466)</f>
        <v>6.480192065</v>
      </c>
      <c r="K2466" s="16">
        <f t="shared" si="1"/>
        <v>26.47699117</v>
      </c>
      <c r="L2466" s="16">
        <f t="shared" si="2"/>
        <v>9.651158359</v>
      </c>
    </row>
    <row r="2467" ht="16.5" customHeight="1">
      <c r="A2467" s="15" t="str">
        <f>Solieusap!A2467</f>
        <v>Cũ</v>
      </c>
      <c r="B2467" s="15">
        <f>Solieusap!B2467</f>
        <v>0</v>
      </c>
      <c r="C2467" s="15" t="str">
        <f>Solieusap!C2467</f>
        <v>COMB3</v>
      </c>
      <c r="D2467" s="15" t="str">
        <f>Solieusap!D2467</f>
        <v>Combination</v>
      </c>
      <c r="E2467" s="16">
        <f>ABS(Solieusap!E2467)</f>
        <v>26.49384753</v>
      </c>
      <c r="F2467" s="16">
        <f>ABS(Solieusap!F2467)</f>
        <v>2.565332121</v>
      </c>
      <c r="G2467" s="16">
        <f>ABS(Solieusap!G2467)</f>
        <v>3.448494459</v>
      </c>
      <c r="H2467" s="16">
        <f>ABS(Solieusap!H2467)</f>
        <v>0.001566049377</v>
      </c>
      <c r="I2467" s="16">
        <f>ABS(Solieusap!I2467)</f>
        <v>9.657953152</v>
      </c>
      <c r="J2467" s="16">
        <f>ABS(Solieusap!J2467)</f>
        <v>6.484739117</v>
      </c>
      <c r="K2467" s="16">
        <f t="shared" si="1"/>
        <v>26.49384753</v>
      </c>
      <c r="L2467" s="16">
        <f t="shared" si="2"/>
        <v>9.657953152</v>
      </c>
    </row>
    <row r="2468" ht="16.5" customHeight="1">
      <c r="A2468" s="15" t="str">
        <f>Solieusap!A2468</f>
        <v>Cũ</v>
      </c>
      <c r="B2468" s="15">
        <f>Solieusap!B2468</f>
        <v>1.75</v>
      </c>
      <c r="C2468" s="15" t="str">
        <f>Solieusap!C2468</f>
        <v>COMB3</v>
      </c>
      <c r="D2468" s="15" t="str">
        <f>Solieusap!D2468</f>
        <v>Combination</v>
      </c>
      <c r="E2468" s="16">
        <f>ABS(Solieusap!E2468)</f>
        <v>26.5107039</v>
      </c>
      <c r="F2468" s="16">
        <f>ABS(Solieusap!F2468)</f>
        <v>2.567042641</v>
      </c>
      <c r="G2468" s="16">
        <f>ABS(Solieusap!G2468)</f>
        <v>3.450758874</v>
      </c>
      <c r="H2468" s="16">
        <f>ABS(Solieusap!H2468)</f>
        <v>0.001567104481</v>
      </c>
      <c r="I2468" s="16">
        <f>ABS(Solieusap!I2468)</f>
        <v>9.664747944</v>
      </c>
      <c r="J2468" s="16">
        <f>ABS(Solieusap!J2468)</f>
        <v>6.489286169</v>
      </c>
      <c r="K2468" s="16">
        <f t="shared" si="1"/>
        <v>26.5107039</v>
      </c>
      <c r="L2468" s="16">
        <f t="shared" si="2"/>
        <v>9.664747944</v>
      </c>
    </row>
    <row r="2469" ht="16.5" customHeight="1">
      <c r="A2469" s="15" t="str">
        <f>Solieusap!A2469</f>
        <v>Cũ</v>
      </c>
      <c r="B2469" s="15">
        <f>Solieusap!B2469</f>
        <v>3.5</v>
      </c>
      <c r="C2469" s="15" t="str">
        <f>Solieusap!C2469</f>
        <v>COMB3</v>
      </c>
      <c r="D2469" s="15" t="str">
        <f>Solieusap!D2469</f>
        <v>Combination</v>
      </c>
      <c r="E2469" s="16">
        <f>ABS(Solieusap!E2469)</f>
        <v>26.52756026</v>
      </c>
      <c r="F2469" s="16">
        <f>ABS(Solieusap!F2469)</f>
        <v>2.56875316</v>
      </c>
      <c r="G2469" s="16">
        <f>ABS(Solieusap!G2469)</f>
        <v>3.45302329</v>
      </c>
      <c r="H2469" s="16">
        <f>ABS(Solieusap!H2469)</f>
        <v>0.001568159584</v>
      </c>
      <c r="I2469" s="16">
        <f>ABS(Solieusap!I2469)</f>
        <v>9.671542736</v>
      </c>
      <c r="J2469" s="16">
        <f>ABS(Solieusap!J2469)</f>
        <v>6.493833221</v>
      </c>
      <c r="K2469" s="16">
        <f t="shared" si="1"/>
        <v>26.52756026</v>
      </c>
      <c r="L2469" s="16">
        <f t="shared" si="2"/>
        <v>9.671542736</v>
      </c>
    </row>
    <row r="2470" ht="16.5" customHeight="1">
      <c r="A2470" s="15" t="str">
        <f>Solieusap!A2470</f>
        <v>Cũ</v>
      </c>
      <c r="B2470" s="15">
        <f>Solieusap!B2470</f>
        <v>0</v>
      </c>
      <c r="C2470" s="15" t="str">
        <f>Solieusap!C2470</f>
        <v>COMB4</v>
      </c>
      <c r="D2470" s="15" t="str">
        <f>Solieusap!D2470</f>
        <v>Combination</v>
      </c>
      <c r="E2470" s="16">
        <f>ABS(Solieusap!E2470)</f>
        <v>26.54441662</v>
      </c>
      <c r="F2470" s="16">
        <f>ABS(Solieusap!F2470)</f>
        <v>2.57046368</v>
      </c>
      <c r="G2470" s="16">
        <f>ABS(Solieusap!G2470)</f>
        <v>3.455287706</v>
      </c>
      <c r="H2470" s="16">
        <f>ABS(Solieusap!H2470)</f>
        <v>0.001569214688</v>
      </c>
      <c r="I2470" s="16">
        <f>ABS(Solieusap!I2470)</f>
        <v>9.678337528</v>
      </c>
      <c r="J2470" s="16">
        <f>ABS(Solieusap!J2470)</f>
        <v>6.498380273</v>
      </c>
      <c r="K2470" s="16">
        <f t="shared" si="1"/>
        <v>26.54441662</v>
      </c>
      <c r="L2470" s="16">
        <f t="shared" si="2"/>
        <v>9.678337528</v>
      </c>
    </row>
    <row r="2471" ht="16.5" customHeight="1">
      <c r="A2471" s="15" t="str">
        <f>Solieusap!A2471</f>
        <v>Cũ</v>
      </c>
      <c r="B2471" s="15">
        <f>Solieusap!B2471</f>
        <v>1.75</v>
      </c>
      <c r="C2471" s="15" t="str">
        <f>Solieusap!C2471</f>
        <v>COMB4</v>
      </c>
      <c r="D2471" s="15" t="str">
        <f>Solieusap!D2471</f>
        <v>Combination</v>
      </c>
      <c r="E2471" s="16">
        <f>ABS(Solieusap!E2471)</f>
        <v>26.56127299</v>
      </c>
      <c r="F2471" s="16">
        <f>ABS(Solieusap!F2471)</f>
        <v>2.572174199</v>
      </c>
      <c r="G2471" s="16">
        <f>ABS(Solieusap!G2471)</f>
        <v>3.457552121</v>
      </c>
      <c r="H2471" s="16">
        <f>ABS(Solieusap!H2471)</f>
        <v>0.001570269792</v>
      </c>
      <c r="I2471" s="16">
        <f>ABS(Solieusap!I2471)</f>
        <v>9.68513232</v>
      </c>
      <c r="J2471" s="16">
        <f>ABS(Solieusap!J2471)</f>
        <v>6.502927325</v>
      </c>
      <c r="K2471" s="16">
        <f t="shared" si="1"/>
        <v>26.56127299</v>
      </c>
      <c r="L2471" s="16">
        <f t="shared" si="2"/>
        <v>9.68513232</v>
      </c>
    </row>
    <row r="2472" ht="16.5" customHeight="1">
      <c r="A2472" s="15" t="str">
        <f>Solieusap!A2472</f>
        <v>Cũ</v>
      </c>
      <c r="B2472" s="15">
        <f>Solieusap!B2472</f>
        <v>3.5</v>
      </c>
      <c r="C2472" s="15" t="str">
        <f>Solieusap!C2472</f>
        <v>COMB4</v>
      </c>
      <c r="D2472" s="15" t="str">
        <f>Solieusap!D2472</f>
        <v>Combination</v>
      </c>
      <c r="E2472" s="16">
        <f>ABS(Solieusap!E2472)</f>
        <v>26.57812935</v>
      </c>
      <c r="F2472" s="16">
        <f>ABS(Solieusap!F2472)</f>
        <v>2.573884719</v>
      </c>
      <c r="G2472" s="16">
        <f>ABS(Solieusap!G2472)</f>
        <v>3.459816537</v>
      </c>
      <c r="H2472" s="16">
        <f>ABS(Solieusap!H2472)</f>
        <v>0.001571324896</v>
      </c>
      <c r="I2472" s="16">
        <f>ABS(Solieusap!I2472)</f>
        <v>9.691927113</v>
      </c>
      <c r="J2472" s="16">
        <f>ABS(Solieusap!J2472)</f>
        <v>6.507474377</v>
      </c>
      <c r="K2472" s="16">
        <f t="shared" si="1"/>
        <v>26.57812935</v>
      </c>
      <c r="L2472" s="16">
        <f t="shared" si="2"/>
        <v>9.691927113</v>
      </c>
    </row>
    <row r="2473" ht="16.5" customHeight="1">
      <c r="A2473" s="15" t="str">
        <f>Solieusap!A2473</f>
        <v>Cũ</v>
      </c>
      <c r="B2473" s="15">
        <f>Solieusap!B2473</f>
        <v>0</v>
      </c>
      <c r="C2473" s="15" t="str">
        <f>Solieusap!C2473</f>
        <v>COMB5</v>
      </c>
      <c r="D2473" s="15" t="str">
        <f>Solieusap!D2473</f>
        <v>Combination</v>
      </c>
      <c r="E2473" s="16">
        <f>ABS(Solieusap!E2473)</f>
        <v>26.59498571</v>
      </c>
      <c r="F2473" s="16">
        <f>ABS(Solieusap!F2473)</f>
        <v>2.575595238</v>
      </c>
      <c r="G2473" s="16">
        <f>ABS(Solieusap!G2473)</f>
        <v>3.462080952</v>
      </c>
      <c r="H2473" s="16">
        <f>ABS(Solieusap!H2473)</f>
        <v>0.00157238</v>
      </c>
      <c r="I2473" s="16">
        <f>ABS(Solieusap!I2473)</f>
        <v>9.698721905</v>
      </c>
      <c r="J2473" s="16">
        <f>ABS(Solieusap!J2473)</f>
        <v>6.512021429</v>
      </c>
      <c r="K2473" s="16">
        <f t="shared" si="1"/>
        <v>26.59498571</v>
      </c>
      <c r="L2473" s="16">
        <f t="shared" si="2"/>
        <v>9.698721905</v>
      </c>
    </row>
    <row r="2474" ht="16.5" customHeight="1">
      <c r="A2474" s="15" t="str">
        <f>Solieusap!A2474</f>
        <v>Cũ</v>
      </c>
      <c r="B2474" s="15">
        <f>Solieusap!B2474</f>
        <v>1.75</v>
      </c>
      <c r="C2474" s="15" t="str">
        <f>Solieusap!C2474</f>
        <v>COMB5</v>
      </c>
      <c r="D2474" s="15" t="str">
        <f>Solieusap!D2474</f>
        <v>Combination</v>
      </c>
      <c r="E2474" s="16">
        <f>ABS(Solieusap!E2474)</f>
        <v>26.61184208</v>
      </c>
      <c r="F2474" s="16">
        <f>ABS(Solieusap!F2474)</f>
        <v>2.577305758</v>
      </c>
      <c r="G2474" s="16">
        <f>ABS(Solieusap!G2474)</f>
        <v>3.464345368</v>
      </c>
      <c r="H2474" s="16">
        <f>ABS(Solieusap!H2474)</f>
        <v>0.001573435104</v>
      </c>
      <c r="I2474" s="16">
        <f>ABS(Solieusap!I2474)</f>
        <v>9.705516697</v>
      </c>
      <c r="J2474" s="16">
        <f>ABS(Solieusap!J2474)</f>
        <v>6.516568481</v>
      </c>
      <c r="K2474" s="16">
        <f t="shared" si="1"/>
        <v>26.61184208</v>
      </c>
      <c r="L2474" s="16">
        <f t="shared" si="2"/>
        <v>9.705516697</v>
      </c>
    </row>
    <row r="2475" ht="16.5" customHeight="1">
      <c r="A2475" s="15" t="str">
        <f>Solieusap!A2475</f>
        <v>Cũ</v>
      </c>
      <c r="B2475" s="15">
        <f>Solieusap!B2475</f>
        <v>3.5</v>
      </c>
      <c r="C2475" s="15" t="str">
        <f>Solieusap!C2475</f>
        <v>COMB5</v>
      </c>
      <c r="D2475" s="15" t="str">
        <f>Solieusap!D2475</f>
        <v>Combination</v>
      </c>
      <c r="E2475" s="16">
        <f>ABS(Solieusap!E2475)</f>
        <v>26.62869844</v>
      </c>
      <c r="F2475" s="16">
        <f>ABS(Solieusap!F2475)</f>
        <v>2.579016277</v>
      </c>
      <c r="G2475" s="16">
        <f>ABS(Solieusap!G2475)</f>
        <v>3.466609784</v>
      </c>
      <c r="H2475" s="16">
        <f>ABS(Solieusap!H2475)</f>
        <v>0.001574490208</v>
      </c>
      <c r="I2475" s="16">
        <f>ABS(Solieusap!I2475)</f>
        <v>9.712311489</v>
      </c>
      <c r="J2475" s="16">
        <f>ABS(Solieusap!J2475)</f>
        <v>6.521115532</v>
      </c>
      <c r="K2475" s="16">
        <f t="shared" si="1"/>
        <v>26.62869844</v>
      </c>
      <c r="L2475" s="16">
        <f t="shared" si="2"/>
        <v>9.712311489</v>
      </c>
    </row>
    <row r="2476" ht="16.5" customHeight="1">
      <c r="A2476" s="15" t="str">
        <f>Solieusap!A2476</f>
        <v>Cũ</v>
      </c>
      <c r="B2476" s="15">
        <f>Solieusap!B2476</f>
        <v>0</v>
      </c>
      <c r="C2476" s="15" t="str">
        <f>Solieusap!C2476</f>
        <v>COMB6</v>
      </c>
      <c r="D2476" s="15" t="str">
        <f>Solieusap!D2476</f>
        <v>Combination</v>
      </c>
      <c r="E2476" s="16">
        <f>ABS(Solieusap!E2476)</f>
        <v>26.64555481</v>
      </c>
      <c r="F2476" s="16">
        <f>ABS(Solieusap!F2476)</f>
        <v>2.580726797</v>
      </c>
      <c r="G2476" s="16">
        <f>ABS(Solieusap!G2476)</f>
        <v>3.468874199</v>
      </c>
      <c r="H2476" s="16">
        <f>ABS(Solieusap!H2476)</f>
        <v>0.001575545312</v>
      </c>
      <c r="I2476" s="16">
        <f>ABS(Solieusap!I2476)</f>
        <v>9.719106281</v>
      </c>
      <c r="J2476" s="16">
        <f>ABS(Solieusap!J2476)</f>
        <v>6.525662584</v>
      </c>
      <c r="K2476" s="16">
        <f t="shared" si="1"/>
        <v>26.64555481</v>
      </c>
      <c r="L2476" s="16">
        <f t="shared" si="2"/>
        <v>9.719106281</v>
      </c>
    </row>
    <row r="2477" ht="16.5" customHeight="1">
      <c r="A2477" s="15" t="str">
        <f>Solieusap!A2477</f>
        <v>Cũ</v>
      </c>
      <c r="B2477" s="15">
        <f>Solieusap!B2477</f>
        <v>1.75</v>
      </c>
      <c r="C2477" s="15" t="str">
        <f>Solieusap!C2477</f>
        <v>COMB6</v>
      </c>
      <c r="D2477" s="15" t="str">
        <f>Solieusap!D2477</f>
        <v>Combination</v>
      </c>
      <c r="E2477" s="16">
        <f>ABS(Solieusap!E2477)</f>
        <v>26.66241117</v>
      </c>
      <c r="F2477" s="16">
        <f>ABS(Solieusap!F2477)</f>
        <v>2.582437316</v>
      </c>
      <c r="G2477" s="16">
        <f>ABS(Solieusap!G2477)</f>
        <v>3.471138615</v>
      </c>
      <c r="H2477" s="16">
        <f>ABS(Solieusap!H2477)</f>
        <v>0.001576600416</v>
      </c>
      <c r="I2477" s="16">
        <f>ABS(Solieusap!I2477)</f>
        <v>9.725901074</v>
      </c>
      <c r="J2477" s="16">
        <f>ABS(Solieusap!J2477)</f>
        <v>6.530209636</v>
      </c>
      <c r="K2477" s="16">
        <f t="shared" si="1"/>
        <v>26.66241117</v>
      </c>
      <c r="L2477" s="16">
        <f t="shared" si="2"/>
        <v>9.725901074</v>
      </c>
    </row>
    <row r="2478" ht="16.5" customHeight="1">
      <c r="A2478" s="15" t="str">
        <f>Solieusap!A2478</f>
        <v>Cũ</v>
      </c>
      <c r="B2478" s="15">
        <f>Solieusap!B2478</f>
        <v>3.5</v>
      </c>
      <c r="C2478" s="15" t="str">
        <f>Solieusap!C2478</f>
        <v>COMB6</v>
      </c>
      <c r="D2478" s="15" t="str">
        <f>Solieusap!D2478</f>
        <v>Combination</v>
      </c>
      <c r="E2478" s="16">
        <f>ABS(Solieusap!E2478)</f>
        <v>26.67926753</v>
      </c>
      <c r="F2478" s="16">
        <f>ABS(Solieusap!F2478)</f>
        <v>2.584147835</v>
      </c>
      <c r="G2478" s="16">
        <f>ABS(Solieusap!G2478)</f>
        <v>3.47340303</v>
      </c>
      <c r="H2478" s="16">
        <f>ABS(Solieusap!H2478)</f>
        <v>0.001577655519</v>
      </c>
      <c r="I2478" s="16">
        <f>ABS(Solieusap!I2478)</f>
        <v>9.732695866</v>
      </c>
      <c r="J2478" s="16">
        <f>ABS(Solieusap!J2478)</f>
        <v>6.534756688</v>
      </c>
      <c r="K2478" s="16">
        <f t="shared" si="1"/>
        <v>26.67926753</v>
      </c>
      <c r="L2478" s="16">
        <f t="shared" si="2"/>
        <v>9.732695866</v>
      </c>
    </row>
    <row r="2479" ht="16.5" customHeight="1">
      <c r="A2479" s="15" t="str">
        <f>Solieusap!A2479</f>
        <v>Cũ</v>
      </c>
      <c r="B2479" s="15">
        <f>Solieusap!B2479</f>
        <v>0</v>
      </c>
      <c r="C2479" s="15" t="str">
        <f>Solieusap!C2479</f>
        <v>COMB7</v>
      </c>
      <c r="D2479" s="15" t="str">
        <f>Solieusap!D2479</f>
        <v>Combination</v>
      </c>
      <c r="E2479" s="16">
        <f>ABS(Solieusap!E2479)</f>
        <v>26.6961239</v>
      </c>
      <c r="F2479" s="16">
        <f>ABS(Solieusap!F2479)</f>
        <v>2.585858355</v>
      </c>
      <c r="G2479" s="16">
        <f>ABS(Solieusap!G2479)</f>
        <v>3.475667446</v>
      </c>
      <c r="H2479" s="16">
        <f>ABS(Solieusap!H2479)</f>
        <v>0.001578710623</v>
      </c>
      <c r="I2479" s="16">
        <f>ABS(Solieusap!I2479)</f>
        <v>9.739490658</v>
      </c>
      <c r="J2479" s="16">
        <f>ABS(Solieusap!J2479)</f>
        <v>6.53930374</v>
      </c>
      <c r="K2479" s="16">
        <f t="shared" si="1"/>
        <v>26.6961239</v>
      </c>
      <c r="L2479" s="16">
        <f t="shared" si="2"/>
        <v>9.739490658</v>
      </c>
    </row>
    <row r="2480" ht="16.5" customHeight="1">
      <c r="A2480" s="15" t="str">
        <f>Solieusap!A2480</f>
        <v>Cũ</v>
      </c>
      <c r="B2480" s="15">
        <f>Solieusap!B2480</f>
        <v>1.75</v>
      </c>
      <c r="C2480" s="15" t="str">
        <f>Solieusap!C2480</f>
        <v>COMB7</v>
      </c>
      <c r="D2480" s="15" t="str">
        <f>Solieusap!D2480</f>
        <v>Combination</v>
      </c>
      <c r="E2480" s="16">
        <f>ABS(Solieusap!E2480)</f>
        <v>26.71298026</v>
      </c>
      <c r="F2480" s="16">
        <f>ABS(Solieusap!F2480)</f>
        <v>2.587568874</v>
      </c>
      <c r="G2480" s="16">
        <f>ABS(Solieusap!G2480)</f>
        <v>3.477931861</v>
      </c>
      <c r="H2480" s="16">
        <f>ABS(Solieusap!H2480)</f>
        <v>0.001579765727</v>
      </c>
      <c r="I2480" s="16">
        <f>ABS(Solieusap!I2480)</f>
        <v>9.74628545</v>
      </c>
      <c r="J2480" s="16">
        <f>ABS(Solieusap!J2480)</f>
        <v>6.543850792</v>
      </c>
      <c r="K2480" s="16">
        <f t="shared" si="1"/>
        <v>26.71298026</v>
      </c>
      <c r="L2480" s="16">
        <f t="shared" si="2"/>
        <v>9.74628545</v>
      </c>
    </row>
    <row r="2481" ht="16.5" customHeight="1">
      <c r="A2481" s="15" t="str">
        <f>Solieusap!A2481</f>
        <v>Cũ</v>
      </c>
      <c r="B2481" s="15">
        <f>Solieusap!B2481</f>
        <v>3.5</v>
      </c>
      <c r="C2481" s="15" t="str">
        <f>Solieusap!C2481</f>
        <v>COMB7</v>
      </c>
      <c r="D2481" s="15" t="str">
        <f>Solieusap!D2481</f>
        <v>Combination</v>
      </c>
      <c r="E2481" s="16">
        <f>ABS(Solieusap!E2481)</f>
        <v>26.72983662</v>
      </c>
      <c r="F2481" s="16">
        <f>ABS(Solieusap!F2481)</f>
        <v>2.589279394</v>
      </c>
      <c r="G2481" s="16">
        <f>ABS(Solieusap!G2481)</f>
        <v>3.480196277</v>
      </c>
      <c r="H2481" s="16">
        <f>ABS(Solieusap!H2481)</f>
        <v>0.001580820831</v>
      </c>
      <c r="I2481" s="16">
        <f>ABS(Solieusap!I2481)</f>
        <v>9.753080242</v>
      </c>
      <c r="J2481" s="16">
        <f>ABS(Solieusap!J2481)</f>
        <v>6.548397844</v>
      </c>
      <c r="K2481" s="16">
        <f t="shared" si="1"/>
        <v>26.72983662</v>
      </c>
      <c r="L2481" s="16">
        <f t="shared" si="2"/>
        <v>9.753080242</v>
      </c>
    </row>
    <row r="2482" ht="16.5" customHeight="1">
      <c r="A2482" s="15" t="str">
        <f>Solieusap!A2482</f>
        <v>Cũ</v>
      </c>
      <c r="B2482" s="15">
        <f>Solieusap!B2482</f>
        <v>0</v>
      </c>
      <c r="C2482" s="15" t="str">
        <f>Solieusap!C2482</f>
        <v>COMB1</v>
      </c>
      <c r="D2482" s="15" t="str">
        <f>Solieusap!D2482</f>
        <v>Combination</v>
      </c>
      <c r="E2482" s="16">
        <f>ABS(Solieusap!E2482)</f>
        <v>26.74669299</v>
      </c>
      <c r="F2482" s="16">
        <f>ABS(Solieusap!F2482)</f>
        <v>2.590989913</v>
      </c>
      <c r="G2482" s="16">
        <f>ABS(Solieusap!G2482)</f>
        <v>3.482460693</v>
      </c>
      <c r="H2482" s="16">
        <f>ABS(Solieusap!H2482)</f>
        <v>0.001581875935</v>
      </c>
      <c r="I2482" s="16">
        <f>ABS(Solieusap!I2482)</f>
        <v>9.759875035</v>
      </c>
      <c r="J2482" s="16">
        <f>ABS(Solieusap!J2482)</f>
        <v>6.552944896</v>
      </c>
      <c r="K2482" s="16">
        <f t="shared" si="1"/>
        <v>26.74669299</v>
      </c>
      <c r="L2482" s="16">
        <f t="shared" si="2"/>
        <v>9.759875035</v>
      </c>
    </row>
    <row r="2483" ht="16.5" customHeight="1">
      <c r="A2483" s="15" t="str">
        <f>Solieusap!A2483</f>
        <v>Cũ</v>
      </c>
      <c r="B2483" s="15">
        <f>Solieusap!B2483</f>
        <v>1.75</v>
      </c>
      <c r="C2483" s="15" t="str">
        <f>Solieusap!C2483</f>
        <v>COMB1</v>
      </c>
      <c r="D2483" s="15" t="str">
        <f>Solieusap!D2483</f>
        <v>Combination</v>
      </c>
      <c r="E2483" s="16">
        <f>ABS(Solieusap!E2483)</f>
        <v>26.76354935</v>
      </c>
      <c r="F2483" s="16">
        <f>ABS(Solieusap!F2483)</f>
        <v>2.592700433</v>
      </c>
      <c r="G2483" s="16">
        <f>ABS(Solieusap!G2483)</f>
        <v>3.484725108</v>
      </c>
      <c r="H2483" s="16">
        <f>ABS(Solieusap!H2483)</f>
        <v>0.001582931039</v>
      </c>
      <c r="I2483" s="16">
        <f>ABS(Solieusap!I2483)</f>
        <v>9.766669827</v>
      </c>
      <c r="J2483" s="16">
        <f>ABS(Solieusap!J2483)</f>
        <v>6.557491948</v>
      </c>
      <c r="K2483" s="16">
        <f t="shared" si="1"/>
        <v>26.76354935</v>
      </c>
      <c r="L2483" s="16">
        <f t="shared" si="2"/>
        <v>9.766669827</v>
      </c>
    </row>
    <row r="2484" ht="16.5" customHeight="1">
      <c r="A2484" s="15" t="str">
        <f>Solieusap!A2484</f>
        <v>Cũ</v>
      </c>
      <c r="B2484" s="15">
        <f>Solieusap!B2484</f>
        <v>3.5</v>
      </c>
      <c r="C2484" s="15" t="str">
        <f>Solieusap!C2484</f>
        <v>COMB1</v>
      </c>
      <c r="D2484" s="15" t="str">
        <f>Solieusap!D2484</f>
        <v>Combination</v>
      </c>
      <c r="E2484" s="16">
        <f>ABS(Solieusap!E2484)</f>
        <v>26.78040571</v>
      </c>
      <c r="F2484" s="16">
        <f>ABS(Solieusap!F2484)</f>
        <v>2.594410952</v>
      </c>
      <c r="G2484" s="16">
        <f>ABS(Solieusap!G2484)</f>
        <v>3.486989524</v>
      </c>
      <c r="H2484" s="16">
        <f>ABS(Solieusap!H2484)</f>
        <v>0.001583986143</v>
      </c>
      <c r="I2484" s="16">
        <f>ABS(Solieusap!I2484)</f>
        <v>9.773464619</v>
      </c>
      <c r="J2484" s="16">
        <f>ABS(Solieusap!J2484)</f>
        <v>6.562039</v>
      </c>
      <c r="K2484" s="16">
        <f t="shared" si="1"/>
        <v>26.78040571</v>
      </c>
      <c r="L2484" s="16">
        <f t="shared" si="2"/>
        <v>9.773464619</v>
      </c>
    </row>
    <row r="2485" ht="16.5" customHeight="1">
      <c r="A2485" s="15" t="str">
        <f>Solieusap!A2485</f>
        <v>Cũ</v>
      </c>
      <c r="B2485" s="15">
        <f>Solieusap!B2485</f>
        <v>0</v>
      </c>
      <c r="C2485" s="15" t="str">
        <f>Solieusap!C2485</f>
        <v>COMB2</v>
      </c>
      <c r="D2485" s="15" t="str">
        <f>Solieusap!D2485</f>
        <v>Combination</v>
      </c>
      <c r="E2485" s="16">
        <f>ABS(Solieusap!E2485)</f>
        <v>26.79726208</v>
      </c>
      <c r="F2485" s="16">
        <f>ABS(Solieusap!F2485)</f>
        <v>2.596121472</v>
      </c>
      <c r="G2485" s="16">
        <f>ABS(Solieusap!G2485)</f>
        <v>3.489253939</v>
      </c>
      <c r="H2485" s="16">
        <f>ABS(Solieusap!H2485)</f>
        <v>0.001585041247</v>
      </c>
      <c r="I2485" s="16">
        <f>ABS(Solieusap!I2485)</f>
        <v>9.780259411</v>
      </c>
      <c r="J2485" s="16">
        <f>ABS(Solieusap!J2485)</f>
        <v>6.566586052</v>
      </c>
      <c r="K2485" s="16">
        <f t="shared" si="1"/>
        <v>26.79726208</v>
      </c>
      <c r="L2485" s="16">
        <f t="shared" si="2"/>
        <v>9.780259411</v>
      </c>
    </row>
    <row r="2486" ht="16.5" customHeight="1">
      <c r="A2486" s="15" t="str">
        <f>Solieusap!A2486</f>
        <v>Cũ</v>
      </c>
      <c r="B2486" s="15">
        <f>Solieusap!B2486</f>
        <v>1.75</v>
      </c>
      <c r="C2486" s="15" t="str">
        <f>Solieusap!C2486</f>
        <v>COMB2</v>
      </c>
      <c r="D2486" s="15" t="str">
        <f>Solieusap!D2486</f>
        <v>Combination</v>
      </c>
      <c r="E2486" s="16">
        <f>ABS(Solieusap!E2486)</f>
        <v>26.81411844</v>
      </c>
      <c r="F2486" s="16">
        <f>ABS(Solieusap!F2486)</f>
        <v>2.597831991</v>
      </c>
      <c r="G2486" s="16">
        <f>ABS(Solieusap!G2486)</f>
        <v>3.491518355</v>
      </c>
      <c r="H2486" s="16">
        <f>ABS(Solieusap!H2486)</f>
        <v>0.001586096351</v>
      </c>
      <c r="I2486" s="16">
        <f>ABS(Solieusap!I2486)</f>
        <v>9.787054203</v>
      </c>
      <c r="J2486" s="16">
        <f>ABS(Solieusap!J2486)</f>
        <v>6.571133104</v>
      </c>
      <c r="K2486" s="16">
        <f t="shared" si="1"/>
        <v>26.81411844</v>
      </c>
      <c r="L2486" s="16">
        <f t="shared" si="2"/>
        <v>9.787054203</v>
      </c>
    </row>
    <row r="2487" ht="16.5" customHeight="1">
      <c r="A2487" s="15" t="str">
        <f>Solieusap!A2487</f>
        <v>Cũ</v>
      </c>
      <c r="B2487" s="15">
        <f>Solieusap!B2487</f>
        <v>3.5</v>
      </c>
      <c r="C2487" s="15" t="str">
        <f>Solieusap!C2487</f>
        <v>COMB2</v>
      </c>
      <c r="D2487" s="15" t="str">
        <f>Solieusap!D2487</f>
        <v>Combination</v>
      </c>
      <c r="E2487" s="16">
        <f>ABS(Solieusap!E2487)</f>
        <v>26.83097481</v>
      </c>
      <c r="F2487" s="16">
        <f>ABS(Solieusap!F2487)</f>
        <v>2.599542511</v>
      </c>
      <c r="G2487" s="16">
        <f>ABS(Solieusap!G2487)</f>
        <v>3.493782771</v>
      </c>
      <c r="H2487" s="16">
        <f>ABS(Solieusap!H2487)</f>
        <v>0.001587151455</v>
      </c>
      <c r="I2487" s="16">
        <f>ABS(Solieusap!I2487)</f>
        <v>9.793848996</v>
      </c>
      <c r="J2487" s="16">
        <f>ABS(Solieusap!J2487)</f>
        <v>6.575680156</v>
      </c>
      <c r="K2487" s="16">
        <f t="shared" si="1"/>
        <v>26.83097481</v>
      </c>
      <c r="L2487" s="16">
        <f t="shared" si="2"/>
        <v>9.793848996</v>
      </c>
    </row>
    <row r="2488" ht="16.5" customHeight="1">
      <c r="A2488" s="15" t="str">
        <f>Solieusap!A2488</f>
        <v>Cũ</v>
      </c>
      <c r="B2488" s="15">
        <f>Solieusap!B2488</f>
        <v>0</v>
      </c>
      <c r="C2488" s="15" t="str">
        <f>Solieusap!C2488</f>
        <v>COMB3</v>
      </c>
      <c r="D2488" s="15" t="str">
        <f>Solieusap!D2488</f>
        <v>Combination</v>
      </c>
      <c r="E2488" s="16">
        <f>ABS(Solieusap!E2488)</f>
        <v>26.84783117</v>
      </c>
      <c r="F2488" s="16">
        <f>ABS(Solieusap!F2488)</f>
        <v>2.60125303</v>
      </c>
      <c r="G2488" s="16">
        <f>ABS(Solieusap!G2488)</f>
        <v>3.496047186</v>
      </c>
      <c r="H2488" s="16">
        <f>ABS(Solieusap!H2488)</f>
        <v>0.001588206558</v>
      </c>
      <c r="I2488" s="16">
        <f>ABS(Solieusap!I2488)</f>
        <v>9.800643788</v>
      </c>
      <c r="J2488" s="16">
        <f>ABS(Solieusap!J2488)</f>
        <v>6.580227208</v>
      </c>
      <c r="K2488" s="16">
        <f t="shared" si="1"/>
        <v>26.84783117</v>
      </c>
      <c r="L2488" s="16">
        <f t="shared" si="2"/>
        <v>9.800643788</v>
      </c>
    </row>
    <row r="2489" ht="16.5" customHeight="1">
      <c r="A2489" s="15" t="str">
        <f>Solieusap!A2489</f>
        <v>Cũ</v>
      </c>
      <c r="B2489" s="15">
        <f>Solieusap!B2489</f>
        <v>1.75</v>
      </c>
      <c r="C2489" s="15" t="str">
        <f>Solieusap!C2489</f>
        <v>COMB3</v>
      </c>
      <c r="D2489" s="15" t="str">
        <f>Solieusap!D2489</f>
        <v>Combination</v>
      </c>
      <c r="E2489" s="16">
        <f>ABS(Solieusap!E2489)</f>
        <v>26.86468753</v>
      </c>
      <c r="F2489" s="16">
        <f>ABS(Solieusap!F2489)</f>
        <v>2.60296355</v>
      </c>
      <c r="G2489" s="16">
        <f>ABS(Solieusap!G2489)</f>
        <v>3.498311602</v>
      </c>
      <c r="H2489" s="16">
        <f>ABS(Solieusap!H2489)</f>
        <v>0.001589261662</v>
      </c>
      <c r="I2489" s="16">
        <f>ABS(Solieusap!I2489)</f>
        <v>9.80743858</v>
      </c>
      <c r="J2489" s="16">
        <f>ABS(Solieusap!J2489)</f>
        <v>6.58477426</v>
      </c>
      <c r="K2489" s="16">
        <f t="shared" si="1"/>
        <v>26.86468753</v>
      </c>
      <c r="L2489" s="16">
        <f t="shared" si="2"/>
        <v>9.80743858</v>
      </c>
    </row>
    <row r="2490" ht="16.5" customHeight="1">
      <c r="A2490" s="15" t="str">
        <f>Solieusap!A2490</f>
        <v>Cũ</v>
      </c>
      <c r="B2490" s="15">
        <f>Solieusap!B2490</f>
        <v>3.5</v>
      </c>
      <c r="C2490" s="15" t="str">
        <f>Solieusap!C2490</f>
        <v>COMB3</v>
      </c>
      <c r="D2490" s="15" t="str">
        <f>Solieusap!D2490</f>
        <v>Combination</v>
      </c>
      <c r="E2490" s="16">
        <f>ABS(Solieusap!E2490)</f>
        <v>26.8815439</v>
      </c>
      <c r="F2490" s="16">
        <f>ABS(Solieusap!F2490)</f>
        <v>2.604674069</v>
      </c>
      <c r="G2490" s="16">
        <f>ABS(Solieusap!G2490)</f>
        <v>3.500576017</v>
      </c>
      <c r="H2490" s="16">
        <f>ABS(Solieusap!H2490)</f>
        <v>0.001590316766</v>
      </c>
      <c r="I2490" s="16">
        <f>ABS(Solieusap!I2490)</f>
        <v>9.814233372</v>
      </c>
      <c r="J2490" s="16">
        <f>ABS(Solieusap!J2490)</f>
        <v>6.589321312</v>
      </c>
      <c r="K2490" s="16">
        <f t="shared" si="1"/>
        <v>26.8815439</v>
      </c>
      <c r="L2490" s="16">
        <f t="shared" si="2"/>
        <v>9.814233372</v>
      </c>
    </row>
    <row r="2491" ht="16.5" customHeight="1">
      <c r="A2491" s="15" t="str">
        <f>Solieusap!A2491</f>
        <v>Cũ</v>
      </c>
      <c r="B2491" s="15">
        <f>Solieusap!B2491</f>
        <v>0</v>
      </c>
      <c r="C2491" s="15" t="str">
        <f>Solieusap!C2491</f>
        <v>COMB4</v>
      </c>
      <c r="D2491" s="15" t="str">
        <f>Solieusap!D2491</f>
        <v>Combination</v>
      </c>
      <c r="E2491" s="16">
        <f>ABS(Solieusap!E2491)</f>
        <v>26.89840026</v>
      </c>
      <c r="F2491" s="16">
        <f>ABS(Solieusap!F2491)</f>
        <v>2.606384589</v>
      </c>
      <c r="G2491" s="16">
        <f>ABS(Solieusap!G2491)</f>
        <v>3.502840433</v>
      </c>
      <c r="H2491" s="16">
        <f>ABS(Solieusap!H2491)</f>
        <v>0.00159137187</v>
      </c>
      <c r="I2491" s="16">
        <f>ABS(Solieusap!I2491)</f>
        <v>9.821028165</v>
      </c>
      <c r="J2491" s="16">
        <f>ABS(Solieusap!J2491)</f>
        <v>6.593868364</v>
      </c>
      <c r="K2491" s="16">
        <f t="shared" si="1"/>
        <v>26.89840026</v>
      </c>
      <c r="L2491" s="16">
        <f t="shared" si="2"/>
        <v>9.821028165</v>
      </c>
    </row>
    <row r="2492" ht="16.5" customHeight="1">
      <c r="A2492" s="15" t="str">
        <f>Solieusap!A2492</f>
        <v>Cũ</v>
      </c>
      <c r="B2492" s="15">
        <f>Solieusap!B2492</f>
        <v>1.75</v>
      </c>
      <c r="C2492" s="15" t="str">
        <f>Solieusap!C2492</f>
        <v>COMB4</v>
      </c>
      <c r="D2492" s="15" t="str">
        <f>Solieusap!D2492</f>
        <v>Combination</v>
      </c>
      <c r="E2492" s="16">
        <f>ABS(Solieusap!E2492)</f>
        <v>26.91525662</v>
      </c>
      <c r="F2492" s="16">
        <f>ABS(Solieusap!F2492)</f>
        <v>2.608095108</v>
      </c>
      <c r="G2492" s="16">
        <f>ABS(Solieusap!G2492)</f>
        <v>3.505104848</v>
      </c>
      <c r="H2492" s="16">
        <f>ABS(Solieusap!H2492)</f>
        <v>0.001592426974</v>
      </c>
      <c r="I2492" s="16">
        <f>ABS(Solieusap!I2492)</f>
        <v>9.827822957</v>
      </c>
      <c r="J2492" s="16">
        <f>ABS(Solieusap!J2492)</f>
        <v>6.598415416</v>
      </c>
      <c r="K2492" s="16">
        <f t="shared" si="1"/>
        <v>26.91525662</v>
      </c>
      <c r="L2492" s="16">
        <f t="shared" si="2"/>
        <v>9.827822957</v>
      </c>
    </row>
    <row r="2493" ht="16.5" customHeight="1">
      <c r="A2493" s="15" t="str">
        <f>Solieusap!A2493</f>
        <v>Cũ</v>
      </c>
      <c r="B2493" s="15">
        <f>Solieusap!B2493</f>
        <v>3.5</v>
      </c>
      <c r="C2493" s="15" t="str">
        <f>Solieusap!C2493</f>
        <v>COMB4</v>
      </c>
      <c r="D2493" s="15" t="str">
        <f>Solieusap!D2493</f>
        <v>Combination</v>
      </c>
      <c r="E2493" s="16">
        <f>ABS(Solieusap!E2493)</f>
        <v>26.93211299</v>
      </c>
      <c r="F2493" s="16">
        <f>ABS(Solieusap!F2493)</f>
        <v>2.609805628</v>
      </c>
      <c r="G2493" s="16">
        <f>ABS(Solieusap!G2493)</f>
        <v>3.507369264</v>
      </c>
      <c r="H2493" s="16">
        <f>ABS(Solieusap!H2493)</f>
        <v>0.001593482078</v>
      </c>
      <c r="I2493" s="16">
        <f>ABS(Solieusap!I2493)</f>
        <v>9.834617749</v>
      </c>
      <c r="J2493" s="16">
        <f>ABS(Solieusap!J2493)</f>
        <v>6.602962468</v>
      </c>
      <c r="K2493" s="16">
        <f t="shared" si="1"/>
        <v>26.93211299</v>
      </c>
      <c r="L2493" s="16">
        <f t="shared" si="2"/>
        <v>9.834617749</v>
      </c>
    </row>
    <row r="2494" ht="16.5" customHeight="1">
      <c r="A2494" s="15" t="str">
        <f>Solieusap!A2494</f>
        <v>Cũ</v>
      </c>
      <c r="B2494" s="15">
        <f>Solieusap!B2494</f>
        <v>0</v>
      </c>
      <c r="C2494" s="15" t="str">
        <f>Solieusap!C2494</f>
        <v>COMB5</v>
      </c>
      <c r="D2494" s="15" t="str">
        <f>Solieusap!D2494</f>
        <v>Combination</v>
      </c>
      <c r="E2494" s="16">
        <f>ABS(Solieusap!E2494)</f>
        <v>26.94896935</v>
      </c>
      <c r="F2494" s="16">
        <f>ABS(Solieusap!F2494)</f>
        <v>2.611516147</v>
      </c>
      <c r="G2494" s="16">
        <f>ABS(Solieusap!G2494)</f>
        <v>3.50963368</v>
      </c>
      <c r="H2494" s="16">
        <f>ABS(Solieusap!H2494)</f>
        <v>0.001594537182</v>
      </c>
      <c r="I2494" s="16">
        <f>ABS(Solieusap!I2494)</f>
        <v>9.841412541</v>
      </c>
      <c r="J2494" s="16">
        <f>ABS(Solieusap!J2494)</f>
        <v>6.607509519</v>
      </c>
      <c r="K2494" s="16">
        <f t="shared" si="1"/>
        <v>26.94896935</v>
      </c>
      <c r="L2494" s="16">
        <f t="shared" si="2"/>
        <v>9.841412541</v>
      </c>
    </row>
    <row r="2495" ht="16.5" customHeight="1">
      <c r="A2495" s="15" t="str">
        <f>Solieusap!A2495</f>
        <v>Cũ</v>
      </c>
      <c r="B2495" s="15">
        <f>Solieusap!B2495</f>
        <v>1.75</v>
      </c>
      <c r="C2495" s="15" t="str">
        <f>Solieusap!C2495</f>
        <v>COMB5</v>
      </c>
      <c r="D2495" s="15" t="str">
        <f>Solieusap!D2495</f>
        <v>Combination</v>
      </c>
      <c r="E2495" s="16">
        <f>ABS(Solieusap!E2495)</f>
        <v>26.96582571</v>
      </c>
      <c r="F2495" s="16">
        <f>ABS(Solieusap!F2495)</f>
        <v>2.613226667</v>
      </c>
      <c r="G2495" s="16">
        <f>ABS(Solieusap!G2495)</f>
        <v>3.511898095</v>
      </c>
      <c r="H2495" s="16">
        <f>ABS(Solieusap!H2495)</f>
        <v>0.001595592286</v>
      </c>
      <c r="I2495" s="16">
        <f>ABS(Solieusap!I2495)</f>
        <v>9.848207333</v>
      </c>
      <c r="J2495" s="16">
        <f>ABS(Solieusap!J2495)</f>
        <v>6.612056571</v>
      </c>
      <c r="K2495" s="16">
        <f t="shared" si="1"/>
        <v>26.96582571</v>
      </c>
      <c r="L2495" s="16">
        <f t="shared" si="2"/>
        <v>9.848207333</v>
      </c>
    </row>
    <row r="2496" ht="16.5" customHeight="1">
      <c r="A2496" s="15" t="str">
        <f>Solieusap!A2496</f>
        <v>Cũ</v>
      </c>
      <c r="B2496" s="15">
        <f>Solieusap!B2496</f>
        <v>3.5</v>
      </c>
      <c r="C2496" s="15" t="str">
        <f>Solieusap!C2496</f>
        <v>COMB5</v>
      </c>
      <c r="D2496" s="15" t="str">
        <f>Solieusap!D2496</f>
        <v>Combination</v>
      </c>
      <c r="E2496" s="16">
        <f>ABS(Solieusap!E2496)</f>
        <v>26.98268208</v>
      </c>
      <c r="F2496" s="16">
        <f>ABS(Solieusap!F2496)</f>
        <v>2.614937186</v>
      </c>
      <c r="G2496" s="16">
        <f>ABS(Solieusap!G2496)</f>
        <v>3.514162511</v>
      </c>
      <c r="H2496" s="16">
        <f>ABS(Solieusap!H2496)</f>
        <v>0.00159664739</v>
      </c>
      <c r="I2496" s="16">
        <f>ABS(Solieusap!I2496)</f>
        <v>9.855002126</v>
      </c>
      <c r="J2496" s="16">
        <f>ABS(Solieusap!J2496)</f>
        <v>6.616603623</v>
      </c>
      <c r="K2496" s="16">
        <f t="shared" si="1"/>
        <v>26.98268208</v>
      </c>
      <c r="L2496" s="16">
        <f t="shared" si="2"/>
        <v>9.855002126</v>
      </c>
    </row>
    <row r="2497" ht="16.5" customHeight="1">
      <c r="A2497" s="15" t="str">
        <f>Solieusap!A2497</f>
        <v>Cũ</v>
      </c>
      <c r="B2497" s="15">
        <f>Solieusap!B2497</f>
        <v>0</v>
      </c>
      <c r="C2497" s="15" t="str">
        <f>Solieusap!C2497</f>
        <v>COMB6</v>
      </c>
      <c r="D2497" s="15" t="str">
        <f>Solieusap!D2497</f>
        <v>Combination</v>
      </c>
      <c r="E2497" s="16">
        <f>ABS(Solieusap!E2497)</f>
        <v>26.99953844</v>
      </c>
      <c r="F2497" s="16">
        <f>ABS(Solieusap!F2497)</f>
        <v>2.616647706</v>
      </c>
      <c r="G2497" s="16">
        <f>ABS(Solieusap!G2497)</f>
        <v>3.516426926</v>
      </c>
      <c r="H2497" s="16">
        <f>ABS(Solieusap!H2497)</f>
        <v>0.001597702494</v>
      </c>
      <c r="I2497" s="16">
        <f>ABS(Solieusap!I2497)</f>
        <v>9.861796918</v>
      </c>
      <c r="J2497" s="16">
        <f>ABS(Solieusap!J2497)</f>
        <v>6.621150675</v>
      </c>
      <c r="K2497" s="16">
        <f t="shared" si="1"/>
        <v>26.99953844</v>
      </c>
      <c r="L2497" s="16">
        <f t="shared" si="2"/>
        <v>9.861796918</v>
      </c>
    </row>
    <row r="2498" ht="16.5" customHeight="1">
      <c r="A2498" s="15" t="str">
        <f>Solieusap!A2498</f>
        <v>Cũ</v>
      </c>
      <c r="B2498" s="15">
        <f>Solieusap!B2498</f>
        <v>1.75</v>
      </c>
      <c r="C2498" s="15" t="str">
        <f>Solieusap!C2498</f>
        <v>COMB6</v>
      </c>
      <c r="D2498" s="15" t="str">
        <f>Solieusap!D2498</f>
        <v>Combination</v>
      </c>
      <c r="E2498" s="16">
        <f>ABS(Solieusap!E2498)</f>
        <v>27.01639481</v>
      </c>
      <c r="F2498" s="16">
        <f>ABS(Solieusap!F2498)</f>
        <v>2.618358225</v>
      </c>
      <c r="G2498" s="16">
        <f>ABS(Solieusap!G2498)</f>
        <v>3.518691342</v>
      </c>
      <c r="H2498" s="16">
        <f>ABS(Solieusap!H2498)</f>
        <v>0.001598757597</v>
      </c>
      <c r="I2498" s="16">
        <f>ABS(Solieusap!I2498)</f>
        <v>9.86859171</v>
      </c>
      <c r="J2498" s="16">
        <f>ABS(Solieusap!J2498)</f>
        <v>6.625697727</v>
      </c>
      <c r="K2498" s="16">
        <f t="shared" si="1"/>
        <v>27.01639481</v>
      </c>
      <c r="L2498" s="16">
        <f t="shared" si="2"/>
        <v>9.86859171</v>
      </c>
    </row>
    <row r="2499" ht="16.5" customHeight="1">
      <c r="A2499" s="15" t="str">
        <f>Solieusap!A2499</f>
        <v>Cũ</v>
      </c>
      <c r="B2499" s="15">
        <f>Solieusap!B2499</f>
        <v>3.5</v>
      </c>
      <c r="C2499" s="15" t="str">
        <f>Solieusap!C2499</f>
        <v>COMB6</v>
      </c>
      <c r="D2499" s="15" t="str">
        <f>Solieusap!D2499</f>
        <v>Combination</v>
      </c>
      <c r="E2499" s="16">
        <f>ABS(Solieusap!E2499)</f>
        <v>27.03325117</v>
      </c>
      <c r="F2499" s="16">
        <f>ABS(Solieusap!F2499)</f>
        <v>2.620068745</v>
      </c>
      <c r="G2499" s="16">
        <f>ABS(Solieusap!G2499)</f>
        <v>3.520955758</v>
      </c>
      <c r="H2499" s="16">
        <f>ABS(Solieusap!H2499)</f>
        <v>0.001599812701</v>
      </c>
      <c r="I2499" s="16">
        <f>ABS(Solieusap!I2499)</f>
        <v>9.875386502</v>
      </c>
      <c r="J2499" s="16">
        <f>ABS(Solieusap!J2499)</f>
        <v>6.630244779</v>
      </c>
      <c r="K2499" s="16">
        <f t="shared" si="1"/>
        <v>27.03325117</v>
      </c>
      <c r="L2499" s="16">
        <f t="shared" si="2"/>
        <v>9.875386502</v>
      </c>
    </row>
    <row r="2500" ht="16.5" customHeight="1">
      <c r="A2500" s="15" t="str">
        <f>Solieusap!A2500</f>
        <v>Cũ</v>
      </c>
      <c r="B2500" s="15">
        <f>Solieusap!B2500</f>
        <v>0</v>
      </c>
      <c r="C2500" s="15" t="str">
        <f>Solieusap!C2500</f>
        <v>COMB7</v>
      </c>
      <c r="D2500" s="15" t="str">
        <f>Solieusap!D2500</f>
        <v>Combination</v>
      </c>
      <c r="E2500" s="16">
        <f>ABS(Solieusap!E2500)</f>
        <v>27.05010753</v>
      </c>
      <c r="F2500" s="16">
        <f>ABS(Solieusap!F2500)</f>
        <v>2.621779264</v>
      </c>
      <c r="G2500" s="16">
        <f>ABS(Solieusap!G2500)</f>
        <v>3.523220173</v>
      </c>
      <c r="H2500" s="16">
        <f>ABS(Solieusap!H2500)</f>
        <v>0.001600867805</v>
      </c>
      <c r="I2500" s="16">
        <f>ABS(Solieusap!I2500)</f>
        <v>9.882181294</v>
      </c>
      <c r="J2500" s="16">
        <f>ABS(Solieusap!J2500)</f>
        <v>6.634791831</v>
      </c>
      <c r="K2500" s="16">
        <f t="shared" si="1"/>
        <v>27.05010753</v>
      </c>
      <c r="L2500" s="16">
        <f t="shared" si="2"/>
        <v>9.882181294</v>
      </c>
    </row>
    <row r="2501" ht="16.5" customHeight="1">
      <c r="A2501" s="15" t="str">
        <f>Solieusap!A2501</f>
        <v>Cũ</v>
      </c>
      <c r="B2501" s="15">
        <f>Solieusap!B2501</f>
        <v>1.75</v>
      </c>
      <c r="C2501" s="15" t="str">
        <f>Solieusap!C2501</f>
        <v>COMB7</v>
      </c>
      <c r="D2501" s="15" t="str">
        <f>Solieusap!D2501</f>
        <v>Combination</v>
      </c>
      <c r="E2501" s="16">
        <f>ABS(Solieusap!E2501)</f>
        <v>27.0669639</v>
      </c>
      <c r="F2501" s="16">
        <f>ABS(Solieusap!F2501)</f>
        <v>2.623489784</v>
      </c>
      <c r="G2501" s="16">
        <f>ABS(Solieusap!G2501)</f>
        <v>3.525484589</v>
      </c>
      <c r="H2501" s="16">
        <f>ABS(Solieusap!H2501)</f>
        <v>0.001601922909</v>
      </c>
      <c r="I2501" s="16">
        <f>ABS(Solieusap!I2501)</f>
        <v>9.888976087</v>
      </c>
      <c r="J2501" s="16">
        <f>ABS(Solieusap!J2501)</f>
        <v>6.639338883</v>
      </c>
      <c r="K2501" s="16">
        <f t="shared" si="1"/>
        <v>27.0669639</v>
      </c>
      <c r="L2501" s="16">
        <f t="shared" si="2"/>
        <v>9.888976087</v>
      </c>
    </row>
    <row r="2502" ht="16.5" customHeight="1">
      <c r="A2502" s="15" t="str">
        <f>Solieusap!A2502</f>
        <v>Cũ</v>
      </c>
      <c r="B2502" s="15">
        <f>Solieusap!B2502</f>
        <v>3.5</v>
      </c>
      <c r="C2502" s="15" t="str">
        <f>Solieusap!C2502</f>
        <v>COMB7</v>
      </c>
      <c r="D2502" s="15" t="str">
        <f>Solieusap!D2502</f>
        <v>Combination</v>
      </c>
      <c r="E2502" s="16">
        <f>ABS(Solieusap!E2502)</f>
        <v>27.08382026</v>
      </c>
      <c r="F2502" s="16">
        <f>ABS(Solieusap!F2502)</f>
        <v>2.625200303</v>
      </c>
      <c r="G2502" s="16">
        <f>ABS(Solieusap!G2502)</f>
        <v>3.527749004</v>
      </c>
      <c r="H2502" s="16">
        <f>ABS(Solieusap!H2502)</f>
        <v>0.001602978013</v>
      </c>
      <c r="I2502" s="16">
        <f>ABS(Solieusap!I2502)</f>
        <v>9.895770879</v>
      </c>
      <c r="J2502" s="16">
        <f>ABS(Solieusap!J2502)</f>
        <v>6.643885935</v>
      </c>
      <c r="K2502" s="16">
        <f t="shared" si="1"/>
        <v>27.08382026</v>
      </c>
      <c r="L2502" s="16">
        <f t="shared" si="2"/>
        <v>9.895770879</v>
      </c>
    </row>
    <row r="2503" ht="16.5" customHeight="1">
      <c r="A2503" s="15" t="str">
        <f>Solieusap!A2503</f>
        <v>Cũ</v>
      </c>
      <c r="B2503" s="15">
        <f>Solieusap!B2503</f>
        <v>0</v>
      </c>
      <c r="C2503" s="15" t="str">
        <f>Solieusap!C2503</f>
        <v>COMB1</v>
      </c>
      <c r="D2503" s="15" t="str">
        <f>Solieusap!D2503</f>
        <v>Combination</v>
      </c>
      <c r="E2503" s="16">
        <f>ABS(Solieusap!E2503)</f>
        <v>27.10067662</v>
      </c>
      <c r="F2503" s="16">
        <f>ABS(Solieusap!F2503)</f>
        <v>2.626910823</v>
      </c>
      <c r="G2503" s="16">
        <f>ABS(Solieusap!G2503)</f>
        <v>3.53001342</v>
      </c>
      <c r="H2503" s="16">
        <f>ABS(Solieusap!H2503)</f>
        <v>0.001604033117</v>
      </c>
      <c r="I2503" s="16">
        <f>ABS(Solieusap!I2503)</f>
        <v>9.902565671</v>
      </c>
      <c r="J2503" s="16">
        <f>ABS(Solieusap!J2503)</f>
        <v>6.648432987</v>
      </c>
      <c r="K2503" s="16">
        <f t="shared" si="1"/>
        <v>27.10067662</v>
      </c>
      <c r="L2503" s="16">
        <f t="shared" si="2"/>
        <v>9.902565671</v>
      </c>
    </row>
    <row r="2504" ht="16.5" customHeight="1">
      <c r="A2504" s="15" t="str">
        <f>Solieusap!A2504</f>
        <v>Cũ</v>
      </c>
      <c r="B2504" s="15">
        <f>Solieusap!B2504</f>
        <v>1.75</v>
      </c>
      <c r="C2504" s="15" t="str">
        <f>Solieusap!C2504</f>
        <v>COMB1</v>
      </c>
      <c r="D2504" s="15" t="str">
        <f>Solieusap!D2504</f>
        <v>Combination</v>
      </c>
      <c r="E2504" s="16">
        <f>ABS(Solieusap!E2504)</f>
        <v>27.11753299</v>
      </c>
      <c r="F2504" s="16">
        <f>ABS(Solieusap!F2504)</f>
        <v>2.628621342</v>
      </c>
      <c r="G2504" s="16">
        <f>ABS(Solieusap!G2504)</f>
        <v>3.532277835</v>
      </c>
      <c r="H2504" s="16">
        <f>ABS(Solieusap!H2504)</f>
        <v>0.001605088221</v>
      </c>
      <c r="I2504" s="16">
        <f>ABS(Solieusap!I2504)</f>
        <v>9.909360463</v>
      </c>
      <c r="J2504" s="16">
        <f>ABS(Solieusap!J2504)</f>
        <v>6.652980039</v>
      </c>
      <c r="K2504" s="16">
        <f t="shared" si="1"/>
        <v>27.11753299</v>
      </c>
      <c r="L2504" s="16">
        <f t="shared" si="2"/>
        <v>9.909360463</v>
      </c>
    </row>
    <row r="2505" ht="16.5" customHeight="1">
      <c r="A2505" s="15" t="str">
        <f>Solieusap!A2505</f>
        <v>Cũ</v>
      </c>
      <c r="B2505" s="15">
        <f>Solieusap!B2505</f>
        <v>3.5</v>
      </c>
      <c r="C2505" s="15" t="str">
        <f>Solieusap!C2505</f>
        <v>COMB1</v>
      </c>
      <c r="D2505" s="15" t="str">
        <f>Solieusap!D2505</f>
        <v>Combination</v>
      </c>
      <c r="E2505" s="16">
        <f>ABS(Solieusap!E2505)</f>
        <v>27.13438935</v>
      </c>
      <c r="F2505" s="16">
        <f>ABS(Solieusap!F2505)</f>
        <v>2.630331861</v>
      </c>
      <c r="G2505" s="16">
        <f>ABS(Solieusap!G2505)</f>
        <v>3.534542251</v>
      </c>
      <c r="H2505" s="16">
        <f>ABS(Solieusap!H2505)</f>
        <v>0.001606143325</v>
      </c>
      <c r="I2505" s="16">
        <f>ABS(Solieusap!I2505)</f>
        <v>9.916155255</v>
      </c>
      <c r="J2505" s="16">
        <f>ABS(Solieusap!J2505)</f>
        <v>6.657527091</v>
      </c>
      <c r="K2505" s="16">
        <f t="shared" si="1"/>
        <v>27.13438935</v>
      </c>
      <c r="L2505" s="16">
        <f t="shared" si="2"/>
        <v>9.916155255</v>
      </c>
    </row>
    <row r="2506" ht="16.5" customHeight="1">
      <c r="A2506" s="15" t="str">
        <f>Solieusap!A2506</f>
        <v>Cũ</v>
      </c>
      <c r="B2506" s="15">
        <f>Solieusap!B2506</f>
        <v>0</v>
      </c>
      <c r="C2506" s="15" t="str">
        <f>Solieusap!C2506</f>
        <v>COMB2</v>
      </c>
      <c r="D2506" s="15" t="str">
        <f>Solieusap!D2506</f>
        <v>Combination</v>
      </c>
      <c r="E2506" s="16">
        <f>ABS(Solieusap!E2506)</f>
        <v>27.15124571</v>
      </c>
      <c r="F2506" s="16">
        <f>ABS(Solieusap!F2506)</f>
        <v>2.632042381</v>
      </c>
      <c r="G2506" s="16">
        <f>ABS(Solieusap!G2506)</f>
        <v>3.536806667</v>
      </c>
      <c r="H2506" s="16">
        <f>ABS(Solieusap!H2506)</f>
        <v>0.001607198429</v>
      </c>
      <c r="I2506" s="16">
        <f>ABS(Solieusap!I2506)</f>
        <v>9.922950048</v>
      </c>
      <c r="J2506" s="16">
        <f>ABS(Solieusap!J2506)</f>
        <v>6.662074143</v>
      </c>
      <c r="K2506" s="16">
        <f t="shared" si="1"/>
        <v>27.15124571</v>
      </c>
      <c r="L2506" s="16">
        <f t="shared" si="2"/>
        <v>9.922950048</v>
      </c>
    </row>
    <row r="2507" ht="16.5" customHeight="1">
      <c r="A2507" s="15" t="str">
        <f>Solieusap!A2507</f>
        <v>Cũ</v>
      </c>
      <c r="B2507" s="15">
        <f>Solieusap!B2507</f>
        <v>1.75</v>
      </c>
      <c r="C2507" s="15" t="str">
        <f>Solieusap!C2507</f>
        <v>COMB2</v>
      </c>
      <c r="D2507" s="15" t="str">
        <f>Solieusap!D2507</f>
        <v>Combination</v>
      </c>
      <c r="E2507" s="16">
        <f>ABS(Solieusap!E2507)</f>
        <v>27.16810208</v>
      </c>
      <c r="F2507" s="16">
        <f>ABS(Solieusap!F2507)</f>
        <v>2.6337529</v>
      </c>
      <c r="G2507" s="16">
        <f>ABS(Solieusap!G2507)</f>
        <v>3.539071082</v>
      </c>
      <c r="H2507" s="16">
        <f>ABS(Solieusap!H2507)</f>
        <v>0.001608253532</v>
      </c>
      <c r="I2507" s="16">
        <f>ABS(Solieusap!I2507)</f>
        <v>9.92974484</v>
      </c>
      <c r="J2507" s="16">
        <f>ABS(Solieusap!J2507)</f>
        <v>6.666621195</v>
      </c>
      <c r="K2507" s="16">
        <f t="shared" si="1"/>
        <v>27.16810208</v>
      </c>
      <c r="L2507" s="16">
        <f t="shared" si="2"/>
        <v>9.92974484</v>
      </c>
    </row>
    <row r="2508" ht="16.5" customHeight="1">
      <c r="A2508" s="15" t="str">
        <f>Solieusap!A2508</f>
        <v>Cũ</v>
      </c>
      <c r="B2508" s="15">
        <f>Solieusap!B2508</f>
        <v>3.5</v>
      </c>
      <c r="C2508" s="15" t="str">
        <f>Solieusap!C2508</f>
        <v>COMB2</v>
      </c>
      <c r="D2508" s="15" t="str">
        <f>Solieusap!D2508</f>
        <v>Combination</v>
      </c>
      <c r="E2508" s="16">
        <f>ABS(Solieusap!E2508)</f>
        <v>27.18495844</v>
      </c>
      <c r="F2508" s="16">
        <f>ABS(Solieusap!F2508)</f>
        <v>2.63546342</v>
      </c>
      <c r="G2508" s="16">
        <f>ABS(Solieusap!G2508)</f>
        <v>3.541335498</v>
      </c>
      <c r="H2508" s="16">
        <f>ABS(Solieusap!H2508)</f>
        <v>0.001609308636</v>
      </c>
      <c r="I2508" s="16">
        <f>ABS(Solieusap!I2508)</f>
        <v>9.936539632</v>
      </c>
      <c r="J2508" s="16">
        <f>ABS(Solieusap!J2508)</f>
        <v>6.671168247</v>
      </c>
      <c r="K2508" s="16">
        <f t="shared" si="1"/>
        <v>27.18495844</v>
      </c>
      <c r="L2508" s="16">
        <f t="shared" si="2"/>
        <v>9.936539632</v>
      </c>
    </row>
    <row r="2509" ht="16.5" customHeight="1">
      <c r="A2509" s="15" t="str">
        <f>Solieusap!A2509</f>
        <v>Cũ</v>
      </c>
      <c r="B2509" s="15">
        <f>Solieusap!B2509</f>
        <v>0</v>
      </c>
      <c r="C2509" s="15" t="str">
        <f>Solieusap!C2509</f>
        <v>COMB3</v>
      </c>
      <c r="D2509" s="15" t="str">
        <f>Solieusap!D2509</f>
        <v>Combination</v>
      </c>
      <c r="E2509" s="16">
        <f>ABS(Solieusap!E2509)</f>
        <v>27.20181481</v>
      </c>
      <c r="F2509" s="16">
        <f>ABS(Solieusap!F2509)</f>
        <v>2.637173939</v>
      </c>
      <c r="G2509" s="16">
        <f>ABS(Solieusap!G2509)</f>
        <v>3.543599913</v>
      </c>
      <c r="H2509" s="16">
        <f>ABS(Solieusap!H2509)</f>
        <v>0.00161036374</v>
      </c>
      <c r="I2509" s="16">
        <f>ABS(Solieusap!I2509)</f>
        <v>9.943334424</v>
      </c>
      <c r="J2509" s="16">
        <f>ABS(Solieusap!J2509)</f>
        <v>6.675715299</v>
      </c>
      <c r="K2509" s="16">
        <f t="shared" si="1"/>
        <v>27.20181481</v>
      </c>
      <c r="L2509" s="16">
        <f t="shared" si="2"/>
        <v>9.943334424</v>
      </c>
    </row>
    <row r="2510" ht="16.5" customHeight="1">
      <c r="A2510" s="15" t="str">
        <f>Solieusap!A2510</f>
        <v>Cũ</v>
      </c>
      <c r="B2510" s="15">
        <f>Solieusap!B2510</f>
        <v>1.75</v>
      </c>
      <c r="C2510" s="15" t="str">
        <f>Solieusap!C2510</f>
        <v>COMB3</v>
      </c>
      <c r="D2510" s="15" t="str">
        <f>Solieusap!D2510</f>
        <v>Combination</v>
      </c>
      <c r="E2510" s="16">
        <f>ABS(Solieusap!E2510)</f>
        <v>27.21867117</v>
      </c>
      <c r="F2510" s="16">
        <f>ABS(Solieusap!F2510)</f>
        <v>2.638884459</v>
      </c>
      <c r="G2510" s="16">
        <f>ABS(Solieusap!G2510)</f>
        <v>3.545864329</v>
      </c>
      <c r="H2510" s="16">
        <f>ABS(Solieusap!H2510)</f>
        <v>0.001611418844</v>
      </c>
      <c r="I2510" s="16">
        <f>ABS(Solieusap!I2510)</f>
        <v>9.950129216</v>
      </c>
      <c r="J2510" s="16">
        <f>ABS(Solieusap!J2510)</f>
        <v>6.680262351</v>
      </c>
      <c r="K2510" s="16">
        <f t="shared" si="1"/>
        <v>27.21867117</v>
      </c>
      <c r="L2510" s="16">
        <f t="shared" si="2"/>
        <v>9.950129216</v>
      </c>
    </row>
    <row r="2511" ht="16.5" customHeight="1">
      <c r="A2511" s="15" t="str">
        <f>Solieusap!A2511</f>
        <v>Cũ</v>
      </c>
      <c r="B2511" s="15">
        <f>Solieusap!B2511</f>
        <v>3.5</v>
      </c>
      <c r="C2511" s="15" t="str">
        <f>Solieusap!C2511</f>
        <v>COMB3</v>
      </c>
      <c r="D2511" s="15" t="str">
        <f>Solieusap!D2511</f>
        <v>Combination</v>
      </c>
      <c r="E2511" s="16">
        <f>ABS(Solieusap!E2511)</f>
        <v>27.23552753</v>
      </c>
      <c r="F2511" s="16">
        <f>ABS(Solieusap!F2511)</f>
        <v>2.640594978</v>
      </c>
      <c r="G2511" s="16">
        <f>ABS(Solieusap!G2511)</f>
        <v>3.548128745</v>
      </c>
      <c r="H2511" s="16">
        <f>ABS(Solieusap!H2511)</f>
        <v>0.001612473948</v>
      </c>
      <c r="I2511" s="16">
        <f>ABS(Solieusap!I2511)</f>
        <v>9.956924009</v>
      </c>
      <c r="J2511" s="16">
        <f>ABS(Solieusap!J2511)</f>
        <v>6.684809403</v>
      </c>
      <c r="K2511" s="16">
        <f t="shared" si="1"/>
        <v>27.23552753</v>
      </c>
      <c r="L2511" s="16">
        <f t="shared" si="2"/>
        <v>9.956924009</v>
      </c>
    </row>
    <row r="2512" ht="16.5" customHeight="1">
      <c r="A2512" s="15" t="str">
        <f>Solieusap!A2512</f>
        <v>Cũ</v>
      </c>
      <c r="B2512" s="15">
        <f>Solieusap!B2512</f>
        <v>0</v>
      </c>
      <c r="C2512" s="15" t="str">
        <f>Solieusap!C2512</f>
        <v>COMB4</v>
      </c>
      <c r="D2512" s="15" t="str">
        <f>Solieusap!D2512</f>
        <v>Combination</v>
      </c>
      <c r="E2512" s="16">
        <f>ABS(Solieusap!E2512)</f>
        <v>27.2523839</v>
      </c>
      <c r="F2512" s="16">
        <f>ABS(Solieusap!F2512)</f>
        <v>2.642305498</v>
      </c>
      <c r="G2512" s="16">
        <f>ABS(Solieusap!G2512)</f>
        <v>3.55039316</v>
      </c>
      <c r="H2512" s="16">
        <f>ABS(Solieusap!H2512)</f>
        <v>0.001613529052</v>
      </c>
      <c r="I2512" s="16">
        <f>ABS(Solieusap!I2512)</f>
        <v>9.963718801</v>
      </c>
      <c r="J2512" s="16">
        <f>ABS(Solieusap!J2512)</f>
        <v>6.689356455</v>
      </c>
      <c r="K2512" s="16">
        <f t="shared" si="1"/>
        <v>27.2523839</v>
      </c>
      <c r="L2512" s="16">
        <f t="shared" si="2"/>
        <v>9.963718801</v>
      </c>
    </row>
    <row r="2513" ht="16.5" customHeight="1">
      <c r="A2513" s="15" t="str">
        <f>Solieusap!A2513</f>
        <v>Cũ</v>
      </c>
      <c r="B2513" s="15">
        <f>Solieusap!B2513</f>
        <v>1.75</v>
      </c>
      <c r="C2513" s="15" t="str">
        <f>Solieusap!C2513</f>
        <v>COMB4</v>
      </c>
      <c r="D2513" s="15" t="str">
        <f>Solieusap!D2513</f>
        <v>Combination</v>
      </c>
      <c r="E2513" s="16">
        <f>ABS(Solieusap!E2513)</f>
        <v>27.26924026</v>
      </c>
      <c r="F2513" s="16">
        <f>ABS(Solieusap!F2513)</f>
        <v>2.644016017</v>
      </c>
      <c r="G2513" s="16">
        <f>ABS(Solieusap!G2513)</f>
        <v>3.552657576</v>
      </c>
      <c r="H2513" s="16">
        <f>ABS(Solieusap!H2513)</f>
        <v>0.001614584156</v>
      </c>
      <c r="I2513" s="16">
        <f>ABS(Solieusap!I2513)</f>
        <v>9.970513593</v>
      </c>
      <c r="J2513" s="16">
        <f>ABS(Solieusap!J2513)</f>
        <v>6.693903506</v>
      </c>
      <c r="K2513" s="16">
        <f t="shared" si="1"/>
        <v>27.26924026</v>
      </c>
      <c r="L2513" s="16">
        <f t="shared" si="2"/>
        <v>9.970513593</v>
      </c>
    </row>
    <row r="2514" ht="16.5" customHeight="1">
      <c r="A2514" s="15" t="str">
        <f>Solieusap!A2514</f>
        <v>Cũ</v>
      </c>
      <c r="B2514" s="15">
        <f>Solieusap!B2514</f>
        <v>3.5</v>
      </c>
      <c r="C2514" s="15" t="str">
        <f>Solieusap!C2514</f>
        <v>COMB4</v>
      </c>
      <c r="D2514" s="15" t="str">
        <f>Solieusap!D2514</f>
        <v>Combination</v>
      </c>
      <c r="E2514" s="16">
        <f>ABS(Solieusap!E2514)</f>
        <v>27.28609662</v>
      </c>
      <c r="F2514" s="16">
        <f>ABS(Solieusap!F2514)</f>
        <v>2.645726537</v>
      </c>
      <c r="G2514" s="16">
        <f>ABS(Solieusap!G2514)</f>
        <v>3.554921991</v>
      </c>
      <c r="H2514" s="16">
        <f>ABS(Solieusap!H2514)</f>
        <v>0.00161563926</v>
      </c>
      <c r="I2514" s="16">
        <f>ABS(Solieusap!I2514)</f>
        <v>9.977308385</v>
      </c>
      <c r="J2514" s="16">
        <f>ABS(Solieusap!J2514)</f>
        <v>6.698450558</v>
      </c>
      <c r="K2514" s="16">
        <f t="shared" si="1"/>
        <v>27.28609662</v>
      </c>
      <c r="L2514" s="16">
        <f t="shared" si="2"/>
        <v>9.977308385</v>
      </c>
    </row>
    <row r="2515" ht="16.5" customHeight="1">
      <c r="A2515" s="15" t="str">
        <f>Solieusap!A2515</f>
        <v>Cũ</v>
      </c>
      <c r="B2515" s="15">
        <f>Solieusap!B2515</f>
        <v>0</v>
      </c>
      <c r="C2515" s="15" t="str">
        <f>Solieusap!C2515</f>
        <v>COMB5</v>
      </c>
      <c r="D2515" s="15" t="str">
        <f>Solieusap!D2515</f>
        <v>Combination</v>
      </c>
      <c r="E2515" s="16">
        <f>ABS(Solieusap!E2515)</f>
        <v>27.30295299</v>
      </c>
      <c r="F2515" s="16">
        <f>ABS(Solieusap!F2515)</f>
        <v>2.647437056</v>
      </c>
      <c r="G2515" s="16">
        <f>ABS(Solieusap!G2515)</f>
        <v>3.557186407</v>
      </c>
      <c r="H2515" s="16">
        <f>ABS(Solieusap!H2515)</f>
        <v>0.001616694364</v>
      </c>
      <c r="I2515" s="16">
        <f>ABS(Solieusap!I2515)</f>
        <v>9.984103177</v>
      </c>
      <c r="J2515" s="16">
        <f>ABS(Solieusap!J2515)</f>
        <v>6.70299761</v>
      </c>
      <c r="K2515" s="16">
        <f t="shared" si="1"/>
        <v>27.30295299</v>
      </c>
      <c r="L2515" s="16">
        <f t="shared" si="2"/>
        <v>9.984103177</v>
      </c>
    </row>
    <row r="2516" ht="16.5" customHeight="1">
      <c r="A2516" s="15" t="str">
        <f>Solieusap!A2516</f>
        <v>Cũ</v>
      </c>
      <c r="B2516" s="15">
        <f>Solieusap!B2516</f>
        <v>1.75</v>
      </c>
      <c r="C2516" s="15" t="str">
        <f>Solieusap!C2516</f>
        <v>COMB5</v>
      </c>
      <c r="D2516" s="15" t="str">
        <f>Solieusap!D2516</f>
        <v>Combination</v>
      </c>
      <c r="E2516" s="16">
        <f>ABS(Solieusap!E2516)</f>
        <v>27.31980935</v>
      </c>
      <c r="F2516" s="16">
        <f>ABS(Solieusap!F2516)</f>
        <v>2.649147576</v>
      </c>
      <c r="G2516" s="16">
        <f>ABS(Solieusap!G2516)</f>
        <v>3.559450823</v>
      </c>
      <c r="H2516" s="16">
        <f>ABS(Solieusap!H2516)</f>
        <v>0.001617749468</v>
      </c>
      <c r="I2516" s="16">
        <f>ABS(Solieusap!I2516)</f>
        <v>9.99089797</v>
      </c>
      <c r="J2516" s="16">
        <f>ABS(Solieusap!J2516)</f>
        <v>6.707544662</v>
      </c>
      <c r="K2516" s="16">
        <f t="shared" si="1"/>
        <v>27.31980935</v>
      </c>
      <c r="L2516" s="16">
        <f t="shared" si="2"/>
        <v>9.99089797</v>
      </c>
    </row>
    <row r="2517" ht="16.5" customHeight="1">
      <c r="A2517" s="15" t="str">
        <f>Solieusap!A2517</f>
        <v>Cũ</v>
      </c>
      <c r="B2517" s="15">
        <f>Solieusap!B2517</f>
        <v>3.5</v>
      </c>
      <c r="C2517" s="15" t="str">
        <f>Solieusap!C2517</f>
        <v>COMB5</v>
      </c>
      <c r="D2517" s="15" t="str">
        <f>Solieusap!D2517</f>
        <v>Combination</v>
      </c>
      <c r="E2517" s="16">
        <f>ABS(Solieusap!E2517)</f>
        <v>27.33666571</v>
      </c>
      <c r="F2517" s="16">
        <f>ABS(Solieusap!F2517)</f>
        <v>2.650858095</v>
      </c>
      <c r="G2517" s="16">
        <f>ABS(Solieusap!G2517)</f>
        <v>3.561715238</v>
      </c>
      <c r="H2517" s="16">
        <f>ABS(Solieusap!H2517)</f>
        <v>0.001618804571</v>
      </c>
      <c r="I2517" s="16">
        <f>ABS(Solieusap!I2517)</f>
        <v>9.997692762</v>
      </c>
      <c r="J2517" s="16">
        <f>ABS(Solieusap!J2517)</f>
        <v>6.712091714</v>
      </c>
      <c r="K2517" s="16">
        <f t="shared" si="1"/>
        <v>27.33666571</v>
      </c>
      <c r="L2517" s="16">
        <f t="shared" si="2"/>
        <v>9.997692762</v>
      </c>
    </row>
    <row r="2518" ht="16.5" customHeight="1">
      <c r="A2518" s="15" t="str">
        <f>Solieusap!A2518</f>
        <v>Cũ</v>
      </c>
      <c r="B2518" s="15">
        <f>Solieusap!B2518</f>
        <v>0</v>
      </c>
      <c r="C2518" s="15" t="str">
        <f>Solieusap!C2518</f>
        <v>COMB6</v>
      </c>
      <c r="D2518" s="15" t="str">
        <f>Solieusap!D2518</f>
        <v>Combination</v>
      </c>
      <c r="E2518" s="16">
        <f>ABS(Solieusap!E2518)</f>
        <v>27.35352208</v>
      </c>
      <c r="F2518" s="16">
        <f>ABS(Solieusap!F2518)</f>
        <v>2.652568615</v>
      </c>
      <c r="G2518" s="16">
        <f>ABS(Solieusap!G2518)</f>
        <v>3.563979654</v>
      </c>
      <c r="H2518" s="16">
        <f>ABS(Solieusap!H2518)</f>
        <v>0.001619859675</v>
      </c>
      <c r="I2518" s="16">
        <f>ABS(Solieusap!I2518)</f>
        <v>10.00448755</v>
      </c>
      <c r="J2518" s="16">
        <f>ABS(Solieusap!J2518)</f>
        <v>6.716638766</v>
      </c>
      <c r="K2518" s="16">
        <f t="shared" si="1"/>
        <v>27.35352208</v>
      </c>
      <c r="L2518" s="16">
        <f t="shared" si="2"/>
        <v>10.00448755</v>
      </c>
    </row>
    <row r="2519" ht="16.5" customHeight="1">
      <c r="A2519" s="15" t="str">
        <f>Solieusap!A2519</f>
        <v>Cũ</v>
      </c>
      <c r="B2519" s="15">
        <f>Solieusap!B2519</f>
        <v>1.75</v>
      </c>
      <c r="C2519" s="15" t="str">
        <f>Solieusap!C2519</f>
        <v>COMB6</v>
      </c>
      <c r="D2519" s="15" t="str">
        <f>Solieusap!D2519</f>
        <v>Combination</v>
      </c>
      <c r="E2519" s="16">
        <f>ABS(Solieusap!E2519)</f>
        <v>27.37037844</v>
      </c>
      <c r="F2519" s="16">
        <f>ABS(Solieusap!F2519)</f>
        <v>2.654279134</v>
      </c>
      <c r="G2519" s="16">
        <f>ABS(Solieusap!G2519)</f>
        <v>3.566244069</v>
      </c>
      <c r="H2519" s="16">
        <f>ABS(Solieusap!H2519)</f>
        <v>0.001620914779</v>
      </c>
      <c r="I2519" s="16">
        <f>ABS(Solieusap!I2519)</f>
        <v>10.01128235</v>
      </c>
      <c r="J2519" s="16">
        <f>ABS(Solieusap!J2519)</f>
        <v>6.721185818</v>
      </c>
      <c r="K2519" s="16">
        <f t="shared" si="1"/>
        <v>27.37037844</v>
      </c>
      <c r="L2519" s="16">
        <f t="shared" si="2"/>
        <v>10.01128235</v>
      </c>
    </row>
    <row r="2520" ht="16.5" customHeight="1">
      <c r="A2520" s="15" t="str">
        <f>Solieusap!A2520</f>
        <v>Cũ</v>
      </c>
      <c r="B2520" s="15">
        <f>Solieusap!B2520</f>
        <v>3.5</v>
      </c>
      <c r="C2520" s="15" t="str">
        <f>Solieusap!C2520</f>
        <v>COMB6</v>
      </c>
      <c r="D2520" s="15" t="str">
        <f>Solieusap!D2520</f>
        <v>Combination</v>
      </c>
      <c r="E2520" s="16">
        <f>ABS(Solieusap!E2520)</f>
        <v>27.38723481</v>
      </c>
      <c r="F2520" s="16">
        <f>ABS(Solieusap!F2520)</f>
        <v>2.655989654</v>
      </c>
      <c r="G2520" s="16">
        <f>ABS(Solieusap!G2520)</f>
        <v>3.568508485</v>
      </c>
      <c r="H2520" s="16">
        <f>ABS(Solieusap!H2520)</f>
        <v>0.001621969883</v>
      </c>
      <c r="I2520" s="16">
        <f>ABS(Solieusap!I2520)</f>
        <v>10.01807714</v>
      </c>
      <c r="J2520" s="16">
        <f>ABS(Solieusap!J2520)</f>
        <v>6.72573287</v>
      </c>
      <c r="K2520" s="16">
        <f t="shared" si="1"/>
        <v>27.38723481</v>
      </c>
      <c r="L2520" s="16">
        <f t="shared" si="2"/>
        <v>10.01807714</v>
      </c>
    </row>
    <row r="2521" ht="16.5" customHeight="1">
      <c r="A2521" s="15" t="str">
        <f>Solieusap!A2521</f>
        <v>Cũ</v>
      </c>
      <c r="B2521" s="15">
        <f>Solieusap!B2521</f>
        <v>0</v>
      </c>
      <c r="C2521" s="15" t="str">
        <f>Solieusap!C2521</f>
        <v>COMB7</v>
      </c>
      <c r="D2521" s="15" t="str">
        <f>Solieusap!D2521</f>
        <v>Combination</v>
      </c>
      <c r="E2521" s="16">
        <f>ABS(Solieusap!E2521)</f>
        <v>27.40409117</v>
      </c>
      <c r="F2521" s="16">
        <f>ABS(Solieusap!F2521)</f>
        <v>2.657700173</v>
      </c>
      <c r="G2521" s="16">
        <f>ABS(Solieusap!G2521)</f>
        <v>3.5707729</v>
      </c>
      <c r="H2521" s="16">
        <f>ABS(Solieusap!H2521)</f>
        <v>0.001623024987</v>
      </c>
      <c r="I2521" s="16">
        <f>ABS(Solieusap!I2521)</f>
        <v>10.02487193</v>
      </c>
      <c r="J2521" s="16">
        <f>ABS(Solieusap!J2521)</f>
        <v>6.730279922</v>
      </c>
      <c r="K2521" s="16">
        <f t="shared" si="1"/>
        <v>27.40409117</v>
      </c>
      <c r="L2521" s="16">
        <f t="shared" si="2"/>
        <v>10.02487193</v>
      </c>
    </row>
    <row r="2522" ht="16.5" customHeight="1">
      <c r="A2522" s="15" t="str">
        <f>Solieusap!A2522</f>
        <v>Cũ</v>
      </c>
      <c r="B2522" s="15">
        <f>Solieusap!B2522</f>
        <v>1.75</v>
      </c>
      <c r="C2522" s="15" t="str">
        <f>Solieusap!C2522</f>
        <v>COMB7</v>
      </c>
      <c r="D2522" s="15" t="str">
        <f>Solieusap!D2522</f>
        <v>Combination</v>
      </c>
      <c r="E2522" s="16">
        <f>ABS(Solieusap!E2522)</f>
        <v>27.42094753</v>
      </c>
      <c r="F2522" s="16">
        <f>ABS(Solieusap!F2522)</f>
        <v>2.659410693</v>
      </c>
      <c r="G2522" s="16">
        <f>ABS(Solieusap!G2522)</f>
        <v>3.573037316</v>
      </c>
      <c r="H2522" s="16">
        <f>ABS(Solieusap!H2522)</f>
        <v>0.001624080091</v>
      </c>
      <c r="I2522" s="16">
        <f>ABS(Solieusap!I2522)</f>
        <v>10.03166672</v>
      </c>
      <c r="J2522" s="16">
        <f>ABS(Solieusap!J2522)</f>
        <v>6.734826974</v>
      </c>
      <c r="K2522" s="16">
        <f t="shared" si="1"/>
        <v>27.42094753</v>
      </c>
      <c r="L2522" s="16">
        <f t="shared" si="2"/>
        <v>10.03166672</v>
      </c>
    </row>
    <row r="2523" ht="16.5" customHeight="1">
      <c r="A2523" s="15" t="str">
        <f>Solieusap!A2523</f>
        <v>Cũ</v>
      </c>
      <c r="B2523" s="15">
        <f>Solieusap!B2523</f>
        <v>3.5</v>
      </c>
      <c r="C2523" s="15" t="str">
        <f>Solieusap!C2523</f>
        <v>COMB7</v>
      </c>
      <c r="D2523" s="15" t="str">
        <f>Solieusap!D2523</f>
        <v>Combination</v>
      </c>
      <c r="E2523" s="16">
        <f>ABS(Solieusap!E2523)</f>
        <v>27.4378039</v>
      </c>
      <c r="F2523" s="16">
        <f>ABS(Solieusap!F2523)</f>
        <v>2.661121212</v>
      </c>
      <c r="G2523" s="16">
        <f>ABS(Solieusap!G2523)</f>
        <v>3.575301732</v>
      </c>
      <c r="H2523" s="16">
        <f>ABS(Solieusap!H2523)</f>
        <v>0.001625135195</v>
      </c>
      <c r="I2523" s="16">
        <f>ABS(Solieusap!I2523)</f>
        <v>10.03846152</v>
      </c>
      <c r="J2523" s="16">
        <f>ABS(Solieusap!J2523)</f>
        <v>6.739374026</v>
      </c>
      <c r="K2523" s="16">
        <f t="shared" si="1"/>
        <v>27.4378039</v>
      </c>
      <c r="L2523" s="16">
        <f t="shared" si="2"/>
        <v>10.03846152</v>
      </c>
    </row>
    <row r="2524" ht="16.5" customHeight="1">
      <c r="A2524" s="15" t="str">
        <f>Solieusap!A2524</f>
        <v>Cũ</v>
      </c>
      <c r="B2524" s="15">
        <f>Solieusap!B2524</f>
        <v>0</v>
      </c>
      <c r="C2524" s="15" t="str">
        <f>Solieusap!C2524</f>
        <v>COMB1</v>
      </c>
      <c r="D2524" s="15" t="str">
        <f>Solieusap!D2524</f>
        <v>Combination</v>
      </c>
      <c r="E2524" s="16">
        <f>ABS(Solieusap!E2524)</f>
        <v>27.45466026</v>
      </c>
      <c r="F2524" s="16">
        <f>ABS(Solieusap!F2524)</f>
        <v>2.662831732</v>
      </c>
      <c r="G2524" s="16">
        <f>ABS(Solieusap!G2524)</f>
        <v>3.577566147</v>
      </c>
      <c r="H2524" s="16">
        <f>ABS(Solieusap!H2524)</f>
        <v>0.001626190299</v>
      </c>
      <c r="I2524" s="16">
        <f>ABS(Solieusap!I2524)</f>
        <v>10.04525631</v>
      </c>
      <c r="J2524" s="16">
        <f>ABS(Solieusap!J2524)</f>
        <v>6.743921078</v>
      </c>
      <c r="K2524" s="16">
        <f t="shared" si="1"/>
        <v>27.45466026</v>
      </c>
      <c r="L2524" s="16">
        <f t="shared" si="2"/>
        <v>10.04525631</v>
      </c>
    </row>
    <row r="2525" ht="16.5" customHeight="1">
      <c r="A2525" s="15" t="str">
        <f>Solieusap!A2525</f>
        <v>Cũ</v>
      </c>
      <c r="B2525" s="15">
        <f>Solieusap!B2525</f>
        <v>1.75</v>
      </c>
      <c r="C2525" s="15" t="str">
        <f>Solieusap!C2525</f>
        <v>COMB1</v>
      </c>
      <c r="D2525" s="15" t="str">
        <f>Solieusap!D2525</f>
        <v>Combination</v>
      </c>
      <c r="E2525" s="16">
        <f>ABS(Solieusap!E2525)</f>
        <v>27.47151662</v>
      </c>
      <c r="F2525" s="16">
        <f>ABS(Solieusap!F2525)</f>
        <v>2.664542251</v>
      </c>
      <c r="G2525" s="16">
        <f>ABS(Solieusap!G2525)</f>
        <v>3.579830563</v>
      </c>
      <c r="H2525" s="16">
        <f>ABS(Solieusap!H2525)</f>
        <v>0.001627245403</v>
      </c>
      <c r="I2525" s="16">
        <f>ABS(Solieusap!I2525)</f>
        <v>10.0520511</v>
      </c>
      <c r="J2525" s="16">
        <f>ABS(Solieusap!J2525)</f>
        <v>6.74846813</v>
      </c>
      <c r="K2525" s="16">
        <f t="shared" si="1"/>
        <v>27.47151662</v>
      </c>
      <c r="L2525" s="16">
        <f t="shared" si="2"/>
        <v>10.0520511</v>
      </c>
    </row>
    <row r="2526" ht="16.5" customHeight="1">
      <c r="A2526" s="15" t="str">
        <f>Solieusap!A2526</f>
        <v>Cũ</v>
      </c>
      <c r="B2526" s="15">
        <f>Solieusap!B2526</f>
        <v>3.5</v>
      </c>
      <c r="C2526" s="15" t="str">
        <f>Solieusap!C2526</f>
        <v>COMB1</v>
      </c>
      <c r="D2526" s="15" t="str">
        <f>Solieusap!D2526</f>
        <v>Combination</v>
      </c>
      <c r="E2526" s="16">
        <f>ABS(Solieusap!E2526)</f>
        <v>27.48837299</v>
      </c>
      <c r="F2526" s="16">
        <f>ABS(Solieusap!F2526)</f>
        <v>2.666252771</v>
      </c>
      <c r="G2526" s="16">
        <f>ABS(Solieusap!G2526)</f>
        <v>3.582094978</v>
      </c>
      <c r="H2526" s="16">
        <f>ABS(Solieusap!H2526)</f>
        <v>0.001628300506</v>
      </c>
      <c r="I2526" s="16">
        <f>ABS(Solieusap!I2526)</f>
        <v>10.05884589</v>
      </c>
      <c r="J2526" s="16">
        <f>ABS(Solieusap!J2526)</f>
        <v>6.753015182</v>
      </c>
      <c r="K2526" s="16">
        <f t="shared" si="1"/>
        <v>27.48837299</v>
      </c>
      <c r="L2526" s="16">
        <f t="shared" si="2"/>
        <v>10.05884589</v>
      </c>
    </row>
    <row r="2527" ht="16.5" customHeight="1">
      <c r="A2527" s="15" t="str">
        <f>Solieusap!A2527</f>
        <v>Cũ</v>
      </c>
      <c r="B2527" s="15">
        <f>Solieusap!B2527</f>
        <v>0</v>
      </c>
      <c r="C2527" s="15" t="str">
        <f>Solieusap!C2527</f>
        <v>COMB2</v>
      </c>
      <c r="D2527" s="15" t="str">
        <f>Solieusap!D2527</f>
        <v>Combination</v>
      </c>
      <c r="E2527" s="16">
        <f>ABS(Solieusap!E2527)</f>
        <v>27.50522935</v>
      </c>
      <c r="F2527" s="16">
        <f>ABS(Solieusap!F2527)</f>
        <v>2.66796329</v>
      </c>
      <c r="G2527" s="16">
        <f>ABS(Solieusap!G2527)</f>
        <v>3.584359394</v>
      </c>
      <c r="H2527" s="16">
        <f>ABS(Solieusap!H2527)</f>
        <v>0.00162935561</v>
      </c>
      <c r="I2527" s="16">
        <f>ABS(Solieusap!I2527)</f>
        <v>10.06564068</v>
      </c>
      <c r="J2527" s="16">
        <f>ABS(Solieusap!J2527)</f>
        <v>6.757562234</v>
      </c>
      <c r="K2527" s="16">
        <f t="shared" si="1"/>
        <v>27.50522935</v>
      </c>
      <c r="L2527" s="16">
        <f t="shared" si="2"/>
        <v>10.06564068</v>
      </c>
    </row>
    <row r="2528" ht="16.5" customHeight="1">
      <c r="A2528" s="15" t="str">
        <f>Solieusap!A2528</f>
        <v>Cũ</v>
      </c>
      <c r="B2528" s="15">
        <f>Solieusap!B2528</f>
        <v>1.75</v>
      </c>
      <c r="C2528" s="15" t="str">
        <f>Solieusap!C2528</f>
        <v>COMB2</v>
      </c>
      <c r="D2528" s="15" t="str">
        <f>Solieusap!D2528</f>
        <v>Combination</v>
      </c>
      <c r="E2528" s="16">
        <f>ABS(Solieusap!E2528)</f>
        <v>27.52208571</v>
      </c>
      <c r="F2528" s="16">
        <f>ABS(Solieusap!F2528)</f>
        <v>2.66967381</v>
      </c>
      <c r="G2528" s="16">
        <f>ABS(Solieusap!G2528)</f>
        <v>3.58662381</v>
      </c>
      <c r="H2528" s="16">
        <f>ABS(Solieusap!H2528)</f>
        <v>0.001630410714</v>
      </c>
      <c r="I2528" s="16">
        <f>ABS(Solieusap!I2528)</f>
        <v>10.07243548</v>
      </c>
      <c r="J2528" s="16">
        <f>ABS(Solieusap!J2528)</f>
        <v>6.762109286</v>
      </c>
      <c r="K2528" s="16">
        <f t="shared" si="1"/>
        <v>27.52208571</v>
      </c>
      <c r="L2528" s="16">
        <f t="shared" si="2"/>
        <v>10.07243548</v>
      </c>
    </row>
    <row r="2529" ht="16.5" customHeight="1">
      <c r="A2529" s="15" t="str">
        <f>Solieusap!A2529</f>
        <v>Cũ</v>
      </c>
      <c r="B2529" s="15">
        <f>Solieusap!B2529</f>
        <v>3.5</v>
      </c>
      <c r="C2529" s="15" t="str">
        <f>Solieusap!C2529</f>
        <v>COMB2</v>
      </c>
      <c r="D2529" s="15" t="str">
        <f>Solieusap!D2529</f>
        <v>Combination</v>
      </c>
      <c r="E2529" s="16">
        <f>ABS(Solieusap!E2529)</f>
        <v>27.53894208</v>
      </c>
      <c r="F2529" s="16">
        <f>ABS(Solieusap!F2529)</f>
        <v>2.671384329</v>
      </c>
      <c r="G2529" s="16">
        <f>ABS(Solieusap!G2529)</f>
        <v>3.588888225</v>
      </c>
      <c r="H2529" s="16">
        <f>ABS(Solieusap!H2529)</f>
        <v>0.001631465818</v>
      </c>
      <c r="I2529" s="16">
        <f>ABS(Solieusap!I2529)</f>
        <v>10.07923027</v>
      </c>
      <c r="J2529" s="16">
        <f>ABS(Solieusap!J2529)</f>
        <v>6.766656338</v>
      </c>
      <c r="K2529" s="16">
        <f t="shared" si="1"/>
        <v>27.53894208</v>
      </c>
      <c r="L2529" s="16">
        <f t="shared" si="2"/>
        <v>10.07923027</v>
      </c>
    </row>
    <row r="2530" ht="16.5" customHeight="1">
      <c r="A2530" s="15" t="str">
        <f>Solieusap!A2530</f>
        <v>Cũ</v>
      </c>
      <c r="B2530" s="15">
        <f>Solieusap!B2530</f>
        <v>0</v>
      </c>
      <c r="C2530" s="15" t="str">
        <f>Solieusap!C2530</f>
        <v>COMB3</v>
      </c>
      <c r="D2530" s="15" t="str">
        <f>Solieusap!D2530</f>
        <v>Combination</v>
      </c>
      <c r="E2530" s="16">
        <f>ABS(Solieusap!E2530)</f>
        <v>27.55579844</v>
      </c>
      <c r="F2530" s="16">
        <f>ABS(Solieusap!F2530)</f>
        <v>2.673094848</v>
      </c>
      <c r="G2530" s="16">
        <f>ABS(Solieusap!G2530)</f>
        <v>3.591152641</v>
      </c>
      <c r="H2530" s="16">
        <f>ABS(Solieusap!H2530)</f>
        <v>0.001632520922</v>
      </c>
      <c r="I2530" s="16">
        <f>ABS(Solieusap!I2530)</f>
        <v>10.08602506</v>
      </c>
      <c r="J2530" s="16">
        <f>ABS(Solieusap!J2530)</f>
        <v>6.77120339</v>
      </c>
      <c r="K2530" s="16">
        <f t="shared" si="1"/>
        <v>27.55579844</v>
      </c>
      <c r="L2530" s="16">
        <f t="shared" si="2"/>
        <v>10.08602506</v>
      </c>
    </row>
    <row r="2531" ht="16.5" customHeight="1">
      <c r="A2531" s="15" t="str">
        <f>Solieusap!A2531</f>
        <v>Cũ</v>
      </c>
      <c r="B2531" s="15">
        <f>Solieusap!B2531</f>
        <v>1.75</v>
      </c>
      <c r="C2531" s="15" t="str">
        <f>Solieusap!C2531</f>
        <v>COMB3</v>
      </c>
      <c r="D2531" s="15" t="str">
        <f>Solieusap!D2531</f>
        <v>Combination</v>
      </c>
      <c r="E2531" s="16">
        <f>ABS(Solieusap!E2531)</f>
        <v>27.57265481</v>
      </c>
      <c r="F2531" s="16">
        <f>ABS(Solieusap!F2531)</f>
        <v>2.674805368</v>
      </c>
      <c r="G2531" s="16">
        <f>ABS(Solieusap!G2531)</f>
        <v>3.593417056</v>
      </c>
      <c r="H2531" s="16">
        <f>ABS(Solieusap!H2531)</f>
        <v>0.001633576026</v>
      </c>
      <c r="I2531" s="16">
        <f>ABS(Solieusap!I2531)</f>
        <v>10.09281985</v>
      </c>
      <c r="J2531" s="16">
        <f>ABS(Solieusap!J2531)</f>
        <v>6.775750442</v>
      </c>
      <c r="K2531" s="16">
        <f t="shared" si="1"/>
        <v>27.57265481</v>
      </c>
      <c r="L2531" s="16">
        <f t="shared" si="2"/>
        <v>10.09281985</v>
      </c>
    </row>
    <row r="2532" ht="16.5" customHeight="1">
      <c r="A2532" s="15" t="str">
        <f>Solieusap!A2532</f>
        <v>Cũ</v>
      </c>
      <c r="B2532" s="15">
        <f>Solieusap!B2532</f>
        <v>3.5</v>
      </c>
      <c r="C2532" s="15" t="str">
        <f>Solieusap!C2532</f>
        <v>COMB3</v>
      </c>
      <c r="D2532" s="15" t="str">
        <f>Solieusap!D2532</f>
        <v>Combination</v>
      </c>
      <c r="E2532" s="16">
        <f>ABS(Solieusap!E2532)</f>
        <v>27.58951117</v>
      </c>
      <c r="F2532" s="16">
        <f>ABS(Solieusap!F2532)</f>
        <v>2.676515887</v>
      </c>
      <c r="G2532" s="16">
        <f>ABS(Solieusap!G2532)</f>
        <v>3.595681472</v>
      </c>
      <c r="H2532" s="16">
        <f>ABS(Solieusap!H2532)</f>
        <v>0.00163463113</v>
      </c>
      <c r="I2532" s="16">
        <f>ABS(Solieusap!I2532)</f>
        <v>10.09961465</v>
      </c>
      <c r="J2532" s="16">
        <f>ABS(Solieusap!J2532)</f>
        <v>6.780297494</v>
      </c>
      <c r="K2532" s="16">
        <f t="shared" si="1"/>
        <v>27.58951117</v>
      </c>
      <c r="L2532" s="16">
        <f t="shared" si="2"/>
        <v>10.09961465</v>
      </c>
    </row>
    <row r="2533" ht="16.5" customHeight="1">
      <c r="A2533" s="15" t="str">
        <f>Solieusap!A2533</f>
        <v>Cũ</v>
      </c>
      <c r="B2533" s="15">
        <f>Solieusap!B2533</f>
        <v>0</v>
      </c>
      <c r="C2533" s="15" t="str">
        <f>Solieusap!C2533</f>
        <v>COMB4</v>
      </c>
      <c r="D2533" s="15" t="str">
        <f>Solieusap!D2533</f>
        <v>Combination</v>
      </c>
      <c r="E2533" s="16">
        <f>ABS(Solieusap!E2533)</f>
        <v>27.60636753</v>
      </c>
      <c r="F2533" s="16">
        <f>ABS(Solieusap!F2533)</f>
        <v>2.678226407</v>
      </c>
      <c r="G2533" s="16">
        <f>ABS(Solieusap!G2533)</f>
        <v>3.597945887</v>
      </c>
      <c r="H2533" s="16">
        <f>ABS(Solieusap!H2533)</f>
        <v>0.001635686234</v>
      </c>
      <c r="I2533" s="16">
        <f>ABS(Solieusap!I2533)</f>
        <v>10.10640944</v>
      </c>
      <c r="J2533" s="16">
        <f>ABS(Solieusap!J2533)</f>
        <v>6.784844545</v>
      </c>
      <c r="K2533" s="16">
        <f t="shared" si="1"/>
        <v>27.60636753</v>
      </c>
      <c r="L2533" s="16">
        <f t="shared" si="2"/>
        <v>10.10640944</v>
      </c>
    </row>
    <row r="2534" ht="16.5" customHeight="1">
      <c r="A2534" s="15" t="str">
        <f>Solieusap!A2534</f>
        <v>Cũ</v>
      </c>
      <c r="B2534" s="15">
        <f>Solieusap!B2534</f>
        <v>1.75</v>
      </c>
      <c r="C2534" s="15" t="str">
        <f>Solieusap!C2534</f>
        <v>COMB4</v>
      </c>
      <c r="D2534" s="15" t="str">
        <f>Solieusap!D2534</f>
        <v>Combination</v>
      </c>
      <c r="E2534" s="16">
        <f>ABS(Solieusap!E2534)</f>
        <v>27.6232239</v>
      </c>
      <c r="F2534" s="16">
        <f>ABS(Solieusap!F2534)</f>
        <v>2.679936926</v>
      </c>
      <c r="G2534" s="16">
        <f>ABS(Solieusap!G2534)</f>
        <v>3.600210303</v>
      </c>
      <c r="H2534" s="16">
        <f>ABS(Solieusap!H2534)</f>
        <v>0.001636741338</v>
      </c>
      <c r="I2534" s="16">
        <f>ABS(Solieusap!I2534)</f>
        <v>10.11320423</v>
      </c>
      <c r="J2534" s="16">
        <f>ABS(Solieusap!J2534)</f>
        <v>6.789391597</v>
      </c>
      <c r="K2534" s="16">
        <f t="shared" si="1"/>
        <v>27.6232239</v>
      </c>
      <c r="L2534" s="16">
        <f t="shared" si="2"/>
        <v>10.11320423</v>
      </c>
    </row>
    <row r="2535" ht="16.5" customHeight="1">
      <c r="A2535" s="15" t="str">
        <f>Solieusap!A2535</f>
        <v>Cũ</v>
      </c>
      <c r="B2535" s="15">
        <f>Solieusap!B2535</f>
        <v>3.5</v>
      </c>
      <c r="C2535" s="15" t="str">
        <f>Solieusap!C2535</f>
        <v>COMB4</v>
      </c>
      <c r="D2535" s="15" t="str">
        <f>Solieusap!D2535</f>
        <v>Combination</v>
      </c>
      <c r="E2535" s="16">
        <f>ABS(Solieusap!E2535)</f>
        <v>27.64008026</v>
      </c>
      <c r="F2535" s="16">
        <f>ABS(Solieusap!F2535)</f>
        <v>2.681647446</v>
      </c>
      <c r="G2535" s="16">
        <f>ABS(Solieusap!G2535)</f>
        <v>3.602474719</v>
      </c>
      <c r="H2535" s="16">
        <f>ABS(Solieusap!H2535)</f>
        <v>0.001637796442</v>
      </c>
      <c r="I2535" s="16">
        <f>ABS(Solieusap!I2535)</f>
        <v>10.11999902</v>
      </c>
      <c r="J2535" s="16">
        <f>ABS(Solieusap!J2535)</f>
        <v>6.793938649</v>
      </c>
      <c r="K2535" s="16">
        <f t="shared" si="1"/>
        <v>27.64008026</v>
      </c>
      <c r="L2535" s="16">
        <f t="shared" si="2"/>
        <v>10.11999902</v>
      </c>
    </row>
    <row r="2536" ht="16.5" customHeight="1">
      <c r="A2536" s="15" t="str">
        <f>Solieusap!A2536</f>
        <v>Cũ</v>
      </c>
      <c r="B2536" s="15">
        <f>Solieusap!B2536</f>
        <v>0</v>
      </c>
      <c r="C2536" s="15" t="str">
        <f>Solieusap!C2536</f>
        <v>COMB5</v>
      </c>
      <c r="D2536" s="15" t="str">
        <f>Solieusap!D2536</f>
        <v>Combination</v>
      </c>
      <c r="E2536" s="16">
        <f>ABS(Solieusap!E2536)</f>
        <v>27.65693662</v>
      </c>
      <c r="F2536" s="16">
        <f>ABS(Solieusap!F2536)</f>
        <v>2.683357965</v>
      </c>
      <c r="G2536" s="16">
        <f>ABS(Solieusap!G2536)</f>
        <v>3.604739134</v>
      </c>
      <c r="H2536" s="16">
        <f>ABS(Solieusap!H2536)</f>
        <v>0.001638851545</v>
      </c>
      <c r="I2536" s="16">
        <f>ABS(Solieusap!I2536)</f>
        <v>10.12679381</v>
      </c>
      <c r="J2536" s="16">
        <f>ABS(Solieusap!J2536)</f>
        <v>6.798485701</v>
      </c>
      <c r="K2536" s="16">
        <f t="shared" si="1"/>
        <v>27.65693662</v>
      </c>
      <c r="L2536" s="16">
        <f t="shared" si="2"/>
        <v>10.12679381</v>
      </c>
    </row>
    <row r="2537" ht="16.5" customHeight="1">
      <c r="A2537" s="15" t="str">
        <f>Solieusap!A2537</f>
        <v>Cũ</v>
      </c>
      <c r="B2537" s="15">
        <f>Solieusap!B2537</f>
        <v>1.75</v>
      </c>
      <c r="C2537" s="15" t="str">
        <f>Solieusap!C2537</f>
        <v>COMB5</v>
      </c>
      <c r="D2537" s="15" t="str">
        <f>Solieusap!D2537</f>
        <v>Combination</v>
      </c>
      <c r="E2537" s="16">
        <f>ABS(Solieusap!E2537)</f>
        <v>27.67379299</v>
      </c>
      <c r="F2537" s="16">
        <f>ABS(Solieusap!F2537)</f>
        <v>2.685068485</v>
      </c>
      <c r="G2537" s="16">
        <f>ABS(Solieusap!G2537)</f>
        <v>3.60700355</v>
      </c>
      <c r="H2537" s="16">
        <f>ABS(Solieusap!H2537)</f>
        <v>0.001639906649</v>
      </c>
      <c r="I2537" s="16">
        <f>ABS(Solieusap!I2537)</f>
        <v>10.13358861</v>
      </c>
      <c r="J2537" s="16">
        <f>ABS(Solieusap!J2537)</f>
        <v>6.803032753</v>
      </c>
      <c r="K2537" s="16">
        <f t="shared" si="1"/>
        <v>27.67379299</v>
      </c>
      <c r="L2537" s="16">
        <f t="shared" si="2"/>
        <v>10.13358861</v>
      </c>
    </row>
    <row r="2538" ht="16.5" customHeight="1">
      <c r="A2538" s="15" t="str">
        <f>Solieusap!A2538</f>
        <v>Cũ</v>
      </c>
      <c r="B2538" s="15">
        <f>Solieusap!B2538</f>
        <v>3.5</v>
      </c>
      <c r="C2538" s="15" t="str">
        <f>Solieusap!C2538</f>
        <v>COMB5</v>
      </c>
      <c r="D2538" s="15" t="str">
        <f>Solieusap!D2538</f>
        <v>Combination</v>
      </c>
      <c r="E2538" s="16">
        <f>ABS(Solieusap!E2538)</f>
        <v>27.69064935</v>
      </c>
      <c r="F2538" s="16">
        <f>ABS(Solieusap!F2538)</f>
        <v>2.686779004</v>
      </c>
      <c r="G2538" s="16">
        <f>ABS(Solieusap!G2538)</f>
        <v>3.609267965</v>
      </c>
      <c r="H2538" s="16">
        <f>ABS(Solieusap!H2538)</f>
        <v>0.001640961753</v>
      </c>
      <c r="I2538" s="16">
        <f>ABS(Solieusap!I2538)</f>
        <v>10.1403834</v>
      </c>
      <c r="J2538" s="16">
        <f>ABS(Solieusap!J2538)</f>
        <v>6.807579805</v>
      </c>
      <c r="K2538" s="16">
        <f t="shared" si="1"/>
        <v>27.69064935</v>
      </c>
      <c r="L2538" s="16">
        <f t="shared" si="2"/>
        <v>10.1403834</v>
      </c>
    </row>
    <row r="2539" ht="16.5" customHeight="1">
      <c r="A2539" s="15" t="str">
        <f>Solieusap!A2539</f>
        <v>Cũ</v>
      </c>
      <c r="B2539" s="15">
        <f>Solieusap!B2539</f>
        <v>0</v>
      </c>
      <c r="C2539" s="15" t="str">
        <f>Solieusap!C2539</f>
        <v>COMB6</v>
      </c>
      <c r="D2539" s="15" t="str">
        <f>Solieusap!D2539</f>
        <v>Combination</v>
      </c>
      <c r="E2539" s="16">
        <f>ABS(Solieusap!E2539)</f>
        <v>27.70750571</v>
      </c>
      <c r="F2539" s="16">
        <f>ABS(Solieusap!F2539)</f>
        <v>2.688489524</v>
      </c>
      <c r="G2539" s="16">
        <f>ABS(Solieusap!G2539)</f>
        <v>3.611532381</v>
      </c>
      <c r="H2539" s="16">
        <f>ABS(Solieusap!H2539)</f>
        <v>0.001642016857</v>
      </c>
      <c r="I2539" s="16">
        <f>ABS(Solieusap!I2539)</f>
        <v>10.14717819</v>
      </c>
      <c r="J2539" s="16">
        <f>ABS(Solieusap!J2539)</f>
        <v>6.812126857</v>
      </c>
      <c r="K2539" s="16">
        <f t="shared" si="1"/>
        <v>27.70750571</v>
      </c>
      <c r="L2539" s="16">
        <f t="shared" si="2"/>
        <v>10.14717819</v>
      </c>
    </row>
    <row r="2540" ht="16.5" customHeight="1">
      <c r="A2540" s="15" t="str">
        <f>Solieusap!A2540</f>
        <v>Cũ</v>
      </c>
      <c r="B2540" s="15">
        <f>Solieusap!B2540</f>
        <v>1.75</v>
      </c>
      <c r="C2540" s="15" t="str">
        <f>Solieusap!C2540</f>
        <v>COMB6</v>
      </c>
      <c r="D2540" s="15" t="str">
        <f>Solieusap!D2540</f>
        <v>Combination</v>
      </c>
      <c r="E2540" s="16">
        <f>ABS(Solieusap!E2540)</f>
        <v>27.72436208</v>
      </c>
      <c r="F2540" s="16">
        <f>ABS(Solieusap!F2540)</f>
        <v>2.690200043</v>
      </c>
      <c r="G2540" s="16">
        <f>ABS(Solieusap!G2540)</f>
        <v>3.613796797</v>
      </c>
      <c r="H2540" s="16">
        <f>ABS(Solieusap!H2540)</f>
        <v>0.001643071961</v>
      </c>
      <c r="I2540" s="16">
        <f>ABS(Solieusap!I2540)</f>
        <v>10.15397298</v>
      </c>
      <c r="J2540" s="16">
        <f>ABS(Solieusap!J2540)</f>
        <v>6.816673909</v>
      </c>
      <c r="K2540" s="16">
        <f t="shared" si="1"/>
        <v>27.72436208</v>
      </c>
      <c r="L2540" s="16">
        <f t="shared" si="2"/>
        <v>10.15397298</v>
      </c>
    </row>
    <row r="2541" ht="16.5" customHeight="1">
      <c r="A2541" s="15" t="str">
        <f>Solieusap!A2541</f>
        <v>Cũ</v>
      </c>
      <c r="B2541" s="15">
        <f>Solieusap!B2541</f>
        <v>3.5</v>
      </c>
      <c r="C2541" s="15" t="str">
        <f>Solieusap!C2541</f>
        <v>COMB6</v>
      </c>
      <c r="D2541" s="15" t="str">
        <f>Solieusap!D2541</f>
        <v>Combination</v>
      </c>
      <c r="E2541" s="16">
        <f>ABS(Solieusap!E2541)</f>
        <v>27.74121844</v>
      </c>
      <c r="F2541" s="16">
        <f>ABS(Solieusap!F2541)</f>
        <v>2.691910563</v>
      </c>
      <c r="G2541" s="16">
        <f>ABS(Solieusap!G2541)</f>
        <v>3.616061212</v>
      </c>
      <c r="H2541" s="16">
        <f>ABS(Solieusap!H2541)</f>
        <v>0.001644127065</v>
      </c>
      <c r="I2541" s="16">
        <f>ABS(Solieusap!I2541)</f>
        <v>10.16076777</v>
      </c>
      <c r="J2541" s="16">
        <f>ABS(Solieusap!J2541)</f>
        <v>6.821220961</v>
      </c>
      <c r="K2541" s="16">
        <f t="shared" si="1"/>
        <v>27.74121844</v>
      </c>
      <c r="L2541" s="16">
        <f t="shared" si="2"/>
        <v>10.16076777</v>
      </c>
    </row>
    <row r="2542" ht="16.5" customHeight="1">
      <c r="A2542" s="15" t="str">
        <f>Solieusap!A2542</f>
        <v>Cũ</v>
      </c>
      <c r="B2542" s="15">
        <f>Solieusap!B2542</f>
        <v>0</v>
      </c>
      <c r="C2542" s="15" t="str">
        <f>Solieusap!C2542</f>
        <v>COMB7</v>
      </c>
      <c r="D2542" s="15" t="str">
        <f>Solieusap!D2542</f>
        <v>Combination</v>
      </c>
      <c r="E2542" s="16">
        <f>ABS(Solieusap!E2542)</f>
        <v>27.75807481</v>
      </c>
      <c r="F2542" s="16">
        <f>ABS(Solieusap!F2542)</f>
        <v>2.693621082</v>
      </c>
      <c r="G2542" s="16">
        <f>ABS(Solieusap!G2542)</f>
        <v>3.618325628</v>
      </c>
      <c r="H2542" s="16">
        <f>ABS(Solieusap!H2542)</f>
        <v>0.001645182169</v>
      </c>
      <c r="I2542" s="16">
        <f>ABS(Solieusap!I2542)</f>
        <v>10.16756257</v>
      </c>
      <c r="J2542" s="16">
        <f>ABS(Solieusap!J2542)</f>
        <v>6.825768013</v>
      </c>
      <c r="K2542" s="16">
        <f t="shared" si="1"/>
        <v>27.75807481</v>
      </c>
      <c r="L2542" s="16">
        <f t="shared" si="2"/>
        <v>10.16756257</v>
      </c>
    </row>
    <row r="2543" ht="16.5" customHeight="1">
      <c r="A2543" s="15" t="str">
        <f>Solieusap!A2543</f>
        <v>Cũ</v>
      </c>
      <c r="B2543" s="15">
        <f>Solieusap!B2543</f>
        <v>1.75</v>
      </c>
      <c r="C2543" s="15" t="str">
        <f>Solieusap!C2543</f>
        <v>COMB7</v>
      </c>
      <c r="D2543" s="15" t="str">
        <f>Solieusap!D2543</f>
        <v>Combination</v>
      </c>
      <c r="E2543" s="16">
        <f>ABS(Solieusap!E2543)</f>
        <v>27.77493117</v>
      </c>
      <c r="F2543" s="16">
        <f>ABS(Solieusap!F2543)</f>
        <v>2.695331602</v>
      </c>
      <c r="G2543" s="16">
        <f>ABS(Solieusap!G2543)</f>
        <v>3.620590043</v>
      </c>
      <c r="H2543" s="16">
        <f>ABS(Solieusap!H2543)</f>
        <v>0.001646237273</v>
      </c>
      <c r="I2543" s="16">
        <f>ABS(Solieusap!I2543)</f>
        <v>10.17435736</v>
      </c>
      <c r="J2543" s="16">
        <f>ABS(Solieusap!J2543)</f>
        <v>6.830315065</v>
      </c>
      <c r="K2543" s="16">
        <f t="shared" si="1"/>
        <v>27.77493117</v>
      </c>
      <c r="L2543" s="16">
        <f t="shared" si="2"/>
        <v>10.17435736</v>
      </c>
    </row>
    <row r="2544" ht="16.5" customHeight="1">
      <c r="A2544" s="15" t="str">
        <f>Solieusap!A2544</f>
        <v>Cũ</v>
      </c>
      <c r="B2544" s="15">
        <f>Solieusap!B2544</f>
        <v>3.5</v>
      </c>
      <c r="C2544" s="15" t="str">
        <f>Solieusap!C2544</f>
        <v>COMB7</v>
      </c>
      <c r="D2544" s="15" t="str">
        <f>Solieusap!D2544</f>
        <v>Combination</v>
      </c>
      <c r="E2544" s="16">
        <f>ABS(Solieusap!E2544)</f>
        <v>27.79178753</v>
      </c>
      <c r="F2544" s="16">
        <f>ABS(Solieusap!F2544)</f>
        <v>2.697042121</v>
      </c>
      <c r="G2544" s="16">
        <f>ABS(Solieusap!G2544)</f>
        <v>3.622854459</v>
      </c>
      <c r="H2544" s="16">
        <f>ABS(Solieusap!H2544)</f>
        <v>0.001647292377</v>
      </c>
      <c r="I2544" s="16">
        <f>ABS(Solieusap!I2544)</f>
        <v>10.18115215</v>
      </c>
      <c r="J2544" s="16">
        <f>ABS(Solieusap!J2544)</f>
        <v>6.834862117</v>
      </c>
      <c r="K2544" s="16">
        <f t="shared" si="1"/>
        <v>27.79178753</v>
      </c>
      <c r="L2544" s="16">
        <f t="shared" si="2"/>
        <v>10.18115215</v>
      </c>
    </row>
    <row r="2545" ht="16.5" customHeight="1">
      <c r="A2545" s="15" t="str">
        <f>Solieusap!A2545</f>
        <v>Cũ</v>
      </c>
      <c r="B2545" s="15">
        <f>Solieusap!B2545</f>
        <v>0</v>
      </c>
      <c r="C2545" s="15" t="str">
        <f>Solieusap!C2545</f>
        <v>COMB1</v>
      </c>
      <c r="D2545" s="15" t="str">
        <f>Solieusap!D2545</f>
        <v>Combination</v>
      </c>
      <c r="E2545" s="16">
        <f>ABS(Solieusap!E2545)</f>
        <v>27.8086439</v>
      </c>
      <c r="F2545" s="16">
        <f>ABS(Solieusap!F2545)</f>
        <v>2.698752641</v>
      </c>
      <c r="G2545" s="16">
        <f>ABS(Solieusap!G2545)</f>
        <v>3.625118874</v>
      </c>
      <c r="H2545" s="16">
        <f>ABS(Solieusap!H2545)</f>
        <v>0.001648347481</v>
      </c>
      <c r="I2545" s="16">
        <f>ABS(Solieusap!I2545)</f>
        <v>10.18794694</v>
      </c>
      <c r="J2545" s="16">
        <f>ABS(Solieusap!J2545)</f>
        <v>6.839409169</v>
      </c>
      <c r="K2545" s="16">
        <f t="shared" si="1"/>
        <v>27.8086439</v>
      </c>
      <c r="L2545" s="16">
        <f t="shared" si="2"/>
        <v>10.18794694</v>
      </c>
    </row>
    <row r="2546" ht="16.5" customHeight="1">
      <c r="A2546" s="15" t="str">
        <f>Solieusap!A2546</f>
        <v>Cũ</v>
      </c>
      <c r="B2546" s="15">
        <f>Solieusap!B2546</f>
        <v>1.75</v>
      </c>
      <c r="C2546" s="15" t="str">
        <f>Solieusap!C2546</f>
        <v>COMB1</v>
      </c>
      <c r="D2546" s="15" t="str">
        <f>Solieusap!D2546</f>
        <v>Combination</v>
      </c>
      <c r="E2546" s="16">
        <f>ABS(Solieusap!E2546)</f>
        <v>27.82550026</v>
      </c>
      <c r="F2546" s="16">
        <f>ABS(Solieusap!F2546)</f>
        <v>2.70046316</v>
      </c>
      <c r="G2546" s="16">
        <f>ABS(Solieusap!G2546)</f>
        <v>3.62738329</v>
      </c>
      <c r="H2546" s="16">
        <f>ABS(Solieusap!H2546)</f>
        <v>0.001649402584</v>
      </c>
      <c r="I2546" s="16">
        <f>ABS(Solieusap!I2546)</f>
        <v>10.19474174</v>
      </c>
      <c r="J2546" s="16">
        <f>ABS(Solieusap!J2546)</f>
        <v>6.843956221</v>
      </c>
      <c r="K2546" s="16">
        <f t="shared" si="1"/>
        <v>27.82550026</v>
      </c>
      <c r="L2546" s="16">
        <f t="shared" si="2"/>
        <v>10.19474174</v>
      </c>
    </row>
    <row r="2547" ht="16.5" customHeight="1">
      <c r="A2547" s="15" t="str">
        <f>Solieusap!A2547</f>
        <v>Cũ</v>
      </c>
      <c r="B2547" s="15">
        <f>Solieusap!B2547</f>
        <v>3.5</v>
      </c>
      <c r="C2547" s="15" t="str">
        <f>Solieusap!C2547</f>
        <v>COMB1</v>
      </c>
      <c r="D2547" s="15" t="str">
        <f>Solieusap!D2547</f>
        <v>Combination</v>
      </c>
      <c r="E2547" s="16">
        <f>ABS(Solieusap!E2547)</f>
        <v>27.84235662</v>
      </c>
      <c r="F2547" s="16">
        <f>ABS(Solieusap!F2547)</f>
        <v>2.70217368</v>
      </c>
      <c r="G2547" s="16">
        <f>ABS(Solieusap!G2547)</f>
        <v>3.629647706</v>
      </c>
      <c r="H2547" s="16">
        <f>ABS(Solieusap!H2547)</f>
        <v>0.001650457688</v>
      </c>
      <c r="I2547" s="16">
        <f>ABS(Solieusap!I2547)</f>
        <v>10.20153653</v>
      </c>
      <c r="J2547" s="16">
        <f>ABS(Solieusap!J2547)</f>
        <v>6.848503273</v>
      </c>
      <c r="K2547" s="16">
        <f t="shared" si="1"/>
        <v>27.84235662</v>
      </c>
      <c r="L2547" s="16">
        <f t="shared" si="2"/>
        <v>10.20153653</v>
      </c>
    </row>
    <row r="2548" ht="16.5" customHeight="1">
      <c r="A2548" s="15" t="str">
        <f>Solieusap!A2548</f>
        <v>Cũ</v>
      </c>
      <c r="B2548" s="15">
        <f>Solieusap!B2548</f>
        <v>0</v>
      </c>
      <c r="C2548" s="15" t="str">
        <f>Solieusap!C2548</f>
        <v>COMB2</v>
      </c>
      <c r="D2548" s="15" t="str">
        <f>Solieusap!D2548</f>
        <v>Combination</v>
      </c>
      <c r="E2548" s="16">
        <f>ABS(Solieusap!E2548)</f>
        <v>27.85921299</v>
      </c>
      <c r="F2548" s="16">
        <f>ABS(Solieusap!F2548)</f>
        <v>2.703884199</v>
      </c>
      <c r="G2548" s="16">
        <f>ABS(Solieusap!G2548)</f>
        <v>3.631912121</v>
      </c>
      <c r="H2548" s="16">
        <f>ABS(Solieusap!H2548)</f>
        <v>0.001651512792</v>
      </c>
      <c r="I2548" s="16">
        <f>ABS(Solieusap!I2548)</f>
        <v>10.20833132</v>
      </c>
      <c r="J2548" s="16">
        <f>ABS(Solieusap!J2548)</f>
        <v>6.853050325</v>
      </c>
      <c r="K2548" s="16">
        <f t="shared" si="1"/>
        <v>27.85921299</v>
      </c>
      <c r="L2548" s="16">
        <f t="shared" si="2"/>
        <v>10.20833132</v>
      </c>
    </row>
    <row r="2549" ht="16.5" customHeight="1">
      <c r="A2549" s="15" t="str">
        <f>Solieusap!A2549</f>
        <v>Cũ</v>
      </c>
      <c r="B2549" s="15">
        <f>Solieusap!B2549</f>
        <v>1.75</v>
      </c>
      <c r="C2549" s="15" t="str">
        <f>Solieusap!C2549</f>
        <v>COMB2</v>
      </c>
      <c r="D2549" s="15" t="str">
        <f>Solieusap!D2549</f>
        <v>Combination</v>
      </c>
      <c r="E2549" s="16">
        <f>ABS(Solieusap!E2549)</f>
        <v>27.87606935</v>
      </c>
      <c r="F2549" s="16">
        <f>ABS(Solieusap!F2549)</f>
        <v>2.705594719</v>
      </c>
      <c r="G2549" s="16">
        <f>ABS(Solieusap!G2549)</f>
        <v>3.634176537</v>
      </c>
      <c r="H2549" s="16">
        <f>ABS(Solieusap!H2549)</f>
        <v>0.001652567896</v>
      </c>
      <c r="I2549" s="16">
        <f>ABS(Solieusap!I2549)</f>
        <v>10.21512611</v>
      </c>
      <c r="J2549" s="16">
        <f>ABS(Solieusap!J2549)</f>
        <v>6.857597377</v>
      </c>
      <c r="K2549" s="16">
        <f t="shared" si="1"/>
        <v>27.87606935</v>
      </c>
      <c r="L2549" s="16">
        <f t="shared" si="2"/>
        <v>10.21512611</v>
      </c>
    </row>
    <row r="2550" ht="16.5" customHeight="1">
      <c r="A2550" s="15" t="str">
        <f>Solieusap!A2550</f>
        <v>Cũ</v>
      </c>
      <c r="B2550" s="15">
        <f>Solieusap!B2550</f>
        <v>3.5</v>
      </c>
      <c r="C2550" s="15" t="str">
        <f>Solieusap!C2550</f>
        <v>COMB2</v>
      </c>
      <c r="D2550" s="15" t="str">
        <f>Solieusap!D2550</f>
        <v>Combination</v>
      </c>
      <c r="E2550" s="16">
        <f>ABS(Solieusap!E2550)</f>
        <v>27.89292571</v>
      </c>
      <c r="F2550" s="16">
        <f>ABS(Solieusap!F2550)</f>
        <v>2.707305238</v>
      </c>
      <c r="G2550" s="16">
        <f>ABS(Solieusap!G2550)</f>
        <v>3.636440952</v>
      </c>
      <c r="H2550" s="16">
        <f>ABS(Solieusap!H2550)</f>
        <v>0.001653623</v>
      </c>
      <c r="I2550" s="16">
        <f>ABS(Solieusap!I2550)</f>
        <v>10.2219209</v>
      </c>
      <c r="J2550" s="16">
        <f>ABS(Solieusap!J2550)</f>
        <v>6.862144429</v>
      </c>
      <c r="K2550" s="16">
        <f t="shared" si="1"/>
        <v>27.89292571</v>
      </c>
      <c r="L2550" s="16">
        <f t="shared" si="2"/>
        <v>10.2219209</v>
      </c>
    </row>
    <row r="2551" ht="16.5" customHeight="1">
      <c r="A2551" s="15" t="str">
        <f>Solieusap!A2551</f>
        <v>Cũ</v>
      </c>
      <c r="B2551" s="15">
        <f>Solieusap!B2551</f>
        <v>0</v>
      </c>
      <c r="C2551" s="15" t="str">
        <f>Solieusap!C2551</f>
        <v>COMB3</v>
      </c>
      <c r="D2551" s="15" t="str">
        <f>Solieusap!D2551</f>
        <v>Combination</v>
      </c>
      <c r="E2551" s="16">
        <f>ABS(Solieusap!E2551)</f>
        <v>27.90978208</v>
      </c>
      <c r="F2551" s="16">
        <f>ABS(Solieusap!F2551)</f>
        <v>2.709015758</v>
      </c>
      <c r="G2551" s="16">
        <f>ABS(Solieusap!G2551)</f>
        <v>3.638705368</v>
      </c>
      <c r="H2551" s="16">
        <f>ABS(Solieusap!H2551)</f>
        <v>0.001654678104</v>
      </c>
      <c r="I2551" s="16">
        <f>ABS(Solieusap!I2551)</f>
        <v>10.2287157</v>
      </c>
      <c r="J2551" s="16">
        <f>ABS(Solieusap!J2551)</f>
        <v>6.866691481</v>
      </c>
      <c r="K2551" s="16">
        <f t="shared" si="1"/>
        <v>27.90978208</v>
      </c>
      <c r="L2551" s="16">
        <f t="shared" si="2"/>
        <v>10.2287157</v>
      </c>
    </row>
    <row r="2552" ht="16.5" customHeight="1">
      <c r="A2552" s="15" t="str">
        <f>Solieusap!A2552</f>
        <v>Cũ</v>
      </c>
      <c r="B2552" s="15">
        <f>Solieusap!B2552</f>
        <v>1.75</v>
      </c>
      <c r="C2552" s="15" t="str">
        <f>Solieusap!C2552</f>
        <v>COMB3</v>
      </c>
      <c r="D2552" s="15" t="str">
        <f>Solieusap!D2552</f>
        <v>Combination</v>
      </c>
      <c r="E2552" s="16">
        <f>ABS(Solieusap!E2552)</f>
        <v>27.92663844</v>
      </c>
      <c r="F2552" s="16">
        <f>ABS(Solieusap!F2552)</f>
        <v>2.710726277</v>
      </c>
      <c r="G2552" s="16">
        <f>ABS(Solieusap!G2552)</f>
        <v>3.640969784</v>
      </c>
      <c r="H2552" s="16">
        <f>ABS(Solieusap!H2552)</f>
        <v>0.001655733208</v>
      </c>
      <c r="I2552" s="16">
        <f>ABS(Solieusap!I2552)</f>
        <v>10.23551049</v>
      </c>
      <c r="J2552" s="16">
        <f>ABS(Solieusap!J2552)</f>
        <v>6.871238532</v>
      </c>
      <c r="K2552" s="16">
        <f t="shared" si="1"/>
        <v>27.92663844</v>
      </c>
      <c r="L2552" s="16">
        <f t="shared" si="2"/>
        <v>10.23551049</v>
      </c>
    </row>
    <row r="2553" ht="16.5" customHeight="1">
      <c r="A2553" s="15" t="str">
        <f>Solieusap!A2553</f>
        <v>Cũ</v>
      </c>
      <c r="B2553" s="15">
        <f>Solieusap!B2553</f>
        <v>3.5</v>
      </c>
      <c r="C2553" s="15" t="str">
        <f>Solieusap!C2553</f>
        <v>COMB3</v>
      </c>
      <c r="D2553" s="15" t="str">
        <f>Solieusap!D2553</f>
        <v>Combination</v>
      </c>
      <c r="E2553" s="16">
        <f>ABS(Solieusap!E2553)</f>
        <v>27.94349481</v>
      </c>
      <c r="F2553" s="16">
        <f>ABS(Solieusap!F2553)</f>
        <v>2.712436797</v>
      </c>
      <c r="G2553" s="16">
        <f>ABS(Solieusap!G2553)</f>
        <v>3.643234199</v>
      </c>
      <c r="H2553" s="16">
        <f>ABS(Solieusap!H2553)</f>
        <v>0.001656788312</v>
      </c>
      <c r="I2553" s="16">
        <f>ABS(Solieusap!I2553)</f>
        <v>10.24230528</v>
      </c>
      <c r="J2553" s="16">
        <f>ABS(Solieusap!J2553)</f>
        <v>6.875785584</v>
      </c>
      <c r="K2553" s="16">
        <f t="shared" si="1"/>
        <v>27.94349481</v>
      </c>
      <c r="L2553" s="16">
        <f t="shared" si="2"/>
        <v>10.24230528</v>
      </c>
    </row>
    <row r="2554" ht="16.5" customHeight="1">
      <c r="A2554" s="15" t="str">
        <f>Solieusap!A2554</f>
        <v>Cũ</v>
      </c>
      <c r="B2554" s="15">
        <f>Solieusap!B2554</f>
        <v>0</v>
      </c>
      <c r="C2554" s="15" t="str">
        <f>Solieusap!C2554</f>
        <v>COMB4</v>
      </c>
      <c r="D2554" s="15" t="str">
        <f>Solieusap!D2554</f>
        <v>Combination</v>
      </c>
      <c r="E2554" s="16">
        <f>ABS(Solieusap!E2554)</f>
        <v>27.96035117</v>
      </c>
      <c r="F2554" s="16">
        <f>ABS(Solieusap!F2554)</f>
        <v>2.714147316</v>
      </c>
      <c r="G2554" s="16">
        <f>ABS(Solieusap!G2554)</f>
        <v>3.645498615</v>
      </c>
      <c r="H2554" s="16">
        <f>ABS(Solieusap!H2554)</f>
        <v>0.001657843416</v>
      </c>
      <c r="I2554" s="16">
        <f>ABS(Solieusap!I2554)</f>
        <v>10.24910007</v>
      </c>
      <c r="J2554" s="16">
        <f>ABS(Solieusap!J2554)</f>
        <v>6.880332636</v>
      </c>
      <c r="K2554" s="16">
        <f t="shared" si="1"/>
        <v>27.96035117</v>
      </c>
      <c r="L2554" s="16">
        <f t="shared" si="2"/>
        <v>10.24910007</v>
      </c>
    </row>
    <row r="2555" ht="16.5" customHeight="1">
      <c r="A2555" s="15" t="str">
        <f>Solieusap!A2555</f>
        <v>Cũ</v>
      </c>
      <c r="B2555" s="15">
        <f>Solieusap!B2555</f>
        <v>1.75</v>
      </c>
      <c r="C2555" s="15" t="str">
        <f>Solieusap!C2555</f>
        <v>COMB4</v>
      </c>
      <c r="D2555" s="15" t="str">
        <f>Solieusap!D2555</f>
        <v>Combination</v>
      </c>
      <c r="E2555" s="16">
        <f>ABS(Solieusap!E2555)</f>
        <v>27.97720753</v>
      </c>
      <c r="F2555" s="16">
        <f>ABS(Solieusap!F2555)</f>
        <v>2.715857835</v>
      </c>
      <c r="G2555" s="16">
        <f>ABS(Solieusap!G2555)</f>
        <v>3.64776303</v>
      </c>
      <c r="H2555" s="16">
        <f>ABS(Solieusap!H2555)</f>
        <v>0.001658898519</v>
      </c>
      <c r="I2555" s="16">
        <f>ABS(Solieusap!I2555)</f>
        <v>10.25589487</v>
      </c>
      <c r="J2555" s="16">
        <f>ABS(Solieusap!J2555)</f>
        <v>6.884879688</v>
      </c>
      <c r="K2555" s="16">
        <f t="shared" si="1"/>
        <v>27.97720753</v>
      </c>
      <c r="L2555" s="16">
        <f t="shared" si="2"/>
        <v>10.25589487</v>
      </c>
    </row>
    <row r="2556" ht="16.5" customHeight="1">
      <c r="A2556" s="15" t="str">
        <f>Solieusap!A2556</f>
        <v>Cũ</v>
      </c>
      <c r="B2556" s="15">
        <f>Solieusap!B2556</f>
        <v>3.5</v>
      </c>
      <c r="C2556" s="15" t="str">
        <f>Solieusap!C2556</f>
        <v>COMB4</v>
      </c>
      <c r="D2556" s="15" t="str">
        <f>Solieusap!D2556</f>
        <v>Combination</v>
      </c>
      <c r="E2556" s="16">
        <f>ABS(Solieusap!E2556)</f>
        <v>27.9940639</v>
      </c>
      <c r="F2556" s="16">
        <f>ABS(Solieusap!F2556)</f>
        <v>2.717568355</v>
      </c>
      <c r="G2556" s="16">
        <f>ABS(Solieusap!G2556)</f>
        <v>3.650027446</v>
      </c>
      <c r="H2556" s="16">
        <f>ABS(Solieusap!H2556)</f>
        <v>0.001659953623</v>
      </c>
      <c r="I2556" s="16">
        <f>ABS(Solieusap!I2556)</f>
        <v>10.26268966</v>
      </c>
      <c r="J2556" s="16">
        <f>ABS(Solieusap!J2556)</f>
        <v>6.88942674</v>
      </c>
      <c r="K2556" s="16">
        <f t="shared" si="1"/>
        <v>27.9940639</v>
      </c>
      <c r="L2556" s="16">
        <f t="shared" si="2"/>
        <v>10.26268966</v>
      </c>
    </row>
    <row r="2557" ht="16.5" customHeight="1">
      <c r="A2557" s="15" t="str">
        <f>Solieusap!A2557</f>
        <v>Cũ</v>
      </c>
      <c r="B2557" s="15">
        <f>Solieusap!B2557</f>
        <v>0</v>
      </c>
      <c r="C2557" s="15" t="str">
        <f>Solieusap!C2557</f>
        <v>COMB5</v>
      </c>
      <c r="D2557" s="15" t="str">
        <f>Solieusap!D2557</f>
        <v>Combination</v>
      </c>
      <c r="E2557" s="16">
        <f>ABS(Solieusap!E2557)</f>
        <v>28.01092026</v>
      </c>
      <c r="F2557" s="16">
        <f>ABS(Solieusap!F2557)</f>
        <v>2.719278874</v>
      </c>
      <c r="G2557" s="16">
        <f>ABS(Solieusap!G2557)</f>
        <v>3.652291861</v>
      </c>
      <c r="H2557" s="16">
        <f>ABS(Solieusap!H2557)</f>
        <v>0.001661008727</v>
      </c>
      <c r="I2557" s="16">
        <f>ABS(Solieusap!I2557)</f>
        <v>10.26948445</v>
      </c>
      <c r="J2557" s="16">
        <f>ABS(Solieusap!J2557)</f>
        <v>6.893973792</v>
      </c>
      <c r="K2557" s="16">
        <f t="shared" si="1"/>
        <v>28.01092026</v>
      </c>
      <c r="L2557" s="16">
        <f t="shared" si="2"/>
        <v>10.26948445</v>
      </c>
    </row>
    <row r="2558" ht="16.5" customHeight="1">
      <c r="A2558" s="15" t="str">
        <f>Solieusap!A2558</f>
        <v>Cũ</v>
      </c>
      <c r="B2558" s="15">
        <f>Solieusap!B2558</f>
        <v>1.75</v>
      </c>
      <c r="C2558" s="15" t="str">
        <f>Solieusap!C2558</f>
        <v>COMB5</v>
      </c>
      <c r="D2558" s="15" t="str">
        <f>Solieusap!D2558</f>
        <v>Combination</v>
      </c>
      <c r="E2558" s="16">
        <f>ABS(Solieusap!E2558)</f>
        <v>28.02777662</v>
      </c>
      <c r="F2558" s="16">
        <f>ABS(Solieusap!F2558)</f>
        <v>2.720989394</v>
      </c>
      <c r="G2558" s="16">
        <f>ABS(Solieusap!G2558)</f>
        <v>3.654556277</v>
      </c>
      <c r="H2558" s="16">
        <f>ABS(Solieusap!H2558)</f>
        <v>0.001662063831</v>
      </c>
      <c r="I2558" s="16">
        <f>ABS(Solieusap!I2558)</f>
        <v>10.27627924</v>
      </c>
      <c r="J2558" s="16">
        <f>ABS(Solieusap!J2558)</f>
        <v>6.898520844</v>
      </c>
      <c r="K2558" s="16">
        <f t="shared" si="1"/>
        <v>28.02777662</v>
      </c>
      <c r="L2558" s="16">
        <f t="shared" si="2"/>
        <v>10.27627924</v>
      </c>
    </row>
    <row r="2559" ht="16.5" customHeight="1">
      <c r="A2559" s="15" t="str">
        <f>Solieusap!A2559</f>
        <v>Cũ</v>
      </c>
      <c r="B2559" s="15">
        <f>Solieusap!B2559</f>
        <v>3.5</v>
      </c>
      <c r="C2559" s="15" t="str">
        <f>Solieusap!C2559</f>
        <v>COMB5</v>
      </c>
      <c r="D2559" s="15" t="str">
        <f>Solieusap!D2559</f>
        <v>Combination</v>
      </c>
      <c r="E2559" s="16">
        <f>ABS(Solieusap!E2559)</f>
        <v>28.04463299</v>
      </c>
      <c r="F2559" s="16">
        <f>ABS(Solieusap!F2559)</f>
        <v>2.722699913</v>
      </c>
      <c r="G2559" s="16">
        <f>ABS(Solieusap!G2559)</f>
        <v>3.656820693</v>
      </c>
      <c r="H2559" s="16">
        <f>ABS(Solieusap!H2559)</f>
        <v>0.001663118935</v>
      </c>
      <c r="I2559" s="16">
        <f>ABS(Solieusap!I2559)</f>
        <v>10.28307403</v>
      </c>
      <c r="J2559" s="16">
        <f>ABS(Solieusap!J2559)</f>
        <v>6.903067896</v>
      </c>
      <c r="K2559" s="16">
        <f t="shared" si="1"/>
        <v>28.04463299</v>
      </c>
      <c r="L2559" s="16">
        <f t="shared" si="2"/>
        <v>10.28307403</v>
      </c>
    </row>
    <row r="2560" ht="16.5" customHeight="1">
      <c r="A2560" s="15" t="str">
        <f>Solieusap!A2560</f>
        <v>Cũ</v>
      </c>
      <c r="B2560" s="15">
        <f>Solieusap!B2560</f>
        <v>0</v>
      </c>
      <c r="C2560" s="15" t="str">
        <f>Solieusap!C2560</f>
        <v>COMB6</v>
      </c>
      <c r="D2560" s="15" t="str">
        <f>Solieusap!D2560</f>
        <v>Combination</v>
      </c>
      <c r="E2560" s="16">
        <f>ABS(Solieusap!E2560)</f>
        <v>28.06148935</v>
      </c>
      <c r="F2560" s="16">
        <f>ABS(Solieusap!F2560)</f>
        <v>2.724410433</v>
      </c>
      <c r="G2560" s="16">
        <f>ABS(Solieusap!G2560)</f>
        <v>3.659085108</v>
      </c>
      <c r="H2560" s="16">
        <f>ABS(Solieusap!H2560)</f>
        <v>0.001664174039</v>
      </c>
      <c r="I2560" s="16">
        <f>ABS(Solieusap!I2560)</f>
        <v>10.28986883</v>
      </c>
      <c r="J2560" s="16">
        <f>ABS(Solieusap!J2560)</f>
        <v>6.907614948</v>
      </c>
      <c r="K2560" s="16">
        <f t="shared" si="1"/>
        <v>28.06148935</v>
      </c>
      <c r="L2560" s="16">
        <f t="shared" si="2"/>
        <v>10.28986883</v>
      </c>
    </row>
    <row r="2561" ht="16.5" customHeight="1">
      <c r="A2561" s="15" t="str">
        <f>Solieusap!A2561</f>
        <v>Cũ</v>
      </c>
      <c r="B2561" s="15">
        <f>Solieusap!B2561</f>
        <v>1.75</v>
      </c>
      <c r="C2561" s="15" t="str">
        <f>Solieusap!C2561</f>
        <v>COMB6</v>
      </c>
      <c r="D2561" s="15" t="str">
        <f>Solieusap!D2561</f>
        <v>Combination</v>
      </c>
      <c r="E2561" s="16">
        <f>ABS(Solieusap!E2561)</f>
        <v>28.07834571</v>
      </c>
      <c r="F2561" s="16">
        <f>ABS(Solieusap!F2561)</f>
        <v>2.726120952</v>
      </c>
      <c r="G2561" s="16">
        <f>ABS(Solieusap!G2561)</f>
        <v>3.661349524</v>
      </c>
      <c r="H2561" s="16">
        <f>ABS(Solieusap!H2561)</f>
        <v>0.001665229143</v>
      </c>
      <c r="I2561" s="16">
        <f>ABS(Solieusap!I2561)</f>
        <v>10.29666362</v>
      </c>
      <c r="J2561" s="16">
        <f>ABS(Solieusap!J2561)</f>
        <v>6.912162</v>
      </c>
      <c r="K2561" s="16">
        <f t="shared" si="1"/>
        <v>28.07834571</v>
      </c>
      <c r="L2561" s="16">
        <f t="shared" si="2"/>
        <v>10.29666362</v>
      </c>
    </row>
    <row r="2562" ht="16.5" customHeight="1">
      <c r="A2562" s="15" t="str">
        <f>Solieusap!A2562</f>
        <v>Cũ</v>
      </c>
      <c r="B2562" s="15">
        <f>Solieusap!B2562</f>
        <v>3.5</v>
      </c>
      <c r="C2562" s="15" t="str">
        <f>Solieusap!C2562</f>
        <v>COMB6</v>
      </c>
      <c r="D2562" s="15" t="str">
        <f>Solieusap!D2562</f>
        <v>Combination</v>
      </c>
      <c r="E2562" s="16">
        <f>ABS(Solieusap!E2562)</f>
        <v>28.09520208</v>
      </c>
      <c r="F2562" s="16">
        <f>ABS(Solieusap!F2562)</f>
        <v>2.727831472</v>
      </c>
      <c r="G2562" s="16">
        <f>ABS(Solieusap!G2562)</f>
        <v>3.663613939</v>
      </c>
      <c r="H2562" s="16">
        <f>ABS(Solieusap!H2562)</f>
        <v>0.001666284247</v>
      </c>
      <c r="I2562" s="16">
        <f>ABS(Solieusap!I2562)</f>
        <v>10.30345841</v>
      </c>
      <c r="J2562" s="16">
        <f>ABS(Solieusap!J2562)</f>
        <v>6.916709052</v>
      </c>
      <c r="K2562" s="16">
        <f t="shared" si="1"/>
        <v>28.09520208</v>
      </c>
      <c r="L2562" s="16">
        <f t="shared" si="2"/>
        <v>10.30345841</v>
      </c>
    </row>
    <row r="2563" ht="16.5" customHeight="1">
      <c r="A2563" s="15" t="str">
        <f>Solieusap!A2563</f>
        <v>Cũ</v>
      </c>
      <c r="B2563" s="15">
        <f>Solieusap!B2563</f>
        <v>0</v>
      </c>
      <c r="C2563" s="15" t="str">
        <f>Solieusap!C2563</f>
        <v>COMB7</v>
      </c>
      <c r="D2563" s="15" t="str">
        <f>Solieusap!D2563</f>
        <v>Combination</v>
      </c>
      <c r="E2563" s="16">
        <f>ABS(Solieusap!E2563)</f>
        <v>28.11205844</v>
      </c>
      <c r="F2563" s="16">
        <f>ABS(Solieusap!F2563)</f>
        <v>2.729541991</v>
      </c>
      <c r="G2563" s="16">
        <f>ABS(Solieusap!G2563)</f>
        <v>3.665878355</v>
      </c>
      <c r="H2563" s="16">
        <f>ABS(Solieusap!H2563)</f>
        <v>0.001667339351</v>
      </c>
      <c r="I2563" s="16">
        <f>ABS(Solieusap!I2563)</f>
        <v>10.3102532</v>
      </c>
      <c r="J2563" s="16">
        <f>ABS(Solieusap!J2563)</f>
        <v>6.921256104</v>
      </c>
      <c r="K2563" s="16">
        <f t="shared" si="1"/>
        <v>28.11205844</v>
      </c>
      <c r="L2563" s="16">
        <f t="shared" si="2"/>
        <v>10.3102532</v>
      </c>
    </row>
    <row r="2564" ht="16.5" customHeight="1">
      <c r="A2564" s="15" t="str">
        <f>Solieusap!A2564</f>
        <v>Cũ</v>
      </c>
      <c r="B2564" s="15">
        <f>Solieusap!B2564</f>
        <v>1.75</v>
      </c>
      <c r="C2564" s="15" t="str">
        <f>Solieusap!C2564</f>
        <v>COMB7</v>
      </c>
      <c r="D2564" s="15" t="str">
        <f>Solieusap!D2564</f>
        <v>Combination</v>
      </c>
      <c r="E2564" s="16">
        <f>ABS(Solieusap!E2564)</f>
        <v>28.12891481</v>
      </c>
      <c r="F2564" s="16">
        <f>ABS(Solieusap!F2564)</f>
        <v>2.731252511</v>
      </c>
      <c r="G2564" s="16">
        <f>ABS(Solieusap!G2564)</f>
        <v>3.668142771</v>
      </c>
      <c r="H2564" s="16">
        <f>ABS(Solieusap!H2564)</f>
        <v>0.001668394455</v>
      </c>
      <c r="I2564" s="16">
        <f>ABS(Solieusap!I2564)</f>
        <v>10.317048</v>
      </c>
      <c r="J2564" s="16">
        <f>ABS(Solieusap!J2564)</f>
        <v>6.925803156</v>
      </c>
      <c r="K2564" s="16">
        <f t="shared" si="1"/>
        <v>28.12891481</v>
      </c>
      <c r="L2564" s="16">
        <f t="shared" si="2"/>
        <v>10.317048</v>
      </c>
    </row>
    <row r="2565" ht="16.5" customHeight="1">
      <c r="A2565" s="15" t="str">
        <f>Solieusap!A2565</f>
        <v>Cũ</v>
      </c>
      <c r="B2565" s="15">
        <f>Solieusap!B2565</f>
        <v>3.5</v>
      </c>
      <c r="C2565" s="15" t="str">
        <f>Solieusap!C2565</f>
        <v>COMB7</v>
      </c>
      <c r="D2565" s="15" t="str">
        <f>Solieusap!D2565</f>
        <v>Combination</v>
      </c>
      <c r="E2565" s="16">
        <f>ABS(Solieusap!E2565)</f>
        <v>28.14577117</v>
      </c>
      <c r="F2565" s="16">
        <f>ABS(Solieusap!F2565)</f>
        <v>2.73296303</v>
      </c>
      <c r="G2565" s="16">
        <f>ABS(Solieusap!G2565)</f>
        <v>3.670407186</v>
      </c>
      <c r="H2565" s="16">
        <f>ABS(Solieusap!H2565)</f>
        <v>0.001669449558</v>
      </c>
      <c r="I2565" s="16">
        <f>ABS(Solieusap!I2565)</f>
        <v>10.32384279</v>
      </c>
      <c r="J2565" s="16">
        <f>ABS(Solieusap!J2565)</f>
        <v>6.930350208</v>
      </c>
      <c r="K2565" s="16">
        <f t="shared" si="1"/>
        <v>28.14577117</v>
      </c>
      <c r="L2565" s="16">
        <f t="shared" si="2"/>
        <v>10.32384279</v>
      </c>
    </row>
    <row r="2566" ht="16.5" customHeight="1">
      <c r="A2566" s="15" t="str">
        <f>Solieusap!A2566</f>
        <v>Cũ</v>
      </c>
      <c r="B2566" s="15">
        <f>Solieusap!B2566</f>
        <v>0</v>
      </c>
      <c r="C2566" s="15" t="str">
        <f>Solieusap!C2566</f>
        <v>COMB1</v>
      </c>
      <c r="D2566" s="15" t="str">
        <f>Solieusap!D2566</f>
        <v>Combination</v>
      </c>
      <c r="E2566" s="16">
        <f>ABS(Solieusap!E2566)</f>
        <v>28.16262753</v>
      </c>
      <c r="F2566" s="16">
        <f>ABS(Solieusap!F2566)</f>
        <v>2.73467355</v>
      </c>
      <c r="G2566" s="16">
        <f>ABS(Solieusap!G2566)</f>
        <v>3.672671602</v>
      </c>
      <c r="H2566" s="16">
        <f>ABS(Solieusap!H2566)</f>
        <v>0.001670504662</v>
      </c>
      <c r="I2566" s="16">
        <f>ABS(Solieusap!I2566)</f>
        <v>10.33063758</v>
      </c>
      <c r="J2566" s="16">
        <f>ABS(Solieusap!J2566)</f>
        <v>6.93489726</v>
      </c>
      <c r="K2566" s="16">
        <f t="shared" si="1"/>
        <v>28.16262753</v>
      </c>
      <c r="L2566" s="16">
        <f t="shared" si="2"/>
        <v>10.33063758</v>
      </c>
    </row>
    <row r="2567" ht="16.5" customHeight="1">
      <c r="A2567" s="15" t="str">
        <f>Solieusap!A2567</f>
        <v>Cũ</v>
      </c>
      <c r="B2567" s="15">
        <f>Solieusap!B2567</f>
        <v>1.75</v>
      </c>
      <c r="C2567" s="15" t="str">
        <f>Solieusap!C2567</f>
        <v>COMB1</v>
      </c>
      <c r="D2567" s="15" t="str">
        <f>Solieusap!D2567</f>
        <v>Combination</v>
      </c>
      <c r="E2567" s="16">
        <f>ABS(Solieusap!E2567)</f>
        <v>28.1794839</v>
      </c>
      <c r="F2567" s="16">
        <f>ABS(Solieusap!F2567)</f>
        <v>2.736384069</v>
      </c>
      <c r="G2567" s="16">
        <f>ABS(Solieusap!G2567)</f>
        <v>3.674936017</v>
      </c>
      <c r="H2567" s="16">
        <f>ABS(Solieusap!H2567)</f>
        <v>0.001671559766</v>
      </c>
      <c r="I2567" s="16">
        <f>ABS(Solieusap!I2567)</f>
        <v>10.33743237</v>
      </c>
      <c r="J2567" s="16">
        <f>ABS(Solieusap!J2567)</f>
        <v>6.939444312</v>
      </c>
      <c r="K2567" s="16">
        <f t="shared" si="1"/>
        <v>28.1794839</v>
      </c>
      <c r="L2567" s="16">
        <f t="shared" si="2"/>
        <v>10.33743237</v>
      </c>
    </row>
    <row r="2568" ht="16.5" customHeight="1">
      <c r="A2568" s="15" t="str">
        <f>Solieusap!A2568</f>
        <v>Cũ</v>
      </c>
      <c r="B2568" s="15">
        <f>Solieusap!B2568</f>
        <v>3.5</v>
      </c>
      <c r="C2568" s="15" t="str">
        <f>Solieusap!C2568</f>
        <v>COMB1</v>
      </c>
      <c r="D2568" s="15" t="str">
        <f>Solieusap!D2568</f>
        <v>Combination</v>
      </c>
      <c r="E2568" s="16">
        <f>ABS(Solieusap!E2568)</f>
        <v>28.19634026</v>
      </c>
      <c r="F2568" s="16">
        <f>ABS(Solieusap!F2568)</f>
        <v>2.738094589</v>
      </c>
      <c r="G2568" s="16">
        <f>ABS(Solieusap!G2568)</f>
        <v>3.677200433</v>
      </c>
      <c r="H2568" s="16">
        <f>ABS(Solieusap!H2568)</f>
        <v>0.00167261487</v>
      </c>
      <c r="I2568" s="16">
        <f>ABS(Solieusap!I2568)</f>
        <v>10.34422716</v>
      </c>
      <c r="J2568" s="16">
        <f>ABS(Solieusap!J2568)</f>
        <v>6.943991364</v>
      </c>
      <c r="K2568" s="16">
        <f t="shared" si="1"/>
        <v>28.19634026</v>
      </c>
      <c r="L2568" s="16">
        <f t="shared" si="2"/>
        <v>10.34422716</v>
      </c>
    </row>
    <row r="2569" ht="16.5" customHeight="1">
      <c r="A2569" s="15" t="str">
        <f>Solieusap!A2569</f>
        <v>Cũ</v>
      </c>
      <c r="B2569" s="15">
        <f>Solieusap!B2569</f>
        <v>0</v>
      </c>
      <c r="C2569" s="15" t="str">
        <f>Solieusap!C2569</f>
        <v>COMB2</v>
      </c>
      <c r="D2569" s="15" t="str">
        <f>Solieusap!D2569</f>
        <v>Combination</v>
      </c>
      <c r="E2569" s="16">
        <f>ABS(Solieusap!E2569)</f>
        <v>28.21319662</v>
      </c>
      <c r="F2569" s="16">
        <f>ABS(Solieusap!F2569)</f>
        <v>2.739805108</v>
      </c>
      <c r="G2569" s="16">
        <f>ABS(Solieusap!G2569)</f>
        <v>3.679464848</v>
      </c>
      <c r="H2569" s="16">
        <f>ABS(Solieusap!H2569)</f>
        <v>0.001673669974</v>
      </c>
      <c r="I2569" s="16">
        <f>ABS(Solieusap!I2569)</f>
        <v>10.35102196</v>
      </c>
      <c r="J2569" s="16">
        <f>ABS(Solieusap!J2569)</f>
        <v>6.948538416</v>
      </c>
      <c r="K2569" s="16">
        <f t="shared" si="1"/>
        <v>28.21319662</v>
      </c>
      <c r="L2569" s="16">
        <f t="shared" si="2"/>
        <v>10.35102196</v>
      </c>
    </row>
    <row r="2570" ht="16.5" customHeight="1">
      <c r="A2570" s="15" t="str">
        <f>Solieusap!A2570</f>
        <v>Cũ</v>
      </c>
      <c r="B2570" s="15">
        <f>Solieusap!B2570</f>
        <v>1.75</v>
      </c>
      <c r="C2570" s="15" t="str">
        <f>Solieusap!C2570</f>
        <v>COMB2</v>
      </c>
      <c r="D2570" s="15" t="str">
        <f>Solieusap!D2570</f>
        <v>Combination</v>
      </c>
      <c r="E2570" s="16">
        <f>ABS(Solieusap!E2570)</f>
        <v>28.23005299</v>
      </c>
      <c r="F2570" s="16">
        <f>ABS(Solieusap!F2570)</f>
        <v>2.741515628</v>
      </c>
      <c r="G2570" s="16">
        <f>ABS(Solieusap!G2570)</f>
        <v>3.681729264</v>
      </c>
      <c r="H2570" s="16">
        <f>ABS(Solieusap!H2570)</f>
        <v>0.001674725078</v>
      </c>
      <c r="I2570" s="16">
        <f>ABS(Solieusap!I2570)</f>
        <v>10.35781675</v>
      </c>
      <c r="J2570" s="16">
        <f>ABS(Solieusap!J2570)</f>
        <v>6.953085468</v>
      </c>
      <c r="K2570" s="16">
        <f t="shared" si="1"/>
        <v>28.23005299</v>
      </c>
      <c r="L2570" s="16">
        <f t="shared" si="2"/>
        <v>10.35781675</v>
      </c>
    </row>
    <row r="2571" ht="16.5" customHeight="1">
      <c r="A2571" s="15" t="str">
        <f>Solieusap!A2571</f>
        <v>Cũ</v>
      </c>
      <c r="B2571" s="15">
        <f>Solieusap!B2571</f>
        <v>3.5</v>
      </c>
      <c r="C2571" s="15" t="str">
        <f>Solieusap!C2571</f>
        <v>COMB2</v>
      </c>
      <c r="D2571" s="15" t="str">
        <f>Solieusap!D2571</f>
        <v>Combination</v>
      </c>
      <c r="E2571" s="16">
        <f>ABS(Solieusap!E2571)</f>
        <v>28.24690935</v>
      </c>
      <c r="F2571" s="16">
        <f>ABS(Solieusap!F2571)</f>
        <v>2.743226147</v>
      </c>
      <c r="G2571" s="16">
        <f>ABS(Solieusap!G2571)</f>
        <v>3.68399368</v>
      </c>
      <c r="H2571" s="16">
        <f>ABS(Solieusap!H2571)</f>
        <v>0.001675780182</v>
      </c>
      <c r="I2571" s="16">
        <f>ABS(Solieusap!I2571)</f>
        <v>10.36461154</v>
      </c>
      <c r="J2571" s="16">
        <f>ABS(Solieusap!J2571)</f>
        <v>6.957632519</v>
      </c>
      <c r="K2571" s="16">
        <f t="shared" si="1"/>
        <v>28.24690935</v>
      </c>
      <c r="L2571" s="16">
        <f t="shared" si="2"/>
        <v>10.36461154</v>
      </c>
    </row>
    <row r="2572" ht="16.5" customHeight="1">
      <c r="A2572" s="15" t="str">
        <f>Solieusap!A2572</f>
        <v>Cũ</v>
      </c>
      <c r="B2572" s="15">
        <f>Solieusap!B2572</f>
        <v>0</v>
      </c>
      <c r="C2572" s="15" t="str">
        <f>Solieusap!C2572</f>
        <v>COMB3</v>
      </c>
      <c r="D2572" s="15" t="str">
        <f>Solieusap!D2572</f>
        <v>Combination</v>
      </c>
      <c r="E2572" s="16">
        <f>ABS(Solieusap!E2572)</f>
        <v>28.26376571</v>
      </c>
      <c r="F2572" s="16">
        <f>ABS(Solieusap!F2572)</f>
        <v>2.744936667</v>
      </c>
      <c r="G2572" s="16">
        <f>ABS(Solieusap!G2572)</f>
        <v>3.686258095</v>
      </c>
      <c r="H2572" s="16">
        <f>ABS(Solieusap!H2572)</f>
        <v>0.001676835286</v>
      </c>
      <c r="I2572" s="16">
        <f>ABS(Solieusap!I2572)</f>
        <v>10.37140633</v>
      </c>
      <c r="J2572" s="16">
        <f>ABS(Solieusap!J2572)</f>
        <v>6.962179571</v>
      </c>
      <c r="K2572" s="16">
        <f t="shared" si="1"/>
        <v>28.26376571</v>
      </c>
      <c r="L2572" s="16">
        <f t="shared" si="2"/>
        <v>10.37140633</v>
      </c>
    </row>
    <row r="2573" ht="16.5" customHeight="1">
      <c r="A2573" s="15" t="str">
        <f>Solieusap!A2573</f>
        <v>Cũ</v>
      </c>
      <c r="B2573" s="15">
        <f>Solieusap!B2573</f>
        <v>1.75</v>
      </c>
      <c r="C2573" s="15" t="str">
        <f>Solieusap!C2573</f>
        <v>COMB3</v>
      </c>
      <c r="D2573" s="15" t="str">
        <f>Solieusap!D2573</f>
        <v>Combination</v>
      </c>
      <c r="E2573" s="16">
        <f>ABS(Solieusap!E2573)</f>
        <v>28.28062208</v>
      </c>
      <c r="F2573" s="16">
        <f>ABS(Solieusap!F2573)</f>
        <v>2.746647186</v>
      </c>
      <c r="G2573" s="16">
        <f>ABS(Solieusap!G2573)</f>
        <v>3.688522511</v>
      </c>
      <c r="H2573" s="16">
        <f>ABS(Solieusap!H2573)</f>
        <v>0.00167789039</v>
      </c>
      <c r="I2573" s="16">
        <f>ABS(Solieusap!I2573)</f>
        <v>10.37820113</v>
      </c>
      <c r="J2573" s="16">
        <f>ABS(Solieusap!J2573)</f>
        <v>6.966726623</v>
      </c>
      <c r="K2573" s="16">
        <f t="shared" si="1"/>
        <v>28.28062208</v>
      </c>
      <c r="L2573" s="16">
        <f t="shared" si="2"/>
        <v>10.37820113</v>
      </c>
    </row>
    <row r="2574" ht="16.5" customHeight="1">
      <c r="A2574" s="15" t="str">
        <f>Solieusap!A2574</f>
        <v>Cũ</v>
      </c>
      <c r="B2574" s="15">
        <f>Solieusap!B2574</f>
        <v>3.5</v>
      </c>
      <c r="C2574" s="15" t="str">
        <f>Solieusap!C2574</f>
        <v>COMB3</v>
      </c>
      <c r="D2574" s="15" t="str">
        <f>Solieusap!D2574</f>
        <v>Combination</v>
      </c>
      <c r="E2574" s="16">
        <f>ABS(Solieusap!E2574)</f>
        <v>28.29747844</v>
      </c>
      <c r="F2574" s="16">
        <f>ABS(Solieusap!F2574)</f>
        <v>2.748357706</v>
      </c>
      <c r="G2574" s="16">
        <f>ABS(Solieusap!G2574)</f>
        <v>3.690786926</v>
      </c>
      <c r="H2574" s="16">
        <f>ABS(Solieusap!H2574)</f>
        <v>0.001678945494</v>
      </c>
      <c r="I2574" s="16">
        <f>ABS(Solieusap!I2574)</f>
        <v>10.38499592</v>
      </c>
      <c r="J2574" s="16">
        <f>ABS(Solieusap!J2574)</f>
        <v>6.971273675</v>
      </c>
      <c r="K2574" s="16">
        <f t="shared" si="1"/>
        <v>28.29747844</v>
      </c>
      <c r="L2574" s="16">
        <f t="shared" si="2"/>
        <v>10.38499592</v>
      </c>
    </row>
    <row r="2575" ht="16.5" customHeight="1">
      <c r="A2575" s="15" t="str">
        <f>Solieusap!A2575</f>
        <v>Cũ</v>
      </c>
      <c r="B2575" s="15">
        <f>Solieusap!B2575</f>
        <v>0</v>
      </c>
      <c r="C2575" s="15" t="str">
        <f>Solieusap!C2575</f>
        <v>COMB4</v>
      </c>
      <c r="D2575" s="15" t="str">
        <f>Solieusap!D2575</f>
        <v>Combination</v>
      </c>
      <c r="E2575" s="16">
        <f>ABS(Solieusap!E2575)</f>
        <v>28.31433481</v>
      </c>
      <c r="F2575" s="16">
        <f>ABS(Solieusap!F2575)</f>
        <v>2.750068225</v>
      </c>
      <c r="G2575" s="16">
        <f>ABS(Solieusap!G2575)</f>
        <v>3.693051342</v>
      </c>
      <c r="H2575" s="16">
        <f>ABS(Solieusap!H2575)</f>
        <v>0.001680000597</v>
      </c>
      <c r="I2575" s="16">
        <f>ABS(Solieusap!I2575)</f>
        <v>10.39179071</v>
      </c>
      <c r="J2575" s="16">
        <f>ABS(Solieusap!J2575)</f>
        <v>6.975820727</v>
      </c>
      <c r="K2575" s="16">
        <f t="shared" si="1"/>
        <v>28.31433481</v>
      </c>
      <c r="L2575" s="16">
        <f t="shared" si="2"/>
        <v>10.39179071</v>
      </c>
    </row>
    <row r="2576" ht="16.5" customHeight="1">
      <c r="A2576" s="15" t="str">
        <f>Solieusap!A2576</f>
        <v>Cũ</v>
      </c>
      <c r="B2576" s="15">
        <f>Solieusap!B2576</f>
        <v>1.75</v>
      </c>
      <c r="C2576" s="15" t="str">
        <f>Solieusap!C2576</f>
        <v>COMB4</v>
      </c>
      <c r="D2576" s="15" t="str">
        <f>Solieusap!D2576</f>
        <v>Combination</v>
      </c>
      <c r="E2576" s="16">
        <f>ABS(Solieusap!E2576)</f>
        <v>28.33119117</v>
      </c>
      <c r="F2576" s="16">
        <f>ABS(Solieusap!F2576)</f>
        <v>2.751778745</v>
      </c>
      <c r="G2576" s="16">
        <f>ABS(Solieusap!G2576)</f>
        <v>3.695315758</v>
      </c>
      <c r="H2576" s="16">
        <f>ABS(Solieusap!H2576)</f>
        <v>0.001681055701</v>
      </c>
      <c r="I2576" s="16">
        <f>ABS(Solieusap!I2576)</f>
        <v>10.3985855</v>
      </c>
      <c r="J2576" s="16">
        <f>ABS(Solieusap!J2576)</f>
        <v>6.980367779</v>
      </c>
      <c r="K2576" s="16">
        <f t="shared" si="1"/>
        <v>28.33119117</v>
      </c>
      <c r="L2576" s="16">
        <f t="shared" si="2"/>
        <v>10.3985855</v>
      </c>
    </row>
    <row r="2577" ht="16.5" customHeight="1">
      <c r="A2577" s="15" t="str">
        <f>Solieusap!A2577</f>
        <v>Cũ</v>
      </c>
      <c r="B2577" s="15">
        <f>Solieusap!B2577</f>
        <v>3.5</v>
      </c>
      <c r="C2577" s="15" t="str">
        <f>Solieusap!C2577</f>
        <v>COMB4</v>
      </c>
      <c r="D2577" s="15" t="str">
        <f>Solieusap!D2577</f>
        <v>Combination</v>
      </c>
      <c r="E2577" s="16">
        <f>ABS(Solieusap!E2577)</f>
        <v>28.34804753</v>
      </c>
      <c r="F2577" s="16">
        <f>ABS(Solieusap!F2577)</f>
        <v>2.753489264</v>
      </c>
      <c r="G2577" s="16">
        <f>ABS(Solieusap!G2577)</f>
        <v>3.697580173</v>
      </c>
      <c r="H2577" s="16">
        <f>ABS(Solieusap!H2577)</f>
        <v>0.001682110805</v>
      </c>
      <c r="I2577" s="16">
        <f>ABS(Solieusap!I2577)</f>
        <v>10.40538029</v>
      </c>
      <c r="J2577" s="16">
        <f>ABS(Solieusap!J2577)</f>
        <v>6.984914831</v>
      </c>
      <c r="K2577" s="16">
        <f t="shared" si="1"/>
        <v>28.34804753</v>
      </c>
      <c r="L2577" s="16">
        <f t="shared" si="2"/>
        <v>10.40538029</v>
      </c>
    </row>
    <row r="2578" ht="16.5" customHeight="1">
      <c r="A2578" s="15" t="str">
        <f>Solieusap!A2578</f>
        <v>Cũ</v>
      </c>
      <c r="B2578" s="15">
        <f>Solieusap!B2578</f>
        <v>0</v>
      </c>
      <c r="C2578" s="15" t="str">
        <f>Solieusap!C2578</f>
        <v>COMB5</v>
      </c>
      <c r="D2578" s="15" t="str">
        <f>Solieusap!D2578</f>
        <v>Combination</v>
      </c>
      <c r="E2578" s="16">
        <f>ABS(Solieusap!E2578)</f>
        <v>28.3649039</v>
      </c>
      <c r="F2578" s="16">
        <f>ABS(Solieusap!F2578)</f>
        <v>2.755199784</v>
      </c>
      <c r="G2578" s="16">
        <f>ABS(Solieusap!G2578)</f>
        <v>3.699844589</v>
      </c>
      <c r="H2578" s="16">
        <f>ABS(Solieusap!H2578)</f>
        <v>0.001683165909</v>
      </c>
      <c r="I2578" s="16">
        <f>ABS(Solieusap!I2578)</f>
        <v>10.41217509</v>
      </c>
      <c r="J2578" s="16">
        <f>ABS(Solieusap!J2578)</f>
        <v>6.989461883</v>
      </c>
      <c r="K2578" s="16">
        <f t="shared" si="1"/>
        <v>28.3649039</v>
      </c>
      <c r="L2578" s="16">
        <f t="shared" si="2"/>
        <v>10.41217509</v>
      </c>
    </row>
    <row r="2579" ht="16.5" customHeight="1">
      <c r="A2579" s="15" t="str">
        <f>Solieusap!A2579</f>
        <v>Cũ</v>
      </c>
      <c r="B2579" s="15">
        <f>Solieusap!B2579</f>
        <v>1.75</v>
      </c>
      <c r="C2579" s="15" t="str">
        <f>Solieusap!C2579</f>
        <v>COMB5</v>
      </c>
      <c r="D2579" s="15" t="str">
        <f>Solieusap!D2579</f>
        <v>Combination</v>
      </c>
      <c r="E2579" s="16">
        <f>ABS(Solieusap!E2579)</f>
        <v>28.38176026</v>
      </c>
      <c r="F2579" s="16">
        <f>ABS(Solieusap!F2579)</f>
        <v>2.756910303</v>
      </c>
      <c r="G2579" s="16">
        <f>ABS(Solieusap!G2579)</f>
        <v>3.702109004</v>
      </c>
      <c r="H2579" s="16">
        <f>ABS(Solieusap!H2579)</f>
        <v>0.001684221013</v>
      </c>
      <c r="I2579" s="16">
        <f>ABS(Solieusap!I2579)</f>
        <v>10.41896988</v>
      </c>
      <c r="J2579" s="16">
        <f>ABS(Solieusap!J2579)</f>
        <v>6.994008935</v>
      </c>
      <c r="K2579" s="16">
        <f t="shared" si="1"/>
        <v>28.38176026</v>
      </c>
      <c r="L2579" s="16">
        <f t="shared" si="2"/>
        <v>10.41896988</v>
      </c>
    </row>
    <row r="2580" ht="16.5" customHeight="1">
      <c r="A2580" s="15" t="str">
        <f>Solieusap!A2580</f>
        <v>Cũ</v>
      </c>
      <c r="B2580" s="15">
        <f>Solieusap!B2580</f>
        <v>3.5</v>
      </c>
      <c r="C2580" s="15" t="str">
        <f>Solieusap!C2580</f>
        <v>COMB5</v>
      </c>
      <c r="D2580" s="15" t="str">
        <f>Solieusap!D2580</f>
        <v>Combination</v>
      </c>
      <c r="E2580" s="16">
        <f>ABS(Solieusap!E2580)</f>
        <v>28.39861662</v>
      </c>
      <c r="F2580" s="16">
        <f>ABS(Solieusap!F2580)</f>
        <v>2.758620823</v>
      </c>
      <c r="G2580" s="16">
        <f>ABS(Solieusap!G2580)</f>
        <v>3.70437342</v>
      </c>
      <c r="H2580" s="16">
        <f>ABS(Solieusap!H2580)</f>
        <v>0.001685276117</v>
      </c>
      <c r="I2580" s="16">
        <f>ABS(Solieusap!I2580)</f>
        <v>10.42576467</v>
      </c>
      <c r="J2580" s="16">
        <f>ABS(Solieusap!J2580)</f>
        <v>6.998555987</v>
      </c>
      <c r="K2580" s="16">
        <f t="shared" si="1"/>
        <v>28.39861662</v>
      </c>
      <c r="L2580" s="16">
        <f t="shared" si="2"/>
        <v>10.42576467</v>
      </c>
    </row>
    <row r="2581" ht="16.5" customHeight="1">
      <c r="A2581" s="15" t="str">
        <f>Solieusap!A2581</f>
        <v>Cũ</v>
      </c>
      <c r="B2581" s="15">
        <f>Solieusap!B2581</f>
        <v>0</v>
      </c>
      <c r="C2581" s="15" t="str">
        <f>Solieusap!C2581</f>
        <v>COMB6</v>
      </c>
      <c r="D2581" s="15" t="str">
        <f>Solieusap!D2581</f>
        <v>Combination</v>
      </c>
      <c r="E2581" s="16">
        <f>ABS(Solieusap!E2581)</f>
        <v>28.41547299</v>
      </c>
      <c r="F2581" s="16">
        <f>ABS(Solieusap!F2581)</f>
        <v>2.760331342</v>
      </c>
      <c r="G2581" s="16">
        <f>ABS(Solieusap!G2581)</f>
        <v>3.706637835</v>
      </c>
      <c r="H2581" s="16">
        <f>ABS(Solieusap!H2581)</f>
        <v>0.001686331221</v>
      </c>
      <c r="I2581" s="16">
        <f>ABS(Solieusap!I2581)</f>
        <v>10.43255946</v>
      </c>
      <c r="J2581" s="16">
        <f>ABS(Solieusap!J2581)</f>
        <v>7.003103039</v>
      </c>
      <c r="K2581" s="16">
        <f t="shared" si="1"/>
        <v>28.41547299</v>
      </c>
      <c r="L2581" s="16">
        <f t="shared" si="2"/>
        <v>10.43255946</v>
      </c>
    </row>
    <row r="2582" ht="16.5" customHeight="1">
      <c r="A2582" s="15" t="str">
        <f>Solieusap!A2582</f>
        <v>Cũ</v>
      </c>
      <c r="B2582" s="15">
        <f>Solieusap!B2582</f>
        <v>1.75</v>
      </c>
      <c r="C2582" s="15" t="str">
        <f>Solieusap!C2582</f>
        <v>COMB6</v>
      </c>
      <c r="D2582" s="15" t="str">
        <f>Solieusap!D2582</f>
        <v>Combination</v>
      </c>
      <c r="E2582" s="16">
        <f>ABS(Solieusap!E2582)</f>
        <v>28.43232935</v>
      </c>
      <c r="F2582" s="16">
        <f>ABS(Solieusap!F2582)</f>
        <v>2.762041861</v>
      </c>
      <c r="G2582" s="16">
        <f>ABS(Solieusap!G2582)</f>
        <v>3.708902251</v>
      </c>
      <c r="H2582" s="16">
        <f>ABS(Solieusap!H2582)</f>
        <v>0.001687386325</v>
      </c>
      <c r="I2582" s="16">
        <f>ABS(Solieusap!I2582)</f>
        <v>10.43935426</v>
      </c>
      <c r="J2582" s="16">
        <f>ABS(Solieusap!J2582)</f>
        <v>7.007650091</v>
      </c>
      <c r="K2582" s="16">
        <f t="shared" si="1"/>
        <v>28.43232935</v>
      </c>
      <c r="L2582" s="16">
        <f t="shared" si="2"/>
        <v>10.43935426</v>
      </c>
    </row>
    <row r="2583" ht="16.5" customHeight="1">
      <c r="A2583" s="15" t="str">
        <f>Solieusap!A2583</f>
        <v>Cũ</v>
      </c>
      <c r="B2583" s="15">
        <f>Solieusap!B2583</f>
        <v>3.5</v>
      </c>
      <c r="C2583" s="15" t="str">
        <f>Solieusap!C2583</f>
        <v>COMB6</v>
      </c>
      <c r="D2583" s="15" t="str">
        <f>Solieusap!D2583</f>
        <v>Combination</v>
      </c>
      <c r="E2583" s="16">
        <f>ABS(Solieusap!E2583)</f>
        <v>28.44918571</v>
      </c>
      <c r="F2583" s="16">
        <f>ABS(Solieusap!F2583)</f>
        <v>2.763752381</v>
      </c>
      <c r="G2583" s="16">
        <f>ABS(Solieusap!G2583)</f>
        <v>3.711166667</v>
      </c>
      <c r="H2583" s="16">
        <f>ABS(Solieusap!H2583)</f>
        <v>0.001688441429</v>
      </c>
      <c r="I2583" s="16">
        <f>ABS(Solieusap!I2583)</f>
        <v>10.44614905</v>
      </c>
      <c r="J2583" s="16">
        <f>ABS(Solieusap!J2583)</f>
        <v>7.012197143</v>
      </c>
      <c r="K2583" s="16">
        <f t="shared" si="1"/>
        <v>28.44918571</v>
      </c>
      <c r="L2583" s="16">
        <f t="shared" si="2"/>
        <v>10.44614905</v>
      </c>
    </row>
    <row r="2584" ht="16.5" customHeight="1">
      <c r="A2584" s="15" t="str">
        <f>Solieusap!A2584</f>
        <v>Cũ</v>
      </c>
      <c r="B2584" s="15">
        <f>Solieusap!B2584</f>
        <v>0</v>
      </c>
      <c r="C2584" s="15" t="str">
        <f>Solieusap!C2584</f>
        <v>COMB7</v>
      </c>
      <c r="D2584" s="15" t="str">
        <f>Solieusap!D2584</f>
        <v>Combination</v>
      </c>
      <c r="E2584" s="16">
        <f>ABS(Solieusap!E2584)</f>
        <v>28.46604208</v>
      </c>
      <c r="F2584" s="16">
        <f>ABS(Solieusap!F2584)</f>
        <v>2.7654629</v>
      </c>
      <c r="G2584" s="16">
        <f>ABS(Solieusap!G2584)</f>
        <v>3.713431082</v>
      </c>
      <c r="H2584" s="16">
        <f>ABS(Solieusap!H2584)</f>
        <v>0.001689496532</v>
      </c>
      <c r="I2584" s="16">
        <f>ABS(Solieusap!I2584)</f>
        <v>10.45294384</v>
      </c>
      <c r="J2584" s="16">
        <f>ABS(Solieusap!J2584)</f>
        <v>7.016744195</v>
      </c>
      <c r="K2584" s="16">
        <f t="shared" si="1"/>
        <v>28.46604208</v>
      </c>
      <c r="L2584" s="16">
        <f t="shared" si="2"/>
        <v>10.45294384</v>
      </c>
    </row>
    <row r="2585" ht="16.5" customHeight="1">
      <c r="A2585" s="15" t="str">
        <f>Solieusap!A2585</f>
        <v>Cũ</v>
      </c>
      <c r="B2585" s="15">
        <f>Solieusap!B2585</f>
        <v>1.75</v>
      </c>
      <c r="C2585" s="15" t="str">
        <f>Solieusap!C2585</f>
        <v>COMB7</v>
      </c>
      <c r="D2585" s="15" t="str">
        <f>Solieusap!D2585</f>
        <v>Combination</v>
      </c>
      <c r="E2585" s="16">
        <f>ABS(Solieusap!E2585)</f>
        <v>28.48289844</v>
      </c>
      <c r="F2585" s="16">
        <f>ABS(Solieusap!F2585)</f>
        <v>2.76717342</v>
      </c>
      <c r="G2585" s="16">
        <f>ABS(Solieusap!G2585)</f>
        <v>3.715695498</v>
      </c>
      <c r="H2585" s="16">
        <f>ABS(Solieusap!H2585)</f>
        <v>0.001690551636</v>
      </c>
      <c r="I2585" s="16">
        <f>ABS(Solieusap!I2585)</f>
        <v>10.45973863</v>
      </c>
      <c r="J2585" s="16">
        <f>ABS(Solieusap!J2585)</f>
        <v>7.021291247</v>
      </c>
      <c r="K2585" s="16">
        <f t="shared" si="1"/>
        <v>28.48289844</v>
      </c>
      <c r="L2585" s="16">
        <f t="shared" si="2"/>
        <v>10.45973863</v>
      </c>
    </row>
    <row r="2586" ht="16.5" customHeight="1">
      <c r="A2586" s="15" t="str">
        <f>Solieusap!A2586</f>
        <v>Cũ</v>
      </c>
      <c r="B2586" s="15">
        <f>Solieusap!B2586</f>
        <v>3.5</v>
      </c>
      <c r="C2586" s="15" t="str">
        <f>Solieusap!C2586</f>
        <v>COMB7</v>
      </c>
      <c r="D2586" s="15" t="str">
        <f>Solieusap!D2586</f>
        <v>Combination</v>
      </c>
      <c r="E2586" s="16">
        <f>ABS(Solieusap!E2586)</f>
        <v>28.49975481</v>
      </c>
      <c r="F2586" s="16">
        <f>ABS(Solieusap!F2586)</f>
        <v>2.768883939</v>
      </c>
      <c r="G2586" s="16">
        <f>ABS(Solieusap!G2586)</f>
        <v>3.717959913</v>
      </c>
      <c r="H2586" s="16">
        <f>ABS(Solieusap!H2586)</f>
        <v>0.00169160674</v>
      </c>
      <c r="I2586" s="16">
        <f>ABS(Solieusap!I2586)</f>
        <v>10.46653342</v>
      </c>
      <c r="J2586" s="16">
        <f>ABS(Solieusap!J2586)</f>
        <v>7.025838299</v>
      </c>
      <c r="K2586" s="16">
        <f t="shared" si="1"/>
        <v>28.49975481</v>
      </c>
      <c r="L2586" s="16">
        <f t="shared" si="2"/>
        <v>10.46653342</v>
      </c>
    </row>
    <row r="2587" ht="16.5" customHeight="1">
      <c r="A2587" s="15" t="str">
        <f>Solieusap!A2587</f>
        <v>Cũ</v>
      </c>
      <c r="B2587" s="15">
        <f>Solieusap!B2587</f>
        <v>0</v>
      </c>
      <c r="C2587" s="15" t="str">
        <f>Solieusap!C2587</f>
        <v>COMB1</v>
      </c>
      <c r="D2587" s="15" t="str">
        <f>Solieusap!D2587</f>
        <v>Combination</v>
      </c>
      <c r="E2587" s="16">
        <f>ABS(Solieusap!E2587)</f>
        <v>28.51661117</v>
      </c>
      <c r="F2587" s="16">
        <f>ABS(Solieusap!F2587)</f>
        <v>2.770594459</v>
      </c>
      <c r="G2587" s="16">
        <f>ABS(Solieusap!G2587)</f>
        <v>3.720224329</v>
      </c>
      <c r="H2587" s="16">
        <f>ABS(Solieusap!H2587)</f>
        <v>0.001692661844</v>
      </c>
      <c r="I2587" s="16">
        <f>ABS(Solieusap!I2587)</f>
        <v>10.47332822</v>
      </c>
      <c r="J2587" s="16">
        <f>ABS(Solieusap!J2587)</f>
        <v>7.030385351</v>
      </c>
      <c r="K2587" s="16">
        <f t="shared" si="1"/>
        <v>28.51661117</v>
      </c>
      <c r="L2587" s="16">
        <f t="shared" si="2"/>
        <v>10.47332822</v>
      </c>
    </row>
    <row r="2588" ht="16.5" customHeight="1">
      <c r="A2588" s="15" t="str">
        <f>Solieusap!A2588</f>
        <v>Cũ</v>
      </c>
      <c r="B2588" s="15">
        <f>Solieusap!B2588</f>
        <v>1.75</v>
      </c>
      <c r="C2588" s="15" t="str">
        <f>Solieusap!C2588</f>
        <v>COMB1</v>
      </c>
      <c r="D2588" s="15" t="str">
        <f>Solieusap!D2588</f>
        <v>Combination</v>
      </c>
      <c r="E2588" s="16">
        <f>ABS(Solieusap!E2588)</f>
        <v>28.53346753</v>
      </c>
      <c r="F2588" s="16">
        <f>ABS(Solieusap!F2588)</f>
        <v>2.772304978</v>
      </c>
      <c r="G2588" s="16">
        <f>ABS(Solieusap!G2588)</f>
        <v>3.722488745</v>
      </c>
      <c r="H2588" s="16">
        <f>ABS(Solieusap!H2588)</f>
        <v>0.001693716948</v>
      </c>
      <c r="I2588" s="16">
        <f>ABS(Solieusap!I2588)</f>
        <v>10.48012301</v>
      </c>
      <c r="J2588" s="16">
        <f>ABS(Solieusap!J2588)</f>
        <v>7.034932403</v>
      </c>
      <c r="K2588" s="16">
        <f t="shared" si="1"/>
        <v>28.53346753</v>
      </c>
      <c r="L2588" s="16">
        <f t="shared" si="2"/>
        <v>10.48012301</v>
      </c>
    </row>
    <row r="2589" ht="16.5" customHeight="1">
      <c r="A2589" s="15" t="str">
        <f>Solieusap!A2589</f>
        <v>Cũ</v>
      </c>
      <c r="B2589" s="15">
        <f>Solieusap!B2589</f>
        <v>3.5</v>
      </c>
      <c r="C2589" s="15" t="str">
        <f>Solieusap!C2589</f>
        <v>COMB1</v>
      </c>
      <c r="D2589" s="15" t="str">
        <f>Solieusap!D2589</f>
        <v>Combination</v>
      </c>
      <c r="E2589" s="16">
        <f>ABS(Solieusap!E2589)</f>
        <v>28.5503239</v>
      </c>
      <c r="F2589" s="16">
        <f>ABS(Solieusap!F2589)</f>
        <v>2.774015498</v>
      </c>
      <c r="G2589" s="16">
        <f>ABS(Solieusap!G2589)</f>
        <v>3.72475316</v>
      </c>
      <c r="H2589" s="16">
        <f>ABS(Solieusap!H2589)</f>
        <v>0.001694772052</v>
      </c>
      <c r="I2589" s="16">
        <f>ABS(Solieusap!I2589)</f>
        <v>10.4869178</v>
      </c>
      <c r="J2589" s="16">
        <f>ABS(Solieusap!J2589)</f>
        <v>7.039479455</v>
      </c>
      <c r="K2589" s="16">
        <f t="shared" si="1"/>
        <v>28.5503239</v>
      </c>
      <c r="L2589" s="16">
        <f t="shared" si="2"/>
        <v>10.4869178</v>
      </c>
    </row>
    <row r="2590" ht="16.5" customHeight="1">
      <c r="A2590" s="15" t="str">
        <f>Solieusap!A2590</f>
        <v>Cũ</v>
      </c>
      <c r="B2590" s="15">
        <f>Solieusap!B2590</f>
        <v>0</v>
      </c>
      <c r="C2590" s="15" t="str">
        <f>Solieusap!C2590</f>
        <v>COMB2</v>
      </c>
      <c r="D2590" s="15" t="str">
        <f>Solieusap!D2590</f>
        <v>Combination</v>
      </c>
      <c r="E2590" s="16">
        <f>ABS(Solieusap!E2590)</f>
        <v>28.56718026</v>
      </c>
      <c r="F2590" s="16">
        <f>ABS(Solieusap!F2590)</f>
        <v>2.775726017</v>
      </c>
      <c r="G2590" s="16">
        <f>ABS(Solieusap!G2590)</f>
        <v>3.727017576</v>
      </c>
      <c r="H2590" s="16">
        <f>ABS(Solieusap!H2590)</f>
        <v>0.001695827156</v>
      </c>
      <c r="I2590" s="16">
        <f>ABS(Solieusap!I2590)</f>
        <v>10.49371259</v>
      </c>
      <c r="J2590" s="16">
        <f>ABS(Solieusap!J2590)</f>
        <v>7.044026506</v>
      </c>
      <c r="K2590" s="16">
        <f t="shared" si="1"/>
        <v>28.56718026</v>
      </c>
      <c r="L2590" s="16">
        <f t="shared" si="2"/>
        <v>10.49371259</v>
      </c>
    </row>
    <row r="2591" ht="16.5" customHeight="1">
      <c r="A2591" s="15" t="str">
        <f>Solieusap!A2591</f>
        <v>Cũ</v>
      </c>
      <c r="B2591" s="15">
        <f>Solieusap!B2591</f>
        <v>1.75</v>
      </c>
      <c r="C2591" s="15" t="str">
        <f>Solieusap!C2591</f>
        <v>COMB2</v>
      </c>
      <c r="D2591" s="15" t="str">
        <f>Solieusap!D2591</f>
        <v>Combination</v>
      </c>
      <c r="E2591" s="16">
        <f>ABS(Solieusap!E2591)</f>
        <v>28.58403662</v>
      </c>
      <c r="F2591" s="16">
        <f>ABS(Solieusap!F2591)</f>
        <v>2.777436537</v>
      </c>
      <c r="G2591" s="16">
        <f>ABS(Solieusap!G2591)</f>
        <v>3.729281991</v>
      </c>
      <c r="H2591" s="16">
        <f>ABS(Solieusap!H2591)</f>
        <v>0.00169688226</v>
      </c>
      <c r="I2591" s="16">
        <f>ABS(Solieusap!I2591)</f>
        <v>10.50050739</v>
      </c>
      <c r="J2591" s="16">
        <f>ABS(Solieusap!J2591)</f>
        <v>7.048573558</v>
      </c>
      <c r="K2591" s="16">
        <f t="shared" si="1"/>
        <v>28.58403662</v>
      </c>
      <c r="L2591" s="16">
        <f t="shared" si="2"/>
        <v>10.50050739</v>
      </c>
    </row>
    <row r="2592" ht="16.5" customHeight="1">
      <c r="A2592" s="15" t="str">
        <f>Solieusap!A2592</f>
        <v>Cũ</v>
      </c>
      <c r="B2592" s="15">
        <f>Solieusap!B2592</f>
        <v>3.5</v>
      </c>
      <c r="C2592" s="15" t="str">
        <f>Solieusap!C2592</f>
        <v>COMB2</v>
      </c>
      <c r="D2592" s="15" t="str">
        <f>Solieusap!D2592</f>
        <v>Combination</v>
      </c>
      <c r="E2592" s="16">
        <f>ABS(Solieusap!E2592)</f>
        <v>28.60089299</v>
      </c>
      <c r="F2592" s="16">
        <f>ABS(Solieusap!F2592)</f>
        <v>2.779147056</v>
      </c>
      <c r="G2592" s="16">
        <f>ABS(Solieusap!G2592)</f>
        <v>3.731546407</v>
      </c>
      <c r="H2592" s="16">
        <f>ABS(Solieusap!H2592)</f>
        <v>0.001697937364</v>
      </c>
      <c r="I2592" s="16">
        <f>ABS(Solieusap!I2592)</f>
        <v>10.50730218</v>
      </c>
      <c r="J2592" s="16">
        <f>ABS(Solieusap!J2592)</f>
        <v>7.05312061</v>
      </c>
      <c r="K2592" s="16">
        <f t="shared" si="1"/>
        <v>28.60089299</v>
      </c>
      <c r="L2592" s="16">
        <f t="shared" si="2"/>
        <v>10.50730218</v>
      </c>
    </row>
    <row r="2593" ht="16.5" customHeight="1">
      <c r="A2593" s="15" t="str">
        <f>Solieusap!A2593</f>
        <v>Cũ</v>
      </c>
      <c r="B2593" s="15">
        <f>Solieusap!B2593</f>
        <v>0</v>
      </c>
      <c r="C2593" s="15" t="str">
        <f>Solieusap!C2593</f>
        <v>COMB3</v>
      </c>
      <c r="D2593" s="15" t="str">
        <f>Solieusap!D2593</f>
        <v>Combination</v>
      </c>
      <c r="E2593" s="16">
        <f>ABS(Solieusap!E2593)</f>
        <v>28.61774935</v>
      </c>
      <c r="F2593" s="16">
        <f>ABS(Solieusap!F2593)</f>
        <v>2.780857576</v>
      </c>
      <c r="G2593" s="16">
        <f>ABS(Solieusap!G2593)</f>
        <v>3.733810823</v>
      </c>
      <c r="H2593" s="16">
        <f>ABS(Solieusap!H2593)</f>
        <v>0.001698992468</v>
      </c>
      <c r="I2593" s="16">
        <f>ABS(Solieusap!I2593)</f>
        <v>10.51409697</v>
      </c>
      <c r="J2593" s="16">
        <f>ABS(Solieusap!J2593)</f>
        <v>7.057667662</v>
      </c>
      <c r="K2593" s="16">
        <f t="shared" si="1"/>
        <v>28.61774935</v>
      </c>
      <c r="L2593" s="16">
        <f t="shared" si="2"/>
        <v>10.51409697</v>
      </c>
    </row>
    <row r="2594" ht="16.5" customHeight="1">
      <c r="A2594" s="15" t="str">
        <f>Solieusap!A2594</f>
        <v>Cũ</v>
      </c>
      <c r="B2594" s="15">
        <f>Solieusap!B2594</f>
        <v>1.75</v>
      </c>
      <c r="C2594" s="15" t="str">
        <f>Solieusap!C2594</f>
        <v>COMB3</v>
      </c>
      <c r="D2594" s="15" t="str">
        <f>Solieusap!D2594</f>
        <v>Combination</v>
      </c>
      <c r="E2594" s="16">
        <f>ABS(Solieusap!E2594)</f>
        <v>28.63460571</v>
      </c>
      <c r="F2594" s="16">
        <f>ABS(Solieusap!F2594)</f>
        <v>2.782568095</v>
      </c>
      <c r="G2594" s="16">
        <f>ABS(Solieusap!G2594)</f>
        <v>3.736075238</v>
      </c>
      <c r="H2594" s="16">
        <f>ABS(Solieusap!H2594)</f>
        <v>0.001700047571</v>
      </c>
      <c r="I2594" s="16">
        <f>ABS(Solieusap!I2594)</f>
        <v>10.52089176</v>
      </c>
      <c r="J2594" s="16">
        <f>ABS(Solieusap!J2594)</f>
        <v>7.062214714</v>
      </c>
      <c r="K2594" s="16">
        <f t="shared" si="1"/>
        <v>28.63460571</v>
      </c>
      <c r="L2594" s="16">
        <f t="shared" si="2"/>
        <v>10.52089176</v>
      </c>
    </row>
    <row r="2595" ht="16.5" customHeight="1">
      <c r="A2595" s="15" t="str">
        <f>Solieusap!A2595</f>
        <v>Cũ</v>
      </c>
      <c r="B2595" s="15">
        <f>Solieusap!B2595</f>
        <v>3.5</v>
      </c>
      <c r="C2595" s="15" t="str">
        <f>Solieusap!C2595</f>
        <v>COMB3</v>
      </c>
      <c r="D2595" s="15" t="str">
        <f>Solieusap!D2595</f>
        <v>Combination</v>
      </c>
      <c r="E2595" s="16">
        <f>ABS(Solieusap!E2595)</f>
        <v>28.65146208</v>
      </c>
      <c r="F2595" s="16">
        <f>ABS(Solieusap!F2595)</f>
        <v>2.784278615</v>
      </c>
      <c r="G2595" s="16">
        <f>ABS(Solieusap!G2595)</f>
        <v>3.738339654</v>
      </c>
      <c r="H2595" s="16">
        <f>ABS(Solieusap!H2595)</f>
        <v>0.001701102675</v>
      </c>
      <c r="I2595" s="16">
        <f>ABS(Solieusap!I2595)</f>
        <v>10.52768655</v>
      </c>
      <c r="J2595" s="16">
        <f>ABS(Solieusap!J2595)</f>
        <v>7.066761766</v>
      </c>
      <c r="K2595" s="16">
        <f t="shared" si="1"/>
        <v>28.65146208</v>
      </c>
      <c r="L2595" s="16">
        <f t="shared" si="2"/>
        <v>10.52768655</v>
      </c>
    </row>
    <row r="2596" ht="16.5" customHeight="1">
      <c r="A2596" s="15" t="str">
        <f>Solieusap!A2596</f>
        <v>Cũ</v>
      </c>
      <c r="B2596" s="15">
        <f>Solieusap!B2596</f>
        <v>0</v>
      </c>
      <c r="C2596" s="15" t="str">
        <f>Solieusap!C2596</f>
        <v>COMB4</v>
      </c>
      <c r="D2596" s="15" t="str">
        <f>Solieusap!D2596</f>
        <v>Combination</v>
      </c>
      <c r="E2596" s="16">
        <f>ABS(Solieusap!E2596)</f>
        <v>28.66831844</v>
      </c>
      <c r="F2596" s="16">
        <f>ABS(Solieusap!F2596)</f>
        <v>2.785989134</v>
      </c>
      <c r="G2596" s="16">
        <f>ABS(Solieusap!G2596)</f>
        <v>3.740604069</v>
      </c>
      <c r="H2596" s="16">
        <f>ABS(Solieusap!H2596)</f>
        <v>0.001702157779</v>
      </c>
      <c r="I2596" s="16">
        <f>ABS(Solieusap!I2596)</f>
        <v>10.53448135</v>
      </c>
      <c r="J2596" s="16">
        <f>ABS(Solieusap!J2596)</f>
        <v>7.071308818</v>
      </c>
      <c r="K2596" s="16">
        <f t="shared" si="1"/>
        <v>28.66831844</v>
      </c>
      <c r="L2596" s="16">
        <f t="shared" si="2"/>
        <v>10.53448135</v>
      </c>
    </row>
    <row r="2597" ht="16.5" customHeight="1">
      <c r="A2597" s="15" t="str">
        <f>Solieusap!A2597</f>
        <v>Cũ</v>
      </c>
      <c r="B2597" s="15">
        <f>Solieusap!B2597</f>
        <v>1.75</v>
      </c>
      <c r="C2597" s="15" t="str">
        <f>Solieusap!C2597</f>
        <v>COMB4</v>
      </c>
      <c r="D2597" s="15" t="str">
        <f>Solieusap!D2597</f>
        <v>Combination</v>
      </c>
      <c r="E2597" s="16">
        <f>ABS(Solieusap!E2597)</f>
        <v>28.68517481</v>
      </c>
      <c r="F2597" s="16">
        <f>ABS(Solieusap!F2597)</f>
        <v>2.787699654</v>
      </c>
      <c r="G2597" s="16">
        <f>ABS(Solieusap!G2597)</f>
        <v>3.742868485</v>
      </c>
      <c r="H2597" s="16">
        <f>ABS(Solieusap!H2597)</f>
        <v>0.001703212883</v>
      </c>
      <c r="I2597" s="16">
        <f>ABS(Solieusap!I2597)</f>
        <v>10.54127614</v>
      </c>
      <c r="J2597" s="16">
        <f>ABS(Solieusap!J2597)</f>
        <v>7.07585587</v>
      </c>
      <c r="K2597" s="16">
        <f t="shared" si="1"/>
        <v>28.68517481</v>
      </c>
      <c r="L2597" s="16">
        <f t="shared" si="2"/>
        <v>10.54127614</v>
      </c>
    </row>
    <row r="2598" ht="16.5" customHeight="1">
      <c r="A2598" s="15" t="str">
        <f>Solieusap!A2598</f>
        <v>Cũ</v>
      </c>
      <c r="B2598" s="15">
        <f>Solieusap!B2598</f>
        <v>3.5</v>
      </c>
      <c r="C2598" s="15" t="str">
        <f>Solieusap!C2598</f>
        <v>COMB4</v>
      </c>
      <c r="D2598" s="15" t="str">
        <f>Solieusap!D2598</f>
        <v>Combination</v>
      </c>
      <c r="E2598" s="16">
        <f>ABS(Solieusap!E2598)</f>
        <v>28.70203117</v>
      </c>
      <c r="F2598" s="16">
        <f>ABS(Solieusap!F2598)</f>
        <v>2.789410173</v>
      </c>
      <c r="G2598" s="16">
        <f>ABS(Solieusap!G2598)</f>
        <v>3.7451329</v>
      </c>
      <c r="H2598" s="16">
        <f>ABS(Solieusap!H2598)</f>
        <v>0.001704267987</v>
      </c>
      <c r="I2598" s="16">
        <f>ABS(Solieusap!I2598)</f>
        <v>10.54807093</v>
      </c>
      <c r="J2598" s="16">
        <f>ABS(Solieusap!J2598)</f>
        <v>7.080402922</v>
      </c>
      <c r="K2598" s="16">
        <f t="shared" si="1"/>
        <v>28.70203117</v>
      </c>
      <c r="L2598" s="16">
        <f t="shared" si="2"/>
        <v>10.54807093</v>
      </c>
    </row>
    <row r="2599" ht="16.5" customHeight="1">
      <c r="A2599" s="15" t="str">
        <f>Solieusap!A2599</f>
        <v>Cũ</v>
      </c>
      <c r="B2599" s="15">
        <f>Solieusap!B2599</f>
        <v>0</v>
      </c>
      <c r="C2599" s="15" t="str">
        <f>Solieusap!C2599</f>
        <v>COMB5</v>
      </c>
      <c r="D2599" s="15" t="str">
        <f>Solieusap!D2599</f>
        <v>Combination</v>
      </c>
      <c r="E2599" s="16">
        <f>ABS(Solieusap!E2599)</f>
        <v>28.71888753</v>
      </c>
      <c r="F2599" s="16">
        <f>ABS(Solieusap!F2599)</f>
        <v>2.791120693</v>
      </c>
      <c r="G2599" s="16">
        <f>ABS(Solieusap!G2599)</f>
        <v>3.747397316</v>
      </c>
      <c r="H2599" s="16">
        <f>ABS(Solieusap!H2599)</f>
        <v>0.001705323091</v>
      </c>
      <c r="I2599" s="16">
        <f>ABS(Solieusap!I2599)</f>
        <v>10.55486572</v>
      </c>
      <c r="J2599" s="16">
        <f>ABS(Solieusap!J2599)</f>
        <v>7.084949974</v>
      </c>
      <c r="K2599" s="16">
        <f t="shared" si="1"/>
        <v>28.71888753</v>
      </c>
      <c r="L2599" s="16">
        <f t="shared" si="2"/>
        <v>10.55486572</v>
      </c>
    </row>
    <row r="2600" ht="16.5" customHeight="1">
      <c r="A2600" s="15" t="str">
        <f>Solieusap!A2600</f>
        <v>Cũ</v>
      </c>
      <c r="B2600" s="15">
        <f>Solieusap!B2600</f>
        <v>1.75</v>
      </c>
      <c r="C2600" s="15" t="str">
        <f>Solieusap!C2600</f>
        <v>COMB5</v>
      </c>
      <c r="D2600" s="15" t="str">
        <f>Solieusap!D2600</f>
        <v>Combination</v>
      </c>
      <c r="E2600" s="16">
        <f>ABS(Solieusap!E2600)</f>
        <v>28.7357439</v>
      </c>
      <c r="F2600" s="16">
        <f>ABS(Solieusap!F2600)</f>
        <v>2.792831212</v>
      </c>
      <c r="G2600" s="16">
        <f>ABS(Solieusap!G2600)</f>
        <v>3.749661732</v>
      </c>
      <c r="H2600" s="16">
        <f>ABS(Solieusap!H2600)</f>
        <v>0.001706378195</v>
      </c>
      <c r="I2600" s="16">
        <f>ABS(Solieusap!I2600)</f>
        <v>10.56166052</v>
      </c>
      <c r="J2600" s="16">
        <f>ABS(Solieusap!J2600)</f>
        <v>7.089497026</v>
      </c>
      <c r="K2600" s="16">
        <f t="shared" si="1"/>
        <v>28.7357439</v>
      </c>
      <c r="L2600" s="16">
        <f t="shared" si="2"/>
        <v>10.56166052</v>
      </c>
    </row>
    <row r="2601" ht="16.5" customHeight="1">
      <c r="A2601" s="15" t="str">
        <f>Solieusap!A2601</f>
        <v>Cũ</v>
      </c>
      <c r="B2601" s="15">
        <f>Solieusap!B2601</f>
        <v>3.5</v>
      </c>
      <c r="C2601" s="15" t="str">
        <f>Solieusap!C2601</f>
        <v>COMB5</v>
      </c>
      <c r="D2601" s="15" t="str">
        <f>Solieusap!D2601</f>
        <v>Combination</v>
      </c>
      <c r="E2601" s="16">
        <f>ABS(Solieusap!E2601)</f>
        <v>28.75260026</v>
      </c>
      <c r="F2601" s="16">
        <f>ABS(Solieusap!F2601)</f>
        <v>2.794541732</v>
      </c>
      <c r="G2601" s="16">
        <f>ABS(Solieusap!G2601)</f>
        <v>3.751926147</v>
      </c>
      <c r="H2601" s="16">
        <f>ABS(Solieusap!H2601)</f>
        <v>0.001707433299</v>
      </c>
      <c r="I2601" s="16">
        <f>ABS(Solieusap!I2601)</f>
        <v>10.56845531</v>
      </c>
      <c r="J2601" s="16">
        <f>ABS(Solieusap!J2601)</f>
        <v>7.094044078</v>
      </c>
      <c r="K2601" s="16">
        <f t="shared" si="1"/>
        <v>28.75260026</v>
      </c>
      <c r="L2601" s="16">
        <f t="shared" si="2"/>
        <v>10.56845531</v>
      </c>
    </row>
    <row r="2602" ht="16.5" customHeight="1">
      <c r="A2602" s="15" t="str">
        <f>Solieusap!A2602</f>
        <v>Cũ</v>
      </c>
      <c r="B2602" s="15">
        <f>Solieusap!B2602</f>
        <v>0</v>
      </c>
      <c r="C2602" s="15" t="str">
        <f>Solieusap!C2602</f>
        <v>COMB6</v>
      </c>
      <c r="D2602" s="15" t="str">
        <f>Solieusap!D2602</f>
        <v>Combination</v>
      </c>
      <c r="E2602" s="16">
        <f>ABS(Solieusap!E2602)</f>
        <v>28.76945662</v>
      </c>
      <c r="F2602" s="16">
        <f>ABS(Solieusap!F2602)</f>
        <v>2.796252251</v>
      </c>
      <c r="G2602" s="16">
        <f>ABS(Solieusap!G2602)</f>
        <v>3.754190563</v>
      </c>
      <c r="H2602" s="16">
        <f>ABS(Solieusap!H2602)</f>
        <v>0.001708488403</v>
      </c>
      <c r="I2602" s="16">
        <f>ABS(Solieusap!I2602)</f>
        <v>10.5752501</v>
      </c>
      <c r="J2602" s="16">
        <f>ABS(Solieusap!J2602)</f>
        <v>7.09859113</v>
      </c>
      <c r="K2602" s="16">
        <f t="shared" si="1"/>
        <v>28.76945662</v>
      </c>
      <c r="L2602" s="16">
        <f t="shared" si="2"/>
        <v>10.5752501</v>
      </c>
    </row>
    <row r="2603" ht="16.5" customHeight="1">
      <c r="A2603" s="15" t="str">
        <f>Solieusap!A2603</f>
        <v>Cũ</v>
      </c>
      <c r="B2603" s="15">
        <f>Solieusap!B2603</f>
        <v>1.75</v>
      </c>
      <c r="C2603" s="15" t="str">
        <f>Solieusap!C2603</f>
        <v>COMB6</v>
      </c>
      <c r="D2603" s="15" t="str">
        <f>Solieusap!D2603</f>
        <v>Combination</v>
      </c>
      <c r="E2603" s="16">
        <f>ABS(Solieusap!E2603)</f>
        <v>28.78631299</v>
      </c>
      <c r="F2603" s="16">
        <f>ABS(Solieusap!F2603)</f>
        <v>2.797962771</v>
      </c>
      <c r="G2603" s="16">
        <f>ABS(Solieusap!G2603)</f>
        <v>3.756454978</v>
      </c>
      <c r="H2603" s="16">
        <f>ABS(Solieusap!H2603)</f>
        <v>0.001709543506</v>
      </c>
      <c r="I2603" s="16">
        <f>ABS(Solieusap!I2603)</f>
        <v>10.58204489</v>
      </c>
      <c r="J2603" s="16">
        <f>ABS(Solieusap!J2603)</f>
        <v>7.103138182</v>
      </c>
      <c r="K2603" s="16">
        <f t="shared" si="1"/>
        <v>28.78631299</v>
      </c>
      <c r="L2603" s="16">
        <f t="shared" si="2"/>
        <v>10.58204489</v>
      </c>
    </row>
    <row r="2604" ht="16.5" customHeight="1">
      <c r="A2604" s="15" t="str">
        <f>Solieusap!A2604</f>
        <v>Cũ</v>
      </c>
      <c r="B2604" s="15">
        <f>Solieusap!B2604</f>
        <v>3.5</v>
      </c>
      <c r="C2604" s="15" t="str">
        <f>Solieusap!C2604</f>
        <v>COMB6</v>
      </c>
      <c r="D2604" s="15" t="str">
        <f>Solieusap!D2604</f>
        <v>Combination</v>
      </c>
      <c r="E2604" s="16">
        <f>ABS(Solieusap!E2604)</f>
        <v>28.80316935</v>
      </c>
      <c r="F2604" s="16">
        <f>ABS(Solieusap!F2604)</f>
        <v>2.79967329</v>
      </c>
      <c r="G2604" s="16">
        <f>ABS(Solieusap!G2604)</f>
        <v>3.758719394</v>
      </c>
      <c r="H2604" s="16">
        <f>ABS(Solieusap!H2604)</f>
        <v>0.00171059861</v>
      </c>
      <c r="I2604" s="16">
        <f>ABS(Solieusap!I2604)</f>
        <v>10.58883968</v>
      </c>
      <c r="J2604" s="16">
        <f>ABS(Solieusap!J2604)</f>
        <v>7.107685234</v>
      </c>
      <c r="K2604" s="16">
        <f t="shared" si="1"/>
        <v>28.80316935</v>
      </c>
      <c r="L2604" s="16">
        <f t="shared" si="2"/>
        <v>10.58883968</v>
      </c>
    </row>
    <row r="2605" ht="16.5" customHeight="1">
      <c r="A2605" s="15" t="str">
        <f>Solieusap!A2605</f>
        <v>Cũ</v>
      </c>
      <c r="B2605" s="15">
        <f>Solieusap!B2605</f>
        <v>0</v>
      </c>
      <c r="C2605" s="15" t="str">
        <f>Solieusap!C2605</f>
        <v>COMB7</v>
      </c>
      <c r="D2605" s="15" t="str">
        <f>Solieusap!D2605</f>
        <v>Combination</v>
      </c>
      <c r="E2605" s="16">
        <f>ABS(Solieusap!E2605)</f>
        <v>28.82002571</v>
      </c>
      <c r="F2605" s="16">
        <f>ABS(Solieusap!F2605)</f>
        <v>2.80138381</v>
      </c>
      <c r="G2605" s="16">
        <f>ABS(Solieusap!G2605)</f>
        <v>3.76098381</v>
      </c>
      <c r="H2605" s="16">
        <f>ABS(Solieusap!H2605)</f>
        <v>0.001711653714</v>
      </c>
      <c r="I2605" s="16">
        <f>ABS(Solieusap!I2605)</f>
        <v>10.59563448</v>
      </c>
      <c r="J2605" s="16">
        <f>ABS(Solieusap!J2605)</f>
        <v>7.112232286</v>
      </c>
      <c r="K2605" s="16">
        <f t="shared" si="1"/>
        <v>28.82002571</v>
      </c>
      <c r="L2605" s="16">
        <f t="shared" si="2"/>
        <v>10.59563448</v>
      </c>
    </row>
    <row r="2606" ht="16.5" customHeight="1">
      <c r="A2606" s="15" t="str">
        <f>Solieusap!A2606</f>
        <v>Cũ</v>
      </c>
      <c r="B2606" s="15">
        <f>Solieusap!B2606</f>
        <v>1.75</v>
      </c>
      <c r="C2606" s="15" t="str">
        <f>Solieusap!C2606</f>
        <v>COMB7</v>
      </c>
      <c r="D2606" s="15" t="str">
        <f>Solieusap!D2606</f>
        <v>Combination</v>
      </c>
      <c r="E2606" s="16">
        <f>ABS(Solieusap!E2606)</f>
        <v>28.83688208</v>
      </c>
      <c r="F2606" s="16">
        <f>ABS(Solieusap!F2606)</f>
        <v>2.803094329</v>
      </c>
      <c r="G2606" s="16">
        <f>ABS(Solieusap!G2606)</f>
        <v>3.763248225</v>
      </c>
      <c r="H2606" s="16">
        <f>ABS(Solieusap!H2606)</f>
        <v>0.001712708818</v>
      </c>
      <c r="I2606" s="16">
        <f>ABS(Solieusap!I2606)</f>
        <v>10.60242927</v>
      </c>
      <c r="J2606" s="16">
        <f>ABS(Solieusap!J2606)</f>
        <v>7.116779338</v>
      </c>
      <c r="K2606" s="16">
        <f t="shared" si="1"/>
        <v>28.83688208</v>
      </c>
      <c r="L2606" s="16">
        <f t="shared" si="2"/>
        <v>10.60242927</v>
      </c>
    </row>
    <row r="2607" ht="16.5" customHeight="1">
      <c r="A2607" s="15" t="str">
        <f>Solieusap!A2607</f>
        <v>Cũ</v>
      </c>
      <c r="B2607" s="15">
        <f>Solieusap!B2607</f>
        <v>3.5</v>
      </c>
      <c r="C2607" s="15" t="str">
        <f>Solieusap!C2607</f>
        <v>COMB7</v>
      </c>
      <c r="D2607" s="15" t="str">
        <f>Solieusap!D2607</f>
        <v>Combination</v>
      </c>
      <c r="E2607" s="16">
        <f>ABS(Solieusap!E2607)</f>
        <v>28.85373844</v>
      </c>
      <c r="F2607" s="16">
        <f>ABS(Solieusap!F2607)</f>
        <v>2.804804848</v>
      </c>
      <c r="G2607" s="16">
        <f>ABS(Solieusap!G2607)</f>
        <v>3.765512641</v>
      </c>
      <c r="H2607" s="16">
        <f>ABS(Solieusap!H2607)</f>
        <v>0.001713763922</v>
      </c>
      <c r="I2607" s="16">
        <f>ABS(Solieusap!I2607)</f>
        <v>10.60922406</v>
      </c>
      <c r="J2607" s="16">
        <f>ABS(Solieusap!J2607)</f>
        <v>7.12132639</v>
      </c>
      <c r="K2607" s="16">
        <f t="shared" si="1"/>
        <v>28.85373844</v>
      </c>
      <c r="L2607" s="16">
        <f t="shared" si="2"/>
        <v>10.60922406</v>
      </c>
    </row>
    <row r="2608" ht="16.5" customHeight="1">
      <c r="A2608" s="15" t="str">
        <f>Solieusap!A2608</f>
        <v>Cũ</v>
      </c>
      <c r="B2608" s="15">
        <f>Solieusap!B2608</f>
        <v>0</v>
      </c>
      <c r="C2608" s="15" t="str">
        <f>Solieusap!C2608</f>
        <v>COMB1</v>
      </c>
      <c r="D2608" s="15" t="str">
        <f>Solieusap!D2608</f>
        <v>Combination</v>
      </c>
      <c r="E2608" s="16">
        <f>ABS(Solieusap!E2608)</f>
        <v>28.87059481</v>
      </c>
      <c r="F2608" s="16">
        <f>ABS(Solieusap!F2608)</f>
        <v>2.806515368</v>
      </c>
      <c r="G2608" s="16">
        <f>ABS(Solieusap!G2608)</f>
        <v>3.767777056</v>
      </c>
      <c r="H2608" s="16">
        <f>ABS(Solieusap!H2608)</f>
        <v>0.001714819026</v>
      </c>
      <c r="I2608" s="16">
        <f>ABS(Solieusap!I2608)</f>
        <v>10.61601885</v>
      </c>
      <c r="J2608" s="16">
        <f>ABS(Solieusap!J2608)</f>
        <v>7.125873442</v>
      </c>
      <c r="K2608" s="16">
        <f t="shared" si="1"/>
        <v>28.87059481</v>
      </c>
      <c r="L2608" s="16">
        <f t="shared" si="2"/>
        <v>10.61601885</v>
      </c>
    </row>
    <row r="2609" ht="16.5" customHeight="1">
      <c r="A2609" s="15" t="str">
        <f>Solieusap!A2609</f>
        <v>Cũ</v>
      </c>
      <c r="B2609" s="15">
        <f>Solieusap!B2609</f>
        <v>1.75</v>
      </c>
      <c r="C2609" s="15" t="str">
        <f>Solieusap!C2609</f>
        <v>COMB1</v>
      </c>
      <c r="D2609" s="15" t="str">
        <f>Solieusap!D2609</f>
        <v>Combination</v>
      </c>
      <c r="E2609" s="16">
        <f>ABS(Solieusap!E2609)</f>
        <v>28.88745117</v>
      </c>
      <c r="F2609" s="16">
        <f>ABS(Solieusap!F2609)</f>
        <v>2.808225887</v>
      </c>
      <c r="G2609" s="16">
        <f>ABS(Solieusap!G2609)</f>
        <v>3.770041472</v>
      </c>
      <c r="H2609" s="16">
        <f>ABS(Solieusap!H2609)</f>
        <v>0.00171587413</v>
      </c>
      <c r="I2609" s="16">
        <f>ABS(Solieusap!I2609)</f>
        <v>10.62281365</v>
      </c>
      <c r="J2609" s="16">
        <f>ABS(Solieusap!J2609)</f>
        <v>7.130420494</v>
      </c>
      <c r="K2609" s="16">
        <f t="shared" si="1"/>
        <v>28.88745117</v>
      </c>
      <c r="L2609" s="16">
        <f t="shared" si="2"/>
        <v>10.62281365</v>
      </c>
    </row>
    <row r="2610" ht="16.5" customHeight="1">
      <c r="A2610" s="15" t="str">
        <f>Solieusap!A2610</f>
        <v>Cũ</v>
      </c>
      <c r="B2610" s="15">
        <f>Solieusap!B2610</f>
        <v>3.5</v>
      </c>
      <c r="C2610" s="15" t="str">
        <f>Solieusap!C2610</f>
        <v>COMB1</v>
      </c>
      <c r="D2610" s="15" t="str">
        <f>Solieusap!D2610</f>
        <v>Combination</v>
      </c>
      <c r="E2610" s="16">
        <f>ABS(Solieusap!E2610)</f>
        <v>28.90430753</v>
      </c>
      <c r="F2610" s="16">
        <f>ABS(Solieusap!F2610)</f>
        <v>2.809936407</v>
      </c>
      <c r="G2610" s="16">
        <f>ABS(Solieusap!G2610)</f>
        <v>3.772305887</v>
      </c>
      <c r="H2610" s="16">
        <f>ABS(Solieusap!H2610)</f>
        <v>0.001716929234</v>
      </c>
      <c r="I2610" s="16">
        <f>ABS(Solieusap!I2610)</f>
        <v>10.62960844</v>
      </c>
      <c r="J2610" s="16">
        <f>ABS(Solieusap!J2610)</f>
        <v>7.134967545</v>
      </c>
      <c r="K2610" s="16">
        <f t="shared" si="1"/>
        <v>28.90430753</v>
      </c>
      <c r="L2610" s="16">
        <f t="shared" si="2"/>
        <v>10.62960844</v>
      </c>
    </row>
    <row r="2611" ht="16.5" customHeight="1">
      <c r="A2611" s="15" t="str">
        <f>Solieusap!A2611</f>
        <v>Cũ</v>
      </c>
      <c r="B2611" s="15">
        <f>Solieusap!B2611</f>
        <v>0</v>
      </c>
      <c r="C2611" s="15" t="str">
        <f>Solieusap!C2611</f>
        <v>COMB2</v>
      </c>
      <c r="D2611" s="15" t="str">
        <f>Solieusap!D2611</f>
        <v>Combination</v>
      </c>
      <c r="E2611" s="16">
        <f>ABS(Solieusap!E2611)</f>
        <v>28.9211639</v>
      </c>
      <c r="F2611" s="16">
        <f>ABS(Solieusap!F2611)</f>
        <v>2.811646926</v>
      </c>
      <c r="G2611" s="16">
        <f>ABS(Solieusap!G2611)</f>
        <v>3.774570303</v>
      </c>
      <c r="H2611" s="16">
        <f>ABS(Solieusap!H2611)</f>
        <v>0.001717984338</v>
      </c>
      <c r="I2611" s="16">
        <f>ABS(Solieusap!I2611)</f>
        <v>10.63640323</v>
      </c>
      <c r="J2611" s="16">
        <f>ABS(Solieusap!J2611)</f>
        <v>7.139514597</v>
      </c>
      <c r="K2611" s="16">
        <f t="shared" si="1"/>
        <v>28.9211639</v>
      </c>
      <c r="L2611" s="16">
        <f t="shared" si="2"/>
        <v>10.63640323</v>
      </c>
    </row>
    <row r="2612" ht="16.5" customHeight="1">
      <c r="A2612" s="15" t="str">
        <f>Solieusap!A2612</f>
        <v>Cũ</v>
      </c>
      <c r="B2612" s="15">
        <f>Solieusap!B2612</f>
        <v>1.75</v>
      </c>
      <c r="C2612" s="15" t="str">
        <f>Solieusap!C2612</f>
        <v>COMB2</v>
      </c>
      <c r="D2612" s="15" t="str">
        <f>Solieusap!D2612</f>
        <v>Combination</v>
      </c>
      <c r="E2612" s="16">
        <f>ABS(Solieusap!E2612)</f>
        <v>28.93802026</v>
      </c>
      <c r="F2612" s="16">
        <f>ABS(Solieusap!F2612)</f>
        <v>2.813357446</v>
      </c>
      <c r="G2612" s="16">
        <f>ABS(Solieusap!G2612)</f>
        <v>3.776834719</v>
      </c>
      <c r="H2612" s="16">
        <f>ABS(Solieusap!H2612)</f>
        <v>0.001719039442</v>
      </c>
      <c r="I2612" s="16">
        <f>ABS(Solieusap!I2612)</f>
        <v>10.64319802</v>
      </c>
      <c r="J2612" s="16">
        <f>ABS(Solieusap!J2612)</f>
        <v>7.144061649</v>
      </c>
      <c r="K2612" s="16">
        <f t="shared" si="1"/>
        <v>28.93802026</v>
      </c>
      <c r="L2612" s="16">
        <f t="shared" si="2"/>
        <v>10.64319802</v>
      </c>
    </row>
    <row r="2613" ht="16.5" customHeight="1">
      <c r="A2613" s="15" t="str">
        <f>Solieusap!A2613</f>
        <v>Cũ</v>
      </c>
      <c r="B2613" s="15">
        <f>Solieusap!B2613</f>
        <v>3.5</v>
      </c>
      <c r="C2613" s="15" t="str">
        <f>Solieusap!C2613</f>
        <v>COMB2</v>
      </c>
      <c r="D2613" s="15" t="str">
        <f>Solieusap!D2613</f>
        <v>Combination</v>
      </c>
      <c r="E2613" s="16">
        <f>ABS(Solieusap!E2613)</f>
        <v>28.95487662</v>
      </c>
      <c r="F2613" s="16">
        <f>ABS(Solieusap!F2613)</f>
        <v>2.815067965</v>
      </c>
      <c r="G2613" s="16">
        <f>ABS(Solieusap!G2613)</f>
        <v>3.779099134</v>
      </c>
      <c r="H2613" s="16">
        <f>ABS(Solieusap!H2613)</f>
        <v>0.001720094545</v>
      </c>
      <c r="I2613" s="16">
        <f>ABS(Solieusap!I2613)</f>
        <v>10.64999281</v>
      </c>
      <c r="J2613" s="16">
        <f>ABS(Solieusap!J2613)</f>
        <v>7.148608701</v>
      </c>
      <c r="K2613" s="16">
        <f t="shared" si="1"/>
        <v>28.95487662</v>
      </c>
      <c r="L2613" s="16">
        <f t="shared" si="2"/>
        <v>10.64999281</v>
      </c>
    </row>
    <row r="2614" ht="16.5" customHeight="1">
      <c r="A2614" s="15" t="str">
        <f>Solieusap!A2614</f>
        <v>Cũ</v>
      </c>
      <c r="B2614" s="15">
        <f>Solieusap!B2614</f>
        <v>0</v>
      </c>
      <c r="C2614" s="15" t="str">
        <f>Solieusap!C2614</f>
        <v>COMB3</v>
      </c>
      <c r="D2614" s="15" t="str">
        <f>Solieusap!D2614</f>
        <v>Combination</v>
      </c>
      <c r="E2614" s="16">
        <f>ABS(Solieusap!E2614)</f>
        <v>28.97173299</v>
      </c>
      <c r="F2614" s="16">
        <f>ABS(Solieusap!F2614)</f>
        <v>2.816778485</v>
      </c>
      <c r="G2614" s="16">
        <f>ABS(Solieusap!G2614)</f>
        <v>3.78136355</v>
      </c>
      <c r="H2614" s="16">
        <f>ABS(Solieusap!H2614)</f>
        <v>0.001721149649</v>
      </c>
      <c r="I2614" s="16">
        <f>ABS(Solieusap!I2614)</f>
        <v>10.65678761</v>
      </c>
      <c r="J2614" s="16">
        <f>ABS(Solieusap!J2614)</f>
        <v>7.153155753</v>
      </c>
      <c r="K2614" s="16">
        <f t="shared" si="1"/>
        <v>28.97173299</v>
      </c>
      <c r="L2614" s="16">
        <f t="shared" si="2"/>
        <v>10.65678761</v>
      </c>
    </row>
    <row r="2615" ht="16.5" customHeight="1">
      <c r="A2615" s="15" t="str">
        <f>Solieusap!A2615</f>
        <v>Cũ</v>
      </c>
      <c r="B2615" s="15">
        <f>Solieusap!B2615</f>
        <v>1.75</v>
      </c>
      <c r="C2615" s="15" t="str">
        <f>Solieusap!C2615</f>
        <v>COMB3</v>
      </c>
      <c r="D2615" s="15" t="str">
        <f>Solieusap!D2615</f>
        <v>Combination</v>
      </c>
      <c r="E2615" s="16">
        <f>ABS(Solieusap!E2615)</f>
        <v>28.98858935</v>
      </c>
      <c r="F2615" s="16">
        <f>ABS(Solieusap!F2615)</f>
        <v>2.818489004</v>
      </c>
      <c r="G2615" s="16">
        <f>ABS(Solieusap!G2615)</f>
        <v>3.783627965</v>
      </c>
      <c r="H2615" s="16">
        <f>ABS(Solieusap!H2615)</f>
        <v>0.001722204753</v>
      </c>
      <c r="I2615" s="16">
        <f>ABS(Solieusap!I2615)</f>
        <v>10.6635824</v>
      </c>
      <c r="J2615" s="16">
        <f>ABS(Solieusap!J2615)</f>
        <v>7.157702805</v>
      </c>
      <c r="K2615" s="16">
        <f t="shared" si="1"/>
        <v>28.98858935</v>
      </c>
      <c r="L2615" s="16">
        <f t="shared" si="2"/>
        <v>10.6635824</v>
      </c>
    </row>
    <row r="2616" ht="16.5" customHeight="1">
      <c r="A2616" s="15" t="str">
        <f>Solieusap!A2616</f>
        <v>Cũ</v>
      </c>
      <c r="B2616" s="15">
        <f>Solieusap!B2616</f>
        <v>3.5</v>
      </c>
      <c r="C2616" s="15" t="str">
        <f>Solieusap!C2616</f>
        <v>COMB3</v>
      </c>
      <c r="D2616" s="15" t="str">
        <f>Solieusap!D2616</f>
        <v>Combination</v>
      </c>
      <c r="E2616" s="16">
        <f>ABS(Solieusap!E2616)</f>
        <v>29.00544571</v>
      </c>
      <c r="F2616" s="16">
        <f>ABS(Solieusap!F2616)</f>
        <v>2.820199524</v>
      </c>
      <c r="G2616" s="16">
        <f>ABS(Solieusap!G2616)</f>
        <v>3.785892381</v>
      </c>
      <c r="H2616" s="16">
        <f>ABS(Solieusap!H2616)</f>
        <v>0.001723259857</v>
      </c>
      <c r="I2616" s="16">
        <f>ABS(Solieusap!I2616)</f>
        <v>10.67037719</v>
      </c>
      <c r="J2616" s="16">
        <f>ABS(Solieusap!J2616)</f>
        <v>7.162249857</v>
      </c>
      <c r="K2616" s="16">
        <f t="shared" si="1"/>
        <v>29.00544571</v>
      </c>
      <c r="L2616" s="16">
        <f t="shared" si="2"/>
        <v>10.67037719</v>
      </c>
    </row>
    <row r="2617" ht="16.5" customHeight="1">
      <c r="A2617" s="15" t="str">
        <f>Solieusap!A2617</f>
        <v>Cũ</v>
      </c>
      <c r="B2617" s="15">
        <f>Solieusap!B2617</f>
        <v>0</v>
      </c>
      <c r="C2617" s="15" t="str">
        <f>Solieusap!C2617</f>
        <v>COMB4</v>
      </c>
      <c r="D2617" s="15" t="str">
        <f>Solieusap!D2617</f>
        <v>Combination</v>
      </c>
      <c r="E2617" s="16">
        <f>ABS(Solieusap!E2617)</f>
        <v>29.02230208</v>
      </c>
      <c r="F2617" s="16">
        <f>ABS(Solieusap!F2617)</f>
        <v>2.821910043</v>
      </c>
      <c r="G2617" s="16">
        <f>ABS(Solieusap!G2617)</f>
        <v>3.788156797</v>
      </c>
      <c r="H2617" s="16">
        <f>ABS(Solieusap!H2617)</f>
        <v>0.001724314961</v>
      </c>
      <c r="I2617" s="16">
        <f>ABS(Solieusap!I2617)</f>
        <v>10.67717198</v>
      </c>
      <c r="J2617" s="16">
        <f>ABS(Solieusap!J2617)</f>
        <v>7.166796909</v>
      </c>
      <c r="K2617" s="16">
        <f t="shared" si="1"/>
        <v>29.02230208</v>
      </c>
      <c r="L2617" s="16">
        <f t="shared" si="2"/>
        <v>10.67717198</v>
      </c>
    </row>
    <row r="2618" ht="16.5" customHeight="1">
      <c r="A2618" s="15" t="str">
        <f>Solieusap!A2618</f>
        <v>Cũ</v>
      </c>
      <c r="B2618" s="15">
        <f>Solieusap!B2618</f>
        <v>1.75</v>
      </c>
      <c r="C2618" s="15" t="str">
        <f>Solieusap!C2618</f>
        <v>COMB4</v>
      </c>
      <c r="D2618" s="15" t="str">
        <f>Solieusap!D2618</f>
        <v>Combination</v>
      </c>
      <c r="E2618" s="16">
        <f>ABS(Solieusap!E2618)</f>
        <v>29.03915844</v>
      </c>
      <c r="F2618" s="16">
        <f>ABS(Solieusap!F2618)</f>
        <v>2.823620563</v>
      </c>
      <c r="G2618" s="16">
        <f>ABS(Solieusap!G2618)</f>
        <v>3.790421212</v>
      </c>
      <c r="H2618" s="16">
        <f>ABS(Solieusap!H2618)</f>
        <v>0.001725370065</v>
      </c>
      <c r="I2618" s="16">
        <f>ABS(Solieusap!I2618)</f>
        <v>10.68396677</v>
      </c>
      <c r="J2618" s="16">
        <f>ABS(Solieusap!J2618)</f>
        <v>7.171343961</v>
      </c>
      <c r="K2618" s="16">
        <f t="shared" si="1"/>
        <v>29.03915844</v>
      </c>
      <c r="L2618" s="16">
        <f t="shared" si="2"/>
        <v>10.68396677</v>
      </c>
    </row>
    <row r="2619" ht="16.5" customHeight="1">
      <c r="A2619" s="15" t="str">
        <f>Solieusap!A2619</f>
        <v>Cũ</v>
      </c>
      <c r="B2619" s="15">
        <f>Solieusap!B2619</f>
        <v>3.5</v>
      </c>
      <c r="C2619" s="15" t="str">
        <f>Solieusap!C2619</f>
        <v>COMB4</v>
      </c>
      <c r="D2619" s="15" t="str">
        <f>Solieusap!D2619</f>
        <v>Combination</v>
      </c>
      <c r="E2619" s="16">
        <f>ABS(Solieusap!E2619)</f>
        <v>29.05601481</v>
      </c>
      <c r="F2619" s="16">
        <f>ABS(Solieusap!F2619)</f>
        <v>2.825331082</v>
      </c>
      <c r="G2619" s="16">
        <f>ABS(Solieusap!G2619)</f>
        <v>3.792685628</v>
      </c>
      <c r="H2619" s="16">
        <f>ABS(Solieusap!H2619)</f>
        <v>0.001726425169</v>
      </c>
      <c r="I2619" s="16">
        <f>ABS(Solieusap!I2619)</f>
        <v>10.69076157</v>
      </c>
      <c r="J2619" s="16">
        <f>ABS(Solieusap!J2619)</f>
        <v>7.175891013</v>
      </c>
      <c r="K2619" s="16">
        <f t="shared" si="1"/>
        <v>29.05601481</v>
      </c>
      <c r="L2619" s="16">
        <f t="shared" si="2"/>
        <v>10.69076157</v>
      </c>
    </row>
    <row r="2620" ht="16.5" customHeight="1">
      <c r="A2620" s="15" t="str">
        <f>Solieusap!A2620</f>
        <v>Cũ</v>
      </c>
      <c r="B2620" s="15">
        <f>Solieusap!B2620</f>
        <v>0</v>
      </c>
      <c r="C2620" s="15" t="str">
        <f>Solieusap!C2620</f>
        <v>COMB5</v>
      </c>
      <c r="D2620" s="15" t="str">
        <f>Solieusap!D2620</f>
        <v>Combination</v>
      </c>
      <c r="E2620" s="16">
        <f>ABS(Solieusap!E2620)</f>
        <v>29.07287117</v>
      </c>
      <c r="F2620" s="16">
        <f>ABS(Solieusap!F2620)</f>
        <v>2.827041602</v>
      </c>
      <c r="G2620" s="16">
        <f>ABS(Solieusap!G2620)</f>
        <v>3.794950043</v>
      </c>
      <c r="H2620" s="16">
        <f>ABS(Solieusap!H2620)</f>
        <v>0.001727480273</v>
      </c>
      <c r="I2620" s="16">
        <f>ABS(Solieusap!I2620)</f>
        <v>10.69755636</v>
      </c>
      <c r="J2620" s="16">
        <f>ABS(Solieusap!J2620)</f>
        <v>7.180438065</v>
      </c>
      <c r="K2620" s="16">
        <f t="shared" si="1"/>
        <v>29.07287117</v>
      </c>
      <c r="L2620" s="16">
        <f t="shared" si="2"/>
        <v>10.69755636</v>
      </c>
    </row>
    <row r="2621" ht="16.5" customHeight="1">
      <c r="A2621" s="15" t="str">
        <f>Solieusap!A2621</f>
        <v>Cũ</v>
      </c>
      <c r="B2621" s="15">
        <f>Solieusap!B2621</f>
        <v>1.75</v>
      </c>
      <c r="C2621" s="15" t="str">
        <f>Solieusap!C2621</f>
        <v>COMB5</v>
      </c>
      <c r="D2621" s="15" t="str">
        <f>Solieusap!D2621</f>
        <v>Combination</v>
      </c>
      <c r="E2621" s="16">
        <f>ABS(Solieusap!E2621)</f>
        <v>29.08972753</v>
      </c>
      <c r="F2621" s="16">
        <f>ABS(Solieusap!F2621)</f>
        <v>2.828752121</v>
      </c>
      <c r="G2621" s="16">
        <f>ABS(Solieusap!G2621)</f>
        <v>3.797214459</v>
      </c>
      <c r="H2621" s="16">
        <f>ABS(Solieusap!H2621)</f>
        <v>0.001728535377</v>
      </c>
      <c r="I2621" s="16">
        <f>ABS(Solieusap!I2621)</f>
        <v>10.70435115</v>
      </c>
      <c r="J2621" s="16">
        <f>ABS(Solieusap!J2621)</f>
        <v>7.184985117</v>
      </c>
      <c r="K2621" s="16">
        <f t="shared" si="1"/>
        <v>29.08972753</v>
      </c>
      <c r="L2621" s="16">
        <f t="shared" si="2"/>
        <v>10.70435115</v>
      </c>
    </row>
    <row r="2622" ht="16.5" customHeight="1">
      <c r="A2622" s="15" t="str">
        <f>Solieusap!A2622</f>
        <v>Cũ</v>
      </c>
      <c r="B2622" s="15">
        <f>Solieusap!B2622</f>
        <v>3.5</v>
      </c>
      <c r="C2622" s="15" t="str">
        <f>Solieusap!C2622</f>
        <v>COMB5</v>
      </c>
      <c r="D2622" s="15" t="str">
        <f>Solieusap!D2622</f>
        <v>Combination</v>
      </c>
      <c r="E2622" s="16">
        <f>ABS(Solieusap!E2622)</f>
        <v>29.1065839</v>
      </c>
      <c r="F2622" s="16">
        <f>ABS(Solieusap!F2622)</f>
        <v>2.830462641</v>
      </c>
      <c r="G2622" s="16">
        <f>ABS(Solieusap!G2622)</f>
        <v>3.799478874</v>
      </c>
      <c r="H2622" s="16">
        <f>ABS(Solieusap!H2622)</f>
        <v>0.001729590481</v>
      </c>
      <c r="I2622" s="16">
        <f>ABS(Solieusap!I2622)</f>
        <v>10.71114594</v>
      </c>
      <c r="J2622" s="16">
        <f>ABS(Solieusap!J2622)</f>
        <v>7.189532169</v>
      </c>
      <c r="K2622" s="16">
        <f t="shared" si="1"/>
        <v>29.1065839</v>
      </c>
      <c r="L2622" s="16">
        <f t="shared" si="2"/>
        <v>10.71114594</v>
      </c>
    </row>
    <row r="2623" ht="16.5" customHeight="1">
      <c r="A2623" s="15" t="str">
        <f>Solieusap!A2623</f>
        <v>Cũ</v>
      </c>
      <c r="B2623" s="15">
        <f>Solieusap!B2623</f>
        <v>0</v>
      </c>
      <c r="C2623" s="15" t="str">
        <f>Solieusap!C2623</f>
        <v>COMB6</v>
      </c>
      <c r="D2623" s="15" t="str">
        <f>Solieusap!D2623</f>
        <v>Combination</v>
      </c>
      <c r="E2623" s="16">
        <f>ABS(Solieusap!E2623)</f>
        <v>29.12344026</v>
      </c>
      <c r="F2623" s="16">
        <f>ABS(Solieusap!F2623)</f>
        <v>2.83217316</v>
      </c>
      <c r="G2623" s="16">
        <f>ABS(Solieusap!G2623)</f>
        <v>3.80174329</v>
      </c>
      <c r="H2623" s="16">
        <f>ABS(Solieusap!H2623)</f>
        <v>0.001730645584</v>
      </c>
      <c r="I2623" s="16">
        <f>ABS(Solieusap!I2623)</f>
        <v>10.71794074</v>
      </c>
      <c r="J2623" s="16">
        <f>ABS(Solieusap!J2623)</f>
        <v>7.194079221</v>
      </c>
      <c r="K2623" s="16">
        <f t="shared" si="1"/>
        <v>29.12344026</v>
      </c>
      <c r="L2623" s="16">
        <f t="shared" si="2"/>
        <v>10.71794074</v>
      </c>
    </row>
    <row r="2624" ht="16.5" customHeight="1">
      <c r="A2624" s="15" t="str">
        <f>Solieusap!A2624</f>
        <v>Cũ</v>
      </c>
      <c r="B2624" s="15">
        <f>Solieusap!B2624</f>
        <v>1.75</v>
      </c>
      <c r="C2624" s="15" t="str">
        <f>Solieusap!C2624</f>
        <v>COMB6</v>
      </c>
      <c r="D2624" s="15" t="str">
        <f>Solieusap!D2624</f>
        <v>Combination</v>
      </c>
      <c r="E2624" s="16">
        <f>ABS(Solieusap!E2624)</f>
        <v>29.14029662</v>
      </c>
      <c r="F2624" s="16">
        <f>ABS(Solieusap!F2624)</f>
        <v>2.83388368</v>
      </c>
      <c r="G2624" s="16">
        <f>ABS(Solieusap!G2624)</f>
        <v>3.804007706</v>
      </c>
      <c r="H2624" s="16">
        <f>ABS(Solieusap!H2624)</f>
        <v>0.001731700688</v>
      </c>
      <c r="I2624" s="16">
        <f>ABS(Solieusap!I2624)</f>
        <v>10.72473553</v>
      </c>
      <c r="J2624" s="16">
        <f>ABS(Solieusap!J2624)</f>
        <v>7.198626273</v>
      </c>
      <c r="K2624" s="16">
        <f t="shared" si="1"/>
        <v>29.14029662</v>
      </c>
      <c r="L2624" s="16">
        <f t="shared" si="2"/>
        <v>10.72473553</v>
      </c>
    </row>
    <row r="2625" ht="16.5" customHeight="1">
      <c r="A2625" s="15" t="str">
        <f>Solieusap!A2625</f>
        <v>Cũ</v>
      </c>
      <c r="B2625" s="15">
        <f>Solieusap!B2625</f>
        <v>3.5</v>
      </c>
      <c r="C2625" s="15" t="str">
        <f>Solieusap!C2625</f>
        <v>COMB6</v>
      </c>
      <c r="D2625" s="15" t="str">
        <f>Solieusap!D2625</f>
        <v>Combination</v>
      </c>
      <c r="E2625" s="16">
        <f>ABS(Solieusap!E2625)</f>
        <v>29.15715299</v>
      </c>
      <c r="F2625" s="16">
        <f>ABS(Solieusap!F2625)</f>
        <v>2.835594199</v>
      </c>
      <c r="G2625" s="16">
        <f>ABS(Solieusap!G2625)</f>
        <v>3.806272121</v>
      </c>
      <c r="H2625" s="16">
        <f>ABS(Solieusap!H2625)</f>
        <v>0.001732755792</v>
      </c>
      <c r="I2625" s="16">
        <f>ABS(Solieusap!I2625)</f>
        <v>10.73153032</v>
      </c>
      <c r="J2625" s="16">
        <f>ABS(Solieusap!J2625)</f>
        <v>7.203173325</v>
      </c>
      <c r="K2625" s="16">
        <f t="shared" si="1"/>
        <v>29.15715299</v>
      </c>
      <c r="L2625" s="16">
        <f t="shared" si="2"/>
        <v>10.73153032</v>
      </c>
    </row>
    <row r="2626" ht="16.5" customHeight="1">
      <c r="A2626" s="15" t="str">
        <f>Solieusap!A2626</f>
        <v>Cũ</v>
      </c>
      <c r="B2626" s="15">
        <f>Solieusap!B2626</f>
        <v>0</v>
      </c>
      <c r="C2626" s="15" t="str">
        <f>Solieusap!C2626</f>
        <v>COMB7</v>
      </c>
      <c r="D2626" s="15" t="str">
        <f>Solieusap!D2626</f>
        <v>Combination</v>
      </c>
      <c r="E2626" s="16">
        <f>ABS(Solieusap!E2626)</f>
        <v>29.17400935</v>
      </c>
      <c r="F2626" s="16">
        <f>ABS(Solieusap!F2626)</f>
        <v>2.837304719</v>
      </c>
      <c r="G2626" s="16">
        <f>ABS(Solieusap!G2626)</f>
        <v>3.808536537</v>
      </c>
      <c r="H2626" s="16">
        <f>ABS(Solieusap!H2626)</f>
        <v>0.001733810896</v>
      </c>
      <c r="I2626" s="16">
        <f>ABS(Solieusap!I2626)</f>
        <v>10.73832511</v>
      </c>
      <c r="J2626" s="16">
        <f>ABS(Solieusap!J2626)</f>
        <v>7.207720377</v>
      </c>
      <c r="K2626" s="16">
        <f t="shared" si="1"/>
        <v>29.17400935</v>
      </c>
      <c r="L2626" s="16">
        <f t="shared" si="2"/>
        <v>10.73832511</v>
      </c>
    </row>
    <row r="2627" ht="16.5" customHeight="1">
      <c r="A2627" s="15" t="str">
        <f>Solieusap!A2627</f>
        <v>Cũ</v>
      </c>
      <c r="B2627" s="15">
        <f>Solieusap!B2627</f>
        <v>1.75</v>
      </c>
      <c r="C2627" s="15" t="str">
        <f>Solieusap!C2627</f>
        <v>COMB7</v>
      </c>
      <c r="D2627" s="15" t="str">
        <f>Solieusap!D2627</f>
        <v>Combination</v>
      </c>
      <c r="E2627" s="16">
        <f>ABS(Solieusap!E2627)</f>
        <v>29.19086571</v>
      </c>
      <c r="F2627" s="16">
        <f>ABS(Solieusap!F2627)</f>
        <v>2.839015238</v>
      </c>
      <c r="G2627" s="16">
        <f>ABS(Solieusap!G2627)</f>
        <v>3.810800952</v>
      </c>
      <c r="H2627" s="16">
        <f>ABS(Solieusap!H2627)</f>
        <v>0.001734866</v>
      </c>
      <c r="I2627" s="16">
        <f>ABS(Solieusap!I2627)</f>
        <v>10.7451199</v>
      </c>
      <c r="J2627" s="16">
        <f>ABS(Solieusap!J2627)</f>
        <v>7.212267429</v>
      </c>
      <c r="K2627" s="16">
        <f t="shared" si="1"/>
        <v>29.19086571</v>
      </c>
      <c r="L2627" s="16">
        <f t="shared" si="2"/>
        <v>10.7451199</v>
      </c>
    </row>
    <row r="2628" ht="16.5" customHeight="1">
      <c r="A2628" s="15" t="str">
        <f>Solieusap!A2628</f>
        <v>Cũ</v>
      </c>
      <c r="B2628" s="15">
        <f>Solieusap!B2628</f>
        <v>3.5</v>
      </c>
      <c r="C2628" s="15" t="str">
        <f>Solieusap!C2628</f>
        <v>COMB7</v>
      </c>
      <c r="D2628" s="15" t="str">
        <f>Solieusap!D2628</f>
        <v>Combination</v>
      </c>
      <c r="E2628" s="16">
        <f>ABS(Solieusap!E2628)</f>
        <v>29.20772208</v>
      </c>
      <c r="F2628" s="16">
        <f>ABS(Solieusap!F2628)</f>
        <v>2.840725758</v>
      </c>
      <c r="G2628" s="16">
        <f>ABS(Solieusap!G2628)</f>
        <v>3.813065368</v>
      </c>
      <c r="H2628" s="16">
        <f>ABS(Solieusap!H2628)</f>
        <v>0.001735921104</v>
      </c>
      <c r="I2628" s="16">
        <f>ABS(Solieusap!I2628)</f>
        <v>10.7519147</v>
      </c>
      <c r="J2628" s="16">
        <f>ABS(Solieusap!J2628)</f>
        <v>7.216814481</v>
      </c>
      <c r="K2628" s="16">
        <f t="shared" si="1"/>
        <v>29.20772208</v>
      </c>
      <c r="L2628" s="16">
        <f t="shared" si="2"/>
        <v>10.7519147</v>
      </c>
    </row>
    <row r="2629" ht="16.5" customHeight="1">
      <c r="A2629" s="15" t="str">
        <f>Solieusap!A2629</f>
        <v>Cũ</v>
      </c>
      <c r="B2629" s="15">
        <f>Solieusap!B2629</f>
        <v>0</v>
      </c>
      <c r="C2629" s="15" t="str">
        <f>Solieusap!C2629</f>
        <v>COMB1</v>
      </c>
      <c r="D2629" s="15" t="str">
        <f>Solieusap!D2629</f>
        <v>Combination</v>
      </c>
      <c r="E2629" s="16">
        <f>ABS(Solieusap!E2629)</f>
        <v>29.22457844</v>
      </c>
      <c r="F2629" s="16">
        <f>ABS(Solieusap!F2629)</f>
        <v>2.842436277</v>
      </c>
      <c r="G2629" s="16">
        <f>ABS(Solieusap!G2629)</f>
        <v>3.815329784</v>
      </c>
      <c r="H2629" s="16">
        <f>ABS(Solieusap!H2629)</f>
        <v>0.001736976208</v>
      </c>
      <c r="I2629" s="16">
        <f>ABS(Solieusap!I2629)</f>
        <v>10.75870949</v>
      </c>
      <c r="J2629" s="16">
        <f>ABS(Solieusap!J2629)</f>
        <v>7.221361532</v>
      </c>
      <c r="K2629" s="16">
        <f t="shared" si="1"/>
        <v>29.22457844</v>
      </c>
      <c r="L2629" s="16">
        <f t="shared" si="2"/>
        <v>10.75870949</v>
      </c>
    </row>
    <row r="2630" ht="16.5" customHeight="1">
      <c r="A2630" s="15" t="str">
        <f>Solieusap!A2630</f>
        <v>Cũ</v>
      </c>
      <c r="B2630" s="15">
        <f>Solieusap!B2630</f>
        <v>1.75</v>
      </c>
      <c r="C2630" s="15" t="str">
        <f>Solieusap!C2630</f>
        <v>COMB1</v>
      </c>
      <c r="D2630" s="15" t="str">
        <f>Solieusap!D2630</f>
        <v>Combination</v>
      </c>
      <c r="E2630" s="16">
        <f>ABS(Solieusap!E2630)</f>
        <v>29.24143481</v>
      </c>
      <c r="F2630" s="16">
        <f>ABS(Solieusap!F2630)</f>
        <v>2.844146797</v>
      </c>
      <c r="G2630" s="16">
        <f>ABS(Solieusap!G2630)</f>
        <v>3.817594199</v>
      </c>
      <c r="H2630" s="16">
        <f>ABS(Solieusap!H2630)</f>
        <v>0.001738031312</v>
      </c>
      <c r="I2630" s="16">
        <f>ABS(Solieusap!I2630)</f>
        <v>10.76550428</v>
      </c>
      <c r="J2630" s="16">
        <f>ABS(Solieusap!J2630)</f>
        <v>7.225908584</v>
      </c>
      <c r="K2630" s="16">
        <f t="shared" si="1"/>
        <v>29.24143481</v>
      </c>
      <c r="L2630" s="16">
        <f t="shared" si="2"/>
        <v>10.76550428</v>
      </c>
    </row>
    <row r="2631" ht="16.5" customHeight="1">
      <c r="A2631" s="15" t="str">
        <f>Solieusap!A2631</f>
        <v>Cũ</v>
      </c>
      <c r="B2631" s="15">
        <f>Solieusap!B2631</f>
        <v>3.5</v>
      </c>
      <c r="C2631" s="15" t="str">
        <f>Solieusap!C2631</f>
        <v>COMB1</v>
      </c>
      <c r="D2631" s="15" t="str">
        <f>Solieusap!D2631</f>
        <v>Combination</v>
      </c>
      <c r="E2631" s="16">
        <f>ABS(Solieusap!E2631)</f>
        <v>29.25829117</v>
      </c>
      <c r="F2631" s="16">
        <f>ABS(Solieusap!F2631)</f>
        <v>2.845857316</v>
      </c>
      <c r="G2631" s="16">
        <f>ABS(Solieusap!G2631)</f>
        <v>3.819858615</v>
      </c>
      <c r="H2631" s="16">
        <f>ABS(Solieusap!H2631)</f>
        <v>0.001739086416</v>
      </c>
      <c r="I2631" s="16">
        <f>ABS(Solieusap!I2631)</f>
        <v>10.77229907</v>
      </c>
      <c r="J2631" s="16">
        <f>ABS(Solieusap!J2631)</f>
        <v>7.230455636</v>
      </c>
      <c r="K2631" s="16">
        <f t="shared" si="1"/>
        <v>29.25829117</v>
      </c>
      <c r="L2631" s="16">
        <f t="shared" si="2"/>
        <v>10.77229907</v>
      </c>
    </row>
    <row r="2632" ht="16.5" customHeight="1">
      <c r="A2632" s="15" t="str">
        <f>Solieusap!A2632</f>
        <v>Cũ</v>
      </c>
      <c r="B2632" s="15">
        <f>Solieusap!B2632</f>
        <v>0</v>
      </c>
      <c r="C2632" s="15" t="str">
        <f>Solieusap!C2632</f>
        <v>COMB2</v>
      </c>
      <c r="D2632" s="15" t="str">
        <f>Solieusap!D2632</f>
        <v>Combination</v>
      </c>
      <c r="E2632" s="16">
        <f>ABS(Solieusap!E2632)</f>
        <v>29.27514753</v>
      </c>
      <c r="F2632" s="16">
        <f>ABS(Solieusap!F2632)</f>
        <v>2.847567835</v>
      </c>
      <c r="G2632" s="16">
        <f>ABS(Solieusap!G2632)</f>
        <v>3.82212303</v>
      </c>
      <c r="H2632" s="16">
        <f>ABS(Solieusap!H2632)</f>
        <v>0.001740141519</v>
      </c>
      <c r="I2632" s="16">
        <f>ABS(Solieusap!I2632)</f>
        <v>10.77909387</v>
      </c>
      <c r="J2632" s="16">
        <f>ABS(Solieusap!J2632)</f>
        <v>7.235002688</v>
      </c>
      <c r="K2632" s="16">
        <f t="shared" si="1"/>
        <v>29.27514753</v>
      </c>
      <c r="L2632" s="16">
        <f t="shared" si="2"/>
        <v>10.77909387</v>
      </c>
    </row>
    <row r="2633" ht="16.5" customHeight="1">
      <c r="A2633" s="15" t="str">
        <f>Solieusap!A2633</f>
        <v>Cũ</v>
      </c>
      <c r="B2633" s="15">
        <f>Solieusap!B2633</f>
        <v>1.75</v>
      </c>
      <c r="C2633" s="15" t="str">
        <f>Solieusap!C2633</f>
        <v>COMB2</v>
      </c>
      <c r="D2633" s="15" t="str">
        <f>Solieusap!D2633</f>
        <v>Combination</v>
      </c>
      <c r="E2633" s="16">
        <f>ABS(Solieusap!E2633)</f>
        <v>29.2920039</v>
      </c>
      <c r="F2633" s="16">
        <f>ABS(Solieusap!F2633)</f>
        <v>2.849278355</v>
      </c>
      <c r="G2633" s="16">
        <f>ABS(Solieusap!G2633)</f>
        <v>3.824387446</v>
      </c>
      <c r="H2633" s="16">
        <f>ABS(Solieusap!H2633)</f>
        <v>0.001741196623</v>
      </c>
      <c r="I2633" s="16">
        <f>ABS(Solieusap!I2633)</f>
        <v>10.78588866</v>
      </c>
      <c r="J2633" s="16">
        <f>ABS(Solieusap!J2633)</f>
        <v>7.23954974</v>
      </c>
      <c r="K2633" s="16">
        <f t="shared" si="1"/>
        <v>29.2920039</v>
      </c>
      <c r="L2633" s="16">
        <f t="shared" si="2"/>
        <v>10.78588866</v>
      </c>
    </row>
    <row r="2634" ht="16.5" customHeight="1">
      <c r="A2634" s="15" t="str">
        <f>Solieusap!A2634</f>
        <v>Cũ</v>
      </c>
      <c r="B2634" s="15">
        <f>Solieusap!B2634</f>
        <v>3.5</v>
      </c>
      <c r="C2634" s="15" t="str">
        <f>Solieusap!C2634</f>
        <v>COMB2</v>
      </c>
      <c r="D2634" s="15" t="str">
        <f>Solieusap!D2634</f>
        <v>Combination</v>
      </c>
      <c r="E2634" s="16">
        <f>ABS(Solieusap!E2634)</f>
        <v>29.30886026</v>
      </c>
      <c r="F2634" s="16">
        <f>ABS(Solieusap!F2634)</f>
        <v>2.850988874</v>
      </c>
      <c r="G2634" s="16">
        <f>ABS(Solieusap!G2634)</f>
        <v>3.826651861</v>
      </c>
      <c r="H2634" s="16">
        <f>ABS(Solieusap!H2634)</f>
        <v>0.001742251727</v>
      </c>
      <c r="I2634" s="16">
        <f>ABS(Solieusap!I2634)</f>
        <v>10.79268345</v>
      </c>
      <c r="J2634" s="16">
        <f>ABS(Solieusap!J2634)</f>
        <v>7.244096792</v>
      </c>
      <c r="K2634" s="16">
        <f t="shared" si="1"/>
        <v>29.30886026</v>
      </c>
      <c r="L2634" s="16">
        <f t="shared" si="2"/>
        <v>10.79268345</v>
      </c>
    </row>
    <row r="2635" ht="16.5" customHeight="1">
      <c r="A2635" s="15" t="str">
        <f>Solieusap!A2635</f>
        <v>Cũ</v>
      </c>
      <c r="B2635" s="15">
        <f>Solieusap!B2635</f>
        <v>0</v>
      </c>
      <c r="C2635" s="15" t="str">
        <f>Solieusap!C2635</f>
        <v>COMB3</v>
      </c>
      <c r="D2635" s="15" t="str">
        <f>Solieusap!D2635</f>
        <v>Combination</v>
      </c>
      <c r="E2635" s="16">
        <f>ABS(Solieusap!E2635)</f>
        <v>29.32571662</v>
      </c>
      <c r="F2635" s="16">
        <f>ABS(Solieusap!F2635)</f>
        <v>2.852699394</v>
      </c>
      <c r="G2635" s="16">
        <f>ABS(Solieusap!G2635)</f>
        <v>3.828916277</v>
      </c>
      <c r="H2635" s="16">
        <f>ABS(Solieusap!H2635)</f>
        <v>0.001743306831</v>
      </c>
      <c r="I2635" s="16">
        <f>ABS(Solieusap!I2635)</f>
        <v>10.79947824</v>
      </c>
      <c r="J2635" s="16">
        <f>ABS(Solieusap!J2635)</f>
        <v>7.248643844</v>
      </c>
      <c r="K2635" s="16">
        <f t="shared" si="1"/>
        <v>29.32571662</v>
      </c>
      <c r="L2635" s="16">
        <f t="shared" si="2"/>
        <v>10.79947824</v>
      </c>
    </row>
    <row r="2636" ht="16.5" customHeight="1">
      <c r="A2636" s="15" t="str">
        <f>Solieusap!A2636</f>
        <v>Cũ</v>
      </c>
      <c r="B2636" s="15">
        <f>Solieusap!B2636</f>
        <v>1.75</v>
      </c>
      <c r="C2636" s="15" t="str">
        <f>Solieusap!C2636</f>
        <v>COMB3</v>
      </c>
      <c r="D2636" s="15" t="str">
        <f>Solieusap!D2636</f>
        <v>Combination</v>
      </c>
      <c r="E2636" s="16">
        <f>ABS(Solieusap!E2636)</f>
        <v>29.34257299</v>
      </c>
      <c r="F2636" s="16">
        <f>ABS(Solieusap!F2636)</f>
        <v>2.854409913</v>
      </c>
      <c r="G2636" s="16">
        <f>ABS(Solieusap!G2636)</f>
        <v>3.831180693</v>
      </c>
      <c r="H2636" s="16">
        <f>ABS(Solieusap!H2636)</f>
        <v>0.001744361935</v>
      </c>
      <c r="I2636" s="16">
        <f>ABS(Solieusap!I2636)</f>
        <v>10.80627303</v>
      </c>
      <c r="J2636" s="16">
        <f>ABS(Solieusap!J2636)</f>
        <v>7.253190896</v>
      </c>
      <c r="K2636" s="16">
        <f t="shared" si="1"/>
        <v>29.34257299</v>
      </c>
      <c r="L2636" s="16">
        <f t="shared" si="2"/>
        <v>10.80627303</v>
      </c>
    </row>
    <row r="2637" ht="16.5" customHeight="1">
      <c r="A2637" s="15" t="str">
        <f>Solieusap!A2637</f>
        <v>Cũ</v>
      </c>
      <c r="B2637" s="15">
        <f>Solieusap!B2637</f>
        <v>3.5</v>
      </c>
      <c r="C2637" s="15" t="str">
        <f>Solieusap!C2637</f>
        <v>COMB3</v>
      </c>
      <c r="D2637" s="15" t="str">
        <f>Solieusap!D2637</f>
        <v>Combination</v>
      </c>
      <c r="E2637" s="16">
        <f>ABS(Solieusap!E2637)</f>
        <v>29.35942935</v>
      </c>
      <c r="F2637" s="16">
        <f>ABS(Solieusap!F2637)</f>
        <v>2.856120433</v>
      </c>
      <c r="G2637" s="16">
        <f>ABS(Solieusap!G2637)</f>
        <v>3.833445108</v>
      </c>
      <c r="H2637" s="16">
        <f>ABS(Solieusap!H2637)</f>
        <v>0.001745417039</v>
      </c>
      <c r="I2637" s="16">
        <f>ABS(Solieusap!I2637)</f>
        <v>10.81306783</v>
      </c>
      <c r="J2637" s="16">
        <f>ABS(Solieusap!J2637)</f>
        <v>7.257737948</v>
      </c>
      <c r="K2637" s="16">
        <f t="shared" si="1"/>
        <v>29.35942935</v>
      </c>
      <c r="L2637" s="16">
        <f t="shared" si="2"/>
        <v>10.81306783</v>
      </c>
    </row>
    <row r="2638" ht="16.5" customHeight="1">
      <c r="A2638" s="15" t="str">
        <f>Solieusap!A2638</f>
        <v>Cũ</v>
      </c>
      <c r="B2638" s="15">
        <f>Solieusap!B2638</f>
        <v>0</v>
      </c>
      <c r="C2638" s="15" t="str">
        <f>Solieusap!C2638</f>
        <v>COMB4</v>
      </c>
      <c r="D2638" s="15" t="str">
        <f>Solieusap!D2638</f>
        <v>Combination</v>
      </c>
      <c r="E2638" s="16">
        <f>ABS(Solieusap!E2638)</f>
        <v>29.37628571</v>
      </c>
      <c r="F2638" s="16">
        <f>ABS(Solieusap!F2638)</f>
        <v>2.857830952</v>
      </c>
      <c r="G2638" s="16">
        <f>ABS(Solieusap!G2638)</f>
        <v>3.835709524</v>
      </c>
      <c r="H2638" s="16">
        <f>ABS(Solieusap!H2638)</f>
        <v>0.001746472143</v>
      </c>
      <c r="I2638" s="16">
        <f>ABS(Solieusap!I2638)</f>
        <v>10.81986262</v>
      </c>
      <c r="J2638" s="16">
        <f>ABS(Solieusap!J2638)</f>
        <v>7.262285</v>
      </c>
      <c r="K2638" s="16">
        <f t="shared" si="1"/>
        <v>29.37628571</v>
      </c>
      <c r="L2638" s="16">
        <f t="shared" si="2"/>
        <v>10.81986262</v>
      </c>
    </row>
    <row r="2639" ht="16.5" customHeight="1">
      <c r="A2639" s="15" t="str">
        <f>Solieusap!A2639</f>
        <v>Cũ</v>
      </c>
      <c r="B2639" s="15">
        <f>Solieusap!B2639</f>
        <v>1.75</v>
      </c>
      <c r="C2639" s="15" t="str">
        <f>Solieusap!C2639</f>
        <v>COMB4</v>
      </c>
      <c r="D2639" s="15" t="str">
        <f>Solieusap!D2639</f>
        <v>Combination</v>
      </c>
      <c r="E2639" s="16">
        <f>ABS(Solieusap!E2639)</f>
        <v>29.39314208</v>
      </c>
      <c r="F2639" s="16">
        <f>ABS(Solieusap!F2639)</f>
        <v>2.859541472</v>
      </c>
      <c r="G2639" s="16">
        <f>ABS(Solieusap!G2639)</f>
        <v>3.837973939</v>
      </c>
      <c r="H2639" s="16">
        <f>ABS(Solieusap!H2639)</f>
        <v>0.001747527247</v>
      </c>
      <c r="I2639" s="16">
        <f>ABS(Solieusap!I2639)</f>
        <v>10.82665741</v>
      </c>
      <c r="J2639" s="16">
        <f>ABS(Solieusap!J2639)</f>
        <v>7.266832052</v>
      </c>
      <c r="K2639" s="16">
        <f t="shared" si="1"/>
        <v>29.39314208</v>
      </c>
      <c r="L2639" s="16">
        <f t="shared" si="2"/>
        <v>10.82665741</v>
      </c>
    </row>
    <row r="2640" ht="16.5" customHeight="1">
      <c r="A2640" s="15" t="str">
        <f>Solieusap!A2640</f>
        <v>Cũ</v>
      </c>
      <c r="B2640" s="15">
        <f>Solieusap!B2640</f>
        <v>3.5</v>
      </c>
      <c r="C2640" s="15" t="str">
        <f>Solieusap!C2640</f>
        <v>COMB4</v>
      </c>
      <c r="D2640" s="15" t="str">
        <f>Solieusap!D2640</f>
        <v>Combination</v>
      </c>
      <c r="E2640" s="16">
        <f>ABS(Solieusap!E2640)</f>
        <v>29.40999844</v>
      </c>
      <c r="F2640" s="16">
        <f>ABS(Solieusap!F2640)</f>
        <v>2.861251991</v>
      </c>
      <c r="G2640" s="16">
        <f>ABS(Solieusap!G2640)</f>
        <v>3.840238355</v>
      </c>
      <c r="H2640" s="16">
        <f>ABS(Solieusap!H2640)</f>
        <v>0.001748582351</v>
      </c>
      <c r="I2640" s="16">
        <f>ABS(Solieusap!I2640)</f>
        <v>10.8334522</v>
      </c>
      <c r="J2640" s="16">
        <f>ABS(Solieusap!J2640)</f>
        <v>7.271379104</v>
      </c>
      <c r="K2640" s="16">
        <f t="shared" si="1"/>
        <v>29.40999844</v>
      </c>
      <c r="L2640" s="16">
        <f t="shared" si="2"/>
        <v>10.8334522</v>
      </c>
    </row>
    <row r="2641" ht="16.5" customHeight="1">
      <c r="A2641" s="15" t="str">
        <f>Solieusap!A2641</f>
        <v>Cũ</v>
      </c>
      <c r="B2641" s="15">
        <f>Solieusap!B2641</f>
        <v>0</v>
      </c>
      <c r="C2641" s="15" t="str">
        <f>Solieusap!C2641</f>
        <v>COMB5</v>
      </c>
      <c r="D2641" s="15" t="str">
        <f>Solieusap!D2641</f>
        <v>Combination</v>
      </c>
      <c r="E2641" s="16">
        <f>ABS(Solieusap!E2641)</f>
        <v>29.42685481</v>
      </c>
      <c r="F2641" s="16">
        <f>ABS(Solieusap!F2641)</f>
        <v>2.862962511</v>
      </c>
      <c r="G2641" s="16">
        <f>ABS(Solieusap!G2641)</f>
        <v>3.842502771</v>
      </c>
      <c r="H2641" s="16">
        <f>ABS(Solieusap!H2641)</f>
        <v>0.001749637455</v>
      </c>
      <c r="I2641" s="16">
        <f>ABS(Solieusap!I2641)</f>
        <v>10.840247</v>
      </c>
      <c r="J2641" s="16">
        <f>ABS(Solieusap!J2641)</f>
        <v>7.275926156</v>
      </c>
      <c r="K2641" s="16">
        <f t="shared" si="1"/>
        <v>29.42685481</v>
      </c>
      <c r="L2641" s="16">
        <f t="shared" si="2"/>
        <v>10.840247</v>
      </c>
    </row>
    <row r="2642" ht="16.5" customHeight="1">
      <c r="A2642" s="15" t="str">
        <f>Solieusap!A2642</f>
        <v>Cũ</v>
      </c>
      <c r="B2642" s="15">
        <f>Solieusap!B2642</f>
        <v>1.75</v>
      </c>
      <c r="C2642" s="15" t="str">
        <f>Solieusap!C2642</f>
        <v>COMB5</v>
      </c>
      <c r="D2642" s="15" t="str">
        <f>Solieusap!D2642</f>
        <v>Combination</v>
      </c>
      <c r="E2642" s="16">
        <f>ABS(Solieusap!E2642)</f>
        <v>29.44371117</v>
      </c>
      <c r="F2642" s="16">
        <f>ABS(Solieusap!F2642)</f>
        <v>2.86467303</v>
      </c>
      <c r="G2642" s="16">
        <f>ABS(Solieusap!G2642)</f>
        <v>3.844767186</v>
      </c>
      <c r="H2642" s="16">
        <f>ABS(Solieusap!H2642)</f>
        <v>0.001750692558</v>
      </c>
      <c r="I2642" s="16">
        <f>ABS(Solieusap!I2642)</f>
        <v>10.84704179</v>
      </c>
      <c r="J2642" s="16">
        <f>ABS(Solieusap!J2642)</f>
        <v>7.280473208</v>
      </c>
      <c r="K2642" s="16">
        <f t="shared" si="1"/>
        <v>29.44371117</v>
      </c>
      <c r="L2642" s="16">
        <f t="shared" si="2"/>
        <v>10.84704179</v>
      </c>
    </row>
    <row r="2643" ht="16.5" customHeight="1">
      <c r="A2643" s="15" t="str">
        <f>Solieusap!A2643</f>
        <v>Cũ</v>
      </c>
      <c r="B2643" s="15">
        <f>Solieusap!B2643</f>
        <v>3.5</v>
      </c>
      <c r="C2643" s="15" t="str">
        <f>Solieusap!C2643</f>
        <v>COMB5</v>
      </c>
      <c r="D2643" s="15" t="str">
        <f>Solieusap!D2643</f>
        <v>Combination</v>
      </c>
      <c r="E2643" s="16">
        <f>ABS(Solieusap!E2643)</f>
        <v>29.46056753</v>
      </c>
      <c r="F2643" s="16">
        <f>ABS(Solieusap!F2643)</f>
        <v>2.86638355</v>
      </c>
      <c r="G2643" s="16">
        <f>ABS(Solieusap!G2643)</f>
        <v>3.847031602</v>
      </c>
      <c r="H2643" s="16">
        <f>ABS(Solieusap!H2643)</f>
        <v>0.001751747662</v>
      </c>
      <c r="I2643" s="16">
        <f>ABS(Solieusap!I2643)</f>
        <v>10.85383658</v>
      </c>
      <c r="J2643" s="16">
        <f>ABS(Solieusap!J2643)</f>
        <v>7.28502026</v>
      </c>
      <c r="K2643" s="16">
        <f t="shared" si="1"/>
        <v>29.46056753</v>
      </c>
      <c r="L2643" s="16">
        <f t="shared" si="2"/>
        <v>10.85383658</v>
      </c>
    </row>
    <row r="2644" ht="16.5" customHeight="1">
      <c r="A2644" s="15" t="str">
        <f>Solieusap!A2644</f>
        <v>Cũ</v>
      </c>
      <c r="B2644" s="15">
        <f>Solieusap!B2644</f>
        <v>0</v>
      </c>
      <c r="C2644" s="15" t="str">
        <f>Solieusap!C2644</f>
        <v>COMB6</v>
      </c>
      <c r="D2644" s="15" t="str">
        <f>Solieusap!D2644</f>
        <v>Combination</v>
      </c>
      <c r="E2644" s="16">
        <f>ABS(Solieusap!E2644)</f>
        <v>29.4774239</v>
      </c>
      <c r="F2644" s="16">
        <f>ABS(Solieusap!F2644)</f>
        <v>2.868094069</v>
      </c>
      <c r="G2644" s="16">
        <f>ABS(Solieusap!G2644)</f>
        <v>3.849296017</v>
      </c>
      <c r="H2644" s="16">
        <f>ABS(Solieusap!H2644)</f>
        <v>0.001752802766</v>
      </c>
      <c r="I2644" s="16">
        <f>ABS(Solieusap!I2644)</f>
        <v>10.86063137</v>
      </c>
      <c r="J2644" s="16">
        <f>ABS(Solieusap!J2644)</f>
        <v>7.289567312</v>
      </c>
      <c r="K2644" s="16">
        <f t="shared" si="1"/>
        <v>29.4774239</v>
      </c>
      <c r="L2644" s="16">
        <f t="shared" si="2"/>
        <v>10.86063137</v>
      </c>
    </row>
    <row r="2645" ht="16.5" customHeight="1">
      <c r="A2645" s="15" t="str">
        <f>Solieusap!A2645</f>
        <v>Cũ</v>
      </c>
      <c r="B2645" s="15">
        <f>Solieusap!B2645</f>
        <v>1.75</v>
      </c>
      <c r="C2645" s="15" t="str">
        <f>Solieusap!C2645</f>
        <v>COMB6</v>
      </c>
      <c r="D2645" s="15" t="str">
        <f>Solieusap!D2645</f>
        <v>Combination</v>
      </c>
      <c r="E2645" s="16">
        <f>ABS(Solieusap!E2645)</f>
        <v>29.49428026</v>
      </c>
      <c r="F2645" s="16">
        <f>ABS(Solieusap!F2645)</f>
        <v>2.869804589</v>
      </c>
      <c r="G2645" s="16">
        <f>ABS(Solieusap!G2645)</f>
        <v>3.851560433</v>
      </c>
      <c r="H2645" s="16">
        <f>ABS(Solieusap!H2645)</f>
        <v>0.00175385787</v>
      </c>
      <c r="I2645" s="16">
        <f>ABS(Solieusap!I2645)</f>
        <v>10.86742616</v>
      </c>
      <c r="J2645" s="16">
        <f>ABS(Solieusap!J2645)</f>
        <v>7.294114364</v>
      </c>
      <c r="K2645" s="16">
        <f t="shared" si="1"/>
        <v>29.49428026</v>
      </c>
      <c r="L2645" s="16">
        <f t="shared" si="2"/>
        <v>10.86742616</v>
      </c>
    </row>
    <row r="2646" ht="16.5" customHeight="1">
      <c r="A2646" s="15" t="str">
        <f>Solieusap!A2646</f>
        <v>Cũ</v>
      </c>
      <c r="B2646" s="15">
        <f>Solieusap!B2646</f>
        <v>3.5</v>
      </c>
      <c r="C2646" s="15" t="str">
        <f>Solieusap!C2646</f>
        <v>COMB6</v>
      </c>
      <c r="D2646" s="15" t="str">
        <f>Solieusap!D2646</f>
        <v>Combination</v>
      </c>
      <c r="E2646" s="16">
        <f>ABS(Solieusap!E2646)</f>
        <v>29.51113662</v>
      </c>
      <c r="F2646" s="16">
        <f>ABS(Solieusap!F2646)</f>
        <v>2.871515108</v>
      </c>
      <c r="G2646" s="16">
        <f>ABS(Solieusap!G2646)</f>
        <v>3.853824848</v>
      </c>
      <c r="H2646" s="16">
        <f>ABS(Solieusap!H2646)</f>
        <v>0.001754912974</v>
      </c>
      <c r="I2646" s="16">
        <f>ABS(Solieusap!I2646)</f>
        <v>10.87422096</v>
      </c>
      <c r="J2646" s="16">
        <f>ABS(Solieusap!J2646)</f>
        <v>7.298661416</v>
      </c>
      <c r="K2646" s="16">
        <f t="shared" si="1"/>
        <v>29.51113662</v>
      </c>
      <c r="L2646" s="16">
        <f t="shared" si="2"/>
        <v>10.87422096</v>
      </c>
    </row>
    <row r="2647" ht="16.5" customHeight="1">
      <c r="A2647" s="15" t="str">
        <f>Solieusap!A2647</f>
        <v>Cũ</v>
      </c>
      <c r="B2647" s="15">
        <f>Solieusap!B2647</f>
        <v>0</v>
      </c>
      <c r="C2647" s="15" t="str">
        <f>Solieusap!C2647</f>
        <v>COMB7</v>
      </c>
      <c r="D2647" s="15" t="str">
        <f>Solieusap!D2647</f>
        <v>Combination</v>
      </c>
      <c r="E2647" s="16">
        <f>ABS(Solieusap!E2647)</f>
        <v>29.52799299</v>
      </c>
      <c r="F2647" s="16">
        <f>ABS(Solieusap!F2647)</f>
        <v>2.873225628</v>
      </c>
      <c r="G2647" s="16">
        <f>ABS(Solieusap!G2647)</f>
        <v>3.856089264</v>
      </c>
      <c r="H2647" s="16">
        <f>ABS(Solieusap!H2647)</f>
        <v>0.001755968078</v>
      </c>
      <c r="I2647" s="16">
        <f>ABS(Solieusap!I2647)</f>
        <v>10.88101575</v>
      </c>
      <c r="J2647" s="16">
        <f>ABS(Solieusap!J2647)</f>
        <v>7.303208468</v>
      </c>
      <c r="K2647" s="16">
        <f t="shared" si="1"/>
        <v>29.52799299</v>
      </c>
      <c r="L2647" s="16">
        <f t="shared" si="2"/>
        <v>10.88101575</v>
      </c>
    </row>
    <row r="2648" ht="16.5" customHeight="1">
      <c r="A2648" s="15" t="str">
        <f>Solieusap!A2648</f>
        <v>Cũ</v>
      </c>
      <c r="B2648" s="15">
        <f>Solieusap!B2648</f>
        <v>1.75</v>
      </c>
      <c r="C2648" s="15" t="str">
        <f>Solieusap!C2648</f>
        <v>COMB7</v>
      </c>
      <c r="D2648" s="15" t="str">
        <f>Solieusap!D2648</f>
        <v>Combination</v>
      </c>
      <c r="E2648" s="16">
        <f>ABS(Solieusap!E2648)</f>
        <v>29.54484935</v>
      </c>
      <c r="F2648" s="16">
        <f>ABS(Solieusap!F2648)</f>
        <v>2.874936147</v>
      </c>
      <c r="G2648" s="16">
        <f>ABS(Solieusap!G2648)</f>
        <v>3.85835368</v>
      </c>
      <c r="H2648" s="16">
        <f>ABS(Solieusap!H2648)</f>
        <v>0.001757023182</v>
      </c>
      <c r="I2648" s="16">
        <f>ABS(Solieusap!I2648)</f>
        <v>10.88781054</v>
      </c>
      <c r="J2648" s="16">
        <f>ABS(Solieusap!J2648)</f>
        <v>7.307755519</v>
      </c>
      <c r="K2648" s="16">
        <f t="shared" si="1"/>
        <v>29.54484935</v>
      </c>
      <c r="L2648" s="16">
        <f t="shared" si="2"/>
        <v>10.88781054</v>
      </c>
    </row>
    <row r="2649" ht="16.5" customHeight="1">
      <c r="A2649" s="15" t="str">
        <f>Solieusap!A2649</f>
        <v>Cũ</v>
      </c>
      <c r="B2649" s="15">
        <f>Solieusap!B2649</f>
        <v>3.5</v>
      </c>
      <c r="C2649" s="15" t="str">
        <f>Solieusap!C2649</f>
        <v>COMB7</v>
      </c>
      <c r="D2649" s="15" t="str">
        <f>Solieusap!D2649</f>
        <v>Combination</v>
      </c>
      <c r="E2649" s="16">
        <f>ABS(Solieusap!E2649)</f>
        <v>29.56170571</v>
      </c>
      <c r="F2649" s="16">
        <f>ABS(Solieusap!F2649)</f>
        <v>2.876646667</v>
      </c>
      <c r="G2649" s="16">
        <f>ABS(Solieusap!G2649)</f>
        <v>3.860618095</v>
      </c>
      <c r="H2649" s="16">
        <f>ABS(Solieusap!H2649)</f>
        <v>0.001758078286</v>
      </c>
      <c r="I2649" s="16">
        <f>ABS(Solieusap!I2649)</f>
        <v>10.89460533</v>
      </c>
      <c r="J2649" s="16">
        <f>ABS(Solieusap!J2649)</f>
        <v>7.312302571</v>
      </c>
      <c r="K2649" s="16">
        <f t="shared" si="1"/>
        <v>29.56170571</v>
      </c>
      <c r="L2649" s="16">
        <f t="shared" si="2"/>
        <v>10.89460533</v>
      </c>
    </row>
    <row r="2650" ht="16.5" customHeight="1">
      <c r="A2650" s="15" t="str">
        <f>Solieusap!A2650</f>
        <v>Cũ</v>
      </c>
      <c r="B2650" s="15">
        <f>Solieusap!B2650</f>
        <v>0</v>
      </c>
      <c r="C2650" s="15" t="str">
        <f>Solieusap!C2650</f>
        <v>COMB1</v>
      </c>
      <c r="D2650" s="15" t="str">
        <f>Solieusap!D2650</f>
        <v>Combination</v>
      </c>
      <c r="E2650" s="16">
        <f>ABS(Solieusap!E2650)</f>
        <v>29.57856208</v>
      </c>
      <c r="F2650" s="16">
        <f>ABS(Solieusap!F2650)</f>
        <v>2.878357186</v>
      </c>
      <c r="G2650" s="16">
        <f>ABS(Solieusap!G2650)</f>
        <v>3.862882511</v>
      </c>
      <c r="H2650" s="16">
        <f>ABS(Solieusap!H2650)</f>
        <v>0.00175913339</v>
      </c>
      <c r="I2650" s="16">
        <f>ABS(Solieusap!I2650)</f>
        <v>10.90140013</v>
      </c>
      <c r="J2650" s="16">
        <f>ABS(Solieusap!J2650)</f>
        <v>7.316849623</v>
      </c>
      <c r="K2650" s="16">
        <f t="shared" si="1"/>
        <v>29.57856208</v>
      </c>
      <c r="L2650" s="16">
        <f t="shared" si="2"/>
        <v>10.90140013</v>
      </c>
    </row>
    <row r="2651" ht="16.5" customHeight="1">
      <c r="A2651" s="15" t="str">
        <f>Solieusap!A2651</f>
        <v>Cũ</v>
      </c>
      <c r="B2651" s="15">
        <f>Solieusap!B2651</f>
        <v>1.75</v>
      </c>
      <c r="C2651" s="15" t="str">
        <f>Solieusap!C2651</f>
        <v>COMB1</v>
      </c>
      <c r="D2651" s="15" t="str">
        <f>Solieusap!D2651</f>
        <v>Combination</v>
      </c>
      <c r="E2651" s="16">
        <f>ABS(Solieusap!E2651)</f>
        <v>29.59541844</v>
      </c>
      <c r="F2651" s="16">
        <f>ABS(Solieusap!F2651)</f>
        <v>2.880067706</v>
      </c>
      <c r="G2651" s="16">
        <f>ABS(Solieusap!G2651)</f>
        <v>3.865146926</v>
      </c>
      <c r="H2651" s="16">
        <f>ABS(Solieusap!H2651)</f>
        <v>0.001760188494</v>
      </c>
      <c r="I2651" s="16">
        <f>ABS(Solieusap!I2651)</f>
        <v>10.90819492</v>
      </c>
      <c r="J2651" s="16">
        <f>ABS(Solieusap!J2651)</f>
        <v>7.321396675</v>
      </c>
      <c r="K2651" s="16">
        <f t="shared" si="1"/>
        <v>29.59541844</v>
      </c>
      <c r="L2651" s="16">
        <f t="shared" si="2"/>
        <v>10.90819492</v>
      </c>
    </row>
    <row r="2652" ht="16.5" customHeight="1">
      <c r="A2652" s="15" t="str">
        <f>Solieusap!A2652</f>
        <v>Cũ</v>
      </c>
      <c r="B2652" s="15">
        <f>Solieusap!B2652</f>
        <v>3.5</v>
      </c>
      <c r="C2652" s="15" t="str">
        <f>Solieusap!C2652</f>
        <v>COMB1</v>
      </c>
      <c r="D2652" s="15" t="str">
        <f>Solieusap!D2652</f>
        <v>Combination</v>
      </c>
      <c r="E2652" s="16">
        <f>ABS(Solieusap!E2652)</f>
        <v>29.61227481</v>
      </c>
      <c r="F2652" s="16">
        <f>ABS(Solieusap!F2652)</f>
        <v>2.881778225</v>
      </c>
      <c r="G2652" s="16">
        <f>ABS(Solieusap!G2652)</f>
        <v>3.867411342</v>
      </c>
      <c r="H2652" s="16">
        <f>ABS(Solieusap!H2652)</f>
        <v>0.001761243597</v>
      </c>
      <c r="I2652" s="16">
        <f>ABS(Solieusap!I2652)</f>
        <v>10.91498971</v>
      </c>
      <c r="J2652" s="16">
        <f>ABS(Solieusap!J2652)</f>
        <v>7.325943727</v>
      </c>
      <c r="K2652" s="16">
        <f t="shared" si="1"/>
        <v>29.61227481</v>
      </c>
      <c r="L2652" s="16">
        <f t="shared" si="2"/>
        <v>10.91498971</v>
      </c>
    </row>
    <row r="2653" ht="16.5" customHeight="1">
      <c r="A2653" s="15" t="str">
        <f>Solieusap!A2653</f>
        <v>Cũ</v>
      </c>
      <c r="B2653" s="15">
        <f>Solieusap!B2653</f>
        <v>0</v>
      </c>
      <c r="C2653" s="15" t="str">
        <f>Solieusap!C2653</f>
        <v>COMB2</v>
      </c>
      <c r="D2653" s="15" t="str">
        <f>Solieusap!D2653</f>
        <v>Combination</v>
      </c>
      <c r="E2653" s="16">
        <f>ABS(Solieusap!E2653)</f>
        <v>29.62913117</v>
      </c>
      <c r="F2653" s="16">
        <f>ABS(Solieusap!F2653)</f>
        <v>2.883488745</v>
      </c>
      <c r="G2653" s="16">
        <f>ABS(Solieusap!G2653)</f>
        <v>3.869675758</v>
      </c>
      <c r="H2653" s="16">
        <f>ABS(Solieusap!H2653)</f>
        <v>0.001762298701</v>
      </c>
      <c r="I2653" s="16">
        <f>ABS(Solieusap!I2653)</f>
        <v>10.9217845</v>
      </c>
      <c r="J2653" s="16">
        <f>ABS(Solieusap!J2653)</f>
        <v>7.330490779</v>
      </c>
      <c r="K2653" s="16">
        <f t="shared" si="1"/>
        <v>29.62913117</v>
      </c>
      <c r="L2653" s="16">
        <f t="shared" si="2"/>
        <v>10.9217845</v>
      </c>
    </row>
    <row r="2654" ht="16.5" customHeight="1">
      <c r="A2654" s="15" t="str">
        <f>Solieusap!A2654</f>
        <v>Cũ</v>
      </c>
      <c r="B2654" s="15">
        <f>Solieusap!B2654</f>
        <v>1.75</v>
      </c>
      <c r="C2654" s="15" t="str">
        <f>Solieusap!C2654</f>
        <v>COMB2</v>
      </c>
      <c r="D2654" s="15" t="str">
        <f>Solieusap!D2654</f>
        <v>Combination</v>
      </c>
      <c r="E2654" s="16">
        <f>ABS(Solieusap!E2654)</f>
        <v>29.64598753</v>
      </c>
      <c r="F2654" s="16">
        <f>ABS(Solieusap!F2654)</f>
        <v>2.885199264</v>
      </c>
      <c r="G2654" s="16">
        <f>ABS(Solieusap!G2654)</f>
        <v>3.871940173</v>
      </c>
      <c r="H2654" s="16">
        <f>ABS(Solieusap!H2654)</f>
        <v>0.001763353805</v>
      </c>
      <c r="I2654" s="16">
        <f>ABS(Solieusap!I2654)</f>
        <v>10.92857929</v>
      </c>
      <c r="J2654" s="16">
        <f>ABS(Solieusap!J2654)</f>
        <v>7.335037831</v>
      </c>
      <c r="K2654" s="16">
        <f t="shared" si="1"/>
        <v>29.64598753</v>
      </c>
      <c r="L2654" s="16">
        <f t="shared" si="2"/>
        <v>10.92857929</v>
      </c>
    </row>
    <row r="2655" ht="16.5" customHeight="1">
      <c r="A2655" s="15" t="str">
        <f>Solieusap!A2655</f>
        <v>Cũ</v>
      </c>
      <c r="B2655" s="15">
        <f>Solieusap!B2655</f>
        <v>3.5</v>
      </c>
      <c r="C2655" s="15" t="str">
        <f>Solieusap!C2655</f>
        <v>COMB2</v>
      </c>
      <c r="D2655" s="15" t="str">
        <f>Solieusap!D2655</f>
        <v>Combination</v>
      </c>
      <c r="E2655" s="16">
        <f>ABS(Solieusap!E2655)</f>
        <v>29.6628439</v>
      </c>
      <c r="F2655" s="16">
        <f>ABS(Solieusap!F2655)</f>
        <v>2.886909784</v>
      </c>
      <c r="G2655" s="16">
        <f>ABS(Solieusap!G2655)</f>
        <v>3.874204589</v>
      </c>
      <c r="H2655" s="16">
        <f>ABS(Solieusap!H2655)</f>
        <v>0.001764408909</v>
      </c>
      <c r="I2655" s="16">
        <f>ABS(Solieusap!I2655)</f>
        <v>10.93537409</v>
      </c>
      <c r="J2655" s="16">
        <f>ABS(Solieusap!J2655)</f>
        <v>7.339584883</v>
      </c>
      <c r="K2655" s="16">
        <f t="shared" si="1"/>
        <v>29.6628439</v>
      </c>
      <c r="L2655" s="16">
        <f t="shared" si="2"/>
        <v>10.93537409</v>
      </c>
    </row>
    <row r="2656" ht="16.5" customHeight="1">
      <c r="A2656" s="15" t="str">
        <f>Solieusap!A2656</f>
        <v>Cũ</v>
      </c>
      <c r="B2656" s="15">
        <f>Solieusap!B2656</f>
        <v>0</v>
      </c>
      <c r="C2656" s="15" t="str">
        <f>Solieusap!C2656</f>
        <v>COMB3</v>
      </c>
      <c r="D2656" s="15" t="str">
        <f>Solieusap!D2656</f>
        <v>Combination</v>
      </c>
      <c r="E2656" s="16">
        <f>ABS(Solieusap!E2656)</f>
        <v>29.67970026</v>
      </c>
      <c r="F2656" s="16">
        <f>ABS(Solieusap!F2656)</f>
        <v>2.888620303</v>
      </c>
      <c r="G2656" s="16">
        <f>ABS(Solieusap!G2656)</f>
        <v>3.876469004</v>
      </c>
      <c r="H2656" s="16">
        <f>ABS(Solieusap!H2656)</f>
        <v>0.001765464013</v>
      </c>
      <c r="I2656" s="16">
        <f>ABS(Solieusap!I2656)</f>
        <v>10.94216888</v>
      </c>
      <c r="J2656" s="16">
        <f>ABS(Solieusap!J2656)</f>
        <v>7.344131935</v>
      </c>
      <c r="K2656" s="16">
        <f t="shared" si="1"/>
        <v>29.67970026</v>
      </c>
      <c r="L2656" s="16">
        <f t="shared" si="2"/>
        <v>10.94216888</v>
      </c>
    </row>
    <row r="2657" ht="16.5" customHeight="1">
      <c r="A2657" s="15" t="str">
        <f>Solieusap!A2657</f>
        <v>Cũ</v>
      </c>
      <c r="B2657" s="15">
        <f>Solieusap!B2657</f>
        <v>1.75</v>
      </c>
      <c r="C2657" s="15" t="str">
        <f>Solieusap!C2657</f>
        <v>COMB3</v>
      </c>
      <c r="D2657" s="15" t="str">
        <f>Solieusap!D2657</f>
        <v>Combination</v>
      </c>
      <c r="E2657" s="16">
        <f>ABS(Solieusap!E2657)</f>
        <v>29.69655662</v>
      </c>
      <c r="F2657" s="16">
        <f>ABS(Solieusap!F2657)</f>
        <v>2.890330823</v>
      </c>
      <c r="G2657" s="16">
        <f>ABS(Solieusap!G2657)</f>
        <v>3.87873342</v>
      </c>
      <c r="H2657" s="16">
        <f>ABS(Solieusap!H2657)</f>
        <v>0.001766519117</v>
      </c>
      <c r="I2657" s="16">
        <f>ABS(Solieusap!I2657)</f>
        <v>10.94896367</v>
      </c>
      <c r="J2657" s="16">
        <f>ABS(Solieusap!J2657)</f>
        <v>7.348678987</v>
      </c>
      <c r="K2657" s="16">
        <f t="shared" si="1"/>
        <v>29.69655662</v>
      </c>
      <c r="L2657" s="16">
        <f t="shared" si="2"/>
        <v>10.94896367</v>
      </c>
    </row>
    <row r="2658" ht="16.5" customHeight="1">
      <c r="A2658" s="15" t="str">
        <f>Solieusap!A2658</f>
        <v>Cũ</v>
      </c>
      <c r="B2658" s="15">
        <f>Solieusap!B2658</f>
        <v>3.5</v>
      </c>
      <c r="C2658" s="15" t="str">
        <f>Solieusap!C2658</f>
        <v>COMB3</v>
      </c>
      <c r="D2658" s="15" t="str">
        <f>Solieusap!D2658</f>
        <v>Combination</v>
      </c>
      <c r="E2658" s="16">
        <f>ABS(Solieusap!E2658)</f>
        <v>29.71341299</v>
      </c>
      <c r="F2658" s="16">
        <f>ABS(Solieusap!F2658)</f>
        <v>2.892041342</v>
      </c>
      <c r="G2658" s="16">
        <f>ABS(Solieusap!G2658)</f>
        <v>3.880997835</v>
      </c>
      <c r="H2658" s="16">
        <f>ABS(Solieusap!H2658)</f>
        <v>0.001767574221</v>
      </c>
      <c r="I2658" s="16">
        <f>ABS(Solieusap!I2658)</f>
        <v>10.95575846</v>
      </c>
      <c r="J2658" s="16">
        <f>ABS(Solieusap!J2658)</f>
        <v>7.353226039</v>
      </c>
      <c r="K2658" s="16">
        <f t="shared" si="1"/>
        <v>29.71341299</v>
      </c>
      <c r="L2658" s="16">
        <f t="shared" si="2"/>
        <v>10.95575846</v>
      </c>
    </row>
    <row r="2659" ht="16.5" customHeight="1">
      <c r="A2659" s="15" t="str">
        <f>Solieusap!A2659</f>
        <v>Cũ</v>
      </c>
      <c r="B2659" s="15">
        <f>Solieusap!B2659</f>
        <v>0</v>
      </c>
      <c r="C2659" s="15" t="str">
        <f>Solieusap!C2659</f>
        <v>COMB4</v>
      </c>
      <c r="D2659" s="15" t="str">
        <f>Solieusap!D2659</f>
        <v>Combination</v>
      </c>
      <c r="E2659" s="16">
        <f>ABS(Solieusap!E2659)</f>
        <v>29.73026935</v>
      </c>
      <c r="F2659" s="16">
        <f>ABS(Solieusap!F2659)</f>
        <v>2.893751861</v>
      </c>
      <c r="G2659" s="16">
        <f>ABS(Solieusap!G2659)</f>
        <v>3.883262251</v>
      </c>
      <c r="H2659" s="16">
        <f>ABS(Solieusap!H2659)</f>
        <v>0.001768629325</v>
      </c>
      <c r="I2659" s="16">
        <f>ABS(Solieusap!I2659)</f>
        <v>10.96255326</v>
      </c>
      <c r="J2659" s="16">
        <f>ABS(Solieusap!J2659)</f>
        <v>7.357773091</v>
      </c>
      <c r="K2659" s="16">
        <f t="shared" si="1"/>
        <v>29.73026935</v>
      </c>
      <c r="L2659" s="16">
        <f t="shared" si="2"/>
        <v>10.96255326</v>
      </c>
    </row>
    <row r="2660" ht="16.5" customHeight="1">
      <c r="A2660" s="15" t="str">
        <f>Solieusap!A2660</f>
        <v>Cũ</v>
      </c>
      <c r="B2660" s="15">
        <f>Solieusap!B2660</f>
        <v>1.75</v>
      </c>
      <c r="C2660" s="15" t="str">
        <f>Solieusap!C2660</f>
        <v>COMB4</v>
      </c>
      <c r="D2660" s="15" t="str">
        <f>Solieusap!D2660</f>
        <v>Combination</v>
      </c>
      <c r="E2660" s="16">
        <f>ABS(Solieusap!E2660)</f>
        <v>29.74712571</v>
      </c>
      <c r="F2660" s="16">
        <f>ABS(Solieusap!F2660)</f>
        <v>2.895462381</v>
      </c>
      <c r="G2660" s="16">
        <f>ABS(Solieusap!G2660)</f>
        <v>3.885526667</v>
      </c>
      <c r="H2660" s="16">
        <f>ABS(Solieusap!H2660)</f>
        <v>0.001769684429</v>
      </c>
      <c r="I2660" s="16">
        <f>ABS(Solieusap!I2660)</f>
        <v>10.96934805</v>
      </c>
      <c r="J2660" s="16">
        <f>ABS(Solieusap!J2660)</f>
        <v>7.362320143</v>
      </c>
      <c r="K2660" s="16">
        <f t="shared" si="1"/>
        <v>29.74712571</v>
      </c>
      <c r="L2660" s="16">
        <f t="shared" si="2"/>
        <v>10.96934805</v>
      </c>
    </row>
    <row r="2661" ht="16.5" customHeight="1">
      <c r="A2661" s="15" t="str">
        <f>Solieusap!A2661</f>
        <v>Cũ</v>
      </c>
      <c r="B2661" s="15">
        <f>Solieusap!B2661</f>
        <v>3.5</v>
      </c>
      <c r="C2661" s="15" t="str">
        <f>Solieusap!C2661</f>
        <v>COMB4</v>
      </c>
      <c r="D2661" s="15" t="str">
        <f>Solieusap!D2661</f>
        <v>Combination</v>
      </c>
      <c r="E2661" s="16">
        <f>ABS(Solieusap!E2661)</f>
        <v>29.76398208</v>
      </c>
      <c r="F2661" s="16">
        <f>ABS(Solieusap!F2661)</f>
        <v>2.8971729</v>
      </c>
      <c r="G2661" s="16">
        <f>ABS(Solieusap!G2661)</f>
        <v>3.887791082</v>
      </c>
      <c r="H2661" s="16">
        <f>ABS(Solieusap!H2661)</f>
        <v>0.001770739532</v>
      </c>
      <c r="I2661" s="16">
        <f>ABS(Solieusap!I2661)</f>
        <v>10.97614284</v>
      </c>
      <c r="J2661" s="16">
        <f>ABS(Solieusap!J2661)</f>
        <v>7.366867195</v>
      </c>
      <c r="K2661" s="16">
        <f t="shared" si="1"/>
        <v>29.76398208</v>
      </c>
      <c r="L2661" s="16">
        <f t="shared" si="2"/>
        <v>10.97614284</v>
      </c>
    </row>
    <row r="2662" ht="16.5" customHeight="1">
      <c r="A2662" s="15" t="str">
        <f>Solieusap!A2662</f>
        <v>Cũ</v>
      </c>
      <c r="B2662" s="15">
        <f>Solieusap!B2662</f>
        <v>0</v>
      </c>
      <c r="C2662" s="15" t="str">
        <f>Solieusap!C2662</f>
        <v>COMB5</v>
      </c>
      <c r="D2662" s="15" t="str">
        <f>Solieusap!D2662</f>
        <v>Combination</v>
      </c>
      <c r="E2662" s="16">
        <f>ABS(Solieusap!E2662)</f>
        <v>29.78083844</v>
      </c>
      <c r="F2662" s="16">
        <f>ABS(Solieusap!F2662)</f>
        <v>2.89888342</v>
      </c>
      <c r="G2662" s="16">
        <f>ABS(Solieusap!G2662)</f>
        <v>3.890055498</v>
      </c>
      <c r="H2662" s="16">
        <f>ABS(Solieusap!H2662)</f>
        <v>0.001771794636</v>
      </c>
      <c r="I2662" s="16">
        <f>ABS(Solieusap!I2662)</f>
        <v>10.98293763</v>
      </c>
      <c r="J2662" s="16">
        <f>ABS(Solieusap!J2662)</f>
        <v>7.371414247</v>
      </c>
      <c r="K2662" s="16">
        <f t="shared" si="1"/>
        <v>29.78083844</v>
      </c>
      <c r="L2662" s="16">
        <f t="shared" si="2"/>
        <v>10.98293763</v>
      </c>
    </row>
    <row r="2663" ht="16.5" customHeight="1">
      <c r="A2663" s="15" t="str">
        <f>Solieusap!A2663</f>
        <v>Cũ</v>
      </c>
      <c r="B2663" s="15">
        <f>Solieusap!B2663</f>
        <v>1.75</v>
      </c>
      <c r="C2663" s="15" t="str">
        <f>Solieusap!C2663</f>
        <v>COMB5</v>
      </c>
      <c r="D2663" s="15" t="str">
        <f>Solieusap!D2663</f>
        <v>Combination</v>
      </c>
      <c r="E2663" s="16">
        <f>ABS(Solieusap!E2663)</f>
        <v>29.79769481</v>
      </c>
      <c r="F2663" s="16">
        <f>ABS(Solieusap!F2663)</f>
        <v>2.900593939</v>
      </c>
      <c r="G2663" s="16">
        <f>ABS(Solieusap!G2663)</f>
        <v>3.892319913</v>
      </c>
      <c r="H2663" s="16">
        <f>ABS(Solieusap!H2663)</f>
        <v>0.00177284974</v>
      </c>
      <c r="I2663" s="16">
        <f>ABS(Solieusap!I2663)</f>
        <v>10.98973242</v>
      </c>
      <c r="J2663" s="16">
        <f>ABS(Solieusap!J2663)</f>
        <v>7.375961299</v>
      </c>
      <c r="K2663" s="16">
        <f t="shared" si="1"/>
        <v>29.79769481</v>
      </c>
      <c r="L2663" s="16">
        <f t="shared" si="2"/>
        <v>10.98973242</v>
      </c>
    </row>
    <row r="2664" ht="16.5" customHeight="1">
      <c r="A2664" s="15" t="str">
        <f>Solieusap!A2664</f>
        <v>Cũ</v>
      </c>
      <c r="B2664" s="15">
        <f>Solieusap!B2664</f>
        <v>3.5</v>
      </c>
      <c r="C2664" s="15" t="str">
        <f>Solieusap!C2664</f>
        <v>COMB5</v>
      </c>
      <c r="D2664" s="15" t="str">
        <f>Solieusap!D2664</f>
        <v>Combination</v>
      </c>
      <c r="E2664" s="16">
        <f>ABS(Solieusap!E2664)</f>
        <v>29.81455117</v>
      </c>
      <c r="F2664" s="16">
        <f>ABS(Solieusap!F2664)</f>
        <v>2.902304459</v>
      </c>
      <c r="G2664" s="16">
        <f>ABS(Solieusap!G2664)</f>
        <v>3.894584329</v>
      </c>
      <c r="H2664" s="16">
        <f>ABS(Solieusap!H2664)</f>
        <v>0.001773904844</v>
      </c>
      <c r="I2664" s="16">
        <f>ABS(Solieusap!I2664)</f>
        <v>10.99652722</v>
      </c>
      <c r="J2664" s="16">
        <f>ABS(Solieusap!J2664)</f>
        <v>7.380508351</v>
      </c>
      <c r="K2664" s="16">
        <f t="shared" si="1"/>
        <v>29.81455117</v>
      </c>
      <c r="L2664" s="16">
        <f t="shared" si="2"/>
        <v>10.99652722</v>
      </c>
    </row>
    <row r="2665" ht="16.5" customHeight="1">
      <c r="A2665" s="15" t="str">
        <f>Solieusap!A2665</f>
        <v>Cũ</v>
      </c>
      <c r="B2665" s="15">
        <f>Solieusap!B2665</f>
        <v>0</v>
      </c>
      <c r="C2665" s="15" t="str">
        <f>Solieusap!C2665</f>
        <v>COMB6</v>
      </c>
      <c r="D2665" s="15" t="str">
        <f>Solieusap!D2665</f>
        <v>Combination</v>
      </c>
      <c r="E2665" s="16">
        <f>ABS(Solieusap!E2665)</f>
        <v>29.83140753</v>
      </c>
      <c r="F2665" s="16">
        <f>ABS(Solieusap!F2665)</f>
        <v>2.904014978</v>
      </c>
      <c r="G2665" s="16">
        <f>ABS(Solieusap!G2665)</f>
        <v>3.896848745</v>
      </c>
      <c r="H2665" s="16">
        <f>ABS(Solieusap!H2665)</f>
        <v>0.001774959948</v>
      </c>
      <c r="I2665" s="16">
        <f>ABS(Solieusap!I2665)</f>
        <v>11.00332201</v>
      </c>
      <c r="J2665" s="16">
        <f>ABS(Solieusap!J2665)</f>
        <v>7.385055403</v>
      </c>
      <c r="K2665" s="16">
        <f t="shared" si="1"/>
        <v>29.83140753</v>
      </c>
      <c r="L2665" s="16">
        <f t="shared" si="2"/>
        <v>11.00332201</v>
      </c>
    </row>
    <row r="2666" ht="16.5" customHeight="1">
      <c r="A2666" s="15" t="str">
        <f>Solieusap!A2666</f>
        <v>Cũ</v>
      </c>
      <c r="B2666" s="15">
        <f>Solieusap!B2666</f>
        <v>1.75</v>
      </c>
      <c r="C2666" s="15" t="str">
        <f>Solieusap!C2666</f>
        <v>COMB6</v>
      </c>
      <c r="D2666" s="15" t="str">
        <f>Solieusap!D2666</f>
        <v>Combination</v>
      </c>
      <c r="E2666" s="16">
        <f>ABS(Solieusap!E2666)</f>
        <v>29.8482639</v>
      </c>
      <c r="F2666" s="16">
        <f>ABS(Solieusap!F2666)</f>
        <v>2.905725498</v>
      </c>
      <c r="G2666" s="16">
        <f>ABS(Solieusap!G2666)</f>
        <v>3.89911316</v>
      </c>
      <c r="H2666" s="16">
        <f>ABS(Solieusap!H2666)</f>
        <v>0.001776015052</v>
      </c>
      <c r="I2666" s="16">
        <f>ABS(Solieusap!I2666)</f>
        <v>11.0101168</v>
      </c>
      <c r="J2666" s="16">
        <f>ABS(Solieusap!J2666)</f>
        <v>7.389602455</v>
      </c>
      <c r="K2666" s="16">
        <f t="shared" si="1"/>
        <v>29.8482639</v>
      </c>
      <c r="L2666" s="16">
        <f t="shared" si="2"/>
        <v>11.0101168</v>
      </c>
    </row>
    <row r="2667" ht="16.5" customHeight="1">
      <c r="A2667" s="15" t="str">
        <f>Solieusap!A2667</f>
        <v>Cũ</v>
      </c>
      <c r="B2667" s="15">
        <f>Solieusap!B2667</f>
        <v>3.5</v>
      </c>
      <c r="C2667" s="15" t="str">
        <f>Solieusap!C2667</f>
        <v>COMB6</v>
      </c>
      <c r="D2667" s="15" t="str">
        <f>Solieusap!D2667</f>
        <v>Combination</v>
      </c>
      <c r="E2667" s="16">
        <f>ABS(Solieusap!E2667)</f>
        <v>29.86512026</v>
      </c>
      <c r="F2667" s="16">
        <f>ABS(Solieusap!F2667)</f>
        <v>2.907436017</v>
      </c>
      <c r="G2667" s="16">
        <f>ABS(Solieusap!G2667)</f>
        <v>3.901377576</v>
      </c>
      <c r="H2667" s="16">
        <f>ABS(Solieusap!H2667)</f>
        <v>0.001777070156</v>
      </c>
      <c r="I2667" s="16">
        <f>ABS(Solieusap!I2667)</f>
        <v>11.01691159</v>
      </c>
      <c r="J2667" s="16">
        <f>ABS(Solieusap!J2667)</f>
        <v>7.394149506</v>
      </c>
      <c r="K2667" s="16">
        <f t="shared" si="1"/>
        <v>29.86512026</v>
      </c>
      <c r="L2667" s="16">
        <f t="shared" si="2"/>
        <v>11.01691159</v>
      </c>
    </row>
    <row r="2668" ht="16.5" customHeight="1">
      <c r="A2668" s="15" t="str">
        <f>Solieusap!A2668</f>
        <v>Cũ</v>
      </c>
      <c r="B2668" s="15">
        <f>Solieusap!B2668</f>
        <v>0</v>
      </c>
      <c r="C2668" s="15" t="str">
        <f>Solieusap!C2668</f>
        <v>COMB7</v>
      </c>
      <c r="D2668" s="15" t="str">
        <f>Solieusap!D2668</f>
        <v>Combination</v>
      </c>
      <c r="E2668" s="16">
        <f>ABS(Solieusap!E2668)</f>
        <v>29.88197662</v>
      </c>
      <c r="F2668" s="16">
        <f>ABS(Solieusap!F2668)</f>
        <v>2.909146537</v>
      </c>
      <c r="G2668" s="16">
        <f>ABS(Solieusap!G2668)</f>
        <v>3.903641991</v>
      </c>
      <c r="H2668" s="16">
        <f>ABS(Solieusap!H2668)</f>
        <v>0.00177812526</v>
      </c>
      <c r="I2668" s="16">
        <f>ABS(Solieusap!I2668)</f>
        <v>11.02370639</v>
      </c>
      <c r="J2668" s="16">
        <f>ABS(Solieusap!J2668)</f>
        <v>7.398696558</v>
      </c>
      <c r="K2668" s="16">
        <f t="shared" si="1"/>
        <v>29.88197662</v>
      </c>
      <c r="L2668" s="16">
        <f t="shared" si="2"/>
        <v>11.02370639</v>
      </c>
    </row>
    <row r="2669" ht="16.5" customHeight="1">
      <c r="A2669" s="15" t="str">
        <f>Solieusap!A2669</f>
        <v>Cũ</v>
      </c>
      <c r="B2669" s="15">
        <f>Solieusap!B2669</f>
        <v>1.75</v>
      </c>
      <c r="C2669" s="15" t="str">
        <f>Solieusap!C2669</f>
        <v>COMB7</v>
      </c>
      <c r="D2669" s="15" t="str">
        <f>Solieusap!D2669</f>
        <v>Combination</v>
      </c>
      <c r="E2669" s="16">
        <f>ABS(Solieusap!E2669)</f>
        <v>29.89883299</v>
      </c>
      <c r="F2669" s="16">
        <f>ABS(Solieusap!F2669)</f>
        <v>2.910857056</v>
      </c>
      <c r="G2669" s="16">
        <f>ABS(Solieusap!G2669)</f>
        <v>3.905906407</v>
      </c>
      <c r="H2669" s="16">
        <f>ABS(Solieusap!H2669)</f>
        <v>0.001779180364</v>
      </c>
      <c r="I2669" s="16">
        <f>ABS(Solieusap!I2669)</f>
        <v>11.03050118</v>
      </c>
      <c r="J2669" s="16">
        <f>ABS(Solieusap!J2669)</f>
        <v>7.40324361</v>
      </c>
      <c r="K2669" s="16">
        <f t="shared" si="1"/>
        <v>29.89883299</v>
      </c>
      <c r="L2669" s="16">
        <f t="shared" si="2"/>
        <v>11.03050118</v>
      </c>
    </row>
    <row r="2670" ht="16.5" customHeight="1">
      <c r="A2670" s="15" t="str">
        <f>Solieusap!A2670</f>
        <v>Cũ</v>
      </c>
      <c r="B2670" s="15">
        <f>Solieusap!B2670</f>
        <v>3.5</v>
      </c>
      <c r="C2670" s="15" t="str">
        <f>Solieusap!C2670</f>
        <v>COMB7</v>
      </c>
      <c r="D2670" s="15" t="str">
        <f>Solieusap!D2670</f>
        <v>Combination</v>
      </c>
      <c r="E2670" s="16">
        <f>ABS(Solieusap!E2670)</f>
        <v>29.91568935</v>
      </c>
      <c r="F2670" s="16">
        <f>ABS(Solieusap!F2670)</f>
        <v>2.912567576</v>
      </c>
      <c r="G2670" s="16">
        <f>ABS(Solieusap!G2670)</f>
        <v>3.908170823</v>
      </c>
      <c r="H2670" s="16">
        <f>ABS(Solieusap!H2670)</f>
        <v>0.001780235468</v>
      </c>
      <c r="I2670" s="16">
        <f>ABS(Solieusap!I2670)</f>
        <v>11.03729597</v>
      </c>
      <c r="J2670" s="16">
        <f>ABS(Solieusap!J2670)</f>
        <v>7.407790662</v>
      </c>
      <c r="K2670" s="16">
        <f t="shared" si="1"/>
        <v>29.91568935</v>
      </c>
      <c r="L2670" s="16">
        <f t="shared" si="2"/>
        <v>11.03729597</v>
      </c>
    </row>
    <row r="2671" ht="16.5" customHeight="1">
      <c r="A2671" s="15" t="str">
        <f>Solieusap!A2671</f>
        <v>Cũ</v>
      </c>
      <c r="B2671" s="15">
        <f>Solieusap!B2671</f>
        <v>0</v>
      </c>
      <c r="C2671" s="15" t="str">
        <f>Solieusap!C2671</f>
        <v>COMB1</v>
      </c>
      <c r="D2671" s="15" t="str">
        <f>Solieusap!D2671</f>
        <v>Combination</v>
      </c>
      <c r="E2671" s="16">
        <f>ABS(Solieusap!E2671)</f>
        <v>29.93254571</v>
      </c>
      <c r="F2671" s="16">
        <f>ABS(Solieusap!F2671)</f>
        <v>2.914278095</v>
      </c>
      <c r="G2671" s="16">
        <f>ABS(Solieusap!G2671)</f>
        <v>3.910435238</v>
      </c>
      <c r="H2671" s="16">
        <f>ABS(Solieusap!H2671)</f>
        <v>0.001781290571</v>
      </c>
      <c r="I2671" s="16">
        <f>ABS(Solieusap!I2671)</f>
        <v>11.04409076</v>
      </c>
      <c r="J2671" s="16">
        <f>ABS(Solieusap!J2671)</f>
        <v>7.412337714</v>
      </c>
      <c r="K2671" s="16">
        <f t="shared" si="1"/>
        <v>29.93254571</v>
      </c>
      <c r="L2671" s="16">
        <f t="shared" si="2"/>
        <v>11.04409076</v>
      </c>
    </row>
    <row r="2672" ht="16.5" customHeight="1">
      <c r="A2672" s="15" t="str">
        <f>Solieusap!A2672</f>
        <v>Cũ</v>
      </c>
      <c r="B2672" s="15">
        <f>Solieusap!B2672</f>
        <v>1.75</v>
      </c>
      <c r="C2672" s="15" t="str">
        <f>Solieusap!C2672</f>
        <v>COMB1</v>
      </c>
      <c r="D2672" s="15" t="str">
        <f>Solieusap!D2672</f>
        <v>Combination</v>
      </c>
      <c r="E2672" s="16">
        <f>ABS(Solieusap!E2672)</f>
        <v>29.94940208</v>
      </c>
      <c r="F2672" s="16">
        <f>ABS(Solieusap!F2672)</f>
        <v>2.915988615</v>
      </c>
      <c r="G2672" s="16">
        <f>ABS(Solieusap!G2672)</f>
        <v>3.912699654</v>
      </c>
      <c r="H2672" s="16">
        <f>ABS(Solieusap!H2672)</f>
        <v>0.001782345675</v>
      </c>
      <c r="I2672" s="16">
        <f>ABS(Solieusap!I2672)</f>
        <v>11.05088555</v>
      </c>
      <c r="J2672" s="16">
        <f>ABS(Solieusap!J2672)</f>
        <v>7.416884766</v>
      </c>
      <c r="K2672" s="16">
        <f t="shared" si="1"/>
        <v>29.94940208</v>
      </c>
      <c r="L2672" s="16">
        <f t="shared" si="2"/>
        <v>11.05088555</v>
      </c>
    </row>
    <row r="2673" ht="16.5" customHeight="1">
      <c r="A2673" s="15" t="str">
        <f>Solieusap!A2673</f>
        <v>Cũ</v>
      </c>
      <c r="B2673" s="15">
        <f>Solieusap!B2673</f>
        <v>3.5</v>
      </c>
      <c r="C2673" s="15" t="str">
        <f>Solieusap!C2673</f>
        <v>COMB1</v>
      </c>
      <c r="D2673" s="15" t="str">
        <f>Solieusap!D2673</f>
        <v>Combination</v>
      </c>
      <c r="E2673" s="16">
        <f>ABS(Solieusap!E2673)</f>
        <v>29.96625844</v>
      </c>
      <c r="F2673" s="16">
        <f>ABS(Solieusap!F2673)</f>
        <v>2.917699134</v>
      </c>
      <c r="G2673" s="16">
        <f>ABS(Solieusap!G2673)</f>
        <v>3.914964069</v>
      </c>
      <c r="H2673" s="16">
        <f>ABS(Solieusap!H2673)</f>
        <v>0.001783400779</v>
      </c>
      <c r="I2673" s="16">
        <f>ABS(Solieusap!I2673)</f>
        <v>11.05768035</v>
      </c>
      <c r="J2673" s="16">
        <f>ABS(Solieusap!J2673)</f>
        <v>7.421431818</v>
      </c>
      <c r="K2673" s="16">
        <f t="shared" si="1"/>
        <v>29.96625844</v>
      </c>
      <c r="L2673" s="16">
        <f t="shared" si="2"/>
        <v>11.05768035</v>
      </c>
    </row>
    <row r="2674" ht="16.5" customHeight="1">
      <c r="A2674" s="15" t="str">
        <f>Solieusap!A2674</f>
        <v>Cũ</v>
      </c>
      <c r="B2674" s="15">
        <f>Solieusap!B2674</f>
        <v>0</v>
      </c>
      <c r="C2674" s="15" t="str">
        <f>Solieusap!C2674</f>
        <v>COMB2</v>
      </c>
      <c r="D2674" s="15" t="str">
        <f>Solieusap!D2674</f>
        <v>Combination</v>
      </c>
      <c r="E2674" s="16">
        <f>ABS(Solieusap!E2674)</f>
        <v>29.98311481</v>
      </c>
      <c r="F2674" s="16">
        <f>ABS(Solieusap!F2674)</f>
        <v>2.919409654</v>
      </c>
      <c r="G2674" s="16">
        <f>ABS(Solieusap!G2674)</f>
        <v>3.917228485</v>
      </c>
      <c r="H2674" s="16">
        <f>ABS(Solieusap!H2674)</f>
        <v>0.001784455883</v>
      </c>
      <c r="I2674" s="16">
        <f>ABS(Solieusap!I2674)</f>
        <v>11.06447514</v>
      </c>
      <c r="J2674" s="16">
        <f>ABS(Solieusap!J2674)</f>
        <v>7.42597887</v>
      </c>
      <c r="K2674" s="16">
        <f t="shared" si="1"/>
        <v>29.98311481</v>
      </c>
      <c r="L2674" s="16">
        <f t="shared" si="2"/>
        <v>11.06447514</v>
      </c>
    </row>
    <row r="2675" ht="16.5" customHeight="1">
      <c r="A2675" s="15" t="str">
        <f>Solieusap!A2675</f>
        <v>Cũ</v>
      </c>
      <c r="B2675" s="15">
        <f>Solieusap!B2675</f>
        <v>1.75</v>
      </c>
      <c r="C2675" s="15" t="str">
        <f>Solieusap!C2675</f>
        <v>COMB2</v>
      </c>
      <c r="D2675" s="15" t="str">
        <f>Solieusap!D2675</f>
        <v>Combination</v>
      </c>
      <c r="E2675" s="16">
        <f>ABS(Solieusap!E2675)</f>
        <v>29.99997117</v>
      </c>
      <c r="F2675" s="16">
        <f>ABS(Solieusap!F2675)</f>
        <v>2.921120173</v>
      </c>
      <c r="G2675" s="16">
        <f>ABS(Solieusap!G2675)</f>
        <v>3.9194929</v>
      </c>
      <c r="H2675" s="16">
        <f>ABS(Solieusap!H2675)</f>
        <v>0.001785510987</v>
      </c>
      <c r="I2675" s="16">
        <f>ABS(Solieusap!I2675)</f>
        <v>11.07126993</v>
      </c>
      <c r="J2675" s="16">
        <f>ABS(Solieusap!J2675)</f>
        <v>7.430525922</v>
      </c>
      <c r="K2675" s="16">
        <f t="shared" si="1"/>
        <v>29.99997117</v>
      </c>
      <c r="L2675" s="16">
        <f t="shared" si="2"/>
        <v>11.07126993</v>
      </c>
    </row>
    <row r="2676" ht="16.5" customHeight="1">
      <c r="A2676" s="15" t="str">
        <f>Solieusap!A2676</f>
        <v>Cũ</v>
      </c>
      <c r="B2676" s="15">
        <f>Solieusap!B2676</f>
        <v>3.5</v>
      </c>
      <c r="C2676" s="15" t="str">
        <f>Solieusap!C2676</f>
        <v>COMB2</v>
      </c>
      <c r="D2676" s="15" t="str">
        <f>Solieusap!D2676</f>
        <v>Combination</v>
      </c>
      <c r="E2676" s="16">
        <f>ABS(Solieusap!E2676)</f>
        <v>30.01682753</v>
      </c>
      <c r="F2676" s="16">
        <f>ABS(Solieusap!F2676)</f>
        <v>2.922830693</v>
      </c>
      <c r="G2676" s="16">
        <f>ABS(Solieusap!G2676)</f>
        <v>3.921757316</v>
      </c>
      <c r="H2676" s="16">
        <f>ABS(Solieusap!H2676)</f>
        <v>0.001786566091</v>
      </c>
      <c r="I2676" s="16">
        <f>ABS(Solieusap!I2676)</f>
        <v>11.07806472</v>
      </c>
      <c r="J2676" s="16">
        <f>ABS(Solieusap!J2676)</f>
        <v>7.435072974</v>
      </c>
      <c r="K2676" s="16">
        <f t="shared" si="1"/>
        <v>30.01682753</v>
      </c>
      <c r="L2676" s="16">
        <f t="shared" si="2"/>
        <v>11.07806472</v>
      </c>
    </row>
    <row r="2677" ht="16.5" customHeight="1">
      <c r="A2677" s="15" t="str">
        <f>Solieusap!A2677</f>
        <v>Cũ</v>
      </c>
      <c r="B2677" s="15">
        <f>Solieusap!B2677</f>
        <v>0</v>
      </c>
      <c r="C2677" s="15" t="str">
        <f>Solieusap!C2677</f>
        <v>COMB3</v>
      </c>
      <c r="D2677" s="15" t="str">
        <f>Solieusap!D2677</f>
        <v>Combination</v>
      </c>
      <c r="E2677" s="16">
        <f>ABS(Solieusap!E2677)</f>
        <v>30.0336839</v>
      </c>
      <c r="F2677" s="16">
        <f>ABS(Solieusap!F2677)</f>
        <v>2.924541212</v>
      </c>
      <c r="G2677" s="16">
        <f>ABS(Solieusap!G2677)</f>
        <v>3.924021732</v>
      </c>
      <c r="H2677" s="16">
        <f>ABS(Solieusap!H2677)</f>
        <v>0.001787621195</v>
      </c>
      <c r="I2677" s="16">
        <f>ABS(Solieusap!I2677)</f>
        <v>11.08485952</v>
      </c>
      <c r="J2677" s="16">
        <f>ABS(Solieusap!J2677)</f>
        <v>7.439620026</v>
      </c>
      <c r="K2677" s="16">
        <f t="shared" si="1"/>
        <v>30.0336839</v>
      </c>
      <c r="L2677" s="16">
        <f t="shared" si="2"/>
        <v>11.08485952</v>
      </c>
    </row>
    <row r="2678" ht="16.5" customHeight="1">
      <c r="A2678" s="15" t="str">
        <f>Solieusap!A2678</f>
        <v>Cũ</v>
      </c>
      <c r="B2678" s="15">
        <f>Solieusap!B2678</f>
        <v>1.75</v>
      </c>
      <c r="C2678" s="15" t="str">
        <f>Solieusap!C2678</f>
        <v>COMB3</v>
      </c>
      <c r="D2678" s="15" t="str">
        <f>Solieusap!D2678</f>
        <v>Combination</v>
      </c>
      <c r="E2678" s="16">
        <f>ABS(Solieusap!E2678)</f>
        <v>30.05054026</v>
      </c>
      <c r="F2678" s="16">
        <f>ABS(Solieusap!F2678)</f>
        <v>2.926251732</v>
      </c>
      <c r="G2678" s="16">
        <f>ABS(Solieusap!G2678)</f>
        <v>3.926286147</v>
      </c>
      <c r="H2678" s="16">
        <f>ABS(Solieusap!H2678)</f>
        <v>0.001788676299</v>
      </c>
      <c r="I2678" s="16">
        <f>ABS(Solieusap!I2678)</f>
        <v>11.09165431</v>
      </c>
      <c r="J2678" s="16">
        <f>ABS(Solieusap!J2678)</f>
        <v>7.444167078</v>
      </c>
      <c r="K2678" s="16">
        <f t="shared" si="1"/>
        <v>30.05054026</v>
      </c>
      <c r="L2678" s="16">
        <f t="shared" si="2"/>
        <v>11.09165431</v>
      </c>
    </row>
    <row r="2679" ht="16.5" customHeight="1">
      <c r="A2679" s="15" t="str">
        <f>Solieusap!A2679</f>
        <v>Cũ</v>
      </c>
      <c r="B2679" s="15">
        <f>Solieusap!B2679</f>
        <v>3.5</v>
      </c>
      <c r="C2679" s="15" t="str">
        <f>Solieusap!C2679</f>
        <v>COMB3</v>
      </c>
      <c r="D2679" s="15" t="str">
        <f>Solieusap!D2679</f>
        <v>Combination</v>
      </c>
      <c r="E2679" s="16">
        <f>ABS(Solieusap!E2679)</f>
        <v>30.06739662</v>
      </c>
      <c r="F2679" s="16">
        <f>ABS(Solieusap!F2679)</f>
        <v>2.927962251</v>
      </c>
      <c r="G2679" s="16">
        <f>ABS(Solieusap!G2679)</f>
        <v>3.928550563</v>
      </c>
      <c r="H2679" s="16">
        <f>ABS(Solieusap!H2679)</f>
        <v>0.001789731403</v>
      </c>
      <c r="I2679" s="16">
        <f>ABS(Solieusap!I2679)</f>
        <v>11.0984491</v>
      </c>
      <c r="J2679" s="16">
        <f>ABS(Solieusap!J2679)</f>
        <v>7.44871413</v>
      </c>
      <c r="K2679" s="16">
        <f t="shared" si="1"/>
        <v>30.06739662</v>
      </c>
      <c r="L2679" s="16">
        <f t="shared" si="2"/>
        <v>11.0984491</v>
      </c>
    </row>
    <row r="2680" ht="16.5" customHeight="1">
      <c r="A2680" s="15" t="str">
        <f>Solieusap!A2680</f>
        <v>Cũ</v>
      </c>
      <c r="B2680" s="15">
        <f>Solieusap!B2680</f>
        <v>0</v>
      </c>
      <c r="C2680" s="15" t="str">
        <f>Solieusap!C2680</f>
        <v>COMB4</v>
      </c>
      <c r="D2680" s="15" t="str">
        <f>Solieusap!D2680</f>
        <v>Combination</v>
      </c>
      <c r="E2680" s="16">
        <f>ABS(Solieusap!E2680)</f>
        <v>30.08425299</v>
      </c>
      <c r="F2680" s="16">
        <f>ABS(Solieusap!F2680)</f>
        <v>2.929672771</v>
      </c>
      <c r="G2680" s="16">
        <f>ABS(Solieusap!G2680)</f>
        <v>3.930814978</v>
      </c>
      <c r="H2680" s="16">
        <f>ABS(Solieusap!H2680)</f>
        <v>0.001790786506</v>
      </c>
      <c r="I2680" s="16">
        <f>ABS(Solieusap!I2680)</f>
        <v>11.10524389</v>
      </c>
      <c r="J2680" s="16">
        <f>ABS(Solieusap!J2680)</f>
        <v>7.453261182</v>
      </c>
      <c r="K2680" s="16">
        <f t="shared" si="1"/>
        <v>30.08425299</v>
      </c>
      <c r="L2680" s="16">
        <f t="shared" si="2"/>
        <v>11.10524389</v>
      </c>
    </row>
    <row r="2681" ht="16.5" customHeight="1">
      <c r="A2681" s="15" t="str">
        <f>Solieusap!A2681</f>
        <v>Cũ</v>
      </c>
      <c r="B2681" s="15">
        <f>Solieusap!B2681</f>
        <v>1.75</v>
      </c>
      <c r="C2681" s="15" t="str">
        <f>Solieusap!C2681</f>
        <v>COMB4</v>
      </c>
      <c r="D2681" s="15" t="str">
        <f>Solieusap!D2681</f>
        <v>Combination</v>
      </c>
      <c r="E2681" s="16">
        <f>ABS(Solieusap!E2681)</f>
        <v>30.10110935</v>
      </c>
      <c r="F2681" s="16">
        <f>ABS(Solieusap!F2681)</f>
        <v>2.93138329</v>
      </c>
      <c r="G2681" s="16">
        <f>ABS(Solieusap!G2681)</f>
        <v>3.933079394</v>
      </c>
      <c r="H2681" s="16">
        <f>ABS(Solieusap!H2681)</f>
        <v>0.00179184161</v>
      </c>
      <c r="I2681" s="16">
        <f>ABS(Solieusap!I2681)</f>
        <v>11.11203868</v>
      </c>
      <c r="J2681" s="16">
        <f>ABS(Solieusap!J2681)</f>
        <v>7.457808234</v>
      </c>
      <c r="K2681" s="16">
        <f t="shared" si="1"/>
        <v>30.10110935</v>
      </c>
      <c r="L2681" s="16">
        <f t="shared" si="2"/>
        <v>11.11203868</v>
      </c>
    </row>
    <row r="2682" ht="16.5" customHeight="1">
      <c r="A2682" s="15" t="str">
        <f>Solieusap!A2682</f>
        <v>Cũ</v>
      </c>
      <c r="B2682" s="15">
        <f>Solieusap!B2682</f>
        <v>3.5</v>
      </c>
      <c r="C2682" s="15" t="str">
        <f>Solieusap!C2682</f>
        <v>COMB4</v>
      </c>
      <c r="D2682" s="15" t="str">
        <f>Solieusap!D2682</f>
        <v>Combination</v>
      </c>
      <c r="E2682" s="16">
        <f>ABS(Solieusap!E2682)</f>
        <v>30.11796571</v>
      </c>
      <c r="F2682" s="16">
        <f>ABS(Solieusap!F2682)</f>
        <v>2.93309381</v>
      </c>
      <c r="G2682" s="16">
        <f>ABS(Solieusap!G2682)</f>
        <v>3.93534381</v>
      </c>
      <c r="H2682" s="16">
        <f>ABS(Solieusap!H2682)</f>
        <v>0.001792896714</v>
      </c>
      <c r="I2682" s="16">
        <f>ABS(Solieusap!I2682)</f>
        <v>11.11883348</v>
      </c>
      <c r="J2682" s="16">
        <f>ABS(Solieusap!J2682)</f>
        <v>7.462355286</v>
      </c>
      <c r="K2682" s="16">
        <f t="shared" si="1"/>
        <v>30.11796571</v>
      </c>
      <c r="L2682" s="16">
        <f t="shared" si="2"/>
        <v>11.11883348</v>
      </c>
    </row>
    <row r="2683" ht="16.5" customHeight="1">
      <c r="A2683" s="15" t="str">
        <f>Solieusap!A2683</f>
        <v>Cũ</v>
      </c>
      <c r="B2683" s="15">
        <f>Solieusap!B2683</f>
        <v>0</v>
      </c>
      <c r="C2683" s="15" t="str">
        <f>Solieusap!C2683</f>
        <v>COMB5</v>
      </c>
      <c r="D2683" s="15" t="str">
        <f>Solieusap!D2683</f>
        <v>Combination</v>
      </c>
      <c r="E2683" s="16">
        <f>ABS(Solieusap!E2683)</f>
        <v>30.13482208</v>
      </c>
      <c r="F2683" s="16">
        <f>ABS(Solieusap!F2683)</f>
        <v>2.934804329</v>
      </c>
      <c r="G2683" s="16">
        <f>ABS(Solieusap!G2683)</f>
        <v>3.937608225</v>
      </c>
      <c r="H2683" s="16">
        <f>ABS(Solieusap!H2683)</f>
        <v>0.001793951818</v>
      </c>
      <c r="I2683" s="16">
        <f>ABS(Solieusap!I2683)</f>
        <v>11.12562827</v>
      </c>
      <c r="J2683" s="16">
        <f>ABS(Solieusap!J2683)</f>
        <v>7.466902338</v>
      </c>
      <c r="K2683" s="16">
        <f t="shared" si="1"/>
        <v>30.13482208</v>
      </c>
      <c r="L2683" s="16">
        <f t="shared" si="2"/>
        <v>11.12562827</v>
      </c>
    </row>
    <row r="2684" ht="16.5" customHeight="1">
      <c r="A2684" s="15" t="str">
        <f>Solieusap!A2684</f>
        <v>Cũ</v>
      </c>
      <c r="B2684" s="15">
        <f>Solieusap!B2684</f>
        <v>1.75</v>
      </c>
      <c r="C2684" s="15" t="str">
        <f>Solieusap!C2684</f>
        <v>COMB5</v>
      </c>
      <c r="D2684" s="15" t="str">
        <f>Solieusap!D2684</f>
        <v>Combination</v>
      </c>
      <c r="E2684" s="16">
        <f>ABS(Solieusap!E2684)</f>
        <v>30.15167844</v>
      </c>
      <c r="F2684" s="16">
        <f>ABS(Solieusap!F2684)</f>
        <v>2.936514848</v>
      </c>
      <c r="G2684" s="16">
        <f>ABS(Solieusap!G2684)</f>
        <v>3.939872641</v>
      </c>
      <c r="H2684" s="16">
        <f>ABS(Solieusap!H2684)</f>
        <v>0.001795006922</v>
      </c>
      <c r="I2684" s="16">
        <f>ABS(Solieusap!I2684)</f>
        <v>11.13242306</v>
      </c>
      <c r="J2684" s="16">
        <f>ABS(Solieusap!J2684)</f>
        <v>7.47144939</v>
      </c>
      <c r="K2684" s="16">
        <f t="shared" si="1"/>
        <v>30.15167844</v>
      </c>
      <c r="L2684" s="16">
        <f t="shared" si="2"/>
        <v>11.13242306</v>
      </c>
    </row>
    <row r="2685" ht="16.5" customHeight="1">
      <c r="A2685" s="15" t="str">
        <f>Solieusap!A2685</f>
        <v>Cũ</v>
      </c>
      <c r="B2685" s="15">
        <f>Solieusap!B2685</f>
        <v>3.5</v>
      </c>
      <c r="C2685" s="15" t="str">
        <f>Solieusap!C2685</f>
        <v>COMB5</v>
      </c>
      <c r="D2685" s="15" t="str">
        <f>Solieusap!D2685</f>
        <v>Combination</v>
      </c>
      <c r="E2685" s="16">
        <f>ABS(Solieusap!E2685)</f>
        <v>30.16853481</v>
      </c>
      <c r="F2685" s="16">
        <f>ABS(Solieusap!F2685)</f>
        <v>2.938225368</v>
      </c>
      <c r="G2685" s="16">
        <f>ABS(Solieusap!G2685)</f>
        <v>3.942137056</v>
      </c>
      <c r="H2685" s="16">
        <f>ABS(Solieusap!H2685)</f>
        <v>0.001796062026</v>
      </c>
      <c r="I2685" s="16">
        <f>ABS(Solieusap!I2685)</f>
        <v>11.13921785</v>
      </c>
      <c r="J2685" s="16">
        <f>ABS(Solieusap!J2685)</f>
        <v>7.475996442</v>
      </c>
      <c r="K2685" s="16">
        <f t="shared" si="1"/>
        <v>30.16853481</v>
      </c>
      <c r="L2685" s="16">
        <f t="shared" si="2"/>
        <v>11.13921785</v>
      </c>
    </row>
    <row r="2686" ht="16.5" customHeight="1">
      <c r="A2686" s="15" t="str">
        <f>Solieusap!A2686</f>
        <v>Cũ</v>
      </c>
      <c r="B2686" s="15">
        <f>Solieusap!B2686</f>
        <v>0</v>
      </c>
      <c r="C2686" s="15" t="str">
        <f>Solieusap!C2686</f>
        <v>COMB6</v>
      </c>
      <c r="D2686" s="15" t="str">
        <f>Solieusap!D2686</f>
        <v>Combination</v>
      </c>
      <c r="E2686" s="16">
        <f>ABS(Solieusap!E2686)</f>
        <v>30.18539117</v>
      </c>
      <c r="F2686" s="16">
        <f>ABS(Solieusap!F2686)</f>
        <v>2.939935887</v>
      </c>
      <c r="G2686" s="16">
        <f>ABS(Solieusap!G2686)</f>
        <v>3.944401472</v>
      </c>
      <c r="H2686" s="16">
        <f>ABS(Solieusap!H2686)</f>
        <v>0.00179711713</v>
      </c>
      <c r="I2686" s="16">
        <f>ABS(Solieusap!I2686)</f>
        <v>11.14601265</v>
      </c>
      <c r="J2686" s="16">
        <f>ABS(Solieusap!J2686)</f>
        <v>7.480543494</v>
      </c>
      <c r="K2686" s="16">
        <f t="shared" si="1"/>
        <v>30.18539117</v>
      </c>
      <c r="L2686" s="16">
        <f t="shared" si="2"/>
        <v>11.14601265</v>
      </c>
    </row>
    <row r="2687" ht="16.5" customHeight="1">
      <c r="A2687" s="15" t="str">
        <f>Solieusap!A2687</f>
        <v>Cũ</v>
      </c>
      <c r="B2687" s="15">
        <f>Solieusap!B2687</f>
        <v>1.75</v>
      </c>
      <c r="C2687" s="15" t="str">
        <f>Solieusap!C2687</f>
        <v>COMB6</v>
      </c>
      <c r="D2687" s="15" t="str">
        <f>Solieusap!D2687</f>
        <v>Combination</v>
      </c>
      <c r="E2687" s="16">
        <f>ABS(Solieusap!E2687)</f>
        <v>30.20224753</v>
      </c>
      <c r="F2687" s="16">
        <f>ABS(Solieusap!F2687)</f>
        <v>2.941646407</v>
      </c>
      <c r="G2687" s="16">
        <f>ABS(Solieusap!G2687)</f>
        <v>3.946665887</v>
      </c>
      <c r="H2687" s="16">
        <f>ABS(Solieusap!H2687)</f>
        <v>0.001798172234</v>
      </c>
      <c r="I2687" s="16">
        <f>ABS(Solieusap!I2687)</f>
        <v>11.15280744</v>
      </c>
      <c r="J2687" s="16">
        <f>ABS(Solieusap!J2687)</f>
        <v>7.485090545</v>
      </c>
      <c r="K2687" s="16">
        <f t="shared" si="1"/>
        <v>30.20224753</v>
      </c>
      <c r="L2687" s="16">
        <f t="shared" si="2"/>
        <v>11.15280744</v>
      </c>
    </row>
    <row r="2688" ht="16.5" customHeight="1">
      <c r="A2688" s="15" t="str">
        <f>Solieusap!A2688</f>
        <v>Cũ</v>
      </c>
      <c r="B2688" s="15">
        <f>Solieusap!B2688</f>
        <v>3.5</v>
      </c>
      <c r="C2688" s="15" t="str">
        <f>Solieusap!C2688</f>
        <v>COMB6</v>
      </c>
      <c r="D2688" s="15" t="str">
        <f>Solieusap!D2688</f>
        <v>Combination</v>
      </c>
      <c r="E2688" s="16">
        <f>ABS(Solieusap!E2688)</f>
        <v>30.2191039</v>
      </c>
      <c r="F2688" s="16">
        <f>ABS(Solieusap!F2688)</f>
        <v>2.943356926</v>
      </c>
      <c r="G2688" s="16">
        <f>ABS(Solieusap!G2688)</f>
        <v>3.948930303</v>
      </c>
      <c r="H2688" s="16">
        <f>ABS(Solieusap!H2688)</f>
        <v>0.001799227338</v>
      </c>
      <c r="I2688" s="16">
        <f>ABS(Solieusap!I2688)</f>
        <v>11.15960223</v>
      </c>
      <c r="J2688" s="16">
        <f>ABS(Solieusap!J2688)</f>
        <v>7.489637597</v>
      </c>
      <c r="K2688" s="16">
        <f t="shared" si="1"/>
        <v>30.2191039</v>
      </c>
      <c r="L2688" s="16">
        <f t="shared" si="2"/>
        <v>11.15960223</v>
      </c>
    </row>
    <row r="2689" ht="16.5" customHeight="1">
      <c r="A2689" s="15" t="str">
        <f>Solieusap!A2689</f>
        <v>Cũ</v>
      </c>
      <c r="B2689" s="15">
        <f>Solieusap!B2689</f>
        <v>0</v>
      </c>
      <c r="C2689" s="15" t="str">
        <f>Solieusap!C2689</f>
        <v>COMB7</v>
      </c>
      <c r="D2689" s="15" t="str">
        <f>Solieusap!D2689</f>
        <v>Combination</v>
      </c>
      <c r="E2689" s="16">
        <f>ABS(Solieusap!E2689)</f>
        <v>30.23596026</v>
      </c>
      <c r="F2689" s="16">
        <f>ABS(Solieusap!F2689)</f>
        <v>2.945067446</v>
      </c>
      <c r="G2689" s="16">
        <f>ABS(Solieusap!G2689)</f>
        <v>3.951194719</v>
      </c>
      <c r="H2689" s="16">
        <f>ABS(Solieusap!H2689)</f>
        <v>0.001800282442</v>
      </c>
      <c r="I2689" s="16">
        <f>ABS(Solieusap!I2689)</f>
        <v>11.16639702</v>
      </c>
      <c r="J2689" s="16">
        <f>ABS(Solieusap!J2689)</f>
        <v>7.494184649</v>
      </c>
      <c r="K2689" s="16">
        <f t="shared" si="1"/>
        <v>30.23596026</v>
      </c>
      <c r="L2689" s="16">
        <f t="shared" si="2"/>
        <v>11.16639702</v>
      </c>
    </row>
    <row r="2690" ht="16.5" customHeight="1">
      <c r="A2690" s="15" t="str">
        <f>Solieusap!A2690</f>
        <v>Cũ</v>
      </c>
      <c r="B2690" s="15">
        <f>Solieusap!B2690</f>
        <v>1.75</v>
      </c>
      <c r="C2690" s="15" t="str">
        <f>Solieusap!C2690</f>
        <v>COMB7</v>
      </c>
      <c r="D2690" s="15" t="str">
        <f>Solieusap!D2690</f>
        <v>Combination</v>
      </c>
      <c r="E2690" s="16">
        <f>ABS(Solieusap!E2690)</f>
        <v>30.25281662</v>
      </c>
      <c r="F2690" s="16">
        <f>ABS(Solieusap!F2690)</f>
        <v>2.946777965</v>
      </c>
      <c r="G2690" s="16">
        <f>ABS(Solieusap!G2690)</f>
        <v>3.953459134</v>
      </c>
      <c r="H2690" s="16">
        <f>ABS(Solieusap!H2690)</f>
        <v>0.001801337545</v>
      </c>
      <c r="I2690" s="16">
        <f>ABS(Solieusap!I2690)</f>
        <v>11.17319181</v>
      </c>
      <c r="J2690" s="16">
        <f>ABS(Solieusap!J2690)</f>
        <v>7.498731701</v>
      </c>
      <c r="K2690" s="16">
        <f t="shared" si="1"/>
        <v>30.25281662</v>
      </c>
      <c r="L2690" s="16">
        <f t="shared" si="2"/>
        <v>11.17319181</v>
      </c>
    </row>
    <row r="2691" ht="16.5" customHeight="1">
      <c r="A2691" s="15" t="str">
        <f>Solieusap!A2691</f>
        <v>Cũ</v>
      </c>
      <c r="B2691" s="15">
        <f>Solieusap!B2691</f>
        <v>3.5</v>
      </c>
      <c r="C2691" s="15" t="str">
        <f>Solieusap!C2691</f>
        <v>COMB7</v>
      </c>
      <c r="D2691" s="15" t="str">
        <f>Solieusap!D2691</f>
        <v>Combination</v>
      </c>
      <c r="E2691" s="16">
        <f>ABS(Solieusap!E2691)</f>
        <v>30.26967299</v>
      </c>
      <c r="F2691" s="16">
        <f>ABS(Solieusap!F2691)</f>
        <v>2.948488485</v>
      </c>
      <c r="G2691" s="16">
        <f>ABS(Solieusap!G2691)</f>
        <v>3.95572355</v>
      </c>
      <c r="H2691" s="16">
        <f>ABS(Solieusap!H2691)</f>
        <v>0.001802392649</v>
      </c>
      <c r="I2691" s="16">
        <f>ABS(Solieusap!I2691)</f>
        <v>11.17998661</v>
      </c>
      <c r="J2691" s="16">
        <f>ABS(Solieusap!J2691)</f>
        <v>7.503278753</v>
      </c>
      <c r="K2691" s="16">
        <f t="shared" si="1"/>
        <v>30.26967299</v>
      </c>
      <c r="L2691" s="16">
        <f t="shared" si="2"/>
        <v>11.17998661</v>
      </c>
    </row>
    <row r="2692" ht="16.5" customHeight="1">
      <c r="A2692" s="15" t="str">
        <f>Solieusap!A2692</f>
        <v>Cũ</v>
      </c>
      <c r="B2692" s="15">
        <f>Solieusap!B2692</f>
        <v>0</v>
      </c>
      <c r="C2692" s="15" t="str">
        <f>Solieusap!C2692</f>
        <v>COMB1</v>
      </c>
      <c r="D2692" s="15" t="str">
        <f>Solieusap!D2692</f>
        <v>Combination</v>
      </c>
      <c r="E2692" s="16">
        <f>ABS(Solieusap!E2692)</f>
        <v>30.28652935</v>
      </c>
      <c r="F2692" s="16">
        <f>ABS(Solieusap!F2692)</f>
        <v>2.950199004</v>
      </c>
      <c r="G2692" s="16">
        <f>ABS(Solieusap!G2692)</f>
        <v>3.957987965</v>
      </c>
      <c r="H2692" s="16">
        <f>ABS(Solieusap!H2692)</f>
        <v>0.001803447753</v>
      </c>
      <c r="I2692" s="16">
        <f>ABS(Solieusap!I2692)</f>
        <v>11.1867814</v>
      </c>
      <c r="J2692" s="16">
        <f>ABS(Solieusap!J2692)</f>
        <v>7.507825805</v>
      </c>
      <c r="K2692" s="16">
        <f t="shared" si="1"/>
        <v>30.28652935</v>
      </c>
      <c r="L2692" s="16">
        <f t="shared" si="2"/>
        <v>11.1867814</v>
      </c>
    </row>
    <row r="2693" ht="16.5" customHeight="1">
      <c r="A2693" s="15" t="str">
        <f>Solieusap!A2693</f>
        <v>Cũ</v>
      </c>
      <c r="B2693" s="15">
        <f>Solieusap!B2693</f>
        <v>1.75</v>
      </c>
      <c r="C2693" s="15" t="str">
        <f>Solieusap!C2693</f>
        <v>COMB1</v>
      </c>
      <c r="D2693" s="15" t="str">
        <f>Solieusap!D2693</f>
        <v>Combination</v>
      </c>
      <c r="E2693" s="16">
        <f>ABS(Solieusap!E2693)</f>
        <v>30.30338571</v>
      </c>
      <c r="F2693" s="16">
        <f>ABS(Solieusap!F2693)</f>
        <v>2.951909524</v>
      </c>
      <c r="G2693" s="16">
        <f>ABS(Solieusap!G2693)</f>
        <v>3.960252381</v>
      </c>
      <c r="H2693" s="16">
        <f>ABS(Solieusap!H2693)</f>
        <v>0.001804502857</v>
      </c>
      <c r="I2693" s="16">
        <f>ABS(Solieusap!I2693)</f>
        <v>11.19357619</v>
      </c>
      <c r="J2693" s="16">
        <f>ABS(Solieusap!J2693)</f>
        <v>7.512372857</v>
      </c>
      <c r="K2693" s="16">
        <f t="shared" si="1"/>
        <v>30.30338571</v>
      </c>
      <c r="L2693" s="16">
        <f t="shared" si="2"/>
        <v>11.19357619</v>
      </c>
    </row>
    <row r="2694" ht="16.5" customHeight="1">
      <c r="A2694" s="15" t="str">
        <f>Solieusap!A2694</f>
        <v>Cũ</v>
      </c>
      <c r="B2694" s="15">
        <f>Solieusap!B2694</f>
        <v>3.5</v>
      </c>
      <c r="C2694" s="15" t="str">
        <f>Solieusap!C2694</f>
        <v>COMB1</v>
      </c>
      <c r="D2694" s="15" t="str">
        <f>Solieusap!D2694</f>
        <v>Combination</v>
      </c>
      <c r="E2694" s="16">
        <f>ABS(Solieusap!E2694)</f>
        <v>30.32024208</v>
      </c>
      <c r="F2694" s="16">
        <f>ABS(Solieusap!F2694)</f>
        <v>2.953620043</v>
      </c>
      <c r="G2694" s="16">
        <f>ABS(Solieusap!G2694)</f>
        <v>3.962516797</v>
      </c>
      <c r="H2694" s="16">
        <f>ABS(Solieusap!H2694)</f>
        <v>0.001805557961</v>
      </c>
      <c r="I2694" s="16">
        <f>ABS(Solieusap!I2694)</f>
        <v>11.20037098</v>
      </c>
      <c r="J2694" s="16">
        <f>ABS(Solieusap!J2694)</f>
        <v>7.516919909</v>
      </c>
      <c r="K2694" s="16">
        <f t="shared" si="1"/>
        <v>30.32024208</v>
      </c>
      <c r="L2694" s="16">
        <f t="shared" si="2"/>
        <v>11.20037098</v>
      </c>
    </row>
    <row r="2695" ht="16.5" customHeight="1">
      <c r="A2695" s="15" t="str">
        <f>Solieusap!A2695</f>
        <v>Cũ</v>
      </c>
      <c r="B2695" s="15">
        <f>Solieusap!B2695</f>
        <v>0</v>
      </c>
      <c r="C2695" s="15" t="str">
        <f>Solieusap!C2695</f>
        <v>COMB2</v>
      </c>
      <c r="D2695" s="15" t="str">
        <f>Solieusap!D2695</f>
        <v>Combination</v>
      </c>
      <c r="E2695" s="16">
        <f>ABS(Solieusap!E2695)</f>
        <v>30.33709844</v>
      </c>
      <c r="F2695" s="16">
        <f>ABS(Solieusap!F2695)</f>
        <v>2.955330563</v>
      </c>
      <c r="G2695" s="16">
        <f>ABS(Solieusap!G2695)</f>
        <v>3.964781212</v>
      </c>
      <c r="H2695" s="16">
        <f>ABS(Solieusap!H2695)</f>
        <v>0.001806613065</v>
      </c>
      <c r="I2695" s="16">
        <f>ABS(Solieusap!I2695)</f>
        <v>11.20716577</v>
      </c>
      <c r="J2695" s="16">
        <f>ABS(Solieusap!J2695)</f>
        <v>7.521466961</v>
      </c>
      <c r="K2695" s="16">
        <f t="shared" si="1"/>
        <v>30.33709844</v>
      </c>
      <c r="L2695" s="16">
        <f t="shared" si="2"/>
        <v>11.20716577</v>
      </c>
    </row>
    <row r="2696" ht="16.5" customHeight="1">
      <c r="A2696" s="15" t="str">
        <f>Solieusap!A2696</f>
        <v>Cũ</v>
      </c>
      <c r="B2696" s="15">
        <f>Solieusap!B2696</f>
        <v>1.75</v>
      </c>
      <c r="C2696" s="15" t="str">
        <f>Solieusap!C2696</f>
        <v>COMB2</v>
      </c>
      <c r="D2696" s="15" t="str">
        <f>Solieusap!D2696</f>
        <v>Combination</v>
      </c>
      <c r="E2696" s="16">
        <f>ABS(Solieusap!E2696)</f>
        <v>30.35395481</v>
      </c>
      <c r="F2696" s="16">
        <f>ABS(Solieusap!F2696)</f>
        <v>2.957041082</v>
      </c>
      <c r="G2696" s="16">
        <f>ABS(Solieusap!G2696)</f>
        <v>3.967045628</v>
      </c>
      <c r="H2696" s="16">
        <f>ABS(Solieusap!H2696)</f>
        <v>0.001807668169</v>
      </c>
      <c r="I2696" s="16">
        <f>ABS(Solieusap!I2696)</f>
        <v>11.21396057</v>
      </c>
      <c r="J2696" s="16">
        <f>ABS(Solieusap!J2696)</f>
        <v>7.526014013</v>
      </c>
      <c r="K2696" s="16">
        <f t="shared" si="1"/>
        <v>30.35395481</v>
      </c>
      <c r="L2696" s="16">
        <f t="shared" si="2"/>
        <v>11.21396057</v>
      </c>
    </row>
    <row r="2697" ht="16.5" customHeight="1">
      <c r="A2697" s="15" t="str">
        <f>Solieusap!A2697</f>
        <v>Cũ</v>
      </c>
      <c r="B2697" s="15">
        <f>Solieusap!B2697</f>
        <v>3.5</v>
      </c>
      <c r="C2697" s="15" t="str">
        <f>Solieusap!C2697</f>
        <v>COMB2</v>
      </c>
      <c r="D2697" s="15" t="str">
        <f>Solieusap!D2697</f>
        <v>Combination</v>
      </c>
      <c r="E2697" s="16">
        <f>ABS(Solieusap!E2697)</f>
        <v>30.37081117</v>
      </c>
      <c r="F2697" s="16">
        <f>ABS(Solieusap!F2697)</f>
        <v>2.958751602</v>
      </c>
      <c r="G2697" s="16">
        <f>ABS(Solieusap!G2697)</f>
        <v>3.969310043</v>
      </c>
      <c r="H2697" s="16">
        <f>ABS(Solieusap!H2697)</f>
        <v>0.001808723273</v>
      </c>
      <c r="I2697" s="16">
        <f>ABS(Solieusap!I2697)</f>
        <v>11.22075536</v>
      </c>
      <c r="J2697" s="16">
        <f>ABS(Solieusap!J2697)</f>
        <v>7.530561065</v>
      </c>
      <c r="K2697" s="16">
        <f t="shared" si="1"/>
        <v>30.37081117</v>
      </c>
      <c r="L2697" s="16">
        <f t="shared" si="2"/>
        <v>11.22075536</v>
      </c>
    </row>
    <row r="2698" ht="16.5" customHeight="1">
      <c r="A2698" s="15" t="str">
        <f>Solieusap!A2698</f>
        <v>Cũ</v>
      </c>
      <c r="B2698" s="15">
        <f>Solieusap!B2698</f>
        <v>0</v>
      </c>
      <c r="C2698" s="15" t="str">
        <f>Solieusap!C2698</f>
        <v>COMB3</v>
      </c>
      <c r="D2698" s="15" t="str">
        <f>Solieusap!D2698</f>
        <v>Combination</v>
      </c>
      <c r="E2698" s="16">
        <f>ABS(Solieusap!E2698)</f>
        <v>30.38766753</v>
      </c>
      <c r="F2698" s="16">
        <f>ABS(Solieusap!F2698)</f>
        <v>2.960462121</v>
      </c>
      <c r="G2698" s="16">
        <f>ABS(Solieusap!G2698)</f>
        <v>3.971574459</v>
      </c>
      <c r="H2698" s="16">
        <f>ABS(Solieusap!H2698)</f>
        <v>0.001809778377</v>
      </c>
      <c r="I2698" s="16">
        <f>ABS(Solieusap!I2698)</f>
        <v>11.22755015</v>
      </c>
      <c r="J2698" s="16">
        <f>ABS(Solieusap!J2698)</f>
        <v>7.535108117</v>
      </c>
      <c r="K2698" s="16">
        <f t="shared" si="1"/>
        <v>30.38766753</v>
      </c>
      <c r="L2698" s="16">
        <f t="shared" si="2"/>
        <v>11.22755015</v>
      </c>
    </row>
    <row r="2699" ht="16.5" customHeight="1">
      <c r="A2699" s="15" t="str">
        <f>Solieusap!A2699</f>
        <v>Cũ</v>
      </c>
      <c r="B2699" s="15">
        <f>Solieusap!B2699</f>
        <v>1.75</v>
      </c>
      <c r="C2699" s="15" t="str">
        <f>Solieusap!C2699</f>
        <v>COMB3</v>
      </c>
      <c r="D2699" s="15" t="str">
        <f>Solieusap!D2699</f>
        <v>Combination</v>
      </c>
      <c r="E2699" s="16">
        <f>ABS(Solieusap!E2699)</f>
        <v>30.4045239</v>
      </c>
      <c r="F2699" s="16">
        <f>ABS(Solieusap!F2699)</f>
        <v>2.962172641</v>
      </c>
      <c r="G2699" s="16">
        <f>ABS(Solieusap!G2699)</f>
        <v>3.973838874</v>
      </c>
      <c r="H2699" s="16">
        <f>ABS(Solieusap!H2699)</f>
        <v>0.001810833481</v>
      </c>
      <c r="I2699" s="16">
        <f>ABS(Solieusap!I2699)</f>
        <v>11.23434494</v>
      </c>
      <c r="J2699" s="16">
        <f>ABS(Solieusap!J2699)</f>
        <v>7.539655169</v>
      </c>
      <c r="K2699" s="16">
        <f t="shared" si="1"/>
        <v>30.4045239</v>
      </c>
      <c r="L2699" s="16">
        <f t="shared" si="2"/>
        <v>11.23434494</v>
      </c>
    </row>
    <row r="2700" ht="16.5" customHeight="1">
      <c r="A2700" s="15" t="str">
        <f>Solieusap!A2700</f>
        <v>Cũ</v>
      </c>
      <c r="B2700" s="15">
        <f>Solieusap!B2700</f>
        <v>3.5</v>
      </c>
      <c r="C2700" s="15" t="str">
        <f>Solieusap!C2700</f>
        <v>COMB3</v>
      </c>
      <c r="D2700" s="15" t="str">
        <f>Solieusap!D2700</f>
        <v>Combination</v>
      </c>
      <c r="E2700" s="16">
        <f>ABS(Solieusap!E2700)</f>
        <v>30.42138026</v>
      </c>
      <c r="F2700" s="16">
        <f>ABS(Solieusap!F2700)</f>
        <v>2.96388316</v>
      </c>
      <c r="G2700" s="16">
        <f>ABS(Solieusap!G2700)</f>
        <v>3.97610329</v>
      </c>
      <c r="H2700" s="16">
        <f>ABS(Solieusap!H2700)</f>
        <v>0.001811888584</v>
      </c>
      <c r="I2700" s="16">
        <f>ABS(Solieusap!I2700)</f>
        <v>11.24113974</v>
      </c>
      <c r="J2700" s="16">
        <f>ABS(Solieusap!J2700)</f>
        <v>7.544202221</v>
      </c>
      <c r="K2700" s="16">
        <f t="shared" si="1"/>
        <v>30.42138026</v>
      </c>
      <c r="L2700" s="16">
        <f t="shared" si="2"/>
        <v>11.24113974</v>
      </c>
    </row>
    <row r="2701" ht="16.5" customHeight="1">
      <c r="A2701" s="15" t="str">
        <f>Solieusap!A2701</f>
        <v>Cũ</v>
      </c>
      <c r="B2701" s="15">
        <f>Solieusap!B2701</f>
        <v>0</v>
      </c>
      <c r="C2701" s="15" t="str">
        <f>Solieusap!C2701</f>
        <v>COMB4</v>
      </c>
      <c r="D2701" s="15" t="str">
        <f>Solieusap!D2701</f>
        <v>Combination</v>
      </c>
      <c r="E2701" s="16">
        <f>ABS(Solieusap!E2701)</f>
        <v>30.43823662</v>
      </c>
      <c r="F2701" s="16">
        <f>ABS(Solieusap!F2701)</f>
        <v>2.96559368</v>
      </c>
      <c r="G2701" s="16">
        <f>ABS(Solieusap!G2701)</f>
        <v>3.978367706</v>
      </c>
      <c r="H2701" s="16">
        <f>ABS(Solieusap!H2701)</f>
        <v>0.001812943688</v>
      </c>
      <c r="I2701" s="16">
        <f>ABS(Solieusap!I2701)</f>
        <v>11.24793453</v>
      </c>
      <c r="J2701" s="16">
        <f>ABS(Solieusap!J2701)</f>
        <v>7.548749273</v>
      </c>
      <c r="K2701" s="16">
        <f t="shared" si="1"/>
        <v>30.43823662</v>
      </c>
      <c r="L2701" s="16">
        <f t="shared" si="2"/>
        <v>11.24793453</v>
      </c>
    </row>
    <row r="2702" ht="16.5" customHeight="1">
      <c r="A2702" s="15" t="str">
        <f>Solieusap!A2702</f>
        <v>Cũ</v>
      </c>
      <c r="B2702" s="15">
        <f>Solieusap!B2702</f>
        <v>1.75</v>
      </c>
      <c r="C2702" s="15" t="str">
        <f>Solieusap!C2702</f>
        <v>COMB4</v>
      </c>
      <c r="D2702" s="15" t="str">
        <f>Solieusap!D2702</f>
        <v>Combination</v>
      </c>
      <c r="E2702" s="16">
        <f>ABS(Solieusap!E2702)</f>
        <v>30.45509299</v>
      </c>
      <c r="F2702" s="16">
        <f>ABS(Solieusap!F2702)</f>
        <v>2.967304199</v>
      </c>
      <c r="G2702" s="16">
        <f>ABS(Solieusap!G2702)</f>
        <v>3.980632121</v>
      </c>
      <c r="H2702" s="16">
        <f>ABS(Solieusap!H2702)</f>
        <v>0.001813998792</v>
      </c>
      <c r="I2702" s="16">
        <f>ABS(Solieusap!I2702)</f>
        <v>11.25472932</v>
      </c>
      <c r="J2702" s="16">
        <f>ABS(Solieusap!J2702)</f>
        <v>7.553296325</v>
      </c>
      <c r="K2702" s="16">
        <f t="shared" si="1"/>
        <v>30.45509299</v>
      </c>
      <c r="L2702" s="16">
        <f t="shared" si="2"/>
        <v>11.25472932</v>
      </c>
    </row>
    <row r="2703" ht="16.5" customHeight="1">
      <c r="A2703" s="15" t="str">
        <f>Solieusap!A2703</f>
        <v>Cũ</v>
      </c>
      <c r="B2703" s="15">
        <f>Solieusap!B2703</f>
        <v>3.5</v>
      </c>
      <c r="C2703" s="15" t="str">
        <f>Solieusap!C2703</f>
        <v>COMB4</v>
      </c>
      <c r="D2703" s="15" t="str">
        <f>Solieusap!D2703</f>
        <v>Combination</v>
      </c>
      <c r="E2703" s="16">
        <f>ABS(Solieusap!E2703)</f>
        <v>30.47194935</v>
      </c>
      <c r="F2703" s="16">
        <f>ABS(Solieusap!F2703)</f>
        <v>2.969014719</v>
      </c>
      <c r="G2703" s="16">
        <f>ABS(Solieusap!G2703)</f>
        <v>3.982896537</v>
      </c>
      <c r="H2703" s="16">
        <f>ABS(Solieusap!H2703)</f>
        <v>0.001815053896</v>
      </c>
      <c r="I2703" s="16">
        <f>ABS(Solieusap!I2703)</f>
        <v>11.26152411</v>
      </c>
      <c r="J2703" s="16">
        <f>ABS(Solieusap!J2703)</f>
        <v>7.557843377</v>
      </c>
      <c r="K2703" s="16">
        <f t="shared" si="1"/>
        <v>30.47194935</v>
      </c>
      <c r="L2703" s="16">
        <f t="shared" si="2"/>
        <v>11.26152411</v>
      </c>
    </row>
    <row r="2704" ht="16.5" customHeight="1">
      <c r="A2704" s="15" t="str">
        <f>Solieusap!A2704</f>
        <v>Cũ</v>
      </c>
      <c r="B2704" s="15">
        <f>Solieusap!B2704</f>
        <v>0</v>
      </c>
      <c r="C2704" s="15" t="str">
        <f>Solieusap!C2704</f>
        <v>COMB5</v>
      </c>
      <c r="D2704" s="15" t="str">
        <f>Solieusap!D2704</f>
        <v>Combination</v>
      </c>
      <c r="E2704" s="16">
        <f>ABS(Solieusap!E2704)</f>
        <v>30.48880571</v>
      </c>
      <c r="F2704" s="16">
        <f>ABS(Solieusap!F2704)</f>
        <v>2.970725238</v>
      </c>
      <c r="G2704" s="16">
        <f>ABS(Solieusap!G2704)</f>
        <v>3.985160952</v>
      </c>
      <c r="H2704" s="16">
        <f>ABS(Solieusap!H2704)</f>
        <v>0.001816109</v>
      </c>
      <c r="I2704" s="16">
        <f>ABS(Solieusap!I2704)</f>
        <v>11.2683189</v>
      </c>
      <c r="J2704" s="16">
        <f>ABS(Solieusap!J2704)</f>
        <v>7.562390429</v>
      </c>
      <c r="K2704" s="16">
        <f t="shared" si="1"/>
        <v>30.48880571</v>
      </c>
      <c r="L2704" s="16">
        <f t="shared" si="2"/>
        <v>11.2683189</v>
      </c>
    </row>
    <row r="2705" ht="16.5" customHeight="1">
      <c r="A2705" s="15" t="str">
        <f>Solieusap!A2705</f>
        <v>Cũ</v>
      </c>
      <c r="B2705" s="15">
        <f>Solieusap!B2705</f>
        <v>1.75</v>
      </c>
      <c r="C2705" s="15" t="str">
        <f>Solieusap!C2705</f>
        <v>COMB5</v>
      </c>
      <c r="D2705" s="15" t="str">
        <f>Solieusap!D2705</f>
        <v>Combination</v>
      </c>
      <c r="E2705" s="16">
        <f>ABS(Solieusap!E2705)</f>
        <v>30.50566208</v>
      </c>
      <c r="F2705" s="16">
        <f>ABS(Solieusap!F2705)</f>
        <v>2.972435758</v>
      </c>
      <c r="G2705" s="16">
        <f>ABS(Solieusap!G2705)</f>
        <v>3.987425368</v>
      </c>
      <c r="H2705" s="16">
        <f>ABS(Solieusap!H2705)</f>
        <v>0.001817164104</v>
      </c>
      <c r="I2705" s="16">
        <f>ABS(Solieusap!I2705)</f>
        <v>11.2751137</v>
      </c>
      <c r="J2705" s="16">
        <f>ABS(Solieusap!J2705)</f>
        <v>7.566937481</v>
      </c>
      <c r="K2705" s="16">
        <f t="shared" si="1"/>
        <v>30.50566208</v>
      </c>
      <c r="L2705" s="16">
        <f t="shared" si="2"/>
        <v>11.2751137</v>
      </c>
    </row>
    <row r="2706" ht="16.5" customHeight="1">
      <c r="A2706" s="15" t="str">
        <f>Solieusap!A2706</f>
        <v>Cũ</v>
      </c>
      <c r="B2706" s="15">
        <f>Solieusap!B2706</f>
        <v>3.5</v>
      </c>
      <c r="C2706" s="15" t="str">
        <f>Solieusap!C2706</f>
        <v>COMB5</v>
      </c>
      <c r="D2706" s="15" t="str">
        <f>Solieusap!D2706</f>
        <v>Combination</v>
      </c>
      <c r="E2706" s="16">
        <f>ABS(Solieusap!E2706)</f>
        <v>30.52251844</v>
      </c>
      <c r="F2706" s="16">
        <f>ABS(Solieusap!F2706)</f>
        <v>2.974146277</v>
      </c>
      <c r="G2706" s="16">
        <f>ABS(Solieusap!G2706)</f>
        <v>3.989689784</v>
      </c>
      <c r="H2706" s="16">
        <f>ABS(Solieusap!H2706)</f>
        <v>0.001818219208</v>
      </c>
      <c r="I2706" s="16">
        <f>ABS(Solieusap!I2706)</f>
        <v>11.28190849</v>
      </c>
      <c r="J2706" s="16">
        <f>ABS(Solieusap!J2706)</f>
        <v>7.571484532</v>
      </c>
      <c r="K2706" s="16">
        <f t="shared" si="1"/>
        <v>30.52251844</v>
      </c>
      <c r="L2706" s="16">
        <f t="shared" si="2"/>
        <v>11.28190849</v>
      </c>
    </row>
    <row r="2707" ht="16.5" customHeight="1">
      <c r="A2707" s="15" t="str">
        <f>Solieusap!A2707</f>
        <v>Cũ</v>
      </c>
      <c r="B2707" s="15">
        <f>Solieusap!B2707</f>
        <v>0</v>
      </c>
      <c r="C2707" s="15" t="str">
        <f>Solieusap!C2707</f>
        <v>COMB6</v>
      </c>
      <c r="D2707" s="15" t="str">
        <f>Solieusap!D2707</f>
        <v>Combination</v>
      </c>
      <c r="E2707" s="16">
        <f>ABS(Solieusap!E2707)</f>
        <v>30.53937481</v>
      </c>
      <c r="F2707" s="16">
        <f>ABS(Solieusap!F2707)</f>
        <v>2.975856797</v>
      </c>
      <c r="G2707" s="16">
        <f>ABS(Solieusap!G2707)</f>
        <v>3.991954199</v>
      </c>
      <c r="H2707" s="16">
        <f>ABS(Solieusap!H2707)</f>
        <v>0.001819274312</v>
      </c>
      <c r="I2707" s="16">
        <f>ABS(Solieusap!I2707)</f>
        <v>11.28870328</v>
      </c>
      <c r="J2707" s="16">
        <f>ABS(Solieusap!J2707)</f>
        <v>7.576031584</v>
      </c>
      <c r="K2707" s="16">
        <f t="shared" si="1"/>
        <v>30.53937481</v>
      </c>
      <c r="L2707" s="16">
        <f t="shared" si="2"/>
        <v>11.28870328</v>
      </c>
    </row>
    <row r="2708" ht="16.5" customHeight="1">
      <c r="A2708" s="15" t="str">
        <f>Solieusap!A2708</f>
        <v>Cũ</v>
      </c>
      <c r="B2708" s="15">
        <f>Solieusap!B2708</f>
        <v>1.75</v>
      </c>
      <c r="C2708" s="15" t="str">
        <f>Solieusap!C2708</f>
        <v>COMB6</v>
      </c>
      <c r="D2708" s="15" t="str">
        <f>Solieusap!D2708</f>
        <v>Combination</v>
      </c>
      <c r="E2708" s="16">
        <f>ABS(Solieusap!E2708)</f>
        <v>30.55623117</v>
      </c>
      <c r="F2708" s="16">
        <f>ABS(Solieusap!F2708)</f>
        <v>2.977567316</v>
      </c>
      <c r="G2708" s="16">
        <f>ABS(Solieusap!G2708)</f>
        <v>3.994218615</v>
      </c>
      <c r="H2708" s="16">
        <f>ABS(Solieusap!H2708)</f>
        <v>0.001820329416</v>
      </c>
      <c r="I2708" s="16">
        <f>ABS(Solieusap!I2708)</f>
        <v>11.29549807</v>
      </c>
      <c r="J2708" s="16">
        <f>ABS(Solieusap!J2708)</f>
        <v>7.580578636</v>
      </c>
      <c r="K2708" s="16">
        <f t="shared" si="1"/>
        <v>30.55623117</v>
      </c>
      <c r="L2708" s="16">
        <f t="shared" si="2"/>
        <v>11.29549807</v>
      </c>
    </row>
    <row r="2709" ht="16.5" customHeight="1">
      <c r="A2709" s="15" t="str">
        <f>Solieusap!A2709</f>
        <v>Cũ</v>
      </c>
      <c r="B2709" s="15">
        <f>Solieusap!B2709</f>
        <v>3.5</v>
      </c>
      <c r="C2709" s="15" t="str">
        <f>Solieusap!C2709</f>
        <v>COMB6</v>
      </c>
      <c r="D2709" s="15" t="str">
        <f>Solieusap!D2709</f>
        <v>Combination</v>
      </c>
      <c r="E2709" s="16">
        <f>ABS(Solieusap!E2709)</f>
        <v>30.57308753</v>
      </c>
      <c r="F2709" s="16">
        <f>ABS(Solieusap!F2709)</f>
        <v>2.979277835</v>
      </c>
      <c r="G2709" s="16">
        <f>ABS(Solieusap!G2709)</f>
        <v>3.99648303</v>
      </c>
      <c r="H2709" s="16">
        <f>ABS(Solieusap!H2709)</f>
        <v>0.001821384519</v>
      </c>
      <c r="I2709" s="16">
        <f>ABS(Solieusap!I2709)</f>
        <v>11.30229287</v>
      </c>
      <c r="J2709" s="16">
        <f>ABS(Solieusap!J2709)</f>
        <v>7.585125688</v>
      </c>
      <c r="K2709" s="16">
        <f t="shared" si="1"/>
        <v>30.57308753</v>
      </c>
      <c r="L2709" s="16">
        <f t="shared" si="2"/>
        <v>11.30229287</v>
      </c>
    </row>
    <row r="2710" ht="16.5" customHeight="1">
      <c r="A2710" s="15" t="str">
        <f>Solieusap!A2710</f>
        <v>Cũ</v>
      </c>
      <c r="B2710" s="15">
        <f>Solieusap!B2710</f>
        <v>0</v>
      </c>
      <c r="C2710" s="15" t="str">
        <f>Solieusap!C2710</f>
        <v>COMB7</v>
      </c>
      <c r="D2710" s="15" t="str">
        <f>Solieusap!D2710</f>
        <v>Combination</v>
      </c>
      <c r="E2710" s="16">
        <f>ABS(Solieusap!E2710)</f>
        <v>30.5899439</v>
      </c>
      <c r="F2710" s="16">
        <f>ABS(Solieusap!F2710)</f>
        <v>2.980988355</v>
      </c>
      <c r="G2710" s="16">
        <f>ABS(Solieusap!G2710)</f>
        <v>3.998747446</v>
      </c>
      <c r="H2710" s="16">
        <f>ABS(Solieusap!H2710)</f>
        <v>0.001822439623</v>
      </c>
      <c r="I2710" s="16">
        <f>ABS(Solieusap!I2710)</f>
        <v>11.30908766</v>
      </c>
      <c r="J2710" s="16">
        <f>ABS(Solieusap!J2710)</f>
        <v>7.58967274</v>
      </c>
      <c r="K2710" s="16">
        <f t="shared" si="1"/>
        <v>30.5899439</v>
      </c>
      <c r="L2710" s="16">
        <f t="shared" si="2"/>
        <v>11.30908766</v>
      </c>
    </row>
    <row r="2711" ht="16.5" customHeight="1">
      <c r="A2711" s="15" t="str">
        <f>Solieusap!A2711</f>
        <v>Cũ</v>
      </c>
      <c r="B2711" s="15">
        <f>Solieusap!B2711</f>
        <v>1.75</v>
      </c>
      <c r="C2711" s="15" t="str">
        <f>Solieusap!C2711</f>
        <v>COMB7</v>
      </c>
      <c r="D2711" s="15" t="str">
        <f>Solieusap!D2711</f>
        <v>Combination</v>
      </c>
      <c r="E2711" s="16">
        <f>ABS(Solieusap!E2711)</f>
        <v>30.60680026</v>
      </c>
      <c r="F2711" s="16">
        <f>ABS(Solieusap!F2711)</f>
        <v>2.982698874</v>
      </c>
      <c r="G2711" s="16">
        <f>ABS(Solieusap!G2711)</f>
        <v>4.001011861</v>
      </c>
      <c r="H2711" s="16">
        <f>ABS(Solieusap!H2711)</f>
        <v>0.001823494727</v>
      </c>
      <c r="I2711" s="16">
        <f>ABS(Solieusap!I2711)</f>
        <v>11.31588245</v>
      </c>
      <c r="J2711" s="16">
        <f>ABS(Solieusap!J2711)</f>
        <v>7.594219792</v>
      </c>
      <c r="K2711" s="16">
        <f t="shared" si="1"/>
        <v>30.60680026</v>
      </c>
      <c r="L2711" s="16">
        <f t="shared" si="2"/>
        <v>11.31588245</v>
      </c>
    </row>
    <row r="2712" ht="16.5" customHeight="1">
      <c r="A2712" s="15" t="str">
        <f>Solieusap!A2712</f>
        <v>Cũ</v>
      </c>
      <c r="B2712" s="15">
        <f>Solieusap!B2712</f>
        <v>3.5</v>
      </c>
      <c r="C2712" s="15" t="str">
        <f>Solieusap!C2712</f>
        <v>COMB7</v>
      </c>
      <c r="D2712" s="15" t="str">
        <f>Solieusap!D2712</f>
        <v>Combination</v>
      </c>
      <c r="E2712" s="16">
        <f>ABS(Solieusap!E2712)</f>
        <v>30.62365662</v>
      </c>
      <c r="F2712" s="16">
        <f>ABS(Solieusap!F2712)</f>
        <v>2.984409394</v>
      </c>
      <c r="G2712" s="16">
        <f>ABS(Solieusap!G2712)</f>
        <v>4.003276277</v>
      </c>
      <c r="H2712" s="16">
        <f>ABS(Solieusap!H2712)</f>
        <v>0.001824549831</v>
      </c>
      <c r="I2712" s="16">
        <f>ABS(Solieusap!I2712)</f>
        <v>11.32267724</v>
      </c>
      <c r="J2712" s="16">
        <f>ABS(Solieusap!J2712)</f>
        <v>7.598766844</v>
      </c>
      <c r="K2712" s="16">
        <f t="shared" si="1"/>
        <v>30.62365662</v>
      </c>
      <c r="L2712" s="16">
        <f t="shared" si="2"/>
        <v>11.32267724</v>
      </c>
    </row>
    <row r="2713" ht="16.5" customHeight="1">
      <c r="A2713" s="15" t="str">
        <f>Solieusap!A2713</f>
        <v>Cũ</v>
      </c>
      <c r="B2713" s="15">
        <f>Solieusap!B2713</f>
        <v>0</v>
      </c>
      <c r="C2713" s="15" t="str">
        <f>Solieusap!C2713</f>
        <v>COMB1</v>
      </c>
      <c r="D2713" s="15" t="str">
        <f>Solieusap!D2713</f>
        <v>Combination</v>
      </c>
      <c r="E2713" s="16">
        <f>ABS(Solieusap!E2713)</f>
        <v>30.64051299</v>
      </c>
      <c r="F2713" s="16">
        <f>ABS(Solieusap!F2713)</f>
        <v>2.986119913</v>
      </c>
      <c r="G2713" s="16">
        <f>ABS(Solieusap!G2713)</f>
        <v>4.005540693</v>
      </c>
      <c r="H2713" s="16">
        <f>ABS(Solieusap!H2713)</f>
        <v>0.001825604935</v>
      </c>
      <c r="I2713" s="16">
        <f>ABS(Solieusap!I2713)</f>
        <v>11.32947203</v>
      </c>
      <c r="J2713" s="16">
        <f>ABS(Solieusap!J2713)</f>
        <v>7.603313896</v>
      </c>
      <c r="K2713" s="16">
        <f t="shared" si="1"/>
        <v>30.64051299</v>
      </c>
      <c r="L2713" s="16">
        <f t="shared" si="2"/>
        <v>11.32947203</v>
      </c>
    </row>
    <row r="2714" ht="16.5" customHeight="1">
      <c r="A2714" s="15" t="str">
        <f>Solieusap!A2714</f>
        <v>Cũ</v>
      </c>
      <c r="B2714" s="15">
        <f>Solieusap!B2714</f>
        <v>1.75</v>
      </c>
      <c r="C2714" s="15" t="str">
        <f>Solieusap!C2714</f>
        <v>COMB1</v>
      </c>
      <c r="D2714" s="15" t="str">
        <f>Solieusap!D2714</f>
        <v>Combination</v>
      </c>
      <c r="E2714" s="16">
        <f>ABS(Solieusap!E2714)</f>
        <v>30.65736935</v>
      </c>
      <c r="F2714" s="16">
        <f>ABS(Solieusap!F2714)</f>
        <v>2.987830433</v>
      </c>
      <c r="G2714" s="16">
        <f>ABS(Solieusap!G2714)</f>
        <v>4.007805108</v>
      </c>
      <c r="H2714" s="16">
        <f>ABS(Solieusap!H2714)</f>
        <v>0.001826660039</v>
      </c>
      <c r="I2714" s="16">
        <f>ABS(Solieusap!I2714)</f>
        <v>11.33626683</v>
      </c>
      <c r="J2714" s="16">
        <f>ABS(Solieusap!J2714)</f>
        <v>7.607860948</v>
      </c>
      <c r="K2714" s="16">
        <f t="shared" si="1"/>
        <v>30.65736935</v>
      </c>
      <c r="L2714" s="16">
        <f t="shared" si="2"/>
        <v>11.33626683</v>
      </c>
    </row>
    <row r="2715" ht="16.5" customHeight="1">
      <c r="A2715" s="15" t="str">
        <f>Solieusap!A2715</f>
        <v>Cũ</v>
      </c>
      <c r="B2715" s="15">
        <f>Solieusap!B2715</f>
        <v>3.5</v>
      </c>
      <c r="C2715" s="15" t="str">
        <f>Solieusap!C2715</f>
        <v>COMB1</v>
      </c>
      <c r="D2715" s="15" t="str">
        <f>Solieusap!D2715</f>
        <v>Combination</v>
      </c>
      <c r="E2715" s="16">
        <f>ABS(Solieusap!E2715)</f>
        <v>30.67422571</v>
      </c>
      <c r="F2715" s="16">
        <f>ABS(Solieusap!F2715)</f>
        <v>2.989540952</v>
      </c>
      <c r="G2715" s="16">
        <f>ABS(Solieusap!G2715)</f>
        <v>4.010069524</v>
      </c>
      <c r="H2715" s="16">
        <f>ABS(Solieusap!H2715)</f>
        <v>0.001827715143</v>
      </c>
      <c r="I2715" s="16">
        <f>ABS(Solieusap!I2715)</f>
        <v>11.34306162</v>
      </c>
      <c r="J2715" s="16">
        <f>ABS(Solieusap!J2715)</f>
        <v>7.612408</v>
      </c>
      <c r="K2715" s="16">
        <f t="shared" si="1"/>
        <v>30.67422571</v>
      </c>
      <c r="L2715" s="16">
        <f t="shared" si="2"/>
        <v>11.34306162</v>
      </c>
    </row>
    <row r="2716" ht="16.5" customHeight="1">
      <c r="A2716" s="15" t="str">
        <f>Solieusap!A2716</f>
        <v>Cũ</v>
      </c>
      <c r="B2716" s="15">
        <f>Solieusap!B2716</f>
        <v>0</v>
      </c>
      <c r="C2716" s="15" t="str">
        <f>Solieusap!C2716</f>
        <v>COMB2</v>
      </c>
      <c r="D2716" s="15" t="str">
        <f>Solieusap!D2716</f>
        <v>Combination</v>
      </c>
      <c r="E2716" s="16">
        <f>ABS(Solieusap!E2716)</f>
        <v>30.69108208</v>
      </c>
      <c r="F2716" s="16">
        <f>ABS(Solieusap!F2716)</f>
        <v>2.991251472</v>
      </c>
      <c r="G2716" s="16">
        <f>ABS(Solieusap!G2716)</f>
        <v>4.012333939</v>
      </c>
      <c r="H2716" s="16">
        <f>ABS(Solieusap!H2716)</f>
        <v>0.001828770247</v>
      </c>
      <c r="I2716" s="16">
        <f>ABS(Solieusap!I2716)</f>
        <v>11.34985641</v>
      </c>
      <c r="J2716" s="16">
        <f>ABS(Solieusap!J2716)</f>
        <v>7.616955052</v>
      </c>
      <c r="K2716" s="16">
        <f t="shared" si="1"/>
        <v>30.69108208</v>
      </c>
      <c r="L2716" s="16">
        <f t="shared" si="2"/>
        <v>11.34985641</v>
      </c>
    </row>
    <row r="2717" ht="16.5" customHeight="1">
      <c r="A2717" s="15" t="str">
        <f>Solieusap!A2717</f>
        <v>Cũ</v>
      </c>
      <c r="B2717" s="15">
        <f>Solieusap!B2717</f>
        <v>1.75</v>
      </c>
      <c r="C2717" s="15" t="str">
        <f>Solieusap!C2717</f>
        <v>COMB2</v>
      </c>
      <c r="D2717" s="15" t="str">
        <f>Solieusap!D2717</f>
        <v>Combination</v>
      </c>
      <c r="E2717" s="16">
        <f>ABS(Solieusap!E2717)</f>
        <v>30.70793844</v>
      </c>
      <c r="F2717" s="16">
        <f>ABS(Solieusap!F2717)</f>
        <v>2.992961991</v>
      </c>
      <c r="G2717" s="16">
        <f>ABS(Solieusap!G2717)</f>
        <v>4.014598355</v>
      </c>
      <c r="H2717" s="16">
        <f>ABS(Solieusap!H2717)</f>
        <v>0.001829825351</v>
      </c>
      <c r="I2717" s="16">
        <f>ABS(Solieusap!I2717)</f>
        <v>11.3566512</v>
      </c>
      <c r="J2717" s="16">
        <f>ABS(Solieusap!J2717)</f>
        <v>7.621502104</v>
      </c>
      <c r="K2717" s="16">
        <f t="shared" si="1"/>
        <v>30.70793844</v>
      </c>
      <c r="L2717" s="16">
        <f t="shared" si="2"/>
        <v>11.3566512</v>
      </c>
    </row>
    <row r="2718" ht="16.5" customHeight="1">
      <c r="A2718" s="15" t="str">
        <f>Solieusap!A2718</f>
        <v>Cũ</v>
      </c>
      <c r="B2718" s="15">
        <f>Solieusap!B2718</f>
        <v>3.5</v>
      </c>
      <c r="C2718" s="15" t="str">
        <f>Solieusap!C2718</f>
        <v>COMB2</v>
      </c>
      <c r="D2718" s="15" t="str">
        <f>Solieusap!D2718</f>
        <v>Combination</v>
      </c>
      <c r="E2718" s="16">
        <f>ABS(Solieusap!E2718)</f>
        <v>30.72479481</v>
      </c>
      <c r="F2718" s="16">
        <f>ABS(Solieusap!F2718)</f>
        <v>2.994672511</v>
      </c>
      <c r="G2718" s="16">
        <f>ABS(Solieusap!G2718)</f>
        <v>4.016862771</v>
      </c>
      <c r="H2718" s="16">
        <f>ABS(Solieusap!H2718)</f>
        <v>0.001830880455</v>
      </c>
      <c r="I2718" s="16">
        <f>ABS(Solieusap!I2718)</f>
        <v>11.363446</v>
      </c>
      <c r="J2718" s="16">
        <f>ABS(Solieusap!J2718)</f>
        <v>7.626049156</v>
      </c>
      <c r="K2718" s="16">
        <f t="shared" si="1"/>
        <v>30.72479481</v>
      </c>
      <c r="L2718" s="16">
        <f t="shared" si="2"/>
        <v>11.363446</v>
      </c>
    </row>
    <row r="2719" ht="16.5" customHeight="1">
      <c r="A2719" s="15" t="str">
        <f>Solieusap!A2719</f>
        <v>Cũ</v>
      </c>
      <c r="B2719" s="15">
        <f>Solieusap!B2719</f>
        <v>0</v>
      </c>
      <c r="C2719" s="15" t="str">
        <f>Solieusap!C2719</f>
        <v>COMB3</v>
      </c>
      <c r="D2719" s="15" t="str">
        <f>Solieusap!D2719</f>
        <v>Combination</v>
      </c>
      <c r="E2719" s="16">
        <f>ABS(Solieusap!E2719)</f>
        <v>30.74165117</v>
      </c>
      <c r="F2719" s="16">
        <f>ABS(Solieusap!F2719)</f>
        <v>2.99638303</v>
      </c>
      <c r="G2719" s="16">
        <f>ABS(Solieusap!G2719)</f>
        <v>4.019127186</v>
      </c>
      <c r="H2719" s="16">
        <f>ABS(Solieusap!H2719)</f>
        <v>0.001831935558</v>
      </c>
      <c r="I2719" s="16">
        <f>ABS(Solieusap!I2719)</f>
        <v>11.37024079</v>
      </c>
      <c r="J2719" s="16">
        <f>ABS(Solieusap!J2719)</f>
        <v>7.630596208</v>
      </c>
      <c r="K2719" s="16">
        <f t="shared" si="1"/>
        <v>30.74165117</v>
      </c>
      <c r="L2719" s="16">
        <f t="shared" si="2"/>
        <v>11.37024079</v>
      </c>
    </row>
    <row r="2720" ht="16.5" customHeight="1">
      <c r="A2720" s="15" t="str">
        <f>Solieusap!A2720</f>
        <v>Cũ</v>
      </c>
      <c r="B2720" s="15">
        <f>Solieusap!B2720</f>
        <v>1.75</v>
      </c>
      <c r="C2720" s="15" t="str">
        <f>Solieusap!C2720</f>
        <v>COMB3</v>
      </c>
      <c r="D2720" s="15" t="str">
        <f>Solieusap!D2720</f>
        <v>Combination</v>
      </c>
      <c r="E2720" s="16">
        <f>ABS(Solieusap!E2720)</f>
        <v>30.75850753</v>
      </c>
      <c r="F2720" s="16">
        <f>ABS(Solieusap!F2720)</f>
        <v>2.99809355</v>
      </c>
      <c r="G2720" s="16">
        <f>ABS(Solieusap!G2720)</f>
        <v>4.021391602</v>
      </c>
      <c r="H2720" s="16">
        <f>ABS(Solieusap!H2720)</f>
        <v>0.001832990662</v>
      </c>
      <c r="I2720" s="16">
        <f>ABS(Solieusap!I2720)</f>
        <v>11.37703558</v>
      </c>
      <c r="J2720" s="16">
        <f>ABS(Solieusap!J2720)</f>
        <v>7.63514326</v>
      </c>
      <c r="K2720" s="16">
        <f t="shared" si="1"/>
        <v>30.75850753</v>
      </c>
      <c r="L2720" s="16">
        <f t="shared" si="2"/>
        <v>11.37703558</v>
      </c>
    </row>
    <row r="2721" ht="16.5" customHeight="1">
      <c r="A2721" s="15" t="str">
        <f>Solieusap!A2721</f>
        <v>Cũ</v>
      </c>
      <c r="B2721" s="15">
        <f>Solieusap!B2721</f>
        <v>3.5</v>
      </c>
      <c r="C2721" s="15" t="str">
        <f>Solieusap!C2721</f>
        <v>COMB3</v>
      </c>
      <c r="D2721" s="15" t="str">
        <f>Solieusap!D2721</f>
        <v>Combination</v>
      </c>
      <c r="E2721" s="16">
        <f>ABS(Solieusap!E2721)</f>
        <v>30.7753639</v>
      </c>
      <c r="F2721" s="16">
        <f>ABS(Solieusap!F2721)</f>
        <v>2.999804069</v>
      </c>
      <c r="G2721" s="16">
        <f>ABS(Solieusap!G2721)</f>
        <v>4.023656017</v>
      </c>
      <c r="H2721" s="16">
        <f>ABS(Solieusap!H2721)</f>
        <v>0.001834045766</v>
      </c>
      <c r="I2721" s="16">
        <f>ABS(Solieusap!I2721)</f>
        <v>11.38383037</v>
      </c>
      <c r="J2721" s="16">
        <f>ABS(Solieusap!J2721)</f>
        <v>7.639690312</v>
      </c>
      <c r="K2721" s="16">
        <f t="shared" si="1"/>
        <v>30.7753639</v>
      </c>
      <c r="L2721" s="16">
        <f t="shared" si="2"/>
        <v>11.38383037</v>
      </c>
    </row>
    <row r="2722" ht="16.5" customHeight="1">
      <c r="A2722" s="15" t="str">
        <f>Solieusap!A2722</f>
        <v>Cũ</v>
      </c>
      <c r="B2722" s="15">
        <f>Solieusap!B2722</f>
        <v>0</v>
      </c>
      <c r="C2722" s="15" t="str">
        <f>Solieusap!C2722</f>
        <v>COMB4</v>
      </c>
      <c r="D2722" s="15" t="str">
        <f>Solieusap!D2722</f>
        <v>Combination</v>
      </c>
      <c r="E2722" s="16">
        <f>ABS(Solieusap!E2722)</f>
        <v>30.79222026</v>
      </c>
      <c r="F2722" s="16">
        <f>ABS(Solieusap!F2722)</f>
        <v>3.001514589</v>
      </c>
      <c r="G2722" s="16">
        <f>ABS(Solieusap!G2722)</f>
        <v>4.025920433</v>
      </c>
      <c r="H2722" s="16">
        <f>ABS(Solieusap!H2722)</f>
        <v>0.00183510087</v>
      </c>
      <c r="I2722" s="16">
        <f>ABS(Solieusap!I2722)</f>
        <v>11.39062516</v>
      </c>
      <c r="J2722" s="16">
        <f>ABS(Solieusap!J2722)</f>
        <v>7.644237364</v>
      </c>
      <c r="K2722" s="16">
        <f t="shared" si="1"/>
        <v>30.79222026</v>
      </c>
      <c r="L2722" s="16">
        <f t="shared" si="2"/>
        <v>11.39062516</v>
      </c>
    </row>
    <row r="2723" ht="16.5" customHeight="1">
      <c r="A2723" s="15" t="str">
        <f>Solieusap!A2723</f>
        <v>Cũ</v>
      </c>
      <c r="B2723" s="15">
        <f>Solieusap!B2723</f>
        <v>1.75</v>
      </c>
      <c r="C2723" s="15" t="str">
        <f>Solieusap!C2723</f>
        <v>COMB4</v>
      </c>
      <c r="D2723" s="15" t="str">
        <f>Solieusap!D2723</f>
        <v>Combination</v>
      </c>
      <c r="E2723" s="16">
        <f>ABS(Solieusap!E2723)</f>
        <v>30.80907662</v>
      </c>
      <c r="F2723" s="16">
        <f>ABS(Solieusap!F2723)</f>
        <v>3.003225108</v>
      </c>
      <c r="G2723" s="16">
        <f>ABS(Solieusap!G2723)</f>
        <v>4.028184848</v>
      </c>
      <c r="H2723" s="16">
        <f>ABS(Solieusap!H2723)</f>
        <v>0.001836155974</v>
      </c>
      <c r="I2723" s="16">
        <f>ABS(Solieusap!I2723)</f>
        <v>11.39741996</v>
      </c>
      <c r="J2723" s="16">
        <f>ABS(Solieusap!J2723)</f>
        <v>7.648784416</v>
      </c>
      <c r="K2723" s="16">
        <f t="shared" si="1"/>
        <v>30.80907662</v>
      </c>
      <c r="L2723" s="16">
        <f t="shared" si="2"/>
        <v>11.39741996</v>
      </c>
    </row>
    <row r="2724" ht="16.5" customHeight="1">
      <c r="A2724" s="15" t="str">
        <f>Solieusap!A2724</f>
        <v>Cũ</v>
      </c>
      <c r="B2724" s="15">
        <f>Solieusap!B2724</f>
        <v>3.5</v>
      </c>
      <c r="C2724" s="15" t="str">
        <f>Solieusap!C2724</f>
        <v>COMB4</v>
      </c>
      <c r="D2724" s="15" t="str">
        <f>Solieusap!D2724</f>
        <v>Combination</v>
      </c>
      <c r="E2724" s="16">
        <f>ABS(Solieusap!E2724)</f>
        <v>30.82593299</v>
      </c>
      <c r="F2724" s="16">
        <f>ABS(Solieusap!F2724)</f>
        <v>3.004935628</v>
      </c>
      <c r="G2724" s="16">
        <f>ABS(Solieusap!G2724)</f>
        <v>4.030449264</v>
      </c>
      <c r="H2724" s="16">
        <f>ABS(Solieusap!H2724)</f>
        <v>0.001837211078</v>
      </c>
      <c r="I2724" s="16">
        <f>ABS(Solieusap!I2724)</f>
        <v>11.40421475</v>
      </c>
      <c r="J2724" s="16">
        <f>ABS(Solieusap!J2724)</f>
        <v>7.653331468</v>
      </c>
      <c r="K2724" s="16">
        <f t="shared" si="1"/>
        <v>30.82593299</v>
      </c>
      <c r="L2724" s="16">
        <f t="shared" si="2"/>
        <v>11.40421475</v>
      </c>
    </row>
    <row r="2725" ht="16.5" customHeight="1">
      <c r="A2725" s="15" t="str">
        <f>Solieusap!A2725</f>
        <v>Cũ</v>
      </c>
      <c r="B2725" s="15">
        <f>Solieusap!B2725</f>
        <v>0</v>
      </c>
      <c r="C2725" s="15" t="str">
        <f>Solieusap!C2725</f>
        <v>COMB5</v>
      </c>
      <c r="D2725" s="15" t="str">
        <f>Solieusap!D2725</f>
        <v>Combination</v>
      </c>
      <c r="E2725" s="16">
        <f>ABS(Solieusap!E2725)</f>
        <v>30.84278935</v>
      </c>
      <c r="F2725" s="16">
        <f>ABS(Solieusap!F2725)</f>
        <v>3.006646147</v>
      </c>
      <c r="G2725" s="16">
        <f>ABS(Solieusap!G2725)</f>
        <v>4.03271368</v>
      </c>
      <c r="H2725" s="16">
        <f>ABS(Solieusap!H2725)</f>
        <v>0.001838266182</v>
      </c>
      <c r="I2725" s="16">
        <f>ABS(Solieusap!I2725)</f>
        <v>11.41100954</v>
      </c>
      <c r="J2725" s="16">
        <f>ABS(Solieusap!J2725)</f>
        <v>7.657878519</v>
      </c>
      <c r="K2725" s="16">
        <f t="shared" si="1"/>
        <v>30.84278935</v>
      </c>
      <c r="L2725" s="16">
        <f t="shared" si="2"/>
        <v>11.41100954</v>
      </c>
    </row>
    <row r="2726" ht="16.5" customHeight="1">
      <c r="A2726" s="15" t="str">
        <f>Solieusap!A2726</f>
        <v>Cũ</v>
      </c>
      <c r="B2726" s="15">
        <f>Solieusap!B2726</f>
        <v>1.75</v>
      </c>
      <c r="C2726" s="15" t="str">
        <f>Solieusap!C2726</f>
        <v>COMB5</v>
      </c>
      <c r="D2726" s="15" t="str">
        <f>Solieusap!D2726</f>
        <v>Combination</v>
      </c>
      <c r="E2726" s="16">
        <f>ABS(Solieusap!E2726)</f>
        <v>30.85964571</v>
      </c>
      <c r="F2726" s="16">
        <f>ABS(Solieusap!F2726)</f>
        <v>3.008356667</v>
      </c>
      <c r="G2726" s="16">
        <f>ABS(Solieusap!G2726)</f>
        <v>4.034978095</v>
      </c>
      <c r="H2726" s="16">
        <f>ABS(Solieusap!H2726)</f>
        <v>0.001839321286</v>
      </c>
      <c r="I2726" s="16">
        <f>ABS(Solieusap!I2726)</f>
        <v>11.41780433</v>
      </c>
      <c r="J2726" s="16">
        <f>ABS(Solieusap!J2726)</f>
        <v>7.662425571</v>
      </c>
      <c r="K2726" s="16">
        <f t="shared" si="1"/>
        <v>30.85964571</v>
      </c>
      <c r="L2726" s="16">
        <f t="shared" si="2"/>
        <v>11.41780433</v>
      </c>
    </row>
    <row r="2727" ht="16.5" customHeight="1">
      <c r="A2727" s="15" t="str">
        <f>Solieusap!A2727</f>
        <v>Cũ</v>
      </c>
      <c r="B2727" s="15">
        <f>Solieusap!B2727</f>
        <v>3.5</v>
      </c>
      <c r="C2727" s="15" t="str">
        <f>Solieusap!C2727</f>
        <v>COMB5</v>
      </c>
      <c r="D2727" s="15" t="str">
        <f>Solieusap!D2727</f>
        <v>Combination</v>
      </c>
      <c r="E2727" s="16">
        <f>ABS(Solieusap!E2727)</f>
        <v>30.87650208</v>
      </c>
      <c r="F2727" s="16">
        <f>ABS(Solieusap!F2727)</f>
        <v>3.010067186</v>
      </c>
      <c r="G2727" s="16">
        <f>ABS(Solieusap!G2727)</f>
        <v>4.037242511</v>
      </c>
      <c r="H2727" s="16">
        <f>ABS(Solieusap!H2727)</f>
        <v>0.00184037639</v>
      </c>
      <c r="I2727" s="16">
        <f>ABS(Solieusap!I2727)</f>
        <v>11.42459913</v>
      </c>
      <c r="J2727" s="16">
        <f>ABS(Solieusap!J2727)</f>
        <v>7.666972623</v>
      </c>
      <c r="K2727" s="16">
        <f t="shared" si="1"/>
        <v>30.87650208</v>
      </c>
      <c r="L2727" s="16">
        <f t="shared" si="2"/>
        <v>11.42459913</v>
      </c>
    </row>
    <row r="2728" ht="16.5" customHeight="1">
      <c r="A2728" s="15" t="str">
        <f>Solieusap!A2728</f>
        <v>Cũ</v>
      </c>
      <c r="B2728" s="15">
        <f>Solieusap!B2728</f>
        <v>0</v>
      </c>
      <c r="C2728" s="15" t="str">
        <f>Solieusap!C2728</f>
        <v>COMB6</v>
      </c>
      <c r="D2728" s="15" t="str">
        <f>Solieusap!D2728</f>
        <v>Combination</v>
      </c>
      <c r="E2728" s="16">
        <f>ABS(Solieusap!E2728)</f>
        <v>30.89335844</v>
      </c>
      <c r="F2728" s="16">
        <f>ABS(Solieusap!F2728)</f>
        <v>3.011777706</v>
      </c>
      <c r="G2728" s="16">
        <f>ABS(Solieusap!G2728)</f>
        <v>4.039506926</v>
      </c>
      <c r="H2728" s="16">
        <f>ABS(Solieusap!H2728)</f>
        <v>0.001841431494</v>
      </c>
      <c r="I2728" s="16">
        <f>ABS(Solieusap!I2728)</f>
        <v>11.43139392</v>
      </c>
      <c r="J2728" s="16">
        <f>ABS(Solieusap!J2728)</f>
        <v>7.671519675</v>
      </c>
      <c r="K2728" s="16">
        <f t="shared" si="1"/>
        <v>30.89335844</v>
      </c>
      <c r="L2728" s="16">
        <f t="shared" si="2"/>
        <v>11.43139392</v>
      </c>
    </row>
    <row r="2729" ht="16.5" customHeight="1">
      <c r="A2729" s="15" t="str">
        <f>Solieusap!A2729</f>
        <v>Cũ</v>
      </c>
      <c r="B2729" s="15">
        <f>Solieusap!B2729</f>
        <v>1.75</v>
      </c>
      <c r="C2729" s="15" t="str">
        <f>Solieusap!C2729</f>
        <v>COMB6</v>
      </c>
      <c r="D2729" s="15" t="str">
        <f>Solieusap!D2729</f>
        <v>Combination</v>
      </c>
      <c r="E2729" s="16">
        <f>ABS(Solieusap!E2729)</f>
        <v>30.91021481</v>
      </c>
      <c r="F2729" s="16">
        <f>ABS(Solieusap!F2729)</f>
        <v>3.013488225</v>
      </c>
      <c r="G2729" s="16">
        <f>ABS(Solieusap!G2729)</f>
        <v>4.041771342</v>
      </c>
      <c r="H2729" s="16">
        <f>ABS(Solieusap!H2729)</f>
        <v>0.001842486597</v>
      </c>
      <c r="I2729" s="16">
        <f>ABS(Solieusap!I2729)</f>
        <v>11.43818871</v>
      </c>
      <c r="J2729" s="16">
        <f>ABS(Solieusap!J2729)</f>
        <v>7.676066727</v>
      </c>
      <c r="K2729" s="16">
        <f t="shared" si="1"/>
        <v>30.91021481</v>
      </c>
      <c r="L2729" s="16">
        <f t="shared" si="2"/>
        <v>11.43818871</v>
      </c>
    </row>
    <row r="2730" ht="16.5" customHeight="1">
      <c r="A2730" s="15" t="str">
        <f>Solieusap!A2730</f>
        <v>Cũ</v>
      </c>
      <c r="B2730" s="15">
        <f>Solieusap!B2730</f>
        <v>3.5</v>
      </c>
      <c r="C2730" s="15" t="str">
        <f>Solieusap!C2730</f>
        <v>COMB6</v>
      </c>
      <c r="D2730" s="15" t="str">
        <f>Solieusap!D2730</f>
        <v>Combination</v>
      </c>
      <c r="E2730" s="16">
        <f>ABS(Solieusap!E2730)</f>
        <v>30.92707117</v>
      </c>
      <c r="F2730" s="16">
        <f>ABS(Solieusap!F2730)</f>
        <v>3.015198745</v>
      </c>
      <c r="G2730" s="16">
        <f>ABS(Solieusap!G2730)</f>
        <v>4.044035758</v>
      </c>
      <c r="H2730" s="16">
        <f>ABS(Solieusap!H2730)</f>
        <v>0.001843541701</v>
      </c>
      <c r="I2730" s="16">
        <f>ABS(Solieusap!I2730)</f>
        <v>11.4449835</v>
      </c>
      <c r="J2730" s="16">
        <f>ABS(Solieusap!J2730)</f>
        <v>7.680613779</v>
      </c>
      <c r="K2730" s="16">
        <f t="shared" si="1"/>
        <v>30.92707117</v>
      </c>
      <c r="L2730" s="16">
        <f t="shared" si="2"/>
        <v>11.4449835</v>
      </c>
    </row>
    <row r="2731" ht="16.5" customHeight="1">
      <c r="A2731" s="15" t="str">
        <f>Solieusap!A2731</f>
        <v>Cũ</v>
      </c>
      <c r="B2731" s="15">
        <f>Solieusap!B2731</f>
        <v>0</v>
      </c>
      <c r="C2731" s="15" t="str">
        <f>Solieusap!C2731</f>
        <v>COMB7</v>
      </c>
      <c r="D2731" s="15" t="str">
        <f>Solieusap!D2731</f>
        <v>Combination</v>
      </c>
      <c r="E2731" s="16">
        <f>ABS(Solieusap!E2731)</f>
        <v>30.94392753</v>
      </c>
      <c r="F2731" s="16">
        <f>ABS(Solieusap!F2731)</f>
        <v>3.016909264</v>
      </c>
      <c r="G2731" s="16">
        <f>ABS(Solieusap!G2731)</f>
        <v>4.046300173</v>
      </c>
      <c r="H2731" s="16">
        <f>ABS(Solieusap!H2731)</f>
        <v>0.001844596805</v>
      </c>
      <c r="I2731" s="16">
        <f>ABS(Solieusap!I2731)</f>
        <v>11.45177829</v>
      </c>
      <c r="J2731" s="16">
        <f>ABS(Solieusap!J2731)</f>
        <v>7.685160831</v>
      </c>
      <c r="K2731" s="16">
        <f t="shared" si="1"/>
        <v>30.94392753</v>
      </c>
      <c r="L2731" s="16">
        <f t="shared" si="2"/>
        <v>11.45177829</v>
      </c>
    </row>
    <row r="2732" ht="16.5" customHeight="1">
      <c r="A2732" s="15" t="str">
        <f>Solieusap!A2732</f>
        <v>Cũ</v>
      </c>
      <c r="B2732" s="15">
        <f>Solieusap!B2732</f>
        <v>1.75</v>
      </c>
      <c r="C2732" s="15" t="str">
        <f>Solieusap!C2732</f>
        <v>COMB7</v>
      </c>
      <c r="D2732" s="15" t="str">
        <f>Solieusap!D2732</f>
        <v>Combination</v>
      </c>
      <c r="E2732" s="16">
        <f>ABS(Solieusap!E2732)</f>
        <v>30.9607839</v>
      </c>
      <c r="F2732" s="16">
        <f>ABS(Solieusap!F2732)</f>
        <v>3.018619784</v>
      </c>
      <c r="G2732" s="16">
        <f>ABS(Solieusap!G2732)</f>
        <v>4.048564589</v>
      </c>
      <c r="H2732" s="16">
        <f>ABS(Solieusap!H2732)</f>
        <v>0.001845651909</v>
      </c>
      <c r="I2732" s="16">
        <f>ABS(Solieusap!I2732)</f>
        <v>11.45857309</v>
      </c>
      <c r="J2732" s="16">
        <f>ABS(Solieusap!J2732)</f>
        <v>7.689707883</v>
      </c>
      <c r="K2732" s="16">
        <f t="shared" si="1"/>
        <v>30.9607839</v>
      </c>
      <c r="L2732" s="16">
        <f t="shared" si="2"/>
        <v>11.45857309</v>
      </c>
    </row>
    <row r="2733" ht="16.5" customHeight="1">
      <c r="A2733" s="15" t="str">
        <f>Solieusap!A2733</f>
        <v>Cũ</v>
      </c>
      <c r="B2733" s="15">
        <f>Solieusap!B2733</f>
        <v>3.5</v>
      </c>
      <c r="C2733" s="15" t="str">
        <f>Solieusap!C2733</f>
        <v>COMB7</v>
      </c>
      <c r="D2733" s="15" t="str">
        <f>Solieusap!D2733</f>
        <v>Combination</v>
      </c>
      <c r="E2733" s="16">
        <f>ABS(Solieusap!E2733)</f>
        <v>30.97764026</v>
      </c>
      <c r="F2733" s="16">
        <f>ABS(Solieusap!F2733)</f>
        <v>3.020330303</v>
      </c>
      <c r="G2733" s="16">
        <f>ABS(Solieusap!G2733)</f>
        <v>4.050829004</v>
      </c>
      <c r="H2733" s="16">
        <f>ABS(Solieusap!H2733)</f>
        <v>0.001846707013</v>
      </c>
      <c r="I2733" s="16">
        <f>ABS(Solieusap!I2733)</f>
        <v>11.46536788</v>
      </c>
      <c r="J2733" s="16">
        <f>ABS(Solieusap!J2733)</f>
        <v>7.694254935</v>
      </c>
      <c r="K2733" s="16">
        <f t="shared" si="1"/>
        <v>30.97764026</v>
      </c>
      <c r="L2733" s="16">
        <f t="shared" si="2"/>
        <v>11.46536788</v>
      </c>
    </row>
    <row r="2734" ht="16.5" customHeight="1">
      <c r="A2734" s="15" t="str">
        <f>Solieusap!A2734</f>
        <v>Cũ</v>
      </c>
      <c r="B2734" s="15">
        <f>Solieusap!B2734</f>
        <v>0</v>
      </c>
      <c r="C2734" s="15" t="str">
        <f>Solieusap!C2734</f>
        <v>COMB1</v>
      </c>
      <c r="D2734" s="15" t="str">
        <f>Solieusap!D2734</f>
        <v>Combination</v>
      </c>
      <c r="E2734" s="16">
        <f>ABS(Solieusap!E2734)</f>
        <v>30.99449662</v>
      </c>
      <c r="F2734" s="16">
        <f>ABS(Solieusap!F2734)</f>
        <v>3.022040823</v>
      </c>
      <c r="G2734" s="16">
        <f>ABS(Solieusap!G2734)</f>
        <v>4.05309342</v>
      </c>
      <c r="H2734" s="16">
        <f>ABS(Solieusap!H2734)</f>
        <v>0.001847762117</v>
      </c>
      <c r="I2734" s="16">
        <f>ABS(Solieusap!I2734)</f>
        <v>11.47216267</v>
      </c>
      <c r="J2734" s="16">
        <f>ABS(Solieusap!J2734)</f>
        <v>7.698801987</v>
      </c>
      <c r="K2734" s="16">
        <f t="shared" si="1"/>
        <v>30.99449662</v>
      </c>
      <c r="L2734" s="16">
        <f t="shared" si="2"/>
        <v>11.47216267</v>
      </c>
    </row>
    <row r="2735" ht="16.5" customHeight="1">
      <c r="A2735" s="15" t="str">
        <f>Solieusap!A2735</f>
        <v>Cũ</v>
      </c>
      <c r="B2735" s="15">
        <f>Solieusap!B2735</f>
        <v>1.75</v>
      </c>
      <c r="C2735" s="15" t="str">
        <f>Solieusap!C2735</f>
        <v>COMB1</v>
      </c>
      <c r="D2735" s="15" t="str">
        <f>Solieusap!D2735</f>
        <v>Combination</v>
      </c>
      <c r="E2735" s="16">
        <f>ABS(Solieusap!E2735)</f>
        <v>31.01135299</v>
      </c>
      <c r="F2735" s="16">
        <f>ABS(Solieusap!F2735)</f>
        <v>3.023751342</v>
      </c>
      <c r="G2735" s="16">
        <f>ABS(Solieusap!G2735)</f>
        <v>4.055357835</v>
      </c>
      <c r="H2735" s="16">
        <f>ABS(Solieusap!H2735)</f>
        <v>0.001848817221</v>
      </c>
      <c r="I2735" s="16">
        <f>ABS(Solieusap!I2735)</f>
        <v>11.47895746</v>
      </c>
      <c r="J2735" s="16">
        <f>ABS(Solieusap!J2735)</f>
        <v>7.703349039</v>
      </c>
      <c r="K2735" s="16">
        <f t="shared" si="1"/>
        <v>31.01135299</v>
      </c>
      <c r="L2735" s="16">
        <f t="shared" si="2"/>
        <v>11.47895746</v>
      </c>
    </row>
    <row r="2736" ht="16.5" customHeight="1">
      <c r="A2736" s="15" t="str">
        <f>Solieusap!A2736</f>
        <v>Cũ</v>
      </c>
      <c r="B2736" s="15">
        <f>Solieusap!B2736</f>
        <v>3.5</v>
      </c>
      <c r="C2736" s="15" t="str">
        <f>Solieusap!C2736</f>
        <v>COMB1</v>
      </c>
      <c r="D2736" s="15" t="str">
        <f>Solieusap!D2736</f>
        <v>Combination</v>
      </c>
      <c r="E2736" s="16">
        <f>ABS(Solieusap!E2736)</f>
        <v>31.02820935</v>
      </c>
      <c r="F2736" s="16">
        <f>ABS(Solieusap!F2736)</f>
        <v>3.025461861</v>
      </c>
      <c r="G2736" s="16">
        <f>ABS(Solieusap!G2736)</f>
        <v>4.057622251</v>
      </c>
      <c r="H2736" s="16">
        <f>ABS(Solieusap!H2736)</f>
        <v>0.001849872325</v>
      </c>
      <c r="I2736" s="16">
        <f>ABS(Solieusap!I2736)</f>
        <v>11.48575226</v>
      </c>
      <c r="J2736" s="16">
        <f>ABS(Solieusap!J2736)</f>
        <v>7.707896091</v>
      </c>
      <c r="K2736" s="16">
        <f t="shared" si="1"/>
        <v>31.02820935</v>
      </c>
      <c r="L2736" s="16">
        <f t="shared" si="2"/>
        <v>11.48575226</v>
      </c>
    </row>
    <row r="2737" ht="16.5" customHeight="1">
      <c r="A2737" s="15" t="str">
        <f>Solieusap!A2737</f>
        <v>Cũ</v>
      </c>
      <c r="B2737" s="15">
        <f>Solieusap!B2737</f>
        <v>0</v>
      </c>
      <c r="C2737" s="15" t="str">
        <f>Solieusap!C2737</f>
        <v>COMB2</v>
      </c>
      <c r="D2737" s="15" t="str">
        <f>Solieusap!D2737</f>
        <v>Combination</v>
      </c>
      <c r="E2737" s="16">
        <f>ABS(Solieusap!E2737)</f>
        <v>31.04506571</v>
      </c>
      <c r="F2737" s="16">
        <f>ABS(Solieusap!F2737)</f>
        <v>3.027172381</v>
      </c>
      <c r="G2737" s="16">
        <f>ABS(Solieusap!G2737)</f>
        <v>4.059886667</v>
      </c>
      <c r="H2737" s="16">
        <f>ABS(Solieusap!H2737)</f>
        <v>0.001850927429</v>
      </c>
      <c r="I2737" s="16">
        <f>ABS(Solieusap!I2737)</f>
        <v>11.49254705</v>
      </c>
      <c r="J2737" s="16">
        <f>ABS(Solieusap!J2737)</f>
        <v>7.712443143</v>
      </c>
      <c r="K2737" s="16">
        <f t="shared" si="1"/>
        <v>31.04506571</v>
      </c>
      <c r="L2737" s="16">
        <f t="shared" si="2"/>
        <v>11.49254705</v>
      </c>
    </row>
    <row r="2738" ht="16.5" customHeight="1">
      <c r="A2738" s="15" t="str">
        <f>Solieusap!A2738</f>
        <v>Cũ</v>
      </c>
      <c r="B2738" s="15">
        <f>Solieusap!B2738</f>
        <v>1.75</v>
      </c>
      <c r="C2738" s="15" t="str">
        <f>Solieusap!C2738</f>
        <v>COMB2</v>
      </c>
      <c r="D2738" s="15" t="str">
        <f>Solieusap!D2738</f>
        <v>Combination</v>
      </c>
      <c r="E2738" s="16">
        <f>ABS(Solieusap!E2738)</f>
        <v>31.06192208</v>
      </c>
      <c r="F2738" s="16">
        <f>ABS(Solieusap!F2738)</f>
        <v>3.0288829</v>
      </c>
      <c r="G2738" s="16">
        <f>ABS(Solieusap!G2738)</f>
        <v>4.062151082</v>
      </c>
      <c r="H2738" s="16">
        <f>ABS(Solieusap!H2738)</f>
        <v>0.001851982532</v>
      </c>
      <c r="I2738" s="16">
        <f>ABS(Solieusap!I2738)</f>
        <v>11.49934184</v>
      </c>
      <c r="J2738" s="16">
        <f>ABS(Solieusap!J2738)</f>
        <v>7.716990195</v>
      </c>
      <c r="K2738" s="16">
        <f t="shared" si="1"/>
        <v>31.06192208</v>
      </c>
      <c r="L2738" s="16">
        <f t="shared" si="2"/>
        <v>11.49934184</v>
      </c>
    </row>
    <row r="2739" ht="16.5" customHeight="1">
      <c r="A2739" s="15" t="str">
        <f>Solieusap!A2739</f>
        <v>Cũ</v>
      </c>
      <c r="B2739" s="15">
        <f>Solieusap!B2739</f>
        <v>3.5</v>
      </c>
      <c r="C2739" s="15" t="str">
        <f>Solieusap!C2739</f>
        <v>COMB2</v>
      </c>
      <c r="D2739" s="15" t="str">
        <f>Solieusap!D2739</f>
        <v>Combination</v>
      </c>
      <c r="E2739" s="16">
        <f>ABS(Solieusap!E2739)</f>
        <v>31.07877844</v>
      </c>
      <c r="F2739" s="16">
        <f>ABS(Solieusap!F2739)</f>
        <v>3.03059342</v>
      </c>
      <c r="G2739" s="16">
        <f>ABS(Solieusap!G2739)</f>
        <v>4.064415498</v>
      </c>
      <c r="H2739" s="16">
        <f>ABS(Solieusap!H2739)</f>
        <v>0.001853037636</v>
      </c>
      <c r="I2739" s="16">
        <f>ABS(Solieusap!I2739)</f>
        <v>11.50613663</v>
      </c>
      <c r="J2739" s="16">
        <f>ABS(Solieusap!J2739)</f>
        <v>7.721537247</v>
      </c>
      <c r="K2739" s="16">
        <f t="shared" si="1"/>
        <v>31.07877844</v>
      </c>
      <c r="L2739" s="16">
        <f t="shared" si="2"/>
        <v>11.50613663</v>
      </c>
    </row>
    <row r="2740" ht="16.5" customHeight="1">
      <c r="A2740" s="15" t="str">
        <f>Solieusap!A2740</f>
        <v>Cũ</v>
      </c>
      <c r="B2740" s="15">
        <f>Solieusap!B2740</f>
        <v>0</v>
      </c>
      <c r="C2740" s="15" t="str">
        <f>Solieusap!C2740</f>
        <v>COMB3</v>
      </c>
      <c r="D2740" s="15" t="str">
        <f>Solieusap!D2740</f>
        <v>Combination</v>
      </c>
      <c r="E2740" s="16">
        <f>ABS(Solieusap!E2740)</f>
        <v>31.09563481</v>
      </c>
      <c r="F2740" s="16">
        <f>ABS(Solieusap!F2740)</f>
        <v>3.032303939</v>
      </c>
      <c r="G2740" s="16">
        <f>ABS(Solieusap!G2740)</f>
        <v>4.066679913</v>
      </c>
      <c r="H2740" s="16">
        <f>ABS(Solieusap!H2740)</f>
        <v>0.00185409274</v>
      </c>
      <c r="I2740" s="16">
        <f>ABS(Solieusap!I2740)</f>
        <v>11.51293142</v>
      </c>
      <c r="J2740" s="16">
        <f>ABS(Solieusap!J2740)</f>
        <v>7.726084299</v>
      </c>
      <c r="K2740" s="16">
        <f t="shared" si="1"/>
        <v>31.09563481</v>
      </c>
      <c r="L2740" s="16">
        <f t="shared" si="2"/>
        <v>11.51293142</v>
      </c>
    </row>
    <row r="2741" ht="16.5" customHeight="1">
      <c r="A2741" s="15" t="str">
        <f>Solieusap!A2741</f>
        <v>Cũ</v>
      </c>
      <c r="B2741" s="15">
        <f>Solieusap!B2741</f>
        <v>1.75</v>
      </c>
      <c r="C2741" s="15" t="str">
        <f>Solieusap!C2741</f>
        <v>COMB3</v>
      </c>
      <c r="D2741" s="15" t="str">
        <f>Solieusap!D2741</f>
        <v>Combination</v>
      </c>
      <c r="E2741" s="16">
        <f>ABS(Solieusap!E2741)</f>
        <v>31.11249117</v>
      </c>
      <c r="F2741" s="16">
        <f>ABS(Solieusap!F2741)</f>
        <v>3.034014459</v>
      </c>
      <c r="G2741" s="16">
        <f>ABS(Solieusap!G2741)</f>
        <v>4.068944329</v>
      </c>
      <c r="H2741" s="16">
        <f>ABS(Solieusap!H2741)</f>
        <v>0.001855147844</v>
      </c>
      <c r="I2741" s="16">
        <f>ABS(Solieusap!I2741)</f>
        <v>11.51972622</v>
      </c>
      <c r="J2741" s="16">
        <f>ABS(Solieusap!J2741)</f>
        <v>7.730631351</v>
      </c>
      <c r="K2741" s="16">
        <f t="shared" si="1"/>
        <v>31.11249117</v>
      </c>
      <c r="L2741" s="16">
        <f t="shared" si="2"/>
        <v>11.51972622</v>
      </c>
    </row>
    <row r="2742" ht="16.5" customHeight="1">
      <c r="A2742" s="15" t="str">
        <f>Solieusap!A2742</f>
        <v>Cũ</v>
      </c>
      <c r="B2742" s="15">
        <f>Solieusap!B2742</f>
        <v>3.5</v>
      </c>
      <c r="C2742" s="15" t="str">
        <f>Solieusap!C2742</f>
        <v>COMB3</v>
      </c>
      <c r="D2742" s="15" t="str">
        <f>Solieusap!D2742</f>
        <v>Combination</v>
      </c>
      <c r="E2742" s="16">
        <f>ABS(Solieusap!E2742)</f>
        <v>31.12934753</v>
      </c>
      <c r="F2742" s="16">
        <f>ABS(Solieusap!F2742)</f>
        <v>3.035724978</v>
      </c>
      <c r="G2742" s="16">
        <f>ABS(Solieusap!G2742)</f>
        <v>4.071208745</v>
      </c>
      <c r="H2742" s="16">
        <f>ABS(Solieusap!H2742)</f>
        <v>0.001856202948</v>
      </c>
      <c r="I2742" s="16">
        <f>ABS(Solieusap!I2742)</f>
        <v>11.52652101</v>
      </c>
      <c r="J2742" s="16">
        <f>ABS(Solieusap!J2742)</f>
        <v>7.735178403</v>
      </c>
      <c r="K2742" s="16">
        <f t="shared" si="1"/>
        <v>31.12934753</v>
      </c>
      <c r="L2742" s="16">
        <f t="shared" si="2"/>
        <v>11.52652101</v>
      </c>
    </row>
    <row r="2743" ht="16.5" customHeight="1">
      <c r="A2743" s="15" t="str">
        <f>Solieusap!A2743</f>
        <v>Cũ</v>
      </c>
      <c r="B2743" s="15">
        <f>Solieusap!B2743</f>
        <v>0</v>
      </c>
      <c r="C2743" s="15" t="str">
        <f>Solieusap!C2743</f>
        <v>COMB4</v>
      </c>
      <c r="D2743" s="15" t="str">
        <f>Solieusap!D2743</f>
        <v>Combination</v>
      </c>
      <c r="E2743" s="16">
        <f>ABS(Solieusap!E2743)</f>
        <v>31.1462039</v>
      </c>
      <c r="F2743" s="16">
        <f>ABS(Solieusap!F2743)</f>
        <v>3.037435498</v>
      </c>
      <c r="G2743" s="16">
        <f>ABS(Solieusap!G2743)</f>
        <v>4.07347316</v>
      </c>
      <c r="H2743" s="16">
        <f>ABS(Solieusap!H2743)</f>
        <v>0.001857258052</v>
      </c>
      <c r="I2743" s="16">
        <f>ABS(Solieusap!I2743)</f>
        <v>11.5333158</v>
      </c>
      <c r="J2743" s="16">
        <f>ABS(Solieusap!J2743)</f>
        <v>7.739725455</v>
      </c>
      <c r="K2743" s="16">
        <f t="shared" si="1"/>
        <v>31.1462039</v>
      </c>
      <c r="L2743" s="16">
        <f t="shared" si="2"/>
        <v>11.5333158</v>
      </c>
    </row>
    <row r="2744" ht="16.5" customHeight="1">
      <c r="A2744" s="15" t="str">
        <f>Solieusap!A2744</f>
        <v>Cũ</v>
      </c>
      <c r="B2744" s="15">
        <f>Solieusap!B2744</f>
        <v>1.75</v>
      </c>
      <c r="C2744" s="15" t="str">
        <f>Solieusap!C2744</f>
        <v>COMB4</v>
      </c>
      <c r="D2744" s="15" t="str">
        <f>Solieusap!D2744</f>
        <v>Combination</v>
      </c>
      <c r="E2744" s="16">
        <f>ABS(Solieusap!E2744)</f>
        <v>31.16306026</v>
      </c>
      <c r="F2744" s="16">
        <f>ABS(Solieusap!F2744)</f>
        <v>3.039146017</v>
      </c>
      <c r="G2744" s="16">
        <f>ABS(Solieusap!G2744)</f>
        <v>4.075737576</v>
      </c>
      <c r="H2744" s="16">
        <f>ABS(Solieusap!H2744)</f>
        <v>0.001858313156</v>
      </c>
      <c r="I2744" s="16">
        <f>ABS(Solieusap!I2744)</f>
        <v>11.54011059</v>
      </c>
      <c r="J2744" s="16">
        <f>ABS(Solieusap!J2744)</f>
        <v>7.744272506</v>
      </c>
      <c r="K2744" s="16">
        <f t="shared" si="1"/>
        <v>31.16306026</v>
      </c>
      <c r="L2744" s="16">
        <f t="shared" si="2"/>
        <v>11.54011059</v>
      </c>
    </row>
    <row r="2745" ht="16.5" customHeight="1">
      <c r="A2745" s="15" t="str">
        <f>Solieusap!A2745</f>
        <v>Cũ</v>
      </c>
      <c r="B2745" s="15">
        <f>Solieusap!B2745</f>
        <v>3.5</v>
      </c>
      <c r="C2745" s="15" t="str">
        <f>Solieusap!C2745</f>
        <v>COMB4</v>
      </c>
      <c r="D2745" s="15" t="str">
        <f>Solieusap!D2745</f>
        <v>Combination</v>
      </c>
      <c r="E2745" s="16">
        <f>ABS(Solieusap!E2745)</f>
        <v>31.17991662</v>
      </c>
      <c r="F2745" s="16">
        <f>ABS(Solieusap!F2745)</f>
        <v>3.040856537</v>
      </c>
      <c r="G2745" s="16">
        <f>ABS(Solieusap!G2745)</f>
        <v>4.078001991</v>
      </c>
      <c r="H2745" s="16">
        <f>ABS(Solieusap!H2745)</f>
        <v>0.00185936826</v>
      </c>
      <c r="I2745" s="16">
        <f>ABS(Solieusap!I2745)</f>
        <v>11.54690539</v>
      </c>
      <c r="J2745" s="16">
        <f>ABS(Solieusap!J2745)</f>
        <v>7.748819558</v>
      </c>
      <c r="K2745" s="16">
        <f t="shared" si="1"/>
        <v>31.17991662</v>
      </c>
      <c r="L2745" s="16">
        <f t="shared" si="2"/>
        <v>11.54690539</v>
      </c>
    </row>
    <row r="2746" ht="16.5" customHeight="1">
      <c r="A2746" s="15" t="str">
        <f>Solieusap!A2746</f>
        <v>Cũ</v>
      </c>
      <c r="B2746" s="15">
        <f>Solieusap!B2746</f>
        <v>0</v>
      </c>
      <c r="C2746" s="15" t="str">
        <f>Solieusap!C2746</f>
        <v>COMB5</v>
      </c>
      <c r="D2746" s="15" t="str">
        <f>Solieusap!D2746</f>
        <v>Combination</v>
      </c>
      <c r="E2746" s="16">
        <f>ABS(Solieusap!E2746)</f>
        <v>31.19677299</v>
      </c>
      <c r="F2746" s="16">
        <f>ABS(Solieusap!F2746)</f>
        <v>3.042567056</v>
      </c>
      <c r="G2746" s="16">
        <f>ABS(Solieusap!G2746)</f>
        <v>4.080266407</v>
      </c>
      <c r="H2746" s="16">
        <f>ABS(Solieusap!H2746)</f>
        <v>0.001860423364</v>
      </c>
      <c r="I2746" s="16">
        <f>ABS(Solieusap!I2746)</f>
        <v>11.55370018</v>
      </c>
      <c r="J2746" s="16">
        <f>ABS(Solieusap!J2746)</f>
        <v>7.75336661</v>
      </c>
      <c r="K2746" s="16">
        <f t="shared" si="1"/>
        <v>31.19677299</v>
      </c>
      <c r="L2746" s="16">
        <f t="shared" si="2"/>
        <v>11.55370018</v>
      </c>
    </row>
    <row r="2747" ht="16.5" customHeight="1">
      <c r="A2747" s="15" t="str">
        <f>Solieusap!A2747</f>
        <v>Cũ</v>
      </c>
      <c r="B2747" s="15">
        <f>Solieusap!B2747</f>
        <v>1.75</v>
      </c>
      <c r="C2747" s="15" t="str">
        <f>Solieusap!C2747</f>
        <v>COMB5</v>
      </c>
      <c r="D2747" s="15" t="str">
        <f>Solieusap!D2747</f>
        <v>Combination</v>
      </c>
      <c r="E2747" s="16">
        <f>ABS(Solieusap!E2747)</f>
        <v>31.21362935</v>
      </c>
      <c r="F2747" s="16">
        <f>ABS(Solieusap!F2747)</f>
        <v>3.044277576</v>
      </c>
      <c r="G2747" s="16">
        <f>ABS(Solieusap!G2747)</f>
        <v>4.082530823</v>
      </c>
      <c r="H2747" s="16">
        <f>ABS(Solieusap!H2747)</f>
        <v>0.001861478468</v>
      </c>
      <c r="I2747" s="16">
        <f>ABS(Solieusap!I2747)</f>
        <v>11.56049497</v>
      </c>
      <c r="J2747" s="16">
        <f>ABS(Solieusap!J2747)</f>
        <v>7.757913662</v>
      </c>
      <c r="K2747" s="16">
        <f t="shared" si="1"/>
        <v>31.21362935</v>
      </c>
      <c r="L2747" s="16">
        <f t="shared" si="2"/>
        <v>11.56049497</v>
      </c>
    </row>
    <row r="2748" ht="16.5" customHeight="1">
      <c r="A2748" s="15" t="str">
        <f>Solieusap!A2748</f>
        <v>Cũ</v>
      </c>
      <c r="B2748" s="15">
        <f>Solieusap!B2748</f>
        <v>3.5</v>
      </c>
      <c r="C2748" s="15" t="str">
        <f>Solieusap!C2748</f>
        <v>COMB5</v>
      </c>
      <c r="D2748" s="15" t="str">
        <f>Solieusap!D2748</f>
        <v>Combination</v>
      </c>
      <c r="E2748" s="16">
        <f>ABS(Solieusap!E2748)</f>
        <v>31.23048571</v>
      </c>
      <c r="F2748" s="16">
        <f>ABS(Solieusap!F2748)</f>
        <v>3.045988095</v>
      </c>
      <c r="G2748" s="16">
        <f>ABS(Solieusap!G2748)</f>
        <v>4.084795238</v>
      </c>
      <c r="H2748" s="16">
        <f>ABS(Solieusap!H2748)</f>
        <v>0.001862533571</v>
      </c>
      <c r="I2748" s="16">
        <f>ABS(Solieusap!I2748)</f>
        <v>11.56728976</v>
      </c>
      <c r="J2748" s="16">
        <f>ABS(Solieusap!J2748)</f>
        <v>7.762460714</v>
      </c>
      <c r="K2748" s="16">
        <f t="shared" si="1"/>
        <v>31.23048571</v>
      </c>
      <c r="L2748" s="16">
        <f t="shared" si="2"/>
        <v>11.56728976</v>
      </c>
    </row>
    <row r="2749" ht="16.5" customHeight="1">
      <c r="A2749" s="15" t="str">
        <f>Solieusap!A2749</f>
        <v>Cũ</v>
      </c>
      <c r="B2749" s="15">
        <f>Solieusap!B2749</f>
        <v>0</v>
      </c>
      <c r="C2749" s="15" t="str">
        <f>Solieusap!C2749</f>
        <v>COMB6</v>
      </c>
      <c r="D2749" s="15" t="str">
        <f>Solieusap!D2749</f>
        <v>Combination</v>
      </c>
      <c r="E2749" s="16">
        <f>ABS(Solieusap!E2749)</f>
        <v>31.24734208</v>
      </c>
      <c r="F2749" s="16">
        <f>ABS(Solieusap!F2749)</f>
        <v>3.047698615</v>
      </c>
      <c r="G2749" s="16">
        <f>ABS(Solieusap!G2749)</f>
        <v>4.087059654</v>
      </c>
      <c r="H2749" s="16">
        <f>ABS(Solieusap!H2749)</f>
        <v>0.001863588675</v>
      </c>
      <c r="I2749" s="16">
        <f>ABS(Solieusap!I2749)</f>
        <v>11.57408455</v>
      </c>
      <c r="J2749" s="16">
        <f>ABS(Solieusap!J2749)</f>
        <v>7.767007766</v>
      </c>
      <c r="K2749" s="16">
        <f t="shared" si="1"/>
        <v>31.24734208</v>
      </c>
      <c r="L2749" s="16">
        <f t="shared" si="2"/>
        <v>11.57408455</v>
      </c>
    </row>
    <row r="2750" ht="16.5" customHeight="1">
      <c r="A2750" s="15" t="str">
        <f>Solieusap!A2750</f>
        <v>Cũ</v>
      </c>
      <c r="B2750" s="15">
        <f>Solieusap!B2750</f>
        <v>1.75</v>
      </c>
      <c r="C2750" s="15" t="str">
        <f>Solieusap!C2750</f>
        <v>COMB6</v>
      </c>
      <c r="D2750" s="15" t="str">
        <f>Solieusap!D2750</f>
        <v>Combination</v>
      </c>
      <c r="E2750" s="16">
        <f>ABS(Solieusap!E2750)</f>
        <v>31.26419844</v>
      </c>
      <c r="F2750" s="16">
        <f>ABS(Solieusap!F2750)</f>
        <v>3.049409134</v>
      </c>
      <c r="G2750" s="16">
        <f>ABS(Solieusap!G2750)</f>
        <v>4.089324069</v>
      </c>
      <c r="H2750" s="16">
        <f>ABS(Solieusap!H2750)</f>
        <v>0.001864643779</v>
      </c>
      <c r="I2750" s="16">
        <f>ABS(Solieusap!I2750)</f>
        <v>11.58087935</v>
      </c>
      <c r="J2750" s="16">
        <f>ABS(Solieusap!J2750)</f>
        <v>7.771554818</v>
      </c>
      <c r="K2750" s="16">
        <f t="shared" si="1"/>
        <v>31.26419844</v>
      </c>
      <c r="L2750" s="16">
        <f t="shared" si="2"/>
        <v>11.58087935</v>
      </c>
    </row>
    <row r="2751" ht="16.5" customHeight="1">
      <c r="A2751" s="15" t="str">
        <f>Solieusap!A2751</f>
        <v>Cũ</v>
      </c>
      <c r="B2751" s="15">
        <f>Solieusap!B2751</f>
        <v>3.5</v>
      </c>
      <c r="C2751" s="15" t="str">
        <f>Solieusap!C2751</f>
        <v>COMB6</v>
      </c>
      <c r="D2751" s="15" t="str">
        <f>Solieusap!D2751</f>
        <v>Combination</v>
      </c>
      <c r="E2751" s="16">
        <f>ABS(Solieusap!E2751)</f>
        <v>31.28105481</v>
      </c>
      <c r="F2751" s="16">
        <f>ABS(Solieusap!F2751)</f>
        <v>3.051119654</v>
      </c>
      <c r="G2751" s="16">
        <f>ABS(Solieusap!G2751)</f>
        <v>4.091588485</v>
      </c>
      <c r="H2751" s="16">
        <f>ABS(Solieusap!H2751)</f>
        <v>0.001865698883</v>
      </c>
      <c r="I2751" s="16">
        <f>ABS(Solieusap!I2751)</f>
        <v>11.58767414</v>
      </c>
      <c r="J2751" s="16">
        <f>ABS(Solieusap!J2751)</f>
        <v>7.77610187</v>
      </c>
      <c r="K2751" s="16">
        <f t="shared" si="1"/>
        <v>31.28105481</v>
      </c>
      <c r="L2751" s="16">
        <f t="shared" si="2"/>
        <v>11.58767414</v>
      </c>
    </row>
    <row r="2752" ht="16.5" customHeight="1">
      <c r="A2752" s="15" t="str">
        <f>Solieusap!A2752</f>
        <v>Cũ</v>
      </c>
      <c r="B2752" s="15">
        <f>Solieusap!B2752</f>
        <v>0</v>
      </c>
      <c r="C2752" s="15" t="str">
        <f>Solieusap!C2752</f>
        <v>COMB7</v>
      </c>
      <c r="D2752" s="15" t="str">
        <f>Solieusap!D2752</f>
        <v>Combination</v>
      </c>
      <c r="E2752" s="16">
        <f>ABS(Solieusap!E2752)</f>
        <v>31.29791117</v>
      </c>
      <c r="F2752" s="16">
        <f>ABS(Solieusap!F2752)</f>
        <v>3.052830173</v>
      </c>
      <c r="G2752" s="16">
        <f>ABS(Solieusap!G2752)</f>
        <v>4.0938529</v>
      </c>
      <c r="H2752" s="16">
        <f>ABS(Solieusap!H2752)</f>
        <v>0.001866753987</v>
      </c>
      <c r="I2752" s="16">
        <f>ABS(Solieusap!I2752)</f>
        <v>11.59446893</v>
      </c>
      <c r="J2752" s="16">
        <f>ABS(Solieusap!J2752)</f>
        <v>7.780648922</v>
      </c>
      <c r="K2752" s="16">
        <f t="shared" si="1"/>
        <v>31.29791117</v>
      </c>
      <c r="L2752" s="16">
        <f t="shared" si="2"/>
        <v>11.59446893</v>
      </c>
    </row>
    <row r="2753" ht="16.5" customHeight="1">
      <c r="A2753" s="15" t="str">
        <f>Solieusap!A2753</f>
        <v>Cũ</v>
      </c>
      <c r="B2753" s="15">
        <f>Solieusap!B2753</f>
        <v>1.75</v>
      </c>
      <c r="C2753" s="15" t="str">
        <f>Solieusap!C2753</f>
        <v>COMB7</v>
      </c>
      <c r="D2753" s="15" t="str">
        <f>Solieusap!D2753</f>
        <v>Combination</v>
      </c>
      <c r="E2753" s="16">
        <f>ABS(Solieusap!E2753)</f>
        <v>31.31476753</v>
      </c>
      <c r="F2753" s="16">
        <f>ABS(Solieusap!F2753)</f>
        <v>3.054540693</v>
      </c>
      <c r="G2753" s="16">
        <f>ABS(Solieusap!G2753)</f>
        <v>4.096117316</v>
      </c>
      <c r="H2753" s="16">
        <f>ABS(Solieusap!H2753)</f>
        <v>0.001867809091</v>
      </c>
      <c r="I2753" s="16">
        <f>ABS(Solieusap!I2753)</f>
        <v>11.60126372</v>
      </c>
      <c r="J2753" s="16">
        <f>ABS(Solieusap!J2753)</f>
        <v>7.785195974</v>
      </c>
      <c r="K2753" s="16">
        <f t="shared" si="1"/>
        <v>31.31476753</v>
      </c>
      <c r="L2753" s="16">
        <f t="shared" si="2"/>
        <v>11.60126372</v>
      </c>
    </row>
    <row r="2754" ht="16.5" customHeight="1">
      <c r="A2754" s="15" t="str">
        <f>Solieusap!A2754</f>
        <v>Cũ</v>
      </c>
      <c r="B2754" s="15">
        <f>Solieusap!B2754</f>
        <v>3.5</v>
      </c>
      <c r="C2754" s="15" t="str">
        <f>Solieusap!C2754</f>
        <v>COMB7</v>
      </c>
      <c r="D2754" s="15" t="str">
        <f>Solieusap!D2754</f>
        <v>Combination</v>
      </c>
      <c r="E2754" s="16">
        <f>ABS(Solieusap!E2754)</f>
        <v>31.3316239</v>
      </c>
      <c r="F2754" s="16">
        <f>ABS(Solieusap!F2754)</f>
        <v>3.056251212</v>
      </c>
      <c r="G2754" s="16">
        <f>ABS(Solieusap!G2754)</f>
        <v>4.098381732</v>
      </c>
      <c r="H2754" s="16">
        <f>ABS(Solieusap!H2754)</f>
        <v>0.001868864195</v>
      </c>
      <c r="I2754" s="16">
        <f>ABS(Solieusap!I2754)</f>
        <v>11.60805852</v>
      </c>
      <c r="J2754" s="16">
        <f>ABS(Solieusap!J2754)</f>
        <v>7.789743026</v>
      </c>
      <c r="K2754" s="16">
        <f t="shared" si="1"/>
        <v>31.3316239</v>
      </c>
      <c r="L2754" s="16">
        <f t="shared" si="2"/>
        <v>11.60805852</v>
      </c>
    </row>
    <row r="2755" ht="16.5" customHeight="1">
      <c r="A2755" s="15" t="str">
        <f>Solieusap!A2755</f>
        <v>Cũ</v>
      </c>
      <c r="B2755" s="15">
        <f>Solieusap!B2755</f>
        <v>0</v>
      </c>
      <c r="C2755" s="15" t="str">
        <f>Solieusap!C2755</f>
        <v>COMB1</v>
      </c>
      <c r="D2755" s="15" t="str">
        <f>Solieusap!D2755</f>
        <v>Combination</v>
      </c>
      <c r="E2755" s="16">
        <f>ABS(Solieusap!E2755)</f>
        <v>31.34848026</v>
      </c>
      <c r="F2755" s="16">
        <f>ABS(Solieusap!F2755)</f>
        <v>3.057961732</v>
      </c>
      <c r="G2755" s="16">
        <f>ABS(Solieusap!G2755)</f>
        <v>4.100646147</v>
      </c>
      <c r="H2755" s="16">
        <f>ABS(Solieusap!H2755)</f>
        <v>0.001869919299</v>
      </c>
      <c r="I2755" s="16">
        <f>ABS(Solieusap!I2755)</f>
        <v>11.61485331</v>
      </c>
      <c r="J2755" s="16">
        <f>ABS(Solieusap!J2755)</f>
        <v>7.794290078</v>
      </c>
      <c r="K2755" s="16">
        <f t="shared" si="1"/>
        <v>31.34848026</v>
      </c>
      <c r="L2755" s="16">
        <f t="shared" si="2"/>
        <v>11.61485331</v>
      </c>
    </row>
    <row r="2756" ht="16.5" customHeight="1">
      <c r="A2756" s="15" t="str">
        <f>Solieusap!A2756</f>
        <v>Cũ</v>
      </c>
      <c r="B2756" s="15">
        <f>Solieusap!B2756</f>
        <v>1.75</v>
      </c>
      <c r="C2756" s="15" t="str">
        <f>Solieusap!C2756</f>
        <v>COMB1</v>
      </c>
      <c r="D2756" s="15" t="str">
        <f>Solieusap!D2756</f>
        <v>Combination</v>
      </c>
      <c r="E2756" s="16">
        <f>ABS(Solieusap!E2756)</f>
        <v>31.36533662</v>
      </c>
      <c r="F2756" s="16">
        <f>ABS(Solieusap!F2756)</f>
        <v>3.059672251</v>
      </c>
      <c r="G2756" s="16">
        <f>ABS(Solieusap!G2756)</f>
        <v>4.102910563</v>
      </c>
      <c r="H2756" s="16">
        <f>ABS(Solieusap!H2756)</f>
        <v>0.001870974403</v>
      </c>
      <c r="I2756" s="16">
        <f>ABS(Solieusap!I2756)</f>
        <v>11.6216481</v>
      </c>
      <c r="J2756" s="16">
        <f>ABS(Solieusap!J2756)</f>
        <v>7.79883713</v>
      </c>
      <c r="K2756" s="16">
        <f t="shared" si="1"/>
        <v>31.36533662</v>
      </c>
      <c r="L2756" s="16">
        <f t="shared" si="2"/>
        <v>11.6216481</v>
      </c>
    </row>
    <row r="2757" ht="16.5" customHeight="1">
      <c r="A2757" s="15" t="str">
        <f>Solieusap!A2757</f>
        <v>Cũ</v>
      </c>
      <c r="B2757" s="15">
        <f>Solieusap!B2757</f>
        <v>3.5</v>
      </c>
      <c r="C2757" s="15" t="str">
        <f>Solieusap!C2757</f>
        <v>COMB1</v>
      </c>
      <c r="D2757" s="15" t="str">
        <f>Solieusap!D2757</f>
        <v>Combination</v>
      </c>
      <c r="E2757" s="16">
        <f>ABS(Solieusap!E2757)</f>
        <v>31.38219299</v>
      </c>
      <c r="F2757" s="16">
        <f>ABS(Solieusap!F2757)</f>
        <v>3.061382771</v>
      </c>
      <c r="G2757" s="16">
        <f>ABS(Solieusap!G2757)</f>
        <v>4.105174978</v>
      </c>
      <c r="H2757" s="16">
        <f>ABS(Solieusap!H2757)</f>
        <v>0.001872029506</v>
      </c>
      <c r="I2757" s="16">
        <f>ABS(Solieusap!I2757)</f>
        <v>11.62844289</v>
      </c>
      <c r="J2757" s="16">
        <f>ABS(Solieusap!J2757)</f>
        <v>7.803384182</v>
      </c>
      <c r="K2757" s="16">
        <f t="shared" si="1"/>
        <v>31.38219299</v>
      </c>
      <c r="L2757" s="16">
        <f t="shared" si="2"/>
        <v>11.62844289</v>
      </c>
    </row>
    <row r="2758" ht="16.5" customHeight="1">
      <c r="A2758" s="15" t="str">
        <f>Solieusap!A2758</f>
        <v>Cũ</v>
      </c>
      <c r="B2758" s="15">
        <f>Solieusap!B2758</f>
        <v>0</v>
      </c>
      <c r="C2758" s="15" t="str">
        <f>Solieusap!C2758</f>
        <v>COMB2</v>
      </c>
      <c r="D2758" s="15" t="str">
        <f>Solieusap!D2758</f>
        <v>Combination</v>
      </c>
      <c r="E2758" s="16">
        <f>ABS(Solieusap!E2758)</f>
        <v>31.39904935</v>
      </c>
      <c r="F2758" s="16">
        <f>ABS(Solieusap!F2758)</f>
        <v>3.06309329</v>
      </c>
      <c r="G2758" s="16">
        <f>ABS(Solieusap!G2758)</f>
        <v>4.107439394</v>
      </c>
      <c r="H2758" s="16">
        <f>ABS(Solieusap!H2758)</f>
        <v>0.00187308461</v>
      </c>
      <c r="I2758" s="16">
        <f>ABS(Solieusap!I2758)</f>
        <v>11.63523768</v>
      </c>
      <c r="J2758" s="16">
        <f>ABS(Solieusap!J2758)</f>
        <v>7.807931234</v>
      </c>
      <c r="K2758" s="16">
        <f t="shared" si="1"/>
        <v>31.39904935</v>
      </c>
      <c r="L2758" s="16">
        <f t="shared" si="2"/>
        <v>11.63523768</v>
      </c>
    </row>
    <row r="2759" ht="16.5" customHeight="1">
      <c r="A2759" s="15" t="str">
        <f>Solieusap!A2759</f>
        <v>Cũ</v>
      </c>
      <c r="B2759" s="15">
        <f>Solieusap!B2759</f>
        <v>1.75</v>
      </c>
      <c r="C2759" s="15" t="str">
        <f>Solieusap!C2759</f>
        <v>COMB2</v>
      </c>
      <c r="D2759" s="15" t="str">
        <f>Solieusap!D2759</f>
        <v>Combination</v>
      </c>
      <c r="E2759" s="16">
        <f>ABS(Solieusap!E2759)</f>
        <v>31.41590571</v>
      </c>
      <c r="F2759" s="16">
        <f>ABS(Solieusap!F2759)</f>
        <v>3.06480381</v>
      </c>
      <c r="G2759" s="16">
        <f>ABS(Solieusap!G2759)</f>
        <v>4.10970381</v>
      </c>
      <c r="H2759" s="16">
        <f>ABS(Solieusap!H2759)</f>
        <v>0.001874139714</v>
      </c>
      <c r="I2759" s="16">
        <f>ABS(Solieusap!I2759)</f>
        <v>11.64203248</v>
      </c>
      <c r="J2759" s="16">
        <f>ABS(Solieusap!J2759)</f>
        <v>7.812478286</v>
      </c>
      <c r="K2759" s="16">
        <f t="shared" si="1"/>
        <v>31.41590571</v>
      </c>
      <c r="L2759" s="16">
        <f t="shared" si="2"/>
        <v>11.64203248</v>
      </c>
    </row>
    <row r="2760" ht="16.5" customHeight="1">
      <c r="A2760" s="15" t="str">
        <f>Solieusap!A2760</f>
        <v>Cũ</v>
      </c>
      <c r="B2760" s="15">
        <f>Solieusap!B2760</f>
        <v>3.5</v>
      </c>
      <c r="C2760" s="15" t="str">
        <f>Solieusap!C2760</f>
        <v>COMB2</v>
      </c>
      <c r="D2760" s="15" t="str">
        <f>Solieusap!D2760</f>
        <v>Combination</v>
      </c>
      <c r="E2760" s="16">
        <f>ABS(Solieusap!E2760)</f>
        <v>31.43276208</v>
      </c>
      <c r="F2760" s="16">
        <f>ABS(Solieusap!F2760)</f>
        <v>3.066514329</v>
      </c>
      <c r="G2760" s="16">
        <f>ABS(Solieusap!G2760)</f>
        <v>4.111968225</v>
      </c>
      <c r="H2760" s="16">
        <f>ABS(Solieusap!H2760)</f>
        <v>0.001875194818</v>
      </c>
      <c r="I2760" s="16">
        <f>ABS(Solieusap!I2760)</f>
        <v>11.64882727</v>
      </c>
      <c r="J2760" s="16">
        <f>ABS(Solieusap!J2760)</f>
        <v>7.817025338</v>
      </c>
      <c r="K2760" s="16">
        <f t="shared" si="1"/>
        <v>31.43276208</v>
      </c>
      <c r="L2760" s="16">
        <f t="shared" si="2"/>
        <v>11.64882727</v>
      </c>
    </row>
    <row r="2761" ht="16.5" customHeight="1">
      <c r="A2761" s="15" t="str">
        <f>Solieusap!A2761</f>
        <v>Cũ</v>
      </c>
      <c r="B2761" s="15">
        <f>Solieusap!B2761</f>
        <v>0</v>
      </c>
      <c r="C2761" s="15" t="str">
        <f>Solieusap!C2761</f>
        <v>COMB3</v>
      </c>
      <c r="D2761" s="15" t="str">
        <f>Solieusap!D2761</f>
        <v>Combination</v>
      </c>
      <c r="E2761" s="16">
        <f>ABS(Solieusap!E2761)</f>
        <v>31.44961844</v>
      </c>
      <c r="F2761" s="16">
        <f>ABS(Solieusap!F2761)</f>
        <v>3.068224848</v>
      </c>
      <c r="G2761" s="16">
        <f>ABS(Solieusap!G2761)</f>
        <v>4.114232641</v>
      </c>
      <c r="H2761" s="16">
        <f>ABS(Solieusap!H2761)</f>
        <v>0.001876249922</v>
      </c>
      <c r="I2761" s="16">
        <f>ABS(Solieusap!I2761)</f>
        <v>11.65562206</v>
      </c>
      <c r="J2761" s="16">
        <f>ABS(Solieusap!J2761)</f>
        <v>7.82157239</v>
      </c>
      <c r="K2761" s="16">
        <f t="shared" si="1"/>
        <v>31.44961844</v>
      </c>
      <c r="L2761" s="16">
        <f t="shared" si="2"/>
        <v>11.65562206</v>
      </c>
    </row>
    <row r="2762" ht="16.5" customHeight="1">
      <c r="A2762" s="15" t="str">
        <f>Solieusap!A2762</f>
        <v>Cũ</v>
      </c>
      <c r="B2762" s="15">
        <f>Solieusap!B2762</f>
        <v>1.75</v>
      </c>
      <c r="C2762" s="15" t="str">
        <f>Solieusap!C2762</f>
        <v>COMB3</v>
      </c>
      <c r="D2762" s="15" t="str">
        <f>Solieusap!D2762</f>
        <v>Combination</v>
      </c>
      <c r="E2762" s="16">
        <f>ABS(Solieusap!E2762)</f>
        <v>31.46647481</v>
      </c>
      <c r="F2762" s="16">
        <f>ABS(Solieusap!F2762)</f>
        <v>3.069935368</v>
      </c>
      <c r="G2762" s="16">
        <f>ABS(Solieusap!G2762)</f>
        <v>4.116497056</v>
      </c>
      <c r="H2762" s="16">
        <f>ABS(Solieusap!H2762)</f>
        <v>0.001877305026</v>
      </c>
      <c r="I2762" s="16">
        <f>ABS(Solieusap!I2762)</f>
        <v>11.66241685</v>
      </c>
      <c r="J2762" s="16">
        <f>ABS(Solieusap!J2762)</f>
        <v>7.826119442</v>
      </c>
      <c r="K2762" s="16">
        <f t="shared" si="1"/>
        <v>31.46647481</v>
      </c>
      <c r="L2762" s="16">
        <f t="shared" si="2"/>
        <v>11.66241685</v>
      </c>
    </row>
    <row r="2763" ht="16.5" customHeight="1">
      <c r="A2763" s="15" t="str">
        <f>Solieusap!A2763</f>
        <v>Cũ</v>
      </c>
      <c r="B2763" s="15">
        <f>Solieusap!B2763</f>
        <v>3.5</v>
      </c>
      <c r="C2763" s="15" t="str">
        <f>Solieusap!C2763</f>
        <v>COMB3</v>
      </c>
      <c r="D2763" s="15" t="str">
        <f>Solieusap!D2763</f>
        <v>Combination</v>
      </c>
      <c r="E2763" s="16">
        <f>ABS(Solieusap!E2763)</f>
        <v>31.48333117</v>
      </c>
      <c r="F2763" s="16">
        <f>ABS(Solieusap!F2763)</f>
        <v>3.071645887</v>
      </c>
      <c r="G2763" s="16">
        <f>ABS(Solieusap!G2763)</f>
        <v>4.118761472</v>
      </c>
      <c r="H2763" s="16">
        <f>ABS(Solieusap!H2763)</f>
        <v>0.00187836013</v>
      </c>
      <c r="I2763" s="16">
        <f>ABS(Solieusap!I2763)</f>
        <v>11.66921165</v>
      </c>
      <c r="J2763" s="16">
        <f>ABS(Solieusap!J2763)</f>
        <v>7.830666494</v>
      </c>
      <c r="K2763" s="16">
        <f t="shared" si="1"/>
        <v>31.48333117</v>
      </c>
      <c r="L2763" s="16">
        <f t="shared" si="2"/>
        <v>11.66921165</v>
      </c>
    </row>
    <row r="2764" ht="16.5" customHeight="1">
      <c r="A2764" s="15" t="str">
        <f>Solieusap!A2764</f>
        <v>Cũ</v>
      </c>
      <c r="B2764" s="15">
        <f>Solieusap!B2764</f>
        <v>0</v>
      </c>
      <c r="C2764" s="15" t="str">
        <f>Solieusap!C2764</f>
        <v>COMB4</v>
      </c>
      <c r="D2764" s="15" t="str">
        <f>Solieusap!D2764</f>
        <v>Combination</v>
      </c>
      <c r="E2764" s="16">
        <f>ABS(Solieusap!E2764)</f>
        <v>31.50018753</v>
      </c>
      <c r="F2764" s="16">
        <f>ABS(Solieusap!F2764)</f>
        <v>3.073356407</v>
      </c>
      <c r="G2764" s="16">
        <f>ABS(Solieusap!G2764)</f>
        <v>4.121025887</v>
      </c>
      <c r="H2764" s="16">
        <f>ABS(Solieusap!H2764)</f>
        <v>0.001879415234</v>
      </c>
      <c r="I2764" s="16">
        <f>ABS(Solieusap!I2764)</f>
        <v>11.67600644</v>
      </c>
      <c r="J2764" s="16">
        <f>ABS(Solieusap!J2764)</f>
        <v>7.835213545</v>
      </c>
      <c r="K2764" s="16">
        <f t="shared" si="1"/>
        <v>31.50018753</v>
      </c>
      <c r="L2764" s="16">
        <f t="shared" si="2"/>
        <v>11.67600644</v>
      </c>
    </row>
    <row r="2765" ht="16.5" customHeight="1">
      <c r="A2765" s="15" t="str">
        <f>Solieusap!A2765</f>
        <v>Cũ</v>
      </c>
      <c r="B2765" s="15">
        <f>Solieusap!B2765</f>
        <v>1.75</v>
      </c>
      <c r="C2765" s="15" t="str">
        <f>Solieusap!C2765</f>
        <v>COMB4</v>
      </c>
      <c r="D2765" s="15" t="str">
        <f>Solieusap!D2765</f>
        <v>Combination</v>
      </c>
      <c r="E2765" s="16">
        <f>ABS(Solieusap!E2765)</f>
        <v>31.5170439</v>
      </c>
      <c r="F2765" s="16">
        <f>ABS(Solieusap!F2765)</f>
        <v>3.075066926</v>
      </c>
      <c r="G2765" s="16">
        <f>ABS(Solieusap!G2765)</f>
        <v>4.123290303</v>
      </c>
      <c r="H2765" s="16">
        <f>ABS(Solieusap!H2765)</f>
        <v>0.001880470338</v>
      </c>
      <c r="I2765" s="16">
        <f>ABS(Solieusap!I2765)</f>
        <v>11.68280123</v>
      </c>
      <c r="J2765" s="16">
        <f>ABS(Solieusap!J2765)</f>
        <v>7.839760597</v>
      </c>
      <c r="K2765" s="16">
        <f t="shared" si="1"/>
        <v>31.5170439</v>
      </c>
      <c r="L2765" s="16">
        <f t="shared" si="2"/>
        <v>11.68280123</v>
      </c>
    </row>
    <row r="2766" ht="16.5" customHeight="1">
      <c r="A2766" s="15" t="str">
        <f>Solieusap!A2766</f>
        <v>Cũ</v>
      </c>
      <c r="B2766" s="15">
        <f>Solieusap!B2766</f>
        <v>3.5</v>
      </c>
      <c r="C2766" s="15" t="str">
        <f>Solieusap!C2766</f>
        <v>COMB4</v>
      </c>
      <c r="D2766" s="15" t="str">
        <f>Solieusap!D2766</f>
        <v>Combination</v>
      </c>
      <c r="E2766" s="16">
        <f>ABS(Solieusap!E2766)</f>
        <v>31.53390026</v>
      </c>
      <c r="F2766" s="16">
        <f>ABS(Solieusap!F2766)</f>
        <v>3.076777446</v>
      </c>
      <c r="G2766" s="16">
        <f>ABS(Solieusap!G2766)</f>
        <v>4.125554719</v>
      </c>
      <c r="H2766" s="16">
        <f>ABS(Solieusap!H2766)</f>
        <v>0.001881525442</v>
      </c>
      <c r="I2766" s="16">
        <f>ABS(Solieusap!I2766)</f>
        <v>11.68959602</v>
      </c>
      <c r="J2766" s="16">
        <f>ABS(Solieusap!J2766)</f>
        <v>7.844307649</v>
      </c>
      <c r="K2766" s="16">
        <f t="shared" si="1"/>
        <v>31.53390026</v>
      </c>
      <c r="L2766" s="16">
        <f t="shared" si="2"/>
        <v>11.68959602</v>
      </c>
    </row>
    <row r="2767" ht="16.5" customHeight="1">
      <c r="A2767" s="15" t="str">
        <f>Solieusap!A2767</f>
        <v>Cũ</v>
      </c>
      <c r="B2767" s="15">
        <f>Solieusap!B2767</f>
        <v>0</v>
      </c>
      <c r="C2767" s="15" t="str">
        <f>Solieusap!C2767</f>
        <v>COMB5</v>
      </c>
      <c r="D2767" s="15" t="str">
        <f>Solieusap!D2767</f>
        <v>Combination</v>
      </c>
      <c r="E2767" s="16">
        <f>ABS(Solieusap!E2767)</f>
        <v>31.55075662</v>
      </c>
      <c r="F2767" s="16">
        <f>ABS(Solieusap!F2767)</f>
        <v>3.078487965</v>
      </c>
      <c r="G2767" s="16">
        <f>ABS(Solieusap!G2767)</f>
        <v>4.127819134</v>
      </c>
      <c r="H2767" s="16">
        <f>ABS(Solieusap!H2767)</f>
        <v>0.001882580545</v>
      </c>
      <c r="I2767" s="16">
        <f>ABS(Solieusap!I2767)</f>
        <v>11.69639081</v>
      </c>
      <c r="J2767" s="16">
        <f>ABS(Solieusap!J2767)</f>
        <v>7.848854701</v>
      </c>
      <c r="K2767" s="16">
        <f t="shared" si="1"/>
        <v>31.55075662</v>
      </c>
      <c r="L2767" s="16">
        <f t="shared" si="2"/>
        <v>11.69639081</v>
      </c>
    </row>
    <row r="2768" ht="16.5" customHeight="1">
      <c r="A2768" s="15" t="str">
        <f>Solieusap!A2768</f>
        <v>Cũ</v>
      </c>
      <c r="B2768" s="15">
        <f>Solieusap!B2768</f>
        <v>1.75</v>
      </c>
      <c r="C2768" s="15" t="str">
        <f>Solieusap!C2768</f>
        <v>COMB5</v>
      </c>
      <c r="D2768" s="15" t="str">
        <f>Solieusap!D2768</f>
        <v>Combination</v>
      </c>
      <c r="E2768" s="16">
        <f>ABS(Solieusap!E2768)</f>
        <v>31.56761299</v>
      </c>
      <c r="F2768" s="16">
        <f>ABS(Solieusap!F2768)</f>
        <v>3.080198485</v>
      </c>
      <c r="G2768" s="16">
        <f>ABS(Solieusap!G2768)</f>
        <v>4.13008355</v>
      </c>
      <c r="H2768" s="16">
        <f>ABS(Solieusap!H2768)</f>
        <v>0.001883635649</v>
      </c>
      <c r="I2768" s="16">
        <f>ABS(Solieusap!I2768)</f>
        <v>11.70318561</v>
      </c>
      <c r="J2768" s="16">
        <f>ABS(Solieusap!J2768)</f>
        <v>7.853401753</v>
      </c>
      <c r="K2768" s="16">
        <f t="shared" si="1"/>
        <v>31.56761299</v>
      </c>
      <c r="L2768" s="16">
        <f t="shared" si="2"/>
        <v>11.70318561</v>
      </c>
    </row>
    <row r="2769" ht="16.5" customHeight="1">
      <c r="A2769" s="15" t="str">
        <f>Solieusap!A2769</f>
        <v>Cũ</v>
      </c>
      <c r="B2769" s="15">
        <f>Solieusap!B2769</f>
        <v>3.5</v>
      </c>
      <c r="C2769" s="15" t="str">
        <f>Solieusap!C2769</f>
        <v>COMB5</v>
      </c>
      <c r="D2769" s="15" t="str">
        <f>Solieusap!D2769</f>
        <v>Combination</v>
      </c>
      <c r="E2769" s="16">
        <f>ABS(Solieusap!E2769)</f>
        <v>31.58446935</v>
      </c>
      <c r="F2769" s="16">
        <f>ABS(Solieusap!F2769)</f>
        <v>3.081909004</v>
      </c>
      <c r="G2769" s="16">
        <f>ABS(Solieusap!G2769)</f>
        <v>4.132347965</v>
      </c>
      <c r="H2769" s="16">
        <f>ABS(Solieusap!H2769)</f>
        <v>0.001884690753</v>
      </c>
      <c r="I2769" s="16">
        <f>ABS(Solieusap!I2769)</f>
        <v>11.7099804</v>
      </c>
      <c r="J2769" s="16">
        <f>ABS(Solieusap!J2769)</f>
        <v>7.857948805</v>
      </c>
      <c r="K2769" s="16">
        <f t="shared" si="1"/>
        <v>31.58446935</v>
      </c>
      <c r="L2769" s="16">
        <f t="shared" si="2"/>
        <v>11.7099804</v>
      </c>
    </row>
    <row r="2770" ht="16.5" customHeight="1">
      <c r="A2770" s="15" t="str">
        <f>Solieusap!A2770</f>
        <v>Cũ</v>
      </c>
      <c r="B2770" s="15">
        <f>Solieusap!B2770</f>
        <v>0</v>
      </c>
      <c r="C2770" s="15" t="str">
        <f>Solieusap!C2770</f>
        <v>COMB6</v>
      </c>
      <c r="D2770" s="15" t="str">
        <f>Solieusap!D2770</f>
        <v>Combination</v>
      </c>
      <c r="E2770" s="16">
        <f>ABS(Solieusap!E2770)</f>
        <v>31.60132571</v>
      </c>
      <c r="F2770" s="16">
        <f>ABS(Solieusap!F2770)</f>
        <v>3.083619524</v>
      </c>
      <c r="G2770" s="16">
        <f>ABS(Solieusap!G2770)</f>
        <v>4.134612381</v>
      </c>
      <c r="H2770" s="16">
        <f>ABS(Solieusap!H2770)</f>
        <v>0.001885745857</v>
      </c>
      <c r="I2770" s="16">
        <f>ABS(Solieusap!I2770)</f>
        <v>11.71677519</v>
      </c>
      <c r="J2770" s="16">
        <f>ABS(Solieusap!J2770)</f>
        <v>7.862495857</v>
      </c>
      <c r="K2770" s="16">
        <f t="shared" si="1"/>
        <v>31.60132571</v>
      </c>
      <c r="L2770" s="16">
        <f t="shared" si="2"/>
        <v>11.71677519</v>
      </c>
    </row>
    <row r="2771" ht="16.5" customHeight="1">
      <c r="A2771" s="15" t="str">
        <f>Solieusap!A2771</f>
        <v>Cũ</v>
      </c>
      <c r="B2771" s="15">
        <f>Solieusap!B2771</f>
        <v>1.75</v>
      </c>
      <c r="C2771" s="15" t="str">
        <f>Solieusap!C2771</f>
        <v>COMB6</v>
      </c>
      <c r="D2771" s="15" t="str">
        <f>Solieusap!D2771</f>
        <v>Combination</v>
      </c>
      <c r="E2771" s="16">
        <f>ABS(Solieusap!E2771)</f>
        <v>31.61818208</v>
      </c>
      <c r="F2771" s="16">
        <f>ABS(Solieusap!F2771)</f>
        <v>3.085330043</v>
      </c>
      <c r="G2771" s="16">
        <f>ABS(Solieusap!G2771)</f>
        <v>4.136876797</v>
      </c>
      <c r="H2771" s="16">
        <f>ABS(Solieusap!H2771)</f>
        <v>0.001886800961</v>
      </c>
      <c r="I2771" s="16">
        <f>ABS(Solieusap!I2771)</f>
        <v>11.72356998</v>
      </c>
      <c r="J2771" s="16">
        <f>ABS(Solieusap!J2771)</f>
        <v>7.867042909</v>
      </c>
      <c r="K2771" s="16">
        <f t="shared" si="1"/>
        <v>31.61818208</v>
      </c>
      <c r="L2771" s="16">
        <f t="shared" si="2"/>
        <v>11.72356998</v>
      </c>
    </row>
    <row r="2772" ht="16.5" customHeight="1">
      <c r="A2772" s="15" t="str">
        <f>Solieusap!A2772</f>
        <v>Cũ</v>
      </c>
      <c r="B2772" s="15">
        <f>Solieusap!B2772</f>
        <v>3.5</v>
      </c>
      <c r="C2772" s="15" t="str">
        <f>Solieusap!C2772</f>
        <v>COMB6</v>
      </c>
      <c r="D2772" s="15" t="str">
        <f>Solieusap!D2772</f>
        <v>Combination</v>
      </c>
      <c r="E2772" s="16">
        <f>ABS(Solieusap!E2772)</f>
        <v>31.63503844</v>
      </c>
      <c r="F2772" s="16">
        <f>ABS(Solieusap!F2772)</f>
        <v>3.087040563</v>
      </c>
      <c r="G2772" s="16">
        <f>ABS(Solieusap!G2772)</f>
        <v>4.139141212</v>
      </c>
      <c r="H2772" s="16">
        <f>ABS(Solieusap!H2772)</f>
        <v>0.001887856065</v>
      </c>
      <c r="I2772" s="16">
        <f>ABS(Solieusap!I2772)</f>
        <v>11.73036477</v>
      </c>
      <c r="J2772" s="16">
        <f>ABS(Solieusap!J2772)</f>
        <v>7.871589961</v>
      </c>
      <c r="K2772" s="16">
        <f t="shared" si="1"/>
        <v>31.63503844</v>
      </c>
      <c r="L2772" s="16">
        <f t="shared" si="2"/>
        <v>11.73036477</v>
      </c>
    </row>
    <row r="2773" ht="16.5" customHeight="1">
      <c r="A2773" s="15" t="str">
        <f>Solieusap!A2773</f>
        <v>Cũ</v>
      </c>
      <c r="B2773" s="15">
        <f>Solieusap!B2773</f>
        <v>0</v>
      </c>
      <c r="C2773" s="15" t="str">
        <f>Solieusap!C2773</f>
        <v>COMB7</v>
      </c>
      <c r="D2773" s="15" t="str">
        <f>Solieusap!D2773</f>
        <v>Combination</v>
      </c>
      <c r="E2773" s="16">
        <f>ABS(Solieusap!E2773)</f>
        <v>31.65189481</v>
      </c>
      <c r="F2773" s="16">
        <f>ABS(Solieusap!F2773)</f>
        <v>3.088751082</v>
      </c>
      <c r="G2773" s="16">
        <f>ABS(Solieusap!G2773)</f>
        <v>4.141405628</v>
      </c>
      <c r="H2773" s="16">
        <f>ABS(Solieusap!H2773)</f>
        <v>0.001888911169</v>
      </c>
      <c r="I2773" s="16">
        <f>ABS(Solieusap!I2773)</f>
        <v>11.73715957</v>
      </c>
      <c r="J2773" s="16">
        <f>ABS(Solieusap!J2773)</f>
        <v>7.876137013</v>
      </c>
      <c r="K2773" s="16">
        <f t="shared" si="1"/>
        <v>31.65189481</v>
      </c>
      <c r="L2773" s="16">
        <f t="shared" si="2"/>
        <v>11.73715957</v>
      </c>
    </row>
    <row r="2774" ht="16.5" customHeight="1">
      <c r="A2774" s="15" t="str">
        <f>Solieusap!A2774</f>
        <v>Cũ</v>
      </c>
      <c r="B2774" s="15">
        <f>Solieusap!B2774</f>
        <v>1.75</v>
      </c>
      <c r="C2774" s="15" t="str">
        <f>Solieusap!C2774</f>
        <v>COMB7</v>
      </c>
      <c r="D2774" s="15" t="str">
        <f>Solieusap!D2774</f>
        <v>Combination</v>
      </c>
      <c r="E2774" s="16">
        <f>ABS(Solieusap!E2774)</f>
        <v>31.66875117</v>
      </c>
      <c r="F2774" s="16">
        <f>ABS(Solieusap!F2774)</f>
        <v>3.090461602</v>
      </c>
      <c r="G2774" s="16">
        <f>ABS(Solieusap!G2774)</f>
        <v>4.143670043</v>
      </c>
      <c r="H2774" s="16">
        <f>ABS(Solieusap!H2774)</f>
        <v>0.001889966273</v>
      </c>
      <c r="I2774" s="16">
        <f>ABS(Solieusap!I2774)</f>
        <v>11.74395436</v>
      </c>
      <c r="J2774" s="16">
        <f>ABS(Solieusap!J2774)</f>
        <v>7.880684065</v>
      </c>
      <c r="K2774" s="16">
        <f t="shared" si="1"/>
        <v>31.66875117</v>
      </c>
      <c r="L2774" s="16">
        <f t="shared" si="2"/>
        <v>11.74395436</v>
      </c>
    </row>
    <row r="2775" ht="16.5" customHeight="1">
      <c r="A2775" s="15" t="str">
        <f>Solieusap!A2775</f>
        <v>Cũ</v>
      </c>
      <c r="B2775" s="15">
        <f>Solieusap!B2775</f>
        <v>3.5</v>
      </c>
      <c r="C2775" s="15" t="str">
        <f>Solieusap!C2775</f>
        <v>COMB7</v>
      </c>
      <c r="D2775" s="15" t="str">
        <f>Solieusap!D2775</f>
        <v>Combination</v>
      </c>
      <c r="E2775" s="16">
        <f>ABS(Solieusap!E2775)</f>
        <v>31.68560753</v>
      </c>
      <c r="F2775" s="16">
        <f>ABS(Solieusap!F2775)</f>
        <v>3.092172121</v>
      </c>
      <c r="G2775" s="16">
        <f>ABS(Solieusap!G2775)</f>
        <v>4.145934459</v>
      </c>
      <c r="H2775" s="16">
        <f>ABS(Solieusap!H2775)</f>
        <v>0.001891021377</v>
      </c>
      <c r="I2775" s="16">
        <f>ABS(Solieusap!I2775)</f>
        <v>11.75074915</v>
      </c>
      <c r="J2775" s="16">
        <f>ABS(Solieusap!J2775)</f>
        <v>7.885231117</v>
      </c>
      <c r="K2775" s="16">
        <f t="shared" si="1"/>
        <v>31.68560753</v>
      </c>
      <c r="L2775" s="16">
        <f t="shared" si="2"/>
        <v>11.75074915</v>
      </c>
    </row>
    <row r="2776" ht="16.5" customHeight="1">
      <c r="A2776" s="15" t="str">
        <f>Solieusap!A2776</f>
        <v>Cũ</v>
      </c>
      <c r="B2776" s="15">
        <f>Solieusap!B2776</f>
        <v>0</v>
      </c>
      <c r="C2776" s="15" t="str">
        <f>Solieusap!C2776</f>
        <v>COMB1</v>
      </c>
      <c r="D2776" s="15" t="str">
        <f>Solieusap!D2776</f>
        <v>Combination</v>
      </c>
      <c r="E2776" s="16">
        <f>ABS(Solieusap!E2776)</f>
        <v>31.7024639</v>
      </c>
      <c r="F2776" s="16">
        <f>ABS(Solieusap!F2776)</f>
        <v>3.093882641</v>
      </c>
      <c r="G2776" s="16">
        <f>ABS(Solieusap!G2776)</f>
        <v>4.148198874</v>
      </c>
      <c r="H2776" s="16">
        <f>ABS(Solieusap!H2776)</f>
        <v>0.001892076481</v>
      </c>
      <c r="I2776" s="16">
        <f>ABS(Solieusap!I2776)</f>
        <v>11.75754394</v>
      </c>
      <c r="J2776" s="16">
        <f>ABS(Solieusap!J2776)</f>
        <v>7.889778169</v>
      </c>
      <c r="K2776" s="16">
        <f t="shared" si="1"/>
        <v>31.7024639</v>
      </c>
      <c r="L2776" s="16">
        <f t="shared" si="2"/>
        <v>11.75754394</v>
      </c>
    </row>
    <row r="2777" ht="16.5" customHeight="1">
      <c r="A2777" s="15" t="str">
        <f>Solieusap!A2777</f>
        <v>Cũ</v>
      </c>
      <c r="B2777" s="15">
        <f>Solieusap!B2777</f>
        <v>1.75</v>
      </c>
      <c r="C2777" s="15" t="str">
        <f>Solieusap!C2777</f>
        <v>COMB1</v>
      </c>
      <c r="D2777" s="15" t="str">
        <f>Solieusap!D2777</f>
        <v>Combination</v>
      </c>
      <c r="E2777" s="16">
        <f>ABS(Solieusap!E2777)</f>
        <v>31.71932026</v>
      </c>
      <c r="F2777" s="16">
        <f>ABS(Solieusap!F2777)</f>
        <v>3.09559316</v>
      </c>
      <c r="G2777" s="16">
        <f>ABS(Solieusap!G2777)</f>
        <v>4.15046329</v>
      </c>
      <c r="H2777" s="16">
        <f>ABS(Solieusap!H2777)</f>
        <v>0.001893131584</v>
      </c>
      <c r="I2777" s="16">
        <f>ABS(Solieusap!I2777)</f>
        <v>11.76433874</v>
      </c>
      <c r="J2777" s="16">
        <f>ABS(Solieusap!J2777)</f>
        <v>7.894325221</v>
      </c>
      <c r="K2777" s="16">
        <f t="shared" si="1"/>
        <v>31.71932026</v>
      </c>
      <c r="L2777" s="16">
        <f t="shared" si="2"/>
        <v>11.76433874</v>
      </c>
    </row>
    <row r="2778" ht="16.5" customHeight="1">
      <c r="A2778" s="15" t="str">
        <f>Solieusap!A2778</f>
        <v>Cũ</v>
      </c>
      <c r="B2778" s="15">
        <f>Solieusap!B2778</f>
        <v>3.5</v>
      </c>
      <c r="C2778" s="15" t="str">
        <f>Solieusap!C2778</f>
        <v>COMB1</v>
      </c>
      <c r="D2778" s="15" t="str">
        <f>Solieusap!D2778</f>
        <v>Combination</v>
      </c>
      <c r="E2778" s="16">
        <f>ABS(Solieusap!E2778)</f>
        <v>31.73617662</v>
      </c>
      <c r="F2778" s="16">
        <f>ABS(Solieusap!F2778)</f>
        <v>3.09730368</v>
      </c>
      <c r="G2778" s="16">
        <f>ABS(Solieusap!G2778)</f>
        <v>4.152727706</v>
      </c>
      <c r="H2778" s="16">
        <f>ABS(Solieusap!H2778)</f>
        <v>0.001894186688</v>
      </c>
      <c r="I2778" s="16">
        <f>ABS(Solieusap!I2778)</f>
        <v>11.77113353</v>
      </c>
      <c r="J2778" s="16">
        <f>ABS(Solieusap!J2778)</f>
        <v>7.898872273</v>
      </c>
      <c r="K2778" s="16">
        <f t="shared" si="1"/>
        <v>31.73617662</v>
      </c>
      <c r="L2778" s="16">
        <f t="shared" si="2"/>
        <v>11.77113353</v>
      </c>
    </row>
    <row r="2779" ht="16.5" customHeight="1">
      <c r="A2779" s="15" t="str">
        <f>Solieusap!A2779</f>
        <v>Cũ</v>
      </c>
      <c r="B2779" s="15">
        <f>Solieusap!B2779</f>
        <v>0</v>
      </c>
      <c r="C2779" s="15" t="str">
        <f>Solieusap!C2779</f>
        <v>COMB2</v>
      </c>
      <c r="D2779" s="15" t="str">
        <f>Solieusap!D2779</f>
        <v>Combination</v>
      </c>
      <c r="E2779" s="16">
        <f>ABS(Solieusap!E2779)</f>
        <v>31.75303299</v>
      </c>
      <c r="F2779" s="16">
        <f>ABS(Solieusap!F2779)</f>
        <v>3.099014199</v>
      </c>
      <c r="G2779" s="16">
        <f>ABS(Solieusap!G2779)</f>
        <v>4.154992121</v>
      </c>
      <c r="H2779" s="16">
        <f>ABS(Solieusap!H2779)</f>
        <v>0.001895241792</v>
      </c>
      <c r="I2779" s="16">
        <f>ABS(Solieusap!I2779)</f>
        <v>11.77792832</v>
      </c>
      <c r="J2779" s="16">
        <f>ABS(Solieusap!J2779)</f>
        <v>7.903419325</v>
      </c>
      <c r="K2779" s="16">
        <f t="shared" si="1"/>
        <v>31.75303299</v>
      </c>
      <c r="L2779" s="16">
        <f t="shared" si="2"/>
        <v>11.77792832</v>
      </c>
    </row>
    <row r="2780" ht="16.5" customHeight="1">
      <c r="A2780" s="15" t="str">
        <f>Solieusap!A2780</f>
        <v>Cũ</v>
      </c>
      <c r="B2780" s="15">
        <f>Solieusap!B2780</f>
        <v>1.75</v>
      </c>
      <c r="C2780" s="15" t="str">
        <f>Solieusap!C2780</f>
        <v>COMB2</v>
      </c>
      <c r="D2780" s="15" t="str">
        <f>Solieusap!D2780</f>
        <v>Combination</v>
      </c>
      <c r="E2780" s="16">
        <f>ABS(Solieusap!E2780)</f>
        <v>31.76988935</v>
      </c>
      <c r="F2780" s="16">
        <f>ABS(Solieusap!F2780)</f>
        <v>3.100724719</v>
      </c>
      <c r="G2780" s="16">
        <f>ABS(Solieusap!G2780)</f>
        <v>4.157256537</v>
      </c>
      <c r="H2780" s="16">
        <f>ABS(Solieusap!H2780)</f>
        <v>0.001896296896</v>
      </c>
      <c r="I2780" s="16">
        <f>ABS(Solieusap!I2780)</f>
        <v>11.78472311</v>
      </c>
      <c r="J2780" s="16">
        <f>ABS(Solieusap!J2780)</f>
        <v>7.907966377</v>
      </c>
      <c r="K2780" s="16">
        <f t="shared" si="1"/>
        <v>31.76988935</v>
      </c>
      <c r="L2780" s="16">
        <f t="shared" si="2"/>
        <v>11.78472311</v>
      </c>
    </row>
    <row r="2781" ht="16.5" customHeight="1">
      <c r="A2781" s="15" t="str">
        <f>Solieusap!A2781</f>
        <v>Cũ</v>
      </c>
      <c r="B2781" s="15">
        <f>Solieusap!B2781</f>
        <v>3.5</v>
      </c>
      <c r="C2781" s="15" t="str">
        <f>Solieusap!C2781</f>
        <v>COMB2</v>
      </c>
      <c r="D2781" s="15" t="str">
        <f>Solieusap!D2781</f>
        <v>Combination</v>
      </c>
      <c r="E2781" s="16">
        <f>ABS(Solieusap!E2781)</f>
        <v>31.78674571</v>
      </c>
      <c r="F2781" s="16">
        <f>ABS(Solieusap!F2781)</f>
        <v>3.102435238</v>
      </c>
      <c r="G2781" s="16">
        <f>ABS(Solieusap!G2781)</f>
        <v>4.159520952</v>
      </c>
      <c r="H2781" s="16">
        <f>ABS(Solieusap!H2781)</f>
        <v>0.001897352</v>
      </c>
      <c r="I2781" s="16">
        <f>ABS(Solieusap!I2781)</f>
        <v>11.7915179</v>
      </c>
      <c r="J2781" s="16">
        <f>ABS(Solieusap!J2781)</f>
        <v>7.912513429</v>
      </c>
      <c r="K2781" s="16">
        <f t="shared" si="1"/>
        <v>31.78674571</v>
      </c>
      <c r="L2781" s="16">
        <f t="shared" si="2"/>
        <v>11.7915179</v>
      </c>
    </row>
    <row r="2782" ht="16.5" customHeight="1">
      <c r="A2782" s="15" t="str">
        <f>Solieusap!A2782</f>
        <v>Cũ</v>
      </c>
      <c r="B2782" s="15">
        <f>Solieusap!B2782</f>
        <v>0</v>
      </c>
      <c r="C2782" s="15" t="str">
        <f>Solieusap!C2782</f>
        <v>COMB3</v>
      </c>
      <c r="D2782" s="15" t="str">
        <f>Solieusap!D2782</f>
        <v>Combination</v>
      </c>
      <c r="E2782" s="16">
        <f>ABS(Solieusap!E2782)</f>
        <v>31.80360208</v>
      </c>
      <c r="F2782" s="16">
        <f>ABS(Solieusap!F2782)</f>
        <v>3.104145758</v>
      </c>
      <c r="G2782" s="16">
        <f>ABS(Solieusap!G2782)</f>
        <v>4.161785368</v>
      </c>
      <c r="H2782" s="16">
        <f>ABS(Solieusap!H2782)</f>
        <v>0.001898407104</v>
      </c>
      <c r="I2782" s="16">
        <f>ABS(Solieusap!I2782)</f>
        <v>11.7983127</v>
      </c>
      <c r="J2782" s="16">
        <f>ABS(Solieusap!J2782)</f>
        <v>7.917060481</v>
      </c>
      <c r="K2782" s="16">
        <f t="shared" si="1"/>
        <v>31.80360208</v>
      </c>
      <c r="L2782" s="16">
        <f t="shared" si="2"/>
        <v>11.7983127</v>
      </c>
    </row>
    <row r="2783" ht="16.5" customHeight="1">
      <c r="A2783" s="15" t="str">
        <f>Solieusap!A2783</f>
        <v>Cũ</v>
      </c>
      <c r="B2783" s="15">
        <f>Solieusap!B2783</f>
        <v>1.75</v>
      </c>
      <c r="C2783" s="15" t="str">
        <f>Solieusap!C2783</f>
        <v>COMB3</v>
      </c>
      <c r="D2783" s="15" t="str">
        <f>Solieusap!D2783</f>
        <v>Combination</v>
      </c>
      <c r="E2783" s="16">
        <f>ABS(Solieusap!E2783)</f>
        <v>31.82045844</v>
      </c>
      <c r="F2783" s="16">
        <f>ABS(Solieusap!F2783)</f>
        <v>3.105856277</v>
      </c>
      <c r="G2783" s="16">
        <f>ABS(Solieusap!G2783)</f>
        <v>4.164049784</v>
      </c>
      <c r="H2783" s="16">
        <f>ABS(Solieusap!H2783)</f>
        <v>0.001899462208</v>
      </c>
      <c r="I2783" s="16">
        <f>ABS(Solieusap!I2783)</f>
        <v>11.80510749</v>
      </c>
      <c r="J2783" s="16">
        <f>ABS(Solieusap!J2783)</f>
        <v>7.921607532</v>
      </c>
      <c r="K2783" s="16">
        <f t="shared" si="1"/>
        <v>31.82045844</v>
      </c>
      <c r="L2783" s="16">
        <f t="shared" si="2"/>
        <v>11.80510749</v>
      </c>
    </row>
    <row r="2784" ht="16.5" customHeight="1">
      <c r="A2784" s="15" t="str">
        <f>Solieusap!A2784</f>
        <v>Cũ</v>
      </c>
      <c r="B2784" s="15">
        <f>Solieusap!B2784</f>
        <v>3.5</v>
      </c>
      <c r="C2784" s="15" t="str">
        <f>Solieusap!C2784</f>
        <v>COMB3</v>
      </c>
      <c r="D2784" s="15" t="str">
        <f>Solieusap!D2784</f>
        <v>Combination</v>
      </c>
      <c r="E2784" s="16">
        <f>ABS(Solieusap!E2784)</f>
        <v>31.83731481</v>
      </c>
      <c r="F2784" s="16">
        <f>ABS(Solieusap!F2784)</f>
        <v>3.107566797</v>
      </c>
      <c r="G2784" s="16">
        <f>ABS(Solieusap!G2784)</f>
        <v>4.166314199</v>
      </c>
      <c r="H2784" s="16">
        <f>ABS(Solieusap!H2784)</f>
        <v>0.001900517312</v>
      </c>
      <c r="I2784" s="16">
        <f>ABS(Solieusap!I2784)</f>
        <v>11.81190228</v>
      </c>
      <c r="J2784" s="16">
        <f>ABS(Solieusap!J2784)</f>
        <v>7.926154584</v>
      </c>
      <c r="K2784" s="16">
        <f t="shared" si="1"/>
        <v>31.83731481</v>
      </c>
      <c r="L2784" s="16">
        <f t="shared" si="2"/>
        <v>11.81190228</v>
      </c>
    </row>
    <row r="2785" ht="16.5" customHeight="1">
      <c r="A2785" s="15" t="str">
        <f>Solieusap!A2785</f>
        <v>Cũ</v>
      </c>
      <c r="B2785" s="15">
        <f>Solieusap!B2785</f>
        <v>0</v>
      </c>
      <c r="C2785" s="15" t="str">
        <f>Solieusap!C2785</f>
        <v>COMB4</v>
      </c>
      <c r="D2785" s="15" t="str">
        <f>Solieusap!D2785</f>
        <v>Combination</v>
      </c>
      <c r="E2785" s="16">
        <f>ABS(Solieusap!E2785)</f>
        <v>31.85417117</v>
      </c>
      <c r="F2785" s="16">
        <f>ABS(Solieusap!F2785)</f>
        <v>3.109277316</v>
      </c>
      <c r="G2785" s="16">
        <f>ABS(Solieusap!G2785)</f>
        <v>4.168578615</v>
      </c>
      <c r="H2785" s="16">
        <f>ABS(Solieusap!H2785)</f>
        <v>0.001901572416</v>
      </c>
      <c r="I2785" s="16">
        <f>ABS(Solieusap!I2785)</f>
        <v>11.81869707</v>
      </c>
      <c r="J2785" s="16">
        <f>ABS(Solieusap!J2785)</f>
        <v>7.930701636</v>
      </c>
      <c r="K2785" s="16">
        <f t="shared" si="1"/>
        <v>31.85417117</v>
      </c>
      <c r="L2785" s="16">
        <f t="shared" si="2"/>
        <v>11.81869707</v>
      </c>
    </row>
    <row r="2786" ht="16.5" customHeight="1">
      <c r="A2786" s="15" t="str">
        <f>Solieusap!A2786</f>
        <v>Cũ</v>
      </c>
      <c r="B2786" s="15">
        <f>Solieusap!B2786</f>
        <v>1.75</v>
      </c>
      <c r="C2786" s="15" t="str">
        <f>Solieusap!C2786</f>
        <v>COMB4</v>
      </c>
      <c r="D2786" s="15" t="str">
        <f>Solieusap!D2786</f>
        <v>Combination</v>
      </c>
      <c r="E2786" s="16">
        <f>ABS(Solieusap!E2786)</f>
        <v>31.87102753</v>
      </c>
      <c r="F2786" s="16">
        <f>ABS(Solieusap!F2786)</f>
        <v>3.110987835</v>
      </c>
      <c r="G2786" s="16">
        <f>ABS(Solieusap!G2786)</f>
        <v>4.17084303</v>
      </c>
      <c r="H2786" s="16">
        <f>ABS(Solieusap!H2786)</f>
        <v>0.001902627519</v>
      </c>
      <c r="I2786" s="16">
        <f>ABS(Solieusap!I2786)</f>
        <v>11.82549187</v>
      </c>
      <c r="J2786" s="16">
        <f>ABS(Solieusap!J2786)</f>
        <v>7.935248688</v>
      </c>
      <c r="K2786" s="16">
        <f t="shared" si="1"/>
        <v>31.87102753</v>
      </c>
      <c r="L2786" s="16">
        <f t="shared" si="2"/>
        <v>11.82549187</v>
      </c>
    </row>
    <row r="2787" ht="16.5" customHeight="1">
      <c r="A2787" s="15" t="str">
        <f>Solieusap!A2787</f>
        <v>Cũ</v>
      </c>
      <c r="B2787" s="15">
        <f>Solieusap!B2787</f>
        <v>3.5</v>
      </c>
      <c r="C2787" s="15" t="str">
        <f>Solieusap!C2787</f>
        <v>COMB4</v>
      </c>
      <c r="D2787" s="15" t="str">
        <f>Solieusap!D2787</f>
        <v>Combination</v>
      </c>
      <c r="E2787" s="16">
        <f>ABS(Solieusap!E2787)</f>
        <v>31.8878839</v>
      </c>
      <c r="F2787" s="16">
        <f>ABS(Solieusap!F2787)</f>
        <v>3.112698355</v>
      </c>
      <c r="G2787" s="16">
        <f>ABS(Solieusap!G2787)</f>
        <v>4.173107446</v>
      </c>
      <c r="H2787" s="16">
        <f>ABS(Solieusap!H2787)</f>
        <v>0.001903682623</v>
      </c>
      <c r="I2787" s="16">
        <f>ABS(Solieusap!I2787)</f>
        <v>11.83228666</v>
      </c>
      <c r="J2787" s="16">
        <f>ABS(Solieusap!J2787)</f>
        <v>7.93979574</v>
      </c>
      <c r="K2787" s="16">
        <f t="shared" si="1"/>
        <v>31.8878839</v>
      </c>
      <c r="L2787" s="16">
        <f t="shared" si="2"/>
        <v>11.83228666</v>
      </c>
    </row>
    <row r="2788" ht="16.5" customHeight="1">
      <c r="A2788" s="15" t="str">
        <f>Solieusap!A2788</f>
        <v>Cũ</v>
      </c>
      <c r="B2788" s="15">
        <f>Solieusap!B2788</f>
        <v>0</v>
      </c>
      <c r="C2788" s="15" t="str">
        <f>Solieusap!C2788</f>
        <v>COMB5</v>
      </c>
      <c r="D2788" s="15" t="str">
        <f>Solieusap!D2788</f>
        <v>Combination</v>
      </c>
      <c r="E2788" s="16">
        <f>ABS(Solieusap!E2788)</f>
        <v>31.90474026</v>
      </c>
      <c r="F2788" s="16">
        <f>ABS(Solieusap!F2788)</f>
        <v>3.114408874</v>
      </c>
      <c r="G2788" s="16">
        <f>ABS(Solieusap!G2788)</f>
        <v>4.175371861</v>
      </c>
      <c r="H2788" s="16">
        <f>ABS(Solieusap!H2788)</f>
        <v>0.001904737727</v>
      </c>
      <c r="I2788" s="16">
        <f>ABS(Solieusap!I2788)</f>
        <v>11.83908145</v>
      </c>
      <c r="J2788" s="16">
        <f>ABS(Solieusap!J2788)</f>
        <v>7.944342792</v>
      </c>
      <c r="K2788" s="16">
        <f t="shared" si="1"/>
        <v>31.90474026</v>
      </c>
      <c r="L2788" s="16">
        <f t="shared" si="2"/>
        <v>11.83908145</v>
      </c>
    </row>
    <row r="2789" ht="16.5" customHeight="1">
      <c r="A2789" s="15" t="str">
        <f>Solieusap!A2789</f>
        <v>Cũ</v>
      </c>
      <c r="B2789" s="15">
        <f>Solieusap!B2789</f>
        <v>1.75</v>
      </c>
      <c r="C2789" s="15" t="str">
        <f>Solieusap!C2789</f>
        <v>COMB5</v>
      </c>
      <c r="D2789" s="15" t="str">
        <f>Solieusap!D2789</f>
        <v>Combination</v>
      </c>
      <c r="E2789" s="16">
        <f>ABS(Solieusap!E2789)</f>
        <v>31.92159662</v>
      </c>
      <c r="F2789" s="16">
        <f>ABS(Solieusap!F2789)</f>
        <v>3.116119394</v>
      </c>
      <c r="G2789" s="16">
        <f>ABS(Solieusap!G2789)</f>
        <v>4.177636277</v>
      </c>
      <c r="H2789" s="16">
        <f>ABS(Solieusap!H2789)</f>
        <v>0.001905792831</v>
      </c>
      <c r="I2789" s="16">
        <f>ABS(Solieusap!I2789)</f>
        <v>11.84587624</v>
      </c>
      <c r="J2789" s="16">
        <f>ABS(Solieusap!J2789)</f>
        <v>7.948889844</v>
      </c>
      <c r="K2789" s="16">
        <f t="shared" si="1"/>
        <v>31.92159662</v>
      </c>
      <c r="L2789" s="16">
        <f t="shared" si="2"/>
        <v>11.84587624</v>
      </c>
    </row>
    <row r="2790" ht="16.5" customHeight="1">
      <c r="A2790" s="15" t="str">
        <f>Solieusap!A2790</f>
        <v>Cũ</v>
      </c>
      <c r="B2790" s="15">
        <f>Solieusap!B2790</f>
        <v>3.5</v>
      </c>
      <c r="C2790" s="15" t="str">
        <f>Solieusap!C2790</f>
        <v>COMB5</v>
      </c>
      <c r="D2790" s="15" t="str">
        <f>Solieusap!D2790</f>
        <v>Combination</v>
      </c>
      <c r="E2790" s="16">
        <f>ABS(Solieusap!E2790)</f>
        <v>31.93845299</v>
      </c>
      <c r="F2790" s="16">
        <f>ABS(Solieusap!F2790)</f>
        <v>3.117829913</v>
      </c>
      <c r="G2790" s="16">
        <f>ABS(Solieusap!G2790)</f>
        <v>4.179900693</v>
      </c>
      <c r="H2790" s="16">
        <f>ABS(Solieusap!H2790)</f>
        <v>0.001906847935</v>
      </c>
      <c r="I2790" s="16">
        <f>ABS(Solieusap!I2790)</f>
        <v>11.85267103</v>
      </c>
      <c r="J2790" s="16">
        <f>ABS(Solieusap!J2790)</f>
        <v>7.953436896</v>
      </c>
      <c r="K2790" s="16">
        <f t="shared" si="1"/>
        <v>31.93845299</v>
      </c>
      <c r="L2790" s="16">
        <f t="shared" si="2"/>
        <v>11.85267103</v>
      </c>
    </row>
    <row r="2791" ht="16.5" customHeight="1">
      <c r="A2791" s="15" t="str">
        <f>Solieusap!A2791</f>
        <v>Cũ</v>
      </c>
      <c r="B2791" s="15">
        <f>Solieusap!B2791</f>
        <v>0</v>
      </c>
      <c r="C2791" s="15" t="str">
        <f>Solieusap!C2791</f>
        <v>COMB6</v>
      </c>
      <c r="D2791" s="15" t="str">
        <f>Solieusap!D2791</f>
        <v>Combination</v>
      </c>
      <c r="E2791" s="16">
        <f>ABS(Solieusap!E2791)</f>
        <v>31.95530935</v>
      </c>
      <c r="F2791" s="16">
        <f>ABS(Solieusap!F2791)</f>
        <v>3.119540433</v>
      </c>
      <c r="G2791" s="16">
        <f>ABS(Solieusap!G2791)</f>
        <v>4.182165108</v>
      </c>
      <c r="H2791" s="16">
        <f>ABS(Solieusap!H2791)</f>
        <v>0.001907903039</v>
      </c>
      <c r="I2791" s="16">
        <f>ABS(Solieusap!I2791)</f>
        <v>11.85946583</v>
      </c>
      <c r="J2791" s="16">
        <f>ABS(Solieusap!J2791)</f>
        <v>7.957983948</v>
      </c>
      <c r="K2791" s="16">
        <f t="shared" si="1"/>
        <v>31.95530935</v>
      </c>
      <c r="L2791" s="16">
        <f t="shared" si="2"/>
        <v>11.85946583</v>
      </c>
    </row>
    <row r="2792" ht="16.5" customHeight="1">
      <c r="A2792" s="15" t="str">
        <f>Solieusap!A2792</f>
        <v>Cũ</v>
      </c>
      <c r="B2792" s="15">
        <f>Solieusap!B2792</f>
        <v>1.75</v>
      </c>
      <c r="C2792" s="15" t="str">
        <f>Solieusap!C2792</f>
        <v>COMB6</v>
      </c>
      <c r="D2792" s="15" t="str">
        <f>Solieusap!D2792</f>
        <v>Combination</v>
      </c>
      <c r="E2792" s="16">
        <f>ABS(Solieusap!E2792)</f>
        <v>31.97216571</v>
      </c>
      <c r="F2792" s="16">
        <f>ABS(Solieusap!F2792)</f>
        <v>3.121250952</v>
      </c>
      <c r="G2792" s="16">
        <f>ABS(Solieusap!G2792)</f>
        <v>4.184429524</v>
      </c>
      <c r="H2792" s="16">
        <f>ABS(Solieusap!H2792)</f>
        <v>0.001908958143</v>
      </c>
      <c r="I2792" s="16">
        <f>ABS(Solieusap!I2792)</f>
        <v>11.86626062</v>
      </c>
      <c r="J2792" s="16">
        <f>ABS(Solieusap!J2792)</f>
        <v>7.962531</v>
      </c>
      <c r="K2792" s="16">
        <f t="shared" si="1"/>
        <v>31.97216571</v>
      </c>
      <c r="L2792" s="16">
        <f t="shared" si="2"/>
        <v>11.86626062</v>
      </c>
    </row>
    <row r="2793" ht="16.5" customHeight="1">
      <c r="A2793" s="15" t="str">
        <f>Solieusap!A2793</f>
        <v>Cũ</v>
      </c>
      <c r="B2793" s="15">
        <f>Solieusap!B2793</f>
        <v>3.5</v>
      </c>
      <c r="C2793" s="15" t="str">
        <f>Solieusap!C2793</f>
        <v>COMB6</v>
      </c>
      <c r="D2793" s="15" t="str">
        <f>Solieusap!D2793</f>
        <v>Combination</v>
      </c>
      <c r="E2793" s="16">
        <f>ABS(Solieusap!E2793)</f>
        <v>31.98902208</v>
      </c>
      <c r="F2793" s="16">
        <f>ABS(Solieusap!F2793)</f>
        <v>3.122961472</v>
      </c>
      <c r="G2793" s="16">
        <f>ABS(Solieusap!G2793)</f>
        <v>4.186693939</v>
      </c>
      <c r="H2793" s="16">
        <f>ABS(Solieusap!H2793)</f>
        <v>0.001910013247</v>
      </c>
      <c r="I2793" s="16">
        <f>ABS(Solieusap!I2793)</f>
        <v>11.87305541</v>
      </c>
      <c r="J2793" s="16">
        <f>ABS(Solieusap!J2793)</f>
        <v>7.967078052</v>
      </c>
      <c r="K2793" s="16">
        <f t="shared" si="1"/>
        <v>31.98902208</v>
      </c>
      <c r="L2793" s="16">
        <f t="shared" si="2"/>
        <v>11.87305541</v>
      </c>
    </row>
    <row r="2794" ht="16.5" customHeight="1">
      <c r="A2794" s="15" t="str">
        <f>Solieusap!A2794</f>
        <v>Cũ</v>
      </c>
      <c r="B2794" s="15">
        <f>Solieusap!B2794</f>
        <v>0</v>
      </c>
      <c r="C2794" s="15" t="str">
        <f>Solieusap!C2794</f>
        <v>COMB7</v>
      </c>
      <c r="D2794" s="15" t="str">
        <f>Solieusap!D2794</f>
        <v>Combination</v>
      </c>
      <c r="E2794" s="16">
        <f>ABS(Solieusap!E2794)</f>
        <v>32.00587844</v>
      </c>
      <c r="F2794" s="16">
        <f>ABS(Solieusap!F2794)</f>
        <v>3.124671991</v>
      </c>
      <c r="G2794" s="16">
        <f>ABS(Solieusap!G2794)</f>
        <v>4.188958355</v>
      </c>
      <c r="H2794" s="16">
        <f>ABS(Solieusap!H2794)</f>
        <v>0.001911068351</v>
      </c>
      <c r="I2794" s="16">
        <f>ABS(Solieusap!I2794)</f>
        <v>11.8798502</v>
      </c>
      <c r="J2794" s="16">
        <f>ABS(Solieusap!J2794)</f>
        <v>7.971625104</v>
      </c>
      <c r="K2794" s="16">
        <f t="shared" si="1"/>
        <v>32.00587844</v>
      </c>
      <c r="L2794" s="16">
        <f t="shared" si="2"/>
        <v>11.8798502</v>
      </c>
    </row>
    <row r="2795" ht="16.5" customHeight="1">
      <c r="A2795" s="15" t="str">
        <f>Solieusap!A2795</f>
        <v>Cũ</v>
      </c>
      <c r="B2795" s="15">
        <f>Solieusap!B2795</f>
        <v>1.75</v>
      </c>
      <c r="C2795" s="15" t="str">
        <f>Solieusap!C2795</f>
        <v>COMB7</v>
      </c>
      <c r="D2795" s="15" t="str">
        <f>Solieusap!D2795</f>
        <v>Combination</v>
      </c>
      <c r="E2795" s="16">
        <f>ABS(Solieusap!E2795)</f>
        <v>32.02273481</v>
      </c>
      <c r="F2795" s="16">
        <f>ABS(Solieusap!F2795)</f>
        <v>3.126382511</v>
      </c>
      <c r="G2795" s="16">
        <f>ABS(Solieusap!G2795)</f>
        <v>4.191222771</v>
      </c>
      <c r="H2795" s="16">
        <f>ABS(Solieusap!H2795)</f>
        <v>0.001912123455</v>
      </c>
      <c r="I2795" s="16">
        <f>ABS(Solieusap!I2795)</f>
        <v>11.886645</v>
      </c>
      <c r="J2795" s="16">
        <f>ABS(Solieusap!J2795)</f>
        <v>7.976172156</v>
      </c>
      <c r="K2795" s="16">
        <f t="shared" si="1"/>
        <v>32.02273481</v>
      </c>
      <c r="L2795" s="16">
        <f t="shared" si="2"/>
        <v>11.886645</v>
      </c>
    </row>
    <row r="2796" ht="16.5" customHeight="1">
      <c r="A2796" s="15" t="str">
        <f>Solieusap!A2796</f>
        <v>Cũ</v>
      </c>
      <c r="B2796" s="15">
        <f>Solieusap!B2796</f>
        <v>3.5</v>
      </c>
      <c r="C2796" s="15" t="str">
        <f>Solieusap!C2796</f>
        <v>COMB7</v>
      </c>
      <c r="D2796" s="15" t="str">
        <f>Solieusap!D2796</f>
        <v>Combination</v>
      </c>
      <c r="E2796" s="16">
        <f>ABS(Solieusap!E2796)</f>
        <v>32.03959117</v>
      </c>
      <c r="F2796" s="16">
        <f>ABS(Solieusap!F2796)</f>
        <v>3.12809303</v>
      </c>
      <c r="G2796" s="16">
        <f>ABS(Solieusap!G2796)</f>
        <v>4.193487186</v>
      </c>
      <c r="H2796" s="16">
        <f>ABS(Solieusap!H2796)</f>
        <v>0.001913178558</v>
      </c>
      <c r="I2796" s="16">
        <f>ABS(Solieusap!I2796)</f>
        <v>11.89343979</v>
      </c>
      <c r="J2796" s="16">
        <f>ABS(Solieusap!J2796)</f>
        <v>7.980719208</v>
      </c>
      <c r="K2796" s="16">
        <f t="shared" si="1"/>
        <v>32.03959117</v>
      </c>
      <c r="L2796" s="16">
        <f t="shared" si="2"/>
        <v>11.89343979</v>
      </c>
    </row>
    <row r="2797" ht="16.5" customHeight="1">
      <c r="A2797" s="15" t="str">
        <f>Solieusap!A2797</f>
        <v>Cũ</v>
      </c>
      <c r="B2797" s="15">
        <f>Solieusap!B2797</f>
        <v>0</v>
      </c>
      <c r="C2797" s="15" t="str">
        <f>Solieusap!C2797</f>
        <v>COMB1</v>
      </c>
      <c r="D2797" s="15" t="str">
        <f>Solieusap!D2797</f>
        <v>Combination</v>
      </c>
      <c r="E2797" s="16">
        <f>ABS(Solieusap!E2797)</f>
        <v>32.05644753</v>
      </c>
      <c r="F2797" s="16">
        <f>ABS(Solieusap!F2797)</f>
        <v>3.12980355</v>
      </c>
      <c r="G2797" s="16">
        <f>ABS(Solieusap!G2797)</f>
        <v>4.195751602</v>
      </c>
      <c r="H2797" s="16">
        <f>ABS(Solieusap!H2797)</f>
        <v>0.001914233662</v>
      </c>
      <c r="I2797" s="16">
        <f>ABS(Solieusap!I2797)</f>
        <v>11.90023458</v>
      </c>
      <c r="J2797" s="16">
        <f>ABS(Solieusap!J2797)</f>
        <v>7.98526626</v>
      </c>
      <c r="K2797" s="16">
        <f t="shared" si="1"/>
        <v>32.05644753</v>
      </c>
      <c r="L2797" s="16">
        <f t="shared" si="2"/>
        <v>11.90023458</v>
      </c>
    </row>
    <row r="2798" ht="16.5" customHeight="1">
      <c r="A2798" s="15" t="str">
        <f>Solieusap!A2798</f>
        <v>Cũ</v>
      </c>
      <c r="B2798" s="15">
        <f>Solieusap!B2798</f>
        <v>1.75</v>
      </c>
      <c r="C2798" s="15" t="str">
        <f>Solieusap!C2798</f>
        <v>COMB1</v>
      </c>
      <c r="D2798" s="15" t="str">
        <f>Solieusap!D2798</f>
        <v>Combination</v>
      </c>
      <c r="E2798" s="16">
        <f>ABS(Solieusap!E2798)</f>
        <v>32.0733039</v>
      </c>
      <c r="F2798" s="16">
        <f>ABS(Solieusap!F2798)</f>
        <v>3.131514069</v>
      </c>
      <c r="G2798" s="16">
        <f>ABS(Solieusap!G2798)</f>
        <v>4.198016017</v>
      </c>
      <c r="H2798" s="16">
        <f>ABS(Solieusap!H2798)</f>
        <v>0.001915288766</v>
      </c>
      <c r="I2798" s="16">
        <f>ABS(Solieusap!I2798)</f>
        <v>11.90702937</v>
      </c>
      <c r="J2798" s="16">
        <f>ABS(Solieusap!J2798)</f>
        <v>7.989813312</v>
      </c>
      <c r="K2798" s="16">
        <f t="shared" si="1"/>
        <v>32.0733039</v>
      </c>
      <c r="L2798" s="16">
        <f t="shared" si="2"/>
        <v>11.90702937</v>
      </c>
    </row>
    <row r="2799" ht="16.5" customHeight="1">
      <c r="A2799" s="15" t="str">
        <f>Solieusap!A2799</f>
        <v>Cũ</v>
      </c>
      <c r="B2799" s="15">
        <f>Solieusap!B2799</f>
        <v>3.5</v>
      </c>
      <c r="C2799" s="15" t="str">
        <f>Solieusap!C2799</f>
        <v>COMB1</v>
      </c>
      <c r="D2799" s="15" t="str">
        <f>Solieusap!D2799</f>
        <v>Combination</v>
      </c>
      <c r="E2799" s="16">
        <f>ABS(Solieusap!E2799)</f>
        <v>32.09016026</v>
      </c>
      <c r="F2799" s="16">
        <f>ABS(Solieusap!F2799)</f>
        <v>3.133224589</v>
      </c>
      <c r="G2799" s="16">
        <f>ABS(Solieusap!G2799)</f>
        <v>4.200280433</v>
      </c>
      <c r="H2799" s="16">
        <f>ABS(Solieusap!H2799)</f>
        <v>0.00191634387</v>
      </c>
      <c r="I2799" s="16">
        <f>ABS(Solieusap!I2799)</f>
        <v>11.91382416</v>
      </c>
      <c r="J2799" s="16">
        <f>ABS(Solieusap!J2799)</f>
        <v>7.994360364</v>
      </c>
      <c r="K2799" s="16">
        <f t="shared" si="1"/>
        <v>32.09016026</v>
      </c>
      <c r="L2799" s="16">
        <f t="shared" si="2"/>
        <v>11.91382416</v>
      </c>
    </row>
    <row r="2800" ht="16.5" customHeight="1">
      <c r="A2800" s="15" t="str">
        <f>Solieusap!A2800</f>
        <v>Cũ</v>
      </c>
      <c r="B2800" s="15">
        <f>Solieusap!B2800</f>
        <v>0</v>
      </c>
      <c r="C2800" s="15" t="str">
        <f>Solieusap!C2800</f>
        <v>COMB2</v>
      </c>
      <c r="D2800" s="15" t="str">
        <f>Solieusap!D2800</f>
        <v>Combination</v>
      </c>
      <c r="E2800" s="16">
        <f>ABS(Solieusap!E2800)</f>
        <v>32.10701662</v>
      </c>
      <c r="F2800" s="16">
        <f>ABS(Solieusap!F2800)</f>
        <v>3.134935108</v>
      </c>
      <c r="G2800" s="16">
        <f>ABS(Solieusap!G2800)</f>
        <v>4.202544848</v>
      </c>
      <c r="H2800" s="16">
        <f>ABS(Solieusap!H2800)</f>
        <v>0.001917398974</v>
      </c>
      <c r="I2800" s="16">
        <f>ABS(Solieusap!I2800)</f>
        <v>11.92061896</v>
      </c>
      <c r="J2800" s="16">
        <f>ABS(Solieusap!J2800)</f>
        <v>7.998907416</v>
      </c>
      <c r="K2800" s="16">
        <f t="shared" si="1"/>
        <v>32.10701662</v>
      </c>
      <c r="L2800" s="16">
        <f t="shared" si="2"/>
        <v>11.92061896</v>
      </c>
    </row>
    <row r="2801" ht="16.5" customHeight="1">
      <c r="A2801" s="15" t="str">
        <f>Solieusap!A2801</f>
        <v>Cũ</v>
      </c>
      <c r="B2801" s="15">
        <f>Solieusap!B2801</f>
        <v>1.75</v>
      </c>
      <c r="C2801" s="15" t="str">
        <f>Solieusap!C2801</f>
        <v>COMB2</v>
      </c>
      <c r="D2801" s="15" t="str">
        <f>Solieusap!D2801</f>
        <v>Combination</v>
      </c>
      <c r="E2801" s="16">
        <f>ABS(Solieusap!E2801)</f>
        <v>32.12387299</v>
      </c>
      <c r="F2801" s="16">
        <f>ABS(Solieusap!F2801)</f>
        <v>3.136645628</v>
      </c>
      <c r="G2801" s="16">
        <f>ABS(Solieusap!G2801)</f>
        <v>4.204809264</v>
      </c>
      <c r="H2801" s="16">
        <f>ABS(Solieusap!H2801)</f>
        <v>0.001918454078</v>
      </c>
      <c r="I2801" s="16">
        <f>ABS(Solieusap!I2801)</f>
        <v>11.92741375</v>
      </c>
      <c r="J2801" s="16">
        <f>ABS(Solieusap!J2801)</f>
        <v>8.003454468</v>
      </c>
      <c r="K2801" s="16">
        <f t="shared" si="1"/>
        <v>32.12387299</v>
      </c>
      <c r="L2801" s="16">
        <f t="shared" si="2"/>
        <v>11.92741375</v>
      </c>
    </row>
    <row r="2802" ht="16.5" customHeight="1">
      <c r="A2802" s="15" t="str">
        <f>Solieusap!A2802</f>
        <v>Cũ</v>
      </c>
      <c r="B2802" s="15">
        <f>Solieusap!B2802</f>
        <v>3.5</v>
      </c>
      <c r="C2802" s="15" t="str">
        <f>Solieusap!C2802</f>
        <v>COMB2</v>
      </c>
      <c r="D2802" s="15" t="str">
        <f>Solieusap!D2802</f>
        <v>Combination</v>
      </c>
      <c r="E2802" s="16">
        <f>ABS(Solieusap!E2802)</f>
        <v>32.14072935</v>
      </c>
      <c r="F2802" s="16">
        <f>ABS(Solieusap!F2802)</f>
        <v>3.138356147</v>
      </c>
      <c r="G2802" s="16">
        <f>ABS(Solieusap!G2802)</f>
        <v>4.20707368</v>
      </c>
      <c r="H2802" s="16">
        <f>ABS(Solieusap!H2802)</f>
        <v>0.001919509182</v>
      </c>
      <c r="I2802" s="16">
        <f>ABS(Solieusap!I2802)</f>
        <v>11.93420854</v>
      </c>
      <c r="J2802" s="16">
        <f>ABS(Solieusap!J2802)</f>
        <v>8.008001519</v>
      </c>
      <c r="K2802" s="16">
        <f t="shared" si="1"/>
        <v>32.14072935</v>
      </c>
      <c r="L2802" s="16">
        <f t="shared" si="2"/>
        <v>11.93420854</v>
      </c>
    </row>
    <row r="2803" ht="16.5" customHeight="1">
      <c r="A2803" s="15" t="str">
        <f>Solieusap!A2803</f>
        <v>Cũ</v>
      </c>
      <c r="B2803" s="15">
        <f>Solieusap!B2803</f>
        <v>0</v>
      </c>
      <c r="C2803" s="15" t="str">
        <f>Solieusap!C2803</f>
        <v>COMB3</v>
      </c>
      <c r="D2803" s="15" t="str">
        <f>Solieusap!D2803</f>
        <v>Combination</v>
      </c>
      <c r="E2803" s="16">
        <f>ABS(Solieusap!E2803)</f>
        <v>32.15758571</v>
      </c>
      <c r="F2803" s="16">
        <f>ABS(Solieusap!F2803)</f>
        <v>3.140066667</v>
      </c>
      <c r="G2803" s="16">
        <f>ABS(Solieusap!G2803)</f>
        <v>4.209338095</v>
      </c>
      <c r="H2803" s="16">
        <f>ABS(Solieusap!H2803)</f>
        <v>0.001920564286</v>
      </c>
      <c r="I2803" s="16">
        <f>ABS(Solieusap!I2803)</f>
        <v>11.94100333</v>
      </c>
      <c r="J2803" s="16">
        <f>ABS(Solieusap!J2803)</f>
        <v>8.012548571</v>
      </c>
      <c r="K2803" s="16">
        <f t="shared" si="1"/>
        <v>32.15758571</v>
      </c>
      <c r="L2803" s="16">
        <f t="shared" si="2"/>
        <v>11.94100333</v>
      </c>
    </row>
    <row r="2804" ht="16.5" customHeight="1">
      <c r="A2804" s="15" t="str">
        <f>Solieusap!A2804</f>
        <v>Cũ</v>
      </c>
      <c r="B2804" s="15">
        <f>Solieusap!B2804</f>
        <v>1.75</v>
      </c>
      <c r="C2804" s="15" t="str">
        <f>Solieusap!C2804</f>
        <v>COMB3</v>
      </c>
      <c r="D2804" s="15" t="str">
        <f>Solieusap!D2804</f>
        <v>Combination</v>
      </c>
      <c r="E2804" s="16">
        <f>ABS(Solieusap!E2804)</f>
        <v>32.17444208</v>
      </c>
      <c r="F2804" s="16">
        <f>ABS(Solieusap!F2804)</f>
        <v>3.141777186</v>
      </c>
      <c r="G2804" s="16">
        <f>ABS(Solieusap!G2804)</f>
        <v>4.211602511</v>
      </c>
      <c r="H2804" s="16">
        <f>ABS(Solieusap!H2804)</f>
        <v>0.00192161939</v>
      </c>
      <c r="I2804" s="16">
        <f>ABS(Solieusap!I2804)</f>
        <v>11.94779813</v>
      </c>
      <c r="J2804" s="16">
        <f>ABS(Solieusap!J2804)</f>
        <v>8.017095623</v>
      </c>
      <c r="K2804" s="16">
        <f t="shared" si="1"/>
        <v>32.17444208</v>
      </c>
      <c r="L2804" s="16">
        <f t="shared" si="2"/>
        <v>11.94779813</v>
      </c>
    </row>
    <row r="2805" ht="16.5" customHeight="1">
      <c r="A2805" s="15" t="str">
        <f>Solieusap!A2805</f>
        <v>Cũ</v>
      </c>
      <c r="B2805" s="15">
        <f>Solieusap!B2805</f>
        <v>3.5</v>
      </c>
      <c r="C2805" s="15" t="str">
        <f>Solieusap!C2805</f>
        <v>COMB3</v>
      </c>
      <c r="D2805" s="15" t="str">
        <f>Solieusap!D2805</f>
        <v>Combination</v>
      </c>
      <c r="E2805" s="16">
        <f>ABS(Solieusap!E2805)</f>
        <v>32.19129844</v>
      </c>
      <c r="F2805" s="16">
        <f>ABS(Solieusap!F2805)</f>
        <v>3.143487706</v>
      </c>
      <c r="G2805" s="16">
        <f>ABS(Solieusap!G2805)</f>
        <v>4.213866926</v>
      </c>
      <c r="H2805" s="16">
        <f>ABS(Solieusap!H2805)</f>
        <v>0.001922674494</v>
      </c>
      <c r="I2805" s="16">
        <f>ABS(Solieusap!I2805)</f>
        <v>11.95459292</v>
      </c>
      <c r="J2805" s="16">
        <f>ABS(Solieusap!J2805)</f>
        <v>8.021642675</v>
      </c>
      <c r="K2805" s="16">
        <f t="shared" si="1"/>
        <v>32.19129844</v>
      </c>
      <c r="L2805" s="16">
        <f t="shared" si="2"/>
        <v>11.95459292</v>
      </c>
    </row>
    <row r="2806" ht="16.5" customHeight="1">
      <c r="A2806" s="15" t="str">
        <f>Solieusap!A2806</f>
        <v>Cũ</v>
      </c>
      <c r="B2806" s="15">
        <f>Solieusap!B2806</f>
        <v>0</v>
      </c>
      <c r="C2806" s="15" t="str">
        <f>Solieusap!C2806</f>
        <v>COMB4</v>
      </c>
      <c r="D2806" s="15" t="str">
        <f>Solieusap!D2806</f>
        <v>Combination</v>
      </c>
      <c r="E2806" s="16">
        <f>ABS(Solieusap!E2806)</f>
        <v>32.20815481</v>
      </c>
      <c r="F2806" s="16">
        <f>ABS(Solieusap!F2806)</f>
        <v>3.145198225</v>
      </c>
      <c r="G2806" s="16">
        <f>ABS(Solieusap!G2806)</f>
        <v>4.216131342</v>
      </c>
      <c r="H2806" s="16">
        <f>ABS(Solieusap!H2806)</f>
        <v>0.001923729597</v>
      </c>
      <c r="I2806" s="16">
        <f>ABS(Solieusap!I2806)</f>
        <v>11.96138771</v>
      </c>
      <c r="J2806" s="16">
        <f>ABS(Solieusap!J2806)</f>
        <v>8.026189727</v>
      </c>
      <c r="K2806" s="16">
        <f t="shared" si="1"/>
        <v>32.20815481</v>
      </c>
      <c r="L2806" s="16">
        <f t="shared" si="2"/>
        <v>11.96138771</v>
      </c>
    </row>
    <row r="2807" ht="16.5" customHeight="1">
      <c r="A2807" s="15" t="str">
        <f>Solieusap!A2807</f>
        <v>Cũ</v>
      </c>
      <c r="B2807" s="15">
        <f>Solieusap!B2807</f>
        <v>1.75</v>
      </c>
      <c r="C2807" s="15" t="str">
        <f>Solieusap!C2807</f>
        <v>COMB4</v>
      </c>
      <c r="D2807" s="15" t="str">
        <f>Solieusap!D2807</f>
        <v>Combination</v>
      </c>
      <c r="E2807" s="16">
        <f>ABS(Solieusap!E2807)</f>
        <v>32.22501117</v>
      </c>
      <c r="F2807" s="16">
        <f>ABS(Solieusap!F2807)</f>
        <v>3.146908745</v>
      </c>
      <c r="G2807" s="16">
        <f>ABS(Solieusap!G2807)</f>
        <v>4.218395758</v>
      </c>
      <c r="H2807" s="16">
        <f>ABS(Solieusap!H2807)</f>
        <v>0.001924784701</v>
      </c>
      <c r="I2807" s="16">
        <f>ABS(Solieusap!I2807)</f>
        <v>11.9681825</v>
      </c>
      <c r="J2807" s="16">
        <f>ABS(Solieusap!J2807)</f>
        <v>8.030736779</v>
      </c>
      <c r="K2807" s="16">
        <f t="shared" si="1"/>
        <v>32.22501117</v>
      </c>
      <c r="L2807" s="16">
        <f t="shared" si="2"/>
        <v>11.9681825</v>
      </c>
    </row>
    <row r="2808" ht="16.5" customHeight="1">
      <c r="A2808" s="15" t="str">
        <f>Solieusap!A2808</f>
        <v>Cũ</v>
      </c>
      <c r="B2808" s="15">
        <f>Solieusap!B2808</f>
        <v>3.5</v>
      </c>
      <c r="C2808" s="15" t="str">
        <f>Solieusap!C2808</f>
        <v>COMB4</v>
      </c>
      <c r="D2808" s="15" t="str">
        <f>Solieusap!D2808</f>
        <v>Combination</v>
      </c>
      <c r="E2808" s="16">
        <f>ABS(Solieusap!E2808)</f>
        <v>32.24186753</v>
      </c>
      <c r="F2808" s="16">
        <f>ABS(Solieusap!F2808)</f>
        <v>3.148619264</v>
      </c>
      <c r="G2808" s="16">
        <f>ABS(Solieusap!G2808)</f>
        <v>4.220660173</v>
      </c>
      <c r="H2808" s="16">
        <f>ABS(Solieusap!H2808)</f>
        <v>0.001925839805</v>
      </c>
      <c r="I2808" s="16">
        <f>ABS(Solieusap!I2808)</f>
        <v>11.97497729</v>
      </c>
      <c r="J2808" s="16">
        <f>ABS(Solieusap!J2808)</f>
        <v>8.035283831</v>
      </c>
      <c r="K2808" s="16">
        <f t="shared" si="1"/>
        <v>32.24186753</v>
      </c>
      <c r="L2808" s="16">
        <f t="shared" si="2"/>
        <v>11.97497729</v>
      </c>
    </row>
    <row r="2809" ht="16.5" customHeight="1">
      <c r="A2809" s="15" t="str">
        <f>Solieusap!A2809</f>
        <v>Cũ</v>
      </c>
      <c r="B2809" s="15">
        <f>Solieusap!B2809</f>
        <v>0</v>
      </c>
      <c r="C2809" s="15" t="str">
        <f>Solieusap!C2809</f>
        <v>COMB5</v>
      </c>
      <c r="D2809" s="15" t="str">
        <f>Solieusap!D2809</f>
        <v>Combination</v>
      </c>
      <c r="E2809" s="16">
        <f>ABS(Solieusap!E2809)</f>
        <v>32.2587239</v>
      </c>
      <c r="F2809" s="16">
        <f>ABS(Solieusap!F2809)</f>
        <v>3.150329784</v>
      </c>
      <c r="G2809" s="16">
        <f>ABS(Solieusap!G2809)</f>
        <v>4.222924589</v>
      </c>
      <c r="H2809" s="16">
        <f>ABS(Solieusap!H2809)</f>
        <v>0.001926894909</v>
      </c>
      <c r="I2809" s="16">
        <f>ABS(Solieusap!I2809)</f>
        <v>11.98177209</v>
      </c>
      <c r="J2809" s="16">
        <f>ABS(Solieusap!J2809)</f>
        <v>8.039830883</v>
      </c>
      <c r="K2809" s="16">
        <f t="shared" si="1"/>
        <v>32.2587239</v>
      </c>
      <c r="L2809" s="16">
        <f t="shared" si="2"/>
        <v>11.98177209</v>
      </c>
    </row>
    <row r="2810" ht="16.5" customHeight="1">
      <c r="A2810" s="15" t="str">
        <f>Solieusap!A2810</f>
        <v>Cũ</v>
      </c>
      <c r="B2810" s="15">
        <f>Solieusap!B2810</f>
        <v>1.75</v>
      </c>
      <c r="C2810" s="15" t="str">
        <f>Solieusap!C2810</f>
        <v>COMB5</v>
      </c>
      <c r="D2810" s="15" t="str">
        <f>Solieusap!D2810</f>
        <v>Combination</v>
      </c>
      <c r="E2810" s="16">
        <f>ABS(Solieusap!E2810)</f>
        <v>32.27558026</v>
      </c>
      <c r="F2810" s="16">
        <f>ABS(Solieusap!F2810)</f>
        <v>3.152040303</v>
      </c>
      <c r="G2810" s="16">
        <f>ABS(Solieusap!G2810)</f>
        <v>4.225189004</v>
      </c>
      <c r="H2810" s="16">
        <f>ABS(Solieusap!H2810)</f>
        <v>0.001927950013</v>
      </c>
      <c r="I2810" s="16">
        <f>ABS(Solieusap!I2810)</f>
        <v>11.98856688</v>
      </c>
      <c r="J2810" s="16">
        <f>ABS(Solieusap!J2810)</f>
        <v>8.044377935</v>
      </c>
      <c r="K2810" s="16">
        <f t="shared" si="1"/>
        <v>32.27558026</v>
      </c>
      <c r="L2810" s="16">
        <f t="shared" si="2"/>
        <v>11.98856688</v>
      </c>
    </row>
    <row r="2811" ht="16.5" customHeight="1">
      <c r="A2811" s="15" t="str">
        <f>Solieusap!A2811</f>
        <v>Cũ</v>
      </c>
      <c r="B2811" s="15">
        <f>Solieusap!B2811</f>
        <v>3.5</v>
      </c>
      <c r="C2811" s="15" t="str">
        <f>Solieusap!C2811</f>
        <v>COMB5</v>
      </c>
      <c r="D2811" s="15" t="str">
        <f>Solieusap!D2811</f>
        <v>Combination</v>
      </c>
      <c r="E2811" s="16">
        <f>ABS(Solieusap!E2811)</f>
        <v>32.29243662</v>
      </c>
      <c r="F2811" s="16">
        <f>ABS(Solieusap!F2811)</f>
        <v>3.153750823</v>
      </c>
      <c r="G2811" s="16">
        <f>ABS(Solieusap!G2811)</f>
        <v>4.22745342</v>
      </c>
      <c r="H2811" s="16">
        <f>ABS(Solieusap!H2811)</f>
        <v>0.001929005117</v>
      </c>
      <c r="I2811" s="16">
        <f>ABS(Solieusap!I2811)</f>
        <v>11.99536167</v>
      </c>
      <c r="J2811" s="16">
        <f>ABS(Solieusap!J2811)</f>
        <v>8.048924987</v>
      </c>
      <c r="K2811" s="16">
        <f t="shared" si="1"/>
        <v>32.29243662</v>
      </c>
      <c r="L2811" s="16">
        <f t="shared" si="2"/>
        <v>11.99536167</v>
      </c>
    </row>
    <row r="2812" ht="16.5" customHeight="1">
      <c r="A2812" s="15" t="str">
        <f>Solieusap!A2812</f>
        <v>Cũ</v>
      </c>
      <c r="B2812" s="15">
        <f>Solieusap!B2812</f>
        <v>0</v>
      </c>
      <c r="C2812" s="15" t="str">
        <f>Solieusap!C2812</f>
        <v>COMB6</v>
      </c>
      <c r="D2812" s="15" t="str">
        <f>Solieusap!D2812</f>
        <v>Combination</v>
      </c>
      <c r="E2812" s="16">
        <f>ABS(Solieusap!E2812)</f>
        <v>32.30929299</v>
      </c>
      <c r="F2812" s="16">
        <f>ABS(Solieusap!F2812)</f>
        <v>3.155461342</v>
      </c>
      <c r="G2812" s="16">
        <f>ABS(Solieusap!G2812)</f>
        <v>4.229717836</v>
      </c>
      <c r="H2812" s="16">
        <f>ABS(Solieusap!H2812)</f>
        <v>0.001930060221</v>
      </c>
      <c r="I2812" s="16">
        <f>ABS(Solieusap!I2812)</f>
        <v>12.00215646</v>
      </c>
      <c r="J2812" s="16">
        <f>ABS(Solieusap!J2812)</f>
        <v>8.053472039</v>
      </c>
      <c r="K2812" s="16">
        <f t="shared" si="1"/>
        <v>32.30929299</v>
      </c>
      <c r="L2812" s="16">
        <f t="shared" si="2"/>
        <v>12.00215646</v>
      </c>
    </row>
    <row r="2813" ht="16.5" customHeight="1">
      <c r="A2813" s="15" t="str">
        <f>Solieusap!A2813</f>
        <v>Cũ</v>
      </c>
      <c r="B2813" s="15">
        <f>Solieusap!B2813</f>
        <v>1.75</v>
      </c>
      <c r="C2813" s="15" t="str">
        <f>Solieusap!C2813</f>
        <v>COMB6</v>
      </c>
      <c r="D2813" s="15" t="str">
        <f>Solieusap!D2813</f>
        <v>Combination</v>
      </c>
      <c r="E2813" s="16">
        <f>ABS(Solieusap!E2813)</f>
        <v>32.32614935</v>
      </c>
      <c r="F2813" s="16">
        <f>ABS(Solieusap!F2813)</f>
        <v>3.157171861</v>
      </c>
      <c r="G2813" s="16">
        <f>ABS(Solieusap!G2813)</f>
        <v>4.231982251</v>
      </c>
      <c r="H2813" s="16">
        <f>ABS(Solieusap!H2813)</f>
        <v>0.001931115325</v>
      </c>
      <c r="I2813" s="16">
        <f>ABS(Solieusap!I2813)</f>
        <v>12.00895126</v>
      </c>
      <c r="J2813" s="16">
        <f>ABS(Solieusap!J2813)</f>
        <v>8.058019091</v>
      </c>
      <c r="K2813" s="16">
        <f t="shared" si="1"/>
        <v>32.32614935</v>
      </c>
      <c r="L2813" s="16">
        <f t="shared" si="2"/>
        <v>12.00895126</v>
      </c>
    </row>
    <row r="2814" ht="16.5" customHeight="1">
      <c r="A2814" s="15" t="str">
        <f>Solieusap!A2814</f>
        <v>Cũ</v>
      </c>
      <c r="B2814" s="15">
        <f>Solieusap!B2814</f>
        <v>3.5</v>
      </c>
      <c r="C2814" s="15" t="str">
        <f>Solieusap!C2814</f>
        <v>COMB6</v>
      </c>
      <c r="D2814" s="15" t="str">
        <f>Solieusap!D2814</f>
        <v>Combination</v>
      </c>
      <c r="E2814" s="16">
        <f>ABS(Solieusap!E2814)</f>
        <v>32.34300571</v>
      </c>
      <c r="F2814" s="16">
        <f>ABS(Solieusap!F2814)</f>
        <v>3.158882381</v>
      </c>
      <c r="G2814" s="16">
        <f>ABS(Solieusap!G2814)</f>
        <v>4.234246667</v>
      </c>
      <c r="H2814" s="16">
        <f>ABS(Solieusap!H2814)</f>
        <v>0.001932170429</v>
      </c>
      <c r="I2814" s="16">
        <f>ABS(Solieusap!I2814)</f>
        <v>12.01574605</v>
      </c>
      <c r="J2814" s="16">
        <f>ABS(Solieusap!J2814)</f>
        <v>8.062566143</v>
      </c>
      <c r="K2814" s="16">
        <f t="shared" si="1"/>
        <v>32.34300571</v>
      </c>
      <c r="L2814" s="16">
        <f t="shared" si="2"/>
        <v>12.01574605</v>
      </c>
    </row>
    <row r="2815" ht="16.5" customHeight="1">
      <c r="A2815" s="15" t="str">
        <f>Solieusap!A2815</f>
        <v>Cũ</v>
      </c>
      <c r="B2815" s="15">
        <f>Solieusap!B2815</f>
        <v>0</v>
      </c>
      <c r="C2815" s="15" t="str">
        <f>Solieusap!C2815</f>
        <v>COMB7</v>
      </c>
      <c r="D2815" s="15" t="str">
        <f>Solieusap!D2815</f>
        <v>Combination</v>
      </c>
      <c r="E2815" s="16">
        <f>ABS(Solieusap!E2815)</f>
        <v>32.35986208</v>
      </c>
      <c r="F2815" s="16">
        <f>ABS(Solieusap!F2815)</f>
        <v>3.1605929</v>
      </c>
      <c r="G2815" s="16">
        <f>ABS(Solieusap!G2815)</f>
        <v>4.236511082</v>
      </c>
      <c r="H2815" s="16">
        <f>ABS(Solieusap!H2815)</f>
        <v>0.001933225532</v>
      </c>
      <c r="I2815" s="16">
        <f>ABS(Solieusap!I2815)</f>
        <v>12.02254084</v>
      </c>
      <c r="J2815" s="16">
        <f>ABS(Solieusap!J2815)</f>
        <v>8.067113195</v>
      </c>
      <c r="K2815" s="16">
        <f t="shared" si="1"/>
        <v>32.35986208</v>
      </c>
      <c r="L2815" s="16">
        <f t="shared" si="2"/>
        <v>12.02254084</v>
      </c>
    </row>
    <row r="2816" ht="16.5" customHeight="1">
      <c r="A2816" s="15" t="str">
        <f>Solieusap!A2816</f>
        <v>Cũ</v>
      </c>
      <c r="B2816" s="15">
        <f>Solieusap!B2816</f>
        <v>1.75</v>
      </c>
      <c r="C2816" s="15" t="str">
        <f>Solieusap!C2816</f>
        <v>COMB7</v>
      </c>
      <c r="D2816" s="15" t="str">
        <f>Solieusap!D2816</f>
        <v>Combination</v>
      </c>
      <c r="E2816" s="16">
        <f>ABS(Solieusap!E2816)</f>
        <v>32.37671844</v>
      </c>
      <c r="F2816" s="16">
        <f>ABS(Solieusap!F2816)</f>
        <v>3.16230342</v>
      </c>
      <c r="G2816" s="16">
        <f>ABS(Solieusap!G2816)</f>
        <v>4.238775498</v>
      </c>
      <c r="H2816" s="16">
        <f>ABS(Solieusap!H2816)</f>
        <v>0.001934280636</v>
      </c>
      <c r="I2816" s="16">
        <f>ABS(Solieusap!I2816)</f>
        <v>12.02933563</v>
      </c>
      <c r="J2816" s="16">
        <f>ABS(Solieusap!J2816)</f>
        <v>8.071660247</v>
      </c>
      <c r="K2816" s="16">
        <f t="shared" si="1"/>
        <v>32.37671844</v>
      </c>
      <c r="L2816" s="16">
        <f t="shared" si="2"/>
        <v>12.02933563</v>
      </c>
    </row>
    <row r="2817" ht="16.5" customHeight="1">
      <c r="A2817" s="15" t="str">
        <f>Solieusap!A2817</f>
        <v>Cũ</v>
      </c>
      <c r="B2817" s="15">
        <f>Solieusap!B2817</f>
        <v>3.5</v>
      </c>
      <c r="C2817" s="15" t="str">
        <f>Solieusap!C2817</f>
        <v>COMB7</v>
      </c>
      <c r="D2817" s="15" t="str">
        <f>Solieusap!D2817</f>
        <v>Combination</v>
      </c>
      <c r="E2817" s="16">
        <f>ABS(Solieusap!E2817)</f>
        <v>32.39357481</v>
      </c>
      <c r="F2817" s="16">
        <f>ABS(Solieusap!F2817)</f>
        <v>3.164013939</v>
      </c>
      <c r="G2817" s="16">
        <f>ABS(Solieusap!G2817)</f>
        <v>4.241039913</v>
      </c>
      <c r="H2817" s="16">
        <f>ABS(Solieusap!H2817)</f>
        <v>0.00193533574</v>
      </c>
      <c r="I2817" s="16">
        <f>ABS(Solieusap!I2817)</f>
        <v>12.03613042</v>
      </c>
      <c r="J2817" s="16">
        <f>ABS(Solieusap!J2817)</f>
        <v>8.076207299</v>
      </c>
      <c r="K2817" s="16">
        <f t="shared" si="1"/>
        <v>32.39357481</v>
      </c>
      <c r="L2817" s="16">
        <f t="shared" si="2"/>
        <v>12.03613042</v>
      </c>
    </row>
    <row r="2818" ht="16.5" customHeight="1">
      <c r="A2818" s="15" t="str">
        <f>Solieusap!A2818</f>
        <v>Cũ</v>
      </c>
      <c r="B2818" s="15">
        <f>Solieusap!B2818</f>
        <v>0</v>
      </c>
      <c r="C2818" s="15" t="str">
        <f>Solieusap!C2818</f>
        <v>COMB1</v>
      </c>
      <c r="D2818" s="15" t="str">
        <f>Solieusap!D2818</f>
        <v>Combination</v>
      </c>
      <c r="E2818" s="16">
        <f>ABS(Solieusap!E2818)</f>
        <v>32.41043117</v>
      </c>
      <c r="F2818" s="16">
        <f>ABS(Solieusap!F2818)</f>
        <v>3.165724459</v>
      </c>
      <c r="G2818" s="16">
        <f>ABS(Solieusap!G2818)</f>
        <v>4.243304329</v>
      </c>
      <c r="H2818" s="16">
        <f>ABS(Solieusap!H2818)</f>
        <v>0.001936390844</v>
      </c>
      <c r="I2818" s="16">
        <f>ABS(Solieusap!I2818)</f>
        <v>12.04292522</v>
      </c>
      <c r="J2818" s="16">
        <f>ABS(Solieusap!J2818)</f>
        <v>8.080754351</v>
      </c>
      <c r="K2818" s="16">
        <f t="shared" si="1"/>
        <v>32.41043117</v>
      </c>
      <c r="L2818" s="16">
        <f t="shared" si="2"/>
        <v>12.04292522</v>
      </c>
    </row>
    <row r="2819" ht="16.5" customHeight="1">
      <c r="A2819" s="15" t="str">
        <f>Solieusap!A2819</f>
        <v>Cũ</v>
      </c>
      <c r="B2819" s="15">
        <f>Solieusap!B2819</f>
        <v>1.75</v>
      </c>
      <c r="C2819" s="15" t="str">
        <f>Solieusap!C2819</f>
        <v>COMB1</v>
      </c>
      <c r="D2819" s="15" t="str">
        <f>Solieusap!D2819</f>
        <v>Combination</v>
      </c>
      <c r="E2819" s="16">
        <f>ABS(Solieusap!E2819)</f>
        <v>32.42728753</v>
      </c>
      <c r="F2819" s="16">
        <f>ABS(Solieusap!F2819)</f>
        <v>3.167434978</v>
      </c>
      <c r="G2819" s="16">
        <f>ABS(Solieusap!G2819)</f>
        <v>4.245568745</v>
      </c>
      <c r="H2819" s="16">
        <f>ABS(Solieusap!H2819)</f>
        <v>0.001937445948</v>
      </c>
      <c r="I2819" s="16">
        <f>ABS(Solieusap!I2819)</f>
        <v>12.04972001</v>
      </c>
      <c r="J2819" s="16">
        <f>ABS(Solieusap!J2819)</f>
        <v>8.085301403</v>
      </c>
      <c r="K2819" s="16">
        <f t="shared" si="1"/>
        <v>32.42728753</v>
      </c>
      <c r="L2819" s="16">
        <f t="shared" si="2"/>
        <v>12.04972001</v>
      </c>
    </row>
    <row r="2820" ht="16.5" customHeight="1">
      <c r="A2820" s="15" t="str">
        <f>Solieusap!A2820</f>
        <v>Cũ</v>
      </c>
      <c r="B2820" s="15">
        <f>Solieusap!B2820</f>
        <v>3.5</v>
      </c>
      <c r="C2820" s="15" t="str">
        <f>Solieusap!C2820</f>
        <v>COMB1</v>
      </c>
      <c r="D2820" s="15" t="str">
        <f>Solieusap!D2820</f>
        <v>Combination</v>
      </c>
      <c r="E2820" s="16">
        <f>ABS(Solieusap!E2820)</f>
        <v>32.4441439</v>
      </c>
      <c r="F2820" s="16">
        <f>ABS(Solieusap!F2820)</f>
        <v>3.169145498</v>
      </c>
      <c r="G2820" s="16">
        <f>ABS(Solieusap!G2820)</f>
        <v>4.24783316</v>
      </c>
      <c r="H2820" s="16">
        <f>ABS(Solieusap!H2820)</f>
        <v>0.001938501052</v>
      </c>
      <c r="I2820" s="16">
        <f>ABS(Solieusap!I2820)</f>
        <v>12.0565148</v>
      </c>
      <c r="J2820" s="16">
        <f>ABS(Solieusap!J2820)</f>
        <v>8.089848455</v>
      </c>
      <c r="K2820" s="16">
        <f t="shared" si="1"/>
        <v>32.4441439</v>
      </c>
      <c r="L2820" s="16">
        <f t="shared" si="2"/>
        <v>12.0565148</v>
      </c>
    </row>
    <row r="2821" ht="16.5" customHeight="1">
      <c r="A2821" s="15" t="str">
        <f>Solieusap!A2821</f>
        <v>Cũ</v>
      </c>
      <c r="B2821" s="15">
        <f>Solieusap!B2821</f>
        <v>0</v>
      </c>
      <c r="C2821" s="15" t="str">
        <f>Solieusap!C2821</f>
        <v>COMB2</v>
      </c>
      <c r="D2821" s="15" t="str">
        <f>Solieusap!D2821</f>
        <v>Combination</v>
      </c>
      <c r="E2821" s="16">
        <f>ABS(Solieusap!E2821)</f>
        <v>32.46100026</v>
      </c>
      <c r="F2821" s="16">
        <f>ABS(Solieusap!F2821)</f>
        <v>3.170856017</v>
      </c>
      <c r="G2821" s="16">
        <f>ABS(Solieusap!G2821)</f>
        <v>4.250097576</v>
      </c>
      <c r="H2821" s="16">
        <f>ABS(Solieusap!H2821)</f>
        <v>0.001939556156</v>
      </c>
      <c r="I2821" s="16">
        <f>ABS(Solieusap!I2821)</f>
        <v>12.06330959</v>
      </c>
      <c r="J2821" s="16">
        <f>ABS(Solieusap!J2821)</f>
        <v>8.094395506</v>
      </c>
      <c r="K2821" s="16">
        <f t="shared" si="1"/>
        <v>32.46100026</v>
      </c>
      <c r="L2821" s="16">
        <f t="shared" si="2"/>
        <v>12.06330959</v>
      </c>
    </row>
    <row r="2822" ht="16.5" customHeight="1">
      <c r="A2822" s="15" t="str">
        <f>Solieusap!A2822</f>
        <v>Cũ</v>
      </c>
      <c r="B2822" s="15">
        <f>Solieusap!B2822</f>
        <v>1.75</v>
      </c>
      <c r="C2822" s="15" t="str">
        <f>Solieusap!C2822</f>
        <v>COMB2</v>
      </c>
      <c r="D2822" s="15" t="str">
        <f>Solieusap!D2822</f>
        <v>Combination</v>
      </c>
      <c r="E2822" s="16">
        <f>ABS(Solieusap!E2822)</f>
        <v>32.47785662</v>
      </c>
      <c r="F2822" s="16">
        <f>ABS(Solieusap!F2822)</f>
        <v>3.172566537</v>
      </c>
      <c r="G2822" s="16">
        <f>ABS(Solieusap!G2822)</f>
        <v>4.252361991</v>
      </c>
      <c r="H2822" s="16">
        <f>ABS(Solieusap!H2822)</f>
        <v>0.00194061126</v>
      </c>
      <c r="I2822" s="16">
        <f>ABS(Solieusap!I2822)</f>
        <v>12.07010439</v>
      </c>
      <c r="J2822" s="16">
        <f>ABS(Solieusap!J2822)</f>
        <v>8.098942558</v>
      </c>
      <c r="K2822" s="16">
        <f t="shared" si="1"/>
        <v>32.47785662</v>
      </c>
      <c r="L2822" s="16">
        <f t="shared" si="2"/>
        <v>12.07010439</v>
      </c>
    </row>
    <row r="2823" ht="16.5" customHeight="1">
      <c r="A2823" s="15" t="str">
        <f>Solieusap!A2823</f>
        <v>Cũ</v>
      </c>
      <c r="B2823" s="15">
        <f>Solieusap!B2823</f>
        <v>3.5</v>
      </c>
      <c r="C2823" s="15" t="str">
        <f>Solieusap!C2823</f>
        <v>COMB2</v>
      </c>
      <c r="D2823" s="15" t="str">
        <f>Solieusap!D2823</f>
        <v>Combination</v>
      </c>
      <c r="E2823" s="16">
        <f>ABS(Solieusap!E2823)</f>
        <v>32.49471299</v>
      </c>
      <c r="F2823" s="16">
        <f>ABS(Solieusap!F2823)</f>
        <v>3.174277056</v>
      </c>
      <c r="G2823" s="16">
        <f>ABS(Solieusap!G2823)</f>
        <v>4.254626407</v>
      </c>
      <c r="H2823" s="16">
        <f>ABS(Solieusap!H2823)</f>
        <v>0.001941666364</v>
      </c>
      <c r="I2823" s="16">
        <f>ABS(Solieusap!I2823)</f>
        <v>12.07689918</v>
      </c>
      <c r="J2823" s="16">
        <f>ABS(Solieusap!J2823)</f>
        <v>8.10348961</v>
      </c>
      <c r="K2823" s="16">
        <f t="shared" si="1"/>
        <v>32.49471299</v>
      </c>
      <c r="L2823" s="16">
        <f t="shared" si="2"/>
        <v>12.07689918</v>
      </c>
    </row>
    <row r="2824" ht="16.5" customHeight="1">
      <c r="A2824" s="15" t="str">
        <f>Solieusap!A2824</f>
        <v>Cũ</v>
      </c>
      <c r="B2824" s="15">
        <f>Solieusap!B2824</f>
        <v>0</v>
      </c>
      <c r="C2824" s="15" t="str">
        <f>Solieusap!C2824</f>
        <v>COMB3</v>
      </c>
      <c r="D2824" s="15" t="str">
        <f>Solieusap!D2824</f>
        <v>Combination</v>
      </c>
      <c r="E2824" s="16">
        <f>ABS(Solieusap!E2824)</f>
        <v>32.51156935</v>
      </c>
      <c r="F2824" s="16">
        <f>ABS(Solieusap!F2824)</f>
        <v>3.175987576</v>
      </c>
      <c r="G2824" s="16">
        <f>ABS(Solieusap!G2824)</f>
        <v>4.256890823</v>
      </c>
      <c r="H2824" s="16">
        <f>ABS(Solieusap!H2824)</f>
        <v>0.001942721468</v>
      </c>
      <c r="I2824" s="16">
        <f>ABS(Solieusap!I2824)</f>
        <v>12.08369397</v>
      </c>
      <c r="J2824" s="16">
        <f>ABS(Solieusap!J2824)</f>
        <v>8.108036662</v>
      </c>
      <c r="K2824" s="16">
        <f t="shared" si="1"/>
        <v>32.51156935</v>
      </c>
      <c r="L2824" s="16">
        <f t="shared" si="2"/>
        <v>12.08369397</v>
      </c>
    </row>
    <row r="2825" ht="16.5" customHeight="1">
      <c r="A2825" s="15" t="str">
        <f>Solieusap!A2825</f>
        <v>Cũ</v>
      </c>
      <c r="B2825" s="15">
        <f>Solieusap!B2825</f>
        <v>1.75</v>
      </c>
      <c r="C2825" s="15" t="str">
        <f>Solieusap!C2825</f>
        <v>COMB3</v>
      </c>
      <c r="D2825" s="15" t="str">
        <f>Solieusap!D2825</f>
        <v>Combination</v>
      </c>
      <c r="E2825" s="16">
        <f>ABS(Solieusap!E2825)</f>
        <v>32.52842571</v>
      </c>
      <c r="F2825" s="16">
        <f>ABS(Solieusap!F2825)</f>
        <v>3.177698095</v>
      </c>
      <c r="G2825" s="16">
        <f>ABS(Solieusap!G2825)</f>
        <v>4.259155238</v>
      </c>
      <c r="H2825" s="16">
        <f>ABS(Solieusap!H2825)</f>
        <v>0.001943776571</v>
      </c>
      <c r="I2825" s="16">
        <f>ABS(Solieusap!I2825)</f>
        <v>12.09048876</v>
      </c>
      <c r="J2825" s="16">
        <f>ABS(Solieusap!J2825)</f>
        <v>8.112583714</v>
      </c>
      <c r="K2825" s="16">
        <f t="shared" si="1"/>
        <v>32.52842571</v>
      </c>
      <c r="L2825" s="16">
        <f t="shared" si="2"/>
        <v>12.09048876</v>
      </c>
    </row>
    <row r="2826" ht="16.5" customHeight="1">
      <c r="A2826" s="15" t="str">
        <f>Solieusap!A2826</f>
        <v>Cũ</v>
      </c>
      <c r="B2826" s="15">
        <f>Solieusap!B2826</f>
        <v>3.5</v>
      </c>
      <c r="C2826" s="15" t="str">
        <f>Solieusap!C2826</f>
        <v>COMB3</v>
      </c>
      <c r="D2826" s="15" t="str">
        <f>Solieusap!D2826</f>
        <v>Combination</v>
      </c>
      <c r="E2826" s="16">
        <f>ABS(Solieusap!E2826)</f>
        <v>32.54528208</v>
      </c>
      <c r="F2826" s="16">
        <f>ABS(Solieusap!F2826)</f>
        <v>3.179408615</v>
      </c>
      <c r="G2826" s="16">
        <f>ABS(Solieusap!G2826)</f>
        <v>4.261419654</v>
      </c>
      <c r="H2826" s="16">
        <f>ABS(Solieusap!H2826)</f>
        <v>0.001944831675</v>
      </c>
      <c r="I2826" s="16">
        <f>ABS(Solieusap!I2826)</f>
        <v>12.09728355</v>
      </c>
      <c r="J2826" s="16">
        <f>ABS(Solieusap!J2826)</f>
        <v>8.117130766</v>
      </c>
      <c r="K2826" s="16">
        <f t="shared" si="1"/>
        <v>32.54528208</v>
      </c>
      <c r="L2826" s="16">
        <f t="shared" si="2"/>
        <v>12.09728355</v>
      </c>
    </row>
    <row r="2827" ht="16.5" customHeight="1">
      <c r="A2827" s="15" t="str">
        <f>Solieusap!A2827</f>
        <v>Cũ</v>
      </c>
      <c r="B2827" s="15">
        <f>Solieusap!B2827</f>
        <v>0</v>
      </c>
      <c r="C2827" s="15" t="str">
        <f>Solieusap!C2827</f>
        <v>COMB4</v>
      </c>
      <c r="D2827" s="15" t="str">
        <f>Solieusap!D2827</f>
        <v>Combination</v>
      </c>
      <c r="E2827" s="16">
        <f>ABS(Solieusap!E2827)</f>
        <v>32.56213844</v>
      </c>
      <c r="F2827" s="16">
        <f>ABS(Solieusap!F2827)</f>
        <v>3.181119134</v>
      </c>
      <c r="G2827" s="16">
        <f>ABS(Solieusap!G2827)</f>
        <v>4.263684069</v>
      </c>
      <c r="H2827" s="16">
        <f>ABS(Solieusap!H2827)</f>
        <v>0.001945886779</v>
      </c>
      <c r="I2827" s="16">
        <f>ABS(Solieusap!I2827)</f>
        <v>12.10407835</v>
      </c>
      <c r="J2827" s="16">
        <f>ABS(Solieusap!J2827)</f>
        <v>8.121677818</v>
      </c>
      <c r="K2827" s="16">
        <f t="shared" si="1"/>
        <v>32.56213844</v>
      </c>
      <c r="L2827" s="16">
        <f t="shared" si="2"/>
        <v>12.10407835</v>
      </c>
    </row>
    <row r="2828" ht="16.5" customHeight="1">
      <c r="A2828" s="15" t="str">
        <f>Solieusap!A2828</f>
        <v>Cũ</v>
      </c>
      <c r="B2828" s="15">
        <f>Solieusap!B2828</f>
        <v>1.75</v>
      </c>
      <c r="C2828" s="15" t="str">
        <f>Solieusap!C2828</f>
        <v>COMB4</v>
      </c>
      <c r="D2828" s="15" t="str">
        <f>Solieusap!D2828</f>
        <v>Combination</v>
      </c>
      <c r="E2828" s="16">
        <f>ABS(Solieusap!E2828)</f>
        <v>32.57899481</v>
      </c>
      <c r="F2828" s="16">
        <f>ABS(Solieusap!F2828)</f>
        <v>3.182829654</v>
      </c>
      <c r="G2828" s="16">
        <f>ABS(Solieusap!G2828)</f>
        <v>4.265948485</v>
      </c>
      <c r="H2828" s="16">
        <f>ABS(Solieusap!H2828)</f>
        <v>0.001946941883</v>
      </c>
      <c r="I2828" s="16">
        <f>ABS(Solieusap!I2828)</f>
        <v>12.11087314</v>
      </c>
      <c r="J2828" s="16">
        <f>ABS(Solieusap!J2828)</f>
        <v>8.12622487</v>
      </c>
      <c r="K2828" s="16">
        <f t="shared" si="1"/>
        <v>32.57899481</v>
      </c>
      <c r="L2828" s="16">
        <f t="shared" si="2"/>
        <v>12.11087314</v>
      </c>
    </row>
    <row r="2829" ht="16.5" customHeight="1">
      <c r="A2829" s="15" t="str">
        <f>Solieusap!A2829</f>
        <v>Cũ</v>
      </c>
      <c r="B2829" s="15">
        <f>Solieusap!B2829</f>
        <v>3.5</v>
      </c>
      <c r="C2829" s="15" t="str">
        <f>Solieusap!C2829</f>
        <v>COMB4</v>
      </c>
      <c r="D2829" s="15" t="str">
        <f>Solieusap!D2829</f>
        <v>Combination</v>
      </c>
      <c r="E2829" s="16">
        <f>ABS(Solieusap!E2829)</f>
        <v>32.59585117</v>
      </c>
      <c r="F2829" s="16">
        <f>ABS(Solieusap!F2829)</f>
        <v>3.184540173</v>
      </c>
      <c r="G2829" s="16">
        <f>ABS(Solieusap!G2829)</f>
        <v>4.2682129</v>
      </c>
      <c r="H2829" s="16">
        <f>ABS(Solieusap!H2829)</f>
        <v>0.001947996987</v>
      </c>
      <c r="I2829" s="16">
        <f>ABS(Solieusap!I2829)</f>
        <v>12.11766793</v>
      </c>
      <c r="J2829" s="16">
        <f>ABS(Solieusap!J2829)</f>
        <v>8.130771922</v>
      </c>
      <c r="K2829" s="16">
        <f t="shared" si="1"/>
        <v>32.59585117</v>
      </c>
      <c r="L2829" s="16">
        <f t="shared" si="2"/>
        <v>12.11766793</v>
      </c>
    </row>
    <row r="2830" ht="16.5" customHeight="1">
      <c r="A2830" s="15" t="str">
        <f>Solieusap!A2830</f>
        <v>Cũ</v>
      </c>
      <c r="B2830" s="15">
        <f>Solieusap!B2830</f>
        <v>0</v>
      </c>
      <c r="C2830" s="15" t="str">
        <f>Solieusap!C2830</f>
        <v>COMB5</v>
      </c>
      <c r="D2830" s="15" t="str">
        <f>Solieusap!D2830</f>
        <v>Combination</v>
      </c>
      <c r="E2830" s="16">
        <f>ABS(Solieusap!E2830)</f>
        <v>32.61270753</v>
      </c>
      <c r="F2830" s="16">
        <f>ABS(Solieusap!F2830)</f>
        <v>3.186250693</v>
      </c>
      <c r="G2830" s="16">
        <f>ABS(Solieusap!G2830)</f>
        <v>4.270477316</v>
      </c>
      <c r="H2830" s="16">
        <f>ABS(Solieusap!H2830)</f>
        <v>0.001949052091</v>
      </c>
      <c r="I2830" s="16">
        <f>ABS(Solieusap!I2830)</f>
        <v>12.12446272</v>
      </c>
      <c r="J2830" s="16">
        <f>ABS(Solieusap!J2830)</f>
        <v>8.135318974</v>
      </c>
      <c r="K2830" s="16">
        <f t="shared" si="1"/>
        <v>32.61270753</v>
      </c>
      <c r="L2830" s="16">
        <f t="shared" si="2"/>
        <v>12.12446272</v>
      </c>
    </row>
    <row r="2831" ht="16.5" customHeight="1">
      <c r="A2831" s="15" t="str">
        <f>Solieusap!A2831</f>
        <v>Cũ</v>
      </c>
      <c r="B2831" s="15">
        <f>Solieusap!B2831</f>
        <v>1.75</v>
      </c>
      <c r="C2831" s="15" t="str">
        <f>Solieusap!C2831</f>
        <v>COMB5</v>
      </c>
      <c r="D2831" s="15" t="str">
        <f>Solieusap!D2831</f>
        <v>Combination</v>
      </c>
      <c r="E2831" s="16">
        <f>ABS(Solieusap!E2831)</f>
        <v>32.6295639</v>
      </c>
      <c r="F2831" s="16">
        <f>ABS(Solieusap!F2831)</f>
        <v>3.187961212</v>
      </c>
      <c r="G2831" s="16">
        <f>ABS(Solieusap!G2831)</f>
        <v>4.272741732</v>
      </c>
      <c r="H2831" s="16">
        <f>ABS(Solieusap!H2831)</f>
        <v>0.001950107195</v>
      </c>
      <c r="I2831" s="16">
        <f>ABS(Solieusap!I2831)</f>
        <v>12.13125752</v>
      </c>
      <c r="J2831" s="16">
        <f>ABS(Solieusap!J2831)</f>
        <v>8.139866026</v>
      </c>
      <c r="K2831" s="16">
        <f t="shared" si="1"/>
        <v>32.6295639</v>
      </c>
      <c r="L2831" s="16">
        <f t="shared" si="2"/>
        <v>12.13125752</v>
      </c>
    </row>
    <row r="2832" ht="16.5" customHeight="1">
      <c r="A2832" s="15" t="str">
        <f>Solieusap!A2832</f>
        <v>Cũ</v>
      </c>
      <c r="B2832" s="15">
        <f>Solieusap!B2832</f>
        <v>3.5</v>
      </c>
      <c r="C2832" s="15" t="str">
        <f>Solieusap!C2832</f>
        <v>COMB5</v>
      </c>
      <c r="D2832" s="15" t="str">
        <f>Solieusap!D2832</f>
        <v>Combination</v>
      </c>
      <c r="E2832" s="16">
        <f>ABS(Solieusap!E2832)</f>
        <v>32.64642026</v>
      </c>
      <c r="F2832" s="16">
        <f>ABS(Solieusap!F2832)</f>
        <v>3.189671732</v>
      </c>
      <c r="G2832" s="16">
        <f>ABS(Solieusap!G2832)</f>
        <v>4.275006147</v>
      </c>
      <c r="H2832" s="16">
        <f>ABS(Solieusap!H2832)</f>
        <v>0.001951162299</v>
      </c>
      <c r="I2832" s="16">
        <f>ABS(Solieusap!I2832)</f>
        <v>12.13805231</v>
      </c>
      <c r="J2832" s="16">
        <f>ABS(Solieusap!J2832)</f>
        <v>8.144413078</v>
      </c>
      <c r="K2832" s="16">
        <f t="shared" si="1"/>
        <v>32.64642026</v>
      </c>
      <c r="L2832" s="16">
        <f t="shared" si="2"/>
        <v>12.13805231</v>
      </c>
    </row>
    <row r="2833" ht="16.5" customHeight="1">
      <c r="A2833" s="15" t="str">
        <f>Solieusap!A2833</f>
        <v>Cũ</v>
      </c>
      <c r="B2833" s="15">
        <f>Solieusap!B2833</f>
        <v>0</v>
      </c>
      <c r="C2833" s="15" t="str">
        <f>Solieusap!C2833</f>
        <v>COMB6</v>
      </c>
      <c r="D2833" s="15" t="str">
        <f>Solieusap!D2833</f>
        <v>Combination</v>
      </c>
      <c r="E2833" s="16">
        <f>ABS(Solieusap!E2833)</f>
        <v>32.66327662</v>
      </c>
      <c r="F2833" s="16">
        <f>ABS(Solieusap!F2833)</f>
        <v>3.191382251</v>
      </c>
      <c r="G2833" s="16">
        <f>ABS(Solieusap!G2833)</f>
        <v>4.277270563</v>
      </c>
      <c r="H2833" s="16">
        <f>ABS(Solieusap!H2833)</f>
        <v>0.001952217403</v>
      </c>
      <c r="I2833" s="16">
        <f>ABS(Solieusap!I2833)</f>
        <v>12.1448471</v>
      </c>
      <c r="J2833" s="16">
        <f>ABS(Solieusap!J2833)</f>
        <v>8.14896013</v>
      </c>
      <c r="K2833" s="16">
        <f t="shared" si="1"/>
        <v>32.66327662</v>
      </c>
      <c r="L2833" s="16">
        <f t="shared" si="2"/>
        <v>12.1448471</v>
      </c>
    </row>
    <row r="2834" ht="16.5" customHeight="1">
      <c r="A2834" s="15" t="str">
        <f>Solieusap!A2834</f>
        <v>Cũ</v>
      </c>
      <c r="B2834" s="15">
        <f>Solieusap!B2834</f>
        <v>1.75</v>
      </c>
      <c r="C2834" s="15" t="str">
        <f>Solieusap!C2834</f>
        <v>COMB6</v>
      </c>
      <c r="D2834" s="15" t="str">
        <f>Solieusap!D2834</f>
        <v>Combination</v>
      </c>
      <c r="E2834" s="16">
        <f>ABS(Solieusap!E2834)</f>
        <v>32.68013299</v>
      </c>
      <c r="F2834" s="16">
        <f>ABS(Solieusap!F2834)</f>
        <v>3.193092771</v>
      </c>
      <c r="G2834" s="16">
        <f>ABS(Solieusap!G2834)</f>
        <v>4.279534978</v>
      </c>
      <c r="H2834" s="16">
        <f>ABS(Solieusap!H2834)</f>
        <v>0.001953272506</v>
      </c>
      <c r="I2834" s="16">
        <f>ABS(Solieusap!I2834)</f>
        <v>12.15164189</v>
      </c>
      <c r="J2834" s="16">
        <f>ABS(Solieusap!J2834)</f>
        <v>8.153507182</v>
      </c>
      <c r="K2834" s="16">
        <f t="shared" si="1"/>
        <v>32.68013299</v>
      </c>
      <c r="L2834" s="16">
        <f t="shared" si="2"/>
        <v>12.15164189</v>
      </c>
    </row>
    <row r="2835" ht="16.5" customHeight="1">
      <c r="A2835" s="15" t="str">
        <f>Solieusap!A2835</f>
        <v>Cũ</v>
      </c>
      <c r="B2835" s="15">
        <f>Solieusap!B2835</f>
        <v>3.5</v>
      </c>
      <c r="C2835" s="15" t="str">
        <f>Solieusap!C2835</f>
        <v>COMB6</v>
      </c>
      <c r="D2835" s="15" t="str">
        <f>Solieusap!D2835</f>
        <v>Combination</v>
      </c>
      <c r="E2835" s="16">
        <f>ABS(Solieusap!E2835)</f>
        <v>32.69698935</v>
      </c>
      <c r="F2835" s="16">
        <f>ABS(Solieusap!F2835)</f>
        <v>3.19480329</v>
      </c>
      <c r="G2835" s="16">
        <f>ABS(Solieusap!G2835)</f>
        <v>4.281799394</v>
      </c>
      <c r="H2835" s="16">
        <f>ABS(Solieusap!H2835)</f>
        <v>0.00195432761</v>
      </c>
      <c r="I2835" s="16">
        <f>ABS(Solieusap!I2835)</f>
        <v>12.15843668</v>
      </c>
      <c r="J2835" s="16">
        <f>ABS(Solieusap!J2835)</f>
        <v>8.158054234</v>
      </c>
      <c r="K2835" s="16">
        <f t="shared" si="1"/>
        <v>32.69698935</v>
      </c>
      <c r="L2835" s="16">
        <f t="shared" si="2"/>
        <v>12.15843668</v>
      </c>
    </row>
    <row r="2836" ht="16.5" customHeight="1">
      <c r="A2836" s="15" t="str">
        <f>Solieusap!A2836</f>
        <v>Cũ</v>
      </c>
      <c r="B2836" s="15">
        <f>Solieusap!B2836</f>
        <v>0</v>
      </c>
      <c r="C2836" s="15" t="str">
        <f>Solieusap!C2836</f>
        <v>COMB7</v>
      </c>
      <c r="D2836" s="15" t="str">
        <f>Solieusap!D2836</f>
        <v>Combination</v>
      </c>
      <c r="E2836" s="16">
        <f>ABS(Solieusap!E2836)</f>
        <v>32.71384571</v>
      </c>
      <c r="F2836" s="16">
        <f>ABS(Solieusap!F2836)</f>
        <v>3.19651381</v>
      </c>
      <c r="G2836" s="16">
        <f>ABS(Solieusap!G2836)</f>
        <v>4.28406381</v>
      </c>
      <c r="H2836" s="16">
        <f>ABS(Solieusap!H2836)</f>
        <v>0.001955382714</v>
      </c>
      <c r="I2836" s="16">
        <f>ABS(Solieusap!I2836)</f>
        <v>12.16523148</v>
      </c>
      <c r="J2836" s="16">
        <f>ABS(Solieusap!J2836)</f>
        <v>8.162601286</v>
      </c>
      <c r="K2836" s="16">
        <f t="shared" si="1"/>
        <v>32.71384571</v>
      </c>
      <c r="L2836" s="16">
        <f t="shared" si="2"/>
        <v>12.16523148</v>
      </c>
    </row>
    <row r="2837" ht="16.5" customHeight="1">
      <c r="A2837" s="15" t="str">
        <f>Solieusap!A2837</f>
        <v>Cũ</v>
      </c>
      <c r="B2837" s="15">
        <f>Solieusap!B2837</f>
        <v>1.75</v>
      </c>
      <c r="C2837" s="15" t="str">
        <f>Solieusap!C2837</f>
        <v>COMB7</v>
      </c>
      <c r="D2837" s="15" t="str">
        <f>Solieusap!D2837</f>
        <v>Combination</v>
      </c>
      <c r="E2837" s="16">
        <f>ABS(Solieusap!E2837)</f>
        <v>32.73070208</v>
      </c>
      <c r="F2837" s="16">
        <f>ABS(Solieusap!F2837)</f>
        <v>3.198224329</v>
      </c>
      <c r="G2837" s="16">
        <f>ABS(Solieusap!G2837)</f>
        <v>4.286328225</v>
      </c>
      <c r="H2837" s="16">
        <f>ABS(Solieusap!H2837)</f>
        <v>0.001956437818</v>
      </c>
      <c r="I2837" s="16">
        <f>ABS(Solieusap!I2837)</f>
        <v>12.17202627</v>
      </c>
      <c r="J2837" s="16">
        <f>ABS(Solieusap!J2837)</f>
        <v>8.167148338</v>
      </c>
      <c r="K2837" s="16">
        <f t="shared" si="1"/>
        <v>32.73070208</v>
      </c>
      <c r="L2837" s="16">
        <f t="shared" si="2"/>
        <v>12.17202627</v>
      </c>
    </row>
    <row r="2838" ht="16.5" customHeight="1">
      <c r="A2838" s="15" t="str">
        <f>Solieusap!A2838</f>
        <v>Cũ</v>
      </c>
      <c r="B2838" s="15">
        <f>Solieusap!B2838</f>
        <v>3.5</v>
      </c>
      <c r="C2838" s="15" t="str">
        <f>Solieusap!C2838</f>
        <v>COMB7</v>
      </c>
      <c r="D2838" s="15" t="str">
        <f>Solieusap!D2838</f>
        <v>Combination</v>
      </c>
      <c r="E2838" s="16">
        <f>ABS(Solieusap!E2838)</f>
        <v>32.74755844</v>
      </c>
      <c r="F2838" s="16">
        <f>ABS(Solieusap!F2838)</f>
        <v>3.199934848</v>
      </c>
      <c r="G2838" s="16">
        <f>ABS(Solieusap!G2838)</f>
        <v>4.288592641</v>
      </c>
      <c r="H2838" s="16">
        <f>ABS(Solieusap!H2838)</f>
        <v>0.001957492922</v>
      </c>
      <c r="I2838" s="16">
        <f>ABS(Solieusap!I2838)</f>
        <v>12.17882106</v>
      </c>
      <c r="J2838" s="16">
        <f>ABS(Solieusap!J2838)</f>
        <v>8.17169539</v>
      </c>
      <c r="K2838" s="16">
        <f t="shared" si="1"/>
        <v>32.74755844</v>
      </c>
      <c r="L2838" s="16">
        <f t="shared" si="2"/>
        <v>12.17882106</v>
      </c>
    </row>
    <row r="2839" ht="16.5" customHeight="1">
      <c r="A2839" s="15" t="str">
        <f>Solieusap!A2839</f>
        <v>Cũ</v>
      </c>
      <c r="B2839" s="15">
        <f>Solieusap!B2839</f>
        <v>0</v>
      </c>
      <c r="C2839" s="15" t="str">
        <f>Solieusap!C2839</f>
        <v>COMB1</v>
      </c>
      <c r="D2839" s="15" t="str">
        <f>Solieusap!D2839</f>
        <v>Combination</v>
      </c>
      <c r="E2839" s="16">
        <f>ABS(Solieusap!E2839)</f>
        <v>32.76441481</v>
      </c>
      <c r="F2839" s="16">
        <f>ABS(Solieusap!F2839)</f>
        <v>3.201645368</v>
      </c>
      <c r="G2839" s="16">
        <f>ABS(Solieusap!G2839)</f>
        <v>4.290857056</v>
      </c>
      <c r="H2839" s="16">
        <f>ABS(Solieusap!H2839)</f>
        <v>0.001958548026</v>
      </c>
      <c r="I2839" s="16">
        <f>ABS(Solieusap!I2839)</f>
        <v>12.18561585</v>
      </c>
      <c r="J2839" s="16">
        <f>ABS(Solieusap!J2839)</f>
        <v>8.176242442</v>
      </c>
      <c r="K2839" s="16">
        <f t="shared" si="1"/>
        <v>32.76441481</v>
      </c>
      <c r="L2839" s="16">
        <f t="shared" si="2"/>
        <v>12.18561585</v>
      </c>
    </row>
    <row r="2840" ht="16.5" customHeight="1">
      <c r="A2840" s="15" t="str">
        <f>Solieusap!A2840</f>
        <v>Cũ</v>
      </c>
      <c r="B2840" s="15">
        <f>Solieusap!B2840</f>
        <v>1.75</v>
      </c>
      <c r="C2840" s="15" t="str">
        <f>Solieusap!C2840</f>
        <v>COMB1</v>
      </c>
      <c r="D2840" s="15" t="str">
        <f>Solieusap!D2840</f>
        <v>Combination</v>
      </c>
      <c r="E2840" s="16">
        <f>ABS(Solieusap!E2840)</f>
        <v>32.78127117</v>
      </c>
      <c r="F2840" s="16">
        <f>ABS(Solieusap!F2840)</f>
        <v>3.203355887</v>
      </c>
      <c r="G2840" s="16">
        <f>ABS(Solieusap!G2840)</f>
        <v>4.293121472</v>
      </c>
      <c r="H2840" s="16">
        <f>ABS(Solieusap!H2840)</f>
        <v>0.00195960313</v>
      </c>
      <c r="I2840" s="16">
        <f>ABS(Solieusap!I2840)</f>
        <v>12.19241065</v>
      </c>
      <c r="J2840" s="16">
        <f>ABS(Solieusap!J2840)</f>
        <v>8.180789494</v>
      </c>
      <c r="K2840" s="16">
        <f t="shared" si="1"/>
        <v>32.78127117</v>
      </c>
      <c r="L2840" s="16">
        <f t="shared" si="2"/>
        <v>12.19241065</v>
      </c>
    </row>
    <row r="2841" ht="16.5" customHeight="1">
      <c r="A2841" s="15" t="str">
        <f>Solieusap!A2841</f>
        <v>Cũ</v>
      </c>
      <c r="B2841" s="15">
        <f>Solieusap!B2841</f>
        <v>3.5</v>
      </c>
      <c r="C2841" s="15" t="str">
        <f>Solieusap!C2841</f>
        <v>COMB1</v>
      </c>
      <c r="D2841" s="15" t="str">
        <f>Solieusap!D2841</f>
        <v>Combination</v>
      </c>
      <c r="E2841" s="16">
        <f>ABS(Solieusap!E2841)</f>
        <v>32.79812753</v>
      </c>
      <c r="F2841" s="16">
        <f>ABS(Solieusap!F2841)</f>
        <v>3.205066407</v>
      </c>
      <c r="G2841" s="16">
        <f>ABS(Solieusap!G2841)</f>
        <v>4.295385887</v>
      </c>
      <c r="H2841" s="16">
        <f>ABS(Solieusap!H2841)</f>
        <v>0.001960658234</v>
      </c>
      <c r="I2841" s="16">
        <f>ABS(Solieusap!I2841)</f>
        <v>12.19920544</v>
      </c>
      <c r="J2841" s="16">
        <f>ABS(Solieusap!J2841)</f>
        <v>8.185336545</v>
      </c>
      <c r="K2841" s="16">
        <f t="shared" si="1"/>
        <v>32.79812753</v>
      </c>
      <c r="L2841" s="16">
        <f t="shared" si="2"/>
        <v>12.19920544</v>
      </c>
    </row>
    <row r="2842" ht="16.5" customHeight="1">
      <c r="A2842" s="15" t="str">
        <f>Solieusap!A2842</f>
        <v>Cũ</v>
      </c>
      <c r="B2842" s="15">
        <f>Solieusap!B2842</f>
        <v>0</v>
      </c>
      <c r="C2842" s="15" t="str">
        <f>Solieusap!C2842</f>
        <v>COMB2</v>
      </c>
      <c r="D2842" s="15" t="str">
        <f>Solieusap!D2842</f>
        <v>Combination</v>
      </c>
      <c r="E2842" s="16">
        <f>ABS(Solieusap!E2842)</f>
        <v>32.8149839</v>
      </c>
      <c r="F2842" s="16">
        <f>ABS(Solieusap!F2842)</f>
        <v>3.206776926</v>
      </c>
      <c r="G2842" s="16">
        <f>ABS(Solieusap!G2842)</f>
        <v>4.297650303</v>
      </c>
      <c r="H2842" s="16">
        <f>ABS(Solieusap!H2842)</f>
        <v>0.001961713338</v>
      </c>
      <c r="I2842" s="16">
        <f>ABS(Solieusap!I2842)</f>
        <v>12.20600023</v>
      </c>
      <c r="J2842" s="16">
        <f>ABS(Solieusap!J2842)</f>
        <v>8.189883597</v>
      </c>
      <c r="K2842" s="16">
        <f t="shared" si="1"/>
        <v>32.8149839</v>
      </c>
      <c r="L2842" s="16">
        <f t="shared" si="2"/>
        <v>12.20600023</v>
      </c>
    </row>
    <row r="2843" ht="16.5" customHeight="1">
      <c r="A2843" s="15" t="str">
        <f>Solieusap!A2843</f>
        <v>Cũ</v>
      </c>
      <c r="B2843" s="15">
        <f>Solieusap!B2843</f>
        <v>1.75</v>
      </c>
      <c r="C2843" s="15" t="str">
        <f>Solieusap!C2843</f>
        <v>COMB2</v>
      </c>
      <c r="D2843" s="15" t="str">
        <f>Solieusap!D2843</f>
        <v>Combination</v>
      </c>
      <c r="E2843" s="16">
        <f>ABS(Solieusap!E2843)</f>
        <v>32.83184026</v>
      </c>
      <c r="F2843" s="16">
        <f>ABS(Solieusap!F2843)</f>
        <v>3.208487446</v>
      </c>
      <c r="G2843" s="16">
        <f>ABS(Solieusap!G2843)</f>
        <v>4.299914719</v>
      </c>
      <c r="H2843" s="16">
        <f>ABS(Solieusap!H2843)</f>
        <v>0.001962768442</v>
      </c>
      <c r="I2843" s="16">
        <f>ABS(Solieusap!I2843)</f>
        <v>12.21279502</v>
      </c>
      <c r="J2843" s="16">
        <f>ABS(Solieusap!J2843)</f>
        <v>8.194430649</v>
      </c>
      <c r="K2843" s="16">
        <f t="shared" si="1"/>
        <v>32.83184026</v>
      </c>
      <c r="L2843" s="16">
        <f t="shared" si="2"/>
        <v>12.21279502</v>
      </c>
    </row>
    <row r="2844" ht="16.5" customHeight="1">
      <c r="A2844" s="15" t="str">
        <f>Solieusap!A2844</f>
        <v>Cũ</v>
      </c>
      <c r="B2844" s="15">
        <f>Solieusap!B2844</f>
        <v>3.5</v>
      </c>
      <c r="C2844" s="15" t="str">
        <f>Solieusap!C2844</f>
        <v>COMB2</v>
      </c>
      <c r="D2844" s="15" t="str">
        <f>Solieusap!D2844</f>
        <v>Combination</v>
      </c>
      <c r="E2844" s="16">
        <f>ABS(Solieusap!E2844)</f>
        <v>32.84869662</v>
      </c>
      <c r="F2844" s="16">
        <f>ABS(Solieusap!F2844)</f>
        <v>3.210197965</v>
      </c>
      <c r="G2844" s="16">
        <f>ABS(Solieusap!G2844)</f>
        <v>4.302179134</v>
      </c>
      <c r="H2844" s="16">
        <f>ABS(Solieusap!H2844)</f>
        <v>0.001963823545</v>
      </c>
      <c r="I2844" s="16">
        <f>ABS(Solieusap!I2844)</f>
        <v>12.21958981</v>
      </c>
      <c r="J2844" s="16">
        <f>ABS(Solieusap!J2844)</f>
        <v>8.198977701</v>
      </c>
      <c r="K2844" s="16">
        <f t="shared" si="1"/>
        <v>32.84869662</v>
      </c>
      <c r="L2844" s="16">
        <f t="shared" si="2"/>
        <v>12.21958981</v>
      </c>
    </row>
    <row r="2845" ht="16.5" customHeight="1">
      <c r="A2845" s="15" t="str">
        <f>Solieusap!A2845</f>
        <v>Cũ</v>
      </c>
      <c r="B2845" s="15">
        <f>Solieusap!B2845</f>
        <v>0</v>
      </c>
      <c r="C2845" s="15" t="str">
        <f>Solieusap!C2845</f>
        <v>COMB3</v>
      </c>
      <c r="D2845" s="15" t="str">
        <f>Solieusap!D2845</f>
        <v>Combination</v>
      </c>
      <c r="E2845" s="16">
        <f>ABS(Solieusap!E2845)</f>
        <v>32.86555299</v>
      </c>
      <c r="F2845" s="16">
        <f>ABS(Solieusap!F2845)</f>
        <v>3.211908485</v>
      </c>
      <c r="G2845" s="16">
        <f>ABS(Solieusap!G2845)</f>
        <v>4.30444355</v>
      </c>
      <c r="H2845" s="16">
        <f>ABS(Solieusap!H2845)</f>
        <v>0.001964878649</v>
      </c>
      <c r="I2845" s="16">
        <f>ABS(Solieusap!I2845)</f>
        <v>12.22638461</v>
      </c>
      <c r="J2845" s="16">
        <f>ABS(Solieusap!J2845)</f>
        <v>8.203524753</v>
      </c>
      <c r="K2845" s="16">
        <f t="shared" si="1"/>
        <v>32.86555299</v>
      </c>
      <c r="L2845" s="16">
        <f t="shared" si="2"/>
        <v>12.22638461</v>
      </c>
    </row>
    <row r="2846" ht="16.5" customHeight="1">
      <c r="A2846" s="15" t="str">
        <f>Solieusap!A2846</f>
        <v>Cũ</v>
      </c>
      <c r="B2846" s="15">
        <f>Solieusap!B2846</f>
        <v>1.75</v>
      </c>
      <c r="C2846" s="15" t="str">
        <f>Solieusap!C2846</f>
        <v>COMB3</v>
      </c>
      <c r="D2846" s="15" t="str">
        <f>Solieusap!D2846</f>
        <v>Combination</v>
      </c>
      <c r="E2846" s="16">
        <f>ABS(Solieusap!E2846)</f>
        <v>32.88240935</v>
      </c>
      <c r="F2846" s="16">
        <f>ABS(Solieusap!F2846)</f>
        <v>3.213619004</v>
      </c>
      <c r="G2846" s="16">
        <f>ABS(Solieusap!G2846)</f>
        <v>4.306707965</v>
      </c>
      <c r="H2846" s="16">
        <f>ABS(Solieusap!H2846)</f>
        <v>0.001965933753</v>
      </c>
      <c r="I2846" s="16">
        <f>ABS(Solieusap!I2846)</f>
        <v>12.2331794</v>
      </c>
      <c r="J2846" s="16">
        <f>ABS(Solieusap!J2846)</f>
        <v>8.208071805</v>
      </c>
      <c r="K2846" s="16">
        <f t="shared" si="1"/>
        <v>32.88240935</v>
      </c>
      <c r="L2846" s="16">
        <f t="shared" si="2"/>
        <v>12.2331794</v>
      </c>
    </row>
    <row r="2847" ht="16.5" customHeight="1">
      <c r="A2847" s="15" t="str">
        <f>Solieusap!A2847</f>
        <v>Cũ</v>
      </c>
      <c r="B2847" s="15">
        <f>Solieusap!B2847</f>
        <v>3.5</v>
      </c>
      <c r="C2847" s="15" t="str">
        <f>Solieusap!C2847</f>
        <v>COMB3</v>
      </c>
      <c r="D2847" s="15" t="str">
        <f>Solieusap!D2847</f>
        <v>Combination</v>
      </c>
      <c r="E2847" s="16">
        <f>ABS(Solieusap!E2847)</f>
        <v>32.89926571</v>
      </c>
      <c r="F2847" s="16">
        <f>ABS(Solieusap!F2847)</f>
        <v>3.215329524</v>
      </c>
      <c r="G2847" s="16">
        <f>ABS(Solieusap!G2847)</f>
        <v>4.308972381</v>
      </c>
      <c r="H2847" s="16">
        <f>ABS(Solieusap!H2847)</f>
        <v>0.001966988857</v>
      </c>
      <c r="I2847" s="16">
        <f>ABS(Solieusap!I2847)</f>
        <v>12.23997419</v>
      </c>
      <c r="J2847" s="16">
        <f>ABS(Solieusap!J2847)</f>
        <v>8.212618857</v>
      </c>
      <c r="K2847" s="16">
        <f t="shared" si="1"/>
        <v>32.89926571</v>
      </c>
      <c r="L2847" s="16">
        <f t="shared" si="2"/>
        <v>12.23997419</v>
      </c>
    </row>
    <row r="2848" ht="16.5" customHeight="1">
      <c r="A2848" s="15" t="str">
        <f>Solieusap!A2848</f>
        <v>Cũ</v>
      </c>
      <c r="B2848" s="15">
        <f>Solieusap!B2848</f>
        <v>0</v>
      </c>
      <c r="C2848" s="15" t="str">
        <f>Solieusap!C2848</f>
        <v>COMB4</v>
      </c>
      <c r="D2848" s="15" t="str">
        <f>Solieusap!D2848</f>
        <v>Combination</v>
      </c>
      <c r="E2848" s="16">
        <f>ABS(Solieusap!E2848)</f>
        <v>32.91612208</v>
      </c>
      <c r="F2848" s="16">
        <f>ABS(Solieusap!F2848)</f>
        <v>3.217040043</v>
      </c>
      <c r="G2848" s="16">
        <f>ABS(Solieusap!G2848)</f>
        <v>4.311236797</v>
      </c>
      <c r="H2848" s="16">
        <f>ABS(Solieusap!H2848)</f>
        <v>0.001968043961</v>
      </c>
      <c r="I2848" s="16">
        <f>ABS(Solieusap!I2848)</f>
        <v>12.24676898</v>
      </c>
      <c r="J2848" s="16">
        <f>ABS(Solieusap!J2848)</f>
        <v>8.217165909</v>
      </c>
      <c r="K2848" s="16">
        <f t="shared" si="1"/>
        <v>32.91612208</v>
      </c>
      <c r="L2848" s="16">
        <f t="shared" si="2"/>
        <v>12.24676898</v>
      </c>
    </row>
    <row r="2849" ht="16.5" customHeight="1">
      <c r="A2849" s="15" t="str">
        <f>Solieusap!A2849</f>
        <v>Cũ</v>
      </c>
      <c r="B2849" s="15">
        <f>Solieusap!B2849</f>
        <v>1.75</v>
      </c>
      <c r="C2849" s="15" t="str">
        <f>Solieusap!C2849</f>
        <v>COMB4</v>
      </c>
      <c r="D2849" s="15" t="str">
        <f>Solieusap!D2849</f>
        <v>Combination</v>
      </c>
      <c r="E2849" s="16">
        <f>ABS(Solieusap!E2849)</f>
        <v>32.93297844</v>
      </c>
      <c r="F2849" s="16">
        <f>ABS(Solieusap!F2849)</f>
        <v>3.218750563</v>
      </c>
      <c r="G2849" s="16">
        <f>ABS(Solieusap!G2849)</f>
        <v>4.313501212</v>
      </c>
      <c r="H2849" s="16">
        <f>ABS(Solieusap!H2849)</f>
        <v>0.001969099065</v>
      </c>
      <c r="I2849" s="16">
        <f>ABS(Solieusap!I2849)</f>
        <v>12.25356377</v>
      </c>
      <c r="J2849" s="16">
        <f>ABS(Solieusap!J2849)</f>
        <v>8.221712961</v>
      </c>
      <c r="K2849" s="16">
        <f t="shared" si="1"/>
        <v>32.93297844</v>
      </c>
      <c r="L2849" s="16">
        <f t="shared" si="2"/>
        <v>12.25356377</v>
      </c>
    </row>
    <row r="2850" ht="16.5" customHeight="1">
      <c r="A2850" s="15" t="str">
        <f>Solieusap!A2850</f>
        <v>Cũ</v>
      </c>
      <c r="B2850" s="15">
        <f>Solieusap!B2850</f>
        <v>3.5</v>
      </c>
      <c r="C2850" s="15" t="str">
        <f>Solieusap!C2850</f>
        <v>COMB4</v>
      </c>
      <c r="D2850" s="15" t="str">
        <f>Solieusap!D2850</f>
        <v>Combination</v>
      </c>
      <c r="E2850" s="16">
        <f>ABS(Solieusap!E2850)</f>
        <v>32.94983481</v>
      </c>
      <c r="F2850" s="16">
        <f>ABS(Solieusap!F2850)</f>
        <v>3.220461082</v>
      </c>
      <c r="G2850" s="16">
        <f>ABS(Solieusap!G2850)</f>
        <v>4.315765628</v>
      </c>
      <c r="H2850" s="16">
        <f>ABS(Solieusap!H2850)</f>
        <v>0.001970154169</v>
      </c>
      <c r="I2850" s="16">
        <f>ABS(Solieusap!I2850)</f>
        <v>12.26035857</v>
      </c>
      <c r="J2850" s="16">
        <f>ABS(Solieusap!J2850)</f>
        <v>8.226260013</v>
      </c>
      <c r="K2850" s="16">
        <f t="shared" si="1"/>
        <v>32.94983481</v>
      </c>
      <c r="L2850" s="16">
        <f t="shared" si="2"/>
        <v>12.26035857</v>
      </c>
    </row>
    <row r="2851" ht="16.5" customHeight="1">
      <c r="A2851" s="15" t="str">
        <f>Solieusap!A2851</f>
        <v>Cũ</v>
      </c>
      <c r="B2851" s="15">
        <f>Solieusap!B2851</f>
        <v>0</v>
      </c>
      <c r="C2851" s="15" t="str">
        <f>Solieusap!C2851</f>
        <v>COMB5</v>
      </c>
      <c r="D2851" s="15" t="str">
        <f>Solieusap!D2851</f>
        <v>Combination</v>
      </c>
      <c r="E2851" s="16">
        <f>ABS(Solieusap!E2851)</f>
        <v>32.96669117</v>
      </c>
      <c r="F2851" s="16">
        <f>ABS(Solieusap!F2851)</f>
        <v>3.222171602</v>
      </c>
      <c r="G2851" s="16">
        <f>ABS(Solieusap!G2851)</f>
        <v>4.318030043</v>
      </c>
      <c r="H2851" s="16">
        <f>ABS(Solieusap!H2851)</f>
        <v>0.001971209273</v>
      </c>
      <c r="I2851" s="16">
        <f>ABS(Solieusap!I2851)</f>
        <v>12.26715336</v>
      </c>
      <c r="J2851" s="16">
        <f>ABS(Solieusap!J2851)</f>
        <v>8.230807065</v>
      </c>
      <c r="K2851" s="16">
        <f t="shared" si="1"/>
        <v>32.96669117</v>
      </c>
      <c r="L2851" s="16">
        <f t="shared" si="2"/>
        <v>12.26715336</v>
      </c>
    </row>
    <row r="2852" ht="16.5" customHeight="1">
      <c r="A2852" s="15" t="str">
        <f>Solieusap!A2852</f>
        <v>Cũ</v>
      </c>
      <c r="B2852" s="15">
        <f>Solieusap!B2852</f>
        <v>1.75</v>
      </c>
      <c r="C2852" s="15" t="str">
        <f>Solieusap!C2852</f>
        <v>COMB5</v>
      </c>
      <c r="D2852" s="15" t="str">
        <f>Solieusap!D2852</f>
        <v>Combination</v>
      </c>
      <c r="E2852" s="16">
        <f>ABS(Solieusap!E2852)</f>
        <v>32.98354753</v>
      </c>
      <c r="F2852" s="16">
        <f>ABS(Solieusap!F2852)</f>
        <v>3.223882121</v>
      </c>
      <c r="G2852" s="16">
        <f>ABS(Solieusap!G2852)</f>
        <v>4.320294459</v>
      </c>
      <c r="H2852" s="16">
        <f>ABS(Solieusap!H2852)</f>
        <v>0.001972264377</v>
      </c>
      <c r="I2852" s="16">
        <f>ABS(Solieusap!I2852)</f>
        <v>12.27394815</v>
      </c>
      <c r="J2852" s="16">
        <f>ABS(Solieusap!J2852)</f>
        <v>8.235354117</v>
      </c>
      <c r="K2852" s="16">
        <f t="shared" si="1"/>
        <v>32.98354753</v>
      </c>
      <c r="L2852" s="16">
        <f t="shared" si="2"/>
        <v>12.27394815</v>
      </c>
    </row>
    <row r="2853" ht="16.5" customHeight="1">
      <c r="A2853" s="15" t="str">
        <f>Solieusap!A2853</f>
        <v>Cũ</v>
      </c>
      <c r="B2853" s="15">
        <f>Solieusap!B2853</f>
        <v>3.5</v>
      </c>
      <c r="C2853" s="15" t="str">
        <f>Solieusap!C2853</f>
        <v>COMB5</v>
      </c>
      <c r="D2853" s="15" t="str">
        <f>Solieusap!D2853</f>
        <v>Combination</v>
      </c>
      <c r="E2853" s="16">
        <f>ABS(Solieusap!E2853)</f>
        <v>33.0004039</v>
      </c>
      <c r="F2853" s="16">
        <f>ABS(Solieusap!F2853)</f>
        <v>3.225592641</v>
      </c>
      <c r="G2853" s="16">
        <f>ABS(Solieusap!G2853)</f>
        <v>4.322558874</v>
      </c>
      <c r="H2853" s="16">
        <f>ABS(Solieusap!H2853)</f>
        <v>0.001973319481</v>
      </c>
      <c r="I2853" s="16">
        <f>ABS(Solieusap!I2853)</f>
        <v>12.28074294</v>
      </c>
      <c r="J2853" s="16">
        <f>ABS(Solieusap!J2853)</f>
        <v>8.239901169</v>
      </c>
      <c r="K2853" s="16">
        <f t="shared" si="1"/>
        <v>33.0004039</v>
      </c>
      <c r="L2853" s="16">
        <f t="shared" si="2"/>
        <v>12.28074294</v>
      </c>
    </row>
    <row r="2854" ht="16.5" customHeight="1">
      <c r="A2854" s="15" t="str">
        <f>Solieusap!A2854</f>
        <v>Cũ</v>
      </c>
      <c r="B2854" s="15">
        <f>Solieusap!B2854</f>
        <v>0</v>
      </c>
      <c r="C2854" s="15" t="str">
        <f>Solieusap!C2854</f>
        <v>COMB6</v>
      </c>
      <c r="D2854" s="15" t="str">
        <f>Solieusap!D2854</f>
        <v>Combination</v>
      </c>
      <c r="E2854" s="16">
        <f>ABS(Solieusap!E2854)</f>
        <v>33.01726026</v>
      </c>
      <c r="F2854" s="16">
        <f>ABS(Solieusap!F2854)</f>
        <v>3.22730316</v>
      </c>
      <c r="G2854" s="16">
        <f>ABS(Solieusap!G2854)</f>
        <v>4.32482329</v>
      </c>
      <c r="H2854" s="16">
        <f>ABS(Solieusap!H2854)</f>
        <v>0.001974374584</v>
      </c>
      <c r="I2854" s="16">
        <f>ABS(Solieusap!I2854)</f>
        <v>12.28753774</v>
      </c>
      <c r="J2854" s="16">
        <f>ABS(Solieusap!J2854)</f>
        <v>8.244448221</v>
      </c>
      <c r="K2854" s="16">
        <f t="shared" si="1"/>
        <v>33.01726026</v>
      </c>
      <c r="L2854" s="16">
        <f t="shared" si="2"/>
        <v>12.28753774</v>
      </c>
    </row>
    <row r="2855" ht="16.5" customHeight="1">
      <c r="A2855" s="15" t="str">
        <f>Solieusap!A2855</f>
        <v>Cũ</v>
      </c>
      <c r="B2855" s="15">
        <f>Solieusap!B2855</f>
        <v>1.75</v>
      </c>
      <c r="C2855" s="15" t="str">
        <f>Solieusap!C2855</f>
        <v>COMB6</v>
      </c>
      <c r="D2855" s="15" t="str">
        <f>Solieusap!D2855</f>
        <v>Combination</v>
      </c>
      <c r="E2855" s="16">
        <f>ABS(Solieusap!E2855)</f>
        <v>33.03411662</v>
      </c>
      <c r="F2855" s="16">
        <f>ABS(Solieusap!F2855)</f>
        <v>3.22901368</v>
      </c>
      <c r="G2855" s="16">
        <f>ABS(Solieusap!G2855)</f>
        <v>4.327087706</v>
      </c>
      <c r="H2855" s="16">
        <f>ABS(Solieusap!H2855)</f>
        <v>0.001975429688</v>
      </c>
      <c r="I2855" s="16">
        <f>ABS(Solieusap!I2855)</f>
        <v>12.29433253</v>
      </c>
      <c r="J2855" s="16">
        <f>ABS(Solieusap!J2855)</f>
        <v>8.248995273</v>
      </c>
      <c r="K2855" s="16">
        <f t="shared" si="1"/>
        <v>33.03411662</v>
      </c>
      <c r="L2855" s="16">
        <f t="shared" si="2"/>
        <v>12.29433253</v>
      </c>
    </row>
    <row r="2856" ht="16.5" customHeight="1">
      <c r="A2856" s="15" t="str">
        <f>Solieusap!A2856</f>
        <v>Cũ</v>
      </c>
      <c r="B2856" s="15">
        <f>Solieusap!B2856</f>
        <v>3.5</v>
      </c>
      <c r="C2856" s="15" t="str">
        <f>Solieusap!C2856</f>
        <v>COMB6</v>
      </c>
      <c r="D2856" s="15" t="str">
        <f>Solieusap!D2856</f>
        <v>Combination</v>
      </c>
      <c r="E2856" s="16">
        <f>ABS(Solieusap!E2856)</f>
        <v>33.05097299</v>
      </c>
      <c r="F2856" s="16">
        <f>ABS(Solieusap!F2856)</f>
        <v>3.230724199</v>
      </c>
      <c r="G2856" s="16">
        <f>ABS(Solieusap!G2856)</f>
        <v>4.329352121</v>
      </c>
      <c r="H2856" s="16">
        <f>ABS(Solieusap!H2856)</f>
        <v>0.001976484792</v>
      </c>
      <c r="I2856" s="16">
        <f>ABS(Solieusap!I2856)</f>
        <v>12.30112732</v>
      </c>
      <c r="J2856" s="16">
        <f>ABS(Solieusap!J2856)</f>
        <v>8.253542325</v>
      </c>
      <c r="K2856" s="16">
        <f t="shared" si="1"/>
        <v>33.05097299</v>
      </c>
      <c r="L2856" s="16">
        <f t="shared" si="2"/>
        <v>12.30112732</v>
      </c>
    </row>
    <row r="2857" ht="16.5" customHeight="1">
      <c r="A2857" s="15" t="str">
        <f>Solieusap!A2857</f>
        <v>Cũ</v>
      </c>
      <c r="B2857" s="15">
        <f>Solieusap!B2857</f>
        <v>0</v>
      </c>
      <c r="C2857" s="15" t="str">
        <f>Solieusap!C2857</f>
        <v>COMB7</v>
      </c>
      <c r="D2857" s="15" t="str">
        <f>Solieusap!D2857</f>
        <v>Combination</v>
      </c>
      <c r="E2857" s="16">
        <f>ABS(Solieusap!E2857)</f>
        <v>33.06782935</v>
      </c>
      <c r="F2857" s="16">
        <f>ABS(Solieusap!F2857)</f>
        <v>3.232434719</v>
      </c>
      <c r="G2857" s="16">
        <f>ABS(Solieusap!G2857)</f>
        <v>4.331616537</v>
      </c>
      <c r="H2857" s="16">
        <f>ABS(Solieusap!H2857)</f>
        <v>0.001977539896</v>
      </c>
      <c r="I2857" s="16">
        <f>ABS(Solieusap!I2857)</f>
        <v>12.30792211</v>
      </c>
      <c r="J2857" s="16">
        <f>ABS(Solieusap!J2857)</f>
        <v>8.258089377</v>
      </c>
      <c r="K2857" s="16">
        <f t="shared" si="1"/>
        <v>33.06782935</v>
      </c>
      <c r="L2857" s="16">
        <f t="shared" si="2"/>
        <v>12.30792211</v>
      </c>
    </row>
    <row r="2858" ht="16.5" customHeight="1">
      <c r="A2858" s="15" t="str">
        <f>Solieusap!A2858</f>
        <v>Cũ</v>
      </c>
      <c r="B2858" s="15">
        <f>Solieusap!B2858</f>
        <v>1.75</v>
      </c>
      <c r="C2858" s="15" t="str">
        <f>Solieusap!C2858</f>
        <v>COMB7</v>
      </c>
      <c r="D2858" s="15" t="str">
        <f>Solieusap!D2858</f>
        <v>Combination</v>
      </c>
      <c r="E2858" s="16">
        <f>ABS(Solieusap!E2858)</f>
        <v>33.08468571</v>
      </c>
      <c r="F2858" s="16">
        <f>ABS(Solieusap!F2858)</f>
        <v>3.234145238</v>
      </c>
      <c r="G2858" s="16">
        <f>ABS(Solieusap!G2858)</f>
        <v>4.333880952</v>
      </c>
      <c r="H2858" s="16">
        <f>ABS(Solieusap!H2858)</f>
        <v>0.001978595</v>
      </c>
      <c r="I2858" s="16">
        <f>ABS(Solieusap!I2858)</f>
        <v>12.3147169</v>
      </c>
      <c r="J2858" s="16">
        <f>ABS(Solieusap!J2858)</f>
        <v>8.262636429</v>
      </c>
      <c r="K2858" s="16">
        <f t="shared" si="1"/>
        <v>33.08468571</v>
      </c>
      <c r="L2858" s="16">
        <f t="shared" si="2"/>
        <v>12.3147169</v>
      </c>
    </row>
    <row r="2859" ht="16.5" customHeight="1">
      <c r="A2859" s="15" t="str">
        <f>Solieusap!A2859</f>
        <v>Cũ</v>
      </c>
      <c r="B2859" s="15">
        <f>Solieusap!B2859</f>
        <v>3.5</v>
      </c>
      <c r="C2859" s="15" t="str">
        <f>Solieusap!C2859</f>
        <v>COMB7</v>
      </c>
      <c r="D2859" s="15" t="str">
        <f>Solieusap!D2859</f>
        <v>Combination</v>
      </c>
      <c r="E2859" s="16">
        <f>ABS(Solieusap!E2859)</f>
        <v>33.10154208</v>
      </c>
      <c r="F2859" s="16">
        <f>ABS(Solieusap!F2859)</f>
        <v>3.235855758</v>
      </c>
      <c r="G2859" s="16">
        <f>ABS(Solieusap!G2859)</f>
        <v>4.336145368</v>
      </c>
      <c r="H2859" s="16">
        <f>ABS(Solieusap!H2859)</f>
        <v>0.001979650104</v>
      </c>
      <c r="I2859" s="16">
        <f>ABS(Solieusap!I2859)</f>
        <v>12.3215117</v>
      </c>
      <c r="J2859" s="16">
        <f>ABS(Solieusap!J2859)</f>
        <v>8.267183481</v>
      </c>
      <c r="K2859" s="16">
        <f t="shared" si="1"/>
        <v>33.10154208</v>
      </c>
      <c r="L2859" s="16">
        <f t="shared" si="2"/>
        <v>12.3215117</v>
      </c>
    </row>
    <row r="2860" ht="16.5" customHeight="1">
      <c r="A2860" s="15" t="str">
        <f>Solieusap!A2860</f>
        <v>Cũ</v>
      </c>
      <c r="B2860" s="15">
        <f>Solieusap!B2860</f>
        <v>0</v>
      </c>
      <c r="C2860" s="15" t="str">
        <f>Solieusap!C2860</f>
        <v>COMB1</v>
      </c>
      <c r="D2860" s="15" t="str">
        <f>Solieusap!D2860</f>
        <v>Combination</v>
      </c>
      <c r="E2860" s="16">
        <f>ABS(Solieusap!E2860)</f>
        <v>33.11839844</v>
      </c>
      <c r="F2860" s="16">
        <f>ABS(Solieusap!F2860)</f>
        <v>3.237566277</v>
      </c>
      <c r="G2860" s="16">
        <f>ABS(Solieusap!G2860)</f>
        <v>4.338409784</v>
      </c>
      <c r="H2860" s="16">
        <f>ABS(Solieusap!H2860)</f>
        <v>0.001980705208</v>
      </c>
      <c r="I2860" s="16">
        <f>ABS(Solieusap!I2860)</f>
        <v>12.32830649</v>
      </c>
      <c r="J2860" s="16">
        <f>ABS(Solieusap!J2860)</f>
        <v>8.271730532</v>
      </c>
      <c r="K2860" s="16">
        <f t="shared" si="1"/>
        <v>33.11839844</v>
      </c>
      <c r="L2860" s="16">
        <f t="shared" si="2"/>
        <v>12.32830649</v>
      </c>
    </row>
    <row r="2861" ht="16.5" customHeight="1">
      <c r="A2861" s="15" t="str">
        <f>Solieusap!A2861</f>
        <v>Cũ</v>
      </c>
      <c r="B2861" s="15">
        <f>Solieusap!B2861</f>
        <v>1.75</v>
      </c>
      <c r="C2861" s="15" t="str">
        <f>Solieusap!C2861</f>
        <v>COMB1</v>
      </c>
      <c r="D2861" s="15" t="str">
        <f>Solieusap!D2861</f>
        <v>Combination</v>
      </c>
      <c r="E2861" s="16">
        <f>ABS(Solieusap!E2861)</f>
        <v>33.13525481</v>
      </c>
      <c r="F2861" s="16">
        <f>ABS(Solieusap!F2861)</f>
        <v>3.239276797</v>
      </c>
      <c r="G2861" s="16">
        <f>ABS(Solieusap!G2861)</f>
        <v>4.340674199</v>
      </c>
      <c r="H2861" s="16">
        <f>ABS(Solieusap!H2861)</f>
        <v>0.001981760312</v>
      </c>
      <c r="I2861" s="16">
        <f>ABS(Solieusap!I2861)</f>
        <v>12.33510128</v>
      </c>
      <c r="J2861" s="16">
        <f>ABS(Solieusap!J2861)</f>
        <v>8.276277584</v>
      </c>
      <c r="K2861" s="16">
        <f t="shared" si="1"/>
        <v>33.13525481</v>
      </c>
      <c r="L2861" s="16">
        <f t="shared" si="2"/>
        <v>12.33510128</v>
      </c>
    </row>
    <row r="2862" ht="16.5" customHeight="1">
      <c r="A2862" s="15" t="str">
        <f>Solieusap!A2862</f>
        <v>Cũ</v>
      </c>
      <c r="B2862" s="15">
        <f>Solieusap!B2862</f>
        <v>3.5</v>
      </c>
      <c r="C2862" s="15" t="str">
        <f>Solieusap!C2862</f>
        <v>COMB1</v>
      </c>
      <c r="D2862" s="15" t="str">
        <f>Solieusap!D2862</f>
        <v>Combination</v>
      </c>
      <c r="E2862" s="16">
        <f>ABS(Solieusap!E2862)</f>
        <v>33.15211117</v>
      </c>
      <c r="F2862" s="16">
        <f>ABS(Solieusap!F2862)</f>
        <v>3.240987316</v>
      </c>
      <c r="G2862" s="16">
        <f>ABS(Solieusap!G2862)</f>
        <v>4.342938615</v>
      </c>
      <c r="H2862" s="16">
        <f>ABS(Solieusap!H2862)</f>
        <v>0.001982815416</v>
      </c>
      <c r="I2862" s="16">
        <f>ABS(Solieusap!I2862)</f>
        <v>12.34189607</v>
      </c>
      <c r="J2862" s="16">
        <f>ABS(Solieusap!J2862)</f>
        <v>8.280824636</v>
      </c>
      <c r="K2862" s="16">
        <f t="shared" si="1"/>
        <v>33.15211117</v>
      </c>
      <c r="L2862" s="16">
        <f t="shared" si="2"/>
        <v>12.34189607</v>
      </c>
    </row>
    <row r="2863" ht="16.5" customHeight="1">
      <c r="A2863" s="15" t="str">
        <f>Solieusap!A2863</f>
        <v>Cũ</v>
      </c>
      <c r="B2863" s="15">
        <f>Solieusap!B2863</f>
        <v>0</v>
      </c>
      <c r="C2863" s="15" t="str">
        <f>Solieusap!C2863</f>
        <v>COMB2</v>
      </c>
      <c r="D2863" s="15" t="str">
        <f>Solieusap!D2863</f>
        <v>Combination</v>
      </c>
      <c r="E2863" s="16">
        <f>ABS(Solieusap!E2863)</f>
        <v>33.16896753</v>
      </c>
      <c r="F2863" s="16">
        <f>ABS(Solieusap!F2863)</f>
        <v>3.242697835</v>
      </c>
      <c r="G2863" s="16">
        <f>ABS(Solieusap!G2863)</f>
        <v>4.34520303</v>
      </c>
      <c r="H2863" s="16">
        <f>ABS(Solieusap!H2863)</f>
        <v>0.001983870519</v>
      </c>
      <c r="I2863" s="16">
        <f>ABS(Solieusap!I2863)</f>
        <v>12.34869087</v>
      </c>
      <c r="J2863" s="16">
        <f>ABS(Solieusap!J2863)</f>
        <v>8.285371688</v>
      </c>
      <c r="K2863" s="16">
        <f t="shared" si="1"/>
        <v>33.16896753</v>
      </c>
      <c r="L2863" s="16">
        <f t="shared" si="2"/>
        <v>12.34869087</v>
      </c>
    </row>
    <row r="2864" ht="16.5" customHeight="1">
      <c r="A2864" s="15" t="str">
        <f>Solieusap!A2864</f>
        <v>Cũ</v>
      </c>
      <c r="B2864" s="15">
        <f>Solieusap!B2864</f>
        <v>1.75</v>
      </c>
      <c r="C2864" s="15" t="str">
        <f>Solieusap!C2864</f>
        <v>COMB2</v>
      </c>
      <c r="D2864" s="15" t="str">
        <f>Solieusap!D2864</f>
        <v>Combination</v>
      </c>
      <c r="E2864" s="16">
        <f>ABS(Solieusap!E2864)</f>
        <v>33.1858239</v>
      </c>
      <c r="F2864" s="16">
        <f>ABS(Solieusap!F2864)</f>
        <v>3.244408355</v>
      </c>
      <c r="G2864" s="16">
        <f>ABS(Solieusap!G2864)</f>
        <v>4.347467446</v>
      </c>
      <c r="H2864" s="16">
        <f>ABS(Solieusap!H2864)</f>
        <v>0.001984925623</v>
      </c>
      <c r="I2864" s="16">
        <f>ABS(Solieusap!I2864)</f>
        <v>12.35548566</v>
      </c>
      <c r="J2864" s="16">
        <f>ABS(Solieusap!J2864)</f>
        <v>8.28991874</v>
      </c>
      <c r="K2864" s="16">
        <f t="shared" si="1"/>
        <v>33.1858239</v>
      </c>
      <c r="L2864" s="16">
        <f t="shared" si="2"/>
        <v>12.35548566</v>
      </c>
    </row>
    <row r="2865" ht="16.5" customHeight="1">
      <c r="A2865" s="15" t="str">
        <f>Solieusap!A2865</f>
        <v>Cũ</v>
      </c>
      <c r="B2865" s="15">
        <f>Solieusap!B2865</f>
        <v>3.5</v>
      </c>
      <c r="C2865" s="15" t="str">
        <f>Solieusap!C2865</f>
        <v>COMB2</v>
      </c>
      <c r="D2865" s="15" t="str">
        <f>Solieusap!D2865</f>
        <v>Combination</v>
      </c>
      <c r="E2865" s="16">
        <f>ABS(Solieusap!E2865)</f>
        <v>33.20268026</v>
      </c>
      <c r="F2865" s="16">
        <f>ABS(Solieusap!F2865)</f>
        <v>3.246118874</v>
      </c>
      <c r="G2865" s="16">
        <f>ABS(Solieusap!G2865)</f>
        <v>4.349731861</v>
      </c>
      <c r="H2865" s="16">
        <f>ABS(Solieusap!H2865)</f>
        <v>0.001985980727</v>
      </c>
      <c r="I2865" s="16">
        <f>ABS(Solieusap!I2865)</f>
        <v>12.36228045</v>
      </c>
      <c r="J2865" s="16">
        <f>ABS(Solieusap!J2865)</f>
        <v>8.294465792</v>
      </c>
      <c r="K2865" s="16">
        <f t="shared" si="1"/>
        <v>33.20268026</v>
      </c>
      <c r="L2865" s="16">
        <f t="shared" si="2"/>
        <v>12.36228045</v>
      </c>
    </row>
    <row r="2866" ht="16.5" customHeight="1">
      <c r="A2866" s="15" t="str">
        <f>Solieusap!A2866</f>
        <v>Cũ</v>
      </c>
      <c r="B2866" s="15">
        <f>Solieusap!B2866</f>
        <v>0</v>
      </c>
      <c r="C2866" s="15" t="str">
        <f>Solieusap!C2866</f>
        <v>COMB3</v>
      </c>
      <c r="D2866" s="15" t="str">
        <f>Solieusap!D2866</f>
        <v>Combination</v>
      </c>
      <c r="E2866" s="16">
        <f>ABS(Solieusap!E2866)</f>
        <v>33.21953662</v>
      </c>
      <c r="F2866" s="16">
        <f>ABS(Solieusap!F2866)</f>
        <v>3.247829394</v>
      </c>
      <c r="G2866" s="16">
        <f>ABS(Solieusap!G2866)</f>
        <v>4.351996277</v>
      </c>
      <c r="H2866" s="16">
        <f>ABS(Solieusap!H2866)</f>
        <v>0.001987035831</v>
      </c>
      <c r="I2866" s="16">
        <f>ABS(Solieusap!I2866)</f>
        <v>12.36907524</v>
      </c>
      <c r="J2866" s="16">
        <f>ABS(Solieusap!J2866)</f>
        <v>8.299012844</v>
      </c>
      <c r="K2866" s="16">
        <f t="shared" si="1"/>
        <v>33.21953662</v>
      </c>
      <c r="L2866" s="16">
        <f t="shared" si="2"/>
        <v>12.36907524</v>
      </c>
    </row>
    <row r="2867" ht="16.5" customHeight="1">
      <c r="A2867" s="15" t="str">
        <f>Solieusap!A2867</f>
        <v>Cũ</v>
      </c>
      <c r="B2867" s="15">
        <f>Solieusap!B2867</f>
        <v>1.75</v>
      </c>
      <c r="C2867" s="15" t="str">
        <f>Solieusap!C2867</f>
        <v>COMB3</v>
      </c>
      <c r="D2867" s="15" t="str">
        <f>Solieusap!D2867</f>
        <v>Combination</v>
      </c>
      <c r="E2867" s="16">
        <f>ABS(Solieusap!E2867)</f>
        <v>33.23639299</v>
      </c>
      <c r="F2867" s="16">
        <f>ABS(Solieusap!F2867)</f>
        <v>3.249539913</v>
      </c>
      <c r="G2867" s="16">
        <f>ABS(Solieusap!G2867)</f>
        <v>4.354260693</v>
      </c>
      <c r="H2867" s="16">
        <f>ABS(Solieusap!H2867)</f>
        <v>0.001988090935</v>
      </c>
      <c r="I2867" s="16">
        <f>ABS(Solieusap!I2867)</f>
        <v>12.37587003</v>
      </c>
      <c r="J2867" s="16">
        <f>ABS(Solieusap!J2867)</f>
        <v>8.303559896</v>
      </c>
      <c r="K2867" s="16">
        <f t="shared" si="1"/>
        <v>33.23639299</v>
      </c>
      <c r="L2867" s="16">
        <f t="shared" si="2"/>
        <v>12.37587003</v>
      </c>
    </row>
    <row r="2868" ht="16.5" customHeight="1">
      <c r="A2868" s="15" t="str">
        <f>Solieusap!A2868</f>
        <v>Cũ</v>
      </c>
      <c r="B2868" s="15">
        <f>Solieusap!B2868</f>
        <v>3.5</v>
      </c>
      <c r="C2868" s="15" t="str">
        <f>Solieusap!C2868</f>
        <v>COMB3</v>
      </c>
      <c r="D2868" s="15" t="str">
        <f>Solieusap!D2868</f>
        <v>Combination</v>
      </c>
      <c r="E2868" s="16">
        <f>ABS(Solieusap!E2868)</f>
        <v>33.25324935</v>
      </c>
      <c r="F2868" s="16">
        <f>ABS(Solieusap!F2868)</f>
        <v>3.251250433</v>
      </c>
      <c r="G2868" s="16">
        <f>ABS(Solieusap!G2868)</f>
        <v>4.356525108</v>
      </c>
      <c r="H2868" s="16">
        <f>ABS(Solieusap!H2868)</f>
        <v>0.001989146039</v>
      </c>
      <c r="I2868" s="16">
        <f>ABS(Solieusap!I2868)</f>
        <v>12.38266483</v>
      </c>
      <c r="J2868" s="16">
        <f>ABS(Solieusap!J2868)</f>
        <v>8.308106948</v>
      </c>
      <c r="K2868" s="16">
        <f t="shared" si="1"/>
        <v>33.25324935</v>
      </c>
      <c r="L2868" s="16">
        <f t="shared" si="2"/>
        <v>12.38266483</v>
      </c>
    </row>
    <row r="2869" ht="16.5" customHeight="1">
      <c r="A2869" s="15" t="str">
        <f>Solieusap!A2869</f>
        <v>Cũ</v>
      </c>
      <c r="B2869" s="15">
        <f>Solieusap!B2869</f>
        <v>0</v>
      </c>
      <c r="C2869" s="15" t="str">
        <f>Solieusap!C2869</f>
        <v>COMB4</v>
      </c>
      <c r="D2869" s="15" t="str">
        <f>Solieusap!D2869</f>
        <v>Combination</v>
      </c>
      <c r="E2869" s="16">
        <f>ABS(Solieusap!E2869)</f>
        <v>33.27010571</v>
      </c>
      <c r="F2869" s="16">
        <f>ABS(Solieusap!F2869)</f>
        <v>3.252960952</v>
      </c>
      <c r="G2869" s="16">
        <f>ABS(Solieusap!G2869)</f>
        <v>4.358789524</v>
      </c>
      <c r="H2869" s="16">
        <f>ABS(Solieusap!H2869)</f>
        <v>0.001990201143</v>
      </c>
      <c r="I2869" s="16">
        <f>ABS(Solieusap!I2869)</f>
        <v>12.38945962</v>
      </c>
      <c r="J2869" s="16">
        <f>ABS(Solieusap!J2869)</f>
        <v>8.312654</v>
      </c>
      <c r="K2869" s="16">
        <f t="shared" si="1"/>
        <v>33.27010571</v>
      </c>
      <c r="L2869" s="16">
        <f t="shared" si="2"/>
        <v>12.38945962</v>
      </c>
    </row>
    <row r="2870" ht="16.5" customHeight="1">
      <c r="A2870" s="15" t="str">
        <f>Solieusap!A2870</f>
        <v>Cũ</v>
      </c>
      <c r="B2870" s="15">
        <f>Solieusap!B2870</f>
        <v>1.75</v>
      </c>
      <c r="C2870" s="15" t="str">
        <f>Solieusap!C2870</f>
        <v>COMB4</v>
      </c>
      <c r="D2870" s="15" t="str">
        <f>Solieusap!D2870</f>
        <v>Combination</v>
      </c>
      <c r="E2870" s="16">
        <f>ABS(Solieusap!E2870)</f>
        <v>33.28696208</v>
      </c>
      <c r="F2870" s="16">
        <f>ABS(Solieusap!F2870)</f>
        <v>3.254671472</v>
      </c>
      <c r="G2870" s="16">
        <f>ABS(Solieusap!G2870)</f>
        <v>4.361053939</v>
      </c>
      <c r="H2870" s="16">
        <f>ABS(Solieusap!H2870)</f>
        <v>0.001991256247</v>
      </c>
      <c r="I2870" s="16">
        <f>ABS(Solieusap!I2870)</f>
        <v>12.39625441</v>
      </c>
      <c r="J2870" s="16">
        <f>ABS(Solieusap!J2870)</f>
        <v>8.317201052</v>
      </c>
      <c r="K2870" s="16">
        <f t="shared" si="1"/>
        <v>33.28696208</v>
      </c>
      <c r="L2870" s="16">
        <f t="shared" si="2"/>
        <v>12.39625441</v>
      </c>
    </row>
    <row r="2871" ht="16.5" customHeight="1">
      <c r="A2871" s="15" t="str">
        <f>Solieusap!A2871</f>
        <v>Cũ</v>
      </c>
      <c r="B2871" s="15">
        <f>Solieusap!B2871</f>
        <v>3.5</v>
      </c>
      <c r="C2871" s="15" t="str">
        <f>Solieusap!C2871</f>
        <v>COMB4</v>
      </c>
      <c r="D2871" s="15" t="str">
        <f>Solieusap!D2871</f>
        <v>Combination</v>
      </c>
      <c r="E2871" s="16">
        <f>ABS(Solieusap!E2871)</f>
        <v>33.30381844</v>
      </c>
      <c r="F2871" s="16">
        <f>ABS(Solieusap!F2871)</f>
        <v>3.256381991</v>
      </c>
      <c r="G2871" s="16">
        <f>ABS(Solieusap!G2871)</f>
        <v>4.363318355</v>
      </c>
      <c r="H2871" s="16">
        <f>ABS(Solieusap!H2871)</f>
        <v>0.001992311351</v>
      </c>
      <c r="I2871" s="16">
        <f>ABS(Solieusap!I2871)</f>
        <v>12.4030492</v>
      </c>
      <c r="J2871" s="16">
        <f>ABS(Solieusap!J2871)</f>
        <v>8.321748104</v>
      </c>
      <c r="K2871" s="16">
        <f t="shared" si="1"/>
        <v>33.30381844</v>
      </c>
      <c r="L2871" s="16">
        <f t="shared" si="2"/>
        <v>12.4030492</v>
      </c>
    </row>
    <row r="2872" ht="16.5" customHeight="1">
      <c r="A2872" s="15" t="str">
        <f>Solieusap!A2872</f>
        <v>Cũ</v>
      </c>
      <c r="B2872" s="15">
        <f>Solieusap!B2872</f>
        <v>0</v>
      </c>
      <c r="C2872" s="15" t="str">
        <f>Solieusap!C2872</f>
        <v>COMB5</v>
      </c>
      <c r="D2872" s="15" t="str">
        <f>Solieusap!D2872</f>
        <v>Combination</v>
      </c>
      <c r="E2872" s="16">
        <f>ABS(Solieusap!E2872)</f>
        <v>33.32067481</v>
      </c>
      <c r="F2872" s="16">
        <f>ABS(Solieusap!F2872)</f>
        <v>3.258092511</v>
      </c>
      <c r="G2872" s="16">
        <f>ABS(Solieusap!G2872)</f>
        <v>4.365582771</v>
      </c>
      <c r="H2872" s="16">
        <f>ABS(Solieusap!H2872)</f>
        <v>0.001993366455</v>
      </c>
      <c r="I2872" s="16">
        <f>ABS(Solieusap!I2872)</f>
        <v>12.409844</v>
      </c>
      <c r="J2872" s="16">
        <f>ABS(Solieusap!J2872)</f>
        <v>8.326295156</v>
      </c>
      <c r="K2872" s="16">
        <f t="shared" si="1"/>
        <v>33.32067481</v>
      </c>
      <c r="L2872" s="16">
        <f t="shared" si="2"/>
        <v>12.409844</v>
      </c>
    </row>
    <row r="2873" ht="16.5" customHeight="1">
      <c r="A2873" s="15" t="str">
        <f>Solieusap!A2873</f>
        <v>Cũ</v>
      </c>
      <c r="B2873" s="15">
        <f>Solieusap!B2873</f>
        <v>1.75</v>
      </c>
      <c r="C2873" s="15" t="str">
        <f>Solieusap!C2873</f>
        <v>COMB5</v>
      </c>
      <c r="D2873" s="15" t="str">
        <f>Solieusap!D2873</f>
        <v>Combination</v>
      </c>
      <c r="E2873" s="16">
        <f>ABS(Solieusap!E2873)</f>
        <v>33.33753117</v>
      </c>
      <c r="F2873" s="16">
        <f>ABS(Solieusap!F2873)</f>
        <v>3.25980303</v>
      </c>
      <c r="G2873" s="16">
        <f>ABS(Solieusap!G2873)</f>
        <v>4.367847186</v>
      </c>
      <c r="H2873" s="16">
        <f>ABS(Solieusap!H2873)</f>
        <v>0.001994421558</v>
      </c>
      <c r="I2873" s="16">
        <f>ABS(Solieusap!I2873)</f>
        <v>12.41663879</v>
      </c>
      <c r="J2873" s="16">
        <f>ABS(Solieusap!J2873)</f>
        <v>8.330842208</v>
      </c>
      <c r="K2873" s="16">
        <f t="shared" si="1"/>
        <v>33.33753117</v>
      </c>
      <c r="L2873" s="16">
        <f t="shared" si="2"/>
        <v>12.41663879</v>
      </c>
    </row>
    <row r="2874" ht="16.5" customHeight="1">
      <c r="A2874" s="15" t="str">
        <f>Solieusap!A2874</f>
        <v>Cũ</v>
      </c>
      <c r="B2874" s="15">
        <f>Solieusap!B2874</f>
        <v>3.5</v>
      </c>
      <c r="C2874" s="15" t="str">
        <f>Solieusap!C2874</f>
        <v>COMB5</v>
      </c>
      <c r="D2874" s="15" t="str">
        <f>Solieusap!D2874</f>
        <v>Combination</v>
      </c>
      <c r="E2874" s="16">
        <f>ABS(Solieusap!E2874)</f>
        <v>33.35438753</v>
      </c>
      <c r="F2874" s="16">
        <f>ABS(Solieusap!F2874)</f>
        <v>3.26151355</v>
      </c>
      <c r="G2874" s="16">
        <f>ABS(Solieusap!G2874)</f>
        <v>4.370111602</v>
      </c>
      <c r="H2874" s="16">
        <f>ABS(Solieusap!H2874)</f>
        <v>0.001995476662</v>
      </c>
      <c r="I2874" s="16">
        <f>ABS(Solieusap!I2874)</f>
        <v>12.42343358</v>
      </c>
      <c r="J2874" s="16">
        <f>ABS(Solieusap!J2874)</f>
        <v>8.33538926</v>
      </c>
      <c r="K2874" s="16">
        <f t="shared" si="1"/>
        <v>33.35438753</v>
      </c>
      <c r="L2874" s="16">
        <f t="shared" si="2"/>
        <v>12.42343358</v>
      </c>
    </row>
    <row r="2875" ht="16.5" customHeight="1">
      <c r="A2875" s="15" t="str">
        <f>Solieusap!A2875</f>
        <v>Cũ</v>
      </c>
      <c r="B2875" s="15">
        <f>Solieusap!B2875</f>
        <v>0</v>
      </c>
      <c r="C2875" s="15" t="str">
        <f>Solieusap!C2875</f>
        <v>COMB6</v>
      </c>
      <c r="D2875" s="15" t="str">
        <f>Solieusap!D2875</f>
        <v>Combination</v>
      </c>
      <c r="E2875" s="16">
        <f>ABS(Solieusap!E2875)</f>
        <v>33.3712439</v>
      </c>
      <c r="F2875" s="16">
        <f>ABS(Solieusap!F2875)</f>
        <v>3.263224069</v>
      </c>
      <c r="G2875" s="16">
        <f>ABS(Solieusap!G2875)</f>
        <v>4.372376017</v>
      </c>
      <c r="H2875" s="16">
        <f>ABS(Solieusap!H2875)</f>
        <v>0.001996531766</v>
      </c>
      <c r="I2875" s="16">
        <f>ABS(Solieusap!I2875)</f>
        <v>12.43022837</v>
      </c>
      <c r="J2875" s="16">
        <f>ABS(Solieusap!J2875)</f>
        <v>8.339936312</v>
      </c>
      <c r="K2875" s="16">
        <f t="shared" si="1"/>
        <v>33.3712439</v>
      </c>
      <c r="L2875" s="16">
        <f t="shared" si="2"/>
        <v>12.43022837</v>
      </c>
    </row>
    <row r="2876" ht="16.5" customHeight="1">
      <c r="A2876" s="15" t="str">
        <f>Solieusap!A2876</f>
        <v>Cũ</v>
      </c>
      <c r="B2876" s="15">
        <f>Solieusap!B2876</f>
        <v>1.75</v>
      </c>
      <c r="C2876" s="15" t="str">
        <f>Solieusap!C2876</f>
        <v>COMB6</v>
      </c>
      <c r="D2876" s="15" t="str">
        <f>Solieusap!D2876</f>
        <v>Combination</v>
      </c>
      <c r="E2876" s="16">
        <f>ABS(Solieusap!E2876)</f>
        <v>33.38810026</v>
      </c>
      <c r="F2876" s="16">
        <f>ABS(Solieusap!F2876)</f>
        <v>3.264934589</v>
      </c>
      <c r="G2876" s="16">
        <f>ABS(Solieusap!G2876)</f>
        <v>4.374640433</v>
      </c>
      <c r="H2876" s="16">
        <f>ABS(Solieusap!H2876)</f>
        <v>0.00199758687</v>
      </c>
      <c r="I2876" s="16">
        <f>ABS(Solieusap!I2876)</f>
        <v>12.43702316</v>
      </c>
      <c r="J2876" s="16">
        <f>ABS(Solieusap!J2876)</f>
        <v>8.344483364</v>
      </c>
      <c r="K2876" s="16">
        <f t="shared" si="1"/>
        <v>33.38810026</v>
      </c>
      <c r="L2876" s="16">
        <f t="shared" si="2"/>
        <v>12.43702316</v>
      </c>
    </row>
    <row r="2877" ht="16.5" customHeight="1">
      <c r="A2877" s="15" t="str">
        <f>Solieusap!A2877</f>
        <v>Cũ</v>
      </c>
      <c r="B2877" s="15">
        <f>Solieusap!B2877</f>
        <v>3.5</v>
      </c>
      <c r="C2877" s="15" t="str">
        <f>Solieusap!C2877</f>
        <v>COMB6</v>
      </c>
      <c r="D2877" s="15" t="str">
        <f>Solieusap!D2877</f>
        <v>Combination</v>
      </c>
      <c r="E2877" s="16">
        <f>ABS(Solieusap!E2877)</f>
        <v>33.40495662</v>
      </c>
      <c r="F2877" s="16">
        <f>ABS(Solieusap!F2877)</f>
        <v>3.266645108</v>
      </c>
      <c r="G2877" s="16">
        <f>ABS(Solieusap!G2877)</f>
        <v>4.376904848</v>
      </c>
      <c r="H2877" s="16">
        <f>ABS(Solieusap!H2877)</f>
        <v>0.001998641974</v>
      </c>
      <c r="I2877" s="16">
        <f>ABS(Solieusap!I2877)</f>
        <v>12.44381796</v>
      </c>
      <c r="J2877" s="16">
        <f>ABS(Solieusap!J2877)</f>
        <v>8.349030416</v>
      </c>
      <c r="K2877" s="16">
        <f t="shared" si="1"/>
        <v>33.40495662</v>
      </c>
      <c r="L2877" s="16">
        <f t="shared" si="2"/>
        <v>12.44381796</v>
      </c>
    </row>
    <row r="2878" ht="16.5" customHeight="1">
      <c r="A2878" s="15" t="str">
        <f>Solieusap!A2878</f>
        <v>Cũ</v>
      </c>
      <c r="B2878" s="15">
        <f>Solieusap!B2878</f>
        <v>0</v>
      </c>
      <c r="C2878" s="15" t="str">
        <f>Solieusap!C2878</f>
        <v>COMB7</v>
      </c>
      <c r="D2878" s="15" t="str">
        <f>Solieusap!D2878</f>
        <v>Combination</v>
      </c>
      <c r="E2878" s="16">
        <f>ABS(Solieusap!E2878)</f>
        <v>33.42181299</v>
      </c>
      <c r="F2878" s="16">
        <f>ABS(Solieusap!F2878)</f>
        <v>3.268355628</v>
      </c>
      <c r="G2878" s="16">
        <f>ABS(Solieusap!G2878)</f>
        <v>4.379169264</v>
      </c>
      <c r="H2878" s="16">
        <f>ABS(Solieusap!H2878)</f>
        <v>0.001999697078</v>
      </c>
      <c r="I2878" s="16">
        <f>ABS(Solieusap!I2878)</f>
        <v>12.45061275</v>
      </c>
      <c r="J2878" s="16">
        <f>ABS(Solieusap!J2878)</f>
        <v>8.353577468</v>
      </c>
      <c r="K2878" s="16">
        <f t="shared" si="1"/>
        <v>33.42181299</v>
      </c>
      <c r="L2878" s="16">
        <f t="shared" si="2"/>
        <v>12.45061275</v>
      </c>
    </row>
    <row r="2879" ht="16.5" customHeight="1">
      <c r="A2879" s="15" t="str">
        <f>Solieusap!A2879</f>
        <v>Cũ</v>
      </c>
      <c r="B2879" s="15">
        <f>Solieusap!B2879</f>
        <v>1.75</v>
      </c>
      <c r="C2879" s="15" t="str">
        <f>Solieusap!C2879</f>
        <v>COMB7</v>
      </c>
      <c r="D2879" s="15" t="str">
        <f>Solieusap!D2879</f>
        <v>Combination</v>
      </c>
      <c r="E2879" s="16">
        <f>ABS(Solieusap!E2879)</f>
        <v>33.43866935</v>
      </c>
      <c r="F2879" s="16">
        <f>ABS(Solieusap!F2879)</f>
        <v>3.270066147</v>
      </c>
      <c r="G2879" s="16">
        <f>ABS(Solieusap!G2879)</f>
        <v>4.38143368</v>
      </c>
      <c r="H2879" s="16">
        <f>ABS(Solieusap!H2879)</f>
        <v>0.002000752182</v>
      </c>
      <c r="I2879" s="16">
        <f>ABS(Solieusap!I2879)</f>
        <v>12.45740754</v>
      </c>
      <c r="J2879" s="16">
        <f>ABS(Solieusap!J2879)</f>
        <v>8.358124519</v>
      </c>
      <c r="K2879" s="16">
        <f t="shared" si="1"/>
        <v>33.43866935</v>
      </c>
      <c r="L2879" s="16">
        <f t="shared" si="2"/>
        <v>12.45740754</v>
      </c>
    </row>
    <row r="2880" ht="16.5" customHeight="1">
      <c r="A2880" s="15" t="str">
        <f>Solieusap!A2880</f>
        <v>Cũ</v>
      </c>
      <c r="B2880" s="15">
        <f>Solieusap!B2880</f>
        <v>3.5</v>
      </c>
      <c r="C2880" s="15" t="str">
        <f>Solieusap!C2880</f>
        <v>COMB7</v>
      </c>
      <c r="D2880" s="15" t="str">
        <f>Solieusap!D2880</f>
        <v>Combination</v>
      </c>
      <c r="E2880" s="16">
        <f>ABS(Solieusap!E2880)</f>
        <v>33.45552571</v>
      </c>
      <c r="F2880" s="16">
        <f>ABS(Solieusap!F2880)</f>
        <v>3.271776667</v>
      </c>
      <c r="G2880" s="16">
        <f>ABS(Solieusap!G2880)</f>
        <v>4.383698095</v>
      </c>
      <c r="H2880" s="16">
        <f>ABS(Solieusap!H2880)</f>
        <v>0.002001807286</v>
      </c>
      <c r="I2880" s="16">
        <f>ABS(Solieusap!I2880)</f>
        <v>12.46420233</v>
      </c>
      <c r="J2880" s="16">
        <f>ABS(Solieusap!J2880)</f>
        <v>8.362671571</v>
      </c>
      <c r="K2880" s="16">
        <f t="shared" si="1"/>
        <v>33.45552571</v>
      </c>
      <c r="L2880" s="16">
        <f t="shared" si="2"/>
        <v>12.46420233</v>
      </c>
    </row>
    <row r="2881" ht="16.5" customHeight="1">
      <c r="A2881" s="15" t="str">
        <f>Solieusap!A2881</f>
        <v>Cũ</v>
      </c>
      <c r="B2881" s="15">
        <f>Solieusap!B2881</f>
        <v>0</v>
      </c>
      <c r="C2881" s="15" t="str">
        <f>Solieusap!C2881</f>
        <v>COMB1</v>
      </c>
      <c r="D2881" s="15" t="str">
        <f>Solieusap!D2881</f>
        <v>Combination</v>
      </c>
      <c r="E2881" s="16">
        <f>ABS(Solieusap!E2881)</f>
        <v>33.47238208</v>
      </c>
      <c r="F2881" s="16">
        <f>ABS(Solieusap!F2881)</f>
        <v>3.273487186</v>
      </c>
      <c r="G2881" s="16">
        <f>ABS(Solieusap!G2881)</f>
        <v>4.385962511</v>
      </c>
      <c r="H2881" s="16">
        <f>ABS(Solieusap!H2881)</f>
        <v>0.00200286239</v>
      </c>
      <c r="I2881" s="16">
        <f>ABS(Solieusap!I2881)</f>
        <v>12.47099713</v>
      </c>
      <c r="J2881" s="16">
        <f>ABS(Solieusap!J2881)</f>
        <v>8.367218623</v>
      </c>
      <c r="K2881" s="16">
        <f t="shared" si="1"/>
        <v>33.47238208</v>
      </c>
      <c r="L2881" s="16">
        <f t="shared" si="2"/>
        <v>12.47099713</v>
      </c>
    </row>
    <row r="2882" ht="16.5" customHeight="1">
      <c r="A2882" s="15" t="str">
        <f>Solieusap!A2882</f>
        <v>Cũ</v>
      </c>
      <c r="B2882" s="15">
        <f>Solieusap!B2882</f>
        <v>1.75</v>
      </c>
      <c r="C2882" s="15" t="str">
        <f>Solieusap!C2882</f>
        <v>COMB1</v>
      </c>
      <c r="D2882" s="15" t="str">
        <f>Solieusap!D2882</f>
        <v>Combination</v>
      </c>
      <c r="E2882" s="16">
        <f>ABS(Solieusap!E2882)</f>
        <v>33.48923844</v>
      </c>
      <c r="F2882" s="16">
        <f>ABS(Solieusap!F2882)</f>
        <v>3.275197706</v>
      </c>
      <c r="G2882" s="16">
        <f>ABS(Solieusap!G2882)</f>
        <v>4.388226926</v>
      </c>
      <c r="H2882" s="16">
        <f>ABS(Solieusap!H2882)</f>
        <v>0.002003917494</v>
      </c>
      <c r="I2882" s="16">
        <f>ABS(Solieusap!I2882)</f>
        <v>12.47779192</v>
      </c>
      <c r="J2882" s="16">
        <f>ABS(Solieusap!J2882)</f>
        <v>8.371765675</v>
      </c>
      <c r="K2882" s="16">
        <f t="shared" si="1"/>
        <v>33.48923844</v>
      </c>
      <c r="L2882" s="16">
        <f t="shared" si="2"/>
        <v>12.47779192</v>
      </c>
    </row>
    <row r="2883" ht="16.5" customHeight="1">
      <c r="A2883" s="15" t="str">
        <f>Solieusap!A2883</f>
        <v>Cũ</v>
      </c>
      <c r="B2883" s="15">
        <f>Solieusap!B2883</f>
        <v>3.5</v>
      </c>
      <c r="C2883" s="15" t="str">
        <f>Solieusap!C2883</f>
        <v>COMB1</v>
      </c>
      <c r="D2883" s="15" t="str">
        <f>Solieusap!D2883</f>
        <v>Combination</v>
      </c>
      <c r="E2883" s="16">
        <f>ABS(Solieusap!E2883)</f>
        <v>33.50609481</v>
      </c>
      <c r="F2883" s="16">
        <f>ABS(Solieusap!F2883)</f>
        <v>3.276908225</v>
      </c>
      <c r="G2883" s="16">
        <f>ABS(Solieusap!G2883)</f>
        <v>4.390491342</v>
      </c>
      <c r="H2883" s="16">
        <f>ABS(Solieusap!H2883)</f>
        <v>0.002004972597</v>
      </c>
      <c r="I2883" s="16">
        <f>ABS(Solieusap!I2883)</f>
        <v>12.48458671</v>
      </c>
      <c r="J2883" s="16">
        <f>ABS(Solieusap!J2883)</f>
        <v>8.376312727</v>
      </c>
      <c r="K2883" s="16">
        <f t="shared" si="1"/>
        <v>33.50609481</v>
      </c>
      <c r="L2883" s="16">
        <f t="shared" si="2"/>
        <v>12.48458671</v>
      </c>
    </row>
    <row r="2884" ht="16.5" customHeight="1">
      <c r="A2884" s="15" t="str">
        <f>Solieusap!A2884</f>
        <v>Cũ</v>
      </c>
      <c r="B2884" s="15">
        <f>Solieusap!B2884</f>
        <v>0</v>
      </c>
      <c r="C2884" s="15" t="str">
        <f>Solieusap!C2884</f>
        <v>COMB2</v>
      </c>
      <c r="D2884" s="15" t="str">
        <f>Solieusap!D2884</f>
        <v>Combination</v>
      </c>
      <c r="E2884" s="16">
        <f>ABS(Solieusap!E2884)</f>
        <v>33.52295117</v>
      </c>
      <c r="F2884" s="16">
        <f>ABS(Solieusap!F2884)</f>
        <v>3.278618745</v>
      </c>
      <c r="G2884" s="16">
        <f>ABS(Solieusap!G2884)</f>
        <v>4.392755758</v>
      </c>
      <c r="H2884" s="16">
        <f>ABS(Solieusap!H2884)</f>
        <v>0.002006027701</v>
      </c>
      <c r="I2884" s="16">
        <f>ABS(Solieusap!I2884)</f>
        <v>12.4913815</v>
      </c>
      <c r="J2884" s="16">
        <f>ABS(Solieusap!J2884)</f>
        <v>8.380859779</v>
      </c>
      <c r="K2884" s="16">
        <f t="shared" si="1"/>
        <v>33.52295117</v>
      </c>
      <c r="L2884" s="16">
        <f t="shared" si="2"/>
        <v>12.4913815</v>
      </c>
    </row>
    <row r="2885" ht="16.5" customHeight="1">
      <c r="A2885" s="15" t="str">
        <f>Solieusap!A2885</f>
        <v>Cũ</v>
      </c>
      <c r="B2885" s="15">
        <f>Solieusap!B2885</f>
        <v>1.75</v>
      </c>
      <c r="C2885" s="15" t="str">
        <f>Solieusap!C2885</f>
        <v>COMB2</v>
      </c>
      <c r="D2885" s="15" t="str">
        <f>Solieusap!D2885</f>
        <v>Combination</v>
      </c>
      <c r="E2885" s="16">
        <f>ABS(Solieusap!E2885)</f>
        <v>33.53980753</v>
      </c>
      <c r="F2885" s="16">
        <f>ABS(Solieusap!F2885)</f>
        <v>3.280329264</v>
      </c>
      <c r="G2885" s="16">
        <f>ABS(Solieusap!G2885)</f>
        <v>4.395020173</v>
      </c>
      <c r="H2885" s="16">
        <f>ABS(Solieusap!H2885)</f>
        <v>0.002007082805</v>
      </c>
      <c r="I2885" s="16">
        <f>ABS(Solieusap!I2885)</f>
        <v>12.49817629</v>
      </c>
      <c r="J2885" s="16">
        <f>ABS(Solieusap!J2885)</f>
        <v>8.385406831</v>
      </c>
      <c r="K2885" s="16">
        <f t="shared" si="1"/>
        <v>33.53980753</v>
      </c>
      <c r="L2885" s="16">
        <f t="shared" si="2"/>
        <v>12.49817629</v>
      </c>
    </row>
    <row r="2886" ht="16.5" customHeight="1">
      <c r="A2886" s="15" t="str">
        <f>Solieusap!A2886</f>
        <v>Cũ</v>
      </c>
      <c r="B2886" s="15">
        <f>Solieusap!B2886</f>
        <v>3.5</v>
      </c>
      <c r="C2886" s="15" t="str">
        <f>Solieusap!C2886</f>
        <v>COMB2</v>
      </c>
      <c r="D2886" s="15" t="str">
        <f>Solieusap!D2886</f>
        <v>Combination</v>
      </c>
      <c r="E2886" s="16">
        <f>ABS(Solieusap!E2886)</f>
        <v>33.5566639</v>
      </c>
      <c r="F2886" s="16">
        <f>ABS(Solieusap!F2886)</f>
        <v>3.282039784</v>
      </c>
      <c r="G2886" s="16">
        <f>ABS(Solieusap!G2886)</f>
        <v>4.397284589</v>
      </c>
      <c r="H2886" s="16">
        <f>ABS(Solieusap!H2886)</f>
        <v>0.002008137909</v>
      </c>
      <c r="I2886" s="16">
        <f>ABS(Solieusap!I2886)</f>
        <v>12.50497109</v>
      </c>
      <c r="J2886" s="16">
        <f>ABS(Solieusap!J2886)</f>
        <v>8.389953883</v>
      </c>
      <c r="K2886" s="16">
        <f t="shared" si="1"/>
        <v>33.5566639</v>
      </c>
      <c r="L2886" s="16">
        <f t="shared" si="2"/>
        <v>12.50497109</v>
      </c>
    </row>
    <row r="2887" ht="16.5" customHeight="1">
      <c r="A2887" s="15" t="str">
        <f>Solieusap!A2887</f>
        <v>Cũ</v>
      </c>
      <c r="B2887" s="15">
        <f>Solieusap!B2887</f>
        <v>0</v>
      </c>
      <c r="C2887" s="15" t="str">
        <f>Solieusap!C2887</f>
        <v>COMB3</v>
      </c>
      <c r="D2887" s="15" t="str">
        <f>Solieusap!D2887</f>
        <v>Combination</v>
      </c>
      <c r="E2887" s="16">
        <f>ABS(Solieusap!E2887)</f>
        <v>33.57352026</v>
      </c>
      <c r="F2887" s="16">
        <f>ABS(Solieusap!F2887)</f>
        <v>3.283750303</v>
      </c>
      <c r="G2887" s="16">
        <f>ABS(Solieusap!G2887)</f>
        <v>4.399549004</v>
      </c>
      <c r="H2887" s="16">
        <f>ABS(Solieusap!H2887)</f>
        <v>0.002009193013</v>
      </c>
      <c r="I2887" s="16">
        <f>ABS(Solieusap!I2887)</f>
        <v>12.51176588</v>
      </c>
      <c r="J2887" s="16">
        <f>ABS(Solieusap!J2887)</f>
        <v>8.394500935</v>
      </c>
      <c r="K2887" s="16">
        <f t="shared" si="1"/>
        <v>33.57352026</v>
      </c>
      <c r="L2887" s="16">
        <f t="shared" si="2"/>
        <v>12.51176588</v>
      </c>
    </row>
    <row r="2888" ht="16.5" customHeight="1">
      <c r="A2888" s="15" t="str">
        <f>Solieusap!A2888</f>
        <v>Cũ</v>
      </c>
      <c r="B2888" s="15">
        <f>Solieusap!B2888</f>
        <v>1.75</v>
      </c>
      <c r="C2888" s="15" t="str">
        <f>Solieusap!C2888</f>
        <v>COMB3</v>
      </c>
      <c r="D2888" s="15" t="str">
        <f>Solieusap!D2888</f>
        <v>Combination</v>
      </c>
      <c r="E2888" s="16">
        <f>ABS(Solieusap!E2888)</f>
        <v>33.59037662</v>
      </c>
      <c r="F2888" s="16">
        <f>ABS(Solieusap!F2888)</f>
        <v>3.285460823</v>
      </c>
      <c r="G2888" s="16">
        <f>ABS(Solieusap!G2888)</f>
        <v>4.40181342</v>
      </c>
      <c r="H2888" s="16">
        <f>ABS(Solieusap!H2888)</f>
        <v>0.002010248117</v>
      </c>
      <c r="I2888" s="16">
        <f>ABS(Solieusap!I2888)</f>
        <v>12.51856067</v>
      </c>
      <c r="J2888" s="16">
        <f>ABS(Solieusap!J2888)</f>
        <v>8.399047987</v>
      </c>
      <c r="K2888" s="16">
        <f t="shared" si="1"/>
        <v>33.59037662</v>
      </c>
      <c r="L2888" s="16">
        <f t="shared" si="2"/>
        <v>12.51856067</v>
      </c>
    </row>
    <row r="2889" ht="16.5" customHeight="1">
      <c r="A2889" s="15" t="str">
        <f>Solieusap!A2889</f>
        <v>Cũ</v>
      </c>
      <c r="B2889" s="15">
        <f>Solieusap!B2889</f>
        <v>3.5</v>
      </c>
      <c r="C2889" s="15" t="str">
        <f>Solieusap!C2889</f>
        <v>COMB3</v>
      </c>
      <c r="D2889" s="15" t="str">
        <f>Solieusap!D2889</f>
        <v>Combination</v>
      </c>
      <c r="E2889" s="16">
        <f>ABS(Solieusap!E2889)</f>
        <v>33.60723299</v>
      </c>
      <c r="F2889" s="16">
        <f>ABS(Solieusap!F2889)</f>
        <v>3.287171342</v>
      </c>
      <c r="G2889" s="16">
        <f>ABS(Solieusap!G2889)</f>
        <v>4.404077836</v>
      </c>
      <c r="H2889" s="16">
        <f>ABS(Solieusap!H2889)</f>
        <v>0.002011303221</v>
      </c>
      <c r="I2889" s="16">
        <f>ABS(Solieusap!I2889)</f>
        <v>12.52535546</v>
      </c>
      <c r="J2889" s="16">
        <f>ABS(Solieusap!J2889)</f>
        <v>8.403595039</v>
      </c>
      <c r="K2889" s="16">
        <f t="shared" si="1"/>
        <v>33.60723299</v>
      </c>
      <c r="L2889" s="16">
        <f t="shared" si="2"/>
        <v>12.52535546</v>
      </c>
    </row>
    <row r="2890" ht="16.5" customHeight="1">
      <c r="A2890" s="15" t="str">
        <f>Solieusap!A2890</f>
        <v>Cũ</v>
      </c>
      <c r="B2890" s="15">
        <f>Solieusap!B2890</f>
        <v>0</v>
      </c>
      <c r="C2890" s="15" t="str">
        <f>Solieusap!C2890</f>
        <v>COMB4</v>
      </c>
      <c r="D2890" s="15" t="str">
        <f>Solieusap!D2890</f>
        <v>Combination</v>
      </c>
      <c r="E2890" s="16">
        <f>ABS(Solieusap!E2890)</f>
        <v>33.62408935</v>
      </c>
      <c r="F2890" s="16">
        <f>ABS(Solieusap!F2890)</f>
        <v>3.288881861</v>
      </c>
      <c r="G2890" s="16">
        <f>ABS(Solieusap!G2890)</f>
        <v>4.406342251</v>
      </c>
      <c r="H2890" s="16">
        <f>ABS(Solieusap!H2890)</f>
        <v>0.002012358325</v>
      </c>
      <c r="I2890" s="16">
        <f>ABS(Solieusap!I2890)</f>
        <v>12.53215026</v>
      </c>
      <c r="J2890" s="16">
        <f>ABS(Solieusap!J2890)</f>
        <v>8.408142091</v>
      </c>
      <c r="K2890" s="16">
        <f t="shared" si="1"/>
        <v>33.62408935</v>
      </c>
      <c r="L2890" s="16">
        <f t="shared" si="2"/>
        <v>12.53215026</v>
      </c>
    </row>
    <row r="2891" ht="16.5" customHeight="1">
      <c r="A2891" s="15" t="str">
        <f>Solieusap!A2891</f>
        <v>Cũ</v>
      </c>
      <c r="B2891" s="15">
        <f>Solieusap!B2891</f>
        <v>1.75</v>
      </c>
      <c r="C2891" s="15" t="str">
        <f>Solieusap!C2891</f>
        <v>COMB4</v>
      </c>
      <c r="D2891" s="15" t="str">
        <f>Solieusap!D2891</f>
        <v>Combination</v>
      </c>
      <c r="E2891" s="16">
        <f>ABS(Solieusap!E2891)</f>
        <v>33.64094571</v>
      </c>
      <c r="F2891" s="16">
        <f>ABS(Solieusap!F2891)</f>
        <v>3.290592381</v>
      </c>
      <c r="G2891" s="16">
        <f>ABS(Solieusap!G2891)</f>
        <v>4.408606667</v>
      </c>
      <c r="H2891" s="16">
        <f>ABS(Solieusap!H2891)</f>
        <v>0.002013413429</v>
      </c>
      <c r="I2891" s="16">
        <f>ABS(Solieusap!I2891)</f>
        <v>12.53894505</v>
      </c>
      <c r="J2891" s="16">
        <f>ABS(Solieusap!J2891)</f>
        <v>8.412689143</v>
      </c>
      <c r="K2891" s="16">
        <f t="shared" si="1"/>
        <v>33.64094571</v>
      </c>
      <c r="L2891" s="16">
        <f t="shared" si="2"/>
        <v>12.53894505</v>
      </c>
    </row>
    <row r="2892" ht="16.5" customHeight="1">
      <c r="A2892" s="15" t="str">
        <f>Solieusap!A2892</f>
        <v>Cũ</v>
      </c>
      <c r="B2892" s="15">
        <f>Solieusap!B2892</f>
        <v>3.5</v>
      </c>
      <c r="C2892" s="15" t="str">
        <f>Solieusap!C2892</f>
        <v>COMB4</v>
      </c>
      <c r="D2892" s="15" t="str">
        <f>Solieusap!D2892</f>
        <v>Combination</v>
      </c>
      <c r="E2892" s="16">
        <f>ABS(Solieusap!E2892)</f>
        <v>33.65780208</v>
      </c>
      <c r="F2892" s="16">
        <f>ABS(Solieusap!F2892)</f>
        <v>3.2923029</v>
      </c>
      <c r="G2892" s="16">
        <f>ABS(Solieusap!G2892)</f>
        <v>4.410871082</v>
      </c>
      <c r="H2892" s="16">
        <f>ABS(Solieusap!H2892)</f>
        <v>0.002014468532</v>
      </c>
      <c r="I2892" s="16">
        <f>ABS(Solieusap!I2892)</f>
        <v>12.54573984</v>
      </c>
      <c r="J2892" s="16">
        <f>ABS(Solieusap!J2892)</f>
        <v>8.417236195</v>
      </c>
      <c r="K2892" s="16">
        <f t="shared" si="1"/>
        <v>33.65780208</v>
      </c>
      <c r="L2892" s="16">
        <f t="shared" si="2"/>
        <v>12.54573984</v>
      </c>
    </row>
    <row r="2893" ht="16.5" customHeight="1">
      <c r="A2893" s="15" t="str">
        <f>Solieusap!A2893</f>
        <v>Cũ</v>
      </c>
      <c r="B2893" s="15">
        <f>Solieusap!B2893</f>
        <v>0</v>
      </c>
      <c r="C2893" s="15" t="str">
        <f>Solieusap!C2893</f>
        <v>COMB5</v>
      </c>
      <c r="D2893" s="15" t="str">
        <f>Solieusap!D2893</f>
        <v>Combination</v>
      </c>
      <c r="E2893" s="16">
        <f>ABS(Solieusap!E2893)</f>
        <v>33.67465844</v>
      </c>
      <c r="F2893" s="16">
        <f>ABS(Solieusap!F2893)</f>
        <v>3.29401342</v>
      </c>
      <c r="G2893" s="16">
        <f>ABS(Solieusap!G2893)</f>
        <v>4.413135498</v>
      </c>
      <c r="H2893" s="16">
        <f>ABS(Solieusap!H2893)</f>
        <v>0.002015523636</v>
      </c>
      <c r="I2893" s="16">
        <f>ABS(Solieusap!I2893)</f>
        <v>12.55253463</v>
      </c>
      <c r="J2893" s="16">
        <f>ABS(Solieusap!J2893)</f>
        <v>8.421783247</v>
      </c>
      <c r="K2893" s="16">
        <f t="shared" si="1"/>
        <v>33.67465844</v>
      </c>
      <c r="L2893" s="16">
        <f t="shared" si="2"/>
        <v>12.55253463</v>
      </c>
    </row>
    <row r="2894" ht="16.5" customHeight="1">
      <c r="A2894" s="15" t="str">
        <f>Solieusap!A2894</f>
        <v>Cũ</v>
      </c>
      <c r="B2894" s="15">
        <f>Solieusap!B2894</f>
        <v>1.75</v>
      </c>
      <c r="C2894" s="15" t="str">
        <f>Solieusap!C2894</f>
        <v>COMB5</v>
      </c>
      <c r="D2894" s="15" t="str">
        <f>Solieusap!D2894</f>
        <v>Combination</v>
      </c>
      <c r="E2894" s="16">
        <f>ABS(Solieusap!E2894)</f>
        <v>33.69151481</v>
      </c>
      <c r="F2894" s="16">
        <f>ABS(Solieusap!F2894)</f>
        <v>3.295723939</v>
      </c>
      <c r="G2894" s="16">
        <f>ABS(Solieusap!G2894)</f>
        <v>4.415399913</v>
      </c>
      <c r="H2894" s="16">
        <f>ABS(Solieusap!H2894)</f>
        <v>0.00201657874</v>
      </c>
      <c r="I2894" s="16">
        <f>ABS(Solieusap!I2894)</f>
        <v>12.55932942</v>
      </c>
      <c r="J2894" s="16">
        <f>ABS(Solieusap!J2894)</f>
        <v>8.426330299</v>
      </c>
      <c r="K2894" s="16">
        <f t="shared" si="1"/>
        <v>33.69151481</v>
      </c>
      <c r="L2894" s="16">
        <f t="shared" si="2"/>
        <v>12.55932942</v>
      </c>
    </row>
    <row r="2895" ht="16.5" customHeight="1">
      <c r="A2895" s="15" t="str">
        <f>Solieusap!A2895</f>
        <v>Cũ</v>
      </c>
      <c r="B2895" s="15">
        <f>Solieusap!B2895</f>
        <v>3.5</v>
      </c>
      <c r="C2895" s="15" t="str">
        <f>Solieusap!C2895</f>
        <v>COMB5</v>
      </c>
      <c r="D2895" s="15" t="str">
        <f>Solieusap!D2895</f>
        <v>Combination</v>
      </c>
      <c r="E2895" s="16">
        <f>ABS(Solieusap!E2895)</f>
        <v>33.70837117</v>
      </c>
      <c r="F2895" s="16">
        <f>ABS(Solieusap!F2895)</f>
        <v>3.297434459</v>
      </c>
      <c r="G2895" s="16">
        <f>ABS(Solieusap!G2895)</f>
        <v>4.417664329</v>
      </c>
      <c r="H2895" s="16">
        <f>ABS(Solieusap!H2895)</f>
        <v>0.002017633844</v>
      </c>
      <c r="I2895" s="16">
        <f>ABS(Solieusap!I2895)</f>
        <v>12.56612422</v>
      </c>
      <c r="J2895" s="16">
        <f>ABS(Solieusap!J2895)</f>
        <v>8.430877351</v>
      </c>
      <c r="K2895" s="16">
        <f t="shared" si="1"/>
        <v>33.70837117</v>
      </c>
      <c r="L2895" s="16">
        <f t="shared" si="2"/>
        <v>12.56612422</v>
      </c>
    </row>
    <row r="2896" ht="16.5" customHeight="1">
      <c r="A2896" s="15" t="str">
        <f>Solieusap!A2896</f>
        <v>Cũ</v>
      </c>
      <c r="B2896" s="15">
        <f>Solieusap!B2896</f>
        <v>0</v>
      </c>
      <c r="C2896" s="15" t="str">
        <f>Solieusap!C2896</f>
        <v>COMB6</v>
      </c>
      <c r="D2896" s="15" t="str">
        <f>Solieusap!D2896</f>
        <v>Combination</v>
      </c>
      <c r="E2896" s="16">
        <f>ABS(Solieusap!E2896)</f>
        <v>33.72522753</v>
      </c>
      <c r="F2896" s="16">
        <f>ABS(Solieusap!F2896)</f>
        <v>3.299144978</v>
      </c>
      <c r="G2896" s="16">
        <f>ABS(Solieusap!G2896)</f>
        <v>4.419928745</v>
      </c>
      <c r="H2896" s="16">
        <f>ABS(Solieusap!H2896)</f>
        <v>0.002018688948</v>
      </c>
      <c r="I2896" s="16">
        <f>ABS(Solieusap!I2896)</f>
        <v>12.57291901</v>
      </c>
      <c r="J2896" s="16">
        <f>ABS(Solieusap!J2896)</f>
        <v>8.435424403</v>
      </c>
      <c r="K2896" s="16">
        <f t="shared" si="1"/>
        <v>33.72522753</v>
      </c>
      <c r="L2896" s="16">
        <f t="shared" si="2"/>
        <v>12.57291901</v>
      </c>
    </row>
    <row r="2897" ht="16.5" customHeight="1">
      <c r="A2897" s="15" t="str">
        <f>Solieusap!A2897</f>
        <v>Cũ</v>
      </c>
      <c r="B2897" s="15">
        <f>Solieusap!B2897</f>
        <v>1.75</v>
      </c>
      <c r="C2897" s="15" t="str">
        <f>Solieusap!C2897</f>
        <v>COMB6</v>
      </c>
      <c r="D2897" s="15" t="str">
        <f>Solieusap!D2897</f>
        <v>Combination</v>
      </c>
      <c r="E2897" s="16">
        <f>ABS(Solieusap!E2897)</f>
        <v>33.7420839</v>
      </c>
      <c r="F2897" s="16">
        <f>ABS(Solieusap!F2897)</f>
        <v>3.300855498</v>
      </c>
      <c r="G2897" s="16">
        <f>ABS(Solieusap!G2897)</f>
        <v>4.42219316</v>
      </c>
      <c r="H2897" s="16">
        <f>ABS(Solieusap!H2897)</f>
        <v>0.002019744052</v>
      </c>
      <c r="I2897" s="16">
        <f>ABS(Solieusap!I2897)</f>
        <v>12.5797138</v>
      </c>
      <c r="J2897" s="16">
        <f>ABS(Solieusap!J2897)</f>
        <v>8.439971455</v>
      </c>
      <c r="K2897" s="16">
        <f t="shared" si="1"/>
        <v>33.7420839</v>
      </c>
      <c r="L2897" s="16">
        <f t="shared" si="2"/>
        <v>12.5797138</v>
      </c>
    </row>
    <row r="2898" ht="16.5" customHeight="1">
      <c r="A2898" s="15" t="str">
        <f>Solieusap!A2898</f>
        <v>Cũ</v>
      </c>
      <c r="B2898" s="15">
        <f>Solieusap!B2898</f>
        <v>3.5</v>
      </c>
      <c r="C2898" s="15" t="str">
        <f>Solieusap!C2898</f>
        <v>COMB6</v>
      </c>
      <c r="D2898" s="15" t="str">
        <f>Solieusap!D2898</f>
        <v>Combination</v>
      </c>
      <c r="E2898" s="16">
        <f>ABS(Solieusap!E2898)</f>
        <v>33.75894026</v>
      </c>
      <c r="F2898" s="16">
        <f>ABS(Solieusap!F2898)</f>
        <v>3.302566017</v>
      </c>
      <c r="G2898" s="16">
        <f>ABS(Solieusap!G2898)</f>
        <v>4.424457576</v>
      </c>
      <c r="H2898" s="16">
        <f>ABS(Solieusap!H2898)</f>
        <v>0.002020799156</v>
      </c>
      <c r="I2898" s="16">
        <f>ABS(Solieusap!I2898)</f>
        <v>12.58650859</v>
      </c>
      <c r="J2898" s="16">
        <f>ABS(Solieusap!J2898)</f>
        <v>8.444518506</v>
      </c>
      <c r="K2898" s="16">
        <f t="shared" si="1"/>
        <v>33.75894026</v>
      </c>
      <c r="L2898" s="16">
        <f t="shared" si="2"/>
        <v>12.58650859</v>
      </c>
    </row>
    <row r="2899" ht="16.5" customHeight="1">
      <c r="A2899" s="15" t="str">
        <f>Solieusap!A2899</f>
        <v>Cũ</v>
      </c>
      <c r="B2899" s="15">
        <f>Solieusap!B2899</f>
        <v>0</v>
      </c>
      <c r="C2899" s="15" t="str">
        <f>Solieusap!C2899</f>
        <v>COMB7</v>
      </c>
      <c r="D2899" s="15" t="str">
        <f>Solieusap!D2899</f>
        <v>Combination</v>
      </c>
      <c r="E2899" s="16">
        <f>ABS(Solieusap!E2899)</f>
        <v>33.77579662</v>
      </c>
      <c r="F2899" s="16">
        <f>ABS(Solieusap!F2899)</f>
        <v>3.304276537</v>
      </c>
      <c r="G2899" s="16">
        <f>ABS(Solieusap!G2899)</f>
        <v>4.426721991</v>
      </c>
      <c r="H2899" s="16">
        <f>ABS(Solieusap!H2899)</f>
        <v>0.00202185426</v>
      </c>
      <c r="I2899" s="16">
        <f>ABS(Solieusap!I2899)</f>
        <v>12.59330339</v>
      </c>
      <c r="J2899" s="16">
        <f>ABS(Solieusap!J2899)</f>
        <v>8.449065558</v>
      </c>
      <c r="K2899" s="16">
        <f t="shared" si="1"/>
        <v>33.77579662</v>
      </c>
      <c r="L2899" s="16">
        <f t="shared" si="2"/>
        <v>12.59330339</v>
      </c>
    </row>
    <row r="2900" ht="16.5" customHeight="1">
      <c r="A2900" s="15" t="str">
        <f>Solieusap!A2900</f>
        <v>Cũ</v>
      </c>
      <c r="B2900" s="15">
        <f>Solieusap!B2900</f>
        <v>1.75</v>
      </c>
      <c r="C2900" s="15" t="str">
        <f>Solieusap!C2900</f>
        <v>COMB7</v>
      </c>
      <c r="D2900" s="15" t="str">
        <f>Solieusap!D2900</f>
        <v>Combination</v>
      </c>
      <c r="E2900" s="16">
        <f>ABS(Solieusap!E2900)</f>
        <v>33.79265299</v>
      </c>
      <c r="F2900" s="16">
        <f>ABS(Solieusap!F2900)</f>
        <v>3.305987056</v>
      </c>
      <c r="G2900" s="16">
        <f>ABS(Solieusap!G2900)</f>
        <v>4.428986407</v>
      </c>
      <c r="H2900" s="16">
        <f>ABS(Solieusap!H2900)</f>
        <v>0.002022909364</v>
      </c>
      <c r="I2900" s="16">
        <f>ABS(Solieusap!I2900)</f>
        <v>12.60009818</v>
      </c>
      <c r="J2900" s="16">
        <f>ABS(Solieusap!J2900)</f>
        <v>8.45361261</v>
      </c>
      <c r="K2900" s="16">
        <f t="shared" si="1"/>
        <v>33.79265299</v>
      </c>
      <c r="L2900" s="16">
        <f t="shared" si="2"/>
        <v>12.60009818</v>
      </c>
    </row>
    <row r="2901" ht="16.5" customHeight="1">
      <c r="A2901" s="15" t="str">
        <f>Solieusap!A2901</f>
        <v>Cũ</v>
      </c>
      <c r="B2901" s="15">
        <f>Solieusap!B2901</f>
        <v>3.5</v>
      </c>
      <c r="C2901" s="15" t="str">
        <f>Solieusap!C2901</f>
        <v>COMB7</v>
      </c>
      <c r="D2901" s="15" t="str">
        <f>Solieusap!D2901</f>
        <v>Combination</v>
      </c>
      <c r="E2901" s="16">
        <f>ABS(Solieusap!E2901)</f>
        <v>33.80950935</v>
      </c>
      <c r="F2901" s="16">
        <f>ABS(Solieusap!F2901)</f>
        <v>3.307697576</v>
      </c>
      <c r="G2901" s="16">
        <f>ABS(Solieusap!G2901)</f>
        <v>4.431250823</v>
      </c>
      <c r="H2901" s="16">
        <f>ABS(Solieusap!H2901)</f>
        <v>0.002023964468</v>
      </c>
      <c r="I2901" s="16">
        <f>ABS(Solieusap!I2901)</f>
        <v>12.60689297</v>
      </c>
      <c r="J2901" s="16">
        <f>ABS(Solieusap!J2901)</f>
        <v>8.458159662</v>
      </c>
      <c r="K2901" s="16">
        <f t="shared" si="1"/>
        <v>33.80950935</v>
      </c>
      <c r="L2901" s="16">
        <f t="shared" si="2"/>
        <v>12.60689297</v>
      </c>
    </row>
    <row r="2902" ht="16.5" customHeight="1">
      <c r="A2902" s="15" t="str">
        <f>Solieusap!A2902</f>
        <v>Cũ</v>
      </c>
      <c r="B2902" s="15">
        <f>Solieusap!B2902</f>
        <v>0</v>
      </c>
      <c r="C2902" s="15" t="str">
        <f>Solieusap!C2902</f>
        <v>COMB1</v>
      </c>
      <c r="D2902" s="15" t="str">
        <f>Solieusap!D2902</f>
        <v>Combination</v>
      </c>
      <c r="E2902" s="16">
        <f>ABS(Solieusap!E2902)</f>
        <v>33.82636571</v>
      </c>
      <c r="F2902" s="16">
        <f>ABS(Solieusap!F2902)</f>
        <v>3.309408095</v>
      </c>
      <c r="G2902" s="16">
        <f>ABS(Solieusap!G2902)</f>
        <v>4.433515238</v>
      </c>
      <c r="H2902" s="16">
        <f>ABS(Solieusap!H2902)</f>
        <v>0.002025019571</v>
      </c>
      <c r="I2902" s="16">
        <f>ABS(Solieusap!I2902)</f>
        <v>12.61368776</v>
      </c>
      <c r="J2902" s="16">
        <f>ABS(Solieusap!J2902)</f>
        <v>8.462706714</v>
      </c>
      <c r="K2902" s="16">
        <f t="shared" si="1"/>
        <v>33.82636571</v>
      </c>
      <c r="L2902" s="16">
        <f t="shared" si="2"/>
        <v>12.61368776</v>
      </c>
    </row>
    <row r="2903" ht="16.5" customHeight="1">
      <c r="A2903" s="15" t="str">
        <f>Solieusap!A2903</f>
        <v>Cũ</v>
      </c>
      <c r="B2903" s="15">
        <f>Solieusap!B2903</f>
        <v>1.75</v>
      </c>
      <c r="C2903" s="15" t="str">
        <f>Solieusap!C2903</f>
        <v>COMB1</v>
      </c>
      <c r="D2903" s="15" t="str">
        <f>Solieusap!D2903</f>
        <v>Combination</v>
      </c>
      <c r="E2903" s="16">
        <f>ABS(Solieusap!E2903)</f>
        <v>33.84322208</v>
      </c>
      <c r="F2903" s="16">
        <f>ABS(Solieusap!F2903)</f>
        <v>3.311118615</v>
      </c>
      <c r="G2903" s="16">
        <f>ABS(Solieusap!G2903)</f>
        <v>4.435779654</v>
      </c>
      <c r="H2903" s="16">
        <f>ABS(Solieusap!H2903)</f>
        <v>0.002026074675</v>
      </c>
      <c r="I2903" s="16">
        <f>ABS(Solieusap!I2903)</f>
        <v>12.62048255</v>
      </c>
      <c r="J2903" s="16">
        <f>ABS(Solieusap!J2903)</f>
        <v>8.467253766</v>
      </c>
      <c r="K2903" s="16">
        <f t="shared" si="1"/>
        <v>33.84322208</v>
      </c>
      <c r="L2903" s="16">
        <f t="shared" si="2"/>
        <v>12.62048255</v>
      </c>
    </row>
    <row r="2904" ht="16.5" customHeight="1">
      <c r="A2904" s="15" t="str">
        <f>Solieusap!A2904</f>
        <v>Cũ</v>
      </c>
      <c r="B2904" s="15">
        <f>Solieusap!B2904</f>
        <v>3.5</v>
      </c>
      <c r="C2904" s="15" t="str">
        <f>Solieusap!C2904</f>
        <v>COMB1</v>
      </c>
      <c r="D2904" s="15" t="str">
        <f>Solieusap!D2904</f>
        <v>Combination</v>
      </c>
      <c r="E2904" s="16">
        <f>ABS(Solieusap!E2904)</f>
        <v>33.86007844</v>
      </c>
      <c r="F2904" s="16">
        <f>ABS(Solieusap!F2904)</f>
        <v>3.312829134</v>
      </c>
      <c r="G2904" s="16">
        <f>ABS(Solieusap!G2904)</f>
        <v>4.438044069</v>
      </c>
      <c r="H2904" s="16">
        <f>ABS(Solieusap!H2904)</f>
        <v>0.002027129779</v>
      </c>
      <c r="I2904" s="16">
        <f>ABS(Solieusap!I2904)</f>
        <v>12.62727735</v>
      </c>
      <c r="J2904" s="16">
        <f>ABS(Solieusap!J2904)</f>
        <v>8.471800818</v>
      </c>
      <c r="K2904" s="16">
        <f t="shared" si="1"/>
        <v>33.86007844</v>
      </c>
      <c r="L2904" s="16">
        <f t="shared" si="2"/>
        <v>12.62727735</v>
      </c>
    </row>
    <row r="2905" ht="16.5" customHeight="1">
      <c r="A2905" s="15" t="str">
        <f>Solieusap!A2905</f>
        <v>Cũ</v>
      </c>
      <c r="B2905" s="15">
        <f>Solieusap!B2905</f>
        <v>0</v>
      </c>
      <c r="C2905" s="15" t="str">
        <f>Solieusap!C2905</f>
        <v>COMB2</v>
      </c>
      <c r="D2905" s="15" t="str">
        <f>Solieusap!D2905</f>
        <v>Combination</v>
      </c>
      <c r="E2905" s="16">
        <f>ABS(Solieusap!E2905)</f>
        <v>33.87693481</v>
      </c>
      <c r="F2905" s="16">
        <f>ABS(Solieusap!F2905)</f>
        <v>3.314539654</v>
      </c>
      <c r="G2905" s="16">
        <f>ABS(Solieusap!G2905)</f>
        <v>4.440308485</v>
      </c>
      <c r="H2905" s="16">
        <f>ABS(Solieusap!H2905)</f>
        <v>0.002028184883</v>
      </c>
      <c r="I2905" s="16">
        <f>ABS(Solieusap!I2905)</f>
        <v>12.63407214</v>
      </c>
      <c r="J2905" s="16">
        <f>ABS(Solieusap!J2905)</f>
        <v>8.47634787</v>
      </c>
      <c r="K2905" s="16">
        <f t="shared" si="1"/>
        <v>33.87693481</v>
      </c>
      <c r="L2905" s="16">
        <f t="shared" si="2"/>
        <v>12.63407214</v>
      </c>
    </row>
    <row r="2906" ht="16.5" customHeight="1">
      <c r="A2906" s="15" t="str">
        <f>Solieusap!A2906</f>
        <v>Cũ</v>
      </c>
      <c r="B2906" s="15">
        <f>Solieusap!B2906</f>
        <v>1.75</v>
      </c>
      <c r="C2906" s="15" t="str">
        <f>Solieusap!C2906</f>
        <v>COMB2</v>
      </c>
      <c r="D2906" s="15" t="str">
        <f>Solieusap!D2906</f>
        <v>Combination</v>
      </c>
      <c r="E2906" s="16">
        <f>ABS(Solieusap!E2906)</f>
        <v>33.89379117</v>
      </c>
      <c r="F2906" s="16">
        <f>ABS(Solieusap!F2906)</f>
        <v>3.316250173</v>
      </c>
      <c r="G2906" s="16">
        <f>ABS(Solieusap!G2906)</f>
        <v>4.4425729</v>
      </c>
      <c r="H2906" s="16">
        <f>ABS(Solieusap!H2906)</f>
        <v>0.002029239987</v>
      </c>
      <c r="I2906" s="16">
        <f>ABS(Solieusap!I2906)</f>
        <v>12.64086693</v>
      </c>
      <c r="J2906" s="16">
        <f>ABS(Solieusap!J2906)</f>
        <v>8.480894922</v>
      </c>
      <c r="K2906" s="16">
        <f t="shared" si="1"/>
        <v>33.89379117</v>
      </c>
      <c r="L2906" s="16">
        <f t="shared" si="2"/>
        <v>12.64086693</v>
      </c>
    </row>
    <row r="2907" ht="16.5" customHeight="1">
      <c r="A2907" s="15" t="str">
        <f>Solieusap!A2907</f>
        <v>Cũ</v>
      </c>
      <c r="B2907" s="15">
        <f>Solieusap!B2907</f>
        <v>3.5</v>
      </c>
      <c r="C2907" s="15" t="str">
        <f>Solieusap!C2907</f>
        <v>COMB2</v>
      </c>
      <c r="D2907" s="15" t="str">
        <f>Solieusap!D2907</f>
        <v>Combination</v>
      </c>
      <c r="E2907" s="16">
        <f>ABS(Solieusap!E2907)</f>
        <v>33.91064753</v>
      </c>
      <c r="F2907" s="16">
        <f>ABS(Solieusap!F2907)</f>
        <v>3.317960693</v>
      </c>
      <c r="G2907" s="16">
        <f>ABS(Solieusap!G2907)</f>
        <v>4.444837316</v>
      </c>
      <c r="H2907" s="16">
        <f>ABS(Solieusap!H2907)</f>
        <v>0.002030295091</v>
      </c>
      <c r="I2907" s="16">
        <f>ABS(Solieusap!I2907)</f>
        <v>12.64766172</v>
      </c>
      <c r="J2907" s="16">
        <f>ABS(Solieusap!J2907)</f>
        <v>8.485441974</v>
      </c>
      <c r="K2907" s="16">
        <f t="shared" si="1"/>
        <v>33.91064753</v>
      </c>
      <c r="L2907" s="16">
        <f t="shared" si="2"/>
        <v>12.64766172</v>
      </c>
    </row>
    <row r="2908" ht="16.5" customHeight="1">
      <c r="A2908" s="15" t="str">
        <f>Solieusap!A2908</f>
        <v>Cũ</v>
      </c>
      <c r="B2908" s="15">
        <f>Solieusap!B2908</f>
        <v>0</v>
      </c>
      <c r="C2908" s="15" t="str">
        <f>Solieusap!C2908</f>
        <v>COMB3</v>
      </c>
      <c r="D2908" s="15" t="str">
        <f>Solieusap!D2908</f>
        <v>Combination</v>
      </c>
      <c r="E2908" s="16">
        <f>ABS(Solieusap!E2908)</f>
        <v>33.9275039</v>
      </c>
      <c r="F2908" s="16">
        <f>ABS(Solieusap!F2908)</f>
        <v>3.319671212</v>
      </c>
      <c r="G2908" s="16">
        <f>ABS(Solieusap!G2908)</f>
        <v>4.447101732</v>
      </c>
      <c r="H2908" s="16">
        <f>ABS(Solieusap!H2908)</f>
        <v>0.002031350195</v>
      </c>
      <c r="I2908" s="16">
        <f>ABS(Solieusap!I2908)</f>
        <v>12.65445652</v>
      </c>
      <c r="J2908" s="16">
        <f>ABS(Solieusap!J2908)</f>
        <v>8.489989026</v>
      </c>
      <c r="K2908" s="16">
        <f t="shared" si="1"/>
        <v>33.9275039</v>
      </c>
      <c r="L2908" s="16">
        <f t="shared" si="2"/>
        <v>12.65445652</v>
      </c>
    </row>
    <row r="2909" ht="16.5" customHeight="1">
      <c r="A2909" s="15" t="str">
        <f>Solieusap!A2909</f>
        <v>Cũ</v>
      </c>
      <c r="B2909" s="15">
        <f>Solieusap!B2909</f>
        <v>1.75</v>
      </c>
      <c r="C2909" s="15" t="str">
        <f>Solieusap!C2909</f>
        <v>COMB3</v>
      </c>
      <c r="D2909" s="15" t="str">
        <f>Solieusap!D2909</f>
        <v>Combination</v>
      </c>
      <c r="E2909" s="16">
        <f>ABS(Solieusap!E2909)</f>
        <v>33.94436026</v>
      </c>
      <c r="F2909" s="16">
        <f>ABS(Solieusap!F2909)</f>
        <v>3.321381732</v>
      </c>
      <c r="G2909" s="16">
        <f>ABS(Solieusap!G2909)</f>
        <v>4.449366147</v>
      </c>
      <c r="H2909" s="16">
        <f>ABS(Solieusap!H2909)</f>
        <v>0.002032405299</v>
      </c>
      <c r="I2909" s="16">
        <f>ABS(Solieusap!I2909)</f>
        <v>12.66125131</v>
      </c>
      <c r="J2909" s="16">
        <f>ABS(Solieusap!J2909)</f>
        <v>8.494536078</v>
      </c>
      <c r="K2909" s="16">
        <f t="shared" si="1"/>
        <v>33.94436026</v>
      </c>
      <c r="L2909" s="16">
        <f t="shared" si="2"/>
        <v>12.66125131</v>
      </c>
    </row>
    <row r="2910" ht="16.5" customHeight="1">
      <c r="A2910" s="15" t="str">
        <f>Solieusap!A2910</f>
        <v>Cũ</v>
      </c>
      <c r="B2910" s="15">
        <f>Solieusap!B2910</f>
        <v>3.5</v>
      </c>
      <c r="C2910" s="15" t="str">
        <f>Solieusap!C2910</f>
        <v>COMB3</v>
      </c>
      <c r="D2910" s="15" t="str">
        <f>Solieusap!D2910</f>
        <v>Combination</v>
      </c>
      <c r="E2910" s="16">
        <f>ABS(Solieusap!E2910)</f>
        <v>33.96121662</v>
      </c>
      <c r="F2910" s="16">
        <f>ABS(Solieusap!F2910)</f>
        <v>3.323092251</v>
      </c>
      <c r="G2910" s="16">
        <f>ABS(Solieusap!G2910)</f>
        <v>4.451630563</v>
      </c>
      <c r="H2910" s="16">
        <f>ABS(Solieusap!H2910)</f>
        <v>0.002033460403</v>
      </c>
      <c r="I2910" s="16">
        <f>ABS(Solieusap!I2910)</f>
        <v>12.6680461</v>
      </c>
      <c r="J2910" s="16">
        <f>ABS(Solieusap!J2910)</f>
        <v>8.49908313</v>
      </c>
      <c r="K2910" s="16">
        <f t="shared" si="1"/>
        <v>33.96121662</v>
      </c>
      <c r="L2910" s="16">
        <f t="shared" si="2"/>
        <v>12.6680461</v>
      </c>
    </row>
    <row r="2911" ht="16.5" customHeight="1">
      <c r="A2911" s="15" t="str">
        <f>Solieusap!A2911</f>
        <v>Cũ</v>
      </c>
      <c r="B2911" s="15">
        <f>Solieusap!B2911</f>
        <v>0</v>
      </c>
      <c r="C2911" s="15" t="str">
        <f>Solieusap!C2911</f>
        <v>COMB4</v>
      </c>
      <c r="D2911" s="15" t="str">
        <f>Solieusap!D2911</f>
        <v>Combination</v>
      </c>
      <c r="E2911" s="16">
        <f>ABS(Solieusap!E2911)</f>
        <v>33.97807299</v>
      </c>
      <c r="F2911" s="16">
        <f>ABS(Solieusap!F2911)</f>
        <v>3.324802771</v>
      </c>
      <c r="G2911" s="16">
        <f>ABS(Solieusap!G2911)</f>
        <v>4.453894978</v>
      </c>
      <c r="H2911" s="16">
        <f>ABS(Solieusap!H2911)</f>
        <v>0.002034515506</v>
      </c>
      <c r="I2911" s="16">
        <f>ABS(Solieusap!I2911)</f>
        <v>12.67484089</v>
      </c>
      <c r="J2911" s="16">
        <f>ABS(Solieusap!J2911)</f>
        <v>8.503630182</v>
      </c>
      <c r="K2911" s="16">
        <f t="shared" si="1"/>
        <v>33.97807299</v>
      </c>
      <c r="L2911" s="16">
        <f t="shared" si="2"/>
        <v>12.67484089</v>
      </c>
    </row>
    <row r="2912" ht="16.5" customHeight="1">
      <c r="A2912" s="15" t="str">
        <f>Solieusap!A2912</f>
        <v>Cũ</v>
      </c>
      <c r="B2912" s="15">
        <f>Solieusap!B2912</f>
        <v>1.75</v>
      </c>
      <c r="C2912" s="15" t="str">
        <f>Solieusap!C2912</f>
        <v>COMB4</v>
      </c>
      <c r="D2912" s="15" t="str">
        <f>Solieusap!D2912</f>
        <v>Combination</v>
      </c>
      <c r="E2912" s="16">
        <f>ABS(Solieusap!E2912)</f>
        <v>33.99492935</v>
      </c>
      <c r="F2912" s="16">
        <f>ABS(Solieusap!F2912)</f>
        <v>3.32651329</v>
      </c>
      <c r="G2912" s="16">
        <f>ABS(Solieusap!G2912)</f>
        <v>4.456159394</v>
      </c>
      <c r="H2912" s="16">
        <f>ABS(Solieusap!H2912)</f>
        <v>0.00203557061</v>
      </c>
      <c r="I2912" s="16">
        <f>ABS(Solieusap!I2912)</f>
        <v>12.68163568</v>
      </c>
      <c r="J2912" s="16">
        <f>ABS(Solieusap!J2912)</f>
        <v>8.508177234</v>
      </c>
      <c r="K2912" s="16">
        <f t="shared" si="1"/>
        <v>33.99492935</v>
      </c>
      <c r="L2912" s="16">
        <f t="shared" si="2"/>
        <v>12.68163568</v>
      </c>
    </row>
    <row r="2913" ht="16.5" customHeight="1">
      <c r="A2913" s="15" t="str">
        <f>Solieusap!A2913</f>
        <v>Cũ</v>
      </c>
      <c r="B2913" s="15">
        <f>Solieusap!B2913</f>
        <v>3.5</v>
      </c>
      <c r="C2913" s="15" t="str">
        <f>Solieusap!C2913</f>
        <v>COMB4</v>
      </c>
      <c r="D2913" s="15" t="str">
        <f>Solieusap!D2913</f>
        <v>Combination</v>
      </c>
      <c r="E2913" s="16">
        <f>ABS(Solieusap!E2913)</f>
        <v>34.01178571</v>
      </c>
      <c r="F2913" s="16">
        <f>ABS(Solieusap!F2913)</f>
        <v>3.32822381</v>
      </c>
      <c r="G2913" s="16">
        <f>ABS(Solieusap!G2913)</f>
        <v>4.45842381</v>
      </c>
      <c r="H2913" s="16">
        <f>ABS(Solieusap!H2913)</f>
        <v>0.002036625714</v>
      </c>
      <c r="I2913" s="16">
        <f>ABS(Solieusap!I2913)</f>
        <v>12.68843048</v>
      </c>
      <c r="J2913" s="16">
        <f>ABS(Solieusap!J2913)</f>
        <v>8.512724286</v>
      </c>
      <c r="K2913" s="16">
        <f t="shared" si="1"/>
        <v>34.01178571</v>
      </c>
      <c r="L2913" s="16">
        <f t="shared" si="2"/>
        <v>12.68843048</v>
      </c>
    </row>
    <row r="2914" ht="16.5" customHeight="1">
      <c r="A2914" s="15" t="str">
        <f>Solieusap!A2914</f>
        <v>Cũ</v>
      </c>
      <c r="B2914" s="15">
        <f>Solieusap!B2914</f>
        <v>0</v>
      </c>
      <c r="C2914" s="15" t="str">
        <f>Solieusap!C2914</f>
        <v>COMB5</v>
      </c>
      <c r="D2914" s="15" t="str">
        <f>Solieusap!D2914</f>
        <v>Combination</v>
      </c>
      <c r="E2914" s="16">
        <f>ABS(Solieusap!E2914)</f>
        <v>34.02864208</v>
      </c>
      <c r="F2914" s="16">
        <f>ABS(Solieusap!F2914)</f>
        <v>3.329934329</v>
      </c>
      <c r="G2914" s="16">
        <f>ABS(Solieusap!G2914)</f>
        <v>4.460688225</v>
      </c>
      <c r="H2914" s="16">
        <f>ABS(Solieusap!H2914)</f>
        <v>0.002037680818</v>
      </c>
      <c r="I2914" s="16">
        <f>ABS(Solieusap!I2914)</f>
        <v>12.69522527</v>
      </c>
      <c r="J2914" s="16">
        <f>ABS(Solieusap!J2914)</f>
        <v>8.517271338</v>
      </c>
      <c r="K2914" s="16">
        <f t="shared" si="1"/>
        <v>34.02864208</v>
      </c>
      <c r="L2914" s="16">
        <f t="shared" si="2"/>
        <v>12.69522527</v>
      </c>
    </row>
    <row r="2915" ht="16.5" customHeight="1">
      <c r="A2915" s="15" t="str">
        <f>Solieusap!A2915</f>
        <v>Cũ</v>
      </c>
      <c r="B2915" s="15">
        <f>Solieusap!B2915</f>
        <v>1.75</v>
      </c>
      <c r="C2915" s="15" t="str">
        <f>Solieusap!C2915</f>
        <v>COMB5</v>
      </c>
      <c r="D2915" s="15" t="str">
        <f>Solieusap!D2915</f>
        <v>Combination</v>
      </c>
      <c r="E2915" s="16">
        <f>ABS(Solieusap!E2915)</f>
        <v>34.04549844</v>
      </c>
      <c r="F2915" s="16">
        <f>ABS(Solieusap!F2915)</f>
        <v>3.331644848</v>
      </c>
      <c r="G2915" s="16">
        <f>ABS(Solieusap!G2915)</f>
        <v>4.462952641</v>
      </c>
      <c r="H2915" s="16">
        <f>ABS(Solieusap!H2915)</f>
        <v>0.002038735922</v>
      </c>
      <c r="I2915" s="16">
        <f>ABS(Solieusap!I2915)</f>
        <v>12.70202006</v>
      </c>
      <c r="J2915" s="16">
        <f>ABS(Solieusap!J2915)</f>
        <v>8.52181839</v>
      </c>
      <c r="K2915" s="16">
        <f t="shared" si="1"/>
        <v>34.04549844</v>
      </c>
      <c r="L2915" s="16">
        <f t="shared" si="2"/>
        <v>12.70202006</v>
      </c>
    </row>
    <row r="2916" ht="16.5" customHeight="1">
      <c r="A2916" s="15" t="str">
        <f>Solieusap!A2916</f>
        <v>Cũ</v>
      </c>
      <c r="B2916" s="15">
        <f>Solieusap!B2916</f>
        <v>3.5</v>
      </c>
      <c r="C2916" s="15" t="str">
        <f>Solieusap!C2916</f>
        <v>COMB5</v>
      </c>
      <c r="D2916" s="15" t="str">
        <f>Solieusap!D2916</f>
        <v>Combination</v>
      </c>
      <c r="E2916" s="16">
        <f>ABS(Solieusap!E2916)</f>
        <v>34.06235481</v>
      </c>
      <c r="F2916" s="16">
        <f>ABS(Solieusap!F2916)</f>
        <v>3.333355368</v>
      </c>
      <c r="G2916" s="16">
        <f>ABS(Solieusap!G2916)</f>
        <v>4.465217056</v>
      </c>
      <c r="H2916" s="16">
        <f>ABS(Solieusap!H2916)</f>
        <v>0.002039791026</v>
      </c>
      <c r="I2916" s="16">
        <f>ABS(Solieusap!I2916)</f>
        <v>12.70881485</v>
      </c>
      <c r="J2916" s="16">
        <f>ABS(Solieusap!J2916)</f>
        <v>8.526365442</v>
      </c>
      <c r="K2916" s="16">
        <f t="shared" si="1"/>
        <v>34.06235481</v>
      </c>
      <c r="L2916" s="16">
        <f t="shared" si="2"/>
        <v>12.70881485</v>
      </c>
    </row>
    <row r="2917" ht="16.5" customHeight="1">
      <c r="A2917" s="15" t="str">
        <f>Solieusap!A2917</f>
        <v>Cũ</v>
      </c>
      <c r="B2917" s="15">
        <f>Solieusap!B2917</f>
        <v>0</v>
      </c>
      <c r="C2917" s="15" t="str">
        <f>Solieusap!C2917</f>
        <v>COMB6</v>
      </c>
      <c r="D2917" s="15" t="str">
        <f>Solieusap!D2917</f>
        <v>Combination</v>
      </c>
      <c r="E2917" s="16">
        <f>ABS(Solieusap!E2917)</f>
        <v>34.07921117</v>
      </c>
      <c r="F2917" s="16">
        <f>ABS(Solieusap!F2917)</f>
        <v>3.335065887</v>
      </c>
      <c r="G2917" s="16">
        <f>ABS(Solieusap!G2917)</f>
        <v>4.467481472</v>
      </c>
      <c r="H2917" s="16">
        <f>ABS(Solieusap!H2917)</f>
        <v>0.00204084613</v>
      </c>
      <c r="I2917" s="16">
        <f>ABS(Solieusap!I2917)</f>
        <v>12.71560965</v>
      </c>
      <c r="J2917" s="16">
        <f>ABS(Solieusap!J2917)</f>
        <v>8.530912494</v>
      </c>
      <c r="K2917" s="16">
        <f t="shared" si="1"/>
        <v>34.07921117</v>
      </c>
      <c r="L2917" s="16">
        <f t="shared" si="2"/>
        <v>12.71560965</v>
      </c>
    </row>
    <row r="2918" ht="16.5" customHeight="1">
      <c r="A2918" s="15" t="str">
        <f>Solieusap!A2918</f>
        <v>Cũ</v>
      </c>
      <c r="B2918" s="15">
        <f>Solieusap!B2918</f>
        <v>1.75</v>
      </c>
      <c r="C2918" s="15" t="str">
        <f>Solieusap!C2918</f>
        <v>COMB6</v>
      </c>
      <c r="D2918" s="15" t="str">
        <f>Solieusap!D2918</f>
        <v>Combination</v>
      </c>
      <c r="E2918" s="16">
        <f>ABS(Solieusap!E2918)</f>
        <v>34.09606753</v>
      </c>
      <c r="F2918" s="16">
        <f>ABS(Solieusap!F2918)</f>
        <v>3.336776407</v>
      </c>
      <c r="G2918" s="16">
        <f>ABS(Solieusap!G2918)</f>
        <v>4.469745887</v>
      </c>
      <c r="H2918" s="16">
        <f>ABS(Solieusap!H2918)</f>
        <v>0.002041901234</v>
      </c>
      <c r="I2918" s="16">
        <f>ABS(Solieusap!I2918)</f>
        <v>12.72240444</v>
      </c>
      <c r="J2918" s="16">
        <f>ABS(Solieusap!J2918)</f>
        <v>8.535459545</v>
      </c>
      <c r="K2918" s="16">
        <f t="shared" si="1"/>
        <v>34.09606753</v>
      </c>
      <c r="L2918" s="16">
        <f t="shared" si="2"/>
        <v>12.72240444</v>
      </c>
    </row>
    <row r="2919" ht="16.5" customHeight="1">
      <c r="A2919" s="15" t="str">
        <f>Solieusap!A2919</f>
        <v>Cũ</v>
      </c>
      <c r="B2919" s="15">
        <f>Solieusap!B2919</f>
        <v>3.5</v>
      </c>
      <c r="C2919" s="15" t="str">
        <f>Solieusap!C2919</f>
        <v>COMB6</v>
      </c>
      <c r="D2919" s="15" t="str">
        <f>Solieusap!D2919</f>
        <v>Combination</v>
      </c>
      <c r="E2919" s="16">
        <f>ABS(Solieusap!E2919)</f>
        <v>34.1129239</v>
      </c>
      <c r="F2919" s="16">
        <f>ABS(Solieusap!F2919)</f>
        <v>3.338486926</v>
      </c>
      <c r="G2919" s="16">
        <f>ABS(Solieusap!G2919)</f>
        <v>4.472010303</v>
      </c>
      <c r="H2919" s="16">
        <f>ABS(Solieusap!H2919)</f>
        <v>0.002042956338</v>
      </c>
      <c r="I2919" s="16">
        <f>ABS(Solieusap!I2919)</f>
        <v>12.72919923</v>
      </c>
      <c r="J2919" s="16">
        <f>ABS(Solieusap!J2919)</f>
        <v>8.540006597</v>
      </c>
      <c r="K2919" s="16">
        <f t="shared" si="1"/>
        <v>34.1129239</v>
      </c>
      <c r="L2919" s="16">
        <f t="shared" si="2"/>
        <v>12.72919923</v>
      </c>
    </row>
    <row r="2920" ht="16.5" customHeight="1">
      <c r="A2920" s="15" t="str">
        <f>Solieusap!A2920</f>
        <v>Cũ</v>
      </c>
      <c r="B2920" s="15">
        <f>Solieusap!B2920</f>
        <v>0</v>
      </c>
      <c r="C2920" s="15" t="str">
        <f>Solieusap!C2920</f>
        <v>COMB7</v>
      </c>
      <c r="D2920" s="15" t="str">
        <f>Solieusap!D2920</f>
        <v>Combination</v>
      </c>
      <c r="E2920" s="16">
        <f>ABS(Solieusap!E2920)</f>
        <v>34.12978026</v>
      </c>
      <c r="F2920" s="16">
        <f>ABS(Solieusap!F2920)</f>
        <v>3.340197446</v>
      </c>
      <c r="G2920" s="16">
        <f>ABS(Solieusap!G2920)</f>
        <v>4.474274719</v>
      </c>
      <c r="H2920" s="16">
        <f>ABS(Solieusap!H2920)</f>
        <v>0.002044011442</v>
      </c>
      <c r="I2920" s="16">
        <f>ABS(Solieusap!I2920)</f>
        <v>12.73599402</v>
      </c>
      <c r="J2920" s="16">
        <f>ABS(Solieusap!J2920)</f>
        <v>8.544553649</v>
      </c>
      <c r="K2920" s="16">
        <f t="shared" si="1"/>
        <v>34.12978026</v>
      </c>
      <c r="L2920" s="16">
        <f t="shared" si="2"/>
        <v>12.73599402</v>
      </c>
    </row>
    <row r="2921" ht="16.5" customHeight="1">
      <c r="A2921" s="15" t="str">
        <f>Solieusap!A2921</f>
        <v>Cũ</v>
      </c>
      <c r="B2921" s="15">
        <f>Solieusap!B2921</f>
        <v>1.75</v>
      </c>
      <c r="C2921" s="15" t="str">
        <f>Solieusap!C2921</f>
        <v>COMB7</v>
      </c>
      <c r="D2921" s="15" t="str">
        <f>Solieusap!D2921</f>
        <v>Combination</v>
      </c>
      <c r="E2921" s="16">
        <f>ABS(Solieusap!E2921)</f>
        <v>34.14663662</v>
      </c>
      <c r="F2921" s="16">
        <f>ABS(Solieusap!F2921)</f>
        <v>3.341907965</v>
      </c>
      <c r="G2921" s="16">
        <f>ABS(Solieusap!G2921)</f>
        <v>4.476539134</v>
      </c>
      <c r="H2921" s="16">
        <f>ABS(Solieusap!H2921)</f>
        <v>0.002045066545</v>
      </c>
      <c r="I2921" s="16">
        <f>ABS(Solieusap!I2921)</f>
        <v>12.74278881</v>
      </c>
      <c r="J2921" s="16">
        <f>ABS(Solieusap!J2921)</f>
        <v>8.549100701</v>
      </c>
      <c r="K2921" s="16">
        <f t="shared" si="1"/>
        <v>34.14663662</v>
      </c>
      <c r="L2921" s="16">
        <f t="shared" si="2"/>
        <v>12.74278881</v>
      </c>
    </row>
    <row r="2922" ht="16.5" customHeight="1">
      <c r="A2922" s="15" t="str">
        <f>Solieusap!A2922</f>
        <v>Cũ</v>
      </c>
      <c r="B2922" s="15">
        <f>Solieusap!B2922</f>
        <v>3.5</v>
      </c>
      <c r="C2922" s="15" t="str">
        <f>Solieusap!C2922</f>
        <v>COMB7</v>
      </c>
      <c r="D2922" s="15" t="str">
        <f>Solieusap!D2922</f>
        <v>Combination</v>
      </c>
      <c r="E2922" s="16">
        <f>ABS(Solieusap!E2922)</f>
        <v>34.16349299</v>
      </c>
      <c r="F2922" s="16">
        <f>ABS(Solieusap!F2922)</f>
        <v>3.343618485</v>
      </c>
      <c r="G2922" s="16">
        <f>ABS(Solieusap!G2922)</f>
        <v>4.47880355</v>
      </c>
      <c r="H2922" s="16">
        <f>ABS(Solieusap!H2922)</f>
        <v>0.002046121649</v>
      </c>
      <c r="I2922" s="16">
        <f>ABS(Solieusap!I2922)</f>
        <v>12.74958361</v>
      </c>
      <c r="J2922" s="16">
        <f>ABS(Solieusap!J2922)</f>
        <v>8.553647753</v>
      </c>
      <c r="K2922" s="16">
        <f t="shared" si="1"/>
        <v>34.16349299</v>
      </c>
      <c r="L2922" s="16">
        <f t="shared" si="2"/>
        <v>12.74958361</v>
      </c>
    </row>
    <row r="2923" ht="16.5" customHeight="1">
      <c r="A2923" s="15" t="str">
        <f>Solieusap!A2923</f>
        <v>Cũ</v>
      </c>
      <c r="B2923" s="15">
        <f>Solieusap!B2923</f>
        <v>0</v>
      </c>
      <c r="C2923" s="15" t="str">
        <f>Solieusap!C2923</f>
        <v>COMB1</v>
      </c>
      <c r="D2923" s="15" t="str">
        <f>Solieusap!D2923</f>
        <v>Combination</v>
      </c>
      <c r="E2923" s="16">
        <f>ABS(Solieusap!E2923)</f>
        <v>34.18034935</v>
      </c>
      <c r="F2923" s="16">
        <f>ABS(Solieusap!F2923)</f>
        <v>3.345329004</v>
      </c>
      <c r="G2923" s="16">
        <f>ABS(Solieusap!G2923)</f>
        <v>4.481067965</v>
      </c>
      <c r="H2923" s="16">
        <f>ABS(Solieusap!H2923)</f>
        <v>0.002047176753</v>
      </c>
      <c r="I2923" s="16">
        <f>ABS(Solieusap!I2923)</f>
        <v>12.7563784</v>
      </c>
      <c r="J2923" s="16">
        <f>ABS(Solieusap!J2923)</f>
        <v>8.558194805</v>
      </c>
      <c r="K2923" s="16">
        <f t="shared" si="1"/>
        <v>34.18034935</v>
      </c>
      <c r="L2923" s="16">
        <f t="shared" si="2"/>
        <v>12.7563784</v>
      </c>
    </row>
    <row r="2924" ht="16.5" customHeight="1">
      <c r="A2924" s="15" t="str">
        <f>Solieusap!A2924</f>
        <v>Cũ</v>
      </c>
      <c r="B2924" s="15">
        <f>Solieusap!B2924</f>
        <v>1.75</v>
      </c>
      <c r="C2924" s="15" t="str">
        <f>Solieusap!C2924</f>
        <v>COMB1</v>
      </c>
      <c r="D2924" s="15" t="str">
        <f>Solieusap!D2924</f>
        <v>Combination</v>
      </c>
      <c r="E2924" s="16">
        <f>ABS(Solieusap!E2924)</f>
        <v>34.19720571</v>
      </c>
      <c r="F2924" s="16">
        <f>ABS(Solieusap!F2924)</f>
        <v>3.347039524</v>
      </c>
      <c r="G2924" s="16">
        <f>ABS(Solieusap!G2924)</f>
        <v>4.483332381</v>
      </c>
      <c r="H2924" s="16">
        <f>ABS(Solieusap!H2924)</f>
        <v>0.002048231857</v>
      </c>
      <c r="I2924" s="16">
        <f>ABS(Solieusap!I2924)</f>
        <v>12.76317319</v>
      </c>
      <c r="J2924" s="16">
        <f>ABS(Solieusap!J2924)</f>
        <v>8.562741857</v>
      </c>
      <c r="K2924" s="16">
        <f t="shared" si="1"/>
        <v>34.19720571</v>
      </c>
      <c r="L2924" s="16">
        <f t="shared" si="2"/>
        <v>12.76317319</v>
      </c>
    </row>
    <row r="2925" ht="16.5" customHeight="1">
      <c r="A2925" s="15" t="str">
        <f>Solieusap!A2925</f>
        <v>Cũ</v>
      </c>
      <c r="B2925" s="15">
        <f>Solieusap!B2925</f>
        <v>3.5</v>
      </c>
      <c r="C2925" s="15" t="str">
        <f>Solieusap!C2925</f>
        <v>COMB1</v>
      </c>
      <c r="D2925" s="15" t="str">
        <f>Solieusap!D2925</f>
        <v>Combination</v>
      </c>
      <c r="E2925" s="16">
        <f>ABS(Solieusap!E2925)</f>
        <v>34.21406208</v>
      </c>
      <c r="F2925" s="16">
        <f>ABS(Solieusap!F2925)</f>
        <v>3.348750043</v>
      </c>
      <c r="G2925" s="16">
        <f>ABS(Solieusap!G2925)</f>
        <v>4.485596797</v>
      </c>
      <c r="H2925" s="16">
        <f>ABS(Solieusap!H2925)</f>
        <v>0.002049286961</v>
      </c>
      <c r="I2925" s="16">
        <f>ABS(Solieusap!I2925)</f>
        <v>12.76996798</v>
      </c>
      <c r="J2925" s="16">
        <f>ABS(Solieusap!J2925)</f>
        <v>8.567288909</v>
      </c>
      <c r="K2925" s="16">
        <f t="shared" si="1"/>
        <v>34.21406208</v>
      </c>
      <c r="L2925" s="16">
        <f t="shared" si="2"/>
        <v>12.76996798</v>
      </c>
    </row>
    <row r="2926" ht="16.5" customHeight="1">
      <c r="A2926" s="15" t="str">
        <f>Solieusap!A2926</f>
        <v>Cũ</v>
      </c>
      <c r="B2926" s="15">
        <f>Solieusap!B2926</f>
        <v>0</v>
      </c>
      <c r="C2926" s="15" t="str">
        <f>Solieusap!C2926</f>
        <v>COMB2</v>
      </c>
      <c r="D2926" s="15" t="str">
        <f>Solieusap!D2926</f>
        <v>Combination</v>
      </c>
      <c r="E2926" s="16">
        <f>ABS(Solieusap!E2926)</f>
        <v>34.23091844</v>
      </c>
      <c r="F2926" s="16">
        <f>ABS(Solieusap!F2926)</f>
        <v>3.350460563</v>
      </c>
      <c r="G2926" s="16">
        <f>ABS(Solieusap!G2926)</f>
        <v>4.487861212</v>
      </c>
      <c r="H2926" s="16">
        <f>ABS(Solieusap!H2926)</f>
        <v>0.002050342065</v>
      </c>
      <c r="I2926" s="16">
        <f>ABS(Solieusap!I2926)</f>
        <v>12.77676277</v>
      </c>
      <c r="J2926" s="16">
        <f>ABS(Solieusap!J2926)</f>
        <v>8.571835961</v>
      </c>
      <c r="K2926" s="16">
        <f t="shared" si="1"/>
        <v>34.23091844</v>
      </c>
      <c r="L2926" s="16">
        <f t="shared" si="2"/>
        <v>12.77676277</v>
      </c>
    </row>
    <row r="2927" ht="16.5" customHeight="1">
      <c r="A2927" s="15" t="str">
        <f>Solieusap!A2927</f>
        <v>Cũ</v>
      </c>
      <c r="B2927" s="15">
        <f>Solieusap!B2927</f>
        <v>1.75</v>
      </c>
      <c r="C2927" s="15" t="str">
        <f>Solieusap!C2927</f>
        <v>COMB2</v>
      </c>
      <c r="D2927" s="15" t="str">
        <f>Solieusap!D2927</f>
        <v>Combination</v>
      </c>
      <c r="E2927" s="16">
        <f>ABS(Solieusap!E2927)</f>
        <v>34.24777481</v>
      </c>
      <c r="F2927" s="16">
        <f>ABS(Solieusap!F2927)</f>
        <v>3.352171082</v>
      </c>
      <c r="G2927" s="16">
        <f>ABS(Solieusap!G2927)</f>
        <v>4.490125628</v>
      </c>
      <c r="H2927" s="16">
        <f>ABS(Solieusap!H2927)</f>
        <v>0.002051397169</v>
      </c>
      <c r="I2927" s="16">
        <f>ABS(Solieusap!I2927)</f>
        <v>12.78355757</v>
      </c>
      <c r="J2927" s="16">
        <f>ABS(Solieusap!J2927)</f>
        <v>8.576383013</v>
      </c>
      <c r="K2927" s="16">
        <f t="shared" si="1"/>
        <v>34.24777481</v>
      </c>
      <c r="L2927" s="16">
        <f t="shared" si="2"/>
        <v>12.78355757</v>
      </c>
    </row>
    <row r="2928" ht="16.5" customHeight="1">
      <c r="A2928" s="15" t="str">
        <f>Solieusap!A2928</f>
        <v>Cũ</v>
      </c>
      <c r="B2928" s="15">
        <f>Solieusap!B2928</f>
        <v>3.5</v>
      </c>
      <c r="C2928" s="15" t="str">
        <f>Solieusap!C2928</f>
        <v>COMB2</v>
      </c>
      <c r="D2928" s="15" t="str">
        <f>Solieusap!D2928</f>
        <v>Combination</v>
      </c>
      <c r="E2928" s="16">
        <f>ABS(Solieusap!E2928)</f>
        <v>34.26463117</v>
      </c>
      <c r="F2928" s="16">
        <f>ABS(Solieusap!F2928)</f>
        <v>3.353881602</v>
      </c>
      <c r="G2928" s="16">
        <f>ABS(Solieusap!G2928)</f>
        <v>4.492390043</v>
      </c>
      <c r="H2928" s="16">
        <f>ABS(Solieusap!H2928)</f>
        <v>0.002052452273</v>
      </c>
      <c r="I2928" s="16">
        <f>ABS(Solieusap!I2928)</f>
        <v>12.79035236</v>
      </c>
      <c r="J2928" s="16">
        <f>ABS(Solieusap!J2928)</f>
        <v>8.580930065</v>
      </c>
      <c r="K2928" s="16">
        <f t="shared" si="1"/>
        <v>34.26463117</v>
      </c>
      <c r="L2928" s="16">
        <f t="shared" si="2"/>
        <v>12.79035236</v>
      </c>
    </row>
    <row r="2929" ht="16.5" customHeight="1">
      <c r="A2929" s="15" t="str">
        <f>Solieusap!A2929</f>
        <v>Cũ</v>
      </c>
      <c r="B2929" s="15">
        <f>Solieusap!B2929</f>
        <v>0</v>
      </c>
      <c r="C2929" s="15" t="str">
        <f>Solieusap!C2929</f>
        <v>COMB3</v>
      </c>
      <c r="D2929" s="15" t="str">
        <f>Solieusap!D2929</f>
        <v>Combination</v>
      </c>
      <c r="E2929" s="16">
        <f>ABS(Solieusap!E2929)</f>
        <v>34.28148753</v>
      </c>
      <c r="F2929" s="16">
        <f>ABS(Solieusap!F2929)</f>
        <v>3.355592121</v>
      </c>
      <c r="G2929" s="16">
        <f>ABS(Solieusap!G2929)</f>
        <v>4.494654459</v>
      </c>
      <c r="H2929" s="16">
        <f>ABS(Solieusap!H2929)</f>
        <v>0.002053507377</v>
      </c>
      <c r="I2929" s="16">
        <f>ABS(Solieusap!I2929)</f>
        <v>12.79714715</v>
      </c>
      <c r="J2929" s="16">
        <f>ABS(Solieusap!J2929)</f>
        <v>8.585477117</v>
      </c>
      <c r="K2929" s="16">
        <f t="shared" si="1"/>
        <v>34.28148753</v>
      </c>
      <c r="L2929" s="16">
        <f t="shared" si="2"/>
        <v>12.79714715</v>
      </c>
    </row>
    <row r="2930" ht="16.5" customHeight="1">
      <c r="A2930" s="15" t="str">
        <f>Solieusap!A2930</f>
        <v>Cũ</v>
      </c>
      <c r="B2930" s="15">
        <f>Solieusap!B2930</f>
        <v>1.75</v>
      </c>
      <c r="C2930" s="15" t="str">
        <f>Solieusap!C2930</f>
        <v>COMB3</v>
      </c>
      <c r="D2930" s="15" t="str">
        <f>Solieusap!D2930</f>
        <v>Combination</v>
      </c>
      <c r="E2930" s="16">
        <f>ABS(Solieusap!E2930)</f>
        <v>34.2983439</v>
      </c>
      <c r="F2930" s="16">
        <f>ABS(Solieusap!F2930)</f>
        <v>3.357302641</v>
      </c>
      <c r="G2930" s="16">
        <f>ABS(Solieusap!G2930)</f>
        <v>4.496918874</v>
      </c>
      <c r="H2930" s="16">
        <f>ABS(Solieusap!H2930)</f>
        <v>0.002054562481</v>
      </c>
      <c r="I2930" s="16">
        <f>ABS(Solieusap!I2930)</f>
        <v>12.80394194</v>
      </c>
      <c r="J2930" s="16">
        <f>ABS(Solieusap!J2930)</f>
        <v>8.590024169</v>
      </c>
      <c r="K2930" s="16">
        <f t="shared" si="1"/>
        <v>34.2983439</v>
      </c>
      <c r="L2930" s="16">
        <f t="shared" si="2"/>
        <v>12.80394194</v>
      </c>
    </row>
    <row r="2931" ht="16.5" customHeight="1">
      <c r="A2931" s="15" t="str">
        <f>Solieusap!A2931</f>
        <v>Cũ</v>
      </c>
      <c r="B2931" s="15">
        <f>Solieusap!B2931</f>
        <v>3.5</v>
      </c>
      <c r="C2931" s="15" t="str">
        <f>Solieusap!C2931</f>
        <v>COMB3</v>
      </c>
      <c r="D2931" s="15" t="str">
        <f>Solieusap!D2931</f>
        <v>Combination</v>
      </c>
      <c r="E2931" s="16">
        <f>ABS(Solieusap!E2931)</f>
        <v>34.31520026</v>
      </c>
      <c r="F2931" s="16">
        <f>ABS(Solieusap!F2931)</f>
        <v>3.35901316</v>
      </c>
      <c r="G2931" s="16">
        <f>ABS(Solieusap!G2931)</f>
        <v>4.49918329</v>
      </c>
      <c r="H2931" s="16">
        <f>ABS(Solieusap!H2931)</f>
        <v>0.002055617584</v>
      </c>
      <c r="I2931" s="16">
        <f>ABS(Solieusap!I2931)</f>
        <v>12.81073674</v>
      </c>
      <c r="J2931" s="16">
        <f>ABS(Solieusap!J2931)</f>
        <v>8.594571221</v>
      </c>
      <c r="K2931" s="16">
        <f t="shared" si="1"/>
        <v>34.31520026</v>
      </c>
      <c r="L2931" s="16">
        <f t="shared" si="2"/>
        <v>12.81073674</v>
      </c>
    </row>
    <row r="2932" ht="16.5" customHeight="1">
      <c r="A2932" s="15" t="str">
        <f>Solieusap!A2932</f>
        <v>Cũ</v>
      </c>
      <c r="B2932" s="15">
        <f>Solieusap!B2932</f>
        <v>0</v>
      </c>
      <c r="C2932" s="15" t="str">
        <f>Solieusap!C2932</f>
        <v>COMB4</v>
      </c>
      <c r="D2932" s="15" t="str">
        <f>Solieusap!D2932</f>
        <v>Combination</v>
      </c>
      <c r="E2932" s="16">
        <f>ABS(Solieusap!E2932)</f>
        <v>34.33205662</v>
      </c>
      <c r="F2932" s="16">
        <f>ABS(Solieusap!F2932)</f>
        <v>3.36072368</v>
      </c>
      <c r="G2932" s="16">
        <f>ABS(Solieusap!G2932)</f>
        <v>4.501447706</v>
      </c>
      <c r="H2932" s="16">
        <f>ABS(Solieusap!H2932)</f>
        <v>0.002056672688</v>
      </c>
      <c r="I2932" s="16">
        <f>ABS(Solieusap!I2932)</f>
        <v>12.81753153</v>
      </c>
      <c r="J2932" s="16">
        <f>ABS(Solieusap!J2932)</f>
        <v>8.599118273</v>
      </c>
      <c r="K2932" s="16">
        <f t="shared" si="1"/>
        <v>34.33205662</v>
      </c>
      <c r="L2932" s="16">
        <f t="shared" si="2"/>
        <v>12.81753153</v>
      </c>
    </row>
    <row r="2933" ht="16.5" customHeight="1">
      <c r="A2933" s="15" t="str">
        <f>Solieusap!A2933</f>
        <v>Cũ</v>
      </c>
      <c r="B2933" s="15">
        <f>Solieusap!B2933</f>
        <v>1.75</v>
      </c>
      <c r="C2933" s="15" t="str">
        <f>Solieusap!C2933</f>
        <v>COMB4</v>
      </c>
      <c r="D2933" s="15" t="str">
        <f>Solieusap!D2933</f>
        <v>Combination</v>
      </c>
      <c r="E2933" s="16">
        <f>ABS(Solieusap!E2933)</f>
        <v>34.34891299</v>
      </c>
      <c r="F2933" s="16">
        <f>ABS(Solieusap!F2933)</f>
        <v>3.362434199</v>
      </c>
      <c r="G2933" s="16">
        <f>ABS(Solieusap!G2933)</f>
        <v>4.503712121</v>
      </c>
      <c r="H2933" s="16">
        <f>ABS(Solieusap!H2933)</f>
        <v>0.002057727792</v>
      </c>
      <c r="I2933" s="16">
        <f>ABS(Solieusap!I2933)</f>
        <v>12.82432632</v>
      </c>
      <c r="J2933" s="16">
        <f>ABS(Solieusap!J2933)</f>
        <v>8.603665325</v>
      </c>
      <c r="K2933" s="16">
        <f t="shared" si="1"/>
        <v>34.34891299</v>
      </c>
      <c r="L2933" s="16">
        <f t="shared" si="2"/>
        <v>12.82432632</v>
      </c>
    </row>
    <row r="2934" ht="16.5" customHeight="1">
      <c r="A2934" s="15" t="str">
        <f>Solieusap!A2934</f>
        <v>Cũ</v>
      </c>
      <c r="B2934" s="15">
        <f>Solieusap!B2934</f>
        <v>3.5</v>
      </c>
      <c r="C2934" s="15" t="str">
        <f>Solieusap!C2934</f>
        <v>COMB4</v>
      </c>
      <c r="D2934" s="15" t="str">
        <f>Solieusap!D2934</f>
        <v>Combination</v>
      </c>
      <c r="E2934" s="16">
        <f>ABS(Solieusap!E2934)</f>
        <v>34.36576935</v>
      </c>
      <c r="F2934" s="16">
        <f>ABS(Solieusap!F2934)</f>
        <v>3.364144719</v>
      </c>
      <c r="G2934" s="16">
        <f>ABS(Solieusap!G2934)</f>
        <v>4.505976537</v>
      </c>
      <c r="H2934" s="16">
        <f>ABS(Solieusap!H2934)</f>
        <v>0.002058782896</v>
      </c>
      <c r="I2934" s="16">
        <f>ABS(Solieusap!I2934)</f>
        <v>12.83112111</v>
      </c>
      <c r="J2934" s="16">
        <f>ABS(Solieusap!J2934)</f>
        <v>8.608212377</v>
      </c>
      <c r="K2934" s="16">
        <f t="shared" si="1"/>
        <v>34.36576935</v>
      </c>
      <c r="L2934" s="16">
        <f t="shared" si="2"/>
        <v>12.83112111</v>
      </c>
    </row>
    <row r="2935" ht="16.5" customHeight="1">
      <c r="A2935" s="15" t="str">
        <f>Solieusap!A2935</f>
        <v>Cũ</v>
      </c>
      <c r="B2935" s="15">
        <f>Solieusap!B2935</f>
        <v>0</v>
      </c>
      <c r="C2935" s="15" t="str">
        <f>Solieusap!C2935</f>
        <v>COMB5</v>
      </c>
      <c r="D2935" s="15" t="str">
        <f>Solieusap!D2935</f>
        <v>Combination</v>
      </c>
      <c r="E2935" s="16">
        <f>ABS(Solieusap!E2935)</f>
        <v>34.38262571</v>
      </c>
      <c r="F2935" s="16">
        <f>ABS(Solieusap!F2935)</f>
        <v>3.365855238</v>
      </c>
      <c r="G2935" s="16">
        <f>ABS(Solieusap!G2935)</f>
        <v>4.508240952</v>
      </c>
      <c r="H2935" s="16">
        <f>ABS(Solieusap!H2935)</f>
        <v>0.002059838</v>
      </c>
      <c r="I2935" s="16">
        <f>ABS(Solieusap!I2935)</f>
        <v>12.8379159</v>
      </c>
      <c r="J2935" s="16">
        <f>ABS(Solieusap!J2935)</f>
        <v>8.612759429</v>
      </c>
      <c r="K2935" s="16">
        <f t="shared" si="1"/>
        <v>34.38262571</v>
      </c>
      <c r="L2935" s="16">
        <f t="shared" si="2"/>
        <v>12.8379159</v>
      </c>
    </row>
    <row r="2936" ht="16.5" customHeight="1">
      <c r="A2936" s="15" t="str">
        <f>Solieusap!A2936</f>
        <v>Cũ</v>
      </c>
      <c r="B2936" s="15">
        <f>Solieusap!B2936</f>
        <v>1.75</v>
      </c>
      <c r="C2936" s="15" t="str">
        <f>Solieusap!C2936</f>
        <v>COMB5</v>
      </c>
      <c r="D2936" s="15" t="str">
        <f>Solieusap!D2936</f>
        <v>Combination</v>
      </c>
      <c r="E2936" s="16">
        <f>ABS(Solieusap!E2936)</f>
        <v>34.39948208</v>
      </c>
      <c r="F2936" s="16">
        <f>ABS(Solieusap!F2936)</f>
        <v>3.367565758</v>
      </c>
      <c r="G2936" s="16">
        <f>ABS(Solieusap!G2936)</f>
        <v>4.510505368</v>
      </c>
      <c r="H2936" s="16">
        <f>ABS(Solieusap!H2936)</f>
        <v>0.002060893104</v>
      </c>
      <c r="I2936" s="16">
        <f>ABS(Solieusap!I2936)</f>
        <v>12.8447107</v>
      </c>
      <c r="J2936" s="16">
        <f>ABS(Solieusap!J2936)</f>
        <v>8.617306481</v>
      </c>
      <c r="K2936" s="16">
        <f t="shared" si="1"/>
        <v>34.39948208</v>
      </c>
      <c r="L2936" s="16">
        <f t="shared" si="2"/>
        <v>12.8447107</v>
      </c>
    </row>
    <row r="2937" ht="16.5" customHeight="1">
      <c r="A2937" s="15" t="str">
        <f>Solieusap!A2937</f>
        <v>Cũ</v>
      </c>
      <c r="B2937" s="15">
        <f>Solieusap!B2937</f>
        <v>3.5</v>
      </c>
      <c r="C2937" s="15" t="str">
        <f>Solieusap!C2937</f>
        <v>COMB5</v>
      </c>
      <c r="D2937" s="15" t="str">
        <f>Solieusap!D2937</f>
        <v>Combination</v>
      </c>
      <c r="E2937" s="16">
        <f>ABS(Solieusap!E2937)</f>
        <v>34.41633844</v>
      </c>
      <c r="F2937" s="16">
        <f>ABS(Solieusap!F2937)</f>
        <v>3.369276277</v>
      </c>
      <c r="G2937" s="16">
        <f>ABS(Solieusap!G2937)</f>
        <v>4.512769784</v>
      </c>
      <c r="H2937" s="16">
        <f>ABS(Solieusap!H2937)</f>
        <v>0.002061948208</v>
      </c>
      <c r="I2937" s="16">
        <f>ABS(Solieusap!I2937)</f>
        <v>12.85150549</v>
      </c>
      <c r="J2937" s="16">
        <f>ABS(Solieusap!J2937)</f>
        <v>8.621853532</v>
      </c>
      <c r="K2937" s="16">
        <f t="shared" si="1"/>
        <v>34.41633844</v>
      </c>
      <c r="L2937" s="16">
        <f t="shared" si="2"/>
        <v>12.85150549</v>
      </c>
    </row>
    <row r="2938" ht="16.5" customHeight="1">
      <c r="A2938" s="15" t="str">
        <f>Solieusap!A2938</f>
        <v>Cũ</v>
      </c>
      <c r="B2938" s="15">
        <f>Solieusap!B2938</f>
        <v>0</v>
      </c>
      <c r="C2938" s="15" t="str">
        <f>Solieusap!C2938</f>
        <v>COMB6</v>
      </c>
      <c r="D2938" s="15" t="str">
        <f>Solieusap!D2938</f>
        <v>Combination</v>
      </c>
      <c r="E2938" s="16">
        <f>ABS(Solieusap!E2938)</f>
        <v>34.43319481</v>
      </c>
      <c r="F2938" s="16">
        <f>ABS(Solieusap!F2938)</f>
        <v>3.370986797</v>
      </c>
      <c r="G2938" s="16">
        <f>ABS(Solieusap!G2938)</f>
        <v>4.515034199</v>
      </c>
      <c r="H2938" s="16">
        <f>ABS(Solieusap!H2938)</f>
        <v>0.002063003312</v>
      </c>
      <c r="I2938" s="16">
        <f>ABS(Solieusap!I2938)</f>
        <v>12.85830028</v>
      </c>
      <c r="J2938" s="16">
        <f>ABS(Solieusap!J2938)</f>
        <v>8.626400584</v>
      </c>
      <c r="K2938" s="16">
        <f t="shared" si="1"/>
        <v>34.43319481</v>
      </c>
      <c r="L2938" s="16">
        <f t="shared" si="2"/>
        <v>12.85830028</v>
      </c>
    </row>
    <row r="2939" ht="16.5" customHeight="1">
      <c r="A2939" s="15" t="str">
        <f>Solieusap!A2939</f>
        <v>Cũ</v>
      </c>
      <c r="B2939" s="15">
        <f>Solieusap!B2939</f>
        <v>1.75</v>
      </c>
      <c r="C2939" s="15" t="str">
        <f>Solieusap!C2939</f>
        <v>COMB6</v>
      </c>
      <c r="D2939" s="15" t="str">
        <f>Solieusap!D2939</f>
        <v>Combination</v>
      </c>
      <c r="E2939" s="16">
        <f>ABS(Solieusap!E2939)</f>
        <v>34.45005117</v>
      </c>
      <c r="F2939" s="16">
        <f>ABS(Solieusap!F2939)</f>
        <v>3.372697316</v>
      </c>
      <c r="G2939" s="16">
        <f>ABS(Solieusap!G2939)</f>
        <v>4.517298615</v>
      </c>
      <c r="H2939" s="16">
        <f>ABS(Solieusap!H2939)</f>
        <v>0.002064058416</v>
      </c>
      <c r="I2939" s="16">
        <f>ABS(Solieusap!I2939)</f>
        <v>12.86509507</v>
      </c>
      <c r="J2939" s="16">
        <f>ABS(Solieusap!J2939)</f>
        <v>8.630947636</v>
      </c>
      <c r="K2939" s="16">
        <f t="shared" si="1"/>
        <v>34.45005117</v>
      </c>
      <c r="L2939" s="16">
        <f t="shared" si="2"/>
        <v>12.86509507</v>
      </c>
    </row>
    <row r="2940" ht="16.5" customHeight="1">
      <c r="A2940" s="15" t="str">
        <f>Solieusap!A2940</f>
        <v>Cũ</v>
      </c>
      <c r="B2940" s="15">
        <f>Solieusap!B2940</f>
        <v>3.5</v>
      </c>
      <c r="C2940" s="15" t="str">
        <f>Solieusap!C2940</f>
        <v>COMB6</v>
      </c>
      <c r="D2940" s="15" t="str">
        <f>Solieusap!D2940</f>
        <v>Combination</v>
      </c>
      <c r="E2940" s="16">
        <f>ABS(Solieusap!E2940)</f>
        <v>34.46690753</v>
      </c>
      <c r="F2940" s="16">
        <f>ABS(Solieusap!F2940)</f>
        <v>3.374407835</v>
      </c>
      <c r="G2940" s="16">
        <f>ABS(Solieusap!G2940)</f>
        <v>4.51956303</v>
      </c>
      <c r="H2940" s="16">
        <f>ABS(Solieusap!H2940)</f>
        <v>0.002065113519</v>
      </c>
      <c r="I2940" s="16">
        <f>ABS(Solieusap!I2940)</f>
        <v>12.87188987</v>
      </c>
      <c r="J2940" s="16">
        <f>ABS(Solieusap!J2940)</f>
        <v>8.635494688</v>
      </c>
      <c r="K2940" s="16">
        <f t="shared" si="1"/>
        <v>34.46690753</v>
      </c>
      <c r="L2940" s="16">
        <f t="shared" si="2"/>
        <v>12.87188987</v>
      </c>
    </row>
    <row r="2941" ht="16.5" customHeight="1">
      <c r="A2941" s="15" t="str">
        <f>Solieusap!A2941</f>
        <v>Cũ</v>
      </c>
      <c r="B2941" s="15">
        <f>Solieusap!B2941</f>
        <v>0</v>
      </c>
      <c r="C2941" s="15" t="str">
        <f>Solieusap!C2941</f>
        <v>COMB7</v>
      </c>
      <c r="D2941" s="15" t="str">
        <f>Solieusap!D2941</f>
        <v>Combination</v>
      </c>
      <c r="E2941" s="16">
        <f>ABS(Solieusap!E2941)</f>
        <v>34.4837639</v>
      </c>
      <c r="F2941" s="16">
        <f>ABS(Solieusap!F2941)</f>
        <v>3.376118355</v>
      </c>
      <c r="G2941" s="16">
        <f>ABS(Solieusap!G2941)</f>
        <v>4.521827446</v>
      </c>
      <c r="H2941" s="16">
        <f>ABS(Solieusap!H2941)</f>
        <v>0.002066168623</v>
      </c>
      <c r="I2941" s="16">
        <f>ABS(Solieusap!I2941)</f>
        <v>12.87868466</v>
      </c>
      <c r="J2941" s="16">
        <f>ABS(Solieusap!J2941)</f>
        <v>8.64004174</v>
      </c>
      <c r="K2941" s="16">
        <f t="shared" si="1"/>
        <v>34.4837639</v>
      </c>
      <c r="L2941" s="16">
        <f t="shared" si="2"/>
        <v>12.87868466</v>
      </c>
    </row>
    <row r="2942" ht="16.5" customHeight="1">
      <c r="A2942" s="15" t="str">
        <f>Solieusap!A2942</f>
        <v>Cũ</v>
      </c>
      <c r="B2942" s="15">
        <f>Solieusap!B2942</f>
        <v>1.75</v>
      </c>
      <c r="C2942" s="15" t="str">
        <f>Solieusap!C2942</f>
        <v>COMB7</v>
      </c>
      <c r="D2942" s="15" t="str">
        <f>Solieusap!D2942</f>
        <v>Combination</v>
      </c>
      <c r="E2942" s="16">
        <f>ABS(Solieusap!E2942)</f>
        <v>34.50062026</v>
      </c>
      <c r="F2942" s="16">
        <f>ABS(Solieusap!F2942)</f>
        <v>3.377828874</v>
      </c>
      <c r="G2942" s="16">
        <f>ABS(Solieusap!G2942)</f>
        <v>4.524091861</v>
      </c>
      <c r="H2942" s="16">
        <f>ABS(Solieusap!H2942)</f>
        <v>0.002067223727</v>
      </c>
      <c r="I2942" s="16">
        <f>ABS(Solieusap!I2942)</f>
        <v>12.88547945</v>
      </c>
      <c r="J2942" s="16">
        <f>ABS(Solieusap!J2942)</f>
        <v>8.644588792</v>
      </c>
      <c r="K2942" s="16">
        <f t="shared" si="1"/>
        <v>34.50062026</v>
      </c>
      <c r="L2942" s="16">
        <f t="shared" si="2"/>
        <v>12.88547945</v>
      </c>
    </row>
    <row r="2943" ht="16.5" customHeight="1">
      <c r="A2943" s="15" t="str">
        <f>Solieusap!A2943</f>
        <v>Cũ</v>
      </c>
      <c r="B2943" s="15">
        <f>Solieusap!B2943</f>
        <v>3.5</v>
      </c>
      <c r="C2943" s="15" t="str">
        <f>Solieusap!C2943</f>
        <v>COMB7</v>
      </c>
      <c r="D2943" s="15" t="str">
        <f>Solieusap!D2943</f>
        <v>Combination</v>
      </c>
      <c r="E2943" s="16">
        <f>ABS(Solieusap!E2943)</f>
        <v>34.51747662</v>
      </c>
      <c r="F2943" s="16">
        <f>ABS(Solieusap!F2943)</f>
        <v>3.379539394</v>
      </c>
      <c r="G2943" s="16">
        <f>ABS(Solieusap!G2943)</f>
        <v>4.526356277</v>
      </c>
      <c r="H2943" s="16">
        <f>ABS(Solieusap!H2943)</f>
        <v>0.002068278831</v>
      </c>
      <c r="I2943" s="16">
        <f>ABS(Solieusap!I2943)</f>
        <v>12.89227424</v>
      </c>
      <c r="J2943" s="16">
        <f>ABS(Solieusap!J2943)</f>
        <v>8.649135844</v>
      </c>
      <c r="K2943" s="16">
        <f t="shared" si="1"/>
        <v>34.51747662</v>
      </c>
      <c r="L2943" s="16">
        <f t="shared" si="2"/>
        <v>12.89227424</v>
      </c>
    </row>
    <row r="2944" ht="16.5" customHeight="1">
      <c r="A2944" s="15" t="str">
        <f>Solieusap!A2944</f>
        <v>Cũ</v>
      </c>
      <c r="B2944" s="15">
        <f>Solieusap!B2944</f>
        <v>0</v>
      </c>
      <c r="C2944" s="15" t="str">
        <f>Solieusap!C2944</f>
        <v>COMB1</v>
      </c>
      <c r="D2944" s="15" t="str">
        <f>Solieusap!D2944</f>
        <v>Combination</v>
      </c>
      <c r="E2944" s="16">
        <f>ABS(Solieusap!E2944)</f>
        <v>34.53433299</v>
      </c>
      <c r="F2944" s="16">
        <f>ABS(Solieusap!F2944)</f>
        <v>3.381249913</v>
      </c>
      <c r="G2944" s="16">
        <f>ABS(Solieusap!G2944)</f>
        <v>4.528620693</v>
      </c>
      <c r="H2944" s="16">
        <f>ABS(Solieusap!H2944)</f>
        <v>0.002069333935</v>
      </c>
      <c r="I2944" s="16">
        <f>ABS(Solieusap!I2944)</f>
        <v>12.89906903</v>
      </c>
      <c r="J2944" s="16">
        <f>ABS(Solieusap!J2944)</f>
        <v>8.653682896</v>
      </c>
      <c r="K2944" s="16">
        <f t="shared" si="1"/>
        <v>34.53433299</v>
      </c>
      <c r="L2944" s="16">
        <f t="shared" si="2"/>
        <v>12.89906903</v>
      </c>
    </row>
    <row r="2945" ht="16.5" customHeight="1">
      <c r="A2945" s="15" t="str">
        <f>Solieusap!A2945</f>
        <v>Cũ</v>
      </c>
      <c r="B2945" s="15">
        <f>Solieusap!B2945</f>
        <v>1.75</v>
      </c>
      <c r="C2945" s="15" t="str">
        <f>Solieusap!C2945</f>
        <v>COMB1</v>
      </c>
      <c r="D2945" s="15" t="str">
        <f>Solieusap!D2945</f>
        <v>Combination</v>
      </c>
      <c r="E2945" s="16">
        <f>ABS(Solieusap!E2945)</f>
        <v>34.55118935</v>
      </c>
      <c r="F2945" s="16">
        <f>ABS(Solieusap!F2945)</f>
        <v>3.382960433</v>
      </c>
      <c r="G2945" s="16">
        <f>ABS(Solieusap!G2945)</f>
        <v>4.530885108</v>
      </c>
      <c r="H2945" s="16">
        <f>ABS(Solieusap!H2945)</f>
        <v>0.002070389039</v>
      </c>
      <c r="I2945" s="16">
        <f>ABS(Solieusap!I2945)</f>
        <v>12.90586383</v>
      </c>
      <c r="J2945" s="16">
        <f>ABS(Solieusap!J2945)</f>
        <v>8.658229948</v>
      </c>
      <c r="K2945" s="16">
        <f t="shared" si="1"/>
        <v>34.55118935</v>
      </c>
      <c r="L2945" s="16">
        <f t="shared" si="2"/>
        <v>12.90586383</v>
      </c>
    </row>
    <row r="2946" ht="16.5" customHeight="1">
      <c r="A2946" s="15" t="str">
        <f>Solieusap!A2946</f>
        <v>Cũ</v>
      </c>
      <c r="B2946" s="15">
        <f>Solieusap!B2946</f>
        <v>3.5</v>
      </c>
      <c r="C2946" s="15" t="str">
        <f>Solieusap!C2946</f>
        <v>COMB1</v>
      </c>
      <c r="D2946" s="15" t="str">
        <f>Solieusap!D2946</f>
        <v>Combination</v>
      </c>
      <c r="E2946" s="16">
        <f>ABS(Solieusap!E2946)</f>
        <v>34.56804571</v>
      </c>
      <c r="F2946" s="16">
        <f>ABS(Solieusap!F2946)</f>
        <v>3.384670952</v>
      </c>
      <c r="G2946" s="16">
        <f>ABS(Solieusap!G2946)</f>
        <v>4.533149524</v>
      </c>
      <c r="H2946" s="16">
        <f>ABS(Solieusap!H2946)</f>
        <v>0.002071444143</v>
      </c>
      <c r="I2946" s="16">
        <f>ABS(Solieusap!I2946)</f>
        <v>12.91265862</v>
      </c>
      <c r="J2946" s="16">
        <f>ABS(Solieusap!J2946)</f>
        <v>8.662777</v>
      </c>
      <c r="K2946" s="16">
        <f t="shared" si="1"/>
        <v>34.56804571</v>
      </c>
      <c r="L2946" s="16">
        <f t="shared" si="2"/>
        <v>12.91265862</v>
      </c>
    </row>
    <row r="2947" ht="16.5" customHeight="1">
      <c r="A2947" s="15" t="str">
        <f>Solieusap!A2947</f>
        <v>Cũ</v>
      </c>
      <c r="B2947" s="15">
        <f>Solieusap!B2947</f>
        <v>0</v>
      </c>
      <c r="C2947" s="15" t="str">
        <f>Solieusap!C2947</f>
        <v>COMB2</v>
      </c>
      <c r="D2947" s="15" t="str">
        <f>Solieusap!D2947</f>
        <v>Combination</v>
      </c>
      <c r="E2947" s="16">
        <f>ABS(Solieusap!E2947)</f>
        <v>34.58490208</v>
      </c>
      <c r="F2947" s="16">
        <f>ABS(Solieusap!F2947)</f>
        <v>3.386381472</v>
      </c>
      <c r="G2947" s="16">
        <f>ABS(Solieusap!G2947)</f>
        <v>4.535413939</v>
      </c>
      <c r="H2947" s="16">
        <f>ABS(Solieusap!H2947)</f>
        <v>0.002072499247</v>
      </c>
      <c r="I2947" s="16">
        <f>ABS(Solieusap!I2947)</f>
        <v>12.91945341</v>
      </c>
      <c r="J2947" s="16">
        <f>ABS(Solieusap!J2947)</f>
        <v>8.667324052</v>
      </c>
      <c r="K2947" s="16">
        <f t="shared" si="1"/>
        <v>34.58490208</v>
      </c>
      <c r="L2947" s="16">
        <f t="shared" si="2"/>
        <v>12.91945341</v>
      </c>
    </row>
    <row r="2948" ht="16.5" customHeight="1">
      <c r="A2948" s="15" t="str">
        <f>Solieusap!A2948</f>
        <v>Cũ</v>
      </c>
      <c r="B2948" s="15">
        <f>Solieusap!B2948</f>
        <v>1.75</v>
      </c>
      <c r="C2948" s="15" t="str">
        <f>Solieusap!C2948</f>
        <v>COMB2</v>
      </c>
      <c r="D2948" s="15" t="str">
        <f>Solieusap!D2948</f>
        <v>Combination</v>
      </c>
      <c r="E2948" s="16">
        <f>ABS(Solieusap!E2948)</f>
        <v>34.60175844</v>
      </c>
      <c r="F2948" s="16">
        <f>ABS(Solieusap!F2948)</f>
        <v>3.388091991</v>
      </c>
      <c r="G2948" s="16">
        <f>ABS(Solieusap!G2948)</f>
        <v>4.537678355</v>
      </c>
      <c r="H2948" s="16">
        <f>ABS(Solieusap!H2948)</f>
        <v>0.002073554351</v>
      </c>
      <c r="I2948" s="16">
        <f>ABS(Solieusap!I2948)</f>
        <v>12.9262482</v>
      </c>
      <c r="J2948" s="16">
        <f>ABS(Solieusap!J2948)</f>
        <v>8.671871104</v>
      </c>
      <c r="K2948" s="16">
        <f t="shared" si="1"/>
        <v>34.60175844</v>
      </c>
      <c r="L2948" s="16">
        <f t="shared" si="2"/>
        <v>12.9262482</v>
      </c>
    </row>
    <row r="2949" ht="16.5" customHeight="1">
      <c r="A2949" s="15" t="str">
        <f>Solieusap!A2949</f>
        <v>Cũ</v>
      </c>
      <c r="B2949" s="15">
        <f>Solieusap!B2949</f>
        <v>3.5</v>
      </c>
      <c r="C2949" s="15" t="str">
        <f>Solieusap!C2949</f>
        <v>COMB2</v>
      </c>
      <c r="D2949" s="15" t="str">
        <f>Solieusap!D2949</f>
        <v>Combination</v>
      </c>
      <c r="E2949" s="16">
        <f>ABS(Solieusap!E2949)</f>
        <v>34.61861481</v>
      </c>
      <c r="F2949" s="16">
        <f>ABS(Solieusap!F2949)</f>
        <v>3.389802511</v>
      </c>
      <c r="G2949" s="16">
        <f>ABS(Solieusap!G2949)</f>
        <v>4.539942771</v>
      </c>
      <c r="H2949" s="16">
        <f>ABS(Solieusap!H2949)</f>
        <v>0.002074609455</v>
      </c>
      <c r="I2949" s="16">
        <f>ABS(Solieusap!I2949)</f>
        <v>12.933043</v>
      </c>
      <c r="J2949" s="16">
        <f>ABS(Solieusap!J2949)</f>
        <v>8.676418156</v>
      </c>
      <c r="K2949" s="16">
        <f t="shared" si="1"/>
        <v>34.61861481</v>
      </c>
      <c r="L2949" s="16">
        <f t="shared" si="2"/>
        <v>12.933043</v>
      </c>
    </row>
    <row r="2950" ht="16.5" customHeight="1">
      <c r="A2950" s="15" t="str">
        <f>Solieusap!A2950</f>
        <v>Cũ</v>
      </c>
      <c r="B2950" s="15">
        <f>Solieusap!B2950</f>
        <v>0</v>
      </c>
      <c r="C2950" s="15" t="str">
        <f>Solieusap!C2950</f>
        <v>COMB3</v>
      </c>
      <c r="D2950" s="15" t="str">
        <f>Solieusap!D2950</f>
        <v>Combination</v>
      </c>
      <c r="E2950" s="16">
        <f>ABS(Solieusap!E2950)</f>
        <v>34.63547117</v>
      </c>
      <c r="F2950" s="16">
        <f>ABS(Solieusap!F2950)</f>
        <v>3.39151303</v>
      </c>
      <c r="G2950" s="16">
        <f>ABS(Solieusap!G2950)</f>
        <v>4.542207186</v>
      </c>
      <c r="H2950" s="16">
        <f>ABS(Solieusap!H2950)</f>
        <v>0.002075664558</v>
      </c>
      <c r="I2950" s="16">
        <f>ABS(Solieusap!I2950)</f>
        <v>12.93983779</v>
      </c>
      <c r="J2950" s="16">
        <f>ABS(Solieusap!J2950)</f>
        <v>8.680965208</v>
      </c>
      <c r="K2950" s="16">
        <f t="shared" si="1"/>
        <v>34.63547117</v>
      </c>
      <c r="L2950" s="16">
        <f t="shared" si="2"/>
        <v>12.93983779</v>
      </c>
    </row>
    <row r="2951" ht="16.5" customHeight="1">
      <c r="A2951" s="15" t="str">
        <f>Solieusap!A2951</f>
        <v>Cũ</v>
      </c>
      <c r="B2951" s="15">
        <f>Solieusap!B2951</f>
        <v>1.75</v>
      </c>
      <c r="C2951" s="15" t="str">
        <f>Solieusap!C2951</f>
        <v>COMB3</v>
      </c>
      <c r="D2951" s="15" t="str">
        <f>Solieusap!D2951</f>
        <v>Combination</v>
      </c>
      <c r="E2951" s="16">
        <f>ABS(Solieusap!E2951)</f>
        <v>34.65232753</v>
      </c>
      <c r="F2951" s="16">
        <f>ABS(Solieusap!F2951)</f>
        <v>3.39322355</v>
      </c>
      <c r="G2951" s="16">
        <f>ABS(Solieusap!G2951)</f>
        <v>4.544471602</v>
      </c>
      <c r="H2951" s="16">
        <f>ABS(Solieusap!H2951)</f>
        <v>0.002076719662</v>
      </c>
      <c r="I2951" s="16">
        <f>ABS(Solieusap!I2951)</f>
        <v>12.94663258</v>
      </c>
      <c r="J2951" s="16">
        <f>ABS(Solieusap!J2951)</f>
        <v>8.68551226</v>
      </c>
      <c r="K2951" s="16">
        <f t="shared" si="1"/>
        <v>34.65232753</v>
      </c>
      <c r="L2951" s="16">
        <f t="shared" si="2"/>
        <v>12.94663258</v>
      </c>
    </row>
    <row r="2952" ht="16.5" customHeight="1">
      <c r="A2952" s="15" t="str">
        <f>Solieusap!A2952</f>
        <v>Cũ</v>
      </c>
      <c r="B2952" s="15">
        <f>Solieusap!B2952</f>
        <v>3.5</v>
      </c>
      <c r="C2952" s="15" t="str">
        <f>Solieusap!C2952</f>
        <v>COMB3</v>
      </c>
      <c r="D2952" s="15" t="str">
        <f>Solieusap!D2952</f>
        <v>Combination</v>
      </c>
      <c r="E2952" s="16">
        <f>ABS(Solieusap!E2952)</f>
        <v>34.6691839</v>
      </c>
      <c r="F2952" s="16">
        <f>ABS(Solieusap!F2952)</f>
        <v>3.394934069</v>
      </c>
      <c r="G2952" s="16">
        <f>ABS(Solieusap!G2952)</f>
        <v>4.546736017</v>
      </c>
      <c r="H2952" s="16">
        <f>ABS(Solieusap!H2952)</f>
        <v>0.002077774766</v>
      </c>
      <c r="I2952" s="16">
        <f>ABS(Solieusap!I2952)</f>
        <v>12.95342737</v>
      </c>
      <c r="J2952" s="16">
        <f>ABS(Solieusap!J2952)</f>
        <v>8.690059312</v>
      </c>
      <c r="K2952" s="16">
        <f t="shared" si="1"/>
        <v>34.6691839</v>
      </c>
      <c r="L2952" s="16">
        <f t="shared" si="2"/>
        <v>12.95342737</v>
      </c>
    </row>
    <row r="2953" ht="16.5" customHeight="1">
      <c r="A2953" s="15" t="str">
        <f>Solieusap!A2953</f>
        <v>Cũ</v>
      </c>
      <c r="B2953" s="15">
        <f>Solieusap!B2953</f>
        <v>0</v>
      </c>
      <c r="C2953" s="15" t="str">
        <f>Solieusap!C2953</f>
        <v>COMB4</v>
      </c>
      <c r="D2953" s="15" t="str">
        <f>Solieusap!D2953</f>
        <v>Combination</v>
      </c>
      <c r="E2953" s="16">
        <f>ABS(Solieusap!E2953)</f>
        <v>34.68604026</v>
      </c>
      <c r="F2953" s="16">
        <f>ABS(Solieusap!F2953)</f>
        <v>3.396644589</v>
      </c>
      <c r="G2953" s="16">
        <f>ABS(Solieusap!G2953)</f>
        <v>4.549000433</v>
      </c>
      <c r="H2953" s="16">
        <f>ABS(Solieusap!H2953)</f>
        <v>0.00207882987</v>
      </c>
      <c r="I2953" s="16">
        <f>ABS(Solieusap!I2953)</f>
        <v>12.96022216</v>
      </c>
      <c r="J2953" s="16">
        <f>ABS(Solieusap!J2953)</f>
        <v>8.694606364</v>
      </c>
      <c r="K2953" s="16">
        <f t="shared" si="1"/>
        <v>34.68604026</v>
      </c>
      <c r="L2953" s="16">
        <f t="shared" si="2"/>
        <v>12.96022216</v>
      </c>
    </row>
    <row r="2954" ht="16.5" customHeight="1">
      <c r="A2954" s="15" t="str">
        <f>Solieusap!A2954</f>
        <v>Cũ</v>
      </c>
      <c r="B2954" s="15">
        <f>Solieusap!B2954</f>
        <v>1.75</v>
      </c>
      <c r="C2954" s="15" t="str">
        <f>Solieusap!C2954</f>
        <v>COMB4</v>
      </c>
      <c r="D2954" s="15" t="str">
        <f>Solieusap!D2954</f>
        <v>Combination</v>
      </c>
      <c r="E2954" s="16">
        <f>ABS(Solieusap!E2954)</f>
        <v>34.70289662</v>
      </c>
      <c r="F2954" s="16">
        <f>ABS(Solieusap!F2954)</f>
        <v>3.398355108</v>
      </c>
      <c r="G2954" s="16">
        <f>ABS(Solieusap!G2954)</f>
        <v>4.551264848</v>
      </c>
      <c r="H2954" s="16">
        <f>ABS(Solieusap!H2954)</f>
        <v>0.002079884974</v>
      </c>
      <c r="I2954" s="16">
        <f>ABS(Solieusap!I2954)</f>
        <v>12.96701696</v>
      </c>
      <c r="J2954" s="16">
        <f>ABS(Solieusap!J2954)</f>
        <v>8.699153416</v>
      </c>
      <c r="K2954" s="16">
        <f t="shared" si="1"/>
        <v>34.70289662</v>
      </c>
      <c r="L2954" s="16">
        <f t="shared" si="2"/>
        <v>12.96701696</v>
      </c>
    </row>
    <row r="2955" ht="16.5" customHeight="1">
      <c r="A2955" s="15" t="str">
        <f>Solieusap!A2955</f>
        <v>Cũ</v>
      </c>
      <c r="B2955" s="15">
        <f>Solieusap!B2955</f>
        <v>3.5</v>
      </c>
      <c r="C2955" s="15" t="str">
        <f>Solieusap!C2955</f>
        <v>COMB4</v>
      </c>
      <c r="D2955" s="15" t="str">
        <f>Solieusap!D2955</f>
        <v>Combination</v>
      </c>
      <c r="E2955" s="16">
        <f>ABS(Solieusap!E2955)</f>
        <v>34.71975299</v>
      </c>
      <c r="F2955" s="16">
        <f>ABS(Solieusap!F2955)</f>
        <v>3.400065628</v>
      </c>
      <c r="G2955" s="16">
        <f>ABS(Solieusap!G2955)</f>
        <v>4.553529264</v>
      </c>
      <c r="H2955" s="16">
        <f>ABS(Solieusap!H2955)</f>
        <v>0.002080940078</v>
      </c>
      <c r="I2955" s="16">
        <f>ABS(Solieusap!I2955)</f>
        <v>12.97381175</v>
      </c>
      <c r="J2955" s="16">
        <f>ABS(Solieusap!J2955)</f>
        <v>8.703700468</v>
      </c>
      <c r="K2955" s="16">
        <f t="shared" si="1"/>
        <v>34.71975299</v>
      </c>
      <c r="L2955" s="16">
        <f t="shared" si="2"/>
        <v>12.97381175</v>
      </c>
    </row>
    <row r="2956" ht="16.5" customHeight="1">
      <c r="A2956" s="15" t="str">
        <f>Solieusap!A2956</f>
        <v>Cũ</v>
      </c>
      <c r="B2956" s="15">
        <f>Solieusap!B2956</f>
        <v>0</v>
      </c>
      <c r="C2956" s="15" t="str">
        <f>Solieusap!C2956</f>
        <v>COMB5</v>
      </c>
      <c r="D2956" s="15" t="str">
        <f>Solieusap!D2956</f>
        <v>Combination</v>
      </c>
      <c r="E2956" s="16">
        <f>ABS(Solieusap!E2956)</f>
        <v>34.73660935</v>
      </c>
      <c r="F2956" s="16">
        <f>ABS(Solieusap!F2956)</f>
        <v>3.401776147</v>
      </c>
      <c r="G2956" s="16">
        <f>ABS(Solieusap!G2956)</f>
        <v>4.55579368</v>
      </c>
      <c r="H2956" s="16">
        <f>ABS(Solieusap!H2956)</f>
        <v>0.002081995182</v>
      </c>
      <c r="I2956" s="16">
        <f>ABS(Solieusap!I2956)</f>
        <v>12.98060654</v>
      </c>
      <c r="J2956" s="16">
        <f>ABS(Solieusap!J2956)</f>
        <v>8.708247519</v>
      </c>
      <c r="K2956" s="16">
        <f t="shared" si="1"/>
        <v>34.73660935</v>
      </c>
      <c r="L2956" s="16">
        <f t="shared" si="2"/>
        <v>12.98060654</v>
      </c>
    </row>
    <row r="2957" ht="16.5" customHeight="1">
      <c r="A2957" s="15" t="str">
        <f>Solieusap!A2957</f>
        <v>Cũ</v>
      </c>
      <c r="B2957" s="15">
        <f>Solieusap!B2957</f>
        <v>1.75</v>
      </c>
      <c r="C2957" s="15" t="str">
        <f>Solieusap!C2957</f>
        <v>COMB5</v>
      </c>
      <c r="D2957" s="15" t="str">
        <f>Solieusap!D2957</f>
        <v>Combination</v>
      </c>
      <c r="E2957" s="16">
        <f>ABS(Solieusap!E2957)</f>
        <v>34.75346571</v>
      </c>
      <c r="F2957" s="16">
        <f>ABS(Solieusap!F2957)</f>
        <v>3.403486667</v>
      </c>
      <c r="G2957" s="16">
        <f>ABS(Solieusap!G2957)</f>
        <v>4.558058095</v>
      </c>
      <c r="H2957" s="16">
        <f>ABS(Solieusap!H2957)</f>
        <v>0.002083050286</v>
      </c>
      <c r="I2957" s="16">
        <f>ABS(Solieusap!I2957)</f>
        <v>12.98740133</v>
      </c>
      <c r="J2957" s="16">
        <f>ABS(Solieusap!J2957)</f>
        <v>8.712794571</v>
      </c>
      <c r="K2957" s="16">
        <f t="shared" si="1"/>
        <v>34.75346571</v>
      </c>
      <c r="L2957" s="16">
        <f t="shared" si="2"/>
        <v>12.98740133</v>
      </c>
    </row>
    <row r="2958" ht="16.5" customHeight="1">
      <c r="A2958" s="15" t="str">
        <f>Solieusap!A2958</f>
        <v>Cũ</v>
      </c>
      <c r="B2958" s="15">
        <f>Solieusap!B2958</f>
        <v>3.5</v>
      </c>
      <c r="C2958" s="15" t="str">
        <f>Solieusap!C2958</f>
        <v>COMB5</v>
      </c>
      <c r="D2958" s="15" t="str">
        <f>Solieusap!D2958</f>
        <v>Combination</v>
      </c>
      <c r="E2958" s="16">
        <f>ABS(Solieusap!E2958)</f>
        <v>34.77032208</v>
      </c>
      <c r="F2958" s="16">
        <f>ABS(Solieusap!F2958)</f>
        <v>3.405197186</v>
      </c>
      <c r="G2958" s="16">
        <f>ABS(Solieusap!G2958)</f>
        <v>4.560322511</v>
      </c>
      <c r="H2958" s="16">
        <f>ABS(Solieusap!H2958)</f>
        <v>0.00208410539</v>
      </c>
      <c r="I2958" s="16">
        <f>ABS(Solieusap!I2958)</f>
        <v>12.99419613</v>
      </c>
      <c r="J2958" s="16">
        <f>ABS(Solieusap!J2958)</f>
        <v>8.717341623</v>
      </c>
      <c r="K2958" s="16">
        <f t="shared" si="1"/>
        <v>34.77032208</v>
      </c>
      <c r="L2958" s="16">
        <f t="shared" si="2"/>
        <v>12.99419613</v>
      </c>
    </row>
    <row r="2959" ht="16.5" customHeight="1">
      <c r="A2959" s="15" t="str">
        <f>Solieusap!A2959</f>
        <v>Cũ</v>
      </c>
      <c r="B2959" s="15">
        <f>Solieusap!B2959</f>
        <v>0</v>
      </c>
      <c r="C2959" s="15" t="str">
        <f>Solieusap!C2959</f>
        <v>COMB6</v>
      </c>
      <c r="D2959" s="15" t="str">
        <f>Solieusap!D2959</f>
        <v>Combination</v>
      </c>
      <c r="E2959" s="16">
        <f>ABS(Solieusap!E2959)</f>
        <v>34.78717844</v>
      </c>
      <c r="F2959" s="16">
        <f>ABS(Solieusap!F2959)</f>
        <v>3.406907706</v>
      </c>
      <c r="G2959" s="16">
        <f>ABS(Solieusap!G2959)</f>
        <v>4.562586926</v>
      </c>
      <c r="H2959" s="16">
        <f>ABS(Solieusap!H2959)</f>
        <v>0.002085160494</v>
      </c>
      <c r="I2959" s="16">
        <f>ABS(Solieusap!I2959)</f>
        <v>13.00099092</v>
      </c>
      <c r="J2959" s="16">
        <f>ABS(Solieusap!J2959)</f>
        <v>8.721888675</v>
      </c>
      <c r="K2959" s="16">
        <f t="shared" si="1"/>
        <v>34.78717844</v>
      </c>
      <c r="L2959" s="16">
        <f t="shared" si="2"/>
        <v>13.00099092</v>
      </c>
    </row>
    <row r="2960" ht="16.5" customHeight="1">
      <c r="A2960" s="15" t="str">
        <f>Solieusap!A2960</f>
        <v>Cũ</v>
      </c>
      <c r="B2960" s="15">
        <f>Solieusap!B2960</f>
        <v>1.75</v>
      </c>
      <c r="C2960" s="15" t="str">
        <f>Solieusap!C2960</f>
        <v>COMB6</v>
      </c>
      <c r="D2960" s="15" t="str">
        <f>Solieusap!D2960</f>
        <v>Combination</v>
      </c>
      <c r="E2960" s="16">
        <f>ABS(Solieusap!E2960)</f>
        <v>34.80403481</v>
      </c>
      <c r="F2960" s="16">
        <f>ABS(Solieusap!F2960)</f>
        <v>3.408618225</v>
      </c>
      <c r="G2960" s="16">
        <f>ABS(Solieusap!G2960)</f>
        <v>4.564851342</v>
      </c>
      <c r="H2960" s="16">
        <f>ABS(Solieusap!H2960)</f>
        <v>0.002086215597</v>
      </c>
      <c r="I2960" s="16">
        <f>ABS(Solieusap!I2960)</f>
        <v>13.00778571</v>
      </c>
      <c r="J2960" s="16">
        <f>ABS(Solieusap!J2960)</f>
        <v>8.726435727</v>
      </c>
      <c r="K2960" s="16">
        <f t="shared" si="1"/>
        <v>34.80403481</v>
      </c>
      <c r="L2960" s="16">
        <f t="shared" si="2"/>
        <v>13.00778571</v>
      </c>
    </row>
    <row r="2961" ht="16.5" customHeight="1">
      <c r="A2961" s="15" t="str">
        <f>Solieusap!A2961</f>
        <v>Cũ</v>
      </c>
      <c r="B2961" s="15">
        <f>Solieusap!B2961</f>
        <v>3.5</v>
      </c>
      <c r="C2961" s="15" t="str">
        <f>Solieusap!C2961</f>
        <v>COMB6</v>
      </c>
      <c r="D2961" s="15" t="str">
        <f>Solieusap!D2961</f>
        <v>Combination</v>
      </c>
      <c r="E2961" s="16">
        <f>ABS(Solieusap!E2961)</f>
        <v>34.82089117</v>
      </c>
      <c r="F2961" s="16">
        <f>ABS(Solieusap!F2961)</f>
        <v>3.410328745</v>
      </c>
      <c r="G2961" s="16">
        <f>ABS(Solieusap!G2961)</f>
        <v>4.567115758</v>
      </c>
      <c r="H2961" s="16">
        <f>ABS(Solieusap!H2961)</f>
        <v>0.002087270701</v>
      </c>
      <c r="I2961" s="16">
        <f>ABS(Solieusap!I2961)</f>
        <v>13.0145805</v>
      </c>
      <c r="J2961" s="16">
        <f>ABS(Solieusap!J2961)</f>
        <v>8.730982779</v>
      </c>
      <c r="K2961" s="16">
        <f t="shared" si="1"/>
        <v>34.82089117</v>
      </c>
      <c r="L2961" s="16">
        <f t="shared" si="2"/>
        <v>13.0145805</v>
      </c>
    </row>
    <row r="2962" ht="16.5" customHeight="1">
      <c r="A2962" s="15" t="str">
        <f>Solieusap!A2962</f>
        <v>Cũ</v>
      </c>
      <c r="B2962" s="15">
        <f>Solieusap!B2962</f>
        <v>0</v>
      </c>
      <c r="C2962" s="15" t="str">
        <f>Solieusap!C2962</f>
        <v>COMB7</v>
      </c>
      <c r="D2962" s="15" t="str">
        <f>Solieusap!D2962</f>
        <v>Combination</v>
      </c>
      <c r="E2962" s="16">
        <f>ABS(Solieusap!E2962)</f>
        <v>34.83774753</v>
      </c>
      <c r="F2962" s="16">
        <f>ABS(Solieusap!F2962)</f>
        <v>3.412039264</v>
      </c>
      <c r="G2962" s="16">
        <f>ABS(Solieusap!G2962)</f>
        <v>4.569380173</v>
      </c>
      <c r="H2962" s="16">
        <f>ABS(Solieusap!H2962)</f>
        <v>0.002088325805</v>
      </c>
      <c r="I2962" s="16">
        <f>ABS(Solieusap!I2962)</f>
        <v>13.02137529</v>
      </c>
      <c r="J2962" s="16">
        <f>ABS(Solieusap!J2962)</f>
        <v>8.735529831</v>
      </c>
      <c r="K2962" s="16">
        <f t="shared" si="1"/>
        <v>34.83774753</v>
      </c>
      <c r="L2962" s="16">
        <f t="shared" si="2"/>
        <v>13.02137529</v>
      </c>
    </row>
    <row r="2963" ht="16.5" customHeight="1">
      <c r="A2963" s="15" t="str">
        <f>Solieusap!A2963</f>
        <v>Cũ</v>
      </c>
      <c r="B2963" s="15">
        <f>Solieusap!B2963</f>
        <v>1.75</v>
      </c>
      <c r="C2963" s="15" t="str">
        <f>Solieusap!C2963</f>
        <v>COMB7</v>
      </c>
      <c r="D2963" s="15" t="str">
        <f>Solieusap!D2963</f>
        <v>Combination</v>
      </c>
      <c r="E2963" s="16">
        <f>ABS(Solieusap!E2963)</f>
        <v>34.8546039</v>
      </c>
      <c r="F2963" s="16">
        <f>ABS(Solieusap!F2963)</f>
        <v>3.413749784</v>
      </c>
      <c r="G2963" s="16">
        <f>ABS(Solieusap!G2963)</f>
        <v>4.571644589</v>
      </c>
      <c r="H2963" s="16">
        <f>ABS(Solieusap!H2963)</f>
        <v>0.002089380909</v>
      </c>
      <c r="I2963" s="16">
        <f>ABS(Solieusap!I2963)</f>
        <v>13.02817009</v>
      </c>
      <c r="J2963" s="16">
        <f>ABS(Solieusap!J2963)</f>
        <v>8.740076883</v>
      </c>
      <c r="K2963" s="16">
        <f t="shared" si="1"/>
        <v>34.8546039</v>
      </c>
      <c r="L2963" s="16">
        <f t="shared" si="2"/>
        <v>13.02817009</v>
      </c>
    </row>
    <row r="2964" ht="16.5" customHeight="1">
      <c r="A2964" s="15" t="str">
        <f>Solieusap!A2964</f>
        <v>Cũ</v>
      </c>
      <c r="B2964" s="15">
        <f>Solieusap!B2964</f>
        <v>3.5</v>
      </c>
      <c r="C2964" s="15" t="str">
        <f>Solieusap!C2964</f>
        <v>COMB7</v>
      </c>
      <c r="D2964" s="15" t="str">
        <f>Solieusap!D2964</f>
        <v>Combination</v>
      </c>
      <c r="E2964" s="16">
        <f>ABS(Solieusap!E2964)</f>
        <v>34.87146026</v>
      </c>
      <c r="F2964" s="16">
        <f>ABS(Solieusap!F2964)</f>
        <v>3.415460303</v>
      </c>
      <c r="G2964" s="16">
        <f>ABS(Solieusap!G2964)</f>
        <v>4.573909004</v>
      </c>
      <c r="H2964" s="16">
        <f>ABS(Solieusap!H2964)</f>
        <v>0.002090436013</v>
      </c>
      <c r="I2964" s="16">
        <f>ABS(Solieusap!I2964)</f>
        <v>13.03496488</v>
      </c>
      <c r="J2964" s="16">
        <f>ABS(Solieusap!J2964)</f>
        <v>8.744623935</v>
      </c>
      <c r="K2964" s="16">
        <f t="shared" si="1"/>
        <v>34.87146026</v>
      </c>
      <c r="L2964" s="16">
        <f t="shared" si="2"/>
        <v>13.03496488</v>
      </c>
    </row>
    <row r="2965" ht="16.5" customHeight="1">
      <c r="A2965" s="15" t="str">
        <f>Solieusap!A2965</f>
        <v>Cũ</v>
      </c>
      <c r="B2965" s="15">
        <f>Solieusap!B2965</f>
        <v>0</v>
      </c>
      <c r="C2965" s="15" t="str">
        <f>Solieusap!C2965</f>
        <v>COMB1</v>
      </c>
      <c r="D2965" s="15" t="str">
        <f>Solieusap!D2965</f>
        <v>Combination</v>
      </c>
      <c r="E2965" s="16">
        <f>ABS(Solieusap!E2965)</f>
        <v>34.88831662</v>
      </c>
      <c r="F2965" s="16">
        <f>ABS(Solieusap!F2965)</f>
        <v>3.417170823</v>
      </c>
      <c r="G2965" s="16">
        <f>ABS(Solieusap!G2965)</f>
        <v>4.57617342</v>
      </c>
      <c r="H2965" s="16">
        <f>ABS(Solieusap!H2965)</f>
        <v>0.002091491117</v>
      </c>
      <c r="I2965" s="16">
        <f>ABS(Solieusap!I2965)</f>
        <v>13.04175967</v>
      </c>
      <c r="J2965" s="16">
        <f>ABS(Solieusap!J2965)</f>
        <v>8.749170987</v>
      </c>
      <c r="K2965" s="16">
        <f t="shared" si="1"/>
        <v>34.88831662</v>
      </c>
      <c r="L2965" s="16">
        <f t="shared" si="2"/>
        <v>13.04175967</v>
      </c>
    </row>
    <row r="2966" ht="16.5" customHeight="1">
      <c r="A2966" s="15" t="str">
        <f>Solieusap!A2966</f>
        <v>Cũ</v>
      </c>
      <c r="B2966" s="15">
        <f>Solieusap!B2966</f>
        <v>1.75</v>
      </c>
      <c r="C2966" s="15" t="str">
        <f>Solieusap!C2966</f>
        <v>COMB1</v>
      </c>
      <c r="D2966" s="15" t="str">
        <f>Solieusap!D2966</f>
        <v>Combination</v>
      </c>
      <c r="E2966" s="16">
        <f>ABS(Solieusap!E2966)</f>
        <v>34.90517299</v>
      </c>
      <c r="F2966" s="16">
        <f>ABS(Solieusap!F2966)</f>
        <v>3.418881342</v>
      </c>
      <c r="G2966" s="16">
        <f>ABS(Solieusap!G2966)</f>
        <v>4.578437836</v>
      </c>
      <c r="H2966" s="16">
        <f>ABS(Solieusap!H2966)</f>
        <v>0.002092546221</v>
      </c>
      <c r="I2966" s="16">
        <f>ABS(Solieusap!I2966)</f>
        <v>13.04855446</v>
      </c>
      <c r="J2966" s="16">
        <f>ABS(Solieusap!J2966)</f>
        <v>8.753718039</v>
      </c>
      <c r="K2966" s="16">
        <f t="shared" si="1"/>
        <v>34.90517299</v>
      </c>
      <c r="L2966" s="16">
        <f t="shared" si="2"/>
        <v>13.04855446</v>
      </c>
    </row>
    <row r="2967" ht="16.5" customHeight="1">
      <c r="A2967" s="15" t="str">
        <f>Solieusap!A2967</f>
        <v>Cũ</v>
      </c>
      <c r="B2967" s="15">
        <f>Solieusap!B2967</f>
        <v>3.5</v>
      </c>
      <c r="C2967" s="15" t="str">
        <f>Solieusap!C2967</f>
        <v>COMB1</v>
      </c>
      <c r="D2967" s="15" t="str">
        <f>Solieusap!D2967</f>
        <v>Combination</v>
      </c>
      <c r="E2967" s="16">
        <f>ABS(Solieusap!E2967)</f>
        <v>34.92202935</v>
      </c>
      <c r="F2967" s="16">
        <f>ABS(Solieusap!F2967)</f>
        <v>3.420591861</v>
      </c>
      <c r="G2967" s="16">
        <f>ABS(Solieusap!G2967)</f>
        <v>4.580702251</v>
      </c>
      <c r="H2967" s="16">
        <f>ABS(Solieusap!H2967)</f>
        <v>0.002093601325</v>
      </c>
      <c r="I2967" s="16">
        <f>ABS(Solieusap!I2967)</f>
        <v>13.05534926</v>
      </c>
      <c r="J2967" s="16">
        <f>ABS(Solieusap!J2967)</f>
        <v>8.758265091</v>
      </c>
      <c r="K2967" s="16">
        <f t="shared" si="1"/>
        <v>34.92202935</v>
      </c>
      <c r="L2967" s="16">
        <f t="shared" si="2"/>
        <v>13.05534926</v>
      </c>
    </row>
    <row r="2968" ht="16.5" customHeight="1">
      <c r="A2968" s="15" t="str">
        <f>Solieusap!A2968</f>
        <v>Cũ</v>
      </c>
      <c r="B2968" s="15">
        <f>Solieusap!B2968</f>
        <v>0</v>
      </c>
      <c r="C2968" s="15" t="str">
        <f>Solieusap!C2968</f>
        <v>COMB2</v>
      </c>
      <c r="D2968" s="15" t="str">
        <f>Solieusap!D2968</f>
        <v>Combination</v>
      </c>
      <c r="E2968" s="16">
        <f>ABS(Solieusap!E2968)</f>
        <v>34.93888571</v>
      </c>
      <c r="F2968" s="16">
        <f>ABS(Solieusap!F2968)</f>
        <v>3.422302381</v>
      </c>
      <c r="G2968" s="16">
        <f>ABS(Solieusap!G2968)</f>
        <v>4.582966667</v>
      </c>
      <c r="H2968" s="16">
        <f>ABS(Solieusap!H2968)</f>
        <v>0.002094656429</v>
      </c>
      <c r="I2968" s="16">
        <f>ABS(Solieusap!I2968)</f>
        <v>13.06214405</v>
      </c>
      <c r="J2968" s="16">
        <f>ABS(Solieusap!J2968)</f>
        <v>8.762812143</v>
      </c>
      <c r="K2968" s="16">
        <f t="shared" si="1"/>
        <v>34.93888571</v>
      </c>
      <c r="L2968" s="16">
        <f t="shared" si="2"/>
        <v>13.06214405</v>
      </c>
    </row>
    <row r="2969" ht="16.5" customHeight="1">
      <c r="A2969" s="15" t="str">
        <f>Solieusap!A2969</f>
        <v>Cũ</v>
      </c>
      <c r="B2969" s="15">
        <f>Solieusap!B2969</f>
        <v>1.75</v>
      </c>
      <c r="C2969" s="15" t="str">
        <f>Solieusap!C2969</f>
        <v>COMB2</v>
      </c>
      <c r="D2969" s="15" t="str">
        <f>Solieusap!D2969</f>
        <v>Combination</v>
      </c>
      <c r="E2969" s="16">
        <f>ABS(Solieusap!E2969)</f>
        <v>34.95574208</v>
      </c>
      <c r="F2969" s="16">
        <f>ABS(Solieusap!F2969)</f>
        <v>3.4240129</v>
      </c>
      <c r="G2969" s="16">
        <f>ABS(Solieusap!G2969)</f>
        <v>4.585231082</v>
      </c>
      <c r="H2969" s="16">
        <f>ABS(Solieusap!H2969)</f>
        <v>0.002095711532</v>
      </c>
      <c r="I2969" s="16">
        <f>ABS(Solieusap!I2969)</f>
        <v>13.06893884</v>
      </c>
      <c r="J2969" s="16">
        <f>ABS(Solieusap!J2969)</f>
        <v>8.767359195</v>
      </c>
      <c r="K2969" s="16">
        <f t="shared" si="1"/>
        <v>34.95574208</v>
      </c>
      <c r="L2969" s="16">
        <f t="shared" si="2"/>
        <v>13.06893884</v>
      </c>
    </row>
    <row r="2970" ht="16.5" customHeight="1">
      <c r="A2970" s="15" t="str">
        <f>Solieusap!A2970</f>
        <v>Cũ</v>
      </c>
      <c r="B2970" s="15">
        <f>Solieusap!B2970</f>
        <v>3.5</v>
      </c>
      <c r="C2970" s="15" t="str">
        <f>Solieusap!C2970</f>
        <v>COMB2</v>
      </c>
      <c r="D2970" s="15" t="str">
        <f>Solieusap!D2970</f>
        <v>Combination</v>
      </c>
      <c r="E2970" s="16">
        <f>ABS(Solieusap!E2970)</f>
        <v>34.97259844</v>
      </c>
      <c r="F2970" s="16">
        <f>ABS(Solieusap!F2970)</f>
        <v>3.42572342</v>
      </c>
      <c r="G2970" s="16">
        <f>ABS(Solieusap!G2970)</f>
        <v>4.587495498</v>
      </c>
      <c r="H2970" s="16">
        <f>ABS(Solieusap!H2970)</f>
        <v>0.002096766636</v>
      </c>
      <c r="I2970" s="16">
        <f>ABS(Solieusap!I2970)</f>
        <v>13.07573363</v>
      </c>
      <c r="J2970" s="16">
        <f>ABS(Solieusap!J2970)</f>
        <v>8.771906247</v>
      </c>
      <c r="K2970" s="16">
        <f t="shared" si="1"/>
        <v>34.97259844</v>
      </c>
      <c r="L2970" s="16">
        <f t="shared" si="2"/>
        <v>13.07573363</v>
      </c>
    </row>
    <row r="2971" ht="16.5" customHeight="1">
      <c r="A2971" s="15" t="str">
        <f>Solieusap!A2971</f>
        <v>Cũ</v>
      </c>
      <c r="B2971" s="15">
        <f>Solieusap!B2971</f>
        <v>0</v>
      </c>
      <c r="C2971" s="15" t="str">
        <f>Solieusap!C2971</f>
        <v>COMB3</v>
      </c>
      <c r="D2971" s="15" t="str">
        <f>Solieusap!D2971</f>
        <v>Combination</v>
      </c>
      <c r="E2971" s="16">
        <f>ABS(Solieusap!E2971)</f>
        <v>34.98945481</v>
      </c>
      <c r="F2971" s="16">
        <f>ABS(Solieusap!F2971)</f>
        <v>3.427433939</v>
      </c>
      <c r="G2971" s="16">
        <f>ABS(Solieusap!G2971)</f>
        <v>4.589759913</v>
      </c>
      <c r="H2971" s="16">
        <f>ABS(Solieusap!H2971)</f>
        <v>0.00209782174</v>
      </c>
      <c r="I2971" s="16">
        <f>ABS(Solieusap!I2971)</f>
        <v>13.08252842</v>
      </c>
      <c r="J2971" s="16">
        <f>ABS(Solieusap!J2971)</f>
        <v>8.776453299</v>
      </c>
      <c r="K2971" s="16">
        <f t="shared" si="1"/>
        <v>34.98945481</v>
      </c>
      <c r="L2971" s="16">
        <f t="shared" si="2"/>
        <v>13.08252842</v>
      </c>
    </row>
    <row r="2972" ht="16.5" customHeight="1">
      <c r="A2972" s="15" t="str">
        <f>Solieusap!A2972</f>
        <v>Cũ</v>
      </c>
      <c r="B2972" s="15">
        <f>Solieusap!B2972</f>
        <v>1.75</v>
      </c>
      <c r="C2972" s="15" t="str">
        <f>Solieusap!C2972</f>
        <v>COMB3</v>
      </c>
      <c r="D2972" s="15" t="str">
        <f>Solieusap!D2972</f>
        <v>Combination</v>
      </c>
      <c r="E2972" s="16">
        <f>ABS(Solieusap!E2972)</f>
        <v>35.00631117</v>
      </c>
      <c r="F2972" s="16">
        <f>ABS(Solieusap!F2972)</f>
        <v>3.429144459</v>
      </c>
      <c r="G2972" s="16">
        <f>ABS(Solieusap!G2972)</f>
        <v>4.592024329</v>
      </c>
      <c r="H2972" s="16">
        <f>ABS(Solieusap!H2972)</f>
        <v>0.002098876844</v>
      </c>
      <c r="I2972" s="16">
        <f>ABS(Solieusap!I2972)</f>
        <v>13.08932322</v>
      </c>
      <c r="J2972" s="16">
        <f>ABS(Solieusap!J2972)</f>
        <v>8.781000351</v>
      </c>
      <c r="K2972" s="16">
        <f t="shared" si="1"/>
        <v>35.00631117</v>
      </c>
      <c r="L2972" s="16">
        <f t="shared" si="2"/>
        <v>13.08932322</v>
      </c>
    </row>
    <row r="2973" ht="16.5" customHeight="1">
      <c r="A2973" s="15" t="str">
        <f>Solieusap!A2973</f>
        <v>Cũ</v>
      </c>
      <c r="B2973" s="15">
        <f>Solieusap!B2973</f>
        <v>3.5</v>
      </c>
      <c r="C2973" s="15" t="str">
        <f>Solieusap!C2973</f>
        <v>COMB3</v>
      </c>
      <c r="D2973" s="15" t="str">
        <f>Solieusap!D2973</f>
        <v>Combination</v>
      </c>
      <c r="E2973" s="16">
        <f>ABS(Solieusap!E2973)</f>
        <v>35.02316753</v>
      </c>
      <c r="F2973" s="16">
        <f>ABS(Solieusap!F2973)</f>
        <v>3.430854978</v>
      </c>
      <c r="G2973" s="16">
        <f>ABS(Solieusap!G2973)</f>
        <v>4.594288745</v>
      </c>
      <c r="H2973" s="16">
        <f>ABS(Solieusap!H2973)</f>
        <v>0.002099931948</v>
      </c>
      <c r="I2973" s="16">
        <f>ABS(Solieusap!I2973)</f>
        <v>13.09611801</v>
      </c>
      <c r="J2973" s="16">
        <f>ABS(Solieusap!J2973)</f>
        <v>8.785547403</v>
      </c>
      <c r="K2973" s="16">
        <f t="shared" si="1"/>
        <v>35.02316753</v>
      </c>
      <c r="L2973" s="16">
        <f t="shared" si="2"/>
        <v>13.09611801</v>
      </c>
    </row>
    <row r="2974" ht="16.5" customHeight="1">
      <c r="A2974" s="15" t="str">
        <f>Solieusap!A2974</f>
        <v>Cũ</v>
      </c>
      <c r="B2974" s="15">
        <f>Solieusap!B2974</f>
        <v>0</v>
      </c>
      <c r="C2974" s="15" t="str">
        <f>Solieusap!C2974</f>
        <v>COMB4</v>
      </c>
      <c r="D2974" s="15" t="str">
        <f>Solieusap!D2974</f>
        <v>Combination</v>
      </c>
      <c r="E2974" s="16">
        <f>ABS(Solieusap!E2974)</f>
        <v>35.0400239</v>
      </c>
      <c r="F2974" s="16">
        <f>ABS(Solieusap!F2974)</f>
        <v>3.432565498</v>
      </c>
      <c r="G2974" s="16">
        <f>ABS(Solieusap!G2974)</f>
        <v>4.59655316</v>
      </c>
      <c r="H2974" s="16">
        <f>ABS(Solieusap!H2974)</f>
        <v>0.002100987052</v>
      </c>
      <c r="I2974" s="16">
        <f>ABS(Solieusap!I2974)</f>
        <v>13.1029128</v>
      </c>
      <c r="J2974" s="16">
        <f>ABS(Solieusap!J2974)</f>
        <v>8.790094455</v>
      </c>
      <c r="K2974" s="16">
        <f t="shared" si="1"/>
        <v>35.0400239</v>
      </c>
      <c r="L2974" s="16">
        <f t="shared" si="2"/>
        <v>13.1029128</v>
      </c>
    </row>
    <row r="2975" ht="16.5" customHeight="1">
      <c r="A2975" s="15" t="str">
        <f>Solieusap!A2975</f>
        <v>Cũ</v>
      </c>
      <c r="B2975" s="15">
        <f>Solieusap!B2975</f>
        <v>1.75</v>
      </c>
      <c r="C2975" s="15" t="str">
        <f>Solieusap!C2975</f>
        <v>COMB4</v>
      </c>
      <c r="D2975" s="15" t="str">
        <f>Solieusap!D2975</f>
        <v>Combination</v>
      </c>
      <c r="E2975" s="16">
        <f>ABS(Solieusap!E2975)</f>
        <v>35.05688026</v>
      </c>
      <c r="F2975" s="16">
        <f>ABS(Solieusap!F2975)</f>
        <v>3.434276017</v>
      </c>
      <c r="G2975" s="16">
        <f>ABS(Solieusap!G2975)</f>
        <v>4.598817576</v>
      </c>
      <c r="H2975" s="16">
        <f>ABS(Solieusap!H2975)</f>
        <v>0.002102042156</v>
      </c>
      <c r="I2975" s="16">
        <f>ABS(Solieusap!I2975)</f>
        <v>13.10970759</v>
      </c>
      <c r="J2975" s="16">
        <f>ABS(Solieusap!J2975)</f>
        <v>8.794641506</v>
      </c>
      <c r="K2975" s="16">
        <f t="shared" si="1"/>
        <v>35.05688026</v>
      </c>
      <c r="L2975" s="16">
        <f t="shared" si="2"/>
        <v>13.10970759</v>
      </c>
    </row>
    <row r="2976" ht="16.5" customHeight="1">
      <c r="A2976" s="15" t="str">
        <f>Solieusap!A2976</f>
        <v>Cũ</v>
      </c>
      <c r="B2976" s="15">
        <f>Solieusap!B2976</f>
        <v>3.5</v>
      </c>
      <c r="C2976" s="15" t="str">
        <f>Solieusap!C2976</f>
        <v>COMB4</v>
      </c>
      <c r="D2976" s="15" t="str">
        <f>Solieusap!D2976</f>
        <v>Combination</v>
      </c>
      <c r="E2976" s="16">
        <f>ABS(Solieusap!E2976)</f>
        <v>35.07373662</v>
      </c>
      <c r="F2976" s="16">
        <f>ABS(Solieusap!F2976)</f>
        <v>3.435986537</v>
      </c>
      <c r="G2976" s="16">
        <f>ABS(Solieusap!G2976)</f>
        <v>4.601081991</v>
      </c>
      <c r="H2976" s="16">
        <f>ABS(Solieusap!H2976)</f>
        <v>0.00210309726</v>
      </c>
      <c r="I2976" s="16">
        <f>ABS(Solieusap!I2976)</f>
        <v>13.11650239</v>
      </c>
      <c r="J2976" s="16">
        <f>ABS(Solieusap!J2976)</f>
        <v>8.799188558</v>
      </c>
      <c r="K2976" s="16">
        <f t="shared" si="1"/>
        <v>35.07373662</v>
      </c>
      <c r="L2976" s="16">
        <f t="shared" si="2"/>
        <v>13.11650239</v>
      </c>
    </row>
    <row r="2977" ht="16.5" customHeight="1">
      <c r="A2977" s="15" t="str">
        <f>Solieusap!A2977</f>
        <v>Cũ</v>
      </c>
      <c r="B2977" s="15">
        <f>Solieusap!B2977</f>
        <v>0</v>
      </c>
      <c r="C2977" s="15" t="str">
        <f>Solieusap!C2977</f>
        <v>COMB5</v>
      </c>
      <c r="D2977" s="15" t="str">
        <f>Solieusap!D2977</f>
        <v>Combination</v>
      </c>
      <c r="E2977" s="16">
        <f>ABS(Solieusap!E2977)</f>
        <v>35.09059299</v>
      </c>
      <c r="F2977" s="16">
        <f>ABS(Solieusap!F2977)</f>
        <v>3.437697056</v>
      </c>
      <c r="G2977" s="16">
        <f>ABS(Solieusap!G2977)</f>
        <v>4.603346407</v>
      </c>
      <c r="H2977" s="16">
        <f>ABS(Solieusap!H2977)</f>
        <v>0.002104152364</v>
      </c>
      <c r="I2977" s="16">
        <f>ABS(Solieusap!I2977)</f>
        <v>13.12329718</v>
      </c>
      <c r="J2977" s="16">
        <f>ABS(Solieusap!J2977)</f>
        <v>8.80373561</v>
      </c>
      <c r="K2977" s="16">
        <f t="shared" si="1"/>
        <v>35.09059299</v>
      </c>
      <c r="L2977" s="16">
        <f t="shared" si="2"/>
        <v>13.12329718</v>
      </c>
    </row>
    <row r="2978" ht="16.5" customHeight="1">
      <c r="A2978" s="15" t="str">
        <f>Solieusap!A2978</f>
        <v>Cũ</v>
      </c>
      <c r="B2978" s="15">
        <f>Solieusap!B2978</f>
        <v>1.75</v>
      </c>
      <c r="C2978" s="15" t="str">
        <f>Solieusap!C2978</f>
        <v>COMB5</v>
      </c>
      <c r="D2978" s="15" t="str">
        <f>Solieusap!D2978</f>
        <v>Combination</v>
      </c>
      <c r="E2978" s="16">
        <f>ABS(Solieusap!E2978)</f>
        <v>35.10744935</v>
      </c>
      <c r="F2978" s="16">
        <f>ABS(Solieusap!F2978)</f>
        <v>3.439407576</v>
      </c>
      <c r="G2978" s="16">
        <f>ABS(Solieusap!G2978)</f>
        <v>4.605610823</v>
      </c>
      <c r="H2978" s="16">
        <f>ABS(Solieusap!H2978)</f>
        <v>0.002105207468</v>
      </c>
      <c r="I2978" s="16">
        <f>ABS(Solieusap!I2978)</f>
        <v>13.13009197</v>
      </c>
      <c r="J2978" s="16">
        <f>ABS(Solieusap!J2978)</f>
        <v>8.808282662</v>
      </c>
      <c r="K2978" s="16">
        <f t="shared" si="1"/>
        <v>35.10744935</v>
      </c>
      <c r="L2978" s="16">
        <f t="shared" si="2"/>
        <v>13.13009197</v>
      </c>
    </row>
    <row r="2979" ht="16.5" customHeight="1">
      <c r="A2979" s="15" t="str">
        <f>Solieusap!A2979</f>
        <v>Cũ</v>
      </c>
      <c r="B2979" s="15">
        <f>Solieusap!B2979</f>
        <v>3.5</v>
      </c>
      <c r="C2979" s="15" t="str">
        <f>Solieusap!C2979</f>
        <v>COMB5</v>
      </c>
      <c r="D2979" s="15" t="str">
        <f>Solieusap!D2979</f>
        <v>Combination</v>
      </c>
      <c r="E2979" s="16">
        <f>ABS(Solieusap!E2979)</f>
        <v>35.12430571</v>
      </c>
      <c r="F2979" s="16">
        <f>ABS(Solieusap!F2979)</f>
        <v>3.441118095</v>
      </c>
      <c r="G2979" s="16">
        <f>ABS(Solieusap!G2979)</f>
        <v>4.607875238</v>
      </c>
      <c r="H2979" s="16">
        <f>ABS(Solieusap!H2979)</f>
        <v>0.002106262571</v>
      </c>
      <c r="I2979" s="16">
        <f>ABS(Solieusap!I2979)</f>
        <v>13.13688676</v>
      </c>
      <c r="J2979" s="16">
        <f>ABS(Solieusap!J2979)</f>
        <v>8.812829714</v>
      </c>
      <c r="K2979" s="16">
        <f t="shared" si="1"/>
        <v>35.12430571</v>
      </c>
      <c r="L2979" s="16">
        <f t="shared" si="2"/>
        <v>13.13688676</v>
      </c>
    </row>
    <row r="2980" ht="16.5" customHeight="1">
      <c r="A2980" s="15" t="str">
        <f>Solieusap!A2980</f>
        <v>Cũ</v>
      </c>
      <c r="B2980" s="15">
        <f>Solieusap!B2980</f>
        <v>0</v>
      </c>
      <c r="C2980" s="15" t="str">
        <f>Solieusap!C2980</f>
        <v>COMB6</v>
      </c>
      <c r="D2980" s="15" t="str">
        <f>Solieusap!D2980</f>
        <v>Combination</v>
      </c>
      <c r="E2980" s="16">
        <f>ABS(Solieusap!E2980)</f>
        <v>35.14116208</v>
      </c>
      <c r="F2980" s="16">
        <f>ABS(Solieusap!F2980)</f>
        <v>3.442828615</v>
      </c>
      <c r="G2980" s="16">
        <f>ABS(Solieusap!G2980)</f>
        <v>4.610139654</v>
      </c>
      <c r="H2980" s="16">
        <f>ABS(Solieusap!H2980)</f>
        <v>0.002107317675</v>
      </c>
      <c r="I2980" s="16">
        <f>ABS(Solieusap!I2980)</f>
        <v>13.14368155</v>
      </c>
      <c r="J2980" s="16">
        <f>ABS(Solieusap!J2980)</f>
        <v>8.817376766</v>
      </c>
      <c r="K2980" s="16">
        <f t="shared" si="1"/>
        <v>35.14116208</v>
      </c>
      <c r="L2980" s="16">
        <f t="shared" si="2"/>
        <v>13.14368155</v>
      </c>
    </row>
    <row r="2981" ht="16.5" customHeight="1">
      <c r="A2981" s="15" t="str">
        <f>Solieusap!A2981</f>
        <v>Cũ</v>
      </c>
      <c r="B2981" s="15">
        <f>Solieusap!B2981</f>
        <v>1.75</v>
      </c>
      <c r="C2981" s="15" t="str">
        <f>Solieusap!C2981</f>
        <v>COMB6</v>
      </c>
      <c r="D2981" s="15" t="str">
        <f>Solieusap!D2981</f>
        <v>Combination</v>
      </c>
      <c r="E2981" s="16">
        <f>ABS(Solieusap!E2981)</f>
        <v>35.15801844</v>
      </c>
      <c r="F2981" s="16">
        <f>ABS(Solieusap!F2981)</f>
        <v>3.444539134</v>
      </c>
      <c r="G2981" s="16">
        <f>ABS(Solieusap!G2981)</f>
        <v>4.612404069</v>
      </c>
      <c r="H2981" s="16">
        <f>ABS(Solieusap!H2981)</f>
        <v>0.002108372779</v>
      </c>
      <c r="I2981" s="16">
        <f>ABS(Solieusap!I2981)</f>
        <v>13.15047635</v>
      </c>
      <c r="J2981" s="16">
        <f>ABS(Solieusap!J2981)</f>
        <v>8.821923818</v>
      </c>
      <c r="K2981" s="16">
        <f t="shared" si="1"/>
        <v>35.15801844</v>
      </c>
      <c r="L2981" s="16">
        <f t="shared" si="2"/>
        <v>13.15047635</v>
      </c>
    </row>
    <row r="2982" ht="16.5" customHeight="1">
      <c r="A2982" s="15" t="str">
        <f>Solieusap!A2982</f>
        <v>Cũ</v>
      </c>
      <c r="B2982" s="15">
        <f>Solieusap!B2982</f>
        <v>3.5</v>
      </c>
      <c r="C2982" s="15" t="str">
        <f>Solieusap!C2982</f>
        <v>COMB6</v>
      </c>
      <c r="D2982" s="15" t="str">
        <f>Solieusap!D2982</f>
        <v>Combination</v>
      </c>
      <c r="E2982" s="16">
        <f>ABS(Solieusap!E2982)</f>
        <v>35.17487481</v>
      </c>
      <c r="F2982" s="16">
        <f>ABS(Solieusap!F2982)</f>
        <v>3.446249654</v>
      </c>
      <c r="G2982" s="16">
        <f>ABS(Solieusap!G2982)</f>
        <v>4.614668485</v>
      </c>
      <c r="H2982" s="16">
        <f>ABS(Solieusap!H2982)</f>
        <v>0.002109427883</v>
      </c>
      <c r="I2982" s="16">
        <f>ABS(Solieusap!I2982)</f>
        <v>13.15727114</v>
      </c>
      <c r="J2982" s="16">
        <f>ABS(Solieusap!J2982)</f>
        <v>8.82647087</v>
      </c>
      <c r="K2982" s="16">
        <f t="shared" si="1"/>
        <v>35.17487481</v>
      </c>
      <c r="L2982" s="16">
        <f t="shared" si="2"/>
        <v>13.15727114</v>
      </c>
    </row>
    <row r="2983" ht="16.5" customHeight="1">
      <c r="A2983" s="15" t="str">
        <f>Solieusap!A2983</f>
        <v>Cũ</v>
      </c>
      <c r="B2983" s="15">
        <f>Solieusap!B2983</f>
        <v>0</v>
      </c>
      <c r="C2983" s="15" t="str">
        <f>Solieusap!C2983</f>
        <v>COMB7</v>
      </c>
      <c r="D2983" s="15" t="str">
        <f>Solieusap!D2983</f>
        <v>Combination</v>
      </c>
      <c r="E2983" s="16">
        <f>ABS(Solieusap!E2983)</f>
        <v>35.19173117</v>
      </c>
      <c r="F2983" s="16">
        <f>ABS(Solieusap!F2983)</f>
        <v>3.447960173</v>
      </c>
      <c r="G2983" s="16">
        <f>ABS(Solieusap!G2983)</f>
        <v>4.6169329</v>
      </c>
      <c r="H2983" s="16">
        <f>ABS(Solieusap!H2983)</f>
        <v>0.002110482987</v>
      </c>
      <c r="I2983" s="16">
        <f>ABS(Solieusap!I2983)</f>
        <v>13.16406593</v>
      </c>
      <c r="J2983" s="16">
        <f>ABS(Solieusap!J2983)</f>
        <v>8.831017922</v>
      </c>
      <c r="K2983" s="16">
        <f t="shared" si="1"/>
        <v>35.19173117</v>
      </c>
      <c r="L2983" s="16">
        <f t="shared" si="2"/>
        <v>13.16406593</v>
      </c>
    </row>
    <row r="2984" ht="16.5" customHeight="1">
      <c r="A2984" s="15" t="str">
        <f>Solieusap!A2984</f>
        <v>Cũ</v>
      </c>
      <c r="B2984" s="15">
        <f>Solieusap!B2984</f>
        <v>1.75</v>
      </c>
      <c r="C2984" s="15" t="str">
        <f>Solieusap!C2984</f>
        <v>COMB7</v>
      </c>
      <c r="D2984" s="15" t="str">
        <f>Solieusap!D2984</f>
        <v>Combination</v>
      </c>
      <c r="E2984" s="16">
        <f>ABS(Solieusap!E2984)</f>
        <v>35.20858753</v>
      </c>
      <c r="F2984" s="16">
        <f>ABS(Solieusap!F2984)</f>
        <v>3.449670693</v>
      </c>
      <c r="G2984" s="16">
        <f>ABS(Solieusap!G2984)</f>
        <v>4.619197316</v>
      </c>
      <c r="H2984" s="16">
        <f>ABS(Solieusap!H2984)</f>
        <v>0.002111538091</v>
      </c>
      <c r="I2984" s="16">
        <f>ABS(Solieusap!I2984)</f>
        <v>13.17086072</v>
      </c>
      <c r="J2984" s="16">
        <f>ABS(Solieusap!J2984)</f>
        <v>8.835564974</v>
      </c>
      <c r="K2984" s="16">
        <f t="shared" si="1"/>
        <v>35.20858753</v>
      </c>
      <c r="L2984" s="16">
        <f t="shared" si="2"/>
        <v>13.17086072</v>
      </c>
    </row>
    <row r="2985" ht="16.5" customHeight="1">
      <c r="A2985" s="15" t="str">
        <f>Solieusap!A2985</f>
        <v>Cũ</v>
      </c>
      <c r="B2985" s="15">
        <f>Solieusap!B2985</f>
        <v>3.5</v>
      </c>
      <c r="C2985" s="15" t="str">
        <f>Solieusap!C2985</f>
        <v>COMB7</v>
      </c>
      <c r="D2985" s="15" t="str">
        <f>Solieusap!D2985</f>
        <v>Combination</v>
      </c>
      <c r="E2985" s="16">
        <f>ABS(Solieusap!E2985)</f>
        <v>35.2254439</v>
      </c>
      <c r="F2985" s="16">
        <f>ABS(Solieusap!F2985)</f>
        <v>3.451381212</v>
      </c>
      <c r="G2985" s="16">
        <f>ABS(Solieusap!G2985)</f>
        <v>4.621461732</v>
      </c>
      <c r="H2985" s="16">
        <f>ABS(Solieusap!H2985)</f>
        <v>0.002112593195</v>
      </c>
      <c r="I2985" s="16">
        <f>ABS(Solieusap!I2985)</f>
        <v>13.17765552</v>
      </c>
      <c r="J2985" s="16">
        <f>ABS(Solieusap!J2985)</f>
        <v>8.840112026</v>
      </c>
      <c r="K2985" s="16">
        <f t="shared" si="1"/>
        <v>35.2254439</v>
      </c>
      <c r="L2985" s="16">
        <f t="shared" si="2"/>
        <v>13.17765552</v>
      </c>
    </row>
    <row r="2986" ht="16.5" customHeight="1">
      <c r="A2986" s="15" t="str">
        <f>Solieusap!A2986</f>
        <v>Cũ</v>
      </c>
      <c r="B2986" s="15">
        <f>Solieusap!B2986</f>
        <v>0</v>
      </c>
      <c r="C2986" s="15" t="str">
        <f>Solieusap!C2986</f>
        <v>COMB1</v>
      </c>
      <c r="D2986" s="15" t="str">
        <f>Solieusap!D2986</f>
        <v>Combination</v>
      </c>
      <c r="E2986" s="16">
        <f>ABS(Solieusap!E2986)</f>
        <v>35.24230026</v>
      </c>
      <c r="F2986" s="16">
        <f>ABS(Solieusap!F2986)</f>
        <v>3.453091732</v>
      </c>
      <c r="G2986" s="16">
        <f>ABS(Solieusap!G2986)</f>
        <v>4.623726147</v>
      </c>
      <c r="H2986" s="16">
        <f>ABS(Solieusap!H2986)</f>
        <v>0.002113648299</v>
      </c>
      <c r="I2986" s="16">
        <f>ABS(Solieusap!I2986)</f>
        <v>13.18445031</v>
      </c>
      <c r="J2986" s="16">
        <f>ABS(Solieusap!J2986)</f>
        <v>8.844659078</v>
      </c>
      <c r="K2986" s="16">
        <f t="shared" si="1"/>
        <v>35.24230026</v>
      </c>
      <c r="L2986" s="16">
        <f t="shared" si="2"/>
        <v>13.18445031</v>
      </c>
    </row>
    <row r="2987" ht="16.5" customHeight="1">
      <c r="A2987" s="15" t="str">
        <f>Solieusap!A2987</f>
        <v>Cũ</v>
      </c>
      <c r="B2987" s="15">
        <f>Solieusap!B2987</f>
        <v>1.75</v>
      </c>
      <c r="C2987" s="15" t="str">
        <f>Solieusap!C2987</f>
        <v>COMB1</v>
      </c>
      <c r="D2987" s="15" t="str">
        <f>Solieusap!D2987</f>
        <v>Combination</v>
      </c>
      <c r="E2987" s="16">
        <f>ABS(Solieusap!E2987)</f>
        <v>35.25915662</v>
      </c>
      <c r="F2987" s="16">
        <f>ABS(Solieusap!F2987)</f>
        <v>3.454802251</v>
      </c>
      <c r="G2987" s="16">
        <f>ABS(Solieusap!G2987)</f>
        <v>4.625990563</v>
      </c>
      <c r="H2987" s="16">
        <f>ABS(Solieusap!H2987)</f>
        <v>0.002114703403</v>
      </c>
      <c r="I2987" s="16">
        <f>ABS(Solieusap!I2987)</f>
        <v>13.1912451</v>
      </c>
      <c r="J2987" s="16">
        <f>ABS(Solieusap!J2987)</f>
        <v>8.84920613</v>
      </c>
      <c r="K2987" s="16">
        <f t="shared" si="1"/>
        <v>35.25915662</v>
      </c>
      <c r="L2987" s="16">
        <f t="shared" si="2"/>
        <v>13.1912451</v>
      </c>
    </row>
    <row r="2988" ht="16.5" customHeight="1">
      <c r="A2988" s="15" t="str">
        <f>Solieusap!A2988</f>
        <v>Cũ</v>
      </c>
      <c r="B2988" s="15">
        <f>Solieusap!B2988</f>
        <v>3.5</v>
      </c>
      <c r="C2988" s="15" t="str">
        <f>Solieusap!C2988</f>
        <v>COMB1</v>
      </c>
      <c r="D2988" s="15" t="str">
        <f>Solieusap!D2988</f>
        <v>Combination</v>
      </c>
      <c r="E2988" s="16">
        <f>ABS(Solieusap!E2988)</f>
        <v>35.27601299</v>
      </c>
      <c r="F2988" s="16">
        <f>ABS(Solieusap!F2988)</f>
        <v>3.456512771</v>
      </c>
      <c r="G2988" s="16">
        <f>ABS(Solieusap!G2988)</f>
        <v>4.628254978</v>
      </c>
      <c r="H2988" s="16">
        <f>ABS(Solieusap!H2988)</f>
        <v>0.002115758506</v>
      </c>
      <c r="I2988" s="16">
        <f>ABS(Solieusap!I2988)</f>
        <v>13.19803989</v>
      </c>
      <c r="J2988" s="16">
        <f>ABS(Solieusap!J2988)</f>
        <v>8.853753182</v>
      </c>
      <c r="K2988" s="16">
        <f t="shared" si="1"/>
        <v>35.27601299</v>
      </c>
      <c r="L2988" s="16">
        <f t="shared" si="2"/>
        <v>13.19803989</v>
      </c>
    </row>
    <row r="2989" ht="16.5" customHeight="1">
      <c r="A2989" s="15" t="str">
        <f>Solieusap!A2989</f>
        <v>Cũ</v>
      </c>
      <c r="B2989" s="15">
        <f>Solieusap!B2989</f>
        <v>0</v>
      </c>
      <c r="C2989" s="15" t="str">
        <f>Solieusap!C2989</f>
        <v>COMB2</v>
      </c>
      <c r="D2989" s="15" t="str">
        <f>Solieusap!D2989</f>
        <v>Combination</v>
      </c>
      <c r="E2989" s="16">
        <f>ABS(Solieusap!E2989)</f>
        <v>35.29286935</v>
      </c>
      <c r="F2989" s="16">
        <f>ABS(Solieusap!F2989)</f>
        <v>3.45822329</v>
      </c>
      <c r="G2989" s="16">
        <f>ABS(Solieusap!G2989)</f>
        <v>4.630519394</v>
      </c>
      <c r="H2989" s="16">
        <f>ABS(Solieusap!H2989)</f>
        <v>0.00211681361</v>
      </c>
      <c r="I2989" s="16">
        <f>ABS(Solieusap!I2989)</f>
        <v>13.20483468</v>
      </c>
      <c r="J2989" s="16">
        <f>ABS(Solieusap!J2989)</f>
        <v>8.858300234</v>
      </c>
      <c r="K2989" s="16">
        <f t="shared" si="1"/>
        <v>35.29286935</v>
      </c>
      <c r="L2989" s="16">
        <f t="shared" si="2"/>
        <v>13.20483468</v>
      </c>
    </row>
    <row r="2990" ht="16.5" customHeight="1">
      <c r="A2990" s="15" t="str">
        <f>Solieusap!A2990</f>
        <v>Cũ</v>
      </c>
      <c r="B2990" s="15">
        <f>Solieusap!B2990</f>
        <v>1.75</v>
      </c>
      <c r="C2990" s="15" t="str">
        <f>Solieusap!C2990</f>
        <v>COMB2</v>
      </c>
      <c r="D2990" s="15" t="str">
        <f>Solieusap!D2990</f>
        <v>Combination</v>
      </c>
      <c r="E2990" s="16">
        <f>ABS(Solieusap!E2990)</f>
        <v>35.30972571</v>
      </c>
      <c r="F2990" s="16">
        <f>ABS(Solieusap!F2990)</f>
        <v>3.45993381</v>
      </c>
      <c r="G2990" s="16">
        <f>ABS(Solieusap!G2990)</f>
        <v>4.63278381</v>
      </c>
      <c r="H2990" s="16">
        <f>ABS(Solieusap!H2990)</f>
        <v>0.002117868714</v>
      </c>
      <c r="I2990" s="16">
        <f>ABS(Solieusap!I2990)</f>
        <v>13.21162948</v>
      </c>
      <c r="J2990" s="16">
        <f>ABS(Solieusap!J2990)</f>
        <v>8.862847286</v>
      </c>
      <c r="K2990" s="16">
        <f t="shared" si="1"/>
        <v>35.30972571</v>
      </c>
      <c r="L2990" s="16">
        <f t="shared" si="2"/>
        <v>13.21162948</v>
      </c>
    </row>
    <row r="2991" ht="16.5" customHeight="1">
      <c r="A2991" s="15" t="str">
        <f>Solieusap!A2991</f>
        <v>Cũ</v>
      </c>
      <c r="B2991" s="15">
        <f>Solieusap!B2991</f>
        <v>3.5</v>
      </c>
      <c r="C2991" s="15" t="str">
        <f>Solieusap!C2991</f>
        <v>COMB2</v>
      </c>
      <c r="D2991" s="15" t="str">
        <f>Solieusap!D2991</f>
        <v>Combination</v>
      </c>
      <c r="E2991" s="16">
        <f>ABS(Solieusap!E2991)</f>
        <v>35.32658208</v>
      </c>
      <c r="F2991" s="16">
        <f>ABS(Solieusap!F2991)</f>
        <v>3.461644329</v>
      </c>
      <c r="G2991" s="16">
        <f>ABS(Solieusap!G2991)</f>
        <v>4.635048225</v>
      </c>
      <c r="H2991" s="16">
        <f>ABS(Solieusap!H2991)</f>
        <v>0.002118923818</v>
      </c>
      <c r="I2991" s="16">
        <f>ABS(Solieusap!I2991)</f>
        <v>13.21842427</v>
      </c>
      <c r="J2991" s="16">
        <f>ABS(Solieusap!J2991)</f>
        <v>8.867394338</v>
      </c>
      <c r="K2991" s="16">
        <f t="shared" si="1"/>
        <v>35.32658208</v>
      </c>
      <c r="L2991" s="16">
        <f t="shared" si="2"/>
        <v>13.21842427</v>
      </c>
    </row>
    <row r="2992" ht="16.5" customHeight="1">
      <c r="A2992" s="15" t="str">
        <f>Solieusap!A2992</f>
        <v>Cũ</v>
      </c>
      <c r="B2992" s="15">
        <f>Solieusap!B2992</f>
        <v>0</v>
      </c>
      <c r="C2992" s="15" t="str">
        <f>Solieusap!C2992</f>
        <v>COMB3</v>
      </c>
      <c r="D2992" s="15" t="str">
        <f>Solieusap!D2992</f>
        <v>Combination</v>
      </c>
      <c r="E2992" s="16">
        <f>ABS(Solieusap!E2992)</f>
        <v>35.34343844</v>
      </c>
      <c r="F2992" s="16">
        <f>ABS(Solieusap!F2992)</f>
        <v>3.463354848</v>
      </c>
      <c r="G2992" s="16">
        <f>ABS(Solieusap!G2992)</f>
        <v>4.637312641</v>
      </c>
      <c r="H2992" s="16">
        <f>ABS(Solieusap!H2992)</f>
        <v>0.002119978922</v>
      </c>
      <c r="I2992" s="16">
        <f>ABS(Solieusap!I2992)</f>
        <v>13.22521906</v>
      </c>
      <c r="J2992" s="16">
        <f>ABS(Solieusap!J2992)</f>
        <v>8.87194139</v>
      </c>
      <c r="K2992" s="16">
        <f t="shared" si="1"/>
        <v>35.34343844</v>
      </c>
      <c r="L2992" s="16">
        <f t="shared" si="2"/>
        <v>13.22521906</v>
      </c>
    </row>
    <row r="2993" ht="16.5" customHeight="1">
      <c r="A2993" s="15" t="str">
        <f>Solieusap!A2993</f>
        <v>Cũ</v>
      </c>
      <c r="B2993" s="15">
        <f>Solieusap!B2993</f>
        <v>1.75</v>
      </c>
      <c r="C2993" s="15" t="str">
        <f>Solieusap!C2993</f>
        <v>COMB3</v>
      </c>
      <c r="D2993" s="15" t="str">
        <f>Solieusap!D2993</f>
        <v>Combination</v>
      </c>
      <c r="E2993" s="16">
        <f>ABS(Solieusap!E2993)</f>
        <v>35.36029481</v>
      </c>
      <c r="F2993" s="16">
        <f>ABS(Solieusap!F2993)</f>
        <v>3.465065368</v>
      </c>
      <c r="G2993" s="16">
        <f>ABS(Solieusap!G2993)</f>
        <v>4.639577056</v>
      </c>
      <c r="H2993" s="16">
        <f>ABS(Solieusap!H2993)</f>
        <v>0.002121034026</v>
      </c>
      <c r="I2993" s="16">
        <f>ABS(Solieusap!I2993)</f>
        <v>13.23201385</v>
      </c>
      <c r="J2993" s="16">
        <f>ABS(Solieusap!J2993)</f>
        <v>8.876488442</v>
      </c>
      <c r="K2993" s="16">
        <f t="shared" si="1"/>
        <v>35.36029481</v>
      </c>
      <c r="L2993" s="16">
        <f t="shared" si="2"/>
        <v>13.23201385</v>
      </c>
    </row>
    <row r="2994" ht="16.5" customHeight="1">
      <c r="A2994" s="15" t="str">
        <f>Solieusap!A2994</f>
        <v>Cũ</v>
      </c>
      <c r="B2994" s="15">
        <f>Solieusap!B2994</f>
        <v>3.5</v>
      </c>
      <c r="C2994" s="15" t="str">
        <f>Solieusap!C2994</f>
        <v>COMB3</v>
      </c>
      <c r="D2994" s="15" t="str">
        <f>Solieusap!D2994</f>
        <v>Combination</v>
      </c>
      <c r="E2994" s="16">
        <f>ABS(Solieusap!E2994)</f>
        <v>35.37715117</v>
      </c>
      <c r="F2994" s="16">
        <f>ABS(Solieusap!F2994)</f>
        <v>3.466775887</v>
      </c>
      <c r="G2994" s="16">
        <f>ABS(Solieusap!G2994)</f>
        <v>4.641841472</v>
      </c>
      <c r="H2994" s="16">
        <f>ABS(Solieusap!H2994)</f>
        <v>0.00212208913</v>
      </c>
      <c r="I2994" s="16">
        <f>ABS(Solieusap!I2994)</f>
        <v>13.23880865</v>
      </c>
      <c r="J2994" s="16">
        <f>ABS(Solieusap!J2994)</f>
        <v>8.881035494</v>
      </c>
      <c r="K2994" s="16">
        <f t="shared" si="1"/>
        <v>35.37715117</v>
      </c>
      <c r="L2994" s="16">
        <f t="shared" si="2"/>
        <v>13.23880865</v>
      </c>
    </row>
    <row r="2995" ht="16.5" customHeight="1">
      <c r="A2995" s="15" t="str">
        <f>Solieusap!A2995</f>
        <v>Cũ</v>
      </c>
      <c r="B2995" s="15">
        <f>Solieusap!B2995</f>
        <v>0</v>
      </c>
      <c r="C2995" s="15" t="str">
        <f>Solieusap!C2995</f>
        <v>COMB4</v>
      </c>
      <c r="D2995" s="15" t="str">
        <f>Solieusap!D2995</f>
        <v>Combination</v>
      </c>
      <c r="E2995" s="16">
        <f>ABS(Solieusap!E2995)</f>
        <v>35.39400753</v>
      </c>
      <c r="F2995" s="16">
        <f>ABS(Solieusap!F2995)</f>
        <v>3.468486407</v>
      </c>
      <c r="G2995" s="16">
        <f>ABS(Solieusap!G2995)</f>
        <v>4.644105887</v>
      </c>
      <c r="H2995" s="16">
        <f>ABS(Solieusap!H2995)</f>
        <v>0.002123144234</v>
      </c>
      <c r="I2995" s="16">
        <f>ABS(Solieusap!I2995)</f>
        <v>13.24560344</v>
      </c>
      <c r="J2995" s="16">
        <f>ABS(Solieusap!J2995)</f>
        <v>8.885582545</v>
      </c>
      <c r="K2995" s="16">
        <f t="shared" si="1"/>
        <v>35.39400753</v>
      </c>
      <c r="L2995" s="16">
        <f t="shared" si="2"/>
        <v>13.24560344</v>
      </c>
    </row>
    <row r="2996" ht="16.5" customHeight="1">
      <c r="A2996" s="15" t="str">
        <f>Solieusap!A2996</f>
        <v>Cũ</v>
      </c>
      <c r="B2996" s="15">
        <f>Solieusap!B2996</f>
        <v>1.75</v>
      </c>
      <c r="C2996" s="15" t="str">
        <f>Solieusap!C2996</f>
        <v>COMB4</v>
      </c>
      <c r="D2996" s="15" t="str">
        <f>Solieusap!D2996</f>
        <v>Combination</v>
      </c>
      <c r="E2996" s="16">
        <f>ABS(Solieusap!E2996)</f>
        <v>35.4108639</v>
      </c>
      <c r="F2996" s="16">
        <f>ABS(Solieusap!F2996)</f>
        <v>3.470196926</v>
      </c>
      <c r="G2996" s="16">
        <f>ABS(Solieusap!G2996)</f>
        <v>4.646370303</v>
      </c>
      <c r="H2996" s="16">
        <f>ABS(Solieusap!H2996)</f>
        <v>0.002124199338</v>
      </c>
      <c r="I2996" s="16">
        <f>ABS(Solieusap!I2996)</f>
        <v>13.25239823</v>
      </c>
      <c r="J2996" s="16">
        <f>ABS(Solieusap!J2996)</f>
        <v>8.890129597</v>
      </c>
      <c r="K2996" s="16">
        <f t="shared" si="1"/>
        <v>35.4108639</v>
      </c>
      <c r="L2996" s="16">
        <f t="shared" si="2"/>
        <v>13.25239823</v>
      </c>
    </row>
    <row r="2997" ht="16.5" customHeight="1">
      <c r="A2997" s="15" t="str">
        <f>Solieusap!A2997</f>
        <v>Cũ</v>
      </c>
      <c r="B2997" s="15">
        <f>Solieusap!B2997</f>
        <v>3.5</v>
      </c>
      <c r="C2997" s="15" t="str">
        <f>Solieusap!C2997</f>
        <v>COMB4</v>
      </c>
      <c r="D2997" s="15" t="str">
        <f>Solieusap!D2997</f>
        <v>Combination</v>
      </c>
      <c r="E2997" s="16">
        <f>ABS(Solieusap!E2997)</f>
        <v>35.42772026</v>
      </c>
      <c r="F2997" s="16">
        <f>ABS(Solieusap!F2997)</f>
        <v>3.471907446</v>
      </c>
      <c r="G2997" s="16">
        <f>ABS(Solieusap!G2997)</f>
        <v>4.648634719</v>
      </c>
      <c r="H2997" s="16">
        <f>ABS(Solieusap!H2997)</f>
        <v>0.002125254442</v>
      </c>
      <c r="I2997" s="16">
        <f>ABS(Solieusap!I2997)</f>
        <v>13.25919302</v>
      </c>
      <c r="J2997" s="16">
        <f>ABS(Solieusap!J2997)</f>
        <v>8.894676649</v>
      </c>
      <c r="K2997" s="16">
        <f t="shared" si="1"/>
        <v>35.42772026</v>
      </c>
      <c r="L2997" s="16">
        <f t="shared" si="2"/>
        <v>13.25919302</v>
      </c>
    </row>
    <row r="2998" ht="16.5" customHeight="1">
      <c r="A2998" s="15" t="str">
        <f>Solieusap!A2998</f>
        <v>Cũ</v>
      </c>
      <c r="B2998" s="15">
        <f>Solieusap!B2998</f>
        <v>0</v>
      </c>
      <c r="C2998" s="15" t="str">
        <f>Solieusap!C2998</f>
        <v>COMB5</v>
      </c>
      <c r="D2998" s="15" t="str">
        <f>Solieusap!D2998</f>
        <v>Combination</v>
      </c>
      <c r="E2998" s="16">
        <f>ABS(Solieusap!E2998)</f>
        <v>35.44457662</v>
      </c>
      <c r="F2998" s="16">
        <f>ABS(Solieusap!F2998)</f>
        <v>3.473617965</v>
      </c>
      <c r="G2998" s="16">
        <f>ABS(Solieusap!G2998)</f>
        <v>4.650899134</v>
      </c>
      <c r="H2998" s="16">
        <f>ABS(Solieusap!H2998)</f>
        <v>0.002126309545</v>
      </c>
      <c r="I2998" s="16">
        <f>ABS(Solieusap!I2998)</f>
        <v>13.26598781</v>
      </c>
      <c r="J2998" s="16">
        <f>ABS(Solieusap!J2998)</f>
        <v>8.899223701</v>
      </c>
      <c r="K2998" s="16">
        <f t="shared" si="1"/>
        <v>35.44457662</v>
      </c>
      <c r="L2998" s="16">
        <f t="shared" si="2"/>
        <v>13.26598781</v>
      </c>
    </row>
    <row r="2999" ht="16.5" customHeight="1">
      <c r="A2999" s="15" t="str">
        <f>Solieusap!A2999</f>
        <v>Cũ</v>
      </c>
      <c r="B2999" s="15">
        <f>Solieusap!B2999</f>
        <v>1.75</v>
      </c>
      <c r="C2999" s="15" t="str">
        <f>Solieusap!C2999</f>
        <v>COMB5</v>
      </c>
      <c r="D2999" s="15" t="str">
        <f>Solieusap!D2999</f>
        <v>Combination</v>
      </c>
      <c r="E2999" s="16">
        <f>ABS(Solieusap!E2999)</f>
        <v>35.46143299</v>
      </c>
      <c r="F2999" s="16">
        <f>ABS(Solieusap!F2999)</f>
        <v>3.475328485</v>
      </c>
      <c r="G2999" s="16">
        <f>ABS(Solieusap!G2999)</f>
        <v>4.65316355</v>
      </c>
      <c r="H2999" s="16">
        <f>ABS(Solieusap!H2999)</f>
        <v>0.002127364649</v>
      </c>
      <c r="I2999" s="16">
        <f>ABS(Solieusap!I2999)</f>
        <v>13.27278261</v>
      </c>
      <c r="J2999" s="16">
        <f>ABS(Solieusap!J2999)</f>
        <v>8.903770753</v>
      </c>
      <c r="K2999" s="16">
        <f t="shared" si="1"/>
        <v>35.46143299</v>
      </c>
      <c r="L2999" s="16">
        <f t="shared" si="2"/>
        <v>13.27278261</v>
      </c>
    </row>
    <row r="3000" ht="16.5" customHeight="1">
      <c r="A3000" s="15" t="str">
        <f>Solieusap!A3000</f>
        <v>Cũ</v>
      </c>
      <c r="B3000" s="15">
        <f>Solieusap!B3000</f>
        <v>3.5</v>
      </c>
      <c r="C3000" s="15" t="str">
        <f>Solieusap!C3000</f>
        <v>COMB5</v>
      </c>
      <c r="D3000" s="15" t="str">
        <f>Solieusap!D3000</f>
        <v>Combination</v>
      </c>
      <c r="E3000" s="16">
        <f>ABS(Solieusap!E3000)</f>
        <v>35.47828935</v>
      </c>
      <c r="F3000" s="16">
        <f>ABS(Solieusap!F3000)</f>
        <v>3.477039004</v>
      </c>
      <c r="G3000" s="16">
        <f>ABS(Solieusap!G3000)</f>
        <v>4.655427965</v>
      </c>
      <c r="H3000" s="16">
        <f>ABS(Solieusap!H3000)</f>
        <v>0.002128419753</v>
      </c>
      <c r="I3000" s="16">
        <f>ABS(Solieusap!I3000)</f>
        <v>13.2795774</v>
      </c>
      <c r="J3000" s="16">
        <f>ABS(Solieusap!J3000)</f>
        <v>8.908317805</v>
      </c>
      <c r="K3000" s="16">
        <f t="shared" si="1"/>
        <v>35.47828935</v>
      </c>
      <c r="L3000" s="16">
        <f t="shared" si="2"/>
        <v>13.2795774</v>
      </c>
    </row>
    <row r="3001" ht="16.5" customHeight="1">
      <c r="A3001" s="15" t="str">
        <f>Solieusap!A3001</f>
        <v>Cũ</v>
      </c>
      <c r="B3001" s="15">
        <f>Solieusap!B3001</f>
        <v>0</v>
      </c>
      <c r="C3001" s="15" t="str">
        <f>Solieusap!C3001</f>
        <v>COMB6</v>
      </c>
      <c r="D3001" s="15" t="str">
        <f>Solieusap!D3001</f>
        <v>Combination</v>
      </c>
      <c r="E3001" s="16">
        <f>ABS(Solieusap!E3001)</f>
        <v>35.49514571</v>
      </c>
      <c r="F3001" s="16">
        <f>ABS(Solieusap!F3001)</f>
        <v>3.478749524</v>
      </c>
      <c r="G3001" s="16">
        <f>ABS(Solieusap!G3001)</f>
        <v>4.657692381</v>
      </c>
      <c r="H3001" s="16">
        <f>ABS(Solieusap!H3001)</f>
        <v>0.002129474857</v>
      </c>
      <c r="I3001" s="16">
        <f>ABS(Solieusap!I3001)</f>
        <v>13.28637219</v>
      </c>
      <c r="J3001" s="16">
        <f>ABS(Solieusap!J3001)</f>
        <v>8.912864857</v>
      </c>
      <c r="K3001" s="16">
        <f t="shared" si="1"/>
        <v>35.49514571</v>
      </c>
      <c r="L3001" s="16">
        <f t="shared" si="2"/>
        <v>13.28637219</v>
      </c>
    </row>
    <row r="3002" ht="16.5" customHeight="1">
      <c r="A3002" s="15" t="str">
        <f>Solieusap!A3002</f>
        <v>Cũ</v>
      </c>
      <c r="B3002" s="15">
        <f>Solieusap!B3002</f>
        <v>1.75</v>
      </c>
      <c r="C3002" s="15" t="str">
        <f>Solieusap!C3002</f>
        <v>COMB6</v>
      </c>
      <c r="D3002" s="15" t="str">
        <f>Solieusap!D3002</f>
        <v>Combination</v>
      </c>
      <c r="E3002" s="16">
        <f>ABS(Solieusap!E3002)</f>
        <v>35.51200208</v>
      </c>
      <c r="F3002" s="16">
        <f>ABS(Solieusap!F3002)</f>
        <v>3.480460043</v>
      </c>
      <c r="G3002" s="16">
        <f>ABS(Solieusap!G3002)</f>
        <v>4.659956797</v>
      </c>
      <c r="H3002" s="16">
        <f>ABS(Solieusap!H3002)</f>
        <v>0.002130529961</v>
      </c>
      <c r="I3002" s="16">
        <f>ABS(Solieusap!I3002)</f>
        <v>13.29316698</v>
      </c>
      <c r="J3002" s="16">
        <f>ABS(Solieusap!J3002)</f>
        <v>8.917411909</v>
      </c>
      <c r="K3002" s="16">
        <f t="shared" si="1"/>
        <v>35.51200208</v>
      </c>
      <c r="L3002" s="16">
        <f t="shared" si="2"/>
        <v>13.29316698</v>
      </c>
    </row>
    <row r="3003" ht="16.5" customHeight="1">
      <c r="A3003" s="15" t="str">
        <f>Solieusap!A3003</f>
        <v>Cũ</v>
      </c>
      <c r="B3003" s="15">
        <f>Solieusap!B3003</f>
        <v>3.5</v>
      </c>
      <c r="C3003" s="15" t="str">
        <f>Solieusap!C3003</f>
        <v>COMB6</v>
      </c>
      <c r="D3003" s="15" t="str">
        <f>Solieusap!D3003</f>
        <v>Combination</v>
      </c>
      <c r="E3003" s="16">
        <f>ABS(Solieusap!E3003)</f>
        <v>35.52885844</v>
      </c>
      <c r="F3003" s="16">
        <f>ABS(Solieusap!F3003)</f>
        <v>3.482170563</v>
      </c>
      <c r="G3003" s="16">
        <f>ABS(Solieusap!G3003)</f>
        <v>4.662221212</v>
      </c>
      <c r="H3003" s="16">
        <f>ABS(Solieusap!H3003)</f>
        <v>0.002131585065</v>
      </c>
      <c r="I3003" s="16">
        <f>ABS(Solieusap!I3003)</f>
        <v>13.29996177</v>
      </c>
      <c r="J3003" s="16">
        <f>ABS(Solieusap!J3003)</f>
        <v>8.921958961</v>
      </c>
      <c r="K3003" s="16">
        <f t="shared" si="1"/>
        <v>35.52885844</v>
      </c>
      <c r="L3003" s="16">
        <f t="shared" si="2"/>
        <v>13.29996177</v>
      </c>
    </row>
    <row r="3004" ht="16.5" customHeight="1">
      <c r="A3004" s="15" t="str">
        <f>Solieusap!A3004</f>
        <v>Cũ</v>
      </c>
      <c r="B3004" s="15">
        <f>Solieusap!B3004</f>
        <v>0</v>
      </c>
      <c r="C3004" s="15" t="str">
        <f>Solieusap!C3004</f>
        <v>COMB7</v>
      </c>
      <c r="D3004" s="15" t="str">
        <f>Solieusap!D3004</f>
        <v>Combination</v>
      </c>
      <c r="E3004" s="16">
        <f>ABS(Solieusap!E3004)</f>
        <v>35.54571481</v>
      </c>
      <c r="F3004" s="16">
        <f>ABS(Solieusap!F3004)</f>
        <v>3.483881082</v>
      </c>
      <c r="G3004" s="16">
        <f>ABS(Solieusap!G3004)</f>
        <v>4.664485628</v>
      </c>
      <c r="H3004" s="16">
        <f>ABS(Solieusap!H3004)</f>
        <v>0.002132640169</v>
      </c>
      <c r="I3004" s="16">
        <f>ABS(Solieusap!I3004)</f>
        <v>13.30675657</v>
      </c>
      <c r="J3004" s="16">
        <f>ABS(Solieusap!J3004)</f>
        <v>8.926506013</v>
      </c>
      <c r="K3004" s="16">
        <f t="shared" si="1"/>
        <v>35.54571481</v>
      </c>
      <c r="L3004" s="16">
        <f t="shared" si="2"/>
        <v>13.30675657</v>
      </c>
    </row>
    <row r="3005" ht="16.5" customHeight="1">
      <c r="A3005" s="15" t="str">
        <f>Solieusap!A3005</f>
        <v>Cũ</v>
      </c>
      <c r="B3005" s="15">
        <f>Solieusap!B3005</f>
        <v>1.75</v>
      </c>
      <c r="C3005" s="15" t="str">
        <f>Solieusap!C3005</f>
        <v>COMB7</v>
      </c>
      <c r="D3005" s="15" t="str">
        <f>Solieusap!D3005</f>
        <v>Combination</v>
      </c>
      <c r="E3005" s="16">
        <f>ABS(Solieusap!E3005)</f>
        <v>35.56257117</v>
      </c>
      <c r="F3005" s="16">
        <f>ABS(Solieusap!F3005)</f>
        <v>3.485591602</v>
      </c>
      <c r="G3005" s="16">
        <f>ABS(Solieusap!G3005)</f>
        <v>4.666750043</v>
      </c>
      <c r="H3005" s="16">
        <f>ABS(Solieusap!H3005)</f>
        <v>0.002133695273</v>
      </c>
      <c r="I3005" s="16">
        <f>ABS(Solieusap!I3005)</f>
        <v>13.31355136</v>
      </c>
      <c r="J3005" s="16">
        <f>ABS(Solieusap!J3005)</f>
        <v>8.931053065</v>
      </c>
      <c r="K3005" s="16">
        <f t="shared" si="1"/>
        <v>35.56257117</v>
      </c>
      <c r="L3005" s="16">
        <f t="shared" si="2"/>
        <v>13.31355136</v>
      </c>
    </row>
    <row r="3006" ht="16.5" customHeight="1">
      <c r="A3006" s="15" t="str">
        <f>Solieusap!A3006</f>
        <v>Cũ</v>
      </c>
      <c r="B3006" s="15">
        <f>Solieusap!B3006</f>
        <v>3.5</v>
      </c>
      <c r="C3006" s="15" t="str">
        <f>Solieusap!C3006</f>
        <v>COMB7</v>
      </c>
      <c r="D3006" s="15" t="str">
        <f>Solieusap!D3006</f>
        <v>Combination</v>
      </c>
      <c r="E3006" s="16">
        <f>ABS(Solieusap!E3006)</f>
        <v>35.57942753</v>
      </c>
      <c r="F3006" s="16">
        <f>ABS(Solieusap!F3006)</f>
        <v>3.487302121</v>
      </c>
      <c r="G3006" s="16">
        <f>ABS(Solieusap!G3006)</f>
        <v>4.669014459</v>
      </c>
      <c r="H3006" s="16">
        <f>ABS(Solieusap!H3006)</f>
        <v>0.002134750377</v>
      </c>
      <c r="I3006" s="16">
        <f>ABS(Solieusap!I3006)</f>
        <v>13.32034615</v>
      </c>
      <c r="J3006" s="16">
        <f>ABS(Solieusap!J3006)</f>
        <v>8.935600117</v>
      </c>
      <c r="K3006" s="16">
        <f t="shared" si="1"/>
        <v>35.57942753</v>
      </c>
      <c r="L3006" s="16">
        <f t="shared" si="2"/>
        <v>13.32034615</v>
      </c>
    </row>
    <row r="3007" ht="16.5" customHeight="1">
      <c r="A3007" s="15" t="str">
        <f>Solieusap!A3007</f>
        <v>Cũ</v>
      </c>
      <c r="B3007" s="15">
        <f>Solieusap!B3007</f>
        <v>0</v>
      </c>
      <c r="C3007" s="15" t="str">
        <f>Solieusap!C3007</f>
        <v>COMB1</v>
      </c>
      <c r="D3007" s="15" t="str">
        <f>Solieusap!D3007</f>
        <v>Combination</v>
      </c>
      <c r="E3007" s="16">
        <f>ABS(Solieusap!E3007)</f>
        <v>35.5962839</v>
      </c>
      <c r="F3007" s="16">
        <f>ABS(Solieusap!F3007)</f>
        <v>3.489012641</v>
      </c>
      <c r="G3007" s="16">
        <f>ABS(Solieusap!G3007)</f>
        <v>4.671278874</v>
      </c>
      <c r="H3007" s="16">
        <f>ABS(Solieusap!H3007)</f>
        <v>0.002135805481</v>
      </c>
      <c r="I3007" s="16">
        <f>ABS(Solieusap!I3007)</f>
        <v>13.32714094</v>
      </c>
      <c r="J3007" s="16">
        <f>ABS(Solieusap!J3007)</f>
        <v>8.940147169</v>
      </c>
      <c r="K3007" s="16">
        <f t="shared" si="1"/>
        <v>35.5962839</v>
      </c>
      <c r="L3007" s="16">
        <f t="shared" si="2"/>
        <v>13.32714094</v>
      </c>
    </row>
    <row r="3008" ht="16.5" customHeight="1">
      <c r="A3008" s="15" t="str">
        <f>Solieusap!A3008</f>
        <v>Cũ</v>
      </c>
      <c r="B3008" s="15">
        <f>Solieusap!B3008</f>
        <v>1.75</v>
      </c>
      <c r="C3008" s="15" t="str">
        <f>Solieusap!C3008</f>
        <v>COMB1</v>
      </c>
      <c r="D3008" s="15" t="str">
        <f>Solieusap!D3008</f>
        <v>Combination</v>
      </c>
      <c r="E3008" s="16">
        <f>ABS(Solieusap!E3008)</f>
        <v>35.61314026</v>
      </c>
      <c r="F3008" s="16">
        <f>ABS(Solieusap!F3008)</f>
        <v>3.49072316</v>
      </c>
      <c r="G3008" s="16">
        <f>ABS(Solieusap!G3008)</f>
        <v>4.67354329</v>
      </c>
      <c r="H3008" s="16">
        <f>ABS(Solieusap!H3008)</f>
        <v>0.002136860584</v>
      </c>
      <c r="I3008" s="16">
        <f>ABS(Solieusap!I3008)</f>
        <v>13.33393574</v>
      </c>
      <c r="J3008" s="16">
        <f>ABS(Solieusap!J3008)</f>
        <v>8.944694221</v>
      </c>
      <c r="K3008" s="16">
        <f t="shared" si="1"/>
        <v>35.61314026</v>
      </c>
      <c r="L3008" s="16">
        <f t="shared" si="2"/>
        <v>13.33393574</v>
      </c>
    </row>
    <row r="3009" ht="16.5" customHeight="1">
      <c r="A3009" s="15" t="str">
        <f>Solieusap!A3009</f>
        <v>Cũ</v>
      </c>
      <c r="B3009" s="15">
        <f>Solieusap!B3009</f>
        <v>3.5</v>
      </c>
      <c r="C3009" s="15" t="str">
        <f>Solieusap!C3009</f>
        <v>COMB1</v>
      </c>
      <c r="D3009" s="15" t="str">
        <f>Solieusap!D3009</f>
        <v>Combination</v>
      </c>
      <c r="E3009" s="16">
        <f>ABS(Solieusap!E3009)</f>
        <v>35.62999662</v>
      </c>
      <c r="F3009" s="16">
        <f>ABS(Solieusap!F3009)</f>
        <v>3.49243368</v>
      </c>
      <c r="G3009" s="16">
        <f>ABS(Solieusap!G3009)</f>
        <v>4.675807706</v>
      </c>
      <c r="H3009" s="16">
        <f>ABS(Solieusap!H3009)</f>
        <v>0.002137915688</v>
      </c>
      <c r="I3009" s="16">
        <f>ABS(Solieusap!I3009)</f>
        <v>13.34073053</v>
      </c>
      <c r="J3009" s="16">
        <f>ABS(Solieusap!J3009)</f>
        <v>8.949241273</v>
      </c>
      <c r="K3009" s="16">
        <f t="shared" si="1"/>
        <v>35.62999662</v>
      </c>
      <c r="L3009" s="16">
        <f t="shared" si="2"/>
        <v>13.34073053</v>
      </c>
    </row>
    <row r="3010" ht="16.5" customHeight="1">
      <c r="A3010" s="15" t="str">
        <f>Solieusap!A3010</f>
        <v>Cũ</v>
      </c>
      <c r="B3010" s="15">
        <f>Solieusap!B3010</f>
        <v>0</v>
      </c>
      <c r="C3010" s="15" t="str">
        <f>Solieusap!C3010</f>
        <v>COMB2</v>
      </c>
      <c r="D3010" s="15" t="str">
        <f>Solieusap!D3010</f>
        <v>Combination</v>
      </c>
      <c r="E3010" s="16">
        <f>ABS(Solieusap!E3010)</f>
        <v>35.64685299</v>
      </c>
      <c r="F3010" s="16">
        <f>ABS(Solieusap!F3010)</f>
        <v>3.494144199</v>
      </c>
      <c r="G3010" s="16">
        <f>ABS(Solieusap!G3010)</f>
        <v>4.678072121</v>
      </c>
      <c r="H3010" s="16">
        <f>ABS(Solieusap!H3010)</f>
        <v>0.002138970792</v>
      </c>
      <c r="I3010" s="16">
        <f>ABS(Solieusap!I3010)</f>
        <v>13.34752532</v>
      </c>
      <c r="J3010" s="16">
        <f>ABS(Solieusap!J3010)</f>
        <v>8.953788325</v>
      </c>
      <c r="K3010" s="16">
        <f t="shared" si="1"/>
        <v>35.64685299</v>
      </c>
      <c r="L3010" s="16">
        <f t="shared" si="2"/>
        <v>13.34752532</v>
      </c>
    </row>
    <row r="3011" ht="16.5" customHeight="1">
      <c r="A3011" s="15" t="str">
        <f>Solieusap!A3011</f>
        <v>Cũ</v>
      </c>
      <c r="B3011" s="15">
        <f>Solieusap!B3011</f>
        <v>1.75</v>
      </c>
      <c r="C3011" s="15" t="str">
        <f>Solieusap!C3011</f>
        <v>COMB2</v>
      </c>
      <c r="D3011" s="15" t="str">
        <f>Solieusap!D3011</f>
        <v>Combination</v>
      </c>
      <c r="E3011" s="16">
        <f>ABS(Solieusap!E3011)</f>
        <v>35.66370935</v>
      </c>
      <c r="F3011" s="16">
        <f>ABS(Solieusap!F3011)</f>
        <v>3.495854719</v>
      </c>
      <c r="G3011" s="16">
        <f>ABS(Solieusap!G3011)</f>
        <v>4.680336537</v>
      </c>
      <c r="H3011" s="16">
        <f>ABS(Solieusap!H3011)</f>
        <v>0.002140025896</v>
      </c>
      <c r="I3011" s="16">
        <f>ABS(Solieusap!I3011)</f>
        <v>13.35432011</v>
      </c>
      <c r="J3011" s="16">
        <f>ABS(Solieusap!J3011)</f>
        <v>8.958335377</v>
      </c>
      <c r="K3011" s="16">
        <f t="shared" si="1"/>
        <v>35.66370935</v>
      </c>
      <c r="L3011" s="16">
        <f t="shared" si="2"/>
        <v>13.35432011</v>
      </c>
    </row>
    <row r="3012" ht="16.5" customHeight="1">
      <c r="A3012" s="15" t="str">
        <f>Solieusap!A3012</f>
        <v>Cũ</v>
      </c>
      <c r="B3012" s="15">
        <f>Solieusap!B3012</f>
        <v>3.5</v>
      </c>
      <c r="C3012" s="15" t="str">
        <f>Solieusap!C3012</f>
        <v>COMB2</v>
      </c>
      <c r="D3012" s="15" t="str">
        <f>Solieusap!D3012</f>
        <v>Combination</v>
      </c>
      <c r="E3012" s="16">
        <f>ABS(Solieusap!E3012)</f>
        <v>35.68056571</v>
      </c>
      <c r="F3012" s="16">
        <f>ABS(Solieusap!F3012)</f>
        <v>3.497565238</v>
      </c>
      <c r="G3012" s="16">
        <f>ABS(Solieusap!G3012)</f>
        <v>4.682600952</v>
      </c>
      <c r="H3012" s="16">
        <f>ABS(Solieusap!H3012)</f>
        <v>0.002141081</v>
      </c>
      <c r="I3012" s="16">
        <f>ABS(Solieusap!I3012)</f>
        <v>13.3611149</v>
      </c>
      <c r="J3012" s="16">
        <f>ABS(Solieusap!J3012)</f>
        <v>8.962882429</v>
      </c>
      <c r="K3012" s="16">
        <f t="shared" si="1"/>
        <v>35.68056571</v>
      </c>
      <c r="L3012" s="16">
        <f t="shared" si="2"/>
        <v>13.3611149</v>
      </c>
    </row>
    <row r="3013" ht="16.5" customHeight="1">
      <c r="A3013" s="15" t="str">
        <f>Solieusap!A3013</f>
        <v>Cũ</v>
      </c>
      <c r="B3013" s="15">
        <f>Solieusap!B3013</f>
        <v>0</v>
      </c>
      <c r="C3013" s="15" t="str">
        <f>Solieusap!C3013</f>
        <v>COMB3</v>
      </c>
      <c r="D3013" s="15" t="str">
        <f>Solieusap!D3013</f>
        <v>Combination</v>
      </c>
      <c r="E3013" s="16">
        <f>ABS(Solieusap!E3013)</f>
        <v>35.69742208</v>
      </c>
      <c r="F3013" s="16">
        <f>ABS(Solieusap!F3013)</f>
        <v>3.499275758</v>
      </c>
      <c r="G3013" s="16">
        <f>ABS(Solieusap!G3013)</f>
        <v>4.684865368</v>
      </c>
      <c r="H3013" s="16">
        <f>ABS(Solieusap!H3013)</f>
        <v>0.002142136104</v>
      </c>
      <c r="I3013" s="16">
        <f>ABS(Solieusap!I3013)</f>
        <v>13.3679097</v>
      </c>
      <c r="J3013" s="16">
        <f>ABS(Solieusap!J3013)</f>
        <v>8.967429481</v>
      </c>
      <c r="K3013" s="16">
        <f t="shared" si="1"/>
        <v>35.69742208</v>
      </c>
      <c r="L3013" s="16">
        <f t="shared" si="2"/>
        <v>13.3679097</v>
      </c>
    </row>
    <row r="3014" ht="16.5" customHeight="1">
      <c r="A3014" s="15" t="str">
        <f>Solieusap!A3014</f>
        <v>Cũ</v>
      </c>
      <c r="B3014" s="15">
        <f>Solieusap!B3014</f>
        <v>1.75</v>
      </c>
      <c r="C3014" s="15" t="str">
        <f>Solieusap!C3014</f>
        <v>COMB3</v>
      </c>
      <c r="D3014" s="15" t="str">
        <f>Solieusap!D3014</f>
        <v>Combination</v>
      </c>
      <c r="E3014" s="16">
        <f>ABS(Solieusap!E3014)</f>
        <v>35.71427844</v>
      </c>
      <c r="F3014" s="16">
        <f>ABS(Solieusap!F3014)</f>
        <v>3.500986277</v>
      </c>
      <c r="G3014" s="16">
        <f>ABS(Solieusap!G3014)</f>
        <v>4.687129784</v>
      </c>
      <c r="H3014" s="16">
        <f>ABS(Solieusap!H3014)</f>
        <v>0.002143191208</v>
      </c>
      <c r="I3014" s="16">
        <f>ABS(Solieusap!I3014)</f>
        <v>13.37470449</v>
      </c>
      <c r="J3014" s="16">
        <f>ABS(Solieusap!J3014)</f>
        <v>8.971976532</v>
      </c>
      <c r="K3014" s="16">
        <f t="shared" si="1"/>
        <v>35.71427844</v>
      </c>
      <c r="L3014" s="16">
        <f t="shared" si="2"/>
        <v>13.37470449</v>
      </c>
    </row>
    <row r="3015" ht="16.5" customHeight="1">
      <c r="A3015" s="15" t="str">
        <f>Solieusap!A3015</f>
        <v>Cũ</v>
      </c>
      <c r="B3015" s="15">
        <f>Solieusap!B3015</f>
        <v>3.5</v>
      </c>
      <c r="C3015" s="15" t="str">
        <f>Solieusap!C3015</f>
        <v>COMB3</v>
      </c>
      <c r="D3015" s="15" t="str">
        <f>Solieusap!D3015</f>
        <v>Combination</v>
      </c>
      <c r="E3015" s="16">
        <f>ABS(Solieusap!E3015)</f>
        <v>35.73113481</v>
      </c>
      <c r="F3015" s="16">
        <f>ABS(Solieusap!F3015)</f>
        <v>3.502696797</v>
      </c>
      <c r="G3015" s="16">
        <f>ABS(Solieusap!G3015)</f>
        <v>4.689394199</v>
      </c>
      <c r="H3015" s="16">
        <f>ABS(Solieusap!H3015)</f>
        <v>0.002144246312</v>
      </c>
      <c r="I3015" s="16">
        <f>ABS(Solieusap!I3015)</f>
        <v>13.38149928</v>
      </c>
      <c r="J3015" s="16">
        <f>ABS(Solieusap!J3015)</f>
        <v>8.976523584</v>
      </c>
      <c r="K3015" s="16">
        <f t="shared" si="1"/>
        <v>35.73113481</v>
      </c>
      <c r="L3015" s="16">
        <f t="shared" si="2"/>
        <v>13.38149928</v>
      </c>
    </row>
    <row r="3016" ht="16.5" customHeight="1">
      <c r="A3016" s="15" t="str">
        <f>Solieusap!A3016</f>
        <v>Cũ</v>
      </c>
      <c r="B3016" s="15">
        <f>Solieusap!B3016</f>
        <v>0</v>
      </c>
      <c r="C3016" s="15" t="str">
        <f>Solieusap!C3016</f>
        <v>COMB4</v>
      </c>
      <c r="D3016" s="15" t="str">
        <f>Solieusap!D3016</f>
        <v>Combination</v>
      </c>
      <c r="E3016" s="16">
        <f>ABS(Solieusap!E3016)</f>
        <v>35.74799117</v>
      </c>
      <c r="F3016" s="16">
        <f>ABS(Solieusap!F3016)</f>
        <v>3.504407316</v>
      </c>
      <c r="G3016" s="16">
        <f>ABS(Solieusap!G3016)</f>
        <v>4.691658615</v>
      </c>
      <c r="H3016" s="16">
        <f>ABS(Solieusap!H3016)</f>
        <v>0.002145301416</v>
      </c>
      <c r="I3016" s="16">
        <f>ABS(Solieusap!I3016)</f>
        <v>13.38829407</v>
      </c>
      <c r="J3016" s="16">
        <f>ABS(Solieusap!J3016)</f>
        <v>8.981070636</v>
      </c>
      <c r="K3016" s="16">
        <f t="shared" si="1"/>
        <v>35.74799117</v>
      </c>
      <c r="L3016" s="16">
        <f t="shared" si="2"/>
        <v>13.38829407</v>
      </c>
    </row>
    <row r="3017" ht="16.5" customHeight="1">
      <c r="A3017" s="15" t="str">
        <f>Solieusap!A3017</f>
        <v>Cũ</v>
      </c>
      <c r="B3017" s="15">
        <f>Solieusap!B3017</f>
        <v>1.75</v>
      </c>
      <c r="C3017" s="15" t="str">
        <f>Solieusap!C3017</f>
        <v>COMB4</v>
      </c>
      <c r="D3017" s="15" t="str">
        <f>Solieusap!D3017</f>
        <v>Combination</v>
      </c>
      <c r="E3017" s="16">
        <f>ABS(Solieusap!E3017)</f>
        <v>35.76484753</v>
      </c>
      <c r="F3017" s="16">
        <f>ABS(Solieusap!F3017)</f>
        <v>3.506117835</v>
      </c>
      <c r="G3017" s="16">
        <f>ABS(Solieusap!G3017)</f>
        <v>4.69392303</v>
      </c>
      <c r="H3017" s="16">
        <f>ABS(Solieusap!H3017)</f>
        <v>0.002146356519</v>
      </c>
      <c r="I3017" s="16">
        <f>ABS(Solieusap!I3017)</f>
        <v>13.39508887</v>
      </c>
      <c r="J3017" s="16">
        <f>ABS(Solieusap!J3017)</f>
        <v>8.985617688</v>
      </c>
      <c r="K3017" s="16">
        <f t="shared" si="1"/>
        <v>35.76484753</v>
      </c>
      <c r="L3017" s="16">
        <f t="shared" si="2"/>
        <v>13.39508887</v>
      </c>
    </row>
    <row r="3018" ht="16.5" customHeight="1">
      <c r="A3018" s="15" t="str">
        <f>Solieusap!A3018</f>
        <v>Cũ</v>
      </c>
      <c r="B3018" s="15">
        <f>Solieusap!B3018</f>
        <v>3.5</v>
      </c>
      <c r="C3018" s="15" t="str">
        <f>Solieusap!C3018</f>
        <v>COMB4</v>
      </c>
      <c r="D3018" s="15" t="str">
        <f>Solieusap!D3018</f>
        <v>Combination</v>
      </c>
      <c r="E3018" s="16">
        <f>ABS(Solieusap!E3018)</f>
        <v>35.7817039</v>
      </c>
      <c r="F3018" s="16">
        <f>ABS(Solieusap!F3018)</f>
        <v>3.507828355</v>
      </c>
      <c r="G3018" s="16">
        <f>ABS(Solieusap!G3018)</f>
        <v>4.696187446</v>
      </c>
      <c r="H3018" s="16">
        <f>ABS(Solieusap!H3018)</f>
        <v>0.002147411623</v>
      </c>
      <c r="I3018" s="16">
        <f>ABS(Solieusap!I3018)</f>
        <v>13.40188366</v>
      </c>
      <c r="J3018" s="16">
        <f>ABS(Solieusap!J3018)</f>
        <v>8.99016474</v>
      </c>
      <c r="K3018" s="16">
        <f t="shared" si="1"/>
        <v>35.7817039</v>
      </c>
      <c r="L3018" s="16">
        <f t="shared" si="2"/>
        <v>13.40188366</v>
      </c>
    </row>
    <row r="3019" ht="16.5" customHeight="1">
      <c r="A3019" s="15" t="str">
        <f>Solieusap!A3019</f>
        <v>Cũ</v>
      </c>
      <c r="B3019" s="15">
        <f>Solieusap!B3019</f>
        <v>0</v>
      </c>
      <c r="C3019" s="15" t="str">
        <f>Solieusap!C3019</f>
        <v>COMB5</v>
      </c>
      <c r="D3019" s="15" t="str">
        <f>Solieusap!D3019</f>
        <v>Combination</v>
      </c>
      <c r="E3019" s="16">
        <f>ABS(Solieusap!E3019)</f>
        <v>35.79856026</v>
      </c>
      <c r="F3019" s="16">
        <f>ABS(Solieusap!F3019)</f>
        <v>3.509538874</v>
      </c>
      <c r="G3019" s="16">
        <f>ABS(Solieusap!G3019)</f>
        <v>4.698451861</v>
      </c>
      <c r="H3019" s="16">
        <f>ABS(Solieusap!H3019)</f>
        <v>0.002148466727</v>
      </c>
      <c r="I3019" s="16">
        <f>ABS(Solieusap!I3019)</f>
        <v>13.40867845</v>
      </c>
      <c r="J3019" s="16">
        <f>ABS(Solieusap!J3019)</f>
        <v>8.994711792</v>
      </c>
      <c r="K3019" s="16">
        <f t="shared" si="1"/>
        <v>35.79856026</v>
      </c>
      <c r="L3019" s="16">
        <f t="shared" si="2"/>
        <v>13.40867845</v>
      </c>
    </row>
    <row r="3020" ht="16.5" customHeight="1">
      <c r="A3020" s="15" t="str">
        <f>Solieusap!A3020</f>
        <v>Cũ</v>
      </c>
      <c r="B3020" s="15">
        <f>Solieusap!B3020</f>
        <v>1.75</v>
      </c>
      <c r="C3020" s="15" t="str">
        <f>Solieusap!C3020</f>
        <v>COMB5</v>
      </c>
      <c r="D3020" s="15" t="str">
        <f>Solieusap!D3020</f>
        <v>Combination</v>
      </c>
      <c r="E3020" s="16">
        <f>ABS(Solieusap!E3020)</f>
        <v>35.81541662</v>
      </c>
      <c r="F3020" s="16">
        <f>ABS(Solieusap!F3020)</f>
        <v>3.511249394</v>
      </c>
      <c r="G3020" s="16">
        <f>ABS(Solieusap!G3020)</f>
        <v>4.700716277</v>
      </c>
      <c r="H3020" s="16">
        <f>ABS(Solieusap!H3020)</f>
        <v>0.002149521831</v>
      </c>
      <c r="I3020" s="16">
        <f>ABS(Solieusap!I3020)</f>
        <v>13.41547324</v>
      </c>
      <c r="J3020" s="16">
        <f>ABS(Solieusap!J3020)</f>
        <v>8.999258844</v>
      </c>
      <c r="K3020" s="16">
        <f t="shared" si="1"/>
        <v>35.81541662</v>
      </c>
      <c r="L3020" s="16">
        <f t="shared" si="2"/>
        <v>13.41547324</v>
      </c>
    </row>
    <row r="3021" ht="16.5" customHeight="1">
      <c r="A3021" s="15" t="str">
        <f>Solieusap!A3021</f>
        <v>Cũ</v>
      </c>
      <c r="B3021" s="15">
        <f>Solieusap!B3021</f>
        <v>3.5</v>
      </c>
      <c r="C3021" s="15" t="str">
        <f>Solieusap!C3021</f>
        <v>COMB5</v>
      </c>
      <c r="D3021" s="15" t="str">
        <f>Solieusap!D3021</f>
        <v>Combination</v>
      </c>
      <c r="E3021" s="16">
        <f>ABS(Solieusap!E3021)</f>
        <v>35.83227299</v>
      </c>
      <c r="F3021" s="16">
        <f>ABS(Solieusap!F3021)</f>
        <v>3.512959913</v>
      </c>
      <c r="G3021" s="16">
        <f>ABS(Solieusap!G3021)</f>
        <v>4.702980693</v>
      </c>
      <c r="H3021" s="16">
        <f>ABS(Solieusap!H3021)</f>
        <v>0.002150576935</v>
      </c>
      <c r="I3021" s="16">
        <f>ABS(Solieusap!I3021)</f>
        <v>13.42226803</v>
      </c>
      <c r="J3021" s="16">
        <f>ABS(Solieusap!J3021)</f>
        <v>9.003805896</v>
      </c>
      <c r="K3021" s="16">
        <f t="shared" si="1"/>
        <v>35.83227299</v>
      </c>
      <c r="L3021" s="16">
        <f t="shared" si="2"/>
        <v>13.42226803</v>
      </c>
    </row>
    <row r="3022" ht="16.5" customHeight="1">
      <c r="A3022" s="15" t="str">
        <f>Solieusap!A3022</f>
        <v>Cũ</v>
      </c>
      <c r="B3022" s="15">
        <f>Solieusap!B3022</f>
        <v>0</v>
      </c>
      <c r="C3022" s="15" t="str">
        <f>Solieusap!C3022</f>
        <v>COMB6</v>
      </c>
      <c r="D3022" s="15" t="str">
        <f>Solieusap!D3022</f>
        <v>Combination</v>
      </c>
      <c r="E3022" s="16">
        <f>ABS(Solieusap!E3022)</f>
        <v>35.84912935</v>
      </c>
      <c r="F3022" s="16">
        <f>ABS(Solieusap!F3022)</f>
        <v>3.514670433</v>
      </c>
      <c r="G3022" s="16">
        <f>ABS(Solieusap!G3022)</f>
        <v>4.705245108</v>
      </c>
      <c r="H3022" s="16">
        <f>ABS(Solieusap!H3022)</f>
        <v>0.002151632039</v>
      </c>
      <c r="I3022" s="16">
        <f>ABS(Solieusap!I3022)</f>
        <v>13.42906283</v>
      </c>
      <c r="J3022" s="16">
        <f>ABS(Solieusap!J3022)</f>
        <v>9.008352948</v>
      </c>
      <c r="K3022" s="16">
        <f t="shared" si="1"/>
        <v>35.84912935</v>
      </c>
      <c r="L3022" s="16">
        <f t="shared" si="2"/>
        <v>13.42906283</v>
      </c>
    </row>
    <row r="3023" ht="16.5" customHeight="1">
      <c r="A3023" s="15" t="str">
        <f>Solieusap!A3023</f>
        <v>Cũ</v>
      </c>
      <c r="B3023" s="15">
        <f>Solieusap!B3023</f>
        <v>1.75</v>
      </c>
      <c r="C3023" s="15" t="str">
        <f>Solieusap!C3023</f>
        <v>COMB6</v>
      </c>
      <c r="D3023" s="15" t="str">
        <f>Solieusap!D3023</f>
        <v>Combination</v>
      </c>
      <c r="E3023" s="16">
        <f>ABS(Solieusap!E3023)</f>
        <v>35.86598571</v>
      </c>
      <c r="F3023" s="16">
        <f>ABS(Solieusap!F3023)</f>
        <v>3.516380952</v>
      </c>
      <c r="G3023" s="16">
        <f>ABS(Solieusap!G3023)</f>
        <v>4.707509524</v>
      </c>
      <c r="H3023" s="16">
        <f>ABS(Solieusap!H3023)</f>
        <v>0.002152687143</v>
      </c>
      <c r="I3023" s="16">
        <f>ABS(Solieusap!I3023)</f>
        <v>13.43585762</v>
      </c>
      <c r="J3023" s="16">
        <f>ABS(Solieusap!J3023)</f>
        <v>9.0129</v>
      </c>
      <c r="K3023" s="16">
        <f t="shared" si="1"/>
        <v>35.86598571</v>
      </c>
      <c r="L3023" s="16">
        <f t="shared" si="2"/>
        <v>13.43585762</v>
      </c>
    </row>
    <row r="3024" ht="16.5" customHeight="1">
      <c r="A3024" s="15" t="str">
        <f>Solieusap!A3024</f>
        <v>Cũ</v>
      </c>
      <c r="B3024" s="15">
        <f>Solieusap!B3024</f>
        <v>3.5</v>
      </c>
      <c r="C3024" s="15" t="str">
        <f>Solieusap!C3024</f>
        <v>COMB6</v>
      </c>
      <c r="D3024" s="15" t="str">
        <f>Solieusap!D3024</f>
        <v>Combination</v>
      </c>
      <c r="E3024" s="16">
        <f>ABS(Solieusap!E3024)</f>
        <v>35.88284208</v>
      </c>
      <c r="F3024" s="16">
        <f>ABS(Solieusap!F3024)</f>
        <v>3.518091472</v>
      </c>
      <c r="G3024" s="16">
        <f>ABS(Solieusap!G3024)</f>
        <v>4.709773939</v>
      </c>
      <c r="H3024" s="16">
        <f>ABS(Solieusap!H3024)</f>
        <v>0.002153742247</v>
      </c>
      <c r="I3024" s="16">
        <f>ABS(Solieusap!I3024)</f>
        <v>13.44265241</v>
      </c>
      <c r="J3024" s="16">
        <f>ABS(Solieusap!J3024)</f>
        <v>9.017447052</v>
      </c>
      <c r="K3024" s="16">
        <f t="shared" si="1"/>
        <v>35.88284208</v>
      </c>
      <c r="L3024" s="16">
        <f t="shared" si="2"/>
        <v>13.44265241</v>
      </c>
    </row>
    <row r="3025" ht="16.5" customHeight="1">
      <c r="A3025" s="15" t="str">
        <f>Solieusap!A3025</f>
        <v>Cũ</v>
      </c>
      <c r="B3025" s="15">
        <f>Solieusap!B3025</f>
        <v>0</v>
      </c>
      <c r="C3025" s="15" t="str">
        <f>Solieusap!C3025</f>
        <v>COMB7</v>
      </c>
      <c r="D3025" s="15" t="str">
        <f>Solieusap!D3025</f>
        <v>Combination</v>
      </c>
      <c r="E3025" s="16">
        <f>ABS(Solieusap!E3025)</f>
        <v>35.89969844</v>
      </c>
      <c r="F3025" s="16">
        <f>ABS(Solieusap!F3025)</f>
        <v>3.519801991</v>
      </c>
      <c r="G3025" s="16">
        <f>ABS(Solieusap!G3025)</f>
        <v>4.712038355</v>
      </c>
      <c r="H3025" s="16">
        <f>ABS(Solieusap!H3025)</f>
        <v>0.002154797351</v>
      </c>
      <c r="I3025" s="16">
        <f>ABS(Solieusap!I3025)</f>
        <v>13.4494472</v>
      </c>
      <c r="J3025" s="16">
        <f>ABS(Solieusap!J3025)</f>
        <v>9.021994104</v>
      </c>
      <c r="K3025" s="16">
        <f t="shared" si="1"/>
        <v>35.89969844</v>
      </c>
      <c r="L3025" s="16">
        <f t="shared" si="2"/>
        <v>13.4494472</v>
      </c>
    </row>
    <row r="3026" ht="16.5" customHeight="1">
      <c r="A3026" s="15" t="str">
        <f>Solieusap!A3026</f>
        <v>Cũ</v>
      </c>
      <c r="B3026" s="15">
        <f>Solieusap!B3026</f>
        <v>1.75</v>
      </c>
      <c r="C3026" s="15" t="str">
        <f>Solieusap!C3026</f>
        <v>COMB7</v>
      </c>
      <c r="D3026" s="15" t="str">
        <f>Solieusap!D3026</f>
        <v>Combination</v>
      </c>
      <c r="E3026" s="16">
        <f>ABS(Solieusap!E3026)</f>
        <v>35.91655481</v>
      </c>
      <c r="F3026" s="16">
        <f>ABS(Solieusap!F3026)</f>
        <v>3.521512511</v>
      </c>
      <c r="G3026" s="16">
        <f>ABS(Solieusap!G3026)</f>
        <v>4.714302771</v>
      </c>
      <c r="H3026" s="16">
        <f>ABS(Solieusap!H3026)</f>
        <v>0.002155852455</v>
      </c>
      <c r="I3026" s="16">
        <f>ABS(Solieusap!I3026)</f>
        <v>13.456242</v>
      </c>
      <c r="J3026" s="16">
        <f>ABS(Solieusap!J3026)</f>
        <v>9.026541156</v>
      </c>
      <c r="K3026" s="16">
        <f t="shared" si="1"/>
        <v>35.91655481</v>
      </c>
      <c r="L3026" s="16">
        <f t="shared" si="2"/>
        <v>13.456242</v>
      </c>
    </row>
    <row r="3027" ht="16.5" customHeight="1">
      <c r="A3027" s="15" t="str">
        <f>Solieusap!A3027</f>
        <v>Cũ</v>
      </c>
      <c r="B3027" s="15">
        <f>Solieusap!B3027</f>
        <v>3.5</v>
      </c>
      <c r="C3027" s="15" t="str">
        <f>Solieusap!C3027</f>
        <v>COMB7</v>
      </c>
      <c r="D3027" s="15" t="str">
        <f>Solieusap!D3027</f>
        <v>Combination</v>
      </c>
      <c r="E3027" s="16">
        <f>ABS(Solieusap!E3027)</f>
        <v>35.93341117</v>
      </c>
      <c r="F3027" s="16">
        <f>ABS(Solieusap!F3027)</f>
        <v>3.52322303</v>
      </c>
      <c r="G3027" s="16">
        <f>ABS(Solieusap!G3027)</f>
        <v>4.716567186</v>
      </c>
      <c r="H3027" s="16">
        <f>ABS(Solieusap!H3027)</f>
        <v>0.002156907558</v>
      </c>
      <c r="I3027" s="16">
        <f>ABS(Solieusap!I3027)</f>
        <v>13.46303679</v>
      </c>
      <c r="J3027" s="16">
        <f>ABS(Solieusap!J3027)</f>
        <v>9.031088208</v>
      </c>
      <c r="K3027" s="16">
        <f t="shared" si="1"/>
        <v>35.93341117</v>
      </c>
      <c r="L3027" s="16">
        <f t="shared" si="2"/>
        <v>13.46303679</v>
      </c>
    </row>
    <row r="3028" ht="16.5" customHeight="1">
      <c r="A3028" s="15" t="str">
        <f>Solieusap!A3028</f>
        <v>Cũ</v>
      </c>
      <c r="B3028" s="15">
        <f>Solieusap!B3028</f>
        <v>0</v>
      </c>
      <c r="C3028" s="15" t="str">
        <f>Solieusap!C3028</f>
        <v>COMB1</v>
      </c>
      <c r="D3028" s="15" t="str">
        <f>Solieusap!D3028</f>
        <v>Combination</v>
      </c>
      <c r="E3028" s="16">
        <f>ABS(Solieusap!E3028)</f>
        <v>35.95026753</v>
      </c>
      <c r="F3028" s="16">
        <f>ABS(Solieusap!F3028)</f>
        <v>3.52493355</v>
      </c>
      <c r="G3028" s="16">
        <f>ABS(Solieusap!G3028)</f>
        <v>4.718831602</v>
      </c>
      <c r="H3028" s="16">
        <f>ABS(Solieusap!H3028)</f>
        <v>0.002157962662</v>
      </c>
      <c r="I3028" s="16">
        <f>ABS(Solieusap!I3028)</f>
        <v>13.46983158</v>
      </c>
      <c r="J3028" s="16">
        <f>ABS(Solieusap!J3028)</f>
        <v>9.03563526</v>
      </c>
      <c r="K3028" s="16">
        <f t="shared" si="1"/>
        <v>35.95026753</v>
      </c>
      <c r="L3028" s="16">
        <f t="shared" si="2"/>
        <v>13.46983158</v>
      </c>
    </row>
    <row r="3029" ht="16.5" customHeight="1">
      <c r="A3029" s="15" t="str">
        <f>Solieusap!A3029</f>
        <v>Cũ</v>
      </c>
      <c r="B3029" s="15">
        <f>Solieusap!B3029</f>
        <v>1.75</v>
      </c>
      <c r="C3029" s="15" t="str">
        <f>Solieusap!C3029</f>
        <v>COMB1</v>
      </c>
      <c r="D3029" s="15" t="str">
        <f>Solieusap!D3029</f>
        <v>Combination</v>
      </c>
      <c r="E3029" s="16">
        <f>ABS(Solieusap!E3029)</f>
        <v>35.9671239</v>
      </c>
      <c r="F3029" s="16">
        <f>ABS(Solieusap!F3029)</f>
        <v>3.526644069</v>
      </c>
      <c r="G3029" s="16">
        <f>ABS(Solieusap!G3029)</f>
        <v>4.721096017</v>
      </c>
      <c r="H3029" s="16">
        <f>ABS(Solieusap!H3029)</f>
        <v>0.002159017766</v>
      </c>
      <c r="I3029" s="16">
        <f>ABS(Solieusap!I3029)</f>
        <v>13.47662637</v>
      </c>
      <c r="J3029" s="16">
        <f>ABS(Solieusap!J3029)</f>
        <v>9.040182312</v>
      </c>
      <c r="K3029" s="16">
        <f t="shared" si="1"/>
        <v>35.9671239</v>
      </c>
      <c r="L3029" s="16">
        <f t="shared" si="2"/>
        <v>13.47662637</v>
      </c>
    </row>
    <row r="3030" ht="16.5" customHeight="1">
      <c r="A3030" s="15" t="str">
        <f>Solieusap!A3030</f>
        <v>Cũ</v>
      </c>
      <c r="B3030" s="15">
        <f>Solieusap!B3030</f>
        <v>3.5</v>
      </c>
      <c r="C3030" s="15" t="str">
        <f>Solieusap!C3030</f>
        <v>COMB1</v>
      </c>
      <c r="D3030" s="15" t="str">
        <f>Solieusap!D3030</f>
        <v>Combination</v>
      </c>
      <c r="E3030" s="16">
        <f>ABS(Solieusap!E3030)</f>
        <v>35.98398026</v>
      </c>
      <c r="F3030" s="16">
        <f>ABS(Solieusap!F3030)</f>
        <v>3.528354589</v>
      </c>
      <c r="G3030" s="16">
        <f>ABS(Solieusap!G3030)</f>
        <v>4.723360433</v>
      </c>
      <c r="H3030" s="16">
        <f>ABS(Solieusap!H3030)</f>
        <v>0.00216007287</v>
      </c>
      <c r="I3030" s="16">
        <f>ABS(Solieusap!I3030)</f>
        <v>13.48342116</v>
      </c>
      <c r="J3030" s="16">
        <f>ABS(Solieusap!J3030)</f>
        <v>9.044729364</v>
      </c>
      <c r="K3030" s="16">
        <f t="shared" si="1"/>
        <v>35.98398026</v>
      </c>
      <c r="L3030" s="16">
        <f t="shared" si="2"/>
        <v>13.48342116</v>
      </c>
    </row>
    <row r="3031" ht="16.5" customHeight="1">
      <c r="A3031" s="15" t="str">
        <f>Solieusap!A3031</f>
        <v>Cũ</v>
      </c>
      <c r="B3031" s="15">
        <f>Solieusap!B3031</f>
        <v>0</v>
      </c>
      <c r="C3031" s="15" t="str">
        <f>Solieusap!C3031</f>
        <v>COMB2</v>
      </c>
      <c r="D3031" s="15" t="str">
        <f>Solieusap!D3031</f>
        <v>Combination</v>
      </c>
      <c r="E3031" s="16">
        <f>ABS(Solieusap!E3031)</f>
        <v>36.00083662</v>
      </c>
      <c r="F3031" s="16">
        <f>ABS(Solieusap!F3031)</f>
        <v>3.530065108</v>
      </c>
      <c r="G3031" s="16">
        <f>ABS(Solieusap!G3031)</f>
        <v>4.725624848</v>
      </c>
      <c r="H3031" s="16">
        <f>ABS(Solieusap!H3031)</f>
        <v>0.002161127974</v>
      </c>
      <c r="I3031" s="16">
        <f>ABS(Solieusap!I3031)</f>
        <v>13.49021596</v>
      </c>
      <c r="J3031" s="16">
        <f>ABS(Solieusap!J3031)</f>
        <v>9.049276416</v>
      </c>
      <c r="K3031" s="16">
        <f t="shared" si="1"/>
        <v>36.00083662</v>
      </c>
      <c r="L3031" s="16">
        <f t="shared" si="2"/>
        <v>13.49021596</v>
      </c>
    </row>
    <row r="3032" ht="16.5" customHeight="1">
      <c r="A3032" s="15" t="str">
        <f>Solieusap!A3032</f>
        <v>Cũ</v>
      </c>
      <c r="B3032" s="15">
        <f>Solieusap!B3032</f>
        <v>1.75</v>
      </c>
      <c r="C3032" s="15" t="str">
        <f>Solieusap!C3032</f>
        <v>COMB2</v>
      </c>
      <c r="D3032" s="15" t="str">
        <f>Solieusap!D3032</f>
        <v>Combination</v>
      </c>
      <c r="E3032" s="16">
        <f>ABS(Solieusap!E3032)</f>
        <v>36.01769299</v>
      </c>
      <c r="F3032" s="16">
        <f>ABS(Solieusap!F3032)</f>
        <v>3.531775628</v>
      </c>
      <c r="G3032" s="16">
        <f>ABS(Solieusap!G3032)</f>
        <v>4.727889264</v>
      </c>
      <c r="H3032" s="16">
        <f>ABS(Solieusap!H3032)</f>
        <v>0.002162183078</v>
      </c>
      <c r="I3032" s="16">
        <f>ABS(Solieusap!I3032)</f>
        <v>13.49701075</v>
      </c>
      <c r="J3032" s="16">
        <f>ABS(Solieusap!J3032)</f>
        <v>9.053823468</v>
      </c>
      <c r="K3032" s="16">
        <f t="shared" si="1"/>
        <v>36.01769299</v>
      </c>
      <c r="L3032" s="16">
        <f t="shared" si="2"/>
        <v>13.49701075</v>
      </c>
    </row>
    <row r="3033" ht="16.5" customHeight="1">
      <c r="A3033" s="15" t="str">
        <f>Solieusap!A3033</f>
        <v>Cũ</v>
      </c>
      <c r="B3033" s="15">
        <f>Solieusap!B3033</f>
        <v>3.5</v>
      </c>
      <c r="C3033" s="15" t="str">
        <f>Solieusap!C3033</f>
        <v>COMB2</v>
      </c>
      <c r="D3033" s="15" t="str">
        <f>Solieusap!D3033</f>
        <v>Combination</v>
      </c>
      <c r="E3033" s="16">
        <f>ABS(Solieusap!E3033)</f>
        <v>36.03454935</v>
      </c>
      <c r="F3033" s="16">
        <f>ABS(Solieusap!F3033)</f>
        <v>3.533486147</v>
      </c>
      <c r="G3033" s="16">
        <f>ABS(Solieusap!G3033)</f>
        <v>4.73015368</v>
      </c>
      <c r="H3033" s="16">
        <f>ABS(Solieusap!H3033)</f>
        <v>0.002163238182</v>
      </c>
      <c r="I3033" s="16">
        <f>ABS(Solieusap!I3033)</f>
        <v>13.50380554</v>
      </c>
      <c r="J3033" s="16">
        <f>ABS(Solieusap!J3033)</f>
        <v>9.058370519</v>
      </c>
      <c r="K3033" s="16">
        <f t="shared" si="1"/>
        <v>36.03454935</v>
      </c>
      <c r="L3033" s="16">
        <f t="shared" si="2"/>
        <v>13.50380554</v>
      </c>
    </row>
    <row r="3034" ht="16.5" customHeight="1">
      <c r="A3034" s="15" t="str">
        <f>Solieusap!A3034</f>
        <v>Cũ</v>
      </c>
      <c r="B3034" s="15">
        <f>Solieusap!B3034</f>
        <v>0</v>
      </c>
      <c r="C3034" s="15" t="str">
        <f>Solieusap!C3034</f>
        <v>COMB3</v>
      </c>
      <c r="D3034" s="15" t="str">
        <f>Solieusap!D3034</f>
        <v>Combination</v>
      </c>
      <c r="E3034" s="16">
        <f>ABS(Solieusap!E3034)</f>
        <v>36.05140571</v>
      </c>
      <c r="F3034" s="16">
        <f>ABS(Solieusap!F3034)</f>
        <v>3.535196667</v>
      </c>
      <c r="G3034" s="16">
        <f>ABS(Solieusap!G3034)</f>
        <v>4.732418095</v>
      </c>
      <c r="H3034" s="16">
        <f>ABS(Solieusap!H3034)</f>
        <v>0.002164293286</v>
      </c>
      <c r="I3034" s="16">
        <f>ABS(Solieusap!I3034)</f>
        <v>13.51060033</v>
      </c>
      <c r="J3034" s="16">
        <f>ABS(Solieusap!J3034)</f>
        <v>9.062917571</v>
      </c>
      <c r="K3034" s="16">
        <f t="shared" si="1"/>
        <v>36.05140571</v>
      </c>
      <c r="L3034" s="16">
        <f t="shared" si="2"/>
        <v>13.51060033</v>
      </c>
    </row>
    <row r="3035" ht="16.5" customHeight="1">
      <c r="A3035" s="15" t="str">
        <f>Solieusap!A3035</f>
        <v>Cũ</v>
      </c>
      <c r="B3035" s="15">
        <f>Solieusap!B3035</f>
        <v>1.75</v>
      </c>
      <c r="C3035" s="15" t="str">
        <f>Solieusap!C3035</f>
        <v>COMB3</v>
      </c>
      <c r="D3035" s="15" t="str">
        <f>Solieusap!D3035</f>
        <v>Combination</v>
      </c>
      <c r="E3035" s="16">
        <f>ABS(Solieusap!E3035)</f>
        <v>36.06826208</v>
      </c>
      <c r="F3035" s="16">
        <f>ABS(Solieusap!F3035)</f>
        <v>3.536907186</v>
      </c>
      <c r="G3035" s="16">
        <f>ABS(Solieusap!G3035)</f>
        <v>4.734682511</v>
      </c>
      <c r="H3035" s="16">
        <f>ABS(Solieusap!H3035)</f>
        <v>0.00216534839</v>
      </c>
      <c r="I3035" s="16">
        <f>ABS(Solieusap!I3035)</f>
        <v>13.51739513</v>
      </c>
      <c r="J3035" s="16">
        <f>ABS(Solieusap!J3035)</f>
        <v>9.067464623</v>
      </c>
      <c r="K3035" s="16">
        <f t="shared" si="1"/>
        <v>36.06826208</v>
      </c>
      <c r="L3035" s="16">
        <f t="shared" si="2"/>
        <v>13.51739513</v>
      </c>
    </row>
    <row r="3036" ht="16.5" customHeight="1">
      <c r="A3036" s="15" t="str">
        <f>Solieusap!A3036</f>
        <v>Cũ</v>
      </c>
      <c r="B3036" s="15">
        <f>Solieusap!B3036</f>
        <v>3.5</v>
      </c>
      <c r="C3036" s="15" t="str">
        <f>Solieusap!C3036</f>
        <v>COMB3</v>
      </c>
      <c r="D3036" s="15" t="str">
        <f>Solieusap!D3036</f>
        <v>Combination</v>
      </c>
      <c r="E3036" s="16">
        <f>ABS(Solieusap!E3036)</f>
        <v>36.08511844</v>
      </c>
      <c r="F3036" s="16">
        <f>ABS(Solieusap!F3036)</f>
        <v>3.538617706</v>
      </c>
      <c r="G3036" s="16">
        <f>ABS(Solieusap!G3036)</f>
        <v>4.736946926</v>
      </c>
      <c r="H3036" s="16">
        <f>ABS(Solieusap!H3036)</f>
        <v>0.002166403494</v>
      </c>
      <c r="I3036" s="16">
        <f>ABS(Solieusap!I3036)</f>
        <v>13.52418992</v>
      </c>
      <c r="J3036" s="16">
        <f>ABS(Solieusap!J3036)</f>
        <v>9.072011675</v>
      </c>
      <c r="K3036" s="16">
        <f t="shared" si="1"/>
        <v>36.08511844</v>
      </c>
      <c r="L3036" s="16">
        <f t="shared" si="2"/>
        <v>13.52418992</v>
      </c>
    </row>
    <row r="3037" ht="16.5" customHeight="1">
      <c r="A3037" s="15" t="str">
        <f>Solieusap!A3037</f>
        <v>Cũ</v>
      </c>
      <c r="B3037" s="15">
        <f>Solieusap!B3037</f>
        <v>0</v>
      </c>
      <c r="C3037" s="15" t="str">
        <f>Solieusap!C3037</f>
        <v>COMB4</v>
      </c>
      <c r="D3037" s="15" t="str">
        <f>Solieusap!D3037</f>
        <v>Combination</v>
      </c>
      <c r="E3037" s="16">
        <f>ABS(Solieusap!E3037)</f>
        <v>36.10197481</v>
      </c>
      <c r="F3037" s="16">
        <f>ABS(Solieusap!F3037)</f>
        <v>3.540328225</v>
      </c>
      <c r="G3037" s="16">
        <f>ABS(Solieusap!G3037)</f>
        <v>4.739211342</v>
      </c>
      <c r="H3037" s="16">
        <f>ABS(Solieusap!H3037)</f>
        <v>0.002167458597</v>
      </c>
      <c r="I3037" s="16">
        <f>ABS(Solieusap!I3037)</f>
        <v>13.53098471</v>
      </c>
      <c r="J3037" s="16">
        <f>ABS(Solieusap!J3037)</f>
        <v>9.076558727</v>
      </c>
      <c r="K3037" s="16">
        <f t="shared" si="1"/>
        <v>36.10197481</v>
      </c>
      <c r="L3037" s="16">
        <f t="shared" si="2"/>
        <v>13.53098471</v>
      </c>
    </row>
    <row r="3038" ht="16.5" customHeight="1">
      <c r="A3038" s="15" t="str">
        <f>Solieusap!A3038</f>
        <v>Cũ</v>
      </c>
      <c r="B3038" s="15">
        <f>Solieusap!B3038</f>
        <v>1.75</v>
      </c>
      <c r="C3038" s="15" t="str">
        <f>Solieusap!C3038</f>
        <v>COMB4</v>
      </c>
      <c r="D3038" s="15" t="str">
        <f>Solieusap!D3038</f>
        <v>Combination</v>
      </c>
      <c r="E3038" s="16">
        <f>ABS(Solieusap!E3038)</f>
        <v>36.11883117</v>
      </c>
      <c r="F3038" s="16">
        <f>ABS(Solieusap!F3038)</f>
        <v>3.542038745</v>
      </c>
      <c r="G3038" s="16">
        <f>ABS(Solieusap!G3038)</f>
        <v>4.741475758</v>
      </c>
      <c r="H3038" s="16">
        <f>ABS(Solieusap!H3038)</f>
        <v>0.002168513701</v>
      </c>
      <c r="I3038" s="16">
        <f>ABS(Solieusap!I3038)</f>
        <v>13.5377795</v>
      </c>
      <c r="J3038" s="16">
        <f>ABS(Solieusap!J3038)</f>
        <v>9.081105779</v>
      </c>
      <c r="K3038" s="16">
        <f t="shared" si="1"/>
        <v>36.11883117</v>
      </c>
      <c r="L3038" s="16">
        <f t="shared" si="2"/>
        <v>13.5377795</v>
      </c>
    </row>
    <row r="3039" ht="16.5" customHeight="1">
      <c r="A3039" s="15" t="str">
        <f>Solieusap!A3039</f>
        <v>Cũ</v>
      </c>
      <c r="B3039" s="15">
        <f>Solieusap!B3039</f>
        <v>3.5</v>
      </c>
      <c r="C3039" s="15" t="str">
        <f>Solieusap!C3039</f>
        <v>COMB4</v>
      </c>
      <c r="D3039" s="15" t="str">
        <f>Solieusap!D3039</f>
        <v>Combination</v>
      </c>
      <c r="E3039" s="16">
        <f>ABS(Solieusap!E3039)</f>
        <v>36.13568753</v>
      </c>
      <c r="F3039" s="16">
        <f>ABS(Solieusap!F3039)</f>
        <v>3.543749264</v>
      </c>
      <c r="G3039" s="16">
        <f>ABS(Solieusap!G3039)</f>
        <v>4.743740173</v>
      </c>
      <c r="H3039" s="16">
        <f>ABS(Solieusap!H3039)</f>
        <v>0.002169568805</v>
      </c>
      <c r="I3039" s="16">
        <f>ABS(Solieusap!I3039)</f>
        <v>13.54457429</v>
      </c>
      <c r="J3039" s="16">
        <f>ABS(Solieusap!J3039)</f>
        <v>9.085652831</v>
      </c>
      <c r="K3039" s="16">
        <f t="shared" si="1"/>
        <v>36.13568753</v>
      </c>
      <c r="L3039" s="16">
        <f t="shared" si="2"/>
        <v>13.54457429</v>
      </c>
    </row>
    <row r="3040" ht="16.5" customHeight="1">
      <c r="A3040" s="15" t="str">
        <f>Solieusap!A3040</f>
        <v>Cũ</v>
      </c>
      <c r="B3040" s="15">
        <f>Solieusap!B3040</f>
        <v>0</v>
      </c>
      <c r="C3040" s="15" t="str">
        <f>Solieusap!C3040</f>
        <v>COMB5</v>
      </c>
      <c r="D3040" s="15" t="str">
        <f>Solieusap!D3040</f>
        <v>Combination</v>
      </c>
      <c r="E3040" s="16">
        <f>ABS(Solieusap!E3040)</f>
        <v>36.1525439</v>
      </c>
      <c r="F3040" s="16">
        <f>ABS(Solieusap!F3040)</f>
        <v>3.545459784</v>
      </c>
      <c r="G3040" s="16">
        <f>ABS(Solieusap!G3040)</f>
        <v>4.746004589</v>
      </c>
      <c r="H3040" s="16">
        <f>ABS(Solieusap!H3040)</f>
        <v>0.002170623909</v>
      </c>
      <c r="I3040" s="16">
        <f>ABS(Solieusap!I3040)</f>
        <v>13.55136909</v>
      </c>
      <c r="J3040" s="16">
        <f>ABS(Solieusap!J3040)</f>
        <v>9.090199883</v>
      </c>
      <c r="K3040" s="16">
        <f t="shared" si="1"/>
        <v>36.1525439</v>
      </c>
      <c r="L3040" s="16">
        <f t="shared" si="2"/>
        <v>13.55136909</v>
      </c>
    </row>
    <row r="3041" ht="16.5" customHeight="1">
      <c r="A3041" s="15" t="str">
        <f>Solieusap!A3041</f>
        <v>Cũ</v>
      </c>
      <c r="B3041" s="15">
        <f>Solieusap!B3041</f>
        <v>1.75</v>
      </c>
      <c r="C3041" s="15" t="str">
        <f>Solieusap!C3041</f>
        <v>COMB5</v>
      </c>
      <c r="D3041" s="15" t="str">
        <f>Solieusap!D3041</f>
        <v>Combination</v>
      </c>
      <c r="E3041" s="16">
        <f>ABS(Solieusap!E3041)</f>
        <v>36.16940026</v>
      </c>
      <c r="F3041" s="16">
        <f>ABS(Solieusap!F3041)</f>
        <v>3.547170303</v>
      </c>
      <c r="G3041" s="16">
        <f>ABS(Solieusap!G3041)</f>
        <v>4.748269004</v>
      </c>
      <c r="H3041" s="16">
        <f>ABS(Solieusap!H3041)</f>
        <v>0.002171679013</v>
      </c>
      <c r="I3041" s="16">
        <f>ABS(Solieusap!I3041)</f>
        <v>13.55816388</v>
      </c>
      <c r="J3041" s="16">
        <f>ABS(Solieusap!J3041)</f>
        <v>9.094746935</v>
      </c>
      <c r="K3041" s="16">
        <f t="shared" si="1"/>
        <v>36.16940026</v>
      </c>
      <c r="L3041" s="16">
        <f t="shared" si="2"/>
        <v>13.55816388</v>
      </c>
    </row>
    <row r="3042" ht="16.5" customHeight="1">
      <c r="A3042" s="15" t="str">
        <f>Solieusap!A3042</f>
        <v>Cũ</v>
      </c>
      <c r="B3042" s="15">
        <f>Solieusap!B3042</f>
        <v>3.5</v>
      </c>
      <c r="C3042" s="15" t="str">
        <f>Solieusap!C3042</f>
        <v>COMB5</v>
      </c>
      <c r="D3042" s="15" t="str">
        <f>Solieusap!D3042</f>
        <v>Combination</v>
      </c>
      <c r="E3042" s="16">
        <f>ABS(Solieusap!E3042)</f>
        <v>36.18625662</v>
      </c>
      <c r="F3042" s="16">
        <f>ABS(Solieusap!F3042)</f>
        <v>3.548880823</v>
      </c>
      <c r="G3042" s="16">
        <f>ABS(Solieusap!G3042)</f>
        <v>4.75053342</v>
      </c>
      <c r="H3042" s="16">
        <f>ABS(Solieusap!H3042)</f>
        <v>0.002172734117</v>
      </c>
      <c r="I3042" s="16">
        <f>ABS(Solieusap!I3042)</f>
        <v>13.56495867</v>
      </c>
      <c r="J3042" s="16">
        <f>ABS(Solieusap!J3042)</f>
        <v>9.099293987</v>
      </c>
      <c r="K3042" s="16">
        <f t="shared" si="1"/>
        <v>36.18625662</v>
      </c>
      <c r="L3042" s="16">
        <f t="shared" si="2"/>
        <v>13.56495867</v>
      </c>
    </row>
    <row r="3043" ht="16.5" customHeight="1">
      <c r="A3043" s="15" t="str">
        <f>Solieusap!A3043</f>
        <v>Cũ</v>
      </c>
      <c r="B3043" s="15">
        <f>Solieusap!B3043</f>
        <v>0</v>
      </c>
      <c r="C3043" s="15" t="str">
        <f>Solieusap!C3043</f>
        <v>COMB6</v>
      </c>
      <c r="D3043" s="15" t="str">
        <f>Solieusap!D3043</f>
        <v>Combination</v>
      </c>
      <c r="E3043" s="16">
        <f>ABS(Solieusap!E3043)</f>
        <v>36.20311299</v>
      </c>
      <c r="F3043" s="16">
        <f>ABS(Solieusap!F3043)</f>
        <v>3.550591342</v>
      </c>
      <c r="G3043" s="16">
        <f>ABS(Solieusap!G3043)</f>
        <v>4.752797836</v>
      </c>
      <c r="H3043" s="16">
        <f>ABS(Solieusap!H3043)</f>
        <v>0.002173789221</v>
      </c>
      <c r="I3043" s="16">
        <f>ABS(Solieusap!I3043)</f>
        <v>13.57175346</v>
      </c>
      <c r="J3043" s="16">
        <f>ABS(Solieusap!J3043)</f>
        <v>9.103841039</v>
      </c>
      <c r="K3043" s="16">
        <f t="shared" si="1"/>
        <v>36.20311299</v>
      </c>
      <c r="L3043" s="16">
        <f t="shared" si="2"/>
        <v>13.57175346</v>
      </c>
    </row>
    <row r="3044" ht="16.5" customHeight="1">
      <c r="A3044" s="15" t="str">
        <f>Solieusap!A3044</f>
        <v>Cũ</v>
      </c>
      <c r="B3044" s="15">
        <f>Solieusap!B3044</f>
        <v>1.75</v>
      </c>
      <c r="C3044" s="15" t="str">
        <f>Solieusap!C3044</f>
        <v>COMB6</v>
      </c>
      <c r="D3044" s="15" t="str">
        <f>Solieusap!D3044</f>
        <v>Combination</v>
      </c>
      <c r="E3044" s="16">
        <f>ABS(Solieusap!E3044)</f>
        <v>36.21996935</v>
      </c>
      <c r="F3044" s="16">
        <f>ABS(Solieusap!F3044)</f>
        <v>3.552301861</v>
      </c>
      <c r="G3044" s="16">
        <f>ABS(Solieusap!G3044)</f>
        <v>4.755062251</v>
      </c>
      <c r="H3044" s="16">
        <f>ABS(Solieusap!H3044)</f>
        <v>0.002174844325</v>
      </c>
      <c r="I3044" s="16">
        <f>ABS(Solieusap!I3044)</f>
        <v>13.57854826</v>
      </c>
      <c r="J3044" s="16">
        <f>ABS(Solieusap!J3044)</f>
        <v>9.108388091</v>
      </c>
      <c r="K3044" s="16">
        <f t="shared" si="1"/>
        <v>36.21996935</v>
      </c>
      <c r="L3044" s="16">
        <f t="shared" si="2"/>
        <v>13.57854826</v>
      </c>
    </row>
    <row r="3045" ht="16.5" customHeight="1">
      <c r="A3045" s="15" t="str">
        <f>Solieusap!A3045</f>
        <v>Cũ</v>
      </c>
      <c r="B3045" s="15">
        <f>Solieusap!B3045</f>
        <v>3.5</v>
      </c>
      <c r="C3045" s="15" t="str">
        <f>Solieusap!C3045</f>
        <v>COMB6</v>
      </c>
      <c r="D3045" s="15" t="str">
        <f>Solieusap!D3045</f>
        <v>Combination</v>
      </c>
      <c r="E3045" s="16">
        <f>ABS(Solieusap!E3045)</f>
        <v>36.23682571</v>
      </c>
      <c r="F3045" s="16">
        <f>ABS(Solieusap!F3045)</f>
        <v>3.554012381</v>
      </c>
      <c r="G3045" s="16">
        <f>ABS(Solieusap!G3045)</f>
        <v>4.757326667</v>
      </c>
      <c r="H3045" s="16">
        <f>ABS(Solieusap!H3045)</f>
        <v>0.002175899429</v>
      </c>
      <c r="I3045" s="16">
        <f>ABS(Solieusap!I3045)</f>
        <v>13.58534305</v>
      </c>
      <c r="J3045" s="16">
        <f>ABS(Solieusap!J3045)</f>
        <v>9.112935143</v>
      </c>
      <c r="K3045" s="16">
        <f t="shared" si="1"/>
        <v>36.23682571</v>
      </c>
      <c r="L3045" s="16">
        <f t="shared" si="2"/>
        <v>13.58534305</v>
      </c>
    </row>
    <row r="3046" ht="16.5" customHeight="1">
      <c r="A3046" s="15" t="str">
        <f>Solieusap!A3046</f>
        <v>Cũ</v>
      </c>
      <c r="B3046" s="15">
        <f>Solieusap!B3046</f>
        <v>0</v>
      </c>
      <c r="C3046" s="15" t="str">
        <f>Solieusap!C3046</f>
        <v>COMB7</v>
      </c>
      <c r="D3046" s="15" t="str">
        <f>Solieusap!D3046</f>
        <v>Combination</v>
      </c>
      <c r="E3046" s="16">
        <f>ABS(Solieusap!E3046)</f>
        <v>36.25368208</v>
      </c>
      <c r="F3046" s="16">
        <f>ABS(Solieusap!F3046)</f>
        <v>3.5557229</v>
      </c>
      <c r="G3046" s="16">
        <f>ABS(Solieusap!G3046)</f>
        <v>4.759591082</v>
      </c>
      <c r="H3046" s="16">
        <f>ABS(Solieusap!H3046)</f>
        <v>0.002176954532</v>
      </c>
      <c r="I3046" s="16">
        <f>ABS(Solieusap!I3046)</f>
        <v>13.59213784</v>
      </c>
      <c r="J3046" s="16">
        <f>ABS(Solieusap!J3046)</f>
        <v>9.117482195</v>
      </c>
      <c r="K3046" s="16">
        <f t="shared" si="1"/>
        <v>36.25368208</v>
      </c>
      <c r="L3046" s="16">
        <f t="shared" si="2"/>
        <v>13.59213784</v>
      </c>
    </row>
    <row r="3047" ht="16.5" customHeight="1">
      <c r="A3047" s="15" t="str">
        <f>Solieusap!A3047</f>
        <v>Cũ</v>
      </c>
      <c r="B3047" s="15">
        <f>Solieusap!B3047</f>
        <v>1.75</v>
      </c>
      <c r="C3047" s="15" t="str">
        <f>Solieusap!C3047</f>
        <v>COMB7</v>
      </c>
      <c r="D3047" s="15" t="str">
        <f>Solieusap!D3047</f>
        <v>Combination</v>
      </c>
      <c r="E3047" s="16">
        <f>ABS(Solieusap!E3047)</f>
        <v>36.27053844</v>
      </c>
      <c r="F3047" s="16">
        <f>ABS(Solieusap!F3047)</f>
        <v>3.55743342</v>
      </c>
      <c r="G3047" s="16">
        <f>ABS(Solieusap!G3047)</f>
        <v>4.761855498</v>
      </c>
      <c r="H3047" s="16">
        <f>ABS(Solieusap!H3047)</f>
        <v>0.002178009636</v>
      </c>
      <c r="I3047" s="16">
        <f>ABS(Solieusap!I3047)</f>
        <v>13.59893263</v>
      </c>
      <c r="J3047" s="16">
        <f>ABS(Solieusap!J3047)</f>
        <v>9.122029247</v>
      </c>
      <c r="K3047" s="16">
        <f t="shared" si="1"/>
        <v>36.27053844</v>
      </c>
      <c r="L3047" s="16">
        <f t="shared" si="2"/>
        <v>13.59893263</v>
      </c>
    </row>
    <row r="3048" ht="16.5" customHeight="1">
      <c r="A3048" s="15" t="str">
        <f>Solieusap!A3048</f>
        <v>Cũ</v>
      </c>
      <c r="B3048" s="15">
        <f>Solieusap!B3048</f>
        <v>3.5</v>
      </c>
      <c r="C3048" s="15" t="str">
        <f>Solieusap!C3048</f>
        <v>COMB7</v>
      </c>
      <c r="D3048" s="15" t="str">
        <f>Solieusap!D3048</f>
        <v>Combination</v>
      </c>
      <c r="E3048" s="16">
        <f>ABS(Solieusap!E3048)</f>
        <v>36.28739481</v>
      </c>
      <c r="F3048" s="16">
        <f>ABS(Solieusap!F3048)</f>
        <v>3.559143939</v>
      </c>
      <c r="G3048" s="16">
        <f>ABS(Solieusap!G3048)</f>
        <v>4.764119913</v>
      </c>
      <c r="H3048" s="16">
        <f>ABS(Solieusap!H3048)</f>
        <v>0.00217906474</v>
      </c>
      <c r="I3048" s="16">
        <f>ABS(Solieusap!I3048)</f>
        <v>13.60572742</v>
      </c>
      <c r="J3048" s="16">
        <f>ABS(Solieusap!J3048)</f>
        <v>9.126576299</v>
      </c>
      <c r="K3048" s="16">
        <f t="shared" si="1"/>
        <v>36.28739481</v>
      </c>
      <c r="L3048" s="16">
        <f t="shared" si="2"/>
        <v>13.60572742</v>
      </c>
    </row>
    <row r="3049" ht="16.5" customHeight="1">
      <c r="A3049" s="15" t="str">
        <f>Solieusap!A3049</f>
        <v/>
      </c>
      <c r="B3049" s="15" t="str">
        <f>Solieusap!B3049</f>
        <v/>
      </c>
      <c r="C3049" s="15" t="str">
        <f>Solieusap!C3049</f>
        <v/>
      </c>
      <c r="D3049" s="15" t="str">
        <f>Solieusap!D3049</f>
        <v/>
      </c>
      <c r="E3049" s="16">
        <f>ABS(Solieusap!E3049)</f>
        <v>0</v>
      </c>
      <c r="F3049" s="16">
        <f>ABS(Solieusap!F3049)</f>
        <v>0</v>
      </c>
      <c r="G3049" s="16">
        <f>ABS(Solieusap!G3049)</f>
        <v>0</v>
      </c>
      <c r="H3049" s="16">
        <f>ABS(Solieusap!H3049)</f>
        <v>0</v>
      </c>
      <c r="I3049" s="16">
        <f>ABS(Solieusap!I3049)</f>
        <v>0</v>
      </c>
      <c r="J3049" s="16">
        <f>ABS(Solieusap!J3049)</f>
        <v>0</v>
      </c>
      <c r="K3049" s="16">
        <f t="shared" si="1"/>
        <v>0</v>
      </c>
      <c r="L3049" s="16">
        <f t="shared" si="2"/>
        <v>0</v>
      </c>
    </row>
    <row r="3050" ht="16.5" customHeight="1">
      <c r="A3050" s="15" t="str">
        <f>Solieusap!A3050</f>
        <v/>
      </c>
      <c r="B3050" s="15" t="str">
        <f>Solieusap!B3050</f>
        <v/>
      </c>
      <c r="C3050" s="15" t="str">
        <f>Solieusap!C3050</f>
        <v/>
      </c>
      <c r="D3050" s="15" t="str">
        <f>Solieusap!D3050</f>
        <v/>
      </c>
      <c r="E3050" s="16">
        <f>ABS(Solieusap!E3050)</f>
        <v>0</v>
      </c>
      <c r="F3050" s="16">
        <f>ABS(Solieusap!F3050)</f>
        <v>0</v>
      </c>
      <c r="G3050" s="16">
        <f>ABS(Solieusap!G3050)</f>
        <v>0</v>
      </c>
      <c r="H3050" s="16">
        <f>ABS(Solieusap!H3050)</f>
        <v>0</v>
      </c>
      <c r="I3050" s="16">
        <f>ABS(Solieusap!I3050)</f>
        <v>0</v>
      </c>
      <c r="J3050" s="16">
        <f>ABS(Solieusap!J3050)</f>
        <v>0</v>
      </c>
      <c r="K3050" s="16">
        <f t="shared" si="1"/>
        <v>0</v>
      </c>
      <c r="L3050" s="16">
        <f t="shared" si="2"/>
        <v>0</v>
      </c>
    </row>
    <row r="3051" ht="16.5" customHeight="1">
      <c r="A3051" s="15" t="str">
        <f>Solieusap!A3051</f>
        <v/>
      </c>
      <c r="B3051" s="15" t="str">
        <f>Solieusap!B3051</f>
        <v/>
      </c>
      <c r="C3051" s="15" t="str">
        <f>Solieusap!C3051</f>
        <v/>
      </c>
      <c r="D3051" s="15" t="str">
        <f>Solieusap!D3051</f>
        <v/>
      </c>
      <c r="E3051" s="16">
        <f>ABS(Solieusap!E3051)</f>
        <v>0</v>
      </c>
      <c r="F3051" s="16">
        <f>ABS(Solieusap!F3051)</f>
        <v>0</v>
      </c>
      <c r="G3051" s="16">
        <f>ABS(Solieusap!G3051)</f>
        <v>0</v>
      </c>
      <c r="H3051" s="16">
        <f>ABS(Solieusap!H3051)</f>
        <v>0</v>
      </c>
      <c r="I3051" s="16">
        <f>ABS(Solieusap!I3051)</f>
        <v>0</v>
      </c>
      <c r="J3051" s="16">
        <f>ABS(Solieusap!J3051)</f>
        <v>0</v>
      </c>
      <c r="K3051" s="16">
        <f t="shared" si="1"/>
        <v>0</v>
      </c>
      <c r="L3051" s="16">
        <f t="shared" si="2"/>
        <v>0</v>
      </c>
    </row>
    <row r="3052" ht="16.5" customHeight="1">
      <c r="A3052" s="15" t="str">
        <f>Solieusap!A3052</f>
        <v/>
      </c>
      <c r="B3052" s="15" t="str">
        <f>Solieusap!B3052</f>
        <v/>
      </c>
      <c r="C3052" s="15" t="str">
        <f>Solieusap!C3052</f>
        <v/>
      </c>
      <c r="D3052" s="15" t="str">
        <f>Solieusap!D3052</f>
        <v/>
      </c>
      <c r="E3052" s="16">
        <f>ABS(Solieusap!E3052)</f>
        <v>0</v>
      </c>
      <c r="F3052" s="16">
        <f>ABS(Solieusap!F3052)</f>
        <v>0</v>
      </c>
      <c r="G3052" s="16">
        <f>ABS(Solieusap!G3052)</f>
        <v>0</v>
      </c>
      <c r="H3052" s="16">
        <f>ABS(Solieusap!H3052)</f>
        <v>0</v>
      </c>
      <c r="I3052" s="16">
        <f>ABS(Solieusap!I3052)</f>
        <v>0</v>
      </c>
      <c r="J3052" s="16">
        <f>ABS(Solieusap!J3052)</f>
        <v>0</v>
      </c>
      <c r="K3052" s="16">
        <f t="shared" si="1"/>
        <v>0</v>
      </c>
      <c r="L3052" s="16">
        <f t="shared" si="2"/>
        <v>0</v>
      </c>
    </row>
    <row r="3053" ht="16.5" customHeight="1">
      <c r="A3053" s="15" t="str">
        <f>Solieusap!A3053</f>
        <v/>
      </c>
      <c r="B3053" s="15" t="str">
        <f>Solieusap!B3053</f>
        <v/>
      </c>
      <c r="C3053" s="15" t="str">
        <f>Solieusap!C3053</f>
        <v/>
      </c>
      <c r="D3053" s="15" t="str">
        <f>Solieusap!D3053</f>
        <v/>
      </c>
      <c r="E3053" s="16">
        <f>ABS(Solieusap!E3053)</f>
        <v>0</v>
      </c>
      <c r="F3053" s="16">
        <f>ABS(Solieusap!F3053)</f>
        <v>0</v>
      </c>
      <c r="G3053" s="16">
        <f>ABS(Solieusap!G3053)</f>
        <v>0</v>
      </c>
      <c r="H3053" s="16">
        <f>ABS(Solieusap!H3053)</f>
        <v>0</v>
      </c>
      <c r="I3053" s="16">
        <f>ABS(Solieusap!I3053)</f>
        <v>0</v>
      </c>
      <c r="J3053" s="16">
        <f>ABS(Solieusap!J3053)</f>
        <v>0</v>
      </c>
      <c r="K3053" s="16">
        <f t="shared" si="1"/>
        <v>0</v>
      </c>
      <c r="L3053" s="16">
        <f t="shared" si="2"/>
        <v>0</v>
      </c>
    </row>
    <row r="3054" ht="16.5" customHeight="1">
      <c r="A3054" s="15" t="str">
        <f>Solieusap!A3054</f>
        <v/>
      </c>
      <c r="B3054" s="15" t="str">
        <f>Solieusap!B3054</f>
        <v/>
      </c>
      <c r="C3054" s="15" t="str">
        <f>Solieusap!C3054</f>
        <v/>
      </c>
      <c r="D3054" s="15" t="str">
        <f>Solieusap!D3054</f>
        <v/>
      </c>
      <c r="E3054" s="16">
        <f>ABS(Solieusap!E3054)</f>
        <v>0</v>
      </c>
      <c r="F3054" s="16">
        <f>ABS(Solieusap!F3054)</f>
        <v>0</v>
      </c>
      <c r="G3054" s="16">
        <f>ABS(Solieusap!G3054)</f>
        <v>0</v>
      </c>
      <c r="H3054" s="16">
        <f>ABS(Solieusap!H3054)</f>
        <v>0</v>
      </c>
      <c r="I3054" s="16">
        <f>ABS(Solieusap!I3054)</f>
        <v>0</v>
      </c>
      <c r="J3054" s="16">
        <f>ABS(Solieusap!J3054)</f>
        <v>0</v>
      </c>
      <c r="K3054" s="16">
        <f t="shared" si="1"/>
        <v>0</v>
      </c>
      <c r="L3054" s="16">
        <f t="shared" si="2"/>
        <v>0</v>
      </c>
    </row>
    <row r="3055" ht="16.5" customHeight="1">
      <c r="A3055" s="15" t="str">
        <f>Solieusap!A3055</f>
        <v/>
      </c>
      <c r="B3055" s="15" t="str">
        <f>Solieusap!B3055</f>
        <v/>
      </c>
      <c r="C3055" s="15" t="str">
        <f>Solieusap!C3055</f>
        <v/>
      </c>
      <c r="D3055" s="15" t="str">
        <f>Solieusap!D3055</f>
        <v/>
      </c>
      <c r="E3055" s="16">
        <f>ABS(Solieusap!E3055)</f>
        <v>0</v>
      </c>
      <c r="F3055" s="16">
        <f>ABS(Solieusap!F3055)</f>
        <v>0</v>
      </c>
      <c r="G3055" s="16">
        <f>ABS(Solieusap!G3055)</f>
        <v>0</v>
      </c>
      <c r="H3055" s="16">
        <f>ABS(Solieusap!H3055)</f>
        <v>0</v>
      </c>
      <c r="I3055" s="16">
        <f>ABS(Solieusap!I3055)</f>
        <v>0</v>
      </c>
      <c r="J3055" s="16">
        <f>ABS(Solieusap!J3055)</f>
        <v>0</v>
      </c>
      <c r="K3055" s="16">
        <f t="shared" si="1"/>
        <v>0</v>
      </c>
      <c r="L3055" s="16">
        <f t="shared" si="2"/>
        <v>0</v>
      </c>
    </row>
    <row r="3056" ht="16.5" customHeight="1">
      <c r="A3056" s="15" t="str">
        <f>Solieusap!A3056</f>
        <v/>
      </c>
      <c r="B3056" s="15" t="str">
        <f>Solieusap!B3056</f>
        <v/>
      </c>
      <c r="C3056" s="15" t="str">
        <f>Solieusap!C3056</f>
        <v/>
      </c>
      <c r="D3056" s="15" t="str">
        <f>Solieusap!D3056</f>
        <v/>
      </c>
      <c r="E3056" s="16">
        <f>ABS(Solieusap!E3056)</f>
        <v>0</v>
      </c>
      <c r="F3056" s="16">
        <f>ABS(Solieusap!F3056)</f>
        <v>0</v>
      </c>
      <c r="G3056" s="16">
        <f>ABS(Solieusap!G3056)</f>
        <v>0</v>
      </c>
      <c r="H3056" s="16">
        <f>ABS(Solieusap!H3056)</f>
        <v>0</v>
      </c>
      <c r="I3056" s="16">
        <f>ABS(Solieusap!I3056)</f>
        <v>0</v>
      </c>
      <c r="J3056" s="16">
        <f>ABS(Solieusap!J3056)</f>
        <v>0</v>
      </c>
      <c r="K3056" s="16">
        <f t="shared" si="1"/>
        <v>0</v>
      </c>
      <c r="L3056" s="16">
        <f t="shared" si="2"/>
        <v>0</v>
      </c>
    </row>
    <row r="3057" ht="16.5" customHeight="1">
      <c r="A3057" s="15" t="str">
        <f>Solieusap!A3057</f>
        <v/>
      </c>
      <c r="B3057" s="15" t="str">
        <f>Solieusap!B3057</f>
        <v/>
      </c>
      <c r="C3057" s="15" t="str">
        <f>Solieusap!C3057</f>
        <v/>
      </c>
      <c r="D3057" s="15" t="str">
        <f>Solieusap!D3057</f>
        <v/>
      </c>
      <c r="E3057" s="16">
        <f>ABS(Solieusap!E3057)</f>
        <v>0</v>
      </c>
      <c r="F3057" s="16">
        <f>ABS(Solieusap!F3057)</f>
        <v>0</v>
      </c>
      <c r="G3057" s="16">
        <f>ABS(Solieusap!G3057)</f>
        <v>0</v>
      </c>
      <c r="H3057" s="16">
        <f>ABS(Solieusap!H3057)</f>
        <v>0</v>
      </c>
      <c r="I3057" s="16">
        <f>ABS(Solieusap!I3057)</f>
        <v>0</v>
      </c>
      <c r="J3057" s="16">
        <f>ABS(Solieusap!J3057)</f>
        <v>0</v>
      </c>
      <c r="K3057" s="16">
        <f t="shared" si="1"/>
        <v>0</v>
      </c>
      <c r="L3057" s="16">
        <f t="shared" si="2"/>
        <v>0</v>
      </c>
    </row>
    <row r="3058" ht="16.5" customHeight="1">
      <c r="A3058" s="15" t="str">
        <f>Solieusap!A3058</f>
        <v/>
      </c>
      <c r="B3058" s="15" t="str">
        <f>Solieusap!B3058</f>
        <v/>
      </c>
      <c r="C3058" s="15" t="str">
        <f>Solieusap!C3058</f>
        <v/>
      </c>
      <c r="D3058" s="15" t="str">
        <f>Solieusap!D3058</f>
        <v/>
      </c>
      <c r="E3058" s="16">
        <f>ABS(Solieusap!E3058)</f>
        <v>0</v>
      </c>
      <c r="F3058" s="16">
        <f>ABS(Solieusap!F3058)</f>
        <v>0</v>
      </c>
      <c r="G3058" s="16">
        <f>ABS(Solieusap!G3058)</f>
        <v>0</v>
      </c>
      <c r="H3058" s="16">
        <f>ABS(Solieusap!H3058)</f>
        <v>0</v>
      </c>
      <c r="I3058" s="16">
        <f>ABS(Solieusap!I3058)</f>
        <v>0</v>
      </c>
      <c r="J3058" s="16">
        <f>ABS(Solieusap!J3058)</f>
        <v>0</v>
      </c>
      <c r="K3058" s="16">
        <f t="shared" si="1"/>
        <v>0</v>
      </c>
      <c r="L3058" s="16">
        <f t="shared" si="2"/>
        <v>0</v>
      </c>
    </row>
    <row r="3059" ht="16.5" customHeight="1">
      <c r="A3059" s="15" t="str">
        <f>Solieusap!A3059</f>
        <v/>
      </c>
      <c r="B3059" s="15" t="str">
        <f>Solieusap!B3059</f>
        <v/>
      </c>
      <c r="C3059" s="15" t="str">
        <f>Solieusap!C3059</f>
        <v/>
      </c>
      <c r="D3059" s="15" t="str">
        <f>Solieusap!D3059</f>
        <v/>
      </c>
      <c r="E3059" s="16">
        <f>ABS(Solieusap!E3059)</f>
        <v>0</v>
      </c>
      <c r="F3059" s="16">
        <f>ABS(Solieusap!F3059)</f>
        <v>0</v>
      </c>
      <c r="G3059" s="16">
        <f>ABS(Solieusap!G3059)</f>
        <v>0</v>
      </c>
      <c r="H3059" s="16">
        <f>ABS(Solieusap!H3059)</f>
        <v>0</v>
      </c>
      <c r="I3059" s="16">
        <f>ABS(Solieusap!I3059)</f>
        <v>0</v>
      </c>
      <c r="J3059" s="16">
        <f>ABS(Solieusap!J3059)</f>
        <v>0</v>
      </c>
      <c r="K3059" s="16">
        <f t="shared" si="1"/>
        <v>0</v>
      </c>
      <c r="L3059" s="16">
        <f t="shared" si="2"/>
        <v>0</v>
      </c>
    </row>
    <row r="3060" ht="16.5" customHeight="1">
      <c r="A3060" s="15" t="str">
        <f>Solieusap!A3060</f>
        <v/>
      </c>
      <c r="B3060" s="15" t="str">
        <f>Solieusap!B3060</f>
        <v/>
      </c>
      <c r="C3060" s="15" t="str">
        <f>Solieusap!C3060</f>
        <v/>
      </c>
      <c r="D3060" s="15" t="str">
        <f>Solieusap!D3060</f>
        <v/>
      </c>
      <c r="E3060" s="16">
        <f>ABS(Solieusap!E3060)</f>
        <v>0</v>
      </c>
      <c r="F3060" s="16">
        <f>ABS(Solieusap!F3060)</f>
        <v>0</v>
      </c>
      <c r="G3060" s="16">
        <f>ABS(Solieusap!G3060)</f>
        <v>0</v>
      </c>
      <c r="H3060" s="16">
        <f>ABS(Solieusap!H3060)</f>
        <v>0</v>
      </c>
      <c r="I3060" s="16">
        <f>ABS(Solieusap!I3060)</f>
        <v>0</v>
      </c>
      <c r="J3060" s="16">
        <f>ABS(Solieusap!J3060)</f>
        <v>0</v>
      </c>
      <c r="K3060" s="16">
        <f t="shared" si="1"/>
        <v>0</v>
      </c>
      <c r="L3060" s="16">
        <f t="shared" si="2"/>
        <v>0</v>
      </c>
    </row>
    <row r="3061" ht="16.5" customHeight="1">
      <c r="A3061" s="15" t="str">
        <f>Solieusap!A3061</f>
        <v/>
      </c>
      <c r="B3061" s="15" t="str">
        <f>Solieusap!B3061</f>
        <v/>
      </c>
      <c r="C3061" s="15" t="str">
        <f>Solieusap!C3061</f>
        <v/>
      </c>
      <c r="D3061" s="15" t="str">
        <f>Solieusap!D3061</f>
        <v/>
      </c>
      <c r="E3061" s="16">
        <f>ABS(Solieusap!E3061)</f>
        <v>0</v>
      </c>
      <c r="F3061" s="16">
        <f>ABS(Solieusap!F3061)</f>
        <v>0</v>
      </c>
      <c r="G3061" s="16">
        <f>ABS(Solieusap!G3061)</f>
        <v>0</v>
      </c>
      <c r="H3061" s="16">
        <f>ABS(Solieusap!H3061)</f>
        <v>0</v>
      </c>
      <c r="I3061" s="16">
        <f>ABS(Solieusap!I3061)</f>
        <v>0</v>
      </c>
      <c r="J3061" s="16">
        <f>ABS(Solieusap!J3061)</f>
        <v>0</v>
      </c>
      <c r="K3061" s="16">
        <f t="shared" si="1"/>
        <v>0</v>
      </c>
      <c r="L3061" s="16">
        <f t="shared" si="2"/>
        <v>0</v>
      </c>
    </row>
    <row r="3062" ht="16.5" customHeight="1">
      <c r="A3062" s="15" t="str">
        <f>Solieusap!A3062</f>
        <v/>
      </c>
      <c r="B3062" s="15" t="str">
        <f>Solieusap!B3062</f>
        <v/>
      </c>
      <c r="C3062" s="15" t="str">
        <f>Solieusap!C3062</f>
        <v/>
      </c>
      <c r="D3062" s="15" t="str">
        <f>Solieusap!D3062</f>
        <v/>
      </c>
      <c r="E3062" s="16">
        <f>ABS(Solieusap!E3062)</f>
        <v>0</v>
      </c>
      <c r="F3062" s="16">
        <f>ABS(Solieusap!F3062)</f>
        <v>0</v>
      </c>
      <c r="G3062" s="16">
        <f>ABS(Solieusap!G3062)</f>
        <v>0</v>
      </c>
      <c r="H3062" s="16">
        <f>ABS(Solieusap!H3062)</f>
        <v>0</v>
      </c>
      <c r="I3062" s="16">
        <f>ABS(Solieusap!I3062)</f>
        <v>0</v>
      </c>
      <c r="J3062" s="16">
        <f>ABS(Solieusap!J3062)</f>
        <v>0</v>
      </c>
      <c r="K3062" s="16">
        <f t="shared" si="1"/>
        <v>0</v>
      </c>
      <c r="L3062" s="16">
        <f t="shared" si="2"/>
        <v>0</v>
      </c>
    </row>
    <row r="3063" ht="16.5" customHeight="1">
      <c r="A3063" s="15" t="str">
        <f>Solieusap!A3063</f>
        <v/>
      </c>
      <c r="B3063" s="15" t="str">
        <f>Solieusap!B3063</f>
        <v/>
      </c>
      <c r="C3063" s="15" t="str">
        <f>Solieusap!C3063</f>
        <v/>
      </c>
      <c r="D3063" s="15" t="str">
        <f>Solieusap!D3063</f>
        <v/>
      </c>
      <c r="E3063" s="16">
        <f>ABS(Solieusap!E3063)</f>
        <v>0</v>
      </c>
      <c r="F3063" s="16">
        <f>ABS(Solieusap!F3063)</f>
        <v>0</v>
      </c>
      <c r="G3063" s="16">
        <f>ABS(Solieusap!G3063)</f>
        <v>0</v>
      </c>
      <c r="H3063" s="16">
        <f>ABS(Solieusap!H3063)</f>
        <v>0</v>
      </c>
      <c r="I3063" s="16">
        <f>ABS(Solieusap!I3063)</f>
        <v>0</v>
      </c>
      <c r="J3063" s="16">
        <f>ABS(Solieusap!J3063)</f>
        <v>0</v>
      </c>
      <c r="K3063" s="16">
        <f t="shared" si="1"/>
        <v>0</v>
      </c>
      <c r="L3063" s="16">
        <f t="shared" si="2"/>
        <v>0</v>
      </c>
    </row>
    <row r="3064" ht="16.5" customHeight="1">
      <c r="A3064" s="15" t="str">
        <f>Solieusap!A3064</f>
        <v/>
      </c>
      <c r="B3064" s="15" t="str">
        <f>Solieusap!B3064</f>
        <v/>
      </c>
      <c r="C3064" s="15" t="str">
        <f>Solieusap!C3064</f>
        <v/>
      </c>
      <c r="D3064" s="15" t="str">
        <f>Solieusap!D3064</f>
        <v/>
      </c>
      <c r="E3064" s="16">
        <f>ABS(Solieusap!E3064)</f>
        <v>0</v>
      </c>
      <c r="F3064" s="16">
        <f>ABS(Solieusap!F3064)</f>
        <v>0</v>
      </c>
      <c r="G3064" s="16">
        <f>ABS(Solieusap!G3064)</f>
        <v>0</v>
      </c>
      <c r="H3064" s="16">
        <f>ABS(Solieusap!H3064)</f>
        <v>0</v>
      </c>
      <c r="I3064" s="16">
        <f>ABS(Solieusap!I3064)</f>
        <v>0</v>
      </c>
      <c r="J3064" s="16">
        <f>ABS(Solieusap!J3064)</f>
        <v>0</v>
      </c>
      <c r="K3064" s="16">
        <f t="shared" si="1"/>
        <v>0</v>
      </c>
      <c r="L3064" s="16">
        <f t="shared" si="2"/>
        <v>0</v>
      </c>
    </row>
    <row r="3065" ht="16.5" customHeight="1">
      <c r="A3065" s="15" t="str">
        <f>Solieusap!A3065</f>
        <v/>
      </c>
      <c r="B3065" s="15" t="str">
        <f>Solieusap!B3065</f>
        <v/>
      </c>
      <c r="C3065" s="15" t="str">
        <f>Solieusap!C3065</f>
        <v/>
      </c>
      <c r="D3065" s="15" t="str">
        <f>Solieusap!D3065</f>
        <v/>
      </c>
      <c r="E3065" s="16">
        <f>ABS(Solieusap!E3065)</f>
        <v>0</v>
      </c>
      <c r="F3065" s="16">
        <f>ABS(Solieusap!F3065)</f>
        <v>0</v>
      </c>
      <c r="G3065" s="16">
        <f>ABS(Solieusap!G3065)</f>
        <v>0</v>
      </c>
      <c r="H3065" s="16">
        <f>ABS(Solieusap!H3065)</f>
        <v>0</v>
      </c>
      <c r="I3065" s="16">
        <f>ABS(Solieusap!I3065)</f>
        <v>0</v>
      </c>
      <c r="J3065" s="16">
        <f>ABS(Solieusap!J3065)</f>
        <v>0</v>
      </c>
      <c r="K3065" s="16">
        <f t="shared" si="1"/>
        <v>0</v>
      </c>
      <c r="L3065" s="16">
        <f t="shared" si="2"/>
        <v>0</v>
      </c>
    </row>
    <row r="3066" ht="16.5" customHeight="1">
      <c r="A3066" s="15" t="str">
        <f>Solieusap!A3066</f>
        <v/>
      </c>
      <c r="B3066" s="15" t="str">
        <f>Solieusap!B3066</f>
        <v/>
      </c>
      <c r="C3066" s="15" t="str">
        <f>Solieusap!C3066</f>
        <v/>
      </c>
      <c r="D3066" s="15" t="str">
        <f>Solieusap!D3066</f>
        <v/>
      </c>
      <c r="E3066" s="16">
        <f>ABS(Solieusap!E3066)</f>
        <v>0</v>
      </c>
      <c r="F3066" s="16">
        <f>ABS(Solieusap!F3066)</f>
        <v>0</v>
      </c>
      <c r="G3066" s="16">
        <f>ABS(Solieusap!G3066)</f>
        <v>0</v>
      </c>
      <c r="H3066" s="16">
        <f>ABS(Solieusap!H3066)</f>
        <v>0</v>
      </c>
      <c r="I3066" s="16">
        <f>ABS(Solieusap!I3066)</f>
        <v>0</v>
      </c>
      <c r="J3066" s="16">
        <f>ABS(Solieusap!J3066)</f>
        <v>0</v>
      </c>
      <c r="K3066" s="16">
        <f t="shared" si="1"/>
        <v>0</v>
      </c>
      <c r="L3066" s="16">
        <f t="shared" si="2"/>
        <v>0</v>
      </c>
    </row>
    <row r="3067" ht="16.5" customHeight="1">
      <c r="A3067" s="15" t="str">
        <f>Solieusap!A3067</f>
        <v/>
      </c>
      <c r="B3067" s="15" t="str">
        <f>Solieusap!B3067</f>
        <v/>
      </c>
      <c r="C3067" s="15" t="str">
        <f>Solieusap!C3067</f>
        <v/>
      </c>
      <c r="D3067" s="15" t="str">
        <f>Solieusap!D3067</f>
        <v/>
      </c>
      <c r="E3067" s="16">
        <f>ABS(Solieusap!E3067)</f>
        <v>0</v>
      </c>
      <c r="F3067" s="16">
        <f>ABS(Solieusap!F3067)</f>
        <v>0</v>
      </c>
      <c r="G3067" s="16">
        <f>ABS(Solieusap!G3067)</f>
        <v>0</v>
      </c>
      <c r="H3067" s="16">
        <f>ABS(Solieusap!H3067)</f>
        <v>0</v>
      </c>
      <c r="I3067" s="16">
        <f>ABS(Solieusap!I3067)</f>
        <v>0</v>
      </c>
      <c r="J3067" s="16">
        <f>ABS(Solieusap!J3067)</f>
        <v>0</v>
      </c>
      <c r="K3067" s="16">
        <f t="shared" si="1"/>
        <v>0</v>
      </c>
      <c r="L3067" s="16">
        <f t="shared" si="2"/>
        <v>0</v>
      </c>
    </row>
    <row r="3068" ht="16.5" customHeight="1">
      <c r="A3068" s="15" t="str">
        <f>Solieusap!A3068</f>
        <v/>
      </c>
      <c r="B3068" s="15" t="str">
        <f>Solieusap!B3068</f>
        <v/>
      </c>
      <c r="C3068" s="15" t="str">
        <f>Solieusap!C3068</f>
        <v/>
      </c>
      <c r="D3068" s="15" t="str">
        <f>Solieusap!D3068</f>
        <v/>
      </c>
      <c r="E3068" s="16">
        <f>ABS(Solieusap!E3068)</f>
        <v>0</v>
      </c>
      <c r="F3068" s="16">
        <f>ABS(Solieusap!F3068)</f>
        <v>0</v>
      </c>
      <c r="G3068" s="16">
        <f>ABS(Solieusap!G3068)</f>
        <v>0</v>
      </c>
      <c r="H3068" s="16">
        <f>ABS(Solieusap!H3068)</f>
        <v>0</v>
      </c>
      <c r="I3068" s="16">
        <f>ABS(Solieusap!I3068)</f>
        <v>0</v>
      </c>
      <c r="J3068" s="16">
        <f>ABS(Solieusap!J3068)</f>
        <v>0</v>
      </c>
      <c r="K3068" s="16">
        <f t="shared" si="1"/>
        <v>0</v>
      </c>
      <c r="L3068" s="16">
        <f t="shared" si="2"/>
        <v>0</v>
      </c>
    </row>
    <row r="3069" ht="16.5" customHeight="1">
      <c r="A3069" s="15" t="str">
        <f>Solieusap!A3069</f>
        <v/>
      </c>
      <c r="B3069" s="15" t="str">
        <f>Solieusap!B3069</f>
        <v/>
      </c>
      <c r="C3069" s="15" t="str">
        <f>Solieusap!C3069</f>
        <v/>
      </c>
      <c r="D3069" s="15" t="str">
        <f>Solieusap!D3069</f>
        <v/>
      </c>
      <c r="E3069" s="16">
        <f>ABS(Solieusap!E3069)</f>
        <v>0</v>
      </c>
      <c r="F3069" s="16">
        <f>ABS(Solieusap!F3069)</f>
        <v>0</v>
      </c>
      <c r="G3069" s="16">
        <f>ABS(Solieusap!G3069)</f>
        <v>0</v>
      </c>
      <c r="H3069" s="16">
        <f>ABS(Solieusap!H3069)</f>
        <v>0</v>
      </c>
      <c r="I3069" s="16">
        <f>ABS(Solieusap!I3069)</f>
        <v>0</v>
      </c>
      <c r="J3069" s="16">
        <f>ABS(Solieusap!J3069)</f>
        <v>0</v>
      </c>
      <c r="K3069" s="16">
        <f t="shared" si="1"/>
        <v>0</v>
      </c>
      <c r="L3069" s="16">
        <f t="shared" si="2"/>
        <v>0</v>
      </c>
    </row>
    <row r="3070" ht="16.5" customHeight="1">
      <c r="A3070" s="15" t="str">
        <f>Solieusap!A3070</f>
        <v/>
      </c>
      <c r="B3070" s="15" t="str">
        <f>Solieusap!B3070</f>
        <v/>
      </c>
      <c r="C3070" s="15" t="str">
        <f>Solieusap!C3070</f>
        <v/>
      </c>
      <c r="D3070" s="15" t="str">
        <f>Solieusap!D3070</f>
        <v/>
      </c>
      <c r="E3070" s="16">
        <f>ABS(Solieusap!E3070)</f>
        <v>0</v>
      </c>
      <c r="F3070" s="16">
        <f>ABS(Solieusap!F3070)</f>
        <v>0</v>
      </c>
      <c r="G3070" s="16">
        <f>ABS(Solieusap!G3070)</f>
        <v>0</v>
      </c>
      <c r="H3070" s="16">
        <f>ABS(Solieusap!H3070)</f>
        <v>0</v>
      </c>
      <c r="I3070" s="16">
        <f>ABS(Solieusap!I3070)</f>
        <v>0</v>
      </c>
      <c r="J3070" s="16">
        <f>ABS(Solieusap!J3070)</f>
        <v>0</v>
      </c>
      <c r="K3070" s="16">
        <f t="shared" si="1"/>
        <v>0</v>
      </c>
      <c r="L3070" s="16">
        <f t="shared" si="2"/>
        <v>0</v>
      </c>
    </row>
    <row r="3071" ht="16.5" customHeight="1">
      <c r="A3071" s="15" t="str">
        <f>Solieusap!A3071</f>
        <v/>
      </c>
      <c r="B3071" s="15" t="str">
        <f>Solieusap!B3071</f>
        <v/>
      </c>
      <c r="C3071" s="15" t="str">
        <f>Solieusap!C3071</f>
        <v/>
      </c>
      <c r="D3071" s="15" t="str">
        <f>Solieusap!D3071</f>
        <v/>
      </c>
      <c r="E3071" s="16">
        <f>ABS(Solieusap!E3071)</f>
        <v>0</v>
      </c>
      <c r="F3071" s="16">
        <f>ABS(Solieusap!F3071)</f>
        <v>0</v>
      </c>
      <c r="G3071" s="16">
        <f>ABS(Solieusap!G3071)</f>
        <v>0</v>
      </c>
      <c r="H3071" s="16">
        <f>ABS(Solieusap!H3071)</f>
        <v>0</v>
      </c>
      <c r="I3071" s="16">
        <f>ABS(Solieusap!I3071)</f>
        <v>0</v>
      </c>
      <c r="J3071" s="16">
        <f>ABS(Solieusap!J3071)</f>
        <v>0</v>
      </c>
      <c r="K3071" s="16">
        <f t="shared" si="1"/>
        <v>0</v>
      </c>
      <c r="L3071" s="16">
        <f t="shared" si="2"/>
        <v>0</v>
      </c>
    </row>
    <row r="3072" ht="16.5" customHeight="1">
      <c r="A3072" s="15" t="str">
        <f>Solieusap!A3072</f>
        <v/>
      </c>
      <c r="B3072" s="15" t="str">
        <f>Solieusap!B3072</f>
        <v/>
      </c>
      <c r="C3072" s="15" t="str">
        <f>Solieusap!C3072</f>
        <v/>
      </c>
      <c r="D3072" s="15" t="str">
        <f>Solieusap!D3072</f>
        <v/>
      </c>
      <c r="E3072" s="16">
        <f>ABS(Solieusap!E3072)</f>
        <v>0</v>
      </c>
      <c r="F3072" s="16">
        <f>ABS(Solieusap!F3072)</f>
        <v>0</v>
      </c>
      <c r="G3072" s="16">
        <f>ABS(Solieusap!G3072)</f>
        <v>0</v>
      </c>
      <c r="H3072" s="16">
        <f>ABS(Solieusap!H3072)</f>
        <v>0</v>
      </c>
      <c r="I3072" s="16">
        <f>ABS(Solieusap!I3072)</f>
        <v>0</v>
      </c>
      <c r="J3072" s="16">
        <f>ABS(Solieusap!J3072)</f>
        <v>0</v>
      </c>
      <c r="K3072" s="16">
        <f t="shared" si="1"/>
        <v>0</v>
      </c>
      <c r="L3072" s="16">
        <f t="shared" si="2"/>
        <v>0</v>
      </c>
    </row>
    <row r="3073" ht="16.5" customHeight="1">
      <c r="A3073" s="15" t="str">
        <f>Solieusap!A3073</f>
        <v/>
      </c>
      <c r="B3073" s="15" t="str">
        <f>Solieusap!B3073</f>
        <v/>
      </c>
      <c r="C3073" s="15" t="str">
        <f>Solieusap!C3073</f>
        <v/>
      </c>
      <c r="D3073" s="15" t="str">
        <f>Solieusap!D3073</f>
        <v/>
      </c>
      <c r="E3073" s="16">
        <f>ABS(Solieusap!E3073)</f>
        <v>0</v>
      </c>
      <c r="F3073" s="16">
        <f>ABS(Solieusap!F3073)</f>
        <v>0</v>
      </c>
      <c r="G3073" s="16">
        <f>ABS(Solieusap!G3073)</f>
        <v>0</v>
      </c>
      <c r="H3073" s="16">
        <f>ABS(Solieusap!H3073)</f>
        <v>0</v>
      </c>
      <c r="I3073" s="16">
        <f>ABS(Solieusap!I3073)</f>
        <v>0</v>
      </c>
      <c r="J3073" s="16">
        <f>ABS(Solieusap!J3073)</f>
        <v>0</v>
      </c>
      <c r="K3073" s="16">
        <f t="shared" si="1"/>
        <v>0</v>
      </c>
      <c r="L3073" s="16">
        <f t="shared" si="2"/>
        <v>0</v>
      </c>
    </row>
    <row r="3074" ht="16.5" customHeight="1">
      <c r="A3074" s="15" t="str">
        <f>Solieusap!A3074</f>
        <v/>
      </c>
      <c r="B3074" s="15" t="str">
        <f>Solieusap!B3074</f>
        <v/>
      </c>
      <c r="C3074" s="15" t="str">
        <f>Solieusap!C3074</f>
        <v/>
      </c>
      <c r="D3074" s="15" t="str">
        <f>Solieusap!D3074</f>
        <v/>
      </c>
      <c r="E3074" s="16">
        <f>ABS(Solieusap!E3074)</f>
        <v>0</v>
      </c>
      <c r="F3074" s="16">
        <f>ABS(Solieusap!F3074)</f>
        <v>0</v>
      </c>
      <c r="G3074" s="16">
        <f>ABS(Solieusap!G3074)</f>
        <v>0</v>
      </c>
      <c r="H3074" s="16">
        <f>ABS(Solieusap!H3074)</f>
        <v>0</v>
      </c>
      <c r="I3074" s="16">
        <f>ABS(Solieusap!I3074)</f>
        <v>0</v>
      </c>
      <c r="J3074" s="16">
        <f>ABS(Solieusap!J3074)</f>
        <v>0</v>
      </c>
      <c r="K3074" s="16">
        <f t="shared" si="1"/>
        <v>0</v>
      </c>
      <c r="L3074" s="16">
        <f t="shared" si="2"/>
        <v>0</v>
      </c>
    </row>
    <row r="3075" ht="16.5" customHeight="1">
      <c r="A3075" s="15" t="str">
        <f>Solieusap!A3075</f>
        <v/>
      </c>
      <c r="B3075" s="15" t="str">
        <f>Solieusap!B3075</f>
        <v/>
      </c>
      <c r="C3075" s="15" t="str">
        <f>Solieusap!C3075</f>
        <v/>
      </c>
      <c r="D3075" s="15" t="str">
        <f>Solieusap!D3075</f>
        <v/>
      </c>
      <c r="E3075" s="16">
        <f>ABS(Solieusap!E3075)</f>
        <v>0</v>
      </c>
      <c r="F3075" s="16">
        <f>ABS(Solieusap!F3075)</f>
        <v>0</v>
      </c>
      <c r="G3075" s="16">
        <f>ABS(Solieusap!G3075)</f>
        <v>0</v>
      </c>
      <c r="H3075" s="16">
        <f>ABS(Solieusap!H3075)</f>
        <v>0</v>
      </c>
      <c r="I3075" s="16">
        <f>ABS(Solieusap!I3075)</f>
        <v>0</v>
      </c>
      <c r="J3075" s="16">
        <f>ABS(Solieusap!J3075)</f>
        <v>0</v>
      </c>
      <c r="K3075" s="16">
        <f t="shared" si="1"/>
        <v>0</v>
      </c>
      <c r="L3075" s="16">
        <f t="shared" si="2"/>
        <v>0</v>
      </c>
    </row>
    <row r="3076" ht="16.5" customHeight="1">
      <c r="A3076" s="15" t="str">
        <f>Solieusap!A3076</f>
        <v/>
      </c>
      <c r="B3076" s="15" t="str">
        <f>Solieusap!B3076</f>
        <v/>
      </c>
      <c r="C3076" s="15" t="str">
        <f>Solieusap!C3076</f>
        <v/>
      </c>
      <c r="D3076" s="15" t="str">
        <f>Solieusap!D3076</f>
        <v/>
      </c>
      <c r="E3076" s="16">
        <f>ABS(Solieusap!E3076)</f>
        <v>0</v>
      </c>
      <c r="F3076" s="16">
        <f>ABS(Solieusap!F3076)</f>
        <v>0</v>
      </c>
      <c r="G3076" s="16">
        <f>ABS(Solieusap!G3076)</f>
        <v>0</v>
      </c>
      <c r="H3076" s="16">
        <f>ABS(Solieusap!H3076)</f>
        <v>0</v>
      </c>
      <c r="I3076" s="16">
        <f>ABS(Solieusap!I3076)</f>
        <v>0</v>
      </c>
      <c r="J3076" s="16">
        <f>ABS(Solieusap!J3076)</f>
        <v>0</v>
      </c>
      <c r="K3076" s="16">
        <f t="shared" si="1"/>
        <v>0</v>
      </c>
      <c r="L3076" s="16">
        <f t="shared" si="2"/>
        <v>0</v>
      </c>
    </row>
    <row r="3077" ht="16.5" customHeight="1">
      <c r="A3077" s="15" t="str">
        <f>Solieusap!A3077</f>
        <v/>
      </c>
      <c r="B3077" s="15" t="str">
        <f>Solieusap!B3077</f>
        <v/>
      </c>
      <c r="C3077" s="15" t="str">
        <f>Solieusap!C3077</f>
        <v/>
      </c>
      <c r="D3077" s="15" t="str">
        <f>Solieusap!D3077</f>
        <v/>
      </c>
      <c r="E3077" s="16">
        <f>ABS(Solieusap!E3077)</f>
        <v>0</v>
      </c>
      <c r="F3077" s="16">
        <f>ABS(Solieusap!F3077)</f>
        <v>0</v>
      </c>
      <c r="G3077" s="16">
        <f>ABS(Solieusap!G3077)</f>
        <v>0</v>
      </c>
      <c r="H3077" s="16">
        <f>ABS(Solieusap!H3077)</f>
        <v>0</v>
      </c>
      <c r="I3077" s="16">
        <f>ABS(Solieusap!I3077)</f>
        <v>0</v>
      </c>
      <c r="J3077" s="16">
        <f>ABS(Solieusap!J3077)</f>
        <v>0</v>
      </c>
      <c r="K3077" s="16">
        <f t="shared" si="1"/>
        <v>0</v>
      </c>
      <c r="L3077" s="16">
        <f t="shared" si="2"/>
        <v>0</v>
      </c>
    </row>
    <row r="3078" ht="16.5" customHeight="1">
      <c r="A3078" s="15" t="str">
        <f>Solieusap!A3078</f>
        <v/>
      </c>
      <c r="B3078" s="15" t="str">
        <f>Solieusap!B3078</f>
        <v/>
      </c>
      <c r="C3078" s="15" t="str">
        <f>Solieusap!C3078</f>
        <v/>
      </c>
      <c r="D3078" s="15" t="str">
        <f>Solieusap!D3078</f>
        <v/>
      </c>
      <c r="E3078" s="16">
        <f>ABS(Solieusap!E3078)</f>
        <v>0</v>
      </c>
      <c r="F3078" s="16">
        <f>ABS(Solieusap!F3078)</f>
        <v>0</v>
      </c>
      <c r="G3078" s="16">
        <f>ABS(Solieusap!G3078)</f>
        <v>0</v>
      </c>
      <c r="H3078" s="16">
        <f>ABS(Solieusap!H3078)</f>
        <v>0</v>
      </c>
      <c r="I3078" s="16">
        <f>ABS(Solieusap!I3078)</f>
        <v>0</v>
      </c>
      <c r="J3078" s="16">
        <f>ABS(Solieusap!J3078)</f>
        <v>0</v>
      </c>
      <c r="K3078" s="16">
        <f t="shared" si="1"/>
        <v>0</v>
      </c>
      <c r="L3078" s="16">
        <f t="shared" si="2"/>
        <v>0</v>
      </c>
    </row>
    <row r="3079" ht="16.5" customHeight="1">
      <c r="A3079" s="15" t="str">
        <f>Solieusap!A3079</f>
        <v/>
      </c>
      <c r="B3079" s="15" t="str">
        <f>Solieusap!B3079</f>
        <v/>
      </c>
      <c r="C3079" s="15" t="str">
        <f>Solieusap!C3079</f>
        <v/>
      </c>
      <c r="D3079" s="15" t="str">
        <f>Solieusap!D3079</f>
        <v/>
      </c>
      <c r="E3079" s="16">
        <f>ABS(Solieusap!E3079)</f>
        <v>0</v>
      </c>
      <c r="F3079" s="16">
        <f>ABS(Solieusap!F3079)</f>
        <v>0</v>
      </c>
      <c r="G3079" s="16">
        <f>ABS(Solieusap!G3079)</f>
        <v>0</v>
      </c>
      <c r="H3079" s="16">
        <f>ABS(Solieusap!H3079)</f>
        <v>0</v>
      </c>
      <c r="I3079" s="16">
        <f>ABS(Solieusap!I3079)</f>
        <v>0</v>
      </c>
      <c r="J3079" s="16">
        <f>ABS(Solieusap!J3079)</f>
        <v>0</v>
      </c>
      <c r="K3079" s="16">
        <f t="shared" si="1"/>
        <v>0</v>
      </c>
      <c r="L3079" s="16">
        <f t="shared" si="2"/>
        <v>0</v>
      </c>
    </row>
    <row r="3080" ht="16.5" customHeight="1">
      <c r="A3080" s="15" t="str">
        <f>Solieusap!A3080</f>
        <v/>
      </c>
      <c r="B3080" s="15" t="str">
        <f>Solieusap!B3080</f>
        <v/>
      </c>
      <c r="C3080" s="15" t="str">
        <f>Solieusap!C3080</f>
        <v/>
      </c>
      <c r="D3080" s="15" t="str">
        <f>Solieusap!D3080</f>
        <v/>
      </c>
      <c r="E3080" s="16">
        <f>ABS(Solieusap!E3080)</f>
        <v>0</v>
      </c>
      <c r="F3080" s="16">
        <f>ABS(Solieusap!F3080)</f>
        <v>0</v>
      </c>
      <c r="G3080" s="16">
        <f>ABS(Solieusap!G3080)</f>
        <v>0</v>
      </c>
      <c r="H3080" s="16">
        <f>ABS(Solieusap!H3080)</f>
        <v>0</v>
      </c>
      <c r="I3080" s="16">
        <f>ABS(Solieusap!I3080)</f>
        <v>0</v>
      </c>
      <c r="J3080" s="16">
        <f>ABS(Solieusap!J3080)</f>
        <v>0</v>
      </c>
      <c r="K3080" s="16">
        <f t="shared" si="1"/>
        <v>0</v>
      </c>
      <c r="L3080" s="16">
        <f t="shared" si="2"/>
        <v>0</v>
      </c>
    </row>
    <row r="3081" ht="16.5" customHeight="1">
      <c r="A3081" s="15" t="str">
        <f>Solieusap!A3081</f>
        <v/>
      </c>
      <c r="B3081" s="15" t="str">
        <f>Solieusap!B3081</f>
        <v/>
      </c>
      <c r="C3081" s="15" t="str">
        <f>Solieusap!C3081</f>
        <v/>
      </c>
      <c r="D3081" s="15" t="str">
        <f>Solieusap!D3081</f>
        <v/>
      </c>
      <c r="E3081" s="16">
        <f>ABS(Solieusap!E3081)</f>
        <v>0</v>
      </c>
      <c r="F3081" s="16">
        <f>ABS(Solieusap!F3081)</f>
        <v>0</v>
      </c>
      <c r="G3081" s="16">
        <f>ABS(Solieusap!G3081)</f>
        <v>0</v>
      </c>
      <c r="H3081" s="16">
        <f>ABS(Solieusap!H3081)</f>
        <v>0</v>
      </c>
      <c r="I3081" s="16">
        <f>ABS(Solieusap!I3081)</f>
        <v>0</v>
      </c>
      <c r="J3081" s="16">
        <f>ABS(Solieusap!J3081)</f>
        <v>0</v>
      </c>
      <c r="K3081" s="16">
        <f t="shared" si="1"/>
        <v>0</v>
      </c>
      <c r="L3081" s="16">
        <f t="shared" si="2"/>
        <v>0</v>
      </c>
    </row>
    <row r="3082" ht="16.5" customHeight="1">
      <c r="A3082" s="15" t="str">
        <f>Solieusap!A3082</f>
        <v/>
      </c>
      <c r="B3082" s="15" t="str">
        <f>Solieusap!B3082</f>
        <v/>
      </c>
      <c r="C3082" s="15" t="str">
        <f>Solieusap!C3082</f>
        <v/>
      </c>
      <c r="D3082" s="15" t="str">
        <f>Solieusap!D3082</f>
        <v/>
      </c>
      <c r="E3082" s="16">
        <f>ABS(Solieusap!E3082)</f>
        <v>0</v>
      </c>
      <c r="F3082" s="16">
        <f>ABS(Solieusap!F3082)</f>
        <v>0</v>
      </c>
      <c r="G3082" s="16">
        <f>ABS(Solieusap!G3082)</f>
        <v>0</v>
      </c>
      <c r="H3082" s="16">
        <f>ABS(Solieusap!H3082)</f>
        <v>0</v>
      </c>
      <c r="I3082" s="16">
        <f>ABS(Solieusap!I3082)</f>
        <v>0</v>
      </c>
      <c r="J3082" s="16">
        <f>ABS(Solieusap!J3082)</f>
        <v>0</v>
      </c>
      <c r="K3082" s="16">
        <f t="shared" si="1"/>
        <v>0</v>
      </c>
      <c r="L3082" s="16">
        <f t="shared" si="2"/>
        <v>0</v>
      </c>
    </row>
    <row r="3083" ht="16.5" customHeight="1">
      <c r="A3083" s="15" t="str">
        <f>Solieusap!A3083</f>
        <v/>
      </c>
      <c r="B3083" s="15" t="str">
        <f>Solieusap!B3083</f>
        <v/>
      </c>
      <c r="C3083" s="15" t="str">
        <f>Solieusap!C3083</f>
        <v/>
      </c>
      <c r="D3083" s="15" t="str">
        <f>Solieusap!D3083</f>
        <v/>
      </c>
      <c r="E3083" s="16">
        <f>ABS(Solieusap!E3083)</f>
        <v>0</v>
      </c>
      <c r="F3083" s="16">
        <f>ABS(Solieusap!F3083)</f>
        <v>0</v>
      </c>
      <c r="G3083" s="16">
        <f>ABS(Solieusap!G3083)</f>
        <v>0</v>
      </c>
      <c r="H3083" s="16">
        <f>ABS(Solieusap!H3083)</f>
        <v>0</v>
      </c>
      <c r="I3083" s="16">
        <f>ABS(Solieusap!I3083)</f>
        <v>0</v>
      </c>
      <c r="J3083" s="16">
        <f>ABS(Solieusap!J3083)</f>
        <v>0</v>
      </c>
      <c r="K3083" s="16">
        <f t="shared" si="1"/>
        <v>0</v>
      </c>
      <c r="L3083" s="16">
        <f t="shared" si="2"/>
        <v>0</v>
      </c>
    </row>
    <row r="3084" ht="16.5" customHeight="1">
      <c r="A3084" s="15" t="str">
        <f>Solieusap!A3084</f>
        <v/>
      </c>
      <c r="B3084" s="15" t="str">
        <f>Solieusap!B3084</f>
        <v/>
      </c>
      <c r="C3084" s="15" t="str">
        <f>Solieusap!C3084</f>
        <v/>
      </c>
      <c r="D3084" s="15" t="str">
        <f>Solieusap!D3084</f>
        <v/>
      </c>
      <c r="E3084" s="16">
        <f>ABS(Solieusap!E3084)</f>
        <v>0</v>
      </c>
      <c r="F3084" s="16">
        <f>ABS(Solieusap!F3084)</f>
        <v>0</v>
      </c>
      <c r="G3084" s="16">
        <f>ABS(Solieusap!G3084)</f>
        <v>0</v>
      </c>
      <c r="H3084" s="16">
        <f>ABS(Solieusap!H3084)</f>
        <v>0</v>
      </c>
      <c r="I3084" s="16">
        <f>ABS(Solieusap!I3084)</f>
        <v>0</v>
      </c>
      <c r="J3084" s="16">
        <f>ABS(Solieusap!J3084)</f>
        <v>0</v>
      </c>
      <c r="K3084" s="16">
        <f t="shared" si="1"/>
        <v>0</v>
      </c>
      <c r="L3084" s="16">
        <f t="shared" si="2"/>
        <v>0</v>
      </c>
    </row>
    <row r="3085" ht="16.5" customHeight="1">
      <c r="A3085" s="15" t="str">
        <f>Solieusap!A3085</f>
        <v/>
      </c>
      <c r="B3085" s="15" t="str">
        <f>Solieusap!B3085</f>
        <v/>
      </c>
      <c r="C3085" s="15" t="str">
        <f>Solieusap!C3085</f>
        <v/>
      </c>
      <c r="D3085" s="15" t="str">
        <f>Solieusap!D3085</f>
        <v/>
      </c>
      <c r="E3085" s="16">
        <f>ABS(Solieusap!E3085)</f>
        <v>0</v>
      </c>
      <c r="F3085" s="16">
        <f>ABS(Solieusap!F3085)</f>
        <v>0</v>
      </c>
      <c r="G3085" s="16">
        <f>ABS(Solieusap!G3085)</f>
        <v>0</v>
      </c>
      <c r="H3085" s="16">
        <f>ABS(Solieusap!H3085)</f>
        <v>0</v>
      </c>
      <c r="I3085" s="16">
        <f>ABS(Solieusap!I3085)</f>
        <v>0</v>
      </c>
      <c r="J3085" s="16">
        <f>ABS(Solieusap!J3085)</f>
        <v>0</v>
      </c>
      <c r="K3085" s="16">
        <f t="shared" si="1"/>
        <v>0</v>
      </c>
      <c r="L3085" s="16">
        <f t="shared" si="2"/>
        <v>0</v>
      </c>
    </row>
    <row r="3086" ht="16.5" customHeight="1">
      <c r="A3086" s="15" t="str">
        <f>Solieusap!A3086</f>
        <v/>
      </c>
      <c r="B3086" s="15" t="str">
        <f>Solieusap!B3086</f>
        <v/>
      </c>
      <c r="C3086" s="15" t="str">
        <f>Solieusap!C3086</f>
        <v/>
      </c>
      <c r="D3086" s="15" t="str">
        <f>Solieusap!D3086</f>
        <v/>
      </c>
      <c r="E3086" s="16">
        <f>ABS(Solieusap!E3086)</f>
        <v>0</v>
      </c>
      <c r="F3086" s="16">
        <f>ABS(Solieusap!F3086)</f>
        <v>0</v>
      </c>
      <c r="G3086" s="16">
        <f>ABS(Solieusap!G3086)</f>
        <v>0</v>
      </c>
      <c r="H3086" s="16">
        <f>ABS(Solieusap!H3086)</f>
        <v>0</v>
      </c>
      <c r="I3086" s="16">
        <f>ABS(Solieusap!I3086)</f>
        <v>0</v>
      </c>
      <c r="J3086" s="16">
        <f>ABS(Solieusap!J3086)</f>
        <v>0</v>
      </c>
      <c r="K3086" s="16">
        <f t="shared" si="1"/>
        <v>0</v>
      </c>
      <c r="L3086" s="16">
        <f t="shared" si="2"/>
        <v>0</v>
      </c>
    </row>
    <row r="3087" ht="16.5" customHeight="1">
      <c r="A3087" s="15" t="str">
        <f>Solieusap!A3087</f>
        <v/>
      </c>
      <c r="B3087" s="15" t="str">
        <f>Solieusap!B3087</f>
        <v/>
      </c>
      <c r="C3087" s="15" t="str">
        <f>Solieusap!C3087</f>
        <v/>
      </c>
      <c r="D3087" s="15" t="str">
        <f>Solieusap!D3087</f>
        <v/>
      </c>
      <c r="E3087" s="16">
        <f>ABS(Solieusap!E3087)</f>
        <v>0</v>
      </c>
      <c r="F3087" s="16">
        <f>ABS(Solieusap!F3087)</f>
        <v>0</v>
      </c>
      <c r="G3087" s="16">
        <f>ABS(Solieusap!G3087)</f>
        <v>0</v>
      </c>
      <c r="H3087" s="16">
        <f>ABS(Solieusap!H3087)</f>
        <v>0</v>
      </c>
      <c r="I3087" s="16">
        <f>ABS(Solieusap!I3087)</f>
        <v>0</v>
      </c>
      <c r="J3087" s="16">
        <f>ABS(Solieusap!J3087)</f>
        <v>0</v>
      </c>
      <c r="K3087" s="16">
        <f t="shared" si="1"/>
        <v>0</v>
      </c>
      <c r="L3087" s="16">
        <f t="shared" si="2"/>
        <v>0</v>
      </c>
    </row>
    <row r="3088" ht="16.5" customHeight="1">
      <c r="A3088" s="15" t="str">
        <f>Solieusap!A3088</f>
        <v/>
      </c>
      <c r="B3088" s="15" t="str">
        <f>Solieusap!B3088</f>
        <v/>
      </c>
      <c r="C3088" s="15" t="str">
        <f>Solieusap!C3088</f>
        <v/>
      </c>
      <c r="D3088" s="15" t="str">
        <f>Solieusap!D3088</f>
        <v/>
      </c>
      <c r="E3088" s="16">
        <f>ABS(Solieusap!E3088)</f>
        <v>0</v>
      </c>
      <c r="F3088" s="16">
        <f>ABS(Solieusap!F3088)</f>
        <v>0</v>
      </c>
      <c r="G3088" s="16">
        <f>ABS(Solieusap!G3088)</f>
        <v>0</v>
      </c>
      <c r="H3088" s="16">
        <f>ABS(Solieusap!H3088)</f>
        <v>0</v>
      </c>
      <c r="I3088" s="16">
        <f>ABS(Solieusap!I3088)</f>
        <v>0</v>
      </c>
      <c r="J3088" s="16">
        <f>ABS(Solieusap!J3088)</f>
        <v>0</v>
      </c>
      <c r="K3088" s="16">
        <f t="shared" si="1"/>
        <v>0</v>
      </c>
      <c r="L3088" s="16">
        <f t="shared" si="2"/>
        <v>0</v>
      </c>
    </row>
    <row r="3089" ht="16.5" customHeight="1">
      <c r="A3089" s="15" t="str">
        <f>Solieusap!A3089</f>
        <v/>
      </c>
      <c r="B3089" s="15" t="str">
        <f>Solieusap!B3089</f>
        <v/>
      </c>
      <c r="C3089" s="15" t="str">
        <f>Solieusap!C3089</f>
        <v/>
      </c>
      <c r="D3089" s="15" t="str">
        <f>Solieusap!D3089</f>
        <v/>
      </c>
      <c r="E3089" s="16">
        <f>ABS(Solieusap!E3089)</f>
        <v>0</v>
      </c>
      <c r="F3089" s="16">
        <f>ABS(Solieusap!F3089)</f>
        <v>0</v>
      </c>
      <c r="G3089" s="16">
        <f>ABS(Solieusap!G3089)</f>
        <v>0</v>
      </c>
      <c r="H3089" s="16">
        <f>ABS(Solieusap!H3089)</f>
        <v>0</v>
      </c>
      <c r="I3089" s="16">
        <f>ABS(Solieusap!I3089)</f>
        <v>0</v>
      </c>
      <c r="J3089" s="16">
        <f>ABS(Solieusap!J3089)</f>
        <v>0</v>
      </c>
      <c r="K3089" s="16">
        <f t="shared" si="1"/>
        <v>0</v>
      </c>
      <c r="L3089" s="16">
        <f t="shared" si="2"/>
        <v>0</v>
      </c>
    </row>
    <row r="3090" ht="16.5" customHeight="1">
      <c r="A3090" s="15" t="str">
        <f>Solieusap!A3090</f>
        <v/>
      </c>
      <c r="B3090" s="15" t="str">
        <f>Solieusap!B3090</f>
        <v/>
      </c>
      <c r="C3090" s="15" t="str">
        <f>Solieusap!C3090</f>
        <v/>
      </c>
      <c r="D3090" s="15" t="str">
        <f>Solieusap!D3090</f>
        <v/>
      </c>
      <c r="E3090" s="16">
        <f>ABS(Solieusap!E3090)</f>
        <v>0</v>
      </c>
      <c r="F3090" s="16">
        <f>ABS(Solieusap!F3090)</f>
        <v>0</v>
      </c>
      <c r="G3090" s="16">
        <f>ABS(Solieusap!G3090)</f>
        <v>0</v>
      </c>
      <c r="H3090" s="16">
        <f>ABS(Solieusap!H3090)</f>
        <v>0</v>
      </c>
      <c r="I3090" s="16">
        <f>ABS(Solieusap!I3090)</f>
        <v>0</v>
      </c>
      <c r="J3090" s="16">
        <f>ABS(Solieusap!J3090)</f>
        <v>0</v>
      </c>
      <c r="K3090" s="16">
        <f t="shared" si="1"/>
        <v>0</v>
      </c>
      <c r="L3090" s="16">
        <f t="shared" si="2"/>
        <v>0</v>
      </c>
    </row>
    <row r="3091" ht="16.5" customHeight="1">
      <c r="A3091" s="15" t="str">
        <f>Solieusap!A3091</f>
        <v/>
      </c>
      <c r="B3091" s="15" t="str">
        <f>Solieusap!B3091</f>
        <v/>
      </c>
      <c r="C3091" s="15" t="str">
        <f>Solieusap!C3091</f>
        <v/>
      </c>
      <c r="D3091" s="15" t="str">
        <f>Solieusap!D3091</f>
        <v/>
      </c>
      <c r="E3091" s="16">
        <f>ABS(Solieusap!E3091)</f>
        <v>0</v>
      </c>
      <c r="F3091" s="16">
        <f>ABS(Solieusap!F3091)</f>
        <v>0</v>
      </c>
      <c r="G3091" s="16">
        <f>ABS(Solieusap!G3091)</f>
        <v>0</v>
      </c>
      <c r="H3091" s="16">
        <f>ABS(Solieusap!H3091)</f>
        <v>0</v>
      </c>
      <c r="I3091" s="16">
        <f>ABS(Solieusap!I3091)</f>
        <v>0</v>
      </c>
      <c r="J3091" s="16">
        <f>ABS(Solieusap!J3091)</f>
        <v>0</v>
      </c>
      <c r="K3091" s="16">
        <f t="shared" si="1"/>
        <v>0</v>
      </c>
      <c r="L3091" s="16">
        <f t="shared" si="2"/>
        <v>0</v>
      </c>
    </row>
    <row r="3092" ht="16.5" customHeight="1">
      <c r="A3092" s="15" t="str">
        <f>Solieusap!A3092</f>
        <v/>
      </c>
      <c r="B3092" s="15" t="str">
        <f>Solieusap!B3092</f>
        <v/>
      </c>
      <c r="C3092" s="15" t="str">
        <f>Solieusap!C3092</f>
        <v/>
      </c>
      <c r="D3092" s="15" t="str">
        <f>Solieusap!D3092</f>
        <v/>
      </c>
      <c r="E3092" s="16">
        <f>ABS(Solieusap!E3092)</f>
        <v>0</v>
      </c>
      <c r="F3092" s="16">
        <f>ABS(Solieusap!F3092)</f>
        <v>0</v>
      </c>
      <c r="G3092" s="16">
        <f>ABS(Solieusap!G3092)</f>
        <v>0</v>
      </c>
      <c r="H3092" s="16">
        <f>ABS(Solieusap!H3092)</f>
        <v>0</v>
      </c>
      <c r="I3092" s="16">
        <f>ABS(Solieusap!I3092)</f>
        <v>0</v>
      </c>
      <c r="J3092" s="16">
        <f>ABS(Solieusap!J3092)</f>
        <v>0</v>
      </c>
      <c r="K3092" s="16">
        <f t="shared" si="1"/>
        <v>0</v>
      </c>
      <c r="L3092" s="16">
        <f t="shared" si="2"/>
        <v>0</v>
      </c>
    </row>
    <row r="3093" ht="16.5" customHeight="1">
      <c r="A3093" s="15" t="str">
        <f>Solieusap!A3093</f>
        <v/>
      </c>
      <c r="B3093" s="15" t="str">
        <f>Solieusap!B3093</f>
        <v/>
      </c>
      <c r="C3093" s="15" t="str">
        <f>Solieusap!C3093</f>
        <v/>
      </c>
      <c r="D3093" s="15" t="str">
        <f>Solieusap!D3093</f>
        <v/>
      </c>
      <c r="E3093" s="16">
        <f>ABS(Solieusap!E3093)</f>
        <v>0</v>
      </c>
      <c r="F3093" s="16">
        <f>ABS(Solieusap!F3093)</f>
        <v>0</v>
      </c>
      <c r="G3093" s="16">
        <f>ABS(Solieusap!G3093)</f>
        <v>0</v>
      </c>
      <c r="H3093" s="16">
        <f>ABS(Solieusap!H3093)</f>
        <v>0</v>
      </c>
      <c r="I3093" s="16">
        <f>ABS(Solieusap!I3093)</f>
        <v>0</v>
      </c>
      <c r="J3093" s="16">
        <f>ABS(Solieusap!J3093)</f>
        <v>0</v>
      </c>
      <c r="K3093" s="16">
        <f t="shared" si="1"/>
        <v>0</v>
      </c>
      <c r="L3093" s="16">
        <f t="shared" si="2"/>
        <v>0</v>
      </c>
    </row>
    <row r="3094" ht="16.5" customHeight="1">
      <c r="A3094" s="15" t="str">
        <f>Solieusap!A3094</f>
        <v/>
      </c>
      <c r="B3094" s="15" t="str">
        <f>Solieusap!B3094</f>
        <v/>
      </c>
      <c r="C3094" s="15" t="str">
        <f>Solieusap!C3094</f>
        <v/>
      </c>
      <c r="D3094" s="15" t="str">
        <f>Solieusap!D3094</f>
        <v/>
      </c>
      <c r="E3094" s="16">
        <f>ABS(Solieusap!E3094)</f>
        <v>0</v>
      </c>
      <c r="F3094" s="16">
        <f>ABS(Solieusap!F3094)</f>
        <v>0</v>
      </c>
      <c r="G3094" s="16">
        <f>ABS(Solieusap!G3094)</f>
        <v>0</v>
      </c>
      <c r="H3094" s="16">
        <f>ABS(Solieusap!H3094)</f>
        <v>0</v>
      </c>
      <c r="I3094" s="16">
        <f>ABS(Solieusap!I3094)</f>
        <v>0</v>
      </c>
      <c r="J3094" s="16">
        <f>ABS(Solieusap!J3094)</f>
        <v>0</v>
      </c>
      <c r="K3094" s="16">
        <f t="shared" si="1"/>
        <v>0</v>
      </c>
      <c r="L3094" s="16">
        <f t="shared" si="2"/>
        <v>0</v>
      </c>
    </row>
    <row r="3095" ht="16.5" customHeight="1">
      <c r="A3095" s="15" t="str">
        <f>Solieusap!A3095</f>
        <v/>
      </c>
      <c r="B3095" s="15" t="str">
        <f>Solieusap!B3095</f>
        <v/>
      </c>
      <c r="C3095" s="15" t="str">
        <f>Solieusap!C3095</f>
        <v/>
      </c>
      <c r="D3095" s="15" t="str">
        <f>Solieusap!D3095</f>
        <v/>
      </c>
      <c r="E3095" s="16">
        <f>ABS(Solieusap!E3095)</f>
        <v>0</v>
      </c>
      <c r="F3095" s="16">
        <f>ABS(Solieusap!F3095)</f>
        <v>0</v>
      </c>
      <c r="G3095" s="16">
        <f>ABS(Solieusap!G3095)</f>
        <v>0</v>
      </c>
      <c r="H3095" s="16">
        <f>ABS(Solieusap!H3095)</f>
        <v>0</v>
      </c>
      <c r="I3095" s="16">
        <f>ABS(Solieusap!I3095)</f>
        <v>0</v>
      </c>
      <c r="J3095" s="16">
        <f>ABS(Solieusap!J3095)</f>
        <v>0</v>
      </c>
      <c r="K3095" s="16">
        <f t="shared" si="1"/>
        <v>0</v>
      </c>
      <c r="L3095" s="16">
        <f t="shared" si="2"/>
        <v>0</v>
      </c>
    </row>
    <row r="3096" ht="16.5" customHeight="1">
      <c r="A3096" s="15" t="str">
        <f>Solieusap!A3096</f>
        <v/>
      </c>
      <c r="B3096" s="15" t="str">
        <f>Solieusap!B3096</f>
        <v/>
      </c>
      <c r="C3096" s="15" t="str">
        <f>Solieusap!C3096</f>
        <v/>
      </c>
      <c r="D3096" s="15" t="str">
        <f>Solieusap!D3096</f>
        <v/>
      </c>
      <c r="E3096" s="16">
        <f>ABS(Solieusap!E3096)</f>
        <v>0</v>
      </c>
      <c r="F3096" s="16">
        <f>ABS(Solieusap!F3096)</f>
        <v>0</v>
      </c>
      <c r="G3096" s="16">
        <f>ABS(Solieusap!G3096)</f>
        <v>0</v>
      </c>
      <c r="H3096" s="16">
        <f>ABS(Solieusap!H3096)</f>
        <v>0</v>
      </c>
      <c r="I3096" s="16">
        <f>ABS(Solieusap!I3096)</f>
        <v>0</v>
      </c>
      <c r="J3096" s="16">
        <f>ABS(Solieusap!J3096)</f>
        <v>0</v>
      </c>
      <c r="K3096" s="16">
        <f t="shared" si="1"/>
        <v>0</v>
      </c>
      <c r="L3096" s="16">
        <f t="shared" si="2"/>
        <v>0</v>
      </c>
    </row>
    <row r="3097" ht="16.5" customHeight="1">
      <c r="A3097" s="15" t="str">
        <f>Solieusap!A3097</f>
        <v/>
      </c>
      <c r="B3097" s="15" t="str">
        <f>Solieusap!B3097</f>
        <v/>
      </c>
      <c r="C3097" s="15" t="str">
        <f>Solieusap!C3097</f>
        <v/>
      </c>
      <c r="D3097" s="15" t="str">
        <f>Solieusap!D3097</f>
        <v/>
      </c>
      <c r="E3097" s="16">
        <f>ABS(Solieusap!E3097)</f>
        <v>0</v>
      </c>
      <c r="F3097" s="16">
        <f>ABS(Solieusap!F3097)</f>
        <v>0</v>
      </c>
      <c r="G3097" s="16">
        <f>ABS(Solieusap!G3097)</f>
        <v>0</v>
      </c>
      <c r="H3097" s="16">
        <f>ABS(Solieusap!H3097)</f>
        <v>0</v>
      </c>
      <c r="I3097" s="16">
        <f>ABS(Solieusap!I3097)</f>
        <v>0</v>
      </c>
      <c r="J3097" s="16">
        <f>ABS(Solieusap!J3097)</f>
        <v>0</v>
      </c>
      <c r="K3097" s="16">
        <f t="shared" si="1"/>
        <v>0</v>
      </c>
      <c r="L3097" s="16">
        <f t="shared" si="2"/>
        <v>0</v>
      </c>
    </row>
    <row r="3098" ht="16.5" customHeight="1">
      <c r="A3098" s="15" t="str">
        <f>Solieusap!A3098</f>
        <v/>
      </c>
      <c r="B3098" s="15" t="str">
        <f>Solieusap!B3098</f>
        <v/>
      </c>
      <c r="C3098" s="15" t="str">
        <f>Solieusap!C3098</f>
        <v/>
      </c>
      <c r="D3098" s="15" t="str">
        <f>Solieusap!D3098</f>
        <v/>
      </c>
      <c r="E3098" s="16">
        <f>ABS(Solieusap!E3098)</f>
        <v>0</v>
      </c>
      <c r="F3098" s="16">
        <f>ABS(Solieusap!F3098)</f>
        <v>0</v>
      </c>
      <c r="G3098" s="16">
        <f>ABS(Solieusap!G3098)</f>
        <v>0</v>
      </c>
      <c r="H3098" s="16">
        <f>ABS(Solieusap!H3098)</f>
        <v>0</v>
      </c>
      <c r="I3098" s="16">
        <f>ABS(Solieusap!I3098)</f>
        <v>0</v>
      </c>
      <c r="J3098" s="16">
        <f>ABS(Solieusap!J3098)</f>
        <v>0</v>
      </c>
      <c r="K3098" s="16">
        <f t="shared" si="1"/>
        <v>0</v>
      </c>
      <c r="L3098" s="16">
        <f t="shared" si="2"/>
        <v>0</v>
      </c>
    </row>
    <row r="3099" ht="16.5" customHeight="1">
      <c r="A3099" s="15" t="str">
        <f>Solieusap!A3099</f>
        <v/>
      </c>
      <c r="B3099" s="15" t="str">
        <f>Solieusap!B3099</f>
        <v/>
      </c>
      <c r="C3099" s="15" t="str">
        <f>Solieusap!C3099</f>
        <v/>
      </c>
      <c r="D3099" s="15" t="str">
        <f>Solieusap!D3099</f>
        <v/>
      </c>
      <c r="E3099" s="16">
        <f>ABS(Solieusap!E3099)</f>
        <v>0</v>
      </c>
      <c r="F3099" s="16">
        <f>ABS(Solieusap!F3099)</f>
        <v>0</v>
      </c>
      <c r="G3099" s="16">
        <f>ABS(Solieusap!G3099)</f>
        <v>0</v>
      </c>
      <c r="H3099" s="16">
        <f>ABS(Solieusap!H3099)</f>
        <v>0</v>
      </c>
      <c r="I3099" s="16">
        <f>ABS(Solieusap!I3099)</f>
        <v>0</v>
      </c>
      <c r="J3099" s="16">
        <f>ABS(Solieusap!J3099)</f>
        <v>0</v>
      </c>
      <c r="K3099" s="16">
        <f t="shared" si="1"/>
        <v>0</v>
      </c>
      <c r="L3099" s="16">
        <f t="shared" si="2"/>
        <v>0</v>
      </c>
    </row>
    <row r="3100" ht="16.5" customHeight="1">
      <c r="A3100" s="15" t="str">
        <f>Solieusap!A3100</f>
        <v/>
      </c>
      <c r="B3100" s="15" t="str">
        <f>Solieusap!B3100</f>
        <v/>
      </c>
      <c r="C3100" s="15" t="str">
        <f>Solieusap!C3100</f>
        <v/>
      </c>
      <c r="D3100" s="15" t="str">
        <f>Solieusap!D3100</f>
        <v/>
      </c>
      <c r="E3100" s="16">
        <f>ABS(Solieusap!E3100)</f>
        <v>0</v>
      </c>
      <c r="F3100" s="16">
        <f>ABS(Solieusap!F3100)</f>
        <v>0</v>
      </c>
      <c r="G3100" s="16">
        <f>ABS(Solieusap!G3100)</f>
        <v>0</v>
      </c>
      <c r="H3100" s="16">
        <f>ABS(Solieusap!H3100)</f>
        <v>0</v>
      </c>
      <c r="I3100" s="16">
        <f>ABS(Solieusap!I3100)</f>
        <v>0</v>
      </c>
      <c r="J3100" s="16">
        <f>ABS(Solieusap!J3100)</f>
        <v>0</v>
      </c>
      <c r="K3100" s="16">
        <f t="shared" si="1"/>
        <v>0</v>
      </c>
      <c r="L3100" s="16">
        <f t="shared" si="2"/>
        <v>0</v>
      </c>
    </row>
    <row r="3101" ht="16.5" customHeight="1">
      <c r="A3101" s="15" t="str">
        <f>Solieusap!A3101</f>
        <v/>
      </c>
      <c r="B3101" s="15" t="str">
        <f>Solieusap!B3101</f>
        <v/>
      </c>
      <c r="C3101" s="15" t="str">
        <f>Solieusap!C3101</f>
        <v/>
      </c>
      <c r="D3101" s="15" t="str">
        <f>Solieusap!D3101</f>
        <v/>
      </c>
      <c r="E3101" s="16">
        <f>ABS(Solieusap!E3101)</f>
        <v>0</v>
      </c>
      <c r="F3101" s="16">
        <f>ABS(Solieusap!F3101)</f>
        <v>0</v>
      </c>
      <c r="G3101" s="16">
        <f>ABS(Solieusap!G3101)</f>
        <v>0</v>
      </c>
      <c r="H3101" s="16">
        <f>ABS(Solieusap!H3101)</f>
        <v>0</v>
      </c>
      <c r="I3101" s="16">
        <f>ABS(Solieusap!I3101)</f>
        <v>0</v>
      </c>
      <c r="J3101" s="16">
        <f>ABS(Solieusap!J3101)</f>
        <v>0</v>
      </c>
      <c r="K3101" s="16">
        <f t="shared" si="1"/>
        <v>0</v>
      </c>
      <c r="L3101" s="16">
        <f t="shared" si="2"/>
        <v>0</v>
      </c>
    </row>
    <row r="3102" ht="16.5" customHeight="1">
      <c r="A3102" s="15" t="str">
        <f>Solieusap!A3102</f>
        <v/>
      </c>
      <c r="B3102" s="15" t="str">
        <f>Solieusap!B3102</f>
        <v/>
      </c>
      <c r="C3102" s="15" t="str">
        <f>Solieusap!C3102</f>
        <v/>
      </c>
      <c r="D3102" s="15" t="str">
        <f>Solieusap!D3102</f>
        <v/>
      </c>
      <c r="E3102" s="16">
        <f>ABS(Solieusap!E3102)</f>
        <v>0</v>
      </c>
      <c r="F3102" s="16">
        <f>ABS(Solieusap!F3102)</f>
        <v>0</v>
      </c>
      <c r="G3102" s="16">
        <f>ABS(Solieusap!G3102)</f>
        <v>0</v>
      </c>
      <c r="H3102" s="16">
        <f>ABS(Solieusap!H3102)</f>
        <v>0</v>
      </c>
      <c r="I3102" s="16">
        <f>ABS(Solieusap!I3102)</f>
        <v>0</v>
      </c>
      <c r="J3102" s="16">
        <f>ABS(Solieusap!J3102)</f>
        <v>0</v>
      </c>
      <c r="K3102" s="16">
        <f t="shared" si="1"/>
        <v>0</v>
      </c>
      <c r="L3102" s="16">
        <f t="shared" si="2"/>
        <v>0</v>
      </c>
    </row>
    <row r="3103" ht="16.5" customHeight="1">
      <c r="A3103" s="15" t="str">
        <f>Solieusap!A3103</f>
        <v/>
      </c>
      <c r="B3103" s="15" t="str">
        <f>Solieusap!B3103</f>
        <v/>
      </c>
      <c r="C3103" s="15" t="str">
        <f>Solieusap!C3103</f>
        <v/>
      </c>
      <c r="D3103" s="15" t="str">
        <f>Solieusap!D3103</f>
        <v/>
      </c>
      <c r="E3103" s="16">
        <f>ABS(Solieusap!E3103)</f>
        <v>0</v>
      </c>
      <c r="F3103" s="16">
        <f>ABS(Solieusap!F3103)</f>
        <v>0</v>
      </c>
      <c r="G3103" s="16">
        <f>ABS(Solieusap!G3103)</f>
        <v>0</v>
      </c>
      <c r="H3103" s="16">
        <f>ABS(Solieusap!H3103)</f>
        <v>0</v>
      </c>
      <c r="I3103" s="16">
        <f>ABS(Solieusap!I3103)</f>
        <v>0</v>
      </c>
      <c r="J3103" s="16">
        <f>ABS(Solieusap!J3103)</f>
        <v>0</v>
      </c>
      <c r="K3103" s="16">
        <f t="shared" si="1"/>
        <v>0</v>
      </c>
      <c r="L3103" s="16">
        <f t="shared" si="2"/>
        <v>0</v>
      </c>
    </row>
    <row r="3104" ht="16.5" customHeight="1">
      <c r="A3104" s="15" t="str">
        <f>Solieusap!A3104</f>
        <v/>
      </c>
      <c r="B3104" s="15" t="str">
        <f>Solieusap!B3104</f>
        <v/>
      </c>
      <c r="C3104" s="15" t="str">
        <f>Solieusap!C3104</f>
        <v/>
      </c>
      <c r="D3104" s="15" t="str">
        <f>Solieusap!D3104</f>
        <v/>
      </c>
      <c r="E3104" s="16">
        <f>ABS(Solieusap!E3104)</f>
        <v>0</v>
      </c>
      <c r="F3104" s="16">
        <f>ABS(Solieusap!F3104)</f>
        <v>0</v>
      </c>
      <c r="G3104" s="16">
        <f>ABS(Solieusap!G3104)</f>
        <v>0</v>
      </c>
      <c r="H3104" s="16">
        <f>ABS(Solieusap!H3104)</f>
        <v>0</v>
      </c>
      <c r="I3104" s="16">
        <f>ABS(Solieusap!I3104)</f>
        <v>0</v>
      </c>
      <c r="J3104" s="16">
        <f>ABS(Solieusap!J3104)</f>
        <v>0</v>
      </c>
      <c r="K3104" s="16">
        <f t="shared" si="1"/>
        <v>0</v>
      </c>
      <c r="L3104" s="16">
        <f t="shared" si="2"/>
        <v>0</v>
      </c>
    </row>
    <row r="3105" ht="16.5" customHeight="1">
      <c r="A3105" s="15" t="str">
        <f>Solieusap!A3105</f>
        <v/>
      </c>
      <c r="B3105" s="15" t="str">
        <f>Solieusap!B3105</f>
        <v/>
      </c>
      <c r="C3105" s="15" t="str">
        <f>Solieusap!C3105</f>
        <v/>
      </c>
      <c r="D3105" s="15" t="str">
        <f>Solieusap!D3105</f>
        <v/>
      </c>
      <c r="E3105" s="16">
        <f>ABS(Solieusap!E3105)</f>
        <v>0</v>
      </c>
      <c r="F3105" s="16">
        <f>ABS(Solieusap!F3105)</f>
        <v>0</v>
      </c>
      <c r="G3105" s="16">
        <f>ABS(Solieusap!G3105)</f>
        <v>0</v>
      </c>
      <c r="H3105" s="16">
        <f>ABS(Solieusap!H3105)</f>
        <v>0</v>
      </c>
      <c r="I3105" s="16">
        <f>ABS(Solieusap!I3105)</f>
        <v>0</v>
      </c>
      <c r="J3105" s="16">
        <f>ABS(Solieusap!J3105)</f>
        <v>0</v>
      </c>
      <c r="K3105" s="16">
        <f t="shared" si="1"/>
        <v>0</v>
      </c>
      <c r="L3105" s="16">
        <f t="shared" si="2"/>
        <v>0</v>
      </c>
    </row>
    <row r="3106" ht="16.5" customHeight="1">
      <c r="A3106" s="15" t="str">
        <f>Solieusap!A3106</f>
        <v/>
      </c>
      <c r="B3106" s="15" t="str">
        <f>Solieusap!B3106</f>
        <v/>
      </c>
      <c r="C3106" s="15" t="str">
        <f>Solieusap!C3106</f>
        <v/>
      </c>
      <c r="D3106" s="15" t="str">
        <f>Solieusap!D3106</f>
        <v/>
      </c>
      <c r="E3106" s="16">
        <f>ABS(Solieusap!E3106)</f>
        <v>0</v>
      </c>
      <c r="F3106" s="16">
        <f>ABS(Solieusap!F3106)</f>
        <v>0</v>
      </c>
      <c r="G3106" s="16">
        <f>ABS(Solieusap!G3106)</f>
        <v>0</v>
      </c>
      <c r="H3106" s="16">
        <f>ABS(Solieusap!H3106)</f>
        <v>0</v>
      </c>
      <c r="I3106" s="16">
        <f>ABS(Solieusap!I3106)</f>
        <v>0</v>
      </c>
      <c r="J3106" s="16">
        <f>ABS(Solieusap!J3106)</f>
        <v>0</v>
      </c>
      <c r="K3106" s="16">
        <f t="shared" si="1"/>
        <v>0</v>
      </c>
      <c r="L3106" s="16">
        <f t="shared" si="2"/>
        <v>0</v>
      </c>
    </row>
    <row r="3107" ht="16.5" customHeight="1">
      <c r="A3107" s="15" t="str">
        <f>Solieusap!A3107</f>
        <v/>
      </c>
      <c r="B3107" s="15" t="str">
        <f>Solieusap!B3107</f>
        <v/>
      </c>
      <c r="C3107" s="15" t="str">
        <f>Solieusap!C3107</f>
        <v/>
      </c>
      <c r="D3107" s="15" t="str">
        <f>Solieusap!D3107</f>
        <v/>
      </c>
      <c r="E3107" s="16">
        <f>ABS(Solieusap!E3107)</f>
        <v>0</v>
      </c>
      <c r="F3107" s="16">
        <f>ABS(Solieusap!F3107)</f>
        <v>0</v>
      </c>
      <c r="G3107" s="16">
        <f>ABS(Solieusap!G3107)</f>
        <v>0</v>
      </c>
      <c r="H3107" s="16">
        <f>ABS(Solieusap!H3107)</f>
        <v>0</v>
      </c>
      <c r="I3107" s="16">
        <f>ABS(Solieusap!I3107)</f>
        <v>0</v>
      </c>
      <c r="J3107" s="16">
        <f>ABS(Solieusap!J3107)</f>
        <v>0</v>
      </c>
      <c r="K3107" s="16">
        <f t="shared" si="1"/>
        <v>0</v>
      </c>
      <c r="L3107" s="16">
        <f t="shared" si="2"/>
        <v>0</v>
      </c>
    </row>
    <row r="3108" ht="16.5" customHeight="1">
      <c r="A3108" s="15" t="str">
        <f>Solieusap!A3108</f>
        <v/>
      </c>
      <c r="B3108" s="15" t="str">
        <f>Solieusap!B3108</f>
        <v/>
      </c>
      <c r="C3108" s="15" t="str">
        <f>Solieusap!C3108</f>
        <v/>
      </c>
      <c r="D3108" s="15" t="str">
        <f>Solieusap!D3108</f>
        <v/>
      </c>
      <c r="E3108" s="16">
        <f>ABS(Solieusap!E3108)</f>
        <v>0</v>
      </c>
      <c r="F3108" s="16">
        <f>ABS(Solieusap!F3108)</f>
        <v>0</v>
      </c>
      <c r="G3108" s="16">
        <f>ABS(Solieusap!G3108)</f>
        <v>0</v>
      </c>
      <c r="H3108" s="16">
        <f>ABS(Solieusap!H3108)</f>
        <v>0</v>
      </c>
      <c r="I3108" s="16">
        <f>ABS(Solieusap!I3108)</f>
        <v>0</v>
      </c>
      <c r="J3108" s="16">
        <f>ABS(Solieusap!J3108)</f>
        <v>0</v>
      </c>
      <c r="K3108" s="16">
        <f t="shared" si="1"/>
        <v>0</v>
      </c>
      <c r="L3108" s="16">
        <f t="shared" si="2"/>
        <v>0</v>
      </c>
    </row>
    <row r="3109" ht="16.5" customHeight="1">
      <c r="A3109" s="15" t="str">
        <f>Solieusap!A3109</f>
        <v/>
      </c>
      <c r="B3109" s="15" t="str">
        <f>Solieusap!B3109</f>
        <v/>
      </c>
      <c r="C3109" s="15" t="str">
        <f>Solieusap!C3109</f>
        <v/>
      </c>
      <c r="D3109" s="15" t="str">
        <f>Solieusap!D3109</f>
        <v/>
      </c>
      <c r="E3109" s="16">
        <f>ABS(Solieusap!E3109)</f>
        <v>0</v>
      </c>
      <c r="F3109" s="16">
        <f>ABS(Solieusap!F3109)</f>
        <v>0</v>
      </c>
      <c r="G3109" s="16">
        <f>ABS(Solieusap!G3109)</f>
        <v>0</v>
      </c>
      <c r="H3109" s="16">
        <f>ABS(Solieusap!H3109)</f>
        <v>0</v>
      </c>
      <c r="I3109" s="16">
        <f>ABS(Solieusap!I3109)</f>
        <v>0</v>
      </c>
      <c r="J3109" s="16">
        <f>ABS(Solieusap!J3109)</f>
        <v>0</v>
      </c>
      <c r="K3109" s="16">
        <f t="shared" si="1"/>
        <v>0</v>
      </c>
      <c r="L3109" s="16">
        <f t="shared" si="2"/>
        <v>0</v>
      </c>
    </row>
    <row r="3110" ht="16.5" customHeight="1">
      <c r="A3110" s="15" t="str">
        <f>Solieusap!A3110</f>
        <v/>
      </c>
      <c r="B3110" s="15" t="str">
        <f>Solieusap!B3110</f>
        <v/>
      </c>
      <c r="C3110" s="15" t="str">
        <f>Solieusap!C3110</f>
        <v/>
      </c>
      <c r="D3110" s="15" t="str">
        <f>Solieusap!D3110</f>
        <v/>
      </c>
      <c r="E3110" s="16">
        <f>ABS(Solieusap!E3110)</f>
        <v>0</v>
      </c>
      <c r="F3110" s="16">
        <f>ABS(Solieusap!F3110)</f>
        <v>0</v>
      </c>
      <c r="G3110" s="16">
        <f>ABS(Solieusap!G3110)</f>
        <v>0</v>
      </c>
      <c r="H3110" s="16">
        <f>ABS(Solieusap!H3110)</f>
        <v>0</v>
      </c>
      <c r="I3110" s="16">
        <f>ABS(Solieusap!I3110)</f>
        <v>0</v>
      </c>
      <c r="J3110" s="16">
        <f>ABS(Solieusap!J3110)</f>
        <v>0</v>
      </c>
      <c r="K3110" s="16">
        <f t="shared" si="1"/>
        <v>0</v>
      </c>
      <c r="L3110" s="16">
        <f t="shared" si="2"/>
        <v>0</v>
      </c>
    </row>
    <row r="3111" ht="16.5" customHeight="1">
      <c r="A3111" s="15" t="str">
        <f>Solieusap!A3111</f>
        <v/>
      </c>
      <c r="B3111" s="15" t="str">
        <f>Solieusap!B3111</f>
        <v/>
      </c>
      <c r="C3111" s="15" t="str">
        <f>Solieusap!C3111</f>
        <v/>
      </c>
      <c r="D3111" s="15" t="str">
        <f>Solieusap!D3111</f>
        <v/>
      </c>
      <c r="E3111" s="16">
        <f>ABS(Solieusap!E3111)</f>
        <v>0</v>
      </c>
      <c r="F3111" s="16">
        <f>ABS(Solieusap!F3111)</f>
        <v>0</v>
      </c>
      <c r="G3111" s="16">
        <f>ABS(Solieusap!G3111)</f>
        <v>0</v>
      </c>
      <c r="H3111" s="16">
        <f>ABS(Solieusap!H3111)</f>
        <v>0</v>
      </c>
      <c r="I3111" s="16">
        <f>ABS(Solieusap!I3111)</f>
        <v>0</v>
      </c>
      <c r="J3111" s="16">
        <f>ABS(Solieusap!J3111)</f>
        <v>0</v>
      </c>
      <c r="K3111" s="16">
        <f t="shared" si="1"/>
        <v>0</v>
      </c>
      <c r="L3111" s="16">
        <f t="shared" si="2"/>
        <v>0</v>
      </c>
    </row>
    <row r="3112" ht="16.5" customHeight="1">
      <c r="A3112" s="15" t="str">
        <f>Solieusap!A3112</f>
        <v/>
      </c>
      <c r="B3112" s="15" t="str">
        <f>Solieusap!B3112</f>
        <v/>
      </c>
      <c r="C3112" s="15" t="str">
        <f>Solieusap!C3112</f>
        <v/>
      </c>
      <c r="D3112" s="15" t="str">
        <f>Solieusap!D3112</f>
        <v/>
      </c>
      <c r="E3112" s="16">
        <f>ABS(Solieusap!E3112)</f>
        <v>0</v>
      </c>
      <c r="F3112" s="16">
        <f>ABS(Solieusap!F3112)</f>
        <v>0</v>
      </c>
      <c r="G3112" s="16">
        <f>ABS(Solieusap!G3112)</f>
        <v>0</v>
      </c>
      <c r="H3112" s="16">
        <f>ABS(Solieusap!H3112)</f>
        <v>0</v>
      </c>
      <c r="I3112" s="16">
        <f>ABS(Solieusap!I3112)</f>
        <v>0</v>
      </c>
      <c r="J3112" s="16">
        <f>ABS(Solieusap!J3112)</f>
        <v>0</v>
      </c>
      <c r="K3112" s="16">
        <f t="shared" si="1"/>
        <v>0</v>
      </c>
      <c r="L3112" s="16">
        <f t="shared" si="2"/>
        <v>0</v>
      </c>
    </row>
    <row r="3113" ht="16.5" customHeight="1">
      <c r="A3113" s="15" t="str">
        <f>Solieusap!A3113</f>
        <v/>
      </c>
      <c r="B3113" s="15" t="str">
        <f>Solieusap!B3113</f>
        <v/>
      </c>
      <c r="C3113" s="15" t="str">
        <f>Solieusap!C3113</f>
        <v/>
      </c>
      <c r="D3113" s="15" t="str">
        <f>Solieusap!D3113</f>
        <v/>
      </c>
      <c r="E3113" s="16">
        <f>ABS(Solieusap!E3113)</f>
        <v>0</v>
      </c>
      <c r="F3113" s="16">
        <f>ABS(Solieusap!F3113)</f>
        <v>0</v>
      </c>
      <c r="G3113" s="16">
        <f>ABS(Solieusap!G3113)</f>
        <v>0</v>
      </c>
      <c r="H3113" s="16">
        <f>ABS(Solieusap!H3113)</f>
        <v>0</v>
      </c>
      <c r="I3113" s="16">
        <f>ABS(Solieusap!I3113)</f>
        <v>0</v>
      </c>
      <c r="J3113" s="16">
        <f>ABS(Solieusap!J3113)</f>
        <v>0</v>
      </c>
      <c r="K3113" s="16">
        <f t="shared" si="1"/>
        <v>0</v>
      </c>
      <c r="L3113" s="16">
        <f t="shared" si="2"/>
        <v>0</v>
      </c>
    </row>
    <row r="3114" ht="16.5" customHeight="1">
      <c r="A3114" s="15" t="str">
        <f>Solieusap!A3114</f>
        <v/>
      </c>
      <c r="B3114" s="15" t="str">
        <f>Solieusap!B3114</f>
        <v/>
      </c>
      <c r="C3114" s="15" t="str">
        <f>Solieusap!C3114</f>
        <v/>
      </c>
      <c r="D3114" s="15" t="str">
        <f>Solieusap!D3114</f>
        <v/>
      </c>
      <c r="E3114" s="16">
        <f>ABS(Solieusap!E3114)</f>
        <v>0</v>
      </c>
      <c r="F3114" s="16">
        <f>ABS(Solieusap!F3114)</f>
        <v>0</v>
      </c>
      <c r="G3114" s="16">
        <f>ABS(Solieusap!G3114)</f>
        <v>0</v>
      </c>
      <c r="H3114" s="16">
        <f>ABS(Solieusap!H3114)</f>
        <v>0</v>
      </c>
      <c r="I3114" s="16">
        <f>ABS(Solieusap!I3114)</f>
        <v>0</v>
      </c>
      <c r="J3114" s="16">
        <f>ABS(Solieusap!J3114)</f>
        <v>0</v>
      </c>
      <c r="K3114" s="16">
        <f t="shared" si="1"/>
        <v>0</v>
      </c>
      <c r="L3114" s="16">
        <f t="shared" si="2"/>
        <v>0</v>
      </c>
    </row>
    <row r="3115" ht="16.5" customHeight="1">
      <c r="A3115" s="15" t="str">
        <f>Solieusap!A3115</f>
        <v/>
      </c>
      <c r="B3115" s="15" t="str">
        <f>Solieusap!B3115</f>
        <v/>
      </c>
      <c r="C3115" s="15" t="str">
        <f>Solieusap!C3115</f>
        <v/>
      </c>
      <c r="D3115" s="15" t="str">
        <f>Solieusap!D3115</f>
        <v/>
      </c>
      <c r="E3115" s="16">
        <f>ABS(Solieusap!E3115)</f>
        <v>0</v>
      </c>
      <c r="F3115" s="16">
        <f>ABS(Solieusap!F3115)</f>
        <v>0</v>
      </c>
      <c r="G3115" s="16">
        <f>ABS(Solieusap!G3115)</f>
        <v>0</v>
      </c>
      <c r="H3115" s="16">
        <f>ABS(Solieusap!H3115)</f>
        <v>0</v>
      </c>
      <c r="I3115" s="16">
        <f>ABS(Solieusap!I3115)</f>
        <v>0</v>
      </c>
      <c r="J3115" s="16">
        <f>ABS(Solieusap!J3115)</f>
        <v>0</v>
      </c>
      <c r="K3115" s="16">
        <f t="shared" si="1"/>
        <v>0</v>
      </c>
      <c r="L3115" s="16">
        <f t="shared" si="2"/>
        <v>0</v>
      </c>
    </row>
    <row r="3116" ht="16.5" customHeight="1">
      <c r="A3116" s="15" t="str">
        <f>Solieusap!A3116</f>
        <v/>
      </c>
      <c r="B3116" s="15" t="str">
        <f>Solieusap!B3116</f>
        <v/>
      </c>
      <c r="C3116" s="15" t="str">
        <f>Solieusap!C3116</f>
        <v/>
      </c>
      <c r="D3116" s="15" t="str">
        <f>Solieusap!D3116</f>
        <v/>
      </c>
      <c r="E3116" s="16">
        <f>ABS(Solieusap!E3116)</f>
        <v>0</v>
      </c>
      <c r="F3116" s="16">
        <f>ABS(Solieusap!F3116)</f>
        <v>0</v>
      </c>
      <c r="G3116" s="16">
        <f>ABS(Solieusap!G3116)</f>
        <v>0</v>
      </c>
      <c r="H3116" s="16">
        <f>ABS(Solieusap!H3116)</f>
        <v>0</v>
      </c>
      <c r="I3116" s="16">
        <f>ABS(Solieusap!I3116)</f>
        <v>0</v>
      </c>
      <c r="J3116" s="16">
        <f>ABS(Solieusap!J3116)</f>
        <v>0</v>
      </c>
      <c r="K3116" s="16">
        <f t="shared" si="1"/>
        <v>0</v>
      </c>
      <c r="L3116" s="16">
        <f t="shared" si="2"/>
        <v>0</v>
      </c>
    </row>
    <row r="3117" ht="16.5" customHeight="1">
      <c r="A3117" s="15" t="str">
        <f>Solieusap!A3117</f>
        <v/>
      </c>
      <c r="B3117" s="15" t="str">
        <f>Solieusap!B3117</f>
        <v/>
      </c>
      <c r="C3117" s="15" t="str">
        <f>Solieusap!C3117</f>
        <v/>
      </c>
      <c r="D3117" s="15" t="str">
        <f>Solieusap!D3117</f>
        <v/>
      </c>
      <c r="E3117" s="16">
        <f>ABS(Solieusap!E3117)</f>
        <v>0</v>
      </c>
      <c r="F3117" s="16">
        <f>ABS(Solieusap!F3117)</f>
        <v>0</v>
      </c>
      <c r="G3117" s="16">
        <f>ABS(Solieusap!G3117)</f>
        <v>0</v>
      </c>
      <c r="H3117" s="16">
        <f>ABS(Solieusap!H3117)</f>
        <v>0</v>
      </c>
      <c r="I3117" s="16">
        <f>ABS(Solieusap!I3117)</f>
        <v>0</v>
      </c>
      <c r="J3117" s="16">
        <f>ABS(Solieusap!J3117)</f>
        <v>0</v>
      </c>
      <c r="K3117" s="16">
        <f t="shared" si="1"/>
        <v>0</v>
      </c>
      <c r="L3117" s="16">
        <f t="shared" si="2"/>
        <v>0</v>
      </c>
    </row>
    <row r="3118" ht="16.5" customHeight="1">
      <c r="A3118" s="15" t="str">
        <f>Solieusap!A3118</f>
        <v/>
      </c>
      <c r="B3118" s="15" t="str">
        <f>Solieusap!B3118</f>
        <v/>
      </c>
      <c r="C3118" s="15" t="str">
        <f>Solieusap!C3118</f>
        <v/>
      </c>
      <c r="D3118" s="15" t="str">
        <f>Solieusap!D3118</f>
        <v/>
      </c>
      <c r="E3118" s="16">
        <f>ABS(Solieusap!E3118)</f>
        <v>0</v>
      </c>
      <c r="F3118" s="16">
        <f>ABS(Solieusap!F3118)</f>
        <v>0</v>
      </c>
      <c r="G3118" s="16">
        <f>ABS(Solieusap!G3118)</f>
        <v>0</v>
      </c>
      <c r="H3118" s="16">
        <f>ABS(Solieusap!H3118)</f>
        <v>0</v>
      </c>
      <c r="I3118" s="16">
        <f>ABS(Solieusap!I3118)</f>
        <v>0</v>
      </c>
      <c r="J3118" s="16">
        <f>ABS(Solieusap!J3118)</f>
        <v>0</v>
      </c>
      <c r="K3118" s="16">
        <f t="shared" si="1"/>
        <v>0</v>
      </c>
      <c r="L3118" s="16">
        <f t="shared" si="2"/>
        <v>0</v>
      </c>
    </row>
    <row r="3119" ht="16.5" customHeight="1">
      <c r="A3119" s="15" t="str">
        <f>Solieusap!A3119</f>
        <v/>
      </c>
      <c r="B3119" s="15" t="str">
        <f>Solieusap!B3119</f>
        <v/>
      </c>
      <c r="C3119" s="15" t="str">
        <f>Solieusap!C3119</f>
        <v/>
      </c>
      <c r="D3119" s="15" t="str">
        <f>Solieusap!D3119</f>
        <v/>
      </c>
      <c r="E3119" s="16">
        <f>ABS(Solieusap!E3119)</f>
        <v>0</v>
      </c>
      <c r="F3119" s="16">
        <f>ABS(Solieusap!F3119)</f>
        <v>0</v>
      </c>
      <c r="G3119" s="16">
        <f>ABS(Solieusap!G3119)</f>
        <v>0</v>
      </c>
      <c r="H3119" s="16">
        <f>ABS(Solieusap!H3119)</f>
        <v>0</v>
      </c>
      <c r="I3119" s="16">
        <f>ABS(Solieusap!I3119)</f>
        <v>0</v>
      </c>
      <c r="J3119" s="16">
        <f>ABS(Solieusap!J3119)</f>
        <v>0</v>
      </c>
      <c r="K3119" s="16">
        <f t="shared" si="1"/>
        <v>0</v>
      </c>
      <c r="L3119" s="16">
        <f t="shared" si="2"/>
        <v>0</v>
      </c>
    </row>
    <row r="3120" ht="16.5" customHeight="1">
      <c r="A3120" s="15" t="str">
        <f>Solieusap!A3120</f>
        <v/>
      </c>
      <c r="B3120" s="15" t="str">
        <f>Solieusap!B3120</f>
        <v/>
      </c>
      <c r="C3120" s="15" t="str">
        <f>Solieusap!C3120</f>
        <v/>
      </c>
      <c r="D3120" s="15" t="str">
        <f>Solieusap!D3120</f>
        <v/>
      </c>
      <c r="E3120" s="16">
        <f>ABS(Solieusap!E3120)</f>
        <v>0</v>
      </c>
      <c r="F3120" s="16">
        <f>ABS(Solieusap!F3120)</f>
        <v>0</v>
      </c>
      <c r="G3120" s="16">
        <f>ABS(Solieusap!G3120)</f>
        <v>0</v>
      </c>
      <c r="H3120" s="16">
        <f>ABS(Solieusap!H3120)</f>
        <v>0</v>
      </c>
      <c r="I3120" s="16">
        <f>ABS(Solieusap!I3120)</f>
        <v>0</v>
      </c>
      <c r="J3120" s="16">
        <f>ABS(Solieusap!J3120)</f>
        <v>0</v>
      </c>
      <c r="K3120" s="16">
        <f t="shared" si="1"/>
        <v>0</v>
      </c>
      <c r="L3120" s="16">
        <f t="shared" si="2"/>
        <v>0</v>
      </c>
    </row>
    <row r="3121" ht="16.5" customHeight="1">
      <c r="A3121" s="15" t="str">
        <f>Solieusap!A3121</f>
        <v/>
      </c>
      <c r="B3121" s="15" t="str">
        <f>Solieusap!B3121</f>
        <v/>
      </c>
      <c r="C3121" s="15" t="str">
        <f>Solieusap!C3121</f>
        <v/>
      </c>
      <c r="D3121" s="15" t="str">
        <f>Solieusap!D3121</f>
        <v/>
      </c>
      <c r="E3121" s="16">
        <f>ABS(Solieusap!E3121)</f>
        <v>0</v>
      </c>
      <c r="F3121" s="16">
        <f>ABS(Solieusap!F3121)</f>
        <v>0</v>
      </c>
      <c r="G3121" s="16">
        <f>ABS(Solieusap!G3121)</f>
        <v>0</v>
      </c>
      <c r="H3121" s="16">
        <f>ABS(Solieusap!H3121)</f>
        <v>0</v>
      </c>
      <c r="I3121" s="16">
        <f>ABS(Solieusap!I3121)</f>
        <v>0</v>
      </c>
      <c r="J3121" s="16">
        <f>ABS(Solieusap!J3121)</f>
        <v>0</v>
      </c>
      <c r="K3121" s="16">
        <f t="shared" si="1"/>
        <v>0</v>
      </c>
      <c r="L3121" s="16">
        <f t="shared" si="2"/>
        <v>0</v>
      </c>
    </row>
    <row r="3122" ht="16.5" customHeight="1">
      <c r="A3122" s="15" t="str">
        <f>Solieusap!A3122</f>
        <v/>
      </c>
      <c r="B3122" s="15" t="str">
        <f>Solieusap!B3122</f>
        <v/>
      </c>
      <c r="C3122" s="15" t="str">
        <f>Solieusap!C3122</f>
        <v/>
      </c>
      <c r="D3122" s="15" t="str">
        <f>Solieusap!D3122</f>
        <v/>
      </c>
      <c r="E3122" s="16">
        <f>ABS(Solieusap!E3122)</f>
        <v>0</v>
      </c>
      <c r="F3122" s="16">
        <f>ABS(Solieusap!F3122)</f>
        <v>0</v>
      </c>
      <c r="G3122" s="16">
        <f>ABS(Solieusap!G3122)</f>
        <v>0</v>
      </c>
      <c r="H3122" s="16">
        <f>ABS(Solieusap!H3122)</f>
        <v>0</v>
      </c>
      <c r="I3122" s="16">
        <f>ABS(Solieusap!I3122)</f>
        <v>0</v>
      </c>
      <c r="J3122" s="16">
        <f>ABS(Solieusap!J3122)</f>
        <v>0</v>
      </c>
      <c r="K3122" s="16">
        <f t="shared" si="1"/>
        <v>0</v>
      </c>
      <c r="L3122" s="16">
        <f t="shared" si="2"/>
        <v>0</v>
      </c>
    </row>
    <row r="3123" ht="16.5" customHeight="1">
      <c r="A3123" s="15" t="str">
        <f>Solieusap!A3123</f>
        <v/>
      </c>
      <c r="B3123" s="15" t="str">
        <f>Solieusap!B3123</f>
        <v/>
      </c>
      <c r="C3123" s="15" t="str">
        <f>Solieusap!C3123</f>
        <v/>
      </c>
      <c r="D3123" s="15" t="str">
        <f>Solieusap!D3123</f>
        <v/>
      </c>
      <c r="E3123" s="16">
        <f>ABS(Solieusap!E3123)</f>
        <v>0</v>
      </c>
      <c r="F3123" s="16">
        <f>ABS(Solieusap!F3123)</f>
        <v>0</v>
      </c>
      <c r="G3123" s="16">
        <f>ABS(Solieusap!G3123)</f>
        <v>0</v>
      </c>
      <c r="H3123" s="16">
        <f>ABS(Solieusap!H3123)</f>
        <v>0</v>
      </c>
      <c r="I3123" s="16">
        <f>ABS(Solieusap!I3123)</f>
        <v>0</v>
      </c>
      <c r="J3123" s="16">
        <f>ABS(Solieusap!J3123)</f>
        <v>0</v>
      </c>
      <c r="K3123" s="16">
        <f t="shared" si="1"/>
        <v>0</v>
      </c>
      <c r="L3123" s="16">
        <f t="shared" si="2"/>
        <v>0</v>
      </c>
    </row>
    <row r="3124" ht="16.5" customHeight="1">
      <c r="A3124" s="15" t="str">
        <f>Solieusap!A3124</f>
        <v/>
      </c>
      <c r="B3124" s="15" t="str">
        <f>Solieusap!B3124</f>
        <v/>
      </c>
      <c r="C3124" s="15" t="str">
        <f>Solieusap!C3124</f>
        <v/>
      </c>
      <c r="D3124" s="15" t="str">
        <f>Solieusap!D3124</f>
        <v/>
      </c>
      <c r="E3124" s="16">
        <f>ABS(Solieusap!E3124)</f>
        <v>0</v>
      </c>
      <c r="F3124" s="16">
        <f>ABS(Solieusap!F3124)</f>
        <v>0</v>
      </c>
      <c r="G3124" s="16">
        <f>ABS(Solieusap!G3124)</f>
        <v>0</v>
      </c>
      <c r="H3124" s="16">
        <f>ABS(Solieusap!H3124)</f>
        <v>0</v>
      </c>
      <c r="I3124" s="16">
        <f>ABS(Solieusap!I3124)</f>
        <v>0</v>
      </c>
      <c r="J3124" s="16">
        <f>ABS(Solieusap!J3124)</f>
        <v>0</v>
      </c>
      <c r="K3124" s="16">
        <f t="shared" si="1"/>
        <v>0</v>
      </c>
      <c r="L3124" s="16">
        <f t="shared" si="2"/>
        <v>0</v>
      </c>
    </row>
    <row r="3125" ht="16.5" customHeight="1">
      <c r="A3125" s="15" t="str">
        <f>Solieusap!A3125</f>
        <v/>
      </c>
      <c r="B3125" s="15" t="str">
        <f>Solieusap!B3125</f>
        <v/>
      </c>
      <c r="C3125" s="15" t="str">
        <f>Solieusap!C3125</f>
        <v/>
      </c>
      <c r="D3125" s="15" t="str">
        <f>Solieusap!D3125</f>
        <v/>
      </c>
      <c r="E3125" s="16">
        <f>ABS(Solieusap!E3125)</f>
        <v>0</v>
      </c>
      <c r="F3125" s="16">
        <f>ABS(Solieusap!F3125)</f>
        <v>0</v>
      </c>
      <c r="G3125" s="16">
        <f>ABS(Solieusap!G3125)</f>
        <v>0</v>
      </c>
      <c r="H3125" s="16">
        <f>ABS(Solieusap!H3125)</f>
        <v>0</v>
      </c>
      <c r="I3125" s="16">
        <f>ABS(Solieusap!I3125)</f>
        <v>0</v>
      </c>
      <c r="J3125" s="16">
        <f>ABS(Solieusap!J3125)</f>
        <v>0</v>
      </c>
      <c r="K3125" s="16">
        <f t="shared" si="1"/>
        <v>0</v>
      </c>
      <c r="L3125" s="16">
        <f t="shared" si="2"/>
        <v>0</v>
      </c>
    </row>
    <row r="3126" ht="16.5" customHeight="1">
      <c r="A3126" s="15" t="str">
        <f>Solieusap!A3126</f>
        <v/>
      </c>
      <c r="B3126" s="15" t="str">
        <f>Solieusap!B3126</f>
        <v/>
      </c>
      <c r="C3126" s="15" t="str">
        <f>Solieusap!C3126</f>
        <v/>
      </c>
      <c r="D3126" s="15" t="str">
        <f>Solieusap!D3126</f>
        <v/>
      </c>
      <c r="E3126" s="16">
        <f>ABS(Solieusap!E3126)</f>
        <v>0</v>
      </c>
      <c r="F3126" s="16">
        <f>ABS(Solieusap!F3126)</f>
        <v>0</v>
      </c>
      <c r="G3126" s="16">
        <f>ABS(Solieusap!G3126)</f>
        <v>0</v>
      </c>
      <c r="H3126" s="16">
        <f>ABS(Solieusap!H3126)</f>
        <v>0</v>
      </c>
      <c r="I3126" s="16">
        <f>ABS(Solieusap!I3126)</f>
        <v>0</v>
      </c>
      <c r="J3126" s="16">
        <f>ABS(Solieusap!J3126)</f>
        <v>0</v>
      </c>
      <c r="K3126" s="16">
        <f t="shared" si="1"/>
        <v>0</v>
      </c>
      <c r="L3126" s="16">
        <f t="shared" si="2"/>
        <v>0</v>
      </c>
    </row>
    <row r="3127" ht="16.5" customHeight="1">
      <c r="A3127" s="15" t="str">
        <f>Solieusap!A3127</f>
        <v/>
      </c>
      <c r="B3127" s="15" t="str">
        <f>Solieusap!B3127</f>
        <v/>
      </c>
      <c r="C3127" s="15" t="str">
        <f>Solieusap!C3127</f>
        <v/>
      </c>
      <c r="D3127" s="15" t="str">
        <f>Solieusap!D3127</f>
        <v/>
      </c>
      <c r="E3127" s="16">
        <f>ABS(Solieusap!E3127)</f>
        <v>0</v>
      </c>
      <c r="F3127" s="16">
        <f>ABS(Solieusap!F3127)</f>
        <v>0</v>
      </c>
      <c r="G3127" s="16">
        <f>ABS(Solieusap!G3127)</f>
        <v>0</v>
      </c>
      <c r="H3127" s="16">
        <f>ABS(Solieusap!H3127)</f>
        <v>0</v>
      </c>
      <c r="I3127" s="16">
        <f>ABS(Solieusap!I3127)</f>
        <v>0</v>
      </c>
      <c r="J3127" s="16">
        <f>ABS(Solieusap!J3127)</f>
        <v>0</v>
      </c>
      <c r="K3127" s="16">
        <f t="shared" si="1"/>
        <v>0</v>
      </c>
      <c r="L3127" s="16">
        <f t="shared" si="2"/>
        <v>0</v>
      </c>
    </row>
    <row r="3128" ht="16.5" customHeight="1">
      <c r="A3128" s="15" t="str">
        <f>Solieusap!A3128</f>
        <v/>
      </c>
      <c r="B3128" s="15" t="str">
        <f>Solieusap!B3128</f>
        <v/>
      </c>
      <c r="C3128" s="15" t="str">
        <f>Solieusap!C3128</f>
        <v/>
      </c>
      <c r="D3128" s="15" t="str">
        <f>Solieusap!D3128</f>
        <v/>
      </c>
      <c r="E3128" s="16">
        <f>ABS(Solieusap!E3128)</f>
        <v>0</v>
      </c>
      <c r="F3128" s="16">
        <f>ABS(Solieusap!F3128)</f>
        <v>0</v>
      </c>
      <c r="G3128" s="16">
        <f>ABS(Solieusap!G3128)</f>
        <v>0</v>
      </c>
      <c r="H3128" s="16">
        <f>ABS(Solieusap!H3128)</f>
        <v>0</v>
      </c>
      <c r="I3128" s="16">
        <f>ABS(Solieusap!I3128)</f>
        <v>0</v>
      </c>
      <c r="J3128" s="16">
        <f>ABS(Solieusap!J3128)</f>
        <v>0</v>
      </c>
      <c r="K3128" s="16">
        <f t="shared" si="1"/>
        <v>0</v>
      </c>
      <c r="L3128" s="16">
        <f t="shared" si="2"/>
        <v>0</v>
      </c>
    </row>
    <row r="3129" ht="16.5" customHeight="1">
      <c r="A3129" s="15" t="str">
        <f>Solieusap!A3129</f>
        <v/>
      </c>
      <c r="B3129" s="15" t="str">
        <f>Solieusap!B3129</f>
        <v/>
      </c>
      <c r="C3129" s="15" t="str">
        <f>Solieusap!C3129</f>
        <v/>
      </c>
      <c r="D3129" s="15" t="str">
        <f>Solieusap!D3129</f>
        <v/>
      </c>
      <c r="E3129" s="16">
        <f>ABS(Solieusap!E3129)</f>
        <v>0</v>
      </c>
      <c r="F3129" s="16">
        <f>ABS(Solieusap!F3129)</f>
        <v>0</v>
      </c>
      <c r="G3129" s="16">
        <f>ABS(Solieusap!G3129)</f>
        <v>0</v>
      </c>
      <c r="H3129" s="16">
        <f>ABS(Solieusap!H3129)</f>
        <v>0</v>
      </c>
      <c r="I3129" s="16">
        <f>ABS(Solieusap!I3129)</f>
        <v>0</v>
      </c>
      <c r="J3129" s="16">
        <f>ABS(Solieusap!J3129)</f>
        <v>0</v>
      </c>
      <c r="K3129" s="16">
        <f t="shared" si="1"/>
        <v>0</v>
      </c>
      <c r="L3129" s="16">
        <f t="shared" si="2"/>
        <v>0</v>
      </c>
    </row>
    <row r="3130" ht="16.5" customHeight="1">
      <c r="A3130" s="15" t="str">
        <f>Solieusap!A3130</f>
        <v/>
      </c>
      <c r="B3130" s="15" t="str">
        <f>Solieusap!B3130</f>
        <v/>
      </c>
      <c r="C3130" s="15" t="str">
        <f>Solieusap!C3130</f>
        <v/>
      </c>
      <c r="D3130" s="15" t="str">
        <f>Solieusap!D3130</f>
        <v/>
      </c>
      <c r="E3130" s="16">
        <f>ABS(Solieusap!E3130)</f>
        <v>0</v>
      </c>
      <c r="F3130" s="16">
        <f>ABS(Solieusap!F3130)</f>
        <v>0</v>
      </c>
      <c r="G3130" s="16">
        <f>ABS(Solieusap!G3130)</f>
        <v>0</v>
      </c>
      <c r="H3130" s="16">
        <f>ABS(Solieusap!H3130)</f>
        <v>0</v>
      </c>
      <c r="I3130" s="16">
        <f>ABS(Solieusap!I3130)</f>
        <v>0</v>
      </c>
      <c r="J3130" s="16">
        <f>ABS(Solieusap!J3130)</f>
        <v>0</v>
      </c>
      <c r="K3130" s="16">
        <f t="shared" si="1"/>
        <v>0</v>
      </c>
      <c r="L3130" s="16">
        <f t="shared" si="2"/>
        <v>0</v>
      </c>
    </row>
    <row r="3131" ht="16.5" customHeight="1">
      <c r="A3131" s="15" t="str">
        <f>Solieusap!A3131</f>
        <v/>
      </c>
      <c r="B3131" s="15" t="str">
        <f>Solieusap!B3131</f>
        <v/>
      </c>
      <c r="C3131" s="15" t="str">
        <f>Solieusap!C3131</f>
        <v/>
      </c>
      <c r="D3131" s="15" t="str">
        <f>Solieusap!D3131</f>
        <v/>
      </c>
      <c r="E3131" s="16">
        <f>ABS(Solieusap!E3131)</f>
        <v>0</v>
      </c>
      <c r="F3131" s="16">
        <f>ABS(Solieusap!F3131)</f>
        <v>0</v>
      </c>
      <c r="G3131" s="16">
        <f>ABS(Solieusap!G3131)</f>
        <v>0</v>
      </c>
      <c r="H3131" s="16">
        <f>ABS(Solieusap!H3131)</f>
        <v>0</v>
      </c>
      <c r="I3131" s="16">
        <f>ABS(Solieusap!I3131)</f>
        <v>0</v>
      </c>
      <c r="J3131" s="16">
        <f>ABS(Solieusap!J3131)</f>
        <v>0</v>
      </c>
      <c r="K3131" s="16">
        <f t="shared" si="1"/>
        <v>0</v>
      </c>
      <c r="L3131" s="16">
        <f t="shared" si="2"/>
        <v>0</v>
      </c>
    </row>
    <row r="3132" ht="16.5" customHeight="1">
      <c r="A3132" s="15" t="str">
        <f>Solieusap!A3132</f>
        <v/>
      </c>
      <c r="B3132" s="15" t="str">
        <f>Solieusap!B3132</f>
        <v/>
      </c>
      <c r="C3132" s="15" t="str">
        <f>Solieusap!C3132</f>
        <v/>
      </c>
      <c r="D3132" s="15" t="str">
        <f>Solieusap!D3132</f>
        <v/>
      </c>
      <c r="E3132" s="16">
        <f>ABS(Solieusap!E3132)</f>
        <v>0</v>
      </c>
      <c r="F3132" s="16">
        <f>ABS(Solieusap!F3132)</f>
        <v>0</v>
      </c>
      <c r="G3132" s="16">
        <f>ABS(Solieusap!G3132)</f>
        <v>0</v>
      </c>
      <c r="H3132" s="16">
        <f>ABS(Solieusap!H3132)</f>
        <v>0</v>
      </c>
      <c r="I3132" s="16">
        <f>ABS(Solieusap!I3132)</f>
        <v>0</v>
      </c>
      <c r="J3132" s="16">
        <f>ABS(Solieusap!J3132)</f>
        <v>0</v>
      </c>
      <c r="K3132" s="16">
        <f t="shared" si="1"/>
        <v>0</v>
      </c>
      <c r="L3132" s="16">
        <f t="shared" si="2"/>
        <v>0</v>
      </c>
    </row>
    <row r="3133" ht="16.5" customHeight="1">
      <c r="A3133" s="15" t="str">
        <f>Solieusap!A3133</f>
        <v/>
      </c>
      <c r="B3133" s="15" t="str">
        <f>Solieusap!B3133</f>
        <v/>
      </c>
      <c r="C3133" s="15" t="str">
        <f>Solieusap!C3133</f>
        <v/>
      </c>
      <c r="D3133" s="15" t="str">
        <f>Solieusap!D3133</f>
        <v/>
      </c>
      <c r="E3133" s="16">
        <f>ABS(Solieusap!E3133)</f>
        <v>0</v>
      </c>
      <c r="F3133" s="16">
        <f>ABS(Solieusap!F3133)</f>
        <v>0</v>
      </c>
      <c r="G3133" s="16">
        <f>ABS(Solieusap!G3133)</f>
        <v>0</v>
      </c>
      <c r="H3133" s="16">
        <f>ABS(Solieusap!H3133)</f>
        <v>0</v>
      </c>
      <c r="I3133" s="16">
        <f>ABS(Solieusap!I3133)</f>
        <v>0</v>
      </c>
      <c r="J3133" s="16">
        <f>ABS(Solieusap!J3133)</f>
        <v>0</v>
      </c>
      <c r="K3133" s="16">
        <f t="shared" si="1"/>
        <v>0</v>
      </c>
      <c r="L3133" s="16">
        <f t="shared" si="2"/>
        <v>0</v>
      </c>
    </row>
    <row r="3134" ht="16.5" customHeight="1">
      <c r="A3134" s="15" t="str">
        <f>Solieusap!A3134</f>
        <v/>
      </c>
      <c r="B3134" s="15" t="str">
        <f>Solieusap!B3134</f>
        <v/>
      </c>
      <c r="C3134" s="15" t="str">
        <f>Solieusap!C3134</f>
        <v/>
      </c>
      <c r="D3134" s="15" t="str">
        <f>Solieusap!D3134</f>
        <v/>
      </c>
      <c r="E3134" s="16">
        <f>ABS(Solieusap!E3134)</f>
        <v>0</v>
      </c>
      <c r="F3134" s="16">
        <f>ABS(Solieusap!F3134)</f>
        <v>0</v>
      </c>
      <c r="G3134" s="16">
        <f>ABS(Solieusap!G3134)</f>
        <v>0</v>
      </c>
      <c r="H3134" s="16">
        <f>ABS(Solieusap!H3134)</f>
        <v>0</v>
      </c>
      <c r="I3134" s="16">
        <f>ABS(Solieusap!I3134)</f>
        <v>0</v>
      </c>
      <c r="J3134" s="16">
        <f>ABS(Solieusap!J3134)</f>
        <v>0</v>
      </c>
      <c r="K3134" s="16">
        <f t="shared" si="1"/>
        <v>0</v>
      </c>
      <c r="L3134" s="16">
        <f t="shared" si="2"/>
        <v>0</v>
      </c>
    </row>
    <row r="3135" ht="16.5" customHeight="1">
      <c r="A3135" s="15" t="str">
        <f>Solieusap!A3135</f>
        <v/>
      </c>
      <c r="B3135" s="15" t="str">
        <f>Solieusap!B3135</f>
        <v/>
      </c>
      <c r="C3135" s="15" t="str">
        <f>Solieusap!C3135</f>
        <v/>
      </c>
      <c r="D3135" s="15" t="str">
        <f>Solieusap!D3135</f>
        <v/>
      </c>
      <c r="E3135" s="16">
        <f>ABS(Solieusap!E3135)</f>
        <v>0</v>
      </c>
      <c r="F3135" s="16">
        <f>ABS(Solieusap!F3135)</f>
        <v>0</v>
      </c>
      <c r="G3135" s="16">
        <f>ABS(Solieusap!G3135)</f>
        <v>0</v>
      </c>
      <c r="H3135" s="16">
        <f>ABS(Solieusap!H3135)</f>
        <v>0</v>
      </c>
      <c r="I3135" s="16">
        <f>ABS(Solieusap!I3135)</f>
        <v>0</v>
      </c>
      <c r="J3135" s="16">
        <f>ABS(Solieusap!J3135)</f>
        <v>0</v>
      </c>
      <c r="K3135" s="16">
        <f t="shared" si="1"/>
        <v>0</v>
      </c>
      <c r="L3135" s="16">
        <f t="shared" si="2"/>
        <v>0</v>
      </c>
    </row>
    <row r="3136" ht="16.5" customHeight="1">
      <c r="A3136" s="15" t="str">
        <f>Solieusap!A3136</f>
        <v/>
      </c>
      <c r="B3136" s="15" t="str">
        <f>Solieusap!B3136</f>
        <v/>
      </c>
      <c r="C3136" s="15" t="str">
        <f>Solieusap!C3136</f>
        <v/>
      </c>
      <c r="D3136" s="15" t="str">
        <f>Solieusap!D3136</f>
        <v/>
      </c>
      <c r="E3136" s="16">
        <f>ABS(Solieusap!E3136)</f>
        <v>0</v>
      </c>
      <c r="F3136" s="16">
        <f>ABS(Solieusap!F3136)</f>
        <v>0</v>
      </c>
      <c r="G3136" s="16">
        <f>ABS(Solieusap!G3136)</f>
        <v>0</v>
      </c>
      <c r="H3136" s="16">
        <f>ABS(Solieusap!H3136)</f>
        <v>0</v>
      </c>
      <c r="I3136" s="16">
        <f>ABS(Solieusap!I3136)</f>
        <v>0</v>
      </c>
      <c r="J3136" s="16">
        <f>ABS(Solieusap!J3136)</f>
        <v>0</v>
      </c>
      <c r="K3136" s="16">
        <f t="shared" si="1"/>
        <v>0</v>
      </c>
      <c r="L3136" s="16">
        <f t="shared" si="2"/>
        <v>0</v>
      </c>
    </row>
    <row r="3137" ht="16.5" customHeight="1">
      <c r="A3137" s="15" t="str">
        <f>Solieusap!A3137</f>
        <v/>
      </c>
      <c r="B3137" s="15" t="str">
        <f>Solieusap!B3137</f>
        <v/>
      </c>
      <c r="C3137" s="15" t="str">
        <f>Solieusap!C3137</f>
        <v/>
      </c>
      <c r="D3137" s="15" t="str">
        <f>Solieusap!D3137</f>
        <v/>
      </c>
      <c r="E3137" s="16">
        <f>ABS(Solieusap!E3137)</f>
        <v>0</v>
      </c>
      <c r="F3137" s="16">
        <f>ABS(Solieusap!F3137)</f>
        <v>0</v>
      </c>
      <c r="G3137" s="16">
        <f>ABS(Solieusap!G3137)</f>
        <v>0</v>
      </c>
      <c r="H3137" s="16">
        <f>ABS(Solieusap!H3137)</f>
        <v>0</v>
      </c>
      <c r="I3137" s="16">
        <f>ABS(Solieusap!I3137)</f>
        <v>0</v>
      </c>
      <c r="J3137" s="16">
        <f>ABS(Solieusap!J3137)</f>
        <v>0</v>
      </c>
      <c r="K3137" s="16">
        <f t="shared" si="1"/>
        <v>0</v>
      </c>
      <c r="L3137" s="16">
        <f t="shared" si="2"/>
        <v>0</v>
      </c>
    </row>
    <row r="3138" ht="16.5" customHeight="1">
      <c r="A3138" s="15" t="str">
        <f>Solieusap!A3138</f>
        <v/>
      </c>
      <c r="B3138" s="15" t="str">
        <f>Solieusap!B3138</f>
        <v/>
      </c>
      <c r="C3138" s="15" t="str">
        <f>Solieusap!C3138</f>
        <v/>
      </c>
      <c r="D3138" s="15" t="str">
        <f>Solieusap!D3138</f>
        <v/>
      </c>
      <c r="E3138" s="16">
        <f>ABS(Solieusap!E3138)</f>
        <v>0</v>
      </c>
      <c r="F3138" s="16">
        <f>ABS(Solieusap!F3138)</f>
        <v>0</v>
      </c>
      <c r="G3138" s="16">
        <f>ABS(Solieusap!G3138)</f>
        <v>0</v>
      </c>
      <c r="H3138" s="16">
        <f>ABS(Solieusap!H3138)</f>
        <v>0</v>
      </c>
      <c r="I3138" s="16">
        <f>ABS(Solieusap!I3138)</f>
        <v>0</v>
      </c>
      <c r="J3138" s="16">
        <f>ABS(Solieusap!J3138)</f>
        <v>0</v>
      </c>
      <c r="K3138" s="16">
        <f t="shared" si="1"/>
        <v>0</v>
      </c>
      <c r="L3138" s="16">
        <f t="shared" si="2"/>
        <v>0</v>
      </c>
    </row>
    <row r="3139" ht="16.5" customHeight="1">
      <c r="A3139" s="15" t="str">
        <f>Solieusap!A3139</f>
        <v/>
      </c>
      <c r="B3139" s="15" t="str">
        <f>Solieusap!B3139</f>
        <v/>
      </c>
      <c r="C3139" s="15" t="str">
        <f>Solieusap!C3139</f>
        <v/>
      </c>
      <c r="D3139" s="15" t="str">
        <f>Solieusap!D3139</f>
        <v/>
      </c>
      <c r="E3139" s="16">
        <f>ABS(Solieusap!E3139)</f>
        <v>0</v>
      </c>
      <c r="F3139" s="16">
        <f>ABS(Solieusap!F3139)</f>
        <v>0</v>
      </c>
      <c r="G3139" s="16">
        <f>ABS(Solieusap!G3139)</f>
        <v>0</v>
      </c>
      <c r="H3139" s="16">
        <f>ABS(Solieusap!H3139)</f>
        <v>0</v>
      </c>
      <c r="I3139" s="16">
        <f>ABS(Solieusap!I3139)</f>
        <v>0</v>
      </c>
      <c r="J3139" s="16">
        <f>ABS(Solieusap!J3139)</f>
        <v>0</v>
      </c>
      <c r="K3139" s="16">
        <f t="shared" si="1"/>
        <v>0</v>
      </c>
      <c r="L3139" s="16">
        <f t="shared" si="2"/>
        <v>0</v>
      </c>
    </row>
    <row r="3140" ht="16.5" customHeight="1">
      <c r="A3140" s="15" t="str">
        <f>Solieusap!A3140</f>
        <v/>
      </c>
      <c r="B3140" s="15" t="str">
        <f>Solieusap!B3140</f>
        <v/>
      </c>
      <c r="C3140" s="15" t="str">
        <f>Solieusap!C3140</f>
        <v/>
      </c>
      <c r="D3140" s="15" t="str">
        <f>Solieusap!D3140</f>
        <v/>
      </c>
      <c r="E3140" s="16">
        <f>ABS(Solieusap!E3140)</f>
        <v>0</v>
      </c>
      <c r="F3140" s="16">
        <f>ABS(Solieusap!F3140)</f>
        <v>0</v>
      </c>
      <c r="G3140" s="16">
        <f>ABS(Solieusap!G3140)</f>
        <v>0</v>
      </c>
      <c r="H3140" s="16">
        <f>ABS(Solieusap!H3140)</f>
        <v>0</v>
      </c>
      <c r="I3140" s="16">
        <f>ABS(Solieusap!I3140)</f>
        <v>0</v>
      </c>
      <c r="J3140" s="16">
        <f>ABS(Solieusap!J3140)</f>
        <v>0</v>
      </c>
      <c r="K3140" s="16">
        <f t="shared" si="1"/>
        <v>0</v>
      </c>
      <c r="L3140" s="16">
        <f t="shared" si="2"/>
        <v>0</v>
      </c>
    </row>
    <row r="3141" ht="16.5" customHeight="1">
      <c r="A3141" s="15" t="str">
        <f>Solieusap!A3141</f>
        <v/>
      </c>
      <c r="B3141" s="15" t="str">
        <f>Solieusap!B3141</f>
        <v/>
      </c>
      <c r="C3141" s="15" t="str">
        <f>Solieusap!C3141</f>
        <v/>
      </c>
      <c r="D3141" s="15" t="str">
        <f>Solieusap!D3141</f>
        <v/>
      </c>
      <c r="E3141" s="16">
        <f>ABS(Solieusap!E3141)</f>
        <v>0</v>
      </c>
      <c r="F3141" s="16">
        <f>ABS(Solieusap!F3141)</f>
        <v>0</v>
      </c>
      <c r="G3141" s="16">
        <f>ABS(Solieusap!G3141)</f>
        <v>0</v>
      </c>
      <c r="H3141" s="16">
        <f>ABS(Solieusap!H3141)</f>
        <v>0</v>
      </c>
      <c r="I3141" s="16">
        <f>ABS(Solieusap!I3141)</f>
        <v>0</v>
      </c>
      <c r="J3141" s="16">
        <f>ABS(Solieusap!J3141)</f>
        <v>0</v>
      </c>
      <c r="K3141" s="16">
        <f t="shared" si="1"/>
        <v>0</v>
      </c>
      <c r="L3141" s="16">
        <f t="shared" si="2"/>
        <v>0</v>
      </c>
    </row>
    <row r="3142" ht="16.5" customHeight="1">
      <c r="A3142" s="15" t="str">
        <f>Solieusap!A3142</f>
        <v/>
      </c>
      <c r="B3142" s="15" t="str">
        <f>Solieusap!B3142</f>
        <v/>
      </c>
      <c r="C3142" s="15" t="str">
        <f>Solieusap!C3142</f>
        <v/>
      </c>
      <c r="D3142" s="15" t="str">
        <f>Solieusap!D3142</f>
        <v/>
      </c>
      <c r="E3142" s="16">
        <f>ABS(Solieusap!E3142)</f>
        <v>0</v>
      </c>
      <c r="F3142" s="16">
        <f>ABS(Solieusap!F3142)</f>
        <v>0</v>
      </c>
      <c r="G3142" s="16">
        <f>ABS(Solieusap!G3142)</f>
        <v>0</v>
      </c>
      <c r="H3142" s="16">
        <f>ABS(Solieusap!H3142)</f>
        <v>0</v>
      </c>
      <c r="I3142" s="16">
        <f>ABS(Solieusap!I3142)</f>
        <v>0</v>
      </c>
      <c r="J3142" s="16">
        <f>ABS(Solieusap!J3142)</f>
        <v>0</v>
      </c>
      <c r="K3142" s="16">
        <f t="shared" si="1"/>
        <v>0</v>
      </c>
      <c r="L3142" s="16">
        <f t="shared" si="2"/>
        <v>0</v>
      </c>
    </row>
    <row r="3143" ht="16.5" customHeight="1">
      <c r="A3143" s="15" t="str">
        <f>Solieusap!A3143</f>
        <v/>
      </c>
      <c r="B3143" s="15" t="str">
        <f>Solieusap!B3143</f>
        <v/>
      </c>
      <c r="C3143" s="15" t="str">
        <f>Solieusap!C3143</f>
        <v/>
      </c>
      <c r="D3143" s="15" t="str">
        <f>Solieusap!D3143</f>
        <v/>
      </c>
      <c r="E3143" s="16">
        <f>ABS(Solieusap!E3143)</f>
        <v>0</v>
      </c>
      <c r="F3143" s="16">
        <f>ABS(Solieusap!F3143)</f>
        <v>0</v>
      </c>
      <c r="G3143" s="16">
        <f>ABS(Solieusap!G3143)</f>
        <v>0</v>
      </c>
      <c r="H3143" s="16">
        <f>ABS(Solieusap!H3143)</f>
        <v>0</v>
      </c>
      <c r="I3143" s="16">
        <f>ABS(Solieusap!I3143)</f>
        <v>0</v>
      </c>
      <c r="J3143" s="16">
        <f>ABS(Solieusap!J3143)</f>
        <v>0</v>
      </c>
      <c r="K3143" s="16">
        <f t="shared" si="1"/>
        <v>0</v>
      </c>
      <c r="L3143" s="16">
        <f t="shared" si="2"/>
        <v>0</v>
      </c>
    </row>
    <row r="3144" ht="16.5" customHeight="1">
      <c r="A3144" s="15" t="str">
        <f>Solieusap!A3144</f>
        <v/>
      </c>
      <c r="B3144" s="15" t="str">
        <f>Solieusap!B3144</f>
        <v/>
      </c>
      <c r="C3144" s="15" t="str">
        <f>Solieusap!C3144</f>
        <v/>
      </c>
      <c r="D3144" s="15" t="str">
        <f>Solieusap!D3144</f>
        <v/>
      </c>
      <c r="E3144" s="16">
        <f>ABS(Solieusap!E3144)</f>
        <v>0</v>
      </c>
      <c r="F3144" s="16">
        <f>ABS(Solieusap!F3144)</f>
        <v>0</v>
      </c>
      <c r="G3144" s="16">
        <f>ABS(Solieusap!G3144)</f>
        <v>0</v>
      </c>
      <c r="H3144" s="16">
        <f>ABS(Solieusap!H3144)</f>
        <v>0</v>
      </c>
      <c r="I3144" s="16">
        <f>ABS(Solieusap!I3144)</f>
        <v>0</v>
      </c>
      <c r="J3144" s="16">
        <f>ABS(Solieusap!J3144)</f>
        <v>0</v>
      </c>
      <c r="K3144" s="16">
        <f t="shared" si="1"/>
        <v>0</v>
      </c>
      <c r="L3144" s="16">
        <f t="shared" si="2"/>
        <v>0</v>
      </c>
    </row>
    <row r="3145" ht="16.5" customHeight="1">
      <c r="A3145" s="15" t="str">
        <f>Solieusap!A3145</f>
        <v/>
      </c>
      <c r="B3145" s="15" t="str">
        <f>Solieusap!B3145</f>
        <v/>
      </c>
      <c r="C3145" s="15" t="str">
        <f>Solieusap!C3145</f>
        <v/>
      </c>
      <c r="D3145" s="15" t="str">
        <f>Solieusap!D3145</f>
        <v/>
      </c>
      <c r="E3145" s="16">
        <f>ABS(Solieusap!E3145)</f>
        <v>0</v>
      </c>
      <c r="F3145" s="16">
        <f>ABS(Solieusap!F3145)</f>
        <v>0</v>
      </c>
      <c r="G3145" s="16">
        <f>ABS(Solieusap!G3145)</f>
        <v>0</v>
      </c>
      <c r="H3145" s="16">
        <f>ABS(Solieusap!H3145)</f>
        <v>0</v>
      </c>
      <c r="I3145" s="16">
        <f>ABS(Solieusap!I3145)</f>
        <v>0</v>
      </c>
      <c r="J3145" s="16">
        <f>ABS(Solieusap!J3145)</f>
        <v>0</v>
      </c>
      <c r="K3145" s="16">
        <f t="shared" si="1"/>
        <v>0</v>
      </c>
      <c r="L3145" s="16">
        <f t="shared" si="2"/>
        <v>0</v>
      </c>
    </row>
    <row r="3146" ht="16.5" customHeight="1">
      <c r="A3146" s="15" t="str">
        <f>Solieusap!A3146</f>
        <v/>
      </c>
      <c r="B3146" s="15" t="str">
        <f>Solieusap!B3146</f>
        <v/>
      </c>
      <c r="C3146" s="15" t="str">
        <f>Solieusap!C3146</f>
        <v/>
      </c>
      <c r="D3146" s="15" t="str">
        <f>Solieusap!D3146</f>
        <v/>
      </c>
      <c r="E3146" s="16">
        <f>ABS(Solieusap!E3146)</f>
        <v>0</v>
      </c>
      <c r="F3146" s="16">
        <f>ABS(Solieusap!F3146)</f>
        <v>0</v>
      </c>
      <c r="G3146" s="16">
        <f>ABS(Solieusap!G3146)</f>
        <v>0</v>
      </c>
      <c r="H3146" s="16">
        <f>ABS(Solieusap!H3146)</f>
        <v>0</v>
      </c>
      <c r="I3146" s="16">
        <f>ABS(Solieusap!I3146)</f>
        <v>0</v>
      </c>
      <c r="J3146" s="16">
        <f>ABS(Solieusap!J3146)</f>
        <v>0</v>
      </c>
      <c r="K3146" s="16">
        <f t="shared" si="1"/>
        <v>0</v>
      </c>
      <c r="L3146" s="16">
        <f t="shared" si="2"/>
        <v>0</v>
      </c>
    </row>
    <row r="3147" ht="16.5" customHeight="1">
      <c r="A3147" s="15" t="str">
        <f>Solieusap!A3147</f>
        <v/>
      </c>
      <c r="B3147" s="15" t="str">
        <f>Solieusap!B3147</f>
        <v/>
      </c>
      <c r="C3147" s="15" t="str">
        <f>Solieusap!C3147</f>
        <v/>
      </c>
      <c r="D3147" s="15" t="str">
        <f>Solieusap!D3147</f>
        <v/>
      </c>
      <c r="E3147" s="16">
        <f>ABS(Solieusap!E3147)</f>
        <v>0</v>
      </c>
      <c r="F3147" s="16">
        <f>ABS(Solieusap!F3147)</f>
        <v>0</v>
      </c>
      <c r="G3147" s="16">
        <f>ABS(Solieusap!G3147)</f>
        <v>0</v>
      </c>
      <c r="H3147" s="16">
        <f>ABS(Solieusap!H3147)</f>
        <v>0</v>
      </c>
      <c r="I3147" s="16">
        <f>ABS(Solieusap!I3147)</f>
        <v>0</v>
      </c>
      <c r="J3147" s="16">
        <f>ABS(Solieusap!J3147)</f>
        <v>0</v>
      </c>
      <c r="K3147" s="16">
        <f t="shared" si="1"/>
        <v>0</v>
      </c>
      <c r="L3147" s="16">
        <f t="shared" si="2"/>
        <v>0</v>
      </c>
    </row>
    <row r="3148" ht="16.5" customHeight="1">
      <c r="A3148" s="15" t="str">
        <f>Solieusap!A3148</f>
        <v/>
      </c>
      <c r="B3148" s="15" t="str">
        <f>Solieusap!B3148</f>
        <v/>
      </c>
      <c r="C3148" s="15" t="str">
        <f>Solieusap!C3148</f>
        <v/>
      </c>
      <c r="D3148" s="15" t="str">
        <f>Solieusap!D3148</f>
        <v/>
      </c>
      <c r="E3148" s="16">
        <f>ABS(Solieusap!E3148)</f>
        <v>0</v>
      </c>
      <c r="F3148" s="16">
        <f>ABS(Solieusap!F3148)</f>
        <v>0</v>
      </c>
      <c r="G3148" s="16">
        <f>ABS(Solieusap!G3148)</f>
        <v>0</v>
      </c>
      <c r="H3148" s="16">
        <f>ABS(Solieusap!H3148)</f>
        <v>0</v>
      </c>
      <c r="I3148" s="16">
        <f>ABS(Solieusap!I3148)</f>
        <v>0</v>
      </c>
      <c r="J3148" s="16">
        <f>ABS(Solieusap!J3148)</f>
        <v>0</v>
      </c>
      <c r="K3148" s="16">
        <f t="shared" si="1"/>
        <v>0</v>
      </c>
      <c r="L3148" s="16">
        <f t="shared" si="2"/>
        <v>0</v>
      </c>
    </row>
    <row r="3149" ht="16.5" customHeight="1">
      <c r="A3149" s="15" t="str">
        <f>Solieusap!A3149</f>
        <v/>
      </c>
      <c r="B3149" s="15" t="str">
        <f>Solieusap!B3149</f>
        <v/>
      </c>
      <c r="C3149" s="15" t="str">
        <f>Solieusap!C3149</f>
        <v/>
      </c>
      <c r="D3149" s="15" t="str">
        <f>Solieusap!D3149</f>
        <v/>
      </c>
      <c r="E3149" s="16">
        <f>ABS(Solieusap!E3149)</f>
        <v>0</v>
      </c>
      <c r="F3149" s="16">
        <f>ABS(Solieusap!F3149)</f>
        <v>0</v>
      </c>
      <c r="G3149" s="16">
        <f>ABS(Solieusap!G3149)</f>
        <v>0</v>
      </c>
      <c r="H3149" s="16">
        <f>ABS(Solieusap!H3149)</f>
        <v>0</v>
      </c>
      <c r="I3149" s="16">
        <f>ABS(Solieusap!I3149)</f>
        <v>0</v>
      </c>
      <c r="J3149" s="16">
        <f>ABS(Solieusap!J3149)</f>
        <v>0</v>
      </c>
      <c r="K3149" s="16">
        <f t="shared" si="1"/>
        <v>0</v>
      </c>
      <c r="L3149" s="16">
        <f t="shared" si="2"/>
        <v>0</v>
      </c>
    </row>
    <row r="3150" ht="16.5" customHeight="1">
      <c r="A3150" s="15" t="str">
        <f>Solieusap!A3150</f>
        <v/>
      </c>
      <c r="B3150" s="15" t="str">
        <f>Solieusap!B3150</f>
        <v/>
      </c>
      <c r="C3150" s="15" t="str">
        <f>Solieusap!C3150</f>
        <v/>
      </c>
      <c r="D3150" s="15" t="str">
        <f>Solieusap!D3150</f>
        <v/>
      </c>
      <c r="E3150" s="16">
        <f>ABS(Solieusap!E3150)</f>
        <v>0</v>
      </c>
      <c r="F3150" s="16">
        <f>ABS(Solieusap!F3150)</f>
        <v>0</v>
      </c>
      <c r="G3150" s="16">
        <f>ABS(Solieusap!G3150)</f>
        <v>0</v>
      </c>
      <c r="H3150" s="16">
        <f>ABS(Solieusap!H3150)</f>
        <v>0</v>
      </c>
      <c r="I3150" s="16">
        <f>ABS(Solieusap!I3150)</f>
        <v>0</v>
      </c>
      <c r="J3150" s="16">
        <f>ABS(Solieusap!J3150)</f>
        <v>0</v>
      </c>
      <c r="K3150" s="16">
        <f t="shared" si="1"/>
        <v>0</v>
      </c>
      <c r="L3150" s="16">
        <f t="shared" si="2"/>
        <v>0</v>
      </c>
    </row>
    <row r="3151" ht="16.5" customHeight="1">
      <c r="A3151" s="15" t="str">
        <f>Solieusap!A3151</f>
        <v/>
      </c>
      <c r="B3151" s="15" t="str">
        <f>Solieusap!B3151</f>
        <v/>
      </c>
      <c r="C3151" s="15" t="str">
        <f>Solieusap!C3151</f>
        <v/>
      </c>
      <c r="D3151" s="15" t="str">
        <f>Solieusap!D3151</f>
        <v/>
      </c>
      <c r="E3151" s="16">
        <f>ABS(Solieusap!E3151)</f>
        <v>0</v>
      </c>
      <c r="F3151" s="16">
        <f>ABS(Solieusap!F3151)</f>
        <v>0</v>
      </c>
      <c r="G3151" s="16">
        <f>ABS(Solieusap!G3151)</f>
        <v>0</v>
      </c>
      <c r="H3151" s="16">
        <f>ABS(Solieusap!H3151)</f>
        <v>0</v>
      </c>
      <c r="I3151" s="16">
        <f>ABS(Solieusap!I3151)</f>
        <v>0</v>
      </c>
      <c r="J3151" s="16">
        <f>ABS(Solieusap!J3151)</f>
        <v>0</v>
      </c>
      <c r="K3151" s="16">
        <f t="shared" si="1"/>
        <v>0</v>
      </c>
      <c r="L3151" s="16">
        <f t="shared" si="2"/>
        <v>0</v>
      </c>
    </row>
    <row r="3152" ht="16.5" customHeight="1">
      <c r="A3152" s="15" t="str">
        <f>Solieusap!A3152</f>
        <v/>
      </c>
      <c r="B3152" s="15" t="str">
        <f>Solieusap!B3152</f>
        <v/>
      </c>
      <c r="C3152" s="15" t="str">
        <f>Solieusap!C3152</f>
        <v/>
      </c>
      <c r="D3152" s="15" t="str">
        <f>Solieusap!D3152</f>
        <v/>
      </c>
      <c r="E3152" s="16">
        <f>ABS(Solieusap!E3152)</f>
        <v>0</v>
      </c>
      <c r="F3152" s="16">
        <f>ABS(Solieusap!F3152)</f>
        <v>0</v>
      </c>
      <c r="G3152" s="16">
        <f>ABS(Solieusap!G3152)</f>
        <v>0</v>
      </c>
      <c r="H3152" s="16">
        <f>ABS(Solieusap!H3152)</f>
        <v>0</v>
      </c>
      <c r="I3152" s="16">
        <f>ABS(Solieusap!I3152)</f>
        <v>0</v>
      </c>
      <c r="J3152" s="16">
        <f>ABS(Solieusap!J3152)</f>
        <v>0</v>
      </c>
      <c r="K3152" s="16">
        <f t="shared" si="1"/>
        <v>0</v>
      </c>
      <c r="L3152" s="16">
        <f t="shared" si="2"/>
        <v>0</v>
      </c>
    </row>
    <row r="3153" ht="16.5" customHeight="1">
      <c r="A3153" s="15" t="str">
        <f>Solieusap!A3153</f>
        <v/>
      </c>
      <c r="B3153" s="15" t="str">
        <f>Solieusap!B3153</f>
        <v/>
      </c>
      <c r="C3153" s="15" t="str">
        <f>Solieusap!C3153</f>
        <v/>
      </c>
      <c r="D3153" s="15" t="str">
        <f>Solieusap!D3153</f>
        <v/>
      </c>
      <c r="E3153" s="16">
        <f>ABS(Solieusap!E3153)</f>
        <v>0</v>
      </c>
      <c r="F3153" s="16">
        <f>ABS(Solieusap!F3153)</f>
        <v>0</v>
      </c>
      <c r="G3153" s="16">
        <f>ABS(Solieusap!G3153)</f>
        <v>0</v>
      </c>
      <c r="H3153" s="16">
        <f>ABS(Solieusap!H3153)</f>
        <v>0</v>
      </c>
      <c r="I3153" s="16">
        <f>ABS(Solieusap!I3153)</f>
        <v>0</v>
      </c>
      <c r="J3153" s="16">
        <f>ABS(Solieusap!J3153)</f>
        <v>0</v>
      </c>
      <c r="K3153" s="16">
        <f t="shared" si="1"/>
        <v>0</v>
      </c>
      <c r="L3153" s="16">
        <f t="shared" si="2"/>
        <v>0</v>
      </c>
    </row>
    <row r="3154" ht="16.5" customHeight="1">
      <c r="A3154" s="15" t="str">
        <f>Solieusap!A3154</f>
        <v/>
      </c>
      <c r="B3154" s="15" t="str">
        <f>Solieusap!B3154</f>
        <v/>
      </c>
      <c r="C3154" s="15" t="str">
        <f>Solieusap!C3154</f>
        <v/>
      </c>
      <c r="D3154" s="15" t="str">
        <f>Solieusap!D3154</f>
        <v/>
      </c>
      <c r="E3154" s="16">
        <f>ABS(Solieusap!E3154)</f>
        <v>0</v>
      </c>
      <c r="F3154" s="16">
        <f>ABS(Solieusap!F3154)</f>
        <v>0</v>
      </c>
      <c r="G3154" s="16">
        <f>ABS(Solieusap!G3154)</f>
        <v>0</v>
      </c>
      <c r="H3154" s="16">
        <f>ABS(Solieusap!H3154)</f>
        <v>0</v>
      </c>
      <c r="I3154" s="16">
        <f>ABS(Solieusap!I3154)</f>
        <v>0</v>
      </c>
      <c r="J3154" s="16">
        <f>ABS(Solieusap!J3154)</f>
        <v>0</v>
      </c>
      <c r="K3154" s="16">
        <f t="shared" si="1"/>
        <v>0</v>
      </c>
      <c r="L3154" s="16">
        <f t="shared" si="2"/>
        <v>0</v>
      </c>
    </row>
    <row r="3155" ht="16.5" customHeight="1">
      <c r="A3155" s="15" t="str">
        <f>Solieusap!A3155</f>
        <v/>
      </c>
      <c r="B3155" s="15" t="str">
        <f>Solieusap!B3155</f>
        <v/>
      </c>
      <c r="C3155" s="15" t="str">
        <f>Solieusap!C3155</f>
        <v/>
      </c>
      <c r="D3155" s="15" t="str">
        <f>Solieusap!D3155</f>
        <v/>
      </c>
      <c r="E3155" s="16">
        <f>ABS(Solieusap!E3155)</f>
        <v>0</v>
      </c>
      <c r="F3155" s="16">
        <f>ABS(Solieusap!F3155)</f>
        <v>0</v>
      </c>
      <c r="G3155" s="16">
        <f>ABS(Solieusap!G3155)</f>
        <v>0</v>
      </c>
      <c r="H3155" s="16">
        <f>ABS(Solieusap!H3155)</f>
        <v>0</v>
      </c>
      <c r="I3155" s="16">
        <f>ABS(Solieusap!I3155)</f>
        <v>0</v>
      </c>
      <c r="J3155" s="16">
        <f>ABS(Solieusap!J3155)</f>
        <v>0</v>
      </c>
      <c r="K3155" s="16">
        <f t="shared" si="1"/>
        <v>0</v>
      </c>
      <c r="L3155" s="16">
        <f t="shared" si="2"/>
        <v>0</v>
      </c>
    </row>
    <row r="3156" ht="16.5" customHeight="1">
      <c r="A3156" s="15" t="str">
        <f>Solieusap!A3156</f>
        <v/>
      </c>
      <c r="B3156" s="15" t="str">
        <f>Solieusap!B3156</f>
        <v/>
      </c>
      <c r="C3156" s="15" t="str">
        <f>Solieusap!C3156</f>
        <v/>
      </c>
      <c r="D3156" s="15" t="str">
        <f>Solieusap!D3156</f>
        <v/>
      </c>
      <c r="E3156" s="16">
        <f>ABS(Solieusap!E3156)</f>
        <v>0</v>
      </c>
      <c r="F3156" s="16">
        <f>ABS(Solieusap!F3156)</f>
        <v>0</v>
      </c>
      <c r="G3156" s="16">
        <f>ABS(Solieusap!G3156)</f>
        <v>0</v>
      </c>
      <c r="H3156" s="16">
        <f>ABS(Solieusap!H3156)</f>
        <v>0</v>
      </c>
      <c r="I3156" s="16">
        <f>ABS(Solieusap!I3156)</f>
        <v>0</v>
      </c>
      <c r="J3156" s="16">
        <f>ABS(Solieusap!J3156)</f>
        <v>0</v>
      </c>
      <c r="K3156" s="16">
        <f t="shared" si="1"/>
        <v>0</v>
      </c>
      <c r="L3156" s="16">
        <f t="shared" si="2"/>
        <v>0</v>
      </c>
    </row>
    <row r="3157" ht="16.5" customHeight="1">
      <c r="A3157" s="15" t="str">
        <f>Solieusap!A3157</f>
        <v/>
      </c>
      <c r="B3157" s="15" t="str">
        <f>Solieusap!B3157</f>
        <v/>
      </c>
      <c r="C3157" s="15" t="str">
        <f>Solieusap!C3157</f>
        <v/>
      </c>
      <c r="D3157" s="15" t="str">
        <f>Solieusap!D3157</f>
        <v/>
      </c>
      <c r="E3157" s="16">
        <f>ABS(Solieusap!E3157)</f>
        <v>0</v>
      </c>
      <c r="F3157" s="16">
        <f>ABS(Solieusap!F3157)</f>
        <v>0</v>
      </c>
      <c r="G3157" s="16">
        <f>ABS(Solieusap!G3157)</f>
        <v>0</v>
      </c>
      <c r="H3157" s="16">
        <f>ABS(Solieusap!H3157)</f>
        <v>0</v>
      </c>
      <c r="I3157" s="16">
        <f>ABS(Solieusap!I3157)</f>
        <v>0</v>
      </c>
      <c r="J3157" s="16">
        <f>ABS(Solieusap!J3157)</f>
        <v>0</v>
      </c>
      <c r="K3157" s="16">
        <f t="shared" si="1"/>
        <v>0</v>
      </c>
      <c r="L3157" s="16">
        <f t="shared" si="2"/>
        <v>0</v>
      </c>
    </row>
    <row r="3158" ht="16.5" customHeight="1">
      <c r="A3158" s="15" t="str">
        <f>Solieusap!A3158</f>
        <v/>
      </c>
      <c r="B3158" s="15" t="str">
        <f>Solieusap!B3158</f>
        <v/>
      </c>
      <c r="C3158" s="15" t="str">
        <f>Solieusap!C3158</f>
        <v/>
      </c>
      <c r="D3158" s="15" t="str">
        <f>Solieusap!D3158</f>
        <v/>
      </c>
      <c r="E3158" s="16">
        <f>ABS(Solieusap!E3158)</f>
        <v>0</v>
      </c>
      <c r="F3158" s="16">
        <f>ABS(Solieusap!F3158)</f>
        <v>0</v>
      </c>
      <c r="G3158" s="16">
        <f>ABS(Solieusap!G3158)</f>
        <v>0</v>
      </c>
      <c r="H3158" s="16">
        <f>ABS(Solieusap!H3158)</f>
        <v>0</v>
      </c>
      <c r="I3158" s="16">
        <f>ABS(Solieusap!I3158)</f>
        <v>0</v>
      </c>
      <c r="J3158" s="16">
        <f>ABS(Solieusap!J3158)</f>
        <v>0</v>
      </c>
      <c r="K3158" s="16">
        <f t="shared" si="1"/>
        <v>0</v>
      </c>
      <c r="L3158" s="16">
        <f t="shared" si="2"/>
        <v>0</v>
      </c>
    </row>
    <row r="3159" ht="16.5" customHeight="1">
      <c r="A3159" s="15" t="str">
        <f>Solieusap!A3159</f>
        <v/>
      </c>
      <c r="B3159" s="15" t="str">
        <f>Solieusap!B3159</f>
        <v/>
      </c>
      <c r="C3159" s="15" t="str">
        <f>Solieusap!C3159</f>
        <v/>
      </c>
      <c r="D3159" s="15" t="str">
        <f>Solieusap!D3159</f>
        <v/>
      </c>
      <c r="E3159" s="16">
        <f>ABS(Solieusap!E3159)</f>
        <v>0</v>
      </c>
      <c r="F3159" s="16">
        <f>ABS(Solieusap!F3159)</f>
        <v>0</v>
      </c>
      <c r="G3159" s="16">
        <f>ABS(Solieusap!G3159)</f>
        <v>0</v>
      </c>
      <c r="H3159" s="16">
        <f>ABS(Solieusap!H3159)</f>
        <v>0</v>
      </c>
      <c r="I3159" s="16">
        <f>ABS(Solieusap!I3159)</f>
        <v>0</v>
      </c>
      <c r="J3159" s="16">
        <f>ABS(Solieusap!J3159)</f>
        <v>0</v>
      </c>
      <c r="K3159" s="16">
        <f t="shared" si="1"/>
        <v>0</v>
      </c>
      <c r="L3159" s="16">
        <f t="shared" si="2"/>
        <v>0</v>
      </c>
    </row>
    <row r="3160" ht="16.5" customHeight="1">
      <c r="A3160" s="15" t="str">
        <f>Solieusap!A3160</f>
        <v/>
      </c>
      <c r="B3160" s="15" t="str">
        <f>Solieusap!B3160</f>
        <v/>
      </c>
      <c r="C3160" s="15" t="str">
        <f>Solieusap!C3160</f>
        <v/>
      </c>
      <c r="D3160" s="15" t="str">
        <f>Solieusap!D3160</f>
        <v/>
      </c>
      <c r="E3160" s="16">
        <f>ABS(Solieusap!E3160)</f>
        <v>0</v>
      </c>
      <c r="F3160" s="16">
        <f>ABS(Solieusap!F3160)</f>
        <v>0</v>
      </c>
      <c r="G3160" s="16">
        <f>ABS(Solieusap!G3160)</f>
        <v>0</v>
      </c>
      <c r="H3160" s="16">
        <f>ABS(Solieusap!H3160)</f>
        <v>0</v>
      </c>
      <c r="I3160" s="16">
        <f>ABS(Solieusap!I3160)</f>
        <v>0</v>
      </c>
      <c r="J3160" s="16">
        <f>ABS(Solieusap!J3160)</f>
        <v>0</v>
      </c>
      <c r="K3160" s="16">
        <f t="shared" si="1"/>
        <v>0</v>
      </c>
      <c r="L3160" s="16">
        <f t="shared" si="2"/>
        <v>0</v>
      </c>
    </row>
    <row r="3161" ht="16.5" customHeight="1">
      <c r="A3161" s="15" t="str">
        <f>Solieusap!A3161</f>
        <v/>
      </c>
      <c r="B3161" s="15" t="str">
        <f>Solieusap!B3161</f>
        <v/>
      </c>
      <c r="C3161" s="15" t="str">
        <f>Solieusap!C3161</f>
        <v/>
      </c>
      <c r="D3161" s="15" t="str">
        <f>Solieusap!D3161</f>
        <v/>
      </c>
      <c r="E3161" s="16">
        <f>ABS(Solieusap!E3161)</f>
        <v>0</v>
      </c>
      <c r="F3161" s="16">
        <f>ABS(Solieusap!F3161)</f>
        <v>0</v>
      </c>
      <c r="G3161" s="16">
        <f>ABS(Solieusap!G3161)</f>
        <v>0</v>
      </c>
      <c r="H3161" s="16">
        <f>ABS(Solieusap!H3161)</f>
        <v>0</v>
      </c>
      <c r="I3161" s="16">
        <f>ABS(Solieusap!I3161)</f>
        <v>0</v>
      </c>
      <c r="J3161" s="16">
        <f>ABS(Solieusap!J3161)</f>
        <v>0</v>
      </c>
      <c r="K3161" s="16">
        <f t="shared" si="1"/>
        <v>0</v>
      </c>
      <c r="L3161" s="16">
        <f t="shared" si="2"/>
        <v>0</v>
      </c>
    </row>
    <row r="3162" ht="16.5" customHeight="1">
      <c r="A3162" s="15" t="str">
        <f>Solieusap!A3162</f>
        <v/>
      </c>
      <c r="B3162" s="15" t="str">
        <f>Solieusap!B3162</f>
        <v/>
      </c>
      <c r="C3162" s="15" t="str">
        <f>Solieusap!C3162</f>
        <v/>
      </c>
      <c r="D3162" s="15" t="str">
        <f>Solieusap!D3162</f>
        <v/>
      </c>
      <c r="E3162" s="16">
        <f>ABS(Solieusap!E3162)</f>
        <v>0</v>
      </c>
      <c r="F3162" s="16">
        <f>ABS(Solieusap!F3162)</f>
        <v>0</v>
      </c>
      <c r="G3162" s="16">
        <f>ABS(Solieusap!G3162)</f>
        <v>0</v>
      </c>
      <c r="H3162" s="16">
        <f>ABS(Solieusap!H3162)</f>
        <v>0</v>
      </c>
      <c r="I3162" s="16">
        <f>ABS(Solieusap!I3162)</f>
        <v>0</v>
      </c>
      <c r="J3162" s="16">
        <f>ABS(Solieusap!J3162)</f>
        <v>0</v>
      </c>
      <c r="K3162" s="16">
        <f t="shared" si="1"/>
        <v>0</v>
      </c>
      <c r="L3162" s="16">
        <f t="shared" si="2"/>
        <v>0</v>
      </c>
    </row>
    <row r="3163" ht="16.5" customHeight="1">
      <c r="A3163" s="15" t="str">
        <f>Solieusap!A3163</f>
        <v/>
      </c>
      <c r="B3163" s="15" t="str">
        <f>Solieusap!B3163</f>
        <v/>
      </c>
      <c r="C3163" s="15" t="str">
        <f>Solieusap!C3163</f>
        <v/>
      </c>
      <c r="D3163" s="15" t="str">
        <f>Solieusap!D3163</f>
        <v/>
      </c>
      <c r="E3163" s="16">
        <f>ABS(Solieusap!E3163)</f>
        <v>0</v>
      </c>
      <c r="F3163" s="16">
        <f>ABS(Solieusap!F3163)</f>
        <v>0</v>
      </c>
      <c r="G3163" s="16">
        <f>ABS(Solieusap!G3163)</f>
        <v>0</v>
      </c>
      <c r="H3163" s="16">
        <f>ABS(Solieusap!H3163)</f>
        <v>0</v>
      </c>
      <c r="I3163" s="16">
        <f>ABS(Solieusap!I3163)</f>
        <v>0</v>
      </c>
      <c r="J3163" s="16">
        <f>ABS(Solieusap!J3163)</f>
        <v>0</v>
      </c>
      <c r="K3163" s="16">
        <f t="shared" si="1"/>
        <v>0</v>
      </c>
      <c r="L3163" s="16">
        <f t="shared" si="2"/>
        <v>0</v>
      </c>
    </row>
    <row r="3164" ht="16.5" customHeight="1">
      <c r="A3164" s="15" t="str">
        <f>Solieusap!A3164</f>
        <v/>
      </c>
      <c r="B3164" s="15" t="str">
        <f>Solieusap!B3164</f>
        <v/>
      </c>
      <c r="C3164" s="15" t="str">
        <f>Solieusap!C3164</f>
        <v/>
      </c>
      <c r="D3164" s="15" t="str">
        <f>Solieusap!D3164</f>
        <v/>
      </c>
      <c r="E3164" s="16">
        <f>ABS(Solieusap!E3164)</f>
        <v>0</v>
      </c>
      <c r="F3164" s="16">
        <f>ABS(Solieusap!F3164)</f>
        <v>0</v>
      </c>
      <c r="G3164" s="16">
        <f>ABS(Solieusap!G3164)</f>
        <v>0</v>
      </c>
      <c r="H3164" s="16">
        <f>ABS(Solieusap!H3164)</f>
        <v>0</v>
      </c>
      <c r="I3164" s="16">
        <f>ABS(Solieusap!I3164)</f>
        <v>0</v>
      </c>
      <c r="J3164" s="16">
        <f>ABS(Solieusap!J3164)</f>
        <v>0</v>
      </c>
      <c r="K3164" s="16">
        <f t="shared" si="1"/>
        <v>0</v>
      </c>
      <c r="L3164" s="16">
        <f t="shared" si="2"/>
        <v>0</v>
      </c>
    </row>
    <row r="3165" ht="16.5" customHeight="1">
      <c r="A3165" s="15" t="str">
        <f>Solieusap!A3165</f>
        <v/>
      </c>
      <c r="B3165" s="15" t="str">
        <f>Solieusap!B3165</f>
        <v/>
      </c>
      <c r="C3165" s="15" t="str">
        <f>Solieusap!C3165</f>
        <v/>
      </c>
      <c r="D3165" s="15" t="str">
        <f>Solieusap!D3165</f>
        <v/>
      </c>
      <c r="E3165" s="16">
        <f>ABS(Solieusap!E3165)</f>
        <v>0</v>
      </c>
      <c r="F3165" s="16">
        <f>ABS(Solieusap!F3165)</f>
        <v>0</v>
      </c>
      <c r="G3165" s="16">
        <f>ABS(Solieusap!G3165)</f>
        <v>0</v>
      </c>
      <c r="H3165" s="16">
        <f>ABS(Solieusap!H3165)</f>
        <v>0</v>
      </c>
      <c r="I3165" s="16">
        <f>ABS(Solieusap!I3165)</f>
        <v>0</v>
      </c>
      <c r="J3165" s="16">
        <f>ABS(Solieusap!J3165)</f>
        <v>0</v>
      </c>
      <c r="K3165" s="16">
        <f t="shared" si="1"/>
        <v>0</v>
      </c>
      <c r="L3165" s="16">
        <f t="shared" si="2"/>
        <v>0</v>
      </c>
    </row>
    <row r="3166" ht="16.5" customHeight="1">
      <c r="A3166" s="15" t="str">
        <f>Solieusap!A3166</f>
        <v/>
      </c>
      <c r="B3166" s="15" t="str">
        <f>Solieusap!B3166</f>
        <v/>
      </c>
      <c r="C3166" s="15" t="str">
        <f>Solieusap!C3166</f>
        <v/>
      </c>
      <c r="D3166" s="15" t="str">
        <f>Solieusap!D3166</f>
        <v/>
      </c>
      <c r="E3166" s="16">
        <f>ABS(Solieusap!E3166)</f>
        <v>0</v>
      </c>
      <c r="F3166" s="16">
        <f>ABS(Solieusap!F3166)</f>
        <v>0</v>
      </c>
      <c r="G3166" s="16">
        <f>ABS(Solieusap!G3166)</f>
        <v>0</v>
      </c>
      <c r="H3166" s="16">
        <f>ABS(Solieusap!H3166)</f>
        <v>0</v>
      </c>
      <c r="I3166" s="16">
        <f>ABS(Solieusap!I3166)</f>
        <v>0</v>
      </c>
      <c r="J3166" s="16">
        <f>ABS(Solieusap!J3166)</f>
        <v>0</v>
      </c>
      <c r="K3166" s="16">
        <f t="shared" si="1"/>
        <v>0</v>
      </c>
      <c r="L3166" s="16">
        <f t="shared" si="2"/>
        <v>0</v>
      </c>
    </row>
    <row r="3167" ht="16.5" customHeight="1">
      <c r="A3167" s="15" t="str">
        <f>Solieusap!A3167</f>
        <v/>
      </c>
      <c r="B3167" s="15" t="str">
        <f>Solieusap!B3167</f>
        <v/>
      </c>
      <c r="C3167" s="15" t="str">
        <f>Solieusap!C3167</f>
        <v/>
      </c>
      <c r="D3167" s="15" t="str">
        <f>Solieusap!D3167</f>
        <v/>
      </c>
      <c r="E3167" s="16">
        <f>ABS(Solieusap!E3167)</f>
        <v>0</v>
      </c>
      <c r="F3167" s="16">
        <f>ABS(Solieusap!F3167)</f>
        <v>0</v>
      </c>
      <c r="G3167" s="16">
        <f>ABS(Solieusap!G3167)</f>
        <v>0</v>
      </c>
      <c r="H3167" s="16">
        <f>ABS(Solieusap!H3167)</f>
        <v>0</v>
      </c>
      <c r="I3167" s="16">
        <f>ABS(Solieusap!I3167)</f>
        <v>0</v>
      </c>
      <c r="J3167" s="16">
        <f>ABS(Solieusap!J3167)</f>
        <v>0</v>
      </c>
      <c r="K3167" s="16">
        <f t="shared" si="1"/>
        <v>0</v>
      </c>
      <c r="L3167" s="16">
        <f t="shared" si="2"/>
        <v>0</v>
      </c>
    </row>
    <row r="3168" ht="16.5" customHeight="1">
      <c r="A3168" s="15" t="str">
        <f>Solieusap!A3168</f>
        <v/>
      </c>
      <c r="B3168" s="15" t="str">
        <f>Solieusap!B3168</f>
        <v/>
      </c>
      <c r="C3168" s="15" t="str">
        <f>Solieusap!C3168</f>
        <v/>
      </c>
      <c r="D3168" s="15" t="str">
        <f>Solieusap!D3168</f>
        <v/>
      </c>
      <c r="E3168" s="16">
        <f>ABS(Solieusap!E3168)</f>
        <v>0</v>
      </c>
      <c r="F3168" s="16">
        <f>ABS(Solieusap!F3168)</f>
        <v>0</v>
      </c>
      <c r="G3168" s="16">
        <f>ABS(Solieusap!G3168)</f>
        <v>0</v>
      </c>
      <c r="H3168" s="16">
        <f>ABS(Solieusap!H3168)</f>
        <v>0</v>
      </c>
      <c r="I3168" s="16">
        <f>ABS(Solieusap!I3168)</f>
        <v>0</v>
      </c>
      <c r="J3168" s="16">
        <f>ABS(Solieusap!J3168)</f>
        <v>0</v>
      </c>
      <c r="K3168" s="16">
        <f t="shared" si="1"/>
        <v>0</v>
      </c>
      <c r="L3168" s="16">
        <f t="shared" si="2"/>
        <v>0</v>
      </c>
    </row>
    <row r="3169" ht="16.5" customHeight="1">
      <c r="A3169" s="15" t="str">
        <f>Solieusap!A3169</f>
        <v/>
      </c>
      <c r="B3169" s="15" t="str">
        <f>Solieusap!B3169</f>
        <v/>
      </c>
      <c r="C3169" s="15" t="str">
        <f>Solieusap!C3169</f>
        <v/>
      </c>
      <c r="D3169" s="15" t="str">
        <f>Solieusap!D3169</f>
        <v/>
      </c>
      <c r="E3169" s="16">
        <f>ABS(Solieusap!E3169)</f>
        <v>0</v>
      </c>
      <c r="F3169" s="16">
        <f>ABS(Solieusap!F3169)</f>
        <v>0</v>
      </c>
      <c r="G3169" s="16">
        <f>ABS(Solieusap!G3169)</f>
        <v>0</v>
      </c>
      <c r="H3169" s="16">
        <f>ABS(Solieusap!H3169)</f>
        <v>0</v>
      </c>
      <c r="I3169" s="16">
        <f>ABS(Solieusap!I3169)</f>
        <v>0</v>
      </c>
      <c r="J3169" s="16">
        <f>ABS(Solieusap!J3169)</f>
        <v>0</v>
      </c>
      <c r="K3169" s="16">
        <f t="shared" si="1"/>
        <v>0</v>
      </c>
      <c r="L3169" s="16">
        <f t="shared" si="2"/>
        <v>0</v>
      </c>
    </row>
    <row r="3170" ht="16.5" customHeight="1">
      <c r="A3170" s="15" t="str">
        <f>Solieusap!A3170</f>
        <v/>
      </c>
      <c r="B3170" s="15" t="str">
        <f>Solieusap!B3170</f>
        <v/>
      </c>
      <c r="C3170" s="15" t="str">
        <f>Solieusap!C3170</f>
        <v/>
      </c>
      <c r="D3170" s="15" t="str">
        <f>Solieusap!D3170</f>
        <v/>
      </c>
      <c r="E3170" s="16">
        <f>ABS(Solieusap!E3170)</f>
        <v>0</v>
      </c>
      <c r="F3170" s="16">
        <f>ABS(Solieusap!F3170)</f>
        <v>0</v>
      </c>
      <c r="G3170" s="16">
        <f>ABS(Solieusap!G3170)</f>
        <v>0</v>
      </c>
      <c r="H3170" s="16">
        <f>ABS(Solieusap!H3170)</f>
        <v>0</v>
      </c>
      <c r="I3170" s="16">
        <f>ABS(Solieusap!I3170)</f>
        <v>0</v>
      </c>
      <c r="J3170" s="16">
        <f>ABS(Solieusap!J3170)</f>
        <v>0</v>
      </c>
      <c r="K3170" s="16">
        <f t="shared" si="1"/>
        <v>0</v>
      </c>
      <c r="L3170" s="16">
        <f t="shared" si="2"/>
        <v>0</v>
      </c>
    </row>
    <row r="3171" ht="16.5" customHeight="1">
      <c r="A3171" s="15" t="str">
        <f>Solieusap!A3171</f>
        <v/>
      </c>
      <c r="B3171" s="15" t="str">
        <f>Solieusap!B3171</f>
        <v/>
      </c>
      <c r="C3171" s="15" t="str">
        <f>Solieusap!C3171</f>
        <v/>
      </c>
      <c r="D3171" s="15" t="str">
        <f>Solieusap!D3171</f>
        <v/>
      </c>
      <c r="E3171" s="16">
        <f>ABS(Solieusap!E3171)</f>
        <v>0</v>
      </c>
      <c r="F3171" s="16">
        <f>ABS(Solieusap!F3171)</f>
        <v>0</v>
      </c>
      <c r="G3171" s="16">
        <f>ABS(Solieusap!G3171)</f>
        <v>0</v>
      </c>
      <c r="H3171" s="16">
        <f>ABS(Solieusap!H3171)</f>
        <v>0</v>
      </c>
      <c r="I3171" s="16">
        <f>ABS(Solieusap!I3171)</f>
        <v>0</v>
      </c>
      <c r="J3171" s="16">
        <f>ABS(Solieusap!J3171)</f>
        <v>0</v>
      </c>
      <c r="K3171" s="16">
        <f t="shared" si="1"/>
        <v>0</v>
      </c>
      <c r="L3171" s="16">
        <f t="shared" si="2"/>
        <v>0</v>
      </c>
    </row>
    <row r="3172" ht="16.5" customHeight="1">
      <c r="A3172" s="15" t="str">
        <f>Solieusap!A3172</f>
        <v/>
      </c>
      <c r="B3172" s="15" t="str">
        <f>Solieusap!B3172</f>
        <v/>
      </c>
      <c r="C3172" s="15" t="str">
        <f>Solieusap!C3172</f>
        <v/>
      </c>
      <c r="D3172" s="15" t="str">
        <f>Solieusap!D3172</f>
        <v/>
      </c>
      <c r="E3172" s="16">
        <f>ABS(Solieusap!E3172)</f>
        <v>0</v>
      </c>
      <c r="F3172" s="16">
        <f>ABS(Solieusap!F3172)</f>
        <v>0</v>
      </c>
      <c r="G3172" s="16">
        <f>ABS(Solieusap!G3172)</f>
        <v>0</v>
      </c>
      <c r="H3172" s="16">
        <f>ABS(Solieusap!H3172)</f>
        <v>0</v>
      </c>
      <c r="I3172" s="16">
        <f>ABS(Solieusap!I3172)</f>
        <v>0</v>
      </c>
      <c r="J3172" s="16">
        <f>ABS(Solieusap!J3172)</f>
        <v>0</v>
      </c>
      <c r="K3172" s="16">
        <f t="shared" si="1"/>
        <v>0</v>
      </c>
      <c r="L3172" s="16">
        <f t="shared" si="2"/>
        <v>0</v>
      </c>
    </row>
    <row r="3173" ht="16.5" customHeight="1">
      <c r="A3173" s="15" t="str">
        <f>Solieusap!A3173</f>
        <v/>
      </c>
      <c r="B3173" s="15" t="str">
        <f>Solieusap!B3173</f>
        <v/>
      </c>
      <c r="C3173" s="15" t="str">
        <f>Solieusap!C3173</f>
        <v/>
      </c>
      <c r="D3173" s="15" t="str">
        <f>Solieusap!D3173</f>
        <v/>
      </c>
      <c r="E3173" s="16">
        <f>ABS(Solieusap!E3173)</f>
        <v>0</v>
      </c>
      <c r="F3173" s="16">
        <f>ABS(Solieusap!F3173)</f>
        <v>0</v>
      </c>
      <c r="G3173" s="16">
        <f>ABS(Solieusap!G3173)</f>
        <v>0</v>
      </c>
      <c r="H3173" s="16">
        <f>ABS(Solieusap!H3173)</f>
        <v>0</v>
      </c>
      <c r="I3173" s="16">
        <f>ABS(Solieusap!I3173)</f>
        <v>0</v>
      </c>
      <c r="J3173" s="16">
        <f>ABS(Solieusap!J3173)</f>
        <v>0</v>
      </c>
      <c r="K3173" s="16">
        <f t="shared" si="1"/>
        <v>0</v>
      </c>
      <c r="L3173" s="16">
        <f t="shared" si="2"/>
        <v>0</v>
      </c>
    </row>
    <row r="3174" ht="16.5" customHeight="1">
      <c r="A3174" s="15" t="str">
        <f>Solieusap!A3174</f>
        <v/>
      </c>
      <c r="B3174" s="15" t="str">
        <f>Solieusap!B3174</f>
        <v/>
      </c>
      <c r="C3174" s="15" t="str">
        <f>Solieusap!C3174</f>
        <v/>
      </c>
      <c r="D3174" s="15" t="str">
        <f>Solieusap!D3174</f>
        <v/>
      </c>
      <c r="E3174" s="16">
        <f>ABS(Solieusap!E3174)</f>
        <v>0</v>
      </c>
      <c r="F3174" s="16">
        <f>ABS(Solieusap!F3174)</f>
        <v>0</v>
      </c>
      <c r="G3174" s="16">
        <f>ABS(Solieusap!G3174)</f>
        <v>0</v>
      </c>
      <c r="H3174" s="16">
        <f>ABS(Solieusap!H3174)</f>
        <v>0</v>
      </c>
      <c r="I3174" s="16">
        <f>ABS(Solieusap!I3174)</f>
        <v>0</v>
      </c>
      <c r="J3174" s="16">
        <f>ABS(Solieusap!J3174)</f>
        <v>0</v>
      </c>
      <c r="K3174" s="16">
        <f t="shared" si="1"/>
        <v>0</v>
      </c>
      <c r="L3174" s="16">
        <f t="shared" si="2"/>
        <v>0</v>
      </c>
    </row>
    <row r="3175" ht="16.5" customHeight="1">
      <c r="A3175" s="15" t="str">
        <f>Solieusap!A3175</f>
        <v/>
      </c>
      <c r="B3175" s="15" t="str">
        <f>Solieusap!B3175</f>
        <v/>
      </c>
      <c r="C3175" s="15" t="str">
        <f>Solieusap!C3175</f>
        <v/>
      </c>
      <c r="D3175" s="15" t="str">
        <f>Solieusap!D3175</f>
        <v/>
      </c>
      <c r="E3175" s="16">
        <f>ABS(Solieusap!E3175)</f>
        <v>0</v>
      </c>
      <c r="F3175" s="16">
        <f>ABS(Solieusap!F3175)</f>
        <v>0</v>
      </c>
      <c r="G3175" s="16">
        <f>ABS(Solieusap!G3175)</f>
        <v>0</v>
      </c>
      <c r="H3175" s="16">
        <f>ABS(Solieusap!H3175)</f>
        <v>0</v>
      </c>
      <c r="I3175" s="16">
        <f>ABS(Solieusap!I3175)</f>
        <v>0</v>
      </c>
      <c r="J3175" s="16">
        <f>ABS(Solieusap!J3175)</f>
        <v>0</v>
      </c>
      <c r="K3175" s="16">
        <f t="shared" si="1"/>
        <v>0</v>
      </c>
      <c r="L3175" s="16">
        <f t="shared" si="2"/>
        <v>0</v>
      </c>
    </row>
    <row r="3176" ht="16.5" customHeight="1">
      <c r="A3176" s="15" t="str">
        <f>Solieusap!A3176</f>
        <v/>
      </c>
      <c r="B3176" s="15" t="str">
        <f>Solieusap!B3176</f>
        <v/>
      </c>
      <c r="C3176" s="15" t="str">
        <f>Solieusap!C3176</f>
        <v/>
      </c>
      <c r="D3176" s="15" t="str">
        <f>Solieusap!D3176</f>
        <v/>
      </c>
      <c r="E3176" s="16">
        <f>ABS(Solieusap!E3176)</f>
        <v>0</v>
      </c>
      <c r="F3176" s="16">
        <f>ABS(Solieusap!F3176)</f>
        <v>0</v>
      </c>
      <c r="G3176" s="16">
        <f>ABS(Solieusap!G3176)</f>
        <v>0</v>
      </c>
      <c r="H3176" s="16">
        <f>ABS(Solieusap!H3176)</f>
        <v>0</v>
      </c>
      <c r="I3176" s="16">
        <f>ABS(Solieusap!I3176)</f>
        <v>0</v>
      </c>
      <c r="J3176" s="16">
        <f>ABS(Solieusap!J3176)</f>
        <v>0</v>
      </c>
      <c r="K3176" s="16">
        <f t="shared" si="1"/>
        <v>0</v>
      </c>
      <c r="L3176" s="16">
        <f t="shared" si="2"/>
        <v>0</v>
      </c>
    </row>
    <row r="3177" ht="16.5" customHeight="1">
      <c r="A3177" s="15" t="str">
        <f>Solieusap!A3177</f>
        <v/>
      </c>
      <c r="B3177" s="15" t="str">
        <f>Solieusap!B3177</f>
        <v/>
      </c>
      <c r="C3177" s="15" t="str">
        <f>Solieusap!C3177</f>
        <v/>
      </c>
      <c r="D3177" s="15" t="str">
        <f>Solieusap!D3177</f>
        <v/>
      </c>
      <c r="E3177" s="16">
        <f>ABS(Solieusap!E3177)</f>
        <v>0</v>
      </c>
      <c r="F3177" s="16">
        <f>ABS(Solieusap!F3177)</f>
        <v>0</v>
      </c>
      <c r="G3177" s="16">
        <f>ABS(Solieusap!G3177)</f>
        <v>0</v>
      </c>
      <c r="H3177" s="16">
        <f>ABS(Solieusap!H3177)</f>
        <v>0</v>
      </c>
      <c r="I3177" s="16">
        <f>ABS(Solieusap!I3177)</f>
        <v>0</v>
      </c>
      <c r="J3177" s="16">
        <f>ABS(Solieusap!J3177)</f>
        <v>0</v>
      </c>
      <c r="K3177" s="16">
        <f t="shared" si="1"/>
        <v>0</v>
      </c>
      <c r="L3177" s="16">
        <f t="shared" si="2"/>
        <v>0</v>
      </c>
    </row>
    <row r="3178" ht="16.5" customHeight="1">
      <c r="A3178" s="15" t="str">
        <f>Solieusap!A3178</f>
        <v/>
      </c>
      <c r="B3178" s="15" t="str">
        <f>Solieusap!B3178</f>
        <v/>
      </c>
      <c r="C3178" s="15" t="str">
        <f>Solieusap!C3178</f>
        <v/>
      </c>
      <c r="D3178" s="15" t="str">
        <f>Solieusap!D3178</f>
        <v/>
      </c>
      <c r="E3178" s="16">
        <f>ABS(Solieusap!E3178)</f>
        <v>0</v>
      </c>
      <c r="F3178" s="16">
        <f>ABS(Solieusap!F3178)</f>
        <v>0</v>
      </c>
      <c r="G3178" s="16">
        <f>ABS(Solieusap!G3178)</f>
        <v>0</v>
      </c>
      <c r="H3178" s="16">
        <f>ABS(Solieusap!H3178)</f>
        <v>0</v>
      </c>
      <c r="I3178" s="16">
        <f>ABS(Solieusap!I3178)</f>
        <v>0</v>
      </c>
      <c r="J3178" s="16">
        <f>ABS(Solieusap!J3178)</f>
        <v>0</v>
      </c>
      <c r="K3178" s="16">
        <f t="shared" si="1"/>
        <v>0</v>
      </c>
      <c r="L3178" s="16">
        <f t="shared" si="2"/>
        <v>0</v>
      </c>
    </row>
    <row r="3179" ht="16.5" customHeight="1">
      <c r="A3179" s="15" t="str">
        <f>Solieusap!A3179</f>
        <v/>
      </c>
      <c r="B3179" s="15" t="str">
        <f>Solieusap!B3179</f>
        <v/>
      </c>
      <c r="C3179" s="15" t="str">
        <f>Solieusap!C3179</f>
        <v/>
      </c>
      <c r="D3179" s="15" t="str">
        <f>Solieusap!D3179</f>
        <v/>
      </c>
      <c r="E3179" s="16">
        <f>ABS(Solieusap!E3179)</f>
        <v>0</v>
      </c>
      <c r="F3179" s="16">
        <f>ABS(Solieusap!F3179)</f>
        <v>0</v>
      </c>
      <c r="G3179" s="16">
        <f>ABS(Solieusap!G3179)</f>
        <v>0</v>
      </c>
      <c r="H3179" s="16">
        <f>ABS(Solieusap!H3179)</f>
        <v>0</v>
      </c>
      <c r="I3179" s="16">
        <f>ABS(Solieusap!I3179)</f>
        <v>0</v>
      </c>
      <c r="J3179" s="16">
        <f>ABS(Solieusap!J3179)</f>
        <v>0</v>
      </c>
      <c r="K3179" s="16">
        <f t="shared" si="1"/>
        <v>0</v>
      </c>
      <c r="L3179" s="16">
        <f t="shared" si="2"/>
        <v>0</v>
      </c>
    </row>
    <row r="3180" ht="16.5" customHeight="1">
      <c r="A3180" s="15" t="str">
        <f>Solieusap!A3180</f>
        <v/>
      </c>
      <c r="B3180" s="15" t="str">
        <f>Solieusap!B3180</f>
        <v/>
      </c>
      <c r="C3180" s="15" t="str">
        <f>Solieusap!C3180</f>
        <v/>
      </c>
      <c r="D3180" s="15" t="str">
        <f>Solieusap!D3180</f>
        <v/>
      </c>
      <c r="E3180" s="16">
        <f>ABS(Solieusap!E3180)</f>
        <v>0</v>
      </c>
      <c r="F3180" s="16">
        <f>ABS(Solieusap!F3180)</f>
        <v>0</v>
      </c>
      <c r="G3180" s="16">
        <f>ABS(Solieusap!G3180)</f>
        <v>0</v>
      </c>
      <c r="H3180" s="16">
        <f>ABS(Solieusap!H3180)</f>
        <v>0</v>
      </c>
      <c r="I3180" s="16">
        <f>ABS(Solieusap!I3180)</f>
        <v>0</v>
      </c>
      <c r="J3180" s="16">
        <f>ABS(Solieusap!J3180)</f>
        <v>0</v>
      </c>
      <c r="K3180" s="16">
        <f t="shared" si="1"/>
        <v>0</v>
      </c>
      <c r="L3180" s="16">
        <f t="shared" si="2"/>
        <v>0</v>
      </c>
    </row>
    <row r="3181" ht="16.5" customHeight="1">
      <c r="A3181" s="15" t="str">
        <f>Solieusap!A3181</f>
        <v/>
      </c>
      <c r="B3181" s="15" t="str">
        <f>Solieusap!B3181</f>
        <v/>
      </c>
      <c r="C3181" s="15" t="str">
        <f>Solieusap!C3181</f>
        <v/>
      </c>
      <c r="D3181" s="15" t="str">
        <f>Solieusap!D3181</f>
        <v/>
      </c>
      <c r="E3181" s="16">
        <f>ABS(Solieusap!E3181)</f>
        <v>0</v>
      </c>
      <c r="F3181" s="16">
        <f>ABS(Solieusap!F3181)</f>
        <v>0</v>
      </c>
      <c r="G3181" s="16">
        <f>ABS(Solieusap!G3181)</f>
        <v>0</v>
      </c>
      <c r="H3181" s="16">
        <f>ABS(Solieusap!H3181)</f>
        <v>0</v>
      </c>
      <c r="I3181" s="16">
        <f>ABS(Solieusap!I3181)</f>
        <v>0</v>
      </c>
      <c r="J3181" s="16">
        <f>ABS(Solieusap!J3181)</f>
        <v>0</v>
      </c>
      <c r="K3181" s="16">
        <f t="shared" si="1"/>
        <v>0</v>
      </c>
      <c r="L3181" s="16">
        <f t="shared" si="2"/>
        <v>0</v>
      </c>
    </row>
    <row r="3182" ht="16.5" customHeight="1">
      <c r="A3182" s="15" t="str">
        <f>Solieusap!A3182</f>
        <v/>
      </c>
      <c r="B3182" s="15" t="str">
        <f>Solieusap!B3182</f>
        <v/>
      </c>
      <c r="C3182" s="15" t="str">
        <f>Solieusap!C3182</f>
        <v/>
      </c>
      <c r="D3182" s="15" t="str">
        <f>Solieusap!D3182</f>
        <v/>
      </c>
      <c r="E3182" s="16">
        <f>ABS(Solieusap!E3182)</f>
        <v>0</v>
      </c>
      <c r="F3182" s="16">
        <f>ABS(Solieusap!F3182)</f>
        <v>0</v>
      </c>
      <c r="G3182" s="16">
        <f>ABS(Solieusap!G3182)</f>
        <v>0</v>
      </c>
      <c r="H3182" s="16">
        <f>ABS(Solieusap!H3182)</f>
        <v>0</v>
      </c>
      <c r="I3182" s="16">
        <f>ABS(Solieusap!I3182)</f>
        <v>0</v>
      </c>
      <c r="J3182" s="16">
        <f>ABS(Solieusap!J3182)</f>
        <v>0</v>
      </c>
      <c r="K3182" s="16">
        <f t="shared" si="1"/>
        <v>0</v>
      </c>
      <c r="L3182" s="16">
        <f t="shared" si="2"/>
        <v>0</v>
      </c>
    </row>
    <row r="3183" ht="16.5" customHeight="1">
      <c r="A3183" s="15" t="str">
        <f>Solieusap!A3183</f>
        <v/>
      </c>
      <c r="B3183" s="15" t="str">
        <f>Solieusap!B3183</f>
        <v/>
      </c>
      <c r="C3183" s="15" t="str">
        <f>Solieusap!C3183</f>
        <v/>
      </c>
      <c r="D3183" s="15" t="str">
        <f>Solieusap!D3183</f>
        <v/>
      </c>
      <c r="E3183" s="16">
        <f>ABS(Solieusap!E3183)</f>
        <v>0</v>
      </c>
      <c r="F3183" s="16">
        <f>ABS(Solieusap!F3183)</f>
        <v>0</v>
      </c>
      <c r="G3183" s="16">
        <f>ABS(Solieusap!G3183)</f>
        <v>0</v>
      </c>
      <c r="H3183" s="16">
        <f>ABS(Solieusap!H3183)</f>
        <v>0</v>
      </c>
      <c r="I3183" s="16">
        <f>ABS(Solieusap!I3183)</f>
        <v>0</v>
      </c>
      <c r="J3183" s="16">
        <f>ABS(Solieusap!J3183)</f>
        <v>0</v>
      </c>
      <c r="K3183" s="16">
        <f t="shared" si="1"/>
        <v>0</v>
      </c>
      <c r="L3183" s="16">
        <f t="shared" si="2"/>
        <v>0</v>
      </c>
    </row>
    <row r="3184" ht="16.5" customHeight="1">
      <c r="A3184" s="15" t="str">
        <f>Solieusap!A3184</f>
        <v/>
      </c>
      <c r="B3184" s="15" t="str">
        <f>Solieusap!B3184</f>
        <v/>
      </c>
      <c r="C3184" s="15" t="str">
        <f>Solieusap!C3184</f>
        <v/>
      </c>
      <c r="D3184" s="15" t="str">
        <f>Solieusap!D3184</f>
        <v/>
      </c>
      <c r="E3184" s="16">
        <f>ABS(Solieusap!E3184)</f>
        <v>0</v>
      </c>
      <c r="F3184" s="16">
        <f>ABS(Solieusap!F3184)</f>
        <v>0</v>
      </c>
      <c r="G3184" s="16">
        <f>ABS(Solieusap!G3184)</f>
        <v>0</v>
      </c>
      <c r="H3184" s="16">
        <f>ABS(Solieusap!H3184)</f>
        <v>0</v>
      </c>
      <c r="I3184" s="16">
        <f>ABS(Solieusap!I3184)</f>
        <v>0</v>
      </c>
      <c r="J3184" s="16">
        <f>ABS(Solieusap!J3184)</f>
        <v>0</v>
      </c>
      <c r="K3184" s="16">
        <f t="shared" si="1"/>
        <v>0</v>
      </c>
      <c r="L3184" s="16">
        <f t="shared" si="2"/>
        <v>0</v>
      </c>
    </row>
    <row r="3185" ht="16.5" customHeight="1">
      <c r="A3185" s="15" t="str">
        <f>Solieusap!A3185</f>
        <v/>
      </c>
      <c r="B3185" s="15" t="str">
        <f>Solieusap!B3185</f>
        <v/>
      </c>
      <c r="C3185" s="15" t="str">
        <f>Solieusap!C3185</f>
        <v/>
      </c>
      <c r="D3185" s="15" t="str">
        <f>Solieusap!D3185</f>
        <v/>
      </c>
      <c r="E3185" s="16">
        <f>ABS(Solieusap!E3185)</f>
        <v>0</v>
      </c>
      <c r="F3185" s="16">
        <f>ABS(Solieusap!F3185)</f>
        <v>0</v>
      </c>
      <c r="G3185" s="16">
        <f>ABS(Solieusap!G3185)</f>
        <v>0</v>
      </c>
      <c r="H3185" s="16">
        <f>ABS(Solieusap!H3185)</f>
        <v>0</v>
      </c>
      <c r="I3185" s="16">
        <f>ABS(Solieusap!I3185)</f>
        <v>0</v>
      </c>
      <c r="J3185" s="16">
        <f>ABS(Solieusap!J3185)</f>
        <v>0</v>
      </c>
      <c r="K3185" s="16">
        <f t="shared" si="1"/>
        <v>0</v>
      </c>
      <c r="L3185" s="16">
        <f t="shared" si="2"/>
        <v>0</v>
      </c>
    </row>
    <row r="3186" ht="16.5" customHeight="1">
      <c r="A3186" s="15" t="str">
        <f>Solieusap!A3186</f>
        <v/>
      </c>
      <c r="B3186" s="15" t="str">
        <f>Solieusap!B3186</f>
        <v/>
      </c>
      <c r="C3186" s="15" t="str">
        <f>Solieusap!C3186</f>
        <v/>
      </c>
      <c r="D3186" s="15" t="str">
        <f>Solieusap!D3186</f>
        <v/>
      </c>
      <c r="E3186" s="16">
        <f>ABS(Solieusap!E3186)</f>
        <v>0</v>
      </c>
      <c r="F3186" s="16">
        <f>ABS(Solieusap!F3186)</f>
        <v>0</v>
      </c>
      <c r="G3186" s="16">
        <f>ABS(Solieusap!G3186)</f>
        <v>0</v>
      </c>
      <c r="H3186" s="16">
        <f>ABS(Solieusap!H3186)</f>
        <v>0</v>
      </c>
      <c r="I3186" s="16">
        <f>ABS(Solieusap!I3186)</f>
        <v>0</v>
      </c>
      <c r="J3186" s="16">
        <f>ABS(Solieusap!J3186)</f>
        <v>0</v>
      </c>
      <c r="K3186" s="16">
        <f t="shared" si="1"/>
        <v>0</v>
      </c>
      <c r="L3186" s="16">
        <f t="shared" si="2"/>
        <v>0</v>
      </c>
    </row>
    <row r="3187" ht="16.5" customHeight="1">
      <c r="A3187" s="15" t="str">
        <f>Solieusap!A3187</f>
        <v/>
      </c>
      <c r="B3187" s="15" t="str">
        <f>Solieusap!B3187</f>
        <v/>
      </c>
      <c r="C3187" s="15" t="str">
        <f>Solieusap!C3187</f>
        <v/>
      </c>
      <c r="D3187" s="15" t="str">
        <f>Solieusap!D3187</f>
        <v/>
      </c>
      <c r="E3187" s="16">
        <f>ABS(Solieusap!E3187)</f>
        <v>0</v>
      </c>
      <c r="F3187" s="16">
        <f>ABS(Solieusap!F3187)</f>
        <v>0</v>
      </c>
      <c r="G3187" s="16">
        <f>ABS(Solieusap!G3187)</f>
        <v>0</v>
      </c>
      <c r="H3187" s="16">
        <f>ABS(Solieusap!H3187)</f>
        <v>0</v>
      </c>
      <c r="I3187" s="16">
        <f>ABS(Solieusap!I3187)</f>
        <v>0</v>
      </c>
      <c r="J3187" s="16">
        <f>ABS(Solieusap!J3187)</f>
        <v>0</v>
      </c>
      <c r="K3187" s="16">
        <f t="shared" si="1"/>
        <v>0</v>
      </c>
      <c r="L3187" s="16">
        <f t="shared" si="2"/>
        <v>0</v>
      </c>
    </row>
    <row r="3188" ht="16.5" customHeight="1">
      <c r="A3188" s="15" t="str">
        <f>Solieusap!A3188</f>
        <v/>
      </c>
      <c r="B3188" s="15" t="str">
        <f>Solieusap!B3188</f>
        <v/>
      </c>
      <c r="C3188" s="15" t="str">
        <f>Solieusap!C3188</f>
        <v/>
      </c>
      <c r="D3188" s="15" t="str">
        <f>Solieusap!D3188</f>
        <v/>
      </c>
      <c r="E3188" s="16">
        <f>ABS(Solieusap!E3188)</f>
        <v>0</v>
      </c>
      <c r="F3188" s="16">
        <f>ABS(Solieusap!F3188)</f>
        <v>0</v>
      </c>
      <c r="G3188" s="16">
        <f>ABS(Solieusap!G3188)</f>
        <v>0</v>
      </c>
      <c r="H3188" s="16">
        <f>ABS(Solieusap!H3188)</f>
        <v>0</v>
      </c>
      <c r="I3188" s="16">
        <f>ABS(Solieusap!I3188)</f>
        <v>0</v>
      </c>
      <c r="J3188" s="16">
        <f>ABS(Solieusap!J3188)</f>
        <v>0</v>
      </c>
      <c r="K3188" s="16">
        <f t="shared" si="1"/>
        <v>0</v>
      </c>
      <c r="L3188" s="16">
        <f t="shared" si="2"/>
        <v>0</v>
      </c>
    </row>
    <row r="3189" ht="16.5" customHeight="1">
      <c r="A3189" s="15" t="str">
        <f>Solieusap!A3189</f>
        <v/>
      </c>
      <c r="B3189" s="15" t="str">
        <f>Solieusap!B3189</f>
        <v/>
      </c>
      <c r="C3189" s="15" t="str">
        <f>Solieusap!C3189</f>
        <v/>
      </c>
      <c r="D3189" s="15" t="str">
        <f>Solieusap!D3189</f>
        <v/>
      </c>
      <c r="E3189" s="16">
        <f>ABS(Solieusap!E3189)</f>
        <v>0</v>
      </c>
      <c r="F3189" s="16">
        <f>ABS(Solieusap!F3189)</f>
        <v>0</v>
      </c>
      <c r="G3189" s="16">
        <f>ABS(Solieusap!G3189)</f>
        <v>0</v>
      </c>
      <c r="H3189" s="16">
        <f>ABS(Solieusap!H3189)</f>
        <v>0</v>
      </c>
      <c r="I3189" s="16">
        <f>ABS(Solieusap!I3189)</f>
        <v>0</v>
      </c>
      <c r="J3189" s="16">
        <f>ABS(Solieusap!J3189)</f>
        <v>0</v>
      </c>
      <c r="K3189" s="16">
        <f t="shared" si="1"/>
        <v>0</v>
      </c>
      <c r="L3189" s="16">
        <f t="shared" si="2"/>
        <v>0</v>
      </c>
    </row>
    <row r="3190" ht="16.5" customHeight="1">
      <c r="A3190" s="15" t="str">
        <f>Solieusap!A3190</f>
        <v/>
      </c>
      <c r="B3190" s="15" t="str">
        <f>Solieusap!B3190</f>
        <v/>
      </c>
      <c r="C3190" s="15" t="str">
        <f>Solieusap!C3190</f>
        <v/>
      </c>
      <c r="D3190" s="15" t="str">
        <f>Solieusap!D3190</f>
        <v/>
      </c>
      <c r="E3190" s="16">
        <f>ABS(Solieusap!E3190)</f>
        <v>0</v>
      </c>
      <c r="F3190" s="16">
        <f>ABS(Solieusap!F3190)</f>
        <v>0</v>
      </c>
      <c r="G3190" s="16">
        <f>ABS(Solieusap!G3190)</f>
        <v>0</v>
      </c>
      <c r="H3190" s="16">
        <f>ABS(Solieusap!H3190)</f>
        <v>0</v>
      </c>
      <c r="I3190" s="16">
        <f>ABS(Solieusap!I3190)</f>
        <v>0</v>
      </c>
      <c r="J3190" s="16">
        <f>ABS(Solieusap!J3190)</f>
        <v>0</v>
      </c>
      <c r="K3190" s="16">
        <f t="shared" si="1"/>
        <v>0</v>
      </c>
      <c r="L3190" s="16">
        <f t="shared" si="2"/>
        <v>0</v>
      </c>
    </row>
    <row r="3191" ht="16.5" customHeight="1">
      <c r="A3191" s="15" t="str">
        <f>Solieusap!A3191</f>
        <v/>
      </c>
      <c r="B3191" s="15" t="str">
        <f>Solieusap!B3191</f>
        <v/>
      </c>
      <c r="C3191" s="15" t="str">
        <f>Solieusap!C3191</f>
        <v/>
      </c>
      <c r="D3191" s="15" t="str">
        <f>Solieusap!D3191</f>
        <v/>
      </c>
      <c r="E3191" s="16">
        <f>ABS(Solieusap!E3191)</f>
        <v>0</v>
      </c>
      <c r="F3191" s="16">
        <f>ABS(Solieusap!F3191)</f>
        <v>0</v>
      </c>
      <c r="G3191" s="16">
        <f>ABS(Solieusap!G3191)</f>
        <v>0</v>
      </c>
      <c r="H3191" s="16">
        <f>ABS(Solieusap!H3191)</f>
        <v>0</v>
      </c>
      <c r="I3191" s="16">
        <f>ABS(Solieusap!I3191)</f>
        <v>0</v>
      </c>
      <c r="J3191" s="16">
        <f>ABS(Solieusap!J3191)</f>
        <v>0</v>
      </c>
      <c r="K3191" s="16">
        <f t="shared" si="1"/>
        <v>0</v>
      </c>
      <c r="L3191" s="16">
        <f t="shared" si="2"/>
        <v>0</v>
      </c>
    </row>
    <row r="3192" ht="16.5" customHeight="1">
      <c r="A3192" s="15" t="str">
        <f>Solieusap!A3192</f>
        <v/>
      </c>
      <c r="B3192" s="15" t="str">
        <f>Solieusap!B3192</f>
        <v/>
      </c>
      <c r="C3192" s="15" t="str">
        <f>Solieusap!C3192</f>
        <v/>
      </c>
      <c r="D3192" s="15" t="str">
        <f>Solieusap!D3192</f>
        <v/>
      </c>
      <c r="E3192" s="16">
        <f>ABS(Solieusap!E3192)</f>
        <v>0</v>
      </c>
      <c r="F3192" s="16">
        <f>ABS(Solieusap!F3192)</f>
        <v>0</v>
      </c>
      <c r="G3192" s="16">
        <f>ABS(Solieusap!G3192)</f>
        <v>0</v>
      </c>
      <c r="H3192" s="16">
        <f>ABS(Solieusap!H3192)</f>
        <v>0</v>
      </c>
      <c r="I3192" s="16">
        <f>ABS(Solieusap!I3192)</f>
        <v>0</v>
      </c>
      <c r="J3192" s="16">
        <f>ABS(Solieusap!J3192)</f>
        <v>0</v>
      </c>
      <c r="K3192" s="16">
        <f t="shared" si="1"/>
        <v>0</v>
      </c>
      <c r="L3192" s="16">
        <f t="shared" si="2"/>
        <v>0</v>
      </c>
    </row>
    <row r="3193" ht="16.5" customHeight="1">
      <c r="A3193" s="15" t="str">
        <f>Solieusap!A3193</f>
        <v/>
      </c>
      <c r="B3193" s="15" t="str">
        <f>Solieusap!B3193</f>
        <v/>
      </c>
      <c r="C3193" s="15" t="str">
        <f>Solieusap!C3193</f>
        <v/>
      </c>
      <c r="D3193" s="15" t="str">
        <f>Solieusap!D3193</f>
        <v/>
      </c>
      <c r="E3193" s="16">
        <f>ABS(Solieusap!E3193)</f>
        <v>0</v>
      </c>
      <c r="F3193" s="16">
        <f>ABS(Solieusap!F3193)</f>
        <v>0</v>
      </c>
      <c r="G3193" s="16">
        <f>ABS(Solieusap!G3193)</f>
        <v>0</v>
      </c>
      <c r="H3193" s="16">
        <f>ABS(Solieusap!H3193)</f>
        <v>0</v>
      </c>
      <c r="I3193" s="16">
        <f>ABS(Solieusap!I3193)</f>
        <v>0</v>
      </c>
      <c r="J3193" s="16">
        <f>ABS(Solieusap!J3193)</f>
        <v>0</v>
      </c>
      <c r="K3193" s="16">
        <f t="shared" si="1"/>
        <v>0</v>
      </c>
      <c r="L3193" s="16">
        <f t="shared" si="2"/>
        <v>0</v>
      </c>
    </row>
    <row r="3194" ht="16.5" customHeight="1">
      <c r="A3194" s="15" t="str">
        <f>Solieusap!A3194</f>
        <v/>
      </c>
      <c r="B3194" s="15" t="str">
        <f>Solieusap!B3194</f>
        <v/>
      </c>
      <c r="C3194" s="15" t="str">
        <f>Solieusap!C3194</f>
        <v/>
      </c>
      <c r="D3194" s="15" t="str">
        <f>Solieusap!D3194</f>
        <v/>
      </c>
      <c r="E3194" s="16">
        <f>ABS(Solieusap!E3194)</f>
        <v>0</v>
      </c>
      <c r="F3194" s="16">
        <f>ABS(Solieusap!F3194)</f>
        <v>0</v>
      </c>
      <c r="G3194" s="16">
        <f>ABS(Solieusap!G3194)</f>
        <v>0</v>
      </c>
      <c r="H3194" s="16">
        <f>ABS(Solieusap!H3194)</f>
        <v>0</v>
      </c>
      <c r="I3194" s="16">
        <f>ABS(Solieusap!I3194)</f>
        <v>0</v>
      </c>
      <c r="J3194" s="16">
        <f>ABS(Solieusap!J3194)</f>
        <v>0</v>
      </c>
      <c r="K3194" s="16">
        <f t="shared" si="1"/>
        <v>0</v>
      </c>
      <c r="L3194" s="16">
        <f t="shared" si="2"/>
        <v>0</v>
      </c>
    </row>
    <row r="3195" ht="16.5" customHeight="1">
      <c r="A3195" s="15" t="str">
        <f>Solieusap!A3195</f>
        <v/>
      </c>
      <c r="B3195" s="15" t="str">
        <f>Solieusap!B3195</f>
        <v/>
      </c>
      <c r="C3195" s="15" t="str">
        <f>Solieusap!C3195</f>
        <v/>
      </c>
      <c r="D3195" s="15" t="str">
        <f>Solieusap!D3195</f>
        <v/>
      </c>
      <c r="E3195" s="16">
        <f>ABS(Solieusap!E3195)</f>
        <v>0</v>
      </c>
      <c r="F3195" s="16">
        <f>ABS(Solieusap!F3195)</f>
        <v>0</v>
      </c>
      <c r="G3195" s="16">
        <f>ABS(Solieusap!G3195)</f>
        <v>0</v>
      </c>
      <c r="H3195" s="16">
        <f>ABS(Solieusap!H3195)</f>
        <v>0</v>
      </c>
      <c r="I3195" s="16">
        <f>ABS(Solieusap!I3195)</f>
        <v>0</v>
      </c>
      <c r="J3195" s="16">
        <f>ABS(Solieusap!J3195)</f>
        <v>0</v>
      </c>
      <c r="K3195" s="16">
        <f t="shared" si="1"/>
        <v>0</v>
      </c>
      <c r="L3195" s="16">
        <f t="shared" si="2"/>
        <v>0</v>
      </c>
    </row>
    <row r="3196" ht="16.5" customHeight="1">
      <c r="A3196" s="15" t="str">
        <f>Solieusap!A3196</f>
        <v/>
      </c>
      <c r="B3196" s="15" t="str">
        <f>Solieusap!B3196</f>
        <v/>
      </c>
      <c r="C3196" s="15" t="str">
        <f>Solieusap!C3196</f>
        <v/>
      </c>
      <c r="D3196" s="15" t="str">
        <f>Solieusap!D3196</f>
        <v/>
      </c>
      <c r="E3196" s="16">
        <f>ABS(Solieusap!E3196)</f>
        <v>0</v>
      </c>
      <c r="F3196" s="16">
        <f>ABS(Solieusap!F3196)</f>
        <v>0</v>
      </c>
      <c r="G3196" s="16">
        <f>ABS(Solieusap!G3196)</f>
        <v>0</v>
      </c>
      <c r="H3196" s="16">
        <f>ABS(Solieusap!H3196)</f>
        <v>0</v>
      </c>
      <c r="I3196" s="16">
        <f>ABS(Solieusap!I3196)</f>
        <v>0</v>
      </c>
      <c r="J3196" s="16">
        <f>ABS(Solieusap!J3196)</f>
        <v>0</v>
      </c>
      <c r="K3196" s="16">
        <f t="shared" si="1"/>
        <v>0</v>
      </c>
      <c r="L3196" s="16">
        <f t="shared" si="2"/>
        <v>0</v>
      </c>
    </row>
    <row r="3197" ht="16.5" customHeight="1">
      <c r="A3197" s="15" t="str">
        <f>Solieusap!A3197</f>
        <v/>
      </c>
      <c r="B3197" s="15" t="str">
        <f>Solieusap!B3197</f>
        <v/>
      </c>
      <c r="C3197" s="15" t="str">
        <f>Solieusap!C3197</f>
        <v/>
      </c>
      <c r="D3197" s="15" t="str">
        <f>Solieusap!D3197</f>
        <v/>
      </c>
      <c r="E3197" s="16">
        <f>ABS(Solieusap!E3197)</f>
        <v>0</v>
      </c>
      <c r="F3197" s="16">
        <f>ABS(Solieusap!F3197)</f>
        <v>0</v>
      </c>
      <c r="G3197" s="16">
        <f>ABS(Solieusap!G3197)</f>
        <v>0</v>
      </c>
      <c r="H3197" s="16">
        <f>ABS(Solieusap!H3197)</f>
        <v>0</v>
      </c>
      <c r="I3197" s="16">
        <f>ABS(Solieusap!I3197)</f>
        <v>0</v>
      </c>
      <c r="J3197" s="16">
        <f>ABS(Solieusap!J3197)</f>
        <v>0</v>
      </c>
      <c r="K3197" s="16">
        <f t="shared" si="1"/>
        <v>0</v>
      </c>
      <c r="L3197" s="16">
        <f t="shared" si="2"/>
        <v>0</v>
      </c>
    </row>
    <row r="3198" ht="16.5" customHeight="1">
      <c r="A3198" s="15" t="str">
        <f>Solieusap!A3198</f>
        <v/>
      </c>
      <c r="B3198" s="15" t="str">
        <f>Solieusap!B3198</f>
        <v/>
      </c>
      <c r="C3198" s="15" t="str">
        <f>Solieusap!C3198</f>
        <v/>
      </c>
      <c r="D3198" s="15" t="str">
        <f>Solieusap!D3198</f>
        <v/>
      </c>
      <c r="E3198" s="16">
        <f>ABS(Solieusap!E3198)</f>
        <v>0</v>
      </c>
      <c r="F3198" s="16">
        <f>ABS(Solieusap!F3198)</f>
        <v>0</v>
      </c>
      <c r="G3198" s="16">
        <f>ABS(Solieusap!G3198)</f>
        <v>0</v>
      </c>
      <c r="H3198" s="16">
        <f>ABS(Solieusap!H3198)</f>
        <v>0</v>
      </c>
      <c r="I3198" s="16">
        <f>ABS(Solieusap!I3198)</f>
        <v>0</v>
      </c>
      <c r="J3198" s="16">
        <f>ABS(Solieusap!J3198)</f>
        <v>0</v>
      </c>
      <c r="K3198" s="16">
        <f t="shared" si="1"/>
        <v>0</v>
      </c>
      <c r="L3198" s="16">
        <f t="shared" si="2"/>
        <v>0</v>
      </c>
    </row>
    <row r="3199" ht="16.5" customHeight="1">
      <c r="A3199" s="15" t="str">
        <f>Solieusap!A3199</f>
        <v/>
      </c>
      <c r="B3199" s="15" t="str">
        <f>Solieusap!B3199</f>
        <v/>
      </c>
      <c r="C3199" s="15" t="str">
        <f>Solieusap!C3199</f>
        <v/>
      </c>
      <c r="D3199" s="15" t="str">
        <f>Solieusap!D3199</f>
        <v/>
      </c>
      <c r="E3199" s="16">
        <f>ABS(Solieusap!E3199)</f>
        <v>0</v>
      </c>
      <c r="F3199" s="16">
        <f>ABS(Solieusap!F3199)</f>
        <v>0</v>
      </c>
      <c r="G3199" s="16">
        <f>ABS(Solieusap!G3199)</f>
        <v>0</v>
      </c>
      <c r="H3199" s="16">
        <f>ABS(Solieusap!H3199)</f>
        <v>0</v>
      </c>
      <c r="I3199" s="16">
        <f>ABS(Solieusap!I3199)</f>
        <v>0</v>
      </c>
      <c r="J3199" s="16">
        <f>ABS(Solieusap!J3199)</f>
        <v>0</v>
      </c>
      <c r="K3199" s="16">
        <f t="shared" si="1"/>
        <v>0</v>
      </c>
      <c r="L3199" s="16">
        <f t="shared" si="2"/>
        <v>0</v>
      </c>
    </row>
    <row r="3200" ht="16.5" customHeight="1">
      <c r="A3200" s="15" t="str">
        <f>Solieusap!A3200</f>
        <v/>
      </c>
      <c r="B3200" s="15" t="str">
        <f>Solieusap!B3200</f>
        <v/>
      </c>
      <c r="C3200" s="15" t="str">
        <f>Solieusap!C3200</f>
        <v/>
      </c>
      <c r="D3200" s="15" t="str">
        <f>Solieusap!D3200</f>
        <v/>
      </c>
      <c r="E3200" s="16">
        <f>ABS(Solieusap!E3200)</f>
        <v>0</v>
      </c>
      <c r="F3200" s="16">
        <f>ABS(Solieusap!F3200)</f>
        <v>0</v>
      </c>
      <c r="G3200" s="16">
        <f>ABS(Solieusap!G3200)</f>
        <v>0</v>
      </c>
      <c r="H3200" s="16">
        <f>ABS(Solieusap!H3200)</f>
        <v>0</v>
      </c>
      <c r="I3200" s="16">
        <f>ABS(Solieusap!I3200)</f>
        <v>0</v>
      </c>
      <c r="J3200" s="16">
        <f>ABS(Solieusap!J3200)</f>
        <v>0</v>
      </c>
      <c r="K3200" s="16">
        <f t="shared" si="1"/>
        <v>0</v>
      </c>
      <c r="L3200" s="16">
        <f t="shared" si="2"/>
        <v>0</v>
      </c>
    </row>
    <row r="3201" ht="16.5" customHeight="1">
      <c r="A3201" s="15" t="str">
        <f>Solieusap!A3201</f>
        <v/>
      </c>
      <c r="B3201" s="15" t="str">
        <f>Solieusap!B3201</f>
        <v/>
      </c>
      <c r="C3201" s="15" t="str">
        <f>Solieusap!C3201</f>
        <v/>
      </c>
      <c r="D3201" s="15" t="str">
        <f>Solieusap!D3201</f>
        <v/>
      </c>
      <c r="E3201" s="16">
        <f>ABS(Solieusap!E3201)</f>
        <v>0</v>
      </c>
      <c r="F3201" s="16">
        <f>ABS(Solieusap!F3201)</f>
        <v>0</v>
      </c>
      <c r="G3201" s="16">
        <f>ABS(Solieusap!G3201)</f>
        <v>0</v>
      </c>
      <c r="H3201" s="16">
        <f>ABS(Solieusap!H3201)</f>
        <v>0</v>
      </c>
      <c r="I3201" s="16">
        <f>ABS(Solieusap!I3201)</f>
        <v>0</v>
      </c>
      <c r="J3201" s="16">
        <f>ABS(Solieusap!J3201)</f>
        <v>0</v>
      </c>
      <c r="K3201" s="16">
        <f t="shared" si="1"/>
        <v>0</v>
      </c>
      <c r="L3201" s="16">
        <f t="shared" si="2"/>
        <v>0</v>
      </c>
    </row>
    <row r="3202" ht="16.5" customHeight="1">
      <c r="A3202" s="15" t="str">
        <f>Solieusap!A3202</f>
        <v/>
      </c>
      <c r="B3202" s="15" t="str">
        <f>Solieusap!B3202</f>
        <v/>
      </c>
      <c r="C3202" s="15" t="str">
        <f>Solieusap!C3202</f>
        <v/>
      </c>
      <c r="D3202" s="15" t="str">
        <f>Solieusap!D3202</f>
        <v/>
      </c>
      <c r="E3202" s="16">
        <f>ABS(Solieusap!E3202)</f>
        <v>0</v>
      </c>
      <c r="F3202" s="16">
        <f>ABS(Solieusap!F3202)</f>
        <v>0</v>
      </c>
      <c r="G3202" s="16">
        <f>ABS(Solieusap!G3202)</f>
        <v>0</v>
      </c>
      <c r="H3202" s="16">
        <f>ABS(Solieusap!H3202)</f>
        <v>0</v>
      </c>
      <c r="I3202" s="16">
        <f>ABS(Solieusap!I3202)</f>
        <v>0</v>
      </c>
      <c r="J3202" s="16">
        <f>ABS(Solieusap!J3202)</f>
        <v>0</v>
      </c>
      <c r="K3202" s="16">
        <f t="shared" si="1"/>
        <v>0</v>
      </c>
      <c r="L3202" s="16">
        <f t="shared" si="2"/>
        <v>0</v>
      </c>
    </row>
    <row r="3203" ht="16.5" customHeight="1">
      <c r="A3203" s="15" t="str">
        <f>Solieusap!A3203</f>
        <v/>
      </c>
      <c r="B3203" s="15" t="str">
        <f>Solieusap!B3203</f>
        <v/>
      </c>
      <c r="C3203" s="15" t="str">
        <f>Solieusap!C3203</f>
        <v/>
      </c>
      <c r="D3203" s="15" t="str">
        <f>Solieusap!D3203</f>
        <v/>
      </c>
      <c r="E3203" s="16">
        <f>ABS(Solieusap!E3203)</f>
        <v>0</v>
      </c>
      <c r="F3203" s="16">
        <f>ABS(Solieusap!F3203)</f>
        <v>0</v>
      </c>
      <c r="G3203" s="16">
        <f>ABS(Solieusap!G3203)</f>
        <v>0</v>
      </c>
      <c r="H3203" s="16">
        <f>ABS(Solieusap!H3203)</f>
        <v>0</v>
      </c>
      <c r="I3203" s="16">
        <f>ABS(Solieusap!I3203)</f>
        <v>0</v>
      </c>
      <c r="J3203" s="16">
        <f>ABS(Solieusap!J3203)</f>
        <v>0</v>
      </c>
      <c r="K3203" s="16">
        <f t="shared" si="1"/>
        <v>0</v>
      </c>
      <c r="L3203" s="16">
        <f t="shared" si="2"/>
        <v>0</v>
      </c>
    </row>
    <row r="3204" ht="16.5" customHeight="1">
      <c r="A3204" s="15" t="str">
        <f>Solieusap!A3204</f>
        <v/>
      </c>
      <c r="B3204" s="15" t="str">
        <f>Solieusap!B3204</f>
        <v/>
      </c>
      <c r="C3204" s="15" t="str">
        <f>Solieusap!C3204</f>
        <v/>
      </c>
      <c r="D3204" s="15" t="str">
        <f>Solieusap!D3204</f>
        <v/>
      </c>
      <c r="E3204" s="16">
        <f>ABS(Solieusap!E3204)</f>
        <v>0</v>
      </c>
      <c r="F3204" s="16">
        <f>ABS(Solieusap!F3204)</f>
        <v>0</v>
      </c>
      <c r="G3204" s="16">
        <f>ABS(Solieusap!G3204)</f>
        <v>0</v>
      </c>
      <c r="H3204" s="16">
        <f>ABS(Solieusap!H3204)</f>
        <v>0</v>
      </c>
      <c r="I3204" s="16">
        <f>ABS(Solieusap!I3204)</f>
        <v>0</v>
      </c>
      <c r="J3204" s="16">
        <f>ABS(Solieusap!J3204)</f>
        <v>0</v>
      </c>
      <c r="K3204" s="16">
        <f t="shared" si="1"/>
        <v>0</v>
      </c>
      <c r="L3204" s="16">
        <f t="shared" si="2"/>
        <v>0</v>
      </c>
    </row>
    <row r="3205" ht="16.5" customHeight="1">
      <c r="A3205" s="15" t="str">
        <f>Solieusap!A3205</f>
        <v/>
      </c>
      <c r="B3205" s="15" t="str">
        <f>Solieusap!B3205</f>
        <v/>
      </c>
      <c r="C3205" s="15" t="str">
        <f>Solieusap!C3205</f>
        <v/>
      </c>
      <c r="D3205" s="15" t="str">
        <f>Solieusap!D3205</f>
        <v/>
      </c>
      <c r="E3205" s="16">
        <f>ABS(Solieusap!E3205)</f>
        <v>0</v>
      </c>
      <c r="F3205" s="16">
        <f>ABS(Solieusap!F3205)</f>
        <v>0</v>
      </c>
      <c r="G3205" s="16">
        <f>ABS(Solieusap!G3205)</f>
        <v>0</v>
      </c>
      <c r="H3205" s="16">
        <f>ABS(Solieusap!H3205)</f>
        <v>0</v>
      </c>
      <c r="I3205" s="16">
        <f>ABS(Solieusap!I3205)</f>
        <v>0</v>
      </c>
      <c r="J3205" s="16">
        <f>ABS(Solieusap!J3205)</f>
        <v>0</v>
      </c>
      <c r="K3205" s="16">
        <f t="shared" si="1"/>
        <v>0</v>
      </c>
      <c r="L3205" s="16">
        <f t="shared" si="2"/>
        <v>0</v>
      </c>
    </row>
    <row r="3206" ht="16.5" customHeight="1">
      <c r="A3206" s="15" t="str">
        <f>Solieusap!A3206</f>
        <v/>
      </c>
      <c r="B3206" s="15" t="str">
        <f>Solieusap!B3206</f>
        <v/>
      </c>
      <c r="C3206" s="15" t="str">
        <f>Solieusap!C3206</f>
        <v/>
      </c>
      <c r="D3206" s="15" t="str">
        <f>Solieusap!D3206</f>
        <v/>
      </c>
      <c r="E3206" s="16">
        <f>ABS(Solieusap!E3206)</f>
        <v>0</v>
      </c>
      <c r="F3206" s="16">
        <f>ABS(Solieusap!F3206)</f>
        <v>0</v>
      </c>
      <c r="G3206" s="16">
        <f>ABS(Solieusap!G3206)</f>
        <v>0</v>
      </c>
      <c r="H3206" s="16">
        <f>ABS(Solieusap!H3206)</f>
        <v>0</v>
      </c>
      <c r="I3206" s="16">
        <f>ABS(Solieusap!I3206)</f>
        <v>0</v>
      </c>
      <c r="J3206" s="16">
        <f>ABS(Solieusap!J3206)</f>
        <v>0</v>
      </c>
      <c r="K3206" s="16">
        <f t="shared" si="1"/>
        <v>0</v>
      </c>
      <c r="L3206" s="16">
        <f t="shared" si="2"/>
        <v>0</v>
      </c>
    </row>
    <row r="3207" ht="16.5" customHeight="1">
      <c r="A3207" s="15" t="str">
        <f>Solieusap!A3207</f>
        <v/>
      </c>
      <c r="B3207" s="15" t="str">
        <f>Solieusap!B3207</f>
        <v/>
      </c>
      <c r="C3207" s="15" t="str">
        <f>Solieusap!C3207</f>
        <v/>
      </c>
      <c r="D3207" s="15" t="str">
        <f>Solieusap!D3207</f>
        <v/>
      </c>
      <c r="E3207" s="16">
        <f>ABS(Solieusap!E3207)</f>
        <v>0</v>
      </c>
      <c r="F3207" s="16">
        <f>ABS(Solieusap!F3207)</f>
        <v>0</v>
      </c>
      <c r="G3207" s="16">
        <f>ABS(Solieusap!G3207)</f>
        <v>0</v>
      </c>
      <c r="H3207" s="16">
        <f>ABS(Solieusap!H3207)</f>
        <v>0</v>
      </c>
      <c r="I3207" s="16">
        <f>ABS(Solieusap!I3207)</f>
        <v>0</v>
      </c>
      <c r="J3207" s="16">
        <f>ABS(Solieusap!J3207)</f>
        <v>0</v>
      </c>
      <c r="K3207" s="16">
        <f t="shared" si="1"/>
        <v>0</v>
      </c>
      <c r="L3207" s="16">
        <f t="shared" si="2"/>
        <v>0</v>
      </c>
    </row>
    <row r="3208" ht="16.5" customHeight="1">
      <c r="A3208" s="15" t="str">
        <f>Solieusap!A3208</f>
        <v/>
      </c>
      <c r="B3208" s="15" t="str">
        <f>Solieusap!B3208</f>
        <v/>
      </c>
      <c r="C3208" s="15" t="str">
        <f>Solieusap!C3208</f>
        <v/>
      </c>
      <c r="D3208" s="15" t="str">
        <f>Solieusap!D3208</f>
        <v/>
      </c>
      <c r="E3208" s="16">
        <f>ABS(Solieusap!E3208)</f>
        <v>0</v>
      </c>
      <c r="F3208" s="16">
        <f>ABS(Solieusap!F3208)</f>
        <v>0</v>
      </c>
      <c r="G3208" s="16">
        <f>ABS(Solieusap!G3208)</f>
        <v>0</v>
      </c>
      <c r="H3208" s="16">
        <f>ABS(Solieusap!H3208)</f>
        <v>0</v>
      </c>
      <c r="I3208" s="16">
        <f>ABS(Solieusap!I3208)</f>
        <v>0</v>
      </c>
      <c r="J3208" s="16">
        <f>ABS(Solieusap!J3208)</f>
        <v>0</v>
      </c>
      <c r="K3208" s="16">
        <f t="shared" si="1"/>
        <v>0</v>
      </c>
      <c r="L3208" s="16">
        <f t="shared" si="2"/>
        <v>0</v>
      </c>
    </row>
    <row r="3209" ht="16.5" customHeight="1">
      <c r="A3209" s="15" t="str">
        <f>Solieusap!A3209</f>
        <v/>
      </c>
      <c r="B3209" s="15" t="str">
        <f>Solieusap!B3209</f>
        <v/>
      </c>
      <c r="C3209" s="15" t="str">
        <f>Solieusap!C3209</f>
        <v/>
      </c>
      <c r="D3209" s="15" t="str">
        <f>Solieusap!D3209</f>
        <v/>
      </c>
      <c r="E3209" s="16">
        <f>ABS(Solieusap!E3209)</f>
        <v>0</v>
      </c>
      <c r="F3209" s="16">
        <f>ABS(Solieusap!F3209)</f>
        <v>0</v>
      </c>
      <c r="G3209" s="16">
        <f>ABS(Solieusap!G3209)</f>
        <v>0</v>
      </c>
      <c r="H3209" s="16">
        <f>ABS(Solieusap!H3209)</f>
        <v>0</v>
      </c>
      <c r="I3209" s="16">
        <f>ABS(Solieusap!I3209)</f>
        <v>0</v>
      </c>
      <c r="J3209" s="16">
        <f>ABS(Solieusap!J3209)</f>
        <v>0</v>
      </c>
      <c r="K3209" s="16">
        <f t="shared" si="1"/>
        <v>0</v>
      </c>
      <c r="L3209" s="16">
        <f t="shared" si="2"/>
        <v>0</v>
      </c>
    </row>
    <row r="3210" ht="16.5" customHeight="1">
      <c r="A3210" s="15" t="str">
        <f>Solieusap!A3210</f>
        <v/>
      </c>
      <c r="B3210" s="15" t="str">
        <f>Solieusap!B3210</f>
        <v/>
      </c>
      <c r="C3210" s="15" t="str">
        <f>Solieusap!C3210</f>
        <v/>
      </c>
      <c r="D3210" s="15" t="str">
        <f>Solieusap!D3210</f>
        <v/>
      </c>
      <c r="E3210" s="16">
        <f>ABS(Solieusap!E3210)</f>
        <v>0</v>
      </c>
      <c r="F3210" s="16">
        <f>ABS(Solieusap!F3210)</f>
        <v>0</v>
      </c>
      <c r="G3210" s="16">
        <f>ABS(Solieusap!G3210)</f>
        <v>0</v>
      </c>
      <c r="H3210" s="16">
        <f>ABS(Solieusap!H3210)</f>
        <v>0</v>
      </c>
      <c r="I3210" s="16">
        <f>ABS(Solieusap!I3210)</f>
        <v>0</v>
      </c>
      <c r="J3210" s="16">
        <f>ABS(Solieusap!J3210)</f>
        <v>0</v>
      </c>
      <c r="K3210" s="16">
        <f t="shared" si="1"/>
        <v>0</v>
      </c>
      <c r="L3210" s="16">
        <f t="shared" si="2"/>
        <v>0</v>
      </c>
    </row>
    <row r="3211" ht="16.5" customHeight="1">
      <c r="A3211" s="15" t="str">
        <f>Solieusap!A3211</f>
        <v/>
      </c>
      <c r="B3211" s="15" t="str">
        <f>Solieusap!B3211</f>
        <v/>
      </c>
      <c r="C3211" s="15" t="str">
        <f>Solieusap!C3211</f>
        <v/>
      </c>
      <c r="D3211" s="15" t="str">
        <f>Solieusap!D3211</f>
        <v/>
      </c>
      <c r="E3211" s="16">
        <f>ABS(Solieusap!E3211)</f>
        <v>0</v>
      </c>
      <c r="F3211" s="16">
        <f>ABS(Solieusap!F3211)</f>
        <v>0</v>
      </c>
      <c r="G3211" s="16">
        <f>ABS(Solieusap!G3211)</f>
        <v>0</v>
      </c>
      <c r="H3211" s="16">
        <f>ABS(Solieusap!H3211)</f>
        <v>0</v>
      </c>
      <c r="I3211" s="16">
        <f>ABS(Solieusap!I3211)</f>
        <v>0</v>
      </c>
      <c r="J3211" s="16">
        <f>ABS(Solieusap!J3211)</f>
        <v>0</v>
      </c>
      <c r="K3211" s="16">
        <f t="shared" si="1"/>
        <v>0</v>
      </c>
      <c r="L3211" s="16">
        <f t="shared" si="2"/>
        <v>0</v>
      </c>
    </row>
    <row r="3212" ht="16.5" customHeight="1">
      <c r="A3212" s="15" t="str">
        <f>Solieusap!A3212</f>
        <v/>
      </c>
      <c r="B3212" s="15" t="str">
        <f>Solieusap!B3212</f>
        <v/>
      </c>
      <c r="C3212" s="15" t="str">
        <f>Solieusap!C3212</f>
        <v/>
      </c>
      <c r="D3212" s="15" t="str">
        <f>Solieusap!D3212</f>
        <v/>
      </c>
      <c r="E3212" s="16">
        <f>ABS(Solieusap!E3212)</f>
        <v>0</v>
      </c>
      <c r="F3212" s="16">
        <f>ABS(Solieusap!F3212)</f>
        <v>0</v>
      </c>
      <c r="G3212" s="16">
        <f>ABS(Solieusap!G3212)</f>
        <v>0</v>
      </c>
      <c r="H3212" s="16">
        <f>ABS(Solieusap!H3212)</f>
        <v>0</v>
      </c>
      <c r="I3212" s="16">
        <f>ABS(Solieusap!I3212)</f>
        <v>0</v>
      </c>
      <c r="J3212" s="16">
        <f>ABS(Solieusap!J3212)</f>
        <v>0</v>
      </c>
      <c r="K3212" s="16">
        <f t="shared" si="1"/>
        <v>0</v>
      </c>
      <c r="L3212" s="16">
        <f t="shared" si="2"/>
        <v>0</v>
      </c>
    </row>
    <row r="3213" ht="16.5" customHeight="1">
      <c r="A3213" s="15" t="str">
        <f>Solieusap!A3213</f>
        <v/>
      </c>
      <c r="B3213" s="15" t="str">
        <f>Solieusap!B3213</f>
        <v/>
      </c>
      <c r="C3213" s="15" t="str">
        <f>Solieusap!C3213</f>
        <v/>
      </c>
      <c r="D3213" s="15" t="str">
        <f>Solieusap!D3213</f>
        <v/>
      </c>
      <c r="E3213" s="16">
        <f>ABS(Solieusap!E3213)</f>
        <v>0</v>
      </c>
      <c r="F3213" s="16">
        <f>ABS(Solieusap!F3213)</f>
        <v>0</v>
      </c>
      <c r="G3213" s="16">
        <f>ABS(Solieusap!G3213)</f>
        <v>0</v>
      </c>
      <c r="H3213" s="16">
        <f>ABS(Solieusap!H3213)</f>
        <v>0</v>
      </c>
      <c r="I3213" s="16">
        <f>ABS(Solieusap!I3213)</f>
        <v>0</v>
      </c>
      <c r="J3213" s="16">
        <f>ABS(Solieusap!J3213)</f>
        <v>0</v>
      </c>
      <c r="K3213" s="16">
        <f t="shared" si="1"/>
        <v>0</v>
      </c>
      <c r="L3213" s="16">
        <f t="shared" si="2"/>
        <v>0</v>
      </c>
    </row>
    <row r="3214" ht="16.5" customHeight="1">
      <c r="A3214" s="15" t="str">
        <f>Solieusap!A3214</f>
        <v/>
      </c>
      <c r="B3214" s="15" t="str">
        <f>Solieusap!B3214</f>
        <v/>
      </c>
      <c r="C3214" s="15" t="str">
        <f>Solieusap!C3214</f>
        <v/>
      </c>
      <c r="D3214" s="15" t="str">
        <f>Solieusap!D3214</f>
        <v/>
      </c>
      <c r="E3214" s="16">
        <f>ABS(Solieusap!E3214)</f>
        <v>0</v>
      </c>
      <c r="F3214" s="16">
        <f>ABS(Solieusap!F3214)</f>
        <v>0</v>
      </c>
      <c r="G3214" s="16">
        <f>ABS(Solieusap!G3214)</f>
        <v>0</v>
      </c>
      <c r="H3214" s="16">
        <f>ABS(Solieusap!H3214)</f>
        <v>0</v>
      </c>
      <c r="I3214" s="16">
        <f>ABS(Solieusap!I3214)</f>
        <v>0</v>
      </c>
      <c r="J3214" s="16">
        <f>ABS(Solieusap!J3214)</f>
        <v>0</v>
      </c>
      <c r="K3214" s="16">
        <f t="shared" si="1"/>
        <v>0</v>
      </c>
      <c r="L3214" s="16">
        <f t="shared" si="2"/>
        <v>0</v>
      </c>
    </row>
    <row r="3215" ht="16.5" customHeight="1">
      <c r="A3215" s="15" t="str">
        <f>Solieusap!A3215</f>
        <v/>
      </c>
      <c r="B3215" s="15" t="str">
        <f>Solieusap!B3215</f>
        <v/>
      </c>
      <c r="C3215" s="15" t="str">
        <f>Solieusap!C3215</f>
        <v/>
      </c>
      <c r="D3215" s="15" t="str">
        <f>Solieusap!D3215</f>
        <v/>
      </c>
      <c r="E3215" s="16">
        <f>ABS(Solieusap!E3215)</f>
        <v>0</v>
      </c>
      <c r="F3215" s="16">
        <f>ABS(Solieusap!F3215)</f>
        <v>0</v>
      </c>
      <c r="G3215" s="16">
        <f>ABS(Solieusap!G3215)</f>
        <v>0</v>
      </c>
      <c r="H3215" s="16">
        <f>ABS(Solieusap!H3215)</f>
        <v>0</v>
      </c>
      <c r="I3215" s="16">
        <f>ABS(Solieusap!I3215)</f>
        <v>0</v>
      </c>
      <c r="J3215" s="16">
        <f>ABS(Solieusap!J3215)</f>
        <v>0</v>
      </c>
      <c r="K3215" s="16">
        <f t="shared" si="1"/>
        <v>0</v>
      </c>
      <c r="L3215" s="16">
        <f t="shared" si="2"/>
        <v>0</v>
      </c>
    </row>
    <row r="3216" ht="16.5" customHeight="1">
      <c r="A3216" s="15" t="str">
        <f>Solieusap!A3216</f>
        <v/>
      </c>
      <c r="B3216" s="15" t="str">
        <f>Solieusap!B3216</f>
        <v/>
      </c>
      <c r="C3216" s="15" t="str">
        <f>Solieusap!C3216</f>
        <v/>
      </c>
      <c r="D3216" s="15" t="str">
        <f>Solieusap!D3216</f>
        <v/>
      </c>
      <c r="E3216" s="16">
        <f>ABS(Solieusap!E3216)</f>
        <v>0</v>
      </c>
      <c r="F3216" s="16">
        <f>ABS(Solieusap!F3216)</f>
        <v>0</v>
      </c>
      <c r="G3216" s="16">
        <f>ABS(Solieusap!G3216)</f>
        <v>0</v>
      </c>
      <c r="H3216" s="16">
        <f>ABS(Solieusap!H3216)</f>
        <v>0</v>
      </c>
      <c r="I3216" s="16">
        <f>ABS(Solieusap!I3216)</f>
        <v>0</v>
      </c>
      <c r="J3216" s="16">
        <f>ABS(Solieusap!J3216)</f>
        <v>0</v>
      </c>
      <c r="K3216" s="16">
        <f t="shared" si="1"/>
        <v>0</v>
      </c>
      <c r="L3216" s="16">
        <f t="shared" si="2"/>
        <v>0</v>
      </c>
    </row>
    <row r="3217" ht="16.5" customHeight="1">
      <c r="A3217" s="15" t="str">
        <f>Solieusap!A3217</f>
        <v/>
      </c>
      <c r="B3217" s="15" t="str">
        <f>Solieusap!B3217</f>
        <v/>
      </c>
      <c r="C3217" s="15" t="str">
        <f>Solieusap!C3217</f>
        <v/>
      </c>
      <c r="D3217" s="15" t="str">
        <f>Solieusap!D3217</f>
        <v/>
      </c>
      <c r="E3217" s="16">
        <f>ABS(Solieusap!E3217)</f>
        <v>0</v>
      </c>
      <c r="F3217" s="16">
        <f>ABS(Solieusap!F3217)</f>
        <v>0</v>
      </c>
      <c r="G3217" s="16">
        <f>ABS(Solieusap!G3217)</f>
        <v>0</v>
      </c>
      <c r="H3217" s="16">
        <f>ABS(Solieusap!H3217)</f>
        <v>0</v>
      </c>
      <c r="I3217" s="16">
        <f>ABS(Solieusap!I3217)</f>
        <v>0</v>
      </c>
      <c r="J3217" s="16">
        <f>ABS(Solieusap!J3217)</f>
        <v>0</v>
      </c>
      <c r="K3217" s="16">
        <f t="shared" si="1"/>
        <v>0</v>
      </c>
      <c r="L3217" s="16">
        <f t="shared" si="2"/>
        <v>0</v>
      </c>
    </row>
    <row r="3218" ht="16.5" customHeight="1">
      <c r="A3218" s="15" t="str">
        <f>Solieusap!A3218</f>
        <v/>
      </c>
      <c r="B3218" s="15" t="str">
        <f>Solieusap!B3218</f>
        <v/>
      </c>
      <c r="C3218" s="15" t="str">
        <f>Solieusap!C3218</f>
        <v/>
      </c>
      <c r="D3218" s="15" t="str">
        <f>Solieusap!D3218</f>
        <v/>
      </c>
      <c r="E3218" s="16">
        <f>ABS(Solieusap!E3218)</f>
        <v>0</v>
      </c>
      <c r="F3218" s="16">
        <f>ABS(Solieusap!F3218)</f>
        <v>0</v>
      </c>
      <c r="G3218" s="16">
        <f>ABS(Solieusap!G3218)</f>
        <v>0</v>
      </c>
      <c r="H3218" s="16">
        <f>ABS(Solieusap!H3218)</f>
        <v>0</v>
      </c>
      <c r="I3218" s="16">
        <f>ABS(Solieusap!I3218)</f>
        <v>0</v>
      </c>
      <c r="J3218" s="16">
        <f>ABS(Solieusap!J3218)</f>
        <v>0</v>
      </c>
      <c r="K3218" s="16">
        <f t="shared" si="1"/>
        <v>0</v>
      </c>
      <c r="L3218" s="16">
        <f t="shared" si="2"/>
        <v>0</v>
      </c>
    </row>
    <row r="3219" ht="16.5" customHeight="1">
      <c r="A3219" s="15" t="str">
        <f>Solieusap!A3219</f>
        <v/>
      </c>
      <c r="B3219" s="15" t="str">
        <f>Solieusap!B3219</f>
        <v/>
      </c>
      <c r="C3219" s="15" t="str">
        <f>Solieusap!C3219</f>
        <v/>
      </c>
      <c r="D3219" s="15" t="str">
        <f>Solieusap!D3219</f>
        <v/>
      </c>
      <c r="E3219" s="16">
        <f>ABS(Solieusap!E3219)</f>
        <v>0</v>
      </c>
      <c r="F3219" s="16">
        <f>ABS(Solieusap!F3219)</f>
        <v>0</v>
      </c>
      <c r="G3219" s="16">
        <f>ABS(Solieusap!G3219)</f>
        <v>0</v>
      </c>
      <c r="H3219" s="16">
        <f>ABS(Solieusap!H3219)</f>
        <v>0</v>
      </c>
      <c r="I3219" s="16">
        <f>ABS(Solieusap!I3219)</f>
        <v>0</v>
      </c>
      <c r="J3219" s="16">
        <f>ABS(Solieusap!J3219)</f>
        <v>0</v>
      </c>
      <c r="K3219" s="16">
        <f t="shared" si="1"/>
        <v>0</v>
      </c>
      <c r="L3219" s="16">
        <f t="shared" si="2"/>
        <v>0</v>
      </c>
    </row>
    <row r="3220" ht="16.5" customHeight="1">
      <c r="A3220" s="15" t="str">
        <f>Solieusap!A3220</f>
        <v/>
      </c>
      <c r="B3220" s="15" t="str">
        <f>Solieusap!B3220</f>
        <v/>
      </c>
      <c r="C3220" s="15" t="str">
        <f>Solieusap!C3220</f>
        <v/>
      </c>
      <c r="D3220" s="15" t="str">
        <f>Solieusap!D3220</f>
        <v/>
      </c>
      <c r="E3220" s="16">
        <f>ABS(Solieusap!E3220)</f>
        <v>0</v>
      </c>
      <c r="F3220" s="16">
        <f>ABS(Solieusap!F3220)</f>
        <v>0</v>
      </c>
      <c r="G3220" s="16">
        <f>ABS(Solieusap!G3220)</f>
        <v>0</v>
      </c>
      <c r="H3220" s="16">
        <f>ABS(Solieusap!H3220)</f>
        <v>0</v>
      </c>
      <c r="I3220" s="16">
        <f>ABS(Solieusap!I3220)</f>
        <v>0</v>
      </c>
      <c r="J3220" s="16">
        <f>ABS(Solieusap!J3220)</f>
        <v>0</v>
      </c>
      <c r="K3220" s="16">
        <f t="shared" si="1"/>
        <v>0</v>
      </c>
      <c r="L3220" s="16">
        <f t="shared" si="2"/>
        <v>0</v>
      </c>
    </row>
    <row r="3221" ht="16.5" customHeight="1">
      <c r="A3221" s="15" t="str">
        <f>Solieusap!A3221</f>
        <v/>
      </c>
      <c r="B3221" s="15" t="str">
        <f>Solieusap!B3221</f>
        <v/>
      </c>
      <c r="C3221" s="15" t="str">
        <f>Solieusap!C3221</f>
        <v/>
      </c>
      <c r="D3221" s="15" t="str">
        <f>Solieusap!D3221</f>
        <v/>
      </c>
      <c r="E3221" s="16">
        <f>ABS(Solieusap!E3221)</f>
        <v>0</v>
      </c>
      <c r="F3221" s="16">
        <f>ABS(Solieusap!F3221)</f>
        <v>0</v>
      </c>
      <c r="G3221" s="16">
        <f>ABS(Solieusap!G3221)</f>
        <v>0</v>
      </c>
      <c r="H3221" s="16">
        <f>ABS(Solieusap!H3221)</f>
        <v>0</v>
      </c>
      <c r="I3221" s="16">
        <f>ABS(Solieusap!I3221)</f>
        <v>0</v>
      </c>
      <c r="J3221" s="16">
        <f>ABS(Solieusap!J3221)</f>
        <v>0</v>
      </c>
      <c r="K3221" s="16">
        <f t="shared" si="1"/>
        <v>0</v>
      </c>
      <c r="L3221" s="16">
        <f t="shared" si="2"/>
        <v>0</v>
      </c>
    </row>
    <row r="3222" ht="16.5" customHeight="1">
      <c r="A3222" s="15" t="str">
        <f>Solieusap!A3222</f>
        <v/>
      </c>
      <c r="B3222" s="15" t="str">
        <f>Solieusap!B3222</f>
        <v/>
      </c>
      <c r="C3222" s="15" t="str">
        <f>Solieusap!C3222</f>
        <v/>
      </c>
      <c r="D3222" s="15" t="str">
        <f>Solieusap!D3222</f>
        <v/>
      </c>
      <c r="E3222" s="16">
        <f>ABS(Solieusap!E3222)</f>
        <v>0</v>
      </c>
      <c r="F3222" s="16">
        <f>ABS(Solieusap!F3222)</f>
        <v>0</v>
      </c>
      <c r="G3222" s="16">
        <f>ABS(Solieusap!G3222)</f>
        <v>0</v>
      </c>
      <c r="H3222" s="16">
        <f>ABS(Solieusap!H3222)</f>
        <v>0</v>
      </c>
      <c r="I3222" s="16">
        <f>ABS(Solieusap!I3222)</f>
        <v>0</v>
      </c>
      <c r="J3222" s="16">
        <f>ABS(Solieusap!J3222)</f>
        <v>0</v>
      </c>
      <c r="K3222" s="16">
        <f t="shared" si="1"/>
        <v>0</v>
      </c>
      <c r="L3222" s="16">
        <f t="shared" si="2"/>
        <v>0</v>
      </c>
    </row>
    <row r="3223" ht="16.5" customHeight="1">
      <c r="A3223" s="15" t="str">
        <f>Solieusap!A3223</f>
        <v/>
      </c>
      <c r="B3223" s="15" t="str">
        <f>Solieusap!B3223</f>
        <v/>
      </c>
      <c r="C3223" s="15" t="str">
        <f>Solieusap!C3223</f>
        <v/>
      </c>
      <c r="D3223" s="15" t="str">
        <f>Solieusap!D3223</f>
        <v/>
      </c>
      <c r="E3223" s="16">
        <f>ABS(Solieusap!E3223)</f>
        <v>0</v>
      </c>
      <c r="F3223" s="16">
        <f>ABS(Solieusap!F3223)</f>
        <v>0</v>
      </c>
      <c r="G3223" s="16">
        <f>ABS(Solieusap!G3223)</f>
        <v>0</v>
      </c>
      <c r="H3223" s="16">
        <f>ABS(Solieusap!H3223)</f>
        <v>0</v>
      </c>
      <c r="I3223" s="16">
        <f>ABS(Solieusap!I3223)</f>
        <v>0</v>
      </c>
      <c r="J3223" s="16">
        <f>ABS(Solieusap!J3223)</f>
        <v>0</v>
      </c>
      <c r="K3223" s="16">
        <f t="shared" si="1"/>
        <v>0</v>
      </c>
      <c r="L3223" s="16">
        <f t="shared" si="2"/>
        <v>0</v>
      </c>
    </row>
    <row r="3224" ht="16.5" customHeight="1">
      <c r="A3224" s="15" t="str">
        <f>Solieusap!A3224</f>
        <v/>
      </c>
      <c r="B3224" s="15" t="str">
        <f>Solieusap!B3224</f>
        <v/>
      </c>
      <c r="C3224" s="15" t="str">
        <f>Solieusap!C3224</f>
        <v/>
      </c>
      <c r="D3224" s="15" t="str">
        <f>Solieusap!D3224</f>
        <v/>
      </c>
      <c r="E3224" s="16">
        <f>ABS(Solieusap!E3224)</f>
        <v>0</v>
      </c>
      <c r="F3224" s="16">
        <f>ABS(Solieusap!F3224)</f>
        <v>0</v>
      </c>
      <c r="G3224" s="16">
        <f>ABS(Solieusap!G3224)</f>
        <v>0</v>
      </c>
      <c r="H3224" s="16">
        <f>ABS(Solieusap!H3224)</f>
        <v>0</v>
      </c>
      <c r="I3224" s="16">
        <f>ABS(Solieusap!I3224)</f>
        <v>0</v>
      </c>
      <c r="J3224" s="16">
        <f>ABS(Solieusap!J3224)</f>
        <v>0</v>
      </c>
      <c r="K3224" s="16">
        <f t="shared" si="1"/>
        <v>0</v>
      </c>
      <c r="L3224" s="16">
        <f t="shared" si="2"/>
        <v>0</v>
      </c>
    </row>
    <row r="3225" ht="16.5" customHeight="1">
      <c r="A3225" s="15" t="str">
        <f>Solieusap!A3225</f>
        <v/>
      </c>
      <c r="B3225" s="15" t="str">
        <f>Solieusap!B3225</f>
        <v/>
      </c>
      <c r="C3225" s="15" t="str">
        <f>Solieusap!C3225</f>
        <v/>
      </c>
      <c r="D3225" s="15" t="str">
        <f>Solieusap!D3225</f>
        <v/>
      </c>
      <c r="E3225" s="16">
        <f>ABS(Solieusap!E3225)</f>
        <v>0</v>
      </c>
      <c r="F3225" s="16">
        <f>ABS(Solieusap!F3225)</f>
        <v>0</v>
      </c>
      <c r="G3225" s="16">
        <f>ABS(Solieusap!G3225)</f>
        <v>0</v>
      </c>
      <c r="H3225" s="16">
        <f>ABS(Solieusap!H3225)</f>
        <v>0</v>
      </c>
      <c r="I3225" s="16">
        <f>ABS(Solieusap!I3225)</f>
        <v>0</v>
      </c>
      <c r="J3225" s="16">
        <f>ABS(Solieusap!J3225)</f>
        <v>0</v>
      </c>
      <c r="K3225" s="16">
        <f t="shared" si="1"/>
        <v>0</v>
      </c>
      <c r="L3225" s="16">
        <f t="shared" si="2"/>
        <v>0</v>
      </c>
    </row>
    <row r="3226" ht="16.5" customHeight="1">
      <c r="A3226" s="15" t="str">
        <f>Solieusap!A3226</f>
        <v/>
      </c>
      <c r="B3226" s="15" t="str">
        <f>Solieusap!B3226</f>
        <v/>
      </c>
      <c r="C3226" s="15" t="str">
        <f>Solieusap!C3226</f>
        <v/>
      </c>
      <c r="D3226" s="15" t="str">
        <f>Solieusap!D3226</f>
        <v/>
      </c>
      <c r="E3226" s="16">
        <f>ABS(Solieusap!E3226)</f>
        <v>0</v>
      </c>
      <c r="F3226" s="16">
        <f>ABS(Solieusap!F3226)</f>
        <v>0</v>
      </c>
      <c r="G3226" s="16">
        <f>ABS(Solieusap!G3226)</f>
        <v>0</v>
      </c>
      <c r="H3226" s="16">
        <f>ABS(Solieusap!H3226)</f>
        <v>0</v>
      </c>
      <c r="I3226" s="16">
        <f>ABS(Solieusap!I3226)</f>
        <v>0</v>
      </c>
      <c r="J3226" s="16">
        <f>ABS(Solieusap!J3226)</f>
        <v>0</v>
      </c>
      <c r="K3226" s="16">
        <f t="shared" si="1"/>
        <v>0</v>
      </c>
      <c r="L3226" s="16">
        <f t="shared" si="2"/>
        <v>0</v>
      </c>
    </row>
    <row r="3227" ht="16.5" customHeight="1">
      <c r="A3227" s="15" t="str">
        <f>Solieusap!A3227</f>
        <v/>
      </c>
      <c r="B3227" s="15" t="str">
        <f>Solieusap!B3227</f>
        <v/>
      </c>
      <c r="C3227" s="15" t="str">
        <f>Solieusap!C3227</f>
        <v/>
      </c>
      <c r="D3227" s="15" t="str">
        <f>Solieusap!D3227</f>
        <v/>
      </c>
      <c r="E3227" s="16">
        <f>ABS(Solieusap!E3227)</f>
        <v>0</v>
      </c>
      <c r="F3227" s="16">
        <f>ABS(Solieusap!F3227)</f>
        <v>0</v>
      </c>
      <c r="G3227" s="16">
        <f>ABS(Solieusap!G3227)</f>
        <v>0</v>
      </c>
      <c r="H3227" s="16">
        <f>ABS(Solieusap!H3227)</f>
        <v>0</v>
      </c>
      <c r="I3227" s="16">
        <f>ABS(Solieusap!I3227)</f>
        <v>0</v>
      </c>
      <c r="J3227" s="16">
        <f>ABS(Solieusap!J3227)</f>
        <v>0</v>
      </c>
      <c r="K3227" s="16">
        <f t="shared" si="1"/>
        <v>0</v>
      </c>
      <c r="L3227" s="16">
        <f t="shared" si="2"/>
        <v>0</v>
      </c>
    </row>
    <row r="3228" ht="16.5" customHeight="1">
      <c r="A3228" s="15" t="str">
        <f>Solieusap!A3228</f>
        <v/>
      </c>
      <c r="B3228" s="15" t="str">
        <f>Solieusap!B3228</f>
        <v/>
      </c>
      <c r="C3228" s="15" t="str">
        <f>Solieusap!C3228</f>
        <v/>
      </c>
      <c r="D3228" s="15" t="str">
        <f>Solieusap!D3228</f>
        <v/>
      </c>
      <c r="E3228" s="16">
        <f>ABS(Solieusap!E3228)</f>
        <v>0</v>
      </c>
      <c r="F3228" s="16">
        <f>ABS(Solieusap!F3228)</f>
        <v>0</v>
      </c>
      <c r="G3228" s="16">
        <f>ABS(Solieusap!G3228)</f>
        <v>0</v>
      </c>
      <c r="H3228" s="16">
        <f>ABS(Solieusap!H3228)</f>
        <v>0</v>
      </c>
      <c r="I3228" s="16">
        <f>ABS(Solieusap!I3228)</f>
        <v>0</v>
      </c>
      <c r="J3228" s="16">
        <f>ABS(Solieusap!J3228)</f>
        <v>0</v>
      </c>
      <c r="K3228" s="16">
        <f t="shared" si="1"/>
        <v>0</v>
      </c>
      <c r="L3228" s="16">
        <f t="shared" si="2"/>
        <v>0</v>
      </c>
    </row>
    <row r="3229" ht="16.5" customHeight="1">
      <c r="A3229" s="15" t="str">
        <f>Solieusap!A3229</f>
        <v/>
      </c>
      <c r="B3229" s="15" t="str">
        <f>Solieusap!B3229</f>
        <v/>
      </c>
      <c r="C3229" s="15" t="str">
        <f>Solieusap!C3229</f>
        <v/>
      </c>
      <c r="D3229" s="15" t="str">
        <f>Solieusap!D3229</f>
        <v/>
      </c>
      <c r="E3229" s="16">
        <f>ABS(Solieusap!E3229)</f>
        <v>0</v>
      </c>
      <c r="F3229" s="16">
        <f>ABS(Solieusap!F3229)</f>
        <v>0</v>
      </c>
      <c r="G3229" s="16">
        <f>ABS(Solieusap!G3229)</f>
        <v>0</v>
      </c>
      <c r="H3229" s="16">
        <f>ABS(Solieusap!H3229)</f>
        <v>0</v>
      </c>
      <c r="I3229" s="16">
        <f>ABS(Solieusap!I3229)</f>
        <v>0</v>
      </c>
      <c r="J3229" s="16">
        <f>ABS(Solieusap!J3229)</f>
        <v>0</v>
      </c>
      <c r="K3229" s="16">
        <f t="shared" si="1"/>
        <v>0</v>
      </c>
      <c r="L3229" s="16">
        <f t="shared" si="2"/>
        <v>0</v>
      </c>
    </row>
    <row r="3230" ht="16.5" customHeight="1">
      <c r="A3230" s="15" t="str">
        <f>Solieusap!A3230</f>
        <v/>
      </c>
      <c r="B3230" s="15" t="str">
        <f>Solieusap!B3230</f>
        <v/>
      </c>
      <c r="C3230" s="15" t="str">
        <f>Solieusap!C3230</f>
        <v/>
      </c>
      <c r="D3230" s="15" t="str">
        <f>Solieusap!D3230</f>
        <v/>
      </c>
      <c r="E3230" s="16">
        <f>ABS(Solieusap!E3230)</f>
        <v>0</v>
      </c>
      <c r="F3230" s="16">
        <f>ABS(Solieusap!F3230)</f>
        <v>0</v>
      </c>
      <c r="G3230" s="16">
        <f>ABS(Solieusap!G3230)</f>
        <v>0</v>
      </c>
      <c r="H3230" s="16">
        <f>ABS(Solieusap!H3230)</f>
        <v>0</v>
      </c>
      <c r="I3230" s="16">
        <f>ABS(Solieusap!I3230)</f>
        <v>0</v>
      </c>
      <c r="J3230" s="16">
        <f>ABS(Solieusap!J3230)</f>
        <v>0</v>
      </c>
      <c r="K3230" s="16">
        <f t="shared" si="1"/>
        <v>0</v>
      </c>
      <c r="L3230" s="16">
        <f t="shared" si="2"/>
        <v>0</v>
      </c>
    </row>
    <row r="3231" ht="16.5" customHeight="1">
      <c r="A3231" s="15" t="str">
        <f>Solieusap!A3231</f>
        <v/>
      </c>
      <c r="B3231" s="15" t="str">
        <f>Solieusap!B3231</f>
        <v/>
      </c>
      <c r="C3231" s="15" t="str">
        <f>Solieusap!C3231</f>
        <v/>
      </c>
      <c r="D3231" s="15" t="str">
        <f>Solieusap!D3231</f>
        <v/>
      </c>
      <c r="E3231" s="16">
        <f>ABS(Solieusap!E3231)</f>
        <v>0</v>
      </c>
      <c r="F3231" s="16">
        <f>ABS(Solieusap!F3231)</f>
        <v>0</v>
      </c>
      <c r="G3231" s="16">
        <f>ABS(Solieusap!G3231)</f>
        <v>0</v>
      </c>
      <c r="H3231" s="16">
        <f>ABS(Solieusap!H3231)</f>
        <v>0</v>
      </c>
      <c r="I3231" s="16">
        <f>ABS(Solieusap!I3231)</f>
        <v>0</v>
      </c>
      <c r="J3231" s="16">
        <f>ABS(Solieusap!J3231)</f>
        <v>0</v>
      </c>
      <c r="K3231" s="16">
        <f t="shared" si="1"/>
        <v>0</v>
      </c>
      <c r="L3231" s="16">
        <f t="shared" si="2"/>
        <v>0</v>
      </c>
    </row>
    <row r="3232" ht="16.5" customHeight="1">
      <c r="A3232" s="15" t="str">
        <f>Solieusap!A3232</f>
        <v/>
      </c>
      <c r="B3232" s="15" t="str">
        <f>Solieusap!B3232</f>
        <v/>
      </c>
      <c r="C3232" s="15" t="str">
        <f>Solieusap!C3232</f>
        <v/>
      </c>
      <c r="D3232" s="15" t="str">
        <f>Solieusap!D3232</f>
        <v/>
      </c>
      <c r="E3232" s="16">
        <f>ABS(Solieusap!E3232)</f>
        <v>0</v>
      </c>
      <c r="F3232" s="16">
        <f>ABS(Solieusap!F3232)</f>
        <v>0</v>
      </c>
      <c r="G3232" s="16">
        <f>ABS(Solieusap!G3232)</f>
        <v>0</v>
      </c>
      <c r="H3232" s="16">
        <f>ABS(Solieusap!H3232)</f>
        <v>0</v>
      </c>
      <c r="I3232" s="16">
        <f>ABS(Solieusap!I3232)</f>
        <v>0</v>
      </c>
      <c r="J3232" s="16">
        <f>ABS(Solieusap!J3232)</f>
        <v>0</v>
      </c>
      <c r="K3232" s="16">
        <f t="shared" si="1"/>
        <v>0</v>
      </c>
      <c r="L3232" s="16">
        <f t="shared" si="2"/>
        <v>0</v>
      </c>
    </row>
    <row r="3233" ht="16.5" customHeight="1">
      <c r="A3233" s="15" t="str">
        <f>Solieusap!A3233</f>
        <v/>
      </c>
      <c r="B3233" s="15" t="str">
        <f>Solieusap!B3233</f>
        <v/>
      </c>
      <c r="C3233" s="15" t="str">
        <f>Solieusap!C3233</f>
        <v/>
      </c>
      <c r="D3233" s="15" t="str">
        <f>Solieusap!D3233</f>
        <v/>
      </c>
      <c r="E3233" s="16">
        <f>ABS(Solieusap!E3233)</f>
        <v>0</v>
      </c>
      <c r="F3233" s="16">
        <f>ABS(Solieusap!F3233)</f>
        <v>0</v>
      </c>
      <c r="G3233" s="16">
        <f>ABS(Solieusap!G3233)</f>
        <v>0</v>
      </c>
      <c r="H3233" s="16">
        <f>ABS(Solieusap!H3233)</f>
        <v>0</v>
      </c>
      <c r="I3233" s="16">
        <f>ABS(Solieusap!I3233)</f>
        <v>0</v>
      </c>
      <c r="J3233" s="16">
        <f>ABS(Solieusap!J3233)</f>
        <v>0</v>
      </c>
      <c r="K3233" s="16">
        <f t="shared" si="1"/>
        <v>0</v>
      </c>
      <c r="L3233" s="16">
        <f t="shared" si="2"/>
        <v>0</v>
      </c>
    </row>
    <row r="3234" ht="16.5" customHeight="1">
      <c r="A3234" s="15" t="str">
        <f>Solieusap!A3234</f>
        <v/>
      </c>
      <c r="B3234" s="15" t="str">
        <f>Solieusap!B3234</f>
        <v/>
      </c>
      <c r="C3234" s="15" t="str">
        <f>Solieusap!C3234</f>
        <v/>
      </c>
      <c r="D3234" s="15" t="str">
        <f>Solieusap!D3234</f>
        <v/>
      </c>
      <c r="E3234" s="16">
        <f>ABS(Solieusap!E3234)</f>
        <v>0</v>
      </c>
      <c r="F3234" s="16">
        <f>ABS(Solieusap!F3234)</f>
        <v>0</v>
      </c>
      <c r="G3234" s="16">
        <f>ABS(Solieusap!G3234)</f>
        <v>0</v>
      </c>
      <c r="H3234" s="16">
        <f>ABS(Solieusap!H3234)</f>
        <v>0</v>
      </c>
      <c r="I3234" s="16">
        <f>ABS(Solieusap!I3234)</f>
        <v>0</v>
      </c>
      <c r="J3234" s="16">
        <f>ABS(Solieusap!J3234)</f>
        <v>0</v>
      </c>
      <c r="K3234" s="16">
        <f t="shared" si="1"/>
        <v>0</v>
      </c>
      <c r="L3234" s="16">
        <f t="shared" si="2"/>
        <v>0</v>
      </c>
    </row>
    <row r="3235" ht="16.5" customHeight="1">
      <c r="A3235" s="15" t="str">
        <f>Solieusap!A3235</f>
        <v/>
      </c>
      <c r="B3235" s="15" t="str">
        <f>Solieusap!B3235</f>
        <v/>
      </c>
      <c r="C3235" s="15" t="str">
        <f>Solieusap!C3235</f>
        <v/>
      </c>
      <c r="D3235" s="15" t="str">
        <f>Solieusap!D3235</f>
        <v/>
      </c>
      <c r="E3235" s="16">
        <f>ABS(Solieusap!E3235)</f>
        <v>0</v>
      </c>
      <c r="F3235" s="16">
        <f>ABS(Solieusap!F3235)</f>
        <v>0</v>
      </c>
      <c r="G3235" s="16">
        <f>ABS(Solieusap!G3235)</f>
        <v>0</v>
      </c>
      <c r="H3235" s="16">
        <f>ABS(Solieusap!H3235)</f>
        <v>0</v>
      </c>
      <c r="I3235" s="16">
        <f>ABS(Solieusap!I3235)</f>
        <v>0</v>
      </c>
      <c r="J3235" s="16">
        <f>ABS(Solieusap!J3235)</f>
        <v>0</v>
      </c>
      <c r="K3235" s="16">
        <f t="shared" si="1"/>
        <v>0</v>
      </c>
      <c r="L3235" s="16">
        <f t="shared" si="2"/>
        <v>0</v>
      </c>
    </row>
    <row r="3236" ht="16.5" customHeight="1">
      <c r="A3236" s="15" t="str">
        <f>Solieusap!A3236</f>
        <v/>
      </c>
      <c r="B3236" s="15" t="str">
        <f>Solieusap!B3236</f>
        <v/>
      </c>
      <c r="C3236" s="15" t="str">
        <f>Solieusap!C3236</f>
        <v/>
      </c>
      <c r="D3236" s="15" t="str">
        <f>Solieusap!D3236</f>
        <v/>
      </c>
      <c r="E3236" s="16">
        <f>ABS(Solieusap!E3236)</f>
        <v>0</v>
      </c>
      <c r="F3236" s="16">
        <f>ABS(Solieusap!F3236)</f>
        <v>0</v>
      </c>
      <c r="G3236" s="16">
        <f>ABS(Solieusap!G3236)</f>
        <v>0</v>
      </c>
      <c r="H3236" s="16">
        <f>ABS(Solieusap!H3236)</f>
        <v>0</v>
      </c>
      <c r="I3236" s="16">
        <f>ABS(Solieusap!I3236)</f>
        <v>0</v>
      </c>
      <c r="J3236" s="16">
        <f>ABS(Solieusap!J3236)</f>
        <v>0</v>
      </c>
      <c r="K3236" s="16">
        <f t="shared" si="1"/>
        <v>0</v>
      </c>
      <c r="L3236" s="16">
        <f t="shared" si="2"/>
        <v>0</v>
      </c>
    </row>
    <row r="3237" ht="16.5" customHeight="1">
      <c r="A3237" s="15" t="str">
        <f>Solieusap!A3237</f>
        <v/>
      </c>
      <c r="B3237" s="15" t="str">
        <f>Solieusap!B3237</f>
        <v/>
      </c>
      <c r="C3237" s="15" t="str">
        <f>Solieusap!C3237</f>
        <v/>
      </c>
      <c r="D3237" s="15" t="str">
        <f>Solieusap!D3237</f>
        <v/>
      </c>
      <c r="E3237" s="16">
        <f>ABS(Solieusap!E3237)</f>
        <v>0</v>
      </c>
      <c r="F3237" s="16">
        <f>ABS(Solieusap!F3237)</f>
        <v>0</v>
      </c>
      <c r="G3237" s="16">
        <f>ABS(Solieusap!G3237)</f>
        <v>0</v>
      </c>
      <c r="H3237" s="16">
        <f>ABS(Solieusap!H3237)</f>
        <v>0</v>
      </c>
      <c r="I3237" s="16">
        <f>ABS(Solieusap!I3237)</f>
        <v>0</v>
      </c>
      <c r="J3237" s="16">
        <f>ABS(Solieusap!J3237)</f>
        <v>0</v>
      </c>
      <c r="K3237" s="16">
        <f t="shared" si="1"/>
        <v>0</v>
      </c>
      <c r="L3237" s="16">
        <f t="shared" si="2"/>
        <v>0</v>
      </c>
    </row>
    <row r="3238" ht="16.5" customHeight="1">
      <c r="A3238" s="15" t="str">
        <f>Solieusap!A3238</f>
        <v/>
      </c>
      <c r="B3238" s="15" t="str">
        <f>Solieusap!B3238</f>
        <v/>
      </c>
      <c r="C3238" s="15" t="str">
        <f>Solieusap!C3238</f>
        <v/>
      </c>
      <c r="D3238" s="15" t="str">
        <f>Solieusap!D3238</f>
        <v/>
      </c>
      <c r="E3238" s="16">
        <f>ABS(Solieusap!E3238)</f>
        <v>0</v>
      </c>
      <c r="F3238" s="16">
        <f>ABS(Solieusap!F3238)</f>
        <v>0</v>
      </c>
      <c r="G3238" s="16">
        <f>ABS(Solieusap!G3238)</f>
        <v>0</v>
      </c>
      <c r="H3238" s="16">
        <f>ABS(Solieusap!H3238)</f>
        <v>0</v>
      </c>
      <c r="I3238" s="16">
        <f>ABS(Solieusap!I3238)</f>
        <v>0</v>
      </c>
      <c r="J3238" s="16">
        <f>ABS(Solieusap!J3238)</f>
        <v>0</v>
      </c>
      <c r="K3238" s="16">
        <f t="shared" si="1"/>
        <v>0</v>
      </c>
      <c r="L3238" s="16">
        <f t="shared" si="2"/>
        <v>0</v>
      </c>
    </row>
    <row r="3239" ht="16.5" customHeight="1">
      <c r="A3239" s="15" t="str">
        <f>Solieusap!A3239</f>
        <v/>
      </c>
      <c r="B3239" s="15" t="str">
        <f>Solieusap!B3239</f>
        <v/>
      </c>
      <c r="C3239" s="15" t="str">
        <f>Solieusap!C3239</f>
        <v/>
      </c>
      <c r="D3239" s="15" t="str">
        <f>Solieusap!D3239</f>
        <v/>
      </c>
      <c r="E3239" s="16">
        <f>ABS(Solieusap!E3239)</f>
        <v>0</v>
      </c>
      <c r="F3239" s="16">
        <f>ABS(Solieusap!F3239)</f>
        <v>0</v>
      </c>
      <c r="G3239" s="16">
        <f>ABS(Solieusap!G3239)</f>
        <v>0</v>
      </c>
      <c r="H3239" s="16">
        <f>ABS(Solieusap!H3239)</f>
        <v>0</v>
      </c>
      <c r="I3239" s="16">
        <f>ABS(Solieusap!I3239)</f>
        <v>0</v>
      </c>
      <c r="J3239" s="16">
        <f>ABS(Solieusap!J3239)</f>
        <v>0</v>
      </c>
      <c r="K3239" s="16">
        <f t="shared" si="1"/>
        <v>0</v>
      </c>
      <c r="L3239" s="16">
        <f t="shared" si="2"/>
        <v>0</v>
      </c>
    </row>
    <row r="3240" ht="16.5" customHeight="1">
      <c r="A3240" s="15" t="str">
        <f>Solieusap!A3240</f>
        <v/>
      </c>
      <c r="B3240" s="15" t="str">
        <f>Solieusap!B3240</f>
        <v/>
      </c>
      <c r="C3240" s="15" t="str">
        <f>Solieusap!C3240</f>
        <v/>
      </c>
      <c r="D3240" s="15" t="str">
        <f>Solieusap!D3240</f>
        <v/>
      </c>
      <c r="E3240" s="16">
        <f>ABS(Solieusap!E3240)</f>
        <v>0</v>
      </c>
      <c r="F3240" s="16">
        <f>ABS(Solieusap!F3240)</f>
        <v>0</v>
      </c>
      <c r="G3240" s="16">
        <f>ABS(Solieusap!G3240)</f>
        <v>0</v>
      </c>
      <c r="H3240" s="16">
        <f>ABS(Solieusap!H3240)</f>
        <v>0</v>
      </c>
      <c r="I3240" s="16">
        <f>ABS(Solieusap!I3240)</f>
        <v>0</v>
      </c>
      <c r="J3240" s="16">
        <f>ABS(Solieusap!J3240)</f>
        <v>0</v>
      </c>
      <c r="K3240" s="16">
        <f t="shared" si="1"/>
        <v>0</v>
      </c>
      <c r="L3240" s="16">
        <f t="shared" si="2"/>
        <v>0</v>
      </c>
    </row>
    <row r="3241" ht="16.5" customHeight="1">
      <c r="A3241" s="15" t="str">
        <f>Solieusap!A3241</f>
        <v/>
      </c>
      <c r="B3241" s="15" t="str">
        <f>Solieusap!B3241</f>
        <v/>
      </c>
      <c r="C3241" s="15" t="str">
        <f>Solieusap!C3241</f>
        <v/>
      </c>
      <c r="D3241" s="15" t="str">
        <f>Solieusap!D3241</f>
        <v/>
      </c>
      <c r="E3241" s="16">
        <f>ABS(Solieusap!E3241)</f>
        <v>0</v>
      </c>
      <c r="F3241" s="16">
        <f>ABS(Solieusap!F3241)</f>
        <v>0</v>
      </c>
      <c r="G3241" s="16">
        <f>ABS(Solieusap!G3241)</f>
        <v>0</v>
      </c>
      <c r="H3241" s="16">
        <f>ABS(Solieusap!H3241)</f>
        <v>0</v>
      </c>
      <c r="I3241" s="16">
        <f>ABS(Solieusap!I3241)</f>
        <v>0</v>
      </c>
      <c r="J3241" s="16">
        <f>ABS(Solieusap!J3241)</f>
        <v>0</v>
      </c>
      <c r="K3241" s="16">
        <f t="shared" si="1"/>
        <v>0</v>
      </c>
      <c r="L3241" s="16">
        <f t="shared" si="2"/>
        <v>0</v>
      </c>
    </row>
    <row r="3242" ht="16.5" customHeight="1">
      <c r="A3242" s="15" t="str">
        <f>Solieusap!A3242</f>
        <v/>
      </c>
      <c r="B3242" s="15" t="str">
        <f>Solieusap!B3242</f>
        <v/>
      </c>
      <c r="C3242" s="15" t="str">
        <f>Solieusap!C3242</f>
        <v/>
      </c>
      <c r="D3242" s="15" t="str">
        <f>Solieusap!D3242</f>
        <v/>
      </c>
      <c r="E3242" s="16">
        <f>ABS(Solieusap!E3242)</f>
        <v>0</v>
      </c>
      <c r="F3242" s="16">
        <f>ABS(Solieusap!F3242)</f>
        <v>0</v>
      </c>
      <c r="G3242" s="16">
        <f>ABS(Solieusap!G3242)</f>
        <v>0</v>
      </c>
      <c r="H3242" s="16">
        <f>ABS(Solieusap!H3242)</f>
        <v>0</v>
      </c>
      <c r="I3242" s="16">
        <f>ABS(Solieusap!I3242)</f>
        <v>0</v>
      </c>
      <c r="J3242" s="16">
        <f>ABS(Solieusap!J3242)</f>
        <v>0</v>
      </c>
      <c r="K3242" s="16">
        <f t="shared" si="1"/>
        <v>0</v>
      </c>
      <c r="L3242" s="16">
        <f t="shared" si="2"/>
        <v>0</v>
      </c>
    </row>
    <row r="3243" ht="16.5" customHeight="1">
      <c r="A3243" s="15" t="str">
        <f>Solieusap!A3243</f>
        <v/>
      </c>
      <c r="B3243" s="15" t="str">
        <f>Solieusap!B3243</f>
        <v/>
      </c>
      <c r="C3243" s="15" t="str">
        <f>Solieusap!C3243</f>
        <v/>
      </c>
      <c r="D3243" s="15" t="str">
        <f>Solieusap!D3243</f>
        <v/>
      </c>
      <c r="E3243" s="16">
        <f>ABS(Solieusap!E3243)</f>
        <v>0</v>
      </c>
      <c r="F3243" s="16">
        <f>ABS(Solieusap!F3243)</f>
        <v>0</v>
      </c>
      <c r="G3243" s="16">
        <f>ABS(Solieusap!G3243)</f>
        <v>0</v>
      </c>
      <c r="H3243" s="16">
        <f>ABS(Solieusap!H3243)</f>
        <v>0</v>
      </c>
      <c r="I3243" s="16">
        <f>ABS(Solieusap!I3243)</f>
        <v>0</v>
      </c>
      <c r="J3243" s="16">
        <f>ABS(Solieusap!J3243)</f>
        <v>0</v>
      </c>
      <c r="K3243" s="16">
        <f t="shared" si="1"/>
        <v>0</v>
      </c>
      <c r="L3243" s="16">
        <f t="shared" si="2"/>
        <v>0</v>
      </c>
    </row>
    <row r="3244" ht="16.5" customHeight="1">
      <c r="A3244" s="15" t="str">
        <f>Solieusap!A3244</f>
        <v/>
      </c>
      <c r="B3244" s="15" t="str">
        <f>Solieusap!B3244</f>
        <v/>
      </c>
      <c r="C3244" s="15" t="str">
        <f>Solieusap!C3244</f>
        <v/>
      </c>
      <c r="D3244" s="15" t="str">
        <f>Solieusap!D3244</f>
        <v/>
      </c>
      <c r="E3244" s="16">
        <f>ABS(Solieusap!E3244)</f>
        <v>0</v>
      </c>
      <c r="F3244" s="16">
        <f>ABS(Solieusap!F3244)</f>
        <v>0</v>
      </c>
      <c r="G3244" s="16">
        <f>ABS(Solieusap!G3244)</f>
        <v>0</v>
      </c>
      <c r="H3244" s="16">
        <f>ABS(Solieusap!H3244)</f>
        <v>0</v>
      </c>
      <c r="I3244" s="16">
        <f>ABS(Solieusap!I3244)</f>
        <v>0</v>
      </c>
      <c r="J3244" s="16">
        <f>ABS(Solieusap!J3244)</f>
        <v>0</v>
      </c>
      <c r="K3244" s="16">
        <f t="shared" si="1"/>
        <v>0</v>
      </c>
      <c r="L3244" s="16">
        <f t="shared" si="2"/>
        <v>0</v>
      </c>
    </row>
    <row r="3245" ht="16.5" customHeight="1">
      <c r="A3245" s="15" t="str">
        <f>Solieusap!A3245</f>
        <v/>
      </c>
      <c r="B3245" s="15" t="str">
        <f>Solieusap!B3245</f>
        <v/>
      </c>
      <c r="C3245" s="15" t="str">
        <f>Solieusap!C3245</f>
        <v/>
      </c>
      <c r="D3245" s="15" t="str">
        <f>Solieusap!D3245</f>
        <v/>
      </c>
      <c r="E3245" s="16">
        <f>ABS(Solieusap!E3245)</f>
        <v>0</v>
      </c>
      <c r="F3245" s="16">
        <f>ABS(Solieusap!F3245)</f>
        <v>0</v>
      </c>
      <c r="G3245" s="16">
        <f>ABS(Solieusap!G3245)</f>
        <v>0</v>
      </c>
      <c r="H3245" s="16">
        <f>ABS(Solieusap!H3245)</f>
        <v>0</v>
      </c>
      <c r="I3245" s="16">
        <f>ABS(Solieusap!I3245)</f>
        <v>0</v>
      </c>
      <c r="J3245" s="16">
        <f>ABS(Solieusap!J3245)</f>
        <v>0</v>
      </c>
      <c r="K3245" s="16">
        <f t="shared" si="1"/>
        <v>0</v>
      </c>
      <c r="L3245" s="16">
        <f t="shared" si="2"/>
        <v>0</v>
      </c>
    </row>
    <row r="3246" ht="16.5" customHeight="1">
      <c r="A3246" s="15" t="str">
        <f>Solieusap!A3246</f>
        <v/>
      </c>
      <c r="B3246" s="15" t="str">
        <f>Solieusap!B3246</f>
        <v/>
      </c>
      <c r="C3246" s="15" t="str">
        <f>Solieusap!C3246</f>
        <v/>
      </c>
      <c r="D3246" s="15" t="str">
        <f>Solieusap!D3246</f>
        <v/>
      </c>
      <c r="E3246" s="16">
        <f>ABS(Solieusap!E3246)</f>
        <v>0</v>
      </c>
      <c r="F3246" s="16">
        <f>ABS(Solieusap!F3246)</f>
        <v>0</v>
      </c>
      <c r="G3246" s="16">
        <f>ABS(Solieusap!G3246)</f>
        <v>0</v>
      </c>
      <c r="H3246" s="16">
        <f>ABS(Solieusap!H3246)</f>
        <v>0</v>
      </c>
      <c r="I3246" s="16">
        <f>ABS(Solieusap!I3246)</f>
        <v>0</v>
      </c>
      <c r="J3246" s="16">
        <f>ABS(Solieusap!J3246)</f>
        <v>0</v>
      </c>
      <c r="K3246" s="16">
        <f t="shared" si="1"/>
        <v>0</v>
      </c>
      <c r="L3246" s="16">
        <f t="shared" si="2"/>
        <v>0</v>
      </c>
    </row>
    <row r="3247" ht="16.5" customHeight="1">
      <c r="A3247" s="15" t="str">
        <f>Solieusap!A3247</f>
        <v/>
      </c>
      <c r="B3247" s="15" t="str">
        <f>Solieusap!B3247</f>
        <v/>
      </c>
      <c r="C3247" s="15" t="str">
        <f>Solieusap!C3247</f>
        <v/>
      </c>
      <c r="D3247" s="15" t="str">
        <f>Solieusap!D3247</f>
        <v/>
      </c>
      <c r="E3247" s="16">
        <f>ABS(Solieusap!E3247)</f>
        <v>0</v>
      </c>
      <c r="F3247" s="16">
        <f>ABS(Solieusap!F3247)</f>
        <v>0</v>
      </c>
      <c r="G3247" s="16">
        <f>ABS(Solieusap!G3247)</f>
        <v>0</v>
      </c>
      <c r="H3247" s="16">
        <f>ABS(Solieusap!H3247)</f>
        <v>0</v>
      </c>
      <c r="I3247" s="16">
        <f>ABS(Solieusap!I3247)</f>
        <v>0</v>
      </c>
      <c r="J3247" s="16">
        <f>ABS(Solieusap!J3247)</f>
        <v>0</v>
      </c>
      <c r="K3247" s="16">
        <f t="shared" si="1"/>
        <v>0</v>
      </c>
      <c r="L3247" s="16">
        <f t="shared" si="2"/>
        <v>0</v>
      </c>
    </row>
    <row r="3248" ht="16.5" customHeight="1">
      <c r="A3248" s="15" t="str">
        <f>Solieusap!A3248</f>
        <v/>
      </c>
      <c r="B3248" s="15" t="str">
        <f>Solieusap!B3248</f>
        <v/>
      </c>
      <c r="C3248" s="15" t="str">
        <f>Solieusap!C3248</f>
        <v/>
      </c>
      <c r="D3248" s="15" t="str">
        <f>Solieusap!D3248</f>
        <v/>
      </c>
      <c r="E3248" s="16">
        <f>ABS(Solieusap!E3248)</f>
        <v>0</v>
      </c>
      <c r="F3248" s="16">
        <f>ABS(Solieusap!F3248)</f>
        <v>0</v>
      </c>
      <c r="G3248" s="16">
        <f>ABS(Solieusap!G3248)</f>
        <v>0</v>
      </c>
      <c r="H3248" s="16">
        <f>ABS(Solieusap!H3248)</f>
        <v>0</v>
      </c>
      <c r="I3248" s="16">
        <f>ABS(Solieusap!I3248)</f>
        <v>0</v>
      </c>
      <c r="J3248" s="16">
        <f>ABS(Solieusap!J3248)</f>
        <v>0</v>
      </c>
      <c r="K3248" s="16">
        <f t="shared" si="1"/>
        <v>0</v>
      </c>
      <c r="L3248" s="16">
        <f t="shared" si="2"/>
        <v>0</v>
      </c>
    </row>
    <row r="3249" ht="16.5" customHeight="1">
      <c r="A3249" s="15" t="str">
        <f>Solieusap!A3249</f>
        <v/>
      </c>
      <c r="B3249" s="15" t="str">
        <f>Solieusap!B3249</f>
        <v/>
      </c>
      <c r="C3249" s="15" t="str">
        <f>Solieusap!C3249</f>
        <v/>
      </c>
      <c r="D3249" s="15" t="str">
        <f>Solieusap!D3249</f>
        <v/>
      </c>
      <c r="E3249" s="16">
        <f>ABS(Solieusap!E3249)</f>
        <v>0</v>
      </c>
      <c r="F3249" s="16">
        <f>ABS(Solieusap!F3249)</f>
        <v>0</v>
      </c>
      <c r="G3249" s="16">
        <f>ABS(Solieusap!G3249)</f>
        <v>0</v>
      </c>
      <c r="H3249" s="16">
        <f>ABS(Solieusap!H3249)</f>
        <v>0</v>
      </c>
      <c r="I3249" s="16">
        <f>ABS(Solieusap!I3249)</f>
        <v>0</v>
      </c>
      <c r="J3249" s="16">
        <f>ABS(Solieusap!J3249)</f>
        <v>0</v>
      </c>
      <c r="K3249" s="16">
        <f t="shared" si="1"/>
        <v>0</v>
      </c>
      <c r="L3249" s="16">
        <f t="shared" si="2"/>
        <v>0</v>
      </c>
    </row>
    <row r="3250" ht="16.5" customHeight="1">
      <c r="A3250" s="15" t="str">
        <f>Solieusap!A3250</f>
        <v/>
      </c>
      <c r="B3250" s="15" t="str">
        <f>Solieusap!B3250</f>
        <v/>
      </c>
      <c r="C3250" s="15" t="str">
        <f>Solieusap!C3250</f>
        <v/>
      </c>
      <c r="D3250" s="15" t="str">
        <f>Solieusap!D3250</f>
        <v/>
      </c>
      <c r="E3250" s="16">
        <f>ABS(Solieusap!E3250)</f>
        <v>0</v>
      </c>
      <c r="F3250" s="16">
        <f>ABS(Solieusap!F3250)</f>
        <v>0</v>
      </c>
      <c r="G3250" s="16">
        <f>ABS(Solieusap!G3250)</f>
        <v>0</v>
      </c>
      <c r="H3250" s="16">
        <f>ABS(Solieusap!H3250)</f>
        <v>0</v>
      </c>
      <c r="I3250" s="16">
        <f>ABS(Solieusap!I3250)</f>
        <v>0</v>
      </c>
      <c r="J3250" s="16">
        <f>ABS(Solieusap!J3250)</f>
        <v>0</v>
      </c>
      <c r="K3250" s="16">
        <f t="shared" si="1"/>
        <v>0</v>
      </c>
      <c r="L3250" s="16">
        <f t="shared" si="2"/>
        <v>0</v>
      </c>
    </row>
    <row r="3251" ht="16.5" customHeight="1">
      <c r="A3251" s="15" t="str">
        <f>Solieusap!A3251</f>
        <v/>
      </c>
      <c r="B3251" s="15" t="str">
        <f>Solieusap!B3251</f>
        <v/>
      </c>
      <c r="C3251" s="15" t="str">
        <f>Solieusap!C3251</f>
        <v/>
      </c>
      <c r="D3251" s="15" t="str">
        <f>Solieusap!D3251</f>
        <v/>
      </c>
      <c r="E3251" s="16">
        <f>ABS(Solieusap!E3251)</f>
        <v>0</v>
      </c>
      <c r="F3251" s="16">
        <f>ABS(Solieusap!F3251)</f>
        <v>0</v>
      </c>
      <c r="G3251" s="16">
        <f>ABS(Solieusap!G3251)</f>
        <v>0</v>
      </c>
      <c r="H3251" s="16">
        <f>ABS(Solieusap!H3251)</f>
        <v>0</v>
      </c>
      <c r="I3251" s="16">
        <f>ABS(Solieusap!I3251)</f>
        <v>0</v>
      </c>
      <c r="J3251" s="16">
        <f>ABS(Solieusap!J3251)</f>
        <v>0</v>
      </c>
      <c r="K3251" s="16">
        <f t="shared" si="1"/>
        <v>0</v>
      </c>
      <c r="L3251" s="16">
        <f t="shared" si="2"/>
        <v>0</v>
      </c>
    </row>
    <row r="3252" ht="16.5" customHeight="1">
      <c r="A3252" s="15" t="str">
        <f>Solieusap!A3252</f>
        <v/>
      </c>
      <c r="B3252" s="15" t="str">
        <f>Solieusap!B3252</f>
        <v/>
      </c>
      <c r="C3252" s="15" t="str">
        <f>Solieusap!C3252</f>
        <v/>
      </c>
      <c r="D3252" s="15" t="str">
        <f>Solieusap!D3252</f>
        <v/>
      </c>
      <c r="E3252" s="16">
        <f>ABS(Solieusap!E3252)</f>
        <v>0</v>
      </c>
      <c r="F3252" s="16">
        <f>ABS(Solieusap!F3252)</f>
        <v>0</v>
      </c>
      <c r="G3252" s="16">
        <f>ABS(Solieusap!G3252)</f>
        <v>0</v>
      </c>
      <c r="H3252" s="16">
        <f>ABS(Solieusap!H3252)</f>
        <v>0</v>
      </c>
      <c r="I3252" s="16">
        <f>ABS(Solieusap!I3252)</f>
        <v>0</v>
      </c>
      <c r="J3252" s="16">
        <f>ABS(Solieusap!J3252)</f>
        <v>0</v>
      </c>
      <c r="K3252" s="16">
        <f t="shared" si="1"/>
        <v>0</v>
      </c>
      <c r="L3252" s="16">
        <f t="shared" si="2"/>
        <v>0</v>
      </c>
    </row>
    <row r="3253" ht="16.5" customHeight="1">
      <c r="A3253" s="15" t="str">
        <f>Solieusap!A3253</f>
        <v/>
      </c>
      <c r="B3253" s="15" t="str">
        <f>Solieusap!B3253</f>
        <v/>
      </c>
      <c r="C3253" s="15" t="str">
        <f>Solieusap!C3253</f>
        <v/>
      </c>
      <c r="D3253" s="15" t="str">
        <f>Solieusap!D3253</f>
        <v/>
      </c>
      <c r="E3253" s="16">
        <f>ABS(Solieusap!E3253)</f>
        <v>0</v>
      </c>
      <c r="F3253" s="16">
        <f>ABS(Solieusap!F3253)</f>
        <v>0</v>
      </c>
      <c r="G3253" s="16">
        <f>ABS(Solieusap!G3253)</f>
        <v>0</v>
      </c>
      <c r="H3253" s="16">
        <f>ABS(Solieusap!H3253)</f>
        <v>0</v>
      </c>
      <c r="I3253" s="16">
        <f>ABS(Solieusap!I3253)</f>
        <v>0</v>
      </c>
      <c r="J3253" s="16">
        <f>ABS(Solieusap!J3253)</f>
        <v>0</v>
      </c>
      <c r="K3253" s="16">
        <f t="shared" si="1"/>
        <v>0</v>
      </c>
      <c r="L3253" s="16">
        <f t="shared" si="2"/>
        <v>0</v>
      </c>
    </row>
    <row r="3254" ht="16.5" customHeight="1">
      <c r="A3254" s="15" t="str">
        <f>Solieusap!A3254</f>
        <v/>
      </c>
      <c r="B3254" s="15" t="str">
        <f>Solieusap!B3254</f>
        <v/>
      </c>
      <c r="C3254" s="15" t="str">
        <f>Solieusap!C3254</f>
        <v/>
      </c>
      <c r="D3254" s="15" t="str">
        <f>Solieusap!D3254</f>
        <v/>
      </c>
      <c r="E3254" s="16">
        <f>ABS(Solieusap!E3254)</f>
        <v>0</v>
      </c>
      <c r="F3254" s="16">
        <f>ABS(Solieusap!F3254)</f>
        <v>0</v>
      </c>
      <c r="G3254" s="16">
        <f>ABS(Solieusap!G3254)</f>
        <v>0</v>
      </c>
      <c r="H3254" s="16">
        <f>ABS(Solieusap!H3254)</f>
        <v>0</v>
      </c>
      <c r="I3254" s="16">
        <f>ABS(Solieusap!I3254)</f>
        <v>0</v>
      </c>
      <c r="J3254" s="16">
        <f>ABS(Solieusap!J3254)</f>
        <v>0</v>
      </c>
      <c r="K3254" s="16">
        <f t="shared" si="1"/>
        <v>0</v>
      </c>
      <c r="L3254" s="16">
        <f t="shared" si="2"/>
        <v>0</v>
      </c>
    </row>
    <row r="3255" ht="16.5" customHeight="1">
      <c r="A3255" s="15" t="str">
        <f>Solieusap!A3255</f>
        <v/>
      </c>
      <c r="B3255" s="15" t="str">
        <f>Solieusap!B3255</f>
        <v/>
      </c>
      <c r="C3255" s="15" t="str">
        <f>Solieusap!C3255</f>
        <v/>
      </c>
      <c r="D3255" s="15" t="str">
        <f>Solieusap!D3255</f>
        <v/>
      </c>
      <c r="E3255" s="16">
        <f>ABS(Solieusap!E3255)</f>
        <v>0</v>
      </c>
      <c r="F3255" s="16">
        <f>ABS(Solieusap!F3255)</f>
        <v>0</v>
      </c>
      <c r="G3255" s="16">
        <f>ABS(Solieusap!G3255)</f>
        <v>0</v>
      </c>
      <c r="H3255" s="16">
        <f>ABS(Solieusap!H3255)</f>
        <v>0</v>
      </c>
      <c r="I3255" s="16">
        <f>ABS(Solieusap!I3255)</f>
        <v>0</v>
      </c>
      <c r="J3255" s="16">
        <f>ABS(Solieusap!J3255)</f>
        <v>0</v>
      </c>
      <c r="K3255" s="16">
        <f t="shared" si="1"/>
        <v>0</v>
      </c>
      <c r="L3255" s="16">
        <f t="shared" si="2"/>
        <v>0</v>
      </c>
    </row>
    <row r="3256" ht="16.5" customHeight="1">
      <c r="A3256" s="15" t="str">
        <f>Solieusap!A3256</f>
        <v/>
      </c>
      <c r="B3256" s="15" t="str">
        <f>Solieusap!B3256</f>
        <v/>
      </c>
      <c r="C3256" s="15" t="str">
        <f>Solieusap!C3256</f>
        <v/>
      </c>
      <c r="D3256" s="15" t="str">
        <f>Solieusap!D3256</f>
        <v/>
      </c>
      <c r="E3256" s="16">
        <f>ABS(Solieusap!E3256)</f>
        <v>0</v>
      </c>
      <c r="F3256" s="16">
        <f>ABS(Solieusap!F3256)</f>
        <v>0</v>
      </c>
      <c r="G3256" s="16">
        <f>ABS(Solieusap!G3256)</f>
        <v>0</v>
      </c>
      <c r="H3256" s="16">
        <f>ABS(Solieusap!H3256)</f>
        <v>0</v>
      </c>
      <c r="I3256" s="16">
        <f>ABS(Solieusap!I3256)</f>
        <v>0</v>
      </c>
      <c r="J3256" s="16">
        <f>ABS(Solieusap!J3256)</f>
        <v>0</v>
      </c>
      <c r="K3256" s="16">
        <f t="shared" si="1"/>
        <v>0</v>
      </c>
      <c r="L3256" s="16">
        <f t="shared" si="2"/>
        <v>0</v>
      </c>
    </row>
    <row r="3257" ht="16.5" customHeight="1">
      <c r="A3257" s="15" t="str">
        <f>Solieusap!A3257</f>
        <v/>
      </c>
      <c r="B3257" s="15" t="str">
        <f>Solieusap!B3257</f>
        <v/>
      </c>
      <c r="C3257" s="15" t="str">
        <f>Solieusap!C3257</f>
        <v/>
      </c>
      <c r="D3257" s="15" t="str">
        <f>Solieusap!D3257</f>
        <v/>
      </c>
      <c r="E3257" s="16">
        <f>ABS(Solieusap!E3257)</f>
        <v>0</v>
      </c>
      <c r="F3257" s="16">
        <f>ABS(Solieusap!F3257)</f>
        <v>0</v>
      </c>
      <c r="G3257" s="16">
        <f>ABS(Solieusap!G3257)</f>
        <v>0</v>
      </c>
      <c r="H3257" s="16">
        <f>ABS(Solieusap!H3257)</f>
        <v>0</v>
      </c>
      <c r="I3257" s="16">
        <f>ABS(Solieusap!I3257)</f>
        <v>0</v>
      </c>
      <c r="J3257" s="16">
        <f>ABS(Solieusap!J3257)</f>
        <v>0</v>
      </c>
      <c r="K3257" s="16">
        <f t="shared" si="1"/>
        <v>0</v>
      </c>
      <c r="L3257" s="16">
        <f t="shared" si="2"/>
        <v>0</v>
      </c>
    </row>
    <row r="3258" ht="16.5" customHeight="1">
      <c r="A3258" s="15" t="str">
        <f>Solieusap!A3258</f>
        <v/>
      </c>
      <c r="B3258" s="15" t="str">
        <f>Solieusap!B3258</f>
        <v/>
      </c>
      <c r="C3258" s="15" t="str">
        <f>Solieusap!C3258</f>
        <v/>
      </c>
      <c r="D3258" s="15" t="str">
        <f>Solieusap!D3258</f>
        <v/>
      </c>
      <c r="E3258" s="16">
        <f>ABS(Solieusap!E3258)</f>
        <v>0</v>
      </c>
      <c r="F3258" s="16">
        <f>ABS(Solieusap!F3258)</f>
        <v>0</v>
      </c>
      <c r="G3258" s="16">
        <f>ABS(Solieusap!G3258)</f>
        <v>0</v>
      </c>
      <c r="H3258" s="16">
        <f>ABS(Solieusap!H3258)</f>
        <v>0</v>
      </c>
      <c r="I3258" s="16">
        <f>ABS(Solieusap!I3258)</f>
        <v>0</v>
      </c>
      <c r="J3258" s="16">
        <f>ABS(Solieusap!J3258)</f>
        <v>0</v>
      </c>
      <c r="K3258" s="16">
        <f t="shared" si="1"/>
        <v>0</v>
      </c>
      <c r="L3258" s="16">
        <f t="shared" si="2"/>
        <v>0</v>
      </c>
    </row>
    <row r="3259" ht="16.5" customHeight="1">
      <c r="A3259" s="15" t="str">
        <f>Solieusap!A3259</f>
        <v/>
      </c>
      <c r="B3259" s="15" t="str">
        <f>Solieusap!B3259</f>
        <v/>
      </c>
      <c r="C3259" s="15" t="str">
        <f>Solieusap!C3259</f>
        <v/>
      </c>
      <c r="D3259" s="15" t="str">
        <f>Solieusap!D3259</f>
        <v/>
      </c>
      <c r="E3259" s="16">
        <f>ABS(Solieusap!E3259)</f>
        <v>0</v>
      </c>
      <c r="F3259" s="16">
        <f>ABS(Solieusap!F3259)</f>
        <v>0</v>
      </c>
      <c r="G3259" s="16">
        <f>ABS(Solieusap!G3259)</f>
        <v>0</v>
      </c>
      <c r="H3259" s="16">
        <f>ABS(Solieusap!H3259)</f>
        <v>0</v>
      </c>
      <c r="I3259" s="16">
        <f>ABS(Solieusap!I3259)</f>
        <v>0</v>
      </c>
      <c r="J3259" s="16">
        <f>ABS(Solieusap!J3259)</f>
        <v>0</v>
      </c>
      <c r="K3259" s="16">
        <f t="shared" si="1"/>
        <v>0</v>
      </c>
      <c r="L3259" s="16">
        <f t="shared" si="2"/>
        <v>0</v>
      </c>
    </row>
    <row r="3260" ht="16.5" customHeight="1">
      <c r="A3260" s="15" t="str">
        <f>Solieusap!A3260</f>
        <v/>
      </c>
      <c r="B3260" s="15" t="str">
        <f>Solieusap!B3260</f>
        <v/>
      </c>
      <c r="C3260" s="15" t="str">
        <f>Solieusap!C3260</f>
        <v/>
      </c>
      <c r="D3260" s="15" t="str">
        <f>Solieusap!D3260</f>
        <v/>
      </c>
      <c r="E3260" s="16">
        <f>ABS(Solieusap!E3260)</f>
        <v>0</v>
      </c>
      <c r="F3260" s="16">
        <f>ABS(Solieusap!F3260)</f>
        <v>0</v>
      </c>
      <c r="G3260" s="16">
        <f>ABS(Solieusap!G3260)</f>
        <v>0</v>
      </c>
      <c r="H3260" s="16">
        <f>ABS(Solieusap!H3260)</f>
        <v>0</v>
      </c>
      <c r="I3260" s="16">
        <f>ABS(Solieusap!I3260)</f>
        <v>0</v>
      </c>
      <c r="J3260" s="16">
        <f>ABS(Solieusap!J3260)</f>
        <v>0</v>
      </c>
      <c r="K3260" s="16">
        <f t="shared" si="1"/>
        <v>0</v>
      </c>
      <c r="L3260" s="16">
        <f t="shared" si="2"/>
        <v>0</v>
      </c>
    </row>
    <row r="3261" ht="16.5" customHeight="1">
      <c r="A3261" s="15" t="str">
        <f>Solieusap!A3261</f>
        <v/>
      </c>
      <c r="B3261" s="15" t="str">
        <f>Solieusap!B3261</f>
        <v/>
      </c>
      <c r="C3261" s="15" t="str">
        <f>Solieusap!C3261</f>
        <v/>
      </c>
      <c r="D3261" s="15" t="str">
        <f>Solieusap!D3261</f>
        <v/>
      </c>
      <c r="E3261" s="16">
        <f>ABS(Solieusap!E3261)</f>
        <v>0</v>
      </c>
      <c r="F3261" s="16">
        <f>ABS(Solieusap!F3261)</f>
        <v>0</v>
      </c>
      <c r="G3261" s="16">
        <f>ABS(Solieusap!G3261)</f>
        <v>0</v>
      </c>
      <c r="H3261" s="16">
        <f>ABS(Solieusap!H3261)</f>
        <v>0</v>
      </c>
      <c r="I3261" s="16">
        <f>ABS(Solieusap!I3261)</f>
        <v>0</v>
      </c>
      <c r="J3261" s="16">
        <f>ABS(Solieusap!J3261)</f>
        <v>0</v>
      </c>
      <c r="K3261" s="16">
        <f t="shared" si="1"/>
        <v>0</v>
      </c>
      <c r="L3261" s="16">
        <f t="shared" si="2"/>
        <v>0</v>
      </c>
    </row>
    <row r="3262" ht="16.5" customHeight="1">
      <c r="A3262" s="15" t="str">
        <f>Solieusap!A3262</f>
        <v/>
      </c>
      <c r="B3262" s="15" t="str">
        <f>Solieusap!B3262</f>
        <v/>
      </c>
      <c r="C3262" s="15" t="str">
        <f>Solieusap!C3262</f>
        <v/>
      </c>
      <c r="D3262" s="15" t="str">
        <f>Solieusap!D3262</f>
        <v/>
      </c>
      <c r="E3262" s="16">
        <f>ABS(Solieusap!E3262)</f>
        <v>0</v>
      </c>
      <c r="F3262" s="16">
        <f>ABS(Solieusap!F3262)</f>
        <v>0</v>
      </c>
      <c r="G3262" s="16">
        <f>ABS(Solieusap!G3262)</f>
        <v>0</v>
      </c>
      <c r="H3262" s="16">
        <f>ABS(Solieusap!H3262)</f>
        <v>0</v>
      </c>
      <c r="I3262" s="16">
        <f>ABS(Solieusap!I3262)</f>
        <v>0</v>
      </c>
      <c r="J3262" s="16">
        <f>ABS(Solieusap!J3262)</f>
        <v>0</v>
      </c>
      <c r="K3262" s="16">
        <f t="shared" si="1"/>
        <v>0</v>
      </c>
      <c r="L3262" s="16">
        <f t="shared" si="2"/>
        <v>0</v>
      </c>
    </row>
    <row r="3263" ht="16.5" customHeight="1">
      <c r="A3263" s="15" t="str">
        <f>Solieusap!A3263</f>
        <v/>
      </c>
      <c r="B3263" s="15" t="str">
        <f>Solieusap!B3263</f>
        <v/>
      </c>
      <c r="C3263" s="15" t="str">
        <f>Solieusap!C3263</f>
        <v/>
      </c>
      <c r="D3263" s="15" t="str">
        <f>Solieusap!D3263</f>
        <v/>
      </c>
      <c r="E3263" s="16">
        <f>ABS(Solieusap!E3263)</f>
        <v>0</v>
      </c>
      <c r="F3263" s="16">
        <f>ABS(Solieusap!F3263)</f>
        <v>0</v>
      </c>
      <c r="G3263" s="16">
        <f>ABS(Solieusap!G3263)</f>
        <v>0</v>
      </c>
      <c r="H3263" s="16">
        <f>ABS(Solieusap!H3263)</f>
        <v>0</v>
      </c>
      <c r="I3263" s="16">
        <f>ABS(Solieusap!I3263)</f>
        <v>0</v>
      </c>
      <c r="J3263" s="16">
        <f>ABS(Solieusap!J3263)</f>
        <v>0</v>
      </c>
      <c r="K3263" s="16">
        <f t="shared" si="1"/>
        <v>0</v>
      </c>
      <c r="L3263" s="16">
        <f t="shared" si="2"/>
        <v>0</v>
      </c>
    </row>
    <row r="3264" ht="16.5" customHeight="1">
      <c r="A3264" s="15" t="str">
        <f>Solieusap!A3264</f>
        <v/>
      </c>
      <c r="B3264" s="15" t="str">
        <f>Solieusap!B3264</f>
        <v/>
      </c>
      <c r="C3264" s="15" t="str">
        <f>Solieusap!C3264</f>
        <v/>
      </c>
      <c r="D3264" s="15" t="str">
        <f>Solieusap!D3264</f>
        <v/>
      </c>
      <c r="E3264" s="16">
        <f>ABS(Solieusap!E3264)</f>
        <v>0</v>
      </c>
      <c r="F3264" s="16">
        <f>ABS(Solieusap!F3264)</f>
        <v>0</v>
      </c>
      <c r="G3264" s="16">
        <f>ABS(Solieusap!G3264)</f>
        <v>0</v>
      </c>
      <c r="H3264" s="16">
        <f>ABS(Solieusap!H3264)</f>
        <v>0</v>
      </c>
      <c r="I3264" s="16">
        <f>ABS(Solieusap!I3264)</f>
        <v>0</v>
      </c>
      <c r="J3264" s="16">
        <f>ABS(Solieusap!J3264)</f>
        <v>0</v>
      </c>
      <c r="K3264" s="16">
        <f t="shared" si="1"/>
        <v>0</v>
      </c>
      <c r="L3264" s="16">
        <f t="shared" si="2"/>
        <v>0</v>
      </c>
    </row>
    <row r="3265" ht="16.5" customHeight="1">
      <c r="A3265" s="15" t="str">
        <f>Solieusap!A3265</f>
        <v/>
      </c>
      <c r="B3265" s="15" t="str">
        <f>Solieusap!B3265</f>
        <v/>
      </c>
      <c r="C3265" s="15" t="str">
        <f>Solieusap!C3265</f>
        <v/>
      </c>
      <c r="D3265" s="15" t="str">
        <f>Solieusap!D3265</f>
        <v/>
      </c>
      <c r="E3265" s="16">
        <f>ABS(Solieusap!E3265)</f>
        <v>0</v>
      </c>
      <c r="F3265" s="16">
        <f>ABS(Solieusap!F3265)</f>
        <v>0</v>
      </c>
      <c r="G3265" s="16">
        <f>ABS(Solieusap!G3265)</f>
        <v>0</v>
      </c>
      <c r="H3265" s="16">
        <f>ABS(Solieusap!H3265)</f>
        <v>0</v>
      </c>
      <c r="I3265" s="16">
        <f>ABS(Solieusap!I3265)</f>
        <v>0</v>
      </c>
      <c r="J3265" s="16">
        <f>ABS(Solieusap!J3265)</f>
        <v>0</v>
      </c>
      <c r="K3265" s="16">
        <f t="shared" si="1"/>
        <v>0</v>
      </c>
      <c r="L3265" s="16">
        <f t="shared" si="2"/>
        <v>0</v>
      </c>
    </row>
    <row r="3266" ht="16.5" customHeight="1">
      <c r="A3266" s="15" t="str">
        <f>Solieusap!A3266</f>
        <v/>
      </c>
      <c r="B3266" s="15" t="str">
        <f>Solieusap!B3266</f>
        <v/>
      </c>
      <c r="C3266" s="15" t="str">
        <f>Solieusap!C3266</f>
        <v/>
      </c>
      <c r="D3266" s="15" t="str">
        <f>Solieusap!D3266</f>
        <v/>
      </c>
      <c r="E3266" s="16">
        <f>ABS(Solieusap!E3266)</f>
        <v>0</v>
      </c>
      <c r="F3266" s="16">
        <f>ABS(Solieusap!F3266)</f>
        <v>0</v>
      </c>
      <c r="G3266" s="16">
        <f>ABS(Solieusap!G3266)</f>
        <v>0</v>
      </c>
      <c r="H3266" s="16">
        <f>ABS(Solieusap!H3266)</f>
        <v>0</v>
      </c>
      <c r="I3266" s="16">
        <f>ABS(Solieusap!I3266)</f>
        <v>0</v>
      </c>
      <c r="J3266" s="16">
        <f>ABS(Solieusap!J3266)</f>
        <v>0</v>
      </c>
      <c r="K3266" s="16">
        <f t="shared" si="1"/>
        <v>0</v>
      </c>
      <c r="L3266" s="16">
        <f t="shared" si="2"/>
        <v>0</v>
      </c>
    </row>
    <row r="3267" ht="16.5" customHeight="1">
      <c r="A3267" s="15" t="str">
        <f>Solieusap!A3267</f>
        <v/>
      </c>
      <c r="B3267" s="15" t="str">
        <f>Solieusap!B3267</f>
        <v/>
      </c>
      <c r="C3267" s="15" t="str">
        <f>Solieusap!C3267</f>
        <v/>
      </c>
      <c r="D3267" s="15" t="str">
        <f>Solieusap!D3267</f>
        <v/>
      </c>
      <c r="E3267" s="16">
        <f>ABS(Solieusap!E3267)</f>
        <v>0</v>
      </c>
      <c r="F3267" s="16">
        <f>ABS(Solieusap!F3267)</f>
        <v>0</v>
      </c>
      <c r="G3267" s="16">
        <f>ABS(Solieusap!G3267)</f>
        <v>0</v>
      </c>
      <c r="H3267" s="16">
        <f>ABS(Solieusap!H3267)</f>
        <v>0</v>
      </c>
      <c r="I3267" s="16">
        <f>ABS(Solieusap!I3267)</f>
        <v>0</v>
      </c>
      <c r="J3267" s="16">
        <f>ABS(Solieusap!J3267)</f>
        <v>0</v>
      </c>
      <c r="K3267" s="16">
        <f t="shared" si="1"/>
        <v>0</v>
      </c>
      <c r="L3267" s="16">
        <f t="shared" si="2"/>
        <v>0</v>
      </c>
    </row>
    <row r="3268" ht="16.5" customHeight="1">
      <c r="A3268" s="15" t="str">
        <f>Solieusap!A3268</f>
        <v/>
      </c>
      <c r="B3268" s="15" t="str">
        <f>Solieusap!B3268</f>
        <v/>
      </c>
      <c r="C3268" s="15" t="str">
        <f>Solieusap!C3268</f>
        <v/>
      </c>
      <c r="D3268" s="15" t="str">
        <f>Solieusap!D3268</f>
        <v/>
      </c>
      <c r="E3268" s="16">
        <f>ABS(Solieusap!E3268)</f>
        <v>0</v>
      </c>
      <c r="F3268" s="16">
        <f>ABS(Solieusap!F3268)</f>
        <v>0</v>
      </c>
      <c r="G3268" s="16">
        <f>ABS(Solieusap!G3268)</f>
        <v>0</v>
      </c>
      <c r="H3268" s="16">
        <f>ABS(Solieusap!H3268)</f>
        <v>0</v>
      </c>
      <c r="I3268" s="16">
        <f>ABS(Solieusap!I3268)</f>
        <v>0</v>
      </c>
      <c r="J3268" s="16">
        <f>ABS(Solieusap!J3268)</f>
        <v>0</v>
      </c>
      <c r="K3268" s="16">
        <f t="shared" si="1"/>
        <v>0</v>
      </c>
      <c r="L3268" s="16">
        <f t="shared" si="2"/>
        <v>0</v>
      </c>
    </row>
    <row r="3269" ht="16.5" customHeight="1">
      <c r="A3269" s="15" t="str">
        <f>Solieusap!A3269</f>
        <v/>
      </c>
      <c r="B3269" s="15" t="str">
        <f>Solieusap!B3269</f>
        <v/>
      </c>
      <c r="C3269" s="15" t="str">
        <f>Solieusap!C3269</f>
        <v/>
      </c>
      <c r="D3269" s="15" t="str">
        <f>Solieusap!D3269</f>
        <v/>
      </c>
      <c r="E3269" s="16">
        <f>ABS(Solieusap!E3269)</f>
        <v>0</v>
      </c>
      <c r="F3269" s="16">
        <f>ABS(Solieusap!F3269)</f>
        <v>0</v>
      </c>
      <c r="G3269" s="16">
        <f>ABS(Solieusap!G3269)</f>
        <v>0</v>
      </c>
      <c r="H3269" s="16">
        <f>ABS(Solieusap!H3269)</f>
        <v>0</v>
      </c>
      <c r="I3269" s="16">
        <f>ABS(Solieusap!I3269)</f>
        <v>0</v>
      </c>
      <c r="J3269" s="16">
        <f>ABS(Solieusap!J3269)</f>
        <v>0</v>
      </c>
      <c r="K3269" s="16">
        <f t="shared" si="1"/>
        <v>0</v>
      </c>
      <c r="L3269" s="16">
        <f t="shared" si="2"/>
        <v>0</v>
      </c>
    </row>
    <row r="3270" ht="16.5" customHeight="1">
      <c r="A3270" s="15" t="str">
        <f>Solieusap!A3270</f>
        <v/>
      </c>
      <c r="B3270" s="15" t="str">
        <f>Solieusap!B3270</f>
        <v/>
      </c>
      <c r="C3270" s="15" t="str">
        <f>Solieusap!C3270</f>
        <v/>
      </c>
      <c r="D3270" s="15" t="str">
        <f>Solieusap!D3270</f>
        <v/>
      </c>
      <c r="E3270" s="16">
        <f>ABS(Solieusap!E3270)</f>
        <v>0</v>
      </c>
      <c r="F3270" s="16">
        <f>ABS(Solieusap!F3270)</f>
        <v>0</v>
      </c>
      <c r="G3270" s="16">
        <f>ABS(Solieusap!G3270)</f>
        <v>0</v>
      </c>
      <c r="H3270" s="16">
        <f>ABS(Solieusap!H3270)</f>
        <v>0</v>
      </c>
      <c r="I3270" s="16">
        <f>ABS(Solieusap!I3270)</f>
        <v>0</v>
      </c>
      <c r="J3270" s="16">
        <f>ABS(Solieusap!J3270)</f>
        <v>0</v>
      </c>
      <c r="K3270" s="16">
        <f t="shared" si="1"/>
        <v>0</v>
      </c>
      <c r="L3270" s="16">
        <f t="shared" si="2"/>
        <v>0</v>
      </c>
    </row>
    <row r="3271" ht="16.5" customHeight="1">
      <c r="A3271" s="15" t="str">
        <f>Solieusap!A3271</f>
        <v/>
      </c>
      <c r="B3271" s="15" t="str">
        <f>Solieusap!B3271</f>
        <v/>
      </c>
      <c r="C3271" s="15" t="str">
        <f>Solieusap!C3271</f>
        <v/>
      </c>
      <c r="D3271" s="15" t="str">
        <f>Solieusap!D3271</f>
        <v/>
      </c>
      <c r="E3271" s="16">
        <f>ABS(Solieusap!E3271)</f>
        <v>0</v>
      </c>
      <c r="F3271" s="16">
        <f>ABS(Solieusap!F3271)</f>
        <v>0</v>
      </c>
      <c r="G3271" s="16">
        <f>ABS(Solieusap!G3271)</f>
        <v>0</v>
      </c>
      <c r="H3271" s="16">
        <f>ABS(Solieusap!H3271)</f>
        <v>0</v>
      </c>
      <c r="I3271" s="16">
        <f>ABS(Solieusap!I3271)</f>
        <v>0</v>
      </c>
      <c r="J3271" s="16">
        <f>ABS(Solieusap!J3271)</f>
        <v>0</v>
      </c>
      <c r="K3271" s="16">
        <f t="shared" si="1"/>
        <v>0</v>
      </c>
      <c r="L3271" s="16">
        <f t="shared" si="2"/>
        <v>0</v>
      </c>
    </row>
    <row r="3272" ht="16.5" customHeight="1">
      <c r="A3272" s="15" t="str">
        <f>Solieusap!A3272</f>
        <v/>
      </c>
      <c r="B3272" s="15" t="str">
        <f>Solieusap!B3272</f>
        <v/>
      </c>
      <c r="C3272" s="15" t="str">
        <f>Solieusap!C3272</f>
        <v/>
      </c>
      <c r="D3272" s="15" t="str">
        <f>Solieusap!D3272</f>
        <v/>
      </c>
      <c r="E3272" s="16">
        <f>ABS(Solieusap!E3272)</f>
        <v>0</v>
      </c>
      <c r="F3272" s="16">
        <f>ABS(Solieusap!F3272)</f>
        <v>0</v>
      </c>
      <c r="G3272" s="16">
        <f>ABS(Solieusap!G3272)</f>
        <v>0</v>
      </c>
      <c r="H3272" s="16">
        <f>ABS(Solieusap!H3272)</f>
        <v>0</v>
      </c>
      <c r="I3272" s="16">
        <f>ABS(Solieusap!I3272)</f>
        <v>0</v>
      </c>
      <c r="J3272" s="16">
        <f>ABS(Solieusap!J3272)</f>
        <v>0</v>
      </c>
      <c r="K3272" s="16">
        <f t="shared" si="1"/>
        <v>0</v>
      </c>
      <c r="L3272" s="16">
        <f t="shared" si="2"/>
        <v>0</v>
      </c>
    </row>
    <row r="3273" ht="16.5" customHeight="1">
      <c r="A3273" s="15" t="str">
        <f>Solieusap!A3273</f>
        <v/>
      </c>
      <c r="B3273" s="15" t="str">
        <f>Solieusap!B3273</f>
        <v/>
      </c>
      <c r="C3273" s="15" t="str">
        <f>Solieusap!C3273</f>
        <v/>
      </c>
      <c r="D3273" s="15" t="str">
        <f>Solieusap!D3273</f>
        <v/>
      </c>
      <c r="E3273" s="16">
        <f>ABS(Solieusap!E3273)</f>
        <v>0</v>
      </c>
      <c r="F3273" s="16">
        <f>ABS(Solieusap!F3273)</f>
        <v>0</v>
      </c>
      <c r="G3273" s="16">
        <f>ABS(Solieusap!G3273)</f>
        <v>0</v>
      </c>
      <c r="H3273" s="16">
        <f>ABS(Solieusap!H3273)</f>
        <v>0</v>
      </c>
      <c r="I3273" s="16">
        <f>ABS(Solieusap!I3273)</f>
        <v>0</v>
      </c>
      <c r="J3273" s="16">
        <f>ABS(Solieusap!J3273)</f>
        <v>0</v>
      </c>
      <c r="K3273" s="16">
        <f t="shared" si="1"/>
        <v>0</v>
      </c>
      <c r="L3273" s="16">
        <f t="shared" si="2"/>
        <v>0</v>
      </c>
    </row>
    <row r="3274" ht="16.5" customHeight="1">
      <c r="A3274" s="15" t="str">
        <f>Solieusap!A3274</f>
        <v/>
      </c>
      <c r="B3274" s="15" t="str">
        <f>Solieusap!B3274</f>
        <v/>
      </c>
      <c r="C3274" s="15" t="str">
        <f>Solieusap!C3274</f>
        <v/>
      </c>
      <c r="D3274" s="15" t="str">
        <f>Solieusap!D3274</f>
        <v/>
      </c>
      <c r="E3274" s="16">
        <f>ABS(Solieusap!E3274)</f>
        <v>0</v>
      </c>
      <c r="F3274" s="16">
        <f>ABS(Solieusap!F3274)</f>
        <v>0</v>
      </c>
      <c r="G3274" s="16">
        <f>ABS(Solieusap!G3274)</f>
        <v>0</v>
      </c>
      <c r="H3274" s="16">
        <f>ABS(Solieusap!H3274)</f>
        <v>0</v>
      </c>
      <c r="I3274" s="16">
        <f>ABS(Solieusap!I3274)</f>
        <v>0</v>
      </c>
      <c r="J3274" s="16">
        <f>ABS(Solieusap!J3274)</f>
        <v>0</v>
      </c>
      <c r="K3274" s="16">
        <f t="shared" si="1"/>
        <v>0</v>
      </c>
      <c r="L3274" s="16">
        <f t="shared" si="2"/>
        <v>0</v>
      </c>
    </row>
    <row r="3275" ht="16.5" customHeight="1">
      <c r="A3275" s="15" t="str">
        <f>Solieusap!A3275</f>
        <v/>
      </c>
      <c r="B3275" s="15" t="str">
        <f>Solieusap!B3275</f>
        <v/>
      </c>
      <c r="C3275" s="15" t="str">
        <f>Solieusap!C3275</f>
        <v/>
      </c>
      <c r="D3275" s="15" t="str">
        <f>Solieusap!D3275</f>
        <v/>
      </c>
      <c r="E3275" s="16">
        <f>ABS(Solieusap!E3275)</f>
        <v>0</v>
      </c>
      <c r="F3275" s="16">
        <f>ABS(Solieusap!F3275)</f>
        <v>0</v>
      </c>
      <c r="G3275" s="16">
        <f>ABS(Solieusap!G3275)</f>
        <v>0</v>
      </c>
      <c r="H3275" s="16">
        <f>ABS(Solieusap!H3275)</f>
        <v>0</v>
      </c>
      <c r="I3275" s="16">
        <f>ABS(Solieusap!I3275)</f>
        <v>0</v>
      </c>
      <c r="J3275" s="16">
        <f>ABS(Solieusap!J3275)</f>
        <v>0</v>
      </c>
      <c r="K3275" s="16">
        <f t="shared" si="1"/>
        <v>0</v>
      </c>
      <c r="L3275" s="16">
        <f t="shared" si="2"/>
        <v>0</v>
      </c>
    </row>
    <row r="3276" ht="16.5" customHeight="1">
      <c r="A3276" s="15" t="str">
        <f>Solieusap!A3276</f>
        <v/>
      </c>
      <c r="B3276" s="15" t="str">
        <f>Solieusap!B3276</f>
        <v/>
      </c>
      <c r="C3276" s="15" t="str">
        <f>Solieusap!C3276</f>
        <v/>
      </c>
      <c r="D3276" s="15" t="str">
        <f>Solieusap!D3276</f>
        <v/>
      </c>
      <c r="E3276" s="16">
        <f>ABS(Solieusap!E3276)</f>
        <v>0</v>
      </c>
      <c r="F3276" s="16">
        <f>ABS(Solieusap!F3276)</f>
        <v>0</v>
      </c>
      <c r="G3276" s="16">
        <f>ABS(Solieusap!G3276)</f>
        <v>0</v>
      </c>
      <c r="H3276" s="16">
        <f>ABS(Solieusap!H3276)</f>
        <v>0</v>
      </c>
      <c r="I3276" s="16">
        <f>ABS(Solieusap!I3276)</f>
        <v>0</v>
      </c>
      <c r="J3276" s="16">
        <f>ABS(Solieusap!J3276)</f>
        <v>0</v>
      </c>
      <c r="K3276" s="16">
        <f t="shared" si="1"/>
        <v>0</v>
      </c>
      <c r="L3276" s="16">
        <f t="shared" si="2"/>
        <v>0</v>
      </c>
    </row>
    <row r="3277" ht="16.5" customHeight="1">
      <c r="A3277" s="15" t="str">
        <f>Solieusap!A3277</f>
        <v/>
      </c>
      <c r="B3277" s="15" t="str">
        <f>Solieusap!B3277</f>
        <v/>
      </c>
      <c r="C3277" s="15" t="str">
        <f>Solieusap!C3277</f>
        <v/>
      </c>
      <c r="D3277" s="15" t="str">
        <f>Solieusap!D3277</f>
        <v/>
      </c>
      <c r="E3277" s="16">
        <f>ABS(Solieusap!E3277)</f>
        <v>0</v>
      </c>
      <c r="F3277" s="16">
        <f>ABS(Solieusap!F3277)</f>
        <v>0</v>
      </c>
      <c r="G3277" s="16">
        <f>ABS(Solieusap!G3277)</f>
        <v>0</v>
      </c>
      <c r="H3277" s="16">
        <f>ABS(Solieusap!H3277)</f>
        <v>0</v>
      </c>
      <c r="I3277" s="16">
        <f>ABS(Solieusap!I3277)</f>
        <v>0</v>
      </c>
      <c r="J3277" s="16">
        <f>ABS(Solieusap!J3277)</f>
        <v>0</v>
      </c>
      <c r="K3277" s="16">
        <f t="shared" si="1"/>
        <v>0</v>
      </c>
      <c r="L3277" s="16">
        <f t="shared" si="2"/>
        <v>0</v>
      </c>
    </row>
    <row r="3278" ht="16.5" customHeight="1">
      <c r="A3278" s="15" t="str">
        <f>Solieusap!A3278</f>
        <v/>
      </c>
      <c r="B3278" s="15" t="str">
        <f>Solieusap!B3278</f>
        <v/>
      </c>
      <c r="C3278" s="15" t="str">
        <f>Solieusap!C3278</f>
        <v/>
      </c>
      <c r="D3278" s="15" t="str">
        <f>Solieusap!D3278</f>
        <v/>
      </c>
      <c r="E3278" s="16">
        <f>ABS(Solieusap!E3278)</f>
        <v>0</v>
      </c>
      <c r="F3278" s="16">
        <f>ABS(Solieusap!F3278)</f>
        <v>0</v>
      </c>
      <c r="G3278" s="16">
        <f>ABS(Solieusap!G3278)</f>
        <v>0</v>
      </c>
      <c r="H3278" s="16">
        <f>ABS(Solieusap!H3278)</f>
        <v>0</v>
      </c>
      <c r="I3278" s="16">
        <f>ABS(Solieusap!I3278)</f>
        <v>0</v>
      </c>
      <c r="J3278" s="16">
        <f>ABS(Solieusap!J3278)</f>
        <v>0</v>
      </c>
      <c r="K3278" s="16">
        <f t="shared" si="1"/>
        <v>0</v>
      </c>
      <c r="L3278" s="16">
        <f t="shared" si="2"/>
        <v>0</v>
      </c>
    </row>
    <row r="3279" ht="16.5" customHeight="1">
      <c r="A3279" s="15" t="str">
        <f>Solieusap!A3279</f>
        <v/>
      </c>
      <c r="B3279" s="15" t="str">
        <f>Solieusap!B3279</f>
        <v/>
      </c>
      <c r="C3279" s="15" t="str">
        <f>Solieusap!C3279</f>
        <v/>
      </c>
      <c r="D3279" s="15" t="str">
        <f>Solieusap!D3279</f>
        <v/>
      </c>
      <c r="E3279" s="16">
        <f>ABS(Solieusap!E3279)</f>
        <v>0</v>
      </c>
      <c r="F3279" s="16">
        <f>ABS(Solieusap!F3279)</f>
        <v>0</v>
      </c>
      <c r="G3279" s="16">
        <f>ABS(Solieusap!G3279)</f>
        <v>0</v>
      </c>
      <c r="H3279" s="16">
        <f>ABS(Solieusap!H3279)</f>
        <v>0</v>
      </c>
      <c r="I3279" s="16">
        <f>ABS(Solieusap!I3279)</f>
        <v>0</v>
      </c>
      <c r="J3279" s="16">
        <f>ABS(Solieusap!J3279)</f>
        <v>0</v>
      </c>
      <c r="K3279" s="16">
        <f t="shared" si="1"/>
        <v>0</v>
      </c>
      <c r="L3279" s="16">
        <f t="shared" si="2"/>
        <v>0</v>
      </c>
    </row>
    <row r="3280" ht="16.5" customHeight="1">
      <c r="A3280" s="15" t="str">
        <f>Solieusap!A3280</f>
        <v/>
      </c>
      <c r="B3280" s="15" t="str">
        <f>Solieusap!B3280</f>
        <v/>
      </c>
      <c r="C3280" s="15" t="str">
        <f>Solieusap!C3280</f>
        <v/>
      </c>
      <c r="D3280" s="15" t="str">
        <f>Solieusap!D3280</f>
        <v/>
      </c>
      <c r="E3280" s="16">
        <f>ABS(Solieusap!E3280)</f>
        <v>0</v>
      </c>
      <c r="F3280" s="16">
        <f>ABS(Solieusap!F3280)</f>
        <v>0</v>
      </c>
      <c r="G3280" s="16">
        <f>ABS(Solieusap!G3280)</f>
        <v>0</v>
      </c>
      <c r="H3280" s="16">
        <f>ABS(Solieusap!H3280)</f>
        <v>0</v>
      </c>
      <c r="I3280" s="16">
        <f>ABS(Solieusap!I3280)</f>
        <v>0</v>
      </c>
      <c r="J3280" s="16">
        <f>ABS(Solieusap!J3280)</f>
        <v>0</v>
      </c>
      <c r="K3280" s="16">
        <f t="shared" si="1"/>
        <v>0</v>
      </c>
      <c r="L3280" s="16">
        <f t="shared" si="2"/>
        <v>0</v>
      </c>
    </row>
    <row r="3281" ht="16.5" customHeight="1">
      <c r="A3281" s="15" t="str">
        <f>Solieusap!A3281</f>
        <v/>
      </c>
      <c r="B3281" s="15" t="str">
        <f>Solieusap!B3281</f>
        <v/>
      </c>
      <c r="C3281" s="15" t="str">
        <f>Solieusap!C3281</f>
        <v/>
      </c>
      <c r="D3281" s="15" t="str">
        <f>Solieusap!D3281</f>
        <v/>
      </c>
      <c r="E3281" s="16">
        <f>ABS(Solieusap!E3281)</f>
        <v>0</v>
      </c>
      <c r="F3281" s="16">
        <f>ABS(Solieusap!F3281)</f>
        <v>0</v>
      </c>
      <c r="G3281" s="16">
        <f>ABS(Solieusap!G3281)</f>
        <v>0</v>
      </c>
      <c r="H3281" s="16">
        <f>ABS(Solieusap!H3281)</f>
        <v>0</v>
      </c>
      <c r="I3281" s="16">
        <f>ABS(Solieusap!I3281)</f>
        <v>0</v>
      </c>
      <c r="J3281" s="16">
        <f>ABS(Solieusap!J3281)</f>
        <v>0</v>
      </c>
      <c r="K3281" s="16">
        <f t="shared" si="1"/>
        <v>0</v>
      </c>
      <c r="L3281" s="16">
        <f t="shared" si="2"/>
        <v>0</v>
      </c>
    </row>
    <row r="3282" ht="16.5" customHeight="1">
      <c r="A3282" s="15" t="str">
        <f>Solieusap!A3282</f>
        <v/>
      </c>
      <c r="B3282" s="15" t="str">
        <f>Solieusap!B3282</f>
        <v/>
      </c>
      <c r="C3282" s="15" t="str">
        <f>Solieusap!C3282</f>
        <v/>
      </c>
      <c r="D3282" s="15" t="str">
        <f>Solieusap!D3282</f>
        <v/>
      </c>
      <c r="E3282" s="16">
        <f>ABS(Solieusap!E3282)</f>
        <v>0</v>
      </c>
      <c r="F3282" s="16">
        <f>ABS(Solieusap!F3282)</f>
        <v>0</v>
      </c>
      <c r="G3282" s="16">
        <f>ABS(Solieusap!G3282)</f>
        <v>0</v>
      </c>
      <c r="H3282" s="16">
        <f>ABS(Solieusap!H3282)</f>
        <v>0</v>
      </c>
      <c r="I3282" s="16">
        <f>ABS(Solieusap!I3282)</f>
        <v>0</v>
      </c>
      <c r="J3282" s="16">
        <f>ABS(Solieusap!J3282)</f>
        <v>0</v>
      </c>
      <c r="K3282" s="16">
        <f t="shared" si="1"/>
        <v>0</v>
      </c>
      <c r="L3282" s="16">
        <f t="shared" si="2"/>
        <v>0</v>
      </c>
    </row>
    <row r="3283" ht="16.5" customHeight="1">
      <c r="A3283" s="15" t="str">
        <f>Solieusap!A3283</f>
        <v/>
      </c>
      <c r="B3283" s="15" t="str">
        <f>Solieusap!B3283</f>
        <v/>
      </c>
      <c r="C3283" s="15" t="str">
        <f>Solieusap!C3283</f>
        <v/>
      </c>
      <c r="D3283" s="15" t="str">
        <f>Solieusap!D3283</f>
        <v/>
      </c>
      <c r="E3283" s="16">
        <f>ABS(Solieusap!E3283)</f>
        <v>0</v>
      </c>
      <c r="F3283" s="16">
        <f>ABS(Solieusap!F3283)</f>
        <v>0</v>
      </c>
      <c r="G3283" s="16">
        <f>ABS(Solieusap!G3283)</f>
        <v>0</v>
      </c>
      <c r="H3283" s="16">
        <f>ABS(Solieusap!H3283)</f>
        <v>0</v>
      </c>
      <c r="I3283" s="16">
        <f>ABS(Solieusap!I3283)</f>
        <v>0</v>
      </c>
      <c r="J3283" s="16">
        <f>ABS(Solieusap!J3283)</f>
        <v>0</v>
      </c>
      <c r="K3283" s="16">
        <f t="shared" si="1"/>
        <v>0</v>
      </c>
      <c r="L3283" s="16">
        <f t="shared" si="2"/>
        <v>0</v>
      </c>
    </row>
    <row r="3284" ht="16.5" customHeight="1">
      <c r="A3284" s="15" t="str">
        <f>Solieusap!A3284</f>
        <v/>
      </c>
      <c r="B3284" s="15" t="str">
        <f>Solieusap!B3284</f>
        <v/>
      </c>
      <c r="C3284" s="15" t="str">
        <f>Solieusap!C3284</f>
        <v/>
      </c>
      <c r="D3284" s="15" t="str">
        <f>Solieusap!D3284</f>
        <v/>
      </c>
      <c r="E3284" s="16">
        <f>ABS(Solieusap!E3284)</f>
        <v>0</v>
      </c>
      <c r="F3284" s="16">
        <f>ABS(Solieusap!F3284)</f>
        <v>0</v>
      </c>
      <c r="G3284" s="16">
        <f>ABS(Solieusap!G3284)</f>
        <v>0</v>
      </c>
      <c r="H3284" s="16">
        <f>ABS(Solieusap!H3284)</f>
        <v>0</v>
      </c>
      <c r="I3284" s="16">
        <f>ABS(Solieusap!I3284)</f>
        <v>0</v>
      </c>
      <c r="J3284" s="16">
        <f>ABS(Solieusap!J3284)</f>
        <v>0</v>
      </c>
      <c r="K3284" s="16">
        <f t="shared" si="1"/>
        <v>0</v>
      </c>
      <c r="L3284" s="16">
        <f t="shared" si="2"/>
        <v>0</v>
      </c>
    </row>
    <row r="3285" ht="16.5" customHeight="1">
      <c r="A3285" s="15" t="str">
        <f>Solieusap!A3285</f>
        <v/>
      </c>
      <c r="B3285" s="15" t="str">
        <f>Solieusap!B3285</f>
        <v/>
      </c>
      <c r="C3285" s="15" t="str">
        <f>Solieusap!C3285</f>
        <v/>
      </c>
      <c r="D3285" s="15" t="str">
        <f>Solieusap!D3285</f>
        <v/>
      </c>
      <c r="E3285" s="16">
        <f>ABS(Solieusap!E3285)</f>
        <v>0</v>
      </c>
      <c r="F3285" s="16">
        <f>ABS(Solieusap!F3285)</f>
        <v>0</v>
      </c>
      <c r="G3285" s="16">
        <f>ABS(Solieusap!G3285)</f>
        <v>0</v>
      </c>
      <c r="H3285" s="16">
        <f>ABS(Solieusap!H3285)</f>
        <v>0</v>
      </c>
      <c r="I3285" s="16">
        <f>ABS(Solieusap!I3285)</f>
        <v>0</v>
      </c>
      <c r="J3285" s="16">
        <f>ABS(Solieusap!J3285)</f>
        <v>0</v>
      </c>
      <c r="K3285" s="16">
        <f t="shared" si="1"/>
        <v>0</v>
      </c>
      <c r="L3285" s="16">
        <f t="shared" si="2"/>
        <v>0</v>
      </c>
    </row>
    <row r="3286" ht="16.5" customHeight="1">
      <c r="A3286" s="15" t="str">
        <f>Solieusap!A3286</f>
        <v/>
      </c>
      <c r="B3286" s="15" t="str">
        <f>Solieusap!B3286</f>
        <v/>
      </c>
      <c r="C3286" s="15" t="str">
        <f>Solieusap!C3286</f>
        <v/>
      </c>
      <c r="D3286" s="15" t="str">
        <f>Solieusap!D3286</f>
        <v/>
      </c>
      <c r="E3286" s="16">
        <f>ABS(Solieusap!E3286)</f>
        <v>0</v>
      </c>
      <c r="F3286" s="16">
        <f>ABS(Solieusap!F3286)</f>
        <v>0</v>
      </c>
      <c r="G3286" s="16">
        <f>ABS(Solieusap!G3286)</f>
        <v>0</v>
      </c>
      <c r="H3286" s="16">
        <f>ABS(Solieusap!H3286)</f>
        <v>0</v>
      </c>
      <c r="I3286" s="16">
        <f>ABS(Solieusap!I3286)</f>
        <v>0</v>
      </c>
      <c r="J3286" s="16">
        <f>ABS(Solieusap!J3286)</f>
        <v>0</v>
      </c>
      <c r="K3286" s="16">
        <f t="shared" si="1"/>
        <v>0</v>
      </c>
      <c r="L3286" s="16">
        <f t="shared" si="2"/>
        <v>0</v>
      </c>
    </row>
    <row r="3287" ht="16.5" customHeight="1">
      <c r="A3287" s="15" t="str">
        <f>Solieusap!A3287</f>
        <v/>
      </c>
      <c r="B3287" s="15" t="str">
        <f>Solieusap!B3287</f>
        <v/>
      </c>
      <c r="C3287" s="15" t="str">
        <f>Solieusap!C3287</f>
        <v/>
      </c>
      <c r="D3287" s="15" t="str">
        <f>Solieusap!D3287</f>
        <v/>
      </c>
      <c r="E3287" s="16">
        <f>ABS(Solieusap!E3287)</f>
        <v>0</v>
      </c>
      <c r="F3287" s="16">
        <f>ABS(Solieusap!F3287)</f>
        <v>0</v>
      </c>
      <c r="G3287" s="16">
        <f>ABS(Solieusap!G3287)</f>
        <v>0</v>
      </c>
      <c r="H3287" s="16">
        <f>ABS(Solieusap!H3287)</f>
        <v>0</v>
      </c>
      <c r="I3287" s="16">
        <f>ABS(Solieusap!I3287)</f>
        <v>0</v>
      </c>
      <c r="J3287" s="16">
        <f>ABS(Solieusap!J3287)</f>
        <v>0</v>
      </c>
      <c r="K3287" s="16">
        <f t="shared" si="1"/>
        <v>0</v>
      </c>
      <c r="L3287" s="16">
        <f t="shared" si="2"/>
        <v>0</v>
      </c>
    </row>
    <row r="3288" ht="16.5" customHeight="1">
      <c r="A3288" s="15" t="str">
        <f>Solieusap!A3288</f>
        <v/>
      </c>
      <c r="B3288" s="15" t="str">
        <f>Solieusap!B3288</f>
        <v/>
      </c>
      <c r="C3288" s="15" t="str">
        <f>Solieusap!C3288</f>
        <v/>
      </c>
      <c r="D3288" s="15" t="str">
        <f>Solieusap!D3288</f>
        <v/>
      </c>
      <c r="E3288" s="16">
        <f>ABS(Solieusap!E3288)</f>
        <v>0</v>
      </c>
      <c r="F3288" s="16">
        <f>ABS(Solieusap!F3288)</f>
        <v>0</v>
      </c>
      <c r="G3288" s="16">
        <f>ABS(Solieusap!G3288)</f>
        <v>0</v>
      </c>
      <c r="H3288" s="16">
        <f>ABS(Solieusap!H3288)</f>
        <v>0</v>
      </c>
      <c r="I3288" s="16">
        <f>ABS(Solieusap!I3288)</f>
        <v>0</v>
      </c>
      <c r="J3288" s="16">
        <f>ABS(Solieusap!J3288)</f>
        <v>0</v>
      </c>
      <c r="K3288" s="16">
        <f t="shared" si="1"/>
        <v>0</v>
      </c>
      <c r="L3288" s="16">
        <f t="shared" si="2"/>
        <v>0</v>
      </c>
    </row>
    <row r="3289" ht="16.5" customHeight="1">
      <c r="A3289" s="15" t="str">
        <f>Solieusap!A3289</f>
        <v/>
      </c>
      <c r="B3289" s="15" t="str">
        <f>Solieusap!B3289</f>
        <v/>
      </c>
      <c r="C3289" s="15" t="str">
        <f>Solieusap!C3289</f>
        <v/>
      </c>
      <c r="D3289" s="15" t="str">
        <f>Solieusap!D3289</f>
        <v/>
      </c>
      <c r="E3289" s="16">
        <f>ABS(Solieusap!E3289)</f>
        <v>0</v>
      </c>
      <c r="F3289" s="16">
        <f>ABS(Solieusap!F3289)</f>
        <v>0</v>
      </c>
      <c r="G3289" s="16">
        <f>ABS(Solieusap!G3289)</f>
        <v>0</v>
      </c>
      <c r="H3289" s="16">
        <f>ABS(Solieusap!H3289)</f>
        <v>0</v>
      </c>
      <c r="I3289" s="16">
        <f>ABS(Solieusap!I3289)</f>
        <v>0</v>
      </c>
      <c r="J3289" s="16">
        <f>ABS(Solieusap!J3289)</f>
        <v>0</v>
      </c>
      <c r="K3289" s="16">
        <f t="shared" si="1"/>
        <v>0</v>
      </c>
      <c r="L3289" s="16">
        <f t="shared" si="2"/>
        <v>0</v>
      </c>
    </row>
    <row r="3290" ht="16.5" customHeight="1">
      <c r="A3290" s="15" t="str">
        <f>Solieusap!A3290</f>
        <v/>
      </c>
      <c r="B3290" s="15" t="str">
        <f>Solieusap!B3290</f>
        <v/>
      </c>
      <c r="C3290" s="15" t="str">
        <f>Solieusap!C3290</f>
        <v/>
      </c>
      <c r="D3290" s="15" t="str">
        <f>Solieusap!D3290</f>
        <v/>
      </c>
      <c r="E3290" s="16">
        <f>ABS(Solieusap!E3290)</f>
        <v>0</v>
      </c>
      <c r="F3290" s="16">
        <f>ABS(Solieusap!F3290)</f>
        <v>0</v>
      </c>
      <c r="G3290" s="16">
        <f>ABS(Solieusap!G3290)</f>
        <v>0</v>
      </c>
      <c r="H3290" s="16">
        <f>ABS(Solieusap!H3290)</f>
        <v>0</v>
      </c>
      <c r="I3290" s="16">
        <f>ABS(Solieusap!I3290)</f>
        <v>0</v>
      </c>
      <c r="J3290" s="16">
        <f>ABS(Solieusap!J3290)</f>
        <v>0</v>
      </c>
      <c r="K3290" s="16">
        <f t="shared" si="1"/>
        <v>0</v>
      </c>
      <c r="L3290" s="16">
        <f t="shared" si="2"/>
        <v>0</v>
      </c>
    </row>
    <row r="3291" ht="16.5" customHeight="1">
      <c r="A3291" s="15" t="str">
        <f>Solieusap!A3291</f>
        <v/>
      </c>
      <c r="B3291" s="15" t="str">
        <f>Solieusap!B3291</f>
        <v/>
      </c>
      <c r="C3291" s="15" t="str">
        <f>Solieusap!C3291</f>
        <v/>
      </c>
      <c r="D3291" s="15" t="str">
        <f>Solieusap!D3291</f>
        <v/>
      </c>
      <c r="E3291" s="16">
        <f>ABS(Solieusap!E3291)</f>
        <v>0</v>
      </c>
      <c r="F3291" s="16">
        <f>ABS(Solieusap!F3291)</f>
        <v>0</v>
      </c>
      <c r="G3291" s="16">
        <f>ABS(Solieusap!G3291)</f>
        <v>0</v>
      </c>
      <c r="H3291" s="16">
        <f>ABS(Solieusap!H3291)</f>
        <v>0</v>
      </c>
      <c r="I3291" s="16">
        <f>ABS(Solieusap!I3291)</f>
        <v>0</v>
      </c>
      <c r="J3291" s="16">
        <f>ABS(Solieusap!J3291)</f>
        <v>0</v>
      </c>
      <c r="K3291" s="16">
        <f t="shared" si="1"/>
        <v>0</v>
      </c>
      <c r="L3291" s="16">
        <f t="shared" si="2"/>
        <v>0</v>
      </c>
    </row>
    <row r="3292" ht="16.5" customHeight="1">
      <c r="A3292" s="15" t="str">
        <f>Solieusap!A3292</f>
        <v/>
      </c>
      <c r="B3292" s="15" t="str">
        <f>Solieusap!B3292</f>
        <v/>
      </c>
      <c r="C3292" s="15" t="str">
        <f>Solieusap!C3292</f>
        <v/>
      </c>
      <c r="D3292" s="15" t="str">
        <f>Solieusap!D3292</f>
        <v/>
      </c>
      <c r="E3292" s="16">
        <f>ABS(Solieusap!E3292)</f>
        <v>0</v>
      </c>
      <c r="F3292" s="16">
        <f>ABS(Solieusap!F3292)</f>
        <v>0</v>
      </c>
      <c r="G3292" s="16">
        <f>ABS(Solieusap!G3292)</f>
        <v>0</v>
      </c>
      <c r="H3292" s="16">
        <f>ABS(Solieusap!H3292)</f>
        <v>0</v>
      </c>
      <c r="I3292" s="16">
        <f>ABS(Solieusap!I3292)</f>
        <v>0</v>
      </c>
      <c r="J3292" s="16">
        <f>ABS(Solieusap!J3292)</f>
        <v>0</v>
      </c>
      <c r="K3292" s="16">
        <f t="shared" si="1"/>
        <v>0</v>
      </c>
      <c r="L3292" s="16">
        <f t="shared" si="2"/>
        <v>0</v>
      </c>
    </row>
    <row r="3293" ht="16.5" customHeight="1">
      <c r="A3293" s="15" t="str">
        <f>Solieusap!A3293</f>
        <v/>
      </c>
      <c r="B3293" s="15" t="str">
        <f>Solieusap!B3293</f>
        <v/>
      </c>
      <c r="C3293" s="15" t="str">
        <f>Solieusap!C3293</f>
        <v/>
      </c>
      <c r="D3293" s="15" t="str">
        <f>Solieusap!D3293</f>
        <v/>
      </c>
      <c r="E3293" s="16">
        <f>ABS(Solieusap!E3293)</f>
        <v>0</v>
      </c>
      <c r="F3293" s="16">
        <f>ABS(Solieusap!F3293)</f>
        <v>0</v>
      </c>
      <c r="G3293" s="16">
        <f>ABS(Solieusap!G3293)</f>
        <v>0</v>
      </c>
      <c r="H3293" s="16">
        <f>ABS(Solieusap!H3293)</f>
        <v>0</v>
      </c>
      <c r="I3293" s="16">
        <f>ABS(Solieusap!I3293)</f>
        <v>0</v>
      </c>
      <c r="J3293" s="16">
        <f>ABS(Solieusap!J3293)</f>
        <v>0</v>
      </c>
      <c r="K3293" s="16">
        <f t="shared" si="1"/>
        <v>0</v>
      </c>
      <c r="L3293" s="16">
        <f t="shared" si="2"/>
        <v>0</v>
      </c>
    </row>
    <row r="3294" ht="16.5" customHeight="1">
      <c r="A3294" s="15" t="str">
        <f>Solieusap!A3294</f>
        <v/>
      </c>
      <c r="B3294" s="15" t="str">
        <f>Solieusap!B3294</f>
        <v/>
      </c>
      <c r="C3294" s="15" t="str">
        <f>Solieusap!C3294</f>
        <v/>
      </c>
      <c r="D3294" s="15" t="str">
        <f>Solieusap!D3294</f>
        <v/>
      </c>
      <c r="E3294" s="16">
        <f>ABS(Solieusap!E3294)</f>
        <v>0</v>
      </c>
      <c r="F3294" s="16">
        <f>ABS(Solieusap!F3294)</f>
        <v>0</v>
      </c>
      <c r="G3294" s="16">
        <f>ABS(Solieusap!G3294)</f>
        <v>0</v>
      </c>
      <c r="H3294" s="16">
        <f>ABS(Solieusap!H3294)</f>
        <v>0</v>
      </c>
      <c r="I3294" s="16">
        <f>ABS(Solieusap!I3294)</f>
        <v>0</v>
      </c>
      <c r="J3294" s="16">
        <f>ABS(Solieusap!J3294)</f>
        <v>0</v>
      </c>
      <c r="K3294" s="16">
        <f t="shared" si="1"/>
        <v>0</v>
      </c>
      <c r="L3294" s="16">
        <f t="shared" si="2"/>
        <v>0</v>
      </c>
    </row>
    <row r="3295" ht="16.5" customHeight="1">
      <c r="A3295" s="15" t="str">
        <f>Solieusap!A3295</f>
        <v/>
      </c>
      <c r="B3295" s="15" t="str">
        <f>Solieusap!B3295</f>
        <v/>
      </c>
      <c r="C3295" s="15" t="str">
        <f>Solieusap!C3295</f>
        <v/>
      </c>
      <c r="D3295" s="15" t="str">
        <f>Solieusap!D3295</f>
        <v/>
      </c>
      <c r="E3295" s="16">
        <f>ABS(Solieusap!E3295)</f>
        <v>0</v>
      </c>
      <c r="F3295" s="16">
        <f>ABS(Solieusap!F3295)</f>
        <v>0</v>
      </c>
      <c r="G3295" s="16">
        <f>ABS(Solieusap!G3295)</f>
        <v>0</v>
      </c>
      <c r="H3295" s="16">
        <f>ABS(Solieusap!H3295)</f>
        <v>0</v>
      </c>
      <c r="I3295" s="16">
        <f>ABS(Solieusap!I3295)</f>
        <v>0</v>
      </c>
      <c r="J3295" s="16">
        <f>ABS(Solieusap!J3295)</f>
        <v>0</v>
      </c>
      <c r="K3295" s="16">
        <f t="shared" si="1"/>
        <v>0</v>
      </c>
      <c r="L3295" s="16">
        <f t="shared" si="2"/>
        <v>0</v>
      </c>
    </row>
    <row r="3296" ht="16.5" customHeight="1">
      <c r="A3296" s="15" t="str">
        <f>Solieusap!A3296</f>
        <v/>
      </c>
      <c r="B3296" s="15" t="str">
        <f>Solieusap!B3296</f>
        <v/>
      </c>
      <c r="C3296" s="15" t="str">
        <f>Solieusap!C3296</f>
        <v/>
      </c>
      <c r="D3296" s="15" t="str">
        <f>Solieusap!D3296</f>
        <v/>
      </c>
      <c r="E3296" s="16">
        <f>ABS(Solieusap!E3296)</f>
        <v>0</v>
      </c>
      <c r="F3296" s="16">
        <f>ABS(Solieusap!F3296)</f>
        <v>0</v>
      </c>
      <c r="G3296" s="16">
        <f>ABS(Solieusap!G3296)</f>
        <v>0</v>
      </c>
      <c r="H3296" s="16">
        <f>ABS(Solieusap!H3296)</f>
        <v>0</v>
      </c>
      <c r="I3296" s="16">
        <f>ABS(Solieusap!I3296)</f>
        <v>0</v>
      </c>
      <c r="J3296" s="16">
        <f>ABS(Solieusap!J3296)</f>
        <v>0</v>
      </c>
      <c r="K3296" s="16">
        <f t="shared" si="1"/>
        <v>0</v>
      </c>
      <c r="L3296" s="16">
        <f t="shared" si="2"/>
        <v>0</v>
      </c>
    </row>
    <row r="3297" ht="16.5" customHeight="1">
      <c r="A3297" s="15" t="str">
        <f>Solieusap!A3297</f>
        <v/>
      </c>
      <c r="B3297" s="15" t="str">
        <f>Solieusap!B3297</f>
        <v/>
      </c>
      <c r="C3297" s="15" t="str">
        <f>Solieusap!C3297</f>
        <v/>
      </c>
      <c r="D3297" s="15" t="str">
        <f>Solieusap!D3297</f>
        <v/>
      </c>
      <c r="E3297" s="16">
        <f>ABS(Solieusap!E3297)</f>
        <v>0</v>
      </c>
      <c r="F3297" s="16">
        <f>ABS(Solieusap!F3297)</f>
        <v>0</v>
      </c>
      <c r="G3297" s="16">
        <f>ABS(Solieusap!G3297)</f>
        <v>0</v>
      </c>
      <c r="H3297" s="16">
        <f>ABS(Solieusap!H3297)</f>
        <v>0</v>
      </c>
      <c r="I3297" s="16">
        <f>ABS(Solieusap!I3297)</f>
        <v>0</v>
      </c>
      <c r="J3297" s="16">
        <f>ABS(Solieusap!J3297)</f>
        <v>0</v>
      </c>
      <c r="K3297" s="16">
        <f t="shared" si="1"/>
        <v>0</v>
      </c>
      <c r="L3297" s="16">
        <f t="shared" si="2"/>
        <v>0</v>
      </c>
    </row>
    <row r="3298" ht="16.5" customHeight="1">
      <c r="A3298" s="15" t="str">
        <f>Solieusap!A3298</f>
        <v/>
      </c>
      <c r="B3298" s="15" t="str">
        <f>Solieusap!B3298</f>
        <v/>
      </c>
      <c r="C3298" s="15" t="str">
        <f>Solieusap!C3298</f>
        <v/>
      </c>
      <c r="D3298" s="15" t="str">
        <f>Solieusap!D3298</f>
        <v/>
      </c>
      <c r="E3298" s="16">
        <f>ABS(Solieusap!E3298)</f>
        <v>0</v>
      </c>
      <c r="F3298" s="16">
        <f>ABS(Solieusap!F3298)</f>
        <v>0</v>
      </c>
      <c r="G3298" s="16">
        <f>ABS(Solieusap!G3298)</f>
        <v>0</v>
      </c>
      <c r="H3298" s="16">
        <f>ABS(Solieusap!H3298)</f>
        <v>0</v>
      </c>
      <c r="I3298" s="16">
        <f>ABS(Solieusap!I3298)</f>
        <v>0</v>
      </c>
      <c r="J3298" s="16">
        <f>ABS(Solieusap!J3298)</f>
        <v>0</v>
      </c>
      <c r="K3298" s="16">
        <f t="shared" si="1"/>
        <v>0</v>
      </c>
      <c r="L3298" s="16">
        <f t="shared" si="2"/>
        <v>0</v>
      </c>
    </row>
    <row r="3299" ht="16.5" customHeight="1">
      <c r="A3299" s="15" t="str">
        <f>Solieusap!A3299</f>
        <v/>
      </c>
      <c r="B3299" s="15" t="str">
        <f>Solieusap!B3299</f>
        <v/>
      </c>
      <c r="C3299" s="15" t="str">
        <f>Solieusap!C3299</f>
        <v/>
      </c>
      <c r="D3299" s="15" t="str">
        <f>Solieusap!D3299</f>
        <v/>
      </c>
      <c r="E3299" s="16">
        <f>ABS(Solieusap!E3299)</f>
        <v>0</v>
      </c>
      <c r="F3299" s="16">
        <f>ABS(Solieusap!F3299)</f>
        <v>0</v>
      </c>
      <c r="G3299" s="16">
        <f>ABS(Solieusap!G3299)</f>
        <v>0</v>
      </c>
      <c r="H3299" s="16">
        <f>ABS(Solieusap!H3299)</f>
        <v>0</v>
      </c>
      <c r="I3299" s="16">
        <f>ABS(Solieusap!I3299)</f>
        <v>0</v>
      </c>
      <c r="J3299" s="16">
        <f>ABS(Solieusap!J3299)</f>
        <v>0</v>
      </c>
      <c r="K3299" s="16">
        <f t="shared" si="1"/>
        <v>0</v>
      </c>
      <c r="L3299" s="16">
        <f t="shared" si="2"/>
        <v>0</v>
      </c>
    </row>
    <row r="3300" ht="16.5" customHeight="1">
      <c r="A3300" s="15" t="str">
        <f>Solieusap!A3300</f>
        <v/>
      </c>
      <c r="B3300" s="15" t="str">
        <f>Solieusap!B3300</f>
        <v/>
      </c>
      <c r="C3300" s="15" t="str">
        <f>Solieusap!C3300</f>
        <v/>
      </c>
      <c r="D3300" s="15" t="str">
        <f>Solieusap!D3300</f>
        <v/>
      </c>
      <c r="E3300" s="16">
        <f>ABS(Solieusap!E3300)</f>
        <v>0</v>
      </c>
      <c r="F3300" s="16">
        <f>ABS(Solieusap!F3300)</f>
        <v>0</v>
      </c>
      <c r="G3300" s="16">
        <f>ABS(Solieusap!G3300)</f>
        <v>0</v>
      </c>
      <c r="H3300" s="16">
        <f>ABS(Solieusap!H3300)</f>
        <v>0</v>
      </c>
      <c r="I3300" s="16">
        <f>ABS(Solieusap!I3300)</f>
        <v>0</v>
      </c>
      <c r="J3300" s="16">
        <f>ABS(Solieusap!J3300)</f>
        <v>0</v>
      </c>
      <c r="K3300" s="16">
        <f t="shared" si="1"/>
        <v>0</v>
      </c>
      <c r="L3300" s="16">
        <f t="shared" si="2"/>
        <v>0</v>
      </c>
    </row>
    <row r="3301" ht="16.5" customHeight="1">
      <c r="A3301" s="15" t="str">
        <f>Solieusap!A3301</f>
        <v/>
      </c>
      <c r="B3301" s="15" t="str">
        <f>Solieusap!B3301</f>
        <v/>
      </c>
      <c r="C3301" s="15" t="str">
        <f>Solieusap!C3301</f>
        <v/>
      </c>
      <c r="D3301" s="15" t="str">
        <f>Solieusap!D3301</f>
        <v/>
      </c>
      <c r="E3301" s="16">
        <f>ABS(Solieusap!E3301)</f>
        <v>0</v>
      </c>
      <c r="F3301" s="16">
        <f>ABS(Solieusap!F3301)</f>
        <v>0</v>
      </c>
      <c r="G3301" s="16">
        <f>ABS(Solieusap!G3301)</f>
        <v>0</v>
      </c>
      <c r="H3301" s="16">
        <f>ABS(Solieusap!H3301)</f>
        <v>0</v>
      </c>
      <c r="I3301" s="16">
        <f>ABS(Solieusap!I3301)</f>
        <v>0</v>
      </c>
      <c r="J3301" s="16">
        <f>ABS(Solieusap!J3301)</f>
        <v>0</v>
      </c>
      <c r="K3301" s="16">
        <f t="shared" si="1"/>
        <v>0</v>
      </c>
      <c r="L3301" s="16">
        <f t="shared" si="2"/>
        <v>0</v>
      </c>
    </row>
    <row r="3302" ht="16.5" customHeight="1">
      <c r="A3302" s="15" t="str">
        <f>Solieusap!A3302</f>
        <v/>
      </c>
      <c r="B3302" s="15" t="str">
        <f>Solieusap!B3302</f>
        <v/>
      </c>
      <c r="C3302" s="15" t="str">
        <f>Solieusap!C3302</f>
        <v/>
      </c>
      <c r="D3302" s="15" t="str">
        <f>Solieusap!D3302</f>
        <v/>
      </c>
      <c r="E3302" s="16">
        <f>ABS(Solieusap!E3302)</f>
        <v>0</v>
      </c>
      <c r="F3302" s="16">
        <f>ABS(Solieusap!F3302)</f>
        <v>0</v>
      </c>
      <c r="G3302" s="16">
        <f>ABS(Solieusap!G3302)</f>
        <v>0</v>
      </c>
      <c r="H3302" s="16">
        <f>ABS(Solieusap!H3302)</f>
        <v>0</v>
      </c>
      <c r="I3302" s="16">
        <f>ABS(Solieusap!I3302)</f>
        <v>0</v>
      </c>
      <c r="J3302" s="16">
        <f>ABS(Solieusap!J3302)</f>
        <v>0</v>
      </c>
      <c r="K3302" s="16">
        <f t="shared" si="1"/>
        <v>0</v>
      </c>
      <c r="L3302" s="16">
        <f t="shared" si="2"/>
        <v>0</v>
      </c>
    </row>
    <row r="3303" ht="16.5" customHeight="1">
      <c r="A3303" s="15" t="str">
        <f>Solieusap!A3303</f>
        <v/>
      </c>
      <c r="B3303" s="15" t="str">
        <f>Solieusap!B3303</f>
        <v/>
      </c>
      <c r="C3303" s="15" t="str">
        <f>Solieusap!C3303</f>
        <v/>
      </c>
      <c r="D3303" s="15" t="str">
        <f>Solieusap!D3303</f>
        <v/>
      </c>
      <c r="E3303" s="16">
        <f>ABS(Solieusap!E3303)</f>
        <v>0</v>
      </c>
      <c r="F3303" s="16">
        <f>ABS(Solieusap!F3303)</f>
        <v>0</v>
      </c>
      <c r="G3303" s="16">
        <f>ABS(Solieusap!G3303)</f>
        <v>0</v>
      </c>
      <c r="H3303" s="16">
        <f>ABS(Solieusap!H3303)</f>
        <v>0</v>
      </c>
      <c r="I3303" s="16">
        <f>ABS(Solieusap!I3303)</f>
        <v>0</v>
      </c>
      <c r="J3303" s="16">
        <f>ABS(Solieusap!J3303)</f>
        <v>0</v>
      </c>
      <c r="K3303" s="16">
        <f t="shared" si="1"/>
        <v>0</v>
      </c>
      <c r="L3303" s="16">
        <f t="shared" si="2"/>
        <v>0</v>
      </c>
    </row>
    <row r="3304" ht="16.5" customHeight="1">
      <c r="A3304" s="15" t="str">
        <f>Solieusap!A3304</f>
        <v/>
      </c>
      <c r="B3304" s="15" t="str">
        <f>Solieusap!B3304</f>
        <v/>
      </c>
      <c r="C3304" s="15" t="str">
        <f>Solieusap!C3304</f>
        <v/>
      </c>
      <c r="D3304" s="15" t="str">
        <f>Solieusap!D3304</f>
        <v/>
      </c>
      <c r="E3304" s="16">
        <f>ABS(Solieusap!E3304)</f>
        <v>0</v>
      </c>
      <c r="F3304" s="16">
        <f>ABS(Solieusap!F3304)</f>
        <v>0</v>
      </c>
      <c r="G3304" s="16">
        <f>ABS(Solieusap!G3304)</f>
        <v>0</v>
      </c>
      <c r="H3304" s="16">
        <f>ABS(Solieusap!H3304)</f>
        <v>0</v>
      </c>
      <c r="I3304" s="16">
        <f>ABS(Solieusap!I3304)</f>
        <v>0</v>
      </c>
      <c r="J3304" s="16">
        <f>ABS(Solieusap!J3304)</f>
        <v>0</v>
      </c>
      <c r="K3304" s="16">
        <f t="shared" si="1"/>
        <v>0</v>
      </c>
      <c r="L3304" s="16">
        <f t="shared" si="2"/>
        <v>0</v>
      </c>
    </row>
    <row r="3305" ht="16.5" customHeight="1">
      <c r="A3305" s="15" t="str">
        <f>Solieusap!A3305</f>
        <v/>
      </c>
      <c r="B3305" s="15" t="str">
        <f>Solieusap!B3305</f>
        <v/>
      </c>
      <c r="C3305" s="15" t="str">
        <f>Solieusap!C3305</f>
        <v/>
      </c>
      <c r="D3305" s="15" t="str">
        <f>Solieusap!D3305</f>
        <v/>
      </c>
      <c r="E3305" s="16">
        <f>ABS(Solieusap!E3305)</f>
        <v>0</v>
      </c>
      <c r="F3305" s="16">
        <f>ABS(Solieusap!F3305)</f>
        <v>0</v>
      </c>
      <c r="G3305" s="16">
        <f>ABS(Solieusap!G3305)</f>
        <v>0</v>
      </c>
      <c r="H3305" s="16">
        <f>ABS(Solieusap!H3305)</f>
        <v>0</v>
      </c>
      <c r="I3305" s="16">
        <f>ABS(Solieusap!I3305)</f>
        <v>0</v>
      </c>
      <c r="J3305" s="16">
        <f>ABS(Solieusap!J3305)</f>
        <v>0</v>
      </c>
      <c r="K3305" s="16">
        <f t="shared" si="1"/>
        <v>0</v>
      </c>
      <c r="L3305" s="16">
        <f t="shared" si="2"/>
        <v>0</v>
      </c>
    </row>
    <row r="3306" ht="16.5" customHeight="1">
      <c r="A3306" s="15" t="str">
        <f>Solieusap!A3306</f>
        <v/>
      </c>
      <c r="B3306" s="15" t="str">
        <f>Solieusap!B3306</f>
        <v/>
      </c>
      <c r="C3306" s="15" t="str">
        <f>Solieusap!C3306</f>
        <v/>
      </c>
      <c r="D3306" s="15" t="str">
        <f>Solieusap!D3306</f>
        <v/>
      </c>
      <c r="E3306" s="16">
        <f>ABS(Solieusap!E3306)</f>
        <v>0</v>
      </c>
      <c r="F3306" s="16">
        <f>ABS(Solieusap!F3306)</f>
        <v>0</v>
      </c>
      <c r="G3306" s="16">
        <f>ABS(Solieusap!G3306)</f>
        <v>0</v>
      </c>
      <c r="H3306" s="16">
        <f>ABS(Solieusap!H3306)</f>
        <v>0</v>
      </c>
      <c r="I3306" s="16">
        <f>ABS(Solieusap!I3306)</f>
        <v>0</v>
      </c>
      <c r="J3306" s="16">
        <f>ABS(Solieusap!J3306)</f>
        <v>0</v>
      </c>
      <c r="K3306" s="16">
        <f t="shared" si="1"/>
        <v>0</v>
      </c>
      <c r="L3306" s="16">
        <f t="shared" si="2"/>
        <v>0</v>
      </c>
    </row>
    <row r="3307" ht="16.5" customHeight="1">
      <c r="A3307" s="15" t="str">
        <f>Solieusap!A3307</f>
        <v/>
      </c>
      <c r="B3307" s="15" t="str">
        <f>Solieusap!B3307</f>
        <v/>
      </c>
      <c r="C3307" s="15" t="str">
        <f>Solieusap!C3307</f>
        <v/>
      </c>
      <c r="D3307" s="15" t="str">
        <f>Solieusap!D3307</f>
        <v/>
      </c>
      <c r="E3307" s="16">
        <f>ABS(Solieusap!E3307)</f>
        <v>0</v>
      </c>
      <c r="F3307" s="16">
        <f>ABS(Solieusap!F3307)</f>
        <v>0</v>
      </c>
      <c r="G3307" s="16">
        <f>ABS(Solieusap!G3307)</f>
        <v>0</v>
      </c>
      <c r="H3307" s="16">
        <f>ABS(Solieusap!H3307)</f>
        <v>0</v>
      </c>
      <c r="I3307" s="16">
        <f>ABS(Solieusap!I3307)</f>
        <v>0</v>
      </c>
      <c r="J3307" s="16">
        <f>ABS(Solieusap!J3307)</f>
        <v>0</v>
      </c>
      <c r="K3307" s="16">
        <f t="shared" si="1"/>
        <v>0</v>
      </c>
      <c r="L3307" s="16">
        <f t="shared" si="2"/>
        <v>0</v>
      </c>
    </row>
    <row r="3308" ht="16.5" customHeight="1">
      <c r="A3308" s="15" t="str">
        <f>Solieusap!A3308</f>
        <v/>
      </c>
      <c r="B3308" s="15" t="str">
        <f>Solieusap!B3308</f>
        <v/>
      </c>
      <c r="C3308" s="15" t="str">
        <f>Solieusap!C3308</f>
        <v/>
      </c>
      <c r="D3308" s="15" t="str">
        <f>Solieusap!D3308</f>
        <v/>
      </c>
      <c r="E3308" s="16">
        <f>ABS(Solieusap!E3308)</f>
        <v>0</v>
      </c>
      <c r="F3308" s="16">
        <f>ABS(Solieusap!F3308)</f>
        <v>0</v>
      </c>
      <c r="G3308" s="16">
        <f>ABS(Solieusap!G3308)</f>
        <v>0</v>
      </c>
      <c r="H3308" s="16">
        <f>ABS(Solieusap!H3308)</f>
        <v>0</v>
      </c>
      <c r="I3308" s="16">
        <f>ABS(Solieusap!I3308)</f>
        <v>0</v>
      </c>
      <c r="J3308" s="16">
        <f>ABS(Solieusap!J3308)</f>
        <v>0</v>
      </c>
      <c r="K3308" s="16">
        <f t="shared" si="1"/>
        <v>0</v>
      </c>
      <c r="L3308" s="16">
        <f t="shared" si="2"/>
        <v>0</v>
      </c>
    </row>
    <row r="3309" ht="16.5" customHeight="1">
      <c r="A3309" s="15" t="str">
        <f>Solieusap!A3309</f>
        <v/>
      </c>
      <c r="B3309" s="15" t="str">
        <f>Solieusap!B3309</f>
        <v/>
      </c>
      <c r="C3309" s="15" t="str">
        <f>Solieusap!C3309</f>
        <v/>
      </c>
      <c r="D3309" s="15" t="str">
        <f>Solieusap!D3309</f>
        <v/>
      </c>
      <c r="E3309" s="16">
        <f>ABS(Solieusap!E3309)</f>
        <v>0</v>
      </c>
      <c r="F3309" s="16">
        <f>ABS(Solieusap!F3309)</f>
        <v>0</v>
      </c>
      <c r="G3309" s="16">
        <f>ABS(Solieusap!G3309)</f>
        <v>0</v>
      </c>
      <c r="H3309" s="16">
        <f>ABS(Solieusap!H3309)</f>
        <v>0</v>
      </c>
      <c r="I3309" s="16">
        <f>ABS(Solieusap!I3309)</f>
        <v>0</v>
      </c>
      <c r="J3309" s="16">
        <f>ABS(Solieusap!J3309)</f>
        <v>0</v>
      </c>
      <c r="K3309" s="16">
        <f t="shared" si="1"/>
        <v>0</v>
      </c>
      <c r="L3309" s="16">
        <f t="shared" si="2"/>
        <v>0</v>
      </c>
    </row>
    <row r="3310" ht="16.5" customHeight="1">
      <c r="A3310" s="15" t="str">
        <f>Solieusap!A3310</f>
        <v/>
      </c>
      <c r="B3310" s="15" t="str">
        <f>Solieusap!B3310</f>
        <v/>
      </c>
      <c r="C3310" s="15" t="str">
        <f>Solieusap!C3310</f>
        <v/>
      </c>
      <c r="D3310" s="15" t="str">
        <f>Solieusap!D3310</f>
        <v/>
      </c>
      <c r="E3310" s="16">
        <f>ABS(Solieusap!E3310)</f>
        <v>0</v>
      </c>
      <c r="F3310" s="16">
        <f>ABS(Solieusap!F3310)</f>
        <v>0</v>
      </c>
      <c r="G3310" s="16">
        <f>ABS(Solieusap!G3310)</f>
        <v>0</v>
      </c>
      <c r="H3310" s="16">
        <f>ABS(Solieusap!H3310)</f>
        <v>0</v>
      </c>
      <c r="I3310" s="16">
        <f>ABS(Solieusap!I3310)</f>
        <v>0</v>
      </c>
      <c r="J3310" s="16">
        <f>ABS(Solieusap!J3310)</f>
        <v>0</v>
      </c>
      <c r="K3310" s="16">
        <f t="shared" si="1"/>
        <v>0</v>
      </c>
      <c r="L3310" s="16">
        <f t="shared" si="2"/>
        <v>0</v>
      </c>
    </row>
    <row r="3311" ht="16.5" customHeight="1">
      <c r="A3311" s="15" t="str">
        <f>Solieusap!A3311</f>
        <v/>
      </c>
      <c r="B3311" s="15" t="str">
        <f>Solieusap!B3311</f>
        <v/>
      </c>
      <c r="C3311" s="15" t="str">
        <f>Solieusap!C3311</f>
        <v/>
      </c>
      <c r="D3311" s="15" t="str">
        <f>Solieusap!D3311</f>
        <v/>
      </c>
      <c r="E3311" s="16">
        <f>ABS(Solieusap!E3311)</f>
        <v>0</v>
      </c>
      <c r="F3311" s="16">
        <f>ABS(Solieusap!F3311)</f>
        <v>0</v>
      </c>
      <c r="G3311" s="16">
        <f>ABS(Solieusap!G3311)</f>
        <v>0</v>
      </c>
      <c r="H3311" s="16">
        <f>ABS(Solieusap!H3311)</f>
        <v>0</v>
      </c>
      <c r="I3311" s="16">
        <f>ABS(Solieusap!I3311)</f>
        <v>0</v>
      </c>
      <c r="J3311" s="16">
        <f>ABS(Solieusap!J3311)</f>
        <v>0</v>
      </c>
      <c r="K3311" s="16">
        <f t="shared" si="1"/>
        <v>0</v>
      </c>
      <c r="L3311" s="16">
        <f t="shared" si="2"/>
        <v>0</v>
      </c>
    </row>
    <row r="3312" ht="16.5" customHeight="1">
      <c r="A3312" s="15" t="str">
        <f>Solieusap!A3312</f>
        <v/>
      </c>
      <c r="B3312" s="15" t="str">
        <f>Solieusap!B3312</f>
        <v/>
      </c>
      <c r="C3312" s="15" t="str">
        <f>Solieusap!C3312</f>
        <v/>
      </c>
      <c r="D3312" s="15" t="str">
        <f>Solieusap!D3312</f>
        <v/>
      </c>
      <c r="E3312" s="16">
        <f>ABS(Solieusap!E3312)</f>
        <v>0</v>
      </c>
      <c r="F3312" s="16">
        <f>ABS(Solieusap!F3312)</f>
        <v>0</v>
      </c>
      <c r="G3312" s="16">
        <f>ABS(Solieusap!G3312)</f>
        <v>0</v>
      </c>
      <c r="H3312" s="16">
        <f>ABS(Solieusap!H3312)</f>
        <v>0</v>
      </c>
      <c r="I3312" s="16">
        <f>ABS(Solieusap!I3312)</f>
        <v>0</v>
      </c>
      <c r="J3312" s="16">
        <f>ABS(Solieusap!J3312)</f>
        <v>0</v>
      </c>
      <c r="K3312" s="16">
        <f t="shared" si="1"/>
        <v>0</v>
      </c>
      <c r="L3312" s="16">
        <f t="shared" si="2"/>
        <v>0</v>
      </c>
    </row>
    <row r="3313" ht="16.5" customHeight="1">
      <c r="A3313" s="15" t="str">
        <f>Solieusap!A3313</f>
        <v/>
      </c>
      <c r="B3313" s="15" t="str">
        <f>Solieusap!B3313</f>
        <v/>
      </c>
      <c r="C3313" s="15" t="str">
        <f>Solieusap!C3313</f>
        <v/>
      </c>
      <c r="D3313" s="15" t="str">
        <f>Solieusap!D3313</f>
        <v/>
      </c>
      <c r="E3313" s="16">
        <f>ABS(Solieusap!E3313)</f>
        <v>0</v>
      </c>
      <c r="F3313" s="16">
        <f>ABS(Solieusap!F3313)</f>
        <v>0</v>
      </c>
      <c r="G3313" s="16">
        <f>ABS(Solieusap!G3313)</f>
        <v>0</v>
      </c>
      <c r="H3313" s="16">
        <f>ABS(Solieusap!H3313)</f>
        <v>0</v>
      </c>
      <c r="I3313" s="16">
        <f>ABS(Solieusap!I3313)</f>
        <v>0</v>
      </c>
      <c r="J3313" s="16">
        <f>ABS(Solieusap!J3313)</f>
        <v>0</v>
      </c>
      <c r="K3313" s="16">
        <f t="shared" si="1"/>
        <v>0</v>
      </c>
      <c r="L3313" s="16">
        <f t="shared" si="2"/>
        <v>0</v>
      </c>
    </row>
    <row r="3314" ht="16.5" customHeight="1">
      <c r="A3314" s="15" t="str">
        <f>Solieusap!A3314</f>
        <v/>
      </c>
      <c r="B3314" s="15" t="str">
        <f>Solieusap!B3314</f>
        <v/>
      </c>
      <c r="C3314" s="15" t="str">
        <f>Solieusap!C3314</f>
        <v/>
      </c>
      <c r="D3314" s="15" t="str">
        <f>Solieusap!D3314</f>
        <v/>
      </c>
      <c r="E3314" s="16">
        <f>ABS(Solieusap!E3314)</f>
        <v>0</v>
      </c>
      <c r="F3314" s="16">
        <f>ABS(Solieusap!F3314)</f>
        <v>0</v>
      </c>
      <c r="G3314" s="16">
        <f>ABS(Solieusap!G3314)</f>
        <v>0</v>
      </c>
      <c r="H3314" s="16">
        <f>ABS(Solieusap!H3314)</f>
        <v>0</v>
      </c>
      <c r="I3314" s="16">
        <f>ABS(Solieusap!I3314)</f>
        <v>0</v>
      </c>
      <c r="J3314" s="16">
        <f>ABS(Solieusap!J3314)</f>
        <v>0</v>
      </c>
      <c r="K3314" s="16">
        <f t="shared" si="1"/>
        <v>0</v>
      </c>
      <c r="L3314" s="16">
        <f t="shared" si="2"/>
        <v>0</v>
      </c>
    </row>
    <row r="3315" ht="16.5" customHeight="1">
      <c r="A3315" s="15" t="str">
        <f>Solieusap!A3315</f>
        <v/>
      </c>
      <c r="B3315" s="15" t="str">
        <f>Solieusap!B3315</f>
        <v/>
      </c>
      <c r="C3315" s="15" t="str">
        <f>Solieusap!C3315</f>
        <v/>
      </c>
      <c r="D3315" s="15" t="str">
        <f>Solieusap!D3315</f>
        <v/>
      </c>
      <c r="E3315" s="16">
        <f>ABS(Solieusap!E3315)</f>
        <v>0</v>
      </c>
      <c r="F3315" s="16">
        <f>ABS(Solieusap!F3315)</f>
        <v>0</v>
      </c>
      <c r="G3315" s="16">
        <f>ABS(Solieusap!G3315)</f>
        <v>0</v>
      </c>
      <c r="H3315" s="16">
        <f>ABS(Solieusap!H3315)</f>
        <v>0</v>
      </c>
      <c r="I3315" s="16">
        <f>ABS(Solieusap!I3315)</f>
        <v>0</v>
      </c>
      <c r="J3315" s="16">
        <f>ABS(Solieusap!J3315)</f>
        <v>0</v>
      </c>
      <c r="K3315" s="16">
        <f t="shared" si="1"/>
        <v>0</v>
      </c>
      <c r="L3315" s="16">
        <f t="shared" si="2"/>
        <v>0</v>
      </c>
    </row>
    <row r="3316" ht="16.5" customHeight="1">
      <c r="A3316" s="15" t="str">
        <f>Solieusap!A3316</f>
        <v/>
      </c>
      <c r="B3316" s="15" t="str">
        <f>Solieusap!B3316</f>
        <v/>
      </c>
      <c r="C3316" s="15" t="str">
        <f>Solieusap!C3316</f>
        <v/>
      </c>
      <c r="D3316" s="15" t="str">
        <f>Solieusap!D3316</f>
        <v/>
      </c>
      <c r="E3316" s="16">
        <f>ABS(Solieusap!E3316)</f>
        <v>0</v>
      </c>
      <c r="F3316" s="16">
        <f>ABS(Solieusap!F3316)</f>
        <v>0</v>
      </c>
      <c r="G3316" s="16">
        <f>ABS(Solieusap!G3316)</f>
        <v>0</v>
      </c>
      <c r="H3316" s="16">
        <f>ABS(Solieusap!H3316)</f>
        <v>0</v>
      </c>
      <c r="I3316" s="16">
        <f>ABS(Solieusap!I3316)</f>
        <v>0</v>
      </c>
      <c r="J3316" s="16">
        <f>ABS(Solieusap!J3316)</f>
        <v>0</v>
      </c>
      <c r="K3316" s="16">
        <f t="shared" si="1"/>
        <v>0</v>
      </c>
      <c r="L3316" s="16">
        <f t="shared" si="2"/>
        <v>0</v>
      </c>
    </row>
    <row r="3317" ht="16.5" customHeight="1">
      <c r="A3317" s="15" t="str">
        <f>Solieusap!A3317</f>
        <v/>
      </c>
      <c r="B3317" s="15" t="str">
        <f>Solieusap!B3317</f>
        <v/>
      </c>
      <c r="C3317" s="15" t="str">
        <f>Solieusap!C3317</f>
        <v/>
      </c>
      <c r="D3317" s="15" t="str">
        <f>Solieusap!D3317</f>
        <v/>
      </c>
      <c r="E3317" s="16">
        <f>ABS(Solieusap!E3317)</f>
        <v>0</v>
      </c>
      <c r="F3317" s="16">
        <f>ABS(Solieusap!F3317)</f>
        <v>0</v>
      </c>
      <c r="G3317" s="16">
        <f>ABS(Solieusap!G3317)</f>
        <v>0</v>
      </c>
      <c r="H3317" s="16">
        <f>ABS(Solieusap!H3317)</f>
        <v>0</v>
      </c>
      <c r="I3317" s="16">
        <f>ABS(Solieusap!I3317)</f>
        <v>0</v>
      </c>
      <c r="J3317" s="16">
        <f>ABS(Solieusap!J3317)</f>
        <v>0</v>
      </c>
      <c r="K3317" s="16">
        <f t="shared" si="1"/>
        <v>0</v>
      </c>
      <c r="L3317" s="16">
        <f t="shared" si="2"/>
        <v>0</v>
      </c>
    </row>
    <row r="3318" ht="16.5" customHeight="1">
      <c r="A3318" s="15" t="str">
        <f>Solieusap!A3318</f>
        <v/>
      </c>
      <c r="B3318" s="15" t="str">
        <f>Solieusap!B3318</f>
        <v/>
      </c>
      <c r="C3318" s="15" t="str">
        <f>Solieusap!C3318</f>
        <v/>
      </c>
      <c r="D3318" s="15" t="str">
        <f>Solieusap!D3318</f>
        <v/>
      </c>
      <c r="E3318" s="16">
        <f>ABS(Solieusap!E3318)</f>
        <v>0</v>
      </c>
      <c r="F3318" s="16">
        <f>ABS(Solieusap!F3318)</f>
        <v>0</v>
      </c>
      <c r="G3318" s="16">
        <f>ABS(Solieusap!G3318)</f>
        <v>0</v>
      </c>
      <c r="H3318" s="16">
        <f>ABS(Solieusap!H3318)</f>
        <v>0</v>
      </c>
      <c r="I3318" s="16">
        <f>ABS(Solieusap!I3318)</f>
        <v>0</v>
      </c>
      <c r="J3318" s="16">
        <f>ABS(Solieusap!J3318)</f>
        <v>0</v>
      </c>
      <c r="K3318" s="16">
        <f t="shared" si="1"/>
        <v>0</v>
      </c>
      <c r="L3318" s="16">
        <f t="shared" si="2"/>
        <v>0</v>
      </c>
    </row>
    <row r="3319" ht="16.5" customHeight="1">
      <c r="A3319" s="15" t="str">
        <f>Solieusap!A3319</f>
        <v/>
      </c>
      <c r="B3319" s="15" t="str">
        <f>Solieusap!B3319</f>
        <v/>
      </c>
      <c r="C3319" s="15" t="str">
        <f>Solieusap!C3319</f>
        <v/>
      </c>
      <c r="D3319" s="15" t="str">
        <f>Solieusap!D3319</f>
        <v/>
      </c>
      <c r="E3319" s="16">
        <f>ABS(Solieusap!E3319)</f>
        <v>0</v>
      </c>
      <c r="F3319" s="16">
        <f>ABS(Solieusap!F3319)</f>
        <v>0</v>
      </c>
      <c r="G3319" s="16">
        <f>ABS(Solieusap!G3319)</f>
        <v>0</v>
      </c>
      <c r="H3319" s="16">
        <f>ABS(Solieusap!H3319)</f>
        <v>0</v>
      </c>
      <c r="I3319" s="16">
        <f>ABS(Solieusap!I3319)</f>
        <v>0</v>
      </c>
      <c r="J3319" s="16">
        <f>ABS(Solieusap!J3319)</f>
        <v>0</v>
      </c>
      <c r="K3319" s="16">
        <f t="shared" si="1"/>
        <v>0</v>
      </c>
      <c r="L3319" s="16">
        <f t="shared" si="2"/>
        <v>0</v>
      </c>
    </row>
    <row r="3320" ht="16.5" customHeight="1">
      <c r="A3320" s="15" t="str">
        <f>Solieusap!A3320</f>
        <v/>
      </c>
      <c r="B3320" s="15" t="str">
        <f>Solieusap!B3320</f>
        <v/>
      </c>
      <c r="C3320" s="15" t="str">
        <f>Solieusap!C3320</f>
        <v/>
      </c>
      <c r="D3320" s="15" t="str">
        <f>Solieusap!D3320</f>
        <v/>
      </c>
      <c r="E3320" s="16">
        <f>ABS(Solieusap!E3320)</f>
        <v>0</v>
      </c>
      <c r="F3320" s="16">
        <f>ABS(Solieusap!F3320)</f>
        <v>0</v>
      </c>
      <c r="G3320" s="16">
        <f>ABS(Solieusap!G3320)</f>
        <v>0</v>
      </c>
      <c r="H3320" s="16">
        <f>ABS(Solieusap!H3320)</f>
        <v>0</v>
      </c>
      <c r="I3320" s="16">
        <f>ABS(Solieusap!I3320)</f>
        <v>0</v>
      </c>
      <c r="J3320" s="16">
        <f>ABS(Solieusap!J3320)</f>
        <v>0</v>
      </c>
      <c r="K3320" s="16">
        <f t="shared" si="1"/>
        <v>0</v>
      </c>
      <c r="L3320" s="16">
        <f t="shared" si="2"/>
        <v>0</v>
      </c>
    </row>
    <row r="3321" ht="16.5" customHeight="1">
      <c r="A3321" s="15" t="str">
        <f>Solieusap!A3321</f>
        <v/>
      </c>
      <c r="B3321" s="15" t="str">
        <f>Solieusap!B3321</f>
        <v/>
      </c>
      <c r="C3321" s="15" t="str">
        <f>Solieusap!C3321</f>
        <v/>
      </c>
      <c r="D3321" s="15" t="str">
        <f>Solieusap!D3321</f>
        <v/>
      </c>
      <c r="E3321" s="16">
        <f>ABS(Solieusap!E3321)</f>
        <v>0</v>
      </c>
      <c r="F3321" s="16">
        <f>ABS(Solieusap!F3321)</f>
        <v>0</v>
      </c>
      <c r="G3321" s="16">
        <f>ABS(Solieusap!G3321)</f>
        <v>0</v>
      </c>
      <c r="H3321" s="16">
        <f>ABS(Solieusap!H3321)</f>
        <v>0</v>
      </c>
      <c r="I3321" s="16">
        <f>ABS(Solieusap!I3321)</f>
        <v>0</v>
      </c>
      <c r="J3321" s="16">
        <f>ABS(Solieusap!J3321)</f>
        <v>0</v>
      </c>
      <c r="K3321" s="16">
        <f t="shared" si="1"/>
        <v>0</v>
      </c>
      <c r="L3321" s="16">
        <f t="shared" si="2"/>
        <v>0</v>
      </c>
    </row>
    <row r="3322" ht="16.5" customHeight="1">
      <c r="A3322" s="15" t="str">
        <f>Solieusap!A3322</f>
        <v/>
      </c>
      <c r="B3322" s="15" t="str">
        <f>Solieusap!B3322</f>
        <v/>
      </c>
      <c r="C3322" s="15" t="str">
        <f>Solieusap!C3322</f>
        <v/>
      </c>
      <c r="D3322" s="15" t="str">
        <f>Solieusap!D3322</f>
        <v/>
      </c>
      <c r="E3322" s="16">
        <f>ABS(Solieusap!E3322)</f>
        <v>0</v>
      </c>
      <c r="F3322" s="16">
        <f>ABS(Solieusap!F3322)</f>
        <v>0</v>
      </c>
      <c r="G3322" s="16">
        <f>ABS(Solieusap!G3322)</f>
        <v>0</v>
      </c>
      <c r="H3322" s="16">
        <f>ABS(Solieusap!H3322)</f>
        <v>0</v>
      </c>
      <c r="I3322" s="16">
        <f>ABS(Solieusap!I3322)</f>
        <v>0</v>
      </c>
      <c r="J3322" s="16">
        <f>ABS(Solieusap!J3322)</f>
        <v>0</v>
      </c>
      <c r="K3322" s="16">
        <f t="shared" si="1"/>
        <v>0</v>
      </c>
      <c r="L3322" s="16">
        <f t="shared" si="2"/>
        <v>0</v>
      </c>
    </row>
    <row r="3323" ht="16.5" customHeight="1">
      <c r="A3323" s="15" t="str">
        <f>Solieusap!A3323</f>
        <v/>
      </c>
      <c r="B3323" s="15" t="str">
        <f>Solieusap!B3323</f>
        <v/>
      </c>
      <c r="C3323" s="15" t="str">
        <f>Solieusap!C3323</f>
        <v/>
      </c>
      <c r="D3323" s="15" t="str">
        <f>Solieusap!D3323</f>
        <v/>
      </c>
      <c r="E3323" s="16">
        <f>ABS(Solieusap!E3323)</f>
        <v>0</v>
      </c>
      <c r="F3323" s="16">
        <f>ABS(Solieusap!F3323)</f>
        <v>0</v>
      </c>
      <c r="G3323" s="16">
        <f>ABS(Solieusap!G3323)</f>
        <v>0</v>
      </c>
      <c r="H3323" s="16">
        <f>ABS(Solieusap!H3323)</f>
        <v>0</v>
      </c>
      <c r="I3323" s="16">
        <f>ABS(Solieusap!I3323)</f>
        <v>0</v>
      </c>
      <c r="J3323" s="16">
        <f>ABS(Solieusap!J3323)</f>
        <v>0</v>
      </c>
      <c r="K3323" s="16">
        <f t="shared" si="1"/>
        <v>0</v>
      </c>
      <c r="L3323" s="16">
        <f t="shared" si="2"/>
        <v>0</v>
      </c>
    </row>
    <row r="3324" ht="16.5" customHeight="1">
      <c r="A3324" s="15" t="str">
        <f>Solieusap!A3324</f>
        <v/>
      </c>
      <c r="B3324" s="15" t="str">
        <f>Solieusap!B3324</f>
        <v/>
      </c>
      <c r="C3324" s="15" t="str">
        <f>Solieusap!C3324</f>
        <v/>
      </c>
      <c r="D3324" s="15" t="str">
        <f>Solieusap!D3324</f>
        <v/>
      </c>
      <c r="E3324" s="16">
        <f>ABS(Solieusap!E3324)</f>
        <v>0</v>
      </c>
      <c r="F3324" s="16">
        <f>ABS(Solieusap!F3324)</f>
        <v>0</v>
      </c>
      <c r="G3324" s="16">
        <f>ABS(Solieusap!G3324)</f>
        <v>0</v>
      </c>
      <c r="H3324" s="16">
        <f>ABS(Solieusap!H3324)</f>
        <v>0</v>
      </c>
      <c r="I3324" s="16">
        <f>ABS(Solieusap!I3324)</f>
        <v>0</v>
      </c>
      <c r="J3324" s="16">
        <f>ABS(Solieusap!J3324)</f>
        <v>0</v>
      </c>
      <c r="K3324" s="16">
        <f t="shared" si="1"/>
        <v>0</v>
      </c>
      <c r="L3324" s="16">
        <f t="shared" si="2"/>
        <v>0</v>
      </c>
    </row>
    <row r="3325" ht="16.5" customHeight="1">
      <c r="A3325" s="15" t="str">
        <f>Solieusap!A3325</f>
        <v/>
      </c>
      <c r="B3325" s="15" t="str">
        <f>Solieusap!B3325</f>
        <v/>
      </c>
      <c r="C3325" s="15" t="str">
        <f>Solieusap!C3325</f>
        <v/>
      </c>
      <c r="D3325" s="15" t="str">
        <f>Solieusap!D3325</f>
        <v/>
      </c>
      <c r="E3325" s="16">
        <f>ABS(Solieusap!E3325)</f>
        <v>0</v>
      </c>
      <c r="F3325" s="16">
        <f>ABS(Solieusap!F3325)</f>
        <v>0</v>
      </c>
      <c r="G3325" s="16">
        <f>ABS(Solieusap!G3325)</f>
        <v>0</v>
      </c>
      <c r="H3325" s="16">
        <f>ABS(Solieusap!H3325)</f>
        <v>0</v>
      </c>
      <c r="I3325" s="16">
        <f>ABS(Solieusap!I3325)</f>
        <v>0</v>
      </c>
      <c r="J3325" s="16">
        <f>ABS(Solieusap!J3325)</f>
        <v>0</v>
      </c>
      <c r="K3325" s="16">
        <f t="shared" si="1"/>
        <v>0</v>
      </c>
      <c r="L3325" s="16">
        <f t="shared" si="2"/>
        <v>0</v>
      </c>
    </row>
    <row r="3326" ht="16.5" customHeight="1">
      <c r="A3326" s="15" t="str">
        <f>Solieusap!A3326</f>
        <v/>
      </c>
      <c r="B3326" s="15" t="str">
        <f>Solieusap!B3326</f>
        <v/>
      </c>
      <c r="C3326" s="15" t="str">
        <f>Solieusap!C3326</f>
        <v/>
      </c>
      <c r="D3326" s="15" t="str">
        <f>Solieusap!D3326</f>
        <v/>
      </c>
      <c r="E3326" s="16">
        <f>ABS(Solieusap!E3326)</f>
        <v>0</v>
      </c>
      <c r="F3326" s="16">
        <f>ABS(Solieusap!F3326)</f>
        <v>0</v>
      </c>
      <c r="G3326" s="16">
        <f>ABS(Solieusap!G3326)</f>
        <v>0</v>
      </c>
      <c r="H3326" s="16">
        <f>ABS(Solieusap!H3326)</f>
        <v>0</v>
      </c>
      <c r="I3326" s="16">
        <f>ABS(Solieusap!I3326)</f>
        <v>0</v>
      </c>
      <c r="J3326" s="16">
        <f>ABS(Solieusap!J3326)</f>
        <v>0</v>
      </c>
      <c r="K3326" s="16">
        <f t="shared" si="1"/>
        <v>0</v>
      </c>
      <c r="L3326" s="16">
        <f t="shared" si="2"/>
        <v>0</v>
      </c>
    </row>
    <row r="3327" ht="16.5" customHeight="1">
      <c r="A3327" s="15" t="str">
        <f>Solieusap!A3327</f>
        <v/>
      </c>
      <c r="B3327" s="15" t="str">
        <f>Solieusap!B3327</f>
        <v/>
      </c>
      <c r="C3327" s="15" t="str">
        <f>Solieusap!C3327</f>
        <v/>
      </c>
      <c r="D3327" s="15" t="str">
        <f>Solieusap!D3327</f>
        <v/>
      </c>
      <c r="E3327" s="16">
        <f>ABS(Solieusap!E3327)</f>
        <v>0</v>
      </c>
      <c r="F3327" s="16">
        <f>ABS(Solieusap!F3327)</f>
        <v>0</v>
      </c>
      <c r="G3327" s="16">
        <f>ABS(Solieusap!G3327)</f>
        <v>0</v>
      </c>
      <c r="H3327" s="16">
        <f>ABS(Solieusap!H3327)</f>
        <v>0</v>
      </c>
      <c r="I3327" s="16">
        <f>ABS(Solieusap!I3327)</f>
        <v>0</v>
      </c>
      <c r="J3327" s="16">
        <f>ABS(Solieusap!J3327)</f>
        <v>0</v>
      </c>
      <c r="K3327" s="16">
        <f t="shared" si="1"/>
        <v>0</v>
      </c>
      <c r="L3327" s="16">
        <f t="shared" si="2"/>
        <v>0</v>
      </c>
    </row>
    <row r="3328" ht="16.5" customHeight="1">
      <c r="A3328" s="15" t="str">
        <f>Solieusap!A3328</f>
        <v/>
      </c>
      <c r="B3328" s="15" t="str">
        <f>Solieusap!B3328</f>
        <v/>
      </c>
      <c r="C3328" s="15" t="str">
        <f>Solieusap!C3328</f>
        <v/>
      </c>
      <c r="D3328" s="15" t="str">
        <f>Solieusap!D3328</f>
        <v/>
      </c>
      <c r="E3328" s="16">
        <f>ABS(Solieusap!E3328)</f>
        <v>0</v>
      </c>
      <c r="F3328" s="16">
        <f>ABS(Solieusap!F3328)</f>
        <v>0</v>
      </c>
      <c r="G3328" s="16">
        <f>ABS(Solieusap!G3328)</f>
        <v>0</v>
      </c>
      <c r="H3328" s="16">
        <f>ABS(Solieusap!H3328)</f>
        <v>0</v>
      </c>
      <c r="I3328" s="16">
        <f>ABS(Solieusap!I3328)</f>
        <v>0</v>
      </c>
      <c r="J3328" s="16">
        <f>ABS(Solieusap!J3328)</f>
        <v>0</v>
      </c>
      <c r="K3328" s="16">
        <f t="shared" si="1"/>
        <v>0</v>
      </c>
      <c r="L3328" s="16">
        <f t="shared" si="2"/>
        <v>0</v>
      </c>
    </row>
    <row r="3329" ht="16.5" customHeight="1">
      <c r="A3329" s="15" t="str">
        <f>Solieusap!A3329</f>
        <v/>
      </c>
      <c r="B3329" s="15" t="str">
        <f>Solieusap!B3329</f>
        <v/>
      </c>
      <c r="C3329" s="15" t="str">
        <f>Solieusap!C3329</f>
        <v/>
      </c>
      <c r="D3329" s="15" t="str">
        <f>Solieusap!D3329</f>
        <v/>
      </c>
      <c r="E3329" s="16">
        <f>ABS(Solieusap!E3329)</f>
        <v>0</v>
      </c>
      <c r="F3329" s="16">
        <f>ABS(Solieusap!F3329)</f>
        <v>0</v>
      </c>
      <c r="G3329" s="16">
        <f>ABS(Solieusap!G3329)</f>
        <v>0</v>
      </c>
      <c r="H3329" s="16">
        <f>ABS(Solieusap!H3329)</f>
        <v>0</v>
      </c>
      <c r="I3329" s="16">
        <f>ABS(Solieusap!I3329)</f>
        <v>0</v>
      </c>
      <c r="J3329" s="16">
        <f>ABS(Solieusap!J3329)</f>
        <v>0</v>
      </c>
      <c r="K3329" s="16">
        <f t="shared" si="1"/>
        <v>0</v>
      </c>
      <c r="L3329" s="16">
        <f t="shared" si="2"/>
        <v>0</v>
      </c>
    </row>
    <row r="3330" ht="16.5" customHeight="1">
      <c r="A3330" s="15" t="str">
        <f>Solieusap!A3330</f>
        <v/>
      </c>
      <c r="B3330" s="15" t="str">
        <f>Solieusap!B3330</f>
        <v/>
      </c>
      <c r="C3330" s="15" t="str">
        <f>Solieusap!C3330</f>
        <v/>
      </c>
      <c r="D3330" s="15" t="str">
        <f>Solieusap!D3330</f>
        <v/>
      </c>
      <c r="E3330" s="16">
        <f>ABS(Solieusap!E3330)</f>
        <v>0</v>
      </c>
      <c r="F3330" s="16">
        <f>ABS(Solieusap!F3330)</f>
        <v>0</v>
      </c>
      <c r="G3330" s="16">
        <f>ABS(Solieusap!G3330)</f>
        <v>0</v>
      </c>
      <c r="H3330" s="16">
        <f>ABS(Solieusap!H3330)</f>
        <v>0</v>
      </c>
      <c r="I3330" s="16">
        <f>ABS(Solieusap!I3330)</f>
        <v>0</v>
      </c>
      <c r="J3330" s="16">
        <f>ABS(Solieusap!J3330)</f>
        <v>0</v>
      </c>
      <c r="K3330" s="16">
        <f t="shared" si="1"/>
        <v>0</v>
      </c>
      <c r="L3330" s="16">
        <f t="shared" si="2"/>
        <v>0</v>
      </c>
    </row>
    <row r="3331" ht="16.5" customHeight="1">
      <c r="A3331" s="15" t="str">
        <f>Solieusap!A3331</f>
        <v/>
      </c>
      <c r="B3331" s="15" t="str">
        <f>Solieusap!B3331</f>
        <v/>
      </c>
      <c r="C3331" s="15" t="str">
        <f>Solieusap!C3331</f>
        <v/>
      </c>
      <c r="D3331" s="15" t="str">
        <f>Solieusap!D3331</f>
        <v/>
      </c>
      <c r="E3331" s="16">
        <f>ABS(Solieusap!E3331)</f>
        <v>0</v>
      </c>
      <c r="F3331" s="16">
        <f>ABS(Solieusap!F3331)</f>
        <v>0</v>
      </c>
      <c r="G3331" s="16">
        <f>ABS(Solieusap!G3331)</f>
        <v>0</v>
      </c>
      <c r="H3331" s="16">
        <f>ABS(Solieusap!H3331)</f>
        <v>0</v>
      </c>
      <c r="I3331" s="16">
        <f>ABS(Solieusap!I3331)</f>
        <v>0</v>
      </c>
      <c r="J3331" s="16">
        <f>ABS(Solieusap!J3331)</f>
        <v>0</v>
      </c>
      <c r="K3331" s="16">
        <f t="shared" si="1"/>
        <v>0</v>
      </c>
      <c r="L3331" s="16">
        <f t="shared" si="2"/>
        <v>0</v>
      </c>
    </row>
    <row r="3332" ht="16.5" customHeight="1">
      <c r="A3332" s="15" t="str">
        <f>Solieusap!A3332</f>
        <v/>
      </c>
      <c r="B3332" s="15" t="str">
        <f>Solieusap!B3332</f>
        <v/>
      </c>
      <c r="C3332" s="15" t="str">
        <f>Solieusap!C3332</f>
        <v/>
      </c>
      <c r="D3332" s="15" t="str">
        <f>Solieusap!D3332</f>
        <v/>
      </c>
      <c r="E3332" s="16">
        <f>ABS(Solieusap!E3332)</f>
        <v>0</v>
      </c>
      <c r="F3332" s="16">
        <f>ABS(Solieusap!F3332)</f>
        <v>0</v>
      </c>
      <c r="G3332" s="16">
        <f>ABS(Solieusap!G3332)</f>
        <v>0</v>
      </c>
      <c r="H3332" s="16">
        <f>ABS(Solieusap!H3332)</f>
        <v>0</v>
      </c>
      <c r="I3332" s="16">
        <f>ABS(Solieusap!I3332)</f>
        <v>0</v>
      </c>
      <c r="J3332" s="16">
        <f>ABS(Solieusap!J3332)</f>
        <v>0</v>
      </c>
      <c r="K3332" s="16">
        <f t="shared" si="1"/>
        <v>0</v>
      </c>
      <c r="L3332" s="16">
        <f t="shared" si="2"/>
        <v>0</v>
      </c>
    </row>
    <row r="3333" ht="16.5" customHeight="1">
      <c r="A3333" s="15" t="str">
        <f>Solieusap!A3333</f>
        <v/>
      </c>
      <c r="B3333" s="15" t="str">
        <f>Solieusap!B3333</f>
        <v/>
      </c>
      <c r="C3333" s="15" t="str">
        <f>Solieusap!C3333</f>
        <v/>
      </c>
      <c r="D3333" s="15" t="str">
        <f>Solieusap!D3333</f>
        <v/>
      </c>
      <c r="E3333" s="16">
        <f>ABS(Solieusap!E3333)</f>
        <v>0</v>
      </c>
      <c r="F3333" s="16">
        <f>ABS(Solieusap!F3333)</f>
        <v>0</v>
      </c>
      <c r="G3333" s="16">
        <f>ABS(Solieusap!G3333)</f>
        <v>0</v>
      </c>
      <c r="H3333" s="16">
        <f>ABS(Solieusap!H3333)</f>
        <v>0</v>
      </c>
      <c r="I3333" s="16">
        <f>ABS(Solieusap!I3333)</f>
        <v>0</v>
      </c>
      <c r="J3333" s="16">
        <f>ABS(Solieusap!J3333)</f>
        <v>0</v>
      </c>
      <c r="K3333" s="16">
        <f t="shared" si="1"/>
        <v>0</v>
      </c>
      <c r="L3333" s="16">
        <f t="shared" si="2"/>
        <v>0</v>
      </c>
    </row>
    <row r="3334" ht="16.5" customHeight="1">
      <c r="A3334" s="15" t="str">
        <f>Solieusap!A3334</f>
        <v/>
      </c>
      <c r="B3334" s="15" t="str">
        <f>Solieusap!B3334</f>
        <v/>
      </c>
      <c r="C3334" s="15" t="str">
        <f>Solieusap!C3334</f>
        <v/>
      </c>
      <c r="D3334" s="15" t="str">
        <f>Solieusap!D3334</f>
        <v/>
      </c>
      <c r="E3334" s="16">
        <f>ABS(Solieusap!E3334)</f>
        <v>0</v>
      </c>
      <c r="F3334" s="16">
        <f>ABS(Solieusap!F3334)</f>
        <v>0</v>
      </c>
      <c r="G3334" s="16">
        <f>ABS(Solieusap!G3334)</f>
        <v>0</v>
      </c>
      <c r="H3334" s="16">
        <f>ABS(Solieusap!H3334)</f>
        <v>0</v>
      </c>
      <c r="I3334" s="16">
        <f>ABS(Solieusap!I3334)</f>
        <v>0</v>
      </c>
      <c r="J3334" s="16">
        <f>ABS(Solieusap!J3334)</f>
        <v>0</v>
      </c>
      <c r="K3334" s="16">
        <f t="shared" si="1"/>
        <v>0</v>
      </c>
      <c r="L3334" s="16">
        <f t="shared" si="2"/>
        <v>0</v>
      </c>
    </row>
    <row r="3335" ht="16.5" customHeight="1">
      <c r="A3335" s="15" t="str">
        <f>Solieusap!A3335</f>
        <v/>
      </c>
      <c r="B3335" s="15" t="str">
        <f>Solieusap!B3335</f>
        <v/>
      </c>
      <c r="C3335" s="15" t="str">
        <f>Solieusap!C3335</f>
        <v/>
      </c>
      <c r="D3335" s="15" t="str">
        <f>Solieusap!D3335</f>
        <v/>
      </c>
      <c r="E3335" s="16">
        <f>ABS(Solieusap!E3335)</f>
        <v>0</v>
      </c>
      <c r="F3335" s="16">
        <f>ABS(Solieusap!F3335)</f>
        <v>0</v>
      </c>
      <c r="G3335" s="16">
        <f>ABS(Solieusap!G3335)</f>
        <v>0</v>
      </c>
      <c r="H3335" s="16">
        <f>ABS(Solieusap!H3335)</f>
        <v>0</v>
      </c>
      <c r="I3335" s="16">
        <f>ABS(Solieusap!I3335)</f>
        <v>0</v>
      </c>
      <c r="J3335" s="16">
        <f>ABS(Solieusap!J3335)</f>
        <v>0</v>
      </c>
      <c r="K3335" s="16">
        <f t="shared" si="1"/>
        <v>0</v>
      </c>
      <c r="L3335" s="16">
        <f t="shared" si="2"/>
        <v>0</v>
      </c>
    </row>
    <row r="3336" ht="16.5" customHeight="1">
      <c r="A3336" s="15" t="str">
        <f>Solieusap!A3336</f>
        <v/>
      </c>
      <c r="B3336" s="15" t="str">
        <f>Solieusap!B3336</f>
        <v/>
      </c>
      <c r="C3336" s="15" t="str">
        <f>Solieusap!C3336</f>
        <v/>
      </c>
      <c r="D3336" s="15" t="str">
        <f>Solieusap!D3336</f>
        <v/>
      </c>
      <c r="E3336" s="16">
        <f>ABS(Solieusap!E3336)</f>
        <v>0</v>
      </c>
      <c r="F3336" s="16">
        <f>ABS(Solieusap!F3336)</f>
        <v>0</v>
      </c>
      <c r="G3336" s="16">
        <f>ABS(Solieusap!G3336)</f>
        <v>0</v>
      </c>
      <c r="H3336" s="16">
        <f>ABS(Solieusap!H3336)</f>
        <v>0</v>
      </c>
      <c r="I3336" s="16">
        <f>ABS(Solieusap!I3336)</f>
        <v>0</v>
      </c>
      <c r="J3336" s="16">
        <f>ABS(Solieusap!J3336)</f>
        <v>0</v>
      </c>
      <c r="K3336" s="16">
        <f t="shared" si="1"/>
        <v>0</v>
      </c>
      <c r="L3336" s="16">
        <f t="shared" si="2"/>
        <v>0</v>
      </c>
    </row>
    <row r="3337" ht="16.5" customHeight="1">
      <c r="A3337" s="15" t="str">
        <f>Solieusap!A3337</f>
        <v/>
      </c>
      <c r="B3337" s="15" t="str">
        <f>Solieusap!B3337</f>
        <v/>
      </c>
      <c r="C3337" s="15" t="str">
        <f>Solieusap!C3337</f>
        <v/>
      </c>
      <c r="D3337" s="15" t="str">
        <f>Solieusap!D3337</f>
        <v/>
      </c>
      <c r="E3337" s="16">
        <f>ABS(Solieusap!E3337)</f>
        <v>0</v>
      </c>
      <c r="F3337" s="16">
        <f>ABS(Solieusap!F3337)</f>
        <v>0</v>
      </c>
      <c r="G3337" s="16">
        <f>ABS(Solieusap!G3337)</f>
        <v>0</v>
      </c>
      <c r="H3337" s="16">
        <f>ABS(Solieusap!H3337)</f>
        <v>0</v>
      </c>
      <c r="I3337" s="16">
        <f>ABS(Solieusap!I3337)</f>
        <v>0</v>
      </c>
      <c r="J3337" s="16">
        <f>ABS(Solieusap!J3337)</f>
        <v>0</v>
      </c>
      <c r="K3337" s="16">
        <f t="shared" si="1"/>
        <v>0</v>
      </c>
      <c r="L3337" s="16">
        <f t="shared" si="2"/>
        <v>0</v>
      </c>
    </row>
    <row r="3338" ht="16.5" customHeight="1">
      <c r="A3338" s="15" t="str">
        <f>Solieusap!A3338</f>
        <v/>
      </c>
      <c r="B3338" s="15" t="str">
        <f>Solieusap!B3338</f>
        <v/>
      </c>
      <c r="C3338" s="15" t="str">
        <f>Solieusap!C3338</f>
        <v/>
      </c>
      <c r="D3338" s="15" t="str">
        <f>Solieusap!D3338</f>
        <v/>
      </c>
      <c r="E3338" s="16">
        <f>ABS(Solieusap!E3338)</f>
        <v>0</v>
      </c>
      <c r="F3338" s="16">
        <f>ABS(Solieusap!F3338)</f>
        <v>0</v>
      </c>
      <c r="G3338" s="16">
        <f>ABS(Solieusap!G3338)</f>
        <v>0</v>
      </c>
      <c r="H3338" s="16">
        <f>ABS(Solieusap!H3338)</f>
        <v>0</v>
      </c>
      <c r="I3338" s="16">
        <f>ABS(Solieusap!I3338)</f>
        <v>0</v>
      </c>
      <c r="J3338" s="16">
        <f>ABS(Solieusap!J3338)</f>
        <v>0</v>
      </c>
      <c r="K3338" s="16">
        <f t="shared" si="1"/>
        <v>0</v>
      </c>
      <c r="L3338" s="16">
        <f t="shared" si="2"/>
        <v>0</v>
      </c>
    </row>
    <row r="3339" ht="16.5" customHeight="1">
      <c r="A3339" s="15" t="str">
        <f>Solieusap!A3339</f>
        <v/>
      </c>
      <c r="B3339" s="15" t="str">
        <f>Solieusap!B3339</f>
        <v/>
      </c>
      <c r="C3339" s="15" t="str">
        <f>Solieusap!C3339</f>
        <v/>
      </c>
      <c r="D3339" s="15" t="str">
        <f>Solieusap!D3339</f>
        <v/>
      </c>
      <c r="E3339" s="16">
        <f>ABS(Solieusap!E3339)</f>
        <v>0</v>
      </c>
      <c r="F3339" s="16">
        <f>ABS(Solieusap!F3339)</f>
        <v>0</v>
      </c>
      <c r="G3339" s="16">
        <f>ABS(Solieusap!G3339)</f>
        <v>0</v>
      </c>
      <c r="H3339" s="16">
        <f>ABS(Solieusap!H3339)</f>
        <v>0</v>
      </c>
      <c r="I3339" s="16">
        <f>ABS(Solieusap!I3339)</f>
        <v>0</v>
      </c>
      <c r="J3339" s="16">
        <f>ABS(Solieusap!J3339)</f>
        <v>0</v>
      </c>
      <c r="K3339" s="16">
        <f t="shared" si="1"/>
        <v>0</v>
      </c>
      <c r="L3339" s="16">
        <f t="shared" si="2"/>
        <v>0</v>
      </c>
    </row>
    <row r="3340" ht="16.5" customHeight="1">
      <c r="A3340" s="15" t="str">
        <f>Solieusap!A3340</f>
        <v/>
      </c>
      <c r="B3340" s="15" t="str">
        <f>Solieusap!B3340</f>
        <v/>
      </c>
      <c r="C3340" s="15" t="str">
        <f>Solieusap!C3340</f>
        <v/>
      </c>
      <c r="D3340" s="15" t="str">
        <f>Solieusap!D3340</f>
        <v/>
      </c>
      <c r="E3340" s="16">
        <f>ABS(Solieusap!E3340)</f>
        <v>0</v>
      </c>
      <c r="F3340" s="16">
        <f>ABS(Solieusap!F3340)</f>
        <v>0</v>
      </c>
      <c r="G3340" s="16">
        <f>ABS(Solieusap!G3340)</f>
        <v>0</v>
      </c>
      <c r="H3340" s="16">
        <f>ABS(Solieusap!H3340)</f>
        <v>0</v>
      </c>
      <c r="I3340" s="16">
        <f>ABS(Solieusap!I3340)</f>
        <v>0</v>
      </c>
      <c r="J3340" s="16">
        <f>ABS(Solieusap!J3340)</f>
        <v>0</v>
      </c>
      <c r="K3340" s="16">
        <f t="shared" si="1"/>
        <v>0</v>
      </c>
      <c r="L3340" s="16">
        <f t="shared" si="2"/>
        <v>0</v>
      </c>
    </row>
    <row r="3341" ht="16.5" customHeight="1">
      <c r="A3341" s="15" t="str">
        <f>Solieusap!A3341</f>
        <v/>
      </c>
      <c r="B3341" s="15" t="str">
        <f>Solieusap!B3341</f>
        <v/>
      </c>
      <c r="C3341" s="15" t="str">
        <f>Solieusap!C3341</f>
        <v/>
      </c>
      <c r="D3341" s="15" t="str">
        <f>Solieusap!D3341</f>
        <v/>
      </c>
      <c r="E3341" s="16">
        <f>ABS(Solieusap!E3341)</f>
        <v>0</v>
      </c>
      <c r="F3341" s="16">
        <f>ABS(Solieusap!F3341)</f>
        <v>0</v>
      </c>
      <c r="G3341" s="16">
        <f>ABS(Solieusap!G3341)</f>
        <v>0</v>
      </c>
      <c r="H3341" s="16">
        <f>ABS(Solieusap!H3341)</f>
        <v>0</v>
      </c>
      <c r="I3341" s="16">
        <f>ABS(Solieusap!I3341)</f>
        <v>0</v>
      </c>
      <c r="J3341" s="16">
        <f>ABS(Solieusap!J3341)</f>
        <v>0</v>
      </c>
      <c r="K3341" s="16">
        <f t="shared" si="1"/>
        <v>0</v>
      </c>
      <c r="L3341" s="16">
        <f t="shared" si="2"/>
        <v>0</v>
      </c>
    </row>
    <row r="3342" ht="16.5" customHeight="1">
      <c r="A3342" s="15" t="str">
        <f>Solieusap!A3342</f>
        <v/>
      </c>
      <c r="B3342" s="15" t="str">
        <f>Solieusap!B3342</f>
        <v/>
      </c>
      <c r="C3342" s="15" t="str">
        <f>Solieusap!C3342</f>
        <v/>
      </c>
      <c r="D3342" s="15" t="str">
        <f>Solieusap!D3342</f>
        <v/>
      </c>
      <c r="E3342" s="16">
        <f>ABS(Solieusap!E3342)</f>
        <v>0</v>
      </c>
      <c r="F3342" s="16">
        <f>ABS(Solieusap!F3342)</f>
        <v>0</v>
      </c>
      <c r="G3342" s="16">
        <f>ABS(Solieusap!G3342)</f>
        <v>0</v>
      </c>
      <c r="H3342" s="16">
        <f>ABS(Solieusap!H3342)</f>
        <v>0</v>
      </c>
      <c r="I3342" s="16">
        <f>ABS(Solieusap!I3342)</f>
        <v>0</v>
      </c>
      <c r="J3342" s="16">
        <f>ABS(Solieusap!J3342)</f>
        <v>0</v>
      </c>
      <c r="K3342" s="16">
        <f t="shared" si="1"/>
        <v>0</v>
      </c>
      <c r="L3342" s="16">
        <f t="shared" si="2"/>
        <v>0</v>
      </c>
    </row>
    <row r="3343" ht="16.5" customHeight="1">
      <c r="A3343" s="15" t="str">
        <f>Solieusap!A3343</f>
        <v/>
      </c>
      <c r="B3343" s="15" t="str">
        <f>Solieusap!B3343</f>
        <v/>
      </c>
      <c r="C3343" s="15" t="str">
        <f>Solieusap!C3343</f>
        <v/>
      </c>
      <c r="D3343" s="15" t="str">
        <f>Solieusap!D3343</f>
        <v/>
      </c>
      <c r="E3343" s="16">
        <f>ABS(Solieusap!E3343)</f>
        <v>0</v>
      </c>
      <c r="F3343" s="16">
        <f>ABS(Solieusap!F3343)</f>
        <v>0</v>
      </c>
      <c r="G3343" s="16">
        <f>ABS(Solieusap!G3343)</f>
        <v>0</v>
      </c>
      <c r="H3343" s="16">
        <f>ABS(Solieusap!H3343)</f>
        <v>0</v>
      </c>
      <c r="I3343" s="16">
        <f>ABS(Solieusap!I3343)</f>
        <v>0</v>
      </c>
      <c r="J3343" s="16">
        <f>ABS(Solieusap!J3343)</f>
        <v>0</v>
      </c>
      <c r="K3343" s="16">
        <f t="shared" si="1"/>
        <v>0</v>
      </c>
      <c r="L3343" s="16">
        <f t="shared" si="2"/>
        <v>0</v>
      </c>
    </row>
    <row r="3344" ht="16.5" customHeight="1">
      <c r="A3344" s="15" t="str">
        <f>Solieusap!A3344</f>
        <v/>
      </c>
      <c r="B3344" s="15" t="str">
        <f>Solieusap!B3344</f>
        <v/>
      </c>
      <c r="C3344" s="15" t="str">
        <f>Solieusap!C3344</f>
        <v/>
      </c>
      <c r="D3344" s="15" t="str">
        <f>Solieusap!D3344</f>
        <v/>
      </c>
      <c r="E3344" s="16">
        <f>ABS(Solieusap!E3344)</f>
        <v>0</v>
      </c>
      <c r="F3344" s="16">
        <f>ABS(Solieusap!F3344)</f>
        <v>0</v>
      </c>
      <c r="G3344" s="16">
        <f>ABS(Solieusap!G3344)</f>
        <v>0</v>
      </c>
      <c r="H3344" s="16">
        <f>ABS(Solieusap!H3344)</f>
        <v>0</v>
      </c>
      <c r="I3344" s="16">
        <f>ABS(Solieusap!I3344)</f>
        <v>0</v>
      </c>
      <c r="J3344" s="16">
        <f>ABS(Solieusap!J3344)</f>
        <v>0</v>
      </c>
      <c r="K3344" s="16">
        <f t="shared" si="1"/>
        <v>0</v>
      </c>
      <c r="L3344" s="16">
        <f t="shared" si="2"/>
        <v>0</v>
      </c>
    </row>
    <row r="3345" ht="16.5" customHeight="1">
      <c r="A3345" s="15" t="str">
        <f>Solieusap!A3345</f>
        <v/>
      </c>
      <c r="B3345" s="15" t="str">
        <f>Solieusap!B3345</f>
        <v/>
      </c>
      <c r="C3345" s="15" t="str">
        <f>Solieusap!C3345</f>
        <v/>
      </c>
      <c r="D3345" s="15" t="str">
        <f>Solieusap!D3345</f>
        <v/>
      </c>
      <c r="E3345" s="16">
        <f>ABS(Solieusap!E3345)</f>
        <v>0</v>
      </c>
      <c r="F3345" s="16">
        <f>ABS(Solieusap!F3345)</f>
        <v>0</v>
      </c>
      <c r="G3345" s="16">
        <f>ABS(Solieusap!G3345)</f>
        <v>0</v>
      </c>
      <c r="H3345" s="16">
        <f>ABS(Solieusap!H3345)</f>
        <v>0</v>
      </c>
      <c r="I3345" s="16">
        <f>ABS(Solieusap!I3345)</f>
        <v>0</v>
      </c>
      <c r="J3345" s="16">
        <f>ABS(Solieusap!J3345)</f>
        <v>0</v>
      </c>
      <c r="K3345" s="16">
        <f t="shared" si="1"/>
        <v>0</v>
      </c>
      <c r="L3345" s="16">
        <f t="shared" si="2"/>
        <v>0</v>
      </c>
    </row>
    <row r="3346" ht="16.5" customHeight="1">
      <c r="A3346" s="15" t="str">
        <f>Solieusap!A3346</f>
        <v/>
      </c>
      <c r="B3346" s="15" t="str">
        <f>Solieusap!B3346</f>
        <v/>
      </c>
      <c r="C3346" s="15" t="str">
        <f>Solieusap!C3346</f>
        <v/>
      </c>
      <c r="D3346" s="15" t="str">
        <f>Solieusap!D3346</f>
        <v/>
      </c>
      <c r="E3346" s="16">
        <f>ABS(Solieusap!E3346)</f>
        <v>0</v>
      </c>
      <c r="F3346" s="16">
        <f>ABS(Solieusap!F3346)</f>
        <v>0</v>
      </c>
      <c r="G3346" s="16">
        <f>ABS(Solieusap!G3346)</f>
        <v>0</v>
      </c>
      <c r="H3346" s="16">
        <f>ABS(Solieusap!H3346)</f>
        <v>0</v>
      </c>
      <c r="I3346" s="16">
        <f>ABS(Solieusap!I3346)</f>
        <v>0</v>
      </c>
      <c r="J3346" s="16">
        <f>ABS(Solieusap!J3346)</f>
        <v>0</v>
      </c>
      <c r="K3346" s="16">
        <f t="shared" si="1"/>
        <v>0</v>
      </c>
      <c r="L3346" s="16">
        <f t="shared" si="2"/>
        <v>0</v>
      </c>
    </row>
    <row r="3347" ht="16.5" customHeight="1">
      <c r="A3347" s="15" t="str">
        <f>Solieusap!A3347</f>
        <v/>
      </c>
      <c r="B3347" s="15" t="str">
        <f>Solieusap!B3347</f>
        <v/>
      </c>
      <c r="C3347" s="15" t="str">
        <f>Solieusap!C3347</f>
        <v/>
      </c>
      <c r="D3347" s="15" t="str">
        <f>Solieusap!D3347</f>
        <v/>
      </c>
      <c r="E3347" s="16">
        <f>ABS(Solieusap!E3347)</f>
        <v>0</v>
      </c>
      <c r="F3347" s="16">
        <f>ABS(Solieusap!F3347)</f>
        <v>0</v>
      </c>
      <c r="G3347" s="16">
        <f>ABS(Solieusap!G3347)</f>
        <v>0</v>
      </c>
      <c r="H3347" s="16">
        <f>ABS(Solieusap!H3347)</f>
        <v>0</v>
      </c>
      <c r="I3347" s="16">
        <f>ABS(Solieusap!I3347)</f>
        <v>0</v>
      </c>
      <c r="J3347" s="16">
        <f>ABS(Solieusap!J3347)</f>
        <v>0</v>
      </c>
      <c r="K3347" s="16">
        <f t="shared" si="1"/>
        <v>0</v>
      </c>
      <c r="L3347" s="16">
        <f t="shared" si="2"/>
        <v>0</v>
      </c>
    </row>
    <row r="3348" ht="16.5" customHeight="1">
      <c r="A3348" s="15" t="str">
        <f>Solieusap!A3348</f>
        <v/>
      </c>
      <c r="B3348" s="15" t="str">
        <f>Solieusap!B3348</f>
        <v/>
      </c>
      <c r="C3348" s="15" t="str">
        <f>Solieusap!C3348</f>
        <v/>
      </c>
      <c r="D3348" s="15" t="str">
        <f>Solieusap!D3348</f>
        <v/>
      </c>
      <c r="E3348" s="16">
        <f>ABS(Solieusap!E3348)</f>
        <v>0</v>
      </c>
      <c r="F3348" s="16">
        <f>ABS(Solieusap!F3348)</f>
        <v>0</v>
      </c>
      <c r="G3348" s="16">
        <f>ABS(Solieusap!G3348)</f>
        <v>0</v>
      </c>
      <c r="H3348" s="16">
        <f>ABS(Solieusap!H3348)</f>
        <v>0</v>
      </c>
      <c r="I3348" s="16">
        <f>ABS(Solieusap!I3348)</f>
        <v>0</v>
      </c>
      <c r="J3348" s="16">
        <f>ABS(Solieusap!J3348)</f>
        <v>0</v>
      </c>
      <c r="K3348" s="16">
        <f t="shared" si="1"/>
        <v>0</v>
      </c>
      <c r="L3348" s="16">
        <f t="shared" si="2"/>
        <v>0</v>
      </c>
    </row>
    <row r="3349" ht="16.5" customHeight="1">
      <c r="A3349" s="15" t="str">
        <f>Solieusap!A3349</f>
        <v/>
      </c>
      <c r="B3349" s="15" t="str">
        <f>Solieusap!B3349</f>
        <v/>
      </c>
      <c r="C3349" s="15" t="str">
        <f>Solieusap!C3349</f>
        <v/>
      </c>
      <c r="D3349" s="15" t="str">
        <f>Solieusap!D3349</f>
        <v/>
      </c>
      <c r="E3349" s="16">
        <f>ABS(Solieusap!E3349)</f>
        <v>0</v>
      </c>
      <c r="F3349" s="16">
        <f>ABS(Solieusap!F3349)</f>
        <v>0</v>
      </c>
      <c r="G3349" s="16">
        <f>ABS(Solieusap!G3349)</f>
        <v>0</v>
      </c>
      <c r="H3349" s="16">
        <f>ABS(Solieusap!H3349)</f>
        <v>0</v>
      </c>
      <c r="I3349" s="16">
        <f>ABS(Solieusap!I3349)</f>
        <v>0</v>
      </c>
      <c r="J3349" s="16">
        <f>ABS(Solieusap!J3349)</f>
        <v>0</v>
      </c>
      <c r="K3349" s="16">
        <f t="shared" si="1"/>
        <v>0</v>
      </c>
      <c r="L3349" s="16">
        <f t="shared" si="2"/>
        <v>0</v>
      </c>
    </row>
    <row r="3350" ht="16.5" customHeight="1">
      <c r="A3350" s="15" t="str">
        <f>Solieusap!A3350</f>
        <v/>
      </c>
      <c r="B3350" s="15" t="str">
        <f>Solieusap!B3350</f>
        <v/>
      </c>
      <c r="C3350" s="15" t="str">
        <f>Solieusap!C3350</f>
        <v/>
      </c>
      <c r="D3350" s="15" t="str">
        <f>Solieusap!D3350</f>
        <v/>
      </c>
      <c r="E3350" s="16">
        <f>ABS(Solieusap!E3350)</f>
        <v>0</v>
      </c>
      <c r="F3350" s="16">
        <f>ABS(Solieusap!F3350)</f>
        <v>0</v>
      </c>
      <c r="G3350" s="16">
        <f>ABS(Solieusap!G3350)</f>
        <v>0</v>
      </c>
      <c r="H3350" s="16">
        <f>ABS(Solieusap!H3350)</f>
        <v>0</v>
      </c>
      <c r="I3350" s="16">
        <f>ABS(Solieusap!I3350)</f>
        <v>0</v>
      </c>
      <c r="J3350" s="16">
        <f>ABS(Solieusap!J3350)</f>
        <v>0</v>
      </c>
      <c r="K3350" s="16">
        <f t="shared" si="1"/>
        <v>0</v>
      </c>
      <c r="L3350" s="16">
        <f t="shared" si="2"/>
        <v>0</v>
      </c>
    </row>
    <row r="3351" ht="16.5" customHeight="1">
      <c r="A3351" s="15" t="str">
        <f>Solieusap!A3351</f>
        <v/>
      </c>
      <c r="B3351" s="15" t="str">
        <f>Solieusap!B3351</f>
        <v/>
      </c>
      <c r="C3351" s="15" t="str">
        <f>Solieusap!C3351</f>
        <v/>
      </c>
      <c r="D3351" s="15" t="str">
        <f>Solieusap!D3351</f>
        <v/>
      </c>
      <c r="E3351" s="16">
        <f>ABS(Solieusap!E3351)</f>
        <v>0</v>
      </c>
      <c r="F3351" s="16">
        <f>ABS(Solieusap!F3351)</f>
        <v>0</v>
      </c>
      <c r="G3351" s="16">
        <f>ABS(Solieusap!G3351)</f>
        <v>0</v>
      </c>
      <c r="H3351" s="16">
        <f>ABS(Solieusap!H3351)</f>
        <v>0</v>
      </c>
      <c r="I3351" s="16">
        <f>ABS(Solieusap!I3351)</f>
        <v>0</v>
      </c>
      <c r="J3351" s="16">
        <f>ABS(Solieusap!J3351)</f>
        <v>0</v>
      </c>
      <c r="K3351" s="16">
        <f t="shared" si="1"/>
        <v>0</v>
      </c>
      <c r="L3351" s="16">
        <f t="shared" si="2"/>
        <v>0</v>
      </c>
    </row>
    <row r="3352" ht="16.5" customHeight="1">
      <c r="A3352" s="15" t="str">
        <f>Solieusap!A3352</f>
        <v/>
      </c>
      <c r="B3352" s="15" t="str">
        <f>Solieusap!B3352</f>
        <v/>
      </c>
      <c r="C3352" s="15" t="str">
        <f>Solieusap!C3352</f>
        <v/>
      </c>
      <c r="D3352" s="15" t="str">
        <f>Solieusap!D3352</f>
        <v/>
      </c>
      <c r="E3352" s="16">
        <f>ABS(Solieusap!E3352)</f>
        <v>0</v>
      </c>
      <c r="F3352" s="16">
        <f>ABS(Solieusap!F3352)</f>
        <v>0</v>
      </c>
      <c r="G3352" s="16">
        <f>ABS(Solieusap!G3352)</f>
        <v>0</v>
      </c>
      <c r="H3352" s="16">
        <f>ABS(Solieusap!H3352)</f>
        <v>0</v>
      </c>
      <c r="I3352" s="16">
        <f>ABS(Solieusap!I3352)</f>
        <v>0</v>
      </c>
      <c r="J3352" s="16">
        <f>ABS(Solieusap!J3352)</f>
        <v>0</v>
      </c>
      <c r="K3352" s="16">
        <f t="shared" si="1"/>
        <v>0</v>
      </c>
      <c r="L3352" s="16">
        <f t="shared" si="2"/>
        <v>0</v>
      </c>
    </row>
    <row r="3353" ht="16.5" customHeight="1">
      <c r="A3353" s="15" t="str">
        <f>Solieusap!A3353</f>
        <v/>
      </c>
      <c r="B3353" s="15" t="str">
        <f>Solieusap!B3353</f>
        <v/>
      </c>
      <c r="C3353" s="15" t="str">
        <f>Solieusap!C3353</f>
        <v/>
      </c>
      <c r="D3353" s="15" t="str">
        <f>Solieusap!D3353</f>
        <v/>
      </c>
      <c r="E3353" s="16">
        <f>ABS(Solieusap!E3353)</f>
        <v>0</v>
      </c>
      <c r="F3353" s="16">
        <f>ABS(Solieusap!F3353)</f>
        <v>0</v>
      </c>
      <c r="G3353" s="16">
        <f>ABS(Solieusap!G3353)</f>
        <v>0</v>
      </c>
      <c r="H3353" s="16">
        <f>ABS(Solieusap!H3353)</f>
        <v>0</v>
      </c>
      <c r="I3353" s="16">
        <f>ABS(Solieusap!I3353)</f>
        <v>0</v>
      </c>
      <c r="J3353" s="16">
        <f>ABS(Solieusap!J3353)</f>
        <v>0</v>
      </c>
      <c r="K3353" s="16">
        <f t="shared" si="1"/>
        <v>0</v>
      </c>
      <c r="L3353" s="16">
        <f t="shared" si="2"/>
        <v>0</v>
      </c>
    </row>
    <row r="3354" ht="16.5" customHeight="1">
      <c r="A3354" s="15" t="str">
        <f>Solieusap!A3354</f>
        <v/>
      </c>
      <c r="B3354" s="15" t="str">
        <f>Solieusap!B3354</f>
        <v/>
      </c>
      <c r="C3354" s="15" t="str">
        <f>Solieusap!C3354</f>
        <v/>
      </c>
      <c r="D3354" s="15" t="str">
        <f>Solieusap!D3354</f>
        <v/>
      </c>
      <c r="E3354" s="16">
        <f>ABS(Solieusap!E3354)</f>
        <v>0</v>
      </c>
      <c r="F3354" s="16">
        <f>ABS(Solieusap!F3354)</f>
        <v>0</v>
      </c>
      <c r="G3354" s="16">
        <f>ABS(Solieusap!G3354)</f>
        <v>0</v>
      </c>
      <c r="H3354" s="16">
        <f>ABS(Solieusap!H3354)</f>
        <v>0</v>
      </c>
      <c r="I3354" s="16">
        <f>ABS(Solieusap!I3354)</f>
        <v>0</v>
      </c>
      <c r="J3354" s="16">
        <f>ABS(Solieusap!J3354)</f>
        <v>0</v>
      </c>
      <c r="K3354" s="16">
        <f t="shared" si="1"/>
        <v>0</v>
      </c>
      <c r="L3354" s="16">
        <f t="shared" si="2"/>
        <v>0</v>
      </c>
    </row>
    <row r="3355" ht="16.5" customHeight="1">
      <c r="A3355" s="15" t="str">
        <f>Solieusap!A3355</f>
        <v/>
      </c>
      <c r="B3355" s="15" t="str">
        <f>Solieusap!B3355</f>
        <v/>
      </c>
      <c r="C3355" s="15" t="str">
        <f>Solieusap!C3355</f>
        <v/>
      </c>
      <c r="D3355" s="15" t="str">
        <f>Solieusap!D3355</f>
        <v/>
      </c>
      <c r="E3355" s="16">
        <f>ABS(Solieusap!E3355)</f>
        <v>0</v>
      </c>
      <c r="F3355" s="16">
        <f>ABS(Solieusap!F3355)</f>
        <v>0</v>
      </c>
      <c r="G3355" s="16">
        <f>ABS(Solieusap!G3355)</f>
        <v>0</v>
      </c>
      <c r="H3355" s="16">
        <f>ABS(Solieusap!H3355)</f>
        <v>0</v>
      </c>
      <c r="I3355" s="16">
        <f>ABS(Solieusap!I3355)</f>
        <v>0</v>
      </c>
      <c r="J3355" s="16">
        <f>ABS(Solieusap!J3355)</f>
        <v>0</v>
      </c>
      <c r="K3355" s="16">
        <f t="shared" si="1"/>
        <v>0</v>
      </c>
      <c r="L3355" s="16">
        <f t="shared" si="2"/>
        <v>0</v>
      </c>
    </row>
    <row r="3356" ht="16.5" customHeight="1">
      <c r="A3356" s="15" t="str">
        <f>Solieusap!A3356</f>
        <v/>
      </c>
      <c r="B3356" s="15" t="str">
        <f>Solieusap!B3356</f>
        <v/>
      </c>
      <c r="C3356" s="15" t="str">
        <f>Solieusap!C3356</f>
        <v/>
      </c>
      <c r="D3356" s="15" t="str">
        <f>Solieusap!D3356</f>
        <v/>
      </c>
      <c r="E3356" s="16">
        <f>ABS(Solieusap!E3356)</f>
        <v>0</v>
      </c>
      <c r="F3356" s="16">
        <f>ABS(Solieusap!F3356)</f>
        <v>0</v>
      </c>
      <c r="G3356" s="16">
        <f>ABS(Solieusap!G3356)</f>
        <v>0</v>
      </c>
      <c r="H3356" s="16">
        <f>ABS(Solieusap!H3356)</f>
        <v>0</v>
      </c>
      <c r="I3356" s="16">
        <f>ABS(Solieusap!I3356)</f>
        <v>0</v>
      </c>
      <c r="J3356" s="16">
        <f>ABS(Solieusap!J3356)</f>
        <v>0</v>
      </c>
      <c r="K3356" s="16">
        <f t="shared" si="1"/>
        <v>0</v>
      </c>
      <c r="L3356" s="16">
        <f t="shared" si="2"/>
        <v>0</v>
      </c>
    </row>
    <row r="3357" ht="16.5" customHeight="1">
      <c r="A3357" s="15" t="str">
        <f>Solieusap!A3357</f>
        <v/>
      </c>
      <c r="B3357" s="15" t="str">
        <f>Solieusap!B3357</f>
        <v/>
      </c>
      <c r="C3357" s="15" t="str">
        <f>Solieusap!C3357</f>
        <v/>
      </c>
      <c r="D3357" s="15" t="str">
        <f>Solieusap!D3357</f>
        <v/>
      </c>
      <c r="E3357" s="16">
        <f>ABS(Solieusap!E3357)</f>
        <v>0</v>
      </c>
      <c r="F3357" s="16">
        <f>ABS(Solieusap!F3357)</f>
        <v>0</v>
      </c>
      <c r="G3357" s="16">
        <f>ABS(Solieusap!G3357)</f>
        <v>0</v>
      </c>
      <c r="H3357" s="16">
        <f>ABS(Solieusap!H3357)</f>
        <v>0</v>
      </c>
      <c r="I3357" s="16">
        <f>ABS(Solieusap!I3357)</f>
        <v>0</v>
      </c>
      <c r="J3357" s="16">
        <f>ABS(Solieusap!J3357)</f>
        <v>0</v>
      </c>
      <c r="K3357" s="16">
        <f t="shared" si="1"/>
        <v>0</v>
      </c>
      <c r="L3357" s="16">
        <f t="shared" si="2"/>
        <v>0</v>
      </c>
    </row>
    <row r="3358" ht="16.5" customHeight="1">
      <c r="A3358" s="15" t="str">
        <f>Solieusap!A3358</f>
        <v/>
      </c>
      <c r="B3358" s="15" t="str">
        <f>Solieusap!B3358</f>
        <v/>
      </c>
      <c r="C3358" s="15" t="str">
        <f>Solieusap!C3358</f>
        <v/>
      </c>
      <c r="D3358" s="15" t="str">
        <f>Solieusap!D3358</f>
        <v/>
      </c>
      <c r="E3358" s="16">
        <f>ABS(Solieusap!E3358)</f>
        <v>0</v>
      </c>
      <c r="F3358" s="16">
        <f>ABS(Solieusap!F3358)</f>
        <v>0</v>
      </c>
      <c r="G3358" s="16">
        <f>ABS(Solieusap!G3358)</f>
        <v>0</v>
      </c>
      <c r="H3358" s="16">
        <f>ABS(Solieusap!H3358)</f>
        <v>0</v>
      </c>
      <c r="I3358" s="16">
        <f>ABS(Solieusap!I3358)</f>
        <v>0</v>
      </c>
      <c r="J3358" s="16">
        <f>ABS(Solieusap!J3358)</f>
        <v>0</v>
      </c>
      <c r="K3358" s="16">
        <f t="shared" si="1"/>
        <v>0</v>
      </c>
      <c r="L3358" s="16">
        <f t="shared" si="2"/>
        <v>0</v>
      </c>
    </row>
    <row r="3359" ht="16.5" customHeight="1">
      <c r="A3359" s="15" t="str">
        <f>Solieusap!A3359</f>
        <v/>
      </c>
      <c r="B3359" s="15" t="str">
        <f>Solieusap!B3359</f>
        <v/>
      </c>
      <c r="C3359" s="15" t="str">
        <f>Solieusap!C3359</f>
        <v/>
      </c>
      <c r="D3359" s="15" t="str">
        <f>Solieusap!D3359</f>
        <v/>
      </c>
      <c r="E3359" s="16">
        <f>ABS(Solieusap!E3359)</f>
        <v>0</v>
      </c>
      <c r="F3359" s="16">
        <f>ABS(Solieusap!F3359)</f>
        <v>0</v>
      </c>
      <c r="G3359" s="16">
        <f>ABS(Solieusap!G3359)</f>
        <v>0</v>
      </c>
      <c r="H3359" s="16">
        <f>ABS(Solieusap!H3359)</f>
        <v>0</v>
      </c>
      <c r="I3359" s="16">
        <f>ABS(Solieusap!I3359)</f>
        <v>0</v>
      </c>
      <c r="J3359" s="16">
        <f>ABS(Solieusap!J3359)</f>
        <v>0</v>
      </c>
      <c r="K3359" s="16">
        <f t="shared" si="1"/>
        <v>0</v>
      </c>
      <c r="L3359" s="16">
        <f t="shared" si="2"/>
        <v>0</v>
      </c>
    </row>
    <row r="3360" ht="16.5" customHeight="1">
      <c r="A3360" s="15" t="str">
        <f>Solieusap!A3360</f>
        <v/>
      </c>
      <c r="B3360" s="15" t="str">
        <f>Solieusap!B3360</f>
        <v/>
      </c>
      <c r="C3360" s="15" t="str">
        <f>Solieusap!C3360</f>
        <v/>
      </c>
      <c r="D3360" s="15" t="str">
        <f>Solieusap!D3360</f>
        <v/>
      </c>
      <c r="E3360" s="16">
        <f>ABS(Solieusap!E3360)</f>
        <v>0</v>
      </c>
      <c r="F3360" s="16">
        <f>ABS(Solieusap!F3360)</f>
        <v>0</v>
      </c>
      <c r="G3360" s="16">
        <f>ABS(Solieusap!G3360)</f>
        <v>0</v>
      </c>
      <c r="H3360" s="16">
        <f>ABS(Solieusap!H3360)</f>
        <v>0</v>
      </c>
      <c r="I3360" s="16">
        <f>ABS(Solieusap!I3360)</f>
        <v>0</v>
      </c>
      <c r="J3360" s="16">
        <f>ABS(Solieusap!J3360)</f>
        <v>0</v>
      </c>
      <c r="K3360" s="16">
        <f t="shared" si="1"/>
        <v>0</v>
      </c>
      <c r="L3360" s="16">
        <f t="shared" si="2"/>
        <v>0</v>
      </c>
    </row>
    <row r="3361" ht="16.5" customHeight="1">
      <c r="A3361" s="15" t="str">
        <f>Solieusap!A3361</f>
        <v/>
      </c>
      <c r="B3361" s="15" t="str">
        <f>Solieusap!B3361</f>
        <v/>
      </c>
      <c r="C3361" s="15" t="str">
        <f>Solieusap!C3361</f>
        <v/>
      </c>
      <c r="D3361" s="15" t="str">
        <f>Solieusap!D3361</f>
        <v/>
      </c>
      <c r="E3361" s="16">
        <f>ABS(Solieusap!E3361)</f>
        <v>0</v>
      </c>
      <c r="F3361" s="16">
        <f>ABS(Solieusap!F3361)</f>
        <v>0</v>
      </c>
      <c r="G3361" s="16">
        <f>ABS(Solieusap!G3361)</f>
        <v>0</v>
      </c>
      <c r="H3361" s="16">
        <f>ABS(Solieusap!H3361)</f>
        <v>0</v>
      </c>
      <c r="I3361" s="16">
        <f>ABS(Solieusap!I3361)</f>
        <v>0</v>
      </c>
      <c r="J3361" s="16">
        <f>ABS(Solieusap!J3361)</f>
        <v>0</v>
      </c>
      <c r="K3361" s="16">
        <f t="shared" si="1"/>
        <v>0</v>
      </c>
      <c r="L3361" s="16">
        <f t="shared" si="2"/>
        <v>0</v>
      </c>
    </row>
    <row r="3362" ht="16.5" customHeight="1">
      <c r="A3362" s="15" t="str">
        <f>Solieusap!A3362</f>
        <v/>
      </c>
      <c r="B3362" s="15" t="str">
        <f>Solieusap!B3362</f>
        <v/>
      </c>
      <c r="C3362" s="15" t="str">
        <f>Solieusap!C3362</f>
        <v/>
      </c>
      <c r="D3362" s="15" t="str">
        <f>Solieusap!D3362</f>
        <v/>
      </c>
      <c r="E3362" s="16">
        <f>ABS(Solieusap!E3362)</f>
        <v>0</v>
      </c>
      <c r="F3362" s="16">
        <f>ABS(Solieusap!F3362)</f>
        <v>0</v>
      </c>
      <c r="G3362" s="16">
        <f>ABS(Solieusap!G3362)</f>
        <v>0</v>
      </c>
      <c r="H3362" s="16">
        <f>ABS(Solieusap!H3362)</f>
        <v>0</v>
      </c>
      <c r="I3362" s="16">
        <f>ABS(Solieusap!I3362)</f>
        <v>0</v>
      </c>
      <c r="J3362" s="16">
        <f>ABS(Solieusap!J3362)</f>
        <v>0</v>
      </c>
      <c r="K3362" s="16">
        <f t="shared" si="1"/>
        <v>0</v>
      </c>
      <c r="L3362" s="16">
        <f t="shared" si="2"/>
        <v>0</v>
      </c>
    </row>
    <row r="3363" ht="16.5" customHeight="1">
      <c r="A3363" s="15" t="str">
        <f>Solieusap!A3363</f>
        <v/>
      </c>
      <c r="B3363" s="15" t="str">
        <f>Solieusap!B3363</f>
        <v/>
      </c>
      <c r="C3363" s="15" t="str">
        <f>Solieusap!C3363</f>
        <v/>
      </c>
      <c r="D3363" s="15" t="str">
        <f>Solieusap!D3363</f>
        <v/>
      </c>
      <c r="E3363" s="16">
        <f>ABS(Solieusap!E3363)</f>
        <v>0</v>
      </c>
      <c r="F3363" s="16">
        <f>ABS(Solieusap!F3363)</f>
        <v>0</v>
      </c>
      <c r="G3363" s="16">
        <f>ABS(Solieusap!G3363)</f>
        <v>0</v>
      </c>
      <c r="H3363" s="16">
        <f>ABS(Solieusap!H3363)</f>
        <v>0</v>
      </c>
      <c r="I3363" s="16">
        <f>ABS(Solieusap!I3363)</f>
        <v>0</v>
      </c>
      <c r="J3363" s="16">
        <f>ABS(Solieusap!J3363)</f>
        <v>0</v>
      </c>
      <c r="K3363" s="16">
        <f t="shared" si="1"/>
        <v>0</v>
      </c>
      <c r="L3363" s="16">
        <f t="shared" si="2"/>
        <v>0</v>
      </c>
    </row>
    <row r="3364" ht="16.5" customHeight="1">
      <c r="A3364" s="15" t="str">
        <f>Solieusap!A3364</f>
        <v/>
      </c>
      <c r="B3364" s="15" t="str">
        <f>Solieusap!B3364</f>
        <v/>
      </c>
      <c r="C3364" s="15" t="str">
        <f>Solieusap!C3364</f>
        <v/>
      </c>
      <c r="D3364" s="15" t="str">
        <f>Solieusap!D3364</f>
        <v/>
      </c>
      <c r="E3364" s="16">
        <f>ABS(Solieusap!E3364)</f>
        <v>0</v>
      </c>
      <c r="F3364" s="16">
        <f>ABS(Solieusap!F3364)</f>
        <v>0</v>
      </c>
      <c r="G3364" s="16">
        <f>ABS(Solieusap!G3364)</f>
        <v>0</v>
      </c>
      <c r="H3364" s="16">
        <f>ABS(Solieusap!H3364)</f>
        <v>0</v>
      </c>
      <c r="I3364" s="16">
        <f>ABS(Solieusap!I3364)</f>
        <v>0</v>
      </c>
      <c r="J3364" s="16">
        <f>ABS(Solieusap!J3364)</f>
        <v>0</v>
      </c>
      <c r="K3364" s="16">
        <f t="shared" si="1"/>
        <v>0</v>
      </c>
      <c r="L3364" s="16">
        <f t="shared" si="2"/>
        <v>0</v>
      </c>
    </row>
    <row r="3365" ht="16.5" customHeight="1">
      <c r="A3365" s="15" t="str">
        <f>Solieusap!A3365</f>
        <v/>
      </c>
      <c r="B3365" s="15" t="str">
        <f>Solieusap!B3365</f>
        <v/>
      </c>
      <c r="C3365" s="15" t="str">
        <f>Solieusap!C3365</f>
        <v/>
      </c>
      <c r="D3365" s="15" t="str">
        <f>Solieusap!D3365</f>
        <v/>
      </c>
      <c r="E3365" s="16">
        <f>ABS(Solieusap!E3365)</f>
        <v>0</v>
      </c>
      <c r="F3365" s="16">
        <f>ABS(Solieusap!F3365)</f>
        <v>0</v>
      </c>
      <c r="G3365" s="16">
        <f>ABS(Solieusap!G3365)</f>
        <v>0</v>
      </c>
      <c r="H3365" s="16">
        <f>ABS(Solieusap!H3365)</f>
        <v>0</v>
      </c>
      <c r="I3365" s="16">
        <f>ABS(Solieusap!I3365)</f>
        <v>0</v>
      </c>
      <c r="J3365" s="16">
        <f>ABS(Solieusap!J3365)</f>
        <v>0</v>
      </c>
      <c r="K3365" s="16">
        <f t="shared" si="1"/>
        <v>0</v>
      </c>
      <c r="L3365" s="16">
        <f t="shared" si="2"/>
        <v>0</v>
      </c>
    </row>
    <row r="3366" ht="16.5" customHeight="1">
      <c r="A3366" s="15" t="str">
        <f>Solieusap!A3366</f>
        <v/>
      </c>
      <c r="B3366" s="15" t="str">
        <f>Solieusap!B3366</f>
        <v/>
      </c>
      <c r="C3366" s="15" t="str">
        <f>Solieusap!C3366</f>
        <v/>
      </c>
      <c r="D3366" s="15" t="str">
        <f>Solieusap!D3366</f>
        <v/>
      </c>
      <c r="E3366" s="16">
        <f>ABS(Solieusap!E3366)</f>
        <v>0</v>
      </c>
      <c r="F3366" s="16">
        <f>ABS(Solieusap!F3366)</f>
        <v>0</v>
      </c>
      <c r="G3366" s="16">
        <f>ABS(Solieusap!G3366)</f>
        <v>0</v>
      </c>
      <c r="H3366" s="16">
        <f>ABS(Solieusap!H3366)</f>
        <v>0</v>
      </c>
      <c r="I3366" s="16">
        <f>ABS(Solieusap!I3366)</f>
        <v>0</v>
      </c>
      <c r="J3366" s="16">
        <f>ABS(Solieusap!J3366)</f>
        <v>0</v>
      </c>
      <c r="K3366" s="16">
        <f t="shared" si="1"/>
        <v>0</v>
      </c>
      <c r="L3366" s="16">
        <f t="shared" si="2"/>
        <v>0</v>
      </c>
    </row>
    <row r="3367" ht="16.5" customHeight="1">
      <c r="A3367" s="15" t="str">
        <f>Solieusap!A3367</f>
        <v/>
      </c>
      <c r="B3367" s="15" t="str">
        <f>Solieusap!B3367</f>
        <v/>
      </c>
      <c r="C3367" s="15" t="str">
        <f>Solieusap!C3367</f>
        <v/>
      </c>
      <c r="D3367" s="15" t="str">
        <f>Solieusap!D3367</f>
        <v/>
      </c>
      <c r="E3367" s="16">
        <f>ABS(Solieusap!E3367)</f>
        <v>0</v>
      </c>
      <c r="F3367" s="16">
        <f>ABS(Solieusap!F3367)</f>
        <v>0</v>
      </c>
      <c r="G3367" s="16">
        <f>ABS(Solieusap!G3367)</f>
        <v>0</v>
      </c>
      <c r="H3367" s="16">
        <f>ABS(Solieusap!H3367)</f>
        <v>0</v>
      </c>
      <c r="I3367" s="16">
        <f>ABS(Solieusap!I3367)</f>
        <v>0</v>
      </c>
      <c r="J3367" s="16">
        <f>ABS(Solieusap!J3367)</f>
        <v>0</v>
      </c>
      <c r="K3367" s="16">
        <f t="shared" si="1"/>
        <v>0</v>
      </c>
      <c r="L3367" s="16">
        <f t="shared" si="2"/>
        <v>0</v>
      </c>
    </row>
    <row r="3368" ht="16.5" customHeight="1">
      <c r="A3368" s="15" t="str">
        <f>Solieusap!A3368</f>
        <v/>
      </c>
      <c r="B3368" s="15" t="str">
        <f>Solieusap!B3368</f>
        <v/>
      </c>
      <c r="C3368" s="15" t="str">
        <f>Solieusap!C3368</f>
        <v/>
      </c>
      <c r="D3368" s="15" t="str">
        <f>Solieusap!D3368</f>
        <v/>
      </c>
      <c r="E3368" s="16">
        <f>ABS(Solieusap!E3368)</f>
        <v>0</v>
      </c>
      <c r="F3368" s="16">
        <f>ABS(Solieusap!F3368)</f>
        <v>0</v>
      </c>
      <c r="G3368" s="16">
        <f>ABS(Solieusap!G3368)</f>
        <v>0</v>
      </c>
      <c r="H3368" s="16">
        <f>ABS(Solieusap!H3368)</f>
        <v>0</v>
      </c>
      <c r="I3368" s="16">
        <f>ABS(Solieusap!I3368)</f>
        <v>0</v>
      </c>
      <c r="J3368" s="16">
        <f>ABS(Solieusap!J3368)</f>
        <v>0</v>
      </c>
      <c r="K3368" s="16">
        <f t="shared" si="1"/>
        <v>0</v>
      </c>
      <c r="L3368" s="16">
        <f t="shared" si="2"/>
        <v>0</v>
      </c>
    </row>
    <row r="3369" ht="16.5" customHeight="1">
      <c r="A3369" s="15" t="str">
        <f>Solieusap!A3369</f>
        <v/>
      </c>
      <c r="B3369" s="15" t="str">
        <f>Solieusap!B3369</f>
        <v/>
      </c>
      <c r="C3369" s="15" t="str">
        <f>Solieusap!C3369</f>
        <v/>
      </c>
      <c r="D3369" s="15" t="str">
        <f>Solieusap!D3369</f>
        <v/>
      </c>
      <c r="E3369" s="16">
        <f>ABS(Solieusap!E3369)</f>
        <v>0</v>
      </c>
      <c r="F3369" s="16">
        <f>ABS(Solieusap!F3369)</f>
        <v>0</v>
      </c>
      <c r="G3369" s="16">
        <f>ABS(Solieusap!G3369)</f>
        <v>0</v>
      </c>
      <c r="H3369" s="16">
        <f>ABS(Solieusap!H3369)</f>
        <v>0</v>
      </c>
      <c r="I3369" s="16">
        <f>ABS(Solieusap!I3369)</f>
        <v>0</v>
      </c>
      <c r="J3369" s="16">
        <f>ABS(Solieusap!J3369)</f>
        <v>0</v>
      </c>
      <c r="K3369" s="16">
        <f t="shared" si="1"/>
        <v>0</v>
      </c>
      <c r="L3369" s="16">
        <f t="shared" si="2"/>
        <v>0</v>
      </c>
    </row>
    <row r="3370" ht="16.5" customHeight="1">
      <c r="A3370" s="15" t="str">
        <f>Solieusap!A3370</f>
        <v/>
      </c>
      <c r="B3370" s="15" t="str">
        <f>Solieusap!B3370</f>
        <v/>
      </c>
      <c r="C3370" s="15" t="str">
        <f>Solieusap!C3370</f>
        <v/>
      </c>
      <c r="D3370" s="15" t="str">
        <f>Solieusap!D3370</f>
        <v/>
      </c>
      <c r="E3370" s="16">
        <f>ABS(Solieusap!E3370)</f>
        <v>0</v>
      </c>
      <c r="F3370" s="16">
        <f>ABS(Solieusap!F3370)</f>
        <v>0</v>
      </c>
      <c r="G3370" s="16">
        <f>ABS(Solieusap!G3370)</f>
        <v>0</v>
      </c>
      <c r="H3370" s="16">
        <f>ABS(Solieusap!H3370)</f>
        <v>0</v>
      </c>
      <c r="I3370" s="16">
        <f>ABS(Solieusap!I3370)</f>
        <v>0</v>
      </c>
      <c r="J3370" s="16">
        <f>ABS(Solieusap!J3370)</f>
        <v>0</v>
      </c>
      <c r="K3370" s="16">
        <f t="shared" si="1"/>
        <v>0</v>
      </c>
      <c r="L3370" s="16">
        <f t="shared" si="2"/>
        <v>0</v>
      </c>
    </row>
    <row r="3371" ht="16.5" customHeight="1">
      <c r="A3371" s="15" t="str">
        <f>Solieusap!A3371</f>
        <v/>
      </c>
      <c r="B3371" s="15" t="str">
        <f>Solieusap!B3371</f>
        <v/>
      </c>
      <c r="C3371" s="15" t="str">
        <f>Solieusap!C3371</f>
        <v/>
      </c>
      <c r="D3371" s="15" t="str">
        <f>Solieusap!D3371</f>
        <v/>
      </c>
      <c r="E3371" s="16">
        <f>ABS(Solieusap!E3371)</f>
        <v>0</v>
      </c>
      <c r="F3371" s="16">
        <f>ABS(Solieusap!F3371)</f>
        <v>0</v>
      </c>
      <c r="G3371" s="16">
        <f>ABS(Solieusap!G3371)</f>
        <v>0</v>
      </c>
      <c r="H3371" s="16">
        <f>ABS(Solieusap!H3371)</f>
        <v>0</v>
      </c>
      <c r="I3371" s="16">
        <f>ABS(Solieusap!I3371)</f>
        <v>0</v>
      </c>
      <c r="J3371" s="16">
        <f>ABS(Solieusap!J3371)</f>
        <v>0</v>
      </c>
      <c r="K3371" s="16">
        <f t="shared" si="1"/>
        <v>0</v>
      </c>
      <c r="L3371" s="16">
        <f t="shared" si="2"/>
        <v>0</v>
      </c>
    </row>
    <row r="3372" ht="16.5" customHeight="1">
      <c r="A3372" s="15" t="str">
        <f>Solieusap!A3372</f>
        <v/>
      </c>
      <c r="B3372" s="15" t="str">
        <f>Solieusap!B3372</f>
        <v/>
      </c>
      <c r="C3372" s="15" t="str">
        <f>Solieusap!C3372</f>
        <v/>
      </c>
      <c r="D3372" s="15" t="str">
        <f>Solieusap!D3372</f>
        <v/>
      </c>
      <c r="E3372" s="16">
        <f>ABS(Solieusap!E3372)</f>
        <v>0</v>
      </c>
      <c r="F3372" s="16">
        <f>ABS(Solieusap!F3372)</f>
        <v>0</v>
      </c>
      <c r="G3372" s="16">
        <f>ABS(Solieusap!G3372)</f>
        <v>0</v>
      </c>
      <c r="H3372" s="16">
        <f>ABS(Solieusap!H3372)</f>
        <v>0</v>
      </c>
      <c r="I3372" s="16">
        <f>ABS(Solieusap!I3372)</f>
        <v>0</v>
      </c>
      <c r="J3372" s="16">
        <f>ABS(Solieusap!J3372)</f>
        <v>0</v>
      </c>
      <c r="K3372" s="16">
        <f t="shared" si="1"/>
        <v>0</v>
      </c>
      <c r="L3372" s="16">
        <f t="shared" si="2"/>
        <v>0</v>
      </c>
    </row>
    <row r="3373" ht="16.5" customHeight="1">
      <c r="A3373" s="15" t="str">
        <f>Solieusap!A3373</f>
        <v/>
      </c>
      <c r="B3373" s="15" t="str">
        <f>Solieusap!B3373</f>
        <v/>
      </c>
      <c r="C3373" s="15" t="str">
        <f>Solieusap!C3373</f>
        <v/>
      </c>
      <c r="D3373" s="15" t="str">
        <f>Solieusap!D3373</f>
        <v/>
      </c>
      <c r="E3373" s="16">
        <f>ABS(Solieusap!E3373)</f>
        <v>0</v>
      </c>
      <c r="F3373" s="16">
        <f>ABS(Solieusap!F3373)</f>
        <v>0</v>
      </c>
      <c r="G3373" s="16">
        <f>ABS(Solieusap!G3373)</f>
        <v>0</v>
      </c>
      <c r="H3373" s="16">
        <f>ABS(Solieusap!H3373)</f>
        <v>0</v>
      </c>
      <c r="I3373" s="16">
        <f>ABS(Solieusap!I3373)</f>
        <v>0</v>
      </c>
      <c r="J3373" s="16">
        <f>ABS(Solieusap!J3373)</f>
        <v>0</v>
      </c>
      <c r="K3373" s="16">
        <f t="shared" si="1"/>
        <v>0</v>
      </c>
      <c r="L3373" s="16">
        <f t="shared" si="2"/>
        <v>0</v>
      </c>
    </row>
    <row r="3374" ht="16.5" customHeight="1">
      <c r="A3374" s="15" t="str">
        <f>Solieusap!A3374</f>
        <v/>
      </c>
      <c r="B3374" s="15" t="str">
        <f>Solieusap!B3374</f>
        <v/>
      </c>
      <c r="C3374" s="15" t="str">
        <f>Solieusap!C3374</f>
        <v/>
      </c>
      <c r="D3374" s="15" t="str">
        <f>Solieusap!D3374</f>
        <v/>
      </c>
      <c r="E3374" s="16">
        <f>ABS(Solieusap!E3374)</f>
        <v>0</v>
      </c>
      <c r="F3374" s="16">
        <f>ABS(Solieusap!F3374)</f>
        <v>0</v>
      </c>
      <c r="G3374" s="16">
        <f>ABS(Solieusap!G3374)</f>
        <v>0</v>
      </c>
      <c r="H3374" s="16">
        <f>ABS(Solieusap!H3374)</f>
        <v>0</v>
      </c>
      <c r="I3374" s="16">
        <f>ABS(Solieusap!I3374)</f>
        <v>0</v>
      </c>
      <c r="J3374" s="16">
        <f>ABS(Solieusap!J3374)</f>
        <v>0</v>
      </c>
      <c r="K3374" s="16">
        <f t="shared" si="1"/>
        <v>0</v>
      </c>
      <c r="L3374" s="16">
        <f t="shared" si="2"/>
        <v>0</v>
      </c>
    </row>
    <row r="3375" ht="16.5" customHeight="1">
      <c r="A3375" s="15" t="str">
        <f>Solieusap!A3375</f>
        <v/>
      </c>
      <c r="B3375" s="15" t="str">
        <f>Solieusap!B3375</f>
        <v/>
      </c>
      <c r="C3375" s="15" t="str">
        <f>Solieusap!C3375</f>
        <v/>
      </c>
      <c r="D3375" s="15" t="str">
        <f>Solieusap!D3375</f>
        <v/>
      </c>
      <c r="E3375" s="16">
        <f>ABS(Solieusap!E3375)</f>
        <v>0</v>
      </c>
      <c r="F3375" s="16">
        <f>ABS(Solieusap!F3375)</f>
        <v>0</v>
      </c>
      <c r="G3375" s="16">
        <f>ABS(Solieusap!G3375)</f>
        <v>0</v>
      </c>
      <c r="H3375" s="16">
        <f>ABS(Solieusap!H3375)</f>
        <v>0</v>
      </c>
      <c r="I3375" s="16">
        <f>ABS(Solieusap!I3375)</f>
        <v>0</v>
      </c>
      <c r="J3375" s="16">
        <f>ABS(Solieusap!J3375)</f>
        <v>0</v>
      </c>
      <c r="K3375" s="16">
        <f t="shared" si="1"/>
        <v>0</v>
      </c>
      <c r="L3375" s="16">
        <f t="shared" si="2"/>
        <v>0</v>
      </c>
    </row>
    <row r="3376" ht="16.5" customHeight="1">
      <c r="A3376" s="15" t="str">
        <f>Solieusap!A3376</f>
        <v/>
      </c>
      <c r="B3376" s="15" t="str">
        <f>Solieusap!B3376</f>
        <v/>
      </c>
      <c r="C3376" s="15" t="str">
        <f>Solieusap!C3376</f>
        <v/>
      </c>
      <c r="D3376" s="15" t="str">
        <f>Solieusap!D3376</f>
        <v/>
      </c>
      <c r="E3376" s="16">
        <f>ABS(Solieusap!E3376)</f>
        <v>0</v>
      </c>
      <c r="F3376" s="16">
        <f>ABS(Solieusap!F3376)</f>
        <v>0</v>
      </c>
      <c r="G3376" s="16">
        <f>ABS(Solieusap!G3376)</f>
        <v>0</v>
      </c>
      <c r="H3376" s="16">
        <f>ABS(Solieusap!H3376)</f>
        <v>0</v>
      </c>
      <c r="I3376" s="16">
        <f>ABS(Solieusap!I3376)</f>
        <v>0</v>
      </c>
      <c r="J3376" s="16">
        <f>ABS(Solieusap!J3376)</f>
        <v>0</v>
      </c>
      <c r="K3376" s="16">
        <f t="shared" si="1"/>
        <v>0</v>
      </c>
      <c r="L3376" s="16">
        <f t="shared" si="2"/>
        <v>0</v>
      </c>
    </row>
    <row r="3377" ht="16.5" customHeight="1">
      <c r="A3377" s="15" t="str">
        <f>Solieusap!A3377</f>
        <v/>
      </c>
      <c r="B3377" s="15" t="str">
        <f>Solieusap!B3377</f>
        <v/>
      </c>
      <c r="C3377" s="15" t="str">
        <f>Solieusap!C3377</f>
        <v/>
      </c>
      <c r="D3377" s="15" t="str">
        <f>Solieusap!D3377</f>
        <v/>
      </c>
      <c r="E3377" s="16">
        <f>ABS(Solieusap!E3377)</f>
        <v>0</v>
      </c>
      <c r="F3377" s="16">
        <f>ABS(Solieusap!F3377)</f>
        <v>0</v>
      </c>
      <c r="G3377" s="16">
        <f>ABS(Solieusap!G3377)</f>
        <v>0</v>
      </c>
      <c r="H3377" s="16">
        <f>ABS(Solieusap!H3377)</f>
        <v>0</v>
      </c>
      <c r="I3377" s="16">
        <f>ABS(Solieusap!I3377)</f>
        <v>0</v>
      </c>
      <c r="J3377" s="16">
        <f>ABS(Solieusap!J3377)</f>
        <v>0</v>
      </c>
      <c r="K3377" s="16">
        <f t="shared" si="1"/>
        <v>0</v>
      </c>
      <c r="L3377" s="16">
        <f t="shared" si="2"/>
        <v>0</v>
      </c>
    </row>
    <row r="3378" ht="16.5" customHeight="1">
      <c r="A3378" s="15" t="str">
        <f>Solieusap!A3378</f>
        <v/>
      </c>
      <c r="B3378" s="15" t="str">
        <f>Solieusap!B3378</f>
        <v/>
      </c>
      <c r="C3378" s="15" t="str">
        <f>Solieusap!C3378</f>
        <v/>
      </c>
      <c r="D3378" s="15" t="str">
        <f>Solieusap!D3378</f>
        <v/>
      </c>
      <c r="E3378" s="16">
        <f>ABS(Solieusap!E3378)</f>
        <v>0</v>
      </c>
      <c r="F3378" s="16">
        <f>ABS(Solieusap!F3378)</f>
        <v>0</v>
      </c>
      <c r="G3378" s="16">
        <f>ABS(Solieusap!G3378)</f>
        <v>0</v>
      </c>
      <c r="H3378" s="16">
        <f>ABS(Solieusap!H3378)</f>
        <v>0</v>
      </c>
      <c r="I3378" s="16">
        <f>ABS(Solieusap!I3378)</f>
        <v>0</v>
      </c>
      <c r="J3378" s="16">
        <f>ABS(Solieusap!J3378)</f>
        <v>0</v>
      </c>
      <c r="K3378" s="16">
        <f t="shared" si="1"/>
        <v>0</v>
      </c>
      <c r="L3378" s="16">
        <f t="shared" si="2"/>
        <v>0</v>
      </c>
    </row>
    <row r="3379" ht="16.5" customHeight="1">
      <c r="A3379" s="15" t="str">
        <f>Solieusap!A3379</f>
        <v/>
      </c>
      <c r="B3379" s="15" t="str">
        <f>Solieusap!B3379</f>
        <v/>
      </c>
      <c r="C3379" s="15" t="str">
        <f>Solieusap!C3379</f>
        <v/>
      </c>
      <c r="D3379" s="15" t="str">
        <f>Solieusap!D3379</f>
        <v/>
      </c>
      <c r="E3379" s="16">
        <f>ABS(Solieusap!E3379)</f>
        <v>0</v>
      </c>
      <c r="F3379" s="16">
        <f>ABS(Solieusap!F3379)</f>
        <v>0</v>
      </c>
      <c r="G3379" s="16">
        <f>ABS(Solieusap!G3379)</f>
        <v>0</v>
      </c>
      <c r="H3379" s="16">
        <f>ABS(Solieusap!H3379)</f>
        <v>0</v>
      </c>
      <c r="I3379" s="16">
        <f>ABS(Solieusap!I3379)</f>
        <v>0</v>
      </c>
      <c r="J3379" s="16">
        <f>ABS(Solieusap!J3379)</f>
        <v>0</v>
      </c>
      <c r="K3379" s="16">
        <f t="shared" si="1"/>
        <v>0</v>
      </c>
      <c r="L3379" s="16">
        <f t="shared" si="2"/>
        <v>0</v>
      </c>
    </row>
    <row r="3380" ht="16.5" customHeight="1">
      <c r="A3380" s="15" t="str">
        <f>Solieusap!A3380</f>
        <v/>
      </c>
      <c r="B3380" s="15" t="str">
        <f>Solieusap!B3380</f>
        <v/>
      </c>
      <c r="C3380" s="15" t="str">
        <f>Solieusap!C3380</f>
        <v/>
      </c>
      <c r="D3380" s="15" t="str">
        <f>Solieusap!D3380</f>
        <v/>
      </c>
      <c r="E3380" s="16">
        <f>ABS(Solieusap!E3380)</f>
        <v>0</v>
      </c>
      <c r="F3380" s="16">
        <f>ABS(Solieusap!F3380)</f>
        <v>0</v>
      </c>
      <c r="G3380" s="16">
        <f>ABS(Solieusap!G3380)</f>
        <v>0</v>
      </c>
      <c r="H3380" s="16">
        <f>ABS(Solieusap!H3380)</f>
        <v>0</v>
      </c>
      <c r="I3380" s="16">
        <f>ABS(Solieusap!I3380)</f>
        <v>0</v>
      </c>
      <c r="J3380" s="16">
        <f>ABS(Solieusap!J3380)</f>
        <v>0</v>
      </c>
      <c r="K3380" s="16">
        <f t="shared" si="1"/>
        <v>0</v>
      </c>
      <c r="L3380" s="16">
        <f t="shared" si="2"/>
        <v>0</v>
      </c>
    </row>
    <row r="3381" ht="16.5" customHeight="1">
      <c r="A3381" s="15" t="str">
        <f>Solieusap!A3381</f>
        <v/>
      </c>
      <c r="B3381" s="15" t="str">
        <f>Solieusap!B3381</f>
        <v/>
      </c>
      <c r="C3381" s="15" t="str">
        <f>Solieusap!C3381</f>
        <v/>
      </c>
      <c r="D3381" s="15" t="str">
        <f>Solieusap!D3381</f>
        <v/>
      </c>
      <c r="E3381" s="16">
        <f>ABS(Solieusap!E3381)</f>
        <v>0</v>
      </c>
      <c r="F3381" s="16">
        <f>ABS(Solieusap!F3381)</f>
        <v>0</v>
      </c>
      <c r="G3381" s="16">
        <f>ABS(Solieusap!G3381)</f>
        <v>0</v>
      </c>
      <c r="H3381" s="16">
        <f>ABS(Solieusap!H3381)</f>
        <v>0</v>
      </c>
      <c r="I3381" s="16">
        <f>ABS(Solieusap!I3381)</f>
        <v>0</v>
      </c>
      <c r="J3381" s="16">
        <f>ABS(Solieusap!J3381)</f>
        <v>0</v>
      </c>
      <c r="K3381" s="16">
        <f t="shared" si="1"/>
        <v>0</v>
      </c>
      <c r="L3381" s="16">
        <f t="shared" si="2"/>
        <v>0</v>
      </c>
    </row>
    <row r="3382" ht="16.5" customHeight="1">
      <c r="A3382" s="15" t="str">
        <f>Solieusap!A3382</f>
        <v/>
      </c>
      <c r="B3382" s="15" t="str">
        <f>Solieusap!B3382</f>
        <v/>
      </c>
      <c r="C3382" s="15" t="str">
        <f>Solieusap!C3382</f>
        <v/>
      </c>
      <c r="D3382" s="15" t="str">
        <f>Solieusap!D3382</f>
        <v/>
      </c>
      <c r="E3382" s="16">
        <f>ABS(Solieusap!E3382)</f>
        <v>0</v>
      </c>
      <c r="F3382" s="16">
        <f>ABS(Solieusap!F3382)</f>
        <v>0</v>
      </c>
      <c r="G3382" s="16">
        <f>ABS(Solieusap!G3382)</f>
        <v>0</v>
      </c>
      <c r="H3382" s="16">
        <f>ABS(Solieusap!H3382)</f>
        <v>0</v>
      </c>
      <c r="I3382" s="16">
        <f>ABS(Solieusap!I3382)</f>
        <v>0</v>
      </c>
      <c r="J3382" s="16">
        <f>ABS(Solieusap!J3382)</f>
        <v>0</v>
      </c>
      <c r="K3382" s="16">
        <f t="shared" si="1"/>
        <v>0</v>
      </c>
      <c r="L3382" s="16">
        <f t="shared" si="2"/>
        <v>0</v>
      </c>
    </row>
    <row r="3383" ht="16.5" customHeight="1">
      <c r="A3383" s="15" t="str">
        <f>Solieusap!A3383</f>
        <v/>
      </c>
      <c r="B3383" s="15" t="str">
        <f>Solieusap!B3383</f>
        <v/>
      </c>
      <c r="C3383" s="15" t="str">
        <f>Solieusap!C3383</f>
        <v/>
      </c>
      <c r="D3383" s="15" t="str">
        <f>Solieusap!D3383</f>
        <v/>
      </c>
      <c r="E3383" s="16">
        <f>ABS(Solieusap!E3383)</f>
        <v>0</v>
      </c>
      <c r="F3383" s="16">
        <f>ABS(Solieusap!F3383)</f>
        <v>0</v>
      </c>
      <c r="G3383" s="16">
        <f>ABS(Solieusap!G3383)</f>
        <v>0</v>
      </c>
      <c r="H3383" s="16">
        <f>ABS(Solieusap!H3383)</f>
        <v>0</v>
      </c>
      <c r="I3383" s="16">
        <f>ABS(Solieusap!I3383)</f>
        <v>0</v>
      </c>
      <c r="J3383" s="16">
        <f>ABS(Solieusap!J3383)</f>
        <v>0</v>
      </c>
      <c r="K3383" s="16">
        <f t="shared" si="1"/>
        <v>0</v>
      </c>
      <c r="L3383" s="16">
        <f t="shared" si="2"/>
        <v>0</v>
      </c>
    </row>
    <row r="3384" ht="16.5" customHeight="1">
      <c r="A3384" s="15" t="str">
        <f>Solieusap!A3384</f>
        <v/>
      </c>
      <c r="B3384" s="15" t="str">
        <f>Solieusap!B3384</f>
        <v/>
      </c>
      <c r="C3384" s="15" t="str">
        <f>Solieusap!C3384</f>
        <v/>
      </c>
      <c r="D3384" s="15" t="str">
        <f>Solieusap!D3384</f>
        <v/>
      </c>
      <c r="E3384" s="16">
        <f>ABS(Solieusap!E3384)</f>
        <v>0</v>
      </c>
      <c r="F3384" s="16">
        <f>ABS(Solieusap!F3384)</f>
        <v>0</v>
      </c>
      <c r="G3384" s="16">
        <f>ABS(Solieusap!G3384)</f>
        <v>0</v>
      </c>
      <c r="H3384" s="16">
        <f>ABS(Solieusap!H3384)</f>
        <v>0</v>
      </c>
      <c r="I3384" s="16">
        <f>ABS(Solieusap!I3384)</f>
        <v>0</v>
      </c>
      <c r="J3384" s="16">
        <f>ABS(Solieusap!J3384)</f>
        <v>0</v>
      </c>
      <c r="K3384" s="16">
        <f t="shared" si="1"/>
        <v>0</v>
      </c>
      <c r="L3384" s="16">
        <f t="shared" si="2"/>
        <v>0</v>
      </c>
    </row>
    <row r="3385" ht="16.5" customHeight="1">
      <c r="A3385" s="15" t="str">
        <f>Solieusap!A3385</f>
        <v/>
      </c>
      <c r="B3385" s="15" t="str">
        <f>Solieusap!B3385</f>
        <v/>
      </c>
      <c r="C3385" s="15" t="str">
        <f>Solieusap!C3385</f>
        <v/>
      </c>
      <c r="D3385" s="15" t="str">
        <f>Solieusap!D3385</f>
        <v/>
      </c>
      <c r="E3385" s="16">
        <f>ABS(Solieusap!E3385)</f>
        <v>0</v>
      </c>
      <c r="F3385" s="16">
        <f>ABS(Solieusap!F3385)</f>
        <v>0</v>
      </c>
      <c r="G3385" s="16">
        <f>ABS(Solieusap!G3385)</f>
        <v>0</v>
      </c>
      <c r="H3385" s="16">
        <f>ABS(Solieusap!H3385)</f>
        <v>0</v>
      </c>
      <c r="I3385" s="16">
        <f>ABS(Solieusap!I3385)</f>
        <v>0</v>
      </c>
      <c r="J3385" s="16">
        <f>ABS(Solieusap!J3385)</f>
        <v>0</v>
      </c>
      <c r="K3385" s="16">
        <f t="shared" si="1"/>
        <v>0</v>
      </c>
      <c r="L3385" s="16">
        <f t="shared" si="2"/>
        <v>0</v>
      </c>
    </row>
    <row r="3386" ht="16.5" customHeight="1">
      <c r="A3386" s="15" t="str">
        <f>Solieusap!A3386</f>
        <v/>
      </c>
      <c r="B3386" s="15" t="str">
        <f>Solieusap!B3386</f>
        <v/>
      </c>
      <c r="C3386" s="15" t="str">
        <f>Solieusap!C3386</f>
        <v/>
      </c>
      <c r="D3386" s="15" t="str">
        <f>Solieusap!D3386</f>
        <v/>
      </c>
      <c r="E3386" s="16">
        <f>ABS(Solieusap!E3386)</f>
        <v>0</v>
      </c>
      <c r="F3386" s="16">
        <f>ABS(Solieusap!F3386)</f>
        <v>0</v>
      </c>
      <c r="G3386" s="16">
        <f>ABS(Solieusap!G3386)</f>
        <v>0</v>
      </c>
      <c r="H3386" s="16">
        <f>ABS(Solieusap!H3386)</f>
        <v>0</v>
      </c>
      <c r="I3386" s="16">
        <f>ABS(Solieusap!I3386)</f>
        <v>0</v>
      </c>
      <c r="J3386" s="16">
        <f>ABS(Solieusap!J3386)</f>
        <v>0</v>
      </c>
      <c r="K3386" s="16">
        <f t="shared" si="1"/>
        <v>0</v>
      </c>
      <c r="L3386" s="16">
        <f t="shared" si="2"/>
        <v>0</v>
      </c>
    </row>
    <row r="3387" ht="16.5" customHeight="1">
      <c r="A3387" s="15" t="str">
        <f>Solieusap!A3387</f>
        <v/>
      </c>
      <c r="B3387" s="15" t="str">
        <f>Solieusap!B3387</f>
        <v/>
      </c>
      <c r="C3387" s="15" t="str">
        <f>Solieusap!C3387</f>
        <v/>
      </c>
      <c r="D3387" s="15" t="str">
        <f>Solieusap!D3387</f>
        <v/>
      </c>
      <c r="E3387" s="16">
        <f>ABS(Solieusap!E3387)</f>
        <v>0</v>
      </c>
      <c r="F3387" s="16">
        <f>ABS(Solieusap!F3387)</f>
        <v>0</v>
      </c>
      <c r="G3387" s="16">
        <f>ABS(Solieusap!G3387)</f>
        <v>0</v>
      </c>
      <c r="H3387" s="16">
        <f>ABS(Solieusap!H3387)</f>
        <v>0</v>
      </c>
      <c r="I3387" s="16">
        <f>ABS(Solieusap!I3387)</f>
        <v>0</v>
      </c>
      <c r="J3387" s="16">
        <f>ABS(Solieusap!J3387)</f>
        <v>0</v>
      </c>
      <c r="K3387" s="16">
        <f t="shared" si="1"/>
        <v>0</v>
      </c>
      <c r="L3387" s="16">
        <f t="shared" si="2"/>
        <v>0</v>
      </c>
    </row>
    <row r="3388" ht="16.5" customHeight="1">
      <c r="A3388" s="15" t="str">
        <f>Solieusap!A3388</f>
        <v/>
      </c>
      <c r="B3388" s="15" t="str">
        <f>Solieusap!B3388</f>
        <v/>
      </c>
      <c r="C3388" s="15" t="str">
        <f>Solieusap!C3388</f>
        <v/>
      </c>
      <c r="D3388" s="15" t="str">
        <f>Solieusap!D3388</f>
        <v/>
      </c>
      <c r="E3388" s="16">
        <f>ABS(Solieusap!E3388)</f>
        <v>0</v>
      </c>
      <c r="F3388" s="16">
        <f>ABS(Solieusap!F3388)</f>
        <v>0</v>
      </c>
      <c r="G3388" s="16">
        <f>ABS(Solieusap!G3388)</f>
        <v>0</v>
      </c>
      <c r="H3388" s="16">
        <f>ABS(Solieusap!H3388)</f>
        <v>0</v>
      </c>
      <c r="I3388" s="16">
        <f>ABS(Solieusap!I3388)</f>
        <v>0</v>
      </c>
      <c r="J3388" s="16">
        <f>ABS(Solieusap!J3388)</f>
        <v>0</v>
      </c>
      <c r="K3388" s="16">
        <f t="shared" si="1"/>
        <v>0</v>
      </c>
      <c r="L3388" s="16">
        <f t="shared" si="2"/>
        <v>0</v>
      </c>
    </row>
    <row r="3389" ht="16.5" customHeight="1">
      <c r="A3389" s="15" t="str">
        <f>Solieusap!A3389</f>
        <v/>
      </c>
      <c r="B3389" s="15" t="str">
        <f>Solieusap!B3389</f>
        <v/>
      </c>
      <c r="C3389" s="15" t="str">
        <f>Solieusap!C3389</f>
        <v/>
      </c>
      <c r="D3389" s="15" t="str">
        <f>Solieusap!D3389</f>
        <v/>
      </c>
      <c r="E3389" s="16">
        <f>ABS(Solieusap!E3389)</f>
        <v>0</v>
      </c>
      <c r="F3389" s="16">
        <f>ABS(Solieusap!F3389)</f>
        <v>0</v>
      </c>
      <c r="G3389" s="16">
        <f>ABS(Solieusap!G3389)</f>
        <v>0</v>
      </c>
      <c r="H3389" s="16">
        <f>ABS(Solieusap!H3389)</f>
        <v>0</v>
      </c>
      <c r="I3389" s="16">
        <f>ABS(Solieusap!I3389)</f>
        <v>0</v>
      </c>
      <c r="J3389" s="16">
        <f>ABS(Solieusap!J3389)</f>
        <v>0</v>
      </c>
      <c r="K3389" s="16">
        <f t="shared" si="1"/>
        <v>0</v>
      </c>
      <c r="L3389" s="16">
        <f t="shared" si="2"/>
        <v>0</v>
      </c>
    </row>
    <row r="3390" ht="16.5" customHeight="1">
      <c r="A3390" s="15" t="str">
        <f>Solieusap!A3390</f>
        <v/>
      </c>
      <c r="B3390" s="15" t="str">
        <f>Solieusap!B3390</f>
        <v/>
      </c>
      <c r="C3390" s="15" t="str">
        <f>Solieusap!C3390</f>
        <v/>
      </c>
      <c r="D3390" s="15" t="str">
        <f>Solieusap!D3390</f>
        <v/>
      </c>
      <c r="E3390" s="16">
        <f>ABS(Solieusap!E3390)</f>
        <v>0</v>
      </c>
      <c r="F3390" s="16">
        <f>ABS(Solieusap!F3390)</f>
        <v>0</v>
      </c>
      <c r="G3390" s="16">
        <f>ABS(Solieusap!G3390)</f>
        <v>0</v>
      </c>
      <c r="H3390" s="16">
        <f>ABS(Solieusap!H3390)</f>
        <v>0</v>
      </c>
      <c r="I3390" s="16">
        <f>ABS(Solieusap!I3390)</f>
        <v>0</v>
      </c>
      <c r="J3390" s="16">
        <f>ABS(Solieusap!J3390)</f>
        <v>0</v>
      </c>
      <c r="K3390" s="16">
        <f t="shared" si="1"/>
        <v>0</v>
      </c>
      <c r="L3390" s="16">
        <f t="shared" si="2"/>
        <v>0</v>
      </c>
    </row>
    <row r="3391" ht="16.5" customHeight="1">
      <c r="A3391" s="15" t="str">
        <f>Solieusap!A3391</f>
        <v/>
      </c>
      <c r="B3391" s="15" t="str">
        <f>Solieusap!B3391</f>
        <v/>
      </c>
      <c r="C3391" s="15" t="str">
        <f>Solieusap!C3391</f>
        <v/>
      </c>
      <c r="D3391" s="15" t="str">
        <f>Solieusap!D3391</f>
        <v/>
      </c>
      <c r="E3391" s="16">
        <f>ABS(Solieusap!E3391)</f>
        <v>0</v>
      </c>
      <c r="F3391" s="16">
        <f>ABS(Solieusap!F3391)</f>
        <v>0</v>
      </c>
      <c r="G3391" s="16">
        <f>ABS(Solieusap!G3391)</f>
        <v>0</v>
      </c>
      <c r="H3391" s="16">
        <f>ABS(Solieusap!H3391)</f>
        <v>0</v>
      </c>
      <c r="I3391" s="16">
        <f>ABS(Solieusap!I3391)</f>
        <v>0</v>
      </c>
      <c r="J3391" s="16">
        <f>ABS(Solieusap!J3391)</f>
        <v>0</v>
      </c>
      <c r="K3391" s="16">
        <f t="shared" si="1"/>
        <v>0</v>
      </c>
      <c r="L3391" s="16">
        <f t="shared" si="2"/>
        <v>0</v>
      </c>
    </row>
    <row r="3392" ht="16.5" customHeight="1">
      <c r="A3392" s="15" t="str">
        <f>Solieusap!A3392</f>
        <v/>
      </c>
      <c r="B3392" s="15" t="str">
        <f>Solieusap!B3392</f>
        <v/>
      </c>
      <c r="C3392" s="15" t="str">
        <f>Solieusap!C3392</f>
        <v/>
      </c>
      <c r="D3392" s="15" t="str">
        <f>Solieusap!D3392</f>
        <v/>
      </c>
      <c r="E3392" s="16">
        <f>ABS(Solieusap!E3392)</f>
        <v>0</v>
      </c>
      <c r="F3392" s="16">
        <f>ABS(Solieusap!F3392)</f>
        <v>0</v>
      </c>
      <c r="G3392" s="16">
        <f>ABS(Solieusap!G3392)</f>
        <v>0</v>
      </c>
      <c r="H3392" s="16">
        <f>ABS(Solieusap!H3392)</f>
        <v>0</v>
      </c>
      <c r="I3392" s="16">
        <f>ABS(Solieusap!I3392)</f>
        <v>0</v>
      </c>
      <c r="J3392" s="16">
        <f>ABS(Solieusap!J3392)</f>
        <v>0</v>
      </c>
      <c r="K3392" s="16">
        <f t="shared" si="1"/>
        <v>0</v>
      </c>
      <c r="L3392" s="16">
        <f t="shared" si="2"/>
        <v>0</v>
      </c>
    </row>
    <row r="3393" ht="16.5" customHeight="1">
      <c r="A3393" s="15" t="str">
        <f>Solieusap!A3393</f>
        <v/>
      </c>
      <c r="B3393" s="15" t="str">
        <f>Solieusap!B3393</f>
        <v/>
      </c>
      <c r="C3393" s="15" t="str">
        <f>Solieusap!C3393</f>
        <v/>
      </c>
      <c r="D3393" s="15" t="str">
        <f>Solieusap!D3393</f>
        <v/>
      </c>
      <c r="E3393" s="16">
        <f>ABS(Solieusap!E3393)</f>
        <v>0</v>
      </c>
      <c r="F3393" s="16">
        <f>ABS(Solieusap!F3393)</f>
        <v>0</v>
      </c>
      <c r="G3393" s="16">
        <f>ABS(Solieusap!G3393)</f>
        <v>0</v>
      </c>
      <c r="H3393" s="16">
        <f>ABS(Solieusap!H3393)</f>
        <v>0</v>
      </c>
      <c r="I3393" s="16">
        <f>ABS(Solieusap!I3393)</f>
        <v>0</v>
      </c>
      <c r="J3393" s="16">
        <f>ABS(Solieusap!J3393)</f>
        <v>0</v>
      </c>
      <c r="K3393" s="16">
        <f t="shared" si="1"/>
        <v>0</v>
      </c>
      <c r="L3393" s="16">
        <f t="shared" si="2"/>
        <v>0</v>
      </c>
    </row>
    <row r="3394" ht="16.5" customHeight="1">
      <c r="A3394" s="15" t="str">
        <f>Solieusap!A3394</f>
        <v/>
      </c>
      <c r="B3394" s="15" t="str">
        <f>Solieusap!B3394</f>
        <v/>
      </c>
      <c r="C3394" s="15" t="str">
        <f>Solieusap!C3394</f>
        <v/>
      </c>
      <c r="D3394" s="15" t="str">
        <f>Solieusap!D3394</f>
        <v/>
      </c>
      <c r="E3394" s="16">
        <f>ABS(Solieusap!E3394)</f>
        <v>0</v>
      </c>
      <c r="F3394" s="16">
        <f>ABS(Solieusap!F3394)</f>
        <v>0</v>
      </c>
      <c r="G3394" s="16">
        <f>ABS(Solieusap!G3394)</f>
        <v>0</v>
      </c>
      <c r="H3394" s="16">
        <f>ABS(Solieusap!H3394)</f>
        <v>0</v>
      </c>
      <c r="I3394" s="16">
        <f>ABS(Solieusap!I3394)</f>
        <v>0</v>
      </c>
      <c r="J3394" s="16">
        <f>ABS(Solieusap!J3394)</f>
        <v>0</v>
      </c>
      <c r="K3394" s="16">
        <f t="shared" si="1"/>
        <v>0</v>
      </c>
      <c r="L3394" s="16">
        <f t="shared" si="2"/>
        <v>0</v>
      </c>
    </row>
    <row r="3395" ht="16.5" customHeight="1">
      <c r="A3395" s="15" t="str">
        <f>Solieusap!A3395</f>
        <v/>
      </c>
      <c r="B3395" s="15" t="str">
        <f>Solieusap!B3395</f>
        <v/>
      </c>
      <c r="C3395" s="15" t="str">
        <f>Solieusap!C3395</f>
        <v/>
      </c>
      <c r="D3395" s="15" t="str">
        <f>Solieusap!D3395</f>
        <v/>
      </c>
      <c r="E3395" s="16">
        <f>ABS(Solieusap!E3395)</f>
        <v>0</v>
      </c>
      <c r="F3395" s="16">
        <f>ABS(Solieusap!F3395)</f>
        <v>0</v>
      </c>
      <c r="G3395" s="16">
        <f>ABS(Solieusap!G3395)</f>
        <v>0</v>
      </c>
      <c r="H3395" s="16">
        <f>ABS(Solieusap!H3395)</f>
        <v>0</v>
      </c>
      <c r="I3395" s="16">
        <f>ABS(Solieusap!I3395)</f>
        <v>0</v>
      </c>
      <c r="J3395" s="16">
        <f>ABS(Solieusap!J3395)</f>
        <v>0</v>
      </c>
      <c r="K3395" s="16">
        <f t="shared" si="1"/>
        <v>0</v>
      </c>
      <c r="L3395" s="16">
        <f t="shared" si="2"/>
        <v>0</v>
      </c>
    </row>
    <row r="3396" ht="16.5" customHeight="1">
      <c r="A3396" s="15" t="str">
        <f>Solieusap!A3396</f>
        <v/>
      </c>
      <c r="B3396" s="15" t="str">
        <f>Solieusap!B3396</f>
        <v/>
      </c>
      <c r="C3396" s="15" t="str">
        <f>Solieusap!C3396</f>
        <v/>
      </c>
      <c r="D3396" s="15" t="str">
        <f>Solieusap!D3396</f>
        <v/>
      </c>
      <c r="E3396" s="16">
        <f>ABS(Solieusap!E3396)</f>
        <v>0</v>
      </c>
      <c r="F3396" s="16">
        <f>ABS(Solieusap!F3396)</f>
        <v>0</v>
      </c>
      <c r="G3396" s="16">
        <f>ABS(Solieusap!G3396)</f>
        <v>0</v>
      </c>
      <c r="H3396" s="16">
        <f>ABS(Solieusap!H3396)</f>
        <v>0</v>
      </c>
      <c r="I3396" s="16">
        <f>ABS(Solieusap!I3396)</f>
        <v>0</v>
      </c>
      <c r="J3396" s="16">
        <f>ABS(Solieusap!J3396)</f>
        <v>0</v>
      </c>
      <c r="K3396" s="16">
        <f t="shared" si="1"/>
        <v>0</v>
      </c>
      <c r="L3396" s="16">
        <f t="shared" si="2"/>
        <v>0</v>
      </c>
    </row>
    <row r="3397" ht="16.5" customHeight="1">
      <c r="A3397" s="15" t="str">
        <f>Solieusap!A3397</f>
        <v/>
      </c>
      <c r="B3397" s="15" t="str">
        <f>Solieusap!B3397</f>
        <v/>
      </c>
      <c r="C3397" s="15" t="str">
        <f>Solieusap!C3397</f>
        <v/>
      </c>
      <c r="D3397" s="15" t="str">
        <f>Solieusap!D3397</f>
        <v/>
      </c>
      <c r="E3397" s="16">
        <f>ABS(Solieusap!E3397)</f>
        <v>0</v>
      </c>
      <c r="F3397" s="16">
        <f>ABS(Solieusap!F3397)</f>
        <v>0</v>
      </c>
      <c r="G3397" s="16">
        <f>ABS(Solieusap!G3397)</f>
        <v>0</v>
      </c>
      <c r="H3397" s="16">
        <f>ABS(Solieusap!H3397)</f>
        <v>0</v>
      </c>
      <c r="I3397" s="16">
        <f>ABS(Solieusap!I3397)</f>
        <v>0</v>
      </c>
      <c r="J3397" s="16">
        <f>ABS(Solieusap!J3397)</f>
        <v>0</v>
      </c>
      <c r="K3397" s="16">
        <f t="shared" si="1"/>
        <v>0</v>
      </c>
      <c r="L3397" s="16">
        <f t="shared" si="2"/>
        <v>0</v>
      </c>
    </row>
    <row r="3398" ht="16.5" customHeight="1">
      <c r="A3398" s="15" t="str">
        <f>Solieusap!A3398</f>
        <v/>
      </c>
      <c r="B3398" s="15" t="str">
        <f>Solieusap!B3398</f>
        <v/>
      </c>
      <c r="C3398" s="15" t="str">
        <f>Solieusap!C3398</f>
        <v/>
      </c>
      <c r="D3398" s="15" t="str">
        <f>Solieusap!D3398</f>
        <v/>
      </c>
      <c r="E3398" s="16">
        <f>ABS(Solieusap!E3398)</f>
        <v>0</v>
      </c>
      <c r="F3398" s="16">
        <f>ABS(Solieusap!F3398)</f>
        <v>0</v>
      </c>
      <c r="G3398" s="16">
        <f>ABS(Solieusap!G3398)</f>
        <v>0</v>
      </c>
      <c r="H3398" s="16">
        <f>ABS(Solieusap!H3398)</f>
        <v>0</v>
      </c>
      <c r="I3398" s="16">
        <f>ABS(Solieusap!I3398)</f>
        <v>0</v>
      </c>
      <c r="J3398" s="16">
        <f>ABS(Solieusap!J3398)</f>
        <v>0</v>
      </c>
      <c r="K3398" s="16">
        <f t="shared" si="1"/>
        <v>0</v>
      </c>
      <c r="L3398" s="16">
        <f t="shared" si="2"/>
        <v>0</v>
      </c>
    </row>
    <row r="3399" ht="16.5" customHeight="1">
      <c r="A3399" s="15" t="str">
        <f>Solieusap!A3399</f>
        <v/>
      </c>
      <c r="B3399" s="15" t="str">
        <f>Solieusap!B3399</f>
        <v/>
      </c>
      <c r="C3399" s="15" t="str">
        <f>Solieusap!C3399</f>
        <v/>
      </c>
      <c r="D3399" s="15" t="str">
        <f>Solieusap!D3399</f>
        <v/>
      </c>
      <c r="E3399" s="16">
        <f>ABS(Solieusap!E3399)</f>
        <v>0</v>
      </c>
      <c r="F3399" s="16">
        <f>ABS(Solieusap!F3399)</f>
        <v>0</v>
      </c>
      <c r="G3399" s="16">
        <f>ABS(Solieusap!G3399)</f>
        <v>0</v>
      </c>
      <c r="H3399" s="16">
        <f>ABS(Solieusap!H3399)</f>
        <v>0</v>
      </c>
      <c r="I3399" s="16">
        <f>ABS(Solieusap!I3399)</f>
        <v>0</v>
      </c>
      <c r="J3399" s="16">
        <f>ABS(Solieusap!J3399)</f>
        <v>0</v>
      </c>
      <c r="K3399" s="16">
        <f t="shared" si="1"/>
        <v>0</v>
      </c>
      <c r="L3399" s="16">
        <f t="shared" si="2"/>
        <v>0</v>
      </c>
    </row>
    <row r="3400" ht="16.5" customHeight="1">
      <c r="A3400" s="15" t="str">
        <f>Solieusap!A3400</f>
        <v/>
      </c>
      <c r="B3400" s="15" t="str">
        <f>Solieusap!B3400</f>
        <v/>
      </c>
      <c r="C3400" s="15" t="str">
        <f>Solieusap!C3400</f>
        <v/>
      </c>
      <c r="D3400" s="15" t="str">
        <f>Solieusap!D3400</f>
        <v/>
      </c>
      <c r="E3400" s="16">
        <f>ABS(Solieusap!E3400)</f>
        <v>0</v>
      </c>
      <c r="F3400" s="16">
        <f>ABS(Solieusap!F3400)</f>
        <v>0</v>
      </c>
      <c r="G3400" s="16">
        <f>ABS(Solieusap!G3400)</f>
        <v>0</v>
      </c>
      <c r="H3400" s="16">
        <f>ABS(Solieusap!H3400)</f>
        <v>0</v>
      </c>
      <c r="I3400" s="16">
        <f>ABS(Solieusap!I3400)</f>
        <v>0</v>
      </c>
      <c r="J3400" s="16">
        <f>ABS(Solieusap!J3400)</f>
        <v>0</v>
      </c>
      <c r="K3400" s="16">
        <f t="shared" si="1"/>
        <v>0</v>
      </c>
      <c r="L3400" s="16">
        <f t="shared" si="2"/>
        <v>0</v>
      </c>
    </row>
    <row r="3401" ht="16.5" customHeight="1">
      <c r="A3401" s="15" t="str">
        <f>Solieusap!A3401</f>
        <v/>
      </c>
      <c r="B3401" s="15" t="str">
        <f>Solieusap!B3401</f>
        <v/>
      </c>
      <c r="C3401" s="15" t="str">
        <f>Solieusap!C3401</f>
        <v/>
      </c>
      <c r="D3401" s="15" t="str">
        <f>Solieusap!D3401</f>
        <v/>
      </c>
      <c r="E3401" s="16">
        <f>ABS(Solieusap!E3401)</f>
        <v>0</v>
      </c>
      <c r="F3401" s="16">
        <f>ABS(Solieusap!F3401)</f>
        <v>0</v>
      </c>
      <c r="G3401" s="16">
        <f>ABS(Solieusap!G3401)</f>
        <v>0</v>
      </c>
      <c r="H3401" s="16">
        <f>ABS(Solieusap!H3401)</f>
        <v>0</v>
      </c>
      <c r="I3401" s="16">
        <f>ABS(Solieusap!I3401)</f>
        <v>0</v>
      </c>
      <c r="J3401" s="16">
        <f>ABS(Solieusap!J3401)</f>
        <v>0</v>
      </c>
      <c r="K3401" s="16">
        <f t="shared" si="1"/>
        <v>0</v>
      </c>
      <c r="L3401" s="16">
        <f t="shared" si="2"/>
        <v>0</v>
      </c>
    </row>
    <row r="3402" ht="16.5" customHeight="1">
      <c r="A3402" s="15" t="str">
        <f>Solieusap!A3402</f>
        <v/>
      </c>
      <c r="B3402" s="15" t="str">
        <f>Solieusap!B3402</f>
        <v/>
      </c>
      <c r="C3402" s="15" t="str">
        <f>Solieusap!C3402</f>
        <v/>
      </c>
      <c r="D3402" s="15" t="str">
        <f>Solieusap!D3402</f>
        <v/>
      </c>
      <c r="E3402" s="16">
        <f>ABS(Solieusap!E3402)</f>
        <v>0</v>
      </c>
      <c r="F3402" s="16">
        <f>ABS(Solieusap!F3402)</f>
        <v>0</v>
      </c>
      <c r="G3402" s="16">
        <f>ABS(Solieusap!G3402)</f>
        <v>0</v>
      </c>
      <c r="H3402" s="16">
        <f>ABS(Solieusap!H3402)</f>
        <v>0</v>
      </c>
      <c r="I3402" s="16">
        <f>ABS(Solieusap!I3402)</f>
        <v>0</v>
      </c>
      <c r="J3402" s="16">
        <f>ABS(Solieusap!J3402)</f>
        <v>0</v>
      </c>
      <c r="K3402" s="16">
        <f t="shared" si="1"/>
        <v>0</v>
      </c>
      <c r="L3402" s="16">
        <f t="shared" si="2"/>
        <v>0</v>
      </c>
    </row>
    <row r="3403" ht="16.5" customHeight="1">
      <c r="A3403" s="15" t="str">
        <f>Solieusap!A3403</f>
        <v/>
      </c>
      <c r="B3403" s="15" t="str">
        <f>Solieusap!B3403</f>
        <v/>
      </c>
      <c r="C3403" s="15" t="str">
        <f>Solieusap!C3403</f>
        <v/>
      </c>
      <c r="D3403" s="15" t="str">
        <f>Solieusap!D3403</f>
        <v/>
      </c>
      <c r="E3403" s="16">
        <f>ABS(Solieusap!E3403)</f>
        <v>0</v>
      </c>
      <c r="F3403" s="16">
        <f>ABS(Solieusap!F3403)</f>
        <v>0</v>
      </c>
      <c r="G3403" s="16">
        <f>ABS(Solieusap!G3403)</f>
        <v>0</v>
      </c>
      <c r="H3403" s="16">
        <f>ABS(Solieusap!H3403)</f>
        <v>0</v>
      </c>
      <c r="I3403" s="16">
        <f>ABS(Solieusap!I3403)</f>
        <v>0</v>
      </c>
      <c r="J3403" s="16">
        <f>ABS(Solieusap!J3403)</f>
        <v>0</v>
      </c>
      <c r="K3403" s="16">
        <f t="shared" si="1"/>
        <v>0</v>
      </c>
      <c r="L3403" s="16">
        <f t="shared" si="2"/>
        <v>0</v>
      </c>
    </row>
    <row r="3404" ht="16.5" customHeight="1">
      <c r="A3404" s="15" t="str">
        <f>Solieusap!A3404</f>
        <v/>
      </c>
      <c r="B3404" s="15" t="str">
        <f>Solieusap!B3404</f>
        <v/>
      </c>
      <c r="C3404" s="15" t="str">
        <f>Solieusap!C3404</f>
        <v/>
      </c>
      <c r="D3404" s="15" t="str">
        <f>Solieusap!D3404</f>
        <v/>
      </c>
      <c r="E3404" s="16">
        <f>ABS(Solieusap!E3404)</f>
        <v>0</v>
      </c>
      <c r="F3404" s="16">
        <f>ABS(Solieusap!F3404)</f>
        <v>0</v>
      </c>
      <c r="G3404" s="16">
        <f>ABS(Solieusap!G3404)</f>
        <v>0</v>
      </c>
      <c r="H3404" s="16">
        <f>ABS(Solieusap!H3404)</f>
        <v>0</v>
      </c>
      <c r="I3404" s="16">
        <f>ABS(Solieusap!I3404)</f>
        <v>0</v>
      </c>
      <c r="J3404" s="16">
        <f>ABS(Solieusap!J3404)</f>
        <v>0</v>
      </c>
      <c r="K3404" s="16">
        <f t="shared" si="1"/>
        <v>0</v>
      </c>
      <c r="L3404" s="16">
        <f t="shared" si="2"/>
        <v>0</v>
      </c>
    </row>
    <row r="3405" ht="16.5" customHeight="1">
      <c r="A3405" s="15" t="str">
        <f>Solieusap!A3405</f>
        <v/>
      </c>
      <c r="B3405" s="15" t="str">
        <f>Solieusap!B3405</f>
        <v/>
      </c>
      <c r="C3405" s="15" t="str">
        <f>Solieusap!C3405</f>
        <v/>
      </c>
      <c r="D3405" s="15" t="str">
        <f>Solieusap!D3405</f>
        <v/>
      </c>
      <c r="E3405" s="16">
        <f>ABS(Solieusap!E3405)</f>
        <v>0</v>
      </c>
      <c r="F3405" s="16">
        <f>ABS(Solieusap!F3405)</f>
        <v>0</v>
      </c>
      <c r="G3405" s="16">
        <f>ABS(Solieusap!G3405)</f>
        <v>0</v>
      </c>
      <c r="H3405" s="16">
        <f>ABS(Solieusap!H3405)</f>
        <v>0</v>
      </c>
      <c r="I3405" s="16">
        <f>ABS(Solieusap!I3405)</f>
        <v>0</v>
      </c>
      <c r="J3405" s="16">
        <f>ABS(Solieusap!J3405)</f>
        <v>0</v>
      </c>
      <c r="K3405" s="16">
        <f t="shared" si="1"/>
        <v>0</v>
      </c>
      <c r="L3405" s="16">
        <f t="shared" si="2"/>
        <v>0</v>
      </c>
    </row>
    <row r="3406" ht="16.5" customHeight="1">
      <c r="A3406" s="15" t="str">
        <f>Solieusap!A3406</f>
        <v/>
      </c>
      <c r="B3406" s="15" t="str">
        <f>Solieusap!B3406</f>
        <v/>
      </c>
      <c r="C3406" s="15" t="str">
        <f>Solieusap!C3406</f>
        <v/>
      </c>
      <c r="D3406" s="15" t="str">
        <f>Solieusap!D3406</f>
        <v/>
      </c>
      <c r="E3406" s="16">
        <f>ABS(Solieusap!E3406)</f>
        <v>0</v>
      </c>
      <c r="F3406" s="16">
        <f>ABS(Solieusap!F3406)</f>
        <v>0</v>
      </c>
      <c r="G3406" s="16">
        <f>ABS(Solieusap!G3406)</f>
        <v>0</v>
      </c>
      <c r="H3406" s="16">
        <f>ABS(Solieusap!H3406)</f>
        <v>0</v>
      </c>
      <c r="I3406" s="16">
        <f>ABS(Solieusap!I3406)</f>
        <v>0</v>
      </c>
      <c r="J3406" s="16">
        <f>ABS(Solieusap!J3406)</f>
        <v>0</v>
      </c>
      <c r="K3406" s="16">
        <f t="shared" si="1"/>
        <v>0</v>
      </c>
      <c r="L3406" s="16">
        <f t="shared" si="2"/>
        <v>0</v>
      </c>
    </row>
    <row r="3407" ht="16.5" customHeight="1">
      <c r="A3407" s="15" t="str">
        <f>Solieusap!A3407</f>
        <v/>
      </c>
      <c r="B3407" s="15" t="str">
        <f>Solieusap!B3407</f>
        <v/>
      </c>
      <c r="C3407" s="15" t="str">
        <f>Solieusap!C3407</f>
        <v/>
      </c>
      <c r="D3407" s="15" t="str">
        <f>Solieusap!D3407</f>
        <v/>
      </c>
      <c r="E3407" s="16">
        <f>ABS(Solieusap!E3407)</f>
        <v>0</v>
      </c>
      <c r="F3407" s="16">
        <f>ABS(Solieusap!F3407)</f>
        <v>0</v>
      </c>
      <c r="G3407" s="16">
        <f>ABS(Solieusap!G3407)</f>
        <v>0</v>
      </c>
      <c r="H3407" s="16">
        <f>ABS(Solieusap!H3407)</f>
        <v>0</v>
      </c>
      <c r="I3407" s="16">
        <f>ABS(Solieusap!I3407)</f>
        <v>0</v>
      </c>
      <c r="J3407" s="16">
        <f>ABS(Solieusap!J3407)</f>
        <v>0</v>
      </c>
      <c r="K3407" s="16">
        <f t="shared" si="1"/>
        <v>0</v>
      </c>
      <c r="L3407" s="16">
        <f t="shared" si="2"/>
        <v>0</v>
      </c>
    </row>
    <row r="3408" ht="16.5" customHeight="1">
      <c r="A3408" s="15" t="str">
        <f>Solieusap!A3408</f>
        <v/>
      </c>
      <c r="B3408" s="15" t="str">
        <f>Solieusap!B3408</f>
        <v/>
      </c>
      <c r="C3408" s="15" t="str">
        <f>Solieusap!C3408</f>
        <v/>
      </c>
      <c r="D3408" s="15" t="str">
        <f>Solieusap!D3408</f>
        <v/>
      </c>
      <c r="E3408" s="16">
        <f>ABS(Solieusap!E3408)</f>
        <v>0</v>
      </c>
      <c r="F3408" s="16">
        <f>ABS(Solieusap!F3408)</f>
        <v>0</v>
      </c>
      <c r="G3408" s="16">
        <f>ABS(Solieusap!G3408)</f>
        <v>0</v>
      </c>
      <c r="H3408" s="16">
        <f>ABS(Solieusap!H3408)</f>
        <v>0</v>
      </c>
      <c r="I3408" s="16">
        <f>ABS(Solieusap!I3408)</f>
        <v>0</v>
      </c>
      <c r="J3408" s="16">
        <f>ABS(Solieusap!J3408)</f>
        <v>0</v>
      </c>
      <c r="K3408" s="16">
        <f t="shared" si="1"/>
        <v>0</v>
      </c>
      <c r="L3408" s="16">
        <f t="shared" si="2"/>
        <v>0</v>
      </c>
    </row>
    <row r="3409" ht="16.5" customHeight="1">
      <c r="A3409" s="15" t="str">
        <f>Solieusap!A3409</f>
        <v/>
      </c>
      <c r="B3409" s="15" t="str">
        <f>Solieusap!B3409</f>
        <v/>
      </c>
      <c r="C3409" s="15" t="str">
        <f>Solieusap!C3409</f>
        <v/>
      </c>
      <c r="D3409" s="15" t="str">
        <f>Solieusap!D3409</f>
        <v/>
      </c>
      <c r="E3409" s="16">
        <f>ABS(Solieusap!E3409)</f>
        <v>0</v>
      </c>
      <c r="F3409" s="16">
        <f>ABS(Solieusap!F3409)</f>
        <v>0</v>
      </c>
      <c r="G3409" s="16">
        <f>ABS(Solieusap!G3409)</f>
        <v>0</v>
      </c>
      <c r="H3409" s="16">
        <f>ABS(Solieusap!H3409)</f>
        <v>0</v>
      </c>
      <c r="I3409" s="16">
        <f>ABS(Solieusap!I3409)</f>
        <v>0</v>
      </c>
      <c r="J3409" s="16">
        <f>ABS(Solieusap!J3409)</f>
        <v>0</v>
      </c>
      <c r="K3409" s="16">
        <f t="shared" si="1"/>
        <v>0</v>
      </c>
      <c r="L3409" s="16">
        <f t="shared" si="2"/>
        <v>0</v>
      </c>
    </row>
    <row r="3410" ht="16.5" customHeight="1">
      <c r="A3410" s="15" t="str">
        <f>Solieusap!A3410</f>
        <v/>
      </c>
      <c r="B3410" s="15" t="str">
        <f>Solieusap!B3410</f>
        <v/>
      </c>
      <c r="C3410" s="15" t="str">
        <f>Solieusap!C3410</f>
        <v/>
      </c>
      <c r="D3410" s="15" t="str">
        <f>Solieusap!D3410</f>
        <v/>
      </c>
      <c r="E3410" s="16">
        <f>ABS(Solieusap!E3410)</f>
        <v>0</v>
      </c>
      <c r="F3410" s="16">
        <f>ABS(Solieusap!F3410)</f>
        <v>0</v>
      </c>
      <c r="G3410" s="16">
        <f>ABS(Solieusap!G3410)</f>
        <v>0</v>
      </c>
      <c r="H3410" s="16">
        <f>ABS(Solieusap!H3410)</f>
        <v>0</v>
      </c>
      <c r="I3410" s="16">
        <f>ABS(Solieusap!I3410)</f>
        <v>0</v>
      </c>
      <c r="J3410" s="16">
        <f>ABS(Solieusap!J3410)</f>
        <v>0</v>
      </c>
      <c r="K3410" s="16">
        <f t="shared" si="1"/>
        <v>0</v>
      </c>
      <c r="L3410" s="16">
        <f t="shared" si="2"/>
        <v>0</v>
      </c>
    </row>
    <row r="3411" ht="16.5" customHeight="1">
      <c r="A3411" s="15" t="str">
        <f>Solieusap!A3411</f>
        <v/>
      </c>
      <c r="B3411" s="15" t="str">
        <f>Solieusap!B3411</f>
        <v/>
      </c>
      <c r="C3411" s="15" t="str">
        <f>Solieusap!C3411</f>
        <v/>
      </c>
      <c r="D3411" s="15" t="str">
        <f>Solieusap!D3411</f>
        <v/>
      </c>
      <c r="E3411" s="16">
        <f>ABS(Solieusap!E3411)</f>
        <v>0</v>
      </c>
      <c r="F3411" s="16">
        <f>ABS(Solieusap!F3411)</f>
        <v>0</v>
      </c>
      <c r="G3411" s="16">
        <f>ABS(Solieusap!G3411)</f>
        <v>0</v>
      </c>
      <c r="H3411" s="16">
        <f>ABS(Solieusap!H3411)</f>
        <v>0</v>
      </c>
      <c r="I3411" s="16">
        <f>ABS(Solieusap!I3411)</f>
        <v>0</v>
      </c>
      <c r="J3411" s="16">
        <f>ABS(Solieusap!J3411)</f>
        <v>0</v>
      </c>
      <c r="K3411" s="16">
        <f t="shared" si="1"/>
        <v>0</v>
      </c>
      <c r="L3411" s="16">
        <f t="shared" si="2"/>
        <v>0</v>
      </c>
    </row>
    <row r="3412" ht="16.5" customHeight="1">
      <c r="A3412" s="15" t="str">
        <f>Solieusap!A3412</f>
        <v/>
      </c>
      <c r="B3412" s="15" t="str">
        <f>Solieusap!B3412</f>
        <v/>
      </c>
      <c r="C3412" s="15" t="str">
        <f>Solieusap!C3412</f>
        <v/>
      </c>
      <c r="D3412" s="15" t="str">
        <f>Solieusap!D3412</f>
        <v/>
      </c>
      <c r="E3412" s="16">
        <f>ABS(Solieusap!E3412)</f>
        <v>0</v>
      </c>
      <c r="F3412" s="16">
        <f>ABS(Solieusap!F3412)</f>
        <v>0</v>
      </c>
      <c r="G3412" s="16">
        <f>ABS(Solieusap!G3412)</f>
        <v>0</v>
      </c>
      <c r="H3412" s="16">
        <f>ABS(Solieusap!H3412)</f>
        <v>0</v>
      </c>
      <c r="I3412" s="16">
        <f>ABS(Solieusap!I3412)</f>
        <v>0</v>
      </c>
      <c r="J3412" s="16">
        <f>ABS(Solieusap!J3412)</f>
        <v>0</v>
      </c>
      <c r="K3412" s="16">
        <f t="shared" si="1"/>
        <v>0</v>
      </c>
      <c r="L3412" s="16">
        <f t="shared" si="2"/>
        <v>0</v>
      </c>
    </row>
    <row r="3413" ht="16.5" customHeight="1">
      <c r="A3413" s="15" t="str">
        <f>Solieusap!A3413</f>
        <v/>
      </c>
      <c r="B3413" s="15" t="str">
        <f>Solieusap!B3413</f>
        <v/>
      </c>
      <c r="C3413" s="15" t="str">
        <f>Solieusap!C3413</f>
        <v/>
      </c>
      <c r="D3413" s="15" t="str">
        <f>Solieusap!D3413</f>
        <v/>
      </c>
      <c r="E3413" s="16">
        <f>ABS(Solieusap!E3413)</f>
        <v>0</v>
      </c>
      <c r="F3413" s="16">
        <f>ABS(Solieusap!F3413)</f>
        <v>0</v>
      </c>
      <c r="G3413" s="16">
        <f>ABS(Solieusap!G3413)</f>
        <v>0</v>
      </c>
      <c r="H3413" s="16">
        <f>ABS(Solieusap!H3413)</f>
        <v>0</v>
      </c>
      <c r="I3413" s="16">
        <f>ABS(Solieusap!I3413)</f>
        <v>0</v>
      </c>
      <c r="J3413" s="16">
        <f>ABS(Solieusap!J3413)</f>
        <v>0</v>
      </c>
      <c r="K3413" s="16">
        <f t="shared" si="1"/>
        <v>0</v>
      </c>
      <c r="L3413" s="16">
        <f t="shared" si="2"/>
        <v>0</v>
      </c>
    </row>
    <row r="3414" ht="16.5" customHeight="1">
      <c r="A3414" s="15" t="str">
        <f>Solieusap!A3414</f>
        <v/>
      </c>
      <c r="B3414" s="15" t="str">
        <f>Solieusap!B3414</f>
        <v/>
      </c>
      <c r="C3414" s="15" t="str">
        <f>Solieusap!C3414</f>
        <v/>
      </c>
      <c r="D3414" s="15" t="str">
        <f>Solieusap!D3414</f>
        <v/>
      </c>
      <c r="E3414" s="16">
        <f>ABS(Solieusap!E3414)</f>
        <v>0</v>
      </c>
      <c r="F3414" s="16">
        <f>ABS(Solieusap!F3414)</f>
        <v>0</v>
      </c>
      <c r="G3414" s="16">
        <f>ABS(Solieusap!G3414)</f>
        <v>0</v>
      </c>
      <c r="H3414" s="16">
        <f>ABS(Solieusap!H3414)</f>
        <v>0</v>
      </c>
      <c r="I3414" s="16">
        <f>ABS(Solieusap!I3414)</f>
        <v>0</v>
      </c>
      <c r="J3414" s="16">
        <f>ABS(Solieusap!J3414)</f>
        <v>0</v>
      </c>
      <c r="K3414" s="16">
        <f t="shared" si="1"/>
        <v>0</v>
      </c>
      <c r="L3414" s="16">
        <f t="shared" si="2"/>
        <v>0</v>
      </c>
    </row>
    <row r="3415" ht="16.5" customHeight="1">
      <c r="A3415" s="15" t="str">
        <f>Solieusap!A3415</f>
        <v/>
      </c>
      <c r="B3415" s="15" t="str">
        <f>Solieusap!B3415</f>
        <v/>
      </c>
      <c r="C3415" s="15" t="str">
        <f>Solieusap!C3415</f>
        <v/>
      </c>
      <c r="D3415" s="15" t="str">
        <f>Solieusap!D3415</f>
        <v/>
      </c>
      <c r="E3415" s="16">
        <f>ABS(Solieusap!E3415)</f>
        <v>0</v>
      </c>
      <c r="F3415" s="16">
        <f>ABS(Solieusap!F3415)</f>
        <v>0</v>
      </c>
      <c r="G3415" s="16">
        <f>ABS(Solieusap!G3415)</f>
        <v>0</v>
      </c>
      <c r="H3415" s="16">
        <f>ABS(Solieusap!H3415)</f>
        <v>0</v>
      </c>
      <c r="I3415" s="16">
        <f>ABS(Solieusap!I3415)</f>
        <v>0</v>
      </c>
      <c r="J3415" s="16">
        <f>ABS(Solieusap!J3415)</f>
        <v>0</v>
      </c>
      <c r="K3415" s="16">
        <f t="shared" si="1"/>
        <v>0</v>
      </c>
      <c r="L3415" s="16">
        <f t="shared" si="2"/>
        <v>0</v>
      </c>
    </row>
    <row r="3416" ht="16.5" customHeight="1">
      <c r="A3416" s="15" t="str">
        <f>Solieusap!A3416</f>
        <v/>
      </c>
      <c r="B3416" s="15" t="str">
        <f>Solieusap!B3416</f>
        <v/>
      </c>
      <c r="C3416" s="15" t="str">
        <f>Solieusap!C3416</f>
        <v/>
      </c>
      <c r="D3416" s="15" t="str">
        <f>Solieusap!D3416</f>
        <v/>
      </c>
      <c r="E3416" s="16">
        <f>ABS(Solieusap!E3416)</f>
        <v>0</v>
      </c>
      <c r="F3416" s="16">
        <f>ABS(Solieusap!F3416)</f>
        <v>0</v>
      </c>
      <c r="G3416" s="16">
        <f>ABS(Solieusap!G3416)</f>
        <v>0</v>
      </c>
      <c r="H3416" s="16">
        <f>ABS(Solieusap!H3416)</f>
        <v>0</v>
      </c>
      <c r="I3416" s="16">
        <f>ABS(Solieusap!I3416)</f>
        <v>0</v>
      </c>
      <c r="J3416" s="16">
        <f>ABS(Solieusap!J3416)</f>
        <v>0</v>
      </c>
      <c r="K3416" s="16">
        <f t="shared" si="1"/>
        <v>0</v>
      </c>
      <c r="L3416" s="16">
        <f t="shared" si="2"/>
        <v>0</v>
      </c>
    </row>
    <row r="3417" ht="16.5" customHeight="1">
      <c r="A3417" s="15" t="str">
        <f>Solieusap!A3417</f>
        <v/>
      </c>
      <c r="B3417" s="15" t="str">
        <f>Solieusap!B3417</f>
        <v/>
      </c>
      <c r="C3417" s="15" t="str">
        <f>Solieusap!C3417</f>
        <v/>
      </c>
      <c r="D3417" s="15" t="str">
        <f>Solieusap!D3417</f>
        <v/>
      </c>
      <c r="E3417" s="16">
        <f>ABS(Solieusap!E3417)</f>
        <v>0</v>
      </c>
      <c r="F3417" s="16">
        <f>ABS(Solieusap!F3417)</f>
        <v>0</v>
      </c>
      <c r="G3417" s="16">
        <f>ABS(Solieusap!G3417)</f>
        <v>0</v>
      </c>
      <c r="H3417" s="16">
        <f>ABS(Solieusap!H3417)</f>
        <v>0</v>
      </c>
      <c r="I3417" s="16">
        <f>ABS(Solieusap!I3417)</f>
        <v>0</v>
      </c>
      <c r="J3417" s="16">
        <f>ABS(Solieusap!J3417)</f>
        <v>0</v>
      </c>
      <c r="K3417" s="16">
        <f t="shared" si="1"/>
        <v>0</v>
      </c>
      <c r="L3417" s="16">
        <f t="shared" si="2"/>
        <v>0</v>
      </c>
    </row>
    <row r="3418" ht="16.5" customHeight="1">
      <c r="A3418" s="15" t="str">
        <f>Solieusap!A3418</f>
        <v/>
      </c>
      <c r="B3418" s="15" t="str">
        <f>Solieusap!B3418</f>
        <v/>
      </c>
      <c r="C3418" s="15" t="str">
        <f>Solieusap!C3418</f>
        <v/>
      </c>
      <c r="D3418" s="15" t="str">
        <f>Solieusap!D3418</f>
        <v/>
      </c>
      <c r="E3418" s="16">
        <f>ABS(Solieusap!E3418)</f>
        <v>0</v>
      </c>
      <c r="F3418" s="16">
        <f>ABS(Solieusap!F3418)</f>
        <v>0</v>
      </c>
      <c r="G3418" s="16">
        <f>ABS(Solieusap!G3418)</f>
        <v>0</v>
      </c>
      <c r="H3418" s="16">
        <f>ABS(Solieusap!H3418)</f>
        <v>0</v>
      </c>
      <c r="I3418" s="16">
        <f>ABS(Solieusap!I3418)</f>
        <v>0</v>
      </c>
      <c r="J3418" s="16">
        <f>ABS(Solieusap!J3418)</f>
        <v>0</v>
      </c>
      <c r="K3418" s="16">
        <f t="shared" si="1"/>
        <v>0</v>
      </c>
      <c r="L3418" s="16">
        <f t="shared" si="2"/>
        <v>0</v>
      </c>
    </row>
    <row r="3419" ht="16.5" customHeight="1">
      <c r="A3419" s="15" t="str">
        <f>Solieusap!A3419</f>
        <v/>
      </c>
      <c r="B3419" s="15" t="str">
        <f>Solieusap!B3419</f>
        <v/>
      </c>
      <c r="C3419" s="15" t="str">
        <f>Solieusap!C3419</f>
        <v/>
      </c>
      <c r="D3419" s="15" t="str">
        <f>Solieusap!D3419</f>
        <v/>
      </c>
      <c r="E3419" s="16">
        <f>ABS(Solieusap!E3419)</f>
        <v>0</v>
      </c>
      <c r="F3419" s="16">
        <f>ABS(Solieusap!F3419)</f>
        <v>0</v>
      </c>
      <c r="G3419" s="16">
        <f>ABS(Solieusap!G3419)</f>
        <v>0</v>
      </c>
      <c r="H3419" s="16">
        <f>ABS(Solieusap!H3419)</f>
        <v>0</v>
      </c>
      <c r="I3419" s="16">
        <f>ABS(Solieusap!I3419)</f>
        <v>0</v>
      </c>
      <c r="J3419" s="16">
        <f>ABS(Solieusap!J3419)</f>
        <v>0</v>
      </c>
      <c r="K3419" s="16">
        <f t="shared" si="1"/>
        <v>0</v>
      </c>
      <c r="L3419" s="16">
        <f t="shared" si="2"/>
        <v>0</v>
      </c>
    </row>
    <row r="3420" ht="16.5" customHeight="1">
      <c r="A3420" s="15" t="str">
        <f>Solieusap!A3420</f>
        <v/>
      </c>
      <c r="B3420" s="15" t="str">
        <f>Solieusap!B3420</f>
        <v/>
      </c>
      <c r="C3420" s="15" t="str">
        <f>Solieusap!C3420</f>
        <v/>
      </c>
      <c r="D3420" s="15" t="str">
        <f>Solieusap!D3420</f>
        <v/>
      </c>
      <c r="E3420" s="16">
        <f>ABS(Solieusap!E3420)</f>
        <v>0</v>
      </c>
      <c r="F3420" s="16">
        <f>ABS(Solieusap!F3420)</f>
        <v>0</v>
      </c>
      <c r="G3420" s="16">
        <f>ABS(Solieusap!G3420)</f>
        <v>0</v>
      </c>
      <c r="H3420" s="16">
        <f>ABS(Solieusap!H3420)</f>
        <v>0</v>
      </c>
      <c r="I3420" s="16">
        <f>ABS(Solieusap!I3420)</f>
        <v>0</v>
      </c>
      <c r="J3420" s="16">
        <f>ABS(Solieusap!J3420)</f>
        <v>0</v>
      </c>
      <c r="K3420" s="16">
        <f t="shared" si="1"/>
        <v>0</v>
      </c>
      <c r="L3420" s="16">
        <f t="shared" si="2"/>
        <v>0</v>
      </c>
    </row>
    <row r="3421" ht="16.5" customHeight="1">
      <c r="A3421" s="15" t="str">
        <f>Solieusap!A3421</f>
        <v/>
      </c>
      <c r="B3421" s="15" t="str">
        <f>Solieusap!B3421</f>
        <v/>
      </c>
      <c r="C3421" s="15" t="str">
        <f>Solieusap!C3421</f>
        <v/>
      </c>
      <c r="D3421" s="15" t="str">
        <f>Solieusap!D3421</f>
        <v/>
      </c>
      <c r="E3421" s="16">
        <f>ABS(Solieusap!E3421)</f>
        <v>0</v>
      </c>
      <c r="F3421" s="16">
        <f>ABS(Solieusap!F3421)</f>
        <v>0</v>
      </c>
      <c r="G3421" s="16">
        <f>ABS(Solieusap!G3421)</f>
        <v>0</v>
      </c>
      <c r="H3421" s="16">
        <f>ABS(Solieusap!H3421)</f>
        <v>0</v>
      </c>
      <c r="I3421" s="16">
        <f>ABS(Solieusap!I3421)</f>
        <v>0</v>
      </c>
      <c r="J3421" s="16">
        <f>ABS(Solieusap!J3421)</f>
        <v>0</v>
      </c>
      <c r="K3421" s="16">
        <f t="shared" si="1"/>
        <v>0</v>
      </c>
      <c r="L3421" s="16">
        <f t="shared" si="2"/>
        <v>0</v>
      </c>
    </row>
    <row r="3422" ht="16.5" customHeight="1">
      <c r="A3422" s="15" t="str">
        <f>Solieusap!A3422</f>
        <v/>
      </c>
      <c r="B3422" s="15" t="str">
        <f>Solieusap!B3422</f>
        <v/>
      </c>
      <c r="C3422" s="15" t="str">
        <f>Solieusap!C3422</f>
        <v/>
      </c>
      <c r="D3422" s="15" t="str">
        <f>Solieusap!D3422</f>
        <v/>
      </c>
      <c r="E3422" s="16">
        <f>ABS(Solieusap!E3422)</f>
        <v>0</v>
      </c>
      <c r="F3422" s="16">
        <f>ABS(Solieusap!F3422)</f>
        <v>0</v>
      </c>
      <c r="G3422" s="16">
        <f>ABS(Solieusap!G3422)</f>
        <v>0</v>
      </c>
      <c r="H3422" s="16">
        <f>ABS(Solieusap!H3422)</f>
        <v>0</v>
      </c>
      <c r="I3422" s="16">
        <f>ABS(Solieusap!I3422)</f>
        <v>0</v>
      </c>
      <c r="J3422" s="16">
        <f>ABS(Solieusap!J3422)</f>
        <v>0</v>
      </c>
      <c r="K3422" s="16">
        <f t="shared" si="1"/>
        <v>0</v>
      </c>
      <c r="L3422" s="16">
        <f t="shared" si="2"/>
        <v>0</v>
      </c>
    </row>
    <row r="3423" ht="16.5" customHeight="1">
      <c r="A3423" s="15" t="str">
        <f>Solieusap!A3423</f>
        <v/>
      </c>
      <c r="B3423" s="15" t="str">
        <f>Solieusap!B3423</f>
        <v/>
      </c>
      <c r="C3423" s="15" t="str">
        <f>Solieusap!C3423</f>
        <v/>
      </c>
      <c r="D3423" s="15" t="str">
        <f>Solieusap!D3423</f>
        <v/>
      </c>
      <c r="E3423" s="16">
        <f>ABS(Solieusap!E3423)</f>
        <v>0</v>
      </c>
      <c r="F3423" s="16">
        <f>ABS(Solieusap!F3423)</f>
        <v>0</v>
      </c>
      <c r="G3423" s="16">
        <f>ABS(Solieusap!G3423)</f>
        <v>0</v>
      </c>
      <c r="H3423" s="16">
        <f>ABS(Solieusap!H3423)</f>
        <v>0</v>
      </c>
      <c r="I3423" s="16">
        <f>ABS(Solieusap!I3423)</f>
        <v>0</v>
      </c>
      <c r="J3423" s="16">
        <f>ABS(Solieusap!J3423)</f>
        <v>0</v>
      </c>
      <c r="K3423" s="16">
        <f t="shared" si="1"/>
        <v>0</v>
      </c>
      <c r="L3423" s="16">
        <f t="shared" si="2"/>
        <v>0</v>
      </c>
    </row>
    <row r="3424" ht="16.5" customHeight="1">
      <c r="A3424" s="15" t="str">
        <f>Solieusap!A3424</f>
        <v/>
      </c>
      <c r="B3424" s="15" t="str">
        <f>Solieusap!B3424</f>
        <v/>
      </c>
      <c r="C3424" s="15" t="str">
        <f>Solieusap!C3424</f>
        <v/>
      </c>
      <c r="D3424" s="15" t="str">
        <f>Solieusap!D3424</f>
        <v/>
      </c>
      <c r="E3424" s="16">
        <f>ABS(Solieusap!E3424)</f>
        <v>0</v>
      </c>
      <c r="F3424" s="16">
        <f>ABS(Solieusap!F3424)</f>
        <v>0</v>
      </c>
      <c r="G3424" s="16">
        <f>ABS(Solieusap!G3424)</f>
        <v>0</v>
      </c>
      <c r="H3424" s="16">
        <f>ABS(Solieusap!H3424)</f>
        <v>0</v>
      </c>
      <c r="I3424" s="16">
        <f>ABS(Solieusap!I3424)</f>
        <v>0</v>
      </c>
      <c r="J3424" s="16">
        <f>ABS(Solieusap!J3424)</f>
        <v>0</v>
      </c>
      <c r="K3424" s="16">
        <f t="shared" si="1"/>
        <v>0</v>
      </c>
      <c r="L3424" s="16">
        <f t="shared" si="2"/>
        <v>0</v>
      </c>
    </row>
    <row r="3425" ht="16.5" customHeight="1">
      <c r="A3425" s="15" t="str">
        <f>Solieusap!A3425</f>
        <v/>
      </c>
      <c r="B3425" s="15" t="str">
        <f>Solieusap!B3425</f>
        <v/>
      </c>
      <c r="C3425" s="15" t="str">
        <f>Solieusap!C3425</f>
        <v/>
      </c>
      <c r="D3425" s="15" t="str">
        <f>Solieusap!D3425</f>
        <v/>
      </c>
      <c r="E3425" s="16">
        <f>ABS(Solieusap!E3425)</f>
        <v>0</v>
      </c>
      <c r="F3425" s="16">
        <f>ABS(Solieusap!F3425)</f>
        <v>0</v>
      </c>
      <c r="G3425" s="16">
        <f>ABS(Solieusap!G3425)</f>
        <v>0</v>
      </c>
      <c r="H3425" s="16">
        <f>ABS(Solieusap!H3425)</f>
        <v>0</v>
      </c>
      <c r="I3425" s="16">
        <f>ABS(Solieusap!I3425)</f>
        <v>0</v>
      </c>
      <c r="J3425" s="16">
        <f>ABS(Solieusap!J3425)</f>
        <v>0</v>
      </c>
      <c r="K3425" s="16">
        <f t="shared" si="1"/>
        <v>0</v>
      </c>
      <c r="L3425" s="16">
        <f t="shared" si="2"/>
        <v>0</v>
      </c>
    </row>
    <row r="3426" ht="16.5" customHeight="1">
      <c r="A3426" s="15" t="str">
        <f>Solieusap!A3426</f>
        <v/>
      </c>
      <c r="B3426" s="15" t="str">
        <f>Solieusap!B3426</f>
        <v/>
      </c>
      <c r="C3426" s="15" t="str">
        <f>Solieusap!C3426</f>
        <v/>
      </c>
      <c r="D3426" s="15" t="str">
        <f>Solieusap!D3426</f>
        <v/>
      </c>
      <c r="E3426" s="16">
        <f>ABS(Solieusap!E3426)</f>
        <v>0</v>
      </c>
      <c r="F3426" s="16">
        <f>ABS(Solieusap!F3426)</f>
        <v>0</v>
      </c>
      <c r="G3426" s="16">
        <f>ABS(Solieusap!G3426)</f>
        <v>0</v>
      </c>
      <c r="H3426" s="16">
        <f>ABS(Solieusap!H3426)</f>
        <v>0</v>
      </c>
      <c r="I3426" s="16">
        <f>ABS(Solieusap!I3426)</f>
        <v>0</v>
      </c>
      <c r="J3426" s="16">
        <f>ABS(Solieusap!J3426)</f>
        <v>0</v>
      </c>
      <c r="K3426" s="16">
        <f t="shared" si="1"/>
        <v>0</v>
      </c>
      <c r="L3426" s="16">
        <f t="shared" si="2"/>
        <v>0</v>
      </c>
    </row>
    <row r="3427" ht="16.5" customHeight="1">
      <c r="A3427" s="15" t="str">
        <f>Solieusap!A3427</f>
        <v/>
      </c>
      <c r="B3427" s="15" t="str">
        <f>Solieusap!B3427</f>
        <v/>
      </c>
      <c r="C3427" s="15" t="str">
        <f>Solieusap!C3427</f>
        <v/>
      </c>
      <c r="D3427" s="15" t="str">
        <f>Solieusap!D3427</f>
        <v/>
      </c>
      <c r="E3427" s="16">
        <f>ABS(Solieusap!E3427)</f>
        <v>0</v>
      </c>
      <c r="F3427" s="16">
        <f>ABS(Solieusap!F3427)</f>
        <v>0</v>
      </c>
      <c r="G3427" s="16">
        <f>ABS(Solieusap!G3427)</f>
        <v>0</v>
      </c>
      <c r="H3427" s="16">
        <f>ABS(Solieusap!H3427)</f>
        <v>0</v>
      </c>
      <c r="I3427" s="16">
        <f>ABS(Solieusap!I3427)</f>
        <v>0</v>
      </c>
      <c r="J3427" s="16">
        <f>ABS(Solieusap!J3427)</f>
        <v>0</v>
      </c>
      <c r="K3427" s="16">
        <f t="shared" si="1"/>
        <v>0</v>
      </c>
      <c r="L3427" s="16">
        <f t="shared" si="2"/>
        <v>0</v>
      </c>
    </row>
    <row r="3428" ht="16.5" customHeight="1">
      <c r="A3428" s="15" t="str">
        <f>Solieusap!A3428</f>
        <v/>
      </c>
      <c r="B3428" s="15" t="str">
        <f>Solieusap!B3428</f>
        <v/>
      </c>
      <c r="C3428" s="15" t="str">
        <f>Solieusap!C3428</f>
        <v/>
      </c>
      <c r="D3428" s="15" t="str">
        <f>Solieusap!D3428</f>
        <v/>
      </c>
      <c r="E3428" s="16">
        <f>ABS(Solieusap!E3428)</f>
        <v>0</v>
      </c>
      <c r="F3428" s="16">
        <f>ABS(Solieusap!F3428)</f>
        <v>0</v>
      </c>
      <c r="G3428" s="16">
        <f>ABS(Solieusap!G3428)</f>
        <v>0</v>
      </c>
      <c r="H3428" s="16">
        <f>ABS(Solieusap!H3428)</f>
        <v>0</v>
      </c>
      <c r="I3428" s="16">
        <f>ABS(Solieusap!I3428)</f>
        <v>0</v>
      </c>
      <c r="J3428" s="16">
        <f>ABS(Solieusap!J3428)</f>
        <v>0</v>
      </c>
      <c r="K3428" s="16">
        <f t="shared" si="1"/>
        <v>0</v>
      </c>
      <c r="L3428" s="16">
        <f t="shared" si="2"/>
        <v>0</v>
      </c>
    </row>
    <row r="3429" ht="16.5" customHeight="1">
      <c r="A3429" s="15" t="str">
        <f>Solieusap!A3429</f>
        <v/>
      </c>
      <c r="B3429" s="15" t="str">
        <f>Solieusap!B3429</f>
        <v/>
      </c>
      <c r="C3429" s="15" t="str">
        <f>Solieusap!C3429</f>
        <v/>
      </c>
      <c r="D3429" s="15" t="str">
        <f>Solieusap!D3429</f>
        <v/>
      </c>
      <c r="E3429" s="16">
        <f>ABS(Solieusap!E3429)</f>
        <v>0</v>
      </c>
      <c r="F3429" s="16">
        <f>ABS(Solieusap!F3429)</f>
        <v>0</v>
      </c>
      <c r="G3429" s="16">
        <f>ABS(Solieusap!G3429)</f>
        <v>0</v>
      </c>
      <c r="H3429" s="16">
        <f>ABS(Solieusap!H3429)</f>
        <v>0</v>
      </c>
      <c r="I3429" s="16">
        <f>ABS(Solieusap!I3429)</f>
        <v>0</v>
      </c>
      <c r="J3429" s="16">
        <f>ABS(Solieusap!J3429)</f>
        <v>0</v>
      </c>
      <c r="K3429" s="16">
        <f t="shared" si="1"/>
        <v>0</v>
      </c>
      <c r="L3429" s="16">
        <f t="shared" si="2"/>
        <v>0</v>
      </c>
    </row>
    <row r="3430" ht="16.5" customHeight="1">
      <c r="A3430" s="15" t="str">
        <f>Solieusap!A3430</f>
        <v/>
      </c>
      <c r="B3430" s="15" t="str">
        <f>Solieusap!B3430</f>
        <v/>
      </c>
      <c r="C3430" s="15" t="str">
        <f>Solieusap!C3430</f>
        <v/>
      </c>
      <c r="D3430" s="15" t="str">
        <f>Solieusap!D3430</f>
        <v/>
      </c>
      <c r="E3430" s="16">
        <f>ABS(Solieusap!E3430)</f>
        <v>0</v>
      </c>
      <c r="F3430" s="16">
        <f>ABS(Solieusap!F3430)</f>
        <v>0</v>
      </c>
      <c r="G3430" s="16">
        <f>ABS(Solieusap!G3430)</f>
        <v>0</v>
      </c>
      <c r="H3430" s="16">
        <f>ABS(Solieusap!H3430)</f>
        <v>0</v>
      </c>
      <c r="I3430" s="16">
        <f>ABS(Solieusap!I3430)</f>
        <v>0</v>
      </c>
      <c r="J3430" s="16">
        <f>ABS(Solieusap!J3430)</f>
        <v>0</v>
      </c>
      <c r="K3430" s="16">
        <f t="shared" si="1"/>
        <v>0</v>
      </c>
      <c r="L3430" s="16">
        <f t="shared" si="2"/>
        <v>0</v>
      </c>
    </row>
    <row r="3431" ht="16.5" customHeight="1">
      <c r="A3431" s="15" t="str">
        <f>Solieusap!A3431</f>
        <v/>
      </c>
      <c r="B3431" s="15" t="str">
        <f>Solieusap!B3431</f>
        <v/>
      </c>
      <c r="C3431" s="15" t="str">
        <f>Solieusap!C3431</f>
        <v/>
      </c>
      <c r="D3431" s="15" t="str">
        <f>Solieusap!D3431</f>
        <v/>
      </c>
      <c r="E3431" s="16">
        <f>ABS(Solieusap!E3431)</f>
        <v>0</v>
      </c>
      <c r="F3431" s="16">
        <f>ABS(Solieusap!F3431)</f>
        <v>0</v>
      </c>
      <c r="G3431" s="16">
        <f>ABS(Solieusap!G3431)</f>
        <v>0</v>
      </c>
      <c r="H3431" s="16">
        <f>ABS(Solieusap!H3431)</f>
        <v>0</v>
      </c>
      <c r="I3431" s="16">
        <f>ABS(Solieusap!I3431)</f>
        <v>0</v>
      </c>
      <c r="J3431" s="16">
        <f>ABS(Solieusap!J3431)</f>
        <v>0</v>
      </c>
      <c r="K3431" s="16">
        <f t="shared" si="1"/>
        <v>0</v>
      </c>
      <c r="L3431" s="16">
        <f t="shared" si="2"/>
        <v>0</v>
      </c>
    </row>
    <row r="3432" ht="16.5" customHeight="1">
      <c r="A3432" s="15" t="str">
        <f>Solieusap!A3432</f>
        <v/>
      </c>
      <c r="B3432" s="15" t="str">
        <f>Solieusap!B3432</f>
        <v/>
      </c>
      <c r="C3432" s="15" t="str">
        <f>Solieusap!C3432</f>
        <v/>
      </c>
      <c r="D3432" s="15" t="str">
        <f>Solieusap!D3432</f>
        <v/>
      </c>
      <c r="E3432" s="16">
        <f>ABS(Solieusap!E3432)</f>
        <v>0</v>
      </c>
      <c r="F3432" s="16">
        <f>ABS(Solieusap!F3432)</f>
        <v>0</v>
      </c>
      <c r="G3432" s="16">
        <f>ABS(Solieusap!G3432)</f>
        <v>0</v>
      </c>
      <c r="H3432" s="16">
        <f>ABS(Solieusap!H3432)</f>
        <v>0</v>
      </c>
      <c r="I3432" s="16">
        <f>ABS(Solieusap!I3432)</f>
        <v>0</v>
      </c>
      <c r="J3432" s="16">
        <f>ABS(Solieusap!J3432)</f>
        <v>0</v>
      </c>
      <c r="K3432" s="16">
        <f t="shared" si="1"/>
        <v>0</v>
      </c>
      <c r="L3432" s="16">
        <f t="shared" si="2"/>
        <v>0</v>
      </c>
    </row>
    <row r="3433" ht="16.5" customHeight="1">
      <c r="A3433" s="15" t="str">
        <f>Solieusap!A3433</f>
        <v/>
      </c>
      <c r="B3433" s="15" t="str">
        <f>Solieusap!B3433</f>
        <v/>
      </c>
      <c r="C3433" s="15" t="str">
        <f>Solieusap!C3433</f>
        <v/>
      </c>
      <c r="D3433" s="15" t="str">
        <f>Solieusap!D3433</f>
        <v/>
      </c>
      <c r="E3433" s="16">
        <f>ABS(Solieusap!E3433)</f>
        <v>0</v>
      </c>
      <c r="F3433" s="16">
        <f>ABS(Solieusap!F3433)</f>
        <v>0</v>
      </c>
      <c r="G3433" s="16">
        <f>ABS(Solieusap!G3433)</f>
        <v>0</v>
      </c>
      <c r="H3433" s="16">
        <f>ABS(Solieusap!H3433)</f>
        <v>0</v>
      </c>
      <c r="I3433" s="16">
        <f>ABS(Solieusap!I3433)</f>
        <v>0</v>
      </c>
      <c r="J3433" s="16">
        <f>ABS(Solieusap!J3433)</f>
        <v>0</v>
      </c>
      <c r="K3433" s="16">
        <f t="shared" si="1"/>
        <v>0</v>
      </c>
      <c r="L3433" s="16">
        <f t="shared" si="2"/>
        <v>0</v>
      </c>
    </row>
    <row r="3434" ht="16.5" customHeight="1">
      <c r="A3434" s="15" t="str">
        <f>Solieusap!A3434</f>
        <v/>
      </c>
      <c r="B3434" s="15" t="str">
        <f>Solieusap!B3434</f>
        <v/>
      </c>
      <c r="C3434" s="15" t="str">
        <f>Solieusap!C3434</f>
        <v/>
      </c>
      <c r="D3434" s="15" t="str">
        <f>Solieusap!D3434</f>
        <v/>
      </c>
      <c r="E3434" s="16">
        <f>ABS(Solieusap!E3434)</f>
        <v>0</v>
      </c>
      <c r="F3434" s="16">
        <f>ABS(Solieusap!F3434)</f>
        <v>0</v>
      </c>
      <c r="G3434" s="16">
        <f>ABS(Solieusap!G3434)</f>
        <v>0</v>
      </c>
      <c r="H3434" s="16">
        <f>ABS(Solieusap!H3434)</f>
        <v>0</v>
      </c>
      <c r="I3434" s="16">
        <f>ABS(Solieusap!I3434)</f>
        <v>0</v>
      </c>
      <c r="J3434" s="16">
        <f>ABS(Solieusap!J3434)</f>
        <v>0</v>
      </c>
      <c r="K3434" s="16">
        <f t="shared" si="1"/>
        <v>0</v>
      </c>
      <c r="L3434" s="16">
        <f t="shared" si="2"/>
        <v>0</v>
      </c>
    </row>
    <row r="3435" ht="16.5" customHeight="1">
      <c r="A3435" s="15" t="str">
        <f>Solieusap!A3435</f>
        <v/>
      </c>
      <c r="B3435" s="15" t="str">
        <f>Solieusap!B3435</f>
        <v/>
      </c>
      <c r="C3435" s="15" t="str">
        <f>Solieusap!C3435</f>
        <v/>
      </c>
      <c r="D3435" s="15" t="str">
        <f>Solieusap!D3435</f>
        <v/>
      </c>
      <c r="E3435" s="16">
        <f>ABS(Solieusap!E3435)</f>
        <v>0</v>
      </c>
      <c r="F3435" s="16">
        <f>ABS(Solieusap!F3435)</f>
        <v>0</v>
      </c>
      <c r="G3435" s="16">
        <f>ABS(Solieusap!G3435)</f>
        <v>0</v>
      </c>
      <c r="H3435" s="16">
        <f>ABS(Solieusap!H3435)</f>
        <v>0</v>
      </c>
      <c r="I3435" s="16">
        <f>ABS(Solieusap!I3435)</f>
        <v>0</v>
      </c>
      <c r="J3435" s="16">
        <f>ABS(Solieusap!J3435)</f>
        <v>0</v>
      </c>
      <c r="K3435" s="16">
        <f t="shared" si="1"/>
        <v>0</v>
      </c>
      <c r="L3435" s="16">
        <f t="shared" si="2"/>
        <v>0</v>
      </c>
    </row>
    <row r="3436" ht="16.5" customHeight="1">
      <c r="A3436" s="15" t="str">
        <f>Solieusap!A3436</f>
        <v/>
      </c>
      <c r="B3436" s="15" t="str">
        <f>Solieusap!B3436</f>
        <v/>
      </c>
      <c r="C3436" s="15" t="str">
        <f>Solieusap!C3436</f>
        <v/>
      </c>
      <c r="D3436" s="15" t="str">
        <f>Solieusap!D3436</f>
        <v/>
      </c>
      <c r="E3436" s="16">
        <f>ABS(Solieusap!E3436)</f>
        <v>0</v>
      </c>
      <c r="F3436" s="16">
        <f>ABS(Solieusap!F3436)</f>
        <v>0</v>
      </c>
      <c r="G3436" s="16">
        <f>ABS(Solieusap!G3436)</f>
        <v>0</v>
      </c>
      <c r="H3436" s="16">
        <f>ABS(Solieusap!H3436)</f>
        <v>0</v>
      </c>
      <c r="I3436" s="16">
        <f>ABS(Solieusap!I3436)</f>
        <v>0</v>
      </c>
      <c r="J3436" s="16">
        <f>ABS(Solieusap!J3436)</f>
        <v>0</v>
      </c>
      <c r="K3436" s="16">
        <f t="shared" si="1"/>
        <v>0</v>
      </c>
      <c r="L3436" s="16">
        <f t="shared" si="2"/>
        <v>0</v>
      </c>
    </row>
    <row r="3437" ht="16.5" customHeight="1">
      <c r="A3437" s="15" t="str">
        <f>Solieusap!A3437</f>
        <v/>
      </c>
      <c r="B3437" s="15" t="str">
        <f>Solieusap!B3437</f>
        <v/>
      </c>
      <c r="C3437" s="15" t="str">
        <f>Solieusap!C3437</f>
        <v/>
      </c>
      <c r="D3437" s="15" t="str">
        <f>Solieusap!D3437</f>
        <v/>
      </c>
      <c r="E3437" s="16">
        <f>ABS(Solieusap!E3437)</f>
        <v>0</v>
      </c>
      <c r="F3437" s="16">
        <f>ABS(Solieusap!F3437)</f>
        <v>0</v>
      </c>
      <c r="G3437" s="16">
        <f>ABS(Solieusap!G3437)</f>
        <v>0</v>
      </c>
      <c r="H3437" s="16">
        <f>ABS(Solieusap!H3437)</f>
        <v>0</v>
      </c>
      <c r="I3437" s="16">
        <f>ABS(Solieusap!I3437)</f>
        <v>0</v>
      </c>
      <c r="J3437" s="16">
        <f>ABS(Solieusap!J3437)</f>
        <v>0</v>
      </c>
      <c r="K3437" s="16">
        <f t="shared" si="1"/>
        <v>0</v>
      </c>
      <c r="L3437" s="16">
        <f t="shared" si="2"/>
        <v>0</v>
      </c>
    </row>
    <row r="3438" ht="16.5" customHeight="1">
      <c r="A3438" s="15" t="str">
        <f>Solieusap!A3438</f>
        <v/>
      </c>
      <c r="B3438" s="15" t="str">
        <f>Solieusap!B3438</f>
        <v/>
      </c>
      <c r="C3438" s="15" t="str">
        <f>Solieusap!C3438</f>
        <v/>
      </c>
      <c r="D3438" s="15" t="str">
        <f>Solieusap!D3438</f>
        <v/>
      </c>
      <c r="E3438" s="16">
        <f>ABS(Solieusap!E3438)</f>
        <v>0</v>
      </c>
      <c r="F3438" s="16">
        <f>ABS(Solieusap!F3438)</f>
        <v>0</v>
      </c>
      <c r="G3438" s="16">
        <f>ABS(Solieusap!G3438)</f>
        <v>0</v>
      </c>
      <c r="H3438" s="16">
        <f>ABS(Solieusap!H3438)</f>
        <v>0</v>
      </c>
      <c r="I3438" s="16">
        <f>ABS(Solieusap!I3438)</f>
        <v>0</v>
      </c>
      <c r="J3438" s="16">
        <f>ABS(Solieusap!J3438)</f>
        <v>0</v>
      </c>
      <c r="K3438" s="16">
        <f t="shared" si="1"/>
        <v>0</v>
      </c>
      <c r="L3438" s="16">
        <f t="shared" si="2"/>
        <v>0</v>
      </c>
    </row>
    <row r="3439" ht="16.5" customHeight="1">
      <c r="A3439" s="15" t="str">
        <f>Solieusap!A3439</f>
        <v/>
      </c>
      <c r="B3439" s="15" t="str">
        <f>Solieusap!B3439</f>
        <v/>
      </c>
      <c r="C3439" s="15" t="str">
        <f>Solieusap!C3439</f>
        <v/>
      </c>
      <c r="D3439" s="15" t="str">
        <f>Solieusap!D3439</f>
        <v/>
      </c>
      <c r="E3439" s="16">
        <f>ABS(Solieusap!E3439)</f>
        <v>0</v>
      </c>
      <c r="F3439" s="16">
        <f>ABS(Solieusap!F3439)</f>
        <v>0</v>
      </c>
      <c r="G3439" s="16">
        <f>ABS(Solieusap!G3439)</f>
        <v>0</v>
      </c>
      <c r="H3439" s="16">
        <f>ABS(Solieusap!H3439)</f>
        <v>0</v>
      </c>
      <c r="I3439" s="16">
        <f>ABS(Solieusap!I3439)</f>
        <v>0</v>
      </c>
      <c r="J3439" s="16">
        <f>ABS(Solieusap!J3439)</f>
        <v>0</v>
      </c>
      <c r="K3439" s="16">
        <f t="shared" si="1"/>
        <v>0</v>
      </c>
      <c r="L3439" s="16">
        <f t="shared" si="2"/>
        <v>0</v>
      </c>
    </row>
    <row r="3440" ht="16.5" customHeight="1">
      <c r="A3440" s="15" t="str">
        <f>Solieusap!A3440</f>
        <v/>
      </c>
      <c r="B3440" s="15" t="str">
        <f>Solieusap!B3440</f>
        <v/>
      </c>
      <c r="C3440" s="15" t="str">
        <f>Solieusap!C3440</f>
        <v/>
      </c>
      <c r="D3440" s="15" t="str">
        <f>Solieusap!D3440</f>
        <v/>
      </c>
      <c r="E3440" s="16">
        <f>ABS(Solieusap!E3440)</f>
        <v>0</v>
      </c>
      <c r="F3440" s="16">
        <f>ABS(Solieusap!F3440)</f>
        <v>0</v>
      </c>
      <c r="G3440" s="16">
        <f>ABS(Solieusap!G3440)</f>
        <v>0</v>
      </c>
      <c r="H3440" s="16">
        <f>ABS(Solieusap!H3440)</f>
        <v>0</v>
      </c>
      <c r="I3440" s="16">
        <f>ABS(Solieusap!I3440)</f>
        <v>0</v>
      </c>
      <c r="J3440" s="16">
        <f>ABS(Solieusap!J3440)</f>
        <v>0</v>
      </c>
      <c r="K3440" s="16">
        <f t="shared" si="1"/>
        <v>0</v>
      </c>
      <c r="L3440" s="16">
        <f t="shared" si="2"/>
        <v>0</v>
      </c>
    </row>
    <row r="3441" ht="16.5" customHeight="1">
      <c r="A3441" s="15" t="str">
        <f>Solieusap!A3441</f>
        <v/>
      </c>
      <c r="B3441" s="15" t="str">
        <f>Solieusap!B3441</f>
        <v/>
      </c>
      <c r="C3441" s="15" t="str">
        <f>Solieusap!C3441</f>
        <v/>
      </c>
      <c r="D3441" s="15" t="str">
        <f>Solieusap!D3441</f>
        <v/>
      </c>
      <c r="E3441" s="16">
        <f>ABS(Solieusap!E3441)</f>
        <v>0</v>
      </c>
      <c r="F3441" s="16">
        <f>ABS(Solieusap!F3441)</f>
        <v>0</v>
      </c>
      <c r="G3441" s="16">
        <f>ABS(Solieusap!G3441)</f>
        <v>0</v>
      </c>
      <c r="H3441" s="16">
        <f>ABS(Solieusap!H3441)</f>
        <v>0</v>
      </c>
      <c r="I3441" s="16">
        <f>ABS(Solieusap!I3441)</f>
        <v>0</v>
      </c>
      <c r="J3441" s="16">
        <f>ABS(Solieusap!J3441)</f>
        <v>0</v>
      </c>
      <c r="K3441" s="16">
        <f t="shared" si="1"/>
        <v>0</v>
      </c>
      <c r="L3441" s="16">
        <f t="shared" si="2"/>
        <v>0</v>
      </c>
    </row>
    <row r="3442" ht="16.5" customHeight="1">
      <c r="A3442" s="15" t="str">
        <f>Solieusap!A3442</f>
        <v/>
      </c>
      <c r="B3442" s="15" t="str">
        <f>Solieusap!B3442</f>
        <v/>
      </c>
      <c r="C3442" s="15" t="str">
        <f>Solieusap!C3442</f>
        <v/>
      </c>
      <c r="D3442" s="15" t="str">
        <f>Solieusap!D3442</f>
        <v/>
      </c>
      <c r="E3442" s="16">
        <f>ABS(Solieusap!E3442)</f>
        <v>0</v>
      </c>
      <c r="F3442" s="16">
        <f>ABS(Solieusap!F3442)</f>
        <v>0</v>
      </c>
      <c r="G3442" s="16">
        <f>ABS(Solieusap!G3442)</f>
        <v>0</v>
      </c>
      <c r="H3442" s="16">
        <f>ABS(Solieusap!H3442)</f>
        <v>0</v>
      </c>
      <c r="I3442" s="16">
        <f>ABS(Solieusap!I3442)</f>
        <v>0</v>
      </c>
      <c r="J3442" s="16">
        <f>ABS(Solieusap!J3442)</f>
        <v>0</v>
      </c>
      <c r="K3442" s="16">
        <f t="shared" si="1"/>
        <v>0</v>
      </c>
      <c r="L3442" s="16">
        <f t="shared" si="2"/>
        <v>0</v>
      </c>
    </row>
    <row r="3443" ht="16.5" customHeight="1">
      <c r="A3443" s="15" t="str">
        <f>Solieusap!A3443</f>
        <v/>
      </c>
      <c r="B3443" s="15" t="str">
        <f>Solieusap!B3443</f>
        <v/>
      </c>
      <c r="C3443" s="15" t="str">
        <f>Solieusap!C3443</f>
        <v/>
      </c>
      <c r="D3443" s="15" t="str">
        <f>Solieusap!D3443</f>
        <v/>
      </c>
      <c r="E3443" s="16">
        <f>ABS(Solieusap!E3443)</f>
        <v>0</v>
      </c>
      <c r="F3443" s="16">
        <f>ABS(Solieusap!F3443)</f>
        <v>0</v>
      </c>
      <c r="G3443" s="16">
        <f>ABS(Solieusap!G3443)</f>
        <v>0</v>
      </c>
      <c r="H3443" s="16">
        <f>ABS(Solieusap!H3443)</f>
        <v>0</v>
      </c>
      <c r="I3443" s="16">
        <f>ABS(Solieusap!I3443)</f>
        <v>0</v>
      </c>
      <c r="J3443" s="16">
        <f>ABS(Solieusap!J3443)</f>
        <v>0</v>
      </c>
      <c r="K3443" s="16">
        <f t="shared" si="1"/>
        <v>0</v>
      </c>
      <c r="L3443" s="16">
        <f t="shared" si="2"/>
        <v>0</v>
      </c>
    </row>
    <row r="3444" ht="16.5" customHeight="1">
      <c r="A3444" s="15" t="str">
        <f>Solieusap!A3444</f>
        <v/>
      </c>
      <c r="B3444" s="15" t="str">
        <f>Solieusap!B3444</f>
        <v/>
      </c>
      <c r="C3444" s="15" t="str">
        <f>Solieusap!C3444</f>
        <v/>
      </c>
      <c r="D3444" s="15" t="str">
        <f>Solieusap!D3444</f>
        <v/>
      </c>
      <c r="E3444" s="16">
        <f>ABS(Solieusap!E3444)</f>
        <v>0</v>
      </c>
      <c r="F3444" s="16">
        <f>ABS(Solieusap!F3444)</f>
        <v>0</v>
      </c>
      <c r="G3444" s="16">
        <f>ABS(Solieusap!G3444)</f>
        <v>0</v>
      </c>
      <c r="H3444" s="16">
        <f>ABS(Solieusap!H3444)</f>
        <v>0</v>
      </c>
      <c r="I3444" s="16">
        <f>ABS(Solieusap!I3444)</f>
        <v>0</v>
      </c>
      <c r="J3444" s="16">
        <f>ABS(Solieusap!J3444)</f>
        <v>0</v>
      </c>
      <c r="K3444" s="16">
        <f t="shared" si="1"/>
        <v>0</v>
      </c>
      <c r="L3444" s="16">
        <f t="shared" si="2"/>
        <v>0</v>
      </c>
    </row>
    <row r="3445" ht="16.5" customHeight="1">
      <c r="A3445" s="15" t="str">
        <f>Solieusap!A3445</f>
        <v/>
      </c>
      <c r="B3445" s="15" t="str">
        <f>Solieusap!B3445</f>
        <v/>
      </c>
      <c r="C3445" s="15" t="str">
        <f>Solieusap!C3445</f>
        <v/>
      </c>
      <c r="D3445" s="15" t="str">
        <f>Solieusap!D3445</f>
        <v/>
      </c>
      <c r="E3445" s="16">
        <f>ABS(Solieusap!E3445)</f>
        <v>0</v>
      </c>
      <c r="F3445" s="16">
        <f>ABS(Solieusap!F3445)</f>
        <v>0</v>
      </c>
      <c r="G3445" s="16">
        <f>ABS(Solieusap!G3445)</f>
        <v>0</v>
      </c>
      <c r="H3445" s="16">
        <f>ABS(Solieusap!H3445)</f>
        <v>0</v>
      </c>
      <c r="I3445" s="16">
        <f>ABS(Solieusap!I3445)</f>
        <v>0</v>
      </c>
      <c r="J3445" s="16">
        <f>ABS(Solieusap!J3445)</f>
        <v>0</v>
      </c>
      <c r="K3445" s="16">
        <f t="shared" si="1"/>
        <v>0</v>
      </c>
      <c r="L3445" s="16">
        <f t="shared" si="2"/>
        <v>0</v>
      </c>
    </row>
    <row r="3446" ht="16.5" customHeight="1">
      <c r="A3446" s="15" t="str">
        <f>Solieusap!A3446</f>
        <v/>
      </c>
      <c r="B3446" s="15" t="str">
        <f>Solieusap!B3446</f>
        <v/>
      </c>
      <c r="C3446" s="15" t="str">
        <f>Solieusap!C3446</f>
        <v/>
      </c>
      <c r="D3446" s="15" t="str">
        <f>Solieusap!D3446</f>
        <v/>
      </c>
      <c r="E3446" s="16">
        <f>ABS(Solieusap!E3446)</f>
        <v>0</v>
      </c>
      <c r="F3446" s="16">
        <f>ABS(Solieusap!F3446)</f>
        <v>0</v>
      </c>
      <c r="G3446" s="16">
        <f>ABS(Solieusap!G3446)</f>
        <v>0</v>
      </c>
      <c r="H3446" s="16">
        <f>ABS(Solieusap!H3446)</f>
        <v>0</v>
      </c>
      <c r="I3446" s="16">
        <f>ABS(Solieusap!I3446)</f>
        <v>0</v>
      </c>
      <c r="J3446" s="16">
        <f>ABS(Solieusap!J3446)</f>
        <v>0</v>
      </c>
      <c r="K3446" s="16">
        <f t="shared" si="1"/>
        <v>0</v>
      </c>
      <c r="L3446" s="16">
        <f t="shared" si="2"/>
        <v>0</v>
      </c>
    </row>
    <row r="3447" ht="16.5" customHeight="1">
      <c r="A3447" s="15" t="str">
        <f>Solieusap!A3447</f>
        <v/>
      </c>
      <c r="B3447" s="15" t="str">
        <f>Solieusap!B3447</f>
        <v/>
      </c>
      <c r="C3447" s="15" t="str">
        <f>Solieusap!C3447</f>
        <v/>
      </c>
      <c r="D3447" s="15" t="str">
        <f>Solieusap!D3447</f>
        <v/>
      </c>
      <c r="E3447" s="16">
        <f>ABS(Solieusap!E3447)</f>
        <v>0</v>
      </c>
      <c r="F3447" s="16">
        <f>ABS(Solieusap!F3447)</f>
        <v>0</v>
      </c>
      <c r="G3447" s="16">
        <f>ABS(Solieusap!G3447)</f>
        <v>0</v>
      </c>
      <c r="H3447" s="16">
        <f>ABS(Solieusap!H3447)</f>
        <v>0</v>
      </c>
      <c r="I3447" s="16">
        <f>ABS(Solieusap!I3447)</f>
        <v>0</v>
      </c>
      <c r="J3447" s="16">
        <f>ABS(Solieusap!J3447)</f>
        <v>0</v>
      </c>
      <c r="K3447" s="16">
        <f t="shared" si="1"/>
        <v>0</v>
      </c>
      <c r="L3447" s="16">
        <f t="shared" si="2"/>
        <v>0</v>
      </c>
    </row>
    <row r="3448" ht="16.5" customHeight="1">
      <c r="A3448" s="15" t="str">
        <f>Solieusap!A3448</f>
        <v/>
      </c>
      <c r="B3448" s="15" t="str">
        <f>Solieusap!B3448</f>
        <v/>
      </c>
      <c r="C3448" s="15" t="str">
        <f>Solieusap!C3448</f>
        <v/>
      </c>
      <c r="D3448" s="15" t="str">
        <f>Solieusap!D3448</f>
        <v/>
      </c>
      <c r="E3448" s="16">
        <f>ABS(Solieusap!E3448)</f>
        <v>0</v>
      </c>
      <c r="F3448" s="16">
        <f>ABS(Solieusap!F3448)</f>
        <v>0</v>
      </c>
      <c r="G3448" s="16">
        <f>ABS(Solieusap!G3448)</f>
        <v>0</v>
      </c>
      <c r="H3448" s="16">
        <f>ABS(Solieusap!H3448)</f>
        <v>0</v>
      </c>
      <c r="I3448" s="16">
        <f>ABS(Solieusap!I3448)</f>
        <v>0</v>
      </c>
      <c r="J3448" s="16">
        <f>ABS(Solieusap!J3448)</f>
        <v>0</v>
      </c>
      <c r="K3448" s="16">
        <f t="shared" si="1"/>
        <v>0</v>
      </c>
      <c r="L3448" s="16">
        <f t="shared" si="2"/>
        <v>0</v>
      </c>
    </row>
    <row r="3449" ht="16.5" customHeight="1">
      <c r="A3449" s="15" t="str">
        <f>Solieusap!A3449</f>
        <v/>
      </c>
      <c r="B3449" s="15" t="str">
        <f>Solieusap!B3449</f>
        <v/>
      </c>
      <c r="C3449" s="15" t="str">
        <f>Solieusap!C3449</f>
        <v/>
      </c>
      <c r="D3449" s="15" t="str">
        <f>Solieusap!D3449</f>
        <v/>
      </c>
      <c r="E3449" s="16">
        <f>ABS(Solieusap!E3449)</f>
        <v>0</v>
      </c>
      <c r="F3449" s="16">
        <f>ABS(Solieusap!F3449)</f>
        <v>0</v>
      </c>
      <c r="G3449" s="16">
        <f>ABS(Solieusap!G3449)</f>
        <v>0</v>
      </c>
      <c r="H3449" s="16">
        <f>ABS(Solieusap!H3449)</f>
        <v>0</v>
      </c>
      <c r="I3449" s="16">
        <f>ABS(Solieusap!I3449)</f>
        <v>0</v>
      </c>
      <c r="J3449" s="16">
        <f>ABS(Solieusap!J3449)</f>
        <v>0</v>
      </c>
      <c r="K3449" s="16">
        <f t="shared" si="1"/>
        <v>0</v>
      </c>
      <c r="L3449" s="16">
        <f t="shared" si="2"/>
        <v>0</v>
      </c>
    </row>
    <row r="3450" ht="16.5" customHeight="1">
      <c r="A3450" s="15" t="str">
        <f>Solieusap!A3450</f>
        <v/>
      </c>
      <c r="B3450" s="15" t="str">
        <f>Solieusap!B3450</f>
        <v/>
      </c>
      <c r="C3450" s="15" t="str">
        <f>Solieusap!C3450</f>
        <v/>
      </c>
      <c r="D3450" s="15" t="str">
        <f>Solieusap!D3450</f>
        <v/>
      </c>
      <c r="E3450" s="16">
        <f>ABS(Solieusap!E3450)</f>
        <v>0</v>
      </c>
      <c r="F3450" s="16">
        <f>ABS(Solieusap!F3450)</f>
        <v>0</v>
      </c>
      <c r="G3450" s="16">
        <f>ABS(Solieusap!G3450)</f>
        <v>0</v>
      </c>
      <c r="H3450" s="16">
        <f>ABS(Solieusap!H3450)</f>
        <v>0</v>
      </c>
      <c r="I3450" s="16">
        <f>ABS(Solieusap!I3450)</f>
        <v>0</v>
      </c>
      <c r="J3450" s="16">
        <f>ABS(Solieusap!J3450)</f>
        <v>0</v>
      </c>
      <c r="K3450" s="16">
        <f t="shared" si="1"/>
        <v>0</v>
      </c>
      <c r="L3450" s="16">
        <f t="shared" si="2"/>
        <v>0</v>
      </c>
    </row>
    <row r="3451" ht="16.5" customHeight="1">
      <c r="A3451" s="15" t="str">
        <f>Solieusap!A3451</f>
        <v/>
      </c>
      <c r="B3451" s="15" t="str">
        <f>Solieusap!B3451</f>
        <v/>
      </c>
      <c r="C3451" s="15" t="str">
        <f>Solieusap!C3451</f>
        <v/>
      </c>
      <c r="D3451" s="15" t="str">
        <f>Solieusap!D3451</f>
        <v/>
      </c>
      <c r="E3451" s="16">
        <f>ABS(Solieusap!E3451)</f>
        <v>0</v>
      </c>
      <c r="F3451" s="16">
        <f>ABS(Solieusap!F3451)</f>
        <v>0</v>
      </c>
      <c r="G3451" s="16">
        <f>ABS(Solieusap!G3451)</f>
        <v>0</v>
      </c>
      <c r="H3451" s="16">
        <f>ABS(Solieusap!H3451)</f>
        <v>0</v>
      </c>
      <c r="I3451" s="16">
        <f>ABS(Solieusap!I3451)</f>
        <v>0</v>
      </c>
      <c r="J3451" s="16">
        <f>ABS(Solieusap!J3451)</f>
        <v>0</v>
      </c>
      <c r="K3451" s="16">
        <f t="shared" si="1"/>
        <v>0</v>
      </c>
      <c r="L3451" s="16">
        <f t="shared" si="2"/>
        <v>0</v>
      </c>
    </row>
    <row r="3452" ht="16.5" customHeight="1">
      <c r="A3452" s="15" t="str">
        <f>Solieusap!A3452</f>
        <v/>
      </c>
      <c r="B3452" s="15" t="str">
        <f>Solieusap!B3452</f>
        <v/>
      </c>
      <c r="C3452" s="15" t="str">
        <f>Solieusap!C3452</f>
        <v/>
      </c>
      <c r="D3452" s="15" t="str">
        <f>Solieusap!D3452</f>
        <v/>
      </c>
      <c r="E3452" s="16">
        <f>ABS(Solieusap!E3452)</f>
        <v>0</v>
      </c>
      <c r="F3452" s="16">
        <f>ABS(Solieusap!F3452)</f>
        <v>0</v>
      </c>
      <c r="G3452" s="16">
        <f>ABS(Solieusap!G3452)</f>
        <v>0</v>
      </c>
      <c r="H3452" s="16">
        <f>ABS(Solieusap!H3452)</f>
        <v>0</v>
      </c>
      <c r="I3452" s="16">
        <f>ABS(Solieusap!I3452)</f>
        <v>0</v>
      </c>
      <c r="J3452" s="16">
        <f>ABS(Solieusap!J3452)</f>
        <v>0</v>
      </c>
      <c r="K3452" s="16">
        <f t="shared" si="1"/>
        <v>0</v>
      </c>
      <c r="L3452" s="16">
        <f t="shared" si="2"/>
        <v>0</v>
      </c>
    </row>
    <row r="3453" ht="16.5" customHeight="1">
      <c r="A3453" s="15" t="str">
        <f>Solieusap!A3453</f>
        <v/>
      </c>
      <c r="B3453" s="15" t="str">
        <f>Solieusap!B3453</f>
        <v/>
      </c>
      <c r="C3453" s="15" t="str">
        <f>Solieusap!C3453</f>
        <v/>
      </c>
      <c r="D3453" s="15" t="str">
        <f>Solieusap!D3453</f>
        <v/>
      </c>
      <c r="E3453" s="16">
        <f>ABS(Solieusap!E3453)</f>
        <v>0</v>
      </c>
      <c r="F3453" s="16">
        <f>ABS(Solieusap!F3453)</f>
        <v>0</v>
      </c>
      <c r="G3453" s="16">
        <f>ABS(Solieusap!G3453)</f>
        <v>0</v>
      </c>
      <c r="H3453" s="16">
        <f>ABS(Solieusap!H3453)</f>
        <v>0</v>
      </c>
      <c r="I3453" s="16">
        <f>ABS(Solieusap!I3453)</f>
        <v>0</v>
      </c>
      <c r="J3453" s="16">
        <f>ABS(Solieusap!J3453)</f>
        <v>0</v>
      </c>
      <c r="K3453" s="16">
        <f t="shared" si="1"/>
        <v>0</v>
      </c>
      <c r="L3453" s="16">
        <f t="shared" si="2"/>
        <v>0</v>
      </c>
    </row>
    <row r="3454" ht="16.5" customHeight="1">
      <c r="A3454" s="15" t="str">
        <f>Solieusap!A3454</f>
        <v/>
      </c>
      <c r="B3454" s="15" t="str">
        <f>Solieusap!B3454</f>
        <v/>
      </c>
      <c r="C3454" s="15" t="str">
        <f>Solieusap!C3454</f>
        <v/>
      </c>
      <c r="D3454" s="15" t="str">
        <f>Solieusap!D3454</f>
        <v/>
      </c>
      <c r="E3454" s="16">
        <f>ABS(Solieusap!E3454)</f>
        <v>0</v>
      </c>
      <c r="F3454" s="16">
        <f>ABS(Solieusap!F3454)</f>
        <v>0</v>
      </c>
      <c r="G3454" s="16">
        <f>ABS(Solieusap!G3454)</f>
        <v>0</v>
      </c>
      <c r="H3454" s="16">
        <f>ABS(Solieusap!H3454)</f>
        <v>0</v>
      </c>
      <c r="I3454" s="16">
        <f>ABS(Solieusap!I3454)</f>
        <v>0</v>
      </c>
      <c r="J3454" s="16">
        <f>ABS(Solieusap!J3454)</f>
        <v>0</v>
      </c>
      <c r="K3454" s="16">
        <f t="shared" si="1"/>
        <v>0</v>
      </c>
      <c r="L3454" s="16">
        <f t="shared" si="2"/>
        <v>0</v>
      </c>
    </row>
    <row r="3455" ht="16.5" customHeight="1">
      <c r="A3455" s="15" t="str">
        <f>Solieusap!A3455</f>
        <v/>
      </c>
      <c r="B3455" s="15" t="str">
        <f>Solieusap!B3455</f>
        <v/>
      </c>
      <c r="C3455" s="15" t="str">
        <f>Solieusap!C3455</f>
        <v/>
      </c>
      <c r="D3455" s="15" t="str">
        <f>Solieusap!D3455</f>
        <v/>
      </c>
      <c r="E3455" s="16">
        <f>ABS(Solieusap!E3455)</f>
        <v>0</v>
      </c>
      <c r="F3455" s="16">
        <f>ABS(Solieusap!F3455)</f>
        <v>0</v>
      </c>
      <c r="G3455" s="16">
        <f>ABS(Solieusap!G3455)</f>
        <v>0</v>
      </c>
      <c r="H3455" s="16">
        <f>ABS(Solieusap!H3455)</f>
        <v>0</v>
      </c>
      <c r="I3455" s="16">
        <f>ABS(Solieusap!I3455)</f>
        <v>0</v>
      </c>
      <c r="J3455" s="16">
        <f>ABS(Solieusap!J3455)</f>
        <v>0</v>
      </c>
      <c r="K3455" s="16">
        <f t="shared" si="1"/>
        <v>0</v>
      </c>
      <c r="L3455" s="16">
        <f t="shared" si="2"/>
        <v>0</v>
      </c>
    </row>
    <row r="3456" ht="16.5" customHeight="1">
      <c r="A3456" s="15" t="str">
        <f>Solieusap!A3456</f>
        <v/>
      </c>
      <c r="B3456" s="15" t="str">
        <f>Solieusap!B3456</f>
        <v/>
      </c>
      <c r="C3456" s="15" t="str">
        <f>Solieusap!C3456</f>
        <v/>
      </c>
      <c r="D3456" s="15" t="str">
        <f>Solieusap!D3456</f>
        <v/>
      </c>
      <c r="E3456" s="16">
        <f>ABS(Solieusap!E3456)</f>
        <v>0</v>
      </c>
      <c r="F3456" s="16">
        <f>ABS(Solieusap!F3456)</f>
        <v>0</v>
      </c>
      <c r="G3456" s="16">
        <f>ABS(Solieusap!G3456)</f>
        <v>0</v>
      </c>
      <c r="H3456" s="16">
        <f>ABS(Solieusap!H3456)</f>
        <v>0</v>
      </c>
      <c r="I3456" s="16">
        <f>ABS(Solieusap!I3456)</f>
        <v>0</v>
      </c>
      <c r="J3456" s="16">
        <f>ABS(Solieusap!J3456)</f>
        <v>0</v>
      </c>
      <c r="K3456" s="16">
        <f t="shared" si="1"/>
        <v>0</v>
      </c>
      <c r="L3456" s="16">
        <f t="shared" si="2"/>
        <v>0</v>
      </c>
    </row>
    <row r="3457" ht="16.5" customHeight="1">
      <c r="A3457" s="15" t="str">
        <f>Solieusap!A3457</f>
        <v/>
      </c>
      <c r="B3457" s="15" t="str">
        <f>Solieusap!B3457</f>
        <v/>
      </c>
      <c r="C3457" s="15" t="str">
        <f>Solieusap!C3457</f>
        <v/>
      </c>
      <c r="D3457" s="15" t="str">
        <f>Solieusap!D3457</f>
        <v/>
      </c>
      <c r="E3457" s="16">
        <f>ABS(Solieusap!E3457)</f>
        <v>0</v>
      </c>
      <c r="F3457" s="16">
        <f>ABS(Solieusap!F3457)</f>
        <v>0</v>
      </c>
      <c r="G3457" s="16">
        <f>ABS(Solieusap!G3457)</f>
        <v>0</v>
      </c>
      <c r="H3457" s="16">
        <f>ABS(Solieusap!H3457)</f>
        <v>0</v>
      </c>
      <c r="I3457" s="16">
        <f>ABS(Solieusap!I3457)</f>
        <v>0</v>
      </c>
      <c r="J3457" s="16">
        <f>ABS(Solieusap!J3457)</f>
        <v>0</v>
      </c>
      <c r="K3457" s="16">
        <f t="shared" si="1"/>
        <v>0</v>
      </c>
      <c r="L3457" s="16">
        <f t="shared" si="2"/>
        <v>0</v>
      </c>
    </row>
    <row r="3458" ht="16.5" customHeight="1">
      <c r="A3458" s="15" t="str">
        <f>Solieusap!A3458</f>
        <v/>
      </c>
      <c r="B3458" s="15" t="str">
        <f>Solieusap!B3458</f>
        <v/>
      </c>
      <c r="C3458" s="15" t="str">
        <f>Solieusap!C3458</f>
        <v/>
      </c>
      <c r="D3458" s="15" t="str">
        <f>Solieusap!D3458</f>
        <v/>
      </c>
      <c r="E3458" s="16">
        <f>ABS(Solieusap!E3458)</f>
        <v>0</v>
      </c>
      <c r="F3458" s="16">
        <f>ABS(Solieusap!F3458)</f>
        <v>0</v>
      </c>
      <c r="G3458" s="16">
        <f>ABS(Solieusap!G3458)</f>
        <v>0</v>
      </c>
      <c r="H3458" s="16">
        <f>ABS(Solieusap!H3458)</f>
        <v>0</v>
      </c>
      <c r="I3458" s="16">
        <f>ABS(Solieusap!I3458)</f>
        <v>0</v>
      </c>
      <c r="J3458" s="16">
        <f>ABS(Solieusap!J3458)</f>
        <v>0</v>
      </c>
      <c r="K3458" s="16">
        <f t="shared" si="1"/>
        <v>0</v>
      </c>
      <c r="L3458" s="16">
        <f t="shared" si="2"/>
        <v>0</v>
      </c>
    </row>
    <row r="3459" ht="16.5" customHeight="1">
      <c r="A3459" s="15" t="str">
        <f>Solieusap!A3459</f>
        <v/>
      </c>
      <c r="B3459" s="15" t="str">
        <f>Solieusap!B3459</f>
        <v/>
      </c>
      <c r="C3459" s="15" t="str">
        <f>Solieusap!C3459</f>
        <v/>
      </c>
      <c r="D3459" s="15" t="str">
        <f>Solieusap!D3459</f>
        <v/>
      </c>
      <c r="E3459" s="16">
        <f>ABS(Solieusap!E3459)</f>
        <v>0</v>
      </c>
      <c r="F3459" s="16">
        <f>ABS(Solieusap!F3459)</f>
        <v>0</v>
      </c>
      <c r="G3459" s="16">
        <f>ABS(Solieusap!G3459)</f>
        <v>0</v>
      </c>
      <c r="H3459" s="16">
        <f>ABS(Solieusap!H3459)</f>
        <v>0</v>
      </c>
      <c r="I3459" s="16">
        <f>ABS(Solieusap!I3459)</f>
        <v>0</v>
      </c>
      <c r="J3459" s="16">
        <f>ABS(Solieusap!J3459)</f>
        <v>0</v>
      </c>
      <c r="K3459" s="16">
        <f t="shared" si="1"/>
        <v>0</v>
      </c>
      <c r="L3459" s="16">
        <f t="shared" si="2"/>
        <v>0</v>
      </c>
    </row>
    <row r="3460" ht="16.5" customHeight="1">
      <c r="A3460" s="15" t="str">
        <f>Solieusap!A3460</f>
        <v/>
      </c>
      <c r="B3460" s="15" t="str">
        <f>Solieusap!B3460</f>
        <v/>
      </c>
      <c r="C3460" s="15" t="str">
        <f>Solieusap!C3460</f>
        <v/>
      </c>
      <c r="D3460" s="15" t="str">
        <f>Solieusap!D3460</f>
        <v/>
      </c>
      <c r="E3460" s="16">
        <f>ABS(Solieusap!E3460)</f>
        <v>0</v>
      </c>
      <c r="F3460" s="16">
        <f>ABS(Solieusap!F3460)</f>
        <v>0</v>
      </c>
      <c r="G3460" s="16">
        <f>ABS(Solieusap!G3460)</f>
        <v>0</v>
      </c>
      <c r="H3460" s="16">
        <f>ABS(Solieusap!H3460)</f>
        <v>0</v>
      </c>
      <c r="I3460" s="16">
        <f>ABS(Solieusap!I3460)</f>
        <v>0</v>
      </c>
      <c r="J3460" s="16">
        <f>ABS(Solieusap!J3460)</f>
        <v>0</v>
      </c>
      <c r="K3460" s="16">
        <f t="shared" si="1"/>
        <v>0</v>
      </c>
      <c r="L3460" s="16">
        <f t="shared" si="2"/>
        <v>0</v>
      </c>
    </row>
    <row r="3461" ht="16.5" customHeight="1">
      <c r="A3461" s="15" t="str">
        <f>Solieusap!A3461</f>
        <v/>
      </c>
      <c r="B3461" s="15" t="str">
        <f>Solieusap!B3461</f>
        <v/>
      </c>
      <c r="C3461" s="15" t="str">
        <f>Solieusap!C3461</f>
        <v/>
      </c>
      <c r="D3461" s="15" t="str">
        <f>Solieusap!D3461</f>
        <v/>
      </c>
      <c r="E3461" s="16">
        <f>ABS(Solieusap!E3461)</f>
        <v>0</v>
      </c>
      <c r="F3461" s="16">
        <f>ABS(Solieusap!F3461)</f>
        <v>0</v>
      </c>
      <c r="G3461" s="16">
        <f>ABS(Solieusap!G3461)</f>
        <v>0</v>
      </c>
      <c r="H3461" s="16">
        <f>ABS(Solieusap!H3461)</f>
        <v>0</v>
      </c>
      <c r="I3461" s="16">
        <f>ABS(Solieusap!I3461)</f>
        <v>0</v>
      </c>
      <c r="J3461" s="16">
        <f>ABS(Solieusap!J3461)</f>
        <v>0</v>
      </c>
      <c r="K3461" s="16">
        <f t="shared" si="1"/>
        <v>0</v>
      </c>
      <c r="L3461" s="16">
        <f t="shared" si="2"/>
        <v>0</v>
      </c>
    </row>
    <row r="3462" ht="16.5" customHeight="1">
      <c r="A3462" s="15" t="str">
        <f>Solieusap!A3462</f>
        <v/>
      </c>
      <c r="B3462" s="15" t="str">
        <f>Solieusap!B3462</f>
        <v/>
      </c>
      <c r="C3462" s="15" t="str">
        <f>Solieusap!C3462</f>
        <v/>
      </c>
      <c r="D3462" s="15" t="str">
        <f>Solieusap!D3462</f>
        <v/>
      </c>
      <c r="E3462" s="16">
        <f>ABS(Solieusap!E3462)</f>
        <v>0</v>
      </c>
      <c r="F3462" s="16">
        <f>ABS(Solieusap!F3462)</f>
        <v>0</v>
      </c>
      <c r="G3462" s="16">
        <f>ABS(Solieusap!G3462)</f>
        <v>0</v>
      </c>
      <c r="H3462" s="16">
        <f>ABS(Solieusap!H3462)</f>
        <v>0</v>
      </c>
      <c r="I3462" s="16">
        <f>ABS(Solieusap!I3462)</f>
        <v>0</v>
      </c>
      <c r="J3462" s="16">
        <f>ABS(Solieusap!J3462)</f>
        <v>0</v>
      </c>
      <c r="K3462" s="16">
        <f t="shared" si="1"/>
        <v>0</v>
      </c>
      <c r="L3462" s="16">
        <f t="shared" si="2"/>
        <v>0</v>
      </c>
    </row>
    <row r="3463" ht="16.5" customHeight="1">
      <c r="A3463" s="15" t="str">
        <f>Solieusap!A3463</f>
        <v/>
      </c>
      <c r="B3463" s="15" t="str">
        <f>Solieusap!B3463</f>
        <v/>
      </c>
      <c r="C3463" s="15" t="str">
        <f>Solieusap!C3463</f>
        <v/>
      </c>
      <c r="D3463" s="15" t="str">
        <f>Solieusap!D3463</f>
        <v/>
      </c>
      <c r="E3463" s="16">
        <f>ABS(Solieusap!E3463)</f>
        <v>0</v>
      </c>
      <c r="F3463" s="16">
        <f>ABS(Solieusap!F3463)</f>
        <v>0</v>
      </c>
      <c r="G3463" s="16">
        <f>ABS(Solieusap!G3463)</f>
        <v>0</v>
      </c>
      <c r="H3463" s="16">
        <f>ABS(Solieusap!H3463)</f>
        <v>0</v>
      </c>
      <c r="I3463" s="16">
        <f>ABS(Solieusap!I3463)</f>
        <v>0</v>
      </c>
      <c r="J3463" s="16">
        <f>ABS(Solieusap!J3463)</f>
        <v>0</v>
      </c>
      <c r="K3463" s="16">
        <f t="shared" si="1"/>
        <v>0</v>
      </c>
      <c r="L3463" s="16">
        <f t="shared" si="2"/>
        <v>0</v>
      </c>
    </row>
    <row r="3464" ht="16.5" customHeight="1">
      <c r="A3464" s="15" t="str">
        <f>Solieusap!A3464</f>
        <v/>
      </c>
      <c r="B3464" s="15" t="str">
        <f>Solieusap!B3464</f>
        <v/>
      </c>
      <c r="C3464" s="15" t="str">
        <f>Solieusap!C3464</f>
        <v/>
      </c>
      <c r="D3464" s="15" t="str">
        <f>Solieusap!D3464</f>
        <v/>
      </c>
      <c r="E3464" s="16">
        <f>ABS(Solieusap!E3464)</f>
        <v>0</v>
      </c>
      <c r="F3464" s="16">
        <f>ABS(Solieusap!F3464)</f>
        <v>0</v>
      </c>
      <c r="G3464" s="16">
        <f>ABS(Solieusap!G3464)</f>
        <v>0</v>
      </c>
      <c r="H3464" s="16">
        <f>ABS(Solieusap!H3464)</f>
        <v>0</v>
      </c>
      <c r="I3464" s="16">
        <f>ABS(Solieusap!I3464)</f>
        <v>0</v>
      </c>
      <c r="J3464" s="16">
        <f>ABS(Solieusap!J3464)</f>
        <v>0</v>
      </c>
      <c r="K3464" s="16">
        <f t="shared" si="1"/>
        <v>0</v>
      </c>
      <c r="L3464" s="16">
        <f t="shared" si="2"/>
        <v>0</v>
      </c>
    </row>
    <row r="3465" ht="16.5" customHeight="1">
      <c r="A3465" s="15" t="str">
        <f>Solieusap!A3465</f>
        <v/>
      </c>
      <c r="B3465" s="15" t="str">
        <f>Solieusap!B3465</f>
        <v/>
      </c>
      <c r="C3465" s="15" t="str">
        <f>Solieusap!C3465</f>
        <v/>
      </c>
      <c r="D3465" s="15" t="str">
        <f>Solieusap!D3465</f>
        <v/>
      </c>
      <c r="E3465" s="16">
        <f>ABS(Solieusap!E3465)</f>
        <v>0</v>
      </c>
      <c r="F3465" s="16">
        <f>ABS(Solieusap!F3465)</f>
        <v>0</v>
      </c>
      <c r="G3465" s="16">
        <f>ABS(Solieusap!G3465)</f>
        <v>0</v>
      </c>
      <c r="H3465" s="16">
        <f>ABS(Solieusap!H3465)</f>
        <v>0</v>
      </c>
      <c r="I3465" s="16">
        <f>ABS(Solieusap!I3465)</f>
        <v>0</v>
      </c>
      <c r="J3465" s="16">
        <f>ABS(Solieusap!J3465)</f>
        <v>0</v>
      </c>
      <c r="K3465" s="16">
        <f t="shared" si="1"/>
        <v>0</v>
      </c>
      <c r="L3465" s="16">
        <f t="shared" si="2"/>
        <v>0</v>
      </c>
    </row>
    <row r="3466" ht="16.5" customHeight="1">
      <c r="A3466" s="15" t="str">
        <f>Solieusap!A3466</f>
        <v/>
      </c>
      <c r="B3466" s="15" t="str">
        <f>Solieusap!B3466</f>
        <v/>
      </c>
      <c r="C3466" s="15" t="str">
        <f>Solieusap!C3466</f>
        <v/>
      </c>
      <c r="D3466" s="15" t="str">
        <f>Solieusap!D3466</f>
        <v/>
      </c>
      <c r="E3466" s="16">
        <f>ABS(Solieusap!E3466)</f>
        <v>0</v>
      </c>
      <c r="F3466" s="16">
        <f>ABS(Solieusap!F3466)</f>
        <v>0</v>
      </c>
      <c r="G3466" s="16">
        <f>ABS(Solieusap!G3466)</f>
        <v>0</v>
      </c>
      <c r="H3466" s="16">
        <f>ABS(Solieusap!H3466)</f>
        <v>0</v>
      </c>
      <c r="I3466" s="16">
        <f>ABS(Solieusap!I3466)</f>
        <v>0</v>
      </c>
      <c r="J3466" s="16">
        <f>ABS(Solieusap!J3466)</f>
        <v>0</v>
      </c>
      <c r="K3466" s="16">
        <f t="shared" si="1"/>
        <v>0</v>
      </c>
      <c r="L3466" s="16">
        <f t="shared" si="2"/>
        <v>0</v>
      </c>
    </row>
    <row r="3467" ht="16.5" customHeight="1">
      <c r="A3467" s="15" t="str">
        <f>Solieusap!A3467</f>
        <v/>
      </c>
      <c r="B3467" s="15" t="str">
        <f>Solieusap!B3467</f>
        <v/>
      </c>
      <c r="C3467" s="15" t="str">
        <f>Solieusap!C3467</f>
        <v/>
      </c>
      <c r="D3467" s="15" t="str">
        <f>Solieusap!D3467</f>
        <v/>
      </c>
      <c r="E3467" s="16">
        <f>ABS(Solieusap!E3467)</f>
        <v>0</v>
      </c>
      <c r="F3467" s="16">
        <f>ABS(Solieusap!F3467)</f>
        <v>0</v>
      </c>
      <c r="G3467" s="16">
        <f>ABS(Solieusap!G3467)</f>
        <v>0</v>
      </c>
      <c r="H3467" s="16">
        <f>ABS(Solieusap!H3467)</f>
        <v>0</v>
      </c>
      <c r="I3467" s="16">
        <f>ABS(Solieusap!I3467)</f>
        <v>0</v>
      </c>
      <c r="J3467" s="16">
        <f>ABS(Solieusap!J3467)</f>
        <v>0</v>
      </c>
      <c r="K3467" s="16">
        <f t="shared" si="1"/>
        <v>0</v>
      </c>
      <c r="L3467" s="16">
        <f t="shared" si="2"/>
        <v>0</v>
      </c>
    </row>
    <row r="3468" ht="16.5" customHeight="1">
      <c r="A3468" s="15" t="str">
        <f>Solieusap!A3468</f>
        <v/>
      </c>
      <c r="B3468" s="15" t="str">
        <f>Solieusap!B3468</f>
        <v/>
      </c>
      <c r="C3468" s="15" t="str">
        <f>Solieusap!C3468</f>
        <v/>
      </c>
      <c r="D3468" s="15" t="str">
        <f>Solieusap!D3468</f>
        <v/>
      </c>
      <c r="E3468" s="16">
        <f>ABS(Solieusap!E3468)</f>
        <v>0</v>
      </c>
      <c r="F3468" s="16">
        <f>ABS(Solieusap!F3468)</f>
        <v>0</v>
      </c>
      <c r="G3468" s="16">
        <f>ABS(Solieusap!G3468)</f>
        <v>0</v>
      </c>
      <c r="H3468" s="16">
        <f>ABS(Solieusap!H3468)</f>
        <v>0</v>
      </c>
      <c r="I3468" s="16">
        <f>ABS(Solieusap!I3468)</f>
        <v>0</v>
      </c>
      <c r="J3468" s="16">
        <f>ABS(Solieusap!J3468)</f>
        <v>0</v>
      </c>
      <c r="K3468" s="16">
        <f t="shared" si="1"/>
        <v>0</v>
      </c>
      <c r="L3468" s="16">
        <f t="shared" si="2"/>
        <v>0</v>
      </c>
    </row>
    <row r="3469" ht="16.5" customHeight="1">
      <c r="A3469" s="15" t="str">
        <f>Solieusap!A3469</f>
        <v/>
      </c>
      <c r="B3469" s="15" t="str">
        <f>Solieusap!B3469</f>
        <v/>
      </c>
      <c r="C3469" s="15" t="str">
        <f>Solieusap!C3469</f>
        <v/>
      </c>
      <c r="D3469" s="15" t="str">
        <f>Solieusap!D3469</f>
        <v/>
      </c>
      <c r="E3469" s="16">
        <f>ABS(Solieusap!E3469)</f>
        <v>0</v>
      </c>
      <c r="F3469" s="16">
        <f>ABS(Solieusap!F3469)</f>
        <v>0</v>
      </c>
      <c r="G3469" s="16">
        <f>ABS(Solieusap!G3469)</f>
        <v>0</v>
      </c>
      <c r="H3469" s="16">
        <f>ABS(Solieusap!H3469)</f>
        <v>0</v>
      </c>
      <c r="I3469" s="16">
        <f>ABS(Solieusap!I3469)</f>
        <v>0</v>
      </c>
      <c r="J3469" s="16">
        <f>ABS(Solieusap!J3469)</f>
        <v>0</v>
      </c>
      <c r="K3469" s="16">
        <f t="shared" si="1"/>
        <v>0</v>
      </c>
      <c r="L3469" s="16">
        <f t="shared" si="2"/>
        <v>0</v>
      </c>
    </row>
    <row r="3470" ht="16.5" customHeight="1">
      <c r="A3470" s="15" t="str">
        <f>Solieusap!A3470</f>
        <v/>
      </c>
      <c r="B3470" s="15" t="str">
        <f>Solieusap!B3470</f>
        <v/>
      </c>
      <c r="C3470" s="15" t="str">
        <f>Solieusap!C3470</f>
        <v/>
      </c>
      <c r="D3470" s="15" t="str">
        <f>Solieusap!D3470</f>
        <v/>
      </c>
      <c r="E3470" s="16">
        <f>ABS(Solieusap!E3470)</f>
        <v>0</v>
      </c>
      <c r="F3470" s="16">
        <f>ABS(Solieusap!F3470)</f>
        <v>0</v>
      </c>
      <c r="G3470" s="16">
        <f>ABS(Solieusap!G3470)</f>
        <v>0</v>
      </c>
      <c r="H3470" s="16">
        <f>ABS(Solieusap!H3470)</f>
        <v>0</v>
      </c>
      <c r="I3470" s="16">
        <f>ABS(Solieusap!I3470)</f>
        <v>0</v>
      </c>
      <c r="J3470" s="16">
        <f>ABS(Solieusap!J3470)</f>
        <v>0</v>
      </c>
      <c r="K3470" s="16">
        <f t="shared" si="1"/>
        <v>0</v>
      </c>
      <c r="L3470" s="16">
        <f t="shared" si="2"/>
        <v>0</v>
      </c>
    </row>
    <row r="3471" ht="16.5" customHeight="1">
      <c r="A3471" s="15" t="str">
        <f>Solieusap!A3471</f>
        <v/>
      </c>
      <c r="B3471" s="15" t="str">
        <f>Solieusap!B3471</f>
        <v/>
      </c>
      <c r="C3471" s="15" t="str">
        <f>Solieusap!C3471</f>
        <v/>
      </c>
      <c r="D3471" s="15" t="str">
        <f>Solieusap!D3471</f>
        <v/>
      </c>
      <c r="E3471" s="16">
        <f>ABS(Solieusap!E3471)</f>
        <v>0</v>
      </c>
      <c r="F3471" s="16">
        <f>ABS(Solieusap!F3471)</f>
        <v>0</v>
      </c>
      <c r="G3471" s="16">
        <f>ABS(Solieusap!G3471)</f>
        <v>0</v>
      </c>
      <c r="H3471" s="16">
        <f>ABS(Solieusap!H3471)</f>
        <v>0</v>
      </c>
      <c r="I3471" s="16">
        <f>ABS(Solieusap!I3471)</f>
        <v>0</v>
      </c>
      <c r="J3471" s="16">
        <f>ABS(Solieusap!J3471)</f>
        <v>0</v>
      </c>
      <c r="K3471" s="16">
        <f t="shared" si="1"/>
        <v>0</v>
      </c>
      <c r="L3471" s="16">
        <f t="shared" si="2"/>
        <v>0</v>
      </c>
    </row>
    <row r="3472" ht="16.5" customHeight="1">
      <c r="A3472" s="15" t="str">
        <f>Solieusap!A3472</f>
        <v/>
      </c>
      <c r="B3472" s="15" t="str">
        <f>Solieusap!B3472</f>
        <v/>
      </c>
      <c r="C3472" s="15" t="str">
        <f>Solieusap!C3472</f>
        <v/>
      </c>
      <c r="D3472" s="15" t="str">
        <f>Solieusap!D3472</f>
        <v/>
      </c>
      <c r="E3472" s="16">
        <f>ABS(Solieusap!E3472)</f>
        <v>0</v>
      </c>
      <c r="F3472" s="16">
        <f>ABS(Solieusap!F3472)</f>
        <v>0</v>
      </c>
      <c r="G3472" s="16">
        <f>ABS(Solieusap!G3472)</f>
        <v>0</v>
      </c>
      <c r="H3472" s="16">
        <f>ABS(Solieusap!H3472)</f>
        <v>0</v>
      </c>
      <c r="I3472" s="16">
        <f>ABS(Solieusap!I3472)</f>
        <v>0</v>
      </c>
      <c r="J3472" s="16">
        <f>ABS(Solieusap!J3472)</f>
        <v>0</v>
      </c>
      <c r="K3472" s="16">
        <f t="shared" si="1"/>
        <v>0</v>
      </c>
      <c r="L3472" s="16">
        <f t="shared" si="2"/>
        <v>0</v>
      </c>
    </row>
    <row r="3473" ht="16.5" customHeight="1">
      <c r="A3473" s="15" t="str">
        <f>Solieusap!A3473</f>
        <v/>
      </c>
      <c r="B3473" s="15" t="str">
        <f>Solieusap!B3473</f>
        <v/>
      </c>
      <c r="C3473" s="15" t="str">
        <f>Solieusap!C3473</f>
        <v/>
      </c>
      <c r="D3473" s="15" t="str">
        <f>Solieusap!D3473</f>
        <v/>
      </c>
      <c r="E3473" s="16">
        <f>ABS(Solieusap!E3473)</f>
        <v>0</v>
      </c>
      <c r="F3473" s="16">
        <f>ABS(Solieusap!F3473)</f>
        <v>0</v>
      </c>
      <c r="G3473" s="16">
        <f>ABS(Solieusap!G3473)</f>
        <v>0</v>
      </c>
      <c r="H3473" s="16">
        <f>ABS(Solieusap!H3473)</f>
        <v>0</v>
      </c>
      <c r="I3473" s="16">
        <f>ABS(Solieusap!I3473)</f>
        <v>0</v>
      </c>
      <c r="J3473" s="16">
        <f>ABS(Solieusap!J3473)</f>
        <v>0</v>
      </c>
      <c r="K3473" s="16">
        <f t="shared" si="1"/>
        <v>0</v>
      </c>
      <c r="L3473" s="16">
        <f t="shared" si="2"/>
        <v>0</v>
      </c>
    </row>
    <row r="3474" ht="16.5" customHeight="1">
      <c r="A3474" s="15" t="str">
        <f>Solieusap!A3474</f>
        <v/>
      </c>
      <c r="B3474" s="15" t="str">
        <f>Solieusap!B3474</f>
        <v/>
      </c>
      <c r="C3474" s="15" t="str">
        <f>Solieusap!C3474</f>
        <v/>
      </c>
      <c r="D3474" s="15" t="str">
        <f>Solieusap!D3474</f>
        <v/>
      </c>
      <c r="E3474" s="16">
        <f>ABS(Solieusap!E3474)</f>
        <v>0</v>
      </c>
      <c r="F3474" s="16">
        <f>ABS(Solieusap!F3474)</f>
        <v>0</v>
      </c>
      <c r="G3474" s="16">
        <f>ABS(Solieusap!G3474)</f>
        <v>0</v>
      </c>
      <c r="H3474" s="16">
        <f>ABS(Solieusap!H3474)</f>
        <v>0</v>
      </c>
      <c r="I3474" s="16">
        <f>ABS(Solieusap!I3474)</f>
        <v>0</v>
      </c>
      <c r="J3474" s="16">
        <f>ABS(Solieusap!J3474)</f>
        <v>0</v>
      </c>
      <c r="K3474" s="16">
        <f t="shared" si="1"/>
        <v>0</v>
      </c>
      <c r="L3474" s="16">
        <f t="shared" si="2"/>
        <v>0</v>
      </c>
    </row>
    <row r="3475" ht="16.5" customHeight="1">
      <c r="A3475" s="15" t="str">
        <f>Solieusap!A3475</f>
        <v/>
      </c>
      <c r="B3475" s="15" t="str">
        <f>Solieusap!B3475</f>
        <v/>
      </c>
      <c r="C3475" s="15" t="str">
        <f>Solieusap!C3475</f>
        <v/>
      </c>
      <c r="D3475" s="15" t="str">
        <f>Solieusap!D3475</f>
        <v/>
      </c>
      <c r="E3475" s="16">
        <f>ABS(Solieusap!E3475)</f>
        <v>0</v>
      </c>
      <c r="F3475" s="16">
        <f>ABS(Solieusap!F3475)</f>
        <v>0</v>
      </c>
      <c r="G3475" s="16">
        <f>ABS(Solieusap!G3475)</f>
        <v>0</v>
      </c>
      <c r="H3475" s="16">
        <f>ABS(Solieusap!H3475)</f>
        <v>0</v>
      </c>
      <c r="I3475" s="16">
        <f>ABS(Solieusap!I3475)</f>
        <v>0</v>
      </c>
      <c r="J3475" s="16">
        <f>ABS(Solieusap!J3475)</f>
        <v>0</v>
      </c>
      <c r="K3475" s="16">
        <f t="shared" si="1"/>
        <v>0</v>
      </c>
      <c r="L3475" s="16">
        <f t="shared" si="2"/>
        <v>0</v>
      </c>
    </row>
    <row r="3476" ht="16.5" customHeight="1">
      <c r="A3476" s="15" t="str">
        <f>Solieusap!A3476</f>
        <v/>
      </c>
      <c r="B3476" s="15" t="str">
        <f>Solieusap!B3476</f>
        <v/>
      </c>
      <c r="C3476" s="15" t="str">
        <f>Solieusap!C3476</f>
        <v/>
      </c>
      <c r="D3476" s="15" t="str">
        <f>Solieusap!D3476</f>
        <v/>
      </c>
      <c r="E3476" s="16">
        <f>ABS(Solieusap!E3476)</f>
        <v>0</v>
      </c>
      <c r="F3476" s="16">
        <f>ABS(Solieusap!F3476)</f>
        <v>0</v>
      </c>
      <c r="G3476" s="16">
        <f>ABS(Solieusap!G3476)</f>
        <v>0</v>
      </c>
      <c r="H3476" s="16">
        <f>ABS(Solieusap!H3476)</f>
        <v>0</v>
      </c>
      <c r="I3476" s="16">
        <f>ABS(Solieusap!I3476)</f>
        <v>0</v>
      </c>
      <c r="J3476" s="16">
        <f>ABS(Solieusap!J3476)</f>
        <v>0</v>
      </c>
      <c r="K3476" s="16">
        <f t="shared" si="1"/>
        <v>0</v>
      </c>
      <c r="L3476" s="16">
        <f t="shared" si="2"/>
        <v>0</v>
      </c>
    </row>
    <row r="3477" ht="16.5" customHeight="1">
      <c r="A3477" s="15" t="str">
        <f>Solieusap!A3477</f>
        <v/>
      </c>
      <c r="B3477" s="15" t="str">
        <f>Solieusap!B3477</f>
        <v/>
      </c>
      <c r="C3477" s="15" t="str">
        <f>Solieusap!C3477</f>
        <v/>
      </c>
      <c r="D3477" s="15" t="str">
        <f>Solieusap!D3477</f>
        <v/>
      </c>
      <c r="E3477" s="16">
        <f>ABS(Solieusap!E3477)</f>
        <v>0</v>
      </c>
      <c r="F3477" s="16">
        <f>ABS(Solieusap!F3477)</f>
        <v>0</v>
      </c>
      <c r="G3477" s="16">
        <f>ABS(Solieusap!G3477)</f>
        <v>0</v>
      </c>
      <c r="H3477" s="16">
        <f>ABS(Solieusap!H3477)</f>
        <v>0</v>
      </c>
      <c r="I3477" s="16">
        <f>ABS(Solieusap!I3477)</f>
        <v>0</v>
      </c>
      <c r="J3477" s="16">
        <f>ABS(Solieusap!J3477)</f>
        <v>0</v>
      </c>
      <c r="K3477" s="16">
        <f t="shared" si="1"/>
        <v>0</v>
      </c>
      <c r="L3477" s="16">
        <f t="shared" si="2"/>
        <v>0</v>
      </c>
    </row>
    <row r="3478" ht="16.5" customHeight="1">
      <c r="A3478" s="15" t="str">
        <f>Solieusap!A3478</f>
        <v/>
      </c>
      <c r="B3478" s="15" t="str">
        <f>Solieusap!B3478</f>
        <v/>
      </c>
      <c r="C3478" s="15" t="str">
        <f>Solieusap!C3478</f>
        <v/>
      </c>
      <c r="D3478" s="15" t="str">
        <f>Solieusap!D3478</f>
        <v/>
      </c>
      <c r="E3478" s="16">
        <f>ABS(Solieusap!E3478)</f>
        <v>0</v>
      </c>
      <c r="F3478" s="16">
        <f>ABS(Solieusap!F3478)</f>
        <v>0</v>
      </c>
      <c r="G3478" s="16">
        <f>ABS(Solieusap!G3478)</f>
        <v>0</v>
      </c>
      <c r="H3478" s="16">
        <f>ABS(Solieusap!H3478)</f>
        <v>0</v>
      </c>
      <c r="I3478" s="16">
        <f>ABS(Solieusap!I3478)</f>
        <v>0</v>
      </c>
      <c r="J3478" s="16">
        <f>ABS(Solieusap!J3478)</f>
        <v>0</v>
      </c>
      <c r="K3478" s="16">
        <f t="shared" si="1"/>
        <v>0</v>
      </c>
      <c r="L3478" s="16">
        <f t="shared" si="2"/>
        <v>0</v>
      </c>
    </row>
    <row r="3479" ht="16.5" customHeight="1">
      <c r="A3479" s="15" t="str">
        <f>Solieusap!A3479</f>
        <v/>
      </c>
      <c r="B3479" s="15" t="str">
        <f>Solieusap!B3479</f>
        <v/>
      </c>
      <c r="C3479" s="15" t="str">
        <f>Solieusap!C3479</f>
        <v/>
      </c>
      <c r="D3479" s="15" t="str">
        <f>Solieusap!D3479</f>
        <v/>
      </c>
      <c r="E3479" s="16">
        <f>ABS(Solieusap!E3479)</f>
        <v>0</v>
      </c>
      <c r="F3479" s="16">
        <f>ABS(Solieusap!F3479)</f>
        <v>0</v>
      </c>
      <c r="G3479" s="16">
        <f>ABS(Solieusap!G3479)</f>
        <v>0</v>
      </c>
      <c r="H3479" s="16">
        <f>ABS(Solieusap!H3479)</f>
        <v>0</v>
      </c>
      <c r="I3479" s="16">
        <f>ABS(Solieusap!I3479)</f>
        <v>0</v>
      </c>
      <c r="J3479" s="16">
        <f>ABS(Solieusap!J3479)</f>
        <v>0</v>
      </c>
      <c r="K3479" s="16">
        <f t="shared" si="1"/>
        <v>0</v>
      </c>
      <c r="L3479" s="16">
        <f t="shared" si="2"/>
        <v>0</v>
      </c>
    </row>
    <row r="3480" ht="16.5" customHeight="1">
      <c r="A3480" s="15" t="str">
        <f>Solieusap!A3480</f>
        <v/>
      </c>
      <c r="B3480" s="15" t="str">
        <f>Solieusap!B3480</f>
        <v/>
      </c>
      <c r="C3480" s="15" t="str">
        <f>Solieusap!C3480</f>
        <v/>
      </c>
      <c r="D3480" s="15" t="str">
        <f>Solieusap!D3480</f>
        <v/>
      </c>
      <c r="E3480" s="16">
        <f>ABS(Solieusap!E3480)</f>
        <v>0</v>
      </c>
      <c r="F3480" s="16">
        <f>ABS(Solieusap!F3480)</f>
        <v>0</v>
      </c>
      <c r="G3480" s="16">
        <f>ABS(Solieusap!G3480)</f>
        <v>0</v>
      </c>
      <c r="H3480" s="16">
        <f>ABS(Solieusap!H3480)</f>
        <v>0</v>
      </c>
      <c r="I3480" s="16">
        <f>ABS(Solieusap!I3480)</f>
        <v>0</v>
      </c>
      <c r="J3480" s="16">
        <f>ABS(Solieusap!J3480)</f>
        <v>0</v>
      </c>
      <c r="K3480" s="16">
        <f t="shared" si="1"/>
        <v>0</v>
      </c>
      <c r="L3480" s="16">
        <f t="shared" si="2"/>
        <v>0</v>
      </c>
    </row>
    <row r="3481" ht="16.5" customHeight="1">
      <c r="A3481" s="15" t="str">
        <f>Solieusap!A3481</f>
        <v/>
      </c>
      <c r="B3481" s="15" t="str">
        <f>Solieusap!B3481</f>
        <v/>
      </c>
      <c r="C3481" s="15" t="str">
        <f>Solieusap!C3481</f>
        <v/>
      </c>
      <c r="D3481" s="15" t="str">
        <f>Solieusap!D3481</f>
        <v/>
      </c>
      <c r="E3481" s="16">
        <f>ABS(Solieusap!E3481)</f>
        <v>0</v>
      </c>
      <c r="F3481" s="16">
        <f>ABS(Solieusap!F3481)</f>
        <v>0</v>
      </c>
      <c r="G3481" s="16">
        <f>ABS(Solieusap!G3481)</f>
        <v>0</v>
      </c>
      <c r="H3481" s="16">
        <f>ABS(Solieusap!H3481)</f>
        <v>0</v>
      </c>
      <c r="I3481" s="16">
        <f>ABS(Solieusap!I3481)</f>
        <v>0</v>
      </c>
      <c r="J3481" s="16">
        <f>ABS(Solieusap!J3481)</f>
        <v>0</v>
      </c>
      <c r="K3481" s="16">
        <f t="shared" si="1"/>
        <v>0</v>
      </c>
      <c r="L3481" s="16">
        <f t="shared" si="2"/>
        <v>0</v>
      </c>
    </row>
    <row r="3482" ht="16.5" customHeight="1">
      <c r="A3482" s="15" t="str">
        <f>Solieusap!A3482</f>
        <v/>
      </c>
      <c r="B3482" s="15" t="str">
        <f>Solieusap!B3482</f>
        <v/>
      </c>
      <c r="C3482" s="15" t="str">
        <f>Solieusap!C3482</f>
        <v/>
      </c>
      <c r="D3482" s="15" t="str">
        <f>Solieusap!D3482</f>
        <v/>
      </c>
      <c r="E3482" s="16">
        <f>ABS(Solieusap!E3482)</f>
        <v>0</v>
      </c>
      <c r="F3482" s="16">
        <f>ABS(Solieusap!F3482)</f>
        <v>0</v>
      </c>
      <c r="G3482" s="16">
        <f>ABS(Solieusap!G3482)</f>
        <v>0</v>
      </c>
      <c r="H3482" s="16">
        <f>ABS(Solieusap!H3482)</f>
        <v>0</v>
      </c>
      <c r="I3482" s="16">
        <f>ABS(Solieusap!I3482)</f>
        <v>0</v>
      </c>
      <c r="J3482" s="16">
        <f>ABS(Solieusap!J3482)</f>
        <v>0</v>
      </c>
      <c r="K3482" s="16">
        <f t="shared" si="1"/>
        <v>0</v>
      </c>
      <c r="L3482" s="16">
        <f t="shared" si="2"/>
        <v>0</v>
      </c>
    </row>
    <row r="3483" ht="16.5" customHeight="1">
      <c r="A3483" s="15" t="str">
        <f>Solieusap!A3483</f>
        <v/>
      </c>
      <c r="B3483" s="15" t="str">
        <f>Solieusap!B3483</f>
        <v/>
      </c>
      <c r="C3483" s="15" t="str">
        <f>Solieusap!C3483</f>
        <v/>
      </c>
      <c r="D3483" s="15" t="str">
        <f>Solieusap!D3483</f>
        <v/>
      </c>
      <c r="E3483" s="16">
        <f>ABS(Solieusap!E3483)</f>
        <v>0</v>
      </c>
      <c r="F3483" s="16">
        <f>ABS(Solieusap!F3483)</f>
        <v>0</v>
      </c>
      <c r="G3483" s="16">
        <f>ABS(Solieusap!G3483)</f>
        <v>0</v>
      </c>
      <c r="H3483" s="16">
        <f>ABS(Solieusap!H3483)</f>
        <v>0</v>
      </c>
      <c r="I3483" s="16">
        <f>ABS(Solieusap!I3483)</f>
        <v>0</v>
      </c>
      <c r="J3483" s="16">
        <f>ABS(Solieusap!J3483)</f>
        <v>0</v>
      </c>
      <c r="K3483" s="16">
        <f t="shared" si="1"/>
        <v>0</v>
      </c>
      <c r="L3483" s="16">
        <f t="shared" si="2"/>
        <v>0</v>
      </c>
    </row>
    <row r="3484" ht="16.5" customHeight="1">
      <c r="A3484" s="15" t="str">
        <f>Solieusap!A3484</f>
        <v/>
      </c>
      <c r="B3484" s="15" t="str">
        <f>Solieusap!B3484</f>
        <v/>
      </c>
      <c r="C3484" s="15" t="str">
        <f>Solieusap!C3484</f>
        <v/>
      </c>
      <c r="D3484" s="15" t="str">
        <f>Solieusap!D3484</f>
        <v/>
      </c>
      <c r="E3484" s="16">
        <f>ABS(Solieusap!E3484)</f>
        <v>0</v>
      </c>
      <c r="F3484" s="16">
        <f>ABS(Solieusap!F3484)</f>
        <v>0</v>
      </c>
      <c r="G3484" s="16">
        <f>ABS(Solieusap!G3484)</f>
        <v>0</v>
      </c>
      <c r="H3484" s="16">
        <f>ABS(Solieusap!H3484)</f>
        <v>0</v>
      </c>
      <c r="I3484" s="16">
        <f>ABS(Solieusap!I3484)</f>
        <v>0</v>
      </c>
      <c r="J3484" s="16">
        <f>ABS(Solieusap!J3484)</f>
        <v>0</v>
      </c>
      <c r="K3484" s="16">
        <f t="shared" si="1"/>
        <v>0</v>
      </c>
      <c r="L3484" s="16">
        <f t="shared" si="2"/>
        <v>0</v>
      </c>
    </row>
    <row r="3485" ht="16.5" customHeight="1">
      <c r="A3485" s="15" t="str">
        <f>Solieusap!A3485</f>
        <v/>
      </c>
      <c r="B3485" s="15" t="str">
        <f>Solieusap!B3485</f>
        <v/>
      </c>
      <c r="C3485" s="15" t="str">
        <f>Solieusap!C3485</f>
        <v/>
      </c>
      <c r="D3485" s="15" t="str">
        <f>Solieusap!D3485</f>
        <v/>
      </c>
      <c r="E3485" s="16">
        <f>ABS(Solieusap!E3485)</f>
        <v>0</v>
      </c>
      <c r="F3485" s="16">
        <f>ABS(Solieusap!F3485)</f>
        <v>0</v>
      </c>
      <c r="G3485" s="16">
        <f>ABS(Solieusap!G3485)</f>
        <v>0</v>
      </c>
      <c r="H3485" s="16">
        <f>ABS(Solieusap!H3485)</f>
        <v>0</v>
      </c>
      <c r="I3485" s="16">
        <f>ABS(Solieusap!I3485)</f>
        <v>0</v>
      </c>
      <c r="J3485" s="16">
        <f>ABS(Solieusap!J3485)</f>
        <v>0</v>
      </c>
      <c r="K3485" s="16">
        <f t="shared" si="1"/>
        <v>0</v>
      </c>
      <c r="L3485" s="16">
        <f t="shared" si="2"/>
        <v>0</v>
      </c>
    </row>
    <row r="3486" ht="16.5" customHeight="1">
      <c r="A3486" s="15" t="str">
        <f>Solieusap!A3486</f>
        <v/>
      </c>
      <c r="B3486" s="15" t="str">
        <f>Solieusap!B3486</f>
        <v/>
      </c>
      <c r="C3486" s="15" t="str">
        <f>Solieusap!C3486</f>
        <v/>
      </c>
      <c r="D3486" s="15" t="str">
        <f>Solieusap!D3486</f>
        <v/>
      </c>
      <c r="E3486" s="16">
        <f>ABS(Solieusap!E3486)</f>
        <v>0</v>
      </c>
      <c r="F3486" s="16">
        <f>ABS(Solieusap!F3486)</f>
        <v>0</v>
      </c>
      <c r="G3486" s="16">
        <f>ABS(Solieusap!G3486)</f>
        <v>0</v>
      </c>
      <c r="H3486" s="16">
        <f>ABS(Solieusap!H3486)</f>
        <v>0</v>
      </c>
      <c r="I3486" s="16">
        <f>ABS(Solieusap!I3486)</f>
        <v>0</v>
      </c>
      <c r="J3486" s="16">
        <f>ABS(Solieusap!J3486)</f>
        <v>0</v>
      </c>
      <c r="K3486" s="16">
        <f t="shared" si="1"/>
        <v>0</v>
      </c>
      <c r="L3486" s="16">
        <f t="shared" si="2"/>
        <v>0</v>
      </c>
    </row>
    <row r="3487" ht="16.5" customHeight="1">
      <c r="A3487" s="15" t="str">
        <f>Solieusap!A3487</f>
        <v/>
      </c>
      <c r="B3487" s="15" t="str">
        <f>Solieusap!B3487</f>
        <v/>
      </c>
      <c r="C3487" s="15" t="str">
        <f>Solieusap!C3487</f>
        <v/>
      </c>
      <c r="D3487" s="15" t="str">
        <f>Solieusap!D3487</f>
        <v/>
      </c>
      <c r="E3487" s="16">
        <f>ABS(Solieusap!E3487)</f>
        <v>0</v>
      </c>
      <c r="F3487" s="16">
        <f>ABS(Solieusap!F3487)</f>
        <v>0</v>
      </c>
      <c r="G3487" s="16">
        <f>ABS(Solieusap!G3487)</f>
        <v>0</v>
      </c>
      <c r="H3487" s="16">
        <f>ABS(Solieusap!H3487)</f>
        <v>0</v>
      </c>
      <c r="I3487" s="16">
        <f>ABS(Solieusap!I3487)</f>
        <v>0</v>
      </c>
      <c r="J3487" s="16">
        <f>ABS(Solieusap!J3487)</f>
        <v>0</v>
      </c>
      <c r="K3487" s="16">
        <f t="shared" si="1"/>
        <v>0</v>
      </c>
      <c r="L3487" s="16">
        <f t="shared" si="2"/>
        <v>0</v>
      </c>
    </row>
    <row r="3488" ht="16.5" customHeight="1">
      <c r="A3488" s="15" t="str">
        <f>Solieusap!A3488</f>
        <v/>
      </c>
      <c r="B3488" s="15" t="str">
        <f>Solieusap!B3488</f>
        <v/>
      </c>
      <c r="C3488" s="15" t="str">
        <f>Solieusap!C3488</f>
        <v/>
      </c>
      <c r="D3488" s="15" t="str">
        <f>Solieusap!D3488</f>
        <v/>
      </c>
      <c r="E3488" s="16">
        <f>ABS(Solieusap!E3488)</f>
        <v>0</v>
      </c>
      <c r="F3488" s="16">
        <f>ABS(Solieusap!F3488)</f>
        <v>0</v>
      </c>
      <c r="G3488" s="16">
        <f>ABS(Solieusap!G3488)</f>
        <v>0</v>
      </c>
      <c r="H3488" s="16">
        <f>ABS(Solieusap!H3488)</f>
        <v>0</v>
      </c>
      <c r="I3488" s="16">
        <f>ABS(Solieusap!I3488)</f>
        <v>0</v>
      </c>
      <c r="J3488" s="16">
        <f>ABS(Solieusap!J3488)</f>
        <v>0</v>
      </c>
      <c r="K3488" s="16">
        <f t="shared" si="1"/>
        <v>0</v>
      </c>
      <c r="L3488" s="16">
        <f t="shared" si="2"/>
        <v>0</v>
      </c>
    </row>
    <row r="3489" ht="16.5" customHeight="1">
      <c r="A3489" s="15" t="str">
        <f>Solieusap!A3489</f>
        <v/>
      </c>
      <c r="B3489" s="15" t="str">
        <f>Solieusap!B3489</f>
        <v/>
      </c>
      <c r="C3489" s="15" t="str">
        <f>Solieusap!C3489</f>
        <v/>
      </c>
      <c r="D3489" s="15" t="str">
        <f>Solieusap!D3489</f>
        <v/>
      </c>
      <c r="E3489" s="16">
        <f>ABS(Solieusap!E3489)</f>
        <v>0</v>
      </c>
      <c r="F3489" s="16">
        <f>ABS(Solieusap!F3489)</f>
        <v>0</v>
      </c>
      <c r="G3489" s="16">
        <f>ABS(Solieusap!G3489)</f>
        <v>0</v>
      </c>
      <c r="H3489" s="16">
        <f>ABS(Solieusap!H3489)</f>
        <v>0</v>
      </c>
      <c r="I3489" s="16">
        <f>ABS(Solieusap!I3489)</f>
        <v>0</v>
      </c>
      <c r="J3489" s="16">
        <f>ABS(Solieusap!J3489)</f>
        <v>0</v>
      </c>
      <c r="K3489" s="16">
        <f t="shared" si="1"/>
        <v>0</v>
      </c>
      <c r="L3489" s="16">
        <f t="shared" si="2"/>
        <v>0</v>
      </c>
    </row>
    <row r="3490" ht="16.5" customHeight="1">
      <c r="A3490" s="15" t="str">
        <f>Solieusap!A3490</f>
        <v/>
      </c>
      <c r="B3490" s="15" t="str">
        <f>Solieusap!B3490</f>
        <v/>
      </c>
      <c r="C3490" s="15" t="str">
        <f>Solieusap!C3490</f>
        <v/>
      </c>
      <c r="D3490" s="15" t="str">
        <f>Solieusap!D3490</f>
        <v/>
      </c>
      <c r="E3490" s="16">
        <f>ABS(Solieusap!E3490)</f>
        <v>0</v>
      </c>
      <c r="F3490" s="16">
        <f>ABS(Solieusap!F3490)</f>
        <v>0</v>
      </c>
      <c r="G3490" s="16">
        <f>ABS(Solieusap!G3490)</f>
        <v>0</v>
      </c>
      <c r="H3490" s="16">
        <f>ABS(Solieusap!H3490)</f>
        <v>0</v>
      </c>
      <c r="I3490" s="16">
        <f>ABS(Solieusap!I3490)</f>
        <v>0</v>
      </c>
      <c r="J3490" s="16">
        <f>ABS(Solieusap!J3490)</f>
        <v>0</v>
      </c>
      <c r="K3490" s="16">
        <f t="shared" si="1"/>
        <v>0</v>
      </c>
      <c r="L3490" s="16">
        <f t="shared" si="2"/>
        <v>0</v>
      </c>
    </row>
    <row r="3491" ht="16.5" customHeight="1">
      <c r="A3491" s="15" t="str">
        <f>Solieusap!A3491</f>
        <v/>
      </c>
      <c r="B3491" s="15" t="str">
        <f>Solieusap!B3491</f>
        <v/>
      </c>
      <c r="C3491" s="15" t="str">
        <f>Solieusap!C3491</f>
        <v/>
      </c>
      <c r="D3491" s="15" t="str">
        <f>Solieusap!D3491</f>
        <v/>
      </c>
      <c r="E3491" s="16">
        <f>ABS(Solieusap!E3491)</f>
        <v>0</v>
      </c>
      <c r="F3491" s="16">
        <f>ABS(Solieusap!F3491)</f>
        <v>0</v>
      </c>
      <c r="G3491" s="16">
        <f>ABS(Solieusap!G3491)</f>
        <v>0</v>
      </c>
      <c r="H3491" s="16">
        <f>ABS(Solieusap!H3491)</f>
        <v>0</v>
      </c>
      <c r="I3491" s="16">
        <f>ABS(Solieusap!I3491)</f>
        <v>0</v>
      </c>
      <c r="J3491" s="16">
        <f>ABS(Solieusap!J3491)</f>
        <v>0</v>
      </c>
      <c r="K3491" s="16">
        <f t="shared" si="1"/>
        <v>0</v>
      </c>
      <c r="L3491" s="16">
        <f t="shared" si="2"/>
        <v>0</v>
      </c>
    </row>
    <row r="3492" ht="16.5" customHeight="1">
      <c r="A3492" s="15" t="str">
        <f>Solieusap!A3492</f>
        <v/>
      </c>
      <c r="B3492" s="15" t="str">
        <f>Solieusap!B3492</f>
        <v/>
      </c>
      <c r="C3492" s="15" t="str">
        <f>Solieusap!C3492</f>
        <v/>
      </c>
      <c r="D3492" s="15" t="str">
        <f>Solieusap!D3492</f>
        <v/>
      </c>
      <c r="E3492" s="16">
        <f>ABS(Solieusap!E3492)</f>
        <v>0</v>
      </c>
      <c r="F3492" s="16">
        <f>ABS(Solieusap!F3492)</f>
        <v>0</v>
      </c>
      <c r="G3492" s="16">
        <f>ABS(Solieusap!G3492)</f>
        <v>0</v>
      </c>
      <c r="H3492" s="16">
        <f>ABS(Solieusap!H3492)</f>
        <v>0</v>
      </c>
      <c r="I3492" s="16">
        <f>ABS(Solieusap!I3492)</f>
        <v>0</v>
      </c>
      <c r="J3492" s="16">
        <f>ABS(Solieusap!J3492)</f>
        <v>0</v>
      </c>
      <c r="K3492" s="16">
        <f t="shared" si="1"/>
        <v>0</v>
      </c>
      <c r="L3492" s="16">
        <f t="shared" si="2"/>
        <v>0</v>
      </c>
    </row>
    <row r="3493" ht="16.5" customHeight="1">
      <c r="A3493" s="15" t="str">
        <f>Solieusap!A3493</f>
        <v/>
      </c>
      <c r="B3493" s="15" t="str">
        <f>Solieusap!B3493</f>
        <v/>
      </c>
      <c r="C3493" s="15" t="str">
        <f>Solieusap!C3493</f>
        <v/>
      </c>
      <c r="D3493" s="15" t="str">
        <f>Solieusap!D3493</f>
        <v/>
      </c>
      <c r="E3493" s="16">
        <f>ABS(Solieusap!E3493)</f>
        <v>0</v>
      </c>
      <c r="F3493" s="16">
        <f>ABS(Solieusap!F3493)</f>
        <v>0</v>
      </c>
      <c r="G3493" s="16">
        <f>ABS(Solieusap!G3493)</f>
        <v>0</v>
      </c>
      <c r="H3493" s="16">
        <f>ABS(Solieusap!H3493)</f>
        <v>0</v>
      </c>
      <c r="I3493" s="16">
        <f>ABS(Solieusap!I3493)</f>
        <v>0</v>
      </c>
      <c r="J3493" s="16">
        <f>ABS(Solieusap!J3493)</f>
        <v>0</v>
      </c>
      <c r="K3493" s="16">
        <f t="shared" si="1"/>
        <v>0</v>
      </c>
      <c r="L3493" s="16">
        <f t="shared" si="2"/>
        <v>0</v>
      </c>
    </row>
    <row r="3494" ht="16.5" customHeight="1">
      <c r="A3494" s="15" t="str">
        <f>Solieusap!A3494</f>
        <v/>
      </c>
      <c r="B3494" s="15" t="str">
        <f>Solieusap!B3494</f>
        <v/>
      </c>
      <c r="C3494" s="15" t="str">
        <f>Solieusap!C3494</f>
        <v/>
      </c>
      <c r="D3494" s="15" t="str">
        <f>Solieusap!D3494</f>
        <v/>
      </c>
      <c r="E3494" s="16">
        <f>ABS(Solieusap!E3494)</f>
        <v>0</v>
      </c>
      <c r="F3494" s="16">
        <f>ABS(Solieusap!F3494)</f>
        <v>0</v>
      </c>
      <c r="G3494" s="16">
        <f>ABS(Solieusap!G3494)</f>
        <v>0</v>
      </c>
      <c r="H3494" s="16">
        <f>ABS(Solieusap!H3494)</f>
        <v>0</v>
      </c>
      <c r="I3494" s="16">
        <f>ABS(Solieusap!I3494)</f>
        <v>0</v>
      </c>
      <c r="J3494" s="16">
        <f>ABS(Solieusap!J3494)</f>
        <v>0</v>
      </c>
      <c r="K3494" s="16">
        <f t="shared" si="1"/>
        <v>0</v>
      </c>
      <c r="L3494" s="16">
        <f t="shared" si="2"/>
        <v>0</v>
      </c>
    </row>
    <row r="3495" ht="16.5" customHeight="1">
      <c r="A3495" s="15" t="str">
        <f>Solieusap!A3495</f>
        <v/>
      </c>
      <c r="B3495" s="15" t="str">
        <f>Solieusap!B3495</f>
        <v/>
      </c>
      <c r="C3495" s="15" t="str">
        <f>Solieusap!C3495</f>
        <v/>
      </c>
      <c r="D3495" s="15" t="str">
        <f>Solieusap!D3495</f>
        <v/>
      </c>
      <c r="E3495" s="16">
        <f>ABS(Solieusap!E3495)</f>
        <v>0</v>
      </c>
      <c r="F3495" s="16">
        <f>ABS(Solieusap!F3495)</f>
        <v>0</v>
      </c>
      <c r="G3495" s="16">
        <f>ABS(Solieusap!G3495)</f>
        <v>0</v>
      </c>
      <c r="H3495" s="16">
        <f>ABS(Solieusap!H3495)</f>
        <v>0</v>
      </c>
      <c r="I3495" s="16">
        <f>ABS(Solieusap!I3495)</f>
        <v>0</v>
      </c>
      <c r="J3495" s="16">
        <f>ABS(Solieusap!J3495)</f>
        <v>0</v>
      </c>
      <c r="K3495" s="16">
        <f t="shared" si="1"/>
        <v>0</v>
      </c>
      <c r="L3495" s="16">
        <f t="shared" si="2"/>
        <v>0</v>
      </c>
    </row>
    <row r="3496" ht="16.5" customHeight="1">
      <c r="A3496" s="15" t="str">
        <f>Solieusap!A3496</f>
        <v/>
      </c>
      <c r="B3496" s="15" t="str">
        <f>Solieusap!B3496</f>
        <v/>
      </c>
      <c r="C3496" s="15" t="str">
        <f>Solieusap!C3496</f>
        <v/>
      </c>
      <c r="D3496" s="15" t="str">
        <f>Solieusap!D3496</f>
        <v/>
      </c>
      <c r="E3496" s="16">
        <f>ABS(Solieusap!E3496)</f>
        <v>0</v>
      </c>
      <c r="F3496" s="16">
        <f>ABS(Solieusap!F3496)</f>
        <v>0</v>
      </c>
      <c r="G3496" s="16">
        <f>ABS(Solieusap!G3496)</f>
        <v>0</v>
      </c>
      <c r="H3496" s="16">
        <f>ABS(Solieusap!H3496)</f>
        <v>0</v>
      </c>
      <c r="I3496" s="16">
        <f>ABS(Solieusap!I3496)</f>
        <v>0</v>
      </c>
      <c r="J3496" s="16">
        <f>ABS(Solieusap!J3496)</f>
        <v>0</v>
      </c>
      <c r="K3496" s="16">
        <f t="shared" si="1"/>
        <v>0</v>
      </c>
      <c r="L3496" s="16">
        <f t="shared" si="2"/>
        <v>0</v>
      </c>
    </row>
    <row r="3497" ht="16.5" customHeight="1">
      <c r="A3497" s="15" t="str">
        <f>Solieusap!A3497</f>
        <v/>
      </c>
      <c r="B3497" s="15" t="str">
        <f>Solieusap!B3497</f>
        <v/>
      </c>
      <c r="C3497" s="15" t="str">
        <f>Solieusap!C3497</f>
        <v/>
      </c>
      <c r="D3497" s="15" t="str">
        <f>Solieusap!D3497</f>
        <v/>
      </c>
      <c r="E3497" s="16">
        <f>ABS(Solieusap!E3497)</f>
        <v>0</v>
      </c>
      <c r="F3497" s="16">
        <f>ABS(Solieusap!F3497)</f>
        <v>0</v>
      </c>
      <c r="G3497" s="16">
        <f>ABS(Solieusap!G3497)</f>
        <v>0</v>
      </c>
      <c r="H3497" s="16">
        <f>ABS(Solieusap!H3497)</f>
        <v>0</v>
      </c>
      <c r="I3497" s="16">
        <f>ABS(Solieusap!I3497)</f>
        <v>0</v>
      </c>
      <c r="J3497" s="16">
        <f>ABS(Solieusap!J3497)</f>
        <v>0</v>
      </c>
      <c r="K3497" s="16">
        <f t="shared" si="1"/>
        <v>0</v>
      </c>
      <c r="L3497" s="16">
        <f t="shared" si="2"/>
        <v>0</v>
      </c>
    </row>
    <row r="3498" ht="16.5" customHeight="1">
      <c r="A3498" s="15" t="str">
        <f>Solieusap!A3498</f>
        <v/>
      </c>
      <c r="B3498" s="15" t="str">
        <f>Solieusap!B3498</f>
        <v/>
      </c>
      <c r="C3498" s="15" t="str">
        <f>Solieusap!C3498</f>
        <v/>
      </c>
      <c r="D3498" s="15" t="str">
        <f>Solieusap!D3498</f>
        <v/>
      </c>
      <c r="E3498" s="16">
        <f>ABS(Solieusap!E3498)</f>
        <v>0</v>
      </c>
      <c r="F3498" s="16">
        <f>ABS(Solieusap!F3498)</f>
        <v>0</v>
      </c>
      <c r="G3498" s="16">
        <f>ABS(Solieusap!G3498)</f>
        <v>0</v>
      </c>
      <c r="H3498" s="16">
        <f>ABS(Solieusap!H3498)</f>
        <v>0</v>
      </c>
      <c r="I3498" s="16">
        <f>ABS(Solieusap!I3498)</f>
        <v>0</v>
      </c>
      <c r="J3498" s="16">
        <f>ABS(Solieusap!J3498)</f>
        <v>0</v>
      </c>
      <c r="K3498" s="16">
        <f t="shared" si="1"/>
        <v>0</v>
      </c>
      <c r="L3498" s="16">
        <f t="shared" si="2"/>
        <v>0</v>
      </c>
    </row>
    <row r="3499" ht="16.5" customHeight="1">
      <c r="A3499" s="15" t="str">
        <f>Solieusap!A3499</f>
        <v/>
      </c>
      <c r="B3499" s="15" t="str">
        <f>Solieusap!B3499</f>
        <v/>
      </c>
      <c r="C3499" s="15" t="str">
        <f>Solieusap!C3499</f>
        <v/>
      </c>
      <c r="D3499" s="15" t="str">
        <f>Solieusap!D3499</f>
        <v/>
      </c>
      <c r="E3499" s="16">
        <f>ABS(Solieusap!E3499)</f>
        <v>0</v>
      </c>
      <c r="F3499" s="16">
        <f>ABS(Solieusap!F3499)</f>
        <v>0</v>
      </c>
      <c r="G3499" s="16">
        <f>ABS(Solieusap!G3499)</f>
        <v>0</v>
      </c>
      <c r="H3499" s="16">
        <f>ABS(Solieusap!H3499)</f>
        <v>0</v>
      </c>
      <c r="I3499" s="16">
        <f>ABS(Solieusap!I3499)</f>
        <v>0</v>
      </c>
      <c r="J3499" s="16">
        <f>ABS(Solieusap!J3499)</f>
        <v>0</v>
      </c>
      <c r="K3499" s="16">
        <f t="shared" si="1"/>
        <v>0</v>
      </c>
      <c r="L3499" s="16">
        <f t="shared" si="2"/>
        <v>0</v>
      </c>
    </row>
    <row r="3500" ht="16.5" customHeight="1">
      <c r="A3500" s="15" t="str">
        <f>Solieusap!A3500</f>
        <v/>
      </c>
      <c r="B3500" s="15" t="str">
        <f>Solieusap!B3500</f>
        <v/>
      </c>
      <c r="C3500" s="15" t="str">
        <f>Solieusap!C3500</f>
        <v/>
      </c>
      <c r="D3500" s="15" t="str">
        <f>Solieusap!D3500</f>
        <v/>
      </c>
      <c r="E3500" s="16">
        <f>ABS(Solieusap!E3500)</f>
        <v>0</v>
      </c>
      <c r="F3500" s="16">
        <f>ABS(Solieusap!F3500)</f>
        <v>0</v>
      </c>
      <c r="G3500" s="16">
        <f>ABS(Solieusap!G3500)</f>
        <v>0</v>
      </c>
      <c r="H3500" s="16">
        <f>ABS(Solieusap!H3500)</f>
        <v>0</v>
      </c>
      <c r="I3500" s="16">
        <f>ABS(Solieusap!I3500)</f>
        <v>0</v>
      </c>
      <c r="J3500" s="16">
        <f>ABS(Solieusap!J3500)</f>
        <v>0</v>
      </c>
      <c r="K3500" s="16">
        <f t="shared" si="1"/>
        <v>0</v>
      </c>
      <c r="L3500" s="16">
        <f t="shared" si="2"/>
        <v>0</v>
      </c>
    </row>
    <row r="3501" ht="16.5" customHeight="1">
      <c r="A3501" s="15" t="str">
        <f>Solieusap!A3501</f>
        <v/>
      </c>
      <c r="B3501" s="15" t="str">
        <f>Solieusap!B3501</f>
        <v/>
      </c>
      <c r="C3501" s="15" t="str">
        <f>Solieusap!C3501</f>
        <v/>
      </c>
      <c r="D3501" s="15" t="str">
        <f>Solieusap!D3501</f>
        <v/>
      </c>
      <c r="E3501" s="16">
        <f>ABS(Solieusap!E3501)</f>
        <v>0</v>
      </c>
      <c r="F3501" s="16">
        <f>ABS(Solieusap!F3501)</f>
        <v>0</v>
      </c>
      <c r="G3501" s="16">
        <f>ABS(Solieusap!G3501)</f>
        <v>0</v>
      </c>
      <c r="H3501" s="16">
        <f>ABS(Solieusap!H3501)</f>
        <v>0</v>
      </c>
      <c r="I3501" s="16">
        <f>ABS(Solieusap!I3501)</f>
        <v>0</v>
      </c>
      <c r="J3501" s="16">
        <f>ABS(Solieusap!J3501)</f>
        <v>0</v>
      </c>
      <c r="K3501" s="16">
        <f t="shared" si="1"/>
        <v>0</v>
      </c>
      <c r="L3501" s="16">
        <f t="shared" si="2"/>
        <v>0</v>
      </c>
    </row>
    <row r="3502" ht="16.5" customHeight="1">
      <c r="A3502" s="15" t="str">
        <f>Solieusap!A3502</f>
        <v/>
      </c>
      <c r="B3502" s="15" t="str">
        <f>Solieusap!B3502</f>
        <v/>
      </c>
      <c r="C3502" s="15" t="str">
        <f>Solieusap!C3502</f>
        <v/>
      </c>
      <c r="D3502" s="15" t="str">
        <f>Solieusap!D3502</f>
        <v/>
      </c>
      <c r="E3502" s="16">
        <f>ABS(Solieusap!E3502)</f>
        <v>0</v>
      </c>
      <c r="F3502" s="16">
        <f>ABS(Solieusap!F3502)</f>
        <v>0</v>
      </c>
      <c r="G3502" s="16">
        <f>ABS(Solieusap!G3502)</f>
        <v>0</v>
      </c>
      <c r="H3502" s="16">
        <f>ABS(Solieusap!H3502)</f>
        <v>0</v>
      </c>
      <c r="I3502" s="16">
        <f>ABS(Solieusap!I3502)</f>
        <v>0</v>
      </c>
      <c r="J3502" s="16">
        <f>ABS(Solieusap!J3502)</f>
        <v>0</v>
      </c>
      <c r="K3502" s="16">
        <f t="shared" si="1"/>
        <v>0</v>
      </c>
      <c r="L3502" s="16">
        <f t="shared" si="2"/>
        <v>0</v>
      </c>
    </row>
    <row r="3503" ht="16.5" customHeight="1">
      <c r="A3503" s="15" t="str">
        <f>Solieusap!A3503</f>
        <v/>
      </c>
      <c r="B3503" s="15" t="str">
        <f>Solieusap!B3503</f>
        <v/>
      </c>
      <c r="C3503" s="15" t="str">
        <f>Solieusap!C3503</f>
        <v/>
      </c>
      <c r="D3503" s="15" t="str">
        <f>Solieusap!D3503</f>
        <v/>
      </c>
      <c r="E3503" s="16">
        <f>ABS(Solieusap!E3503)</f>
        <v>0</v>
      </c>
      <c r="F3503" s="16">
        <f>ABS(Solieusap!F3503)</f>
        <v>0</v>
      </c>
      <c r="G3503" s="16">
        <f>ABS(Solieusap!G3503)</f>
        <v>0</v>
      </c>
      <c r="H3503" s="16">
        <f>ABS(Solieusap!H3503)</f>
        <v>0</v>
      </c>
      <c r="I3503" s="16">
        <f>ABS(Solieusap!I3503)</f>
        <v>0</v>
      </c>
      <c r="J3503" s="16">
        <f>ABS(Solieusap!J3503)</f>
        <v>0</v>
      </c>
      <c r="K3503" s="16">
        <f t="shared" si="1"/>
        <v>0</v>
      </c>
      <c r="L3503" s="16">
        <f t="shared" si="2"/>
        <v>0</v>
      </c>
    </row>
    <row r="3504" ht="16.5" customHeight="1">
      <c r="A3504" s="15" t="str">
        <f>Solieusap!A3504</f>
        <v/>
      </c>
      <c r="B3504" s="15" t="str">
        <f>Solieusap!B3504</f>
        <v/>
      </c>
      <c r="C3504" s="15" t="str">
        <f>Solieusap!C3504</f>
        <v/>
      </c>
      <c r="D3504" s="15" t="str">
        <f>Solieusap!D3504</f>
        <v/>
      </c>
      <c r="E3504" s="16">
        <f>ABS(Solieusap!E3504)</f>
        <v>0</v>
      </c>
      <c r="F3504" s="16">
        <f>ABS(Solieusap!F3504)</f>
        <v>0</v>
      </c>
      <c r="G3504" s="16">
        <f>ABS(Solieusap!G3504)</f>
        <v>0</v>
      </c>
      <c r="H3504" s="16">
        <f>ABS(Solieusap!H3504)</f>
        <v>0</v>
      </c>
      <c r="I3504" s="16">
        <f>ABS(Solieusap!I3504)</f>
        <v>0</v>
      </c>
      <c r="J3504" s="16">
        <f>ABS(Solieusap!J3504)</f>
        <v>0</v>
      </c>
      <c r="K3504" s="16">
        <f t="shared" si="1"/>
        <v>0</v>
      </c>
      <c r="L3504" s="16">
        <f t="shared" si="2"/>
        <v>0</v>
      </c>
    </row>
    <row r="3505" ht="16.5" customHeight="1">
      <c r="A3505" s="15" t="str">
        <f>Solieusap!A3505</f>
        <v/>
      </c>
      <c r="B3505" s="15" t="str">
        <f>Solieusap!B3505</f>
        <v/>
      </c>
      <c r="C3505" s="15" t="str">
        <f>Solieusap!C3505</f>
        <v/>
      </c>
      <c r="D3505" s="15" t="str">
        <f>Solieusap!D3505</f>
        <v/>
      </c>
      <c r="E3505" s="16">
        <f>ABS(Solieusap!E3505)</f>
        <v>0</v>
      </c>
      <c r="F3505" s="16">
        <f>ABS(Solieusap!F3505)</f>
        <v>0</v>
      </c>
      <c r="G3505" s="16">
        <f>ABS(Solieusap!G3505)</f>
        <v>0</v>
      </c>
      <c r="H3505" s="16">
        <f>ABS(Solieusap!H3505)</f>
        <v>0</v>
      </c>
      <c r="I3505" s="16">
        <f>ABS(Solieusap!I3505)</f>
        <v>0</v>
      </c>
      <c r="J3505" s="16">
        <f>ABS(Solieusap!J3505)</f>
        <v>0</v>
      </c>
      <c r="K3505" s="16">
        <f t="shared" si="1"/>
        <v>0</v>
      </c>
      <c r="L3505" s="16">
        <f t="shared" si="2"/>
        <v>0</v>
      </c>
    </row>
    <row r="3506" ht="16.5" customHeight="1">
      <c r="A3506" s="15" t="str">
        <f>Solieusap!A3506</f>
        <v/>
      </c>
      <c r="B3506" s="15" t="str">
        <f>Solieusap!B3506</f>
        <v/>
      </c>
      <c r="C3506" s="15" t="str">
        <f>Solieusap!C3506</f>
        <v/>
      </c>
      <c r="D3506" s="15" t="str">
        <f>Solieusap!D3506</f>
        <v/>
      </c>
      <c r="E3506" s="16">
        <f>ABS(Solieusap!E3506)</f>
        <v>0</v>
      </c>
      <c r="F3506" s="16">
        <f>ABS(Solieusap!F3506)</f>
        <v>0</v>
      </c>
      <c r="G3506" s="16">
        <f>ABS(Solieusap!G3506)</f>
        <v>0</v>
      </c>
      <c r="H3506" s="16">
        <f>ABS(Solieusap!H3506)</f>
        <v>0</v>
      </c>
      <c r="I3506" s="16">
        <f>ABS(Solieusap!I3506)</f>
        <v>0</v>
      </c>
      <c r="J3506" s="16">
        <f>ABS(Solieusap!J3506)</f>
        <v>0</v>
      </c>
      <c r="K3506" s="16">
        <f t="shared" si="1"/>
        <v>0</v>
      </c>
      <c r="L3506" s="16">
        <f t="shared" si="2"/>
        <v>0</v>
      </c>
    </row>
    <row r="3507" ht="16.5" customHeight="1">
      <c r="A3507" s="15" t="str">
        <f>Solieusap!A3507</f>
        <v/>
      </c>
      <c r="B3507" s="15" t="str">
        <f>Solieusap!B3507</f>
        <v/>
      </c>
      <c r="C3507" s="15" t="str">
        <f>Solieusap!C3507</f>
        <v/>
      </c>
      <c r="D3507" s="15" t="str">
        <f>Solieusap!D3507</f>
        <v/>
      </c>
      <c r="E3507" s="16">
        <f>ABS(Solieusap!E3507)</f>
        <v>0</v>
      </c>
      <c r="F3507" s="16">
        <f>ABS(Solieusap!F3507)</f>
        <v>0</v>
      </c>
      <c r="G3507" s="16">
        <f>ABS(Solieusap!G3507)</f>
        <v>0</v>
      </c>
      <c r="H3507" s="16">
        <f>ABS(Solieusap!H3507)</f>
        <v>0</v>
      </c>
      <c r="I3507" s="16">
        <f>ABS(Solieusap!I3507)</f>
        <v>0</v>
      </c>
      <c r="J3507" s="16">
        <f>ABS(Solieusap!J3507)</f>
        <v>0</v>
      </c>
      <c r="K3507" s="16">
        <f t="shared" si="1"/>
        <v>0</v>
      </c>
      <c r="L3507" s="16">
        <f t="shared" si="2"/>
        <v>0</v>
      </c>
    </row>
    <row r="3508" ht="16.5" customHeight="1">
      <c r="A3508" s="15" t="str">
        <f>Solieusap!A3508</f>
        <v/>
      </c>
      <c r="B3508" s="15" t="str">
        <f>Solieusap!B3508</f>
        <v/>
      </c>
      <c r="C3508" s="15" t="str">
        <f>Solieusap!C3508</f>
        <v/>
      </c>
      <c r="D3508" s="15" t="str">
        <f>Solieusap!D3508</f>
        <v/>
      </c>
      <c r="E3508" s="16">
        <f>ABS(Solieusap!E3508)</f>
        <v>0</v>
      </c>
      <c r="F3508" s="16">
        <f>ABS(Solieusap!F3508)</f>
        <v>0</v>
      </c>
      <c r="G3508" s="16">
        <f>ABS(Solieusap!G3508)</f>
        <v>0</v>
      </c>
      <c r="H3508" s="16">
        <f>ABS(Solieusap!H3508)</f>
        <v>0</v>
      </c>
      <c r="I3508" s="16">
        <f>ABS(Solieusap!I3508)</f>
        <v>0</v>
      </c>
      <c r="J3508" s="16">
        <f>ABS(Solieusap!J3508)</f>
        <v>0</v>
      </c>
      <c r="K3508" s="16">
        <f t="shared" si="1"/>
        <v>0</v>
      </c>
      <c r="L3508" s="16">
        <f t="shared" si="2"/>
        <v>0</v>
      </c>
    </row>
    <row r="3509" ht="16.5" customHeight="1">
      <c r="A3509" s="15" t="str">
        <f>Solieusap!A3509</f>
        <v/>
      </c>
      <c r="B3509" s="15" t="str">
        <f>Solieusap!B3509</f>
        <v/>
      </c>
      <c r="C3509" s="15" t="str">
        <f>Solieusap!C3509</f>
        <v/>
      </c>
      <c r="D3509" s="15" t="str">
        <f>Solieusap!D3509</f>
        <v/>
      </c>
      <c r="E3509" s="16">
        <f>ABS(Solieusap!E3509)</f>
        <v>0</v>
      </c>
      <c r="F3509" s="16">
        <f>ABS(Solieusap!F3509)</f>
        <v>0</v>
      </c>
      <c r="G3509" s="16">
        <f>ABS(Solieusap!G3509)</f>
        <v>0</v>
      </c>
      <c r="H3509" s="16">
        <f>ABS(Solieusap!H3509)</f>
        <v>0</v>
      </c>
      <c r="I3509" s="16">
        <f>ABS(Solieusap!I3509)</f>
        <v>0</v>
      </c>
      <c r="J3509" s="16">
        <f>ABS(Solieusap!J3509)</f>
        <v>0</v>
      </c>
      <c r="K3509" s="16">
        <f t="shared" si="1"/>
        <v>0</v>
      </c>
      <c r="L3509" s="16">
        <f t="shared" si="2"/>
        <v>0</v>
      </c>
    </row>
    <row r="3510" ht="16.5" customHeight="1">
      <c r="A3510" s="15" t="str">
        <f>Solieusap!A3510</f>
        <v/>
      </c>
      <c r="B3510" s="15" t="str">
        <f>Solieusap!B3510</f>
        <v/>
      </c>
      <c r="C3510" s="15" t="str">
        <f>Solieusap!C3510</f>
        <v/>
      </c>
      <c r="D3510" s="15" t="str">
        <f>Solieusap!D3510</f>
        <v/>
      </c>
      <c r="E3510" s="16">
        <f>ABS(Solieusap!E3510)</f>
        <v>0</v>
      </c>
      <c r="F3510" s="16">
        <f>ABS(Solieusap!F3510)</f>
        <v>0</v>
      </c>
      <c r="G3510" s="16">
        <f>ABS(Solieusap!G3510)</f>
        <v>0</v>
      </c>
      <c r="H3510" s="16">
        <f>ABS(Solieusap!H3510)</f>
        <v>0</v>
      </c>
      <c r="I3510" s="16">
        <f>ABS(Solieusap!I3510)</f>
        <v>0</v>
      </c>
      <c r="J3510" s="16">
        <f>ABS(Solieusap!J3510)</f>
        <v>0</v>
      </c>
      <c r="K3510" s="16">
        <f t="shared" si="1"/>
        <v>0</v>
      </c>
      <c r="L3510" s="16">
        <f t="shared" si="2"/>
        <v>0</v>
      </c>
    </row>
    <row r="3511" ht="16.5" customHeight="1">
      <c r="A3511" s="15" t="str">
        <f>Solieusap!A3511</f>
        <v/>
      </c>
      <c r="B3511" s="15" t="str">
        <f>Solieusap!B3511</f>
        <v/>
      </c>
      <c r="C3511" s="15" t="str">
        <f>Solieusap!C3511</f>
        <v/>
      </c>
      <c r="D3511" s="15" t="str">
        <f>Solieusap!D3511</f>
        <v/>
      </c>
      <c r="E3511" s="16">
        <f>ABS(Solieusap!E3511)</f>
        <v>0</v>
      </c>
      <c r="F3511" s="16">
        <f>ABS(Solieusap!F3511)</f>
        <v>0</v>
      </c>
      <c r="G3511" s="16">
        <f>ABS(Solieusap!G3511)</f>
        <v>0</v>
      </c>
      <c r="H3511" s="16">
        <f>ABS(Solieusap!H3511)</f>
        <v>0</v>
      </c>
      <c r="I3511" s="16">
        <f>ABS(Solieusap!I3511)</f>
        <v>0</v>
      </c>
      <c r="J3511" s="16">
        <f>ABS(Solieusap!J3511)</f>
        <v>0</v>
      </c>
      <c r="K3511" s="16">
        <f t="shared" si="1"/>
        <v>0</v>
      </c>
      <c r="L3511" s="16">
        <f t="shared" si="2"/>
        <v>0</v>
      </c>
    </row>
    <row r="3512" ht="16.5" customHeight="1">
      <c r="A3512" s="15" t="str">
        <f>Solieusap!A3512</f>
        <v/>
      </c>
      <c r="B3512" s="15" t="str">
        <f>Solieusap!B3512</f>
        <v/>
      </c>
      <c r="C3512" s="15" t="str">
        <f>Solieusap!C3512</f>
        <v/>
      </c>
      <c r="D3512" s="15" t="str">
        <f>Solieusap!D3512</f>
        <v/>
      </c>
      <c r="E3512" s="16">
        <f>ABS(Solieusap!E3512)</f>
        <v>0</v>
      </c>
      <c r="F3512" s="16">
        <f>ABS(Solieusap!F3512)</f>
        <v>0</v>
      </c>
      <c r="G3512" s="16">
        <f>ABS(Solieusap!G3512)</f>
        <v>0</v>
      </c>
      <c r="H3512" s="16">
        <f>ABS(Solieusap!H3512)</f>
        <v>0</v>
      </c>
      <c r="I3512" s="16">
        <f>ABS(Solieusap!I3512)</f>
        <v>0</v>
      </c>
      <c r="J3512" s="16">
        <f>ABS(Solieusap!J3512)</f>
        <v>0</v>
      </c>
      <c r="K3512" s="16">
        <f t="shared" si="1"/>
        <v>0</v>
      </c>
      <c r="L3512" s="16">
        <f t="shared" si="2"/>
        <v>0</v>
      </c>
    </row>
    <row r="3513" ht="16.5" customHeight="1">
      <c r="A3513" s="15" t="str">
        <f>Solieusap!A3513</f>
        <v/>
      </c>
      <c r="B3513" s="15" t="str">
        <f>Solieusap!B3513</f>
        <v/>
      </c>
      <c r="C3513" s="15" t="str">
        <f>Solieusap!C3513</f>
        <v/>
      </c>
      <c r="D3513" s="15" t="str">
        <f>Solieusap!D3513</f>
        <v/>
      </c>
      <c r="E3513" s="16">
        <f>ABS(Solieusap!E3513)</f>
        <v>0</v>
      </c>
      <c r="F3513" s="16">
        <f>ABS(Solieusap!F3513)</f>
        <v>0</v>
      </c>
      <c r="G3513" s="16">
        <f>ABS(Solieusap!G3513)</f>
        <v>0</v>
      </c>
      <c r="H3513" s="16">
        <f>ABS(Solieusap!H3513)</f>
        <v>0</v>
      </c>
      <c r="I3513" s="16">
        <f>ABS(Solieusap!I3513)</f>
        <v>0</v>
      </c>
      <c r="J3513" s="16">
        <f>ABS(Solieusap!J3513)</f>
        <v>0</v>
      </c>
      <c r="K3513" s="16">
        <f t="shared" si="1"/>
        <v>0</v>
      </c>
      <c r="L3513" s="16">
        <f t="shared" si="2"/>
        <v>0</v>
      </c>
    </row>
    <row r="3514" ht="16.5" customHeight="1">
      <c r="A3514" s="15" t="str">
        <f>Solieusap!A3514</f>
        <v/>
      </c>
      <c r="B3514" s="15" t="str">
        <f>Solieusap!B3514</f>
        <v/>
      </c>
      <c r="C3514" s="15" t="str">
        <f>Solieusap!C3514</f>
        <v/>
      </c>
      <c r="D3514" s="15" t="str">
        <f>Solieusap!D3514</f>
        <v/>
      </c>
      <c r="E3514" s="16">
        <f>ABS(Solieusap!E3514)</f>
        <v>0</v>
      </c>
      <c r="F3514" s="16">
        <f>ABS(Solieusap!F3514)</f>
        <v>0</v>
      </c>
      <c r="G3514" s="16">
        <f>ABS(Solieusap!G3514)</f>
        <v>0</v>
      </c>
      <c r="H3514" s="16">
        <f>ABS(Solieusap!H3514)</f>
        <v>0</v>
      </c>
      <c r="I3514" s="16">
        <f>ABS(Solieusap!I3514)</f>
        <v>0</v>
      </c>
      <c r="J3514" s="16">
        <f>ABS(Solieusap!J3514)</f>
        <v>0</v>
      </c>
      <c r="K3514" s="16">
        <f t="shared" si="1"/>
        <v>0</v>
      </c>
      <c r="L3514" s="16">
        <f t="shared" si="2"/>
        <v>0</v>
      </c>
    </row>
    <row r="3515" ht="16.5" customHeight="1">
      <c r="A3515" s="15" t="str">
        <f>Solieusap!A3515</f>
        <v/>
      </c>
      <c r="B3515" s="15" t="str">
        <f>Solieusap!B3515</f>
        <v/>
      </c>
      <c r="C3515" s="15" t="str">
        <f>Solieusap!C3515</f>
        <v/>
      </c>
      <c r="D3515" s="15" t="str">
        <f>Solieusap!D3515</f>
        <v/>
      </c>
      <c r="E3515" s="16">
        <f>ABS(Solieusap!E3515)</f>
        <v>0</v>
      </c>
      <c r="F3515" s="16">
        <f>ABS(Solieusap!F3515)</f>
        <v>0</v>
      </c>
      <c r="G3515" s="16">
        <f>ABS(Solieusap!G3515)</f>
        <v>0</v>
      </c>
      <c r="H3515" s="16">
        <f>ABS(Solieusap!H3515)</f>
        <v>0</v>
      </c>
      <c r="I3515" s="16">
        <f>ABS(Solieusap!I3515)</f>
        <v>0</v>
      </c>
      <c r="J3515" s="16">
        <f>ABS(Solieusap!J3515)</f>
        <v>0</v>
      </c>
      <c r="K3515" s="16">
        <f t="shared" si="1"/>
        <v>0</v>
      </c>
      <c r="L3515" s="16">
        <f t="shared" si="2"/>
        <v>0</v>
      </c>
    </row>
    <row r="3516" ht="16.5" customHeight="1">
      <c r="A3516" s="15" t="str">
        <f>Solieusap!A3516</f>
        <v/>
      </c>
      <c r="B3516" s="15" t="str">
        <f>Solieusap!B3516</f>
        <v/>
      </c>
      <c r="C3516" s="15" t="str">
        <f>Solieusap!C3516</f>
        <v/>
      </c>
      <c r="D3516" s="15" t="str">
        <f>Solieusap!D3516</f>
        <v/>
      </c>
      <c r="E3516" s="16">
        <f>ABS(Solieusap!E3516)</f>
        <v>0</v>
      </c>
      <c r="F3516" s="16">
        <f>ABS(Solieusap!F3516)</f>
        <v>0</v>
      </c>
      <c r="G3516" s="16">
        <f>ABS(Solieusap!G3516)</f>
        <v>0</v>
      </c>
      <c r="H3516" s="16">
        <f>ABS(Solieusap!H3516)</f>
        <v>0</v>
      </c>
      <c r="I3516" s="16">
        <f>ABS(Solieusap!I3516)</f>
        <v>0</v>
      </c>
      <c r="J3516" s="16">
        <f>ABS(Solieusap!J3516)</f>
        <v>0</v>
      </c>
      <c r="K3516" s="16">
        <f t="shared" si="1"/>
        <v>0</v>
      </c>
      <c r="L3516" s="16">
        <f t="shared" si="2"/>
        <v>0</v>
      </c>
    </row>
    <row r="3517" ht="16.5" customHeight="1">
      <c r="A3517" s="15" t="str">
        <f>Solieusap!A3517</f>
        <v/>
      </c>
      <c r="B3517" s="15" t="str">
        <f>Solieusap!B3517</f>
        <v/>
      </c>
      <c r="C3517" s="15" t="str">
        <f>Solieusap!C3517</f>
        <v/>
      </c>
      <c r="D3517" s="15" t="str">
        <f>Solieusap!D3517</f>
        <v/>
      </c>
      <c r="E3517" s="16">
        <f>ABS(Solieusap!E3517)</f>
        <v>0</v>
      </c>
      <c r="F3517" s="16">
        <f>ABS(Solieusap!F3517)</f>
        <v>0</v>
      </c>
      <c r="G3517" s="16">
        <f>ABS(Solieusap!G3517)</f>
        <v>0</v>
      </c>
      <c r="H3517" s="16">
        <f>ABS(Solieusap!H3517)</f>
        <v>0</v>
      </c>
      <c r="I3517" s="16">
        <f>ABS(Solieusap!I3517)</f>
        <v>0</v>
      </c>
      <c r="J3517" s="16">
        <f>ABS(Solieusap!J3517)</f>
        <v>0</v>
      </c>
      <c r="K3517" s="16">
        <f t="shared" si="1"/>
        <v>0</v>
      </c>
      <c r="L3517" s="16">
        <f t="shared" si="2"/>
        <v>0</v>
      </c>
    </row>
    <row r="3518" ht="16.5" customHeight="1">
      <c r="A3518" s="15" t="str">
        <f>Solieusap!A3518</f>
        <v/>
      </c>
      <c r="B3518" s="15" t="str">
        <f>Solieusap!B3518</f>
        <v/>
      </c>
      <c r="C3518" s="15" t="str">
        <f>Solieusap!C3518</f>
        <v/>
      </c>
      <c r="D3518" s="15" t="str">
        <f>Solieusap!D3518</f>
        <v/>
      </c>
      <c r="E3518" s="16">
        <f>ABS(Solieusap!E3518)</f>
        <v>0</v>
      </c>
      <c r="F3518" s="16">
        <f>ABS(Solieusap!F3518)</f>
        <v>0</v>
      </c>
      <c r="G3518" s="16">
        <f>ABS(Solieusap!G3518)</f>
        <v>0</v>
      </c>
      <c r="H3518" s="16">
        <f>ABS(Solieusap!H3518)</f>
        <v>0</v>
      </c>
      <c r="I3518" s="16">
        <f>ABS(Solieusap!I3518)</f>
        <v>0</v>
      </c>
      <c r="J3518" s="16">
        <f>ABS(Solieusap!J3518)</f>
        <v>0</v>
      </c>
      <c r="K3518" s="16">
        <f t="shared" si="1"/>
        <v>0</v>
      </c>
      <c r="L3518" s="16">
        <f t="shared" si="2"/>
        <v>0</v>
      </c>
    </row>
    <row r="3519" ht="16.5" customHeight="1">
      <c r="A3519" s="15" t="str">
        <f>Solieusap!A3519</f>
        <v/>
      </c>
      <c r="B3519" s="15" t="str">
        <f>Solieusap!B3519</f>
        <v/>
      </c>
      <c r="C3519" s="15" t="str">
        <f>Solieusap!C3519</f>
        <v/>
      </c>
      <c r="D3519" s="15" t="str">
        <f>Solieusap!D3519</f>
        <v/>
      </c>
      <c r="E3519" s="16">
        <f>ABS(Solieusap!E3519)</f>
        <v>0</v>
      </c>
      <c r="F3519" s="16">
        <f>ABS(Solieusap!F3519)</f>
        <v>0</v>
      </c>
      <c r="G3519" s="16">
        <f>ABS(Solieusap!G3519)</f>
        <v>0</v>
      </c>
      <c r="H3519" s="16">
        <f>ABS(Solieusap!H3519)</f>
        <v>0</v>
      </c>
      <c r="I3519" s="16">
        <f>ABS(Solieusap!I3519)</f>
        <v>0</v>
      </c>
      <c r="J3519" s="16">
        <f>ABS(Solieusap!J3519)</f>
        <v>0</v>
      </c>
      <c r="K3519" s="16">
        <f t="shared" si="1"/>
        <v>0</v>
      </c>
      <c r="L3519" s="16">
        <f t="shared" si="2"/>
        <v>0</v>
      </c>
    </row>
    <row r="3520" ht="16.5" customHeight="1">
      <c r="A3520" s="15" t="str">
        <f>Solieusap!A3520</f>
        <v/>
      </c>
      <c r="B3520" s="15" t="str">
        <f>Solieusap!B3520</f>
        <v/>
      </c>
      <c r="C3520" s="15" t="str">
        <f>Solieusap!C3520</f>
        <v/>
      </c>
      <c r="D3520" s="15" t="str">
        <f>Solieusap!D3520</f>
        <v/>
      </c>
      <c r="E3520" s="16">
        <f>ABS(Solieusap!E3520)</f>
        <v>0</v>
      </c>
      <c r="F3520" s="16">
        <f>ABS(Solieusap!F3520)</f>
        <v>0</v>
      </c>
      <c r="G3520" s="16">
        <f>ABS(Solieusap!G3520)</f>
        <v>0</v>
      </c>
      <c r="H3520" s="16">
        <f>ABS(Solieusap!H3520)</f>
        <v>0</v>
      </c>
      <c r="I3520" s="16">
        <f>ABS(Solieusap!I3520)</f>
        <v>0</v>
      </c>
      <c r="J3520" s="16">
        <f>ABS(Solieusap!J3520)</f>
        <v>0</v>
      </c>
      <c r="K3520" s="16">
        <f t="shared" si="1"/>
        <v>0</v>
      </c>
      <c r="L3520" s="16">
        <f t="shared" si="2"/>
        <v>0</v>
      </c>
    </row>
    <row r="3521" ht="16.5" customHeight="1">
      <c r="A3521" s="15" t="str">
        <f>Solieusap!A3521</f>
        <v/>
      </c>
      <c r="B3521" s="15" t="str">
        <f>Solieusap!B3521</f>
        <v/>
      </c>
      <c r="C3521" s="15" t="str">
        <f>Solieusap!C3521</f>
        <v/>
      </c>
      <c r="D3521" s="15" t="str">
        <f>Solieusap!D3521</f>
        <v/>
      </c>
      <c r="E3521" s="16">
        <f>ABS(Solieusap!E3521)</f>
        <v>0</v>
      </c>
      <c r="F3521" s="16">
        <f>ABS(Solieusap!F3521)</f>
        <v>0</v>
      </c>
      <c r="G3521" s="16">
        <f>ABS(Solieusap!G3521)</f>
        <v>0</v>
      </c>
      <c r="H3521" s="16">
        <f>ABS(Solieusap!H3521)</f>
        <v>0</v>
      </c>
      <c r="I3521" s="16">
        <f>ABS(Solieusap!I3521)</f>
        <v>0</v>
      </c>
      <c r="J3521" s="16">
        <f>ABS(Solieusap!J3521)</f>
        <v>0</v>
      </c>
      <c r="K3521" s="16">
        <f t="shared" si="1"/>
        <v>0</v>
      </c>
      <c r="L3521" s="16">
        <f t="shared" si="2"/>
        <v>0</v>
      </c>
    </row>
    <row r="3522" ht="16.5" customHeight="1">
      <c r="A3522" s="15" t="str">
        <f>Solieusap!A3522</f>
        <v/>
      </c>
      <c r="B3522" s="15" t="str">
        <f>Solieusap!B3522</f>
        <v/>
      </c>
      <c r="C3522" s="15" t="str">
        <f>Solieusap!C3522</f>
        <v/>
      </c>
      <c r="D3522" s="15" t="str">
        <f>Solieusap!D3522</f>
        <v/>
      </c>
      <c r="E3522" s="16">
        <f>ABS(Solieusap!E3522)</f>
        <v>0</v>
      </c>
      <c r="F3522" s="16">
        <f>ABS(Solieusap!F3522)</f>
        <v>0</v>
      </c>
      <c r="G3522" s="16">
        <f>ABS(Solieusap!G3522)</f>
        <v>0</v>
      </c>
      <c r="H3522" s="16">
        <f>ABS(Solieusap!H3522)</f>
        <v>0</v>
      </c>
      <c r="I3522" s="16">
        <f>ABS(Solieusap!I3522)</f>
        <v>0</v>
      </c>
      <c r="J3522" s="16">
        <f>ABS(Solieusap!J3522)</f>
        <v>0</v>
      </c>
      <c r="K3522" s="16">
        <f t="shared" si="1"/>
        <v>0</v>
      </c>
      <c r="L3522" s="16">
        <f t="shared" si="2"/>
        <v>0</v>
      </c>
    </row>
    <row r="3523" ht="16.5" customHeight="1">
      <c r="A3523" s="15" t="str">
        <f>Solieusap!A3523</f>
        <v/>
      </c>
      <c r="B3523" s="15" t="str">
        <f>Solieusap!B3523</f>
        <v/>
      </c>
      <c r="C3523" s="15" t="str">
        <f>Solieusap!C3523</f>
        <v/>
      </c>
      <c r="D3523" s="15" t="str">
        <f>Solieusap!D3523</f>
        <v/>
      </c>
      <c r="E3523" s="16">
        <f>ABS(Solieusap!E3523)</f>
        <v>0</v>
      </c>
      <c r="F3523" s="16">
        <f>ABS(Solieusap!F3523)</f>
        <v>0</v>
      </c>
      <c r="G3523" s="16">
        <f>ABS(Solieusap!G3523)</f>
        <v>0</v>
      </c>
      <c r="H3523" s="16">
        <f>ABS(Solieusap!H3523)</f>
        <v>0</v>
      </c>
      <c r="I3523" s="16">
        <f>ABS(Solieusap!I3523)</f>
        <v>0</v>
      </c>
      <c r="J3523" s="16">
        <f>ABS(Solieusap!J3523)</f>
        <v>0</v>
      </c>
      <c r="K3523" s="16">
        <f t="shared" si="1"/>
        <v>0</v>
      </c>
      <c r="L3523" s="16">
        <f t="shared" si="2"/>
        <v>0</v>
      </c>
    </row>
    <row r="3524" ht="16.5" customHeight="1">
      <c r="A3524" s="15" t="str">
        <f>Solieusap!A3524</f>
        <v/>
      </c>
      <c r="B3524" s="15" t="str">
        <f>Solieusap!B3524</f>
        <v/>
      </c>
      <c r="C3524" s="15" t="str">
        <f>Solieusap!C3524</f>
        <v/>
      </c>
      <c r="D3524" s="15" t="str">
        <f>Solieusap!D3524</f>
        <v/>
      </c>
      <c r="E3524" s="16">
        <f>ABS(Solieusap!E3524)</f>
        <v>0</v>
      </c>
      <c r="F3524" s="16">
        <f>ABS(Solieusap!F3524)</f>
        <v>0</v>
      </c>
      <c r="G3524" s="16">
        <f>ABS(Solieusap!G3524)</f>
        <v>0</v>
      </c>
      <c r="H3524" s="16">
        <f>ABS(Solieusap!H3524)</f>
        <v>0</v>
      </c>
      <c r="I3524" s="16">
        <f>ABS(Solieusap!I3524)</f>
        <v>0</v>
      </c>
      <c r="J3524" s="16">
        <f>ABS(Solieusap!J3524)</f>
        <v>0</v>
      </c>
      <c r="K3524" s="16">
        <f t="shared" si="1"/>
        <v>0</v>
      </c>
      <c r="L3524" s="16">
        <f t="shared" si="2"/>
        <v>0</v>
      </c>
    </row>
    <row r="3525" ht="16.5" customHeight="1">
      <c r="A3525" s="15" t="str">
        <f>Solieusap!A3525</f>
        <v/>
      </c>
      <c r="B3525" s="15" t="str">
        <f>Solieusap!B3525</f>
        <v/>
      </c>
      <c r="C3525" s="15" t="str">
        <f>Solieusap!C3525</f>
        <v/>
      </c>
      <c r="D3525" s="15" t="str">
        <f>Solieusap!D3525</f>
        <v/>
      </c>
      <c r="E3525" s="16">
        <f>ABS(Solieusap!E3525)</f>
        <v>0</v>
      </c>
      <c r="F3525" s="16">
        <f>ABS(Solieusap!F3525)</f>
        <v>0</v>
      </c>
      <c r="G3525" s="16">
        <f>ABS(Solieusap!G3525)</f>
        <v>0</v>
      </c>
      <c r="H3525" s="16">
        <f>ABS(Solieusap!H3525)</f>
        <v>0</v>
      </c>
      <c r="I3525" s="16">
        <f>ABS(Solieusap!I3525)</f>
        <v>0</v>
      </c>
      <c r="J3525" s="16">
        <f>ABS(Solieusap!J3525)</f>
        <v>0</v>
      </c>
      <c r="K3525" s="16">
        <f t="shared" si="1"/>
        <v>0</v>
      </c>
      <c r="L3525" s="16">
        <f t="shared" si="2"/>
        <v>0</v>
      </c>
    </row>
    <row r="3526" ht="16.5" customHeight="1">
      <c r="A3526" s="15" t="str">
        <f>Solieusap!A3526</f>
        <v/>
      </c>
      <c r="B3526" s="15" t="str">
        <f>Solieusap!B3526</f>
        <v/>
      </c>
      <c r="C3526" s="15" t="str">
        <f>Solieusap!C3526</f>
        <v/>
      </c>
      <c r="D3526" s="15" t="str">
        <f>Solieusap!D3526</f>
        <v/>
      </c>
      <c r="E3526" s="16">
        <f>ABS(Solieusap!E3526)</f>
        <v>0</v>
      </c>
      <c r="F3526" s="16">
        <f>ABS(Solieusap!F3526)</f>
        <v>0</v>
      </c>
      <c r="G3526" s="16">
        <f>ABS(Solieusap!G3526)</f>
        <v>0</v>
      </c>
      <c r="H3526" s="16">
        <f>ABS(Solieusap!H3526)</f>
        <v>0</v>
      </c>
      <c r="I3526" s="16">
        <f>ABS(Solieusap!I3526)</f>
        <v>0</v>
      </c>
      <c r="J3526" s="16">
        <f>ABS(Solieusap!J3526)</f>
        <v>0</v>
      </c>
      <c r="K3526" s="16">
        <f t="shared" si="1"/>
        <v>0</v>
      </c>
      <c r="L3526" s="16">
        <f t="shared" si="2"/>
        <v>0</v>
      </c>
    </row>
    <row r="3527" ht="16.5" customHeight="1">
      <c r="A3527" s="15" t="str">
        <f>Solieusap!A3527</f>
        <v/>
      </c>
      <c r="B3527" s="15" t="str">
        <f>Solieusap!B3527</f>
        <v/>
      </c>
      <c r="C3527" s="15" t="str">
        <f>Solieusap!C3527</f>
        <v/>
      </c>
      <c r="D3527" s="15" t="str">
        <f>Solieusap!D3527</f>
        <v/>
      </c>
      <c r="E3527" s="16">
        <f>ABS(Solieusap!E3527)</f>
        <v>0</v>
      </c>
      <c r="F3527" s="16">
        <f>ABS(Solieusap!F3527)</f>
        <v>0</v>
      </c>
      <c r="G3527" s="16">
        <f>ABS(Solieusap!G3527)</f>
        <v>0</v>
      </c>
      <c r="H3527" s="16">
        <f>ABS(Solieusap!H3527)</f>
        <v>0</v>
      </c>
      <c r="I3527" s="16">
        <f>ABS(Solieusap!I3527)</f>
        <v>0</v>
      </c>
      <c r="J3527" s="16">
        <f>ABS(Solieusap!J3527)</f>
        <v>0</v>
      </c>
      <c r="K3527" s="16">
        <f t="shared" si="1"/>
        <v>0</v>
      </c>
      <c r="L3527" s="16">
        <f t="shared" si="2"/>
        <v>0</v>
      </c>
    </row>
    <row r="3528" ht="16.5" customHeight="1">
      <c r="A3528" s="15" t="str">
        <f>Solieusap!A3528</f>
        <v/>
      </c>
      <c r="B3528" s="15" t="str">
        <f>Solieusap!B3528</f>
        <v/>
      </c>
      <c r="C3528" s="15" t="str">
        <f>Solieusap!C3528</f>
        <v/>
      </c>
      <c r="D3528" s="15" t="str">
        <f>Solieusap!D3528</f>
        <v/>
      </c>
      <c r="E3528" s="16">
        <f>ABS(Solieusap!E3528)</f>
        <v>0</v>
      </c>
      <c r="F3528" s="16">
        <f>ABS(Solieusap!F3528)</f>
        <v>0</v>
      </c>
      <c r="G3528" s="16">
        <f>ABS(Solieusap!G3528)</f>
        <v>0</v>
      </c>
      <c r="H3528" s="16">
        <f>ABS(Solieusap!H3528)</f>
        <v>0</v>
      </c>
      <c r="I3528" s="16">
        <f>ABS(Solieusap!I3528)</f>
        <v>0</v>
      </c>
      <c r="J3528" s="16">
        <f>ABS(Solieusap!J3528)</f>
        <v>0</v>
      </c>
      <c r="K3528" s="16">
        <f t="shared" si="1"/>
        <v>0</v>
      </c>
      <c r="L3528" s="16">
        <f t="shared" si="2"/>
        <v>0</v>
      </c>
    </row>
    <row r="3529" ht="16.5" customHeight="1">
      <c r="A3529" s="15" t="str">
        <f>Solieusap!A3529</f>
        <v/>
      </c>
      <c r="B3529" s="15" t="str">
        <f>Solieusap!B3529</f>
        <v/>
      </c>
      <c r="C3529" s="15" t="str">
        <f>Solieusap!C3529</f>
        <v/>
      </c>
      <c r="D3529" s="15" t="str">
        <f>Solieusap!D3529</f>
        <v/>
      </c>
      <c r="E3529" s="16">
        <f>ABS(Solieusap!E3529)</f>
        <v>0</v>
      </c>
      <c r="F3529" s="16">
        <f>ABS(Solieusap!F3529)</f>
        <v>0</v>
      </c>
      <c r="G3529" s="16">
        <f>ABS(Solieusap!G3529)</f>
        <v>0</v>
      </c>
      <c r="H3529" s="16">
        <f>ABS(Solieusap!H3529)</f>
        <v>0</v>
      </c>
      <c r="I3529" s="16">
        <f>ABS(Solieusap!I3529)</f>
        <v>0</v>
      </c>
      <c r="J3529" s="16">
        <f>ABS(Solieusap!J3529)</f>
        <v>0</v>
      </c>
      <c r="K3529" s="16">
        <f t="shared" si="1"/>
        <v>0</v>
      </c>
      <c r="L3529" s="16">
        <f t="shared" si="2"/>
        <v>0</v>
      </c>
    </row>
    <row r="3530" ht="16.5" customHeight="1">
      <c r="A3530" s="15" t="str">
        <f>Solieusap!A3530</f>
        <v/>
      </c>
      <c r="B3530" s="15" t="str">
        <f>Solieusap!B3530</f>
        <v/>
      </c>
      <c r="C3530" s="15" t="str">
        <f>Solieusap!C3530</f>
        <v/>
      </c>
      <c r="D3530" s="15" t="str">
        <f>Solieusap!D3530</f>
        <v/>
      </c>
      <c r="E3530" s="16">
        <f>ABS(Solieusap!E3530)</f>
        <v>0</v>
      </c>
      <c r="F3530" s="16">
        <f>ABS(Solieusap!F3530)</f>
        <v>0</v>
      </c>
      <c r="G3530" s="16">
        <f>ABS(Solieusap!G3530)</f>
        <v>0</v>
      </c>
      <c r="H3530" s="16">
        <f>ABS(Solieusap!H3530)</f>
        <v>0</v>
      </c>
      <c r="I3530" s="16">
        <f>ABS(Solieusap!I3530)</f>
        <v>0</v>
      </c>
      <c r="J3530" s="16">
        <f>ABS(Solieusap!J3530)</f>
        <v>0</v>
      </c>
      <c r="K3530" s="16">
        <f t="shared" si="1"/>
        <v>0</v>
      </c>
      <c r="L3530" s="16">
        <f t="shared" si="2"/>
        <v>0</v>
      </c>
    </row>
    <row r="3531" ht="16.5" customHeight="1">
      <c r="A3531" s="15" t="str">
        <f>Solieusap!A3531</f>
        <v/>
      </c>
      <c r="B3531" s="15" t="str">
        <f>Solieusap!B3531</f>
        <v/>
      </c>
      <c r="C3531" s="15" t="str">
        <f>Solieusap!C3531</f>
        <v/>
      </c>
      <c r="D3531" s="15" t="str">
        <f>Solieusap!D3531</f>
        <v/>
      </c>
      <c r="E3531" s="16">
        <f>ABS(Solieusap!E3531)</f>
        <v>0</v>
      </c>
      <c r="F3531" s="16">
        <f>ABS(Solieusap!F3531)</f>
        <v>0</v>
      </c>
      <c r="G3531" s="16">
        <f>ABS(Solieusap!G3531)</f>
        <v>0</v>
      </c>
      <c r="H3531" s="16">
        <f>ABS(Solieusap!H3531)</f>
        <v>0</v>
      </c>
      <c r="I3531" s="16">
        <f>ABS(Solieusap!I3531)</f>
        <v>0</v>
      </c>
      <c r="J3531" s="16">
        <f>ABS(Solieusap!J3531)</f>
        <v>0</v>
      </c>
      <c r="K3531" s="16">
        <f t="shared" si="1"/>
        <v>0</v>
      </c>
      <c r="L3531" s="16">
        <f t="shared" si="2"/>
        <v>0</v>
      </c>
    </row>
    <row r="3532" ht="16.5" customHeight="1">
      <c r="A3532" s="15" t="str">
        <f>Solieusap!A3532</f>
        <v/>
      </c>
      <c r="B3532" s="15" t="str">
        <f>Solieusap!B3532</f>
        <v/>
      </c>
      <c r="C3532" s="15" t="str">
        <f>Solieusap!C3532</f>
        <v/>
      </c>
      <c r="D3532" s="15" t="str">
        <f>Solieusap!D3532</f>
        <v/>
      </c>
      <c r="E3532" s="16">
        <f>ABS(Solieusap!E3532)</f>
        <v>0</v>
      </c>
      <c r="F3532" s="16">
        <f>ABS(Solieusap!F3532)</f>
        <v>0</v>
      </c>
      <c r="G3532" s="16">
        <f>ABS(Solieusap!G3532)</f>
        <v>0</v>
      </c>
      <c r="H3532" s="16">
        <f>ABS(Solieusap!H3532)</f>
        <v>0</v>
      </c>
      <c r="I3532" s="16">
        <f>ABS(Solieusap!I3532)</f>
        <v>0</v>
      </c>
      <c r="J3532" s="16">
        <f>ABS(Solieusap!J3532)</f>
        <v>0</v>
      </c>
      <c r="K3532" s="16">
        <f t="shared" si="1"/>
        <v>0</v>
      </c>
      <c r="L3532" s="16">
        <f t="shared" si="2"/>
        <v>0</v>
      </c>
    </row>
    <row r="3533" ht="16.5" customHeight="1">
      <c r="A3533" s="15" t="str">
        <f>Solieusap!A3533</f>
        <v/>
      </c>
      <c r="B3533" s="15" t="str">
        <f>Solieusap!B3533</f>
        <v/>
      </c>
      <c r="C3533" s="15" t="str">
        <f>Solieusap!C3533</f>
        <v/>
      </c>
      <c r="D3533" s="15" t="str">
        <f>Solieusap!D3533</f>
        <v/>
      </c>
      <c r="E3533" s="16">
        <f>ABS(Solieusap!E3533)</f>
        <v>0</v>
      </c>
      <c r="F3533" s="16">
        <f>ABS(Solieusap!F3533)</f>
        <v>0</v>
      </c>
      <c r="G3533" s="16">
        <f>ABS(Solieusap!G3533)</f>
        <v>0</v>
      </c>
      <c r="H3533" s="16">
        <f>ABS(Solieusap!H3533)</f>
        <v>0</v>
      </c>
      <c r="I3533" s="16">
        <f>ABS(Solieusap!I3533)</f>
        <v>0</v>
      </c>
      <c r="J3533" s="16">
        <f>ABS(Solieusap!J3533)</f>
        <v>0</v>
      </c>
      <c r="K3533" s="16">
        <f t="shared" si="1"/>
        <v>0</v>
      </c>
      <c r="L3533" s="16">
        <f t="shared" si="2"/>
        <v>0</v>
      </c>
    </row>
    <row r="3534" ht="16.5" customHeight="1">
      <c r="A3534" s="15" t="str">
        <f>Solieusap!A3534</f>
        <v/>
      </c>
      <c r="B3534" s="15" t="str">
        <f>Solieusap!B3534</f>
        <v/>
      </c>
      <c r="C3534" s="15" t="str">
        <f>Solieusap!C3534</f>
        <v/>
      </c>
      <c r="D3534" s="15" t="str">
        <f>Solieusap!D3534</f>
        <v/>
      </c>
      <c r="E3534" s="16">
        <f>ABS(Solieusap!E3534)</f>
        <v>0</v>
      </c>
      <c r="F3534" s="16">
        <f>ABS(Solieusap!F3534)</f>
        <v>0</v>
      </c>
      <c r="G3534" s="16">
        <f>ABS(Solieusap!G3534)</f>
        <v>0</v>
      </c>
      <c r="H3534" s="16">
        <f>ABS(Solieusap!H3534)</f>
        <v>0</v>
      </c>
      <c r="I3534" s="16">
        <f>ABS(Solieusap!I3534)</f>
        <v>0</v>
      </c>
      <c r="J3534" s="16">
        <f>ABS(Solieusap!J3534)</f>
        <v>0</v>
      </c>
      <c r="K3534" s="16">
        <f t="shared" si="1"/>
        <v>0</v>
      </c>
      <c r="L3534" s="16">
        <f t="shared" si="2"/>
        <v>0</v>
      </c>
    </row>
    <row r="3535" ht="16.5" customHeight="1">
      <c r="A3535" s="15" t="str">
        <f>Solieusap!A3535</f>
        <v/>
      </c>
      <c r="B3535" s="15" t="str">
        <f>Solieusap!B3535</f>
        <v/>
      </c>
      <c r="C3535" s="15" t="str">
        <f>Solieusap!C3535</f>
        <v/>
      </c>
      <c r="D3535" s="15" t="str">
        <f>Solieusap!D3535</f>
        <v/>
      </c>
      <c r="E3535" s="16">
        <f>ABS(Solieusap!E3535)</f>
        <v>0</v>
      </c>
      <c r="F3535" s="16">
        <f>ABS(Solieusap!F3535)</f>
        <v>0</v>
      </c>
      <c r="G3535" s="16">
        <f>ABS(Solieusap!G3535)</f>
        <v>0</v>
      </c>
      <c r="H3535" s="16">
        <f>ABS(Solieusap!H3535)</f>
        <v>0</v>
      </c>
      <c r="I3535" s="16">
        <f>ABS(Solieusap!I3535)</f>
        <v>0</v>
      </c>
      <c r="J3535" s="16">
        <f>ABS(Solieusap!J3535)</f>
        <v>0</v>
      </c>
      <c r="K3535" s="16">
        <f t="shared" si="1"/>
        <v>0</v>
      </c>
      <c r="L3535" s="16">
        <f t="shared" si="2"/>
        <v>0</v>
      </c>
    </row>
    <row r="3536" ht="16.5" customHeight="1">
      <c r="A3536" s="15" t="str">
        <f>Solieusap!A3536</f>
        <v/>
      </c>
      <c r="B3536" s="15" t="str">
        <f>Solieusap!B3536</f>
        <v/>
      </c>
      <c r="C3536" s="15" t="str">
        <f>Solieusap!C3536</f>
        <v/>
      </c>
      <c r="D3536" s="15" t="str">
        <f>Solieusap!D3536</f>
        <v/>
      </c>
      <c r="E3536" s="16">
        <f>ABS(Solieusap!E3536)</f>
        <v>0</v>
      </c>
      <c r="F3536" s="16">
        <f>ABS(Solieusap!F3536)</f>
        <v>0</v>
      </c>
      <c r="G3536" s="16">
        <f>ABS(Solieusap!G3536)</f>
        <v>0</v>
      </c>
      <c r="H3536" s="16">
        <f>ABS(Solieusap!H3536)</f>
        <v>0</v>
      </c>
      <c r="I3536" s="16">
        <f>ABS(Solieusap!I3536)</f>
        <v>0</v>
      </c>
      <c r="J3536" s="16">
        <f>ABS(Solieusap!J3536)</f>
        <v>0</v>
      </c>
      <c r="K3536" s="16">
        <f t="shared" si="1"/>
        <v>0</v>
      </c>
      <c r="L3536" s="16">
        <f t="shared" si="2"/>
        <v>0</v>
      </c>
    </row>
    <row r="3537" ht="16.5" customHeight="1">
      <c r="A3537" s="15" t="str">
        <f>Solieusap!A3537</f>
        <v/>
      </c>
      <c r="B3537" s="15" t="str">
        <f>Solieusap!B3537</f>
        <v/>
      </c>
      <c r="C3537" s="15" t="str">
        <f>Solieusap!C3537</f>
        <v/>
      </c>
      <c r="D3537" s="15" t="str">
        <f>Solieusap!D3537</f>
        <v/>
      </c>
      <c r="E3537" s="16">
        <f>ABS(Solieusap!E3537)</f>
        <v>0</v>
      </c>
      <c r="F3537" s="16">
        <f>ABS(Solieusap!F3537)</f>
        <v>0</v>
      </c>
      <c r="G3537" s="16">
        <f>ABS(Solieusap!G3537)</f>
        <v>0</v>
      </c>
      <c r="H3537" s="16">
        <f>ABS(Solieusap!H3537)</f>
        <v>0</v>
      </c>
      <c r="I3537" s="16">
        <f>ABS(Solieusap!I3537)</f>
        <v>0</v>
      </c>
      <c r="J3537" s="16">
        <f>ABS(Solieusap!J3537)</f>
        <v>0</v>
      </c>
      <c r="K3537" s="16">
        <f t="shared" si="1"/>
        <v>0</v>
      </c>
      <c r="L3537" s="16">
        <f t="shared" si="2"/>
        <v>0</v>
      </c>
    </row>
    <row r="3538" ht="16.5" customHeight="1">
      <c r="A3538" s="15" t="str">
        <f>Solieusap!A3538</f>
        <v/>
      </c>
      <c r="B3538" s="15" t="str">
        <f>Solieusap!B3538</f>
        <v/>
      </c>
      <c r="C3538" s="15" t="str">
        <f>Solieusap!C3538</f>
        <v/>
      </c>
      <c r="D3538" s="15" t="str">
        <f>Solieusap!D3538</f>
        <v/>
      </c>
      <c r="E3538" s="16">
        <f>ABS(Solieusap!E3538)</f>
        <v>0</v>
      </c>
      <c r="F3538" s="16">
        <f>ABS(Solieusap!F3538)</f>
        <v>0</v>
      </c>
      <c r="G3538" s="16">
        <f>ABS(Solieusap!G3538)</f>
        <v>0</v>
      </c>
      <c r="H3538" s="16">
        <f>ABS(Solieusap!H3538)</f>
        <v>0</v>
      </c>
      <c r="I3538" s="16">
        <f>ABS(Solieusap!I3538)</f>
        <v>0</v>
      </c>
      <c r="J3538" s="16">
        <f>ABS(Solieusap!J3538)</f>
        <v>0</v>
      </c>
      <c r="K3538" s="16">
        <f t="shared" si="1"/>
        <v>0</v>
      </c>
      <c r="L3538" s="16">
        <f t="shared" si="2"/>
        <v>0</v>
      </c>
    </row>
    <row r="3539" ht="16.5" customHeight="1">
      <c r="A3539" s="15" t="str">
        <f>Solieusap!A3539</f>
        <v/>
      </c>
      <c r="B3539" s="15" t="str">
        <f>Solieusap!B3539</f>
        <v/>
      </c>
      <c r="C3539" s="15" t="str">
        <f>Solieusap!C3539</f>
        <v/>
      </c>
      <c r="D3539" s="15" t="str">
        <f>Solieusap!D3539</f>
        <v/>
      </c>
      <c r="E3539" s="16">
        <f>ABS(Solieusap!E3539)</f>
        <v>0</v>
      </c>
      <c r="F3539" s="16">
        <f>ABS(Solieusap!F3539)</f>
        <v>0</v>
      </c>
      <c r="G3539" s="16">
        <f>ABS(Solieusap!G3539)</f>
        <v>0</v>
      </c>
      <c r="H3539" s="16">
        <f>ABS(Solieusap!H3539)</f>
        <v>0</v>
      </c>
      <c r="I3539" s="16">
        <f>ABS(Solieusap!I3539)</f>
        <v>0</v>
      </c>
      <c r="J3539" s="16">
        <f>ABS(Solieusap!J3539)</f>
        <v>0</v>
      </c>
      <c r="K3539" s="16">
        <f t="shared" si="1"/>
        <v>0</v>
      </c>
      <c r="L3539" s="16">
        <f t="shared" si="2"/>
        <v>0</v>
      </c>
    </row>
    <row r="3540" ht="16.5" customHeight="1">
      <c r="A3540" s="15" t="str">
        <f>Solieusap!A3540</f>
        <v/>
      </c>
      <c r="B3540" s="15" t="str">
        <f>Solieusap!B3540</f>
        <v/>
      </c>
      <c r="C3540" s="15" t="str">
        <f>Solieusap!C3540</f>
        <v/>
      </c>
      <c r="D3540" s="15" t="str">
        <f>Solieusap!D3540</f>
        <v/>
      </c>
      <c r="E3540" s="16">
        <f>ABS(Solieusap!E3540)</f>
        <v>0</v>
      </c>
      <c r="F3540" s="16">
        <f>ABS(Solieusap!F3540)</f>
        <v>0</v>
      </c>
      <c r="G3540" s="16">
        <f>ABS(Solieusap!G3540)</f>
        <v>0</v>
      </c>
      <c r="H3540" s="16">
        <f>ABS(Solieusap!H3540)</f>
        <v>0</v>
      </c>
      <c r="I3540" s="16">
        <f>ABS(Solieusap!I3540)</f>
        <v>0</v>
      </c>
      <c r="J3540" s="16">
        <f>ABS(Solieusap!J3540)</f>
        <v>0</v>
      </c>
      <c r="K3540" s="16">
        <f t="shared" si="1"/>
        <v>0</v>
      </c>
      <c r="L3540" s="16">
        <f t="shared" si="2"/>
        <v>0</v>
      </c>
    </row>
    <row r="3541" ht="16.5" customHeight="1">
      <c r="A3541" s="15" t="str">
        <f>Solieusap!A3541</f>
        <v/>
      </c>
      <c r="B3541" s="15" t="str">
        <f>Solieusap!B3541</f>
        <v/>
      </c>
      <c r="C3541" s="15" t="str">
        <f>Solieusap!C3541</f>
        <v/>
      </c>
      <c r="D3541" s="15" t="str">
        <f>Solieusap!D3541</f>
        <v/>
      </c>
      <c r="E3541" s="16">
        <f>ABS(Solieusap!E3541)</f>
        <v>0</v>
      </c>
      <c r="F3541" s="16">
        <f>ABS(Solieusap!F3541)</f>
        <v>0</v>
      </c>
      <c r="G3541" s="16">
        <f>ABS(Solieusap!G3541)</f>
        <v>0</v>
      </c>
      <c r="H3541" s="16">
        <f>ABS(Solieusap!H3541)</f>
        <v>0</v>
      </c>
      <c r="I3541" s="16">
        <f>ABS(Solieusap!I3541)</f>
        <v>0</v>
      </c>
      <c r="J3541" s="16">
        <f>ABS(Solieusap!J3541)</f>
        <v>0</v>
      </c>
      <c r="K3541" s="16">
        <f t="shared" si="1"/>
        <v>0</v>
      </c>
      <c r="L3541" s="16">
        <f t="shared" si="2"/>
        <v>0</v>
      </c>
    </row>
    <row r="3542" ht="16.5" customHeight="1">
      <c r="A3542" s="15" t="str">
        <f>Solieusap!A3542</f>
        <v/>
      </c>
      <c r="B3542" s="15" t="str">
        <f>Solieusap!B3542</f>
        <v/>
      </c>
      <c r="C3542" s="15" t="str">
        <f>Solieusap!C3542</f>
        <v/>
      </c>
      <c r="D3542" s="15" t="str">
        <f>Solieusap!D3542</f>
        <v/>
      </c>
      <c r="E3542" s="16">
        <f>ABS(Solieusap!E3542)</f>
        <v>0</v>
      </c>
      <c r="F3542" s="16">
        <f>ABS(Solieusap!F3542)</f>
        <v>0</v>
      </c>
      <c r="G3542" s="16">
        <f>ABS(Solieusap!G3542)</f>
        <v>0</v>
      </c>
      <c r="H3542" s="16">
        <f>ABS(Solieusap!H3542)</f>
        <v>0</v>
      </c>
      <c r="I3542" s="16">
        <f>ABS(Solieusap!I3542)</f>
        <v>0</v>
      </c>
      <c r="J3542" s="16">
        <f>ABS(Solieusap!J3542)</f>
        <v>0</v>
      </c>
      <c r="K3542" s="16">
        <f t="shared" si="1"/>
        <v>0</v>
      </c>
      <c r="L3542" s="16">
        <f t="shared" si="2"/>
        <v>0</v>
      </c>
    </row>
    <row r="3543" ht="16.5" customHeight="1">
      <c r="A3543" s="15" t="str">
        <f>Solieusap!A3543</f>
        <v/>
      </c>
      <c r="B3543" s="15" t="str">
        <f>Solieusap!B3543</f>
        <v/>
      </c>
      <c r="C3543" s="15" t="str">
        <f>Solieusap!C3543</f>
        <v/>
      </c>
      <c r="D3543" s="15" t="str">
        <f>Solieusap!D3543</f>
        <v/>
      </c>
      <c r="E3543" s="16">
        <f>ABS(Solieusap!E3543)</f>
        <v>0</v>
      </c>
      <c r="F3543" s="16">
        <f>ABS(Solieusap!F3543)</f>
        <v>0</v>
      </c>
      <c r="G3543" s="16">
        <f>ABS(Solieusap!G3543)</f>
        <v>0</v>
      </c>
      <c r="H3543" s="16">
        <f>ABS(Solieusap!H3543)</f>
        <v>0</v>
      </c>
      <c r="I3543" s="16">
        <f>ABS(Solieusap!I3543)</f>
        <v>0</v>
      </c>
      <c r="J3543" s="16">
        <f>ABS(Solieusap!J3543)</f>
        <v>0</v>
      </c>
      <c r="K3543" s="16">
        <f t="shared" si="1"/>
        <v>0</v>
      </c>
      <c r="L3543" s="16">
        <f t="shared" si="2"/>
        <v>0</v>
      </c>
    </row>
    <row r="3544" ht="16.5" customHeight="1">
      <c r="A3544" s="15" t="str">
        <f>Solieusap!A3544</f>
        <v/>
      </c>
      <c r="B3544" s="15" t="str">
        <f>Solieusap!B3544</f>
        <v/>
      </c>
      <c r="C3544" s="15" t="str">
        <f>Solieusap!C3544</f>
        <v/>
      </c>
      <c r="D3544" s="15" t="str">
        <f>Solieusap!D3544</f>
        <v/>
      </c>
      <c r="E3544" s="16">
        <f>ABS(Solieusap!E3544)</f>
        <v>0</v>
      </c>
      <c r="F3544" s="16">
        <f>ABS(Solieusap!F3544)</f>
        <v>0</v>
      </c>
      <c r="G3544" s="16">
        <f>ABS(Solieusap!G3544)</f>
        <v>0</v>
      </c>
      <c r="H3544" s="16">
        <f>ABS(Solieusap!H3544)</f>
        <v>0</v>
      </c>
      <c r="I3544" s="16">
        <f>ABS(Solieusap!I3544)</f>
        <v>0</v>
      </c>
      <c r="J3544" s="16">
        <f>ABS(Solieusap!J3544)</f>
        <v>0</v>
      </c>
      <c r="K3544" s="16">
        <f t="shared" si="1"/>
        <v>0</v>
      </c>
      <c r="L3544" s="16">
        <f t="shared" si="2"/>
        <v>0</v>
      </c>
    </row>
    <row r="3545" ht="16.5" customHeight="1">
      <c r="A3545" s="15" t="str">
        <f>Solieusap!A3545</f>
        <v/>
      </c>
      <c r="B3545" s="15" t="str">
        <f>Solieusap!B3545</f>
        <v/>
      </c>
      <c r="C3545" s="15" t="str">
        <f>Solieusap!C3545</f>
        <v/>
      </c>
      <c r="D3545" s="15" t="str">
        <f>Solieusap!D3545</f>
        <v/>
      </c>
      <c r="E3545" s="16">
        <f>ABS(Solieusap!E3545)</f>
        <v>0</v>
      </c>
      <c r="F3545" s="16">
        <f>ABS(Solieusap!F3545)</f>
        <v>0</v>
      </c>
      <c r="G3545" s="16">
        <f>ABS(Solieusap!G3545)</f>
        <v>0</v>
      </c>
      <c r="H3545" s="16">
        <f>ABS(Solieusap!H3545)</f>
        <v>0</v>
      </c>
      <c r="I3545" s="16">
        <f>ABS(Solieusap!I3545)</f>
        <v>0</v>
      </c>
      <c r="J3545" s="16">
        <f>ABS(Solieusap!J3545)</f>
        <v>0</v>
      </c>
      <c r="K3545" s="16">
        <f t="shared" si="1"/>
        <v>0</v>
      </c>
      <c r="L3545" s="16">
        <f t="shared" si="2"/>
        <v>0</v>
      </c>
    </row>
    <row r="3546" ht="16.5" customHeight="1">
      <c r="A3546" s="15" t="str">
        <f>Solieusap!A3546</f>
        <v/>
      </c>
      <c r="B3546" s="15" t="str">
        <f>Solieusap!B3546</f>
        <v/>
      </c>
      <c r="C3546" s="15" t="str">
        <f>Solieusap!C3546</f>
        <v/>
      </c>
      <c r="D3546" s="15" t="str">
        <f>Solieusap!D3546</f>
        <v/>
      </c>
      <c r="E3546" s="16">
        <f>ABS(Solieusap!E3546)</f>
        <v>0</v>
      </c>
      <c r="F3546" s="16">
        <f>ABS(Solieusap!F3546)</f>
        <v>0</v>
      </c>
      <c r="G3546" s="16">
        <f>ABS(Solieusap!G3546)</f>
        <v>0</v>
      </c>
      <c r="H3546" s="16">
        <f>ABS(Solieusap!H3546)</f>
        <v>0</v>
      </c>
      <c r="I3546" s="16">
        <f>ABS(Solieusap!I3546)</f>
        <v>0</v>
      </c>
      <c r="J3546" s="16">
        <f>ABS(Solieusap!J3546)</f>
        <v>0</v>
      </c>
      <c r="K3546" s="16">
        <f t="shared" si="1"/>
        <v>0</v>
      </c>
      <c r="L3546" s="16">
        <f t="shared" si="2"/>
        <v>0</v>
      </c>
    </row>
    <row r="3547" ht="16.5" customHeight="1">
      <c r="A3547" s="15" t="str">
        <f>Solieusap!A3547</f>
        <v/>
      </c>
      <c r="B3547" s="15" t="str">
        <f>Solieusap!B3547</f>
        <v/>
      </c>
      <c r="C3547" s="15" t="str">
        <f>Solieusap!C3547</f>
        <v/>
      </c>
      <c r="D3547" s="15" t="str">
        <f>Solieusap!D3547</f>
        <v/>
      </c>
      <c r="E3547" s="16">
        <f>ABS(Solieusap!E3547)</f>
        <v>0</v>
      </c>
      <c r="F3547" s="16">
        <f>ABS(Solieusap!F3547)</f>
        <v>0</v>
      </c>
      <c r="G3547" s="16">
        <f>ABS(Solieusap!G3547)</f>
        <v>0</v>
      </c>
      <c r="H3547" s="16">
        <f>ABS(Solieusap!H3547)</f>
        <v>0</v>
      </c>
      <c r="I3547" s="16">
        <f>ABS(Solieusap!I3547)</f>
        <v>0</v>
      </c>
      <c r="J3547" s="16">
        <f>ABS(Solieusap!J3547)</f>
        <v>0</v>
      </c>
      <c r="K3547" s="16">
        <f t="shared" si="1"/>
        <v>0</v>
      </c>
      <c r="L3547" s="16">
        <f t="shared" si="2"/>
        <v>0</v>
      </c>
    </row>
    <row r="3548" ht="16.5" customHeight="1">
      <c r="A3548" s="15" t="str">
        <f>Solieusap!A3548</f>
        <v/>
      </c>
      <c r="B3548" s="15" t="str">
        <f>Solieusap!B3548</f>
        <v/>
      </c>
      <c r="C3548" s="15" t="str">
        <f>Solieusap!C3548</f>
        <v/>
      </c>
      <c r="D3548" s="15" t="str">
        <f>Solieusap!D3548</f>
        <v/>
      </c>
      <c r="E3548" s="16">
        <f>ABS(Solieusap!E3548)</f>
        <v>0</v>
      </c>
      <c r="F3548" s="16">
        <f>ABS(Solieusap!F3548)</f>
        <v>0</v>
      </c>
      <c r="G3548" s="16">
        <f>ABS(Solieusap!G3548)</f>
        <v>0</v>
      </c>
      <c r="H3548" s="16">
        <f>ABS(Solieusap!H3548)</f>
        <v>0</v>
      </c>
      <c r="I3548" s="16">
        <f>ABS(Solieusap!I3548)</f>
        <v>0</v>
      </c>
      <c r="J3548" s="16">
        <f>ABS(Solieusap!J3548)</f>
        <v>0</v>
      </c>
      <c r="K3548" s="16">
        <f t="shared" si="1"/>
        <v>0</v>
      </c>
      <c r="L3548" s="16">
        <f t="shared" si="2"/>
        <v>0</v>
      </c>
    </row>
    <row r="3549" ht="16.5" customHeight="1">
      <c r="A3549" s="15" t="str">
        <f>Solieusap!A3549</f>
        <v/>
      </c>
      <c r="B3549" s="15" t="str">
        <f>Solieusap!B3549</f>
        <v/>
      </c>
      <c r="C3549" s="15" t="str">
        <f>Solieusap!C3549</f>
        <v/>
      </c>
      <c r="D3549" s="15" t="str">
        <f>Solieusap!D3549</f>
        <v/>
      </c>
      <c r="E3549" s="16">
        <f>ABS(Solieusap!E3549)</f>
        <v>0</v>
      </c>
      <c r="F3549" s="16">
        <f>ABS(Solieusap!F3549)</f>
        <v>0</v>
      </c>
      <c r="G3549" s="16">
        <f>ABS(Solieusap!G3549)</f>
        <v>0</v>
      </c>
      <c r="H3549" s="16">
        <f>ABS(Solieusap!H3549)</f>
        <v>0</v>
      </c>
      <c r="I3549" s="16">
        <f>ABS(Solieusap!I3549)</f>
        <v>0</v>
      </c>
      <c r="J3549" s="16">
        <f>ABS(Solieusap!J3549)</f>
        <v>0</v>
      </c>
      <c r="K3549" s="16">
        <f t="shared" si="1"/>
        <v>0</v>
      </c>
      <c r="L3549" s="16">
        <f t="shared" si="2"/>
        <v>0</v>
      </c>
    </row>
    <row r="3550" ht="16.5" customHeight="1">
      <c r="A3550" s="15" t="str">
        <f>Solieusap!A3550</f>
        <v/>
      </c>
      <c r="B3550" s="15" t="str">
        <f>Solieusap!B3550</f>
        <v/>
      </c>
      <c r="C3550" s="15" t="str">
        <f>Solieusap!C3550</f>
        <v/>
      </c>
      <c r="D3550" s="15" t="str">
        <f>Solieusap!D3550</f>
        <v/>
      </c>
      <c r="E3550" s="16">
        <f>ABS(Solieusap!E3550)</f>
        <v>0</v>
      </c>
      <c r="F3550" s="16">
        <f>ABS(Solieusap!F3550)</f>
        <v>0</v>
      </c>
      <c r="G3550" s="16">
        <f>ABS(Solieusap!G3550)</f>
        <v>0</v>
      </c>
      <c r="H3550" s="16">
        <f>ABS(Solieusap!H3550)</f>
        <v>0</v>
      </c>
      <c r="I3550" s="16">
        <f>ABS(Solieusap!I3550)</f>
        <v>0</v>
      </c>
      <c r="J3550" s="16">
        <f>ABS(Solieusap!J3550)</f>
        <v>0</v>
      </c>
      <c r="K3550" s="16">
        <f t="shared" si="1"/>
        <v>0</v>
      </c>
      <c r="L3550" s="16">
        <f t="shared" si="2"/>
        <v>0</v>
      </c>
    </row>
    <row r="3551" ht="16.5" customHeight="1">
      <c r="A3551" s="15" t="str">
        <f>Solieusap!A3551</f>
        <v/>
      </c>
      <c r="B3551" s="15" t="str">
        <f>Solieusap!B3551</f>
        <v/>
      </c>
      <c r="C3551" s="15" t="str">
        <f>Solieusap!C3551</f>
        <v/>
      </c>
      <c r="D3551" s="15" t="str">
        <f>Solieusap!D3551</f>
        <v/>
      </c>
      <c r="E3551" s="16">
        <f>ABS(Solieusap!E3551)</f>
        <v>0</v>
      </c>
      <c r="F3551" s="16">
        <f>ABS(Solieusap!F3551)</f>
        <v>0</v>
      </c>
      <c r="G3551" s="16">
        <f>ABS(Solieusap!G3551)</f>
        <v>0</v>
      </c>
      <c r="H3551" s="16">
        <f>ABS(Solieusap!H3551)</f>
        <v>0</v>
      </c>
      <c r="I3551" s="16">
        <f>ABS(Solieusap!I3551)</f>
        <v>0</v>
      </c>
      <c r="J3551" s="16">
        <f>ABS(Solieusap!J3551)</f>
        <v>0</v>
      </c>
      <c r="K3551" s="16">
        <f t="shared" si="1"/>
        <v>0</v>
      </c>
      <c r="L3551" s="16">
        <f t="shared" si="2"/>
        <v>0</v>
      </c>
    </row>
    <row r="3552" ht="16.5" customHeight="1">
      <c r="A3552" s="15" t="str">
        <f>Solieusap!A3552</f>
        <v/>
      </c>
      <c r="B3552" s="15" t="str">
        <f>Solieusap!B3552</f>
        <v/>
      </c>
      <c r="C3552" s="15" t="str">
        <f>Solieusap!C3552</f>
        <v/>
      </c>
      <c r="D3552" s="15" t="str">
        <f>Solieusap!D3552</f>
        <v/>
      </c>
      <c r="E3552" s="16">
        <f>ABS(Solieusap!E3552)</f>
        <v>0</v>
      </c>
      <c r="F3552" s="16">
        <f>ABS(Solieusap!F3552)</f>
        <v>0</v>
      </c>
      <c r="G3552" s="16">
        <f>ABS(Solieusap!G3552)</f>
        <v>0</v>
      </c>
      <c r="H3552" s="16">
        <f>ABS(Solieusap!H3552)</f>
        <v>0</v>
      </c>
      <c r="I3552" s="16">
        <f>ABS(Solieusap!I3552)</f>
        <v>0</v>
      </c>
      <c r="J3552" s="16">
        <f>ABS(Solieusap!J3552)</f>
        <v>0</v>
      </c>
      <c r="K3552" s="16">
        <f t="shared" si="1"/>
        <v>0</v>
      </c>
      <c r="L3552" s="16">
        <f t="shared" si="2"/>
        <v>0</v>
      </c>
    </row>
    <row r="3553" ht="16.5" customHeight="1">
      <c r="A3553" s="15" t="str">
        <f>Solieusap!A3553</f>
        <v/>
      </c>
      <c r="B3553" s="15" t="str">
        <f>Solieusap!B3553</f>
        <v/>
      </c>
      <c r="C3553" s="15" t="str">
        <f>Solieusap!C3553</f>
        <v/>
      </c>
      <c r="D3553" s="15" t="str">
        <f>Solieusap!D3553</f>
        <v/>
      </c>
      <c r="E3553" s="16">
        <f>ABS(Solieusap!E3553)</f>
        <v>0</v>
      </c>
      <c r="F3553" s="16">
        <f>ABS(Solieusap!F3553)</f>
        <v>0</v>
      </c>
      <c r="G3553" s="16">
        <f>ABS(Solieusap!G3553)</f>
        <v>0</v>
      </c>
      <c r="H3553" s="16">
        <f>ABS(Solieusap!H3553)</f>
        <v>0</v>
      </c>
      <c r="I3553" s="16">
        <f>ABS(Solieusap!I3553)</f>
        <v>0</v>
      </c>
      <c r="J3553" s="16">
        <f>ABS(Solieusap!J3553)</f>
        <v>0</v>
      </c>
      <c r="K3553" s="16">
        <f t="shared" si="1"/>
        <v>0</v>
      </c>
      <c r="L3553" s="16">
        <f t="shared" si="2"/>
        <v>0</v>
      </c>
    </row>
    <row r="3554" ht="16.5" customHeight="1">
      <c r="A3554" s="15" t="str">
        <f>Solieusap!A3554</f>
        <v/>
      </c>
      <c r="B3554" s="15" t="str">
        <f>Solieusap!B3554</f>
        <v/>
      </c>
      <c r="C3554" s="15" t="str">
        <f>Solieusap!C3554</f>
        <v/>
      </c>
      <c r="D3554" s="15" t="str">
        <f>Solieusap!D3554</f>
        <v/>
      </c>
      <c r="E3554" s="16">
        <f>ABS(Solieusap!E3554)</f>
        <v>0</v>
      </c>
      <c r="F3554" s="16">
        <f>ABS(Solieusap!F3554)</f>
        <v>0</v>
      </c>
      <c r="G3554" s="16">
        <f>ABS(Solieusap!G3554)</f>
        <v>0</v>
      </c>
      <c r="H3554" s="16">
        <f>ABS(Solieusap!H3554)</f>
        <v>0</v>
      </c>
      <c r="I3554" s="16">
        <f>ABS(Solieusap!I3554)</f>
        <v>0</v>
      </c>
      <c r="J3554" s="16">
        <f>ABS(Solieusap!J3554)</f>
        <v>0</v>
      </c>
      <c r="K3554" s="16">
        <f t="shared" si="1"/>
        <v>0</v>
      </c>
      <c r="L3554" s="16">
        <f t="shared" si="2"/>
        <v>0</v>
      </c>
    </row>
    <row r="3555" ht="16.5" customHeight="1">
      <c r="A3555" s="15" t="str">
        <f>Solieusap!A3555</f>
        <v/>
      </c>
      <c r="B3555" s="15" t="str">
        <f>Solieusap!B3555</f>
        <v/>
      </c>
      <c r="C3555" s="15" t="str">
        <f>Solieusap!C3555</f>
        <v/>
      </c>
      <c r="D3555" s="15" t="str">
        <f>Solieusap!D3555</f>
        <v/>
      </c>
      <c r="E3555" s="16">
        <f>ABS(Solieusap!E3555)</f>
        <v>0</v>
      </c>
      <c r="F3555" s="16">
        <f>ABS(Solieusap!F3555)</f>
        <v>0</v>
      </c>
      <c r="G3555" s="16">
        <f>ABS(Solieusap!G3555)</f>
        <v>0</v>
      </c>
      <c r="H3555" s="16">
        <f>ABS(Solieusap!H3555)</f>
        <v>0</v>
      </c>
      <c r="I3555" s="16">
        <f>ABS(Solieusap!I3555)</f>
        <v>0</v>
      </c>
      <c r="J3555" s="16">
        <f>ABS(Solieusap!J3555)</f>
        <v>0</v>
      </c>
      <c r="K3555" s="16">
        <f t="shared" si="1"/>
        <v>0</v>
      </c>
      <c r="L3555" s="16">
        <f t="shared" si="2"/>
        <v>0</v>
      </c>
    </row>
    <row r="3556" ht="16.5" customHeight="1">
      <c r="A3556" s="15" t="str">
        <f>Solieusap!A3556</f>
        <v/>
      </c>
      <c r="B3556" s="15" t="str">
        <f>Solieusap!B3556</f>
        <v/>
      </c>
      <c r="C3556" s="15" t="str">
        <f>Solieusap!C3556</f>
        <v/>
      </c>
      <c r="D3556" s="15" t="str">
        <f>Solieusap!D3556</f>
        <v/>
      </c>
      <c r="E3556" s="16">
        <f>ABS(Solieusap!E3556)</f>
        <v>0</v>
      </c>
      <c r="F3556" s="16">
        <f>ABS(Solieusap!F3556)</f>
        <v>0</v>
      </c>
      <c r="G3556" s="16">
        <f>ABS(Solieusap!G3556)</f>
        <v>0</v>
      </c>
      <c r="H3556" s="16">
        <f>ABS(Solieusap!H3556)</f>
        <v>0</v>
      </c>
      <c r="I3556" s="16">
        <f>ABS(Solieusap!I3556)</f>
        <v>0</v>
      </c>
      <c r="J3556" s="16">
        <f>ABS(Solieusap!J3556)</f>
        <v>0</v>
      </c>
      <c r="K3556" s="16">
        <f t="shared" si="1"/>
        <v>0</v>
      </c>
      <c r="L3556" s="16">
        <f t="shared" si="2"/>
        <v>0</v>
      </c>
    </row>
    <row r="3557" ht="16.5" customHeight="1">
      <c r="A3557" s="15" t="str">
        <f>Solieusap!A3557</f>
        <v/>
      </c>
      <c r="B3557" s="15" t="str">
        <f>Solieusap!B3557</f>
        <v/>
      </c>
      <c r="C3557" s="15" t="str">
        <f>Solieusap!C3557</f>
        <v/>
      </c>
      <c r="D3557" s="15" t="str">
        <f>Solieusap!D3557</f>
        <v/>
      </c>
      <c r="E3557" s="16">
        <f>ABS(Solieusap!E3557)</f>
        <v>0</v>
      </c>
      <c r="F3557" s="16">
        <f>ABS(Solieusap!F3557)</f>
        <v>0</v>
      </c>
      <c r="G3557" s="16">
        <f>ABS(Solieusap!G3557)</f>
        <v>0</v>
      </c>
      <c r="H3557" s="16">
        <f>ABS(Solieusap!H3557)</f>
        <v>0</v>
      </c>
      <c r="I3557" s="16">
        <f>ABS(Solieusap!I3557)</f>
        <v>0</v>
      </c>
      <c r="J3557" s="16">
        <f>ABS(Solieusap!J3557)</f>
        <v>0</v>
      </c>
      <c r="K3557" s="16">
        <f t="shared" si="1"/>
        <v>0</v>
      </c>
      <c r="L3557" s="16">
        <f t="shared" si="2"/>
        <v>0</v>
      </c>
    </row>
    <row r="3558" ht="16.5" customHeight="1">
      <c r="A3558" s="15" t="str">
        <f>Solieusap!A3558</f>
        <v/>
      </c>
      <c r="B3558" s="15" t="str">
        <f>Solieusap!B3558</f>
        <v/>
      </c>
      <c r="C3558" s="15" t="str">
        <f>Solieusap!C3558</f>
        <v/>
      </c>
      <c r="D3558" s="15" t="str">
        <f>Solieusap!D3558</f>
        <v/>
      </c>
      <c r="E3558" s="16">
        <f>ABS(Solieusap!E3558)</f>
        <v>0</v>
      </c>
      <c r="F3558" s="16">
        <f>ABS(Solieusap!F3558)</f>
        <v>0</v>
      </c>
      <c r="G3558" s="16">
        <f>ABS(Solieusap!G3558)</f>
        <v>0</v>
      </c>
      <c r="H3558" s="16">
        <f>ABS(Solieusap!H3558)</f>
        <v>0</v>
      </c>
      <c r="I3558" s="16">
        <f>ABS(Solieusap!I3558)</f>
        <v>0</v>
      </c>
      <c r="J3558" s="16">
        <f>ABS(Solieusap!J3558)</f>
        <v>0</v>
      </c>
      <c r="K3558" s="16">
        <f t="shared" si="1"/>
        <v>0</v>
      </c>
      <c r="L3558" s="16">
        <f t="shared" si="2"/>
        <v>0</v>
      </c>
    </row>
    <row r="3559" ht="16.5" customHeight="1">
      <c r="A3559" s="15" t="str">
        <f>Solieusap!A3559</f>
        <v/>
      </c>
      <c r="B3559" s="15" t="str">
        <f>Solieusap!B3559</f>
        <v/>
      </c>
      <c r="C3559" s="15" t="str">
        <f>Solieusap!C3559</f>
        <v/>
      </c>
      <c r="D3559" s="15" t="str">
        <f>Solieusap!D3559</f>
        <v/>
      </c>
      <c r="E3559" s="16">
        <f>ABS(Solieusap!E3559)</f>
        <v>0</v>
      </c>
      <c r="F3559" s="16">
        <f>ABS(Solieusap!F3559)</f>
        <v>0</v>
      </c>
      <c r="G3559" s="16">
        <f>ABS(Solieusap!G3559)</f>
        <v>0</v>
      </c>
      <c r="H3559" s="16">
        <f>ABS(Solieusap!H3559)</f>
        <v>0</v>
      </c>
      <c r="I3559" s="16">
        <f>ABS(Solieusap!I3559)</f>
        <v>0</v>
      </c>
      <c r="J3559" s="16">
        <f>ABS(Solieusap!J3559)</f>
        <v>0</v>
      </c>
      <c r="K3559" s="16">
        <f t="shared" si="1"/>
        <v>0</v>
      </c>
      <c r="L3559" s="16">
        <f t="shared" si="2"/>
        <v>0</v>
      </c>
    </row>
    <row r="3560" ht="16.5" customHeight="1">
      <c r="A3560" s="15" t="str">
        <f>Solieusap!A3560</f>
        <v/>
      </c>
      <c r="B3560" s="15" t="str">
        <f>Solieusap!B3560</f>
        <v/>
      </c>
      <c r="C3560" s="15" t="str">
        <f>Solieusap!C3560</f>
        <v/>
      </c>
      <c r="D3560" s="15" t="str">
        <f>Solieusap!D3560</f>
        <v/>
      </c>
      <c r="E3560" s="16">
        <f>ABS(Solieusap!E3560)</f>
        <v>0</v>
      </c>
      <c r="F3560" s="16">
        <f>ABS(Solieusap!F3560)</f>
        <v>0</v>
      </c>
      <c r="G3560" s="16">
        <f>ABS(Solieusap!G3560)</f>
        <v>0</v>
      </c>
      <c r="H3560" s="16">
        <f>ABS(Solieusap!H3560)</f>
        <v>0</v>
      </c>
      <c r="I3560" s="16">
        <f>ABS(Solieusap!I3560)</f>
        <v>0</v>
      </c>
      <c r="J3560" s="16">
        <f>ABS(Solieusap!J3560)</f>
        <v>0</v>
      </c>
      <c r="K3560" s="16">
        <f t="shared" si="1"/>
        <v>0</v>
      </c>
      <c r="L3560" s="16">
        <f t="shared" si="2"/>
        <v>0</v>
      </c>
    </row>
    <row r="3561" ht="16.5" customHeight="1">
      <c r="A3561" s="15" t="str">
        <f>Solieusap!A3561</f>
        <v/>
      </c>
      <c r="B3561" s="15" t="str">
        <f>Solieusap!B3561</f>
        <v/>
      </c>
      <c r="C3561" s="15" t="str">
        <f>Solieusap!C3561</f>
        <v/>
      </c>
      <c r="D3561" s="15" t="str">
        <f>Solieusap!D3561</f>
        <v/>
      </c>
      <c r="E3561" s="16">
        <f>ABS(Solieusap!E3561)</f>
        <v>0</v>
      </c>
      <c r="F3561" s="16">
        <f>ABS(Solieusap!F3561)</f>
        <v>0</v>
      </c>
      <c r="G3561" s="16">
        <f>ABS(Solieusap!G3561)</f>
        <v>0</v>
      </c>
      <c r="H3561" s="16">
        <f>ABS(Solieusap!H3561)</f>
        <v>0</v>
      </c>
      <c r="I3561" s="16">
        <f>ABS(Solieusap!I3561)</f>
        <v>0</v>
      </c>
      <c r="J3561" s="16">
        <f>ABS(Solieusap!J3561)</f>
        <v>0</v>
      </c>
      <c r="K3561" s="16">
        <f t="shared" si="1"/>
        <v>0</v>
      </c>
      <c r="L3561" s="16">
        <f t="shared" si="2"/>
        <v>0</v>
      </c>
    </row>
    <row r="3562" ht="16.5" customHeight="1">
      <c r="A3562" s="15" t="str">
        <f>Solieusap!A3562</f>
        <v/>
      </c>
      <c r="B3562" s="15" t="str">
        <f>Solieusap!B3562</f>
        <v/>
      </c>
      <c r="C3562" s="15" t="str">
        <f>Solieusap!C3562</f>
        <v/>
      </c>
      <c r="D3562" s="15" t="str">
        <f>Solieusap!D3562</f>
        <v/>
      </c>
      <c r="E3562" s="16">
        <f>ABS(Solieusap!E3562)</f>
        <v>0</v>
      </c>
      <c r="F3562" s="16">
        <f>ABS(Solieusap!F3562)</f>
        <v>0</v>
      </c>
      <c r="G3562" s="16">
        <f>ABS(Solieusap!G3562)</f>
        <v>0</v>
      </c>
      <c r="H3562" s="16">
        <f>ABS(Solieusap!H3562)</f>
        <v>0</v>
      </c>
      <c r="I3562" s="16">
        <f>ABS(Solieusap!I3562)</f>
        <v>0</v>
      </c>
      <c r="J3562" s="16">
        <f>ABS(Solieusap!J3562)</f>
        <v>0</v>
      </c>
      <c r="K3562" s="16">
        <f t="shared" si="1"/>
        <v>0</v>
      </c>
      <c r="L3562" s="16">
        <f t="shared" si="2"/>
        <v>0</v>
      </c>
    </row>
    <row r="3563" ht="16.5" customHeight="1">
      <c r="A3563" s="15" t="str">
        <f>Solieusap!A3563</f>
        <v/>
      </c>
      <c r="B3563" s="15" t="str">
        <f>Solieusap!B3563</f>
        <v/>
      </c>
      <c r="C3563" s="15" t="str">
        <f>Solieusap!C3563</f>
        <v/>
      </c>
      <c r="D3563" s="15" t="str">
        <f>Solieusap!D3563</f>
        <v/>
      </c>
      <c r="E3563" s="16">
        <f>ABS(Solieusap!E3563)</f>
        <v>0</v>
      </c>
      <c r="F3563" s="16">
        <f>ABS(Solieusap!F3563)</f>
        <v>0</v>
      </c>
      <c r="G3563" s="16">
        <f>ABS(Solieusap!G3563)</f>
        <v>0</v>
      </c>
      <c r="H3563" s="16">
        <f>ABS(Solieusap!H3563)</f>
        <v>0</v>
      </c>
      <c r="I3563" s="16">
        <f>ABS(Solieusap!I3563)</f>
        <v>0</v>
      </c>
      <c r="J3563" s="16">
        <f>ABS(Solieusap!J3563)</f>
        <v>0</v>
      </c>
      <c r="K3563" s="16">
        <f t="shared" si="1"/>
        <v>0</v>
      </c>
      <c r="L3563" s="16">
        <f t="shared" si="2"/>
        <v>0</v>
      </c>
    </row>
    <row r="3564" ht="16.5" customHeight="1">
      <c r="A3564" s="15" t="str">
        <f>Solieusap!A3564</f>
        <v/>
      </c>
      <c r="B3564" s="15" t="str">
        <f>Solieusap!B3564</f>
        <v/>
      </c>
      <c r="C3564" s="15" t="str">
        <f>Solieusap!C3564</f>
        <v/>
      </c>
      <c r="D3564" s="15" t="str">
        <f>Solieusap!D3564</f>
        <v/>
      </c>
      <c r="E3564" s="16">
        <f>ABS(Solieusap!E3564)</f>
        <v>0</v>
      </c>
      <c r="F3564" s="16">
        <f>ABS(Solieusap!F3564)</f>
        <v>0</v>
      </c>
      <c r="G3564" s="16">
        <f>ABS(Solieusap!G3564)</f>
        <v>0</v>
      </c>
      <c r="H3564" s="16">
        <f>ABS(Solieusap!H3564)</f>
        <v>0</v>
      </c>
      <c r="I3564" s="16">
        <f>ABS(Solieusap!I3564)</f>
        <v>0</v>
      </c>
      <c r="J3564" s="16">
        <f>ABS(Solieusap!J3564)</f>
        <v>0</v>
      </c>
      <c r="K3564" s="16">
        <f t="shared" si="1"/>
        <v>0</v>
      </c>
      <c r="L3564" s="16">
        <f t="shared" si="2"/>
        <v>0</v>
      </c>
    </row>
    <row r="3565" ht="16.5" customHeight="1">
      <c r="A3565" s="15" t="str">
        <f>Solieusap!A3565</f>
        <v/>
      </c>
      <c r="B3565" s="15" t="str">
        <f>Solieusap!B3565</f>
        <v/>
      </c>
      <c r="C3565" s="15" t="str">
        <f>Solieusap!C3565</f>
        <v/>
      </c>
      <c r="D3565" s="15" t="str">
        <f>Solieusap!D3565</f>
        <v/>
      </c>
      <c r="E3565" s="16">
        <f>ABS(Solieusap!E3565)</f>
        <v>0</v>
      </c>
      <c r="F3565" s="16">
        <f>ABS(Solieusap!F3565)</f>
        <v>0</v>
      </c>
      <c r="G3565" s="16">
        <f>ABS(Solieusap!G3565)</f>
        <v>0</v>
      </c>
      <c r="H3565" s="16">
        <f>ABS(Solieusap!H3565)</f>
        <v>0</v>
      </c>
      <c r="I3565" s="16">
        <f>ABS(Solieusap!I3565)</f>
        <v>0</v>
      </c>
      <c r="J3565" s="16">
        <f>ABS(Solieusap!J3565)</f>
        <v>0</v>
      </c>
      <c r="K3565" s="16">
        <f t="shared" si="1"/>
        <v>0</v>
      </c>
      <c r="L3565" s="16">
        <f t="shared" si="2"/>
        <v>0</v>
      </c>
    </row>
    <row r="3566" ht="16.5" customHeight="1">
      <c r="A3566" s="15" t="str">
        <f>Solieusap!A3566</f>
        <v/>
      </c>
      <c r="B3566" s="15" t="str">
        <f>Solieusap!B3566</f>
        <v/>
      </c>
      <c r="C3566" s="15" t="str">
        <f>Solieusap!C3566</f>
        <v/>
      </c>
      <c r="D3566" s="15" t="str">
        <f>Solieusap!D3566</f>
        <v/>
      </c>
      <c r="E3566" s="16">
        <f>ABS(Solieusap!E3566)</f>
        <v>0</v>
      </c>
      <c r="F3566" s="16">
        <f>ABS(Solieusap!F3566)</f>
        <v>0</v>
      </c>
      <c r="G3566" s="16">
        <f>ABS(Solieusap!G3566)</f>
        <v>0</v>
      </c>
      <c r="H3566" s="16">
        <f>ABS(Solieusap!H3566)</f>
        <v>0</v>
      </c>
      <c r="I3566" s="16">
        <f>ABS(Solieusap!I3566)</f>
        <v>0</v>
      </c>
      <c r="J3566" s="16">
        <f>ABS(Solieusap!J3566)</f>
        <v>0</v>
      </c>
      <c r="K3566" s="16">
        <f t="shared" si="1"/>
        <v>0</v>
      </c>
      <c r="L3566" s="16">
        <f t="shared" si="2"/>
        <v>0</v>
      </c>
    </row>
    <row r="3567" ht="16.5" customHeight="1">
      <c r="A3567" s="15" t="str">
        <f>Solieusap!A3567</f>
        <v/>
      </c>
      <c r="B3567" s="15" t="str">
        <f>Solieusap!B3567</f>
        <v/>
      </c>
      <c r="C3567" s="15" t="str">
        <f>Solieusap!C3567</f>
        <v/>
      </c>
      <c r="D3567" s="15" t="str">
        <f>Solieusap!D3567</f>
        <v/>
      </c>
      <c r="E3567" s="16">
        <f>ABS(Solieusap!E3567)</f>
        <v>0</v>
      </c>
      <c r="F3567" s="16">
        <f>ABS(Solieusap!F3567)</f>
        <v>0</v>
      </c>
      <c r="G3567" s="16">
        <f>ABS(Solieusap!G3567)</f>
        <v>0</v>
      </c>
      <c r="H3567" s="16">
        <f>ABS(Solieusap!H3567)</f>
        <v>0</v>
      </c>
      <c r="I3567" s="16">
        <f>ABS(Solieusap!I3567)</f>
        <v>0</v>
      </c>
      <c r="J3567" s="16">
        <f>ABS(Solieusap!J3567)</f>
        <v>0</v>
      </c>
      <c r="K3567" s="16">
        <f t="shared" si="1"/>
        <v>0</v>
      </c>
      <c r="L3567" s="16">
        <f t="shared" si="2"/>
        <v>0</v>
      </c>
    </row>
    <row r="3568" ht="16.5" customHeight="1">
      <c r="A3568" s="15" t="str">
        <f>Solieusap!A3568</f>
        <v/>
      </c>
      <c r="B3568" s="15" t="str">
        <f>Solieusap!B3568</f>
        <v/>
      </c>
      <c r="C3568" s="15" t="str">
        <f>Solieusap!C3568</f>
        <v/>
      </c>
      <c r="D3568" s="15" t="str">
        <f>Solieusap!D3568</f>
        <v/>
      </c>
      <c r="E3568" s="16">
        <f>ABS(Solieusap!E3568)</f>
        <v>0</v>
      </c>
      <c r="F3568" s="16">
        <f>ABS(Solieusap!F3568)</f>
        <v>0</v>
      </c>
      <c r="G3568" s="16">
        <f>ABS(Solieusap!G3568)</f>
        <v>0</v>
      </c>
      <c r="H3568" s="16">
        <f>ABS(Solieusap!H3568)</f>
        <v>0</v>
      </c>
      <c r="I3568" s="16">
        <f>ABS(Solieusap!I3568)</f>
        <v>0</v>
      </c>
      <c r="J3568" s="16">
        <f>ABS(Solieusap!J3568)</f>
        <v>0</v>
      </c>
      <c r="K3568" s="16">
        <f t="shared" si="1"/>
        <v>0</v>
      </c>
      <c r="L3568" s="16">
        <f t="shared" si="2"/>
        <v>0</v>
      </c>
    </row>
    <row r="3569" ht="16.5" customHeight="1">
      <c r="A3569" s="15" t="str">
        <f>Solieusap!A3569</f>
        <v/>
      </c>
      <c r="B3569" s="15" t="str">
        <f>Solieusap!B3569</f>
        <v/>
      </c>
      <c r="C3569" s="15" t="str">
        <f>Solieusap!C3569</f>
        <v/>
      </c>
      <c r="D3569" s="15" t="str">
        <f>Solieusap!D3569</f>
        <v/>
      </c>
      <c r="E3569" s="16">
        <f>ABS(Solieusap!E3569)</f>
        <v>0</v>
      </c>
      <c r="F3569" s="16">
        <f>ABS(Solieusap!F3569)</f>
        <v>0</v>
      </c>
      <c r="G3569" s="16">
        <f>ABS(Solieusap!G3569)</f>
        <v>0</v>
      </c>
      <c r="H3569" s="16">
        <f>ABS(Solieusap!H3569)</f>
        <v>0</v>
      </c>
      <c r="I3569" s="16">
        <f>ABS(Solieusap!I3569)</f>
        <v>0</v>
      </c>
      <c r="J3569" s="16">
        <f>ABS(Solieusap!J3569)</f>
        <v>0</v>
      </c>
      <c r="K3569" s="16">
        <f t="shared" si="1"/>
        <v>0</v>
      </c>
      <c r="L3569" s="16">
        <f t="shared" si="2"/>
        <v>0</v>
      </c>
    </row>
    <row r="3570" ht="16.5" customHeight="1">
      <c r="A3570" s="15" t="str">
        <f>Solieusap!A3570</f>
        <v/>
      </c>
      <c r="B3570" s="15" t="str">
        <f>Solieusap!B3570</f>
        <v/>
      </c>
      <c r="C3570" s="15" t="str">
        <f>Solieusap!C3570</f>
        <v/>
      </c>
      <c r="D3570" s="15" t="str">
        <f>Solieusap!D3570</f>
        <v/>
      </c>
      <c r="E3570" s="16">
        <f>ABS(Solieusap!E3570)</f>
        <v>0</v>
      </c>
      <c r="F3570" s="16">
        <f>ABS(Solieusap!F3570)</f>
        <v>0</v>
      </c>
      <c r="G3570" s="16">
        <f>ABS(Solieusap!G3570)</f>
        <v>0</v>
      </c>
      <c r="H3570" s="16">
        <f>ABS(Solieusap!H3570)</f>
        <v>0</v>
      </c>
      <c r="I3570" s="16">
        <f>ABS(Solieusap!I3570)</f>
        <v>0</v>
      </c>
      <c r="J3570" s="16">
        <f>ABS(Solieusap!J3570)</f>
        <v>0</v>
      </c>
      <c r="K3570" s="16">
        <f t="shared" si="1"/>
        <v>0</v>
      </c>
      <c r="L3570" s="16">
        <f t="shared" si="2"/>
        <v>0</v>
      </c>
    </row>
    <row r="3571" ht="16.5" customHeight="1">
      <c r="A3571" s="15" t="str">
        <f>Solieusap!A3571</f>
        <v/>
      </c>
      <c r="B3571" s="15" t="str">
        <f>Solieusap!B3571</f>
        <v/>
      </c>
      <c r="C3571" s="15" t="str">
        <f>Solieusap!C3571</f>
        <v/>
      </c>
      <c r="D3571" s="15" t="str">
        <f>Solieusap!D3571</f>
        <v/>
      </c>
      <c r="E3571" s="16">
        <f>ABS(Solieusap!E3571)</f>
        <v>0</v>
      </c>
      <c r="F3571" s="16">
        <f>ABS(Solieusap!F3571)</f>
        <v>0</v>
      </c>
      <c r="G3571" s="16">
        <f>ABS(Solieusap!G3571)</f>
        <v>0</v>
      </c>
      <c r="H3571" s="16">
        <f>ABS(Solieusap!H3571)</f>
        <v>0</v>
      </c>
      <c r="I3571" s="16">
        <f>ABS(Solieusap!I3571)</f>
        <v>0</v>
      </c>
      <c r="J3571" s="16">
        <f>ABS(Solieusap!J3571)</f>
        <v>0</v>
      </c>
      <c r="K3571" s="16">
        <f t="shared" si="1"/>
        <v>0</v>
      </c>
      <c r="L3571" s="16">
        <f t="shared" si="2"/>
        <v>0</v>
      </c>
    </row>
    <row r="3572" ht="16.5" customHeight="1">
      <c r="A3572" s="15" t="str">
        <f>Solieusap!A3572</f>
        <v/>
      </c>
      <c r="B3572" s="15" t="str">
        <f>Solieusap!B3572</f>
        <v/>
      </c>
      <c r="C3572" s="15" t="str">
        <f>Solieusap!C3572</f>
        <v/>
      </c>
      <c r="D3572" s="15" t="str">
        <f>Solieusap!D3572</f>
        <v/>
      </c>
      <c r="E3572" s="16">
        <f>ABS(Solieusap!E3572)</f>
        <v>0</v>
      </c>
      <c r="F3572" s="16">
        <f>ABS(Solieusap!F3572)</f>
        <v>0</v>
      </c>
      <c r="G3572" s="16">
        <f>ABS(Solieusap!G3572)</f>
        <v>0</v>
      </c>
      <c r="H3572" s="16">
        <f>ABS(Solieusap!H3572)</f>
        <v>0</v>
      </c>
      <c r="I3572" s="16">
        <f>ABS(Solieusap!I3572)</f>
        <v>0</v>
      </c>
      <c r="J3572" s="16">
        <f>ABS(Solieusap!J3572)</f>
        <v>0</v>
      </c>
      <c r="K3572" s="16">
        <f t="shared" si="1"/>
        <v>0</v>
      </c>
      <c r="L3572" s="16">
        <f t="shared" si="2"/>
        <v>0</v>
      </c>
    </row>
    <row r="3573" ht="16.5" customHeight="1">
      <c r="A3573" s="15" t="str">
        <f>Solieusap!A3573</f>
        <v/>
      </c>
      <c r="B3573" s="15" t="str">
        <f>Solieusap!B3573</f>
        <v/>
      </c>
      <c r="C3573" s="15" t="str">
        <f>Solieusap!C3573</f>
        <v/>
      </c>
      <c r="D3573" s="15" t="str">
        <f>Solieusap!D3573</f>
        <v/>
      </c>
      <c r="E3573" s="16">
        <f>ABS(Solieusap!E3573)</f>
        <v>0</v>
      </c>
      <c r="F3573" s="16">
        <f>ABS(Solieusap!F3573)</f>
        <v>0</v>
      </c>
      <c r="G3573" s="16">
        <f>ABS(Solieusap!G3573)</f>
        <v>0</v>
      </c>
      <c r="H3573" s="16">
        <f>ABS(Solieusap!H3573)</f>
        <v>0</v>
      </c>
      <c r="I3573" s="16">
        <f>ABS(Solieusap!I3573)</f>
        <v>0</v>
      </c>
      <c r="J3573" s="16">
        <f>ABS(Solieusap!J3573)</f>
        <v>0</v>
      </c>
      <c r="K3573" s="16">
        <f t="shared" si="1"/>
        <v>0</v>
      </c>
      <c r="L3573" s="16">
        <f t="shared" si="2"/>
        <v>0</v>
      </c>
    </row>
    <row r="3574" ht="16.5" customHeight="1">
      <c r="A3574" s="15" t="str">
        <f>Solieusap!A3574</f>
        <v/>
      </c>
      <c r="B3574" s="15" t="str">
        <f>Solieusap!B3574</f>
        <v/>
      </c>
      <c r="C3574" s="15" t="str">
        <f>Solieusap!C3574</f>
        <v/>
      </c>
      <c r="D3574" s="15" t="str">
        <f>Solieusap!D3574</f>
        <v/>
      </c>
      <c r="E3574" s="16">
        <f>ABS(Solieusap!E3574)</f>
        <v>0</v>
      </c>
      <c r="F3574" s="16">
        <f>ABS(Solieusap!F3574)</f>
        <v>0</v>
      </c>
      <c r="G3574" s="16">
        <f>ABS(Solieusap!G3574)</f>
        <v>0</v>
      </c>
      <c r="H3574" s="16">
        <f>ABS(Solieusap!H3574)</f>
        <v>0</v>
      </c>
      <c r="I3574" s="16">
        <f>ABS(Solieusap!I3574)</f>
        <v>0</v>
      </c>
      <c r="J3574" s="16">
        <f>ABS(Solieusap!J3574)</f>
        <v>0</v>
      </c>
      <c r="K3574" s="16">
        <f t="shared" si="1"/>
        <v>0</v>
      </c>
      <c r="L3574" s="16">
        <f t="shared" si="2"/>
        <v>0</v>
      </c>
    </row>
    <row r="3575" ht="16.5" customHeight="1">
      <c r="A3575" s="15" t="str">
        <f>Solieusap!A3575</f>
        <v/>
      </c>
      <c r="B3575" s="15" t="str">
        <f>Solieusap!B3575</f>
        <v/>
      </c>
      <c r="C3575" s="15" t="str">
        <f>Solieusap!C3575</f>
        <v/>
      </c>
      <c r="D3575" s="15" t="str">
        <f>Solieusap!D3575</f>
        <v/>
      </c>
      <c r="E3575" s="16">
        <f>ABS(Solieusap!E3575)</f>
        <v>0</v>
      </c>
      <c r="F3575" s="16">
        <f>ABS(Solieusap!F3575)</f>
        <v>0</v>
      </c>
      <c r="G3575" s="16">
        <f>ABS(Solieusap!G3575)</f>
        <v>0</v>
      </c>
      <c r="H3575" s="16">
        <f>ABS(Solieusap!H3575)</f>
        <v>0</v>
      </c>
      <c r="I3575" s="16">
        <f>ABS(Solieusap!I3575)</f>
        <v>0</v>
      </c>
      <c r="J3575" s="16">
        <f>ABS(Solieusap!J3575)</f>
        <v>0</v>
      </c>
      <c r="K3575" s="16">
        <f t="shared" si="1"/>
        <v>0</v>
      </c>
      <c r="L3575" s="16">
        <f t="shared" si="2"/>
        <v>0</v>
      </c>
    </row>
    <row r="3576" ht="16.5" customHeight="1">
      <c r="A3576" s="15" t="str">
        <f>Solieusap!A3576</f>
        <v/>
      </c>
      <c r="B3576" s="15" t="str">
        <f>Solieusap!B3576</f>
        <v/>
      </c>
      <c r="C3576" s="15" t="str">
        <f>Solieusap!C3576</f>
        <v/>
      </c>
      <c r="D3576" s="15" t="str">
        <f>Solieusap!D3576</f>
        <v/>
      </c>
      <c r="E3576" s="16">
        <f>ABS(Solieusap!E3576)</f>
        <v>0</v>
      </c>
      <c r="F3576" s="16">
        <f>ABS(Solieusap!F3576)</f>
        <v>0</v>
      </c>
      <c r="G3576" s="16">
        <f>ABS(Solieusap!G3576)</f>
        <v>0</v>
      </c>
      <c r="H3576" s="16">
        <f>ABS(Solieusap!H3576)</f>
        <v>0</v>
      </c>
      <c r="I3576" s="16">
        <f>ABS(Solieusap!I3576)</f>
        <v>0</v>
      </c>
      <c r="J3576" s="16">
        <f>ABS(Solieusap!J3576)</f>
        <v>0</v>
      </c>
      <c r="K3576" s="16">
        <f t="shared" si="1"/>
        <v>0</v>
      </c>
      <c r="L3576" s="16">
        <f t="shared" si="2"/>
        <v>0</v>
      </c>
    </row>
    <row r="3577" ht="16.5" customHeight="1">
      <c r="A3577" s="15" t="str">
        <f>Solieusap!A3577</f>
        <v/>
      </c>
      <c r="B3577" s="15" t="str">
        <f>Solieusap!B3577</f>
        <v/>
      </c>
      <c r="C3577" s="15" t="str">
        <f>Solieusap!C3577</f>
        <v/>
      </c>
      <c r="D3577" s="15" t="str">
        <f>Solieusap!D3577</f>
        <v/>
      </c>
      <c r="E3577" s="16">
        <f>ABS(Solieusap!E3577)</f>
        <v>0</v>
      </c>
      <c r="F3577" s="16">
        <f>ABS(Solieusap!F3577)</f>
        <v>0</v>
      </c>
      <c r="G3577" s="16">
        <f>ABS(Solieusap!G3577)</f>
        <v>0</v>
      </c>
      <c r="H3577" s="16">
        <f>ABS(Solieusap!H3577)</f>
        <v>0</v>
      </c>
      <c r="I3577" s="16">
        <f>ABS(Solieusap!I3577)</f>
        <v>0</v>
      </c>
      <c r="J3577" s="16">
        <f>ABS(Solieusap!J3577)</f>
        <v>0</v>
      </c>
      <c r="K3577" s="16">
        <f t="shared" si="1"/>
        <v>0</v>
      </c>
      <c r="L3577" s="16">
        <f t="shared" si="2"/>
        <v>0</v>
      </c>
    </row>
    <row r="3578" ht="16.5" customHeight="1">
      <c r="A3578" s="15" t="str">
        <f>Solieusap!A3578</f>
        <v/>
      </c>
      <c r="B3578" s="15" t="str">
        <f>Solieusap!B3578</f>
        <v/>
      </c>
      <c r="C3578" s="15" t="str">
        <f>Solieusap!C3578</f>
        <v/>
      </c>
      <c r="D3578" s="15" t="str">
        <f>Solieusap!D3578</f>
        <v/>
      </c>
      <c r="E3578" s="16">
        <f>ABS(Solieusap!E3578)</f>
        <v>0</v>
      </c>
      <c r="F3578" s="16">
        <f>ABS(Solieusap!F3578)</f>
        <v>0</v>
      </c>
      <c r="G3578" s="16">
        <f>ABS(Solieusap!G3578)</f>
        <v>0</v>
      </c>
      <c r="H3578" s="16">
        <f>ABS(Solieusap!H3578)</f>
        <v>0</v>
      </c>
      <c r="I3578" s="16">
        <f>ABS(Solieusap!I3578)</f>
        <v>0</v>
      </c>
      <c r="J3578" s="16">
        <f>ABS(Solieusap!J3578)</f>
        <v>0</v>
      </c>
      <c r="K3578" s="16">
        <f t="shared" si="1"/>
        <v>0</v>
      </c>
      <c r="L3578" s="16">
        <f t="shared" si="2"/>
        <v>0</v>
      </c>
    </row>
    <row r="3579" ht="16.5" customHeight="1">
      <c r="A3579" s="15" t="str">
        <f>Solieusap!A3579</f>
        <v/>
      </c>
      <c r="B3579" s="15" t="str">
        <f>Solieusap!B3579</f>
        <v/>
      </c>
      <c r="C3579" s="15" t="str">
        <f>Solieusap!C3579</f>
        <v/>
      </c>
      <c r="D3579" s="15" t="str">
        <f>Solieusap!D3579</f>
        <v/>
      </c>
      <c r="E3579" s="16">
        <f>ABS(Solieusap!E3579)</f>
        <v>0</v>
      </c>
      <c r="F3579" s="16">
        <f>ABS(Solieusap!F3579)</f>
        <v>0</v>
      </c>
      <c r="G3579" s="16">
        <f>ABS(Solieusap!G3579)</f>
        <v>0</v>
      </c>
      <c r="H3579" s="16">
        <f>ABS(Solieusap!H3579)</f>
        <v>0</v>
      </c>
      <c r="I3579" s="16">
        <f>ABS(Solieusap!I3579)</f>
        <v>0</v>
      </c>
      <c r="J3579" s="16">
        <f>ABS(Solieusap!J3579)</f>
        <v>0</v>
      </c>
      <c r="K3579" s="16">
        <f t="shared" si="1"/>
        <v>0</v>
      </c>
      <c r="L3579" s="16">
        <f t="shared" si="2"/>
        <v>0</v>
      </c>
    </row>
    <row r="3580" ht="16.5" customHeight="1">
      <c r="A3580" s="15" t="str">
        <f>Solieusap!A3580</f>
        <v/>
      </c>
      <c r="B3580" s="15" t="str">
        <f>Solieusap!B3580</f>
        <v/>
      </c>
      <c r="C3580" s="15" t="str">
        <f>Solieusap!C3580</f>
        <v/>
      </c>
      <c r="D3580" s="15" t="str">
        <f>Solieusap!D3580</f>
        <v/>
      </c>
      <c r="E3580" s="16">
        <f>ABS(Solieusap!E3580)</f>
        <v>0</v>
      </c>
      <c r="F3580" s="16">
        <f>ABS(Solieusap!F3580)</f>
        <v>0</v>
      </c>
      <c r="G3580" s="16">
        <f>ABS(Solieusap!G3580)</f>
        <v>0</v>
      </c>
      <c r="H3580" s="16">
        <f>ABS(Solieusap!H3580)</f>
        <v>0</v>
      </c>
      <c r="I3580" s="16">
        <f>ABS(Solieusap!I3580)</f>
        <v>0</v>
      </c>
      <c r="J3580" s="16">
        <f>ABS(Solieusap!J3580)</f>
        <v>0</v>
      </c>
      <c r="K3580" s="16">
        <f t="shared" si="1"/>
        <v>0</v>
      </c>
      <c r="L3580" s="16">
        <f t="shared" si="2"/>
        <v>0</v>
      </c>
    </row>
    <row r="3581" ht="16.5" customHeight="1">
      <c r="A3581" s="15" t="str">
        <f>Solieusap!A3581</f>
        <v/>
      </c>
      <c r="B3581" s="15" t="str">
        <f>Solieusap!B3581</f>
        <v/>
      </c>
      <c r="C3581" s="15" t="str">
        <f>Solieusap!C3581</f>
        <v/>
      </c>
      <c r="D3581" s="15" t="str">
        <f>Solieusap!D3581</f>
        <v/>
      </c>
      <c r="E3581" s="16">
        <f>ABS(Solieusap!E3581)</f>
        <v>0</v>
      </c>
      <c r="F3581" s="16">
        <f>ABS(Solieusap!F3581)</f>
        <v>0</v>
      </c>
      <c r="G3581" s="16">
        <f>ABS(Solieusap!G3581)</f>
        <v>0</v>
      </c>
      <c r="H3581" s="16">
        <f>ABS(Solieusap!H3581)</f>
        <v>0</v>
      </c>
      <c r="I3581" s="16">
        <f>ABS(Solieusap!I3581)</f>
        <v>0</v>
      </c>
      <c r="J3581" s="16">
        <f>ABS(Solieusap!J3581)</f>
        <v>0</v>
      </c>
      <c r="K3581" s="16">
        <f t="shared" si="1"/>
        <v>0</v>
      </c>
      <c r="L3581" s="16">
        <f t="shared" si="2"/>
        <v>0</v>
      </c>
    </row>
    <row r="3582" ht="16.5" customHeight="1">
      <c r="A3582" s="15" t="str">
        <f>Solieusap!A3582</f>
        <v/>
      </c>
      <c r="B3582" s="15" t="str">
        <f>Solieusap!B3582</f>
        <v/>
      </c>
      <c r="C3582" s="15" t="str">
        <f>Solieusap!C3582</f>
        <v/>
      </c>
      <c r="D3582" s="15" t="str">
        <f>Solieusap!D3582</f>
        <v/>
      </c>
      <c r="E3582" s="16">
        <f>ABS(Solieusap!E3582)</f>
        <v>0</v>
      </c>
      <c r="F3582" s="16">
        <f>ABS(Solieusap!F3582)</f>
        <v>0</v>
      </c>
      <c r="G3582" s="16">
        <f>ABS(Solieusap!G3582)</f>
        <v>0</v>
      </c>
      <c r="H3582" s="16">
        <f>ABS(Solieusap!H3582)</f>
        <v>0</v>
      </c>
      <c r="I3582" s="16">
        <f>ABS(Solieusap!I3582)</f>
        <v>0</v>
      </c>
      <c r="J3582" s="16">
        <f>ABS(Solieusap!J3582)</f>
        <v>0</v>
      </c>
      <c r="K3582" s="16">
        <f t="shared" si="1"/>
        <v>0</v>
      </c>
      <c r="L3582" s="16">
        <f t="shared" si="2"/>
        <v>0</v>
      </c>
    </row>
    <row r="3583" ht="16.5" customHeight="1">
      <c r="A3583" s="15" t="str">
        <f>Solieusap!A3583</f>
        <v/>
      </c>
      <c r="B3583" s="15" t="str">
        <f>Solieusap!B3583</f>
        <v/>
      </c>
      <c r="C3583" s="15" t="str">
        <f>Solieusap!C3583</f>
        <v/>
      </c>
      <c r="D3583" s="15" t="str">
        <f>Solieusap!D3583</f>
        <v/>
      </c>
      <c r="E3583" s="16">
        <f>ABS(Solieusap!E3583)</f>
        <v>0</v>
      </c>
      <c r="F3583" s="16">
        <f>ABS(Solieusap!F3583)</f>
        <v>0</v>
      </c>
      <c r="G3583" s="16">
        <f>ABS(Solieusap!G3583)</f>
        <v>0</v>
      </c>
      <c r="H3583" s="16">
        <f>ABS(Solieusap!H3583)</f>
        <v>0</v>
      </c>
      <c r="I3583" s="16">
        <f>ABS(Solieusap!I3583)</f>
        <v>0</v>
      </c>
      <c r="J3583" s="16">
        <f>ABS(Solieusap!J3583)</f>
        <v>0</v>
      </c>
      <c r="K3583" s="16">
        <f t="shared" si="1"/>
        <v>0</v>
      </c>
      <c r="L3583" s="16">
        <f t="shared" si="2"/>
        <v>0</v>
      </c>
    </row>
    <row r="3584" ht="16.5" customHeight="1">
      <c r="A3584" s="15" t="str">
        <f>Solieusap!A3584</f>
        <v/>
      </c>
      <c r="B3584" s="15" t="str">
        <f>Solieusap!B3584</f>
        <v/>
      </c>
      <c r="C3584" s="15" t="str">
        <f>Solieusap!C3584</f>
        <v/>
      </c>
      <c r="D3584" s="15" t="str">
        <f>Solieusap!D3584</f>
        <v/>
      </c>
      <c r="E3584" s="16">
        <f>ABS(Solieusap!E3584)</f>
        <v>0</v>
      </c>
      <c r="F3584" s="16">
        <f>ABS(Solieusap!F3584)</f>
        <v>0</v>
      </c>
      <c r="G3584" s="16">
        <f>ABS(Solieusap!G3584)</f>
        <v>0</v>
      </c>
      <c r="H3584" s="16">
        <f>ABS(Solieusap!H3584)</f>
        <v>0</v>
      </c>
      <c r="I3584" s="16">
        <f>ABS(Solieusap!I3584)</f>
        <v>0</v>
      </c>
      <c r="J3584" s="16">
        <f>ABS(Solieusap!J3584)</f>
        <v>0</v>
      </c>
      <c r="K3584" s="16">
        <f t="shared" si="1"/>
        <v>0</v>
      </c>
      <c r="L3584" s="16">
        <f t="shared" si="2"/>
        <v>0</v>
      </c>
    </row>
    <row r="3585" ht="16.5" customHeight="1">
      <c r="A3585" s="15" t="str">
        <f>Solieusap!A3585</f>
        <v/>
      </c>
      <c r="B3585" s="15" t="str">
        <f>Solieusap!B3585</f>
        <v/>
      </c>
      <c r="C3585" s="15" t="str">
        <f>Solieusap!C3585</f>
        <v/>
      </c>
      <c r="D3585" s="15" t="str">
        <f>Solieusap!D3585</f>
        <v/>
      </c>
      <c r="E3585" s="16">
        <f>ABS(Solieusap!E3585)</f>
        <v>0</v>
      </c>
      <c r="F3585" s="16">
        <f>ABS(Solieusap!F3585)</f>
        <v>0</v>
      </c>
      <c r="G3585" s="16">
        <f>ABS(Solieusap!G3585)</f>
        <v>0</v>
      </c>
      <c r="H3585" s="16">
        <f>ABS(Solieusap!H3585)</f>
        <v>0</v>
      </c>
      <c r="I3585" s="16">
        <f>ABS(Solieusap!I3585)</f>
        <v>0</v>
      </c>
      <c r="J3585" s="16">
        <f>ABS(Solieusap!J3585)</f>
        <v>0</v>
      </c>
      <c r="K3585" s="16">
        <f t="shared" si="1"/>
        <v>0</v>
      </c>
      <c r="L3585" s="16">
        <f t="shared" si="2"/>
        <v>0</v>
      </c>
    </row>
    <row r="3586" ht="16.5" customHeight="1">
      <c r="A3586" s="15" t="str">
        <f>Solieusap!A3586</f>
        <v/>
      </c>
      <c r="B3586" s="15" t="str">
        <f>Solieusap!B3586</f>
        <v/>
      </c>
      <c r="C3586" s="15" t="str">
        <f>Solieusap!C3586</f>
        <v/>
      </c>
      <c r="D3586" s="15" t="str">
        <f>Solieusap!D3586</f>
        <v/>
      </c>
      <c r="E3586" s="16">
        <f>ABS(Solieusap!E3586)</f>
        <v>0</v>
      </c>
      <c r="F3586" s="16">
        <f>ABS(Solieusap!F3586)</f>
        <v>0</v>
      </c>
      <c r="G3586" s="16">
        <f>ABS(Solieusap!G3586)</f>
        <v>0</v>
      </c>
      <c r="H3586" s="16">
        <f>ABS(Solieusap!H3586)</f>
        <v>0</v>
      </c>
      <c r="I3586" s="16">
        <f>ABS(Solieusap!I3586)</f>
        <v>0</v>
      </c>
      <c r="J3586" s="16">
        <f>ABS(Solieusap!J3586)</f>
        <v>0</v>
      </c>
      <c r="K3586" s="16">
        <f t="shared" si="1"/>
        <v>0</v>
      </c>
      <c r="L3586" s="16">
        <f t="shared" si="2"/>
        <v>0</v>
      </c>
    </row>
    <row r="3587" ht="16.5" customHeight="1">
      <c r="A3587" s="15" t="str">
        <f>Solieusap!A3587</f>
        <v/>
      </c>
      <c r="B3587" s="15" t="str">
        <f>Solieusap!B3587</f>
        <v/>
      </c>
      <c r="C3587" s="15" t="str">
        <f>Solieusap!C3587</f>
        <v/>
      </c>
      <c r="D3587" s="15" t="str">
        <f>Solieusap!D3587</f>
        <v/>
      </c>
      <c r="E3587" s="16">
        <f>ABS(Solieusap!E3587)</f>
        <v>0</v>
      </c>
      <c r="F3587" s="16">
        <f>ABS(Solieusap!F3587)</f>
        <v>0</v>
      </c>
      <c r="G3587" s="16">
        <f>ABS(Solieusap!G3587)</f>
        <v>0</v>
      </c>
      <c r="H3587" s="16">
        <f>ABS(Solieusap!H3587)</f>
        <v>0</v>
      </c>
      <c r="I3587" s="16">
        <f>ABS(Solieusap!I3587)</f>
        <v>0</v>
      </c>
      <c r="J3587" s="16">
        <f>ABS(Solieusap!J3587)</f>
        <v>0</v>
      </c>
      <c r="K3587" s="16">
        <f t="shared" si="1"/>
        <v>0</v>
      </c>
      <c r="L3587" s="16">
        <f t="shared" si="2"/>
        <v>0</v>
      </c>
    </row>
    <row r="3588" ht="16.5" customHeight="1">
      <c r="A3588" s="15" t="str">
        <f>Solieusap!A3588</f>
        <v/>
      </c>
      <c r="B3588" s="15" t="str">
        <f>Solieusap!B3588</f>
        <v/>
      </c>
      <c r="C3588" s="15" t="str">
        <f>Solieusap!C3588</f>
        <v/>
      </c>
      <c r="D3588" s="15" t="str">
        <f>Solieusap!D3588</f>
        <v/>
      </c>
      <c r="E3588" s="16">
        <f>ABS(Solieusap!E3588)</f>
        <v>0</v>
      </c>
      <c r="F3588" s="16">
        <f>ABS(Solieusap!F3588)</f>
        <v>0</v>
      </c>
      <c r="G3588" s="16">
        <f>ABS(Solieusap!G3588)</f>
        <v>0</v>
      </c>
      <c r="H3588" s="16">
        <f>ABS(Solieusap!H3588)</f>
        <v>0</v>
      </c>
      <c r="I3588" s="16">
        <f>ABS(Solieusap!I3588)</f>
        <v>0</v>
      </c>
      <c r="J3588" s="16">
        <f>ABS(Solieusap!J3588)</f>
        <v>0</v>
      </c>
      <c r="K3588" s="16">
        <f t="shared" si="1"/>
        <v>0</v>
      </c>
      <c r="L3588" s="16">
        <f t="shared" si="2"/>
        <v>0</v>
      </c>
    </row>
    <row r="3589" ht="16.5" customHeight="1">
      <c r="A3589" s="15" t="str">
        <f>Solieusap!A3589</f>
        <v/>
      </c>
      <c r="B3589" s="15" t="str">
        <f>Solieusap!B3589</f>
        <v/>
      </c>
      <c r="C3589" s="15" t="str">
        <f>Solieusap!C3589</f>
        <v/>
      </c>
      <c r="D3589" s="15" t="str">
        <f>Solieusap!D3589</f>
        <v/>
      </c>
      <c r="E3589" s="16">
        <f>ABS(Solieusap!E3589)</f>
        <v>0</v>
      </c>
      <c r="F3589" s="16">
        <f>ABS(Solieusap!F3589)</f>
        <v>0</v>
      </c>
      <c r="G3589" s="16">
        <f>ABS(Solieusap!G3589)</f>
        <v>0</v>
      </c>
      <c r="H3589" s="16">
        <f>ABS(Solieusap!H3589)</f>
        <v>0</v>
      </c>
      <c r="I3589" s="16">
        <f>ABS(Solieusap!I3589)</f>
        <v>0</v>
      </c>
      <c r="J3589" s="16">
        <f>ABS(Solieusap!J3589)</f>
        <v>0</v>
      </c>
      <c r="K3589" s="16">
        <f t="shared" si="1"/>
        <v>0</v>
      </c>
      <c r="L3589" s="16">
        <f t="shared" si="2"/>
        <v>0</v>
      </c>
    </row>
    <row r="3590" ht="16.5" customHeight="1">
      <c r="A3590" s="15" t="str">
        <f>Solieusap!A3590</f>
        <v/>
      </c>
      <c r="B3590" s="15" t="str">
        <f>Solieusap!B3590</f>
        <v/>
      </c>
      <c r="C3590" s="15" t="str">
        <f>Solieusap!C3590</f>
        <v/>
      </c>
      <c r="D3590" s="15" t="str">
        <f>Solieusap!D3590</f>
        <v/>
      </c>
      <c r="E3590" s="16">
        <f>ABS(Solieusap!E3590)</f>
        <v>0</v>
      </c>
      <c r="F3590" s="16">
        <f>ABS(Solieusap!F3590)</f>
        <v>0</v>
      </c>
      <c r="G3590" s="16">
        <f>ABS(Solieusap!G3590)</f>
        <v>0</v>
      </c>
      <c r="H3590" s="16">
        <f>ABS(Solieusap!H3590)</f>
        <v>0</v>
      </c>
      <c r="I3590" s="16">
        <f>ABS(Solieusap!I3590)</f>
        <v>0</v>
      </c>
      <c r="J3590" s="16">
        <f>ABS(Solieusap!J3590)</f>
        <v>0</v>
      </c>
      <c r="K3590" s="16">
        <f t="shared" si="1"/>
        <v>0</v>
      </c>
      <c r="L3590" s="16">
        <f t="shared" si="2"/>
        <v>0</v>
      </c>
    </row>
    <row r="3591" ht="16.5" customHeight="1">
      <c r="A3591" s="15" t="str">
        <f>Solieusap!A3591</f>
        <v/>
      </c>
      <c r="B3591" s="15" t="str">
        <f>Solieusap!B3591</f>
        <v/>
      </c>
      <c r="C3591" s="15" t="str">
        <f>Solieusap!C3591</f>
        <v/>
      </c>
      <c r="D3591" s="15" t="str">
        <f>Solieusap!D3591</f>
        <v/>
      </c>
      <c r="E3591" s="16">
        <f>ABS(Solieusap!E3591)</f>
        <v>0</v>
      </c>
      <c r="F3591" s="16">
        <f>ABS(Solieusap!F3591)</f>
        <v>0</v>
      </c>
      <c r="G3591" s="16">
        <f>ABS(Solieusap!G3591)</f>
        <v>0</v>
      </c>
      <c r="H3591" s="16">
        <f>ABS(Solieusap!H3591)</f>
        <v>0</v>
      </c>
      <c r="I3591" s="16">
        <f>ABS(Solieusap!I3591)</f>
        <v>0</v>
      </c>
      <c r="J3591" s="16">
        <f>ABS(Solieusap!J3591)</f>
        <v>0</v>
      </c>
      <c r="K3591" s="16">
        <f t="shared" si="1"/>
        <v>0</v>
      </c>
      <c r="L3591" s="16">
        <f t="shared" si="2"/>
        <v>0</v>
      </c>
    </row>
    <row r="3592" ht="16.5" customHeight="1">
      <c r="A3592" s="15" t="str">
        <f>Solieusap!A3592</f>
        <v/>
      </c>
      <c r="B3592" s="15" t="str">
        <f>Solieusap!B3592</f>
        <v/>
      </c>
      <c r="C3592" s="15" t="str">
        <f>Solieusap!C3592</f>
        <v/>
      </c>
      <c r="D3592" s="15" t="str">
        <f>Solieusap!D3592</f>
        <v/>
      </c>
      <c r="E3592" s="16">
        <f>ABS(Solieusap!E3592)</f>
        <v>0</v>
      </c>
      <c r="F3592" s="16">
        <f>ABS(Solieusap!F3592)</f>
        <v>0</v>
      </c>
      <c r="G3592" s="16">
        <f>ABS(Solieusap!G3592)</f>
        <v>0</v>
      </c>
      <c r="H3592" s="16">
        <f>ABS(Solieusap!H3592)</f>
        <v>0</v>
      </c>
      <c r="I3592" s="16">
        <f>ABS(Solieusap!I3592)</f>
        <v>0</v>
      </c>
      <c r="J3592" s="16">
        <f>ABS(Solieusap!J3592)</f>
        <v>0</v>
      </c>
      <c r="K3592" s="16">
        <f t="shared" si="1"/>
        <v>0</v>
      </c>
      <c r="L3592" s="16">
        <f t="shared" si="2"/>
        <v>0</v>
      </c>
    </row>
    <row r="3593" ht="16.5" customHeight="1">
      <c r="A3593" s="15" t="str">
        <f>Solieusap!A3593</f>
        <v/>
      </c>
      <c r="B3593" s="15" t="str">
        <f>Solieusap!B3593</f>
        <v/>
      </c>
      <c r="C3593" s="15" t="str">
        <f>Solieusap!C3593</f>
        <v/>
      </c>
      <c r="D3593" s="15" t="str">
        <f>Solieusap!D3593</f>
        <v/>
      </c>
      <c r="E3593" s="16">
        <f>ABS(Solieusap!E3593)</f>
        <v>0</v>
      </c>
      <c r="F3593" s="16">
        <f>ABS(Solieusap!F3593)</f>
        <v>0</v>
      </c>
      <c r="G3593" s="16">
        <f>ABS(Solieusap!G3593)</f>
        <v>0</v>
      </c>
      <c r="H3593" s="16">
        <f>ABS(Solieusap!H3593)</f>
        <v>0</v>
      </c>
      <c r="I3593" s="16">
        <f>ABS(Solieusap!I3593)</f>
        <v>0</v>
      </c>
      <c r="J3593" s="16">
        <f>ABS(Solieusap!J3593)</f>
        <v>0</v>
      </c>
      <c r="K3593" s="16">
        <f t="shared" si="1"/>
        <v>0</v>
      </c>
      <c r="L3593" s="16">
        <f t="shared" si="2"/>
        <v>0</v>
      </c>
    </row>
    <row r="3594" ht="16.5" customHeight="1">
      <c r="A3594" s="15" t="str">
        <f>Solieusap!A3594</f>
        <v/>
      </c>
      <c r="B3594" s="15" t="str">
        <f>Solieusap!B3594</f>
        <v/>
      </c>
      <c r="C3594" s="15" t="str">
        <f>Solieusap!C3594</f>
        <v/>
      </c>
      <c r="D3594" s="15" t="str">
        <f>Solieusap!D3594</f>
        <v/>
      </c>
      <c r="E3594" s="16">
        <f>ABS(Solieusap!E3594)</f>
        <v>0</v>
      </c>
      <c r="F3594" s="16">
        <f>ABS(Solieusap!F3594)</f>
        <v>0</v>
      </c>
      <c r="G3594" s="16">
        <f>ABS(Solieusap!G3594)</f>
        <v>0</v>
      </c>
      <c r="H3594" s="16">
        <f>ABS(Solieusap!H3594)</f>
        <v>0</v>
      </c>
      <c r="I3594" s="16">
        <f>ABS(Solieusap!I3594)</f>
        <v>0</v>
      </c>
      <c r="J3594" s="16">
        <f>ABS(Solieusap!J3594)</f>
        <v>0</v>
      </c>
      <c r="K3594" s="16">
        <f t="shared" si="1"/>
        <v>0</v>
      </c>
      <c r="L3594" s="16">
        <f t="shared" si="2"/>
        <v>0</v>
      </c>
    </row>
    <row r="3595" ht="16.5" customHeight="1">
      <c r="A3595" s="15" t="str">
        <f>Solieusap!A3595</f>
        <v/>
      </c>
      <c r="B3595" s="15" t="str">
        <f>Solieusap!B3595</f>
        <v/>
      </c>
      <c r="C3595" s="15" t="str">
        <f>Solieusap!C3595</f>
        <v/>
      </c>
      <c r="D3595" s="15" t="str">
        <f>Solieusap!D3595</f>
        <v/>
      </c>
      <c r="E3595" s="16">
        <f>ABS(Solieusap!E3595)</f>
        <v>0</v>
      </c>
      <c r="F3595" s="16">
        <f>ABS(Solieusap!F3595)</f>
        <v>0</v>
      </c>
      <c r="G3595" s="16">
        <f>ABS(Solieusap!G3595)</f>
        <v>0</v>
      </c>
      <c r="H3595" s="16">
        <f>ABS(Solieusap!H3595)</f>
        <v>0</v>
      </c>
      <c r="I3595" s="16">
        <f>ABS(Solieusap!I3595)</f>
        <v>0</v>
      </c>
      <c r="J3595" s="16">
        <f>ABS(Solieusap!J3595)</f>
        <v>0</v>
      </c>
      <c r="K3595" s="16">
        <f t="shared" si="1"/>
        <v>0</v>
      </c>
      <c r="L3595" s="16">
        <f t="shared" si="2"/>
        <v>0</v>
      </c>
    </row>
    <row r="3596" ht="16.5" customHeight="1">
      <c r="A3596" s="15" t="str">
        <f>Solieusap!A3596</f>
        <v/>
      </c>
      <c r="B3596" s="15" t="str">
        <f>Solieusap!B3596</f>
        <v/>
      </c>
      <c r="C3596" s="15" t="str">
        <f>Solieusap!C3596</f>
        <v/>
      </c>
      <c r="D3596" s="15" t="str">
        <f>Solieusap!D3596</f>
        <v/>
      </c>
      <c r="E3596" s="16">
        <f>ABS(Solieusap!E3596)</f>
        <v>0</v>
      </c>
      <c r="F3596" s="16">
        <f>ABS(Solieusap!F3596)</f>
        <v>0</v>
      </c>
      <c r="G3596" s="16">
        <f>ABS(Solieusap!G3596)</f>
        <v>0</v>
      </c>
      <c r="H3596" s="16">
        <f>ABS(Solieusap!H3596)</f>
        <v>0</v>
      </c>
      <c r="I3596" s="16">
        <f>ABS(Solieusap!I3596)</f>
        <v>0</v>
      </c>
      <c r="J3596" s="16">
        <f>ABS(Solieusap!J3596)</f>
        <v>0</v>
      </c>
      <c r="K3596" s="16">
        <f t="shared" si="1"/>
        <v>0</v>
      </c>
      <c r="L3596" s="16">
        <f t="shared" si="2"/>
        <v>0</v>
      </c>
    </row>
    <row r="3597" ht="16.5" customHeight="1">
      <c r="A3597" s="15" t="str">
        <f>Solieusap!A3597</f>
        <v/>
      </c>
      <c r="B3597" s="15" t="str">
        <f>Solieusap!B3597</f>
        <v/>
      </c>
      <c r="C3597" s="15" t="str">
        <f>Solieusap!C3597</f>
        <v/>
      </c>
      <c r="D3597" s="15" t="str">
        <f>Solieusap!D3597</f>
        <v/>
      </c>
      <c r="E3597" s="16">
        <f>ABS(Solieusap!E3597)</f>
        <v>0</v>
      </c>
      <c r="F3597" s="16">
        <f>ABS(Solieusap!F3597)</f>
        <v>0</v>
      </c>
      <c r="G3597" s="16">
        <f>ABS(Solieusap!G3597)</f>
        <v>0</v>
      </c>
      <c r="H3597" s="16">
        <f>ABS(Solieusap!H3597)</f>
        <v>0</v>
      </c>
      <c r="I3597" s="16">
        <f>ABS(Solieusap!I3597)</f>
        <v>0</v>
      </c>
      <c r="J3597" s="16">
        <f>ABS(Solieusap!J3597)</f>
        <v>0</v>
      </c>
      <c r="K3597" s="16">
        <f t="shared" si="1"/>
        <v>0</v>
      </c>
      <c r="L3597" s="16">
        <f t="shared" si="2"/>
        <v>0</v>
      </c>
    </row>
    <row r="3598" ht="16.5" customHeight="1">
      <c r="A3598" s="15" t="str">
        <f>Solieusap!A3598</f>
        <v/>
      </c>
      <c r="B3598" s="15" t="str">
        <f>Solieusap!B3598</f>
        <v/>
      </c>
      <c r="C3598" s="15" t="str">
        <f>Solieusap!C3598</f>
        <v/>
      </c>
      <c r="D3598" s="15" t="str">
        <f>Solieusap!D3598</f>
        <v/>
      </c>
      <c r="E3598" s="16">
        <f>ABS(Solieusap!E3598)</f>
        <v>0</v>
      </c>
      <c r="F3598" s="16">
        <f>ABS(Solieusap!F3598)</f>
        <v>0</v>
      </c>
      <c r="G3598" s="16">
        <f>ABS(Solieusap!G3598)</f>
        <v>0</v>
      </c>
      <c r="H3598" s="16">
        <f>ABS(Solieusap!H3598)</f>
        <v>0</v>
      </c>
      <c r="I3598" s="16">
        <f>ABS(Solieusap!I3598)</f>
        <v>0</v>
      </c>
      <c r="J3598" s="16">
        <f>ABS(Solieusap!J3598)</f>
        <v>0</v>
      </c>
      <c r="K3598" s="16">
        <f t="shared" si="1"/>
        <v>0</v>
      </c>
      <c r="L3598" s="16">
        <f t="shared" si="2"/>
        <v>0</v>
      </c>
    </row>
    <row r="3599" ht="16.5" customHeight="1">
      <c r="A3599" s="15" t="str">
        <f>Solieusap!A3599</f>
        <v/>
      </c>
      <c r="B3599" s="15" t="str">
        <f>Solieusap!B3599</f>
        <v/>
      </c>
      <c r="C3599" s="15" t="str">
        <f>Solieusap!C3599</f>
        <v/>
      </c>
      <c r="D3599" s="15" t="str">
        <f>Solieusap!D3599</f>
        <v/>
      </c>
      <c r="E3599" s="16">
        <f>ABS(Solieusap!E3599)</f>
        <v>0</v>
      </c>
      <c r="F3599" s="16">
        <f>ABS(Solieusap!F3599)</f>
        <v>0</v>
      </c>
      <c r="G3599" s="16">
        <f>ABS(Solieusap!G3599)</f>
        <v>0</v>
      </c>
      <c r="H3599" s="16">
        <f>ABS(Solieusap!H3599)</f>
        <v>0</v>
      </c>
      <c r="I3599" s="16">
        <f>ABS(Solieusap!I3599)</f>
        <v>0</v>
      </c>
      <c r="J3599" s="16">
        <f>ABS(Solieusap!J3599)</f>
        <v>0</v>
      </c>
      <c r="K3599" s="16">
        <f t="shared" si="1"/>
        <v>0</v>
      </c>
      <c r="L3599" s="16">
        <f t="shared" si="2"/>
        <v>0</v>
      </c>
    </row>
    <row r="3600" ht="16.5" customHeight="1">
      <c r="A3600" s="15" t="str">
        <f>Solieusap!A3600</f>
        <v/>
      </c>
      <c r="B3600" s="15" t="str">
        <f>Solieusap!B3600</f>
        <v/>
      </c>
      <c r="C3600" s="15" t="str">
        <f>Solieusap!C3600</f>
        <v/>
      </c>
      <c r="D3600" s="15" t="str">
        <f>Solieusap!D3600</f>
        <v/>
      </c>
      <c r="E3600" s="16">
        <f>ABS(Solieusap!E3600)</f>
        <v>0</v>
      </c>
      <c r="F3600" s="16">
        <f>ABS(Solieusap!F3600)</f>
        <v>0</v>
      </c>
      <c r="G3600" s="16">
        <f>ABS(Solieusap!G3600)</f>
        <v>0</v>
      </c>
      <c r="H3600" s="16">
        <f>ABS(Solieusap!H3600)</f>
        <v>0</v>
      </c>
      <c r="I3600" s="16">
        <f>ABS(Solieusap!I3600)</f>
        <v>0</v>
      </c>
      <c r="J3600" s="16">
        <f>ABS(Solieusap!J3600)</f>
        <v>0</v>
      </c>
      <c r="K3600" s="16">
        <f t="shared" si="1"/>
        <v>0</v>
      </c>
      <c r="L3600" s="16">
        <f t="shared" si="2"/>
        <v>0</v>
      </c>
    </row>
    <row r="3601" ht="16.5" customHeight="1">
      <c r="A3601" s="15" t="str">
        <f>Solieusap!A3601</f>
        <v/>
      </c>
      <c r="B3601" s="15" t="str">
        <f>Solieusap!B3601</f>
        <v/>
      </c>
      <c r="C3601" s="15" t="str">
        <f>Solieusap!C3601</f>
        <v/>
      </c>
      <c r="D3601" s="15" t="str">
        <f>Solieusap!D3601</f>
        <v/>
      </c>
      <c r="E3601" s="16">
        <f>ABS(Solieusap!E3601)</f>
        <v>0</v>
      </c>
      <c r="F3601" s="16">
        <f>ABS(Solieusap!F3601)</f>
        <v>0</v>
      </c>
      <c r="G3601" s="16">
        <f>ABS(Solieusap!G3601)</f>
        <v>0</v>
      </c>
      <c r="H3601" s="16">
        <f>ABS(Solieusap!H3601)</f>
        <v>0</v>
      </c>
      <c r="I3601" s="16">
        <f>ABS(Solieusap!I3601)</f>
        <v>0</v>
      </c>
      <c r="J3601" s="16">
        <f>ABS(Solieusap!J3601)</f>
        <v>0</v>
      </c>
      <c r="K3601" s="16">
        <f t="shared" si="1"/>
        <v>0</v>
      </c>
      <c r="L3601" s="16">
        <f t="shared" si="2"/>
        <v>0</v>
      </c>
    </row>
    <row r="3602" ht="16.5" customHeight="1">
      <c r="A3602" s="15" t="str">
        <f>Solieusap!A3602</f>
        <v/>
      </c>
      <c r="B3602" s="15" t="str">
        <f>Solieusap!B3602</f>
        <v/>
      </c>
      <c r="C3602" s="15" t="str">
        <f>Solieusap!C3602</f>
        <v/>
      </c>
      <c r="D3602" s="15" t="str">
        <f>Solieusap!D3602</f>
        <v/>
      </c>
      <c r="E3602" s="16">
        <f>ABS(Solieusap!E3602)</f>
        <v>0</v>
      </c>
      <c r="F3602" s="16">
        <f>ABS(Solieusap!F3602)</f>
        <v>0</v>
      </c>
      <c r="G3602" s="16">
        <f>ABS(Solieusap!G3602)</f>
        <v>0</v>
      </c>
      <c r="H3602" s="16">
        <f>ABS(Solieusap!H3602)</f>
        <v>0</v>
      </c>
      <c r="I3602" s="16">
        <f>ABS(Solieusap!I3602)</f>
        <v>0</v>
      </c>
      <c r="J3602" s="16">
        <f>ABS(Solieusap!J3602)</f>
        <v>0</v>
      </c>
      <c r="K3602" s="16">
        <f t="shared" si="1"/>
        <v>0</v>
      </c>
      <c r="L3602" s="16">
        <f t="shared" si="2"/>
        <v>0</v>
      </c>
    </row>
    <row r="3603" ht="16.5" customHeight="1">
      <c r="A3603" s="15" t="str">
        <f>Solieusap!A3603</f>
        <v/>
      </c>
      <c r="B3603" s="15" t="str">
        <f>Solieusap!B3603</f>
        <v/>
      </c>
      <c r="C3603" s="15" t="str">
        <f>Solieusap!C3603</f>
        <v/>
      </c>
      <c r="D3603" s="15" t="str">
        <f>Solieusap!D3603</f>
        <v/>
      </c>
      <c r="E3603" s="16">
        <f>ABS(Solieusap!E3603)</f>
        <v>0</v>
      </c>
      <c r="F3603" s="16">
        <f>ABS(Solieusap!F3603)</f>
        <v>0</v>
      </c>
      <c r="G3603" s="16">
        <f>ABS(Solieusap!G3603)</f>
        <v>0</v>
      </c>
      <c r="H3603" s="16">
        <f>ABS(Solieusap!H3603)</f>
        <v>0</v>
      </c>
      <c r="I3603" s="16">
        <f>ABS(Solieusap!I3603)</f>
        <v>0</v>
      </c>
      <c r="J3603" s="16">
        <f>ABS(Solieusap!J3603)</f>
        <v>0</v>
      </c>
      <c r="K3603" s="16">
        <f t="shared" si="1"/>
        <v>0</v>
      </c>
      <c r="L3603" s="16">
        <f t="shared" si="2"/>
        <v>0</v>
      </c>
    </row>
    <row r="3604" ht="16.5" customHeight="1">
      <c r="A3604" s="15" t="str">
        <f>Solieusap!A3604</f>
        <v/>
      </c>
      <c r="B3604" s="15" t="str">
        <f>Solieusap!B3604</f>
        <v/>
      </c>
      <c r="C3604" s="15" t="str">
        <f>Solieusap!C3604</f>
        <v/>
      </c>
      <c r="D3604" s="15" t="str">
        <f>Solieusap!D3604</f>
        <v/>
      </c>
      <c r="E3604" s="16">
        <f>ABS(Solieusap!E3604)</f>
        <v>0</v>
      </c>
      <c r="F3604" s="16">
        <f>ABS(Solieusap!F3604)</f>
        <v>0</v>
      </c>
      <c r="G3604" s="16">
        <f>ABS(Solieusap!G3604)</f>
        <v>0</v>
      </c>
      <c r="H3604" s="16">
        <f>ABS(Solieusap!H3604)</f>
        <v>0</v>
      </c>
      <c r="I3604" s="16">
        <f>ABS(Solieusap!I3604)</f>
        <v>0</v>
      </c>
      <c r="J3604" s="16">
        <f>ABS(Solieusap!J3604)</f>
        <v>0</v>
      </c>
      <c r="K3604" s="16">
        <f t="shared" si="1"/>
        <v>0</v>
      </c>
      <c r="L3604" s="16">
        <f t="shared" si="2"/>
        <v>0</v>
      </c>
    </row>
    <row r="3605" ht="16.5" customHeight="1">
      <c r="A3605" s="15" t="str">
        <f>Solieusap!A3605</f>
        <v/>
      </c>
      <c r="B3605" s="15" t="str">
        <f>Solieusap!B3605</f>
        <v/>
      </c>
      <c r="C3605" s="15" t="str">
        <f>Solieusap!C3605</f>
        <v/>
      </c>
      <c r="D3605" s="15" t="str">
        <f>Solieusap!D3605</f>
        <v/>
      </c>
      <c r="E3605" s="16">
        <f>ABS(Solieusap!E3605)</f>
        <v>0</v>
      </c>
      <c r="F3605" s="16">
        <f>ABS(Solieusap!F3605)</f>
        <v>0</v>
      </c>
      <c r="G3605" s="16">
        <f>ABS(Solieusap!G3605)</f>
        <v>0</v>
      </c>
      <c r="H3605" s="16">
        <f>ABS(Solieusap!H3605)</f>
        <v>0</v>
      </c>
      <c r="I3605" s="16">
        <f>ABS(Solieusap!I3605)</f>
        <v>0</v>
      </c>
      <c r="J3605" s="16">
        <f>ABS(Solieusap!J3605)</f>
        <v>0</v>
      </c>
      <c r="K3605" s="16">
        <f t="shared" si="1"/>
        <v>0</v>
      </c>
      <c r="L3605" s="16">
        <f t="shared" si="2"/>
        <v>0</v>
      </c>
    </row>
    <row r="3606" ht="16.5" customHeight="1">
      <c r="A3606" s="15" t="str">
        <f>Solieusap!A3606</f>
        <v/>
      </c>
      <c r="B3606" s="15" t="str">
        <f>Solieusap!B3606</f>
        <v/>
      </c>
      <c r="C3606" s="15" t="str">
        <f>Solieusap!C3606</f>
        <v/>
      </c>
      <c r="D3606" s="15" t="str">
        <f>Solieusap!D3606</f>
        <v/>
      </c>
      <c r="E3606" s="16">
        <f>ABS(Solieusap!E3606)</f>
        <v>0</v>
      </c>
      <c r="F3606" s="16">
        <f>ABS(Solieusap!F3606)</f>
        <v>0</v>
      </c>
      <c r="G3606" s="16">
        <f>ABS(Solieusap!G3606)</f>
        <v>0</v>
      </c>
      <c r="H3606" s="16">
        <f>ABS(Solieusap!H3606)</f>
        <v>0</v>
      </c>
      <c r="I3606" s="16">
        <f>ABS(Solieusap!I3606)</f>
        <v>0</v>
      </c>
      <c r="J3606" s="16">
        <f>ABS(Solieusap!J3606)</f>
        <v>0</v>
      </c>
      <c r="K3606" s="16">
        <f t="shared" si="1"/>
        <v>0</v>
      </c>
      <c r="L3606" s="16">
        <f t="shared" si="2"/>
        <v>0</v>
      </c>
    </row>
    <row r="3607" ht="16.5" customHeight="1">
      <c r="A3607" s="15" t="str">
        <f>Solieusap!A3607</f>
        <v/>
      </c>
      <c r="B3607" s="15" t="str">
        <f>Solieusap!B3607</f>
        <v/>
      </c>
      <c r="C3607" s="15" t="str">
        <f>Solieusap!C3607</f>
        <v/>
      </c>
      <c r="D3607" s="15" t="str">
        <f>Solieusap!D3607</f>
        <v/>
      </c>
      <c r="E3607" s="16">
        <f>ABS(Solieusap!E3607)</f>
        <v>0</v>
      </c>
      <c r="F3607" s="16">
        <f>ABS(Solieusap!F3607)</f>
        <v>0</v>
      </c>
      <c r="G3607" s="16">
        <f>ABS(Solieusap!G3607)</f>
        <v>0</v>
      </c>
      <c r="H3607" s="16">
        <f>ABS(Solieusap!H3607)</f>
        <v>0</v>
      </c>
      <c r="I3607" s="16">
        <f>ABS(Solieusap!I3607)</f>
        <v>0</v>
      </c>
      <c r="J3607" s="16">
        <f>ABS(Solieusap!J3607)</f>
        <v>0</v>
      </c>
      <c r="K3607" s="16">
        <f t="shared" si="1"/>
        <v>0</v>
      </c>
      <c r="L3607" s="16">
        <f t="shared" si="2"/>
        <v>0</v>
      </c>
    </row>
    <row r="3608" ht="16.5" customHeight="1">
      <c r="A3608" s="15" t="str">
        <f>Solieusap!A3608</f>
        <v/>
      </c>
      <c r="B3608" s="15" t="str">
        <f>Solieusap!B3608</f>
        <v/>
      </c>
      <c r="C3608" s="15" t="str">
        <f>Solieusap!C3608</f>
        <v/>
      </c>
      <c r="D3608" s="15" t="str">
        <f>Solieusap!D3608</f>
        <v/>
      </c>
      <c r="E3608" s="16">
        <f>ABS(Solieusap!E3608)</f>
        <v>0</v>
      </c>
      <c r="F3608" s="16">
        <f>ABS(Solieusap!F3608)</f>
        <v>0</v>
      </c>
      <c r="G3608" s="16">
        <f>ABS(Solieusap!G3608)</f>
        <v>0</v>
      </c>
      <c r="H3608" s="16">
        <f>ABS(Solieusap!H3608)</f>
        <v>0</v>
      </c>
      <c r="I3608" s="16">
        <f>ABS(Solieusap!I3608)</f>
        <v>0</v>
      </c>
      <c r="J3608" s="16">
        <f>ABS(Solieusap!J3608)</f>
        <v>0</v>
      </c>
      <c r="K3608" s="16">
        <f t="shared" si="1"/>
        <v>0</v>
      </c>
      <c r="L3608" s="16">
        <f t="shared" si="2"/>
        <v>0</v>
      </c>
    </row>
    <row r="3609" ht="16.5" customHeight="1">
      <c r="A3609" s="15" t="str">
        <f>Solieusap!A3609</f>
        <v/>
      </c>
      <c r="B3609" s="15" t="str">
        <f>Solieusap!B3609</f>
        <v/>
      </c>
      <c r="C3609" s="15" t="str">
        <f>Solieusap!C3609</f>
        <v/>
      </c>
      <c r="D3609" s="15" t="str">
        <f>Solieusap!D3609</f>
        <v/>
      </c>
      <c r="E3609" s="16">
        <f>ABS(Solieusap!E3609)</f>
        <v>0</v>
      </c>
      <c r="F3609" s="16">
        <f>ABS(Solieusap!F3609)</f>
        <v>0</v>
      </c>
      <c r="G3609" s="16">
        <f>ABS(Solieusap!G3609)</f>
        <v>0</v>
      </c>
      <c r="H3609" s="16">
        <f>ABS(Solieusap!H3609)</f>
        <v>0</v>
      </c>
      <c r="I3609" s="16">
        <f>ABS(Solieusap!I3609)</f>
        <v>0</v>
      </c>
      <c r="J3609" s="16">
        <f>ABS(Solieusap!J3609)</f>
        <v>0</v>
      </c>
      <c r="K3609" s="16">
        <f t="shared" si="1"/>
        <v>0</v>
      </c>
      <c r="L3609" s="16">
        <f t="shared" si="2"/>
        <v>0</v>
      </c>
    </row>
    <row r="3610" ht="16.5" customHeight="1">
      <c r="A3610" s="15" t="str">
        <f>Solieusap!A3610</f>
        <v/>
      </c>
      <c r="B3610" s="15" t="str">
        <f>Solieusap!B3610</f>
        <v/>
      </c>
      <c r="C3610" s="15" t="str">
        <f>Solieusap!C3610</f>
        <v/>
      </c>
      <c r="D3610" s="15" t="str">
        <f>Solieusap!D3610</f>
        <v/>
      </c>
      <c r="E3610" s="16">
        <f>ABS(Solieusap!E3610)</f>
        <v>0</v>
      </c>
      <c r="F3610" s="16">
        <f>ABS(Solieusap!F3610)</f>
        <v>0</v>
      </c>
      <c r="G3610" s="16">
        <f>ABS(Solieusap!G3610)</f>
        <v>0</v>
      </c>
      <c r="H3610" s="16">
        <f>ABS(Solieusap!H3610)</f>
        <v>0</v>
      </c>
      <c r="I3610" s="16">
        <f>ABS(Solieusap!I3610)</f>
        <v>0</v>
      </c>
      <c r="J3610" s="16">
        <f>ABS(Solieusap!J3610)</f>
        <v>0</v>
      </c>
      <c r="K3610" s="16">
        <f t="shared" si="1"/>
        <v>0</v>
      </c>
      <c r="L3610" s="16">
        <f t="shared" si="2"/>
        <v>0</v>
      </c>
    </row>
    <row r="3611" ht="16.5" customHeight="1">
      <c r="A3611" s="15" t="str">
        <f>Solieusap!A3611</f>
        <v/>
      </c>
      <c r="B3611" s="15" t="str">
        <f>Solieusap!B3611</f>
        <v/>
      </c>
      <c r="C3611" s="15" t="str">
        <f>Solieusap!C3611</f>
        <v/>
      </c>
      <c r="D3611" s="15" t="str">
        <f>Solieusap!D3611</f>
        <v/>
      </c>
      <c r="E3611" s="16">
        <f>ABS(Solieusap!E3611)</f>
        <v>0</v>
      </c>
      <c r="F3611" s="16">
        <f>ABS(Solieusap!F3611)</f>
        <v>0</v>
      </c>
      <c r="G3611" s="16">
        <f>ABS(Solieusap!G3611)</f>
        <v>0</v>
      </c>
      <c r="H3611" s="16">
        <f>ABS(Solieusap!H3611)</f>
        <v>0</v>
      </c>
      <c r="I3611" s="16">
        <f>ABS(Solieusap!I3611)</f>
        <v>0</v>
      </c>
      <c r="J3611" s="16">
        <f>ABS(Solieusap!J3611)</f>
        <v>0</v>
      </c>
      <c r="K3611" s="16">
        <f t="shared" si="1"/>
        <v>0</v>
      </c>
      <c r="L3611" s="16">
        <f t="shared" si="2"/>
        <v>0</v>
      </c>
    </row>
    <row r="3612" ht="16.5" customHeight="1">
      <c r="A3612" s="15" t="str">
        <f>Solieusap!A3612</f>
        <v/>
      </c>
      <c r="B3612" s="15" t="str">
        <f>Solieusap!B3612</f>
        <v/>
      </c>
      <c r="C3612" s="15" t="str">
        <f>Solieusap!C3612</f>
        <v/>
      </c>
      <c r="D3612" s="15" t="str">
        <f>Solieusap!D3612</f>
        <v/>
      </c>
      <c r="E3612" s="16">
        <f>ABS(Solieusap!E3612)</f>
        <v>0</v>
      </c>
      <c r="F3612" s="16">
        <f>ABS(Solieusap!F3612)</f>
        <v>0</v>
      </c>
      <c r="G3612" s="16">
        <f>ABS(Solieusap!G3612)</f>
        <v>0</v>
      </c>
      <c r="H3612" s="16">
        <f>ABS(Solieusap!H3612)</f>
        <v>0</v>
      </c>
      <c r="I3612" s="16">
        <f>ABS(Solieusap!I3612)</f>
        <v>0</v>
      </c>
      <c r="J3612" s="16">
        <f>ABS(Solieusap!J3612)</f>
        <v>0</v>
      </c>
      <c r="K3612" s="16">
        <f t="shared" si="1"/>
        <v>0</v>
      </c>
      <c r="L3612" s="16">
        <f t="shared" si="2"/>
        <v>0</v>
      </c>
    </row>
    <row r="3613" ht="16.5" customHeight="1">
      <c r="A3613" s="15" t="str">
        <f>Solieusap!A3613</f>
        <v/>
      </c>
      <c r="B3613" s="15" t="str">
        <f>Solieusap!B3613</f>
        <v/>
      </c>
      <c r="C3613" s="15" t="str">
        <f>Solieusap!C3613</f>
        <v/>
      </c>
      <c r="D3613" s="15" t="str">
        <f>Solieusap!D3613</f>
        <v/>
      </c>
      <c r="E3613" s="16">
        <f>ABS(Solieusap!E3613)</f>
        <v>0</v>
      </c>
      <c r="F3613" s="16">
        <f>ABS(Solieusap!F3613)</f>
        <v>0</v>
      </c>
      <c r="G3613" s="16">
        <f>ABS(Solieusap!G3613)</f>
        <v>0</v>
      </c>
      <c r="H3613" s="16">
        <f>ABS(Solieusap!H3613)</f>
        <v>0</v>
      </c>
      <c r="I3613" s="16">
        <f>ABS(Solieusap!I3613)</f>
        <v>0</v>
      </c>
      <c r="J3613" s="16">
        <f>ABS(Solieusap!J3613)</f>
        <v>0</v>
      </c>
      <c r="K3613" s="16">
        <f t="shared" si="1"/>
        <v>0</v>
      </c>
      <c r="L3613" s="16">
        <f t="shared" si="2"/>
        <v>0</v>
      </c>
    </row>
    <row r="3614" ht="16.5" customHeight="1">
      <c r="A3614" s="15" t="str">
        <f>Solieusap!A3614</f>
        <v/>
      </c>
      <c r="B3614" s="15" t="str">
        <f>Solieusap!B3614</f>
        <v/>
      </c>
      <c r="C3614" s="15" t="str">
        <f>Solieusap!C3614</f>
        <v/>
      </c>
      <c r="D3614" s="15" t="str">
        <f>Solieusap!D3614</f>
        <v/>
      </c>
      <c r="E3614" s="16">
        <f>ABS(Solieusap!E3614)</f>
        <v>0</v>
      </c>
      <c r="F3614" s="16">
        <f>ABS(Solieusap!F3614)</f>
        <v>0</v>
      </c>
      <c r="G3614" s="16">
        <f>ABS(Solieusap!G3614)</f>
        <v>0</v>
      </c>
      <c r="H3614" s="16">
        <f>ABS(Solieusap!H3614)</f>
        <v>0</v>
      </c>
      <c r="I3614" s="16">
        <f>ABS(Solieusap!I3614)</f>
        <v>0</v>
      </c>
      <c r="J3614" s="16">
        <f>ABS(Solieusap!J3614)</f>
        <v>0</v>
      </c>
      <c r="K3614" s="16">
        <f t="shared" si="1"/>
        <v>0</v>
      </c>
      <c r="L3614" s="16">
        <f t="shared" si="2"/>
        <v>0</v>
      </c>
    </row>
    <row r="3615" ht="16.5" customHeight="1">
      <c r="A3615" s="15" t="str">
        <f>Solieusap!A3615</f>
        <v/>
      </c>
      <c r="B3615" s="15" t="str">
        <f>Solieusap!B3615</f>
        <v/>
      </c>
      <c r="C3615" s="15" t="str">
        <f>Solieusap!C3615</f>
        <v/>
      </c>
      <c r="D3615" s="15" t="str">
        <f>Solieusap!D3615</f>
        <v/>
      </c>
      <c r="E3615" s="16">
        <f>ABS(Solieusap!E3615)</f>
        <v>0</v>
      </c>
      <c r="F3615" s="16">
        <f>ABS(Solieusap!F3615)</f>
        <v>0</v>
      </c>
      <c r="G3615" s="16">
        <f>ABS(Solieusap!G3615)</f>
        <v>0</v>
      </c>
      <c r="H3615" s="16">
        <f>ABS(Solieusap!H3615)</f>
        <v>0</v>
      </c>
      <c r="I3615" s="16">
        <f>ABS(Solieusap!I3615)</f>
        <v>0</v>
      </c>
      <c r="J3615" s="16">
        <f>ABS(Solieusap!J3615)</f>
        <v>0</v>
      </c>
      <c r="K3615" s="16">
        <f t="shared" si="1"/>
        <v>0</v>
      </c>
      <c r="L3615" s="16">
        <f t="shared" si="2"/>
        <v>0</v>
      </c>
    </row>
    <row r="3616" ht="16.5" customHeight="1">
      <c r="A3616" s="15" t="str">
        <f>Solieusap!A3616</f>
        <v/>
      </c>
      <c r="B3616" s="15" t="str">
        <f>Solieusap!B3616</f>
        <v/>
      </c>
      <c r="C3616" s="15" t="str">
        <f>Solieusap!C3616</f>
        <v/>
      </c>
      <c r="D3616" s="15" t="str">
        <f>Solieusap!D3616</f>
        <v/>
      </c>
      <c r="E3616" s="16">
        <f>ABS(Solieusap!E3616)</f>
        <v>0</v>
      </c>
      <c r="F3616" s="16">
        <f>ABS(Solieusap!F3616)</f>
        <v>0</v>
      </c>
      <c r="G3616" s="16">
        <f>ABS(Solieusap!G3616)</f>
        <v>0</v>
      </c>
      <c r="H3616" s="16">
        <f>ABS(Solieusap!H3616)</f>
        <v>0</v>
      </c>
      <c r="I3616" s="16">
        <f>ABS(Solieusap!I3616)</f>
        <v>0</v>
      </c>
      <c r="J3616" s="16">
        <f>ABS(Solieusap!J3616)</f>
        <v>0</v>
      </c>
      <c r="K3616" s="16">
        <f t="shared" si="1"/>
        <v>0</v>
      </c>
      <c r="L3616" s="16">
        <f t="shared" si="2"/>
        <v>0</v>
      </c>
    </row>
    <row r="3617" ht="16.5" customHeight="1">
      <c r="A3617" s="15" t="str">
        <f>Solieusap!A3617</f>
        <v/>
      </c>
      <c r="B3617" s="15" t="str">
        <f>Solieusap!B3617</f>
        <v/>
      </c>
      <c r="C3617" s="15" t="str">
        <f>Solieusap!C3617</f>
        <v/>
      </c>
      <c r="D3617" s="15" t="str">
        <f>Solieusap!D3617</f>
        <v/>
      </c>
      <c r="E3617" s="16">
        <f>ABS(Solieusap!E3617)</f>
        <v>0</v>
      </c>
      <c r="F3617" s="16">
        <f>ABS(Solieusap!F3617)</f>
        <v>0</v>
      </c>
      <c r="G3617" s="16">
        <f>ABS(Solieusap!G3617)</f>
        <v>0</v>
      </c>
      <c r="H3617" s="16">
        <f>ABS(Solieusap!H3617)</f>
        <v>0</v>
      </c>
      <c r="I3617" s="16">
        <f>ABS(Solieusap!I3617)</f>
        <v>0</v>
      </c>
      <c r="J3617" s="16">
        <f>ABS(Solieusap!J3617)</f>
        <v>0</v>
      </c>
      <c r="K3617" s="16">
        <f t="shared" si="1"/>
        <v>0</v>
      </c>
      <c r="L3617" s="16">
        <f t="shared" si="2"/>
        <v>0</v>
      </c>
    </row>
    <row r="3618" ht="16.5" customHeight="1">
      <c r="A3618" s="15" t="str">
        <f>Solieusap!A3618</f>
        <v/>
      </c>
      <c r="B3618" s="15" t="str">
        <f>Solieusap!B3618</f>
        <v/>
      </c>
      <c r="C3618" s="15" t="str">
        <f>Solieusap!C3618</f>
        <v/>
      </c>
      <c r="D3618" s="15" t="str">
        <f>Solieusap!D3618</f>
        <v/>
      </c>
      <c r="E3618" s="16">
        <f>ABS(Solieusap!E3618)</f>
        <v>0</v>
      </c>
      <c r="F3618" s="16">
        <f>ABS(Solieusap!F3618)</f>
        <v>0</v>
      </c>
      <c r="G3618" s="16">
        <f>ABS(Solieusap!G3618)</f>
        <v>0</v>
      </c>
      <c r="H3618" s="16">
        <f>ABS(Solieusap!H3618)</f>
        <v>0</v>
      </c>
      <c r="I3618" s="16">
        <f>ABS(Solieusap!I3618)</f>
        <v>0</v>
      </c>
      <c r="J3618" s="16">
        <f>ABS(Solieusap!J3618)</f>
        <v>0</v>
      </c>
      <c r="K3618" s="16">
        <f t="shared" si="1"/>
        <v>0</v>
      </c>
      <c r="L3618" s="16">
        <f t="shared" si="2"/>
        <v>0</v>
      </c>
    </row>
    <row r="3619" ht="16.5" customHeight="1">
      <c r="A3619" s="15" t="str">
        <f>Solieusap!A3619</f>
        <v/>
      </c>
      <c r="B3619" s="15" t="str">
        <f>Solieusap!B3619</f>
        <v/>
      </c>
      <c r="C3619" s="15" t="str">
        <f>Solieusap!C3619</f>
        <v/>
      </c>
      <c r="D3619" s="15" t="str">
        <f>Solieusap!D3619</f>
        <v/>
      </c>
      <c r="E3619" s="16">
        <f>ABS(Solieusap!E3619)</f>
        <v>0</v>
      </c>
      <c r="F3619" s="16">
        <f>ABS(Solieusap!F3619)</f>
        <v>0</v>
      </c>
      <c r="G3619" s="16">
        <f>ABS(Solieusap!G3619)</f>
        <v>0</v>
      </c>
      <c r="H3619" s="16">
        <f>ABS(Solieusap!H3619)</f>
        <v>0</v>
      </c>
      <c r="I3619" s="16">
        <f>ABS(Solieusap!I3619)</f>
        <v>0</v>
      </c>
      <c r="J3619" s="16">
        <f>ABS(Solieusap!J3619)</f>
        <v>0</v>
      </c>
      <c r="K3619" s="16">
        <f t="shared" si="1"/>
        <v>0</v>
      </c>
      <c r="L3619" s="16">
        <f t="shared" si="2"/>
        <v>0</v>
      </c>
    </row>
    <row r="3620" ht="16.5" customHeight="1">
      <c r="A3620" s="15" t="str">
        <f>Solieusap!A3620</f>
        <v/>
      </c>
      <c r="B3620" s="15" t="str">
        <f>Solieusap!B3620</f>
        <v/>
      </c>
      <c r="C3620" s="15" t="str">
        <f>Solieusap!C3620</f>
        <v/>
      </c>
      <c r="D3620" s="15" t="str">
        <f>Solieusap!D3620</f>
        <v/>
      </c>
      <c r="E3620" s="16">
        <f>ABS(Solieusap!E3620)</f>
        <v>0</v>
      </c>
      <c r="F3620" s="16">
        <f>ABS(Solieusap!F3620)</f>
        <v>0</v>
      </c>
      <c r="G3620" s="16">
        <f>ABS(Solieusap!G3620)</f>
        <v>0</v>
      </c>
      <c r="H3620" s="16">
        <f>ABS(Solieusap!H3620)</f>
        <v>0</v>
      </c>
      <c r="I3620" s="16">
        <f>ABS(Solieusap!I3620)</f>
        <v>0</v>
      </c>
      <c r="J3620" s="16">
        <f>ABS(Solieusap!J3620)</f>
        <v>0</v>
      </c>
      <c r="K3620" s="16">
        <f t="shared" si="1"/>
        <v>0</v>
      </c>
      <c r="L3620" s="16">
        <f t="shared" si="2"/>
        <v>0</v>
      </c>
    </row>
    <row r="3621" ht="16.5" customHeight="1">
      <c r="A3621" s="15" t="str">
        <f>Solieusap!A3621</f>
        <v/>
      </c>
      <c r="B3621" s="15" t="str">
        <f>Solieusap!B3621</f>
        <v/>
      </c>
      <c r="C3621" s="15" t="str">
        <f>Solieusap!C3621</f>
        <v/>
      </c>
      <c r="D3621" s="15" t="str">
        <f>Solieusap!D3621</f>
        <v/>
      </c>
      <c r="E3621" s="16">
        <f>ABS(Solieusap!E3621)</f>
        <v>0</v>
      </c>
      <c r="F3621" s="16">
        <f>ABS(Solieusap!F3621)</f>
        <v>0</v>
      </c>
      <c r="G3621" s="16">
        <f>ABS(Solieusap!G3621)</f>
        <v>0</v>
      </c>
      <c r="H3621" s="16">
        <f>ABS(Solieusap!H3621)</f>
        <v>0</v>
      </c>
      <c r="I3621" s="16">
        <f>ABS(Solieusap!I3621)</f>
        <v>0</v>
      </c>
      <c r="J3621" s="16">
        <f>ABS(Solieusap!J3621)</f>
        <v>0</v>
      </c>
      <c r="K3621" s="16">
        <f t="shared" si="1"/>
        <v>0</v>
      </c>
      <c r="L3621" s="16">
        <f t="shared" si="2"/>
        <v>0</v>
      </c>
    </row>
    <row r="3622" ht="16.5" customHeight="1">
      <c r="A3622" s="15" t="str">
        <f>Solieusap!A3622</f>
        <v/>
      </c>
      <c r="B3622" s="15" t="str">
        <f>Solieusap!B3622</f>
        <v/>
      </c>
      <c r="C3622" s="15" t="str">
        <f>Solieusap!C3622</f>
        <v/>
      </c>
      <c r="D3622" s="15" t="str">
        <f>Solieusap!D3622</f>
        <v/>
      </c>
      <c r="E3622" s="16">
        <f>ABS(Solieusap!E3622)</f>
        <v>0</v>
      </c>
      <c r="F3622" s="16">
        <f>ABS(Solieusap!F3622)</f>
        <v>0</v>
      </c>
      <c r="G3622" s="16">
        <f>ABS(Solieusap!G3622)</f>
        <v>0</v>
      </c>
      <c r="H3622" s="16">
        <f>ABS(Solieusap!H3622)</f>
        <v>0</v>
      </c>
      <c r="I3622" s="16">
        <f>ABS(Solieusap!I3622)</f>
        <v>0</v>
      </c>
      <c r="J3622" s="16">
        <f>ABS(Solieusap!J3622)</f>
        <v>0</v>
      </c>
      <c r="K3622" s="16">
        <f t="shared" si="1"/>
        <v>0</v>
      </c>
      <c r="L3622" s="16">
        <f t="shared" si="2"/>
        <v>0</v>
      </c>
    </row>
    <row r="3623" ht="16.5" customHeight="1">
      <c r="A3623" s="15" t="str">
        <f>Solieusap!A3623</f>
        <v/>
      </c>
      <c r="B3623" s="15" t="str">
        <f>Solieusap!B3623</f>
        <v/>
      </c>
      <c r="C3623" s="15" t="str">
        <f>Solieusap!C3623</f>
        <v/>
      </c>
      <c r="D3623" s="15" t="str">
        <f>Solieusap!D3623</f>
        <v/>
      </c>
      <c r="E3623" s="16">
        <f>ABS(Solieusap!E3623)</f>
        <v>0</v>
      </c>
      <c r="F3623" s="16">
        <f>ABS(Solieusap!F3623)</f>
        <v>0</v>
      </c>
      <c r="G3623" s="16">
        <f>ABS(Solieusap!G3623)</f>
        <v>0</v>
      </c>
      <c r="H3623" s="16">
        <f>ABS(Solieusap!H3623)</f>
        <v>0</v>
      </c>
      <c r="I3623" s="16">
        <f>ABS(Solieusap!I3623)</f>
        <v>0</v>
      </c>
      <c r="J3623" s="16">
        <f>ABS(Solieusap!J3623)</f>
        <v>0</v>
      </c>
      <c r="K3623" s="16">
        <f t="shared" si="1"/>
        <v>0</v>
      </c>
      <c r="L3623" s="16">
        <f t="shared" si="2"/>
        <v>0</v>
      </c>
    </row>
    <row r="3624" ht="16.5" customHeight="1">
      <c r="A3624" s="15" t="str">
        <f>Solieusap!A3624</f>
        <v/>
      </c>
      <c r="B3624" s="15" t="str">
        <f>Solieusap!B3624</f>
        <v/>
      </c>
      <c r="C3624" s="15" t="str">
        <f>Solieusap!C3624</f>
        <v/>
      </c>
      <c r="D3624" s="15" t="str">
        <f>Solieusap!D3624</f>
        <v/>
      </c>
      <c r="E3624" s="16">
        <f>ABS(Solieusap!E3624)</f>
        <v>0</v>
      </c>
      <c r="F3624" s="16">
        <f>ABS(Solieusap!F3624)</f>
        <v>0</v>
      </c>
      <c r="G3624" s="16">
        <f>ABS(Solieusap!G3624)</f>
        <v>0</v>
      </c>
      <c r="H3624" s="16">
        <f>ABS(Solieusap!H3624)</f>
        <v>0</v>
      </c>
      <c r="I3624" s="16">
        <f>ABS(Solieusap!I3624)</f>
        <v>0</v>
      </c>
      <c r="J3624" s="16">
        <f>ABS(Solieusap!J3624)</f>
        <v>0</v>
      </c>
      <c r="K3624" s="16">
        <f t="shared" si="1"/>
        <v>0</v>
      </c>
      <c r="L3624" s="16">
        <f t="shared" si="2"/>
        <v>0</v>
      </c>
    </row>
    <row r="3625" ht="16.5" customHeight="1">
      <c r="A3625" s="15" t="str">
        <f>Solieusap!A3625</f>
        <v/>
      </c>
      <c r="B3625" s="15" t="str">
        <f>Solieusap!B3625</f>
        <v/>
      </c>
      <c r="C3625" s="15" t="str">
        <f>Solieusap!C3625</f>
        <v/>
      </c>
      <c r="D3625" s="15" t="str">
        <f>Solieusap!D3625</f>
        <v/>
      </c>
      <c r="E3625" s="16">
        <f>ABS(Solieusap!E3625)</f>
        <v>0</v>
      </c>
      <c r="F3625" s="16">
        <f>ABS(Solieusap!F3625)</f>
        <v>0</v>
      </c>
      <c r="G3625" s="16">
        <f>ABS(Solieusap!G3625)</f>
        <v>0</v>
      </c>
      <c r="H3625" s="16">
        <f>ABS(Solieusap!H3625)</f>
        <v>0</v>
      </c>
      <c r="I3625" s="16">
        <f>ABS(Solieusap!I3625)</f>
        <v>0</v>
      </c>
      <c r="J3625" s="16">
        <f>ABS(Solieusap!J3625)</f>
        <v>0</v>
      </c>
      <c r="K3625" s="16">
        <f t="shared" si="1"/>
        <v>0</v>
      </c>
      <c r="L3625" s="16">
        <f t="shared" si="2"/>
        <v>0</v>
      </c>
    </row>
    <row r="3626" ht="16.5" customHeight="1">
      <c r="A3626" s="15" t="str">
        <f>Solieusap!A3626</f>
        <v/>
      </c>
      <c r="B3626" s="15" t="str">
        <f>Solieusap!B3626</f>
        <v/>
      </c>
      <c r="C3626" s="15" t="str">
        <f>Solieusap!C3626</f>
        <v/>
      </c>
      <c r="D3626" s="15" t="str">
        <f>Solieusap!D3626</f>
        <v/>
      </c>
      <c r="E3626" s="16">
        <f>ABS(Solieusap!E3626)</f>
        <v>0</v>
      </c>
      <c r="F3626" s="16">
        <f>ABS(Solieusap!F3626)</f>
        <v>0</v>
      </c>
      <c r="G3626" s="16">
        <f>ABS(Solieusap!G3626)</f>
        <v>0</v>
      </c>
      <c r="H3626" s="16">
        <f>ABS(Solieusap!H3626)</f>
        <v>0</v>
      </c>
      <c r="I3626" s="16">
        <f>ABS(Solieusap!I3626)</f>
        <v>0</v>
      </c>
      <c r="J3626" s="16">
        <f>ABS(Solieusap!J3626)</f>
        <v>0</v>
      </c>
      <c r="K3626" s="16">
        <f t="shared" si="1"/>
        <v>0</v>
      </c>
      <c r="L3626" s="16">
        <f t="shared" si="2"/>
        <v>0</v>
      </c>
    </row>
    <row r="3627" ht="16.5" customHeight="1">
      <c r="A3627" s="15" t="str">
        <f>Solieusap!A3627</f>
        <v/>
      </c>
      <c r="B3627" s="15" t="str">
        <f>Solieusap!B3627</f>
        <v/>
      </c>
      <c r="C3627" s="15" t="str">
        <f>Solieusap!C3627</f>
        <v/>
      </c>
      <c r="D3627" s="15" t="str">
        <f>Solieusap!D3627</f>
        <v/>
      </c>
      <c r="E3627" s="16">
        <f>ABS(Solieusap!E3627)</f>
        <v>0</v>
      </c>
      <c r="F3627" s="16">
        <f>ABS(Solieusap!F3627)</f>
        <v>0</v>
      </c>
      <c r="G3627" s="16">
        <f>ABS(Solieusap!G3627)</f>
        <v>0</v>
      </c>
      <c r="H3627" s="16">
        <f>ABS(Solieusap!H3627)</f>
        <v>0</v>
      </c>
      <c r="I3627" s="16">
        <f>ABS(Solieusap!I3627)</f>
        <v>0</v>
      </c>
      <c r="J3627" s="16">
        <f>ABS(Solieusap!J3627)</f>
        <v>0</v>
      </c>
      <c r="K3627" s="16">
        <f t="shared" si="1"/>
        <v>0</v>
      </c>
      <c r="L3627" s="16">
        <f t="shared" si="2"/>
        <v>0</v>
      </c>
    </row>
    <row r="3628" ht="16.5" customHeight="1">
      <c r="A3628" s="15" t="str">
        <f>Solieusap!A3628</f>
        <v/>
      </c>
      <c r="B3628" s="15" t="str">
        <f>Solieusap!B3628</f>
        <v/>
      </c>
      <c r="C3628" s="15" t="str">
        <f>Solieusap!C3628</f>
        <v/>
      </c>
      <c r="D3628" s="15" t="str">
        <f>Solieusap!D3628</f>
        <v/>
      </c>
      <c r="E3628" s="16">
        <f>ABS(Solieusap!E3628)</f>
        <v>0</v>
      </c>
      <c r="F3628" s="16">
        <f>ABS(Solieusap!F3628)</f>
        <v>0</v>
      </c>
      <c r="G3628" s="16">
        <f>ABS(Solieusap!G3628)</f>
        <v>0</v>
      </c>
      <c r="H3628" s="16">
        <f>ABS(Solieusap!H3628)</f>
        <v>0</v>
      </c>
      <c r="I3628" s="16">
        <f>ABS(Solieusap!I3628)</f>
        <v>0</v>
      </c>
      <c r="J3628" s="16">
        <f>ABS(Solieusap!J3628)</f>
        <v>0</v>
      </c>
      <c r="K3628" s="16">
        <f t="shared" si="1"/>
        <v>0</v>
      </c>
      <c r="L3628" s="16">
        <f t="shared" si="2"/>
        <v>0</v>
      </c>
    </row>
    <row r="3629" ht="16.5" customHeight="1">
      <c r="A3629" s="15" t="str">
        <f>Solieusap!A3629</f>
        <v/>
      </c>
      <c r="B3629" s="15" t="str">
        <f>Solieusap!B3629</f>
        <v/>
      </c>
      <c r="C3629" s="15" t="str">
        <f>Solieusap!C3629</f>
        <v/>
      </c>
      <c r="D3629" s="15" t="str">
        <f>Solieusap!D3629</f>
        <v/>
      </c>
      <c r="E3629" s="16">
        <f>ABS(Solieusap!E3629)</f>
        <v>0</v>
      </c>
      <c r="F3629" s="16">
        <f>ABS(Solieusap!F3629)</f>
        <v>0</v>
      </c>
      <c r="G3629" s="16">
        <f>ABS(Solieusap!G3629)</f>
        <v>0</v>
      </c>
      <c r="H3629" s="16">
        <f>ABS(Solieusap!H3629)</f>
        <v>0</v>
      </c>
      <c r="I3629" s="16">
        <f>ABS(Solieusap!I3629)</f>
        <v>0</v>
      </c>
      <c r="J3629" s="16">
        <f>ABS(Solieusap!J3629)</f>
        <v>0</v>
      </c>
      <c r="K3629" s="16">
        <f t="shared" si="1"/>
        <v>0</v>
      </c>
      <c r="L3629" s="16">
        <f t="shared" si="2"/>
        <v>0</v>
      </c>
    </row>
    <row r="3630" ht="16.5" customHeight="1">
      <c r="A3630" s="15" t="str">
        <f>Solieusap!A3630</f>
        <v/>
      </c>
      <c r="B3630" s="15" t="str">
        <f>Solieusap!B3630</f>
        <v/>
      </c>
      <c r="C3630" s="15" t="str">
        <f>Solieusap!C3630</f>
        <v/>
      </c>
      <c r="D3630" s="15" t="str">
        <f>Solieusap!D3630</f>
        <v/>
      </c>
      <c r="E3630" s="16">
        <f>ABS(Solieusap!E3630)</f>
        <v>0</v>
      </c>
      <c r="F3630" s="16">
        <f>ABS(Solieusap!F3630)</f>
        <v>0</v>
      </c>
      <c r="G3630" s="16">
        <f>ABS(Solieusap!G3630)</f>
        <v>0</v>
      </c>
      <c r="H3630" s="16">
        <f>ABS(Solieusap!H3630)</f>
        <v>0</v>
      </c>
      <c r="I3630" s="16">
        <f>ABS(Solieusap!I3630)</f>
        <v>0</v>
      </c>
      <c r="J3630" s="16">
        <f>ABS(Solieusap!J3630)</f>
        <v>0</v>
      </c>
      <c r="K3630" s="16">
        <f t="shared" si="1"/>
        <v>0</v>
      </c>
      <c r="L3630" s="16">
        <f t="shared" si="2"/>
        <v>0</v>
      </c>
    </row>
    <row r="3631" ht="16.5" customHeight="1">
      <c r="A3631" s="15" t="str">
        <f>Solieusap!A3631</f>
        <v/>
      </c>
      <c r="B3631" s="15" t="str">
        <f>Solieusap!B3631</f>
        <v/>
      </c>
      <c r="C3631" s="15" t="str">
        <f>Solieusap!C3631</f>
        <v/>
      </c>
      <c r="D3631" s="15" t="str">
        <f>Solieusap!D3631</f>
        <v/>
      </c>
      <c r="E3631" s="16">
        <f>ABS(Solieusap!E3631)</f>
        <v>0</v>
      </c>
      <c r="F3631" s="16">
        <f>ABS(Solieusap!F3631)</f>
        <v>0</v>
      </c>
      <c r="G3631" s="16">
        <f>ABS(Solieusap!G3631)</f>
        <v>0</v>
      </c>
      <c r="H3631" s="16">
        <f>ABS(Solieusap!H3631)</f>
        <v>0</v>
      </c>
      <c r="I3631" s="16">
        <f>ABS(Solieusap!I3631)</f>
        <v>0</v>
      </c>
      <c r="J3631" s="16">
        <f>ABS(Solieusap!J3631)</f>
        <v>0</v>
      </c>
      <c r="K3631" s="16">
        <f t="shared" si="1"/>
        <v>0</v>
      </c>
      <c r="L3631" s="16">
        <f t="shared" si="2"/>
        <v>0</v>
      </c>
    </row>
    <row r="3632" ht="16.5" customHeight="1">
      <c r="A3632" s="15" t="str">
        <f>Solieusap!A3632</f>
        <v/>
      </c>
      <c r="B3632" s="15" t="str">
        <f>Solieusap!B3632</f>
        <v/>
      </c>
      <c r="C3632" s="15" t="str">
        <f>Solieusap!C3632</f>
        <v/>
      </c>
      <c r="D3632" s="15" t="str">
        <f>Solieusap!D3632</f>
        <v/>
      </c>
      <c r="E3632" s="16">
        <f>ABS(Solieusap!E3632)</f>
        <v>0</v>
      </c>
      <c r="F3632" s="16">
        <f>ABS(Solieusap!F3632)</f>
        <v>0</v>
      </c>
      <c r="G3632" s="16">
        <f>ABS(Solieusap!G3632)</f>
        <v>0</v>
      </c>
      <c r="H3632" s="16">
        <f>ABS(Solieusap!H3632)</f>
        <v>0</v>
      </c>
      <c r="I3632" s="16">
        <f>ABS(Solieusap!I3632)</f>
        <v>0</v>
      </c>
      <c r="J3632" s="16">
        <f>ABS(Solieusap!J3632)</f>
        <v>0</v>
      </c>
      <c r="K3632" s="16">
        <f t="shared" si="1"/>
        <v>0</v>
      </c>
      <c r="L3632" s="16">
        <f t="shared" si="2"/>
        <v>0</v>
      </c>
    </row>
    <row r="3633" ht="16.5" customHeight="1">
      <c r="A3633" s="15" t="str">
        <f>Solieusap!A3633</f>
        <v/>
      </c>
      <c r="B3633" s="15" t="str">
        <f>Solieusap!B3633</f>
        <v/>
      </c>
      <c r="C3633" s="15" t="str">
        <f>Solieusap!C3633</f>
        <v/>
      </c>
      <c r="D3633" s="15" t="str">
        <f>Solieusap!D3633</f>
        <v/>
      </c>
      <c r="E3633" s="16">
        <f>ABS(Solieusap!E3633)</f>
        <v>0</v>
      </c>
      <c r="F3633" s="16">
        <f>ABS(Solieusap!F3633)</f>
        <v>0</v>
      </c>
      <c r="G3633" s="16">
        <f>ABS(Solieusap!G3633)</f>
        <v>0</v>
      </c>
      <c r="H3633" s="16">
        <f>ABS(Solieusap!H3633)</f>
        <v>0</v>
      </c>
      <c r="I3633" s="16">
        <f>ABS(Solieusap!I3633)</f>
        <v>0</v>
      </c>
      <c r="J3633" s="16">
        <f>ABS(Solieusap!J3633)</f>
        <v>0</v>
      </c>
      <c r="K3633" s="16">
        <f t="shared" si="1"/>
        <v>0</v>
      </c>
      <c r="L3633" s="16">
        <f t="shared" si="2"/>
        <v>0</v>
      </c>
    </row>
    <row r="3634" ht="16.5" customHeight="1">
      <c r="A3634" s="15" t="str">
        <f>Solieusap!A3634</f>
        <v/>
      </c>
      <c r="B3634" s="15" t="str">
        <f>Solieusap!B3634</f>
        <v/>
      </c>
      <c r="C3634" s="15" t="str">
        <f>Solieusap!C3634</f>
        <v/>
      </c>
      <c r="D3634" s="15" t="str">
        <f>Solieusap!D3634</f>
        <v/>
      </c>
      <c r="E3634" s="16">
        <f>ABS(Solieusap!E3634)</f>
        <v>0</v>
      </c>
      <c r="F3634" s="16">
        <f>ABS(Solieusap!F3634)</f>
        <v>0</v>
      </c>
      <c r="G3634" s="16">
        <f>ABS(Solieusap!G3634)</f>
        <v>0</v>
      </c>
      <c r="H3634" s="16">
        <f>ABS(Solieusap!H3634)</f>
        <v>0</v>
      </c>
      <c r="I3634" s="16">
        <f>ABS(Solieusap!I3634)</f>
        <v>0</v>
      </c>
      <c r="J3634" s="16">
        <f>ABS(Solieusap!J3634)</f>
        <v>0</v>
      </c>
      <c r="K3634" s="16">
        <f t="shared" si="1"/>
        <v>0</v>
      </c>
      <c r="L3634" s="16">
        <f t="shared" si="2"/>
        <v>0</v>
      </c>
    </row>
    <row r="3635" ht="16.5" customHeight="1">
      <c r="A3635" s="15" t="str">
        <f>Solieusap!A3635</f>
        <v/>
      </c>
      <c r="B3635" s="15" t="str">
        <f>Solieusap!B3635</f>
        <v/>
      </c>
      <c r="C3635" s="15" t="str">
        <f>Solieusap!C3635</f>
        <v/>
      </c>
      <c r="D3635" s="15" t="str">
        <f>Solieusap!D3635</f>
        <v/>
      </c>
      <c r="E3635" s="16">
        <f>ABS(Solieusap!E3635)</f>
        <v>0</v>
      </c>
      <c r="F3635" s="16">
        <f>ABS(Solieusap!F3635)</f>
        <v>0</v>
      </c>
      <c r="G3635" s="16">
        <f>ABS(Solieusap!G3635)</f>
        <v>0</v>
      </c>
      <c r="H3635" s="16">
        <f>ABS(Solieusap!H3635)</f>
        <v>0</v>
      </c>
      <c r="I3635" s="16">
        <f>ABS(Solieusap!I3635)</f>
        <v>0</v>
      </c>
      <c r="J3635" s="16">
        <f>ABS(Solieusap!J3635)</f>
        <v>0</v>
      </c>
      <c r="K3635" s="16">
        <f t="shared" si="1"/>
        <v>0</v>
      </c>
      <c r="L3635" s="16">
        <f t="shared" si="2"/>
        <v>0</v>
      </c>
    </row>
    <row r="3636" ht="16.5" customHeight="1">
      <c r="A3636" s="15" t="str">
        <f>Solieusap!A3636</f>
        <v/>
      </c>
      <c r="B3636" s="15" t="str">
        <f>Solieusap!B3636</f>
        <v/>
      </c>
      <c r="C3636" s="15" t="str">
        <f>Solieusap!C3636</f>
        <v/>
      </c>
      <c r="D3636" s="15" t="str">
        <f>Solieusap!D3636</f>
        <v/>
      </c>
      <c r="E3636" s="16">
        <f>ABS(Solieusap!E3636)</f>
        <v>0</v>
      </c>
      <c r="F3636" s="16">
        <f>ABS(Solieusap!F3636)</f>
        <v>0</v>
      </c>
      <c r="G3636" s="16">
        <f>ABS(Solieusap!G3636)</f>
        <v>0</v>
      </c>
      <c r="H3636" s="16">
        <f>ABS(Solieusap!H3636)</f>
        <v>0</v>
      </c>
      <c r="I3636" s="16">
        <f>ABS(Solieusap!I3636)</f>
        <v>0</v>
      </c>
      <c r="J3636" s="16">
        <f>ABS(Solieusap!J3636)</f>
        <v>0</v>
      </c>
      <c r="K3636" s="16">
        <f t="shared" si="1"/>
        <v>0</v>
      </c>
      <c r="L3636" s="16">
        <f t="shared" si="2"/>
        <v>0</v>
      </c>
    </row>
    <row r="3637" ht="16.5" customHeight="1">
      <c r="A3637" s="15" t="str">
        <f>Solieusap!A3637</f>
        <v/>
      </c>
      <c r="B3637" s="15" t="str">
        <f>Solieusap!B3637</f>
        <v/>
      </c>
      <c r="C3637" s="15" t="str">
        <f>Solieusap!C3637</f>
        <v/>
      </c>
      <c r="D3637" s="15" t="str">
        <f>Solieusap!D3637</f>
        <v/>
      </c>
      <c r="E3637" s="16">
        <f>ABS(Solieusap!E3637)</f>
        <v>0</v>
      </c>
      <c r="F3637" s="16">
        <f>ABS(Solieusap!F3637)</f>
        <v>0</v>
      </c>
      <c r="G3637" s="16">
        <f>ABS(Solieusap!G3637)</f>
        <v>0</v>
      </c>
      <c r="H3637" s="16">
        <f>ABS(Solieusap!H3637)</f>
        <v>0</v>
      </c>
      <c r="I3637" s="16">
        <f>ABS(Solieusap!I3637)</f>
        <v>0</v>
      </c>
      <c r="J3637" s="16">
        <f>ABS(Solieusap!J3637)</f>
        <v>0</v>
      </c>
      <c r="K3637" s="16">
        <f t="shared" si="1"/>
        <v>0</v>
      </c>
      <c r="L3637" s="16">
        <f t="shared" si="2"/>
        <v>0</v>
      </c>
    </row>
    <row r="3638" ht="16.5" customHeight="1">
      <c r="A3638" s="15" t="str">
        <f>Solieusap!A3638</f>
        <v/>
      </c>
      <c r="B3638" s="15" t="str">
        <f>Solieusap!B3638</f>
        <v/>
      </c>
      <c r="C3638" s="15" t="str">
        <f>Solieusap!C3638</f>
        <v/>
      </c>
      <c r="D3638" s="15" t="str">
        <f>Solieusap!D3638</f>
        <v/>
      </c>
      <c r="E3638" s="16">
        <f>ABS(Solieusap!E3638)</f>
        <v>0</v>
      </c>
      <c r="F3638" s="16">
        <f>ABS(Solieusap!F3638)</f>
        <v>0</v>
      </c>
      <c r="G3638" s="16">
        <f>ABS(Solieusap!G3638)</f>
        <v>0</v>
      </c>
      <c r="H3638" s="16">
        <f>ABS(Solieusap!H3638)</f>
        <v>0</v>
      </c>
      <c r="I3638" s="16">
        <f>ABS(Solieusap!I3638)</f>
        <v>0</v>
      </c>
      <c r="J3638" s="16">
        <f>ABS(Solieusap!J3638)</f>
        <v>0</v>
      </c>
      <c r="K3638" s="16">
        <f t="shared" si="1"/>
        <v>0</v>
      </c>
      <c r="L3638" s="16">
        <f t="shared" si="2"/>
        <v>0</v>
      </c>
    </row>
    <row r="3639" ht="16.5" customHeight="1">
      <c r="A3639" s="15" t="str">
        <f>Solieusap!A3639</f>
        <v/>
      </c>
      <c r="B3639" s="15" t="str">
        <f>Solieusap!B3639</f>
        <v/>
      </c>
      <c r="C3639" s="15" t="str">
        <f>Solieusap!C3639</f>
        <v/>
      </c>
      <c r="D3639" s="15" t="str">
        <f>Solieusap!D3639</f>
        <v/>
      </c>
      <c r="E3639" s="16">
        <f>ABS(Solieusap!E3639)</f>
        <v>0</v>
      </c>
      <c r="F3639" s="16">
        <f>ABS(Solieusap!F3639)</f>
        <v>0</v>
      </c>
      <c r="G3639" s="16">
        <f>ABS(Solieusap!G3639)</f>
        <v>0</v>
      </c>
      <c r="H3639" s="16">
        <f>ABS(Solieusap!H3639)</f>
        <v>0</v>
      </c>
      <c r="I3639" s="16">
        <f>ABS(Solieusap!I3639)</f>
        <v>0</v>
      </c>
      <c r="J3639" s="16">
        <f>ABS(Solieusap!J3639)</f>
        <v>0</v>
      </c>
      <c r="K3639" s="16">
        <f t="shared" si="1"/>
        <v>0</v>
      </c>
      <c r="L3639" s="16">
        <f t="shared" si="2"/>
        <v>0</v>
      </c>
    </row>
    <row r="3640" ht="16.5" customHeight="1">
      <c r="A3640" s="15" t="str">
        <f>Solieusap!A3640</f>
        <v/>
      </c>
      <c r="B3640" s="15" t="str">
        <f>Solieusap!B3640</f>
        <v/>
      </c>
      <c r="C3640" s="15" t="str">
        <f>Solieusap!C3640</f>
        <v/>
      </c>
      <c r="D3640" s="15" t="str">
        <f>Solieusap!D3640</f>
        <v/>
      </c>
      <c r="E3640" s="16">
        <f>ABS(Solieusap!E3640)</f>
        <v>0</v>
      </c>
      <c r="F3640" s="16">
        <f>ABS(Solieusap!F3640)</f>
        <v>0</v>
      </c>
      <c r="G3640" s="16">
        <f>ABS(Solieusap!G3640)</f>
        <v>0</v>
      </c>
      <c r="H3640" s="16">
        <f>ABS(Solieusap!H3640)</f>
        <v>0</v>
      </c>
      <c r="I3640" s="16">
        <f>ABS(Solieusap!I3640)</f>
        <v>0</v>
      </c>
      <c r="J3640" s="16">
        <f>ABS(Solieusap!J3640)</f>
        <v>0</v>
      </c>
      <c r="K3640" s="16">
        <f t="shared" si="1"/>
        <v>0</v>
      </c>
      <c r="L3640" s="16">
        <f t="shared" si="2"/>
        <v>0</v>
      </c>
    </row>
    <row r="3641" ht="16.5" customHeight="1">
      <c r="A3641" s="15" t="str">
        <f>Solieusap!A3641</f>
        <v/>
      </c>
      <c r="B3641" s="15" t="str">
        <f>Solieusap!B3641</f>
        <v/>
      </c>
      <c r="C3641" s="15" t="str">
        <f>Solieusap!C3641</f>
        <v/>
      </c>
      <c r="D3641" s="15" t="str">
        <f>Solieusap!D3641</f>
        <v/>
      </c>
      <c r="E3641" s="16">
        <f>ABS(Solieusap!E3641)</f>
        <v>0</v>
      </c>
      <c r="F3641" s="16">
        <f>ABS(Solieusap!F3641)</f>
        <v>0</v>
      </c>
      <c r="G3641" s="16">
        <f>ABS(Solieusap!G3641)</f>
        <v>0</v>
      </c>
      <c r="H3641" s="16">
        <f>ABS(Solieusap!H3641)</f>
        <v>0</v>
      </c>
      <c r="I3641" s="16">
        <f>ABS(Solieusap!I3641)</f>
        <v>0</v>
      </c>
      <c r="J3641" s="16">
        <f>ABS(Solieusap!J3641)</f>
        <v>0</v>
      </c>
      <c r="K3641" s="16">
        <f t="shared" si="1"/>
        <v>0</v>
      </c>
      <c r="L3641" s="16">
        <f t="shared" si="2"/>
        <v>0</v>
      </c>
    </row>
    <row r="3642" ht="16.5" customHeight="1">
      <c r="A3642" s="15" t="str">
        <f>Solieusap!A3642</f>
        <v/>
      </c>
      <c r="B3642" s="15" t="str">
        <f>Solieusap!B3642</f>
        <v/>
      </c>
      <c r="C3642" s="15" t="str">
        <f>Solieusap!C3642</f>
        <v/>
      </c>
      <c r="D3642" s="15" t="str">
        <f>Solieusap!D3642</f>
        <v/>
      </c>
      <c r="E3642" s="16">
        <f>ABS(Solieusap!E3642)</f>
        <v>0</v>
      </c>
      <c r="F3642" s="16">
        <f>ABS(Solieusap!F3642)</f>
        <v>0</v>
      </c>
      <c r="G3642" s="16">
        <f>ABS(Solieusap!G3642)</f>
        <v>0</v>
      </c>
      <c r="H3642" s="16">
        <f>ABS(Solieusap!H3642)</f>
        <v>0</v>
      </c>
      <c r="I3642" s="16">
        <f>ABS(Solieusap!I3642)</f>
        <v>0</v>
      </c>
      <c r="J3642" s="16">
        <f>ABS(Solieusap!J3642)</f>
        <v>0</v>
      </c>
      <c r="K3642" s="16">
        <f t="shared" si="1"/>
        <v>0</v>
      </c>
      <c r="L3642" s="16">
        <f t="shared" si="2"/>
        <v>0</v>
      </c>
    </row>
    <row r="3643" ht="16.5" customHeight="1">
      <c r="A3643" s="15" t="str">
        <f>Solieusap!A3643</f>
        <v/>
      </c>
      <c r="B3643" s="15" t="str">
        <f>Solieusap!B3643</f>
        <v/>
      </c>
      <c r="C3643" s="15" t="str">
        <f>Solieusap!C3643</f>
        <v/>
      </c>
      <c r="D3643" s="15" t="str">
        <f>Solieusap!D3643</f>
        <v/>
      </c>
      <c r="E3643" s="16">
        <f>ABS(Solieusap!E3643)</f>
        <v>0</v>
      </c>
      <c r="F3643" s="16">
        <f>ABS(Solieusap!F3643)</f>
        <v>0</v>
      </c>
      <c r="G3643" s="16">
        <f>ABS(Solieusap!G3643)</f>
        <v>0</v>
      </c>
      <c r="H3643" s="16">
        <f>ABS(Solieusap!H3643)</f>
        <v>0</v>
      </c>
      <c r="I3643" s="16">
        <f>ABS(Solieusap!I3643)</f>
        <v>0</v>
      </c>
      <c r="J3643" s="16">
        <f>ABS(Solieusap!J3643)</f>
        <v>0</v>
      </c>
      <c r="K3643" s="16">
        <f t="shared" si="1"/>
        <v>0</v>
      </c>
      <c r="L3643" s="16">
        <f t="shared" si="2"/>
        <v>0</v>
      </c>
    </row>
    <row r="3644" ht="16.5" customHeight="1">
      <c r="A3644" s="15" t="str">
        <f>Solieusap!A3644</f>
        <v/>
      </c>
      <c r="B3644" s="15" t="str">
        <f>Solieusap!B3644</f>
        <v/>
      </c>
      <c r="C3644" s="15" t="str">
        <f>Solieusap!C3644</f>
        <v/>
      </c>
      <c r="D3644" s="15" t="str">
        <f>Solieusap!D3644</f>
        <v/>
      </c>
      <c r="E3644" s="16">
        <f>ABS(Solieusap!E3644)</f>
        <v>0</v>
      </c>
      <c r="F3644" s="16">
        <f>ABS(Solieusap!F3644)</f>
        <v>0</v>
      </c>
      <c r="G3644" s="16">
        <f>ABS(Solieusap!G3644)</f>
        <v>0</v>
      </c>
      <c r="H3644" s="16">
        <f>ABS(Solieusap!H3644)</f>
        <v>0</v>
      </c>
      <c r="I3644" s="16">
        <f>ABS(Solieusap!I3644)</f>
        <v>0</v>
      </c>
      <c r="J3644" s="16">
        <f>ABS(Solieusap!J3644)</f>
        <v>0</v>
      </c>
      <c r="K3644" s="16">
        <f t="shared" si="1"/>
        <v>0</v>
      </c>
      <c r="L3644" s="16">
        <f t="shared" si="2"/>
        <v>0</v>
      </c>
    </row>
    <row r="3645" ht="16.5" customHeight="1">
      <c r="A3645" s="15" t="str">
        <f>Solieusap!A3645</f>
        <v/>
      </c>
      <c r="B3645" s="15" t="str">
        <f>Solieusap!B3645</f>
        <v/>
      </c>
      <c r="C3645" s="15" t="str">
        <f>Solieusap!C3645</f>
        <v/>
      </c>
      <c r="D3645" s="15" t="str">
        <f>Solieusap!D3645</f>
        <v/>
      </c>
      <c r="E3645" s="16">
        <f>ABS(Solieusap!E3645)</f>
        <v>0</v>
      </c>
      <c r="F3645" s="16">
        <f>ABS(Solieusap!F3645)</f>
        <v>0</v>
      </c>
      <c r="G3645" s="16">
        <f>ABS(Solieusap!G3645)</f>
        <v>0</v>
      </c>
      <c r="H3645" s="16">
        <f>ABS(Solieusap!H3645)</f>
        <v>0</v>
      </c>
      <c r="I3645" s="16">
        <f>ABS(Solieusap!I3645)</f>
        <v>0</v>
      </c>
      <c r="J3645" s="16">
        <f>ABS(Solieusap!J3645)</f>
        <v>0</v>
      </c>
      <c r="K3645" s="16">
        <f t="shared" si="1"/>
        <v>0</v>
      </c>
      <c r="L3645" s="16">
        <f t="shared" si="2"/>
        <v>0</v>
      </c>
    </row>
    <row r="3646" ht="16.5" customHeight="1">
      <c r="A3646" s="15" t="str">
        <f>Solieusap!A3646</f>
        <v/>
      </c>
      <c r="B3646" s="15" t="str">
        <f>Solieusap!B3646</f>
        <v/>
      </c>
      <c r="C3646" s="15" t="str">
        <f>Solieusap!C3646</f>
        <v/>
      </c>
      <c r="D3646" s="15" t="str">
        <f>Solieusap!D3646</f>
        <v/>
      </c>
      <c r="E3646" s="16">
        <f>ABS(Solieusap!E3646)</f>
        <v>0</v>
      </c>
      <c r="F3646" s="16">
        <f>ABS(Solieusap!F3646)</f>
        <v>0</v>
      </c>
      <c r="G3646" s="16">
        <f>ABS(Solieusap!G3646)</f>
        <v>0</v>
      </c>
      <c r="H3646" s="16">
        <f>ABS(Solieusap!H3646)</f>
        <v>0</v>
      </c>
      <c r="I3646" s="16">
        <f>ABS(Solieusap!I3646)</f>
        <v>0</v>
      </c>
      <c r="J3646" s="16">
        <f>ABS(Solieusap!J3646)</f>
        <v>0</v>
      </c>
      <c r="K3646" s="16">
        <f t="shared" si="1"/>
        <v>0</v>
      </c>
      <c r="L3646" s="16">
        <f t="shared" si="2"/>
        <v>0</v>
      </c>
    </row>
    <row r="3647" ht="16.5" customHeight="1">
      <c r="A3647" s="15" t="str">
        <f>Solieusap!A3647</f>
        <v/>
      </c>
      <c r="B3647" s="15" t="str">
        <f>Solieusap!B3647</f>
        <v/>
      </c>
      <c r="C3647" s="15" t="str">
        <f>Solieusap!C3647</f>
        <v/>
      </c>
      <c r="D3647" s="15" t="str">
        <f>Solieusap!D3647</f>
        <v/>
      </c>
      <c r="E3647" s="16">
        <f>ABS(Solieusap!E3647)</f>
        <v>0</v>
      </c>
      <c r="F3647" s="16">
        <f>ABS(Solieusap!F3647)</f>
        <v>0</v>
      </c>
      <c r="G3647" s="16">
        <f>ABS(Solieusap!G3647)</f>
        <v>0</v>
      </c>
      <c r="H3647" s="16">
        <f>ABS(Solieusap!H3647)</f>
        <v>0</v>
      </c>
      <c r="I3647" s="16">
        <f>ABS(Solieusap!I3647)</f>
        <v>0</v>
      </c>
      <c r="J3647" s="16">
        <f>ABS(Solieusap!J3647)</f>
        <v>0</v>
      </c>
      <c r="K3647" s="16">
        <f t="shared" si="1"/>
        <v>0</v>
      </c>
      <c r="L3647" s="16">
        <f t="shared" si="2"/>
        <v>0</v>
      </c>
    </row>
    <row r="3648" ht="16.5" customHeight="1">
      <c r="A3648" s="15" t="str">
        <f>Solieusap!A3648</f>
        <v/>
      </c>
      <c r="B3648" s="15" t="str">
        <f>Solieusap!B3648</f>
        <v/>
      </c>
      <c r="C3648" s="15" t="str">
        <f>Solieusap!C3648</f>
        <v/>
      </c>
      <c r="D3648" s="15" t="str">
        <f>Solieusap!D3648</f>
        <v/>
      </c>
      <c r="E3648" s="16">
        <f>ABS(Solieusap!E3648)</f>
        <v>0</v>
      </c>
      <c r="F3648" s="16">
        <f>ABS(Solieusap!F3648)</f>
        <v>0</v>
      </c>
      <c r="G3648" s="16">
        <f>ABS(Solieusap!G3648)</f>
        <v>0</v>
      </c>
      <c r="H3648" s="16">
        <f>ABS(Solieusap!H3648)</f>
        <v>0</v>
      </c>
      <c r="I3648" s="16">
        <f>ABS(Solieusap!I3648)</f>
        <v>0</v>
      </c>
      <c r="J3648" s="16">
        <f>ABS(Solieusap!J3648)</f>
        <v>0</v>
      </c>
      <c r="K3648" s="16">
        <f t="shared" si="1"/>
        <v>0</v>
      </c>
      <c r="L3648" s="16">
        <f t="shared" si="2"/>
        <v>0</v>
      </c>
    </row>
    <row r="3649" ht="16.5" customHeight="1">
      <c r="A3649" s="15" t="str">
        <f>Solieusap!A3649</f>
        <v/>
      </c>
      <c r="B3649" s="15" t="str">
        <f>Solieusap!B3649</f>
        <v/>
      </c>
      <c r="C3649" s="15" t="str">
        <f>Solieusap!C3649</f>
        <v/>
      </c>
      <c r="D3649" s="15" t="str">
        <f>Solieusap!D3649</f>
        <v/>
      </c>
      <c r="E3649" s="16">
        <f>ABS(Solieusap!E3649)</f>
        <v>0</v>
      </c>
      <c r="F3649" s="16">
        <f>ABS(Solieusap!F3649)</f>
        <v>0</v>
      </c>
      <c r="G3649" s="16">
        <f>ABS(Solieusap!G3649)</f>
        <v>0</v>
      </c>
      <c r="H3649" s="16">
        <f>ABS(Solieusap!H3649)</f>
        <v>0</v>
      </c>
      <c r="I3649" s="16">
        <f>ABS(Solieusap!I3649)</f>
        <v>0</v>
      </c>
      <c r="J3649" s="16">
        <f>ABS(Solieusap!J3649)</f>
        <v>0</v>
      </c>
      <c r="K3649" s="16">
        <f t="shared" si="1"/>
        <v>0</v>
      </c>
      <c r="L3649" s="16">
        <f t="shared" si="2"/>
        <v>0</v>
      </c>
    </row>
    <row r="3650" ht="16.5" customHeight="1">
      <c r="A3650" s="15" t="str">
        <f>Solieusap!A3650</f>
        <v/>
      </c>
      <c r="B3650" s="15" t="str">
        <f>Solieusap!B3650</f>
        <v/>
      </c>
      <c r="C3650" s="15" t="str">
        <f>Solieusap!C3650</f>
        <v/>
      </c>
      <c r="D3650" s="15" t="str">
        <f>Solieusap!D3650</f>
        <v/>
      </c>
      <c r="E3650" s="16">
        <f>ABS(Solieusap!E3650)</f>
        <v>0</v>
      </c>
      <c r="F3650" s="16">
        <f>ABS(Solieusap!F3650)</f>
        <v>0</v>
      </c>
      <c r="G3650" s="16">
        <f>ABS(Solieusap!G3650)</f>
        <v>0</v>
      </c>
      <c r="H3650" s="16">
        <f>ABS(Solieusap!H3650)</f>
        <v>0</v>
      </c>
      <c r="I3650" s="16">
        <f>ABS(Solieusap!I3650)</f>
        <v>0</v>
      </c>
      <c r="J3650" s="16">
        <f>ABS(Solieusap!J3650)</f>
        <v>0</v>
      </c>
      <c r="K3650" s="16">
        <f t="shared" si="1"/>
        <v>0</v>
      </c>
      <c r="L3650" s="16">
        <f t="shared" si="2"/>
        <v>0</v>
      </c>
    </row>
    <row r="3651" ht="16.5" customHeight="1">
      <c r="A3651" s="15" t="str">
        <f>Solieusap!A3651</f>
        <v/>
      </c>
      <c r="B3651" s="15" t="str">
        <f>Solieusap!B3651</f>
        <v/>
      </c>
      <c r="C3651" s="15" t="str">
        <f>Solieusap!C3651</f>
        <v/>
      </c>
      <c r="D3651" s="15" t="str">
        <f>Solieusap!D3651</f>
        <v/>
      </c>
      <c r="E3651" s="16">
        <f>ABS(Solieusap!E3651)</f>
        <v>0</v>
      </c>
      <c r="F3651" s="16">
        <f>ABS(Solieusap!F3651)</f>
        <v>0</v>
      </c>
      <c r="G3651" s="16">
        <f>ABS(Solieusap!G3651)</f>
        <v>0</v>
      </c>
      <c r="H3651" s="16">
        <f>ABS(Solieusap!H3651)</f>
        <v>0</v>
      </c>
      <c r="I3651" s="16">
        <f>ABS(Solieusap!I3651)</f>
        <v>0</v>
      </c>
      <c r="J3651" s="16">
        <f>ABS(Solieusap!J3651)</f>
        <v>0</v>
      </c>
      <c r="K3651" s="16">
        <f t="shared" si="1"/>
        <v>0</v>
      </c>
      <c r="L3651" s="16">
        <f t="shared" si="2"/>
        <v>0</v>
      </c>
    </row>
    <row r="3652" ht="16.5" customHeight="1">
      <c r="A3652" s="15" t="str">
        <f>Solieusap!A3652</f>
        <v/>
      </c>
      <c r="B3652" s="15" t="str">
        <f>Solieusap!B3652</f>
        <v/>
      </c>
      <c r="C3652" s="15" t="str">
        <f>Solieusap!C3652</f>
        <v/>
      </c>
      <c r="D3652" s="15" t="str">
        <f>Solieusap!D3652</f>
        <v/>
      </c>
      <c r="E3652" s="16">
        <f>ABS(Solieusap!E3652)</f>
        <v>0</v>
      </c>
      <c r="F3652" s="16">
        <f>ABS(Solieusap!F3652)</f>
        <v>0</v>
      </c>
      <c r="G3652" s="16">
        <f>ABS(Solieusap!G3652)</f>
        <v>0</v>
      </c>
      <c r="H3652" s="16">
        <f>ABS(Solieusap!H3652)</f>
        <v>0</v>
      </c>
      <c r="I3652" s="16">
        <f>ABS(Solieusap!I3652)</f>
        <v>0</v>
      </c>
      <c r="J3652" s="16">
        <f>ABS(Solieusap!J3652)</f>
        <v>0</v>
      </c>
      <c r="K3652" s="16">
        <f t="shared" si="1"/>
        <v>0</v>
      </c>
      <c r="L3652" s="16">
        <f t="shared" si="2"/>
        <v>0</v>
      </c>
    </row>
    <row r="3653" ht="16.5" customHeight="1">
      <c r="A3653" s="15" t="str">
        <f>Solieusap!A3653</f>
        <v/>
      </c>
      <c r="B3653" s="15" t="str">
        <f>Solieusap!B3653</f>
        <v/>
      </c>
      <c r="C3653" s="15" t="str">
        <f>Solieusap!C3653</f>
        <v/>
      </c>
      <c r="D3653" s="15" t="str">
        <f>Solieusap!D3653</f>
        <v/>
      </c>
      <c r="E3653" s="16">
        <f>ABS(Solieusap!E3653)</f>
        <v>0</v>
      </c>
      <c r="F3653" s="16">
        <f>ABS(Solieusap!F3653)</f>
        <v>0</v>
      </c>
      <c r="G3653" s="16">
        <f>ABS(Solieusap!G3653)</f>
        <v>0</v>
      </c>
      <c r="H3653" s="16">
        <f>ABS(Solieusap!H3653)</f>
        <v>0</v>
      </c>
      <c r="I3653" s="16">
        <f>ABS(Solieusap!I3653)</f>
        <v>0</v>
      </c>
      <c r="J3653" s="16">
        <f>ABS(Solieusap!J3653)</f>
        <v>0</v>
      </c>
      <c r="K3653" s="16">
        <f t="shared" si="1"/>
        <v>0</v>
      </c>
      <c r="L3653" s="16">
        <f t="shared" si="2"/>
        <v>0</v>
      </c>
    </row>
    <row r="3654" ht="16.5" customHeight="1">
      <c r="A3654" s="15" t="str">
        <f>Solieusap!A3654</f>
        <v/>
      </c>
      <c r="B3654" s="15" t="str">
        <f>Solieusap!B3654</f>
        <v/>
      </c>
      <c r="C3654" s="15" t="str">
        <f>Solieusap!C3654</f>
        <v/>
      </c>
      <c r="D3654" s="15" t="str">
        <f>Solieusap!D3654</f>
        <v/>
      </c>
      <c r="E3654" s="16">
        <f>ABS(Solieusap!E3654)</f>
        <v>0</v>
      </c>
      <c r="F3654" s="16">
        <f>ABS(Solieusap!F3654)</f>
        <v>0</v>
      </c>
      <c r="G3654" s="16">
        <f>ABS(Solieusap!G3654)</f>
        <v>0</v>
      </c>
      <c r="H3654" s="16">
        <f>ABS(Solieusap!H3654)</f>
        <v>0</v>
      </c>
      <c r="I3654" s="16">
        <f>ABS(Solieusap!I3654)</f>
        <v>0</v>
      </c>
      <c r="J3654" s="16">
        <f>ABS(Solieusap!J3654)</f>
        <v>0</v>
      </c>
      <c r="K3654" s="16">
        <f t="shared" si="1"/>
        <v>0</v>
      </c>
      <c r="L3654" s="16">
        <f t="shared" si="2"/>
        <v>0</v>
      </c>
    </row>
    <row r="3655" ht="16.5" customHeight="1">
      <c r="A3655" s="15" t="str">
        <f>Solieusap!A3655</f>
        <v/>
      </c>
      <c r="B3655" s="15" t="str">
        <f>Solieusap!B3655</f>
        <v/>
      </c>
      <c r="C3655" s="15" t="str">
        <f>Solieusap!C3655</f>
        <v/>
      </c>
      <c r="D3655" s="15" t="str">
        <f>Solieusap!D3655</f>
        <v/>
      </c>
      <c r="E3655" s="16">
        <f>ABS(Solieusap!E3655)</f>
        <v>0</v>
      </c>
      <c r="F3655" s="16">
        <f>ABS(Solieusap!F3655)</f>
        <v>0</v>
      </c>
      <c r="G3655" s="16">
        <f>ABS(Solieusap!G3655)</f>
        <v>0</v>
      </c>
      <c r="H3655" s="16">
        <f>ABS(Solieusap!H3655)</f>
        <v>0</v>
      </c>
      <c r="I3655" s="16">
        <f>ABS(Solieusap!I3655)</f>
        <v>0</v>
      </c>
      <c r="J3655" s="16">
        <f>ABS(Solieusap!J3655)</f>
        <v>0</v>
      </c>
      <c r="K3655" s="16">
        <f t="shared" si="1"/>
        <v>0</v>
      </c>
      <c r="L3655" s="16">
        <f t="shared" si="2"/>
        <v>0</v>
      </c>
    </row>
    <row r="3656" ht="16.5" customHeight="1">
      <c r="A3656" s="15" t="str">
        <f>Solieusap!A3656</f>
        <v/>
      </c>
      <c r="B3656" s="15" t="str">
        <f>Solieusap!B3656</f>
        <v/>
      </c>
      <c r="C3656" s="15" t="str">
        <f>Solieusap!C3656</f>
        <v/>
      </c>
      <c r="D3656" s="15" t="str">
        <f>Solieusap!D3656</f>
        <v/>
      </c>
      <c r="E3656" s="16">
        <f>ABS(Solieusap!E3656)</f>
        <v>0</v>
      </c>
      <c r="F3656" s="16">
        <f>ABS(Solieusap!F3656)</f>
        <v>0</v>
      </c>
      <c r="G3656" s="16">
        <f>ABS(Solieusap!G3656)</f>
        <v>0</v>
      </c>
      <c r="H3656" s="16">
        <f>ABS(Solieusap!H3656)</f>
        <v>0</v>
      </c>
      <c r="I3656" s="16">
        <f>ABS(Solieusap!I3656)</f>
        <v>0</v>
      </c>
      <c r="J3656" s="16">
        <f>ABS(Solieusap!J3656)</f>
        <v>0</v>
      </c>
      <c r="K3656" s="16">
        <f t="shared" si="1"/>
        <v>0</v>
      </c>
      <c r="L3656" s="16">
        <f t="shared" si="2"/>
        <v>0</v>
      </c>
    </row>
    <row r="3657" ht="16.5" customHeight="1">
      <c r="A3657" s="15" t="str">
        <f>Solieusap!A3657</f>
        <v/>
      </c>
      <c r="B3657" s="15" t="str">
        <f>Solieusap!B3657</f>
        <v/>
      </c>
      <c r="C3657" s="15" t="str">
        <f>Solieusap!C3657</f>
        <v/>
      </c>
      <c r="D3657" s="15" t="str">
        <f>Solieusap!D3657</f>
        <v/>
      </c>
      <c r="E3657" s="16">
        <f>ABS(Solieusap!E3657)</f>
        <v>0</v>
      </c>
      <c r="F3657" s="16">
        <f>ABS(Solieusap!F3657)</f>
        <v>0</v>
      </c>
      <c r="G3657" s="16">
        <f>ABS(Solieusap!G3657)</f>
        <v>0</v>
      </c>
      <c r="H3657" s="16">
        <f>ABS(Solieusap!H3657)</f>
        <v>0</v>
      </c>
      <c r="I3657" s="16">
        <f>ABS(Solieusap!I3657)</f>
        <v>0</v>
      </c>
      <c r="J3657" s="16">
        <f>ABS(Solieusap!J3657)</f>
        <v>0</v>
      </c>
      <c r="K3657" s="16">
        <f t="shared" si="1"/>
        <v>0</v>
      </c>
      <c r="L3657" s="16">
        <f t="shared" si="2"/>
        <v>0</v>
      </c>
    </row>
    <row r="3658" ht="16.5" customHeight="1">
      <c r="A3658" s="15" t="str">
        <f>Solieusap!A3658</f>
        <v/>
      </c>
      <c r="B3658" s="15" t="str">
        <f>Solieusap!B3658</f>
        <v/>
      </c>
      <c r="C3658" s="15" t="str">
        <f>Solieusap!C3658</f>
        <v/>
      </c>
      <c r="D3658" s="15" t="str">
        <f>Solieusap!D3658</f>
        <v/>
      </c>
      <c r="E3658" s="16">
        <f>ABS(Solieusap!E3658)</f>
        <v>0</v>
      </c>
      <c r="F3658" s="16">
        <f>ABS(Solieusap!F3658)</f>
        <v>0</v>
      </c>
      <c r="G3658" s="16">
        <f>ABS(Solieusap!G3658)</f>
        <v>0</v>
      </c>
      <c r="H3658" s="16">
        <f>ABS(Solieusap!H3658)</f>
        <v>0</v>
      </c>
      <c r="I3658" s="16">
        <f>ABS(Solieusap!I3658)</f>
        <v>0</v>
      </c>
      <c r="J3658" s="16">
        <f>ABS(Solieusap!J3658)</f>
        <v>0</v>
      </c>
      <c r="K3658" s="16">
        <f t="shared" si="1"/>
        <v>0</v>
      </c>
      <c r="L3658" s="16">
        <f t="shared" si="2"/>
        <v>0</v>
      </c>
    </row>
    <row r="3659" ht="16.5" customHeight="1">
      <c r="A3659" s="15" t="str">
        <f>Solieusap!A3659</f>
        <v/>
      </c>
      <c r="B3659" s="15" t="str">
        <f>Solieusap!B3659</f>
        <v/>
      </c>
      <c r="C3659" s="15" t="str">
        <f>Solieusap!C3659</f>
        <v/>
      </c>
      <c r="D3659" s="15" t="str">
        <f>Solieusap!D3659</f>
        <v/>
      </c>
      <c r="E3659" s="16">
        <f>ABS(Solieusap!E3659)</f>
        <v>0</v>
      </c>
      <c r="F3659" s="16">
        <f>ABS(Solieusap!F3659)</f>
        <v>0</v>
      </c>
      <c r="G3659" s="16">
        <f>ABS(Solieusap!G3659)</f>
        <v>0</v>
      </c>
      <c r="H3659" s="16">
        <f>ABS(Solieusap!H3659)</f>
        <v>0</v>
      </c>
      <c r="I3659" s="16">
        <f>ABS(Solieusap!I3659)</f>
        <v>0</v>
      </c>
      <c r="J3659" s="16">
        <f>ABS(Solieusap!J3659)</f>
        <v>0</v>
      </c>
      <c r="K3659" s="16">
        <f t="shared" si="1"/>
        <v>0</v>
      </c>
      <c r="L3659" s="16">
        <f t="shared" si="2"/>
        <v>0</v>
      </c>
    </row>
    <row r="3660" ht="16.5" customHeight="1">
      <c r="A3660" s="15" t="str">
        <f>Solieusap!A3660</f>
        <v/>
      </c>
      <c r="B3660" s="15" t="str">
        <f>Solieusap!B3660</f>
        <v/>
      </c>
      <c r="C3660" s="15" t="str">
        <f>Solieusap!C3660</f>
        <v/>
      </c>
      <c r="D3660" s="15" t="str">
        <f>Solieusap!D3660</f>
        <v/>
      </c>
      <c r="E3660" s="16">
        <f>ABS(Solieusap!E3660)</f>
        <v>0</v>
      </c>
      <c r="F3660" s="16">
        <f>ABS(Solieusap!F3660)</f>
        <v>0</v>
      </c>
      <c r="G3660" s="16">
        <f>ABS(Solieusap!G3660)</f>
        <v>0</v>
      </c>
      <c r="H3660" s="16">
        <f>ABS(Solieusap!H3660)</f>
        <v>0</v>
      </c>
      <c r="I3660" s="16">
        <f>ABS(Solieusap!I3660)</f>
        <v>0</v>
      </c>
      <c r="J3660" s="16">
        <f>ABS(Solieusap!J3660)</f>
        <v>0</v>
      </c>
      <c r="K3660" s="16">
        <f t="shared" si="1"/>
        <v>0</v>
      </c>
      <c r="L3660" s="16">
        <f t="shared" si="2"/>
        <v>0</v>
      </c>
    </row>
    <row r="3661" ht="16.5" customHeight="1">
      <c r="A3661" s="15" t="str">
        <f>Solieusap!A3661</f>
        <v/>
      </c>
      <c r="B3661" s="15" t="str">
        <f>Solieusap!B3661</f>
        <v/>
      </c>
      <c r="C3661" s="15" t="str">
        <f>Solieusap!C3661</f>
        <v/>
      </c>
      <c r="D3661" s="15" t="str">
        <f>Solieusap!D3661</f>
        <v/>
      </c>
      <c r="E3661" s="16">
        <f>ABS(Solieusap!E3661)</f>
        <v>0</v>
      </c>
      <c r="F3661" s="16">
        <f>ABS(Solieusap!F3661)</f>
        <v>0</v>
      </c>
      <c r="G3661" s="16">
        <f>ABS(Solieusap!G3661)</f>
        <v>0</v>
      </c>
      <c r="H3661" s="16">
        <f>ABS(Solieusap!H3661)</f>
        <v>0</v>
      </c>
      <c r="I3661" s="16">
        <f>ABS(Solieusap!I3661)</f>
        <v>0</v>
      </c>
      <c r="J3661" s="16">
        <f>ABS(Solieusap!J3661)</f>
        <v>0</v>
      </c>
      <c r="K3661" s="16">
        <f t="shared" si="1"/>
        <v>0</v>
      </c>
      <c r="L3661" s="16">
        <f t="shared" si="2"/>
        <v>0</v>
      </c>
    </row>
    <row r="3662" ht="16.5" customHeight="1">
      <c r="A3662" s="15" t="str">
        <f>Solieusap!A3662</f>
        <v/>
      </c>
      <c r="B3662" s="15" t="str">
        <f>Solieusap!B3662</f>
        <v/>
      </c>
      <c r="C3662" s="15" t="str">
        <f>Solieusap!C3662</f>
        <v/>
      </c>
      <c r="D3662" s="15" t="str">
        <f>Solieusap!D3662</f>
        <v/>
      </c>
      <c r="E3662" s="16">
        <f>ABS(Solieusap!E3662)</f>
        <v>0</v>
      </c>
      <c r="F3662" s="16">
        <f>ABS(Solieusap!F3662)</f>
        <v>0</v>
      </c>
      <c r="G3662" s="16">
        <f>ABS(Solieusap!G3662)</f>
        <v>0</v>
      </c>
      <c r="H3662" s="16">
        <f>ABS(Solieusap!H3662)</f>
        <v>0</v>
      </c>
      <c r="I3662" s="16">
        <f>ABS(Solieusap!I3662)</f>
        <v>0</v>
      </c>
      <c r="J3662" s="16">
        <f>ABS(Solieusap!J3662)</f>
        <v>0</v>
      </c>
      <c r="K3662" s="16">
        <f t="shared" si="1"/>
        <v>0</v>
      </c>
      <c r="L3662" s="16">
        <f t="shared" si="2"/>
        <v>0</v>
      </c>
    </row>
    <row r="3663" ht="16.5" customHeight="1">
      <c r="A3663" s="15" t="str">
        <f>Solieusap!A3663</f>
        <v/>
      </c>
      <c r="B3663" s="15" t="str">
        <f>Solieusap!B3663</f>
        <v/>
      </c>
      <c r="C3663" s="15" t="str">
        <f>Solieusap!C3663</f>
        <v/>
      </c>
      <c r="D3663" s="15" t="str">
        <f>Solieusap!D3663</f>
        <v/>
      </c>
      <c r="E3663" s="16">
        <f>ABS(Solieusap!E3663)</f>
        <v>0</v>
      </c>
      <c r="F3663" s="16">
        <f>ABS(Solieusap!F3663)</f>
        <v>0</v>
      </c>
      <c r="G3663" s="16">
        <f>ABS(Solieusap!G3663)</f>
        <v>0</v>
      </c>
      <c r="H3663" s="16">
        <f>ABS(Solieusap!H3663)</f>
        <v>0</v>
      </c>
      <c r="I3663" s="16">
        <f>ABS(Solieusap!I3663)</f>
        <v>0</v>
      </c>
      <c r="J3663" s="16">
        <f>ABS(Solieusap!J3663)</f>
        <v>0</v>
      </c>
      <c r="K3663" s="16">
        <f t="shared" si="1"/>
        <v>0</v>
      </c>
      <c r="L3663" s="16">
        <f t="shared" si="2"/>
        <v>0</v>
      </c>
    </row>
    <row r="3664" ht="16.5" customHeight="1">
      <c r="A3664" s="15" t="str">
        <f>Solieusap!A3664</f>
        <v/>
      </c>
      <c r="B3664" s="15" t="str">
        <f>Solieusap!B3664</f>
        <v/>
      </c>
      <c r="C3664" s="15" t="str">
        <f>Solieusap!C3664</f>
        <v/>
      </c>
      <c r="D3664" s="15" t="str">
        <f>Solieusap!D3664</f>
        <v/>
      </c>
      <c r="E3664" s="16">
        <f>ABS(Solieusap!E3664)</f>
        <v>0</v>
      </c>
      <c r="F3664" s="16">
        <f>ABS(Solieusap!F3664)</f>
        <v>0</v>
      </c>
      <c r="G3664" s="16">
        <f>ABS(Solieusap!G3664)</f>
        <v>0</v>
      </c>
      <c r="H3664" s="16">
        <f>ABS(Solieusap!H3664)</f>
        <v>0</v>
      </c>
      <c r="I3664" s="16">
        <f>ABS(Solieusap!I3664)</f>
        <v>0</v>
      </c>
      <c r="J3664" s="16">
        <f>ABS(Solieusap!J3664)</f>
        <v>0</v>
      </c>
      <c r="K3664" s="16">
        <f t="shared" si="1"/>
        <v>0</v>
      </c>
      <c r="L3664" s="16">
        <f t="shared" si="2"/>
        <v>0</v>
      </c>
    </row>
    <row r="3665" ht="16.5" customHeight="1">
      <c r="A3665" s="15" t="str">
        <f>Solieusap!A3665</f>
        <v/>
      </c>
      <c r="B3665" s="15" t="str">
        <f>Solieusap!B3665</f>
        <v/>
      </c>
      <c r="C3665" s="15" t="str">
        <f>Solieusap!C3665</f>
        <v/>
      </c>
      <c r="D3665" s="15" t="str">
        <f>Solieusap!D3665</f>
        <v/>
      </c>
      <c r="E3665" s="16">
        <f>ABS(Solieusap!E3665)</f>
        <v>0</v>
      </c>
      <c r="F3665" s="16">
        <f>ABS(Solieusap!F3665)</f>
        <v>0</v>
      </c>
      <c r="G3665" s="16">
        <f>ABS(Solieusap!G3665)</f>
        <v>0</v>
      </c>
      <c r="H3665" s="16">
        <f>ABS(Solieusap!H3665)</f>
        <v>0</v>
      </c>
      <c r="I3665" s="16">
        <f>ABS(Solieusap!I3665)</f>
        <v>0</v>
      </c>
      <c r="J3665" s="16">
        <f>ABS(Solieusap!J3665)</f>
        <v>0</v>
      </c>
      <c r="K3665" s="16">
        <f t="shared" si="1"/>
        <v>0</v>
      </c>
      <c r="L3665" s="16">
        <f t="shared" si="2"/>
        <v>0</v>
      </c>
    </row>
    <row r="3666" ht="16.5" customHeight="1">
      <c r="A3666" s="15" t="str">
        <f>Solieusap!A3666</f>
        <v/>
      </c>
      <c r="B3666" s="15" t="str">
        <f>Solieusap!B3666</f>
        <v/>
      </c>
      <c r="C3666" s="15" t="str">
        <f>Solieusap!C3666</f>
        <v/>
      </c>
      <c r="D3666" s="15" t="str">
        <f>Solieusap!D3666</f>
        <v/>
      </c>
      <c r="E3666" s="16">
        <f>ABS(Solieusap!E3666)</f>
        <v>0</v>
      </c>
      <c r="F3666" s="16">
        <f>ABS(Solieusap!F3666)</f>
        <v>0</v>
      </c>
      <c r="G3666" s="16">
        <f>ABS(Solieusap!G3666)</f>
        <v>0</v>
      </c>
      <c r="H3666" s="16">
        <f>ABS(Solieusap!H3666)</f>
        <v>0</v>
      </c>
      <c r="I3666" s="16">
        <f>ABS(Solieusap!I3666)</f>
        <v>0</v>
      </c>
      <c r="J3666" s="16">
        <f>ABS(Solieusap!J3666)</f>
        <v>0</v>
      </c>
      <c r="K3666" s="16">
        <f t="shared" si="1"/>
        <v>0</v>
      </c>
      <c r="L3666" s="16">
        <f t="shared" si="2"/>
        <v>0</v>
      </c>
    </row>
    <row r="3667" ht="16.5" customHeight="1">
      <c r="A3667" s="15" t="str">
        <f>Solieusap!A3667</f>
        <v/>
      </c>
      <c r="B3667" s="15" t="str">
        <f>Solieusap!B3667</f>
        <v/>
      </c>
      <c r="C3667" s="15" t="str">
        <f>Solieusap!C3667</f>
        <v/>
      </c>
      <c r="D3667" s="15" t="str">
        <f>Solieusap!D3667</f>
        <v/>
      </c>
      <c r="E3667" s="16">
        <f>ABS(Solieusap!E3667)</f>
        <v>0</v>
      </c>
      <c r="F3667" s="16">
        <f>ABS(Solieusap!F3667)</f>
        <v>0</v>
      </c>
      <c r="G3667" s="16">
        <f>ABS(Solieusap!G3667)</f>
        <v>0</v>
      </c>
      <c r="H3667" s="16">
        <f>ABS(Solieusap!H3667)</f>
        <v>0</v>
      </c>
      <c r="I3667" s="16">
        <f>ABS(Solieusap!I3667)</f>
        <v>0</v>
      </c>
      <c r="J3667" s="16">
        <f>ABS(Solieusap!J3667)</f>
        <v>0</v>
      </c>
      <c r="K3667" s="16">
        <f t="shared" si="1"/>
        <v>0</v>
      </c>
      <c r="L3667" s="16">
        <f t="shared" si="2"/>
        <v>0</v>
      </c>
    </row>
    <row r="3668" ht="16.5" customHeight="1">
      <c r="A3668" s="15" t="str">
        <f>Solieusap!A3668</f>
        <v/>
      </c>
      <c r="B3668" s="15" t="str">
        <f>Solieusap!B3668</f>
        <v/>
      </c>
      <c r="C3668" s="15" t="str">
        <f>Solieusap!C3668</f>
        <v/>
      </c>
      <c r="D3668" s="15" t="str">
        <f>Solieusap!D3668</f>
        <v/>
      </c>
      <c r="E3668" s="16">
        <f>ABS(Solieusap!E3668)</f>
        <v>0</v>
      </c>
      <c r="F3668" s="16">
        <f>ABS(Solieusap!F3668)</f>
        <v>0</v>
      </c>
      <c r="G3668" s="16">
        <f>ABS(Solieusap!G3668)</f>
        <v>0</v>
      </c>
      <c r="H3668" s="16">
        <f>ABS(Solieusap!H3668)</f>
        <v>0</v>
      </c>
      <c r="I3668" s="16">
        <f>ABS(Solieusap!I3668)</f>
        <v>0</v>
      </c>
      <c r="J3668" s="16">
        <f>ABS(Solieusap!J3668)</f>
        <v>0</v>
      </c>
      <c r="K3668" s="16">
        <f t="shared" si="1"/>
        <v>0</v>
      </c>
      <c r="L3668" s="16">
        <f t="shared" si="2"/>
        <v>0</v>
      </c>
    </row>
    <row r="3669" ht="16.5" customHeight="1">
      <c r="A3669" s="15" t="str">
        <f>Solieusap!A3669</f>
        <v/>
      </c>
      <c r="B3669" s="15" t="str">
        <f>Solieusap!B3669</f>
        <v/>
      </c>
      <c r="C3669" s="15" t="str">
        <f>Solieusap!C3669</f>
        <v/>
      </c>
      <c r="D3669" s="15" t="str">
        <f>Solieusap!D3669</f>
        <v/>
      </c>
      <c r="E3669" s="16">
        <f>ABS(Solieusap!E3669)</f>
        <v>0</v>
      </c>
      <c r="F3669" s="16">
        <f>ABS(Solieusap!F3669)</f>
        <v>0</v>
      </c>
      <c r="G3669" s="16">
        <f>ABS(Solieusap!G3669)</f>
        <v>0</v>
      </c>
      <c r="H3669" s="16">
        <f>ABS(Solieusap!H3669)</f>
        <v>0</v>
      </c>
      <c r="I3669" s="16">
        <f>ABS(Solieusap!I3669)</f>
        <v>0</v>
      </c>
      <c r="J3669" s="16">
        <f>ABS(Solieusap!J3669)</f>
        <v>0</v>
      </c>
      <c r="K3669" s="16">
        <f t="shared" si="1"/>
        <v>0</v>
      </c>
      <c r="L3669" s="16">
        <f t="shared" si="2"/>
        <v>0</v>
      </c>
    </row>
    <row r="3670" ht="16.5" customHeight="1">
      <c r="A3670" s="15" t="str">
        <f>Solieusap!A3670</f>
        <v/>
      </c>
      <c r="B3670" s="15" t="str">
        <f>Solieusap!B3670</f>
        <v/>
      </c>
      <c r="C3670" s="15" t="str">
        <f>Solieusap!C3670</f>
        <v/>
      </c>
      <c r="D3670" s="15" t="str">
        <f>Solieusap!D3670</f>
        <v/>
      </c>
      <c r="E3670" s="16">
        <f>ABS(Solieusap!E3670)</f>
        <v>0</v>
      </c>
      <c r="F3670" s="16">
        <f>ABS(Solieusap!F3670)</f>
        <v>0</v>
      </c>
      <c r="G3670" s="16">
        <f>ABS(Solieusap!G3670)</f>
        <v>0</v>
      </c>
      <c r="H3670" s="16">
        <f>ABS(Solieusap!H3670)</f>
        <v>0</v>
      </c>
      <c r="I3670" s="16">
        <f>ABS(Solieusap!I3670)</f>
        <v>0</v>
      </c>
      <c r="J3670" s="16">
        <f>ABS(Solieusap!J3670)</f>
        <v>0</v>
      </c>
      <c r="K3670" s="16">
        <f t="shared" si="1"/>
        <v>0</v>
      </c>
      <c r="L3670" s="16">
        <f t="shared" si="2"/>
        <v>0</v>
      </c>
    </row>
    <row r="3671" ht="16.5" customHeight="1">
      <c r="A3671" s="15" t="str">
        <f>Solieusap!A3671</f>
        <v/>
      </c>
      <c r="B3671" s="15" t="str">
        <f>Solieusap!B3671</f>
        <v/>
      </c>
      <c r="C3671" s="15" t="str">
        <f>Solieusap!C3671</f>
        <v/>
      </c>
      <c r="D3671" s="15" t="str">
        <f>Solieusap!D3671</f>
        <v/>
      </c>
      <c r="E3671" s="16">
        <f>ABS(Solieusap!E3671)</f>
        <v>0</v>
      </c>
      <c r="F3671" s="16">
        <f>ABS(Solieusap!F3671)</f>
        <v>0</v>
      </c>
      <c r="G3671" s="16">
        <f>ABS(Solieusap!G3671)</f>
        <v>0</v>
      </c>
      <c r="H3671" s="16">
        <f>ABS(Solieusap!H3671)</f>
        <v>0</v>
      </c>
      <c r="I3671" s="16">
        <f>ABS(Solieusap!I3671)</f>
        <v>0</v>
      </c>
      <c r="J3671" s="16">
        <f>ABS(Solieusap!J3671)</f>
        <v>0</v>
      </c>
      <c r="K3671" s="16">
        <f t="shared" si="1"/>
        <v>0</v>
      </c>
      <c r="L3671" s="16">
        <f t="shared" si="2"/>
        <v>0</v>
      </c>
    </row>
    <row r="3672" ht="16.5" customHeight="1">
      <c r="A3672" s="15" t="str">
        <f>Solieusap!A3672</f>
        <v/>
      </c>
      <c r="B3672" s="15" t="str">
        <f>Solieusap!B3672</f>
        <v/>
      </c>
      <c r="C3672" s="15" t="str">
        <f>Solieusap!C3672</f>
        <v/>
      </c>
      <c r="D3672" s="15" t="str">
        <f>Solieusap!D3672</f>
        <v/>
      </c>
      <c r="E3672" s="16">
        <f>ABS(Solieusap!E3672)</f>
        <v>0</v>
      </c>
      <c r="F3672" s="16">
        <f>ABS(Solieusap!F3672)</f>
        <v>0</v>
      </c>
      <c r="G3672" s="16">
        <f>ABS(Solieusap!G3672)</f>
        <v>0</v>
      </c>
      <c r="H3672" s="16">
        <f>ABS(Solieusap!H3672)</f>
        <v>0</v>
      </c>
      <c r="I3672" s="16">
        <f>ABS(Solieusap!I3672)</f>
        <v>0</v>
      </c>
      <c r="J3672" s="16">
        <f>ABS(Solieusap!J3672)</f>
        <v>0</v>
      </c>
      <c r="K3672" s="16">
        <f t="shared" si="1"/>
        <v>0</v>
      </c>
      <c r="L3672" s="16">
        <f t="shared" si="2"/>
        <v>0</v>
      </c>
    </row>
    <row r="3673" ht="16.5" customHeight="1">
      <c r="A3673" s="15" t="str">
        <f>Solieusap!A3673</f>
        <v/>
      </c>
      <c r="B3673" s="15" t="str">
        <f>Solieusap!B3673</f>
        <v/>
      </c>
      <c r="C3673" s="15" t="str">
        <f>Solieusap!C3673</f>
        <v/>
      </c>
      <c r="D3673" s="15" t="str">
        <f>Solieusap!D3673</f>
        <v/>
      </c>
      <c r="E3673" s="16">
        <f>ABS(Solieusap!E3673)</f>
        <v>0</v>
      </c>
      <c r="F3673" s="16">
        <f>ABS(Solieusap!F3673)</f>
        <v>0</v>
      </c>
      <c r="G3673" s="16">
        <f>ABS(Solieusap!G3673)</f>
        <v>0</v>
      </c>
      <c r="H3673" s="16">
        <f>ABS(Solieusap!H3673)</f>
        <v>0</v>
      </c>
      <c r="I3673" s="16">
        <f>ABS(Solieusap!I3673)</f>
        <v>0</v>
      </c>
      <c r="J3673" s="16">
        <f>ABS(Solieusap!J3673)</f>
        <v>0</v>
      </c>
      <c r="K3673" s="16">
        <f t="shared" si="1"/>
        <v>0</v>
      </c>
      <c r="L3673" s="16">
        <f t="shared" si="2"/>
        <v>0</v>
      </c>
    </row>
    <row r="3674" ht="16.5" customHeight="1">
      <c r="A3674" s="15" t="str">
        <f>Solieusap!A3674</f>
        <v/>
      </c>
      <c r="B3674" s="15" t="str">
        <f>Solieusap!B3674</f>
        <v/>
      </c>
      <c r="C3674" s="15" t="str">
        <f>Solieusap!C3674</f>
        <v/>
      </c>
      <c r="D3674" s="15" t="str">
        <f>Solieusap!D3674</f>
        <v/>
      </c>
      <c r="E3674" s="16">
        <f>ABS(Solieusap!E3674)</f>
        <v>0</v>
      </c>
      <c r="F3674" s="16">
        <f>ABS(Solieusap!F3674)</f>
        <v>0</v>
      </c>
      <c r="G3674" s="16">
        <f>ABS(Solieusap!G3674)</f>
        <v>0</v>
      </c>
      <c r="H3674" s="16">
        <f>ABS(Solieusap!H3674)</f>
        <v>0</v>
      </c>
      <c r="I3674" s="16">
        <f>ABS(Solieusap!I3674)</f>
        <v>0</v>
      </c>
      <c r="J3674" s="16">
        <f>ABS(Solieusap!J3674)</f>
        <v>0</v>
      </c>
      <c r="K3674" s="16">
        <f t="shared" si="1"/>
        <v>0</v>
      </c>
      <c r="L3674" s="16">
        <f t="shared" si="2"/>
        <v>0</v>
      </c>
    </row>
    <row r="3675" ht="16.5" customHeight="1">
      <c r="A3675" s="15" t="str">
        <f>Solieusap!A3675</f>
        <v/>
      </c>
      <c r="B3675" s="15" t="str">
        <f>Solieusap!B3675</f>
        <v/>
      </c>
      <c r="C3675" s="15" t="str">
        <f>Solieusap!C3675</f>
        <v/>
      </c>
      <c r="D3675" s="15" t="str">
        <f>Solieusap!D3675</f>
        <v/>
      </c>
      <c r="E3675" s="16">
        <f>ABS(Solieusap!E3675)</f>
        <v>0</v>
      </c>
      <c r="F3675" s="16">
        <f>ABS(Solieusap!F3675)</f>
        <v>0</v>
      </c>
      <c r="G3675" s="16">
        <f>ABS(Solieusap!G3675)</f>
        <v>0</v>
      </c>
      <c r="H3675" s="16">
        <f>ABS(Solieusap!H3675)</f>
        <v>0</v>
      </c>
      <c r="I3675" s="16">
        <f>ABS(Solieusap!I3675)</f>
        <v>0</v>
      </c>
      <c r="J3675" s="16">
        <f>ABS(Solieusap!J3675)</f>
        <v>0</v>
      </c>
      <c r="K3675" s="16">
        <f t="shared" si="1"/>
        <v>0</v>
      </c>
      <c r="L3675" s="16">
        <f t="shared" si="2"/>
        <v>0</v>
      </c>
    </row>
    <row r="3676" ht="16.5" customHeight="1">
      <c r="A3676" s="15" t="str">
        <f>Solieusap!A3676</f>
        <v/>
      </c>
      <c r="B3676" s="15" t="str">
        <f>Solieusap!B3676</f>
        <v/>
      </c>
      <c r="C3676" s="15" t="str">
        <f>Solieusap!C3676</f>
        <v/>
      </c>
      <c r="D3676" s="15" t="str">
        <f>Solieusap!D3676</f>
        <v/>
      </c>
      <c r="E3676" s="16">
        <f>ABS(Solieusap!E3676)</f>
        <v>0</v>
      </c>
      <c r="F3676" s="16">
        <f>ABS(Solieusap!F3676)</f>
        <v>0</v>
      </c>
      <c r="G3676" s="16">
        <f>ABS(Solieusap!G3676)</f>
        <v>0</v>
      </c>
      <c r="H3676" s="16">
        <f>ABS(Solieusap!H3676)</f>
        <v>0</v>
      </c>
      <c r="I3676" s="16">
        <f>ABS(Solieusap!I3676)</f>
        <v>0</v>
      </c>
      <c r="J3676" s="16">
        <f>ABS(Solieusap!J3676)</f>
        <v>0</v>
      </c>
      <c r="K3676" s="16">
        <f t="shared" si="1"/>
        <v>0</v>
      </c>
      <c r="L3676" s="16">
        <f t="shared" si="2"/>
        <v>0</v>
      </c>
    </row>
    <row r="3677" ht="16.5" customHeight="1">
      <c r="A3677" s="15" t="str">
        <f>Solieusap!A3677</f>
        <v/>
      </c>
      <c r="B3677" s="15" t="str">
        <f>Solieusap!B3677</f>
        <v/>
      </c>
      <c r="C3677" s="15" t="str">
        <f>Solieusap!C3677</f>
        <v/>
      </c>
      <c r="D3677" s="15" t="str">
        <f>Solieusap!D3677</f>
        <v/>
      </c>
      <c r="E3677" s="16">
        <f>ABS(Solieusap!E3677)</f>
        <v>0</v>
      </c>
      <c r="F3677" s="16">
        <f>ABS(Solieusap!F3677)</f>
        <v>0</v>
      </c>
      <c r="G3677" s="16">
        <f>ABS(Solieusap!G3677)</f>
        <v>0</v>
      </c>
      <c r="H3677" s="16">
        <f>ABS(Solieusap!H3677)</f>
        <v>0</v>
      </c>
      <c r="I3677" s="16">
        <f>ABS(Solieusap!I3677)</f>
        <v>0</v>
      </c>
      <c r="J3677" s="16">
        <f>ABS(Solieusap!J3677)</f>
        <v>0</v>
      </c>
      <c r="K3677" s="16">
        <f t="shared" si="1"/>
        <v>0</v>
      </c>
      <c r="L3677" s="16">
        <f t="shared" si="2"/>
        <v>0</v>
      </c>
    </row>
    <row r="3678" ht="16.5" customHeight="1">
      <c r="A3678" s="15" t="str">
        <f>Solieusap!A3678</f>
        <v/>
      </c>
      <c r="B3678" s="15" t="str">
        <f>Solieusap!B3678</f>
        <v/>
      </c>
      <c r="C3678" s="15" t="str">
        <f>Solieusap!C3678</f>
        <v/>
      </c>
      <c r="D3678" s="15" t="str">
        <f>Solieusap!D3678</f>
        <v/>
      </c>
      <c r="E3678" s="16">
        <f>ABS(Solieusap!E3678)</f>
        <v>0</v>
      </c>
      <c r="F3678" s="16">
        <f>ABS(Solieusap!F3678)</f>
        <v>0</v>
      </c>
      <c r="G3678" s="16">
        <f>ABS(Solieusap!G3678)</f>
        <v>0</v>
      </c>
      <c r="H3678" s="16">
        <f>ABS(Solieusap!H3678)</f>
        <v>0</v>
      </c>
      <c r="I3678" s="16">
        <f>ABS(Solieusap!I3678)</f>
        <v>0</v>
      </c>
      <c r="J3678" s="16">
        <f>ABS(Solieusap!J3678)</f>
        <v>0</v>
      </c>
      <c r="K3678" s="16">
        <f t="shared" si="1"/>
        <v>0</v>
      </c>
      <c r="L3678" s="16">
        <f t="shared" si="2"/>
        <v>0</v>
      </c>
    </row>
    <row r="3679" ht="16.5" customHeight="1">
      <c r="A3679" s="15" t="str">
        <f>Solieusap!A3679</f>
        <v/>
      </c>
      <c r="B3679" s="15" t="str">
        <f>Solieusap!B3679</f>
        <v/>
      </c>
      <c r="C3679" s="15" t="str">
        <f>Solieusap!C3679</f>
        <v/>
      </c>
      <c r="D3679" s="15" t="str">
        <f>Solieusap!D3679</f>
        <v/>
      </c>
      <c r="E3679" s="16">
        <f>ABS(Solieusap!E3679)</f>
        <v>0</v>
      </c>
      <c r="F3679" s="16">
        <f>ABS(Solieusap!F3679)</f>
        <v>0</v>
      </c>
      <c r="G3679" s="16">
        <f>ABS(Solieusap!G3679)</f>
        <v>0</v>
      </c>
      <c r="H3679" s="16">
        <f>ABS(Solieusap!H3679)</f>
        <v>0</v>
      </c>
      <c r="I3679" s="16">
        <f>ABS(Solieusap!I3679)</f>
        <v>0</v>
      </c>
      <c r="J3679" s="16">
        <f>ABS(Solieusap!J3679)</f>
        <v>0</v>
      </c>
      <c r="K3679" s="16">
        <f t="shared" si="1"/>
        <v>0</v>
      </c>
      <c r="L3679" s="16">
        <f t="shared" si="2"/>
        <v>0</v>
      </c>
    </row>
    <row r="3680" ht="16.5" customHeight="1">
      <c r="A3680" s="15" t="str">
        <f>Solieusap!A3680</f>
        <v/>
      </c>
      <c r="B3680" s="15" t="str">
        <f>Solieusap!B3680</f>
        <v/>
      </c>
      <c r="C3680" s="15" t="str">
        <f>Solieusap!C3680</f>
        <v/>
      </c>
      <c r="D3680" s="15" t="str">
        <f>Solieusap!D3680</f>
        <v/>
      </c>
      <c r="E3680" s="16">
        <f>ABS(Solieusap!E3680)</f>
        <v>0</v>
      </c>
      <c r="F3680" s="16">
        <f>ABS(Solieusap!F3680)</f>
        <v>0</v>
      </c>
      <c r="G3680" s="16">
        <f>ABS(Solieusap!G3680)</f>
        <v>0</v>
      </c>
      <c r="H3680" s="16">
        <f>ABS(Solieusap!H3680)</f>
        <v>0</v>
      </c>
      <c r="I3680" s="16">
        <f>ABS(Solieusap!I3680)</f>
        <v>0</v>
      </c>
      <c r="J3680" s="16">
        <f>ABS(Solieusap!J3680)</f>
        <v>0</v>
      </c>
      <c r="K3680" s="16">
        <f t="shared" si="1"/>
        <v>0</v>
      </c>
      <c r="L3680" s="16">
        <f t="shared" si="2"/>
        <v>0</v>
      </c>
    </row>
    <row r="3681" ht="16.5" customHeight="1">
      <c r="A3681" s="15" t="str">
        <f>Solieusap!A3681</f>
        <v/>
      </c>
      <c r="B3681" s="15" t="str">
        <f>Solieusap!B3681</f>
        <v/>
      </c>
      <c r="C3681" s="15" t="str">
        <f>Solieusap!C3681</f>
        <v/>
      </c>
      <c r="D3681" s="15" t="str">
        <f>Solieusap!D3681</f>
        <v/>
      </c>
      <c r="E3681" s="16">
        <f>ABS(Solieusap!E3681)</f>
        <v>0</v>
      </c>
      <c r="F3681" s="16">
        <f>ABS(Solieusap!F3681)</f>
        <v>0</v>
      </c>
      <c r="G3681" s="16">
        <f>ABS(Solieusap!G3681)</f>
        <v>0</v>
      </c>
      <c r="H3681" s="16">
        <f>ABS(Solieusap!H3681)</f>
        <v>0</v>
      </c>
      <c r="I3681" s="16">
        <f>ABS(Solieusap!I3681)</f>
        <v>0</v>
      </c>
      <c r="J3681" s="16">
        <f>ABS(Solieusap!J3681)</f>
        <v>0</v>
      </c>
      <c r="K3681" s="16">
        <f t="shared" si="1"/>
        <v>0</v>
      </c>
      <c r="L3681" s="16">
        <f t="shared" si="2"/>
        <v>0</v>
      </c>
    </row>
    <row r="3682" ht="16.5" customHeight="1">
      <c r="A3682" s="15" t="str">
        <f>Solieusap!A3682</f>
        <v/>
      </c>
      <c r="B3682" s="15" t="str">
        <f>Solieusap!B3682</f>
        <v/>
      </c>
      <c r="C3682" s="15" t="str">
        <f>Solieusap!C3682</f>
        <v/>
      </c>
      <c r="D3682" s="15" t="str">
        <f>Solieusap!D3682</f>
        <v/>
      </c>
      <c r="E3682" s="16">
        <f>ABS(Solieusap!E3682)</f>
        <v>0</v>
      </c>
      <c r="F3682" s="16">
        <f>ABS(Solieusap!F3682)</f>
        <v>0</v>
      </c>
      <c r="G3682" s="16">
        <f>ABS(Solieusap!G3682)</f>
        <v>0</v>
      </c>
      <c r="H3682" s="16">
        <f>ABS(Solieusap!H3682)</f>
        <v>0</v>
      </c>
      <c r="I3682" s="16">
        <f>ABS(Solieusap!I3682)</f>
        <v>0</v>
      </c>
      <c r="J3682" s="16">
        <f>ABS(Solieusap!J3682)</f>
        <v>0</v>
      </c>
      <c r="K3682" s="16">
        <f t="shared" si="1"/>
        <v>0</v>
      </c>
      <c r="L3682" s="16">
        <f t="shared" si="2"/>
        <v>0</v>
      </c>
    </row>
    <row r="3683" ht="16.5" customHeight="1">
      <c r="A3683" s="15" t="str">
        <f>Solieusap!A3683</f>
        <v/>
      </c>
      <c r="B3683" s="15" t="str">
        <f>Solieusap!B3683</f>
        <v/>
      </c>
      <c r="C3683" s="15" t="str">
        <f>Solieusap!C3683</f>
        <v/>
      </c>
      <c r="D3683" s="15" t="str">
        <f>Solieusap!D3683</f>
        <v/>
      </c>
      <c r="E3683" s="16">
        <f>ABS(Solieusap!E3683)</f>
        <v>0</v>
      </c>
      <c r="F3683" s="16">
        <f>ABS(Solieusap!F3683)</f>
        <v>0</v>
      </c>
      <c r="G3683" s="16">
        <f>ABS(Solieusap!G3683)</f>
        <v>0</v>
      </c>
      <c r="H3683" s="16">
        <f>ABS(Solieusap!H3683)</f>
        <v>0</v>
      </c>
      <c r="I3683" s="16">
        <f>ABS(Solieusap!I3683)</f>
        <v>0</v>
      </c>
      <c r="J3683" s="16">
        <f>ABS(Solieusap!J3683)</f>
        <v>0</v>
      </c>
      <c r="K3683" s="16">
        <f t="shared" si="1"/>
        <v>0</v>
      </c>
      <c r="L3683" s="16">
        <f t="shared" si="2"/>
        <v>0</v>
      </c>
    </row>
    <row r="3684" ht="16.5" customHeight="1">
      <c r="A3684" s="15" t="str">
        <f>Solieusap!A3684</f>
        <v/>
      </c>
      <c r="B3684" s="15" t="str">
        <f>Solieusap!B3684</f>
        <v/>
      </c>
      <c r="C3684" s="15" t="str">
        <f>Solieusap!C3684</f>
        <v/>
      </c>
      <c r="D3684" s="15" t="str">
        <f>Solieusap!D3684</f>
        <v/>
      </c>
      <c r="E3684" s="16">
        <f>ABS(Solieusap!E3684)</f>
        <v>0</v>
      </c>
      <c r="F3684" s="16">
        <f>ABS(Solieusap!F3684)</f>
        <v>0</v>
      </c>
      <c r="G3684" s="16">
        <f>ABS(Solieusap!G3684)</f>
        <v>0</v>
      </c>
      <c r="H3684" s="16">
        <f>ABS(Solieusap!H3684)</f>
        <v>0</v>
      </c>
      <c r="I3684" s="16">
        <f>ABS(Solieusap!I3684)</f>
        <v>0</v>
      </c>
      <c r="J3684" s="16">
        <f>ABS(Solieusap!J3684)</f>
        <v>0</v>
      </c>
      <c r="K3684" s="16">
        <f t="shared" si="1"/>
        <v>0</v>
      </c>
      <c r="L3684" s="16">
        <f t="shared" si="2"/>
        <v>0</v>
      </c>
    </row>
    <row r="3685" ht="16.5" customHeight="1">
      <c r="A3685" s="15" t="str">
        <f>Solieusap!A3685</f>
        <v/>
      </c>
      <c r="B3685" s="15" t="str">
        <f>Solieusap!B3685</f>
        <v/>
      </c>
      <c r="C3685" s="15" t="str">
        <f>Solieusap!C3685</f>
        <v/>
      </c>
      <c r="D3685" s="15" t="str">
        <f>Solieusap!D3685</f>
        <v/>
      </c>
      <c r="E3685" s="16">
        <f>ABS(Solieusap!E3685)</f>
        <v>0</v>
      </c>
      <c r="F3685" s="16">
        <f>ABS(Solieusap!F3685)</f>
        <v>0</v>
      </c>
      <c r="G3685" s="16">
        <f>ABS(Solieusap!G3685)</f>
        <v>0</v>
      </c>
      <c r="H3685" s="16">
        <f>ABS(Solieusap!H3685)</f>
        <v>0</v>
      </c>
      <c r="I3685" s="16">
        <f>ABS(Solieusap!I3685)</f>
        <v>0</v>
      </c>
      <c r="J3685" s="16">
        <f>ABS(Solieusap!J3685)</f>
        <v>0</v>
      </c>
      <c r="K3685" s="16">
        <f t="shared" si="1"/>
        <v>0</v>
      </c>
      <c r="L3685" s="16">
        <f t="shared" si="2"/>
        <v>0</v>
      </c>
    </row>
    <row r="3686" ht="16.5" customHeight="1">
      <c r="A3686" s="15" t="str">
        <f>Solieusap!A3686</f>
        <v/>
      </c>
      <c r="B3686" s="15" t="str">
        <f>Solieusap!B3686</f>
        <v/>
      </c>
      <c r="C3686" s="15" t="str">
        <f>Solieusap!C3686</f>
        <v/>
      </c>
      <c r="D3686" s="15" t="str">
        <f>Solieusap!D3686</f>
        <v/>
      </c>
      <c r="E3686" s="16">
        <f>ABS(Solieusap!E3686)</f>
        <v>0</v>
      </c>
      <c r="F3686" s="16">
        <f>ABS(Solieusap!F3686)</f>
        <v>0</v>
      </c>
      <c r="G3686" s="16">
        <f>ABS(Solieusap!G3686)</f>
        <v>0</v>
      </c>
      <c r="H3686" s="16">
        <f>ABS(Solieusap!H3686)</f>
        <v>0</v>
      </c>
      <c r="I3686" s="16">
        <f>ABS(Solieusap!I3686)</f>
        <v>0</v>
      </c>
      <c r="J3686" s="16">
        <f>ABS(Solieusap!J3686)</f>
        <v>0</v>
      </c>
      <c r="K3686" s="16">
        <f t="shared" si="1"/>
        <v>0</v>
      </c>
      <c r="L3686" s="16">
        <f t="shared" si="2"/>
        <v>0</v>
      </c>
    </row>
    <row r="3687" ht="16.5" customHeight="1">
      <c r="A3687" s="15" t="str">
        <f>Solieusap!A3687</f>
        <v/>
      </c>
      <c r="B3687" s="15" t="str">
        <f>Solieusap!B3687</f>
        <v/>
      </c>
      <c r="C3687" s="15" t="str">
        <f>Solieusap!C3687</f>
        <v/>
      </c>
      <c r="D3687" s="15" t="str">
        <f>Solieusap!D3687</f>
        <v/>
      </c>
      <c r="E3687" s="16">
        <f>ABS(Solieusap!E3687)</f>
        <v>0</v>
      </c>
      <c r="F3687" s="16">
        <f>ABS(Solieusap!F3687)</f>
        <v>0</v>
      </c>
      <c r="G3687" s="16">
        <f>ABS(Solieusap!G3687)</f>
        <v>0</v>
      </c>
      <c r="H3687" s="16">
        <f>ABS(Solieusap!H3687)</f>
        <v>0</v>
      </c>
      <c r="I3687" s="16">
        <f>ABS(Solieusap!I3687)</f>
        <v>0</v>
      </c>
      <c r="J3687" s="16">
        <f>ABS(Solieusap!J3687)</f>
        <v>0</v>
      </c>
      <c r="K3687" s="16">
        <f t="shared" si="1"/>
        <v>0</v>
      </c>
      <c r="L3687" s="16">
        <f t="shared" si="2"/>
        <v>0</v>
      </c>
    </row>
    <row r="3688" ht="16.5" customHeight="1">
      <c r="A3688" s="15" t="str">
        <f>Solieusap!A3688</f>
        <v/>
      </c>
      <c r="B3688" s="15" t="str">
        <f>Solieusap!B3688</f>
        <v/>
      </c>
      <c r="C3688" s="15" t="str">
        <f>Solieusap!C3688</f>
        <v/>
      </c>
      <c r="D3688" s="15" t="str">
        <f>Solieusap!D3688</f>
        <v/>
      </c>
      <c r="E3688" s="16">
        <f>ABS(Solieusap!E3688)</f>
        <v>0</v>
      </c>
      <c r="F3688" s="16">
        <f>ABS(Solieusap!F3688)</f>
        <v>0</v>
      </c>
      <c r="G3688" s="16">
        <f>ABS(Solieusap!G3688)</f>
        <v>0</v>
      </c>
      <c r="H3688" s="16">
        <f>ABS(Solieusap!H3688)</f>
        <v>0</v>
      </c>
      <c r="I3688" s="16">
        <f>ABS(Solieusap!I3688)</f>
        <v>0</v>
      </c>
      <c r="J3688" s="16">
        <f>ABS(Solieusap!J3688)</f>
        <v>0</v>
      </c>
      <c r="K3688" s="16">
        <f t="shared" si="1"/>
        <v>0</v>
      </c>
      <c r="L3688" s="16">
        <f t="shared" si="2"/>
        <v>0</v>
      </c>
    </row>
    <row r="3689" ht="16.5" customHeight="1">
      <c r="A3689" s="15" t="str">
        <f>Solieusap!A3689</f>
        <v/>
      </c>
      <c r="B3689" s="15" t="str">
        <f>Solieusap!B3689</f>
        <v/>
      </c>
      <c r="C3689" s="15" t="str">
        <f>Solieusap!C3689</f>
        <v/>
      </c>
      <c r="D3689" s="15" t="str">
        <f>Solieusap!D3689</f>
        <v/>
      </c>
      <c r="E3689" s="16">
        <f>ABS(Solieusap!E3689)</f>
        <v>0</v>
      </c>
      <c r="F3689" s="16">
        <f>ABS(Solieusap!F3689)</f>
        <v>0</v>
      </c>
      <c r="G3689" s="16">
        <f>ABS(Solieusap!G3689)</f>
        <v>0</v>
      </c>
      <c r="H3689" s="16">
        <f>ABS(Solieusap!H3689)</f>
        <v>0</v>
      </c>
      <c r="I3689" s="16">
        <f>ABS(Solieusap!I3689)</f>
        <v>0</v>
      </c>
      <c r="J3689" s="16">
        <f>ABS(Solieusap!J3689)</f>
        <v>0</v>
      </c>
      <c r="K3689" s="16">
        <f t="shared" si="1"/>
        <v>0</v>
      </c>
      <c r="L3689" s="16">
        <f t="shared" si="2"/>
        <v>0</v>
      </c>
    </row>
    <row r="3690" ht="16.5" customHeight="1">
      <c r="A3690" s="15" t="str">
        <f>Solieusap!A3690</f>
        <v/>
      </c>
      <c r="B3690" s="15" t="str">
        <f>Solieusap!B3690</f>
        <v/>
      </c>
      <c r="C3690" s="15" t="str">
        <f>Solieusap!C3690</f>
        <v/>
      </c>
      <c r="D3690" s="15" t="str">
        <f>Solieusap!D3690</f>
        <v/>
      </c>
      <c r="E3690" s="16">
        <f>ABS(Solieusap!E3690)</f>
        <v>0</v>
      </c>
      <c r="F3690" s="16">
        <f>ABS(Solieusap!F3690)</f>
        <v>0</v>
      </c>
      <c r="G3690" s="16">
        <f>ABS(Solieusap!G3690)</f>
        <v>0</v>
      </c>
      <c r="H3690" s="16">
        <f>ABS(Solieusap!H3690)</f>
        <v>0</v>
      </c>
      <c r="I3690" s="16">
        <f>ABS(Solieusap!I3690)</f>
        <v>0</v>
      </c>
      <c r="J3690" s="16">
        <f>ABS(Solieusap!J3690)</f>
        <v>0</v>
      </c>
      <c r="K3690" s="16">
        <f t="shared" si="1"/>
        <v>0</v>
      </c>
      <c r="L3690" s="16">
        <f t="shared" si="2"/>
        <v>0</v>
      </c>
    </row>
    <row r="3691" ht="16.5" customHeight="1">
      <c r="A3691" s="15" t="str">
        <f>Solieusap!A3691</f>
        <v/>
      </c>
      <c r="B3691" s="15" t="str">
        <f>Solieusap!B3691</f>
        <v/>
      </c>
      <c r="C3691" s="15" t="str">
        <f>Solieusap!C3691</f>
        <v/>
      </c>
      <c r="D3691" s="15" t="str">
        <f>Solieusap!D3691</f>
        <v/>
      </c>
      <c r="E3691" s="16">
        <f>ABS(Solieusap!E3691)</f>
        <v>0</v>
      </c>
      <c r="F3691" s="16">
        <f>ABS(Solieusap!F3691)</f>
        <v>0</v>
      </c>
      <c r="G3691" s="16">
        <f>ABS(Solieusap!G3691)</f>
        <v>0</v>
      </c>
      <c r="H3691" s="16">
        <f>ABS(Solieusap!H3691)</f>
        <v>0</v>
      </c>
      <c r="I3691" s="16">
        <f>ABS(Solieusap!I3691)</f>
        <v>0</v>
      </c>
      <c r="J3691" s="16">
        <f>ABS(Solieusap!J3691)</f>
        <v>0</v>
      </c>
      <c r="K3691" s="16">
        <f t="shared" si="1"/>
        <v>0</v>
      </c>
      <c r="L3691" s="16">
        <f t="shared" si="2"/>
        <v>0</v>
      </c>
    </row>
    <row r="3692" ht="16.5" customHeight="1">
      <c r="A3692" s="15" t="str">
        <f>Solieusap!A3692</f>
        <v/>
      </c>
      <c r="B3692" s="15" t="str">
        <f>Solieusap!B3692</f>
        <v/>
      </c>
      <c r="C3692" s="15" t="str">
        <f>Solieusap!C3692</f>
        <v/>
      </c>
      <c r="D3692" s="15" t="str">
        <f>Solieusap!D3692</f>
        <v/>
      </c>
      <c r="E3692" s="16">
        <f>ABS(Solieusap!E3692)</f>
        <v>0</v>
      </c>
      <c r="F3692" s="16">
        <f>ABS(Solieusap!F3692)</f>
        <v>0</v>
      </c>
      <c r="G3692" s="16">
        <f>ABS(Solieusap!G3692)</f>
        <v>0</v>
      </c>
      <c r="H3692" s="16">
        <f>ABS(Solieusap!H3692)</f>
        <v>0</v>
      </c>
      <c r="I3692" s="16">
        <f>ABS(Solieusap!I3692)</f>
        <v>0</v>
      </c>
      <c r="J3692" s="16">
        <f>ABS(Solieusap!J3692)</f>
        <v>0</v>
      </c>
      <c r="K3692" s="16">
        <f t="shared" si="1"/>
        <v>0</v>
      </c>
      <c r="L3692" s="16">
        <f t="shared" si="2"/>
        <v>0</v>
      </c>
    </row>
    <row r="3693" ht="16.5" customHeight="1">
      <c r="A3693" s="15" t="str">
        <f>Solieusap!A3693</f>
        <v/>
      </c>
      <c r="B3693" s="15" t="str">
        <f>Solieusap!B3693</f>
        <v/>
      </c>
      <c r="C3693" s="15" t="str">
        <f>Solieusap!C3693</f>
        <v/>
      </c>
      <c r="D3693" s="15" t="str">
        <f>Solieusap!D3693</f>
        <v/>
      </c>
      <c r="E3693" s="16">
        <f>ABS(Solieusap!E3693)</f>
        <v>0</v>
      </c>
      <c r="F3693" s="16">
        <f>ABS(Solieusap!F3693)</f>
        <v>0</v>
      </c>
      <c r="G3693" s="16">
        <f>ABS(Solieusap!G3693)</f>
        <v>0</v>
      </c>
      <c r="H3693" s="16">
        <f>ABS(Solieusap!H3693)</f>
        <v>0</v>
      </c>
      <c r="I3693" s="16">
        <f>ABS(Solieusap!I3693)</f>
        <v>0</v>
      </c>
      <c r="J3693" s="16">
        <f>ABS(Solieusap!J3693)</f>
        <v>0</v>
      </c>
      <c r="K3693" s="16">
        <f t="shared" si="1"/>
        <v>0</v>
      </c>
      <c r="L3693" s="16">
        <f t="shared" si="2"/>
        <v>0</v>
      </c>
    </row>
    <row r="3694" ht="16.5" customHeight="1">
      <c r="A3694" s="15" t="str">
        <f>Solieusap!A3694</f>
        <v/>
      </c>
      <c r="B3694" s="15" t="str">
        <f>Solieusap!B3694</f>
        <v/>
      </c>
      <c r="C3694" s="15" t="str">
        <f>Solieusap!C3694</f>
        <v/>
      </c>
      <c r="D3694" s="15" t="str">
        <f>Solieusap!D3694</f>
        <v/>
      </c>
      <c r="E3694" s="16">
        <f>ABS(Solieusap!E3694)</f>
        <v>0</v>
      </c>
      <c r="F3694" s="16">
        <f>ABS(Solieusap!F3694)</f>
        <v>0</v>
      </c>
      <c r="G3694" s="16">
        <f>ABS(Solieusap!G3694)</f>
        <v>0</v>
      </c>
      <c r="H3694" s="16">
        <f>ABS(Solieusap!H3694)</f>
        <v>0</v>
      </c>
      <c r="I3694" s="16">
        <f>ABS(Solieusap!I3694)</f>
        <v>0</v>
      </c>
      <c r="J3694" s="16">
        <f>ABS(Solieusap!J3694)</f>
        <v>0</v>
      </c>
      <c r="K3694" s="16">
        <f t="shared" si="1"/>
        <v>0</v>
      </c>
      <c r="L3694" s="16">
        <f t="shared" si="2"/>
        <v>0</v>
      </c>
    </row>
    <row r="3695" ht="16.5" customHeight="1">
      <c r="A3695" s="15" t="str">
        <f>Solieusap!A3695</f>
        <v/>
      </c>
      <c r="B3695" s="15" t="str">
        <f>Solieusap!B3695</f>
        <v/>
      </c>
      <c r="C3695" s="15" t="str">
        <f>Solieusap!C3695</f>
        <v/>
      </c>
      <c r="D3695" s="15" t="str">
        <f>Solieusap!D3695</f>
        <v/>
      </c>
      <c r="E3695" s="16">
        <f>ABS(Solieusap!E3695)</f>
        <v>0</v>
      </c>
      <c r="F3695" s="16">
        <f>ABS(Solieusap!F3695)</f>
        <v>0</v>
      </c>
      <c r="G3695" s="16">
        <f>ABS(Solieusap!G3695)</f>
        <v>0</v>
      </c>
      <c r="H3695" s="16">
        <f>ABS(Solieusap!H3695)</f>
        <v>0</v>
      </c>
      <c r="I3695" s="16">
        <f>ABS(Solieusap!I3695)</f>
        <v>0</v>
      </c>
      <c r="J3695" s="16">
        <f>ABS(Solieusap!J3695)</f>
        <v>0</v>
      </c>
      <c r="K3695" s="16">
        <f t="shared" si="1"/>
        <v>0</v>
      </c>
      <c r="L3695" s="16">
        <f t="shared" si="2"/>
        <v>0</v>
      </c>
    </row>
    <row r="3696" ht="16.5" customHeight="1">
      <c r="A3696" s="15" t="str">
        <f>Solieusap!A3696</f>
        <v/>
      </c>
      <c r="B3696" s="15" t="str">
        <f>Solieusap!B3696</f>
        <v/>
      </c>
      <c r="C3696" s="15" t="str">
        <f>Solieusap!C3696</f>
        <v/>
      </c>
      <c r="D3696" s="15" t="str">
        <f>Solieusap!D3696</f>
        <v/>
      </c>
      <c r="E3696" s="16">
        <f>ABS(Solieusap!E3696)</f>
        <v>0</v>
      </c>
      <c r="F3696" s="16">
        <f>ABS(Solieusap!F3696)</f>
        <v>0</v>
      </c>
      <c r="G3696" s="16">
        <f>ABS(Solieusap!G3696)</f>
        <v>0</v>
      </c>
      <c r="H3696" s="16">
        <f>ABS(Solieusap!H3696)</f>
        <v>0</v>
      </c>
      <c r="I3696" s="16">
        <f>ABS(Solieusap!I3696)</f>
        <v>0</v>
      </c>
      <c r="J3696" s="16">
        <f>ABS(Solieusap!J3696)</f>
        <v>0</v>
      </c>
      <c r="K3696" s="16">
        <f t="shared" si="1"/>
        <v>0</v>
      </c>
      <c r="L3696" s="16">
        <f t="shared" si="2"/>
        <v>0</v>
      </c>
    </row>
    <row r="3697" ht="16.5" customHeight="1">
      <c r="A3697" s="15" t="str">
        <f>Solieusap!A3697</f>
        <v/>
      </c>
      <c r="B3697" s="15" t="str">
        <f>Solieusap!B3697</f>
        <v/>
      </c>
      <c r="C3697" s="15" t="str">
        <f>Solieusap!C3697</f>
        <v/>
      </c>
      <c r="D3697" s="15" t="str">
        <f>Solieusap!D3697</f>
        <v/>
      </c>
      <c r="E3697" s="16">
        <f>ABS(Solieusap!E3697)</f>
        <v>0</v>
      </c>
      <c r="F3697" s="16">
        <f>ABS(Solieusap!F3697)</f>
        <v>0</v>
      </c>
      <c r="G3697" s="16">
        <f>ABS(Solieusap!G3697)</f>
        <v>0</v>
      </c>
      <c r="H3697" s="16">
        <f>ABS(Solieusap!H3697)</f>
        <v>0</v>
      </c>
      <c r="I3697" s="16">
        <f>ABS(Solieusap!I3697)</f>
        <v>0</v>
      </c>
      <c r="J3697" s="16">
        <f>ABS(Solieusap!J3697)</f>
        <v>0</v>
      </c>
      <c r="K3697" s="16">
        <f t="shared" si="1"/>
        <v>0</v>
      </c>
      <c r="L3697" s="16">
        <f t="shared" si="2"/>
        <v>0</v>
      </c>
    </row>
    <row r="3698" ht="16.5" customHeight="1">
      <c r="A3698" s="15" t="str">
        <f>Solieusap!A3698</f>
        <v/>
      </c>
      <c r="B3698" s="15" t="str">
        <f>Solieusap!B3698</f>
        <v/>
      </c>
      <c r="C3698" s="15" t="str">
        <f>Solieusap!C3698</f>
        <v/>
      </c>
      <c r="D3698" s="15" t="str">
        <f>Solieusap!D3698</f>
        <v/>
      </c>
      <c r="E3698" s="16">
        <f>ABS(Solieusap!E3698)</f>
        <v>0</v>
      </c>
      <c r="F3698" s="16">
        <f>ABS(Solieusap!F3698)</f>
        <v>0</v>
      </c>
      <c r="G3698" s="16">
        <f>ABS(Solieusap!G3698)</f>
        <v>0</v>
      </c>
      <c r="H3698" s="16">
        <f>ABS(Solieusap!H3698)</f>
        <v>0</v>
      </c>
      <c r="I3698" s="16">
        <f>ABS(Solieusap!I3698)</f>
        <v>0</v>
      </c>
      <c r="J3698" s="16">
        <f>ABS(Solieusap!J3698)</f>
        <v>0</v>
      </c>
      <c r="K3698" s="16">
        <f t="shared" si="1"/>
        <v>0</v>
      </c>
      <c r="L3698" s="16">
        <f t="shared" si="2"/>
        <v>0</v>
      </c>
    </row>
    <row r="3699" ht="16.5" customHeight="1">
      <c r="A3699" s="15" t="str">
        <f>Solieusap!A3699</f>
        <v/>
      </c>
      <c r="B3699" s="15" t="str">
        <f>Solieusap!B3699</f>
        <v/>
      </c>
      <c r="C3699" s="15" t="str">
        <f>Solieusap!C3699</f>
        <v/>
      </c>
      <c r="D3699" s="15" t="str">
        <f>Solieusap!D3699</f>
        <v/>
      </c>
      <c r="E3699" s="16">
        <f>ABS(Solieusap!E3699)</f>
        <v>0</v>
      </c>
      <c r="F3699" s="16">
        <f>ABS(Solieusap!F3699)</f>
        <v>0</v>
      </c>
      <c r="G3699" s="16">
        <f>ABS(Solieusap!G3699)</f>
        <v>0</v>
      </c>
      <c r="H3699" s="16">
        <f>ABS(Solieusap!H3699)</f>
        <v>0</v>
      </c>
      <c r="I3699" s="16">
        <f>ABS(Solieusap!I3699)</f>
        <v>0</v>
      </c>
      <c r="J3699" s="16">
        <f>ABS(Solieusap!J3699)</f>
        <v>0</v>
      </c>
      <c r="K3699" s="16">
        <f t="shared" si="1"/>
        <v>0</v>
      </c>
      <c r="L3699" s="16">
        <f t="shared" si="2"/>
        <v>0</v>
      </c>
    </row>
    <row r="3700" ht="16.5" customHeight="1">
      <c r="A3700" s="15" t="str">
        <f>Solieusap!A3700</f>
        <v/>
      </c>
      <c r="B3700" s="15" t="str">
        <f>Solieusap!B3700</f>
        <v/>
      </c>
      <c r="C3700" s="15" t="str">
        <f>Solieusap!C3700</f>
        <v/>
      </c>
      <c r="D3700" s="15" t="str">
        <f>Solieusap!D3700</f>
        <v/>
      </c>
      <c r="E3700" s="16">
        <f>ABS(Solieusap!E3700)</f>
        <v>0</v>
      </c>
      <c r="F3700" s="16">
        <f>ABS(Solieusap!F3700)</f>
        <v>0</v>
      </c>
      <c r="G3700" s="16">
        <f>ABS(Solieusap!G3700)</f>
        <v>0</v>
      </c>
      <c r="H3700" s="16">
        <f>ABS(Solieusap!H3700)</f>
        <v>0</v>
      </c>
      <c r="I3700" s="16">
        <f>ABS(Solieusap!I3700)</f>
        <v>0</v>
      </c>
      <c r="J3700" s="16">
        <f>ABS(Solieusap!J3700)</f>
        <v>0</v>
      </c>
      <c r="K3700" s="16">
        <f t="shared" si="1"/>
        <v>0</v>
      </c>
      <c r="L3700" s="16">
        <f t="shared" si="2"/>
        <v>0</v>
      </c>
    </row>
    <row r="3701" ht="16.5" customHeight="1">
      <c r="A3701" s="15" t="str">
        <f>Solieusap!A3701</f>
        <v/>
      </c>
      <c r="B3701" s="15" t="str">
        <f>Solieusap!B3701</f>
        <v/>
      </c>
      <c r="C3701" s="15" t="str">
        <f>Solieusap!C3701</f>
        <v/>
      </c>
      <c r="D3701" s="15" t="str">
        <f>Solieusap!D3701</f>
        <v/>
      </c>
      <c r="E3701" s="16">
        <f>ABS(Solieusap!E3701)</f>
        <v>0</v>
      </c>
      <c r="F3701" s="16">
        <f>ABS(Solieusap!F3701)</f>
        <v>0</v>
      </c>
      <c r="G3701" s="16">
        <f>ABS(Solieusap!G3701)</f>
        <v>0</v>
      </c>
      <c r="H3701" s="16">
        <f>ABS(Solieusap!H3701)</f>
        <v>0</v>
      </c>
      <c r="I3701" s="16">
        <f>ABS(Solieusap!I3701)</f>
        <v>0</v>
      </c>
      <c r="J3701" s="16">
        <f>ABS(Solieusap!J3701)</f>
        <v>0</v>
      </c>
      <c r="K3701" s="16">
        <f t="shared" si="1"/>
        <v>0</v>
      </c>
      <c r="L3701" s="16">
        <f t="shared" si="2"/>
        <v>0</v>
      </c>
    </row>
    <row r="3702" ht="16.5" customHeight="1">
      <c r="A3702" s="15" t="str">
        <f>Solieusap!A3702</f>
        <v/>
      </c>
      <c r="B3702" s="15" t="str">
        <f>Solieusap!B3702</f>
        <v/>
      </c>
      <c r="C3702" s="15" t="str">
        <f>Solieusap!C3702</f>
        <v/>
      </c>
      <c r="D3702" s="15" t="str">
        <f>Solieusap!D3702</f>
        <v/>
      </c>
      <c r="E3702" s="16">
        <f>ABS(Solieusap!E3702)</f>
        <v>0</v>
      </c>
      <c r="F3702" s="16">
        <f>ABS(Solieusap!F3702)</f>
        <v>0</v>
      </c>
      <c r="G3702" s="16">
        <f>ABS(Solieusap!G3702)</f>
        <v>0</v>
      </c>
      <c r="H3702" s="16">
        <f>ABS(Solieusap!H3702)</f>
        <v>0</v>
      </c>
      <c r="I3702" s="16">
        <f>ABS(Solieusap!I3702)</f>
        <v>0</v>
      </c>
      <c r="J3702" s="16">
        <f>ABS(Solieusap!J3702)</f>
        <v>0</v>
      </c>
      <c r="K3702" s="16">
        <f t="shared" si="1"/>
        <v>0</v>
      </c>
      <c r="L3702" s="16">
        <f t="shared" si="2"/>
        <v>0</v>
      </c>
    </row>
    <row r="3703" ht="16.5" customHeight="1">
      <c r="A3703" s="15" t="str">
        <f>Solieusap!A3703</f>
        <v/>
      </c>
      <c r="B3703" s="15" t="str">
        <f>Solieusap!B3703</f>
        <v/>
      </c>
      <c r="C3703" s="15" t="str">
        <f>Solieusap!C3703</f>
        <v/>
      </c>
      <c r="D3703" s="15" t="str">
        <f>Solieusap!D3703</f>
        <v/>
      </c>
      <c r="E3703" s="16">
        <f>ABS(Solieusap!E3703)</f>
        <v>0</v>
      </c>
      <c r="F3703" s="16">
        <f>ABS(Solieusap!F3703)</f>
        <v>0</v>
      </c>
      <c r="G3703" s="16">
        <f>ABS(Solieusap!G3703)</f>
        <v>0</v>
      </c>
      <c r="H3703" s="16">
        <f>ABS(Solieusap!H3703)</f>
        <v>0</v>
      </c>
      <c r="I3703" s="16">
        <f>ABS(Solieusap!I3703)</f>
        <v>0</v>
      </c>
      <c r="J3703" s="16">
        <f>ABS(Solieusap!J3703)</f>
        <v>0</v>
      </c>
      <c r="K3703" s="16">
        <f t="shared" si="1"/>
        <v>0</v>
      </c>
      <c r="L3703" s="16">
        <f t="shared" si="2"/>
        <v>0</v>
      </c>
    </row>
    <row r="3704" ht="16.5" customHeight="1">
      <c r="A3704" s="15" t="str">
        <f>Solieusap!A3704</f>
        <v/>
      </c>
      <c r="B3704" s="15" t="str">
        <f>Solieusap!B3704</f>
        <v/>
      </c>
      <c r="C3704" s="15" t="str">
        <f>Solieusap!C3704</f>
        <v/>
      </c>
      <c r="D3704" s="15" t="str">
        <f>Solieusap!D3704</f>
        <v/>
      </c>
      <c r="E3704" s="16">
        <f>ABS(Solieusap!E3704)</f>
        <v>0</v>
      </c>
      <c r="F3704" s="16">
        <f>ABS(Solieusap!F3704)</f>
        <v>0</v>
      </c>
      <c r="G3704" s="16">
        <f>ABS(Solieusap!G3704)</f>
        <v>0</v>
      </c>
      <c r="H3704" s="16">
        <f>ABS(Solieusap!H3704)</f>
        <v>0</v>
      </c>
      <c r="I3704" s="16">
        <f>ABS(Solieusap!I3704)</f>
        <v>0</v>
      </c>
      <c r="J3704" s="16">
        <f>ABS(Solieusap!J3704)</f>
        <v>0</v>
      </c>
      <c r="K3704" s="16">
        <f t="shared" si="1"/>
        <v>0</v>
      </c>
      <c r="L3704" s="16">
        <f t="shared" si="2"/>
        <v>0</v>
      </c>
    </row>
    <row r="3705" ht="16.5" customHeight="1">
      <c r="A3705" s="15" t="str">
        <f>Solieusap!A3705</f>
        <v/>
      </c>
      <c r="B3705" s="15" t="str">
        <f>Solieusap!B3705</f>
        <v/>
      </c>
      <c r="C3705" s="15" t="str">
        <f>Solieusap!C3705</f>
        <v/>
      </c>
      <c r="D3705" s="15" t="str">
        <f>Solieusap!D3705</f>
        <v/>
      </c>
      <c r="E3705" s="16">
        <f>ABS(Solieusap!E3705)</f>
        <v>0</v>
      </c>
      <c r="F3705" s="16">
        <f>ABS(Solieusap!F3705)</f>
        <v>0</v>
      </c>
      <c r="G3705" s="16">
        <f>ABS(Solieusap!G3705)</f>
        <v>0</v>
      </c>
      <c r="H3705" s="16">
        <f>ABS(Solieusap!H3705)</f>
        <v>0</v>
      </c>
      <c r="I3705" s="16">
        <f>ABS(Solieusap!I3705)</f>
        <v>0</v>
      </c>
      <c r="J3705" s="16">
        <f>ABS(Solieusap!J3705)</f>
        <v>0</v>
      </c>
      <c r="K3705" s="16">
        <f t="shared" si="1"/>
        <v>0</v>
      </c>
      <c r="L3705" s="16">
        <f t="shared" si="2"/>
        <v>0</v>
      </c>
    </row>
    <row r="3706" ht="16.5" customHeight="1">
      <c r="A3706" s="15" t="str">
        <f>Solieusap!A3706</f>
        <v/>
      </c>
      <c r="B3706" s="15" t="str">
        <f>Solieusap!B3706</f>
        <v/>
      </c>
      <c r="C3706" s="15" t="str">
        <f>Solieusap!C3706</f>
        <v/>
      </c>
      <c r="D3706" s="15" t="str">
        <f>Solieusap!D3706</f>
        <v/>
      </c>
      <c r="E3706" s="16">
        <f>ABS(Solieusap!E3706)</f>
        <v>0</v>
      </c>
      <c r="F3706" s="16">
        <f>ABS(Solieusap!F3706)</f>
        <v>0</v>
      </c>
      <c r="G3706" s="16">
        <f>ABS(Solieusap!G3706)</f>
        <v>0</v>
      </c>
      <c r="H3706" s="16">
        <f>ABS(Solieusap!H3706)</f>
        <v>0</v>
      </c>
      <c r="I3706" s="16">
        <f>ABS(Solieusap!I3706)</f>
        <v>0</v>
      </c>
      <c r="J3706" s="16">
        <f>ABS(Solieusap!J3706)</f>
        <v>0</v>
      </c>
      <c r="K3706" s="16">
        <f t="shared" si="1"/>
        <v>0</v>
      </c>
      <c r="L3706" s="16">
        <f t="shared" si="2"/>
        <v>0</v>
      </c>
    </row>
    <row r="3707" ht="16.5" customHeight="1">
      <c r="A3707" s="15" t="str">
        <f>Solieusap!A3707</f>
        <v/>
      </c>
      <c r="B3707" s="15" t="str">
        <f>Solieusap!B3707</f>
        <v/>
      </c>
      <c r="C3707" s="15" t="str">
        <f>Solieusap!C3707</f>
        <v/>
      </c>
      <c r="D3707" s="15" t="str">
        <f>Solieusap!D3707</f>
        <v/>
      </c>
      <c r="E3707" s="16">
        <f>ABS(Solieusap!E3707)</f>
        <v>0</v>
      </c>
      <c r="F3707" s="16">
        <f>ABS(Solieusap!F3707)</f>
        <v>0</v>
      </c>
      <c r="G3707" s="16">
        <f>ABS(Solieusap!G3707)</f>
        <v>0</v>
      </c>
      <c r="H3707" s="16">
        <f>ABS(Solieusap!H3707)</f>
        <v>0</v>
      </c>
      <c r="I3707" s="16">
        <f>ABS(Solieusap!I3707)</f>
        <v>0</v>
      </c>
      <c r="J3707" s="16">
        <f>ABS(Solieusap!J3707)</f>
        <v>0</v>
      </c>
      <c r="K3707" s="16">
        <f t="shared" si="1"/>
        <v>0</v>
      </c>
      <c r="L3707" s="16">
        <f t="shared" si="2"/>
        <v>0</v>
      </c>
    </row>
    <row r="3708" ht="16.5" customHeight="1">
      <c r="A3708" s="15" t="str">
        <f>Solieusap!A3708</f>
        <v/>
      </c>
      <c r="B3708" s="15" t="str">
        <f>Solieusap!B3708</f>
        <v/>
      </c>
      <c r="C3708" s="15" t="str">
        <f>Solieusap!C3708</f>
        <v/>
      </c>
      <c r="D3708" s="15" t="str">
        <f>Solieusap!D3708</f>
        <v/>
      </c>
      <c r="E3708" s="16">
        <f>ABS(Solieusap!E3708)</f>
        <v>0</v>
      </c>
      <c r="F3708" s="16">
        <f>ABS(Solieusap!F3708)</f>
        <v>0</v>
      </c>
      <c r="G3708" s="16">
        <f>ABS(Solieusap!G3708)</f>
        <v>0</v>
      </c>
      <c r="H3708" s="16">
        <f>ABS(Solieusap!H3708)</f>
        <v>0</v>
      </c>
      <c r="I3708" s="16">
        <f>ABS(Solieusap!I3708)</f>
        <v>0</v>
      </c>
      <c r="J3708" s="16">
        <f>ABS(Solieusap!J3708)</f>
        <v>0</v>
      </c>
      <c r="K3708" s="16">
        <f t="shared" si="1"/>
        <v>0</v>
      </c>
      <c r="L3708" s="16">
        <f t="shared" si="2"/>
        <v>0</v>
      </c>
    </row>
    <row r="3709" ht="16.5" customHeight="1">
      <c r="A3709" s="15" t="str">
        <f>Solieusap!A3709</f>
        <v/>
      </c>
      <c r="B3709" s="15" t="str">
        <f>Solieusap!B3709</f>
        <v/>
      </c>
      <c r="C3709" s="15" t="str">
        <f>Solieusap!C3709</f>
        <v/>
      </c>
      <c r="D3709" s="15" t="str">
        <f>Solieusap!D3709</f>
        <v/>
      </c>
      <c r="E3709" s="16">
        <f>ABS(Solieusap!E3709)</f>
        <v>0</v>
      </c>
      <c r="F3709" s="16">
        <f>ABS(Solieusap!F3709)</f>
        <v>0</v>
      </c>
      <c r="G3709" s="16">
        <f>ABS(Solieusap!G3709)</f>
        <v>0</v>
      </c>
      <c r="H3709" s="16">
        <f>ABS(Solieusap!H3709)</f>
        <v>0</v>
      </c>
      <c r="I3709" s="16">
        <f>ABS(Solieusap!I3709)</f>
        <v>0</v>
      </c>
      <c r="J3709" s="16">
        <f>ABS(Solieusap!J3709)</f>
        <v>0</v>
      </c>
      <c r="K3709" s="16">
        <f t="shared" si="1"/>
        <v>0</v>
      </c>
      <c r="L3709" s="16">
        <f t="shared" si="2"/>
        <v>0</v>
      </c>
    </row>
    <row r="3710" ht="16.5" customHeight="1">
      <c r="A3710" s="15" t="str">
        <f>Solieusap!A3710</f>
        <v/>
      </c>
      <c r="B3710" s="15" t="str">
        <f>Solieusap!B3710</f>
        <v/>
      </c>
      <c r="C3710" s="15" t="str">
        <f>Solieusap!C3710</f>
        <v/>
      </c>
      <c r="D3710" s="15" t="str">
        <f>Solieusap!D3710</f>
        <v/>
      </c>
      <c r="E3710" s="16">
        <f>ABS(Solieusap!E3710)</f>
        <v>0</v>
      </c>
      <c r="F3710" s="16">
        <f>ABS(Solieusap!F3710)</f>
        <v>0</v>
      </c>
      <c r="G3710" s="16">
        <f>ABS(Solieusap!G3710)</f>
        <v>0</v>
      </c>
      <c r="H3710" s="16">
        <f>ABS(Solieusap!H3710)</f>
        <v>0</v>
      </c>
      <c r="I3710" s="16">
        <f>ABS(Solieusap!I3710)</f>
        <v>0</v>
      </c>
      <c r="J3710" s="16">
        <f>ABS(Solieusap!J3710)</f>
        <v>0</v>
      </c>
      <c r="K3710" s="16">
        <f t="shared" si="1"/>
        <v>0</v>
      </c>
      <c r="L3710" s="16">
        <f t="shared" si="2"/>
        <v>0</v>
      </c>
    </row>
    <row r="3711" ht="16.5" customHeight="1">
      <c r="A3711" s="15" t="str">
        <f>Solieusap!A3711</f>
        <v/>
      </c>
      <c r="B3711" s="15" t="str">
        <f>Solieusap!B3711</f>
        <v/>
      </c>
      <c r="C3711" s="15" t="str">
        <f>Solieusap!C3711</f>
        <v/>
      </c>
      <c r="D3711" s="15" t="str">
        <f>Solieusap!D3711</f>
        <v/>
      </c>
      <c r="E3711" s="16">
        <f>ABS(Solieusap!E3711)</f>
        <v>0</v>
      </c>
      <c r="F3711" s="16">
        <f>ABS(Solieusap!F3711)</f>
        <v>0</v>
      </c>
      <c r="G3711" s="16">
        <f>ABS(Solieusap!G3711)</f>
        <v>0</v>
      </c>
      <c r="H3711" s="16">
        <f>ABS(Solieusap!H3711)</f>
        <v>0</v>
      </c>
      <c r="I3711" s="16">
        <f>ABS(Solieusap!I3711)</f>
        <v>0</v>
      </c>
      <c r="J3711" s="16">
        <f>ABS(Solieusap!J3711)</f>
        <v>0</v>
      </c>
      <c r="K3711" s="16">
        <f t="shared" si="1"/>
        <v>0</v>
      </c>
      <c r="L3711" s="16">
        <f t="shared" si="2"/>
        <v>0</v>
      </c>
    </row>
    <row r="3712" ht="16.5" customHeight="1">
      <c r="A3712" s="15" t="str">
        <f>Solieusap!A3712</f>
        <v/>
      </c>
      <c r="B3712" s="15" t="str">
        <f>Solieusap!B3712</f>
        <v/>
      </c>
      <c r="C3712" s="15" t="str">
        <f>Solieusap!C3712</f>
        <v/>
      </c>
      <c r="D3712" s="15" t="str">
        <f>Solieusap!D3712</f>
        <v/>
      </c>
      <c r="E3712" s="16">
        <f>ABS(Solieusap!E3712)</f>
        <v>0</v>
      </c>
      <c r="F3712" s="16">
        <f>ABS(Solieusap!F3712)</f>
        <v>0</v>
      </c>
      <c r="G3712" s="16">
        <f>ABS(Solieusap!G3712)</f>
        <v>0</v>
      </c>
      <c r="H3712" s="16">
        <f>ABS(Solieusap!H3712)</f>
        <v>0</v>
      </c>
      <c r="I3712" s="16">
        <f>ABS(Solieusap!I3712)</f>
        <v>0</v>
      </c>
      <c r="J3712" s="16">
        <f>ABS(Solieusap!J3712)</f>
        <v>0</v>
      </c>
      <c r="K3712" s="16">
        <f t="shared" si="1"/>
        <v>0</v>
      </c>
      <c r="L3712" s="16">
        <f t="shared" si="2"/>
        <v>0</v>
      </c>
    </row>
    <row r="3713" ht="16.5" customHeight="1">
      <c r="A3713" s="15" t="str">
        <f>Solieusap!A3713</f>
        <v/>
      </c>
      <c r="B3713" s="15" t="str">
        <f>Solieusap!B3713</f>
        <v/>
      </c>
      <c r="C3713" s="15" t="str">
        <f>Solieusap!C3713</f>
        <v/>
      </c>
      <c r="D3713" s="15" t="str">
        <f>Solieusap!D3713</f>
        <v/>
      </c>
      <c r="E3713" s="16">
        <f>ABS(Solieusap!E3713)</f>
        <v>0</v>
      </c>
      <c r="F3713" s="16">
        <f>ABS(Solieusap!F3713)</f>
        <v>0</v>
      </c>
      <c r="G3713" s="16">
        <f>ABS(Solieusap!G3713)</f>
        <v>0</v>
      </c>
      <c r="H3713" s="16">
        <f>ABS(Solieusap!H3713)</f>
        <v>0</v>
      </c>
      <c r="I3713" s="16">
        <f>ABS(Solieusap!I3713)</f>
        <v>0</v>
      </c>
      <c r="J3713" s="16">
        <f>ABS(Solieusap!J3713)</f>
        <v>0</v>
      </c>
      <c r="K3713" s="16">
        <f t="shared" si="1"/>
        <v>0</v>
      </c>
      <c r="L3713" s="16">
        <f t="shared" si="2"/>
        <v>0</v>
      </c>
    </row>
    <row r="3714" ht="16.5" customHeight="1">
      <c r="A3714" s="15" t="str">
        <f>Solieusap!A3714</f>
        <v/>
      </c>
      <c r="B3714" s="15" t="str">
        <f>Solieusap!B3714</f>
        <v/>
      </c>
      <c r="C3714" s="15" t="str">
        <f>Solieusap!C3714</f>
        <v/>
      </c>
      <c r="D3714" s="15" t="str">
        <f>Solieusap!D3714</f>
        <v/>
      </c>
      <c r="E3714" s="16">
        <f>ABS(Solieusap!E3714)</f>
        <v>0</v>
      </c>
      <c r="F3714" s="16">
        <f>ABS(Solieusap!F3714)</f>
        <v>0</v>
      </c>
      <c r="G3714" s="16">
        <f>ABS(Solieusap!G3714)</f>
        <v>0</v>
      </c>
      <c r="H3714" s="16">
        <f>ABS(Solieusap!H3714)</f>
        <v>0</v>
      </c>
      <c r="I3714" s="16">
        <f>ABS(Solieusap!I3714)</f>
        <v>0</v>
      </c>
      <c r="J3714" s="16">
        <f>ABS(Solieusap!J3714)</f>
        <v>0</v>
      </c>
      <c r="K3714" s="16">
        <f t="shared" si="1"/>
        <v>0</v>
      </c>
      <c r="L3714" s="16">
        <f t="shared" si="2"/>
        <v>0</v>
      </c>
    </row>
    <row r="3715" ht="16.5" customHeight="1">
      <c r="A3715" s="15" t="str">
        <f>Solieusap!A3715</f>
        <v/>
      </c>
      <c r="B3715" s="15" t="str">
        <f>Solieusap!B3715</f>
        <v/>
      </c>
      <c r="C3715" s="15" t="str">
        <f>Solieusap!C3715</f>
        <v/>
      </c>
      <c r="D3715" s="15" t="str">
        <f>Solieusap!D3715</f>
        <v/>
      </c>
      <c r="E3715" s="16">
        <f>ABS(Solieusap!E3715)</f>
        <v>0</v>
      </c>
      <c r="F3715" s="16">
        <f>ABS(Solieusap!F3715)</f>
        <v>0</v>
      </c>
      <c r="G3715" s="16">
        <f>ABS(Solieusap!G3715)</f>
        <v>0</v>
      </c>
      <c r="H3715" s="16">
        <f>ABS(Solieusap!H3715)</f>
        <v>0</v>
      </c>
      <c r="I3715" s="16">
        <f>ABS(Solieusap!I3715)</f>
        <v>0</v>
      </c>
      <c r="J3715" s="16">
        <f>ABS(Solieusap!J3715)</f>
        <v>0</v>
      </c>
      <c r="K3715" s="16">
        <f t="shared" si="1"/>
        <v>0</v>
      </c>
      <c r="L3715" s="16">
        <f t="shared" si="2"/>
        <v>0</v>
      </c>
    </row>
    <row r="3716" ht="16.5" customHeight="1">
      <c r="A3716" s="15" t="str">
        <f>Solieusap!A3716</f>
        <v/>
      </c>
      <c r="B3716" s="15" t="str">
        <f>Solieusap!B3716</f>
        <v/>
      </c>
      <c r="C3716" s="15" t="str">
        <f>Solieusap!C3716</f>
        <v/>
      </c>
      <c r="D3716" s="15" t="str">
        <f>Solieusap!D3716</f>
        <v/>
      </c>
      <c r="E3716" s="16">
        <f>ABS(Solieusap!E3716)</f>
        <v>0</v>
      </c>
      <c r="F3716" s="16">
        <f>ABS(Solieusap!F3716)</f>
        <v>0</v>
      </c>
      <c r="G3716" s="16">
        <f>ABS(Solieusap!G3716)</f>
        <v>0</v>
      </c>
      <c r="H3716" s="16">
        <f>ABS(Solieusap!H3716)</f>
        <v>0</v>
      </c>
      <c r="I3716" s="16">
        <f>ABS(Solieusap!I3716)</f>
        <v>0</v>
      </c>
      <c r="J3716" s="16">
        <f>ABS(Solieusap!J3716)</f>
        <v>0</v>
      </c>
      <c r="K3716" s="16">
        <f t="shared" si="1"/>
        <v>0</v>
      </c>
      <c r="L3716" s="16">
        <f t="shared" si="2"/>
        <v>0</v>
      </c>
    </row>
    <row r="3717" ht="16.5" customHeight="1">
      <c r="A3717" s="15" t="str">
        <f>Solieusap!A3717</f>
        <v/>
      </c>
      <c r="B3717" s="15" t="str">
        <f>Solieusap!B3717</f>
        <v/>
      </c>
      <c r="C3717" s="15" t="str">
        <f>Solieusap!C3717</f>
        <v/>
      </c>
      <c r="D3717" s="15" t="str">
        <f>Solieusap!D3717</f>
        <v/>
      </c>
      <c r="E3717" s="16">
        <f>ABS(Solieusap!E3717)</f>
        <v>0</v>
      </c>
      <c r="F3717" s="16">
        <f>ABS(Solieusap!F3717)</f>
        <v>0</v>
      </c>
      <c r="G3717" s="16">
        <f>ABS(Solieusap!G3717)</f>
        <v>0</v>
      </c>
      <c r="H3717" s="16">
        <f>ABS(Solieusap!H3717)</f>
        <v>0</v>
      </c>
      <c r="I3717" s="16">
        <f>ABS(Solieusap!I3717)</f>
        <v>0</v>
      </c>
      <c r="J3717" s="16">
        <f>ABS(Solieusap!J3717)</f>
        <v>0</v>
      </c>
      <c r="K3717" s="16">
        <f t="shared" si="1"/>
        <v>0</v>
      </c>
      <c r="L3717" s="16">
        <f t="shared" si="2"/>
        <v>0</v>
      </c>
    </row>
    <row r="3718" ht="16.5" customHeight="1">
      <c r="A3718" s="15" t="str">
        <f>Solieusap!A3718</f>
        <v/>
      </c>
      <c r="B3718" s="15" t="str">
        <f>Solieusap!B3718</f>
        <v/>
      </c>
      <c r="C3718" s="15" t="str">
        <f>Solieusap!C3718</f>
        <v/>
      </c>
      <c r="D3718" s="15" t="str">
        <f>Solieusap!D3718</f>
        <v/>
      </c>
      <c r="E3718" s="16">
        <f>ABS(Solieusap!E3718)</f>
        <v>0</v>
      </c>
      <c r="F3718" s="16">
        <f>ABS(Solieusap!F3718)</f>
        <v>0</v>
      </c>
      <c r="G3718" s="16">
        <f>ABS(Solieusap!G3718)</f>
        <v>0</v>
      </c>
      <c r="H3718" s="16">
        <f>ABS(Solieusap!H3718)</f>
        <v>0</v>
      </c>
      <c r="I3718" s="16">
        <f>ABS(Solieusap!I3718)</f>
        <v>0</v>
      </c>
      <c r="J3718" s="16">
        <f>ABS(Solieusap!J3718)</f>
        <v>0</v>
      </c>
      <c r="K3718" s="16">
        <f t="shared" si="1"/>
        <v>0</v>
      </c>
      <c r="L3718" s="16">
        <f t="shared" si="2"/>
        <v>0</v>
      </c>
    </row>
    <row r="3719" ht="16.5" customHeight="1">
      <c r="A3719" s="15" t="str">
        <f>Solieusap!A3719</f>
        <v/>
      </c>
      <c r="B3719" s="15" t="str">
        <f>Solieusap!B3719</f>
        <v/>
      </c>
      <c r="C3719" s="15" t="str">
        <f>Solieusap!C3719</f>
        <v/>
      </c>
      <c r="D3719" s="15" t="str">
        <f>Solieusap!D3719</f>
        <v/>
      </c>
      <c r="E3719" s="16">
        <f>ABS(Solieusap!E3719)</f>
        <v>0</v>
      </c>
      <c r="F3719" s="16">
        <f>ABS(Solieusap!F3719)</f>
        <v>0</v>
      </c>
      <c r="G3719" s="16">
        <f>ABS(Solieusap!G3719)</f>
        <v>0</v>
      </c>
      <c r="H3719" s="16">
        <f>ABS(Solieusap!H3719)</f>
        <v>0</v>
      </c>
      <c r="I3719" s="16">
        <f>ABS(Solieusap!I3719)</f>
        <v>0</v>
      </c>
      <c r="J3719" s="16">
        <f>ABS(Solieusap!J3719)</f>
        <v>0</v>
      </c>
      <c r="K3719" s="16">
        <f t="shared" si="1"/>
        <v>0</v>
      </c>
      <c r="L3719" s="16">
        <f t="shared" si="2"/>
        <v>0</v>
      </c>
    </row>
    <row r="3720" ht="16.5" customHeight="1">
      <c r="A3720" s="15" t="str">
        <f>Solieusap!A3720</f>
        <v/>
      </c>
      <c r="B3720" s="15" t="str">
        <f>Solieusap!B3720</f>
        <v/>
      </c>
      <c r="C3720" s="15" t="str">
        <f>Solieusap!C3720</f>
        <v/>
      </c>
      <c r="D3720" s="15" t="str">
        <f>Solieusap!D3720</f>
        <v/>
      </c>
      <c r="E3720" s="16">
        <f>ABS(Solieusap!E3720)</f>
        <v>0</v>
      </c>
      <c r="F3720" s="16">
        <f>ABS(Solieusap!F3720)</f>
        <v>0</v>
      </c>
      <c r="G3720" s="16">
        <f>ABS(Solieusap!G3720)</f>
        <v>0</v>
      </c>
      <c r="H3720" s="16">
        <f>ABS(Solieusap!H3720)</f>
        <v>0</v>
      </c>
      <c r="I3720" s="16">
        <f>ABS(Solieusap!I3720)</f>
        <v>0</v>
      </c>
      <c r="J3720" s="16">
        <f>ABS(Solieusap!J3720)</f>
        <v>0</v>
      </c>
      <c r="K3720" s="16">
        <f t="shared" si="1"/>
        <v>0</v>
      </c>
      <c r="L3720" s="16">
        <f t="shared" si="2"/>
        <v>0</v>
      </c>
    </row>
    <row r="3721" ht="16.5" customHeight="1">
      <c r="A3721" s="15" t="str">
        <f>Solieusap!A3721</f>
        <v/>
      </c>
      <c r="B3721" s="15" t="str">
        <f>Solieusap!B3721</f>
        <v/>
      </c>
      <c r="C3721" s="15" t="str">
        <f>Solieusap!C3721</f>
        <v/>
      </c>
      <c r="D3721" s="15" t="str">
        <f>Solieusap!D3721</f>
        <v/>
      </c>
      <c r="E3721" s="16">
        <f>ABS(Solieusap!E3721)</f>
        <v>0</v>
      </c>
      <c r="F3721" s="16">
        <f>ABS(Solieusap!F3721)</f>
        <v>0</v>
      </c>
      <c r="G3721" s="16">
        <f>ABS(Solieusap!G3721)</f>
        <v>0</v>
      </c>
      <c r="H3721" s="16">
        <f>ABS(Solieusap!H3721)</f>
        <v>0</v>
      </c>
      <c r="I3721" s="16">
        <f>ABS(Solieusap!I3721)</f>
        <v>0</v>
      </c>
      <c r="J3721" s="16">
        <f>ABS(Solieusap!J3721)</f>
        <v>0</v>
      </c>
      <c r="K3721" s="16">
        <f t="shared" si="1"/>
        <v>0</v>
      </c>
      <c r="L3721" s="16">
        <f t="shared" si="2"/>
        <v>0</v>
      </c>
    </row>
    <row r="3722" ht="16.5" customHeight="1">
      <c r="A3722" s="15" t="str">
        <f>Solieusap!A3722</f>
        <v/>
      </c>
      <c r="B3722" s="15" t="str">
        <f>Solieusap!B3722</f>
        <v/>
      </c>
      <c r="C3722" s="15" t="str">
        <f>Solieusap!C3722</f>
        <v/>
      </c>
      <c r="D3722" s="15" t="str">
        <f>Solieusap!D3722</f>
        <v/>
      </c>
      <c r="E3722" s="16">
        <f>ABS(Solieusap!E3722)</f>
        <v>0</v>
      </c>
      <c r="F3722" s="16">
        <f>ABS(Solieusap!F3722)</f>
        <v>0</v>
      </c>
      <c r="G3722" s="16">
        <f>ABS(Solieusap!G3722)</f>
        <v>0</v>
      </c>
      <c r="H3722" s="16">
        <f>ABS(Solieusap!H3722)</f>
        <v>0</v>
      </c>
      <c r="I3722" s="16">
        <f>ABS(Solieusap!I3722)</f>
        <v>0</v>
      </c>
      <c r="J3722" s="16">
        <f>ABS(Solieusap!J3722)</f>
        <v>0</v>
      </c>
      <c r="K3722" s="16">
        <f t="shared" si="1"/>
        <v>0</v>
      </c>
      <c r="L3722" s="16">
        <f t="shared" si="2"/>
        <v>0</v>
      </c>
    </row>
    <row r="3723" ht="16.5" customHeight="1">
      <c r="A3723" s="15" t="str">
        <f>Solieusap!A3723</f>
        <v/>
      </c>
      <c r="B3723" s="15" t="str">
        <f>Solieusap!B3723</f>
        <v/>
      </c>
      <c r="C3723" s="15" t="str">
        <f>Solieusap!C3723</f>
        <v/>
      </c>
      <c r="D3723" s="15" t="str">
        <f>Solieusap!D3723</f>
        <v/>
      </c>
      <c r="E3723" s="16">
        <f>ABS(Solieusap!E3723)</f>
        <v>0</v>
      </c>
      <c r="F3723" s="16">
        <f>ABS(Solieusap!F3723)</f>
        <v>0</v>
      </c>
      <c r="G3723" s="16">
        <f>ABS(Solieusap!G3723)</f>
        <v>0</v>
      </c>
      <c r="H3723" s="16">
        <f>ABS(Solieusap!H3723)</f>
        <v>0</v>
      </c>
      <c r="I3723" s="16">
        <f>ABS(Solieusap!I3723)</f>
        <v>0</v>
      </c>
      <c r="J3723" s="16">
        <f>ABS(Solieusap!J3723)</f>
        <v>0</v>
      </c>
      <c r="K3723" s="16">
        <f t="shared" si="1"/>
        <v>0</v>
      </c>
      <c r="L3723" s="16">
        <f t="shared" si="2"/>
        <v>0</v>
      </c>
    </row>
    <row r="3724" ht="16.5" customHeight="1">
      <c r="A3724" s="15" t="str">
        <f>Solieusap!A3724</f>
        <v/>
      </c>
      <c r="B3724" s="15" t="str">
        <f>Solieusap!B3724</f>
        <v/>
      </c>
      <c r="C3724" s="15" t="str">
        <f>Solieusap!C3724</f>
        <v/>
      </c>
      <c r="D3724" s="15" t="str">
        <f>Solieusap!D3724</f>
        <v/>
      </c>
      <c r="E3724" s="16">
        <f>ABS(Solieusap!E3724)</f>
        <v>0</v>
      </c>
      <c r="F3724" s="16">
        <f>ABS(Solieusap!F3724)</f>
        <v>0</v>
      </c>
      <c r="G3724" s="16">
        <f>ABS(Solieusap!G3724)</f>
        <v>0</v>
      </c>
      <c r="H3724" s="16">
        <f>ABS(Solieusap!H3724)</f>
        <v>0</v>
      </c>
      <c r="I3724" s="16">
        <f>ABS(Solieusap!I3724)</f>
        <v>0</v>
      </c>
      <c r="J3724" s="16">
        <f>ABS(Solieusap!J3724)</f>
        <v>0</v>
      </c>
      <c r="K3724" s="16">
        <f t="shared" si="1"/>
        <v>0</v>
      </c>
      <c r="L3724" s="16">
        <f t="shared" si="2"/>
        <v>0</v>
      </c>
    </row>
    <row r="3725" ht="16.5" customHeight="1">
      <c r="A3725" s="15" t="str">
        <f>Solieusap!A3725</f>
        <v/>
      </c>
      <c r="B3725" s="15" t="str">
        <f>Solieusap!B3725</f>
        <v/>
      </c>
      <c r="C3725" s="15" t="str">
        <f>Solieusap!C3725</f>
        <v/>
      </c>
      <c r="D3725" s="15" t="str">
        <f>Solieusap!D3725</f>
        <v/>
      </c>
      <c r="E3725" s="16">
        <f>ABS(Solieusap!E3725)</f>
        <v>0</v>
      </c>
      <c r="F3725" s="16">
        <f>ABS(Solieusap!F3725)</f>
        <v>0</v>
      </c>
      <c r="G3725" s="16">
        <f>ABS(Solieusap!G3725)</f>
        <v>0</v>
      </c>
      <c r="H3725" s="16">
        <f>ABS(Solieusap!H3725)</f>
        <v>0</v>
      </c>
      <c r="I3725" s="16">
        <f>ABS(Solieusap!I3725)</f>
        <v>0</v>
      </c>
      <c r="J3725" s="16">
        <f>ABS(Solieusap!J3725)</f>
        <v>0</v>
      </c>
      <c r="K3725" s="16">
        <f t="shared" si="1"/>
        <v>0</v>
      </c>
      <c r="L3725" s="16">
        <f t="shared" si="2"/>
        <v>0</v>
      </c>
    </row>
    <row r="3726" ht="16.5" customHeight="1">
      <c r="A3726" s="15" t="str">
        <f>Solieusap!A3726</f>
        <v/>
      </c>
      <c r="B3726" s="15" t="str">
        <f>Solieusap!B3726</f>
        <v/>
      </c>
      <c r="C3726" s="15" t="str">
        <f>Solieusap!C3726</f>
        <v/>
      </c>
      <c r="D3726" s="15" t="str">
        <f>Solieusap!D3726</f>
        <v/>
      </c>
      <c r="E3726" s="16">
        <f>ABS(Solieusap!E3726)</f>
        <v>0</v>
      </c>
      <c r="F3726" s="16">
        <f>ABS(Solieusap!F3726)</f>
        <v>0</v>
      </c>
      <c r="G3726" s="16">
        <f>ABS(Solieusap!G3726)</f>
        <v>0</v>
      </c>
      <c r="H3726" s="16">
        <f>ABS(Solieusap!H3726)</f>
        <v>0</v>
      </c>
      <c r="I3726" s="16">
        <f>ABS(Solieusap!I3726)</f>
        <v>0</v>
      </c>
      <c r="J3726" s="16">
        <f>ABS(Solieusap!J3726)</f>
        <v>0</v>
      </c>
      <c r="K3726" s="16">
        <f t="shared" si="1"/>
        <v>0</v>
      </c>
      <c r="L3726" s="16">
        <f t="shared" si="2"/>
        <v>0</v>
      </c>
    </row>
    <row r="3727" ht="16.5" customHeight="1">
      <c r="A3727" s="15" t="str">
        <f>Solieusap!A3727</f>
        <v/>
      </c>
      <c r="B3727" s="15" t="str">
        <f>Solieusap!B3727</f>
        <v/>
      </c>
      <c r="C3727" s="15" t="str">
        <f>Solieusap!C3727</f>
        <v/>
      </c>
      <c r="D3727" s="15" t="str">
        <f>Solieusap!D3727</f>
        <v/>
      </c>
      <c r="E3727" s="16">
        <f>ABS(Solieusap!E3727)</f>
        <v>0</v>
      </c>
      <c r="F3727" s="16">
        <f>ABS(Solieusap!F3727)</f>
        <v>0</v>
      </c>
      <c r="G3727" s="16">
        <f>ABS(Solieusap!G3727)</f>
        <v>0</v>
      </c>
      <c r="H3727" s="16">
        <f>ABS(Solieusap!H3727)</f>
        <v>0</v>
      </c>
      <c r="I3727" s="16">
        <f>ABS(Solieusap!I3727)</f>
        <v>0</v>
      </c>
      <c r="J3727" s="16">
        <f>ABS(Solieusap!J3727)</f>
        <v>0</v>
      </c>
      <c r="K3727" s="16">
        <f t="shared" si="1"/>
        <v>0</v>
      </c>
      <c r="L3727" s="16">
        <f t="shared" si="2"/>
        <v>0</v>
      </c>
    </row>
    <row r="3728" ht="16.5" customHeight="1">
      <c r="A3728" s="15" t="str">
        <f>Solieusap!A3728</f>
        <v/>
      </c>
      <c r="B3728" s="15" t="str">
        <f>Solieusap!B3728</f>
        <v/>
      </c>
      <c r="C3728" s="15" t="str">
        <f>Solieusap!C3728</f>
        <v/>
      </c>
      <c r="D3728" s="15" t="str">
        <f>Solieusap!D3728</f>
        <v/>
      </c>
      <c r="E3728" s="16">
        <f>ABS(Solieusap!E3728)</f>
        <v>0</v>
      </c>
      <c r="F3728" s="16">
        <f>ABS(Solieusap!F3728)</f>
        <v>0</v>
      </c>
      <c r="G3728" s="16">
        <f>ABS(Solieusap!G3728)</f>
        <v>0</v>
      </c>
      <c r="H3728" s="16">
        <f>ABS(Solieusap!H3728)</f>
        <v>0</v>
      </c>
      <c r="I3728" s="16">
        <f>ABS(Solieusap!I3728)</f>
        <v>0</v>
      </c>
      <c r="J3728" s="16">
        <f>ABS(Solieusap!J3728)</f>
        <v>0</v>
      </c>
      <c r="K3728" s="16">
        <f t="shared" si="1"/>
        <v>0</v>
      </c>
      <c r="L3728" s="16">
        <f t="shared" si="2"/>
        <v>0</v>
      </c>
    </row>
    <row r="3729" ht="16.5" customHeight="1">
      <c r="A3729" s="15" t="str">
        <f>Solieusap!A3729</f>
        <v/>
      </c>
      <c r="B3729" s="15" t="str">
        <f>Solieusap!B3729</f>
        <v/>
      </c>
      <c r="C3729" s="15" t="str">
        <f>Solieusap!C3729</f>
        <v/>
      </c>
      <c r="D3729" s="15" t="str">
        <f>Solieusap!D3729</f>
        <v/>
      </c>
      <c r="E3729" s="16">
        <f>ABS(Solieusap!E3729)</f>
        <v>0</v>
      </c>
      <c r="F3729" s="16">
        <f>ABS(Solieusap!F3729)</f>
        <v>0</v>
      </c>
      <c r="G3729" s="16">
        <f>ABS(Solieusap!G3729)</f>
        <v>0</v>
      </c>
      <c r="H3729" s="16">
        <f>ABS(Solieusap!H3729)</f>
        <v>0</v>
      </c>
      <c r="I3729" s="16">
        <f>ABS(Solieusap!I3729)</f>
        <v>0</v>
      </c>
      <c r="J3729" s="16">
        <f>ABS(Solieusap!J3729)</f>
        <v>0</v>
      </c>
      <c r="K3729" s="16">
        <f t="shared" si="1"/>
        <v>0</v>
      </c>
      <c r="L3729" s="16">
        <f t="shared" si="2"/>
        <v>0</v>
      </c>
    </row>
    <row r="3730" ht="16.5" customHeight="1">
      <c r="A3730" s="15" t="str">
        <f>Solieusap!A3730</f>
        <v/>
      </c>
      <c r="B3730" s="15" t="str">
        <f>Solieusap!B3730</f>
        <v/>
      </c>
      <c r="C3730" s="15" t="str">
        <f>Solieusap!C3730</f>
        <v/>
      </c>
      <c r="D3730" s="15" t="str">
        <f>Solieusap!D3730</f>
        <v/>
      </c>
      <c r="E3730" s="16">
        <f>ABS(Solieusap!E3730)</f>
        <v>0</v>
      </c>
      <c r="F3730" s="16">
        <f>ABS(Solieusap!F3730)</f>
        <v>0</v>
      </c>
      <c r="G3730" s="16">
        <f>ABS(Solieusap!G3730)</f>
        <v>0</v>
      </c>
      <c r="H3730" s="16">
        <f>ABS(Solieusap!H3730)</f>
        <v>0</v>
      </c>
      <c r="I3730" s="16">
        <f>ABS(Solieusap!I3730)</f>
        <v>0</v>
      </c>
      <c r="J3730" s="16">
        <f>ABS(Solieusap!J3730)</f>
        <v>0</v>
      </c>
      <c r="K3730" s="16">
        <f t="shared" si="1"/>
        <v>0</v>
      </c>
      <c r="L3730" s="16">
        <f t="shared" si="2"/>
        <v>0</v>
      </c>
    </row>
    <row r="3731" ht="16.5" customHeight="1">
      <c r="A3731" s="15" t="str">
        <f>Solieusap!A3731</f>
        <v/>
      </c>
      <c r="B3731" s="15" t="str">
        <f>Solieusap!B3731</f>
        <v/>
      </c>
      <c r="C3731" s="15" t="str">
        <f>Solieusap!C3731</f>
        <v/>
      </c>
      <c r="D3731" s="15" t="str">
        <f>Solieusap!D3731</f>
        <v/>
      </c>
      <c r="E3731" s="16">
        <f>ABS(Solieusap!E3731)</f>
        <v>0</v>
      </c>
      <c r="F3731" s="16">
        <f>ABS(Solieusap!F3731)</f>
        <v>0</v>
      </c>
      <c r="G3731" s="16">
        <f>ABS(Solieusap!G3731)</f>
        <v>0</v>
      </c>
      <c r="H3731" s="16">
        <f>ABS(Solieusap!H3731)</f>
        <v>0</v>
      </c>
      <c r="I3731" s="16">
        <f>ABS(Solieusap!I3731)</f>
        <v>0</v>
      </c>
      <c r="J3731" s="16">
        <f>ABS(Solieusap!J3731)</f>
        <v>0</v>
      </c>
      <c r="K3731" s="16">
        <f t="shared" si="1"/>
        <v>0</v>
      </c>
      <c r="L3731" s="16">
        <f t="shared" si="2"/>
        <v>0</v>
      </c>
    </row>
    <row r="3732" ht="16.5" customHeight="1">
      <c r="A3732" s="15" t="str">
        <f>Solieusap!A3732</f>
        <v/>
      </c>
      <c r="B3732" s="15" t="str">
        <f>Solieusap!B3732</f>
        <v/>
      </c>
      <c r="C3732" s="15" t="str">
        <f>Solieusap!C3732</f>
        <v/>
      </c>
      <c r="D3732" s="15" t="str">
        <f>Solieusap!D3732</f>
        <v/>
      </c>
      <c r="E3732" s="16">
        <f>ABS(Solieusap!E3732)</f>
        <v>0</v>
      </c>
      <c r="F3732" s="16">
        <f>ABS(Solieusap!F3732)</f>
        <v>0</v>
      </c>
      <c r="G3732" s="16">
        <f>ABS(Solieusap!G3732)</f>
        <v>0</v>
      </c>
      <c r="H3732" s="16">
        <f>ABS(Solieusap!H3732)</f>
        <v>0</v>
      </c>
      <c r="I3732" s="16">
        <f>ABS(Solieusap!I3732)</f>
        <v>0</v>
      </c>
      <c r="J3732" s="16">
        <f>ABS(Solieusap!J3732)</f>
        <v>0</v>
      </c>
      <c r="K3732" s="16">
        <f t="shared" si="1"/>
        <v>0</v>
      </c>
      <c r="L3732" s="16">
        <f t="shared" si="2"/>
        <v>0</v>
      </c>
    </row>
    <row r="3733" ht="16.5" customHeight="1">
      <c r="A3733" s="15" t="str">
        <f>Solieusap!A3733</f>
        <v/>
      </c>
      <c r="B3733" s="15" t="str">
        <f>Solieusap!B3733</f>
        <v/>
      </c>
      <c r="C3733" s="15" t="str">
        <f>Solieusap!C3733</f>
        <v/>
      </c>
      <c r="D3733" s="15" t="str">
        <f>Solieusap!D3733</f>
        <v/>
      </c>
      <c r="E3733" s="16">
        <f>ABS(Solieusap!E3733)</f>
        <v>0</v>
      </c>
      <c r="F3733" s="16">
        <f>ABS(Solieusap!F3733)</f>
        <v>0</v>
      </c>
      <c r="G3733" s="16">
        <f>ABS(Solieusap!G3733)</f>
        <v>0</v>
      </c>
      <c r="H3733" s="16">
        <f>ABS(Solieusap!H3733)</f>
        <v>0</v>
      </c>
      <c r="I3733" s="16">
        <f>ABS(Solieusap!I3733)</f>
        <v>0</v>
      </c>
      <c r="J3733" s="16">
        <f>ABS(Solieusap!J3733)</f>
        <v>0</v>
      </c>
      <c r="K3733" s="16">
        <f t="shared" si="1"/>
        <v>0</v>
      </c>
      <c r="L3733" s="16">
        <f t="shared" si="2"/>
        <v>0</v>
      </c>
    </row>
    <row r="3734" ht="16.5" customHeight="1">
      <c r="A3734" s="15" t="str">
        <f>Solieusap!A3734</f>
        <v/>
      </c>
      <c r="B3734" s="15" t="str">
        <f>Solieusap!B3734</f>
        <v/>
      </c>
      <c r="C3734" s="15" t="str">
        <f>Solieusap!C3734</f>
        <v/>
      </c>
      <c r="D3734" s="15" t="str">
        <f>Solieusap!D3734</f>
        <v/>
      </c>
      <c r="E3734" s="16">
        <f>ABS(Solieusap!E3734)</f>
        <v>0</v>
      </c>
      <c r="F3734" s="16">
        <f>ABS(Solieusap!F3734)</f>
        <v>0</v>
      </c>
      <c r="G3734" s="16">
        <f>ABS(Solieusap!G3734)</f>
        <v>0</v>
      </c>
      <c r="H3734" s="16">
        <f>ABS(Solieusap!H3734)</f>
        <v>0</v>
      </c>
      <c r="I3734" s="16">
        <f>ABS(Solieusap!I3734)</f>
        <v>0</v>
      </c>
      <c r="J3734" s="16">
        <f>ABS(Solieusap!J3734)</f>
        <v>0</v>
      </c>
      <c r="K3734" s="16">
        <f t="shared" si="1"/>
        <v>0</v>
      </c>
      <c r="L3734" s="16">
        <f t="shared" si="2"/>
        <v>0</v>
      </c>
    </row>
    <row r="3735" ht="16.5" customHeight="1">
      <c r="A3735" s="15" t="str">
        <f>Solieusap!A3735</f>
        <v/>
      </c>
      <c r="B3735" s="15" t="str">
        <f>Solieusap!B3735</f>
        <v/>
      </c>
      <c r="C3735" s="15" t="str">
        <f>Solieusap!C3735</f>
        <v/>
      </c>
      <c r="D3735" s="15" t="str">
        <f>Solieusap!D3735</f>
        <v/>
      </c>
      <c r="E3735" s="16">
        <f>ABS(Solieusap!E3735)</f>
        <v>0</v>
      </c>
      <c r="F3735" s="16">
        <f>ABS(Solieusap!F3735)</f>
        <v>0</v>
      </c>
      <c r="G3735" s="16">
        <f>ABS(Solieusap!G3735)</f>
        <v>0</v>
      </c>
      <c r="H3735" s="16">
        <f>ABS(Solieusap!H3735)</f>
        <v>0</v>
      </c>
      <c r="I3735" s="16">
        <f>ABS(Solieusap!I3735)</f>
        <v>0</v>
      </c>
      <c r="J3735" s="16">
        <f>ABS(Solieusap!J3735)</f>
        <v>0</v>
      </c>
      <c r="K3735" s="16">
        <f t="shared" si="1"/>
        <v>0</v>
      </c>
      <c r="L3735" s="16">
        <f t="shared" si="2"/>
        <v>0</v>
      </c>
    </row>
    <row r="3736" ht="16.5" customHeight="1">
      <c r="A3736" s="15" t="str">
        <f>Solieusap!A3736</f>
        <v/>
      </c>
      <c r="B3736" s="15" t="str">
        <f>Solieusap!B3736</f>
        <v/>
      </c>
      <c r="C3736" s="15" t="str">
        <f>Solieusap!C3736</f>
        <v/>
      </c>
      <c r="D3736" s="15" t="str">
        <f>Solieusap!D3736</f>
        <v/>
      </c>
      <c r="E3736" s="16">
        <f>ABS(Solieusap!E3736)</f>
        <v>0</v>
      </c>
      <c r="F3736" s="16">
        <f>ABS(Solieusap!F3736)</f>
        <v>0</v>
      </c>
      <c r="G3736" s="16">
        <f>ABS(Solieusap!G3736)</f>
        <v>0</v>
      </c>
      <c r="H3736" s="16">
        <f>ABS(Solieusap!H3736)</f>
        <v>0</v>
      </c>
      <c r="I3736" s="16">
        <f>ABS(Solieusap!I3736)</f>
        <v>0</v>
      </c>
      <c r="J3736" s="16">
        <f>ABS(Solieusap!J3736)</f>
        <v>0</v>
      </c>
      <c r="K3736" s="16">
        <f t="shared" si="1"/>
        <v>0</v>
      </c>
      <c r="L3736" s="16">
        <f t="shared" si="2"/>
        <v>0</v>
      </c>
    </row>
    <row r="3737" ht="16.5" customHeight="1">
      <c r="A3737" s="15" t="str">
        <f>Solieusap!A3737</f>
        <v/>
      </c>
      <c r="B3737" s="15" t="str">
        <f>Solieusap!B3737</f>
        <v/>
      </c>
      <c r="C3737" s="15" t="str">
        <f>Solieusap!C3737</f>
        <v/>
      </c>
      <c r="D3737" s="15" t="str">
        <f>Solieusap!D3737</f>
        <v/>
      </c>
      <c r="E3737" s="16">
        <f>ABS(Solieusap!E3737)</f>
        <v>0</v>
      </c>
      <c r="F3737" s="16">
        <f>ABS(Solieusap!F3737)</f>
        <v>0</v>
      </c>
      <c r="G3737" s="16">
        <f>ABS(Solieusap!G3737)</f>
        <v>0</v>
      </c>
      <c r="H3737" s="16">
        <f>ABS(Solieusap!H3737)</f>
        <v>0</v>
      </c>
      <c r="I3737" s="16">
        <f>ABS(Solieusap!I3737)</f>
        <v>0</v>
      </c>
      <c r="J3737" s="16">
        <f>ABS(Solieusap!J3737)</f>
        <v>0</v>
      </c>
      <c r="K3737" s="16">
        <f t="shared" si="1"/>
        <v>0</v>
      </c>
      <c r="L3737" s="16">
        <f t="shared" si="2"/>
        <v>0</v>
      </c>
    </row>
    <row r="3738" ht="16.5" customHeight="1">
      <c r="A3738" s="15" t="str">
        <f>Solieusap!A3738</f>
        <v/>
      </c>
      <c r="B3738" s="15" t="str">
        <f>Solieusap!B3738</f>
        <v/>
      </c>
      <c r="C3738" s="15" t="str">
        <f>Solieusap!C3738</f>
        <v/>
      </c>
      <c r="D3738" s="15" t="str">
        <f>Solieusap!D3738</f>
        <v/>
      </c>
      <c r="E3738" s="16">
        <f>ABS(Solieusap!E3738)</f>
        <v>0</v>
      </c>
      <c r="F3738" s="16">
        <f>ABS(Solieusap!F3738)</f>
        <v>0</v>
      </c>
      <c r="G3738" s="16">
        <f>ABS(Solieusap!G3738)</f>
        <v>0</v>
      </c>
      <c r="H3738" s="16">
        <f>ABS(Solieusap!H3738)</f>
        <v>0</v>
      </c>
      <c r="I3738" s="16">
        <f>ABS(Solieusap!I3738)</f>
        <v>0</v>
      </c>
      <c r="J3738" s="16">
        <f>ABS(Solieusap!J3738)</f>
        <v>0</v>
      </c>
      <c r="K3738" s="16">
        <f t="shared" si="1"/>
        <v>0</v>
      </c>
      <c r="L3738" s="16">
        <f t="shared" si="2"/>
        <v>0</v>
      </c>
    </row>
    <row r="3739" ht="16.5" customHeight="1">
      <c r="A3739" s="15" t="str">
        <f>Solieusap!A3739</f>
        <v/>
      </c>
      <c r="B3739" s="15" t="str">
        <f>Solieusap!B3739</f>
        <v/>
      </c>
      <c r="C3739" s="15" t="str">
        <f>Solieusap!C3739</f>
        <v/>
      </c>
      <c r="D3739" s="15" t="str">
        <f>Solieusap!D3739</f>
        <v/>
      </c>
      <c r="E3739" s="16">
        <f>ABS(Solieusap!E3739)</f>
        <v>0</v>
      </c>
      <c r="F3739" s="16">
        <f>ABS(Solieusap!F3739)</f>
        <v>0</v>
      </c>
      <c r="G3739" s="16">
        <f>ABS(Solieusap!G3739)</f>
        <v>0</v>
      </c>
      <c r="H3739" s="16">
        <f>ABS(Solieusap!H3739)</f>
        <v>0</v>
      </c>
      <c r="I3739" s="16">
        <f>ABS(Solieusap!I3739)</f>
        <v>0</v>
      </c>
      <c r="J3739" s="16">
        <f>ABS(Solieusap!J3739)</f>
        <v>0</v>
      </c>
      <c r="K3739" s="16">
        <f t="shared" si="1"/>
        <v>0</v>
      </c>
      <c r="L3739" s="16">
        <f t="shared" si="2"/>
        <v>0</v>
      </c>
    </row>
    <row r="3740" ht="16.5" customHeight="1">
      <c r="A3740" s="15" t="str">
        <f>Solieusap!A3740</f>
        <v/>
      </c>
      <c r="B3740" s="15" t="str">
        <f>Solieusap!B3740</f>
        <v/>
      </c>
      <c r="C3740" s="15" t="str">
        <f>Solieusap!C3740</f>
        <v/>
      </c>
      <c r="D3740" s="15" t="str">
        <f>Solieusap!D3740</f>
        <v/>
      </c>
      <c r="E3740" s="16">
        <f>ABS(Solieusap!E3740)</f>
        <v>0</v>
      </c>
      <c r="F3740" s="16">
        <f>ABS(Solieusap!F3740)</f>
        <v>0</v>
      </c>
      <c r="G3740" s="16">
        <f>ABS(Solieusap!G3740)</f>
        <v>0</v>
      </c>
      <c r="H3740" s="16">
        <f>ABS(Solieusap!H3740)</f>
        <v>0</v>
      </c>
      <c r="I3740" s="16">
        <f>ABS(Solieusap!I3740)</f>
        <v>0</v>
      </c>
      <c r="J3740" s="16">
        <f>ABS(Solieusap!J3740)</f>
        <v>0</v>
      </c>
      <c r="K3740" s="16">
        <f t="shared" si="1"/>
        <v>0</v>
      </c>
      <c r="L3740" s="16">
        <f t="shared" si="2"/>
        <v>0</v>
      </c>
    </row>
    <row r="3741" ht="16.5" customHeight="1">
      <c r="A3741" s="15" t="str">
        <f>Solieusap!A3741</f>
        <v/>
      </c>
      <c r="B3741" s="15" t="str">
        <f>Solieusap!B3741</f>
        <v/>
      </c>
      <c r="C3741" s="15" t="str">
        <f>Solieusap!C3741</f>
        <v/>
      </c>
      <c r="D3741" s="15" t="str">
        <f>Solieusap!D3741</f>
        <v/>
      </c>
      <c r="E3741" s="16">
        <f>ABS(Solieusap!E3741)</f>
        <v>0</v>
      </c>
      <c r="F3741" s="16">
        <f>ABS(Solieusap!F3741)</f>
        <v>0</v>
      </c>
      <c r="G3741" s="16">
        <f>ABS(Solieusap!G3741)</f>
        <v>0</v>
      </c>
      <c r="H3741" s="16">
        <f>ABS(Solieusap!H3741)</f>
        <v>0</v>
      </c>
      <c r="I3741" s="16">
        <f>ABS(Solieusap!I3741)</f>
        <v>0</v>
      </c>
      <c r="J3741" s="16">
        <f>ABS(Solieusap!J3741)</f>
        <v>0</v>
      </c>
      <c r="K3741" s="16">
        <f t="shared" si="1"/>
        <v>0</v>
      </c>
      <c r="L3741" s="16">
        <f t="shared" si="2"/>
        <v>0</v>
      </c>
    </row>
    <row r="3742" ht="16.5" customHeight="1">
      <c r="A3742" s="15" t="str">
        <f>Solieusap!A3742</f>
        <v/>
      </c>
      <c r="B3742" s="15" t="str">
        <f>Solieusap!B3742</f>
        <v/>
      </c>
      <c r="C3742" s="15" t="str">
        <f>Solieusap!C3742</f>
        <v/>
      </c>
      <c r="D3742" s="15" t="str">
        <f>Solieusap!D3742</f>
        <v/>
      </c>
      <c r="E3742" s="16">
        <f>ABS(Solieusap!E3742)</f>
        <v>0</v>
      </c>
      <c r="F3742" s="16">
        <f>ABS(Solieusap!F3742)</f>
        <v>0</v>
      </c>
      <c r="G3742" s="16">
        <f>ABS(Solieusap!G3742)</f>
        <v>0</v>
      </c>
      <c r="H3742" s="16">
        <f>ABS(Solieusap!H3742)</f>
        <v>0</v>
      </c>
      <c r="I3742" s="16">
        <f>ABS(Solieusap!I3742)</f>
        <v>0</v>
      </c>
      <c r="J3742" s="16">
        <f>ABS(Solieusap!J3742)</f>
        <v>0</v>
      </c>
      <c r="K3742" s="16">
        <f t="shared" si="1"/>
        <v>0</v>
      </c>
      <c r="L3742" s="16">
        <f t="shared" si="2"/>
        <v>0</v>
      </c>
    </row>
    <row r="3743" ht="16.5" customHeight="1">
      <c r="A3743" s="15" t="str">
        <f>Solieusap!A3743</f>
        <v/>
      </c>
      <c r="B3743" s="15" t="str">
        <f>Solieusap!B3743</f>
        <v/>
      </c>
      <c r="C3743" s="15" t="str">
        <f>Solieusap!C3743</f>
        <v/>
      </c>
      <c r="D3743" s="15" t="str">
        <f>Solieusap!D3743</f>
        <v/>
      </c>
      <c r="E3743" s="16">
        <f>ABS(Solieusap!E3743)</f>
        <v>0</v>
      </c>
      <c r="F3743" s="16">
        <f>ABS(Solieusap!F3743)</f>
        <v>0</v>
      </c>
      <c r="G3743" s="16">
        <f>ABS(Solieusap!G3743)</f>
        <v>0</v>
      </c>
      <c r="H3743" s="16">
        <f>ABS(Solieusap!H3743)</f>
        <v>0</v>
      </c>
      <c r="I3743" s="16">
        <f>ABS(Solieusap!I3743)</f>
        <v>0</v>
      </c>
      <c r="J3743" s="16">
        <f>ABS(Solieusap!J3743)</f>
        <v>0</v>
      </c>
      <c r="K3743" s="16">
        <f t="shared" si="1"/>
        <v>0</v>
      </c>
      <c r="L3743" s="16">
        <f t="shared" si="2"/>
        <v>0</v>
      </c>
    </row>
    <row r="3744" ht="16.5" customHeight="1">
      <c r="A3744" s="15" t="str">
        <f>Solieusap!A3744</f>
        <v/>
      </c>
      <c r="B3744" s="15" t="str">
        <f>Solieusap!B3744</f>
        <v/>
      </c>
      <c r="C3744" s="15" t="str">
        <f>Solieusap!C3744</f>
        <v/>
      </c>
      <c r="D3744" s="15" t="str">
        <f>Solieusap!D3744</f>
        <v/>
      </c>
      <c r="E3744" s="16">
        <f>ABS(Solieusap!E3744)</f>
        <v>0</v>
      </c>
      <c r="F3744" s="16">
        <f>ABS(Solieusap!F3744)</f>
        <v>0</v>
      </c>
      <c r="G3744" s="16">
        <f>ABS(Solieusap!G3744)</f>
        <v>0</v>
      </c>
      <c r="H3744" s="16">
        <f>ABS(Solieusap!H3744)</f>
        <v>0</v>
      </c>
      <c r="I3744" s="16">
        <f>ABS(Solieusap!I3744)</f>
        <v>0</v>
      </c>
      <c r="J3744" s="16">
        <f>ABS(Solieusap!J3744)</f>
        <v>0</v>
      </c>
      <c r="K3744" s="16">
        <f t="shared" si="1"/>
        <v>0</v>
      </c>
      <c r="L3744" s="16">
        <f t="shared" si="2"/>
        <v>0</v>
      </c>
    </row>
    <row r="3745" ht="16.5" customHeight="1">
      <c r="A3745" s="15" t="str">
        <f>Solieusap!A3745</f>
        <v/>
      </c>
      <c r="B3745" s="15" t="str">
        <f>Solieusap!B3745</f>
        <v/>
      </c>
      <c r="C3745" s="15" t="str">
        <f>Solieusap!C3745</f>
        <v/>
      </c>
      <c r="D3745" s="15" t="str">
        <f>Solieusap!D3745</f>
        <v/>
      </c>
      <c r="E3745" s="16">
        <f>ABS(Solieusap!E3745)</f>
        <v>0</v>
      </c>
      <c r="F3745" s="16">
        <f>ABS(Solieusap!F3745)</f>
        <v>0</v>
      </c>
      <c r="G3745" s="16">
        <f>ABS(Solieusap!G3745)</f>
        <v>0</v>
      </c>
      <c r="H3745" s="16">
        <f>ABS(Solieusap!H3745)</f>
        <v>0</v>
      </c>
      <c r="I3745" s="16">
        <f>ABS(Solieusap!I3745)</f>
        <v>0</v>
      </c>
      <c r="J3745" s="16">
        <f>ABS(Solieusap!J3745)</f>
        <v>0</v>
      </c>
      <c r="K3745" s="16">
        <f t="shared" si="1"/>
        <v>0</v>
      </c>
      <c r="L3745" s="16">
        <f t="shared" si="2"/>
        <v>0</v>
      </c>
    </row>
    <row r="3746" ht="16.5" customHeight="1">
      <c r="A3746" s="15" t="str">
        <f>Solieusap!A3746</f>
        <v/>
      </c>
      <c r="B3746" s="15" t="str">
        <f>Solieusap!B3746</f>
        <v/>
      </c>
      <c r="C3746" s="15" t="str">
        <f>Solieusap!C3746</f>
        <v/>
      </c>
      <c r="D3746" s="15" t="str">
        <f>Solieusap!D3746</f>
        <v/>
      </c>
      <c r="E3746" s="16">
        <f>ABS(Solieusap!E3746)</f>
        <v>0</v>
      </c>
      <c r="F3746" s="16">
        <f>ABS(Solieusap!F3746)</f>
        <v>0</v>
      </c>
      <c r="G3746" s="16">
        <f>ABS(Solieusap!G3746)</f>
        <v>0</v>
      </c>
      <c r="H3746" s="16">
        <f>ABS(Solieusap!H3746)</f>
        <v>0</v>
      </c>
      <c r="I3746" s="16">
        <f>ABS(Solieusap!I3746)</f>
        <v>0</v>
      </c>
      <c r="J3746" s="16">
        <f>ABS(Solieusap!J3746)</f>
        <v>0</v>
      </c>
      <c r="K3746" s="16">
        <f t="shared" si="1"/>
        <v>0</v>
      </c>
      <c r="L3746" s="16">
        <f t="shared" si="2"/>
        <v>0</v>
      </c>
    </row>
    <row r="3747" ht="16.5" customHeight="1">
      <c r="A3747" s="15" t="str">
        <f>Solieusap!A3747</f>
        <v/>
      </c>
      <c r="B3747" s="15" t="str">
        <f>Solieusap!B3747</f>
        <v/>
      </c>
      <c r="C3747" s="15" t="str">
        <f>Solieusap!C3747</f>
        <v/>
      </c>
      <c r="D3747" s="15" t="str">
        <f>Solieusap!D3747</f>
        <v/>
      </c>
      <c r="E3747" s="16">
        <f>ABS(Solieusap!E3747)</f>
        <v>0</v>
      </c>
      <c r="F3747" s="16">
        <f>ABS(Solieusap!F3747)</f>
        <v>0</v>
      </c>
      <c r="G3747" s="16">
        <f>ABS(Solieusap!G3747)</f>
        <v>0</v>
      </c>
      <c r="H3747" s="16">
        <f>ABS(Solieusap!H3747)</f>
        <v>0</v>
      </c>
      <c r="I3747" s="16">
        <f>ABS(Solieusap!I3747)</f>
        <v>0</v>
      </c>
      <c r="J3747" s="16">
        <f>ABS(Solieusap!J3747)</f>
        <v>0</v>
      </c>
      <c r="K3747" s="16">
        <f t="shared" si="1"/>
        <v>0</v>
      </c>
      <c r="L3747" s="16">
        <f t="shared" si="2"/>
        <v>0</v>
      </c>
    </row>
    <row r="3748" ht="16.5" customHeight="1">
      <c r="A3748" s="15" t="str">
        <f>Solieusap!A3748</f>
        <v/>
      </c>
      <c r="B3748" s="15" t="str">
        <f>Solieusap!B3748</f>
        <v/>
      </c>
      <c r="C3748" s="15" t="str">
        <f>Solieusap!C3748</f>
        <v/>
      </c>
      <c r="D3748" s="15" t="str">
        <f>Solieusap!D3748</f>
        <v/>
      </c>
      <c r="E3748" s="16">
        <f>ABS(Solieusap!E3748)</f>
        <v>0</v>
      </c>
      <c r="F3748" s="16">
        <f>ABS(Solieusap!F3748)</f>
        <v>0</v>
      </c>
      <c r="G3748" s="16">
        <f>ABS(Solieusap!G3748)</f>
        <v>0</v>
      </c>
      <c r="H3748" s="16">
        <f>ABS(Solieusap!H3748)</f>
        <v>0</v>
      </c>
      <c r="I3748" s="16">
        <f>ABS(Solieusap!I3748)</f>
        <v>0</v>
      </c>
      <c r="J3748" s="16">
        <f>ABS(Solieusap!J3748)</f>
        <v>0</v>
      </c>
      <c r="K3748" s="16">
        <f t="shared" si="1"/>
        <v>0</v>
      </c>
      <c r="L3748" s="16">
        <f t="shared" si="2"/>
        <v>0</v>
      </c>
    </row>
    <row r="3749" ht="16.5" customHeight="1">
      <c r="A3749" s="15" t="str">
        <f>Solieusap!A3749</f>
        <v/>
      </c>
      <c r="B3749" s="15" t="str">
        <f>Solieusap!B3749</f>
        <v/>
      </c>
      <c r="C3749" s="15" t="str">
        <f>Solieusap!C3749</f>
        <v/>
      </c>
      <c r="D3749" s="15" t="str">
        <f>Solieusap!D3749</f>
        <v/>
      </c>
      <c r="E3749" s="16">
        <f>ABS(Solieusap!E3749)</f>
        <v>0</v>
      </c>
      <c r="F3749" s="16">
        <f>ABS(Solieusap!F3749)</f>
        <v>0</v>
      </c>
      <c r="G3749" s="16">
        <f>ABS(Solieusap!G3749)</f>
        <v>0</v>
      </c>
      <c r="H3749" s="16">
        <f>ABS(Solieusap!H3749)</f>
        <v>0</v>
      </c>
      <c r="I3749" s="16">
        <f>ABS(Solieusap!I3749)</f>
        <v>0</v>
      </c>
      <c r="J3749" s="16">
        <f>ABS(Solieusap!J3749)</f>
        <v>0</v>
      </c>
      <c r="K3749" s="16">
        <f t="shared" si="1"/>
        <v>0</v>
      </c>
      <c r="L3749" s="16">
        <f t="shared" si="2"/>
        <v>0</v>
      </c>
    </row>
    <row r="3750" ht="16.5" customHeight="1">
      <c r="A3750" s="15" t="str">
        <f>Solieusap!A3750</f>
        <v/>
      </c>
      <c r="B3750" s="15" t="str">
        <f>Solieusap!B3750</f>
        <v/>
      </c>
      <c r="C3750" s="15" t="str">
        <f>Solieusap!C3750</f>
        <v/>
      </c>
      <c r="D3750" s="15" t="str">
        <f>Solieusap!D3750</f>
        <v/>
      </c>
      <c r="E3750" s="16">
        <f>ABS(Solieusap!E3750)</f>
        <v>0</v>
      </c>
      <c r="F3750" s="16">
        <f>ABS(Solieusap!F3750)</f>
        <v>0</v>
      </c>
      <c r="G3750" s="16">
        <f>ABS(Solieusap!G3750)</f>
        <v>0</v>
      </c>
      <c r="H3750" s="16">
        <f>ABS(Solieusap!H3750)</f>
        <v>0</v>
      </c>
      <c r="I3750" s="16">
        <f>ABS(Solieusap!I3750)</f>
        <v>0</v>
      </c>
      <c r="J3750" s="16">
        <f>ABS(Solieusap!J3750)</f>
        <v>0</v>
      </c>
      <c r="K3750" s="16">
        <f t="shared" si="1"/>
        <v>0</v>
      </c>
      <c r="L3750" s="16">
        <f t="shared" si="2"/>
        <v>0</v>
      </c>
    </row>
    <row r="3751" ht="16.5" customHeight="1">
      <c r="A3751" s="15" t="str">
        <f>Solieusap!A3751</f>
        <v/>
      </c>
      <c r="B3751" s="15" t="str">
        <f>Solieusap!B3751</f>
        <v/>
      </c>
      <c r="C3751" s="15" t="str">
        <f>Solieusap!C3751</f>
        <v/>
      </c>
      <c r="D3751" s="15" t="str">
        <f>Solieusap!D3751</f>
        <v/>
      </c>
      <c r="E3751" s="16">
        <f>ABS(Solieusap!E3751)</f>
        <v>0</v>
      </c>
      <c r="F3751" s="16">
        <f>ABS(Solieusap!F3751)</f>
        <v>0</v>
      </c>
      <c r="G3751" s="16">
        <f>ABS(Solieusap!G3751)</f>
        <v>0</v>
      </c>
      <c r="H3751" s="16">
        <f>ABS(Solieusap!H3751)</f>
        <v>0</v>
      </c>
      <c r="I3751" s="16">
        <f>ABS(Solieusap!I3751)</f>
        <v>0</v>
      </c>
      <c r="J3751" s="16">
        <f>ABS(Solieusap!J3751)</f>
        <v>0</v>
      </c>
      <c r="K3751" s="16">
        <f t="shared" si="1"/>
        <v>0</v>
      </c>
      <c r="L3751" s="16">
        <f t="shared" si="2"/>
        <v>0</v>
      </c>
    </row>
    <row r="3752" ht="16.5" customHeight="1">
      <c r="A3752" s="15" t="str">
        <f>Solieusap!A3752</f>
        <v/>
      </c>
      <c r="B3752" s="15" t="str">
        <f>Solieusap!B3752</f>
        <v/>
      </c>
      <c r="C3752" s="15" t="str">
        <f>Solieusap!C3752</f>
        <v/>
      </c>
      <c r="D3752" s="15" t="str">
        <f>Solieusap!D3752</f>
        <v/>
      </c>
      <c r="E3752" s="16">
        <f>ABS(Solieusap!E3752)</f>
        <v>0</v>
      </c>
      <c r="F3752" s="16">
        <f>ABS(Solieusap!F3752)</f>
        <v>0</v>
      </c>
      <c r="G3752" s="16">
        <f>ABS(Solieusap!G3752)</f>
        <v>0</v>
      </c>
      <c r="H3752" s="16">
        <f>ABS(Solieusap!H3752)</f>
        <v>0</v>
      </c>
      <c r="I3752" s="16">
        <f>ABS(Solieusap!I3752)</f>
        <v>0</v>
      </c>
      <c r="J3752" s="16">
        <f>ABS(Solieusap!J3752)</f>
        <v>0</v>
      </c>
      <c r="K3752" s="16">
        <f t="shared" si="1"/>
        <v>0</v>
      </c>
      <c r="L3752" s="16">
        <f t="shared" si="2"/>
        <v>0</v>
      </c>
    </row>
    <row r="3753" ht="16.5" customHeight="1">
      <c r="A3753" s="15" t="str">
        <f>Solieusap!A3753</f>
        <v/>
      </c>
      <c r="B3753" s="15" t="str">
        <f>Solieusap!B3753</f>
        <v/>
      </c>
      <c r="C3753" s="15" t="str">
        <f>Solieusap!C3753</f>
        <v/>
      </c>
      <c r="D3753" s="15" t="str">
        <f>Solieusap!D3753</f>
        <v/>
      </c>
      <c r="E3753" s="16">
        <f>ABS(Solieusap!E3753)</f>
        <v>0</v>
      </c>
      <c r="F3753" s="16">
        <f>ABS(Solieusap!F3753)</f>
        <v>0</v>
      </c>
      <c r="G3753" s="16">
        <f>ABS(Solieusap!G3753)</f>
        <v>0</v>
      </c>
      <c r="H3753" s="16">
        <f>ABS(Solieusap!H3753)</f>
        <v>0</v>
      </c>
      <c r="I3753" s="16">
        <f>ABS(Solieusap!I3753)</f>
        <v>0</v>
      </c>
      <c r="J3753" s="16">
        <f>ABS(Solieusap!J3753)</f>
        <v>0</v>
      </c>
      <c r="K3753" s="16">
        <f t="shared" si="1"/>
        <v>0</v>
      </c>
      <c r="L3753" s="16">
        <f t="shared" si="2"/>
        <v>0</v>
      </c>
    </row>
    <row r="3754" ht="16.5" customHeight="1">
      <c r="A3754" s="15" t="str">
        <f>Solieusap!A3754</f>
        <v/>
      </c>
      <c r="B3754" s="15" t="str">
        <f>Solieusap!B3754</f>
        <v/>
      </c>
      <c r="C3754" s="15" t="str">
        <f>Solieusap!C3754</f>
        <v/>
      </c>
      <c r="D3754" s="15" t="str">
        <f>Solieusap!D3754</f>
        <v/>
      </c>
      <c r="E3754" s="16">
        <f>ABS(Solieusap!E3754)</f>
        <v>0</v>
      </c>
      <c r="F3754" s="16">
        <f>ABS(Solieusap!F3754)</f>
        <v>0</v>
      </c>
      <c r="G3754" s="16">
        <f>ABS(Solieusap!G3754)</f>
        <v>0</v>
      </c>
      <c r="H3754" s="16">
        <f>ABS(Solieusap!H3754)</f>
        <v>0</v>
      </c>
      <c r="I3754" s="16">
        <f>ABS(Solieusap!I3754)</f>
        <v>0</v>
      </c>
      <c r="J3754" s="16">
        <f>ABS(Solieusap!J3754)</f>
        <v>0</v>
      </c>
      <c r="K3754" s="16">
        <f t="shared" si="1"/>
        <v>0</v>
      </c>
      <c r="L3754" s="16">
        <f t="shared" si="2"/>
        <v>0</v>
      </c>
    </row>
    <row r="3755" ht="16.5" customHeight="1">
      <c r="A3755" s="15" t="str">
        <f>Solieusap!A3755</f>
        <v/>
      </c>
      <c r="B3755" s="15" t="str">
        <f>Solieusap!B3755</f>
        <v/>
      </c>
      <c r="C3755" s="15" t="str">
        <f>Solieusap!C3755</f>
        <v/>
      </c>
      <c r="D3755" s="15" t="str">
        <f>Solieusap!D3755</f>
        <v/>
      </c>
      <c r="E3755" s="16">
        <f>ABS(Solieusap!E3755)</f>
        <v>0</v>
      </c>
      <c r="F3755" s="16">
        <f>ABS(Solieusap!F3755)</f>
        <v>0</v>
      </c>
      <c r="G3755" s="16">
        <f>ABS(Solieusap!G3755)</f>
        <v>0</v>
      </c>
      <c r="H3755" s="16">
        <f>ABS(Solieusap!H3755)</f>
        <v>0</v>
      </c>
      <c r="I3755" s="16">
        <f>ABS(Solieusap!I3755)</f>
        <v>0</v>
      </c>
      <c r="J3755" s="16">
        <f>ABS(Solieusap!J3755)</f>
        <v>0</v>
      </c>
      <c r="K3755" s="16">
        <f t="shared" si="1"/>
        <v>0</v>
      </c>
      <c r="L3755" s="16">
        <f t="shared" si="2"/>
        <v>0</v>
      </c>
    </row>
    <row r="3756" ht="16.5" customHeight="1">
      <c r="A3756" s="15" t="str">
        <f>Solieusap!A3756</f>
        <v/>
      </c>
      <c r="B3756" s="15" t="str">
        <f>Solieusap!B3756</f>
        <v/>
      </c>
      <c r="C3756" s="15" t="str">
        <f>Solieusap!C3756</f>
        <v/>
      </c>
      <c r="D3756" s="15" t="str">
        <f>Solieusap!D3756</f>
        <v/>
      </c>
      <c r="E3756" s="16">
        <f>ABS(Solieusap!E3756)</f>
        <v>0</v>
      </c>
      <c r="F3756" s="16">
        <f>ABS(Solieusap!F3756)</f>
        <v>0</v>
      </c>
      <c r="G3756" s="16">
        <f>ABS(Solieusap!G3756)</f>
        <v>0</v>
      </c>
      <c r="H3756" s="16">
        <f>ABS(Solieusap!H3756)</f>
        <v>0</v>
      </c>
      <c r="I3756" s="16">
        <f>ABS(Solieusap!I3756)</f>
        <v>0</v>
      </c>
      <c r="J3756" s="16">
        <f>ABS(Solieusap!J3756)</f>
        <v>0</v>
      </c>
      <c r="K3756" s="16">
        <f t="shared" si="1"/>
        <v>0</v>
      </c>
      <c r="L3756" s="16">
        <f t="shared" si="2"/>
        <v>0</v>
      </c>
    </row>
    <row r="3757" ht="16.5" customHeight="1">
      <c r="A3757" s="15" t="str">
        <f>Solieusap!A3757</f>
        <v/>
      </c>
      <c r="B3757" s="15" t="str">
        <f>Solieusap!B3757</f>
        <v/>
      </c>
      <c r="C3757" s="15" t="str">
        <f>Solieusap!C3757</f>
        <v/>
      </c>
      <c r="D3757" s="15" t="str">
        <f>Solieusap!D3757</f>
        <v/>
      </c>
      <c r="E3757" s="16">
        <f>ABS(Solieusap!E3757)</f>
        <v>0</v>
      </c>
      <c r="F3757" s="16">
        <f>ABS(Solieusap!F3757)</f>
        <v>0</v>
      </c>
      <c r="G3757" s="16">
        <f>ABS(Solieusap!G3757)</f>
        <v>0</v>
      </c>
      <c r="H3757" s="16">
        <f>ABS(Solieusap!H3757)</f>
        <v>0</v>
      </c>
      <c r="I3757" s="16">
        <f>ABS(Solieusap!I3757)</f>
        <v>0</v>
      </c>
      <c r="J3757" s="16">
        <f>ABS(Solieusap!J3757)</f>
        <v>0</v>
      </c>
      <c r="K3757" s="16">
        <f t="shared" si="1"/>
        <v>0</v>
      </c>
      <c r="L3757" s="16">
        <f t="shared" si="2"/>
        <v>0</v>
      </c>
    </row>
    <row r="3758" ht="16.5" customHeight="1">
      <c r="A3758" s="15" t="str">
        <f>Solieusap!A3758</f>
        <v/>
      </c>
      <c r="B3758" s="15" t="str">
        <f>Solieusap!B3758</f>
        <v/>
      </c>
      <c r="C3758" s="15" t="str">
        <f>Solieusap!C3758</f>
        <v/>
      </c>
      <c r="D3758" s="15" t="str">
        <f>Solieusap!D3758</f>
        <v/>
      </c>
      <c r="E3758" s="16">
        <f>ABS(Solieusap!E3758)</f>
        <v>0</v>
      </c>
      <c r="F3758" s="16">
        <f>ABS(Solieusap!F3758)</f>
        <v>0</v>
      </c>
      <c r="G3758" s="16">
        <f>ABS(Solieusap!G3758)</f>
        <v>0</v>
      </c>
      <c r="H3758" s="16">
        <f>ABS(Solieusap!H3758)</f>
        <v>0</v>
      </c>
      <c r="I3758" s="16">
        <f>ABS(Solieusap!I3758)</f>
        <v>0</v>
      </c>
      <c r="J3758" s="16">
        <f>ABS(Solieusap!J3758)</f>
        <v>0</v>
      </c>
      <c r="K3758" s="16">
        <f t="shared" si="1"/>
        <v>0</v>
      </c>
      <c r="L3758" s="16">
        <f t="shared" si="2"/>
        <v>0</v>
      </c>
    </row>
    <row r="3759" ht="16.5" customHeight="1">
      <c r="A3759" s="15" t="str">
        <f>Solieusap!A3759</f>
        <v/>
      </c>
      <c r="B3759" s="15" t="str">
        <f>Solieusap!B3759</f>
        <v/>
      </c>
      <c r="C3759" s="15" t="str">
        <f>Solieusap!C3759</f>
        <v/>
      </c>
      <c r="D3759" s="15" t="str">
        <f>Solieusap!D3759</f>
        <v/>
      </c>
      <c r="E3759" s="16">
        <f>ABS(Solieusap!E3759)</f>
        <v>0</v>
      </c>
      <c r="F3759" s="16">
        <f>ABS(Solieusap!F3759)</f>
        <v>0</v>
      </c>
      <c r="G3759" s="16">
        <f>ABS(Solieusap!G3759)</f>
        <v>0</v>
      </c>
      <c r="H3759" s="16">
        <f>ABS(Solieusap!H3759)</f>
        <v>0</v>
      </c>
      <c r="I3759" s="16">
        <f>ABS(Solieusap!I3759)</f>
        <v>0</v>
      </c>
      <c r="J3759" s="16">
        <f>ABS(Solieusap!J3759)</f>
        <v>0</v>
      </c>
      <c r="K3759" s="16">
        <f t="shared" si="1"/>
        <v>0</v>
      </c>
      <c r="L3759" s="16">
        <f t="shared" si="2"/>
        <v>0</v>
      </c>
    </row>
    <row r="3760" ht="16.5" customHeight="1">
      <c r="A3760" s="15" t="str">
        <f>Solieusap!A3760</f>
        <v/>
      </c>
      <c r="B3760" s="15" t="str">
        <f>Solieusap!B3760</f>
        <v/>
      </c>
      <c r="C3760" s="15" t="str">
        <f>Solieusap!C3760</f>
        <v/>
      </c>
      <c r="D3760" s="15" t="str">
        <f>Solieusap!D3760</f>
        <v/>
      </c>
      <c r="E3760" s="16">
        <f>ABS(Solieusap!E3760)</f>
        <v>0</v>
      </c>
      <c r="F3760" s="16">
        <f>ABS(Solieusap!F3760)</f>
        <v>0</v>
      </c>
      <c r="G3760" s="16">
        <f>ABS(Solieusap!G3760)</f>
        <v>0</v>
      </c>
      <c r="H3760" s="16">
        <f>ABS(Solieusap!H3760)</f>
        <v>0</v>
      </c>
      <c r="I3760" s="16">
        <f>ABS(Solieusap!I3760)</f>
        <v>0</v>
      </c>
      <c r="J3760" s="16">
        <f>ABS(Solieusap!J3760)</f>
        <v>0</v>
      </c>
      <c r="K3760" s="16">
        <f t="shared" si="1"/>
        <v>0</v>
      </c>
      <c r="L3760" s="16">
        <f t="shared" si="2"/>
        <v>0</v>
      </c>
    </row>
    <row r="3761" ht="16.5" customHeight="1">
      <c r="A3761" s="15" t="str">
        <f>Solieusap!A3761</f>
        <v/>
      </c>
      <c r="B3761" s="15" t="str">
        <f>Solieusap!B3761</f>
        <v/>
      </c>
      <c r="C3761" s="15" t="str">
        <f>Solieusap!C3761</f>
        <v/>
      </c>
      <c r="D3761" s="15" t="str">
        <f>Solieusap!D3761</f>
        <v/>
      </c>
      <c r="E3761" s="16">
        <f>ABS(Solieusap!E3761)</f>
        <v>0</v>
      </c>
      <c r="F3761" s="16">
        <f>ABS(Solieusap!F3761)</f>
        <v>0</v>
      </c>
      <c r="G3761" s="16">
        <f>ABS(Solieusap!G3761)</f>
        <v>0</v>
      </c>
      <c r="H3761" s="16">
        <f>ABS(Solieusap!H3761)</f>
        <v>0</v>
      </c>
      <c r="I3761" s="16">
        <f>ABS(Solieusap!I3761)</f>
        <v>0</v>
      </c>
      <c r="J3761" s="16">
        <f>ABS(Solieusap!J3761)</f>
        <v>0</v>
      </c>
      <c r="K3761" s="16">
        <f t="shared" si="1"/>
        <v>0</v>
      </c>
      <c r="L3761" s="16">
        <f t="shared" si="2"/>
        <v>0</v>
      </c>
    </row>
    <row r="3762" ht="16.5" customHeight="1">
      <c r="A3762" s="15" t="str">
        <f>Solieusap!A3762</f>
        <v/>
      </c>
      <c r="B3762" s="15" t="str">
        <f>Solieusap!B3762</f>
        <v/>
      </c>
      <c r="C3762" s="15" t="str">
        <f>Solieusap!C3762</f>
        <v/>
      </c>
      <c r="D3762" s="15" t="str">
        <f>Solieusap!D3762</f>
        <v/>
      </c>
      <c r="E3762" s="16">
        <f>ABS(Solieusap!E3762)</f>
        <v>0</v>
      </c>
      <c r="F3762" s="16">
        <f>ABS(Solieusap!F3762)</f>
        <v>0</v>
      </c>
      <c r="G3762" s="16">
        <f>ABS(Solieusap!G3762)</f>
        <v>0</v>
      </c>
      <c r="H3762" s="16">
        <f>ABS(Solieusap!H3762)</f>
        <v>0</v>
      </c>
      <c r="I3762" s="16">
        <f>ABS(Solieusap!I3762)</f>
        <v>0</v>
      </c>
      <c r="J3762" s="16">
        <f>ABS(Solieusap!J3762)</f>
        <v>0</v>
      </c>
      <c r="K3762" s="16">
        <f t="shared" si="1"/>
        <v>0</v>
      </c>
      <c r="L3762" s="16">
        <f t="shared" si="2"/>
        <v>0</v>
      </c>
    </row>
    <row r="3763" ht="16.5" customHeight="1">
      <c r="A3763" s="15" t="str">
        <f>Solieusap!A3763</f>
        <v/>
      </c>
      <c r="B3763" s="15" t="str">
        <f>Solieusap!B3763</f>
        <v/>
      </c>
      <c r="C3763" s="15" t="str">
        <f>Solieusap!C3763</f>
        <v/>
      </c>
      <c r="D3763" s="15" t="str">
        <f>Solieusap!D3763</f>
        <v/>
      </c>
      <c r="E3763" s="16">
        <f>ABS(Solieusap!E3763)</f>
        <v>0</v>
      </c>
      <c r="F3763" s="16">
        <f>ABS(Solieusap!F3763)</f>
        <v>0</v>
      </c>
      <c r="G3763" s="16">
        <f>ABS(Solieusap!G3763)</f>
        <v>0</v>
      </c>
      <c r="H3763" s="16">
        <f>ABS(Solieusap!H3763)</f>
        <v>0</v>
      </c>
      <c r="I3763" s="16">
        <f>ABS(Solieusap!I3763)</f>
        <v>0</v>
      </c>
      <c r="J3763" s="16">
        <f>ABS(Solieusap!J3763)</f>
        <v>0</v>
      </c>
      <c r="K3763" s="16">
        <f t="shared" si="1"/>
        <v>0</v>
      </c>
      <c r="L3763" s="16">
        <f t="shared" si="2"/>
        <v>0</v>
      </c>
    </row>
    <row r="3764" ht="16.5" customHeight="1">
      <c r="A3764" s="15" t="str">
        <f>Solieusap!A3764</f>
        <v/>
      </c>
      <c r="B3764" s="15" t="str">
        <f>Solieusap!B3764</f>
        <v/>
      </c>
      <c r="C3764" s="15" t="str">
        <f>Solieusap!C3764</f>
        <v/>
      </c>
      <c r="D3764" s="15" t="str">
        <f>Solieusap!D3764</f>
        <v/>
      </c>
      <c r="E3764" s="16">
        <f>ABS(Solieusap!E3764)</f>
        <v>0</v>
      </c>
      <c r="F3764" s="16">
        <f>ABS(Solieusap!F3764)</f>
        <v>0</v>
      </c>
      <c r="G3764" s="16">
        <f>ABS(Solieusap!G3764)</f>
        <v>0</v>
      </c>
      <c r="H3764" s="16">
        <f>ABS(Solieusap!H3764)</f>
        <v>0</v>
      </c>
      <c r="I3764" s="16">
        <f>ABS(Solieusap!I3764)</f>
        <v>0</v>
      </c>
      <c r="J3764" s="16">
        <f>ABS(Solieusap!J3764)</f>
        <v>0</v>
      </c>
      <c r="K3764" s="16">
        <f t="shared" si="1"/>
        <v>0</v>
      </c>
      <c r="L3764" s="16">
        <f t="shared" si="2"/>
        <v>0</v>
      </c>
    </row>
    <row r="3765" ht="16.5" customHeight="1">
      <c r="A3765" s="15" t="str">
        <f>Solieusap!A3765</f>
        <v/>
      </c>
      <c r="B3765" s="15" t="str">
        <f>Solieusap!B3765</f>
        <v/>
      </c>
      <c r="C3765" s="15" t="str">
        <f>Solieusap!C3765</f>
        <v/>
      </c>
      <c r="D3765" s="15" t="str">
        <f>Solieusap!D3765</f>
        <v/>
      </c>
      <c r="E3765" s="16">
        <f>ABS(Solieusap!E3765)</f>
        <v>0</v>
      </c>
      <c r="F3765" s="16">
        <f>ABS(Solieusap!F3765)</f>
        <v>0</v>
      </c>
      <c r="G3765" s="16">
        <f>ABS(Solieusap!G3765)</f>
        <v>0</v>
      </c>
      <c r="H3765" s="16">
        <f>ABS(Solieusap!H3765)</f>
        <v>0</v>
      </c>
      <c r="I3765" s="16">
        <f>ABS(Solieusap!I3765)</f>
        <v>0</v>
      </c>
      <c r="J3765" s="16">
        <f>ABS(Solieusap!J3765)</f>
        <v>0</v>
      </c>
      <c r="K3765" s="16">
        <f t="shared" si="1"/>
        <v>0</v>
      </c>
      <c r="L3765" s="16">
        <f t="shared" si="2"/>
        <v>0</v>
      </c>
    </row>
    <row r="3766" ht="16.5" customHeight="1">
      <c r="A3766" s="15" t="str">
        <f>Solieusap!A3766</f>
        <v/>
      </c>
      <c r="B3766" s="15" t="str">
        <f>Solieusap!B3766</f>
        <v/>
      </c>
      <c r="C3766" s="15" t="str">
        <f>Solieusap!C3766</f>
        <v/>
      </c>
      <c r="D3766" s="15" t="str">
        <f>Solieusap!D3766</f>
        <v/>
      </c>
      <c r="E3766" s="16">
        <f>ABS(Solieusap!E3766)</f>
        <v>0</v>
      </c>
      <c r="F3766" s="16">
        <f>ABS(Solieusap!F3766)</f>
        <v>0</v>
      </c>
      <c r="G3766" s="16">
        <f>ABS(Solieusap!G3766)</f>
        <v>0</v>
      </c>
      <c r="H3766" s="16">
        <f>ABS(Solieusap!H3766)</f>
        <v>0</v>
      </c>
      <c r="I3766" s="16">
        <f>ABS(Solieusap!I3766)</f>
        <v>0</v>
      </c>
      <c r="J3766" s="16">
        <f>ABS(Solieusap!J3766)</f>
        <v>0</v>
      </c>
      <c r="K3766" s="16">
        <f t="shared" si="1"/>
        <v>0</v>
      </c>
      <c r="L3766" s="16">
        <f t="shared" si="2"/>
        <v>0</v>
      </c>
    </row>
    <row r="3767" ht="16.5" customHeight="1">
      <c r="A3767" s="15" t="str">
        <f>Solieusap!A3767</f>
        <v/>
      </c>
      <c r="B3767" s="15" t="str">
        <f>Solieusap!B3767</f>
        <v/>
      </c>
      <c r="C3767" s="15" t="str">
        <f>Solieusap!C3767</f>
        <v/>
      </c>
      <c r="D3767" s="15" t="str">
        <f>Solieusap!D3767</f>
        <v/>
      </c>
      <c r="E3767" s="16">
        <f>ABS(Solieusap!E3767)</f>
        <v>0</v>
      </c>
      <c r="F3767" s="16">
        <f>ABS(Solieusap!F3767)</f>
        <v>0</v>
      </c>
      <c r="G3767" s="16">
        <f>ABS(Solieusap!G3767)</f>
        <v>0</v>
      </c>
      <c r="H3767" s="16">
        <f>ABS(Solieusap!H3767)</f>
        <v>0</v>
      </c>
      <c r="I3767" s="16">
        <f>ABS(Solieusap!I3767)</f>
        <v>0</v>
      </c>
      <c r="J3767" s="16">
        <f>ABS(Solieusap!J3767)</f>
        <v>0</v>
      </c>
      <c r="K3767" s="16">
        <f t="shared" si="1"/>
        <v>0</v>
      </c>
      <c r="L3767" s="16">
        <f t="shared" si="2"/>
        <v>0</v>
      </c>
    </row>
    <row r="3768" ht="16.5" customHeight="1">
      <c r="A3768" s="15" t="str">
        <f>Solieusap!A3768</f>
        <v/>
      </c>
      <c r="B3768" s="15" t="str">
        <f>Solieusap!B3768</f>
        <v/>
      </c>
      <c r="C3768" s="15" t="str">
        <f>Solieusap!C3768</f>
        <v/>
      </c>
      <c r="D3768" s="15" t="str">
        <f>Solieusap!D3768</f>
        <v/>
      </c>
      <c r="E3768" s="16">
        <f>ABS(Solieusap!E3768)</f>
        <v>0</v>
      </c>
      <c r="F3768" s="16">
        <f>ABS(Solieusap!F3768)</f>
        <v>0</v>
      </c>
      <c r="G3768" s="16">
        <f>ABS(Solieusap!G3768)</f>
        <v>0</v>
      </c>
      <c r="H3768" s="16">
        <f>ABS(Solieusap!H3768)</f>
        <v>0</v>
      </c>
      <c r="I3768" s="16">
        <f>ABS(Solieusap!I3768)</f>
        <v>0</v>
      </c>
      <c r="J3768" s="16">
        <f>ABS(Solieusap!J3768)</f>
        <v>0</v>
      </c>
      <c r="K3768" s="16">
        <f t="shared" si="1"/>
        <v>0</v>
      </c>
      <c r="L3768" s="16">
        <f t="shared" si="2"/>
        <v>0</v>
      </c>
    </row>
    <row r="3769" ht="16.5" customHeight="1">
      <c r="A3769" s="15" t="str">
        <f>Solieusap!A3769</f>
        <v/>
      </c>
      <c r="B3769" s="15" t="str">
        <f>Solieusap!B3769</f>
        <v/>
      </c>
      <c r="C3769" s="15" t="str">
        <f>Solieusap!C3769</f>
        <v/>
      </c>
      <c r="D3769" s="15" t="str">
        <f>Solieusap!D3769</f>
        <v/>
      </c>
      <c r="E3769" s="16">
        <f>ABS(Solieusap!E3769)</f>
        <v>0</v>
      </c>
      <c r="F3769" s="16">
        <f>ABS(Solieusap!F3769)</f>
        <v>0</v>
      </c>
      <c r="G3769" s="16">
        <f>ABS(Solieusap!G3769)</f>
        <v>0</v>
      </c>
      <c r="H3769" s="16">
        <f>ABS(Solieusap!H3769)</f>
        <v>0</v>
      </c>
      <c r="I3769" s="16">
        <f>ABS(Solieusap!I3769)</f>
        <v>0</v>
      </c>
      <c r="J3769" s="16">
        <f>ABS(Solieusap!J3769)</f>
        <v>0</v>
      </c>
      <c r="K3769" s="16">
        <f t="shared" si="1"/>
        <v>0</v>
      </c>
      <c r="L3769" s="16">
        <f t="shared" si="2"/>
        <v>0</v>
      </c>
    </row>
    <row r="3770" ht="16.5" customHeight="1">
      <c r="A3770" s="15" t="str">
        <f>Solieusap!A3770</f>
        <v/>
      </c>
      <c r="B3770" s="15" t="str">
        <f>Solieusap!B3770</f>
        <v/>
      </c>
      <c r="C3770" s="15" t="str">
        <f>Solieusap!C3770</f>
        <v/>
      </c>
      <c r="D3770" s="15" t="str">
        <f>Solieusap!D3770</f>
        <v/>
      </c>
      <c r="E3770" s="16">
        <f>ABS(Solieusap!E3770)</f>
        <v>0</v>
      </c>
      <c r="F3770" s="16">
        <f>ABS(Solieusap!F3770)</f>
        <v>0</v>
      </c>
      <c r="G3770" s="16">
        <f>ABS(Solieusap!G3770)</f>
        <v>0</v>
      </c>
      <c r="H3770" s="16">
        <f>ABS(Solieusap!H3770)</f>
        <v>0</v>
      </c>
      <c r="I3770" s="16">
        <f>ABS(Solieusap!I3770)</f>
        <v>0</v>
      </c>
      <c r="J3770" s="16">
        <f>ABS(Solieusap!J3770)</f>
        <v>0</v>
      </c>
      <c r="K3770" s="16">
        <f t="shared" si="1"/>
        <v>0</v>
      </c>
      <c r="L3770" s="16">
        <f t="shared" si="2"/>
        <v>0</v>
      </c>
    </row>
    <row r="3771" ht="16.5" customHeight="1">
      <c r="A3771" s="15" t="str">
        <f>Solieusap!A3771</f>
        <v/>
      </c>
      <c r="B3771" s="15" t="str">
        <f>Solieusap!B3771</f>
        <v/>
      </c>
      <c r="C3771" s="15" t="str">
        <f>Solieusap!C3771</f>
        <v/>
      </c>
      <c r="D3771" s="15" t="str">
        <f>Solieusap!D3771</f>
        <v/>
      </c>
      <c r="E3771" s="16">
        <f>ABS(Solieusap!E3771)</f>
        <v>0</v>
      </c>
      <c r="F3771" s="16">
        <f>ABS(Solieusap!F3771)</f>
        <v>0</v>
      </c>
      <c r="G3771" s="16">
        <f>ABS(Solieusap!G3771)</f>
        <v>0</v>
      </c>
      <c r="H3771" s="16">
        <f>ABS(Solieusap!H3771)</f>
        <v>0</v>
      </c>
      <c r="I3771" s="16">
        <f>ABS(Solieusap!I3771)</f>
        <v>0</v>
      </c>
      <c r="J3771" s="16">
        <f>ABS(Solieusap!J3771)</f>
        <v>0</v>
      </c>
      <c r="K3771" s="16">
        <f t="shared" si="1"/>
        <v>0</v>
      </c>
      <c r="L3771" s="16">
        <f t="shared" si="2"/>
        <v>0</v>
      </c>
    </row>
    <row r="3772" ht="16.5" customHeight="1">
      <c r="A3772" s="15" t="str">
        <f>Solieusap!A3772</f>
        <v/>
      </c>
      <c r="B3772" s="15" t="str">
        <f>Solieusap!B3772</f>
        <v/>
      </c>
      <c r="C3772" s="15" t="str">
        <f>Solieusap!C3772</f>
        <v/>
      </c>
      <c r="D3772" s="15" t="str">
        <f>Solieusap!D3772</f>
        <v/>
      </c>
      <c r="E3772" s="16">
        <f>ABS(Solieusap!E3772)</f>
        <v>0</v>
      </c>
      <c r="F3772" s="16">
        <f>ABS(Solieusap!F3772)</f>
        <v>0</v>
      </c>
      <c r="G3772" s="16">
        <f>ABS(Solieusap!G3772)</f>
        <v>0</v>
      </c>
      <c r="H3772" s="16">
        <f>ABS(Solieusap!H3772)</f>
        <v>0</v>
      </c>
      <c r="I3772" s="16">
        <f>ABS(Solieusap!I3772)</f>
        <v>0</v>
      </c>
      <c r="J3772" s="16">
        <f>ABS(Solieusap!J3772)</f>
        <v>0</v>
      </c>
      <c r="K3772" s="16">
        <f t="shared" si="1"/>
        <v>0</v>
      </c>
      <c r="L3772" s="16">
        <f t="shared" si="2"/>
        <v>0</v>
      </c>
    </row>
    <row r="3773" ht="16.5" customHeight="1">
      <c r="A3773" s="15" t="str">
        <f>Solieusap!A3773</f>
        <v/>
      </c>
      <c r="B3773" s="15" t="str">
        <f>Solieusap!B3773</f>
        <v/>
      </c>
      <c r="C3773" s="15" t="str">
        <f>Solieusap!C3773</f>
        <v/>
      </c>
      <c r="D3773" s="15" t="str">
        <f>Solieusap!D3773</f>
        <v/>
      </c>
      <c r="E3773" s="16">
        <f>ABS(Solieusap!E3773)</f>
        <v>0</v>
      </c>
      <c r="F3773" s="16">
        <f>ABS(Solieusap!F3773)</f>
        <v>0</v>
      </c>
      <c r="G3773" s="16">
        <f>ABS(Solieusap!G3773)</f>
        <v>0</v>
      </c>
      <c r="H3773" s="16">
        <f>ABS(Solieusap!H3773)</f>
        <v>0</v>
      </c>
      <c r="I3773" s="16">
        <f>ABS(Solieusap!I3773)</f>
        <v>0</v>
      </c>
      <c r="J3773" s="16">
        <f>ABS(Solieusap!J3773)</f>
        <v>0</v>
      </c>
      <c r="K3773" s="16">
        <f t="shared" si="1"/>
        <v>0</v>
      </c>
      <c r="L3773" s="16">
        <f t="shared" si="2"/>
        <v>0</v>
      </c>
    </row>
    <row r="3774" ht="16.5" customHeight="1">
      <c r="A3774" s="15" t="str">
        <f>Solieusap!A3774</f>
        <v/>
      </c>
      <c r="B3774" s="15" t="str">
        <f>Solieusap!B3774</f>
        <v/>
      </c>
      <c r="C3774" s="15" t="str">
        <f>Solieusap!C3774</f>
        <v/>
      </c>
      <c r="D3774" s="15" t="str">
        <f>Solieusap!D3774</f>
        <v/>
      </c>
      <c r="E3774" s="16">
        <f>ABS(Solieusap!E3774)</f>
        <v>0</v>
      </c>
      <c r="F3774" s="16">
        <f>ABS(Solieusap!F3774)</f>
        <v>0</v>
      </c>
      <c r="G3774" s="16">
        <f>ABS(Solieusap!G3774)</f>
        <v>0</v>
      </c>
      <c r="H3774" s="16">
        <f>ABS(Solieusap!H3774)</f>
        <v>0</v>
      </c>
      <c r="I3774" s="16">
        <f>ABS(Solieusap!I3774)</f>
        <v>0</v>
      </c>
      <c r="J3774" s="16">
        <f>ABS(Solieusap!J3774)</f>
        <v>0</v>
      </c>
      <c r="K3774" s="16">
        <f t="shared" si="1"/>
        <v>0</v>
      </c>
      <c r="L3774" s="16">
        <f t="shared" si="2"/>
        <v>0</v>
      </c>
    </row>
    <row r="3775" ht="16.5" customHeight="1">
      <c r="A3775" s="15" t="str">
        <f>Solieusap!A3775</f>
        <v/>
      </c>
      <c r="B3775" s="15" t="str">
        <f>Solieusap!B3775</f>
        <v/>
      </c>
      <c r="C3775" s="15" t="str">
        <f>Solieusap!C3775</f>
        <v/>
      </c>
      <c r="D3775" s="15" t="str">
        <f>Solieusap!D3775</f>
        <v/>
      </c>
      <c r="E3775" s="16">
        <f>ABS(Solieusap!E3775)</f>
        <v>0</v>
      </c>
      <c r="F3775" s="16">
        <f>ABS(Solieusap!F3775)</f>
        <v>0</v>
      </c>
      <c r="G3775" s="16">
        <f>ABS(Solieusap!G3775)</f>
        <v>0</v>
      </c>
      <c r="H3775" s="16">
        <f>ABS(Solieusap!H3775)</f>
        <v>0</v>
      </c>
      <c r="I3775" s="16">
        <f>ABS(Solieusap!I3775)</f>
        <v>0</v>
      </c>
      <c r="J3775" s="16">
        <f>ABS(Solieusap!J3775)</f>
        <v>0</v>
      </c>
      <c r="K3775" s="16">
        <f t="shared" si="1"/>
        <v>0</v>
      </c>
      <c r="L3775" s="16">
        <f t="shared" si="2"/>
        <v>0</v>
      </c>
    </row>
    <row r="3776" ht="16.5" customHeight="1">
      <c r="A3776" s="15" t="str">
        <f>Solieusap!A3776</f>
        <v/>
      </c>
      <c r="B3776" s="15" t="str">
        <f>Solieusap!B3776</f>
        <v/>
      </c>
      <c r="C3776" s="15" t="str">
        <f>Solieusap!C3776</f>
        <v/>
      </c>
      <c r="D3776" s="15" t="str">
        <f>Solieusap!D3776</f>
        <v/>
      </c>
      <c r="E3776" s="16">
        <f>ABS(Solieusap!E3776)</f>
        <v>0</v>
      </c>
      <c r="F3776" s="16">
        <f>ABS(Solieusap!F3776)</f>
        <v>0</v>
      </c>
      <c r="G3776" s="16">
        <f>ABS(Solieusap!G3776)</f>
        <v>0</v>
      </c>
      <c r="H3776" s="16">
        <f>ABS(Solieusap!H3776)</f>
        <v>0</v>
      </c>
      <c r="I3776" s="16">
        <f>ABS(Solieusap!I3776)</f>
        <v>0</v>
      </c>
      <c r="J3776" s="16">
        <f>ABS(Solieusap!J3776)</f>
        <v>0</v>
      </c>
      <c r="K3776" s="16">
        <f t="shared" si="1"/>
        <v>0</v>
      </c>
      <c r="L3776" s="16">
        <f t="shared" si="2"/>
        <v>0</v>
      </c>
    </row>
    <row r="3777" ht="16.5" customHeight="1">
      <c r="A3777" s="15" t="str">
        <f>Solieusap!A3777</f>
        <v/>
      </c>
      <c r="B3777" s="15" t="str">
        <f>Solieusap!B3777</f>
        <v/>
      </c>
      <c r="C3777" s="15" t="str">
        <f>Solieusap!C3777</f>
        <v/>
      </c>
      <c r="D3777" s="15" t="str">
        <f>Solieusap!D3777</f>
        <v/>
      </c>
      <c r="E3777" s="16">
        <f>ABS(Solieusap!E3777)</f>
        <v>0</v>
      </c>
      <c r="F3777" s="16">
        <f>ABS(Solieusap!F3777)</f>
        <v>0</v>
      </c>
      <c r="G3777" s="16">
        <f>ABS(Solieusap!G3777)</f>
        <v>0</v>
      </c>
      <c r="H3777" s="16">
        <f>ABS(Solieusap!H3777)</f>
        <v>0</v>
      </c>
      <c r="I3777" s="16">
        <f>ABS(Solieusap!I3777)</f>
        <v>0</v>
      </c>
      <c r="J3777" s="16">
        <f>ABS(Solieusap!J3777)</f>
        <v>0</v>
      </c>
      <c r="K3777" s="16">
        <f t="shared" si="1"/>
        <v>0</v>
      </c>
      <c r="L3777" s="16">
        <f t="shared" si="2"/>
        <v>0</v>
      </c>
    </row>
    <row r="3778" ht="16.5" customHeight="1">
      <c r="A3778" s="15" t="str">
        <f>Solieusap!A3778</f>
        <v/>
      </c>
      <c r="B3778" s="15" t="str">
        <f>Solieusap!B3778</f>
        <v/>
      </c>
      <c r="C3778" s="15" t="str">
        <f>Solieusap!C3778</f>
        <v/>
      </c>
      <c r="D3778" s="15" t="str">
        <f>Solieusap!D3778</f>
        <v/>
      </c>
      <c r="E3778" s="16">
        <f>ABS(Solieusap!E3778)</f>
        <v>0</v>
      </c>
      <c r="F3778" s="16">
        <f>ABS(Solieusap!F3778)</f>
        <v>0</v>
      </c>
      <c r="G3778" s="16">
        <f>ABS(Solieusap!G3778)</f>
        <v>0</v>
      </c>
      <c r="H3778" s="16">
        <f>ABS(Solieusap!H3778)</f>
        <v>0</v>
      </c>
      <c r="I3778" s="16">
        <f>ABS(Solieusap!I3778)</f>
        <v>0</v>
      </c>
      <c r="J3778" s="16">
        <f>ABS(Solieusap!J3778)</f>
        <v>0</v>
      </c>
      <c r="K3778" s="16">
        <f t="shared" si="1"/>
        <v>0</v>
      </c>
      <c r="L3778" s="16">
        <f t="shared" si="2"/>
        <v>0</v>
      </c>
    </row>
    <row r="3779" ht="16.5" customHeight="1">
      <c r="A3779" s="15" t="str">
        <f>Solieusap!A3779</f>
        <v/>
      </c>
      <c r="B3779" s="15" t="str">
        <f>Solieusap!B3779</f>
        <v/>
      </c>
      <c r="C3779" s="15" t="str">
        <f>Solieusap!C3779</f>
        <v/>
      </c>
      <c r="D3779" s="15" t="str">
        <f>Solieusap!D3779</f>
        <v/>
      </c>
      <c r="E3779" s="16">
        <f>ABS(Solieusap!E3779)</f>
        <v>0</v>
      </c>
      <c r="F3779" s="16">
        <f>ABS(Solieusap!F3779)</f>
        <v>0</v>
      </c>
      <c r="G3779" s="16">
        <f>ABS(Solieusap!G3779)</f>
        <v>0</v>
      </c>
      <c r="H3779" s="16">
        <f>ABS(Solieusap!H3779)</f>
        <v>0</v>
      </c>
      <c r="I3779" s="16">
        <f>ABS(Solieusap!I3779)</f>
        <v>0</v>
      </c>
      <c r="J3779" s="16">
        <f>ABS(Solieusap!J3779)</f>
        <v>0</v>
      </c>
      <c r="K3779" s="16">
        <f t="shared" si="1"/>
        <v>0</v>
      </c>
      <c r="L3779" s="16">
        <f t="shared" si="2"/>
        <v>0</v>
      </c>
    </row>
    <row r="3780" ht="16.5" customHeight="1">
      <c r="A3780" s="15" t="str">
        <f>Solieusap!A3780</f>
        <v/>
      </c>
      <c r="B3780" s="15" t="str">
        <f>Solieusap!B3780</f>
        <v/>
      </c>
      <c r="C3780" s="15" t="str">
        <f>Solieusap!C3780</f>
        <v/>
      </c>
      <c r="D3780" s="15" t="str">
        <f>Solieusap!D3780</f>
        <v/>
      </c>
      <c r="E3780" s="16">
        <f>ABS(Solieusap!E3780)</f>
        <v>0</v>
      </c>
      <c r="F3780" s="16">
        <f>ABS(Solieusap!F3780)</f>
        <v>0</v>
      </c>
      <c r="G3780" s="16">
        <f>ABS(Solieusap!G3780)</f>
        <v>0</v>
      </c>
      <c r="H3780" s="16">
        <f>ABS(Solieusap!H3780)</f>
        <v>0</v>
      </c>
      <c r="I3780" s="16">
        <f>ABS(Solieusap!I3780)</f>
        <v>0</v>
      </c>
      <c r="J3780" s="16">
        <f>ABS(Solieusap!J3780)</f>
        <v>0</v>
      </c>
      <c r="K3780" s="16">
        <f t="shared" si="1"/>
        <v>0</v>
      </c>
      <c r="L3780" s="16">
        <f t="shared" si="2"/>
        <v>0</v>
      </c>
    </row>
    <row r="3781" ht="16.5" customHeight="1">
      <c r="A3781" s="15" t="str">
        <f>Solieusap!A3781</f>
        <v/>
      </c>
      <c r="B3781" s="15" t="str">
        <f>Solieusap!B3781</f>
        <v/>
      </c>
      <c r="C3781" s="15" t="str">
        <f>Solieusap!C3781</f>
        <v/>
      </c>
      <c r="D3781" s="15" t="str">
        <f>Solieusap!D3781</f>
        <v/>
      </c>
      <c r="E3781" s="16">
        <f>ABS(Solieusap!E3781)</f>
        <v>0</v>
      </c>
      <c r="F3781" s="16">
        <f>ABS(Solieusap!F3781)</f>
        <v>0</v>
      </c>
      <c r="G3781" s="16">
        <f>ABS(Solieusap!G3781)</f>
        <v>0</v>
      </c>
      <c r="H3781" s="16">
        <f>ABS(Solieusap!H3781)</f>
        <v>0</v>
      </c>
      <c r="I3781" s="16">
        <f>ABS(Solieusap!I3781)</f>
        <v>0</v>
      </c>
      <c r="J3781" s="16">
        <f>ABS(Solieusap!J3781)</f>
        <v>0</v>
      </c>
      <c r="K3781" s="16">
        <f t="shared" si="1"/>
        <v>0</v>
      </c>
      <c r="L3781" s="16">
        <f t="shared" si="2"/>
        <v>0</v>
      </c>
    </row>
    <row r="3782" ht="16.5" customHeight="1">
      <c r="A3782" s="15" t="str">
        <f>Solieusap!A3782</f>
        <v/>
      </c>
      <c r="B3782" s="15" t="str">
        <f>Solieusap!B3782</f>
        <v/>
      </c>
      <c r="C3782" s="15" t="str">
        <f>Solieusap!C3782</f>
        <v/>
      </c>
      <c r="D3782" s="15" t="str">
        <f>Solieusap!D3782</f>
        <v/>
      </c>
      <c r="E3782" s="16">
        <f>ABS(Solieusap!E3782)</f>
        <v>0</v>
      </c>
      <c r="F3782" s="16">
        <f>ABS(Solieusap!F3782)</f>
        <v>0</v>
      </c>
      <c r="G3782" s="16">
        <f>ABS(Solieusap!G3782)</f>
        <v>0</v>
      </c>
      <c r="H3782" s="16">
        <f>ABS(Solieusap!H3782)</f>
        <v>0</v>
      </c>
      <c r="I3782" s="16">
        <f>ABS(Solieusap!I3782)</f>
        <v>0</v>
      </c>
      <c r="J3782" s="16">
        <f>ABS(Solieusap!J3782)</f>
        <v>0</v>
      </c>
      <c r="K3782" s="16">
        <f t="shared" si="1"/>
        <v>0</v>
      </c>
      <c r="L3782" s="16">
        <f t="shared" si="2"/>
        <v>0</v>
      </c>
    </row>
    <row r="3783" ht="16.5" customHeight="1">
      <c r="A3783" s="15" t="str">
        <f>Solieusap!A3783</f>
        <v/>
      </c>
      <c r="B3783" s="15" t="str">
        <f>Solieusap!B3783</f>
        <v/>
      </c>
      <c r="C3783" s="15" t="str">
        <f>Solieusap!C3783</f>
        <v/>
      </c>
      <c r="D3783" s="15" t="str">
        <f>Solieusap!D3783</f>
        <v/>
      </c>
      <c r="E3783" s="16">
        <f>ABS(Solieusap!E3783)</f>
        <v>0</v>
      </c>
      <c r="F3783" s="16">
        <f>ABS(Solieusap!F3783)</f>
        <v>0</v>
      </c>
      <c r="G3783" s="16">
        <f>ABS(Solieusap!G3783)</f>
        <v>0</v>
      </c>
      <c r="H3783" s="16">
        <f>ABS(Solieusap!H3783)</f>
        <v>0</v>
      </c>
      <c r="I3783" s="16">
        <f>ABS(Solieusap!I3783)</f>
        <v>0</v>
      </c>
      <c r="J3783" s="16">
        <f>ABS(Solieusap!J3783)</f>
        <v>0</v>
      </c>
      <c r="K3783" s="16">
        <f t="shared" si="1"/>
        <v>0</v>
      </c>
      <c r="L3783" s="16">
        <f t="shared" si="2"/>
        <v>0</v>
      </c>
    </row>
    <row r="3784" ht="16.5" customHeight="1">
      <c r="A3784" s="15" t="str">
        <f>Solieusap!A3784</f>
        <v/>
      </c>
      <c r="B3784" s="15" t="str">
        <f>Solieusap!B3784</f>
        <v/>
      </c>
      <c r="C3784" s="15" t="str">
        <f>Solieusap!C3784</f>
        <v/>
      </c>
      <c r="D3784" s="15" t="str">
        <f>Solieusap!D3784</f>
        <v/>
      </c>
      <c r="E3784" s="16">
        <f>ABS(Solieusap!E3784)</f>
        <v>0</v>
      </c>
      <c r="F3784" s="16">
        <f>ABS(Solieusap!F3784)</f>
        <v>0</v>
      </c>
      <c r="G3784" s="16">
        <f>ABS(Solieusap!G3784)</f>
        <v>0</v>
      </c>
      <c r="H3784" s="16">
        <f>ABS(Solieusap!H3784)</f>
        <v>0</v>
      </c>
      <c r="I3784" s="16">
        <f>ABS(Solieusap!I3784)</f>
        <v>0</v>
      </c>
      <c r="J3784" s="16">
        <f>ABS(Solieusap!J3784)</f>
        <v>0</v>
      </c>
      <c r="K3784" s="16">
        <f t="shared" si="1"/>
        <v>0</v>
      </c>
      <c r="L3784" s="16">
        <f t="shared" si="2"/>
        <v>0</v>
      </c>
    </row>
    <row r="3785" ht="16.5" customHeight="1">
      <c r="A3785" s="15" t="str">
        <f>Solieusap!A3785</f>
        <v/>
      </c>
      <c r="B3785" s="15" t="str">
        <f>Solieusap!B3785</f>
        <v/>
      </c>
      <c r="C3785" s="15" t="str">
        <f>Solieusap!C3785</f>
        <v/>
      </c>
      <c r="D3785" s="15" t="str">
        <f>Solieusap!D3785</f>
        <v/>
      </c>
      <c r="E3785" s="16">
        <f>ABS(Solieusap!E3785)</f>
        <v>0</v>
      </c>
      <c r="F3785" s="16">
        <f>ABS(Solieusap!F3785)</f>
        <v>0</v>
      </c>
      <c r="G3785" s="16">
        <f>ABS(Solieusap!G3785)</f>
        <v>0</v>
      </c>
      <c r="H3785" s="16">
        <f>ABS(Solieusap!H3785)</f>
        <v>0</v>
      </c>
      <c r="I3785" s="16">
        <f>ABS(Solieusap!I3785)</f>
        <v>0</v>
      </c>
      <c r="J3785" s="16">
        <f>ABS(Solieusap!J3785)</f>
        <v>0</v>
      </c>
      <c r="K3785" s="16">
        <f t="shared" si="1"/>
        <v>0</v>
      </c>
      <c r="L3785" s="16">
        <f t="shared" si="2"/>
        <v>0</v>
      </c>
    </row>
    <row r="3786" ht="16.5" customHeight="1">
      <c r="A3786" s="15" t="str">
        <f>Solieusap!A3786</f>
        <v/>
      </c>
      <c r="B3786" s="15" t="str">
        <f>Solieusap!B3786</f>
        <v/>
      </c>
      <c r="C3786" s="15" t="str">
        <f>Solieusap!C3786</f>
        <v/>
      </c>
      <c r="D3786" s="15" t="str">
        <f>Solieusap!D3786</f>
        <v/>
      </c>
      <c r="E3786" s="16">
        <f>ABS(Solieusap!E3786)</f>
        <v>0</v>
      </c>
      <c r="F3786" s="16">
        <f>ABS(Solieusap!F3786)</f>
        <v>0</v>
      </c>
      <c r="G3786" s="16">
        <f>ABS(Solieusap!G3786)</f>
        <v>0</v>
      </c>
      <c r="H3786" s="16">
        <f>ABS(Solieusap!H3786)</f>
        <v>0</v>
      </c>
      <c r="I3786" s="16">
        <f>ABS(Solieusap!I3786)</f>
        <v>0</v>
      </c>
      <c r="J3786" s="16">
        <f>ABS(Solieusap!J3786)</f>
        <v>0</v>
      </c>
      <c r="K3786" s="16">
        <f t="shared" si="1"/>
        <v>0</v>
      </c>
      <c r="L3786" s="16">
        <f t="shared" si="2"/>
        <v>0</v>
      </c>
    </row>
    <row r="3787" ht="16.5" customHeight="1">
      <c r="A3787" s="15" t="str">
        <f>Solieusap!A3787</f>
        <v/>
      </c>
      <c r="B3787" s="15" t="str">
        <f>Solieusap!B3787</f>
        <v/>
      </c>
      <c r="C3787" s="15" t="str">
        <f>Solieusap!C3787</f>
        <v/>
      </c>
      <c r="D3787" s="15" t="str">
        <f>Solieusap!D3787</f>
        <v/>
      </c>
      <c r="E3787" s="16">
        <f>ABS(Solieusap!E3787)</f>
        <v>0</v>
      </c>
      <c r="F3787" s="16">
        <f>ABS(Solieusap!F3787)</f>
        <v>0</v>
      </c>
      <c r="G3787" s="16">
        <f>ABS(Solieusap!G3787)</f>
        <v>0</v>
      </c>
      <c r="H3787" s="16">
        <f>ABS(Solieusap!H3787)</f>
        <v>0</v>
      </c>
      <c r="I3787" s="16">
        <f>ABS(Solieusap!I3787)</f>
        <v>0</v>
      </c>
      <c r="J3787" s="16">
        <f>ABS(Solieusap!J3787)</f>
        <v>0</v>
      </c>
      <c r="K3787" s="16">
        <f t="shared" si="1"/>
        <v>0</v>
      </c>
      <c r="L3787" s="16">
        <f t="shared" si="2"/>
        <v>0</v>
      </c>
    </row>
    <row r="3788" ht="16.5" customHeight="1">
      <c r="A3788" s="15" t="str">
        <f>Solieusap!A3788</f>
        <v/>
      </c>
      <c r="B3788" s="15" t="str">
        <f>Solieusap!B3788</f>
        <v/>
      </c>
      <c r="C3788" s="15" t="str">
        <f>Solieusap!C3788</f>
        <v/>
      </c>
      <c r="D3788" s="15" t="str">
        <f>Solieusap!D3788</f>
        <v/>
      </c>
      <c r="E3788" s="16">
        <f>ABS(Solieusap!E3788)</f>
        <v>0</v>
      </c>
      <c r="F3788" s="16">
        <f>ABS(Solieusap!F3788)</f>
        <v>0</v>
      </c>
      <c r="G3788" s="16">
        <f>ABS(Solieusap!G3788)</f>
        <v>0</v>
      </c>
      <c r="H3788" s="16">
        <f>ABS(Solieusap!H3788)</f>
        <v>0</v>
      </c>
      <c r="I3788" s="16">
        <f>ABS(Solieusap!I3788)</f>
        <v>0</v>
      </c>
      <c r="J3788" s="16">
        <f>ABS(Solieusap!J3788)</f>
        <v>0</v>
      </c>
      <c r="K3788" s="16">
        <f t="shared" si="1"/>
        <v>0</v>
      </c>
      <c r="L3788" s="16">
        <f t="shared" si="2"/>
        <v>0</v>
      </c>
    </row>
    <row r="3789" ht="16.5" customHeight="1">
      <c r="A3789" s="15" t="str">
        <f>Solieusap!A3789</f>
        <v/>
      </c>
      <c r="B3789" s="15" t="str">
        <f>Solieusap!B3789</f>
        <v/>
      </c>
      <c r="C3789" s="15" t="str">
        <f>Solieusap!C3789</f>
        <v/>
      </c>
      <c r="D3789" s="15" t="str">
        <f>Solieusap!D3789</f>
        <v/>
      </c>
      <c r="E3789" s="16">
        <f>ABS(Solieusap!E3789)</f>
        <v>0</v>
      </c>
      <c r="F3789" s="16">
        <f>ABS(Solieusap!F3789)</f>
        <v>0</v>
      </c>
      <c r="G3789" s="16">
        <f>ABS(Solieusap!G3789)</f>
        <v>0</v>
      </c>
      <c r="H3789" s="16">
        <f>ABS(Solieusap!H3789)</f>
        <v>0</v>
      </c>
      <c r="I3789" s="16">
        <f>ABS(Solieusap!I3789)</f>
        <v>0</v>
      </c>
      <c r="J3789" s="16">
        <f>ABS(Solieusap!J3789)</f>
        <v>0</v>
      </c>
      <c r="K3789" s="16">
        <f t="shared" si="1"/>
        <v>0</v>
      </c>
      <c r="L3789" s="16">
        <f t="shared" si="2"/>
        <v>0</v>
      </c>
    </row>
    <row r="3790" ht="16.5" customHeight="1">
      <c r="A3790" s="15" t="str">
        <f>Solieusap!A3790</f>
        <v/>
      </c>
      <c r="B3790" s="15" t="str">
        <f>Solieusap!B3790</f>
        <v/>
      </c>
      <c r="C3790" s="15" t="str">
        <f>Solieusap!C3790</f>
        <v/>
      </c>
      <c r="D3790" s="15" t="str">
        <f>Solieusap!D3790</f>
        <v/>
      </c>
      <c r="E3790" s="16">
        <f>ABS(Solieusap!E3790)</f>
        <v>0</v>
      </c>
      <c r="F3790" s="16">
        <f>ABS(Solieusap!F3790)</f>
        <v>0</v>
      </c>
      <c r="G3790" s="16">
        <f>ABS(Solieusap!G3790)</f>
        <v>0</v>
      </c>
      <c r="H3790" s="16">
        <f>ABS(Solieusap!H3790)</f>
        <v>0</v>
      </c>
      <c r="I3790" s="16">
        <f>ABS(Solieusap!I3790)</f>
        <v>0</v>
      </c>
      <c r="J3790" s="16">
        <f>ABS(Solieusap!J3790)</f>
        <v>0</v>
      </c>
      <c r="K3790" s="16">
        <f t="shared" si="1"/>
        <v>0</v>
      </c>
      <c r="L3790" s="16">
        <f t="shared" si="2"/>
        <v>0</v>
      </c>
    </row>
    <row r="3791" ht="16.5" customHeight="1">
      <c r="A3791" s="15" t="str">
        <f>Solieusap!A3791</f>
        <v/>
      </c>
      <c r="B3791" s="15" t="str">
        <f>Solieusap!B3791</f>
        <v/>
      </c>
      <c r="C3791" s="15" t="str">
        <f>Solieusap!C3791</f>
        <v/>
      </c>
      <c r="D3791" s="15" t="str">
        <f>Solieusap!D3791</f>
        <v/>
      </c>
      <c r="E3791" s="16">
        <f>ABS(Solieusap!E3791)</f>
        <v>0</v>
      </c>
      <c r="F3791" s="16">
        <f>ABS(Solieusap!F3791)</f>
        <v>0</v>
      </c>
      <c r="G3791" s="16">
        <f>ABS(Solieusap!G3791)</f>
        <v>0</v>
      </c>
      <c r="H3791" s="16">
        <f>ABS(Solieusap!H3791)</f>
        <v>0</v>
      </c>
      <c r="I3791" s="16">
        <f>ABS(Solieusap!I3791)</f>
        <v>0</v>
      </c>
      <c r="J3791" s="16">
        <f>ABS(Solieusap!J3791)</f>
        <v>0</v>
      </c>
      <c r="K3791" s="16">
        <f t="shared" si="1"/>
        <v>0</v>
      </c>
      <c r="L3791" s="16">
        <f t="shared" si="2"/>
        <v>0</v>
      </c>
    </row>
    <row r="3792" ht="16.5" customHeight="1">
      <c r="A3792" s="15" t="str">
        <f>Solieusap!A3792</f>
        <v/>
      </c>
      <c r="B3792" s="15" t="str">
        <f>Solieusap!B3792</f>
        <v/>
      </c>
      <c r="C3792" s="15" t="str">
        <f>Solieusap!C3792</f>
        <v/>
      </c>
      <c r="D3792" s="15" t="str">
        <f>Solieusap!D3792</f>
        <v/>
      </c>
      <c r="E3792" s="16">
        <f>ABS(Solieusap!E3792)</f>
        <v>0</v>
      </c>
      <c r="F3792" s="16">
        <f>ABS(Solieusap!F3792)</f>
        <v>0</v>
      </c>
      <c r="G3792" s="16">
        <f>ABS(Solieusap!G3792)</f>
        <v>0</v>
      </c>
      <c r="H3792" s="16">
        <f>ABS(Solieusap!H3792)</f>
        <v>0</v>
      </c>
      <c r="I3792" s="16">
        <f>ABS(Solieusap!I3792)</f>
        <v>0</v>
      </c>
      <c r="J3792" s="16">
        <f>ABS(Solieusap!J3792)</f>
        <v>0</v>
      </c>
      <c r="K3792" s="16">
        <f t="shared" si="1"/>
        <v>0</v>
      </c>
      <c r="L3792" s="16">
        <f t="shared" si="2"/>
        <v>0</v>
      </c>
    </row>
    <row r="3793" ht="16.5" customHeight="1">
      <c r="A3793" s="15" t="str">
        <f>Solieusap!A3793</f>
        <v/>
      </c>
      <c r="B3793" s="15" t="str">
        <f>Solieusap!B3793</f>
        <v/>
      </c>
      <c r="C3793" s="15" t="str">
        <f>Solieusap!C3793</f>
        <v/>
      </c>
      <c r="D3793" s="15" t="str">
        <f>Solieusap!D3793</f>
        <v/>
      </c>
      <c r="E3793" s="16">
        <f>ABS(Solieusap!E3793)</f>
        <v>0</v>
      </c>
      <c r="F3793" s="16">
        <f>ABS(Solieusap!F3793)</f>
        <v>0</v>
      </c>
      <c r="G3793" s="16">
        <f>ABS(Solieusap!G3793)</f>
        <v>0</v>
      </c>
      <c r="H3793" s="16">
        <f>ABS(Solieusap!H3793)</f>
        <v>0</v>
      </c>
      <c r="I3793" s="16">
        <f>ABS(Solieusap!I3793)</f>
        <v>0</v>
      </c>
      <c r="J3793" s="16">
        <f>ABS(Solieusap!J3793)</f>
        <v>0</v>
      </c>
      <c r="K3793" s="16">
        <f t="shared" si="1"/>
        <v>0</v>
      </c>
      <c r="L3793" s="16">
        <f t="shared" si="2"/>
        <v>0</v>
      </c>
    </row>
    <row r="3794" ht="16.5" customHeight="1">
      <c r="A3794" s="15" t="str">
        <f>Solieusap!A3794</f>
        <v/>
      </c>
      <c r="B3794" s="15" t="str">
        <f>Solieusap!B3794</f>
        <v/>
      </c>
      <c r="C3794" s="15" t="str">
        <f>Solieusap!C3794</f>
        <v/>
      </c>
      <c r="D3794" s="15" t="str">
        <f>Solieusap!D3794</f>
        <v/>
      </c>
      <c r="E3794" s="16">
        <f>ABS(Solieusap!E3794)</f>
        <v>0</v>
      </c>
      <c r="F3794" s="16">
        <f>ABS(Solieusap!F3794)</f>
        <v>0</v>
      </c>
      <c r="G3794" s="16">
        <f>ABS(Solieusap!G3794)</f>
        <v>0</v>
      </c>
      <c r="H3794" s="16">
        <f>ABS(Solieusap!H3794)</f>
        <v>0</v>
      </c>
      <c r="I3794" s="16">
        <f>ABS(Solieusap!I3794)</f>
        <v>0</v>
      </c>
      <c r="J3794" s="16">
        <f>ABS(Solieusap!J3794)</f>
        <v>0</v>
      </c>
      <c r="K3794" s="16">
        <f t="shared" si="1"/>
        <v>0</v>
      </c>
      <c r="L3794" s="16">
        <f t="shared" si="2"/>
        <v>0</v>
      </c>
    </row>
    <row r="3795" ht="16.5" customHeight="1">
      <c r="A3795" s="15" t="str">
        <f>Solieusap!A3795</f>
        <v/>
      </c>
      <c r="B3795" s="15" t="str">
        <f>Solieusap!B3795</f>
        <v/>
      </c>
      <c r="C3795" s="15" t="str">
        <f>Solieusap!C3795</f>
        <v/>
      </c>
      <c r="D3795" s="15" t="str">
        <f>Solieusap!D3795</f>
        <v/>
      </c>
      <c r="E3795" s="16">
        <f>ABS(Solieusap!E3795)</f>
        <v>0</v>
      </c>
      <c r="F3795" s="16">
        <f>ABS(Solieusap!F3795)</f>
        <v>0</v>
      </c>
      <c r="G3795" s="16">
        <f>ABS(Solieusap!G3795)</f>
        <v>0</v>
      </c>
      <c r="H3795" s="16">
        <f>ABS(Solieusap!H3795)</f>
        <v>0</v>
      </c>
      <c r="I3795" s="16">
        <f>ABS(Solieusap!I3795)</f>
        <v>0</v>
      </c>
      <c r="J3795" s="16">
        <f>ABS(Solieusap!J3795)</f>
        <v>0</v>
      </c>
      <c r="K3795" s="16">
        <f t="shared" si="1"/>
        <v>0</v>
      </c>
      <c r="L3795" s="16">
        <f t="shared" si="2"/>
        <v>0</v>
      </c>
    </row>
    <row r="3796" ht="16.5" customHeight="1">
      <c r="A3796" s="15" t="str">
        <f>Solieusap!A3796</f>
        <v/>
      </c>
      <c r="B3796" s="15" t="str">
        <f>Solieusap!B3796</f>
        <v/>
      </c>
      <c r="C3796" s="15" t="str">
        <f>Solieusap!C3796</f>
        <v/>
      </c>
      <c r="D3796" s="15" t="str">
        <f>Solieusap!D3796</f>
        <v/>
      </c>
      <c r="E3796" s="16">
        <f>ABS(Solieusap!E3796)</f>
        <v>0</v>
      </c>
      <c r="F3796" s="16">
        <f>ABS(Solieusap!F3796)</f>
        <v>0</v>
      </c>
      <c r="G3796" s="16">
        <f>ABS(Solieusap!G3796)</f>
        <v>0</v>
      </c>
      <c r="H3796" s="16">
        <f>ABS(Solieusap!H3796)</f>
        <v>0</v>
      </c>
      <c r="I3796" s="16">
        <f>ABS(Solieusap!I3796)</f>
        <v>0</v>
      </c>
      <c r="J3796" s="16">
        <f>ABS(Solieusap!J3796)</f>
        <v>0</v>
      </c>
      <c r="K3796" s="16">
        <f t="shared" si="1"/>
        <v>0</v>
      </c>
      <c r="L3796" s="16">
        <f t="shared" si="2"/>
        <v>0</v>
      </c>
    </row>
    <row r="3797" ht="16.5" customHeight="1">
      <c r="A3797" s="15" t="str">
        <f>Solieusap!A3797</f>
        <v/>
      </c>
      <c r="B3797" s="15" t="str">
        <f>Solieusap!B3797</f>
        <v/>
      </c>
      <c r="C3797" s="15" t="str">
        <f>Solieusap!C3797</f>
        <v/>
      </c>
      <c r="D3797" s="15" t="str">
        <f>Solieusap!D3797</f>
        <v/>
      </c>
      <c r="E3797" s="16">
        <f>ABS(Solieusap!E3797)</f>
        <v>0</v>
      </c>
      <c r="F3797" s="16">
        <f>ABS(Solieusap!F3797)</f>
        <v>0</v>
      </c>
      <c r="G3797" s="16">
        <f>ABS(Solieusap!G3797)</f>
        <v>0</v>
      </c>
      <c r="H3797" s="16">
        <f>ABS(Solieusap!H3797)</f>
        <v>0</v>
      </c>
      <c r="I3797" s="16">
        <f>ABS(Solieusap!I3797)</f>
        <v>0</v>
      </c>
      <c r="J3797" s="16">
        <f>ABS(Solieusap!J3797)</f>
        <v>0</v>
      </c>
      <c r="K3797" s="16">
        <f t="shared" si="1"/>
        <v>0</v>
      </c>
      <c r="L3797" s="16">
        <f t="shared" si="2"/>
        <v>0</v>
      </c>
    </row>
    <row r="3798" ht="16.5" customHeight="1">
      <c r="A3798" s="15" t="str">
        <f>Solieusap!A3798</f>
        <v/>
      </c>
      <c r="B3798" s="15" t="str">
        <f>Solieusap!B3798</f>
        <v/>
      </c>
      <c r="C3798" s="15" t="str">
        <f>Solieusap!C3798</f>
        <v/>
      </c>
      <c r="D3798" s="15" t="str">
        <f>Solieusap!D3798</f>
        <v/>
      </c>
      <c r="E3798" s="16">
        <f>ABS(Solieusap!E3798)</f>
        <v>0</v>
      </c>
      <c r="F3798" s="16">
        <f>ABS(Solieusap!F3798)</f>
        <v>0</v>
      </c>
      <c r="G3798" s="16">
        <f>ABS(Solieusap!G3798)</f>
        <v>0</v>
      </c>
      <c r="H3798" s="16">
        <f>ABS(Solieusap!H3798)</f>
        <v>0</v>
      </c>
      <c r="I3798" s="16">
        <f>ABS(Solieusap!I3798)</f>
        <v>0</v>
      </c>
      <c r="J3798" s="16">
        <f>ABS(Solieusap!J3798)</f>
        <v>0</v>
      </c>
      <c r="K3798" s="16">
        <f t="shared" si="1"/>
        <v>0</v>
      </c>
      <c r="L3798" s="16">
        <f t="shared" si="2"/>
        <v>0</v>
      </c>
    </row>
    <row r="3799" ht="16.5" customHeight="1">
      <c r="A3799" s="15" t="str">
        <f>Solieusap!A3799</f>
        <v/>
      </c>
      <c r="B3799" s="15" t="str">
        <f>Solieusap!B3799</f>
        <v/>
      </c>
      <c r="C3799" s="15" t="str">
        <f>Solieusap!C3799</f>
        <v/>
      </c>
      <c r="D3799" s="15" t="str">
        <f>Solieusap!D3799</f>
        <v/>
      </c>
      <c r="E3799" s="16">
        <f>ABS(Solieusap!E3799)</f>
        <v>0</v>
      </c>
      <c r="F3799" s="16">
        <f>ABS(Solieusap!F3799)</f>
        <v>0</v>
      </c>
      <c r="G3799" s="16">
        <f>ABS(Solieusap!G3799)</f>
        <v>0</v>
      </c>
      <c r="H3799" s="16">
        <f>ABS(Solieusap!H3799)</f>
        <v>0</v>
      </c>
      <c r="I3799" s="16">
        <f>ABS(Solieusap!I3799)</f>
        <v>0</v>
      </c>
      <c r="J3799" s="16">
        <f>ABS(Solieusap!J3799)</f>
        <v>0</v>
      </c>
      <c r="K3799" s="16">
        <f t="shared" si="1"/>
        <v>0</v>
      </c>
      <c r="L3799" s="16">
        <f t="shared" si="2"/>
        <v>0</v>
      </c>
    </row>
    <row r="3800" ht="16.5" customHeight="1">
      <c r="A3800" s="15" t="str">
        <f>Solieusap!A3800</f>
        <v/>
      </c>
      <c r="B3800" s="15" t="str">
        <f>Solieusap!B3800</f>
        <v/>
      </c>
      <c r="C3800" s="15" t="str">
        <f>Solieusap!C3800</f>
        <v/>
      </c>
      <c r="D3800" s="15" t="str">
        <f>Solieusap!D3800</f>
        <v/>
      </c>
      <c r="E3800" s="16">
        <f>ABS(Solieusap!E3800)</f>
        <v>0</v>
      </c>
      <c r="F3800" s="16">
        <f>ABS(Solieusap!F3800)</f>
        <v>0</v>
      </c>
      <c r="G3800" s="16">
        <f>ABS(Solieusap!G3800)</f>
        <v>0</v>
      </c>
      <c r="H3800" s="16">
        <f>ABS(Solieusap!H3800)</f>
        <v>0</v>
      </c>
      <c r="I3800" s="16">
        <f>ABS(Solieusap!I3800)</f>
        <v>0</v>
      </c>
      <c r="J3800" s="16">
        <f>ABS(Solieusap!J3800)</f>
        <v>0</v>
      </c>
      <c r="K3800" s="16">
        <f t="shared" si="1"/>
        <v>0</v>
      </c>
      <c r="L3800" s="16">
        <f t="shared" si="2"/>
        <v>0</v>
      </c>
    </row>
    <row r="3801" ht="16.5" customHeight="1">
      <c r="A3801" s="15" t="str">
        <f>Solieusap!A3801</f>
        <v/>
      </c>
      <c r="B3801" s="15" t="str">
        <f>Solieusap!B3801</f>
        <v/>
      </c>
      <c r="C3801" s="15" t="str">
        <f>Solieusap!C3801</f>
        <v/>
      </c>
      <c r="D3801" s="15" t="str">
        <f>Solieusap!D3801</f>
        <v/>
      </c>
      <c r="E3801" s="16">
        <f>ABS(Solieusap!E3801)</f>
        <v>0</v>
      </c>
      <c r="F3801" s="16">
        <f>ABS(Solieusap!F3801)</f>
        <v>0</v>
      </c>
      <c r="G3801" s="16">
        <f>ABS(Solieusap!G3801)</f>
        <v>0</v>
      </c>
      <c r="H3801" s="16">
        <f>ABS(Solieusap!H3801)</f>
        <v>0</v>
      </c>
      <c r="I3801" s="16">
        <f>ABS(Solieusap!I3801)</f>
        <v>0</v>
      </c>
      <c r="J3801" s="16">
        <f>ABS(Solieusap!J3801)</f>
        <v>0</v>
      </c>
      <c r="K3801" s="16">
        <f t="shared" si="1"/>
        <v>0</v>
      </c>
      <c r="L3801" s="16">
        <f t="shared" si="2"/>
        <v>0</v>
      </c>
    </row>
    <row r="3802" ht="16.5" customHeight="1">
      <c r="A3802" s="15" t="str">
        <f>Solieusap!A3802</f>
        <v/>
      </c>
      <c r="B3802" s="15" t="str">
        <f>Solieusap!B3802</f>
        <v/>
      </c>
      <c r="C3802" s="15" t="str">
        <f>Solieusap!C3802</f>
        <v/>
      </c>
      <c r="D3802" s="15" t="str">
        <f>Solieusap!D3802</f>
        <v/>
      </c>
      <c r="E3802" s="16">
        <f>ABS(Solieusap!E3802)</f>
        <v>0</v>
      </c>
      <c r="F3802" s="16">
        <f>ABS(Solieusap!F3802)</f>
        <v>0</v>
      </c>
      <c r="G3802" s="16">
        <f>ABS(Solieusap!G3802)</f>
        <v>0</v>
      </c>
      <c r="H3802" s="16">
        <f>ABS(Solieusap!H3802)</f>
        <v>0</v>
      </c>
      <c r="I3802" s="16">
        <f>ABS(Solieusap!I3802)</f>
        <v>0</v>
      </c>
      <c r="J3802" s="16">
        <f>ABS(Solieusap!J3802)</f>
        <v>0</v>
      </c>
      <c r="K3802" s="16">
        <f t="shared" si="1"/>
        <v>0</v>
      </c>
      <c r="L3802" s="16">
        <f t="shared" si="2"/>
        <v>0</v>
      </c>
    </row>
    <row r="3803" ht="16.5" customHeight="1">
      <c r="A3803" s="15" t="str">
        <f>Solieusap!A3803</f>
        <v/>
      </c>
      <c r="B3803" s="15" t="str">
        <f>Solieusap!B3803</f>
        <v/>
      </c>
      <c r="C3803" s="15" t="str">
        <f>Solieusap!C3803</f>
        <v/>
      </c>
      <c r="D3803" s="15" t="str">
        <f>Solieusap!D3803</f>
        <v/>
      </c>
      <c r="E3803" s="16">
        <f>ABS(Solieusap!E3803)</f>
        <v>0</v>
      </c>
      <c r="F3803" s="16">
        <f>ABS(Solieusap!F3803)</f>
        <v>0</v>
      </c>
      <c r="G3803" s="16">
        <f>ABS(Solieusap!G3803)</f>
        <v>0</v>
      </c>
      <c r="H3803" s="16">
        <f>ABS(Solieusap!H3803)</f>
        <v>0</v>
      </c>
      <c r="I3803" s="16">
        <f>ABS(Solieusap!I3803)</f>
        <v>0</v>
      </c>
      <c r="J3803" s="16">
        <f>ABS(Solieusap!J3803)</f>
        <v>0</v>
      </c>
      <c r="K3803" s="16">
        <f t="shared" si="1"/>
        <v>0</v>
      </c>
      <c r="L3803" s="16">
        <f t="shared" si="2"/>
        <v>0</v>
      </c>
    </row>
    <row r="3804" ht="16.5" customHeight="1">
      <c r="A3804" s="15" t="str">
        <f>Solieusap!A3804</f>
        <v/>
      </c>
      <c r="B3804" s="15" t="str">
        <f>Solieusap!B3804</f>
        <v/>
      </c>
      <c r="C3804" s="15" t="str">
        <f>Solieusap!C3804</f>
        <v/>
      </c>
      <c r="D3804" s="15" t="str">
        <f>Solieusap!D3804</f>
        <v/>
      </c>
      <c r="E3804" s="16">
        <f>ABS(Solieusap!E3804)</f>
        <v>0</v>
      </c>
      <c r="F3804" s="16">
        <f>ABS(Solieusap!F3804)</f>
        <v>0</v>
      </c>
      <c r="G3804" s="16">
        <f>ABS(Solieusap!G3804)</f>
        <v>0</v>
      </c>
      <c r="H3804" s="16">
        <f>ABS(Solieusap!H3804)</f>
        <v>0</v>
      </c>
      <c r="I3804" s="16">
        <f>ABS(Solieusap!I3804)</f>
        <v>0</v>
      </c>
      <c r="J3804" s="16">
        <f>ABS(Solieusap!J3804)</f>
        <v>0</v>
      </c>
      <c r="K3804" s="16">
        <f t="shared" si="1"/>
        <v>0</v>
      </c>
      <c r="L3804" s="16">
        <f t="shared" si="2"/>
        <v>0</v>
      </c>
    </row>
    <row r="3805" ht="16.5" customHeight="1">
      <c r="A3805" s="15" t="str">
        <f>Solieusap!A3805</f>
        <v/>
      </c>
      <c r="B3805" s="15" t="str">
        <f>Solieusap!B3805</f>
        <v/>
      </c>
      <c r="C3805" s="15" t="str">
        <f>Solieusap!C3805</f>
        <v/>
      </c>
      <c r="D3805" s="15" t="str">
        <f>Solieusap!D3805</f>
        <v/>
      </c>
      <c r="E3805" s="16">
        <f>ABS(Solieusap!E3805)</f>
        <v>0</v>
      </c>
      <c r="F3805" s="16">
        <f>ABS(Solieusap!F3805)</f>
        <v>0</v>
      </c>
      <c r="G3805" s="16">
        <f>ABS(Solieusap!G3805)</f>
        <v>0</v>
      </c>
      <c r="H3805" s="16">
        <f>ABS(Solieusap!H3805)</f>
        <v>0</v>
      </c>
      <c r="I3805" s="16">
        <f>ABS(Solieusap!I3805)</f>
        <v>0</v>
      </c>
      <c r="J3805" s="16">
        <f>ABS(Solieusap!J3805)</f>
        <v>0</v>
      </c>
      <c r="K3805" s="16">
        <f t="shared" si="1"/>
        <v>0</v>
      </c>
      <c r="L3805" s="16">
        <f t="shared" si="2"/>
        <v>0</v>
      </c>
    </row>
    <row r="3806" ht="16.5" customHeight="1">
      <c r="A3806" s="15" t="str">
        <f>Solieusap!A3806</f>
        <v/>
      </c>
      <c r="B3806" s="15" t="str">
        <f>Solieusap!B3806</f>
        <v/>
      </c>
      <c r="C3806" s="15" t="str">
        <f>Solieusap!C3806</f>
        <v/>
      </c>
      <c r="D3806" s="15" t="str">
        <f>Solieusap!D3806</f>
        <v/>
      </c>
      <c r="E3806" s="16">
        <f>ABS(Solieusap!E3806)</f>
        <v>0</v>
      </c>
      <c r="F3806" s="16">
        <f>ABS(Solieusap!F3806)</f>
        <v>0</v>
      </c>
      <c r="G3806" s="16">
        <f>ABS(Solieusap!G3806)</f>
        <v>0</v>
      </c>
      <c r="H3806" s="16">
        <f>ABS(Solieusap!H3806)</f>
        <v>0</v>
      </c>
      <c r="I3806" s="16">
        <f>ABS(Solieusap!I3806)</f>
        <v>0</v>
      </c>
      <c r="J3806" s="16">
        <f>ABS(Solieusap!J3806)</f>
        <v>0</v>
      </c>
      <c r="K3806" s="16">
        <f t="shared" si="1"/>
        <v>0</v>
      </c>
      <c r="L3806" s="16">
        <f t="shared" si="2"/>
        <v>0</v>
      </c>
    </row>
    <row r="3807" ht="16.5" customHeight="1">
      <c r="A3807" s="15" t="str">
        <f>Solieusap!A3807</f>
        <v/>
      </c>
      <c r="B3807" s="15" t="str">
        <f>Solieusap!B3807</f>
        <v/>
      </c>
      <c r="C3807" s="15" t="str">
        <f>Solieusap!C3807</f>
        <v/>
      </c>
      <c r="D3807" s="15" t="str">
        <f>Solieusap!D3807</f>
        <v/>
      </c>
      <c r="E3807" s="16">
        <f>ABS(Solieusap!E3807)</f>
        <v>0</v>
      </c>
      <c r="F3807" s="16">
        <f>ABS(Solieusap!F3807)</f>
        <v>0</v>
      </c>
      <c r="G3807" s="16">
        <f>ABS(Solieusap!G3807)</f>
        <v>0</v>
      </c>
      <c r="H3807" s="16">
        <f>ABS(Solieusap!H3807)</f>
        <v>0</v>
      </c>
      <c r="I3807" s="16">
        <f>ABS(Solieusap!I3807)</f>
        <v>0</v>
      </c>
      <c r="J3807" s="16">
        <f>ABS(Solieusap!J3807)</f>
        <v>0</v>
      </c>
      <c r="K3807" s="16">
        <f t="shared" si="1"/>
        <v>0</v>
      </c>
      <c r="L3807" s="16">
        <f t="shared" si="2"/>
        <v>0</v>
      </c>
    </row>
    <row r="3808" ht="16.5" customHeight="1">
      <c r="A3808" s="15" t="str">
        <f>Solieusap!A3808</f>
        <v/>
      </c>
      <c r="B3808" s="15" t="str">
        <f>Solieusap!B3808</f>
        <v/>
      </c>
      <c r="C3808" s="15" t="str">
        <f>Solieusap!C3808</f>
        <v/>
      </c>
      <c r="D3808" s="15" t="str">
        <f>Solieusap!D3808</f>
        <v/>
      </c>
      <c r="E3808" s="16">
        <f>ABS(Solieusap!E3808)</f>
        <v>0</v>
      </c>
      <c r="F3808" s="16">
        <f>ABS(Solieusap!F3808)</f>
        <v>0</v>
      </c>
      <c r="G3808" s="16">
        <f>ABS(Solieusap!G3808)</f>
        <v>0</v>
      </c>
      <c r="H3808" s="16">
        <f>ABS(Solieusap!H3808)</f>
        <v>0</v>
      </c>
      <c r="I3808" s="16">
        <f>ABS(Solieusap!I3808)</f>
        <v>0</v>
      </c>
      <c r="J3808" s="16">
        <f>ABS(Solieusap!J3808)</f>
        <v>0</v>
      </c>
      <c r="K3808" s="16">
        <f t="shared" si="1"/>
        <v>0</v>
      </c>
      <c r="L3808" s="16">
        <f t="shared" si="2"/>
        <v>0</v>
      </c>
    </row>
    <row r="3809" ht="16.5" customHeight="1">
      <c r="A3809" s="15" t="str">
        <f>Solieusap!A3809</f>
        <v/>
      </c>
      <c r="B3809" s="15" t="str">
        <f>Solieusap!B3809</f>
        <v/>
      </c>
      <c r="C3809" s="15" t="str">
        <f>Solieusap!C3809</f>
        <v/>
      </c>
      <c r="D3809" s="15" t="str">
        <f>Solieusap!D3809</f>
        <v/>
      </c>
      <c r="E3809" s="16">
        <f>ABS(Solieusap!E3809)</f>
        <v>0</v>
      </c>
      <c r="F3809" s="16">
        <f>ABS(Solieusap!F3809)</f>
        <v>0</v>
      </c>
      <c r="G3809" s="16">
        <f>ABS(Solieusap!G3809)</f>
        <v>0</v>
      </c>
      <c r="H3809" s="16">
        <f>ABS(Solieusap!H3809)</f>
        <v>0</v>
      </c>
      <c r="I3809" s="16">
        <f>ABS(Solieusap!I3809)</f>
        <v>0</v>
      </c>
      <c r="J3809" s="16">
        <f>ABS(Solieusap!J3809)</f>
        <v>0</v>
      </c>
      <c r="K3809" s="16">
        <f t="shared" si="1"/>
        <v>0</v>
      </c>
      <c r="L3809" s="16">
        <f t="shared" si="2"/>
        <v>0</v>
      </c>
    </row>
    <row r="3810" ht="16.5" customHeight="1">
      <c r="A3810" s="15" t="str">
        <f>Solieusap!A3810</f>
        <v/>
      </c>
      <c r="B3810" s="15" t="str">
        <f>Solieusap!B3810</f>
        <v/>
      </c>
      <c r="C3810" s="15" t="str">
        <f>Solieusap!C3810</f>
        <v/>
      </c>
      <c r="D3810" s="15" t="str">
        <f>Solieusap!D3810</f>
        <v/>
      </c>
      <c r="E3810" s="16">
        <f>ABS(Solieusap!E3810)</f>
        <v>0</v>
      </c>
      <c r="F3810" s="16">
        <f>ABS(Solieusap!F3810)</f>
        <v>0</v>
      </c>
      <c r="G3810" s="16">
        <f>ABS(Solieusap!G3810)</f>
        <v>0</v>
      </c>
      <c r="H3810" s="16">
        <f>ABS(Solieusap!H3810)</f>
        <v>0</v>
      </c>
      <c r="I3810" s="16">
        <f>ABS(Solieusap!I3810)</f>
        <v>0</v>
      </c>
      <c r="J3810" s="16">
        <f>ABS(Solieusap!J3810)</f>
        <v>0</v>
      </c>
      <c r="K3810" s="16">
        <f t="shared" si="1"/>
        <v>0</v>
      </c>
      <c r="L3810" s="16">
        <f t="shared" si="2"/>
        <v>0</v>
      </c>
    </row>
    <row r="3811" ht="16.5" customHeight="1">
      <c r="A3811" s="15" t="str">
        <f>Solieusap!A3811</f>
        <v/>
      </c>
      <c r="B3811" s="15" t="str">
        <f>Solieusap!B3811</f>
        <v/>
      </c>
      <c r="C3811" s="15" t="str">
        <f>Solieusap!C3811</f>
        <v/>
      </c>
      <c r="D3811" s="15" t="str">
        <f>Solieusap!D3811</f>
        <v/>
      </c>
      <c r="E3811" s="16">
        <f>ABS(Solieusap!E3811)</f>
        <v>0</v>
      </c>
      <c r="F3811" s="16">
        <f>ABS(Solieusap!F3811)</f>
        <v>0</v>
      </c>
      <c r="G3811" s="16">
        <f>ABS(Solieusap!G3811)</f>
        <v>0</v>
      </c>
      <c r="H3811" s="16">
        <f>ABS(Solieusap!H3811)</f>
        <v>0</v>
      </c>
      <c r="I3811" s="16">
        <f>ABS(Solieusap!I3811)</f>
        <v>0</v>
      </c>
      <c r="J3811" s="16">
        <f>ABS(Solieusap!J3811)</f>
        <v>0</v>
      </c>
      <c r="K3811" s="16">
        <f t="shared" si="1"/>
        <v>0</v>
      </c>
      <c r="L3811" s="16">
        <f t="shared" si="2"/>
        <v>0</v>
      </c>
    </row>
    <row r="3812" ht="16.5" customHeight="1">
      <c r="A3812" s="15" t="str">
        <f>Solieusap!A3812</f>
        <v/>
      </c>
      <c r="B3812" s="15" t="str">
        <f>Solieusap!B3812</f>
        <v/>
      </c>
      <c r="C3812" s="15" t="str">
        <f>Solieusap!C3812</f>
        <v/>
      </c>
      <c r="D3812" s="15" t="str">
        <f>Solieusap!D3812</f>
        <v/>
      </c>
      <c r="E3812" s="16">
        <f>ABS(Solieusap!E3812)</f>
        <v>0</v>
      </c>
      <c r="F3812" s="16">
        <f>ABS(Solieusap!F3812)</f>
        <v>0</v>
      </c>
      <c r="G3812" s="16">
        <f>ABS(Solieusap!G3812)</f>
        <v>0</v>
      </c>
      <c r="H3812" s="16">
        <f>ABS(Solieusap!H3812)</f>
        <v>0</v>
      </c>
      <c r="I3812" s="16">
        <f>ABS(Solieusap!I3812)</f>
        <v>0</v>
      </c>
      <c r="J3812" s="16">
        <f>ABS(Solieusap!J3812)</f>
        <v>0</v>
      </c>
      <c r="K3812" s="16">
        <f t="shared" si="1"/>
        <v>0</v>
      </c>
      <c r="L3812" s="16">
        <f t="shared" si="2"/>
        <v>0</v>
      </c>
    </row>
    <row r="3813" ht="16.5" customHeight="1">
      <c r="A3813" s="15" t="str">
        <f>Solieusap!A3813</f>
        <v/>
      </c>
      <c r="B3813" s="15" t="str">
        <f>Solieusap!B3813</f>
        <v/>
      </c>
      <c r="C3813" s="15" t="str">
        <f>Solieusap!C3813</f>
        <v/>
      </c>
      <c r="D3813" s="15" t="str">
        <f>Solieusap!D3813</f>
        <v/>
      </c>
      <c r="E3813" s="16">
        <f>ABS(Solieusap!E3813)</f>
        <v>0</v>
      </c>
      <c r="F3813" s="16">
        <f>ABS(Solieusap!F3813)</f>
        <v>0</v>
      </c>
      <c r="G3813" s="16">
        <f>ABS(Solieusap!G3813)</f>
        <v>0</v>
      </c>
      <c r="H3813" s="16">
        <f>ABS(Solieusap!H3813)</f>
        <v>0</v>
      </c>
      <c r="I3813" s="16">
        <f>ABS(Solieusap!I3813)</f>
        <v>0</v>
      </c>
      <c r="J3813" s="16">
        <f>ABS(Solieusap!J3813)</f>
        <v>0</v>
      </c>
      <c r="K3813" s="16">
        <f t="shared" si="1"/>
        <v>0</v>
      </c>
      <c r="L3813" s="16">
        <f t="shared" si="2"/>
        <v>0</v>
      </c>
    </row>
    <row r="3814" ht="16.5" customHeight="1">
      <c r="A3814" s="15" t="str">
        <f>Solieusap!A3814</f>
        <v/>
      </c>
      <c r="B3814" s="15" t="str">
        <f>Solieusap!B3814</f>
        <v/>
      </c>
      <c r="C3814" s="15" t="str">
        <f>Solieusap!C3814</f>
        <v/>
      </c>
      <c r="D3814" s="15" t="str">
        <f>Solieusap!D3814</f>
        <v/>
      </c>
      <c r="E3814" s="16">
        <f>ABS(Solieusap!E3814)</f>
        <v>0</v>
      </c>
      <c r="F3814" s="16">
        <f>ABS(Solieusap!F3814)</f>
        <v>0</v>
      </c>
      <c r="G3814" s="16">
        <f>ABS(Solieusap!G3814)</f>
        <v>0</v>
      </c>
      <c r="H3814" s="16">
        <f>ABS(Solieusap!H3814)</f>
        <v>0</v>
      </c>
      <c r="I3814" s="16">
        <f>ABS(Solieusap!I3814)</f>
        <v>0</v>
      </c>
      <c r="J3814" s="16">
        <f>ABS(Solieusap!J3814)</f>
        <v>0</v>
      </c>
      <c r="K3814" s="16">
        <f t="shared" si="1"/>
        <v>0</v>
      </c>
      <c r="L3814" s="16">
        <f t="shared" si="2"/>
        <v>0</v>
      </c>
    </row>
    <row r="3815" ht="16.5" customHeight="1">
      <c r="A3815" s="15" t="str">
        <f>Solieusap!A3815</f>
        <v/>
      </c>
      <c r="B3815" s="15" t="str">
        <f>Solieusap!B3815</f>
        <v/>
      </c>
      <c r="C3815" s="15" t="str">
        <f>Solieusap!C3815</f>
        <v/>
      </c>
      <c r="D3815" s="15" t="str">
        <f>Solieusap!D3815</f>
        <v/>
      </c>
      <c r="E3815" s="16">
        <f>ABS(Solieusap!E3815)</f>
        <v>0</v>
      </c>
      <c r="F3815" s="16">
        <f>ABS(Solieusap!F3815)</f>
        <v>0</v>
      </c>
      <c r="G3815" s="16">
        <f>ABS(Solieusap!G3815)</f>
        <v>0</v>
      </c>
      <c r="H3815" s="16">
        <f>ABS(Solieusap!H3815)</f>
        <v>0</v>
      </c>
      <c r="I3815" s="16">
        <f>ABS(Solieusap!I3815)</f>
        <v>0</v>
      </c>
      <c r="J3815" s="16">
        <f>ABS(Solieusap!J3815)</f>
        <v>0</v>
      </c>
      <c r="K3815" s="16">
        <f t="shared" si="1"/>
        <v>0</v>
      </c>
      <c r="L3815" s="16">
        <f t="shared" si="2"/>
        <v>0</v>
      </c>
    </row>
    <row r="3816" ht="16.5" customHeight="1">
      <c r="A3816" s="15" t="str">
        <f>Solieusap!A3816</f>
        <v/>
      </c>
      <c r="B3816" s="15" t="str">
        <f>Solieusap!B3816</f>
        <v/>
      </c>
      <c r="C3816" s="15" t="str">
        <f>Solieusap!C3816</f>
        <v/>
      </c>
      <c r="D3816" s="15" t="str">
        <f>Solieusap!D3816</f>
        <v/>
      </c>
      <c r="E3816" s="16">
        <f>ABS(Solieusap!E3816)</f>
        <v>0</v>
      </c>
      <c r="F3816" s="16">
        <f>ABS(Solieusap!F3816)</f>
        <v>0</v>
      </c>
      <c r="G3816" s="16">
        <f>ABS(Solieusap!G3816)</f>
        <v>0</v>
      </c>
      <c r="H3816" s="16">
        <f>ABS(Solieusap!H3816)</f>
        <v>0</v>
      </c>
      <c r="I3816" s="16">
        <f>ABS(Solieusap!I3816)</f>
        <v>0</v>
      </c>
      <c r="J3816" s="16">
        <f>ABS(Solieusap!J3816)</f>
        <v>0</v>
      </c>
      <c r="K3816" s="16">
        <f t="shared" si="1"/>
        <v>0</v>
      </c>
      <c r="L3816" s="16">
        <f t="shared" si="2"/>
        <v>0</v>
      </c>
    </row>
    <row r="3817" ht="16.5" customHeight="1">
      <c r="A3817" s="15" t="str">
        <f>Solieusap!A3817</f>
        <v/>
      </c>
      <c r="B3817" s="15" t="str">
        <f>Solieusap!B3817</f>
        <v/>
      </c>
      <c r="C3817" s="15" t="str">
        <f>Solieusap!C3817</f>
        <v/>
      </c>
      <c r="D3817" s="15" t="str">
        <f>Solieusap!D3817</f>
        <v/>
      </c>
      <c r="E3817" s="16">
        <f>ABS(Solieusap!E3817)</f>
        <v>0</v>
      </c>
      <c r="F3817" s="16">
        <f>ABS(Solieusap!F3817)</f>
        <v>0</v>
      </c>
      <c r="G3817" s="16">
        <f>ABS(Solieusap!G3817)</f>
        <v>0</v>
      </c>
      <c r="H3817" s="16">
        <f>ABS(Solieusap!H3817)</f>
        <v>0</v>
      </c>
      <c r="I3817" s="16">
        <f>ABS(Solieusap!I3817)</f>
        <v>0</v>
      </c>
      <c r="J3817" s="16">
        <f>ABS(Solieusap!J3817)</f>
        <v>0</v>
      </c>
      <c r="K3817" s="16">
        <f t="shared" si="1"/>
        <v>0</v>
      </c>
      <c r="L3817" s="16">
        <f t="shared" si="2"/>
        <v>0</v>
      </c>
    </row>
    <row r="3818" ht="16.5" customHeight="1">
      <c r="A3818" s="15" t="str">
        <f>Solieusap!A3818</f>
        <v/>
      </c>
      <c r="B3818" s="15" t="str">
        <f>Solieusap!B3818</f>
        <v/>
      </c>
      <c r="C3818" s="15" t="str">
        <f>Solieusap!C3818</f>
        <v/>
      </c>
      <c r="D3818" s="15" t="str">
        <f>Solieusap!D3818</f>
        <v/>
      </c>
      <c r="E3818" s="16">
        <f>ABS(Solieusap!E3818)</f>
        <v>0</v>
      </c>
      <c r="F3818" s="16">
        <f>ABS(Solieusap!F3818)</f>
        <v>0</v>
      </c>
      <c r="G3818" s="16">
        <f>ABS(Solieusap!G3818)</f>
        <v>0</v>
      </c>
      <c r="H3818" s="16">
        <f>ABS(Solieusap!H3818)</f>
        <v>0</v>
      </c>
      <c r="I3818" s="16">
        <f>ABS(Solieusap!I3818)</f>
        <v>0</v>
      </c>
      <c r="J3818" s="16">
        <f>ABS(Solieusap!J3818)</f>
        <v>0</v>
      </c>
      <c r="K3818" s="16">
        <f t="shared" si="1"/>
        <v>0</v>
      </c>
      <c r="L3818" s="16">
        <f t="shared" si="2"/>
        <v>0</v>
      </c>
    </row>
    <row r="3819" ht="16.5" customHeight="1">
      <c r="A3819" s="15" t="str">
        <f>Solieusap!A3819</f>
        <v/>
      </c>
      <c r="B3819" s="15" t="str">
        <f>Solieusap!B3819</f>
        <v/>
      </c>
      <c r="C3819" s="15" t="str">
        <f>Solieusap!C3819</f>
        <v/>
      </c>
      <c r="D3819" s="15" t="str">
        <f>Solieusap!D3819</f>
        <v/>
      </c>
      <c r="E3819" s="16">
        <f>ABS(Solieusap!E3819)</f>
        <v>0</v>
      </c>
      <c r="F3819" s="16">
        <f>ABS(Solieusap!F3819)</f>
        <v>0</v>
      </c>
      <c r="G3819" s="16">
        <f>ABS(Solieusap!G3819)</f>
        <v>0</v>
      </c>
      <c r="H3819" s="16">
        <f>ABS(Solieusap!H3819)</f>
        <v>0</v>
      </c>
      <c r="I3819" s="16">
        <f>ABS(Solieusap!I3819)</f>
        <v>0</v>
      </c>
      <c r="J3819" s="16">
        <f>ABS(Solieusap!J3819)</f>
        <v>0</v>
      </c>
      <c r="K3819" s="16">
        <f t="shared" si="1"/>
        <v>0</v>
      </c>
      <c r="L3819" s="16">
        <f t="shared" si="2"/>
        <v>0</v>
      </c>
    </row>
    <row r="3820" ht="16.5" customHeight="1">
      <c r="A3820" s="15" t="str">
        <f>Solieusap!A3820</f>
        <v/>
      </c>
      <c r="B3820" s="15" t="str">
        <f>Solieusap!B3820</f>
        <v/>
      </c>
      <c r="C3820" s="15" t="str">
        <f>Solieusap!C3820</f>
        <v/>
      </c>
      <c r="D3820" s="15" t="str">
        <f>Solieusap!D3820</f>
        <v/>
      </c>
      <c r="E3820" s="16">
        <f>ABS(Solieusap!E3820)</f>
        <v>0</v>
      </c>
      <c r="F3820" s="16">
        <f>ABS(Solieusap!F3820)</f>
        <v>0</v>
      </c>
      <c r="G3820" s="16">
        <f>ABS(Solieusap!G3820)</f>
        <v>0</v>
      </c>
      <c r="H3820" s="16">
        <f>ABS(Solieusap!H3820)</f>
        <v>0</v>
      </c>
      <c r="I3820" s="16">
        <f>ABS(Solieusap!I3820)</f>
        <v>0</v>
      </c>
      <c r="J3820" s="16">
        <f>ABS(Solieusap!J3820)</f>
        <v>0</v>
      </c>
      <c r="K3820" s="16">
        <f t="shared" si="1"/>
        <v>0</v>
      </c>
      <c r="L3820" s="16">
        <f t="shared" si="2"/>
        <v>0</v>
      </c>
    </row>
    <row r="3821" ht="16.5" customHeight="1">
      <c r="A3821" s="15" t="str">
        <f>Solieusap!A3821</f>
        <v/>
      </c>
      <c r="B3821" s="15" t="str">
        <f>Solieusap!B3821</f>
        <v/>
      </c>
      <c r="C3821" s="15" t="str">
        <f>Solieusap!C3821</f>
        <v/>
      </c>
      <c r="D3821" s="15" t="str">
        <f>Solieusap!D3821</f>
        <v/>
      </c>
      <c r="E3821" s="16">
        <f>ABS(Solieusap!E3821)</f>
        <v>0</v>
      </c>
      <c r="F3821" s="16">
        <f>ABS(Solieusap!F3821)</f>
        <v>0</v>
      </c>
      <c r="G3821" s="16">
        <f>ABS(Solieusap!G3821)</f>
        <v>0</v>
      </c>
      <c r="H3821" s="16">
        <f>ABS(Solieusap!H3821)</f>
        <v>0</v>
      </c>
      <c r="I3821" s="16">
        <f>ABS(Solieusap!I3821)</f>
        <v>0</v>
      </c>
      <c r="J3821" s="16">
        <f>ABS(Solieusap!J3821)</f>
        <v>0</v>
      </c>
      <c r="K3821" s="16">
        <f t="shared" si="1"/>
        <v>0</v>
      </c>
      <c r="L3821" s="16">
        <f t="shared" si="2"/>
        <v>0</v>
      </c>
    </row>
    <row r="3822" ht="16.5" customHeight="1">
      <c r="A3822" s="15" t="str">
        <f>Solieusap!A3822</f>
        <v/>
      </c>
      <c r="B3822" s="15" t="str">
        <f>Solieusap!B3822</f>
        <v/>
      </c>
      <c r="C3822" s="15" t="str">
        <f>Solieusap!C3822</f>
        <v/>
      </c>
      <c r="D3822" s="15" t="str">
        <f>Solieusap!D3822</f>
        <v/>
      </c>
      <c r="E3822" s="16">
        <f>ABS(Solieusap!E3822)</f>
        <v>0</v>
      </c>
      <c r="F3822" s="16">
        <f>ABS(Solieusap!F3822)</f>
        <v>0</v>
      </c>
      <c r="G3822" s="16">
        <f>ABS(Solieusap!G3822)</f>
        <v>0</v>
      </c>
      <c r="H3822" s="16">
        <f>ABS(Solieusap!H3822)</f>
        <v>0</v>
      </c>
      <c r="I3822" s="16">
        <f>ABS(Solieusap!I3822)</f>
        <v>0</v>
      </c>
      <c r="J3822" s="16">
        <f>ABS(Solieusap!J3822)</f>
        <v>0</v>
      </c>
      <c r="K3822" s="16">
        <f t="shared" si="1"/>
        <v>0</v>
      </c>
      <c r="L3822" s="16">
        <f t="shared" si="2"/>
        <v>0</v>
      </c>
    </row>
    <row r="3823" ht="16.5" customHeight="1">
      <c r="A3823" s="15" t="str">
        <f>Solieusap!A3823</f>
        <v/>
      </c>
      <c r="B3823" s="15" t="str">
        <f>Solieusap!B3823</f>
        <v/>
      </c>
      <c r="C3823" s="15" t="str">
        <f>Solieusap!C3823</f>
        <v/>
      </c>
      <c r="D3823" s="15" t="str">
        <f>Solieusap!D3823</f>
        <v/>
      </c>
      <c r="E3823" s="16">
        <f>ABS(Solieusap!E3823)</f>
        <v>0</v>
      </c>
      <c r="F3823" s="16">
        <f>ABS(Solieusap!F3823)</f>
        <v>0</v>
      </c>
      <c r="G3823" s="16">
        <f>ABS(Solieusap!G3823)</f>
        <v>0</v>
      </c>
      <c r="H3823" s="16">
        <f>ABS(Solieusap!H3823)</f>
        <v>0</v>
      </c>
      <c r="I3823" s="16">
        <f>ABS(Solieusap!I3823)</f>
        <v>0</v>
      </c>
      <c r="J3823" s="16">
        <f>ABS(Solieusap!J3823)</f>
        <v>0</v>
      </c>
      <c r="K3823" s="16">
        <f t="shared" si="1"/>
        <v>0</v>
      </c>
      <c r="L3823" s="16">
        <f t="shared" si="2"/>
        <v>0</v>
      </c>
    </row>
    <row r="3824" ht="16.5" customHeight="1">
      <c r="A3824" s="15" t="str">
        <f>Solieusap!A3824</f>
        <v/>
      </c>
      <c r="B3824" s="15" t="str">
        <f>Solieusap!B3824</f>
        <v/>
      </c>
      <c r="C3824" s="15" t="str">
        <f>Solieusap!C3824</f>
        <v/>
      </c>
      <c r="D3824" s="15" t="str">
        <f>Solieusap!D3824</f>
        <v/>
      </c>
      <c r="E3824" s="16">
        <f>ABS(Solieusap!E3824)</f>
        <v>0</v>
      </c>
      <c r="F3824" s="16">
        <f>ABS(Solieusap!F3824)</f>
        <v>0</v>
      </c>
      <c r="G3824" s="16">
        <f>ABS(Solieusap!G3824)</f>
        <v>0</v>
      </c>
      <c r="H3824" s="16">
        <f>ABS(Solieusap!H3824)</f>
        <v>0</v>
      </c>
      <c r="I3824" s="16">
        <f>ABS(Solieusap!I3824)</f>
        <v>0</v>
      </c>
      <c r="J3824" s="16">
        <f>ABS(Solieusap!J3824)</f>
        <v>0</v>
      </c>
      <c r="K3824" s="16">
        <f t="shared" si="1"/>
        <v>0</v>
      </c>
      <c r="L3824" s="16">
        <f t="shared" si="2"/>
        <v>0</v>
      </c>
    </row>
    <row r="3825" ht="16.5" customHeight="1">
      <c r="A3825" s="15" t="str">
        <f>Solieusap!A3825</f>
        <v/>
      </c>
      <c r="B3825" s="15" t="str">
        <f>Solieusap!B3825</f>
        <v/>
      </c>
      <c r="C3825" s="15" t="str">
        <f>Solieusap!C3825</f>
        <v/>
      </c>
      <c r="D3825" s="15" t="str">
        <f>Solieusap!D3825</f>
        <v/>
      </c>
      <c r="E3825" s="16">
        <f>ABS(Solieusap!E3825)</f>
        <v>0</v>
      </c>
      <c r="F3825" s="16">
        <f>ABS(Solieusap!F3825)</f>
        <v>0</v>
      </c>
      <c r="G3825" s="16">
        <f>ABS(Solieusap!G3825)</f>
        <v>0</v>
      </c>
      <c r="H3825" s="16">
        <f>ABS(Solieusap!H3825)</f>
        <v>0</v>
      </c>
      <c r="I3825" s="16">
        <f>ABS(Solieusap!I3825)</f>
        <v>0</v>
      </c>
      <c r="J3825" s="16">
        <f>ABS(Solieusap!J3825)</f>
        <v>0</v>
      </c>
      <c r="K3825" s="16">
        <f t="shared" si="1"/>
        <v>0</v>
      </c>
      <c r="L3825" s="16">
        <f t="shared" si="2"/>
        <v>0</v>
      </c>
    </row>
    <row r="3826" ht="16.5" customHeight="1">
      <c r="A3826" s="15" t="str">
        <f>Solieusap!A3826</f>
        <v/>
      </c>
      <c r="B3826" s="15" t="str">
        <f>Solieusap!B3826</f>
        <v/>
      </c>
      <c r="C3826" s="15" t="str">
        <f>Solieusap!C3826</f>
        <v/>
      </c>
      <c r="D3826" s="15" t="str">
        <f>Solieusap!D3826</f>
        <v/>
      </c>
      <c r="E3826" s="16">
        <f>ABS(Solieusap!E3826)</f>
        <v>0</v>
      </c>
      <c r="F3826" s="16">
        <f>ABS(Solieusap!F3826)</f>
        <v>0</v>
      </c>
      <c r="G3826" s="16">
        <f>ABS(Solieusap!G3826)</f>
        <v>0</v>
      </c>
      <c r="H3826" s="16">
        <f>ABS(Solieusap!H3826)</f>
        <v>0</v>
      </c>
      <c r="I3826" s="16">
        <f>ABS(Solieusap!I3826)</f>
        <v>0</v>
      </c>
      <c r="J3826" s="16">
        <f>ABS(Solieusap!J3826)</f>
        <v>0</v>
      </c>
      <c r="K3826" s="16">
        <f t="shared" si="1"/>
        <v>0</v>
      </c>
      <c r="L3826" s="16">
        <f t="shared" si="2"/>
        <v>0</v>
      </c>
    </row>
    <row r="3827" ht="16.5" customHeight="1">
      <c r="A3827" s="15" t="str">
        <f>Solieusap!A3827</f>
        <v/>
      </c>
      <c r="B3827" s="15" t="str">
        <f>Solieusap!B3827</f>
        <v/>
      </c>
      <c r="C3827" s="15" t="str">
        <f>Solieusap!C3827</f>
        <v/>
      </c>
      <c r="D3827" s="15" t="str">
        <f>Solieusap!D3827</f>
        <v/>
      </c>
      <c r="E3827" s="16">
        <f>ABS(Solieusap!E3827)</f>
        <v>0</v>
      </c>
      <c r="F3827" s="16">
        <f>ABS(Solieusap!F3827)</f>
        <v>0</v>
      </c>
      <c r="G3827" s="16">
        <f>ABS(Solieusap!G3827)</f>
        <v>0</v>
      </c>
      <c r="H3827" s="16">
        <f>ABS(Solieusap!H3827)</f>
        <v>0</v>
      </c>
      <c r="I3827" s="16">
        <f>ABS(Solieusap!I3827)</f>
        <v>0</v>
      </c>
      <c r="J3827" s="16">
        <f>ABS(Solieusap!J3827)</f>
        <v>0</v>
      </c>
      <c r="K3827" s="16">
        <f t="shared" si="1"/>
        <v>0</v>
      </c>
      <c r="L3827" s="16">
        <f t="shared" si="2"/>
        <v>0</v>
      </c>
    </row>
    <row r="3828" ht="16.5" customHeight="1">
      <c r="A3828" s="15" t="str">
        <f>Solieusap!A3828</f>
        <v/>
      </c>
      <c r="B3828" s="15" t="str">
        <f>Solieusap!B3828</f>
        <v/>
      </c>
      <c r="C3828" s="15" t="str">
        <f>Solieusap!C3828</f>
        <v/>
      </c>
      <c r="D3828" s="15" t="str">
        <f>Solieusap!D3828</f>
        <v/>
      </c>
      <c r="E3828" s="16">
        <f>ABS(Solieusap!E3828)</f>
        <v>0</v>
      </c>
      <c r="F3828" s="16">
        <f>ABS(Solieusap!F3828)</f>
        <v>0</v>
      </c>
      <c r="G3828" s="16">
        <f>ABS(Solieusap!G3828)</f>
        <v>0</v>
      </c>
      <c r="H3828" s="16">
        <f>ABS(Solieusap!H3828)</f>
        <v>0</v>
      </c>
      <c r="I3828" s="16">
        <f>ABS(Solieusap!I3828)</f>
        <v>0</v>
      </c>
      <c r="J3828" s="16">
        <f>ABS(Solieusap!J3828)</f>
        <v>0</v>
      </c>
      <c r="K3828" s="16">
        <f t="shared" si="1"/>
        <v>0</v>
      </c>
      <c r="L3828" s="16">
        <f t="shared" si="2"/>
        <v>0</v>
      </c>
    </row>
    <row r="3829" ht="16.5" customHeight="1">
      <c r="A3829" s="15" t="str">
        <f>Solieusap!A3829</f>
        <v/>
      </c>
      <c r="B3829" s="15" t="str">
        <f>Solieusap!B3829</f>
        <v/>
      </c>
      <c r="C3829" s="15" t="str">
        <f>Solieusap!C3829</f>
        <v/>
      </c>
      <c r="D3829" s="15" t="str">
        <f>Solieusap!D3829</f>
        <v/>
      </c>
      <c r="E3829" s="16">
        <f>ABS(Solieusap!E3829)</f>
        <v>0</v>
      </c>
      <c r="F3829" s="16">
        <f>ABS(Solieusap!F3829)</f>
        <v>0</v>
      </c>
      <c r="G3829" s="16">
        <f>ABS(Solieusap!G3829)</f>
        <v>0</v>
      </c>
      <c r="H3829" s="16">
        <f>ABS(Solieusap!H3829)</f>
        <v>0</v>
      </c>
      <c r="I3829" s="16">
        <f>ABS(Solieusap!I3829)</f>
        <v>0</v>
      </c>
      <c r="J3829" s="16">
        <f>ABS(Solieusap!J3829)</f>
        <v>0</v>
      </c>
      <c r="K3829" s="16">
        <f t="shared" si="1"/>
        <v>0</v>
      </c>
      <c r="L3829" s="16">
        <f t="shared" si="2"/>
        <v>0</v>
      </c>
    </row>
    <row r="3830" ht="16.5" customHeight="1">
      <c r="A3830" s="15" t="str">
        <f>Solieusap!A3830</f>
        <v/>
      </c>
      <c r="B3830" s="15" t="str">
        <f>Solieusap!B3830</f>
        <v/>
      </c>
      <c r="C3830" s="15" t="str">
        <f>Solieusap!C3830</f>
        <v/>
      </c>
      <c r="D3830" s="15" t="str">
        <f>Solieusap!D3830</f>
        <v/>
      </c>
      <c r="E3830" s="16">
        <f>ABS(Solieusap!E3830)</f>
        <v>0</v>
      </c>
      <c r="F3830" s="16">
        <f>ABS(Solieusap!F3830)</f>
        <v>0</v>
      </c>
      <c r="G3830" s="16">
        <f>ABS(Solieusap!G3830)</f>
        <v>0</v>
      </c>
      <c r="H3830" s="16">
        <f>ABS(Solieusap!H3830)</f>
        <v>0</v>
      </c>
      <c r="I3830" s="16">
        <f>ABS(Solieusap!I3830)</f>
        <v>0</v>
      </c>
      <c r="J3830" s="16">
        <f>ABS(Solieusap!J3830)</f>
        <v>0</v>
      </c>
      <c r="K3830" s="16">
        <f t="shared" si="1"/>
        <v>0</v>
      </c>
      <c r="L3830" s="16">
        <f t="shared" si="2"/>
        <v>0</v>
      </c>
    </row>
    <row r="3831" ht="16.5" customHeight="1">
      <c r="A3831" s="15" t="str">
        <f>Solieusap!A3831</f>
        <v/>
      </c>
      <c r="B3831" s="15" t="str">
        <f>Solieusap!B3831</f>
        <v/>
      </c>
      <c r="C3831" s="15" t="str">
        <f>Solieusap!C3831</f>
        <v/>
      </c>
      <c r="D3831" s="15" t="str">
        <f>Solieusap!D3831</f>
        <v/>
      </c>
      <c r="E3831" s="16">
        <f>ABS(Solieusap!E3831)</f>
        <v>0</v>
      </c>
      <c r="F3831" s="16">
        <f>ABS(Solieusap!F3831)</f>
        <v>0</v>
      </c>
      <c r="G3831" s="16">
        <f>ABS(Solieusap!G3831)</f>
        <v>0</v>
      </c>
      <c r="H3831" s="16">
        <f>ABS(Solieusap!H3831)</f>
        <v>0</v>
      </c>
      <c r="I3831" s="16">
        <f>ABS(Solieusap!I3831)</f>
        <v>0</v>
      </c>
      <c r="J3831" s="16">
        <f>ABS(Solieusap!J3831)</f>
        <v>0</v>
      </c>
      <c r="K3831" s="16">
        <f t="shared" si="1"/>
        <v>0</v>
      </c>
      <c r="L3831" s="16">
        <f t="shared" si="2"/>
        <v>0</v>
      </c>
    </row>
    <row r="3832" ht="16.5" customHeight="1">
      <c r="A3832" s="15" t="str">
        <f>Solieusap!A3832</f>
        <v/>
      </c>
      <c r="B3832" s="15" t="str">
        <f>Solieusap!B3832</f>
        <v/>
      </c>
      <c r="C3832" s="15" t="str">
        <f>Solieusap!C3832</f>
        <v/>
      </c>
      <c r="D3832" s="15" t="str">
        <f>Solieusap!D3832</f>
        <v/>
      </c>
      <c r="E3832" s="16">
        <f>ABS(Solieusap!E3832)</f>
        <v>0</v>
      </c>
      <c r="F3832" s="16">
        <f>ABS(Solieusap!F3832)</f>
        <v>0</v>
      </c>
      <c r="G3832" s="16">
        <f>ABS(Solieusap!G3832)</f>
        <v>0</v>
      </c>
      <c r="H3832" s="16">
        <f>ABS(Solieusap!H3832)</f>
        <v>0</v>
      </c>
      <c r="I3832" s="16">
        <f>ABS(Solieusap!I3832)</f>
        <v>0</v>
      </c>
      <c r="J3832" s="16">
        <f>ABS(Solieusap!J3832)</f>
        <v>0</v>
      </c>
      <c r="K3832" s="16">
        <f t="shared" si="1"/>
        <v>0</v>
      </c>
      <c r="L3832" s="16">
        <f t="shared" si="2"/>
        <v>0</v>
      </c>
    </row>
    <row r="3833" ht="16.5" customHeight="1">
      <c r="A3833" s="15" t="str">
        <f>Solieusap!A3833</f>
        <v/>
      </c>
      <c r="B3833" s="15" t="str">
        <f>Solieusap!B3833</f>
        <v/>
      </c>
      <c r="C3833" s="15" t="str">
        <f>Solieusap!C3833</f>
        <v/>
      </c>
      <c r="D3833" s="15" t="str">
        <f>Solieusap!D3833</f>
        <v/>
      </c>
      <c r="E3833" s="16">
        <f>ABS(Solieusap!E3833)</f>
        <v>0</v>
      </c>
      <c r="F3833" s="16">
        <f>ABS(Solieusap!F3833)</f>
        <v>0</v>
      </c>
      <c r="G3833" s="16">
        <f>ABS(Solieusap!G3833)</f>
        <v>0</v>
      </c>
      <c r="H3833" s="16">
        <f>ABS(Solieusap!H3833)</f>
        <v>0</v>
      </c>
      <c r="I3833" s="16">
        <f>ABS(Solieusap!I3833)</f>
        <v>0</v>
      </c>
      <c r="J3833" s="16">
        <f>ABS(Solieusap!J3833)</f>
        <v>0</v>
      </c>
      <c r="K3833" s="16">
        <f t="shared" si="1"/>
        <v>0</v>
      </c>
      <c r="L3833" s="16">
        <f t="shared" si="2"/>
        <v>0</v>
      </c>
    </row>
    <row r="3834" ht="16.5" customHeight="1">
      <c r="A3834" s="15" t="str">
        <f>Solieusap!A3834</f>
        <v/>
      </c>
      <c r="B3834" s="15" t="str">
        <f>Solieusap!B3834</f>
        <v/>
      </c>
      <c r="C3834" s="15" t="str">
        <f>Solieusap!C3834</f>
        <v/>
      </c>
      <c r="D3834" s="15" t="str">
        <f>Solieusap!D3834</f>
        <v/>
      </c>
      <c r="E3834" s="16">
        <f>ABS(Solieusap!E3834)</f>
        <v>0</v>
      </c>
      <c r="F3834" s="16">
        <f>ABS(Solieusap!F3834)</f>
        <v>0</v>
      </c>
      <c r="G3834" s="16">
        <f>ABS(Solieusap!G3834)</f>
        <v>0</v>
      </c>
      <c r="H3834" s="16">
        <f>ABS(Solieusap!H3834)</f>
        <v>0</v>
      </c>
      <c r="I3834" s="16">
        <f>ABS(Solieusap!I3834)</f>
        <v>0</v>
      </c>
      <c r="J3834" s="16">
        <f>ABS(Solieusap!J3834)</f>
        <v>0</v>
      </c>
      <c r="K3834" s="16">
        <f t="shared" si="1"/>
        <v>0</v>
      </c>
      <c r="L3834" s="16">
        <f t="shared" si="2"/>
        <v>0</v>
      </c>
    </row>
    <row r="3835" ht="16.5" customHeight="1">
      <c r="A3835" s="15" t="str">
        <f>Solieusap!A3835</f>
        <v/>
      </c>
      <c r="B3835" s="15" t="str">
        <f>Solieusap!B3835</f>
        <v/>
      </c>
      <c r="C3835" s="15" t="str">
        <f>Solieusap!C3835</f>
        <v/>
      </c>
      <c r="D3835" s="15" t="str">
        <f>Solieusap!D3835</f>
        <v/>
      </c>
      <c r="E3835" s="16">
        <f>ABS(Solieusap!E3835)</f>
        <v>0</v>
      </c>
      <c r="F3835" s="16">
        <f>ABS(Solieusap!F3835)</f>
        <v>0</v>
      </c>
      <c r="G3835" s="16">
        <f>ABS(Solieusap!G3835)</f>
        <v>0</v>
      </c>
      <c r="H3835" s="16">
        <f>ABS(Solieusap!H3835)</f>
        <v>0</v>
      </c>
      <c r="I3835" s="16">
        <f>ABS(Solieusap!I3835)</f>
        <v>0</v>
      </c>
      <c r="J3835" s="16">
        <f>ABS(Solieusap!J3835)</f>
        <v>0</v>
      </c>
      <c r="K3835" s="16">
        <f t="shared" si="1"/>
        <v>0</v>
      </c>
      <c r="L3835" s="16">
        <f t="shared" si="2"/>
        <v>0</v>
      </c>
    </row>
    <row r="3836" ht="16.5" customHeight="1">
      <c r="A3836" s="15" t="str">
        <f>Solieusap!A3836</f>
        <v/>
      </c>
      <c r="B3836" s="15" t="str">
        <f>Solieusap!B3836</f>
        <v/>
      </c>
      <c r="C3836" s="15" t="str">
        <f>Solieusap!C3836</f>
        <v/>
      </c>
      <c r="D3836" s="15" t="str">
        <f>Solieusap!D3836</f>
        <v/>
      </c>
      <c r="E3836" s="16">
        <f>ABS(Solieusap!E3836)</f>
        <v>0</v>
      </c>
      <c r="F3836" s="16">
        <f>ABS(Solieusap!F3836)</f>
        <v>0</v>
      </c>
      <c r="G3836" s="16">
        <f>ABS(Solieusap!G3836)</f>
        <v>0</v>
      </c>
      <c r="H3836" s="16">
        <f>ABS(Solieusap!H3836)</f>
        <v>0</v>
      </c>
      <c r="I3836" s="16">
        <f>ABS(Solieusap!I3836)</f>
        <v>0</v>
      </c>
      <c r="J3836" s="16">
        <f>ABS(Solieusap!J3836)</f>
        <v>0</v>
      </c>
      <c r="K3836" s="16">
        <f t="shared" si="1"/>
        <v>0</v>
      </c>
      <c r="L3836" s="16">
        <f t="shared" si="2"/>
        <v>0</v>
      </c>
    </row>
    <row r="3837" ht="16.5" customHeight="1">
      <c r="A3837" s="15" t="str">
        <f>Solieusap!A3837</f>
        <v/>
      </c>
      <c r="B3837" s="15" t="str">
        <f>Solieusap!B3837</f>
        <v/>
      </c>
      <c r="C3837" s="15" t="str">
        <f>Solieusap!C3837</f>
        <v/>
      </c>
      <c r="D3837" s="15" t="str">
        <f>Solieusap!D3837</f>
        <v/>
      </c>
      <c r="E3837" s="16">
        <f>ABS(Solieusap!E3837)</f>
        <v>0</v>
      </c>
      <c r="F3837" s="16">
        <f>ABS(Solieusap!F3837)</f>
        <v>0</v>
      </c>
      <c r="G3837" s="16">
        <f>ABS(Solieusap!G3837)</f>
        <v>0</v>
      </c>
      <c r="H3837" s="16">
        <f>ABS(Solieusap!H3837)</f>
        <v>0</v>
      </c>
      <c r="I3837" s="16">
        <f>ABS(Solieusap!I3837)</f>
        <v>0</v>
      </c>
      <c r="J3837" s="16">
        <f>ABS(Solieusap!J3837)</f>
        <v>0</v>
      </c>
      <c r="K3837" s="16">
        <f t="shared" si="1"/>
        <v>0</v>
      </c>
      <c r="L3837" s="16">
        <f t="shared" si="2"/>
        <v>0</v>
      </c>
    </row>
    <row r="3838" ht="16.5" customHeight="1">
      <c r="A3838" s="15" t="str">
        <f>Solieusap!A3838</f>
        <v/>
      </c>
      <c r="B3838" s="15" t="str">
        <f>Solieusap!B3838</f>
        <v/>
      </c>
      <c r="C3838" s="15" t="str">
        <f>Solieusap!C3838</f>
        <v/>
      </c>
      <c r="D3838" s="15" t="str">
        <f>Solieusap!D3838</f>
        <v/>
      </c>
      <c r="E3838" s="16">
        <f>ABS(Solieusap!E3838)</f>
        <v>0</v>
      </c>
      <c r="F3838" s="16">
        <f>ABS(Solieusap!F3838)</f>
        <v>0</v>
      </c>
      <c r="G3838" s="16">
        <f>ABS(Solieusap!G3838)</f>
        <v>0</v>
      </c>
      <c r="H3838" s="16">
        <f>ABS(Solieusap!H3838)</f>
        <v>0</v>
      </c>
      <c r="I3838" s="16">
        <f>ABS(Solieusap!I3838)</f>
        <v>0</v>
      </c>
      <c r="J3838" s="16">
        <f>ABS(Solieusap!J3838)</f>
        <v>0</v>
      </c>
      <c r="K3838" s="16">
        <f t="shared" si="1"/>
        <v>0</v>
      </c>
      <c r="L3838" s="16">
        <f t="shared" si="2"/>
        <v>0</v>
      </c>
    </row>
    <row r="3839" ht="16.5" customHeight="1">
      <c r="A3839" s="15" t="str">
        <f>Solieusap!A3839</f>
        <v/>
      </c>
      <c r="B3839" s="15" t="str">
        <f>Solieusap!B3839</f>
        <v/>
      </c>
      <c r="C3839" s="15" t="str">
        <f>Solieusap!C3839</f>
        <v/>
      </c>
      <c r="D3839" s="15" t="str">
        <f>Solieusap!D3839</f>
        <v/>
      </c>
      <c r="E3839" s="16">
        <f>ABS(Solieusap!E3839)</f>
        <v>0</v>
      </c>
      <c r="F3839" s="16">
        <f>ABS(Solieusap!F3839)</f>
        <v>0</v>
      </c>
      <c r="G3839" s="16">
        <f>ABS(Solieusap!G3839)</f>
        <v>0</v>
      </c>
      <c r="H3839" s="16">
        <f>ABS(Solieusap!H3839)</f>
        <v>0</v>
      </c>
      <c r="I3839" s="16">
        <f>ABS(Solieusap!I3839)</f>
        <v>0</v>
      </c>
      <c r="J3839" s="16">
        <f>ABS(Solieusap!J3839)</f>
        <v>0</v>
      </c>
      <c r="K3839" s="16">
        <f t="shared" si="1"/>
        <v>0</v>
      </c>
      <c r="L3839" s="16">
        <f t="shared" si="2"/>
        <v>0</v>
      </c>
    </row>
    <row r="3840" ht="16.5" customHeight="1">
      <c r="A3840" s="15" t="str">
        <f>Solieusap!A3840</f>
        <v/>
      </c>
      <c r="B3840" s="15" t="str">
        <f>Solieusap!B3840</f>
        <v/>
      </c>
      <c r="C3840" s="15" t="str">
        <f>Solieusap!C3840</f>
        <v/>
      </c>
      <c r="D3840" s="15" t="str">
        <f>Solieusap!D3840</f>
        <v/>
      </c>
      <c r="E3840" s="16">
        <f>ABS(Solieusap!E3840)</f>
        <v>0</v>
      </c>
      <c r="F3840" s="16">
        <f>ABS(Solieusap!F3840)</f>
        <v>0</v>
      </c>
      <c r="G3840" s="16">
        <f>ABS(Solieusap!G3840)</f>
        <v>0</v>
      </c>
      <c r="H3840" s="16">
        <f>ABS(Solieusap!H3840)</f>
        <v>0</v>
      </c>
      <c r="I3840" s="16">
        <f>ABS(Solieusap!I3840)</f>
        <v>0</v>
      </c>
      <c r="J3840" s="16">
        <f>ABS(Solieusap!J3840)</f>
        <v>0</v>
      </c>
      <c r="K3840" s="16">
        <f t="shared" si="1"/>
        <v>0</v>
      </c>
      <c r="L3840" s="16">
        <f t="shared" si="2"/>
        <v>0</v>
      </c>
    </row>
    <row r="3841" ht="16.5" customHeight="1">
      <c r="A3841" s="15" t="str">
        <f>Solieusap!A3841</f>
        <v/>
      </c>
      <c r="B3841" s="15" t="str">
        <f>Solieusap!B3841</f>
        <v/>
      </c>
      <c r="C3841" s="15" t="str">
        <f>Solieusap!C3841</f>
        <v/>
      </c>
      <c r="D3841" s="15" t="str">
        <f>Solieusap!D3841</f>
        <v/>
      </c>
      <c r="E3841" s="16">
        <f>ABS(Solieusap!E3841)</f>
        <v>0</v>
      </c>
      <c r="F3841" s="16">
        <f>ABS(Solieusap!F3841)</f>
        <v>0</v>
      </c>
      <c r="G3841" s="16">
        <f>ABS(Solieusap!G3841)</f>
        <v>0</v>
      </c>
      <c r="H3841" s="16">
        <f>ABS(Solieusap!H3841)</f>
        <v>0</v>
      </c>
      <c r="I3841" s="16">
        <f>ABS(Solieusap!I3841)</f>
        <v>0</v>
      </c>
      <c r="J3841" s="16">
        <f>ABS(Solieusap!J3841)</f>
        <v>0</v>
      </c>
      <c r="K3841" s="16">
        <f t="shared" si="1"/>
        <v>0</v>
      </c>
      <c r="L3841" s="16">
        <f t="shared" si="2"/>
        <v>0</v>
      </c>
    </row>
    <row r="3842" ht="16.5" customHeight="1">
      <c r="A3842" s="15" t="str">
        <f>Solieusap!A3842</f>
        <v/>
      </c>
      <c r="B3842" s="15" t="str">
        <f>Solieusap!B3842</f>
        <v/>
      </c>
      <c r="C3842" s="15" t="str">
        <f>Solieusap!C3842</f>
        <v/>
      </c>
      <c r="D3842" s="15" t="str">
        <f>Solieusap!D3842</f>
        <v/>
      </c>
      <c r="E3842" s="16">
        <f>ABS(Solieusap!E3842)</f>
        <v>0</v>
      </c>
      <c r="F3842" s="16">
        <f>ABS(Solieusap!F3842)</f>
        <v>0</v>
      </c>
      <c r="G3842" s="16">
        <f>ABS(Solieusap!G3842)</f>
        <v>0</v>
      </c>
      <c r="H3842" s="16">
        <f>ABS(Solieusap!H3842)</f>
        <v>0</v>
      </c>
      <c r="I3842" s="16">
        <f>ABS(Solieusap!I3842)</f>
        <v>0</v>
      </c>
      <c r="J3842" s="16">
        <f>ABS(Solieusap!J3842)</f>
        <v>0</v>
      </c>
      <c r="K3842" s="16">
        <f t="shared" si="1"/>
        <v>0</v>
      </c>
      <c r="L3842" s="16">
        <f t="shared" si="2"/>
        <v>0</v>
      </c>
    </row>
    <row r="3843" ht="16.5" customHeight="1">
      <c r="A3843" s="15" t="str">
        <f>Solieusap!A3843</f>
        <v/>
      </c>
      <c r="B3843" s="15" t="str">
        <f>Solieusap!B3843</f>
        <v/>
      </c>
      <c r="C3843" s="15" t="str">
        <f>Solieusap!C3843</f>
        <v/>
      </c>
      <c r="D3843" s="15" t="str">
        <f>Solieusap!D3843</f>
        <v/>
      </c>
      <c r="E3843" s="16">
        <f>ABS(Solieusap!E3843)</f>
        <v>0</v>
      </c>
      <c r="F3843" s="16">
        <f>ABS(Solieusap!F3843)</f>
        <v>0</v>
      </c>
      <c r="G3843" s="16">
        <f>ABS(Solieusap!G3843)</f>
        <v>0</v>
      </c>
      <c r="H3843" s="16">
        <f>ABS(Solieusap!H3843)</f>
        <v>0</v>
      </c>
      <c r="I3843" s="16">
        <f>ABS(Solieusap!I3843)</f>
        <v>0</v>
      </c>
      <c r="J3843" s="16">
        <f>ABS(Solieusap!J3843)</f>
        <v>0</v>
      </c>
      <c r="K3843" s="16">
        <f t="shared" si="1"/>
        <v>0</v>
      </c>
      <c r="L3843" s="16">
        <f t="shared" si="2"/>
        <v>0</v>
      </c>
    </row>
    <row r="3844" ht="16.5" customHeight="1">
      <c r="A3844" s="15" t="str">
        <f>Solieusap!A3844</f>
        <v/>
      </c>
      <c r="B3844" s="15" t="str">
        <f>Solieusap!B3844</f>
        <v/>
      </c>
      <c r="C3844" s="15" t="str">
        <f>Solieusap!C3844</f>
        <v/>
      </c>
      <c r="D3844" s="15" t="str">
        <f>Solieusap!D3844</f>
        <v/>
      </c>
      <c r="E3844" s="16">
        <f>ABS(Solieusap!E3844)</f>
        <v>0</v>
      </c>
      <c r="F3844" s="16">
        <f>ABS(Solieusap!F3844)</f>
        <v>0</v>
      </c>
      <c r="G3844" s="16">
        <f>ABS(Solieusap!G3844)</f>
        <v>0</v>
      </c>
      <c r="H3844" s="16">
        <f>ABS(Solieusap!H3844)</f>
        <v>0</v>
      </c>
      <c r="I3844" s="16">
        <f>ABS(Solieusap!I3844)</f>
        <v>0</v>
      </c>
      <c r="J3844" s="16">
        <f>ABS(Solieusap!J3844)</f>
        <v>0</v>
      </c>
      <c r="K3844" s="16">
        <f t="shared" si="1"/>
        <v>0</v>
      </c>
      <c r="L3844" s="16">
        <f t="shared" si="2"/>
        <v>0</v>
      </c>
    </row>
    <row r="3845" ht="16.5" customHeight="1">
      <c r="A3845" s="15" t="str">
        <f>Solieusap!A3845</f>
        <v/>
      </c>
      <c r="B3845" s="15" t="str">
        <f>Solieusap!B3845</f>
        <v/>
      </c>
      <c r="C3845" s="15" t="str">
        <f>Solieusap!C3845</f>
        <v/>
      </c>
      <c r="D3845" s="15" t="str">
        <f>Solieusap!D3845</f>
        <v/>
      </c>
      <c r="E3845" s="16">
        <f>ABS(Solieusap!E3845)</f>
        <v>0</v>
      </c>
      <c r="F3845" s="16">
        <f>ABS(Solieusap!F3845)</f>
        <v>0</v>
      </c>
      <c r="G3845" s="16">
        <f>ABS(Solieusap!G3845)</f>
        <v>0</v>
      </c>
      <c r="H3845" s="16">
        <f>ABS(Solieusap!H3845)</f>
        <v>0</v>
      </c>
      <c r="I3845" s="16">
        <f>ABS(Solieusap!I3845)</f>
        <v>0</v>
      </c>
      <c r="J3845" s="16">
        <f>ABS(Solieusap!J3845)</f>
        <v>0</v>
      </c>
      <c r="K3845" s="16">
        <f t="shared" si="1"/>
        <v>0</v>
      </c>
      <c r="L3845" s="16">
        <f t="shared" si="2"/>
        <v>0</v>
      </c>
    </row>
    <row r="3846" ht="16.5" customHeight="1">
      <c r="A3846" s="15" t="str">
        <f>Solieusap!A3846</f>
        <v/>
      </c>
      <c r="B3846" s="15" t="str">
        <f>Solieusap!B3846</f>
        <v/>
      </c>
      <c r="C3846" s="15" t="str">
        <f>Solieusap!C3846</f>
        <v/>
      </c>
      <c r="D3846" s="15" t="str">
        <f>Solieusap!D3846</f>
        <v/>
      </c>
      <c r="E3846" s="16">
        <f>ABS(Solieusap!E3846)</f>
        <v>0</v>
      </c>
      <c r="F3846" s="16">
        <f>ABS(Solieusap!F3846)</f>
        <v>0</v>
      </c>
      <c r="G3846" s="16">
        <f>ABS(Solieusap!G3846)</f>
        <v>0</v>
      </c>
      <c r="H3846" s="16">
        <f>ABS(Solieusap!H3846)</f>
        <v>0</v>
      </c>
      <c r="I3846" s="16">
        <f>ABS(Solieusap!I3846)</f>
        <v>0</v>
      </c>
      <c r="J3846" s="16">
        <f>ABS(Solieusap!J3846)</f>
        <v>0</v>
      </c>
      <c r="K3846" s="16">
        <f t="shared" si="1"/>
        <v>0</v>
      </c>
      <c r="L3846" s="16">
        <f t="shared" si="2"/>
        <v>0</v>
      </c>
    </row>
    <row r="3847" ht="16.5" customHeight="1">
      <c r="A3847" s="15" t="str">
        <f>Solieusap!A3847</f>
        <v/>
      </c>
      <c r="B3847" s="15" t="str">
        <f>Solieusap!B3847</f>
        <v/>
      </c>
      <c r="C3847" s="15" t="str">
        <f>Solieusap!C3847</f>
        <v/>
      </c>
      <c r="D3847" s="15" t="str">
        <f>Solieusap!D3847</f>
        <v/>
      </c>
      <c r="E3847" s="16">
        <f>ABS(Solieusap!E3847)</f>
        <v>0</v>
      </c>
      <c r="F3847" s="16">
        <f>ABS(Solieusap!F3847)</f>
        <v>0</v>
      </c>
      <c r="G3847" s="16">
        <f>ABS(Solieusap!G3847)</f>
        <v>0</v>
      </c>
      <c r="H3847" s="16">
        <f>ABS(Solieusap!H3847)</f>
        <v>0</v>
      </c>
      <c r="I3847" s="16">
        <f>ABS(Solieusap!I3847)</f>
        <v>0</v>
      </c>
      <c r="J3847" s="16">
        <f>ABS(Solieusap!J3847)</f>
        <v>0</v>
      </c>
      <c r="K3847" s="16">
        <f t="shared" si="1"/>
        <v>0</v>
      </c>
      <c r="L3847" s="16">
        <f t="shared" si="2"/>
        <v>0</v>
      </c>
    </row>
    <row r="3848" ht="16.5" customHeight="1">
      <c r="A3848" s="15" t="str">
        <f>Solieusap!A3848</f>
        <v/>
      </c>
      <c r="B3848" s="15" t="str">
        <f>Solieusap!B3848</f>
        <v/>
      </c>
      <c r="C3848" s="15" t="str">
        <f>Solieusap!C3848</f>
        <v/>
      </c>
      <c r="D3848" s="15" t="str">
        <f>Solieusap!D3848</f>
        <v/>
      </c>
      <c r="E3848" s="16">
        <f>ABS(Solieusap!E3848)</f>
        <v>0</v>
      </c>
      <c r="F3848" s="16">
        <f>ABS(Solieusap!F3848)</f>
        <v>0</v>
      </c>
      <c r="G3848" s="16">
        <f>ABS(Solieusap!G3848)</f>
        <v>0</v>
      </c>
      <c r="H3848" s="16">
        <f>ABS(Solieusap!H3848)</f>
        <v>0</v>
      </c>
      <c r="I3848" s="16">
        <f>ABS(Solieusap!I3848)</f>
        <v>0</v>
      </c>
      <c r="J3848" s="16">
        <f>ABS(Solieusap!J3848)</f>
        <v>0</v>
      </c>
      <c r="K3848" s="16">
        <f t="shared" si="1"/>
        <v>0</v>
      </c>
      <c r="L3848" s="16">
        <f t="shared" si="2"/>
        <v>0</v>
      </c>
    </row>
    <row r="3849" ht="16.5" customHeight="1">
      <c r="A3849" s="15" t="str">
        <f>Solieusap!A3849</f>
        <v/>
      </c>
      <c r="B3849" s="15" t="str">
        <f>Solieusap!B3849</f>
        <v/>
      </c>
      <c r="C3849" s="15" t="str">
        <f>Solieusap!C3849</f>
        <v/>
      </c>
      <c r="D3849" s="15" t="str">
        <f>Solieusap!D3849</f>
        <v/>
      </c>
      <c r="E3849" s="16">
        <f>ABS(Solieusap!E3849)</f>
        <v>0</v>
      </c>
      <c r="F3849" s="16">
        <f>ABS(Solieusap!F3849)</f>
        <v>0</v>
      </c>
      <c r="G3849" s="16">
        <f>ABS(Solieusap!G3849)</f>
        <v>0</v>
      </c>
      <c r="H3849" s="16">
        <f>ABS(Solieusap!H3849)</f>
        <v>0</v>
      </c>
      <c r="I3849" s="16">
        <f>ABS(Solieusap!I3849)</f>
        <v>0</v>
      </c>
      <c r="J3849" s="16">
        <f>ABS(Solieusap!J3849)</f>
        <v>0</v>
      </c>
      <c r="K3849" s="16">
        <f t="shared" si="1"/>
        <v>0</v>
      </c>
      <c r="L3849" s="16">
        <f t="shared" si="2"/>
        <v>0</v>
      </c>
    </row>
    <row r="3850" ht="16.5" customHeight="1">
      <c r="A3850" s="15" t="str">
        <f>Solieusap!A3850</f>
        <v/>
      </c>
      <c r="B3850" s="15" t="str">
        <f>Solieusap!B3850</f>
        <v/>
      </c>
      <c r="C3850" s="15" t="str">
        <f>Solieusap!C3850</f>
        <v/>
      </c>
      <c r="D3850" s="15" t="str">
        <f>Solieusap!D3850</f>
        <v/>
      </c>
      <c r="E3850" s="16">
        <f>ABS(Solieusap!E3850)</f>
        <v>0</v>
      </c>
      <c r="F3850" s="16">
        <f>ABS(Solieusap!F3850)</f>
        <v>0</v>
      </c>
      <c r="G3850" s="16">
        <f>ABS(Solieusap!G3850)</f>
        <v>0</v>
      </c>
      <c r="H3850" s="16">
        <f>ABS(Solieusap!H3850)</f>
        <v>0</v>
      </c>
      <c r="I3850" s="16">
        <f>ABS(Solieusap!I3850)</f>
        <v>0</v>
      </c>
      <c r="J3850" s="16">
        <f>ABS(Solieusap!J3850)</f>
        <v>0</v>
      </c>
      <c r="K3850" s="16">
        <f t="shared" si="1"/>
        <v>0</v>
      </c>
      <c r="L3850" s="16">
        <f t="shared" si="2"/>
        <v>0</v>
      </c>
    </row>
    <row r="3851" ht="16.5" customHeight="1">
      <c r="A3851" s="15" t="str">
        <f>Solieusap!A3851</f>
        <v/>
      </c>
      <c r="B3851" s="15" t="str">
        <f>Solieusap!B3851</f>
        <v/>
      </c>
      <c r="C3851" s="15" t="str">
        <f>Solieusap!C3851</f>
        <v/>
      </c>
      <c r="D3851" s="15" t="str">
        <f>Solieusap!D3851</f>
        <v/>
      </c>
      <c r="E3851" s="16">
        <f>ABS(Solieusap!E3851)</f>
        <v>0</v>
      </c>
      <c r="F3851" s="16">
        <f>ABS(Solieusap!F3851)</f>
        <v>0</v>
      </c>
      <c r="G3851" s="16">
        <f>ABS(Solieusap!G3851)</f>
        <v>0</v>
      </c>
      <c r="H3851" s="16">
        <f>ABS(Solieusap!H3851)</f>
        <v>0</v>
      </c>
      <c r="I3851" s="16">
        <f>ABS(Solieusap!I3851)</f>
        <v>0</v>
      </c>
      <c r="J3851" s="16">
        <f>ABS(Solieusap!J3851)</f>
        <v>0</v>
      </c>
      <c r="K3851" s="16">
        <f t="shared" si="1"/>
        <v>0</v>
      </c>
      <c r="L3851" s="16">
        <f t="shared" si="2"/>
        <v>0</v>
      </c>
    </row>
    <row r="3852" ht="16.5" customHeight="1">
      <c r="A3852" s="15" t="str">
        <f>Solieusap!A3852</f>
        <v/>
      </c>
      <c r="B3852" s="15" t="str">
        <f>Solieusap!B3852</f>
        <v/>
      </c>
      <c r="C3852" s="15" t="str">
        <f>Solieusap!C3852</f>
        <v/>
      </c>
      <c r="D3852" s="15" t="str">
        <f>Solieusap!D3852</f>
        <v/>
      </c>
      <c r="E3852" s="16">
        <f>ABS(Solieusap!E3852)</f>
        <v>0</v>
      </c>
      <c r="F3852" s="16">
        <f>ABS(Solieusap!F3852)</f>
        <v>0</v>
      </c>
      <c r="G3852" s="16">
        <f>ABS(Solieusap!G3852)</f>
        <v>0</v>
      </c>
      <c r="H3852" s="16">
        <f>ABS(Solieusap!H3852)</f>
        <v>0</v>
      </c>
      <c r="I3852" s="16">
        <f>ABS(Solieusap!I3852)</f>
        <v>0</v>
      </c>
      <c r="J3852" s="16">
        <f>ABS(Solieusap!J3852)</f>
        <v>0</v>
      </c>
      <c r="K3852" s="16">
        <f t="shared" si="1"/>
        <v>0</v>
      </c>
      <c r="L3852" s="16">
        <f t="shared" si="2"/>
        <v>0</v>
      </c>
    </row>
    <row r="3853" ht="16.5" customHeight="1">
      <c r="A3853" s="15" t="str">
        <f>Solieusap!A3853</f>
        <v/>
      </c>
      <c r="B3853" s="15" t="str">
        <f>Solieusap!B3853</f>
        <v/>
      </c>
      <c r="C3853" s="15" t="str">
        <f>Solieusap!C3853</f>
        <v/>
      </c>
      <c r="D3853" s="15" t="str">
        <f>Solieusap!D3853</f>
        <v/>
      </c>
      <c r="E3853" s="16">
        <f>ABS(Solieusap!E3853)</f>
        <v>0</v>
      </c>
      <c r="F3853" s="16">
        <f>ABS(Solieusap!F3853)</f>
        <v>0</v>
      </c>
      <c r="G3853" s="16">
        <f>ABS(Solieusap!G3853)</f>
        <v>0</v>
      </c>
      <c r="H3853" s="16">
        <f>ABS(Solieusap!H3853)</f>
        <v>0</v>
      </c>
      <c r="I3853" s="16">
        <f>ABS(Solieusap!I3853)</f>
        <v>0</v>
      </c>
      <c r="J3853" s="16">
        <f>ABS(Solieusap!J3853)</f>
        <v>0</v>
      </c>
      <c r="K3853" s="16">
        <f t="shared" si="1"/>
        <v>0</v>
      </c>
      <c r="L3853" s="16">
        <f t="shared" si="2"/>
        <v>0</v>
      </c>
    </row>
    <row r="3854" ht="16.5" customHeight="1">
      <c r="A3854" s="15" t="str">
        <f>Solieusap!A3854</f>
        <v/>
      </c>
      <c r="B3854" s="15" t="str">
        <f>Solieusap!B3854</f>
        <v/>
      </c>
      <c r="C3854" s="15" t="str">
        <f>Solieusap!C3854</f>
        <v/>
      </c>
      <c r="D3854" s="15" t="str">
        <f>Solieusap!D3854</f>
        <v/>
      </c>
      <c r="E3854" s="16">
        <f>ABS(Solieusap!E3854)</f>
        <v>0</v>
      </c>
      <c r="F3854" s="16">
        <f>ABS(Solieusap!F3854)</f>
        <v>0</v>
      </c>
      <c r="G3854" s="16">
        <f>ABS(Solieusap!G3854)</f>
        <v>0</v>
      </c>
      <c r="H3854" s="16">
        <f>ABS(Solieusap!H3854)</f>
        <v>0</v>
      </c>
      <c r="I3854" s="16">
        <f>ABS(Solieusap!I3854)</f>
        <v>0</v>
      </c>
      <c r="J3854" s="16">
        <f>ABS(Solieusap!J3854)</f>
        <v>0</v>
      </c>
      <c r="K3854" s="16">
        <f t="shared" si="1"/>
        <v>0</v>
      </c>
      <c r="L3854" s="16">
        <f t="shared" si="2"/>
        <v>0</v>
      </c>
    </row>
    <row r="3855" ht="16.5" customHeight="1">
      <c r="A3855" s="15" t="str">
        <f>Solieusap!A3855</f>
        <v/>
      </c>
      <c r="B3855" s="15" t="str">
        <f>Solieusap!B3855</f>
        <v/>
      </c>
      <c r="C3855" s="15" t="str">
        <f>Solieusap!C3855</f>
        <v/>
      </c>
      <c r="D3855" s="15" t="str">
        <f>Solieusap!D3855</f>
        <v/>
      </c>
      <c r="E3855" s="16">
        <f>ABS(Solieusap!E3855)</f>
        <v>0</v>
      </c>
      <c r="F3855" s="16">
        <f>ABS(Solieusap!F3855)</f>
        <v>0</v>
      </c>
      <c r="G3855" s="16">
        <f>ABS(Solieusap!G3855)</f>
        <v>0</v>
      </c>
      <c r="H3855" s="16">
        <f>ABS(Solieusap!H3855)</f>
        <v>0</v>
      </c>
      <c r="I3855" s="16">
        <f>ABS(Solieusap!I3855)</f>
        <v>0</v>
      </c>
      <c r="J3855" s="16">
        <f>ABS(Solieusap!J3855)</f>
        <v>0</v>
      </c>
      <c r="K3855" s="16">
        <f t="shared" si="1"/>
        <v>0</v>
      </c>
      <c r="L3855" s="16">
        <f t="shared" si="2"/>
        <v>0</v>
      </c>
    </row>
    <row r="3856" ht="16.5" customHeight="1">
      <c r="A3856" s="15" t="str">
        <f>Solieusap!A3856</f>
        <v/>
      </c>
      <c r="B3856" s="15" t="str">
        <f>Solieusap!B3856</f>
        <v/>
      </c>
      <c r="C3856" s="15" t="str">
        <f>Solieusap!C3856</f>
        <v/>
      </c>
      <c r="D3856" s="15" t="str">
        <f>Solieusap!D3856</f>
        <v/>
      </c>
      <c r="E3856" s="16">
        <f>ABS(Solieusap!E3856)</f>
        <v>0</v>
      </c>
      <c r="F3856" s="16">
        <f>ABS(Solieusap!F3856)</f>
        <v>0</v>
      </c>
      <c r="G3856" s="16">
        <f>ABS(Solieusap!G3856)</f>
        <v>0</v>
      </c>
      <c r="H3856" s="16">
        <f>ABS(Solieusap!H3856)</f>
        <v>0</v>
      </c>
      <c r="I3856" s="16">
        <f>ABS(Solieusap!I3856)</f>
        <v>0</v>
      </c>
      <c r="J3856" s="16">
        <f>ABS(Solieusap!J3856)</f>
        <v>0</v>
      </c>
      <c r="K3856" s="16">
        <f t="shared" si="1"/>
        <v>0</v>
      </c>
      <c r="L3856" s="16">
        <f t="shared" si="2"/>
        <v>0</v>
      </c>
    </row>
    <row r="3857" ht="16.5" customHeight="1">
      <c r="A3857" s="15" t="str">
        <f>Solieusap!A3857</f>
        <v/>
      </c>
      <c r="B3857" s="15" t="str">
        <f>Solieusap!B3857</f>
        <v/>
      </c>
      <c r="C3857" s="15" t="str">
        <f>Solieusap!C3857</f>
        <v/>
      </c>
      <c r="D3857" s="15" t="str">
        <f>Solieusap!D3857</f>
        <v/>
      </c>
      <c r="E3857" s="16">
        <f>ABS(Solieusap!E3857)</f>
        <v>0</v>
      </c>
      <c r="F3857" s="16">
        <f>ABS(Solieusap!F3857)</f>
        <v>0</v>
      </c>
      <c r="G3857" s="16">
        <f>ABS(Solieusap!G3857)</f>
        <v>0</v>
      </c>
      <c r="H3857" s="16">
        <f>ABS(Solieusap!H3857)</f>
        <v>0</v>
      </c>
      <c r="I3857" s="16">
        <f>ABS(Solieusap!I3857)</f>
        <v>0</v>
      </c>
      <c r="J3857" s="16">
        <f>ABS(Solieusap!J3857)</f>
        <v>0</v>
      </c>
      <c r="K3857" s="16">
        <f t="shared" si="1"/>
        <v>0</v>
      </c>
      <c r="L3857" s="16">
        <f t="shared" si="2"/>
        <v>0</v>
      </c>
    </row>
    <row r="3858" ht="16.5" customHeight="1">
      <c r="A3858" s="15" t="str">
        <f>Solieusap!A3858</f>
        <v/>
      </c>
      <c r="B3858" s="15" t="str">
        <f>Solieusap!B3858</f>
        <v/>
      </c>
      <c r="C3858" s="15" t="str">
        <f>Solieusap!C3858</f>
        <v/>
      </c>
      <c r="D3858" s="15" t="str">
        <f>Solieusap!D3858</f>
        <v/>
      </c>
      <c r="E3858" s="16">
        <f>ABS(Solieusap!E3858)</f>
        <v>0</v>
      </c>
      <c r="F3858" s="16">
        <f>ABS(Solieusap!F3858)</f>
        <v>0</v>
      </c>
      <c r="G3858" s="16">
        <f>ABS(Solieusap!G3858)</f>
        <v>0</v>
      </c>
      <c r="H3858" s="16">
        <f>ABS(Solieusap!H3858)</f>
        <v>0</v>
      </c>
      <c r="I3858" s="16">
        <f>ABS(Solieusap!I3858)</f>
        <v>0</v>
      </c>
      <c r="J3858" s="16">
        <f>ABS(Solieusap!J3858)</f>
        <v>0</v>
      </c>
      <c r="K3858" s="16">
        <f t="shared" si="1"/>
        <v>0</v>
      </c>
      <c r="L3858" s="16">
        <f t="shared" si="2"/>
        <v>0</v>
      </c>
    </row>
    <row r="3859" ht="16.5" customHeight="1">
      <c r="A3859" s="15" t="str">
        <f>Solieusap!A3859</f>
        <v/>
      </c>
      <c r="B3859" s="15" t="str">
        <f>Solieusap!B3859</f>
        <v/>
      </c>
      <c r="C3859" s="15" t="str">
        <f>Solieusap!C3859</f>
        <v/>
      </c>
      <c r="D3859" s="15" t="str">
        <f>Solieusap!D3859</f>
        <v/>
      </c>
      <c r="E3859" s="16">
        <f>ABS(Solieusap!E3859)</f>
        <v>0</v>
      </c>
      <c r="F3859" s="16">
        <f>ABS(Solieusap!F3859)</f>
        <v>0</v>
      </c>
      <c r="G3859" s="16">
        <f>ABS(Solieusap!G3859)</f>
        <v>0</v>
      </c>
      <c r="H3859" s="16">
        <f>ABS(Solieusap!H3859)</f>
        <v>0</v>
      </c>
      <c r="I3859" s="16">
        <f>ABS(Solieusap!I3859)</f>
        <v>0</v>
      </c>
      <c r="J3859" s="16">
        <f>ABS(Solieusap!J3859)</f>
        <v>0</v>
      </c>
      <c r="K3859" s="16">
        <f t="shared" si="1"/>
        <v>0</v>
      </c>
      <c r="L3859" s="16">
        <f t="shared" si="2"/>
        <v>0</v>
      </c>
    </row>
    <row r="3860" ht="16.5" customHeight="1">
      <c r="A3860" s="15" t="str">
        <f>Solieusap!A3860</f>
        <v/>
      </c>
      <c r="B3860" s="15" t="str">
        <f>Solieusap!B3860</f>
        <v/>
      </c>
      <c r="C3860" s="15" t="str">
        <f>Solieusap!C3860</f>
        <v/>
      </c>
      <c r="D3860" s="15" t="str">
        <f>Solieusap!D3860</f>
        <v/>
      </c>
      <c r="E3860" s="16">
        <f>ABS(Solieusap!E3860)</f>
        <v>0</v>
      </c>
      <c r="F3860" s="16">
        <f>ABS(Solieusap!F3860)</f>
        <v>0</v>
      </c>
      <c r="G3860" s="16">
        <f>ABS(Solieusap!G3860)</f>
        <v>0</v>
      </c>
      <c r="H3860" s="16">
        <f>ABS(Solieusap!H3860)</f>
        <v>0</v>
      </c>
      <c r="I3860" s="16">
        <f>ABS(Solieusap!I3860)</f>
        <v>0</v>
      </c>
      <c r="J3860" s="16">
        <f>ABS(Solieusap!J3860)</f>
        <v>0</v>
      </c>
      <c r="K3860" s="16">
        <f t="shared" si="1"/>
        <v>0</v>
      </c>
      <c r="L3860" s="16">
        <f t="shared" si="2"/>
        <v>0</v>
      </c>
    </row>
    <row r="3861" ht="16.5" customHeight="1">
      <c r="A3861" s="15" t="str">
        <f>Solieusap!A3861</f>
        <v/>
      </c>
      <c r="B3861" s="15" t="str">
        <f>Solieusap!B3861</f>
        <v/>
      </c>
      <c r="C3861" s="15" t="str">
        <f>Solieusap!C3861</f>
        <v/>
      </c>
      <c r="D3861" s="15" t="str">
        <f>Solieusap!D3861</f>
        <v/>
      </c>
      <c r="E3861" s="16">
        <f>ABS(Solieusap!E3861)</f>
        <v>0</v>
      </c>
      <c r="F3861" s="16">
        <f>ABS(Solieusap!F3861)</f>
        <v>0</v>
      </c>
      <c r="G3861" s="16">
        <f>ABS(Solieusap!G3861)</f>
        <v>0</v>
      </c>
      <c r="H3861" s="16">
        <f>ABS(Solieusap!H3861)</f>
        <v>0</v>
      </c>
      <c r="I3861" s="16">
        <f>ABS(Solieusap!I3861)</f>
        <v>0</v>
      </c>
      <c r="J3861" s="16">
        <f>ABS(Solieusap!J3861)</f>
        <v>0</v>
      </c>
      <c r="K3861" s="16">
        <f t="shared" si="1"/>
        <v>0</v>
      </c>
      <c r="L3861" s="16">
        <f t="shared" si="2"/>
        <v>0</v>
      </c>
    </row>
    <row r="3862" ht="16.5" customHeight="1">
      <c r="A3862" s="15" t="str">
        <f>Solieusap!A3862</f>
        <v/>
      </c>
      <c r="B3862" s="15" t="str">
        <f>Solieusap!B3862</f>
        <v/>
      </c>
      <c r="C3862" s="15" t="str">
        <f>Solieusap!C3862</f>
        <v/>
      </c>
      <c r="D3862" s="15" t="str">
        <f>Solieusap!D3862</f>
        <v/>
      </c>
      <c r="E3862" s="16">
        <f>ABS(Solieusap!E3862)</f>
        <v>0</v>
      </c>
      <c r="F3862" s="16">
        <f>ABS(Solieusap!F3862)</f>
        <v>0</v>
      </c>
      <c r="G3862" s="16">
        <f>ABS(Solieusap!G3862)</f>
        <v>0</v>
      </c>
      <c r="H3862" s="16">
        <f>ABS(Solieusap!H3862)</f>
        <v>0</v>
      </c>
      <c r="I3862" s="16">
        <f>ABS(Solieusap!I3862)</f>
        <v>0</v>
      </c>
      <c r="J3862" s="16">
        <f>ABS(Solieusap!J3862)</f>
        <v>0</v>
      </c>
      <c r="K3862" s="16">
        <f t="shared" si="1"/>
        <v>0</v>
      </c>
      <c r="L3862" s="16">
        <f t="shared" si="2"/>
        <v>0</v>
      </c>
    </row>
    <row r="3863" ht="16.5" customHeight="1">
      <c r="A3863" s="15" t="str">
        <f>Solieusap!A3863</f>
        <v/>
      </c>
      <c r="B3863" s="15" t="str">
        <f>Solieusap!B3863</f>
        <v/>
      </c>
      <c r="C3863" s="15" t="str">
        <f>Solieusap!C3863</f>
        <v/>
      </c>
      <c r="D3863" s="15" t="str">
        <f>Solieusap!D3863</f>
        <v/>
      </c>
      <c r="E3863" s="16">
        <f>ABS(Solieusap!E3863)</f>
        <v>0</v>
      </c>
      <c r="F3863" s="16">
        <f>ABS(Solieusap!F3863)</f>
        <v>0</v>
      </c>
      <c r="G3863" s="16">
        <f>ABS(Solieusap!G3863)</f>
        <v>0</v>
      </c>
      <c r="H3863" s="16">
        <f>ABS(Solieusap!H3863)</f>
        <v>0</v>
      </c>
      <c r="I3863" s="16">
        <f>ABS(Solieusap!I3863)</f>
        <v>0</v>
      </c>
      <c r="J3863" s="16">
        <f>ABS(Solieusap!J3863)</f>
        <v>0</v>
      </c>
      <c r="K3863" s="16">
        <f t="shared" si="1"/>
        <v>0</v>
      </c>
      <c r="L3863" s="16">
        <f t="shared" si="2"/>
        <v>0</v>
      </c>
    </row>
    <row r="3864" ht="16.5" customHeight="1">
      <c r="A3864" s="15" t="str">
        <f>Solieusap!A3864</f>
        <v/>
      </c>
      <c r="B3864" s="15" t="str">
        <f>Solieusap!B3864</f>
        <v/>
      </c>
      <c r="C3864" s="15" t="str">
        <f>Solieusap!C3864</f>
        <v/>
      </c>
      <c r="D3864" s="15" t="str">
        <f>Solieusap!D3864</f>
        <v/>
      </c>
      <c r="E3864" s="16">
        <f>ABS(Solieusap!E3864)</f>
        <v>0</v>
      </c>
      <c r="F3864" s="16">
        <f>ABS(Solieusap!F3864)</f>
        <v>0</v>
      </c>
      <c r="G3864" s="16">
        <f>ABS(Solieusap!G3864)</f>
        <v>0</v>
      </c>
      <c r="H3864" s="16">
        <f>ABS(Solieusap!H3864)</f>
        <v>0</v>
      </c>
      <c r="I3864" s="16">
        <f>ABS(Solieusap!I3864)</f>
        <v>0</v>
      </c>
      <c r="J3864" s="16">
        <f>ABS(Solieusap!J3864)</f>
        <v>0</v>
      </c>
      <c r="K3864" s="16">
        <f t="shared" si="1"/>
        <v>0</v>
      </c>
      <c r="L3864" s="16">
        <f t="shared" si="2"/>
        <v>0</v>
      </c>
    </row>
    <row r="3865" ht="16.5" customHeight="1">
      <c r="A3865" s="15" t="str">
        <f>Solieusap!A3865</f>
        <v/>
      </c>
      <c r="B3865" s="15" t="str">
        <f>Solieusap!B3865</f>
        <v/>
      </c>
      <c r="C3865" s="15" t="str">
        <f>Solieusap!C3865</f>
        <v/>
      </c>
      <c r="D3865" s="15" t="str">
        <f>Solieusap!D3865</f>
        <v/>
      </c>
      <c r="E3865" s="16">
        <f>ABS(Solieusap!E3865)</f>
        <v>0</v>
      </c>
      <c r="F3865" s="16">
        <f>ABS(Solieusap!F3865)</f>
        <v>0</v>
      </c>
      <c r="G3865" s="16">
        <f>ABS(Solieusap!G3865)</f>
        <v>0</v>
      </c>
      <c r="H3865" s="16">
        <f>ABS(Solieusap!H3865)</f>
        <v>0</v>
      </c>
      <c r="I3865" s="16">
        <f>ABS(Solieusap!I3865)</f>
        <v>0</v>
      </c>
      <c r="J3865" s="16">
        <f>ABS(Solieusap!J3865)</f>
        <v>0</v>
      </c>
      <c r="K3865" s="16">
        <f t="shared" si="1"/>
        <v>0</v>
      </c>
      <c r="L3865" s="16">
        <f t="shared" si="2"/>
        <v>0</v>
      </c>
    </row>
    <row r="3866" ht="16.5" customHeight="1">
      <c r="A3866" s="15" t="str">
        <f>Solieusap!A3866</f>
        <v/>
      </c>
      <c r="B3866" s="15" t="str">
        <f>Solieusap!B3866</f>
        <v/>
      </c>
      <c r="C3866" s="15" t="str">
        <f>Solieusap!C3866</f>
        <v/>
      </c>
      <c r="D3866" s="15" t="str">
        <f>Solieusap!D3866</f>
        <v/>
      </c>
      <c r="E3866" s="16">
        <f>ABS(Solieusap!E3866)</f>
        <v>0</v>
      </c>
      <c r="F3866" s="16">
        <f>ABS(Solieusap!F3866)</f>
        <v>0</v>
      </c>
      <c r="G3866" s="16">
        <f>ABS(Solieusap!G3866)</f>
        <v>0</v>
      </c>
      <c r="H3866" s="16">
        <f>ABS(Solieusap!H3866)</f>
        <v>0</v>
      </c>
      <c r="I3866" s="16">
        <f>ABS(Solieusap!I3866)</f>
        <v>0</v>
      </c>
      <c r="J3866" s="16">
        <f>ABS(Solieusap!J3866)</f>
        <v>0</v>
      </c>
      <c r="K3866" s="16">
        <f t="shared" si="1"/>
        <v>0</v>
      </c>
      <c r="L3866" s="16">
        <f t="shared" si="2"/>
        <v>0</v>
      </c>
    </row>
    <row r="3867" ht="16.5" customHeight="1">
      <c r="A3867" s="15" t="str">
        <f>Solieusap!A3867</f>
        <v/>
      </c>
      <c r="B3867" s="15" t="str">
        <f>Solieusap!B3867</f>
        <v/>
      </c>
      <c r="C3867" s="15" t="str">
        <f>Solieusap!C3867</f>
        <v/>
      </c>
      <c r="D3867" s="15" t="str">
        <f>Solieusap!D3867</f>
        <v/>
      </c>
      <c r="E3867" s="16">
        <f>ABS(Solieusap!E3867)</f>
        <v>0</v>
      </c>
      <c r="F3867" s="16">
        <f>ABS(Solieusap!F3867)</f>
        <v>0</v>
      </c>
      <c r="G3867" s="16">
        <f>ABS(Solieusap!G3867)</f>
        <v>0</v>
      </c>
      <c r="H3867" s="16">
        <f>ABS(Solieusap!H3867)</f>
        <v>0</v>
      </c>
      <c r="I3867" s="16">
        <f>ABS(Solieusap!I3867)</f>
        <v>0</v>
      </c>
      <c r="J3867" s="16">
        <f>ABS(Solieusap!J3867)</f>
        <v>0</v>
      </c>
      <c r="K3867" s="16">
        <f t="shared" si="1"/>
        <v>0</v>
      </c>
      <c r="L3867" s="16">
        <f t="shared" si="2"/>
        <v>0</v>
      </c>
    </row>
    <row r="3868" ht="16.5" customHeight="1">
      <c r="A3868" s="15" t="str">
        <f>Solieusap!A3868</f>
        <v/>
      </c>
      <c r="B3868" s="15" t="str">
        <f>Solieusap!B3868</f>
        <v/>
      </c>
      <c r="C3868" s="15" t="str">
        <f>Solieusap!C3868</f>
        <v/>
      </c>
      <c r="D3868" s="15" t="str">
        <f>Solieusap!D3868</f>
        <v/>
      </c>
      <c r="E3868" s="16">
        <f>ABS(Solieusap!E3868)</f>
        <v>0</v>
      </c>
      <c r="F3868" s="16">
        <f>ABS(Solieusap!F3868)</f>
        <v>0</v>
      </c>
      <c r="G3868" s="16">
        <f>ABS(Solieusap!G3868)</f>
        <v>0</v>
      </c>
      <c r="H3868" s="16">
        <f>ABS(Solieusap!H3868)</f>
        <v>0</v>
      </c>
      <c r="I3868" s="16">
        <f>ABS(Solieusap!I3868)</f>
        <v>0</v>
      </c>
      <c r="J3868" s="16">
        <f>ABS(Solieusap!J3868)</f>
        <v>0</v>
      </c>
      <c r="K3868" s="16">
        <f t="shared" si="1"/>
        <v>0</v>
      </c>
      <c r="L3868" s="16">
        <f t="shared" si="2"/>
        <v>0</v>
      </c>
    </row>
    <row r="3869" ht="16.5" customHeight="1">
      <c r="A3869" s="15" t="str">
        <f>Solieusap!A3869</f>
        <v/>
      </c>
      <c r="B3869" s="15" t="str">
        <f>Solieusap!B3869</f>
        <v/>
      </c>
      <c r="C3869" s="15" t="str">
        <f>Solieusap!C3869</f>
        <v/>
      </c>
      <c r="D3869" s="15" t="str">
        <f>Solieusap!D3869</f>
        <v/>
      </c>
      <c r="E3869" s="16">
        <f>ABS(Solieusap!E3869)</f>
        <v>0</v>
      </c>
      <c r="F3869" s="16">
        <f>ABS(Solieusap!F3869)</f>
        <v>0</v>
      </c>
      <c r="G3869" s="16">
        <f>ABS(Solieusap!G3869)</f>
        <v>0</v>
      </c>
      <c r="H3869" s="16">
        <f>ABS(Solieusap!H3869)</f>
        <v>0</v>
      </c>
      <c r="I3869" s="16">
        <f>ABS(Solieusap!I3869)</f>
        <v>0</v>
      </c>
      <c r="J3869" s="16">
        <f>ABS(Solieusap!J3869)</f>
        <v>0</v>
      </c>
      <c r="K3869" s="16">
        <f t="shared" si="1"/>
        <v>0</v>
      </c>
      <c r="L3869" s="16">
        <f t="shared" si="2"/>
        <v>0</v>
      </c>
    </row>
    <row r="3870" ht="16.5" customHeight="1">
      <c r="A3870" s="15" t="str">
        <f>Solieusap!A3870</f>
        <v/>
      </c>
      <c r="B3870" s="15" t="str">
        <f>Solieusap!B3870</f>
        <v/>
      </c>
      <c r="C3870" s="15" t="str">
        <f>Solieusap!C3870</f>
        <v/>
      </c>
      <c r="D3870" s="15" t="str">
        <f>Solieusap!D3870</f>
        <v/>
      </c>
      <c r="E3870" s="16">
        <f>ABS(Solieusap!E3870)</f>
        <v>0</v>
      </c>
      <c r="F3870" s="16">
        <f>ABS(Solieusap!F3870)</f>
        <v>0</v>
      </c>
      <c r="G3870" s="16">
        <f>ABS(Solieusap!G3870)</f>
        <v>0</v>
      </c>
      <c r="H3870" s="16">
        <f>ABS(Solieusap!H3870)</f>
        <v>0</v>
      </c>
      <c r="I3870" s="16">
        <f>ABS(Solieusap!I3870)</f>
        <v>0</v>
      </c>
      <c r="J3870" s="16">
        <f>ABS(Solieusap!J3870)</f>
        <v>0</v>
      </c>
      <c r="K3870" s="16">
        <f t="shared" si="1"/>
        <v>0</v>
      </c>
      <c r="L3870" s="16">
        <f t="shared" si="2"/>
        <v>0</v>
      </c>
    </row>
    <row r="3871" ht="16.5" customHeight="1">
      <c r="A3871" s="15" t="str">
        <f>Solieusap!A3871</f>
        <v/>
      </c>
      <c r="B3871" s="15" t="str">
        <f>Solieusap!B3871</f>
        <v/>
      </c>
      <c r="C3871" s="15" t="str">
        <f>Solieusap!C3871</f>
        <v/>
      </c>
      <c r="D3871" s="15" t="str">
        <f>Solieusap!D3871</f>
        <v/>
      </c>
      <c r="E3871" s="16">
        <f>ABS(Solieusap!E3871)</f>
        <v>0</v>
      </c>
      <c r="F3871" s="16">
        <f>ABS(Solieusap!F3871)</f>
        <v>0</v>
      </c>
      <c r="G3871" s="16">
        <f>ABS(Solieusap!G3871)</f>
        <v>0</v>
      </c>
      <c r="H3871" s="16">
        <f>ABS(Solieusap!H3871)</f>
        <v>0</v>
      </c>
      <c r="I3871" s="16">
        <f>ABS(Solieusap!I3871)</f>
        <v>0</v>
      </c>
      <c r="J3871" s="16">
        <f>ABS(Solieusap!J3871)</f>
        <v>0</v>
      </c>
      <c r="K3871" s="16">
        <f t="shared" si="1"/>
        <v>0</v>
      </c>
      <c r="L3871" s="16">
        <f t="shared" si="2"/>
        <v>0</v>
      </c>
    </row>
    <row r="3872" ht="16.5" customHeight="1">
      <c r="A3872" s="15" t="str">
        <f>Solieusap!A3872</f>
        <v/>
      </c>
      <c r="B3872" s="15" t="str">
        <f>Solieusap!B3872</f>
        <v/>
      </c>
      <c r="C3872" s="15" t="str">
        <f>Solieusap!C3872</f>
        <v/>
      </c>
      <c r="D3872" s="15" t="str">
        <f>Solieusap!D3872</f>
        <v/>
      </c>
      <c r="E3872" s="16">
        <f>ABS(Solieusap!E3872)</f>
        <v>0</v>
      </c>
      <c r="F3872" s="16">
        <f>ABS(Solieusap!F3872)</f>
        <v>0</v>
      </c>
      <c r="G3872" s="16">
        <f>ABS(Solieusap!G3872)</f>
        <v>0</v>
      </c>
      <c r="H3872" s="16">
        <f>ABS(Solieusap!H3872)</f>
        <v>0</v>
      </c>
      <c r="I3872" s="16">
        <f>ABS(Solieusap!I3872)</f>
        <v>0</v>
      </c>
      <c r="J3872" s="16">
        <f>ABS(Solieusap!J3872)</f>
        <v>0</v>
      </c>
      <c r="K3872" s="16">
        <f t="shared" si="1"/>
        <v>0</v>
      </c>
      <c r="L3872" s="16">
        <f t="shared" si="2"/>
        <v>0</v>
      </c>
    </row>
    <row r="3873" ht="16.5" customHeight="1">
      <c r="A3873" s="15" t="str">
        <f>Solieusap!A3873</f>
        <v/>
      </c>
      <c r="B3873" s="15" t="str">
        <f>Solieusap!B3873</f>
        <v/>
      </c>
      <c r="C3873" s="15" t="str">
        <f>Solieusap!C3873</f>
        <v/>
      </c>
      <c r="D3873" s="15" t="str">
        <f>Solieusap!D3873</f>
        <v/>
      </c>
      <c r="E3873" s="16">
        <f>ABS(Solieusap!E3873)</f>
        <v>0</v>
      </c>
      <c r="F3873" s="16">
        <f>ABS(Solieusap!F3873)</f>
        <v>0</v>
      </c>
      <c r="G3873" s="16">
        <f>ABS(Solieusap!G3873)</f>
        <v>0</v>
      </c>
      <c r="H3873" s="16">
        <f>ABS(Solieusap!H3873)</f>
        <v>0</v>
      </c>
      <c r="I3873" s="16">
        <f>ABS(Solieusap!I3873)</f>
        <v>0</v>
      </c>
      <c r="J3873" s="16">
        <f>ABS(Solieusap!J3873)</f>
        <v>0</v>
      </c>
      <c r="K3873" s="16">
        <f t="shared" si="1"/>
        <v>0</v>
      </c>
      <c r="L3873" s="16">
        <f t="shared" si="2"/>
        <v>0</v>
      </c>
    </row>
    <row r="3874" ht="16.5" customHeight="1">
      <c r="A3874" s="15" t="str">
        <f>Solieusap!A3874</f>
        <v/>
      </c>
      <c r="B3874" s="15" t="str">
        <f>Solieusap!B3874</f>
        <v/>
      </c>
      <c r="C3874" s="15" t="str">
        <f>Solieusap!C3874</f>
        <v/>
      </c>
      <c r="D3874" s="15" t="str">
        <f>Solieusap!D3874</f>
        <v/>
      </c>
      <c r="E3874" s="16">
        <f>ABS(Solieusap!E3874)</f>
        <v>0</v>
      </c>
      <c r="F3874" s="16">
        <f>ABS(Solieusap!F3874)</f>
        <v>0</v>
      </c>
      <c r="G3874" s="16">
        <f>ABS(Solieusap!G3874)</f>
        <v>0</v>
      </c>
      <c r="H3874" s="16">
        <f>ABS(Solieusap!H3874)</f>
        <v>0</v>
      </c>
      <c r="I3874" s="16">
        <f>ABS(Solieusap!I3874)</f>
        <v>0</v>
      </c>
      <c r="J3874" s="16">
        <f>ABS(Solieusap!J3874)</f>
        <v>0</v>
      </c>
      <c r="K3874" s="16">
        <f t="shared" si="1"/>
        <v>0</v>
      </c>
      <c r="L3874" s="16">
        <f t="shared" si="2"/>
        <v>0</v>
      </c>
    </row>
    <row r="3875" ht="16.5" customHeight="1">
      <c r="A3875" s="15" t="str">
        <f>Solieusap!A3875</f>
        <v/>
      </c>
      <c r="B3875" s="15" t="str">
        <f>Solieusap!B3875</f>
        <v/>
      </c>
      <c r="C3875" s="15" t="str">
        <f>Solieusap!C3875</f>
        <v/>
      </c>
      <c r="D3875" s="15" t="str">
        <f>Solieusap!D3875</f>
        <v/>
      </c>
      <c r="E3875" s="16">
        <f>ABS(Solieusap!E3875)</f>
        <v>0</v>
      </c>
      <c r="F3875" s="16">
        <f>ABS(Solieusap!F3875)</f>
        <v>0</v>
      </c>
      <c r="G3875" s="16">
        <f>ABS(Solieusap!G3875)</f>
        <v>0</v>
      </c>
      <c r="H3875" s="16">
        <f>ABS(Solieusap!H3875)</f>
        <v>0</v>
      </c>
      <c r="I3875" s="16">
        <f>ABS(Solieusap!I3875)</f>
        <v>0</v>
      </c>
      <c r="J3875" s="16">
        <f>ABS(Solieusap!J3875)</f>
        <v>0</v>
      </c>
      <c r="K3875" s="16">
        <f t="shared" si="1"/>
        <v>0</v>
      </c>
      <c r="L3875" s="16">
        <f t="shared" si="2"/>
        <v>0</v>
      </c>
    </row>
    <row r="3876" ht="16.5" customHeight="1">
      <c r="A3876" s="15" t="str">
        <f>Solieusap!A3876</f>
        <v/>
      </c>
      <c r="B3876" s="15" t="str">
        <f>Solieusap!B3876</f>
        <v/>
      </c>
      <c r="C3876" s="15" t="str">
        <f>Solieusap!C3876</f>
        <v/>
      </c>
      <c r="D3876" s="15" t="str">
        <f>Solieusap!D3876</f>
        <v/>
      </c>
      <c r="E3876" s="16">
        <f>ABS(Solieusap!E3876)</f>
        <v>0</v>
      </c>
      <c r="F3876" s="16">
        <f>ABS(Solieusap!F3876)</f>
        <v>0</v>
      </c>
      <c r="G3876" s="16">
        <f>ABS(Solieusap!G3876)</f>
        <v>0</v>
      </c>
      <c r="H3876" s="16">
        <f>ABS(Solieusap!H3876)</f>
        <v>0</v>
      </c>
      <c r="I3876" s="16">
        <f>ABS(Solieusap!I3876)</f>
        <v>0</v>
      </c>
      <c r="J3876" s="16">
        <f>ABS(Solieusap!J3876)</f>
        <v>0</v>
      </c>
      <c r="K3876" s="16">
        <f t="shared" si="1"/>
        <v>0</v>
      </c>
      <c r="L3876" s="16">
        <f t="shared" si="2"/>
        <v>0</v>
      </c>
    </row>
    <row r="3877" ht="16.5" customHeight="1">
      <c r="A3877" s="15" t="str">
        <f>Solieusap!A3877</f>
        <v/>
      </c>
      <c r="B3877" s="15" t="str">
        <f>Solieusap!B3877</f>
        <v/>
      </c>
      <c r="C3877" s="15" t="str">
        <f>Solieusap!C3877</f>
        <v/>
      </c>
      <c r="D3877" s="15" t="str">
        <f>Solieusap!D3877</f>
        <v/>
      </c>
      <c r="E3877" s="16">
        <f>ABS(Solieusap!E3877)</f>
        <v>0</v>
      </c>
      <c r="F3877" s="16">
        <f>ABS(Solieusap!F3877)</f>
        <v>0</v>
      </c>
      <c r="G3877" s="16">
        <f>ABS(Solieusap!G3877)</f>
        <v>0</v>
      </c>
      <c r="H3877" s="16">
        <f>ABS(Solieusap!H3877)</f>
        <v>0</v>
      </c>
      <c r="I3877" s="16">
        <f>ABS(Solieusap!I3877)</f>
        <v>0</v>
      </c>
      <c r="J3877" s="16">
        <f>ABS(Solieusap!J3877)</f>
        <v>0</v>
      </c>
      <c r="K3877" s="16">
        <f t="shared" si="1"/>
        <v>0</v>
      </c>
      <c r="L3877" s="16">
        <f t="shared" si="2"/>
        <v>0</v>
      </c>
    </row>
    <row r="3878" ht="16.5" customHeight="1">
      <c r="A3878" s="15" t="str">
        <f>Solieusap!A3878</f>
        <v/>
      </c>
      <c r="B3878" s="15" t="str">
        <f>Solieusap!B3878</f>
        <v/>
      </c>
      <c r="C3878" s="15" t="str">
        <f>Solieusap!C3878</f>
        <v/>
      </c>
      <c r="D3878" s="15" t="str">
        <f>Solieusap!D3878</f>
        <v/>
      </c>
      <c r="E3878" s="16">
        <f>ABS(Solieusap!E3878)</f>
        <v>0</v>
      </c>
      <c r="F3878" s="16">
        <f>ABS(Solieusap!F3878)</f>
        <v>0</v>
      </c>
      <c r="G3878" s="16">
        <f>ABS(Solieusap!G3878)</f>
        <v>0</v>
      </c>
      <c r="H3878" s="16">
        <f>ABS(Solieusap!H3878)</f>
        <v>0</v>
      </c>
      <c r="I3878" s="16">
        <f>ABS(Solieusap!I3878)</f>
        <v>0</v>
      </c>
      <c r="J3878" s="16">
        <f>ABS(Solieusap!J3878)</f>
        <v>0</v>
      </c>
      <c r="K3878" s="16">
        <f t="shared" si="1"/>
        <v>0</v>
      </c>
      <c r="L3878" s="16">
        <f t="shared" si="2"/>
        <v>0</v>
      </c>
    </row>
    <row r="3879" ht="16.5" customHeight="1">
      <c r="A3879" s="15" t="str">
        <f>Solieusap!A3879</f>
        <v/>
      </c>
      <c r="B3879" s="15" t="str">
        <f>Solieusap!B3879</f>
        <v/>
      </c>
      <c r="C3879" s="15" t="str">
        <f>Solieusap!C3879</f>
        <v/>
      </c>
      <c r="D3879" s="15" t="str">
        <f>Solieusap!D3879</f>
        <v/>
      </c>
      <c r="E3879" s="16">
        <f>ABS(Solieusap!E3879)</f>
        <v>0</v>
      </c>
      <c r="F3879" s="16">
        <f>ABS(Solieusap!F3879)</f>
        <v>0</v>
      </c>
      <c r="G3879" s="16">
        <f>ABS(Solieusap!G3879)</f>
        <v>0</v>
      </c>
      <c r="H3879" s="16">
        <f>ABS(Solieusap!H3879)</f>
        <v>0</v>
      </c>
      <c r="I3879" s="16">
        <f>ABS(Solieusap!I3879)</f>
        <v>0</v>
      </c>
      <c r="J3879" s="16">
        <f>ABS(Solieusap!J3879)</f>
        <v>0</v>
      </c>
      <c r="K3879" s="16">
        <f t="shared" si="1"/>
        <v>0</v>
      </c>
      <c r="L3879" s="16">
        <f t="shared" si="2"/>
        <v>0</v>
      </c>
    </row>
    <row r="3880" ht="16.5" customHeight="1">
      <c r="A3880" s="15" t="str">
        <f>Solieusap!A3880</f>
        <v/>
      </c>
      <c r="B3880" s="15" t="str">
        <f>Solieusap!B3880</f>
        <v/>
      </c>
      <c r="C3880" s="15" t="str">
        <f>Solieusap!C3880</f>
        <v/>
      </c>
      <c r="D3880" s="15" t="str">
        <f>Solieusap!D3880</f>
        <v/>
      </c>
      <c r="E3880" s="16">
        <f>ABS(Solieusap!E3880)</f>
        <v>0</v>
      </c>
      <c r="F3880" s="16">
        <f>ABS(Solieusap!F3880)</f>
        <v>0</v>
      </c>
      <c r="G3880" s="16">
        <f>ABS(Solieusap!G3880)</f>
        <v>0</v>
      </c>
      <c r="H3880" s="16">
        <f>ABS(Solieusap!H3880)</f>
        <v>0</v>
      </c>
      <c r="I3880" s="16">
        <f>ABS(Solieusap!I3880)</f>
        <v>0</v>
      </c>
      <c r="J3880" s="16">
        <f>ABS(Solieusap!J3880)</f>
        <v>0</v>
      </c>
      <c r="K3880" s="16">
        <f t="shared" si="1"/>
        <v>0</v>
      </c>
      <c r="L3880" s="16">
        <f t="shared" si="2"/>
        <v>0</v>
      </c>
    </row>
    <row r="3881" ht="16.5" customHeight="1">
      <c r="A3881" s="15" t="str">
        <f>Solieusap!A3881</f>
        <v/>
      </c>
      <c r="B3881" s="15" t="str">
        <f>Solieusap!B3881</f>
        <v/>
      </c>
      <c r="C3881" s="15" t="str">
        <f>Solieusap!C3881</f>
        <v/>
      </c>
      <c r="D3881" s="15" t="str">
        <f>Solieusap!D3881</f>
        <v/>
      </c>
      <c r="E3881" s="16">
        <f>ABS(Solieusap!E3881)</f>
        <v>0</v>
      </c>
      <c r="F3881" s="16">
        <f>ABS(Solieusap!F3881)</f>
        <v>0</v>
      </c>
      <c r="G3881" s="16">
        <f>ABS(Solieusap!G3881)</f>
        <v>0</v>
      </c>
      <c r="H3881" s="16">
        <f>ABS(Solieusap!H3881)</f>
        <v>0</v>
      </c>
      <c r="I3881" s="16">
        <f>ABS(Solieusap!I3881)</f>
        <v>0</v>
      </c>
      <c r="J3881" s="16">
        <f>ABS(Solieusap!J3881)</f>
        <v>0</v>
      </c>
      <c r="K3881" s="16">
        <f t="shared" si="1"/>
        <v>0</v>
      </c>
      <c r="L3881" s="16">
        <f t="shared" si="2"/>
        <v>0</v>
      </c>
    </row>
    <row r="3882" ht="16.5" customHeight="1">
      <c r="A3882" s="15" t="str">
        <f>Solieusap!A3882</f>
        <v/>
      </c>
      <c r="B3882" s="15" t="str">
        <f>Solieusap!B3882</f>
        <v/>
      </c>
      <c r="C3882" s="15" t="str">
        <f>Solieusap!C3882</f>
        <v/>
      </c>
      <c r="D3882" s="15" t="str">
        <f>Solieusap!D3882</f>
        <v/>
      </c>
      <c r="E3882" s="16">
        <f>ABS(Solieusap!E3882)</f>
        <v>0</v>
      </c>
      <c r="F3882" s="16">
        <f>ABS(Solieusap!F3882)</f>
        <v>0</v>
      </c>
      <c r="G3882" s="16">
        <f>ABS(Solieusap!G3882)</f>
        <v>0</v>
      </c>
      <c r="H3882" s="16">
        <f>ABS(Solieusap!H3882)</f>
        <v>0</v>
      </c>
      <c r="I3882" s="16">
        <f>ABS(Solieusap!I3882)</f>
        <v>0</v>
      </c>
      <c r="J3882" s="16">
        <f>ABS(Solieusap!J3882)</f>
        <v>0</v>
      </c>
      <c r="K3882" s="16">
        <f t="shared" si="1"/>
        <v>0</v>
      </c>
      <c r="L3882" s="16">
        <f t="shared" si="2"/>
        <v>0</v>
      </c>
    </row>
    <row r="3883" ht="16.5" customHeight="1">
      <c r="A3883" s="15" t="str">
        <f>Solieusap!A3883</f>
        <v/>
      </c>
      <c r="B3883" s="15" t="str">
        <f>Solieusap!B3883</f>
        <v/>
      </c>
      <c r="C3883" s="15" t="str">
        <f>Solieusap!C3883</f>
        <v/>
      </c>
      <c r="D3883" s="15" t="str">
        <f>Solieusap!D3883</f>
        <v/>
      </c>
      <c r="E3883" s="16">
        <f>ABS(Solieusap!E3883)</f>
        <v>0</v>
      </c>
      <c r="F3883" s="16">
        <f>ABS(Solieusap!F3883)</f>
        <v>0</v>
      </c>
      <c r="G3883" s="16">
        <f>ABS(Solieusap!G3883)</f>
        <v>0</v>
      </c>
      <c r="H3883" s="16">
        <f>ABS(Solieusap!H3883)</f>
        <v>0</v>
      </c>
      <c r="I3883" s="16">
        <f>ABS(Solieusap!I3883)</f>
        <v>0</v>
      </c>
      <c r="J3883" s="16">
        <f>ABS(Solieusap!J3883)</f>
        <v>0</v>
      </c>
      <c r="K3883" s="16">
        <f t="shared" si="1"/>
        <v>0</v>
      </c>
      <c r="L3883" s="16">
        <f t="shared" si="2"/>
        <v>0</v>
      </c>
    </row>
    <row r="3884" ht="16.5" customHeight="1">
      <c r="A3884" s="15" t="str">
        <f>Solieusap!A3884</f>
        <v/>
      </c>
      <c r="B3884" s="15" t="str">
        <f>Solieusap!B3884</f>
        <v/>
      </c>
      <c r="C3884" s="15" t="str">
        <f>Solieusap!C3884</f>
        <v/>
      </c>
      <c r="D3884" s="15" t="str">
        <f>Solieusap!D3884</f>
        <v/>
      </c>
      <c r="E3884" s="16">
        <f>ABS(Solieusap!E3884)</f>
        <v>0</v>
      </c>
      <c r="F3884" s="16">
        <f>ABS(Solieusap!F3884)</f>
        <v>0</v>
      </c>
      <c r="G3884" s="16">
        <f>ABS(Solieusap!G3884)</f>
        <v>0</v>
      </c>
      <c r="H3884" s="16">
        <f>ABS(Solieusap!H3884)</f>
        <v>0</v>
      </c>
      <c r="I3884" s="16">
        <f>ABS(Solieusap!I3884)</f>
        <v>0</v>
      </c>
      <c r="J3884" s="16">
        <f>ABS(Solieusap!J3884)</f>
        <v>0</v>
      </c>
      <c r="K3884" s="16">
        <f t="shared" si="1"/>
        <v>0</v>
      </c>
      <c r="L3884" s="16">
        <f t="shared" si="2"/>
        <v>0</v>
      </c>
    </row>
    <row r="3885" ht="16.5" customHeight="1">
      <c r="A3885" s="15" t="str">
        <f>Solieusap!A3885</f>
        <v/>
      </c>
      <c r="B3885" s="15" t="str">
        <f>Solieusap!B3885</f>
        <v/>
      </c>
      <c r="C3885" s="15" t="str">
        <f>Solieusap!C3885</f>
        <v/>
      </c>
      <c r="D3885" s="15" t="str">
        <f>Solieusap!D3885</f>
        <v/>
      </c>
      <c r="E3885" s="16">
        <f>ABS(Solieusap!E3885)</f>
        <v>0</v>
      </c>
      <c r="F3885" s="16">
        <f>ABS(Solieusap!F3885)</f>
        <v>0</v>
      </c>
      <c r="G3885" s="16">
        <f>ABS(Solieusap!G3885)</f>
        <v>0</v>
      </c>
      <c r="H3885" s="16">
        <f>ABS(Solieusap!H3885)</f>
        <v>0</v>
      </c>
      <c r="I3885" s="16">
        <f>ABS(Solieusap!I3885)</f>
        <v>0</v>
      </c>
      <c r="J3885" s="16">
        <f>ABS(Solieusap!J3885)</f>
        <v>0</v>
      </c>
      <c r="K3885" s="16">
        <f t="shared" si="1"/>
        <v>0</v>
      </c>
      <c r="L3885" s="16">
        <f t="shared" si="2"/>
        <v>0</v>
      </c>
    </row>
    <row r="3886" ht="16.5" customHeight="1">
      <c r="A3886" s="15" t="str">
        <f>Solieusap!A3886</f>
        <v/>
      </c>
      <c r="B3886" s="15" t="str">
        <f>Solieusap!B3886</f>
        <v/>
      </c>
      <c r="C3886" s="15" t="str">
        <f>Solieusap!C3886</f>
        <v/>
      </c>
      <c r="D3886" s="15" t="str">
        <f>Solieusap!D3886</f>
        <v/>
      </c>
      <c r="E3886" s="16">
        <f>ABS(Solieusap!E3886)</f>
        <v>0</v>
      </c>
      <c r="F3886" s="16">
        <f>ABS(Solieusap!F3886)</f>
        <v>0</v>
      </c>
      <c r="G3886" s="16">
        <f>ABS(Solieusap!G3886)</f>
        <v>0</v>
      </c>
      <c r="H3886" s="16">
        <f>ABS(Solieusap!H3886)</f>
        <v>0</v>
      </c>
      <c r="I3886" s="16">
        <f>ABS(Solieusap!I3886)</f>
        <v>0</v>
      </c>
      <c r="J3886" s="16">
        <f>ABS(Solieusap!J3886)</f>
        <v>0</v>
      </c>
      <c r="K3886" s="16">
        <f t="shared" si="1"/>
        <v>0</v>
      </c>
      <c r="L3886" s="16">
        <f t="shared" si="2"/>
        <v>0</v>
      </c>
    </row>
    <row r="3887" ht="16.5" customHeight="1">
      <c r="A3887" s="15" t="str">
        <f>Solieusap!A3887</f>
        <v/>
      </c>
      <c r="B3887" s="15" t="str">
        <f>Solieusap!B3887</f>
        <v/>
      </c>
      <c r="C3887" s="15" t="str">
        <f>Solieusap!C3887</f>
        <v/>
      </c>
      <c r="D3887" s="15" t="str">
        <f>Solieusap!D3887</f>
        <v/>
      </c>
      <c r="E3887" s="16">
        <f>ABS(Solieusap!E3887)</f>
        <v>0</v>
      </c>
      <c r="F3887" s="16">
        <f>ABS(Solieusap!F3887)</f>
        <v>0</v>
      </c>
      <c r="G3887" s="16">
        <f>ABS(Solieusap!G3887)</f>
        <v>0</v>
      </c>
      <c r="H3887" s="16">
        <f>ABS(Solieusap!H3887)</f>
        <v>0</v>
      </c>
      <c r="I3887" s="16">
        <f>ABS(Solieusap!I3887)</f>
        <v>0</v>
      </c>
      <c r="J3887" s="16">
        <f>ABS(Solieusap!J3887)</f>
        <v>0</v>
      </c>
      <c r="K3887" s="16">
        <f t="shared" si="1"/>
        <v>0</v>
      </c>
      <c r="L3887" s="16">
        <f t="shared" si="2"/>
        <v>0</v>
      </c>
    </row>
    <row r="3888" ht="16.5" customHeight="1">
      <c r="A3888" s="15" t="str">
        <f>Solieusap!A3888</f>
        <v/>
      </c>
      <c r="B3888" s="15" t="str">
        <f>Solieusap!B3888</f>
        <v/>
      </c>
      <c r="C3888" s="15" t="str">
        <f>Solieusap!C3888</f>
        <v/>
      </c>
      <c r="D3888" s="15" t="str">
        <f>Solieusap!D3888</f>
        <v/>
      </c>
      <c r="E3888" s="16">
        <f>ABS(Solieusap!E3888)</f>
        <v>0</v>
      </c>
      <c r="F3888" s="16">
        <f>ABS(Solieusap!F3888)</f>
        <v>0</v>
      </c>
      <c r="G3888" s="16">
        <f>ABS(Solieusap!G3888)</f>
        <v>0</v>
      </c>
      <c r="H3888" s="16">
        <f>ABS(Solieusap!H3888)</f>
        <v>0</v>
      </c>
      <c r="I3888" s="16">
        <f>ABS(Solieusap!I3888)</f>
        <v>0</v>
      </c>
      <c r="J3888" s="16">
        <f>ABS(Solieusap!J3888)</f>
        <v>0</v>
      </c>
      <c r="K3888" s="16">
        <f t="shared" si="1"/>
        <v>0</v>
      </c>
      <c r="L3888" s="16">
        <f t="shared" si="2"/>
        <v>0</v>
      </c>
    </row>
    <row r="3889" ht="16.5" customHeight="1">
      <c r="A3889" s="15" t="str">
        <f>Solieusap!A3889</f>
        <v/>
      </c>
      <c r="B3889" s="15" t="str">
        <f>Solieusap!B3889</f>
        <v/>
      </c>
      <c r="C3889" s="15" t="str">
        <f>Solieusap!C3889</f>
        <v/>
      </c>
      <c r="D3889" s="15" t="str">
        <f>Solieusap!D3889</f>
        <v/>
      </c>
      <c r="E3889" s="16">
        <f>ABS(Solieusap!E3889)</f>
        <v>0</v>
      </c>
      <c r="F3889" s="16">
        <f>ABS(Solieusap!F3889)</f>
        <v>0</v>
      </c>
      <c r="G3889" s="16">
        <f>ABS(Solieusap!G3889)</f>
        <v>0</v>
      </c>
      <c r="H3889" s="16">
        <f>ABS(Solieusap!H3889)</f>
        <v>0</v>
      </c>
      <c r="I3889" s="16">
        <f>ABS(Solieusap!I3889)</f>
        <v>0</v>
      </c>
      <c r="J3889" s="16">
        <f>ABS(Solieusap!J3889)</f>
        <v>0</v>
      </c>
      <c r="K3889" s="16">
        <f t="shared" si="1"/>
        <v>0</v>
      </c>
      <c r="L3889" s="16">
        <f t="shared" si="2"/>
        <v>0</v>
      </c>
    </row>
    <row r="3890" ht="16.5" customHeight="1">
      <c r="A3890" s="15" t="str">
        <f>Solieusap!A3890</f>
        <v/>
      </c>
      <c r="B3890" s="15" t="str">
        <f>Solieusap!B3890</f>
        <v/>
      </c>
      <c r="C3890" s="15" t="str">
        <f>Solieusap!C3890</f>
        <v/>
      </c>
      <c r="D3890" s="15" t="str">
        <f>Solieusap!D3890</f>
        <v/>
      </c>
      <c r="E3890" s="16">
        <f>ABS(Solieusap!E3890)</f>
        <v>0</v>
      </c>
      <c r="F3890" s="16">
        <f>ABS(Solieusap!F3890)</f>
        <v>0</v>
      </c>
      <c r="G3890" s="16">
        <f>ABS(Solieusap!G3890)</f>
        <v>0</v>
      </c>
      <c r="H3890" s="16">
        <f>ABS(Solieusap!H3890)</f>
        <v>0</v>
      </c>
      <c r="I3890" s="16">
        <f>ABS(Solieusap!I3890)</f>
        <v>0</v>
      </c>
      <c r="J3890" s="16">
        <f>ABS(Solieusap!J3890)</f>
        <v>0</v>
      </c>
      <c r="K3890" s="16">
        <f t="shared" si="1"/>
        <v>0</v>
      </c>
      <c r="L3890" s="16">
        <f t="shared" si="2"/>
        <v>0</v>
      </c>
    </row>
    <row r="3891" ht="16.5" customHeight="1">
      <c r="A3891" s="15" t="str">
        <f>Solieusap!A3891</f>
        <v/>
      </c>
      <c r="B3891" s="15" t="str">
        <f>Solieusap!B3891</f>
        <v/>
      </c>
      <c r="C3891" s="15" t="str">
        <f>Solieusap!C3891</f>
        <v/>
      </c>
      <c r="D3891" s="15" t="str">
        <f>Solieusap!D3891</f>
        <v/>
      </c>
      <c r="E3891" s="16">
        <f>ABS(Solieusap!E3891)</f>
        <v>0</v>
      </c>
      <c r="F3891" s="16">
        <f>ABS(Solieusap!F3891)</f>
        <v>0</v>
      </c>
      <c r="G3891" s="16">
        <f>ABS(Solieusap!G3891)</f>
        <v>0</v>
      </c>
      <c r="H3891" s="16">
        <f>ABS(Solieusap!H3891)</f>
        <v>0</v>
      </c>
      <c r="I3891" s="16">
        <f>ABS(Solieusap!I3891)</f>
        <v>0</v>
      </c>
      <c r="J3891" s="16">
        <f>ABS(Solieusap!J3891)</f>
        <v>0</v>
      </c>
      <c r="K3891" s="16">
        <f t="shared" si="1"/>
        <v>0</v>
      </c>
      <c r="L3891" s="16">
        <f t="shared" si="2"/>
        <v>0</v>
      </c>
    </row>
    <row r="3892" ht="16.5" customHeight="1">
      <c r="A3892" s="15" t="str">
        <f>Solieusap!A3892</f>
        <v/>
      </c>
      <c r="B3892" s="15" t="str">
        <f>Solieusap!B3892</f>
        <v/>
      </c>
      <c r="C3892" s="15" t="str">
        <f>Solieusap!C3892</f>
        <v/>
      </c>
      <c r="D3892" s="15" t="str">
        <f>Solieusap!D3892</f>
        <v/>
      </c>
      <c r="E3892" s="16">
        <f>ABS(Solieusap!E3892)</f>
        <v>0</v>
      </c>
      <c r="F3892" s="16">
        <f>ABS(Solieusap!F3892)</f>
        <v>0</v>
      </c>
      <c r="G3892" s="16">
        <f>ABS(Solieusap!G3892)</f>
        <v>0</v>
      </c>
      <c r="H3892" s="16">
        <f>ABS(Solieusap!H3892)</f>
        <v>0</v>
      </c>
      <c r="I3892" s="16">
        <f>ABS(Solieusap!I3892)</f>
        <v>0</v>
      </c>
      <c r="J3892" s="16">
        <f>ABS(Solieusap!J3892)</f>
        <v>0</v>
      </c>
      <c r="K3892" s="16">
        <f t="shared" si="1"/>
        <v>0</v>
      </c>
      <c r="L3892" s="16">
        <f t="shared" si="2"/>
        <v>0</v>
      </c>
    </row>
    <row r="3893" ht="16.5" customHeight="1">
      <c r="A3893" s="15" t="str">
        <f>Solieusap!A3893</f>
        <v/>
      </c>
      <c r="B3893" s="15" t="str">
        <f>Solieusap!B3893</f>
        <v/>
      </c>
      <c r="C3893" s="15" t="str">
        <f>Solieusap!C3893</f>
        <v/>
      </c>
      <c r="D3893" s="15" t="str">
        <f>Solieusap!D3893</f>
        <v/>
      </c>
      <c r="E3893" s="16">
        <f>ABS(Solieusap!E3893)</f>
        <v>0</v>
      </c>
      <c r="F3893" s="16">
        <f>ABS(Solieusap!F3893)</f>
        <v>0</v>
      </c>
      <c r="G3893" s="16">
        <f>ABS(Solieusap!G3893)</f>
        <v>0</v>
      </c>
      <c r="H3893" s="16">
        <f>ABS(Solieusap!H3893)</f>
        <v>0</v>
      </c>
      <c r="I3893" s="16">
        <f>ABS(Solieusap!I3893)</f>
        <v>0</v>
      </c>
      <c r="J3893" s="16">
        <f>ABS(Solieusap!J3893)</f>
        <v>0</v>
      </c>
      <c r="K3893" s="16">
        <f t="shared" si="1"/>
        <v>0</v>
      </c>
      <c r="L3893" s="16">
        <f t="shared" si="2"/>
        <v>0</v>
      </c>
    </row>
    <row r="3894" ht="16.5" customHeight="1">
      <c r="A3894" s="15" t="str">
        <f>Solieusap!A3894</f>
        <v/>
      </c>
      <c r="B3894" s="15" t="str">
        <f>Solieusap!B3894</f>
        <v/>
      </c>
      <c r="C3894" s="15" t="str">
        <f>Solieusap!C3894</f>
        <v/>
      </c>
      <c r="D3894" s="15" t="str">
        <f>Solieusap!D3894</f>
        <v/>
      </c>
      <c r="E3894" s="16">
        <f>ABS(Solieusap!E3894)</f>
        <v>0</v>
      </c>
      <c r="F3894" s="16">
        <f>ABS(Solieusap!F3894)</f>
        <v>0</v>
      </c>
      <c r="G3894" s="16">
        <f>ABS(Solieusap!G3894)</f>
        <v>0</v>
      </c>
      <c r="H3894" s="16">
        <f>ABS(Solieusap!H3894)</f>
        <v>0</v>
      </c>
      <c r="I3894" s="16">
        <f>ABS(Solieusap!I3894)</f>
        <v>0</v>
      </c>
      <c r="J3894" s="16">
        <f>ABS(Solieusap!J3894)</f>
        <v>0</v>
      </c>
      <c r="K3894" s="16">
        <f t="shared" si="1"/>
        <v>0</v>
      </c>
      <c r="L3894" s="16">
        <f t="shared" si="2"/>
        <v>0</v>
      </c>
    </row>
    <row r="3895" ht="16.5" customHeight="1">
      <c r="A3895" s="15" t="str">
        <f>Solieusap!A3895</f>
        <v/>
      </c>
      <c r="B3895" s="15" t="str">
        <f>Solieusap!B3895</f>
        <v/>
      </c>
      <c r="C3895" s="15" t="str">
        <f>Solieusap!C3895</f>
        <v/>
      </c>
      <c r="D3895" s="15" t="str">
        <f>Solieusap!D3895</f>
        <v/>
      </c>
      <c r="E3895" s="16">
        <f>ABS(Solieusap!E3895)</f>
        <v>0</v>
      </c>
      <c r="F3895" s="16">
        <f>ABS(Solieusap!F3895)</f>
        <v>0</v>
      </c>
      <c r="G3895" s="16">
        <f>ABS(Solieusap!G3895)</f>
        <v>0</v>
      </c>
      <c r="H3895" s="16">
        <f>ABS(Solieusap!H3895)</f>
        <v>0</v>
      </c>
      <c r="I3895" s="16">
        <f>ABS(Solieusap!I3895)</f>
        <v>0</v>
      </c>
      <c r="J3895" s="16">
        <f>ABS(Solieusap!J3895)</f>
        <v>0</v>
      </c>
      <c r="K3895" s="16">
        <f t="shared" si="1"/>
        <v>0</v>
      </c>
      <c r="L3895" s="16">
        <f t="shared" si="2"/>
        <v>0</v>
      </c>
    </row>
    <row r="3896" ht="16.5" customHeight="1">
      <c r="A3896" s="15" t="str">
        <f>Solieusap!A3896</f>
        <v/>
      </c>
      <c r="B3896" s="15" t="str">
        <f>Solieusap!B3896</f>
        <v/>
      </c>
      <c r="C3896" s="15" t="str">
        <f>Solieusap!C3896</f>
        <v/>
      </c>
      <c r="D3896" s="15" t="str">
        <f>Solieusap!D3896</f>
        <v/>
      </c>
      <c r="E3896" s="16">
        <f>ABS(Solieusap!E3896)</f>
        <v>0</v>
      </c>
      <c r="F3896" s="16">
        <f>ABS(Solieusap!F3896)</f>
        <v>0</v>
      </c>
      <c r="G3896" s="16">
        <f>ABS(Solieusap!G3896)</f>
        <v>0</v>
      </c>
      <c r="H3896" s="16">
        <f>ABS(Solieusap!H3896)</f>
        <v>0</v>
      </c>
      <c r="I3896" s="16">
        <f>ABS(Solieusap!I3896)</f>
        <v>0</v>
      </c>
      <c r="J3896" s="16">
        <f>ABS(Solieusap!J3896)</f>
        <v>0</v>
      </c>
      <c r="K3896" s="16">
        <f t="shared" si="1"/>
        <v>0</v>
      </c>
      <c r="L3896" s="16">
        <f t="shared" si="2"/>
        <v>0</v>
      </c>
    </row>
    <row r="3897" ht="16.5" customHeight="1">
      <c r="A3897" s="15" t="str">
        <f>Solieusap!A3897</f>
        <v/>
      </c>
      <c r="B3897" s="15" t="str">
        <f>Solieusap!B3897</f>
        <v/>
      </c>
      <c r="C3897" s="15" t="str">
        <f>Solieusap!C3897</f>
        <v/>
      </c>
      <c r="D3897" s="15" t="str">
        <f>Solieusap!D3897</f>
        <v/>
      </c>
      <c r="E3897" s="16">
        <f>ABS(Solieusap!E3897)</f>
        <v>0</v>
      </c>
      <c r="F3897" s="16">
        <f>ABS(Solieusap!F3897)</f>
        <v>0</v>
      </c>
      <c r="G3897" s="16">
        <f>ABS(Solieusap!G3897)</f>
        <v>0</v>
      </c>
      <c r="H3897" s="16">
        <f>ABS(Solieusap!H3897)</f>
        <v>0</v>
      </c>
      <c r="I3897" s="16">
        <f>ABS(Solieusap!I3897)</f>
        <v>0</v>
      </c>
      <c r="J3897" s="16">
        <f>ABS(Solieusap!J3897)</f>
        <v>0</v>
      </c>
      <c r="K3897" s="16">
        <f t="shared" si="1"/>
        <v>0</v>
      </c>
      <c r="L3897" s="16">
        <f t="shared" si="2"/>
        <v>0</v>
      </c>
    </row>
    <row r="3898" ht="16.5" customHeight="1">
      <c r="A3898" s="15" t="str">
        <f>Solieusap!A3898</f>
        <v/>
      </c>
      <c r="B3898" s="15" t="str">
        <f>Solieusap!B3898</f>
        <v/>
      </c>
      <c r="C3898" s="15" t="str">
        <f>Solieusap!C3898</f>
        <v/>
      </c>
      <c r="D3898" s="15" t="str">
        <f>Solieusap!D3898</f>
        <v/>
      </c>
      <c r="E3898" s="16">
        <f>ABS(Solieusap!E3898)</f>
        <v>0</v>
      </c>
      <c r="F3898" s="16">
        <f>ABS(Solieusap!F3898)</f>
        <v>0</v>
      </c>
      <c r="G3898" s="16">
        <f>ABS(Solieusap!G3898)</f>
        <v>0</v>
      </c>
      <c r="H3898" s="16">
        <f>ABS(Solieusap!H3898)</f>
        <v>0</v>
      </c>
      <c r="I3898" s="16">
        <f>ABS(Solieusap!I3898)</f>
        <v>0</v>
      </c>
      <c r="J3898" s="16">
        <f>ABS(Solieusap!J3898)</f>
        <v>0</v>
      </c>
      <c r="K3898" s="16">
        <f t="shared" si="1"/>
        <v>0</v>
      </c>
      <c r="L3898" s="16">
        <f t="shared" si="2"/>
        <v>0</v>
      </c>
    </row>
    <row r="3899" ht="16.5" customHeight="1">
      <c r="A3899" s="15" t="str">
        <f>Solieusap!A3899</f>
        <v/>
      </c>
      <c r="B3899" s="15" t="str">
        <f>Solieusap!B3899</f>
        <v/>
      </c>
      <c r="C3899" s="15" t="str">
        <f>Solieusap!C3899</f>
        <v/>
      </c>
      <c r="D3899" s="15" t="str">
        <f>Solieusap!D3899</f>
        <v/>
      </c>
      <c r="E3899" s="16">
        <f>ABS(Solieusap!E3899)</f>
        <v>0</v>
      </c>
      <c r="F3899" s="16">
        <f>ABS(Solieusap!F3899)</f>
        <v>0</v>
      </c>
      <c r="G3899" s="16">
        <f>ABS(Solieusap!G3899)</f>
        <v>0</v>
      </c>
      <c r="H3899" s="16">
        <f>ABS(Solieusap!H3899)</f>
        <v>0</v>
      </c>
      <c r="I3899" s="16">
        <f>ABS(Solieusap!I3899)</f>
        <v>0</v>
      </c>
      <c r="J3899" s="16">
        <f>ABS(Solieusap!J3899)</f>
        <v>0</v>
      </c>
      <c r="K3899" s="16">
        <f t="shared" si="1"/>
        <v>0</v>
      </c>
      <c r="L3899" s="16">
        <f t="shared" si="2"/>
        <v>0</v>
      </c>
    </row>
    <row r="3900" ht="16.5" customHeight="1">
      <c r="A3900" s="15" t="str">
        <f>Solieusap!A3900</f>
        <v/>
      </c>
      <c r="B3900" s="15" t="str">
        <f>Solieusap!B3900</f>
        <v/>
      </c>
      <c r="C3900" s="15" t="str">
        <f>Solieusap!C3900</f>
        <v/>
      </c>
      <c r="D3900" s="15" t="str">
        <f>Solieusap!D3900</f>
        <v/>
      </c>
      <c r="E3900" s="16">
        <f>ABS(Solieusap!E3900)</f>
        <v>0</v>
      </c>
      <c r="F3900" s="16">
        <f>ABS(Solieusap!F3900)</f>
        <v>0</v>
      </c>
      <c r="G3900" s="16">
        <f>ABS(Solieusap!G3900)</f>
        <v>0</v>
      </c>
      <c r="H3900" s="16">
        <f>ABS(Solieusap!H3900)</f>
        <v>0</v>
      </c>
      <c r="I3900" s="16">
        <f>ABS(Solieusap!I3900)</f>
        <v>0</v>
      </c>
      <c r="J3900" s="16">
        <f>ABS(Solieusap!J3900)</f>
        <v>0</v>
      </c>
      <c r="K3900" s="16">
        <f t="shared" si="1"/>
        <v>0</v>
      </c>
      <c r="L3900" s="16">
        <f t="shared" si="2"/>
        <v>0</v>
      </c>
    </row>
    <row r="3901" ht="16.5" customHeight="1">
      <c r="A3901" s="15" t="str">
        <f>Solieusap!A3901</f>
        <v/>
      </c>
      <c r="B3901" s="15" t="str">
        <f>Solieusap!B3901</f>
        <v/>
      </c>
      <c r="C3901" s="15" t="str">
        <f>Solieusap!C3901</f>
        <v/>
      </c>
      <c r="D3901" s="15" t="str">
        <f>Solieusap!D3901</f>
        <v/>
      </c>
      <c r="E3901" s="16">
        <f>ABS(Solieusap!E3901)</f>
        <v>0</v>
      </c>
      <c r="F3901" s="16">
        <f>ABS(Solieusap!F3901)</f>
        <v>0</v>
      </c>
      <c r="G3901" s="16">
        <f>ABS(Solieusap!G3901)</f>
        <v>0</v>
      </c>
      <c r="H3901" s="16">
        <f>ABS(Solieusap!H3901)</f>
        <v>0</v>
      </c>
      <c r="I3901" s="16">
        <f>ABS(Solieusap!I3901)</f>
        <v>0</v>
      </c>
      <c r="J3901" s="16">
        <f>ABS(Solieusap!J3901)</f>
        <v>0</v>
      </c>
      <c r="K3901" s="16">
        <f t="shared" si="1"/>
        <v>0</v>
      </c>
      <c r="L3901" s="16">
        <f t="shared" si="2"/>
        <v>0</v>
      </c>
    </row>
    <row r="3902" ht="16.5" customHeight="1">
      <c r="A3902" s="15" t="str">
        <f>Solieusap!A3902</f>
        <v/>
      </c>
      <c r="B3902" s="15" t="str">
        <f>Solieusap!B3902</f>
        <v/>
      </c>
      <c r="C3902" s="15" t="str">
        <f>Solieusap!C3902</f>
        <v/>
      </c>
      <c r="D3902" s="15" t="str">
        <f>Solieusap!D3902</f>
        <v/>
      </c>
      <c r="E3902" s="16">
        <f>ABS(Solieusap!E3902)</f>
        <v>0</v>
      </c>
      <c r="F3902" s="16">
        <f>ABS(Solieusap!F3902)</f>
        <v>0</v>
      </c>
      <c r="G3902" s="16">
        <f>ABS(Solieusap!G3902)</f>
        <v>0</v>
      </c>
      <c r="H3902" s="16">
        <f>ABS(Solieusap!H3902)</f>
        <v>0</v>
      </c>
      <c r="I3902" s="16">
        <f>ABS(Solieusap!I3902)</f>
        <v>0</v>
      </c>
      <c r="J3902" s="16">
        <f>ABS(Solieusap!J3902)</f>
        <v>0</v>
      </c>
      <c r="K3902" s="16">
        <f t="shared" si="1"/>
        <v>0</v>
      </c>
      <c r="L3902" s="16">
        <f t="shared" si="2"/>
        <v>0</v>
      </c>
    </row>
    <row r="3903" ht="16.5" customHeight="1">
      <c r="A3903" s="15" t="str">
        <f>Solieusap!A3903</f>
        <v/>
      </c>
      <c r="B3903" s="15" t="str">
        <f>Solieusap!B3903</f>
        <v/>
      </c>
      <c r="C3903" s="15" t="str">
        <f>Solieusap!C3903</f>
        <v/>
      </c>
      <c r="D3903" s="15" t="str">
        <f>Solieusap!D3903</f>
        <v/>
      </c>
      <c r="E3903" s="16">
        <f>ABS(Solieusap!E3903)</f>
        <v>0</v>
      </c>
      <c r="F3903" s="16">
        <f>ABS(Solieusap!F3903)</f>
        <v>0</v>
      </c>
      <c r="G3903" s="16">
        <f>ABS(Solieusap!G3903)</f>
        <v>0</v>
      </c>
      <c r="H3903" s="16">
        <f>ABS(Solieusap!H3903)</f>
        <v>0</v>
      </c>
      <c r="I3903" s="16">
        <f>ABS(Solieusap!I3903)</f>
        <v>0</v>
      </c>
      <c r="J3903" s="16">
        <f>ABS(Solieusap!J3903)</f>
        <v>0</v>
      </c>
      <c r="K3903" s="16">
        <f t="shared" si="1"/>
        <v>0</v>
      </c>
      <c r="L3903" s="16">
        <f t="shared" si="2"/>
        <v>0</v>
      </c>
    </row>
    <row r="3904" ht="16.5" customHeight="1">
      <c r="A3904" s="15" t="str">
        <f>Solieusap!A3904</f>
        <v/>
      </c>
      <c r="B3904" s="15" t="str">
        <f>Solieusap!B3904</f>
        <v/>
      </c>
      <c r="C3904" s="15" t="str">
        <f>Solieusap!C3904</f>
        <v/>
      </c>
      <c r="D3904" s="15" t="str">
        <f>Solieusap!D3904</f>
        <v/>
      </c>
      <c r="E3904" s="16">
        <f>ABS(Solieusap!E3904)</f>
        <v>0</v>
      </c>
      <c r="F3904" s="16">
        <f>ABS(Solieusap!F3904)</f>
        <v>0</v>
      </c>
      <c r="G3904" s="16">
        <f>ABS(Solieusap!G3904)</f>
        <v>0</v>
      </c>
      <c r="H3904" s="16">
        <f>ABS(Solieusap!H3904)</f>
        <v>0</v>
      </c>
      <c r="I3904" s="16">
        <f>ABS(Solieusap!I3904)</f>
        <v>0</v>
      </c>
      <c r="J3904" s="16">
        <f>ABS(Solieusap!J3904)</f>
        <v>0</v>
      </c>
      <c r="K3904" s="16">
        <f t="shared" si="1"/>
        <v>0</v>
      </c>
      <c r="L3904" s="16">
        <f t="shared" si="2"/>
        <v>0</v>
      </c>
    </row>
    <row r="3905" ht="16.5" customHeight="1">
      <c r="A3905" s="15" t="str">
        <f>Solieusap!A3905</f>
        <v/>
      </c>
      <c r="B3905" s="15" t="str">
        <f>Solieusap!B3905</f>
        <v/>
      </c>
      <c r="C3905" s="15" t="str">
        <f>Solieusap!C3905</f>
        <v/>
      </c>
      <c r="D3905" s="15" t="str">
        <f>Solieusap!D3905</f>
        <v/>
      </c>
      <c r="E3905" s="16">
        <f>ABS(Solieusap!E3905)</f>
        <v>0</v>
      </c>
      <c r="F3905" s="16">
        <f>ABS(Solieusap!F3905)</f>
        <v>0</v>
      </c>
      <c r="G3905" s="16">
        <f>ABS(Solieusap!G3905)</f>
        <v>0</v>
      </c>
      <c r="H3905" s="16">
        <f>ABS(Solieusap!H3905)</f>
        <v>0</v>
      </c>
      <c r="I3905" s="16">
        <f>ABS(Solieusap!I3905)</f>
        <v>0</v>
      </c>
      <c r="J3905" s="16">
        <f>ABS(Solieusap!J3905)</f>
        <v>0</v>
      </c>
      <c r="K3905" s="16">
        <f t="shared" si="1"/>
        <v>0</v>
      </c>
      <c r="L3905" s="16">
        <f t="shared" si="2"/>
        <v>0</v>
      </c>
    </row>
    <row r="3906" ht="16.5" customHeight="1">
      <c r="A3906" s="15" t="str">
        <f>Solieusap!A3906</f>
        <v/>
      </c>
      <c r="B3906" s="15" t="str">
        <f>Solieusap!B3906</f>
        <v/>
      </c>
      <c r="C3906" s="15" t="str">
        <f>Solieusap!C3906</f>
        <v/>
      </c>
      <c r="D3906" s="15" t="str">
        <f>Solieusap!D3906</f>
        <v/>
      </c>
      <c r="E3906" s="16">
        <f>ABS(Solieusap!E3906)</f>
        <v>0</v>
      </c>
      <c r="F3906" s="16">
        <f>ABS(Solieusap!F3906)</f>
        <v>0</v>
      </c>
      <c r="G3906" s="16">
        <f>ABS(Solieusap!G3906)</f>
        <v>0</v>
      </c>
      <c r="H3906" s="16">
        <f>ABS(Solieusap!H3906)</f>
        <v>0</v>
      </c>
      <c r="I3906" s="16">
        <f>ABS(Solieusap!I3906)</f>
        <v>0</v>
      </c>
      <c r="J3906" s="16">
        <f>ABS(Solieusap!J3906)</f>
        <v>0</v>
      </c>
      <c r="K3906" s="16">
        <f t="shared" si="1"/>
        <v>0</v>
      </c>
      <c r="L3906" s="16">
        <f t="shared" si="2"/>
        <v>0</v>
      </c>
    </row>
    <row r="3907" ht="16.5" customHeight="1">
      <c r="A3907" s="15" t="str">
        <f>Solieusap!A3907</f>
        <v/>
      </c>
      <c r="B3907" s="15" t="str">
        <f>Solieusap!B3907</f>
        <v/>
      </c>
      <c r="C3907" s="15" t="str">
        <f>Solieusap!C3907</f>
        <v/>
      </c>
      <c r="D3907" s="15" t="str">
        <f>Solieusap!D3907</f>
        <v/>
      </c>
      <c r="E3907" s="16">
        <f>ABS(Solieusap!E3907)</f>
        <v>0</v>
      </c>
      <c r="F3907" s="16">
        <f>ABS(Solieusap!F3907)</f>
        <v>0</v>
      </c>
      <c r="G3907" s="16">
        <f>ABS(Solieusap!G3907)</f>
        <v>0</v>
      </c>
      <c r="H3907" s="16">
        <f>ABS(Solieusap!H3907)</f>
        <v>0</v>
      </c>
      <c r="I3907" s="16">
        <f>ABS(Solieusap!I3907)</f>
        <v>0</v>
      </c>
      <c r="J3907" s="16">
        <f>ABS(Solieusap!J3907)</f>
        <v>0</v>
      </c>
      <c r="K3907" s="16">
        <f t="shared" si="1"/>
        <v>0</v>
      </c>
      <c r="L3907" s="16">
        <f t="shared" si="2"/>
        <v>0</v>
      </c>
    </row>
    <row r="3908" ht="16.5" customHeight="1">
      <c r="A3908" s="15" t="str">
        <f>Solieusap!A3908</f>
        <v/>
      </c>
      <c r="B3908" s="15" t="str">
        <f>Solieusap!B3908</f>
        <v/>
      </c>
      <c r="C3908" s="15" t="str">
        <f>Solieusap!C3908</f>
        <v/>
      </c>
      <c r="D3908" s="15" t="str">
        <f>Solieusap!D3908</f>
        <v/>
      </c>
      <c r="E3908" s="16">
        <f>ABS(Solieusap!E3908)</f>
        <v>0</v>
      </c>
      <c r="F3908" s="16">
        <f>ABS(Solieusap!F3908)</f>
        <v>0</v>
      </c>
      <c r="G3908" s="16">
        <f>ABS(Solieusap!G3908)</f>
        <v>0</v>
      </c>
      <c r="H3908" s="16">
        <f>ABS(Solieusap!H3908)</f>
        <v>0</v>
      </c>
      <c r="I3908" s="16">
        <f>ABS(Solieusap!I3908)</f>
        <v>0</v>
      </c>
      <c r="J3908" s="16">
        <f>ABS(Solieusap!J3908)</f>
        <v>0</v>
      </c>
      <c r="K3908" s="16">
        <f t="shared" si="1"/>
        <v>0</v>
      </c>
      <c r="L3908" s="16">
        <f t="shared" si="2"/>
        <v>0</v>
      </c>
    </row>
    <row r="3909" ht="16.5" customHeight="1">
      <c r="A3909" s="15" t="str">
        <f>Solieusap!A3909</f>
        <v/>
      </c>
      <c r="B3909" s="15" t="str">
        <f>Solieusap!B3909</f>
        <v/>
      </c>
      <c r="C3909" s="15" t="str">
        <f>Solieusap!C3909</f>
        <v/>
      </c>
      <c r="D3909" s="15" t="str">
        <f>Solieusap!D3909</f>
        <v/>
      </c>
      <c r="E3909" s="16">
        <f>ABS(Solieusap!E3909)</f>
        <v>0</v>
      </c>
      <c r="F3909" s="16">
        <f>ABS(Solieusap!F3909)</f>
        <v>0</v>
      </c>
      <c r="G3909" s="16">
        <f>ABS(Solieusap!G3909)</f>
        <v>0</v>
      </c>
      <c r="H3909" s="16">
        <f>ABS(Solieusap!H3909)</f>
        <v>0</v>
      </c>
      <c r="I3909" s="16">
        <f>ABS(Solieusap!I3909)</f>
        <v>0</v>
      </c>
      <c r="J3909" s="16">
        <f>ABS(Solieusap!J3909)</f>
        <v>0</v>
      </c>
      <c r="K3909" s="16">
        <f t="shared" si="1"/>
        <v>0</v>
      </c>
      <c r="L3909" s="16">
        <f t="shared" si="2"/>
        <v>0</v>
      </c>
    </row>
    <row r="3910" ht="16.5" customHeight="1">
      <c r="A3910" s="15" t="str">
        <f>Solieusap!A3910</f>
        <v/>
      </c>
      <c r="B3910" s="15" t="str">
        <f>Solieusap!B3910</f>
        <v/>
      </c>
      <c r="C3910" s="15" t="str">
        <f>Solieusap!C3910</f>
        <v/>
      </c>
      <c r="D3910" s="15" t="str">
        <f>Solieusap!D3910</f>
        <v/>
      </c>
      <c r="E3910" s="16">
        <f>ABS(Solieusap!E3910)</f>
        <v>0</v>
      </c>
      <c r="F3910" s="16">
        <f>ABS(Solieusap!F3910)</f>
        <v>0</v>
      </c>
      <c r="G3910" s="16">
        <f>ABS(Solieusap!G3910)</f>
        <v>0</v>
      </c>
      <c r="H3910" s="16">
        <f>ABS(Solieusap!H3910)</f>
        <v>0</v>
      </c>
      <c r="I3910" s="16">
        <f>ABS(Solieusap!I3910)</f>
        <v>0</v>
      </c>
      <c r="J3910" s="16">
        <f>ABS(Solieusap!J3910)</f>
        <v>0</v>
      </c>
      <c r="K3910" s="16">
        <f t="shared" si="1"/>
        <v>0</v>
      </c>
      <c r="L3910" s="16">
        <f t="shared" si="2"/>
        <v>0</v>
      </c>
    </row>
    <row r="3911" ht="16.5" customHeight="1">
      <c r="A3911" s="15" t="str">
        <f>Solieusap!A3911</f>
        <v/>
      </c>
      <c r="B3911" s="15" t="str">
        <f>Solieusap!B3911</f>
        <v/>
      </c>
      <c r="C3911" s="15" t="str">
        <f>Solieusap!C3911</f>
        <v/>
      </c>
      <c r="D3911" s="15" t="str">
        <f>Solieusap!D3911</f>
        <v/>
      </c>
      <c r="E3911" s="16">
        <f>ABS(Solieusap!E3911)</f>
        <v>0</v>
      </c>
      <c r="F3911" s="16">
        <f>ABS(Solieusap!F3911)</f>
        <v>0</v>
      </c>
      <c r="G3911" s="16">
        <f>ABS(Solieusap!G3911)</f>
        <v>0</v>
      </c>
      <c r="H3911" s="16">
        <f>ABS(Solieusap!H3911)</f>
        <v>0</v>
      </c>
      <c r="I3911" s="16">
        <f>ABS(Solieusap!I3911)</f>
        <v>0</v>
      </c>
      <c r="J3911" s="16">
        <f>ABS(Solieusap!J3911)</f>
        <v>0</v>
      </c>
      <c r="K3911" s="16">
        <f t="shared" si="1"/>
        <v>0</v>
      </c>
      <c r="L3911" s="16">
        <f t="shared" si="2"/>
        <v>0</v>
      </c>
    </row>
    <row r="3912" ht="16.5" customHeight="1">
      <c r="A3912" s="15" t="str">
        <f>Solieusap!A3912</f>
        <v/>
      </c>
      <c r="B3912" s="15" t="str">
        <f>Solieusap!B3912</f>
        <v/>
      </c>
      <c r="C3912" s="15" t="str">
        <f>Solieusap!C3912</f>
        <v/>
      </c>
      <c r="D3912" s="15" t="str">
        <f>Solieusap!D3912</f>
        <v/>
      </c>
      <c r="E3912" s="16">
        <f>ABS(Solieusap!E3912)</f>
        <v>0</v>
      </c>
      <c r="F3912" s="16">
        <f>ABS(Solieusap!F3912)</f>
        <v>0</v>
      </c>
      <c r="G3912" s="16">
        <f>ABS(Solieusap!G3912)</f>
        <v>0</v>
      </c>
      <c r="H3912" s="16">
        <f>ABS(Solieusap!H3912)</f>
        <v>0</v>
      </c>
      <c r="I3912" s="16">
        <f>ABS(Solieusap!I3912)</f>
        <v>0</v>
      </c>
      <c r="J3912" s="16">
        <f>ABS(Solieusap!J3912)</f>
        <v>0</v>
      </c>
      <c r="K3912" s="16">
        <f t="shared" si="1"/>
        <v>0</v>
      </c>
      <c r="L3912" s="16">
        <f t="shared" si="2"/>
        <v>0</v>
      </c>
    </row>
    <row r="3913" ht="16.5" customHeight="1">
      <c r="A3913" s="15" t="str">
        <f>Solieusap!A3913</f>
        <v/>
      </c>
      <c r="B3913" s="15" t="str">
        <f>Solieusap!B3913</f>
        <v/>
      </c>
      <c r="C3913" s="15" t="str">
        <f>Solieusap!C3913</f>
        <v/>
      </c>
      <c r="D3913" s="15" t="str">
        <f>Solieusap!D3913</f>
        <v/>
      </c>
      <c r="E3913" s="16">
        <f>ABS(Solieusap!E3913)</f>
        <v>0</v>
      </c>
      <c r="F3913" s="16">
        <f>ABS(Solieusap!F3913)</f>
        <v>0</v>
      </c>
      <c r="G3913" s="16">
        <f>ABS(Solieusap!G3913)</f>
        <v>0</v>
      </c>
      <c r="H3913" s="16">
        <f>ABS(Solieusap!H3913)</f>
        <v>0</v>
      </c>
      <c r="I3913" s="16">
        <f>ABS(Solieusap!I3913)</f>
        <v>0</v>
      </c>
      <c r="J3913" s="16">
        <f>ABS(Solieusap!J3913)</f>
        <v>0</v>
      </c>
      <c r="K3913" s="16">
        <f t="shared" si="1"/>
        <v>0</v>
      </c>
      <c r="L3913" s="16">
        <f t="shared" si="2"/>
        <v>0</v>
      </c>
    </row>
    <row r="3914" ht="16.5" customHeight="1">
      <c r="A3914" s="15" t="str">
        <f>Solieusap!A3914</f>
        <v/>
      </c>
      <c r="B3914" s="15" t="str">
        <f>Solieusap!B3914</f>
        <v/>
      </c>
      <c r="C3914" s="15" t="str">
        <f>Solieusap!C3914</f>
        <v/>
      </c>
      <c r="D3914" s="15" t="str">
        <f>Solieusap!D3914</f>
        <v/>
      </c>
      <c r="E3914" s="16">
        <f>ABS(Solieusap!E3914)</f>
        <v>0</v>
      </c>
      <c r="F3914" s="16">
        <f>ABS(Solieusap!F3914)</f>
        <v>0</v>
      </c>
      <c r="G3914" s="16">
        <f>ABS(Solieusap!G3914)</f>
        <v>0</v>
      </c>
      <c r="H3914" s="16">
        <f>ABS(Solieusap!H3914)</f>
        <v>0</v>
      </c>
      <c r="I3914" s="16">
        <f>ABS(Solieusap!I3914)</f>
        <v>0</v>
      </c>
      <c r="J3914" s="16">
        <f>ABS(Solieusap!J3914)</f>
        <v>0</v>
      </c>
      <c r="K3914" s="16">
        <f t="shared" si="1"/>
        <v>0</v>
      </c>
      <c r="L3914" s="16">
        <f t="shared" si="2"/>
        <v>0</v>
      </c>
    </row>
    <row r="3915" ht="16.5" customHeight="1">
      <c r="A3915" s="15" t="str">
        <f>Solieusap!A3915</f>
        <v/>
      </c>
      <c r="B3915" s="15" t="str">
        <f>Solieusap!B3915</f>
        <v/>
      </c>
      <c r="C3915" s="15" t="str">
        <f>Solieusap!C3915</f>
        <v/>
      </c>
      <c r="D3915" s="15" t="str">
        <f>Solieusap!D3915</f>
        <v/>
      </c>
      <c r="E3915" s="16">
        <f>ABS(Solieusap!E3915)</f>
        <v>0</v>
      </c>
      <c r="F3915" s="16">
        <f>ABS(Solieusap!F3915)</f>
        <v>0</v>
      </c>
      <c r="G3915" s="16">
        <f>ABS(Solieusap!G3915)</f>
        <v>0</v>
      </c>
      <c r="H3915" s="16">
        <f>ABS(Solieusap!H3915)</f>
        <v>0</v>
      </c>
      <c r="I3915" s="16">
        <f>ABS(Solieusap!I3915)</f>
        <v>0</v>
      </c>
      <c r="J3915" s="16">
        <f>ABS(Solieusap!J3915)</f>
        <v>0</v>
      </c>
      <c r="K3915" s="16">
        <f t="shared" si="1"/>
        <v>0</v>
      </c>
      <c r="L3915" s="16">
        <f t="shared" si="2"/>
        <v>0</v>
      </c>
    </row>
    <row r="3916" ht="16.5" customHeight="1">
      <c r="A3916" s="15" t="str">
        <f>Solieusap!A3916</f>
        <v/>
      </c>
      <c r="B3916" s="15" t="str">
        <f>Solieusap!B3916</f>
        <v/>
      </c>
      <c r="C3916" s="15" t="str">
        <f>Solieusap!C3916</f>
        <v/>
      </c>
      <c r="D3916" s="15" t="str">
        <f>Solieusap!D3916</f>
        <v/>
      </c>
      <c r="E3916" s="16">
        <f>ABS(Solieusap!E3916)</f>
        <v>0</v>
      </c>
      <c r="F3916" s="16">
        <f>ABS(Solieusap!F3916)</f>
        <v>0</v>
      </c>
      <c r="G3916" s="16">
        <f>ABS(Solieusap!G3916)</f>
        <v>0</v>
      </c>
      <c r="H3916" s="16">
        <f>ABS(Solieusap!H3916)</f>
        <v>0</v>
      </c>
      <c r="I3916" s="16">
        <f>ABS(Solieusap!I3916)</f>
        <v>0</v>
      </c>
      <c r="J3916" s="16">
        <f>ABS(Solieusap!J3916)</f>
        <v>0</v>
      </c>
      <c r="K3916" s="16">
        <f t="shared" si="1"/>
        <v>0</v>
      </c>
      <c r="L3916" s="16">
        <f t="shared" si="2"/>
        <v>0</v>
      </c>
    </row>
    <row r="3917" ht="16.5" customHeight="1">
      <c r="A3917" s="15" t="str">
        <f>Solieusap!A3917</f>
        <v/>
      </c>
      <c r="B3917" s="15" t="str">
        <f>Solieusap!B3917</f>
        <v/>
      </c>
      <c r="C3917" s="15" t="str">
        <f>Solieusap!C3917</f>
        <v/>
      </c>
      <c r="D3917" s="15" t="str">
        <f>Solieusap!D3917</f>
        <v/>
      </c>
      <c r="E3917" s="16">
        <f>ABS(Solieusap!E3917)</f>
        <v>0</v>
      </c>
      <c r="F3917" s="16">
        <f>ABS(Solieusap!F3917)</f>
        <v>0</v>
      </c>
      <c r="G3917" s="16">
        <f>ABS(Solieusap!G3917)</f>
        <v>0</v>
      </c>
      <c r="H3917" s="16">
        <f>ABS(Solieusap!H3917)</f>
        <v>0</v>
      </c>
      <c r="I3917" s="16">
        <f>ABS(Solieusap!I3917)</f>
        <v>0</v>
      </c>
      <c r="J3917" s="16">
        <f>ABS(Solieusap!J3917)</f>
        <v>0</v>
      </c>
      <c r="K3917" s="16">
        <f t="shared" si="1"/>
        <v>0</v>
      </c>
      <c r="L3917" s="16">
        <f t="shared" si="2"/>
        <v>0</v>
      </c>
    </row>
    <row r="3918" ht="16.5" customHeight="1">
      <c r="A3918" s="15" t="str">
        <f>Solieusap!A3918</f>
        <v/>
      </c>
      <c r="B3918" s="15" t="str">
        <f>Solieusap!B3918</f>
        <v/>
      </c>
      <c r="C3918" s="15" t="str">
        <f>Solieusap!C3918</f>
        <v/>
      </c>
      <c r="D3918" s="15" t="str">
        <f>Solieusap!D3918</f>
        <v/>
      </c>
      <c r="E3918" s="16">
        <f>ABS(Solieusap!E3918)</f>
        <v>0</v>
      </c>
      <c r="F3918" s="16">
        <f>ABS(Solieusap!F3918)</f>
        <v>0</v>
      </c>
      <c r="G3918" s="16">
        <f>ABS(Solieusap!G3918)</f>
        <v>0</v>
      </c>
      <c r="H3918" s="16">
        <f>ABS(Solieusap!H3918)</f>
        <v>0</v>
      </c>
      <c r="I3918" s="16">
        <f>ABS(Solieusap!I3918)</f>
        <v>0</v>
      </c>
      <c r="J3918" s="16">
        <f>ABS(Solieusap!J3918)</f>
        <v>0</v>
      </c>
      <c r="K3918" s="16">
        <f t="shared" si="1"/>
        <v>0</v>
      </c>
      <c r="L3918" s="16">
        <f t="shared" si="2"/>
        <v>0</v>
      </c>
    </row>
    <row r="3919" ht="16.5" customHeight="1">
      <c r="A3919" s="15" t="str">
        <f>Solieusap!A3919</f>
        <v/>
      </c>
      <c r="B3919" s="15" t="str">
        <f>Solieusap!B3919</f>
        <v/>
      </c>
      <c r="C3919" s="15" t="str">
        <f>Solieusap!C3919</f>
        <v/>
      </c>
      <c r="D3919" s="15" t="str">
        <f>Solieusap!D3919</f>
        <v/>
      </c>
      <c r="E3919" s="16">
        <f>ABS(Solieusap!E3919)</f>
        <v>0</v>
      </c>
      <c r="F3919" s="16">
        <f>ABS(Solieusap!F3919)</f>
        <v>0</v>
      </c>
      <c r="G3919" s="16">
        <f>ABS(Solieusap!G3919)</f>
        <v>0</v>
      </c>
      <c r="H3919" s="16">
        <f>ABS(Solieusap!H3919)</f>
        <v>0</v>
      </c>
      <c r="I3919" s="16">
        <f>ABS(Solieusap!I3919)</f>
        <v>0</v>
      </c>
      <c r="J3919" s="16">
        <f>ABS(Solieusap!J3919)</f>
        <v>0</v>
      </c>
      <c r="K3919" s="16">
        <f t="shared" si="1"/>
        <v>0</v>
      </c>
      <c r="L3919" s="16">
        <f t="shared" si="2"/>
        <v>0</v>
      </c>
    </row>
    <row r="3920" ht="16.5" customHeight="1">
      <c r="A3920" s="15" t="str">
        <f>Solieusap!A3920</f>
        <v/>
      </c>
      <c r="B3920" s="15" t="str">
        <f>Solieusap!B3920</f>
        <v/>
      </c>
      <c r="C3920" s="15" t="str">
        <f>Solieusap!C3920</f>
        <v/>
      </c>
      <c r="D3920" s="15" t="str">
        <f>Solieusap!D3920</f>
        <v/>
      </c>
      <c r="E3920" s="16">
        <f>ABS(Solieusap!E3920)</f>
        <v>0</v>
      </c>
      <c r="F3920" s="16">
        <f>ABS(Solieusap!F3920)</f>
        <v>0</v>
      </c>
      <c r="G3920" s="16">
        <f>ABS(Solieusap!G3920)</f>
        <v>0</v>
      </c>
      <c r="H3920" s="16">
        <f>ABS(Solieusap!H3920)</f>
        <v>0</v>
      </c>
      <c r="I3920" s="16">
        <f>ABS(Solieusap!I3920)</f>
        <v>0</v>
      </c>
      <c r="J3920" s="16">
        <f>ABS(Solieusap!J3920)</f>
        <v>0</v>
      </c>
      <c r="K3920" s="16">
        <f t="shared" si="1"/>
        <v>0</v>
      </c>
      <c r="L3920" s="16">
        <f t="shared" si="2"/>
        <v>0</v>
      </c>
    </row>
    <row r="3921" ht="16.5" customHeight="1">
      <c r="A3921" s="15" t="str">
        <f>Solieusap!A3921</f>
        <v/>
      </c>
      <c r="B3921" s="15" t="str">
        <f>Solieusap!B3921</f>
        <v/>
      </c>
      <c r="C3921" s="15" t="str">
        <f>Solieusap!C3921</f>
        <v/>
      </c>
      <c r="D3921" s="15" t="str">
        <f>Solieusap!D3921</f>
        <v/>
      </c>
      <c r="E3921" s="16">
        <f>ABS(Solieusap!E3921)</f>
        <v>0</v>
      </c>
      <c r="F3921" s="16">
        <f>ABS(Solieusap!F3921)</f>
        <v>0</v>
      </c>
      <c r="G3921" s="16">
        <f>ABS(Solieusap!G3921)</f>
        <v>0</v>
      </c>
      <c r="H3921" s="16">
        <f>ABS(Solieusap!H3921)</f>
        <v>0</v>
      </c>
      <c r="I3921" s="16">
        <f>ABS(Solieusap!I3921)</f>
        <v>0</v>
      </c>
      <c r="J3921" s="16">
        <f>ABS(Solieusap!J3921)</f>
        <v>0</v>
      </c>
      <c r="K3921" s="16">
        <f t="shared" si="1"/>
        <v>0</v>
      </c>
      <c r="L3921" s="16">
        <f t="shared" si="2"/>
        <v>0</v>
      </c>
    </row>
    <row r="3922" ht="16.5" customHeight="1">
      <c r="A3922" s="15" t="str">
        <f>Solieusap!A3922</f>
        <v/>
      </c>
      <c r="B3922" s="15" t="str">
        <f>Solieusap!B3922</f>
        <v/>
      </c>
      <c r="C3922" s="15" t="str">
        <f>Solieusap!C3922</f>
        <v/>
      </c>
      <c r="D3922" s="15" t="str">
        <f>Solieusap!D3922</f>
        <v/>
      </c>
      <c r="E3922" s="16">
        <f>ABS(Solieusap!E3922)</f>
        <v>0</v>
      </c>
      <c r="F3922" s="16">
        <f>ABS(Solieusap!F3922)</f>
        <v>0</v>
      </c>
      <c r="G3922" s="16">
        <f>ABS(Solieusap!G3922)</f>
        <v>0</v>
      </c>
      <c r="H3922" s="16">
        <f>ABS(Solieusap!H3922)</f>
        <v>0</v>
      </c>
      <c r="I3922" s="16">
        <f>ABS(Solieusap!I3922)</f>
        <v>0</v>
      </c>
      <c r="J3922" s="16">
        <f>ABS(Solieusap!J3922)</f>
        <v>0</v>
      </c>
      <c r="K3922" s="16">
        <f t="shared" si="1"/>
        <v>0</v>
      </c>
      <c r="L3922" s="16">
        <f t="shared" si="2"/>
        <v>0</v>
      </c>
    </row>
    <row r="3923" ht="16.5" customHeight="1">
      <c r="A3923" s="15" t="str">
        <f>Solieusap!A3923</f>
        <v/>
      </c>
      <c r="B3923" s="15" t="str">
        <f>Solieusap!B3923</f>
        <v/>
      </c>
      <c r="C3923" s="15" t="str">
        <f>Solieusap!C3923</f>
        <v/>
      </c>
      <c r="D3923" s="15" t="str">
        <f>Solieusap!D3923</f>
        <v/>
      </c>
      <c r="E3923" s="16">
        <f>ABS(Solieusap!E3923)</f>
        <v>0</v>
      </c>
      <c r="F3923" s="16">
        <f>ABS(Solieusap!F3923)</f>
        <v>0</v>
      </c>
      <c r="G3923" s="16">
        <f>ABS(Solieusap!G3923)</f>
        <v>0</v>
      </c>
      <c r="H3923" s="16">
        <f>ABS(Solieusap!H3923)</f>
        <v>0</v>
      </c>
      <c r="I3923" s="16">
        <f>ABS(Solieusap!I3923)</f>
        <v>0</v>
      </c>
      <c r="J3923" s="16">
        <f>ABS(Solieusap!J3923)</f>
        <v>0</v>
      </c>
      <c r="K3923" s="16">
        <f t="shared" si="1"/>
        <v>0</v>
      </c>
      <c r="L3923" s="16">
        <f t="shared" si="2"/>
        <v>0</v>
      </c>
    </row>
    <row r="3924" ht="16.5" customHeight="1">
      <c r="A3924" s="15" t="str">
        <f>Solieusap!A3924</f>
        <v/>
      </c>
      <c r="B3924" s="15" t="str">
        <f>Solieusap!B3924</f>
        <v/>
      </c>
      <c r="C3924" s="15" t="str">
        <f>Solieusap!C3924</f>
        <v/>
      </c>
      <c r="D3924" s="15" t="str">
        <f>Solieusap!D3924</f>
        <v/>
      </c>
      <c r="E3924" s="16">
        <f>ABS(Solieusap!E3924)</f>
        <v>0</v>
      </c>
      <c r="F3924" s="16">
        <f>ABS(Solieusap!F3924)</f>
        <v>0</v>
      </c>
      <c r="G3924" s="16">
        <f>ABS(Solieusap!G3924)</f>
        <v>0</v>
      </c>
      <c r="H3924" s="16">
        <f>ABS(Solieusap!H3924)</f>
        <v>0</v>
      </c>
      <c r="I3924" s="16">
        <f>ABS(Solieusap!I3924)</f>
        <v>0</v>
      </c>
      <c r="J3924" s="16">
        <f>ABS(Solieusap!J3924)</f>
        <v>0</v>
      </c>
      <c r="K3924" s="16">
        <f t="shared" si="1"/>
        <v>0</v>
      </c>
      <c r="L3924" s="16">
        <f t="shared" si="2"/>
        <v>0</v>
      </c>
    </row>
    <row r="3925" ht="16.5" customHeight="1">
      <c r="A3925" s="15" t="str">
        <f>Solieusap!A3925</f>
        <v/>
      </c>
      <c r="B3925" s="15" t="str">
        <f>Solieusap!B3925</f>
        <v/>
      </c>
      <c r="C3925" s="15" t="str">
        <f>Solieusap!C3925</f>
        <v/>
      </c>
      <c r="D3925" s="15" t="str">
        <f>Solieusap!D3925</f>
        <v/>
      </c>
      <c r="E3925" s="16">
        <f>ABS(Solieusap!E3925)</f>
        <v>0</v>
      </c>
      <c r="F3925" s="16">
        <f>ABS(Solieusap!F3925)</f>
        <v>0</v>
      </c>
      <c r="G3925" s="16">
        <f>ABS(Solieusap!G3925)</f>
        <v>0</v>
      </c>
      <c r="H3925" s="16">
        <f>ABS(Solieusap!H3925)</f>
        <v>0</v>
      </c>
      <c r="I3925" s="16">
        <f>ABS(Solieusap!I3925)</f>
        <v>0</v>
      </c>
      <c r="J3925" s="16">
        <f>ABS(Solieusap!J3925)</f>
        <v>0</v>
      </c>
      <c r="K3925" s="16">
        <f t="shared" si="1"/>
        <v>0</v>
      </c>
      <c r="L3925" s="16">
        <f t="shared" si="2"/>
        <v>0</v>
      </c>
    </row>
    <row r="3926" ht="16.5" customHeight="1">
      <c r="A3926" s="15" t="str">
        <f>Solieusap!A3926</f>
        <v/>
      </c>
      <c r="B3926" s="15" t="str">
        <f>Solieusap!B3926</f>
        <v/>
      </c>
      <c r="C3926" s="15" t="str">
        <f>Solieusap!C3926</f>
        <v/>
      </c>
      <c r="D3926" s="15" t="str">
        <f>Solieusap!D3926</f>
        <v/>
      </c>
      <c r="E3926" s="16">
        <f>ABS(Solieusap!E3926)</f>
        <v>0</v>
      </c>
      <c r="F3926" s="16">
        <f>ABS(Solieusap!F3926)</f>
        <v>0</v>
      </c>
      <c r="G3926" s="16">
        <f>ABS(Solieusap!G3926)</f>
        <v>0</v>
      </c>
      <c r="H3926" s="16">
        <f>ABS(Solieusap!H3926)</f>
        <v>0</v>
      </c>
      <c r="I3926" s="16">
        <f>ABS(Solieusap!I3926)</f>
        <v>0</v>
      </c>
      <c r="J3926" s="16">
        <f>ABS(Solieusap!J3926)</f>
        <v>0</v>
      </c>
      <c r="K3926" s="16">
        <f t="shared" si="1"/>
        <v>0</v>
      </c>
      <c r="L3926" s="16">
        <f t="shared" si="2"/>
        <v>0</v>
      </c>
    </row>
    <row r="3927" ht="16.5" customHeight="1">
      <c r="A3927" s="15" t="str">
        <f>Solieusap!A3927</f>
        <v/>
      </c>
      <c r="B3927" s="15" t="str">
        <f>Solieusap!B3927</f>
        <v/>
      </c>
      <c r="C3927" s="15" t="str">
        <f>Solieusap!C3927</f>
        <v/>
      </c>
      <c r="D3927" s="15" t="str">
        <f>Solieusap!D3927</f>
        <v/>
      </c>
      <c r="E3927" s="16">
        <f>ABS(Solieusap!E3927)</f>
        <v>0</v>
      </c>
      <c r="F3927" s="16">
        <f>ABS(Solieusap!F3927)</f>
        <v>0</v>
      </c>
      <c r="G3927" s="16">
        <f>ABS(Solieusap!G3927)</f>
        <v>0</v>
      </c>
      <c r="H3927" s="16">
        <f>ABS(Solieusap!H3927)</f>
        <v>0</v>
      </c>
      <c r="I3927" s="16">
        <f>ABS(Solieusap!I3927)</f>
        <v>0</v>
      </c>
      <c r="J3927" s="16">
        <f>ABS(Solieusap!J3927)</f>
        <v>0</v>
      </c>
      <c r="K3927" s="16">
        <f t="shared" si="1"/>
        <v>0</v>
      </c>
      <c r="L3927" s="16">
        <f t="shared" si="2"/>
        <v>0</v>
      </c>
    </row>
    <row r="3928" ht="16.5" customHeight="1">
      <c r="A3928" s="15" t="str">
        <f>Solieusap!A3928</f>
        <v/>
      </c>
      <c r="B3928" s="15" t="str">
        <f>Solieusap!B3928</f>
        <v/>
      </c>
      <c r="C3928" s="15" t="str">
        <f>Solieusap!C3928</f>
        <v/>
      </c>
      <c r="D3928" s="15" t="str">
        <f>Solieusap!D3928</f>
        <v/>
      </c>
      <c r="E3928" s="16">
        <f>ABS(Solieusap!E3928)</f>
        <v>0</v>
      </c>
      <c r="F3928" s="16">
        <f>ABS(Solieusap!F3928)</f>
        <v>0</v>
      </c>
      <c r="G3928" s="16">
        <f>ABS(Solieusap!G3928)</f>
        <v>0</v>
      </c>
      <c r="H3928" s="16">
        <f>ABS(Solieusap!H3928)</f>
        <v>0</v>
      </c>
      <c r="I3928" s="16">
        <f>ABS(Solieusap!I3928)</f>
        <v>0</v>
      </c>
      <c r="J3928" s="16">
        <f>ABS(Solieusap!J3928)</f>
        <v>0</v>
      </c>
      <c r="K3928" s="16">
        <f t="shared" si="1"/>
        <v>0</v>
      </c>
      <c r="L3928" s="16">
        <f t="shared" si="2"/>
        <v>0</v>
      </c>
    </row>
    <row r="3929" ht="16.5" customHeight="1">
      <c r="A3929" s="15" t="str">
        <f>Solieusap!A3929</f>
        <v/>
      </c>
      <c r="B3929" s="15" t="str">
        <f>Solieusap!B3929</f>
        <v/>
      </c>
      <c r="C3929" s="15" t="str">
        <f>Solieusap!C3929</f>
        <v/>
      </c>
      <c r="D3929" s="15" t="str">
        <f>Solieusap!D3929</f>
        <v/>
      </c>
      <c r="E3929" s="16">
        <f>ABS(Solieusap!E3929)</f>
        <v>0</v>
      </c>
      <c r="F3929" s="16">
        <f>ABS(Solieusap!F3929)</f>
        <v>0</v>
      </c>
      <c r="G3929" s="16">
        <f>ABS(Solieusap!G3929)</f>
        <v>0</v>
      </c>
      <c r="H3929" s="16">
        <f>ABS(Solieusap!H3929)</f>
        <v>0</v>
      </c>
      <c r="I3929" s="16">
        <f>ABS(Solieusap!I3929)</f>
        <v>0</v>
      </c>
      <c r="J3929" s="16">
        <f>ABS(Solieusap!J3929)</f>
        <v>0</v>
      </c>
      <c r="K3929" s="16">
        <f t="shared" si="1"/>
        <v>0</v>
      </c>
      <c r="L3929" s="16">
        <f t="shared" si="2"/>
        <v>0</v>
      </c>
    </row>
    <row r="3930" ht="16.5" customHeight="1">
      <c r="A3930" s="15" t="str">
        <f>Solieusap!A3930</f>
        <v/>
      </c>
      <c r="B3930" s="15" t="str">
        <f>Solieusap!B3930</f>
        <v/>
      </c>
      <c r="C3930" s="15" t="str">
        <f>Solieusap!C3930</f>
        <v/>
      </c>
      <c r="D3930" s="15" t="str">
        <f>Solieusap!D3930</f>
        <v/>
      </c>
      <c r="E3930" s="16">
        <f>ABS(Solieusap!E3930)</f>
        <v>0</v>
      </c>
      <c r="F3930" s="16">
        <f>ABS(Solieusap!F3930)</f>
        <v>0</v>
      </c>
      <c r="G3930" s="16">
        <f>ABS(Solieusap!G3930)</f>
        <v>0</v>
      </c>
      <c r="H3930" s="16">
        <f>ABS(Solieusap!H3930)</f>
        <v>0</v>
      </c>
      <c r="I3930" s="16">
        <f>ABS(Solieusap!I3930)</f>
        <v>0</v>
      </c>
      <c r="J3930" s="16">
        <f>ABS(Solieusap!J3930)</f>
        <v>0</v>
      </c>
      <c r="K3930" s="16">
        <f t="shared" si="1"/>
        <v>0</v>
      </c>
      <c r="L3930" s="16">
        <f t="shared" si="2"/>
        <v>0</v>
      </c>
    </row>
    <row r="3931" ht="16.5" customHeight="1">
      <c r="A3931" s="15" t="str">
        <f>Solieusap!A3931</f>
        <v/>
      </c>
      <c r="B3931" s="15" t="str">
        <f>Solieusap!B3931</f>
        <v/>
      </c>
      <c r="C3931" s="15" t="str">
        <f>Solieusap!C3931</f>
        <v/>
      </c>
      <c r="D3931" s="15" t="str">
        <f>Solieusap!D3931</f>
        <v/>
      </c>
      <c r="E3931" s="16">
        <f>ABS(Solieusap!E3931)</f>
        <v>0</v>
      </c>
      <c r="F3931" s="16">
        <f>ABS(Solieusap!F3931)</f>
        <v>0</v>
      </c>
      <c r="G3931" s="16">
        <f>ABS(Solieusap!G3931)</f>
        <v>0</v>
      </c>
      <c r="H3931" s="16">
        <f>ABS(Solieusap!H3931)</f>
        <v>0</v>
      </c>
      <c r="I3931" s="16">
        <f>ABS(Solieusap!I3931)</f>
        <v>0</v>
      </c>
      <c r="J3931" s="16">
        <f>ABS(Solieusap!J3931)</f>
        <v>0</v>
      </c>
      <c r="K3931" s="16">
        <f t="shared" si="1"/>
        <v>0</v>
      </c>
      <c r="L3931" s="16">
        <f t="shared" si="2"/>
        <v>0</v>
      </c>
    </row>
    <row r="3932" ht="16.5" customHeight="1">
      <c r="A3932" s="15" t="str">
        <f>Solieusap!A3932</f>
        <v/>
      </c>
      <c r="B3932" s="15" t="str">
        <f>Solieusap!B3932</f>
        <v/>
      </c>
      <c r="C3932" s="15" t="str">
        <f>Solieusap!C3932</f>
        <v/>
      </c>
      <c r="D3932" s="15" t="str">
        <f>Solieusap!D3932</f>
        <v/>
      </c>
      <c r="E3932" s="16">
        <f>ABS(Solieusap!E3932)</f>
        <v>0</v>
      </c>
      <c r="F3932" s="16">
        <f>ABS(Solieusap!F3932)</f>
        <v>0</v>
      </c>
      <c r="G3932" s="16">
        <f>ABS(Solieusap!G3932)</f>
        <v>0</v>
      </c>
      <c r="H3932" s="16">
        <f>ABS(Solieusap!H3932)</f>
        <v>0</v>
      </c>
      <c r="I3932" s="16">
        <f>ABS(Solieusap!I3932)</f>
        <v>0</v>
      </c>
      <c r="J3932" s="16">
        <f>ABS(Solieusap!J3932)</f>
        <v>0</v>
      </c>
      <c r="K3932" s="16">
        <f t="shared" si="1"/>
        <v>0</v>
      </c>
      <c r="L3932" s="16">
        <f t="shared" si="2"/>
        <v>0</v>
      </c>
    </row>
    <row r="3933" ht="16.5" customHeight="1">
      <c r="A3933" s="15" t="str">
        <f>Solieusap!A3933</f>
        <v/>
      </c>
      <c r="B3933" s="15" t="str">
        <f>Solieusap!B3933</f>
        <v/>
      </c>
      <c r="C3933" s="15" t="str">
        <f>Solieusap!C3933</f>
        <v/>
      </c>
      <c r="D3933" s="15" t="str">
        <f>Solieusap!D3933</f>
        <v/>
      </c>
      <c r="E3933" s="16">
        <f>ABS(Solieusap!E3933)</f>
        <v>0</v>
      </c>
      <c r="F3933" s="16">
        <f>ABS(Solieusap!F3933)</f>
        <v>0</v>
      </c>
      <c r="G3933" s="16">
        <f>ABS(Solieusap!G3933)</f>
        <v>0</v>
      </c>
      <c r="H3933" s="16">
        <f>ABS(Solieusap!H3933)</f>
        <v>0</v>
      </c>
      <c r="I3933" s="16">
        <f>ABS(Solieusap!I3933)</f>
        <v>0</v>
      </c>
      <c r="J3933" s="16">
        <f>ABS(Solieusap!J3933)</f>
        <v>0</v>
      </c>
      <c r="K3933" s="16">
        <f t="shared" si="1"/>
        <v>0</v>
      </c>
      <c r="L3933" s="16">
        <f t="shared" si="2"/>
        <v>0</v>
      </c>
    </row>
    <row r="3934" ht="16.5" customHeight="1">
      <c r="A3934" s="15" t="str">
        <f>Solieusap!A3934</f>
        <v/>
      </c>
      <c r="B3934" s="15" t="str">
        <f>Solieusap!B3934</f>
        <v/>
      </c>
      <c r="C3934" s="15" t="str">
        <f>Solieusap!C3934</f>
        <v/>
      </c>
      <c r="D3934" s="15" t="str">
        <f>Solieusap!D3934</f>
        <v/>
      </c>
      <c r="E3934" s="16">
        <f>ABS(Solieusap!E3934)</f>
        <v>0</v>
      </c>
      <c r="F3934" s="16">
        <f>ABS(Solieusap!F3934)</f>
        <v>0</v>
      </c>
      <c r="G3934" s="16">
        <f>ABS(Solieusap!G3934)</f>
        <v>0</v>
      </c>
      <c r="H3934" s="16">
        <f>ABS(Solieusap!H3934)</f>
        <v>0</v>
      </c>
      <c r="I3934" s="16">
        <f>ABS(Solieusap!I3934)</f>
        <v>0</v>
      </c>
      <c r="J3934" s="16">
        <f>ABS(Solieusap!J3934)</f>
        <v>0</v>
      </c>
      <c r="K3934" s="16">
        <f t="shared" si="1"/>
        <v>0</v>
      </c>
      <c r="L3934" s="16">
        <f t="shared" si="2"/>
        <v>0</v>
      </c>
    </row>
    <row r="3935" ht="16.5" customHeight="1">
      <c r="A3935" s="15" t="str">
        <f>Solieusap!A3935</f>
        <v/>
      </c>
      <c r="B3935" s="15" t="str">
        <f>Solieusap!B3935</f>
        <v/>
      </c>
      <c r="C3935" s="15" t="str">
        <f>Solieusap!C3935</f>
        <v/>
      </c>
      <c r="D3935" s="15" t="str">
        <f>Solieusap!D3935</f>
        <v/>
      </c>
      <c r="E3935" s="16">
        <f>ABS(Solieusap!E3935)</f>
        <v>0</v>
      </c>
      <c r="F3935" s="16">
        <f>ABS(Solieusap!F3935)</f>
        <v>0</v>
      </c>
      <c r="G3935" s="16">
        <f>ABS(Solieusap!G3935)</f>
        <v>0</v>
      </c>
      <c r="H3935" s="16">
        <f>ABS(Solieusap!H3935)</f>
        <v>0</v>
      </c>
      <c r="I3935" s="16">
        <f>ABS(Solieusap!I3935)</f>
        <v>0</v>
      </c>
      <c r="J3935" s="16">
        <f>ABS(Solieusap!J3935)</f>
        <v>0</v>
      </c>
      <c r="K3935" s="16">
        <f t="shared" si="1"/>
        <v>0</v>
      </c>
      <c r="L3935" s="16">
        <f t="shared" si="2"/>
        <v>0</v>
      </c>
    </row>
    <row r="3936" ht="16.5" customHeight="1">
      <c r="A3936" s="15" t="str">
        <f>Solieusap!A3936</f>
        <v/>
      </c>
      <c r="B3936" s="15" t="str">
        <f>Solieusap!B3936</f>
        <v/>
      </c>
      <c r="C3936" s="15" t="str">
        <f>Solieusap!C3936</f>
        <v/>
      </c>
      <c r="D3936" s="15" t="str">
        <f>Solieusap!D3936</f>
        <v/>
      </c>
      <c r="E3936" s="16">
        <f>ABS(Solieusap!E3936)</f>
        <v>0</v>
      </c>
      <c r="F3936" s="16">
        <f>ABS(Solieusap!F3936)</f>
        <v>0</v>
      </c>
      <c r="G3936" s="16">
        <f>ABS(Solieusap!G3936)</f>
        <v>0</v>
      </c>
      <c r="H3936" s="16">
        <f>ABS(Solieusap!H3936)</f>
        <v>0</v>
      </c>
      <c r="I3936" s="16">
        <f>ABS(Solieusap!I3936)</f>
        <v>0</v>
      </c>
      <c r="J3936" s="16">
        <f>ABS(Solieusap!J3936)</f>
        <v>0</v>
      </c>
      <c r="K3936" s="16">
        <f t="shared" si="1"/>
        <v>0</v>
      </c>
      <c r="L3936" s="16">
        <f t="shared" si="2"/>
        <v>0</v>
      </c>
    </row>
    <row r="3937" ht="16.5" customHeight="1">
      <c r="A3937" s="15" t="str">
        <f>Solieusap!A3937</f>
        <v/>
      </c>
      <c r="B3937" s="15" t="str">
        <f>Solieusap!B3937</f>
        <v/>
      </c>
      <c r="C3937" s="15" t="str">
        <f>Solieusap!C3937</f>
        <v/>
      </c>
      <c r="D3937" s="15" t="str">
        <f>Solieusap!D3937</f>
        <v/>
      </c>
      <c r="E3937" s="16">
        <f>ABS(Solieusap!E3937)</f>
        <v>0</v>
      </c>
      <c r="F3937" s="16">
        <f>ABS(Solieusap!F3937)</f>
        <v>0</v>
      </c>
      <c r="G3937" s="16">
        <f>ABS(Solieusap!G3937)</f>
        <v>0</v>
      </c>
      <c r="H3937" s="16">
        <f>ABS(Solieusap!H3937)</f>
        <v>0</v>
      </c>
      <c r="I3937" s="16">
        <f>ABS(Solieusap!I3937)</f>
        <v>0</v>
      </c>
      <c r="J3937" s="16">
        <f>ABS(Solieusap!J3937)</f>
        <v>0</v>
      </c>
      <c r="K3937" s="16">
        <f t="shared" si="1"/>
        <v>0</v>
      </c>
      <c r="L3937" s="16">
        <f t="shared" si="2"/>
        <v>0</v>
      </c>
    </row>
    <row r="3938" ht="16.5" customHeight="1">
      <c r="A3938" s="15" t="str">
        <f>Solieusap!A3938</f>
        <v/>
      </c>
      <c r="B3938" s="15" t="str">
        <f>Solieusap!B3938</f>
        <v/>
      </c>
      <c r="C3938" s="15" t="str">
        <f>Solieusap!C3938</f>
        <v/>
      </c>
      <c r="D3938" s="15" t="str">
        <f>Solieusap!D3938</f>
        <v/>
      </c>
      <c r="E3938" s="16">
        <f>ABS(Solieusap!E3938)</f>
        <v>0</v>
      </c>
      <c r="F3938" s="16">
        <f>ABS(Solieusap!F3938)</f>
        <v>0</v>
      </c>
      <c r="G3938" s="16">
        <f>ABS(Solieusap!G3938)</f>
        <v>0</v>
      </c>
      <c r="H3938" s="16">
        <f>ABS(Solieusap!H3938)</f>
        <v>0</v>
      </c>
      <c r="I3938" s="16">
        <f>ABS(Solieusap!I3938)</f>
        <v>0</v>
      </c>
      <c r="J3938" s="16">
        <f>ABS(Solieusap!J3938)</f>
        <v>0</v>
      </c>
      <c r="K3938" s="16">
        <f t="shared" si="1"/>
        <v>0</v>
      </c>
      <c r="L3938" s="16">
        <f t="shared" si="2"/>
        <v>0</v>
      </c>
    </row>
    <row r="3939" ht="16.5" customHeight="1">
      <c r="A3939" s="15" t="str">
        <f>Solieusap!A3939</f>
        <v/>
      </c>
      <c r="B3939" s="15" t="str">
        <f>Solieusap!B3939</f>
        <v/>
      </c>
      <c r="C3939" s="15" t="str">
        <f>Solieusap!C3939</f>
        <v/>
      </c>
      <c r="D3939" s="15" t="str">
        <f>Solieusap!D3939</f>
        <v/>
      </c>
      <c r="E3939" s="16">
        <f>ABS(Solieusap!E3939)</f>
        <v>0</v>
      </c>
      <c r="F3939" s="16">
        <f>ABS(Solieusap!F3939)</f>
        <v>0</v>
      </c>
      <c r="G3939" s="16">
        <f>ABS(Solieusap!G3939)</f>
        <v>0</v>
      </c>
      <c r="H3939" s="16">
        <f>ABS(Solieusap!H3939)</f>
        <v>0</v>
      </c>
      <c r="I3939" s="16">
        <f>ABS(Solieusap!I3939)</f>
        <v>0</v>
      </c>
      <c r="J3939" s="16">
        <f>ABS(Solieusap!J3939)</f>
        <v>0</v>
      </c>
      <c r="K3939" s="16">
        <f t="shared" si="1"/>
        <v>0</v>
      </c>
      <c r="L3939" s="16">
        <f t="shared" si="2"/>
        <v>0</v>
      </c>
    </row>
    <row r="3940" ht="16.5" customHeight="1">
      <c r="A3940" s="15" t="str">
        <f>Solieusap!A3940</f>
        <v/>
      </c>
      <c r="B3940" s="15" t="str">
        <f>Solieusap!B3940</f>
        <v/>
      </c>
      <c r="C3940" s="15" t="str">
        <f>Solieusap!C3940</f>
        <v/>
      </c>
      <c r="D3940" s="15" t="str">
        <f>Solieusap!D3940</f>
        <v/>
      </c>
      <c r="E3940" s="16">
        <f>ABS(Solieusap!E3940)</f>
        <v>0</v>
      </c>
      <c r="F3940" s="16">
        <f>ABS(Solieusap!F3940)</f>
        <v>0</v>
      </c>
      <c r="G3940" s="16">
        <f>ABS(Solieusap!G3940)</f>
        <v>0</v>
      </c>
      <c r="H3940" s="16">
        <f>ABS(Solieusap!H3940)</f>
        <v>0</v>
      </c>
      <c r="I3940" s="16">
        <f>ABS(Solieusap!I3940)</f>
        <v>0</v>
      </c>
      <c r="J3940" s="16">
        <f>ABS(Solieusap!J3940)</f>
        <v>0</v>
      </c>
      <c r="K3940" s="16">
        <f t="shared" si="1"/>
        <v>0</v>
      </c>
      <c r="L3940" s="16">
        <f t="shared" si="2"/>
        <v>0</v>
      </c>
    </row>
    <row r="3941" ht="16.5" customHeight="1">
      <c r="A3941" s="15" t="str">
        <f>Solieusap!A3941</f>
        <v/>
      </c>
      <c r="B3941" s="15" t="str">
        <f>Solieusap!B3941</f>
        <v/>
      </c>
      <c r="C3941" s="15" t="str">
        <f>Solieusap!C3941</f>
        <v/>
      </c>
      <c r="D3941" s="15" t="str">
        <f>Solieusap!D3941</f>
        <v/>
      </c>
      <c r="E3941" s="16">
        <f>ABS(Solieusap!E3941)</f>
        <v>0</v>
      </c>
      <c r="F3941" s="16">
        <f>ABS(Solieusap!F3941)</f>
        <v>0</v>
      </c>
      <c r="G3941" s="16">
        <f>ABS(Solieusap!G3941)</f>
        <v>0</v>
      </c>
      <c r="H3941" s="16">
        <f>ABS(Solieusap!H3941)</f>
        <v>0</v>
      </c>
      <c r="I3941" s="16">
        <f>ABS(Solieusap!I3941)</f>
        <v>0</v>
      </c>
      <c r="J3941" s="16">
        <f>ABS(Solieusap!J3941)</f>
        <v>0</v>
      </c>
      <c r="K3941" s="16">
        <f t="shared" si="1"/>
        <v>0</v>
      </c>
      <c r="L3941" s="16">
        <f t="shared" si="2"/>
        <v>0</v>
      </c>
    </row>
    <row r="3942" ht="16.5" customHeight="1">
      <c r="A3942" s="15" t="str">
        <f>Solieusap!A3942</f>
        <v/>
      </c>
      <c r="B3942" s="15" t="str">
        <f>Solieusap!B3942</f>
        <v/>
      </c>
      <c r="C3942" s="15" t="str">
        <f>Solieusap!C3942</f>
        <v/>
      </c>
      <c r="D3942" s="15" t="str">
        <f>Solieusap!D3942</f>
        <v/>
      </c>
      <c r="E3942" s="16">
        <f>ABS(Solieusap!E3942)</f>
        <v>0</v>
      </c>
      <c r="F3942" s="16">
        <f>ABS(Solieusap!F3942)</f>
        <v>0</v>
      </c>
      <c r="G3942" s="16">
        <f>ABS(Solieusap!G3942)</f>
        <v>0</v>
      </c>
      <c r="H3942" s="16">
        <f>ABS(Solieusap!H3942)</f>
        <v>0</v>
      </c>
      <c r="I3942" s="16">
        <f>ABS(Solieusap!I3942)</f>
        <v>0</v>
      </c>
      <c r="J3942" s="16">
        <f>ABS(Solieusap!J3942)</f>
        <v>0</v>
      </c>
      <c r="K3942" s="16">
        <f t="shared" si="1"/>
        <v>0</v>
      </c>
      <c r="L3942" s="16">
        <f t="shared" si="2"/>
        <v>0</v>
      </c>
    </row>
    <row r="3943" ht="16.5" customHeight="1">
      <c r="A3943" s="15" t="str">
        <f>Solieusap!A3943</f>
        <v/>
      </c>
      <c r="B3943" s="15" t="str">
        <f>Solieusap!B3943</f>
        <v/>
      </c>
      <c r="C3943" s="15" t="str">
        <f>Solieusap!C3943</f>
        <v/>
      </c>
      <c r="D3943" s="15" t="str">
        <f>Solieusap!D3943</f>
        <v/>
      </c>
      <c r="E3943" s="16">
        <f>ABS(Solieusap!E3943)</f>
        <v>0</v>
      </c>
      <c r="F3943" s="16">
        <f>ABS(Solieusap!F3943)</f>
        <v>0</v>
      </c>
      <c r="G3943" s="16">
        <f>ABS(Solieusap!G3943)</f>
        <v>0</v>
      </c>
      <c r="H3943" s="16">
        <f>ABS(Solieusap!H3943)</f>
        <v>0</v>
      </c>
      <c r="I3943" s="16">
        <f>ABS(Solieusap!I3943)</f>
        <v>0</v>
      </c>
      <c r="J3943" s="16">
        <f>ABS(Solieusap!J3943)</f>
        <v>0</v>
      </c>
      <c r="K3943" s="16">
        <f t="shared" si="1"/>
        <v>0</v>
      </c>
      <c r="L3943" s="16">
        <f t="shared" si="2"/>
        <v>0</v>
      </c>
    </row>
    <row r="3944" ht="16.5" customHeight="1">
      <c r="A3944" s="15" t="str">
        <f>Solieusap!A3944</f>
        <v/>
      </c>
      <c r="B3944" s="15" t="str">
        <f>Solieusap!B3944</f>
        <v/>
      </c>
      <c r="C3944" s="15" t="str">
        <f>Solieusap!C3944</f>
        <v/>
      </c>
      <c r="D3944" s="15" t="str">
        <f>Solieusap!D3944</f>
        <v/>
      </c>
      <c r="E3944" s="16">
        <f>ABS(Solieusap!E3944)</f>
        <v>0</v>
      </c>
      <c r="F3944" s="16">
        <f>ABS(Solieusap!F3944)</f>
        <v>0</v>
      </c>
      <c r="G3944" s="16">
        <f>ABS(Solieusap!G3944)</f>
        <v>0</v>
      </c>
      <c r="H3944" s="16">
        <f>ABS(Solieusap!H3944)</f>
        <v>0</v>
      </c>
      <c r="I3944" s="16">
        <f>ABS(Solieusap!I3944)</f>
        <v>0</v>
      </c>
      <c r="J3944" s="16">
        <f>ABS(Solieusap!J3944)</f>
        <v>0</v>
      </c>
      <c r="K3944" s="16">
        <f t="shared" si="1"/>
        <v>0</v>
      </c>
      <c r="L3944" s="16">
        <f t="shared" si="2"/>
        <v>0</v>
      </c>
    </row>
    <row r="3945" ht="16.5" customHeight="1">
      <c r="A3945" s="15" t="str">
        <f>Solieusap!A3945</f>
        <v/>
      </c>
      <c r="B3945" s="15" t="str">
        <f>Solieusap!B3945</f>
        <v/>
      </c>
      <c r="C3945" s="15" t="str">
        <f>Solieusap!C3945</f>
        <v/>
      </c>
      <c r="D3945" s="15" t="str">
        <f>Solieusap!D3945</f>
        <v/>
      </c>
      <c r="E3945" s="16">
        <f>ABS(Solieusap!E3945)</f>
        <v>0</v>
      </c>
      <c r="F3945" s="16">
        <f>ABS(Solieusap!F3945)</f>
        <v>0</v>
      </c>
      <c r="G3945" s="16">
        <f>ABS(Solieusap!G3945)</f>
        <v>0</v>
      </c>
      <c r="H3945" s="16">
        <f>ABS(Solieusap!H3945)</f>
        <v>0</v>
      </c>
      <c r="I3945" s="16">
        <f>ABS(Solieusap!I3945)</f>
        <v>0</v>
      </c>
      <c r="J3945" s="16">
        <f>ABS(Solieusap!J3945)</f>
        <v>0</v>
      </c>
      <c r="K3945" s="16">
        <f t="shared" si="1"/>
        <v>0</v>
      </c>
      <c r="L3945" s="16">
        <f t="shared" si="2"/>
        <v>0</v>
      </c>
    </row>
    <row r="3946" ht="16.5" customHeight="1">
      <c r="A3946" s="15" t="str">
        <f>Solieusap!A3946</f>
        <v/>
      </c>
      <c r="B3946" s="15" t="str">
        <f>Solieusap!B3946</f>
        <v/>
      </c>
      <c r="C3946" s="15" t="str">
        <f>Solieusap!C3946</f>
        <v/>
      </c>
      <c r="D3946" s="15" t="str">
        <f>Solieusap!D3946</f>
        <v/>
      </c>
      <c r="E3946" s="16">
        <f>ABS(Solieusap!E3946)</f>
        <v>0</v>
      </c>
      <c r="F3946" s="16">
        <f>ABS(Solieusap!F3946)</f>
        <v>0</v>
      </c>
      <c r="G3946" s="16">
        <f>ABS(Solieusap!G3946)</f>
        <v>0</v>
      </c>
      <c r="H3946" s="16">
        <f>ABS(Solieusap!H3946)</f>
        <v>0</v>
      </c>
      <c r="I3946" s="16">
        <f>ABS(Solieusap!I3946)</f>
        <v>0</v>
      </c>
      <c r="J3946" s="16">
        <f>ABS(Solieusap!J3946)</f>
        <v>0</v>
      </c>
      <c r="K3946" s="16">
        <f t="shared" si="1"/>
        <v>0</v>
      </c>
      <c r="L3946" s="16">
        <f t="shared" si="2"/>
        <v>0</v>
      </c>
    </row>
    <row r="3947" ht="16.5" customHeight="1">
      <c r="A3947" s="15" t="str">
        <f>Solieusap!A3947</f>
        <v/>
      </c>
      <c r="B3947" s="15" t="str">
        <f>Solieusap!B3947</f>
        <v/>
      </c>
      <c r="C3947" s="15" t="str">
        <f>Solieusap!C3947</f>
        <v/>
      </c>
      <c r="D3947" s="15" t="str">
        <f>Solieusap!D3947</f>
        <v/>
      </c>
      <c r="E3947" s="16">
        <f>ABS(Solieusap!E3947)</f>
        <v>0</v>
      </c>
      <c r="F3947" s="16">
        <f>ABS(Solieusap!F3947)</f>
        <v>0</v>
      </c>
      <c r="G3947" s="16">
        <f>ABS(Solieusap!G3947)</f>
        <v>0</v>
      </c>
      <c r="H3947" s="16">
        <f>ABS(Solieusap!H3947)</f>
        <v>0</v>
      </c>
      <c r="I3947" s="16">
        <f>ABS(Solieusap!I3947)</f>
        <v>0</v>
      </c>
      <c r="J3947" s="16">
        <f>ABS(Solieusap!J3947)</f>
        <v>0</v>
      </c>
      <c r="K3947" s="16">
        <f t="shared" si="1"/>
        <v>0</v>
      </c>
      <c r="L3947" s="16">
        <f t="shared" si="2"/>
        <v>0</v>
      </c>
    </row>
    <row r="3948" ht="16.5" customHeight="1">
      <c r="A3948" s="15" t="str">
        <f>Solieusap!A3948</f>
        <v/>
      </c>
      <c r="B3948" s="15" t="str">
        <f>Solieusap!B3948</f>
        <v/>
      </c>
      <c r="C3948" s="15" t="str">
        <f>Solieusap!C3948</f>
        <v/>
      </c>
      <c r="D3948" s="15" t="str">
        <f>Solieusap!D3948</f>
        <v/>
      </c>
      <c r="E3948" s="16">
        <f>ABS(Solieusap!E3948)</f>
        <v>0</v>
      </c>
      <c r="F3948" s="16">
        <f>ABS(Solieusap!F3948)</f>
        <v>0</v>
      </c>
      <c r="G3948" s="16">
        <f>ABS(Solieusap!G3948)</f>
        <v>0</v>
      </c>
      <c r="H3948" s="16">
        <f>ABS(Solieusap!H3948)</f>
        <v>0</v>
      </c>
      <c r="I3948" s="16">
        <f>ABS(Solieusap!I3948)</f>
        <v>0</v>
      </c>
      <c r="J3948" s="16">
        <f>ABS(Solieusap!J3948)</f>
        <v>0</v>
      </c>
      <c r="K3948" s="16">
        <f t="shared" si="1"/>
        <v>0</v>
      </c>
      <c r="L3948" s="16">
        <f t="shared" si="2"/>
        <v>0</v>
      </c>
    </row>
    <row r="3949" ht="16.5" customHeight="1">
      <c r="A3949" s="15" t="str">
        <f>Solieusap!A3949</f>
        <v/>
      </c>
      <c r="B3949" s="15" t="str">
        <f>Solieusap!B3949</f>
        <v/>
      </c>
      <c r="C3949" s="15" t="str">
        <f>Solieusap!C3949</f>
        <v/>
      </c>
      <c r="D3949" s="15" t="str">
        <f>Solieusap!D3949</f>
        <v/>
      </c>
      <c r="E3949" s="16">
        <f>ABS(Solieusap!E3949)</f>
        <v>0</v>
      </c>
      <c r="F3949" s="16">
        <f>ABS(Solieusap!F3949)</f>
        <v>0</v>
      </c>
      <c r="G3949" s="16">
        <f>ABS(Solieusap!G3949)</f>
        <v>0</v>
      </c>
      <c r="H3949" s="16">
        <f>ABS(Solieusap!H3949)</f>
        <v>0</v>
      </c>
      <c r="I3949" s="16">
        <f>ABS(Solieusap!I3949)</f>
        <v>0</v>
      </c>
      <c r="J3949" s="16">
        <f>ABS(Solieusap!J3949)</f>
        <v>0</v>
      </c>
      <c r="K3949" s="16">
        <f t="shared" si="1"/>
        <v>0</v>
      </c>
      <c r="L3949" s="16">
        <f t="shared" si="2"/>
        <v>0</v>
      </c>
    </row>
    <row r="3950" ht="16.5" customHeight="1">
      <c r="A3950" s="15" t="str">
        <f>Solieusap!A3950</f>
        <v/>
      </c>
      <c r="B3950" s="15" t="str">
        <f>Solieusap!B3950</f>
        <v/>
      </c>
      <c r="C3950" s="15" t="str">
        <f>Solieusap!C3950</f>
        <v/>
      </c>
      <c r="D3950" s="15" t="str">
        <f>Solieusap!D3950</f>
        <v/>
      </c>
      <c r="E3950" s="16">
        <f>ABS(Solieusap!E3950)</f>
        <v>0</v>
      </c>
      <c r="F3950" s="16">
        <f>ABS(Solieusap!F3950)</f>
        <v>0</v>
      </c>
      <c r="G3950" s="16">
        <f>ABS(Solieusap!G3950)</f>
        <v>0</v>
      </c>
      <c r="H3950" s="16">
        <f>ABS(Solieusap!H3950)</f>
        <v>0</v>
      </c>
      <c r="I3950" s="16">
        <f>ABS(Solieusap!I3950)</f>
        <v>0</v>
      </c>
      <c r="J3950" s="16">
        <f>ABS(Solieusap!J3950)</f>
        <v>0</v>
      </c>
      <c r="K3950" s="16">
        <f t="shared" si="1"/>
        <v>0</v>
      </c>
      <c r="L3950" s="16">
        <f t="shared" si="2"/>
        <v>0</v>
      </c>
    </row>
    <row r="3951" ht="16.5" customHeight="1">
      <c r="A3951" s="15" t="str">
        <f>Solieusap!A3951</f>
        <v/>
      </c>
      <c r="B3951" s="15" t="str">
        <f>Solieusap!B3951</f>
        <v/>
      </c>
      <c r="C3951" s="15" t="str">
        <f>Solieusap!C3951</f>
        <v/>
      </c>
      <c r="D3951" s="15" t="str">
        <f>Solieusap!D3951</f>
        <v/>
      </c>
      <c r="E3951" s="16">
        <f>ABS(Solieusap!E3951)</f>
        <v>0</v>
      </c>
      <c r="F3951" s="16">
        <f>ABS(Solieusap!F3951)</f>
        <v>0</v>
      </c>
      <c r="G3951" s="16">
        <f>ABS(Solieusap!G3951)</f>
        <v>0</v>
      </c>
      <c r="H3951" s="16">
        <f>ABS(Solieusap!H3951)</f>
        <v>0</v>
      </c>
      <c r="I3951" s="16">
        <f>ABS(Solieusap!I3951)</f>
        <v>0</v>
      </c>
      <c r="J3951" s="16">
        <f>ABS(Solieusap!J3951)</f>
        <v>0</v>
      </c>
      <c r="K3951" s="16">
        <f t="shared" si="1"/>
        <v>0</v>
      </c>
      <c r="L3951" s="16">
        <f t="shared" si="2"/>
        <v>0</v>
      </c>
    </row>
    <row r="3952" ht="16.5" customHeight="1">
      <c r="A3952" s="15" t="str">
        <f>Solieusap!A3952</f>
        <v/>
      </c>
      <c r="B3952" s="15" t="str">
        <f>Solieusap!B3952</f>
        <v/>
      </c>
      <c r="C3952" s="15" t="str">
        <f>Solieusap!C3952</f>
        <v/>
      </c>
      <c r="D3952" s="15" t="str">
        <f>Solieusap!D3952</f>
        <v/>
      </c>
      <c r="E3952" s="16">
        <f>ABS(Solieusap!E3952)</f>
        <v>0</v>
      </c>
      <c r="F3952" s="16">
        <f>ABS(Solieusap!F3952)</f>
        <v>0</v>
      </c>
      <c r="G3952" s="16">
        <f>ABS(Solieusap!G3952)</f>
        <v>0</v>
      </c>
      <c r="H3952" s="16">
        <f>ABS(Solieusap!H3952)</f>
        <v>0</v>
      </c>
      <c r="I3952" s="16">
        <f>ABS(Solieusap!I3952)</f>
        <v>0</v>
      </c>
      <c r="J3952" s="16">
        <f>ABS(Solieusap!J3952)</f>
        <v>0</v>
      </c>
      <c r="K3952" s="16">
        <f t="shared" si="1"/>
        <v>0</v>
      </c>
      <c r="L3952" s="16">
        <f t="shared" si="2"/>
        <v>0</v>
      </c>
    </row>
    <row r="3953" ht="16.5" customHeight="1">
      <c r="A3953" s="15" t="str">
        <f>Solieusap!A3953</f>
        <v/>
      </c>
      <c r="B3953" s="15" t="str">
        <f>Solieusap!B3953</f>
        <v/>
      </c>
      <c r="C3953" s="15" t="str">
        <f>Solieusap!C3953</f>
        <v/>
      </c>
      <c r="D3953" s="15" t="str">
        <f>Solieusap!D3953</f>
        <v/>
      </c>
      <c r="E3953" s="16">
        <f>ABS(Solieusap!E3953)</f>
        <v>0</v>
      </c>
      <c r="F3953" s="16">
        <f>ABS(Solieusap!F3953)</f>
        <v>0</v>
      </c>
      <c r="G3953" s="16">
        <f>ABS(Solieusap!G3953)</f>
        <v>0</v>
      </c>
      <c r="H3953" s="16">
        <f>ABS(Solieusap!H3953)</f>
        <v>0</v>
      </c>
      <c r="I3953" s="16">
        <f>ABS(Solieusap!I3953)</f>
        <v>0</v>
      </c>
      <c r="J3953" s="16">
        <f>ABS(Solieusap!J3953)</f>
        <v>0</v>
      </c>
      <c r="K3953" s="16">
        <f t="shared" si="1"/>
        <v>0</v>
      </c>
      <c r="L3953" s="16">
        <f t="shared" si="2"/>
        <v>0</v>
      </c>
    </row>
    <row r="3954" ht="16.5" customHeight="1">
      <c r="A3954" s="15" t="str">
        <f>Solieusap!A3954</f>
        <v/>
      </c>
      <c r="B3954" s="15" t="str">
        <f>Solieusap!B3954</f>
        <v/>
      </c>
      <c r="C3954" s="15" t="str">
        <f>Solieusap!C3954</f>
        <v/>
      </c>
      <c r="D3954" s="15" t="str">
        <f>Solieusap!D3954</f>
        <v/>
      </c>
      <c r="E3954" s="16">
        <f>ABS(Solieusap!E3954)</f>
        <v>0</v>
      </c>
      <c r="F3954" s="16">
        <f>ABS(Solieusap!F3954)</f>
        <v>0</v>
      </c>
      <c r="G3954" s="16">
        <f>ABS(Solieusap!G3954)</f>
        <v>0</v>
      </c>
      <c r="H3954" s="16">
        <f>ABS(Solieusap!H3954)</f>
        <v>0</v>
      </c>
      <c r="I3954" s="16">
        <f>ABS(Solieusap!I3954)</f>
        <v>0</v>
      </c>
      <c r="J3954" s="16">
        <f>ABS(Solieusap!J3954)</f>
        <v>0</v>
      </c>
      <c r="K3954" s="16">
        <f t="shared" si="1"/>
        <v>0</v>
      </c>
      <c r="L3954" s="16">
        <f t="shared" si="2"/>
        <v>0</v>
      </c>
    </row>
    <row r="3955" ht="16.5" customHeight="1">
      <c r="A3955" s="15" t="str">
        <f>Solieusap!A3955</f>
        <v/>
      </c>
      <c r="B3955" s="15" t="str">
        <f>Solieusap!B3955</f>
        <v/>
      </c>
      <c r="C3955" s="15" t="str">
        <f>Solieusap!C3955</f>
        <v/>
      </c>
      <c r="D3955" s="15" t="str">
        <f>Solieusap!D3955</f>
        <v/>
      </c>
      <c r="E3955" s="16">
        <f>ABS(Solieusap!E3955)</f>
        <v>0</v>
      </c>
      <c r="F3955" s="16">
        <f>ABS(Solieusap!F3955)</f>
        <v>0</v>
      </c>
      <c r="G3955" s="16">
        <f>ABS(Solieusap!G3955)</f>
        <v>0</v>
      </c>
      <c r="H3955" s="16">
        <f>ABS(Solieusap!H3955)</f>
        <v>0</v>
      </c>
      <c r="I3955" s="16">
        <f>ABS(Solieusap!I3955)</f>
        <v>0</v>
      </c>
      <c r="J3955" s="16">
        <f>ABS(Solieusap!J3955)</f>
        <v>0</v>
      </c>
      <c r="K3955" s="16">
        <f t="shared" si="1"/>
        <v>0</v>
      </c>
      <c r="L3955" s="16">
        <f t="shared" si="2"/>
        <v>0</v>
      </c>
    </row>
    <row r="3956" ht="16.5" customHeight="1">
      <c r="A3956" s="15" t="str">
        <f>Solieusap!A3956</f>
        <v/>
      </c>
      <c r="B3956" s="15" t="str">
        <f>Solieusap!B3956</f>
        <v/>
      </c>
      <c r="C3956" s="15" t="str">
        <f>Solieusap!C3956</f>
        <v/>
      </c>
      <c r="D3956" s="15" t="str">
        <f>Solieusap!D3956</f>
        <v/>
      </c>
      <c r="E3956" s="16">
        <f>ABS(Solieusap!E3956)</f>
        <v>0</v>
      </c>
      <c r="F3956" s="16">
        <f>ABS(Solieusap!F3956)</f>
        <v>0</v>
      </c>
      <c r="G3956" s="16">
        <f>ABS(Solieusap!G3956)</f>
        <v>0</v>
      </c>
      <c r="H3956" s="16">
        <f>ABS(Solieusap!H3956)</f>
        <v>0</v>
      </c>
      <c r="I3956" s="16">
        <f>ABS(Solieusap!I3956)</f>
        <v>0</v>
      </c>
      <c r="J3956" s="16">
        <f>ABS(Solieusap!J3956)</f>
        <v>0</v>
      </c>
      <c r="K3956" s="16">
        <f t="shared" si="1"/>
        <v>0</v>
      </c>
      <c r="L3956" s="16">
        <f t="shared" si="2"/>
        <v>0</v>
      </c>
    </row>
    <row r="3957" ht="16.5" customHeight="1">
      <c r="A3957" s="15" t="str">
        <f>Solieusap!A3957</f>
        <v/>
      </c>
      <c r="B3957" s="15" t="str">
        <f>Solieusap!B3957</f>
        <v/>
      </c>
      <c r="C3957" s="15" t="str">
        <f>Solieusap!C3957</f>
        <v/>
      </c>
      <c r="D3957" s="15" t="str">
        <f>Solieusap!D3957</f>
        <v/>
      </c>
      <c r="E3957" s="16">
        <f>ABS(Solieusap!E3957)</f>
        <v>0</v>
      </c>
      <c r="F3957" s="16">
        <f>ABS(Solieusap!F3957)</f>
        <v>0</v>
      </c>
      <c r="G3957" s="16">
        <f>ABS(Solieusap!G3957)</f>
        <v>0</v>
      </c>
      <c r="H3957" s="16">
        <f>ABS(Solieusap!H3957)</f>
        <v>0</v>
      </c>
      <c r="I3957" s="16">
        <f>ABS(Solieusap!I3957)</f>
        <v>0</v>
      </c>
      <c r="J3957" s="16">
        <f>ABS(Solieusap!J3957)</f>
        <v>0</v>
      </c>
      <c r="K3957" s="16">
        <f t="shared" si="1"/>
        <v>0</v>
      </c>
      <c r="L3957" s="16">
        <f t="shared" si="2"/>
        <v>0</v>
      </c>
    </row>
    <row r="3958" ht="16.5" customHeight="1">
      <c r="A3958" s="15" t="str">
        <f>Solieusap!A3958</f>
        <v/>
      </c>
      <c r="B3958" s="15" t="str">
        <f>Solieusap!B3958</f>
        <v/>
      </c>
      <c r="C3958" s="15" t="str">
        <f>Solieusap!C3958</f>
        <v/>
      </c>
      <c r="D3958" s="15" t="str">
        <f>Solieusap!D3958</f>
        <v/>
      </c>
      <c r="E3958" s="16">
        <f>ABS(Solieusap!E3958)</f>
        <v>0</v>
      </c>
      <c r="F3958" s="16">
        <f>ABS(Solieusap!F3958)</f>
        <v>0</v>
      </c>
      <c r="G3958" s="16">
        <f>ABS(Solieusap!G3958)</f>
        <v>0</v>
      </c>
      <c r="H3958" s="16">
        <f>ABS(Solieusap!H3958)</f>
        <v>0</v>
      </c>
      <c r="I3958" s="16">
        <f>ABS(Solieusap!I3958)</f>
        <v>0</v>
      </c>
      <c r="J3958" s="16">
        <f>ABS(Solieusap!J3958)</f>
        <v>0</v>
      </c>
      <c r="K3958" s="16">
        <f t="shared" si="1"/>
        <v>0</v>
      </c>
      <c r="L3958" s="16">
        <f t="shared" si="2"/>
        <v>0</v>
      </c>
    </row>
    <row r="3959" ht="16.5" customHeight="1">
      <c r="A3959" s="15" t="str">
        <f>Solieusap!A3959</f>
        <v/>
      </c>
      <c r="B3959" s="15" t="str">
        <f>Solieusap!B3959</f>
        <v/>
      </c>
      <c r="C3959" s="15" t="str">
        <f>Solieusap!C3959</f>
        <v/>
      </c>
      <c r="D3959" s="15" t="str">
        <f>Solieusap!D3959</f>
        <v/>
      </c>
      <c r="E3959" s="16">
        <f>ABS(Solieusap!E3959)</f>
        <v>0</v>
      </c>
      <c r="F3959" s="16">
        <f>ABS(Solieusap!F3959)</f>
        <v>0</v>
      </c>
      <c r="G3959" s="16">
        <f>ABS(Solieusap!G3959)</f>
        <v>0</v>
      </c>
      <c r="H3959" s="16">
        <f>ABS(Solieusap!H3959)</f>
        <v>0</v>
      </c>
      <c r="I3959" s="16">
        <f>ABS(Solieusap!I3959)</f>
        <v>0</v>
      </c>
      <c r="J3959" s="16">
        <f>ABS(Solieusap!J3959)</f>
        <v>0</v>
      </c>
      <c r="K3959" s="16">
        <f t="shared" si="1"/>
        <v>0</v>
      </c>
      <c r="L3959" s="16">
        <f t="shared" si="2"/>
        <v>0</v>
      </c>
    </row>
    <row r="3960" ht="16.5" customHeight="1">
      <c r="A3960" s="15" t="str">
        <f>Solieusap!A3960</f>
        <v/>
      </c>
      <c r="B3960" s="15" t="str">
        <f>Solieusap!B3960</f>
        <v/>
      </c>
      <c r="C3960" s="15" t="str">
        <f>Solieusap!C3960</f>
        <v/>
      </c>
      <c r="D3960" s="15" t="str">
        <f>Solieusap!D3960</f>
        <v/>
      </c>
      <c r="E3960" s="16">
        <f>ABS(Solieusap!E3960)</f>
        <v>0</v>
      </c>
      <c r="F3960" s="16">
        <f>ABS(Solieusap!F3960)</f>
        <v>0</v>
      </c>
      <c r="G3960" s="16">
        <f>ABS(Solieusap!G3960)</f>
        <v>0</v>
      </c>
      <c r="H3960" s="16">
        <f>ABS(Solieusap!H3960)</f>
        <v>0</v>
      </c>
      <c r="I3960" s="16">
        <f>ABS(Solieusap!I3960)</f>
        <v>0</v>
      </c>
      <c r="J3960" s="16">
        <f>ABS(Solieusap!J3960)</f>
        <v>0</v>
      </c>
      <c r="K3960" s="16">
        <f t="shared" si="1"/>
        <v>0</v>
      </c>
      <c r="L3960" s="16">
        <f t="shared" si="2"/>
        <v>0</v>
      </c>
    </row>
    <row r="3961" ht="16.5" customHeight="1">
      <c r="A3961" s="15" t="str">
        <f>Solieusap!A3961</f>
        <v/>
      </c>
      <c r="B3961" s="15" t="str">
        <f>Solieusap!B3961</f>
        <v/>
      </c>
      <c r="C3961" s="15" t="str">
        <f>Solieusap!C3961</f>
        <v/>
      </c>
      <c r="D3961" s="15" t="str">
        <f>Solieusap!D3961</f>
        <v/>
      </c>
      <c r="E3961" s="16">
        <f>ABS(Solieusap!E3961)</f>
        <v>0</v>
      </c>
      <c r="F3961" s="16">
        <f>ABS(Solieusap!F3961)</f>
        <v>0</v>
      </c>
      <c r="G3961" s="16">
        <f>ABS(Solieusap!G3961)</f>
        <v>0</v>
      </c>
      <c r="H3961" s="16">
        <f>ABS(Solieusap!H3961)</f>
        <v>0</v>
      </c>
      <c r="I3961" s="16">
        <f>ABS(Solieusap!I3961)</f>
        <v>0</v>
      </c>
      <c r="J3961" s="16">
        <f>ABS(Solieusap!J3961)</f>
        <v>0</v>
      </c>
      <c r="K3961" s="16">
        <f t="shared" si="1"/>
        <v>0</v>
      </c>
      <c r="L3961" s="16">
        <f t="shared" si="2"/>
        <v>0</v>
      </c>
    </row>
    <row r="3962" ht="16.5" customHeight="1">
      <c r="A3962" s="15" t="str">
        <f>Solieusap!A3962</f>
        <v/>
      </c>
      <c r="B3962" s="15" t="str">
        <f>Solieusap!B3962</f>
        <v/>
      </c>
      <c r="C3962" s="15" t="str">
        <f>Solieusap!C3962</f>
        <v/>
      </c>
      <c r="D3962" s="15" t="str">
        <f>Solieusap!D3962</f>
        <v/>
      </c>
      <c r="E3962" s="16">
        <f>ABS(Solieusap!E3962)</f>
        <v>0</v>
      </c>
      <c r="F3962" s="16">
        <f>ABS(Solieusap!F3962)</f>
        <v>0</v>
      </c>
      <c r="G3962" s="16">
        <f>ABS(Solieusap!G3962)</f>
        <v>0</v>
      </c>
      <c r="H3962" s="16">
        <f>ABS(Solieusap!H3962)</f>
        <v>0</v>
      </c>
      <c r="I3962" s="16">
        <f>ABS(Solieusap!I3962)</f>
        <v>0</v>
      </c>
      <c r="J3962" s="16">
        <f>ABS(Solieusap!J3962)</f>
        <v>0</v>
      </c>
      <c r="K3962" s="16">
        <f t="shared" si="1"/>
        <v>0</v>
      </c>
      <c r="L3962" s="16">
        <f t="shared" si="2"/>
        <v>0</v>
      </c>
    </row>
    <row r="3963" ht="16.5" customHeight="1">
      <c r="A3963" s="15" t="str">
        <f>Solieusap!A3963</f>
        <v/>
      </c>
      <c r="B3963" s="15" t="str">
        <f>Solieusap!B3963</f>
        <v/>
      </c>
      <c r="C3963" s="15" t="str">
        <f>Solieusap!C3963</f>
        <v/>
      </c>
      <c r="D3963" s="15" t="str">
        <f>Solieusap!D3963</f>
        <v/>
      </c>
      <c r="E3963" s="16">
        <f>ABS(Solieusap!E3963)</f>
        <v>0</v>
      </c>
      <c r="F3963" s="16">
        <f>ABS(Solieusap!F3963)</f>
        <v>0</v>
      </c>
      <c r="G3963" s="16">
        <f>ABS(Solieusap!G3963)</f>
        <v>0</v>
      </c>
      <c r="H3963" s="16">
        <f>ABS(Solieusap!H3963)</f>
        <v>0</v>
      </c>
      <c r="I3963" s="16">
        <f>ABS(Solieusap!I3963)</f>
        <v>0</v>
      </c>
      <c r="J3963" s="16">
        <f>ABS(Solieusap!J3963)</f>
        <v>0</v>
      </c>
      <c r="K3963" s="16">
        <f t="shared" si="1"/>
        <v>0</v>
      </c>
      <c r="L3963" s="16">
        <f t="shared" si="2"/>
        <v>0</v>
      </c>
    </row>
    <row r="3964" ht="16.5" customHeight="1">
      <c r="A3964" s="15" t="str">
        <f>Solieusap!A3964</f>
        <v/>
      </c>
      <c r="B3964" s="15" t="str">
        <f>Solieusap!B3964</f>
        <v/>
      </c>
      <c r="C3964" s="15" t="str">
        <f>Solieusap!C3964</f>
        <v/>
      </c>
      <c r="D3964" s="15" t="str">
        <f>Solieusap!D3964</f>
        <v/>
      </c>
      <c r="E3964" s="16">
        <f>ABS(Solieusap!E3964)</f>
        <v>0</v>
      </c>
      <c r="F3964" s="16">
        <f>ABS(Solieusap!F3964)</f>
        <v>0</v>
      </c>
      <c r="G3964" s="16">
        <f>ABS(Solieusap!G3964)</f>
        <v>0</v>
      </c>
      <c r="H3964" s="16">
        <f>ABS(Solieusap!H3964)</f>
        <v>0</v>
      </c>
      <c r="I3964" s="16">
        <f>ABS(Solieusap!I3964)</f>
        <v>0</v>
      </c>
      <c r="J3964" s="16">
        <f>ABS(Solieusap!J3964)</f>
        <v>0</v>
      </c>
      <c r="K3964" s="16">
        <f t="shared" si="1"/>
        <v>0</v>
      </c>
      <c r="L3964" s="16">
        <f t="shared" si="2"/>
        <v>0</v>
      </c>
    </row>
    <row r="3965" ht="16.5" customHeight="1">
      <c r="A3965" s="15" t="str">
        <f>Solieusap!A3965</f>
        <v/>
      </c>
      <c r="B3965" s="15" t="str">
        <f>Solieusap!B3965</f>
        <v/>
      </c>
      <c r="C3965" s="15" t="str">
        <f>Solieusap!C3965</f>
        <v/>
      </c>
      <c r="D3965" s="15" t="str">
        <f>Solieusap!D3965</f>
        <v/>
      </c>
      <c r="E3965" s="16">
        <f>ABS(Solieusap!E3965)</f>
        <v>0</v>
      </c>
      <c r="F3965" s="16">
        <f>ABS(Solieusap!F3965)</f>
        <v>0</v>
      </c>
      <c r="G3965" s="16">
        <f>ABS(Solieusap!G3965)</f>
        <v>0</v>
      </c>
      <c r="H3965" s="16">
        <f>ABS(Solieusap!H3965)</f>
        <v>0</v>
      </c>
      <c r="I3965" s="16">
        <f>ABS(Solieusap!I3965)</f>
        <v>0</v>
      </c>
      <c r="J3965" s="16">
        <f>ABS(Solieusap!J3965)</f>
        <v>0</v>
      </c>
      <c r="K3965" s="16">
        <f t="shared" si="1"/>
        <v>0</v>
      </c>
      <c r="L3965" s="16">
        <f t="shared" si="2"/>
        <v>0</v>
      </c>
    </row>
    <row r="3966" ht="16.5" customHeight="1">
      <c r="A3966" s="15" t="str">
        <f>Solieusap!A3966</f>
        <v/>
      </c>
      <c r="B3966" s="15" t="str">
        <f>Solieusap!B3966</f>
        <v/>
      </c>
      <c r="C3966" s="15" t="str">
        <f>Solieusap!C3966</f>
        <v/>
      </c>
      <c r="D3966" s="15" t="str">
        <f>Solieusap!D3966</f>
        <v/>
      </c>
      <c r="E3966" s="16">
        <f>ABS(Solieusap!E3966)</f>
        <v>0</v>
      </c>
      <c r="F3966" s="16">
        <f>ABS(Solieusap!F3966)</f>
        <v>0</v>
      </c>
      <c r="G3966" s="16">
        <f>ABS(Solieusap!G3966)</f>
        <v>0</v>
      </c>
      <c r="H3966" s="16">
        <f>ABS(Solieusap!H3966)</f>
        <v>0</v>
      </c>
      <c r="I3966" s="16">
        <f>ABS(Solieusap!I3966)</f>
        <v>0</v>
      </c>
      <c r="J3966" s="16">
        <f>ABS(Solieusap!J3966)</f>
        <v>0</v>
      </c>
      <c r="K3966" s="16">
        <f t="shared" si="1"/>
        <v>0</v>
      </c>
      <c r="L3966" s="16">
        <f t="shared" si="2"/>
        <v>0</v>
      </c>
    </row>
    <row r="3967" ht="16.5" customHeight="1">
      <c r="A3967" s="15" t="str">
        <f>Solieusap!A3967</f>
        <v/>
      </c>
      <c r="B3967" s="15" t="str">
        <f>Solieusap!B3967</f>
        <v/>
      </c>
      <c r="C3967" s="15" t="str">
        <f>Solieusap!C3967</f>
        <v/>
      </c>
      <c r="D3967" s="15" t="str">
        <f>Solieusap!D3967</f>
        <v/>
      </c>
      <c r="E3967" s="16">
        <f>ABS(Solieusap!E3967)</f>
        <v>0</v>
      </c>
      <c r="F3967" s="16">
        <f>ABS(Solieusap!F3967)</f>
        <v>0</v>
      </c>
      <c r="G3967" s="16">
        <f>ABS(Solieusap!G3967)</f>
        <v>0</v>
      </c>
      <c r="H3967" s="16">
        <f>ABS(Solieusap!H3967)</f>
        <v>0</v>
      </c>
      <c r="I3967" s="16">
        <f>ABS(Solieusap!I3967)</f>
        <v>0</v>
      </c>
      <c r="J3967" s="16">
        <f>ABS(Solieusap!J3967)</f>
        <v>0</v>
      </c>
      <c r="K3967" s="16">
        <f t="shared" si="1"/>
        <v>0</v>
      </c>
      <c r="L3967" s="16">
        <f t="shared" si="2"/>
        <v>0</v>
      </c>
    </row>
    <row r="3968" ht="16.5" customHeight="1">
      <c r="A3968" s="15" t="str">
        <f>Solieusap!A3968</f>
        <v/>
      </c>
      <c r="B3968" s="15" t="str">
        <f>Solieusap!B3968</f>
        <v/>
      </c>
      <c r="C3968" s="15" t="str">
        <f>Solieusap!C3968</f>
        <v/>
      </c>
      <c r="D3968" s="15" t="str">
        <f>Solieusap!D3968</f>
        <v/>
      </c>
      <c r="E3968" s="16">
        <f>ABS(Solieusap!E3968)</f>
        <v>0</v>
      </c>
      <c r="F3968" s="16">
        <f>ABS(Solieusap!F3968)</f>
        <v>0</v>
      </c>
      <c r="G3968" s="16">
        <f>ABS(Solieusap!G3968)</f>
        <v>0</v>
      </c>
      <c r="H3968" s="16">
        <f>ABS(Solieusap!H3968)</f>
        <v>0</v>
      </c>
      <c r="I3968" s="16">
        <f>ABS(Solieusap!I3968)</f>
        <v>0</v>
      </c>
      <c r="J3968" s="16">
        <f>ABS(Solieusap!J3968)</f>
        <v>0</v>
      </c>
      <c r="K3968" s="16">
        <f t="shared" si="1"/>
        <v>0</v>
      </c>
      <c r="L3968" s="16">
        <f t="shared" si="2"/>
        <v>0</v>
      </c>
    </row>
    <row r="3969" ht="16.5" customHeight="1">
      <c r="A3969" s="15" t="str">
        <f>Solieusap!A3969</f>
        <v/>
      </c>
      <c r="B3969" s="15" t="str">
        <f>Solieusap!B3969</f>
        <v/>
      </c>
      <c r="C3969" s="15" t="str">
        <f>Solieusap!C3969</f>
        <v/>
      </c>
      <c r="D3969" s="15" t="str">
        <f>Solieusap!D3969</f>
        <v/>
      </c>
      <c r="E3969" s="16">
        <f>ABS(Solieusap!E3969)</f>
        <v>0</v>
      </c>
      <c r="F3969" s="16">
        <f>ABS(Solieusap!F3969)</f>
        <v>0</v>
      </c>
      <c r="G3969" s="16">
        <f>ABS(Solieusap!G3969)</f>
        <v>0</v>
      </c>
      <c r="H3969" s="16">
        <f>ABS(Solieusap!H3969)</f>
        <v>0</v>
      </c>
      <c r="I3969" s="16">
        <f>ABS(Solieusap!I3969)</f>
        <v>0</v>
      </c>
      <c r="J3969" s="16">
        <f>ABS(Solieusap!J3969)</f>
        <v>0</v>
      </c>
      <c r="K3969" s="16">
        <f t="shared" si="1"/>
        <v>0</v>
      </c>
      <c r="L3969" s="16">
        <f t="shared" si="2"/>
        <v>0</v>
      </c>
    </row>
    <row r="3970" ht="16.5" customHeight="1">
      <c r="A3970" s="15" t="str">
        <f>Solieusap!A3970</f>
        <v/>
      </c>
      <c r="B3970" s="15" t="str">
        <f>Solieusap!B3970</f>
        <v/>
      </c>
      <c r="C3970" s="15" t="str">
        <f>Solieusap!C3970</f>
        <v/>
      </c>
      <c r="D3970" s="15" t="str">
        <f>Solieusap!D3970</f>
        <v/>
      </c>
      <c r="E3970" s="16">
        <f>ABS(Solieusap!E3970)</f>
        <v>0</v>
      </c>
      <c r="F3970" s="16">
        <f>ABS(Solieusap!F3970)</f>
        <v>0</v>
      </c>
      <c r="G3970" s="16">
        <f>ABS(Solieusap!G3970)</f>
        <v>0</v>
      </c>
      <c r="H3970" s="16">
        <f>ABS(Solieusap!H3970)</f>
        <v>0</v>
      </c>
      <c r="I3970" s="16">
        <f>ABS(Solieusap!I3970)</f>
        <v>0</v>
      </c>
      <c r="J3970" s="16">
        <f>ABS(Solieusap!J3970)</f>
        <v>0</v>
      </c>
      <c r="K3970" s="16">
        <f t="shared" si="1"/>
        <v>0</v>
      </c>
      <c r="L3970" s="16">
        <f t="shared" si="2"/>
        <v>0</v>
      </c>
    </row>
    <row r="3971" ht="16.5" customHeight="1">
      <c r="A3971" s="15" t="str">
        <f>Solieusap!A3971</f>
        <v/>
      </c>
      <c r="B3971" s="15" t="str">
        <f>Solieusap!B3971</f>
        <v/>
      </c>
      <c r="C3971" s="15" t="str">
        <f>Solieusap!C3971</f>
        <v/>
      </c>
      <c r="D3971" s="15" t="str">
        <f>Solieusap!D3971</f>
        <v/>
      </c>
      <c r="E3971" s="16">
        <f>ABS(Solieusap!E3971)</f>
        <v>0</v>
      </c>
      <c r="F3971" s="16">
        <f>ABS(Solieusap!F3971)</f>
        <v>0</v>
      </c>
      <c r="G3971" s="16">
        <f>ABS(Solieusap!G3971)</f>
        <v>0</v>
      </c>
      <c r="H3971" s="16">
        <f>ABS(Solieusap!H3971)</f>
        <v>0</v>
      </c>
      <c r="I3971" s="16">
        <f>ABS(Solieusap!I3971)</f>
        <v>0</v>
      </c>
      <c r="J3971" s="16">
        <f>ABS(Solieusap!J3971)</f>
        <v>0</v>
      </c>
      <c r="K3971" s="16">
        <f t="shared" si="1"/>
        <v>0</v>
      </c>
      <c r="L3971" s="16">
        <f t="shared" si="2"/>
        <v>0</v>
      </c>
    </row>
    <row r="3972" ht="16.5" customHeight="1">
      <c r="A3972" s="15" t="str">
        <f>Solieusap!A3972</f>
        <v/>
      </c>
      <c r="B3972" s="15" t="str">
        <f>Solieusap!B3972</f>
        <v/>
      </c>
      <c r="C3972" s="15" t="str">
        <f>Solieusap!C3972</f>
        <v/>
      </c>
      <c r="D3972" s="15" t="str">
        <f>Solieusap!D3972</f>
        <v/>
      </c>
      <c r="E3972" s="16">
        <f>ABS(Solieusap!E3972)</f>
        <v>0</v>
      </c>
      <c r="F3972" s="16">
        <f>ABS(Solieusap!F3972)</f>
        <v>0</v>
      </c>
      <c r="G3972" s="16">
        <f>ABS(Solieusap!G3972)</f>
        <v>0</v>
      </c>
      <c r="H3972" s="16">
        <f>ABS(Solieusap!H3972)</f>
        <v>0</v>
      </c>
      <c r="I3972" s="16">
        <f>ABS(Solieusap!I3972)</f>
        <v>0</v>
      </c>
      <c r="J3972" s="16">
        <f>ABS(Solieusap!J3972)</f>
        <v>0</v>
      </c>
      <c r="K3972" s="16">
        <f t="shared" si="1"/>
        <v>0</v>
      </c>
      <c r="L3972" s="16">
        <f t="shared" si="2"/>
        <v>0</v>
      </c>
    </row>
    <row r="3973" ht="16.5" customHeight="1">
      <c r="A3973" s="15" t="str">
        <f>Solieusap!A3973</f>
        <v/>
      </c>
      <c r="B3973" s="15" t="str">
        <f>Solieusap!B3973</f>
        <v/>
      </c>
      <c r="C3973" s="15" t="str">
        <f>Solieusap!C3973</f>
        <v/>
      </c>
      <c r="D3973" s="15" t="str">
        <f>Solieusap!D3973</f>
        <v/>
      </c>
      <c r="E3973" s="16">
        <f>ABS(Solieusap!E3973)</f>
        <v>0</v>
      </c>
      <c r="F3973" s="16">
        <f>ABS(Solieusap!F3973)</f>
        <v>0</v>
      </c>
      <c r="G3973" s="16">
        <f>ABS(Solieusap!G3973)</f>
        <v>0</v>
      </c>
      <c r="H3973" s="16">
        <f>ABS(Solieusap!H3973)</f>
        <v>0</v>
      </c>
      <c r="I3973" s="16">
        <f>ABS(Solieusap!I3973)</f>
        <v>0</v>
      </c>
      <c r="J3973" s="16">
        <f>ABS(Solieusap!J3973)</f>
        <v>0</v>
      </c>
      <c r="K3973" s="16">
        <f t="shared" si="1"/>
        <v>0</v>
      </c>
      <c r="L3973" s="16">
        <f t="shared" si="2"/>
        <v>0</v>
      </c>
    </row>
    <row r="3974" ht="16.5" customHeight="1">
      <c r="A3974" s="15" t="str">
        <f>Solieusap!A3974</f>
        <v/>
      </c>
      <c r="B3974" s="15" t="str">
        <f>Solieusap!B3974</f>
        <v/>
      </c>
      <c r="C3974" s="15" t="str">
        <f>Solieusap!C3974</f>
        <v/>
      </c>
      <c r="D3974" s="15" t="str">
        <f>Solieusap!D3974</f>
        <v/>
      </c>
      <c r="E3974" s="16">
        <f>ABS(Solieusap!E3974)</f>
        <v>0</v>
      </c>
      <c r="F3974" s="16">
        <f>ABS(Solieusap!F3974)</f>
        <v>0</v>
      </c>
      <c r="G3974" s="16">
        <f>ABS(Solieusap!G3974)</f>
        <v>0</v>
      </c>
      <c r="H3974" s="16">
        <f>ABS(Solieusap!H3974)</f>
        <v>0</v>
      </c>
      <c r="I3974" s="16">
        <f>ABS(Solieusap!I3974)</f>
        <v>0</v>
      </c>
      <c r="J3974" s="16">
        <f>ABS(Solieusap!J3974)</f>
        <v>0</v>
      </c>
      <c r="K3974" s="16">
        <f t="shared" si="1"/>
        <v>0</v>
      </c>
      <c r="L3974" s="16">
        <f t="shared" si="2"/>
        <v>0</v>
      </c>
    </row>
    <row r="3975" ht="16.5" customHeight="1">
      <c r="A3975" s="15" t="str">
        <f>Solieusap!A3975</f>
        <v/>
      </c>
      <c r="B3975" s="15" t="str">
        <f>Solieusap!B3975</f>
        <v/>
      </c>
      <c r="C3975" s="15" t="str">
        <f>Solieusap!C3975</f>
        <v/>
      </c>
      <c r="D3975" s="15" t="str">
        <f>Solieusap!D3975</f>
        <v/>
      </c>
      <c r="E3975" s="16">
        <f>ABS(Solieusap!E3975)</f>
        <v>0</v>
      </c>
      <c r="F3975" s="16">
        <f>ABS(Solieusap!F3975)</f>
        <v>0</v>
      </c>
      <c r="G3975" s="16">
        <f>ABS(Solieusap!G3975)</f>
        <v>0</v>
      </c>
      <c r="H3975" s="16">
        <f>ABS(Solieusap!H3975)</f>
        <v>0</v>
      </c>
      <c r="I3975" s="16">
        <f>ABS(Solieusap!I3975)</f>
        <v>0</v>
      </c>
      <c r="J3975" s="16">
        <f>ABS(Solieusap!J3975)</f>
        <v>0</v>
      </c>
      <c r="K3975" s="16">
        <f t="shared" si="1"/>
        <v>0</v>
      </c>
      <c r="L3975" s="16">
        <f t="shared" si="2"/>
        <v>0</v>
      </c>
    </row>
    <row r="3976" ht="16.5" customHeight="1">
      <c r="A3976" s="15" t="str">
        <f>Solieusap!A3976</f>
        <v/>
      </c>
      <c r="B3976" s="15" t="str">
        <f>Solieusap!B3976</f>
        <v/>
      </c>
      <c r="C3976" s="15" t="str">
        <f>Solieusap!C3976</f>
        <v/>
      </c>
      <c r="D3976" s="15" t="str">
        <f>Solieusap!D3976</f>
        <v/>
      </c>
      <c r="E3976" s="16">
        <f>ABS(Solieusap!E3976)</f>
        <v>0</v>
      </c>
      <c r="F3976" s="16">
        <f>ABS(Solieusap!F3976)</f>
        <v>0</v>
      </c>
      <c r="G3976" s="16">
        <f>ABS(Solieusap!G3976)</f>
        <v>0</v>
      </c>
      <c r="H3976" s="16">
        <f>ABS(Solieusap!H3976)</f>
        <v>0</v>
      </c>
      <c r="I3976" s="16">
        <f>ABS(Solieusap!I3976)</f>
        <v>0</v>
      </c>
      <c r="J3976" s="16">
        <f>ABS(Solieusap!J3976)</f>
        <v>0</v>
      </c>
      <c r="K3976" s="16">
        <f t="shared" si="1"/>
        <v>0</v>
      </c>
      <c r="L3976" s="16">
        <f t="shared" si="2"/>
        <v>0</v>
      </c>
    </row>
    <row r="3977" ht="16.5" customHeight="1">
      <c r="A3977" s="15" t="str">
        <f>Solieusap!A3977</f>
        <v/>
      </c>
      <c r="B3977" s="15" t="str">
        <f>Solieusap!B3977</f>
        <v/>
      </c>
      <c r="C3977" s="15" t="str">
        <f>Solieusap!C3977</f>
        <v/>
      </c>
      <c r="D3977" s="15" t="str">
        <f>Solieusap!D3977</f>
        <v/>
      </c>
      <c r="E3977" s="16">
        <f>ABS(Solieusap!E3977)</f>
        <v>0</v>
      </c>
      <c r="F3977" s="16">
        <f>ABS(Solieusap!F3977)</f>
        <v>0</v>
      </c>
      <c r="G3977" s="16">
        <f>ABS(Solieusap!G3977)</f>
        <v>0</v>
      </c>
      <c r="H3977" s="16">
        <f>ABS(Solieusap!H3977)</f>
        <v>0</v>
      </c>
      <c r="I3977" s="16">
        <f>ABS(Solieusap!I3977)</f>
        <v>0</v>
      </c>
      <c r="J3977" s="16">
        <f>ABS(Solieusap!J3977)</f>
        <v>0</v>
      </c>
      <c r="K3977" s="16">
        <f t="shared" si="1"/>
        <v>0</v>
      </c>
      <c r="L3977" s="16">
        <f t="shared" si="2"/>
        <v>0</v>
      </c>
    </row>
    <row r="3978" ht="16.5" customHeight="1">
      <c r="A3978" s="15" t="str">
        <f>Solieusap!A3978</f>
        <v/>
      </c>
      <c r="B3978" s="15" t="str">
        <f>Solieusap!B3978</f>
        <v/>
      </c>
      <c r="C3978" s="15" t="str">
        <f>Solieusap!C3978</f>
        <v/>
      </c>
      <c r="D3978" s="15" t="str">
        <f>Solieusap!D3978</f>
        <v/>
      </c>
      <c r="E3978" s="16">
        <f>ABS(Solieusap!E3978)</f>
        <v>0</v>
      </c>
      <c r="F3978" s="16">
        <f>ABS(Solieusap!F3978)</f>
        <v>0</v>
      </c>
      <c r="G3978" s="16">
        <f>ABS(Solieusap!G3978)</f>
        <v>0</v>
      </c>
      <c r="H3978" s="16">
        <f>ABS(Solieusap!H3978)</f>
        <v>0</v>
      </c>
      <c r="I3978" s="16">
        <f>ABS(Solieusap!I3978)</f>
        <v>0</v>
      </c>
      <c r="J3978" s="16">
        <f>ABS(Solieusap!J3978)</f>
        <v>0</v>
      </c>
      <c r="K3978" s="16">
        <f t="shared" si="1"/>
        <v>0</v>
      </c>
      <c r="L3978" s="16">
        <f t="shared" si="2"/>
        <v>0</v>
      </c>
    </row>
    <row r="3979" ht="16.5" customHeight="1">
      <c r="A3979" s="15" t="str">
        <f>Solieusap!A3979</f>
        <v/>
      </c>
      <c r="B3979" s="15" t="str">
        <f>Solieusap!B3979</f>
        <v/>
      </c>
      <c r="C3979" s="15" t="str">
        <f>Solieusap!C3979</f>
        <v/>
      </c>
      <c r="D3979" s="15" t="str">
        <f>Solieusap!D3979</f>
        <v/>
      </c>
      <c r="E3979" s="16">
        <f>ABS(Solieusap!E3979)</f>
        <v>0</v>
      </c>
      <c r="F3979" s="16">
        <f>ABS(Solieusap!F3979)</f>
        <v>0</v>
      </c>
      <c r="G3979" s="16">
        <f>ABS(Solieusap!G3979)</f>
        <v>0</v>
      </c>
      <c r="H3979" s="16">
        <f>ABS(Solieusap!H3979)</f>
        <v>0</v>
      </c>
      <c r="I3979" s="16">
        <f>ABS(Solieusap!I3979)</f>
        <v>0</v>
      </c>
      <c r="J3979" s="16">
        <f>ABS(Solieusap!J3979)</f>
        <v>0</v>
      </c>
      <c r="K3979" s="16">
        <f t="shared" si="1"/>
        <v>0</v>
      </c>
      <c r="L3979" s="16">
        <f t="shared" si="2"/>
        <v>0</v>
      </c>
    </row>
    <row r="3980" ht="16.5" customHeight="1">
      <c r="A3980" s="15" t="str">
        <f>Solieusap!A3980</f>
        <v/>
      </c>
      <c r="B3980" s="15" t="str">
        <f>Solieusap!B3980</f>
        <v/>
      </c>
      <c r="C3980" s="15" t="str">
        <f>Solieusap!C3980</f>
        <v/>
      </c>
      <c r="D3980" s="15" t="str">
        <f>Solieusap!D3980</f>
        <v/>
      </c>
      <c r="E3980" s="16">
        <f>ABS(Solieusap!E3980)</f>
        <v>0</v>
      </c>
      <c r="F3980" s="16">
        <f>ABS(Solieusap!F3980)</f>
        <v>0</v>
      </c>
      <c r="G3980" s="16">
        <f>ABS(Solieusap!G3980)</f>
        <v>0</v>
      </c>
      <c r="H3980" s="16">
        <f>ABS(Solieusap!H3980)</f>
        <v>0</v>
      </c>
      <c r="I3980" s="16">
        <f>ABS(Solieusap!I3980)</f>
        <v>0</v>
      </c>
      <c r="J3980" s="16">
        <f>ABS(Solieusap!J3980)</f>
        <v>0</v>
      </c>
      <c r="K3980" s="16">
        <f t="shared" si="1"/>
        <v>0</v>
      </c>
      <c r="L3980" s="16">
        <f t="shared" si="2"/>
        <v>0</v>
      </c>
    </row>
    <row r="3981" ht="16.5" customHeight="1">
      <c r="A3981" s="15" t="str">
        <f>Solieusap!A3981</f>
        <v/>
      </c>
      <c r="B3981" s="15" t="str">
        <f>Solieusap!B3981</f>
        <v/>
      </c>
      <c r="C3981" s="15" t="str">
        <f>Solieusap!C3981</f>
        <v/>
      </c>
      <c r="D3981" s="15" t="str">
        <f>Solieusap!D3981</f>
        <v/>
      </c>
      <c r="E3981" s="16">
        <f>ABS(Solieusap!E3981)</f>
        <v>0</v>
      </c>
      <c r="F3981" s="16">
        <f>ABS(Solieusap!F3981)</f>
        <v>0</v>
      </c>
      <c r="G3981" s="16">
        <f>ABS(Solieusap!G3981)</f>
        <v>0</v>
      </c>
      <c r="H3981" s="16">
        <f>ABS(Solieusap!H3981)</f>
        <v>0</v>
      </c>
      <c r="I3981" s="16">
        <f>ABS(Solieusap!I3981)</f>
        <v>0</v>
      </c>
      <c r="J3981" s="16">
        <f>ABS(Solieusap!J3981)</f>
        <v>0</v>
      </c>
      <c r="K3981" s="16">
        <f t="shared" si="1"/>
        <v>0</v>
      </c>
      <c r="L3981" s="16">
        <f t="shared" si="2"/>
        <v>0</v>
      </c>
    </row>
    <row r="3982" ht="16.5" customHeight="1">
      <c r="A3982" s="15" t="str">
        <f>Solieusap!A3982</f>
        <v/>
      </c>
      <c r="B3982" s="15" t="str">
        <f>Solieusap!B3982</f>
        <v/>
      </c>
      <c r="C3982" s="15" t="str">
        <f>Solieusap!C3982</f>
        <v/>
      </c>
      <c r="D3982" s="15" t="str">
        <f>Solieusap!D3982</f>
        <v/>
      </c>
      <c r="E3982" s="16">
        <f>ABS(Solieusap!E3982)</f>
        <v>0</v>
      </c>
      <c r="F3982" s="16">
        <f>ABS(Solieusap!F3982)</f>
        <v>0</v>
      </c>
      <c r="G3982" s="16">
        <f>ABS(Solieusap!G3982)</f>
        <v>0</v>
      </c>
      <c r="H3982" s="16">
        <f>ABS(Solieusap!H3982)</f>
        <v>0</v>
      </c>
      <c r="I3982" s="16">
        <f>ABS(Solieusap!I3982)</f>
        <v>0</v>
      </c>
      <c r="J3982" s="16">
        <f>ABS(Solieusap!J3982)</f>
        <v>0</v>
      </c>
      <c r="K3982" s="16">
        <f t="shared" si="1"/>
        <v>0</v>
      </c>
      <c r="L3982" s="16">
        <f t="shared" si="2"/>
        <v>0</v>
      </c>
    </row>
    <row r="3983" ht="16.5" customHeight="1">
      <c r="A3983" s="15" t="str">
        <f>Solieusap!A3983</f>
        <v/>
      </c>
      <c r="B3983" s="15" t="str">
        <f>Solieusap!B3983</f>
        <v/>
      </c>
      <c r="C3983" s="15" t="str">
        <f>Solieusap!C3983</f>
        <v/>
      </c>
      <c r="D3983" s="15" t="str">
        <f>Solieusap!D3983</f>
        <v/>
      </c>
      <c r="E3983" s="16">
        <f>ABS(Solieusap!E3983)</f>
        <v>0</v>
      </c>
      <c r="F3983" s="16">
        <f>ABS(Solieusap!F3983)</f>
        <v>0</v>
      </c>
      <c r="G3983" s="16">
        <f>ABS(Solieusap!G3983)</f>
        <v>0</v>
      </c>
      <c r="H3983" s="16">
        <f>ABS(Solieusap!H3983)</f>
        <v>0</v>
      </c>
      <c r="I3983" s="16">
        <f>ABS(Solieusap!I3983)</f>
        <v>0</v>
      </c>
      <c r="J3983" s="16">
        <f>ABS(Solieusap!J3983)</f>
        <v>0</v>
      </c>
      <c r="K3983" s="16">
        <f t="shared" si="1"/>
        <v>0</v>
      </c>
      <c r="L3983" s="16">
        <f t="shared" si="2"/>
        <v>0</v>
      </c>
    </row>
    <row r="3984" ht="16.5" customHeight="1">
      <c r="A3984" s="15" t="str">
        <f>Solieusap!A3984</f>
        <v/>
      </c>
      <c r="B3984" s="15" t="str">
        <f>Solieusap!B3984</f>
        <v/>
      </c>
      <c r="C3984" s="15" t="str">
        <f>Solieusap!C3984</f>
        <v/>
      </c>
      <c r="D3984" s="15" t="str">
        <f>Solieusap!D3984</f>
        <v/>
      </c>
      <c r="E3984" s="16">
        <f>ABS(Solieusap!E3984)</f>
        <v>0</v>
      </c>
      <c r="F3984" s="16">
        <f>ABS(Solieusap!F3984)</f>
        <v>0</v>
      </c>
      <c r="G3984" s="16">
        <f>ABS(Solieusap!G3984)</f>
        <v>0</v>
      </c>
      <c r="H3984" s="16">
        <f>ABS(Solieusap!H3984)</f>
        <v>0</v>
      </c>
      <c r="I3984" s="16">
        <f>ABS(Solieusap!I3984)</f>
        <v>0</v>
      </c>
      <c r="J3984" s="16">
        <f>ABS(Solieusap!J3984)</f>
        <v>0</v>
      </c>
      <c r="K3984" s="16">
        <f t="shared" si="1"/>
        <v>0</v>
      </c>
      <c r="L3984" s="16">
        <f t="shared" si="2"/>
        <v>0</v>
      </c>
    </row>
    <row r="3985" ht="16.5" customHeight="1">
      <c r="A3985" s="15" t="str">
        <f>Solieusap!A3985</f>
        <v/>
      </c>
      <c r="B3985" s="15" t="str">
        <f>Solieusap!B3985</f>
        <v/>
      </c>
      <c r="C3985" s="15" t="str">
        <f>Solieusap!C3985</f>
        <v/>
      </c>
      <c r="D3985" s="15" t="str">
        <f>Solieusap!D3985</f>
        <v/>
      </c>
      <c r="E3985" s="16">
        <f>ABS(Solieusap!E3985)</f>
        <v>0</v>
      </c>
      <c r="F3985" s="16">
        <f>ABS(Solieusap!F3985)</f>
        <v>0</v>
      </c>
      <c r="G3985" s="16">
        <f>ABS(Solieusap!G3985)</f>
        <v>0</v>
      </c>
      <c r="H3985" s="16">
        <f>ABS(Solieusap!H3985)</f>
        <v>0</v>
      </c>
      <c r="I3985" s="16">
        <f>ABS(Solieusap!I3985)</f>
        <v>0</v>
      </c>
      <c r="J3985" s="16">
        <f>ABS(Solieusap!J3985)</f>
        <v>0</v>
      </c>
      <c r="K3985" s="16">
        <f t="shared" si="1"/>
        <v>0</v>
      </c>
      <c r="L3985" s="16">
        <f t="shared" si="2"/>
        <v>0</v>
      </c>
    </row>
    <row r="3986" ht="16.5" customHeight="1">
      <c r="A3986" s="15" t="str">
        <f>Solieusap!A3986</f>
        <v/>
      </c>
      <c r="B3986" s="15" t="str">
        <f>Solieusap!B3986</f>
        <v/>
      </c>
      <c r="C3986" s="15" t="str">
        <f>Solieusap!C3986</f>
        <v/>
      </c>
      <c r="D3986" s="15" t="str">
        <f>Solieusap!D3986</f>
        <v/>
      </c>
      <c r="E3986" s="16">
        <f>ABS(Solieusap!E3986)</f>
        <v>0</v>
      </c>
      <c r="F3986" s="16">
        <f>ABS(Solieusap!F3986)</f>
        <v>0</v>
      </c>
      <c r="G3986" s="16">
        <f>ABS(Solieusap!G3986)</f>
        <v>0</v>
      </c>
      <c r="H3986" s="16">
        <f>ABS(Solieusap!H3986)</f>
        <v>0</v>
      </c>
      <c r="I3986" s="16">
        <f>ABS(Solieusap!I3986)</f>
        <v>0</v>
      </c>
      <c r="J3986" s="16">
        <f>ABS(Solieusap!J3986)</f>
        <v>0</v>
      </c>
      <c r="K3986" s="16">
        <f t="shared" si="1"/>
        <v>0</v>
      </c>
      <c r="L3986" s="16">
        <f t="shared" si="2"/>
        <v>0</v>
      </c>
    </row>
    <row r="3987" ht="16.5" customHeight="1">
      <c r="A3987" s="15" t="str">
        <f>Solieusap!A3987</f>
        <v/>
      </c>
      <c r="B3987" s="15" t="str">
        <f>Solieusap!B3987</f>
        <v/>
      </c>
      <c r="C3987" s="15" t="str">
        <f>Solieusap!C3987</f>
        <v/>
      </c>
      <c r="D3987" s="15" t="str">
        <f>Solieusap!D3987</f>
        <v/>
      </c>
      <c r="E3987" s="16">
        <f>ABS(Solieusap!E3987)</f>
        <v>0</v>
      </c>
      <c r="F3987" s="16">
        <f>ABS(Solieusap!F3987)</f>
        <v>0</v>
      </c>
      <c r="G3987" s="16">
        <f>ABS(Solieusap!G3987)</f>
        <v>0</v>
      </c>
      <c r="H3987" s="16">
        <f>ABS(Solieusap!H3987)</f>
        <v>0</v>
      </c>
      <c r="I3987" s="16">
        <f>ABS(Solieusap!I3987)</f>
        <v>0</v>
      </c>
      <c r="J3987" s="16">
        <f>ABS(Solieusap!J3987)</f>
        <v>0</v>
      </c>
      <c r="K3987" s="16">
        <f t="shared" si="1"/>
        <v>0</v>
      </c>
      <c r="L3987" s="16">
        <f t="shared" si="2"/>
        <v>0</v>
      </c>
    </row>
    <row r="3988" ht="16.5" customHeight="1">
      <c r="A3988" s="15" t="str">
        <f>Solieusap!A3988</f>
        <v/>
      </c>
      <c r="B3988" s="15" t="str">
        <f>Solieusap!B3988</f>
        <v/>
      </c>
      <c r="C3988" s="15" t="str">
        <f>Solieusap!C3988</f>
        <v/>
      </c>
      <c r="D3988" s="15" t="str">
        <f>Solieusap!D3988</f>
        <v/>
      </c>
      <c r="E3988" s="16">
        <f>ABS(Solieusap!E3988)</f>
        <v>0</v>
      </c>
      <c r="F3988" s="16">
        <f>ABS(Solieusap!F3988)</f>
        <v>0</v>
      </c>
      <c r="G3988" s="16">
        <f>ABS(Solieusap!G3988)</f>
        <v>0</v>
      </c>
      <c r="H3988" s="16">
        <f>ABS(Solieusap!H3988)</f>
        <v>0</v>
      </c>
      <c r="I3988" s="16">
        <f>ABS(Solieusap!I3988)</f>
        <v>0</v>
      </c>
      <c r="J3988" s="16">
        <f>ABS(Solieusap!J3988)</f>
        <v>0</v>
      </c>
      <c r="K3988" s="16">
        <f t="shared" si="1"/>
        <v>0</v>
      </c>
      <c r="L3988" s="16">
        <f t="shared" si="2"/>
        <v>0</v>
      </c>
    </row>
    <row r="3989" ht="16.5" customHeight="1">
      <c r="A3989" s="15" t="str">
        <f>Solieusap!A3989</f>
        <v/>
      </c>
      <c r="B3989" s="15" t="str">
        <f>Solieusap!B3989</f>
        <v/>
      </c>
      <c r="C3989" s="15" t="str">
        <f>Solieusap!C3989</f>
        <v/>
      </c>
      <c r="D3989" s="15" t="str">
        <f>Solieusap!D3989</f>
        <v/>
      </c>
      <c r="E3989" s="16">
        <f>ABS(Solieusap!E3989)</f>
        <v>0</v>
      </c>
      <c r="F3989" s="16">
        <f>ABS(Solieusap!F3989)</f>
        <v>0</v>
      </c>
      <c r="G3989" s="16">
        <f>ABS(Solieusap!G3989)</f>
        <v>0</v>
      </c>
      <c r="H3989" s="16">
        <f>ABS(Solieusap!H3989)</f>
        <v>0</v>
      </c>
      <c r="I3989" s="16">
        <f>ABS(Solieusap!I3989)</f>
        <v>0</v>
      </c>
      <c r="J3989" s="16">
        <f>ABS(Solieusap!J3989)</f>
        <v>0</v>
      </c>
      <c r="K3989" s="16">
        <f t="shared" si="1"/>
        <v>0</v>
      </c>
      <c r="L3989" s="16">
        <f t="shared" si="2"/>
        <v>0</v>
      </c>
    </row>
    <row r="3990" ht="16.5" customHeight="1">
      <c r="A3990" s="15" t="str">
        <f>Solieusap!A3990</f>
        <v/>
      </c>
      <c r="B3990" s="15" t="str">
        <f>Solieusap!B3990</f>
        <v/>
      </c>
      <c r="C3990" s="15" t="str">
        <f>Solieusap!C3990</f>
        <v/>
      </c>
      <c r="D3990" s="15" t="str">
        <f>Solieusap!D3990</f>
        <v/>
      </c>
      <c r="E3990" s="16">
        <f>ABS(Solieusap!E3990)</f>
        <v>0</v>
      </c>
      <c r="F3990" s="16">
        <f>ABS(Solieusap!F3990)</f>
        <v>0</v>
      </c>
      <c r="G3990" s="16">
        <f>ABS(Solieusap!G3990)</f>
        <v>0</v>
      </c>
      <c r="H3990" s="16">
        <f>ABS(Solieusap!H3990)</f>
        <v>0</v>
      </c>
      <c r="I3990" s="16">
        <f>ABS(Solieusap!I3990)</f>
        <v>0</v>
      </c>
      <c r="J3990" s="16">
        <f>ABS(Solieusap!J3990)</f>
        <v>0</v>
      </c>
      <c r="K3990" s="16">
        <f t="shared" si="1"/>
        <v>0</v>
      </c>
      <c r="L3990" s="16">
        <f t="shared" si="2"/>
        <v>0</v>
      </c>
    </row>
    <row r="3991" ht="16.5" customHeight="1">
      <c r="A3991" s="15" t="str">
        <f>Solieusap!A3991</f>
        <v/>
      </c>
      <c r="B3991" s="15" t="str">
        <f>Solieusap!B3991</f>
        <v/>
      </c>
      <c r="C3991" s="15" t="str">
        <f>Solieusap!C3991</f>
        <v/>
      </c>
      <c r="D3991" s="15" t="str">
        <f>Solieusap!D3991</f>
        <v/>
      </c>
      <c r="E3991" s="16">
        <f>ABS(Solieusap!E3991)</f>
        <v>0</v>
      </c>
      <c r="F3991" s="16">
        <f>ABS(Solieusap!F3991)</f>
        <v>0</v>
      </c>
      <c r="G3991" s="16">
        <f>ABS(Solieusap!G3991)</f>
        <v>0</v>
      </c>
      <c r="H3991" s="16">
        <f>ABS(Solieusap!H3991)</f>
        <v>0</v>
      </c>
      <c r="I3991" s="16">
        <f>ABS(Solieusap!I3991)</f>
        <v>0</v>
      </c>
      <c r="J3991" s="16">
        <f>ABS(Solieusap!J3991)</f>
        <v>0</v>
      </c>
      <c r="K3991" s="16">
        <f t="shared" si="1"/>
        <v>0</v>
      </c>
      <c r="L3991" s="16">
        <f t="shared" si="2"/>
        <v>0</v>
      </c>
    </row>
    <row r="3992" ht="16.5" customHeight="1">
      <c r="A3992" s="15" t="str">
        <f>Solieusap!A3992</f>
        <v/>
      </c>
      <c r="B3992" s="15" t="str">
        <f>Solieusap!B3992</f>
        <v/>
      </c>
      <c r="C3992" s="15" t="str">
        <f>Solieusap!C3992</f>
        <v/>
      </c>
      <c r="D3992" s="15" t="str">
        <f>Solieusap!D3992</f>
        <v/>
      </c>
      <c r="E3992" s="16">
        <f>ABS(Solieusap!E3992)</f>
        <v>0</v>
      </c>
      <c r="F3992" s="16">
        <f>ABS(Solieusap!F3992)</f>
        <v>0</v>
      </c>
      <c r="G3992" s="16">
        <f>ABS(Solieusap!G3992)</f>
        <v>0</v>
      </c>
      <c r="H3992" s="16">
        <f>ABS(Solieusap!H3992)</f>
        <v>0</v>
      </c>
      <c r="I3992" s="16">
        <f>ABS(Solieusap!I3992)</f>
        <v>0</v>
      </c>
      <c r="J3992" s="16">
        <f>ABS(Solieusap!J3992)</f>
        <v>0</v>
      </c>
      <c r="K3992" s="16">
        <f t="shared" si="1"/>
        <v>0</v>
      </c>
      <c r="L3992" s="16">
        <f t="shared" si="2"/>
        <v>0</v>
      </c>
    </row>
    <row r="3993" ht="16.5" customHeight="1">
      <c r="A3993" s="15" t="str">
        <f>Solieusap!A3993</f>
        <v/>
      </c>
      <c r="B3993" s="15" t="str">
        <f>Solieusap!B3993</f>
        <v/>
      </c>
      <c r="C3993" s="15" t="str">
        <f>Solieusap!C3993</f>
        <v/>
      </c>
      <c r="D3993" s="15" t="str">
        <f>Solieusap!D3993</f>
        <v/>
      </c>
      <c r="E3993" s="16">
        <f>ABS(Solieusap!E3993)</f>
        <v>0</v>
      </c>
      <c r="F3993" s="16">
        <f>ABS(Solieusap!F3993)</f>
        <v>0</v>
      </c>
      <c r="G3993" s="16">
        <f>ABS(Solieusap!G3993)</f>
        <v>0</v>
      </c>
      <c r="H3993" s="16">
        <f>ABS(Solieusap!H3993)</f>
        <v>0</v>
      </c>
      <c r="I3993" s="16">
        <f>ABS(Solieusap!I3993)</f>
        <v>0</v>
      </c>
      <c r="J3993" s="16">
        <f>ABS(Solieusap!J3993)</f>
        <v>0</v>
      </c>
      <c r="K3993" s="16">
        <f t="shared" si="1"/>
        <v>0</v>
      </c>
      <c r="L3993" s="16">
        <f t="shared" si="2"/>
        <v>0</v>
      </c>
    </row>
    <row r="3994" ht="16.5" customHeight="1">
      <c r="A3994" s="15" t="str">
        <f>Solieusap!A3994</f>
        <v/>
      </c>
      <c r="B3994" s="15" t="str">
        <f>Solieusap!B3994</f>
        <v/>
      </c>
      <c r="C3994" s="15" t="str">
        <f>Solieusap!C3994</f>
        <v/>
      </c>
      <c r="D3994" s="15" t="str">
        <f>Solieusap!D3994</f>
        <v/>
      </c>
      <c r="E3994" s="16">
        <f>ABS(Solieusap!E3994)</f>
        <v>0</v>
      </c>
      <c r="F3994" s="16">
        <f>ABS(Solieusap!F3994)</f>
        <v>0</v>
      </c>
      <c r="G3994" s="16">
        <f>ABS(Solieusap!G3994)</f>
        <v>0</v>
      </c>
      <c r="H3994" s="16">
        <f>ABS(Solieusap!H3994)</f>
        <v>0</v>
      </c>
      <c r="I3994" s="16">
        <f>ABS(Solieusap!I3994)</f>
        <v>0</v>
      </c>
      <c r="J3994" s="16">
        <f>ABS(Solieusap!J3994)</f>
        <v>0</v>
      </c>
      <c r="K3994" s="16">
        <f t="shared" si="1"/>
        <v>0</v>
      </c>
      <c r="L3994" s="16">
        <f t="shared" si="2"/>
        <v>0</v>
      </c>
    </row>
    <row r="3995" ht="16.5" customHeight="1">
      <c r="A3995" s="15" t="str">
        <f>Solieusap!A3995</f>
        <v/>
      </c>
      <c r="B3995" s="15" t="str">
        <f>Solieusap!B3995</f>
        <v/>
      </c>
      <c r="C3995" s="15" t="str">
        <f>Solieusap!C3995</f>
        <v/>
      </c>
      <c r="D3995" s="15" t="str">
        <f>Solieusap!D3995</f>
        <v/>
      </c>
      <c r="E3995" s="16">
        <f>ABS(Solieusap!E3995)</f>
        <v>0</v>
      </c>
      <c r="F3995" s="16">
        <f>ABS(Solieusap!F3995)</f>
        <v>0</v>
      </c>
      <c r="G3995" s="16">
        <f>ABS(Solieusap!G3995)</f>
        <v>0</v>
      </c>
      <c r="H3995" s="16">
        <f>ABS(Solieusap!H3995)</f>
        <v>0</v>
      </c>
      <c r="I3995" s="16">
        <f>ABS(Solieusap!I3995)</f>
        <v>0</v>
      </c>
      <c r="J3995" s="16">
        <f>ABS(Solieusap!J3995)</f>
        <v>0</v>
      </c>
      <c r="K3995" s="16">
        <f t="shared" si="1"/>
        <v>0</v>
      </c>
      <c r="L3995" s="16">
        <f t="shared" si="2"/>
        <v>0</v>
      </c>
    </row>
    <row r="3996" ht="16.5" customHeight="1">
      <c r="A3996" s="15" t="str">
        <f>Solieusap!A3996</f>
        <v/>
      </c>
      <c r="B3996" s="15" t="str">
        <f>Solieusap!B3996</f>
        <v/>
      </c>
      <c r="C3996" s="15" t="str">
        <f>Solieusap!C3996</f>
        <v/>
      </c>
      <c r="D3996" s="15" t="str">
        <f>Solieusap!D3996</f>
        <v/>
      </c>
      <c r="E3996" s="16">
        <f>ABS(Solieusap!E3996)</f>
        <v>0</v>
      </c>
      <c r="F3996" s="16">
        <f>ABS(Solieusap!F3996)</f>
        <v>0</v>
      </c>
      <c r="G3996" s="16">
        <f>ABS(Solieusap!G3996)</f>
        <v>0</v>
      </c>
      <c r="H3996" s="16">
        <f>ABS(Solieusap!H3996)</f>
        <v>0</v>
      </c>
      <c r="I3996" s="16">
        <f>ABS(Solieusap!I3996)</f>
        <v>0</v>
      </c>
      <c r="J3996" s="16">
        <f>ABS(Solieusap!J3996)</f>
        <v>0</v>
      </c>
      <c r="K3996" s="16">
        <f t="shared" si="1"/>
        <v>0</v>
      </c>
      <c r="L3996" s="16">
        <f t="shared" si="2"/>
        <v>0</v>
      </c>
    </row>
    <row r="3997" ht="16.5" customHeight="1">
      <c r="A3997" s="15" t="str">
        <f>Solieusap!A3997</f>
        <v/>
      </c>
      <c r="B3997" s="15" t="str">
        <f>Solieusap!B3997</f>
        <v/>
      </c>
      <c r="C3997" s="15" t="str">
        <f>Solieusap!C3997</f>
        <v/>
      </c>
      <c r="D3997" s="15" t="str">
        <f>Solieusap!D3997</f>
        <v/>
      </c>
      <c r="E3997" s="16">
        <f>ABS(Solieusap!E3997)</f>
        <v>0</v>
      </c>
      <c r="F3997" s="16">
        <f>ABS(Solieusap!F3997)</f>
        <v>0</v>
      </c>
      <c r="G3997" s="16">
        <f>ABS(Solieusap!G3997)</f>
        <v>0</v>
      </c>
      <c r="H3997" s="16">
        <f>ABS(Solieusap!H3997)</f>
        <v>0</v>
      </c>
      <c r="I3997" s="16">
        <f>ABS(Solieusap!I3997)</f>
        <v>0</v>
      </c>
      <c r="J3997" s="16">
        <f>ABS(Solieusap!J3997)</f>
        <v>0</v>
      </c>
      <c r="K3997" s="16">
        <f t="shared" si="1"/>
        <v>0</v>
      </c>
      <c r="L3997" s="16">
        <f t="shared" si="2"/>
        <v>0</v>
      </c>
    </row>
    <row r="3998" ht="16.5" customHeight="1">
      <c r="A3998" s="15" t="str">
        <f>Solieusap!A3998</f>
        <v/>
      </c>
      <c r="B3998" s="15" t="str">
        <f>Solieusap!B3998</f>
        <v/>
      </c>
      <c r="C3998" s="15" t="str">
        <f>Solieusap!C3998</f>
        <v/>
      </c>
      <c r="D3998" s="15" t="str">
        <f>Solieusap!D3998</f>
        <v/>
      </c>
      <c r="E3998" s="16">
        <f>ABS(Solieusap!E3998)</f>
        <v>0</v>
      </c>
      <c r="F3998" s="16">
        <f>ABS(Solieusap!F3998)</f>
        <v>0</v>
      </c>
      <c r="G3998" s="16">
        <f>ABS(Solieusap!G3998)</f>
        <v>0</v>
      </c>
      <c r="H3998" s="16">
        <f>ABS(Solieusap!H3998)</f>
        <v>0</v>
      </c>
      <c r="I3998" s="16">
        <f>ABS(Solieusap!I3998)</f>
        <v>0</v>
      </c>
      <c r="J3998" s="16">
        <f>ABS(Solieusap!J3998)</f>
        <v>0</v>
      </c>
      <c r="K3998" s="16">
        <f t="shared" si="1"/>
        <v>0</v>
      </c>
      <c r="L3998" s="16">
        <f t="shared" si="2"/>
        <v>0</v>
      </c>
    </row>
    <row r="3999" ht="16.5" customHeight="1">
      <c r="A3999" s="15" t="str">
        <f>Solieusap!A3999</f>
        <v/>
      </c>
      <c r="B3999" s="15" t="str">
        <f>Solieusap!B3999</f>
        <v/>
      </c>
      <c r="C3999" s="15" t="str">
        <f>Solieusap!C3999</f>
        <v/>
      </c>
      <c r="D3999" s="15" t="str">
        <f>Solieusap!D3999</f>
        <v/>
      </c>
      <c r="E3999" s="16">
        <f>ABS(Solieusap!E3999)</f>
        <v>0</v>
      </c>
      <c r="F3999" s="16">
        <f>ABS(Solieusap!F3999)</f>
        <v>0</v>
      </c>
      <c r="G3999" s="16">
        <f>ABS(Solieusap!G3999)</f>
        <v>0</v>
      </c>
      <c r="H3999" s="16">
        <f>ABS(Solieusap!H3999)</f>
        <v>0</v>
      </c>
      <c r="I3999" s="16">
        <f>ABS(Solieusap!I3999)</f>
        <v>0</v>
      </c>
      <c r="J3999" s="16">
        <f>ABS(Solieusap!J3999)</f>
        <v>0</v>
      </c>
      <c r="K3999" s="16">
        <f t="shared" si="1"/>
        <v>0</v>
      </c>
      <c r="L3999" s="16">
        <f t="shared" si="2"/>
        <v>0</v>
      </c>
    </row>
    <row r="4000" ht="16.5" customHeight="1">
      <c r="A4000" s="15" t="str">
        <f>Solieusap!A4000</f>
        <v/>
      </c>
      <c r="B4000" s="15" t="str">
        <f>Solieusap!B4000</f>
        <v/>
      </c>
      <c r="C4000" s="15" t="str">
        <f>Solieusap!C4000</f>
        <v/>
      </c>
      <c r="D4000" s="15" t="str">
        <f>Solieusap!D4000</f>
        <v/>
      </c>
      <c r="E4000" s="16">
        <f>ABS(Solieusap!E4000)</f>
        <v>0</v>
      </c>
      <c r="F4000" s="16">
        <f>ABS(Solieusap!F4000)</f>
        <v>0</v>
      </c>
      <c r="G4000" s="16">
        <f>ABS(Solieusap!G4000)</f>
        <v>0</v>
      </c>
      <c r="H4000" s="16">
        <f>ABS(Solieusap!H4000)</f>
        <v>0</v>
      </c>
      <c r="I4000" s="16">
        <f>ABS(Solieusap!I4000)</f>
        <v>0</v>
      </c>
      <c r="J4000" s="16">
        <f>ABS(Solieusap!J4000)</f>
        <v>0</v>
      </c>
      <c r="K4000" s="16">
        <f t="shared" si="1"/>
        <v>0</v>
      </c>
      <c r="L4000" s="16">
        <f t="shared" si="2"/>
        <v>0</v>
      </c>
    </row>
  </sheetData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57"/>
    <col customWidth="1" hidden="1" min="2" max="2" width="7.43"/>
    <col customWidth="1" min="3" max="6" width="14.43"/>
    <col customWidth="1" min="7" max="7" width="9.14"/>
    <col customWidth="1" min="8" max="26" width="8.0"/>
  </cols>
  <sheetData>
    <row r="1" ht="27.75" customHeight="1">
      <c r="A1" s="17" t="s">
        <v>365</v>
      </c>
      <c r="B1" s="18"/>
      <c r="C1" s="18"/>
      <c r="D1" s="18"/>
      <c r="E1" s="18"/>
      <c r="F1" s="18"/>
      <c r="G1" s="19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21.0" customHeight="1">
      <c r="A2" s="20" t="s">
        <v>366</v>
      </c>
      <c r="B2" s="21"/>
      <c r="C2" s="22" t="s">
        <v>367</v>
      </c>
      <c r="D2" s="23"/>
      <c r="E2" s="23"/>
      <c r="F2" s="2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8.75" customHeight="1">
      <c r="A3" s="25" t="s">
        <v>368</v>
      </c>
      <c r="B3" s="26"/>
      <c r="C3" s="27" t="s">
        <v>369</v>
      </c>
      <c r="D3" s="27" t="s">
        <v>370</v>
      </c>
      <c r="E3" s="28" t="s">
        <v>371</v>
      </c>
      <c r="F3" s="29" t="s">
        <v>372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8.75" customHeight="1">
      <c r="A4" s="30" t="s">
        <v>373</v>
      </c>
      <c r="B4" s="31"/>
      <c r="C4" s="32" t="str">
        <f>LEFT(Solieusap!E3,3)</f>
        <v>Ton</v>
      </c>
      <c r="D4" s="32" t="str">
        <f>Solieu!J3</f>
        <v>Tonf-m</v>
      </c>
      <c r="E4" s="33" t="str">
        <f>D4</f>
        <v>Tonf-m</v>
      </c>
      <c r="F4" s="34" t="str">
        <f>C4</f>
        <v>Ton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8.75" customHeight="1">
      <c r="A5" s="35" t="str">
        <f>Solieusap!A4</f>
        <v>8</v>
      </c>
      <c r="B5" s="36">
        <f>COUNTIF(Solieusap!A4:A200,A5)</f>
        <v>3</v>
      </c>
      <c r="C5" s="37">
        <f t="array" ref="C5">MAX((Solieu!$A$4:$A$4000=A5)*Solieu!$E$4:$E$4000)</f>
        <v>14.2145</v>
      </c>
      <c r="D5" s="38">
        <f>VLOOKUP(C5,Solieu!$E$4:$L$4000,6,FALSE)</f>
        <v>0.05993</v>
      </c>
      <c r="E5" s="39">
        <f t="array" ref="E5">MAX((Solieu!$A$4:$A$4000=A5)*Solieu!$J$4:$J$4000)</f>
        <v>0.13839</v>
      </c>
      <c r="F5" s="40">
        <f>VLOOKUP(E5,Solieu!$J$4:$K$4000,2,FALSE)</f>
        <v>13.9175</v>
      </c>
      <c r="G5" s="41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8.75" customHeight="1">
      <c r="A6" s="42" t="str">
        <f t="shared" ref="A6:A200" si="1">INDIRECT("solieusap!A"&amp;B6)</f>
        <v>9</v>
      </c>
      <c r="B6" s="43">
        <f>4+B5</f>
        <v>7</v>
      </c>
      <c r="C6" s="44">
        <f t="array" ref="C6">MAX((Solieu!$A$4:$A$4000=A6)*Solieu!$E$4:$E$4000)</f>
        <v>11.4545</v>
      </c>
      <c r="D6" s="45">
        <f>VLOOKUP(C6,Solieu!$E$4:$L$4000,6,FALSE)</f>
        <v>0.18376</v>
      </c>
      <c r="E6" s="46">
        <f t="array" ref="E6">MAX((Solieu!$A$4:$A$4000=A6)*Solieu!$J$4:$J$4000)</f>
        <v>0.18376</v>
      </c>
      <c r="F6" s="47">
        <f>VLOOKUP(E6,Solieu!$J$4:$K$4000,2,FALSE)</f>
        <v>11.4545</v>
      </c>
      <c r="G6" s="41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8.75" customHeight="1">
      <c r="A7" s="42" t="str">
        <f t="shared" si="1"/>
        <v>10</v>
      </c>
      <c r="B7" s="43">
        <f t="shared" ref="B7:B200" si="2">B6+$B$5</f>
        <v>10</v>
      </c>
      <c r="C7" s="44">
        <f t="array" ref="C7">MAX((Solieu!$A$4:$A$4000=A7)*Solieu!$E$4:$E$4000)</f>
        <v>8.5072</v>
      </c>
      <c r="D7" s="45">
        <f>VLOOKUP(C7,Solieu!$E$4:$L$4000,6,FALSE)</f>
        <v>0.16818</v>
      </c>
      <c r="E7" s="46">
        <f t="array" ref="E7">MAX((Solieu!$A$4:$A$4000=A7)*Solieu!$J$4:$J$4000)</f>
        <v>0.16818</v>
      </c>
      <c r="F7" s="47">
        <f>VLOOKUP(E7,Solieu!$J$4:$K$4000,2,FALSE)</f>
        <v>8.5072</v>
      </c>
      <c r="G7" s="41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8.75" customHeight="1">
      <c r="A8" s="42" t="str">
        <f t="shared" si="1"/>
        <v>140</v>
      </c>
      <c r="B8" s="43">
        <f t="shared" si="2"/>
        <v>13</v>
      </c>
      <c r="C8" s="44">
        <f t="array" ref="C8">MAX((Solieu!$A$4:$A$4000=A8)*Solieu!$E$4:$E$4000)</f>
        <v>12.7038</v>
      </c>
      <c r="D8" s="45">
        <f>VLOOKUP(C8,Solieu!$E$4:$L$4000,6,FALSE)</f>
        <v>0.093</v>
      </c>
      <c r="E8" s="46">
        <f t="array" ref="E8">MAX((Solieu!$A$4:$A$4000=A8)*Solieu!$J$4:$J$4000)</f>
        <v>0.17097</v>
      </c>
      <c r="F8" s="47">
        <f>VLOOKUP(E8,Solieu!$J$4:$K$4000,2,FALSE)</f>
        <v>12.4068</v>
      </c>
      <c r="G8" s="41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8.75" customHeight="1">
      <c r="A9" s="42" t="str">
        <f t="shared" si="1"/>
        <v>141</v>
      </c>
      <c r="B9" s="43">
        <f t="shared" si="2"/>
        <v>16</v>
      </c>
      <c r="C9" s="44">
        <f t="array" ref="C9">MAX((Solieu!$A$4:$A$4000=A9)*Solieu!$E$4:$E$4000)</f>
        <v>9.864</v>
      </c>
      <c r="D9" s="45">
        <f>VLOOKUP(C9,Solieu!$E$4:$L$4000,6,FALSE)</f>
        <v>0.17042</v>
      </c>
      <c r="E9" s="46">
        <f t="array" ref="E9">MAX((Solieu!$A$4:$A$4000=A9)*Solieu!$J$4:$J$4000)</f>
        <v>0.17704</v>
      </c>
      <c r="F9" s="47">
        <f>VLOOKUP(E9,Solieu!$J$4:$K$4000,2,FALSE)</f>
        <v>9.468</v>
      </c>
      <c r="G9" s="41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8.75" customHeight="1">
      <c r="A10" s="42" t="str">
        <f t="shared" si="1"/>
        <v>142</v>
      </c>
      <c r="B10" s="43">
        <f t="shared" si="2"/>
        <v>19</v>
      </c>
      <c r="C10" s="44">
        <f t="array" ref="C10">MAX((Solieu!$A$4:$A$4000=A10)*Solieu!$E$4:$E$4000)</f>
        <v>6.7312</v>
      </c>
      <c r="D10" s="45">
        <f>VLOOKUP(C10,Solieu!$E$4:$L$4000,6,FALSE)</f>
        <v>0.12657</v>
      </c>
      <c r="E10" s="46">
        <f t="array" ref="E10">MAX((Solieu!$A$4:$A$4000=A10)*Solieu!$J$4:$J$4000)</f>
        <v>0.12657</v>
      </c>
      <c r="F10" s="47">
        <f>VLOOKUP(E10,Solieu!$J$4:$K$4000,2,FALSE)</f>
        <v>6.7312</v>
      </c>
      <c r="G10" s="41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8.75" customHeight="1">
      <c r="A11" s="42" t="str">
        <f t="shared" si="1"/>
        <v>143</v>
      </c>
      <c r="B11" s="43">
        <f t="shared" si="2"/>
        <v>22</v>
      </c>
      <c r="C11" s="44">
        <f t="array" ref="C11">MAX((Solieu!$A$4:$A$4000=A11)*Solieu!$E$4:$E$4000)</f>
        <v>11.8632</v>
      </c>
      <c r="D11" s="45">
        <f>VLOOKUP(C11,Solieu!$E$4:$L$4000,6,FALSE)</f>
        <v>0.0927</v>
      </c>
      <c r="E11" s="46">
        <f t="array" ref="E11">MAX((Solieu!$A$4:$A$4000=A11)*Solieu!$J$4:$J$4000)</f>
        <v>0.17079</v>
      </c>
      <c r="F11" s="47">
        <f>VLOOKUP(E11,Solieu!$J$4:$K$4000,2,FALSE)</f>
        <v>11.5662</v>
      </c>
      <c r="G11" s="41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8.75" customHeight="1">
      <c r="A12" s="42" t="str">
        <f t="shared" si="1"/>
        <v>144</v>
      </c>
      <c r="B12" s="43">
        <f t="shared" si="2"/>
        <v>25</v>
      </c>
      <c r="C12" s="44">
        <f t="array" ref="C12">MAX((Solieu!$A$4:$A$4000=A12)*Solieu!$E$4:$E$4000)</f>
        <v>9.0172</v>
      </c>
      <c r="D12" s="45">
        <f>VLOOKUP(C12,Solieu!$E$4:$L$4000,6,FALSE)</f>
        <v>0.17048</v>
      </c>
      <c r="E12" s="46">
        <f t="array" ref="E12">MAX((Solieu!$A$4:$A$4000=A12)*Solieu!$J$4:$J$4000)</f>
        <v>0.17898</v>
      </c>
      <c r="F12" s="47">
        <f>VLOOKUP(E12,Solieu!$J$4:$K$4000,2,FALSE)</f>
        <v>8.6212</v>
      </c>
      <c r="G12" s="41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8.75" customHeight="1">
      <c r="A13" s="42" t="str">
        <f t="shared" si="1"/>
        <v>145</v>
      </c>
      <c r="B13" s="43">
        <f t="shared" si="2"/>
        <v>28</v>
      </c>
      <c r="C13" s="44">
        <f t="array" ref="C13">MAX((Solieu!$A$4:$A$4000=A13)*Solieu!$E$4:$E$4000)</f>
        <v>5.8861</v>
      </c>
      <c r="D13" s="45">
        <f>VLOOKUP(C13,Solieu!$E$4:$L$4000,6,FALSE)</f>
        <v>0.10912</v>
      </c>
      <c r="E13" s="46">
        <f t="array" ref="E13">MAX((Solieu!$A$4:$A$4000=A13)*Solieu!$J$4:$J$4000)</f>
        <v>0.10912</v>
      </c>
      <c r="F13" s="47">
        <f>VLOOKUP(E13,Solieu!$J$4:$K$4000,2,FALSE)</f>
        <v>5.8861</v>
      </c>
      <c r="G13" s="41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8.75" customHeight="1">
      <c r="A14" s="42" t="str">
        <f t="shared" si="1"/>
        <v>146</v>
      </c>
      <c r="B14" s="43">
        <f t="shared" si="2"/>
        <v>31</v>
      </c>
      <c r="C14" s="44">
        <f t="array" ref="C14">MAX((Solieu!$A$4:$A$4000=A14)*Solieu!$E$4:$E$4000)</f>
        <v>13.4491</v>
      </c>
      <c r="D14" s="45">
        <f>VLOOKUP(C14,Solieu!$E$4:$L$4000,6,FALSE)</f>
        <v>0.06001</v>
      </c>
      <c r="E14" s="46">
        <f t="array" ref="E14">MAX((Solieu!$A$4:$A$4000=A14)*Solieu!$J$4:$J$4000)</f>
        <v>0.13813</v>
      </c>
      <c r="F14" s="47">
        <f>VLOOKUP(E14,Solieu!$J$4:$K$4000,2,FALSE)</f>
        <v>13.1521</v>
      </c>
      <c r="G14" s="41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8.75" customHeight="1">
      <c r="A15" s="42" t="str">
        <f t="shared" si="1"/>
        <v>147</v>
      </c>
      <c r="B15" s="43">
        <f t="shared" si="2"/>
        <v>34</v>
      </c>
      <c r="C15" s="44">
        <f t="array" ref="C15">MAX((Solieu!$A$4:$A$4000=A15)*Solieu!$E$4:$E$4000)</f>
        <v>10.6756</v>
      </c>
      <c r="D15" s="45">
        <f>VLOOKUP(C15,Solieu!$E$4:$L$4000,6,FALSE)</f>
        <v>0.18527</v>
      </c>
      <c r="E15" s="46">
        <f t="array" ref="E15">MAX((Solieu!$A$4:$A$4000=A15)*Solieu!$J$4:$J$4000)</f>
        <v>0.18527</v>
      </c>
      <c r="F15" s="47">
        <f>VLOOKUP(E15,Solieu!$J$4:$K$4000,2,FALSE)</f>
        <v>10.6756</v>
      </c>
      <c r="G15" s="41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8.75" customHeight="1">
      <c r="A16" s="42" t="str">
        <f t="shared" si="1"/>
        <v>148</v>
      </c>
      <c r="B16" s="43">
        <f t="shared" si="2"/>
        <v>37</v>
      </c>
      <c r="C16" s="44">
        <f t="array" ref="C16">MAX((Solieu!$A$4:$A$4000=A16)*Solieu!$E$4:$E$4000)</f>
        <v>7.691</v>
      </c>
      <c r="D16" s="45">
        <f>VLOOKUP(C16,Solieu!$E$4:$L$4000,6,FALSE)</f>
        <v>0.16833</v>
      </c>
      <c r="E16" s="46">
        <f t="array" ref="E16">MAX((Solieu!$A$4:$A$4000=A16)*Solieu!$J$4:$J$4000)</f>
        <v>0.16833</v>
      </c>
      <c r="F16" s="47">
        <f>VLOOKUP(E16,Solieu!$J$4:$K$4000,2,FALSE)</f>
        <v>7.691</v>
      </c>
      <c r="G16" s="41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8.75" customHeight="1">
      <c r="A17" s="42" t="str">
        <f t="shared" si="1"/>
        <v>149</v>
      </c>
      <c r="B17" s="43">
        <f t="shared" si="2"/>
        <v>40</v>
      </c>
      <c r="C17" s="44">
        <f t="array" ref="C17">MAX((Solieu!$A$4:$A$4000=A17)*Solieu!$E$4:$E$4000)</f>
        <v>17.0102</v>
      </c>
      <c r="D17" s="45">
        <f>VLOOKUP(C17,Solieu!$E$4:$L$4000,6,FALSE)</f>
        <v>0.0676</v>
      </c>
      <c r="E17" s="46">
        <f t="array" ref="E17">MAX((Solieu!$A$4:$A$4000=A17)*Solieu!$J$4:$J$4000)</f>
        <v>0.14584</v>
      </c>
      <c r="F17" s="47">
        <f>VLOOKUP(E17,Solieu!$J$4:$K$4000,2,FALSE)</f>
        <v>16.7132</v>
      </c>
      <c r="G17" s="41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8.75" customHeight="1">
      <c r="A18" s="42" t="str">
        <f t="shared" si="1"/>
        <v>150</v>
      </c>
      <c r="B18" s="43">
        <f t="shared" si="2"/>
        <v>43</v>
      </c>
      <c r="C18" s="44">
        <f t="array" ref="C18">MAX((Solieu!$A$4:$A$4000=A18)*Solieu!$E$4:$E$4000)</f>
        <v>11.9388</v>
      </c>
      <c r="D18" s="45">
        <f>VLOOKUP(C18,Solieu!$E$4:$L$4000,6,FALSE)</f>
        <v>0.186</v>
      </c>
      <c r="E18" s="46">
        <f t="array" ref="E18">MAX((Solieu!$A$4:$A$4000=A18)*Solieu!$J$4:$J$4000)</f>
        <v>0.19241</v>
      </c>
      <c r="F18" s="47">
        <f>VLOOKUP(E18,Solieu!$J$4:$K$4000,2,FALSE)</f>
        <v>11.5428</v>
      </c>
      <c r="G18" s="41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8.75" customHeight="1">
      <c r="A19" s="42" t="str">
        <f t="shared" si="1"/>
        <v>151</v>
      </c>
      <c r="B19" s="43">
        <f t="shared" si="2"/>
        <v>46</v>
      </c>
      <c r="C19" s="44">
        <f t="array" ref="C19">MAX((Solieu!$A$4:$A$4000=A19)*Solieu!$E$4:$E$4000)</f>
        <v>6.7431</v>
      </c>
      <c r="D19" s="45">
        <f>VLOOKUP(C19,Solieu!$E$4:$L$4000,6,FALSE)</f>
        <v>0.23107</v>
      </c>
      <c r="E19" s="46">
        <f t="array" ref="E19">MAX((Solieu!$A$4:$A$4000=A19)*Solieu!$J$4:$J$4000)</f>
        <v>0.25582</v>
      </c>
      <c r="F19" s="47">
        <f>VLOOKUP(E19,Solieu!$J$4:$K$4000,2,FALSE)</f>
        <v>6.3471</v>
      </c>
      <c r="G19" s="41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8.75" customHeight="1">
      <c r="A20" s="42" t="str">
        <f t="shared" si="1"/>
        <v>152</v>
      </c>
      <c r="B20" s="43">
        <f t="shared" si="2"/>
        <v>49</v>
      </c>
      <c r="C20" s="44">
        <f t="array" ref="C20">MAX((Solieu!$A$4:$A$4000=A20)*Solieu!$E$4:$E$4000)</f>
        <v>26.6881</v>
      </c>
      <c r="D20" s="45">
        <f>VLOOKUP(C20,Solieu!$E$4:$L$4000,6,FALSE)</f>
        <v>0.06697</v>
      </c>
      <c r="E20" s="46">
        <f t="array" ref="E20">MAX((Solieu!$A$4:$A$4000=A20)*Solieu!$J$4:$J$4000)</f>
        <v>0.12706</v>
      </c>
      <c r="F20" s="47">
        <f>VLOOKUP(E20,Solieu!$J$4:$K$4000,2,FALSE)</f>
        <v>26.3911</v>
      </c>
      <c r="G20" s="41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8.75" customHeight="1">
      <c r="A21" s="42" t="str">
        <f t="shared" si="1"/>
        <v>153</v>
      </c>
      <c r="B21" s="43">
        <f t="shared" si="2"/>
        <v>52</v>
      </c>
      <c r="C21" s="44">
        <f t="array" ref="C21">MAX((Solieu!$A$4:$A$4000=A21)*Solieu!$E$4:$E$4000)</f>
        <v>20.9526</v>
      </c>
      <c r="D21" s="45">
        <f>VLOOKUP(C21,Solieu!$E$4:$L$4000,6,FALSE)</f>
        <v>0.13743</v>
      </c>
      <c r="E21" s="46">
        <f t="array" ref="E21">MAX((Solieu!$A$4:$A$4000=A21)*Solieu!$J$4:$J$4000)</f>
        <v>0.14572</v>
      </c>
      <c r="F21" s="47">
        <f>VLOOKUP(E21,Solieu!$J$4:$K$4000,2,FALSE)</f>
        <v>20.5566</v>
      </c>
      <c r="G21" s="41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8.75" customHeight="1">
      <c r="A22" s="42" t="str">
        <f t="shared" si="1"/>
        <v>154</v>
      </c>
      <c r="B22" s="43">
        <f t="shared" si="2"/>
        <v>55</v>
      </c>
      <c r="C22" s="44">
        <f t="array" ref="C22">MAX((Solieu!$A$4:$A$4000=A22)*Solieu!$E$4:$E$4000)</f>
        <v>15.5201</v>
      </c>
      <c r="D22" s="45">
        <f>VLOOKUP(C22,Solieu!$E$4:$L$4000,6,FALSE)</f>
        <v>0.18115</v>
      </c>
      <c r="E22" s="46">
        <f t="array" ref="E22">MAX((Solieu!$A$4:$A$4000=A22)*Solieu!$J$4:$J$4000)</f>
        <v>0.18581</v>
      </c>
      <c r="F22" s="47">
        <f>VLOOKUP(E22,Solieu!$J$4:$K$4000,2,FALSE)</f>
        <v>15.1241</v>
      </c>
      <c r="G22" s="41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8.75" customHeight="1">
      <c r="A23" s="42" t="str">
        <f t="shared" si="1"/>
        <v>155</v>
      </c>
      <c r="B23" s="43">
        <f t="shared" si="2"/>
        <v>58</v>
      </c>
      <c r="C23" s="44">
        <f t="array" ref="C23">MAX((Solieu!$A$4:$A$4000=A23)*Solieu!$E$4:$E$4000)</f>
        <v>13.6967</v>
      </c>
      <c r="D23" s="45">
        <f>VLOOKUP(C23,Solieu!$E$4:$L$4000,6,FALSE)</f>
        <v>0.04615</v>
      </c>
      <c r="E23" s="46">
        <f t="array" ref="E23">MAX((Solieu!$A$4:$A$4000=A23)*Solieu!$J$4:$J$4000)</f>
        <v>0.10077</v>
      </c>
      <c r="F23" s="47">
        <f>VLOOKUP(E23,Solieu!$J$4:$K$4000,2,FALSE)</f>
        <v>13.3997</v>
      </c>
      <c r="G23" s="41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8.75" customHeight="1">
      <c r="A24" s="42" t="str">
        <f t="shared" si="1"/>
        <v>156</v>
      </c>
      <c r="B24" s="43">
        <f t="shared" si="2"/>
        <v>61</v>
      </c>
      <c r="C24" s="44">
        <f t="array" ref="C24">MAX((Solieu!$A$4:$A$4000=A24)*Solieu!$E$4:$E$4000)</f>
        <v>8.9456</v>
      </c>
      <c r="D24" s="45">
        <f>VLOOKUP(C24,Solieu!$E$4:$L$4000,6,FALSE)</f>
        <v>0.09674</v>
      </c>
      <c r="E24" s="46">
        <f t="array" ref="E24">MAX((Solieu!$A$4:$A$4000=A24)*Solieu!$J$4:$J$4000)</f>
        <v>0.09674</v>
      </c>
      <c r="F24" s="47">
        <f>VLOOKUP(E24,Solieu!$J$4:$K$4000,2,FALSE)</f>
        <v>8.9456</v>
      </c>
      <c r="G24" s="41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8.75" customHeight="1">
      <c r="A25" s="42" t="str">
        <f t="shared" si="1"/>
        <v>157</v>
      </c>
      <c r="B25" s="43">
        <f t="shared" si="2"/>
        <v>64</v>
      </c>
      <c r="C25" s="44">
        <f t="array" ref="C25">MAX((Solieu!$A$4:$A$4000=A25)*Solieu!$E$4:$E$4000)</f>
        <v>4.1984</v>
      </c>
      <c r="D25" s="45">
        <f>VLOOKUP(C25,Solieu!$E$4:$L$4000,6,FALSE)</f>
        <v>0.01828</v>
      </c>
      <c r="E25" s="46">
        <f t="array" ref="E25">MAX((Solieu!$A$4:$A$4000=A25)*Solieu!$J$4:$J$4000)</f>
        <v>0.05263</v>
      </c>
      <c r="F25" s="47">
        <f>VLOOKUP(E25,Solieu!$J$4:$K$4000,2,FALSE)</f>
        <v>3.8024</v>
      </c>
      <c r="G25" s="41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8.75" customHeight="1">
      <c r="A26" s="42" t="str">
        <f t="shared" si="1"/>
        <v>158</v>
      </c>
      <c r="B26" s="43">
        <f t="shared" si="2"/>
        <v>67</v>
      </c>
      <c r="C26" s="44">
        <f t="array" ref="C26">MAX((Solieu!$A$4:$A$4000=A26)*Solieu!$E$4:$E$4000)</f>
        <v>20.9269</v>
      </c>
      <c r="D26" s="45">
        <f>VLOOKUP(C26,Solieu!$E$4:$L$4000,6,FALSE)</f>
        <v>0.06557</v>
      </c>
      <c r="E26" s="46">
        <f t="array" ref="E26">MAX((Solieu!$A$4:$A$4000=A26)*Solieu!$J$4:$J$4000)</f>
        <v>0.13017</v>
      </c>
      <c r="F26" s="47">
        <f>VLOOKUP(E26,Solieu!$J$4:$K$4000,2,FALSE)</f>
        <v>20.6299</v>
      </c>
      <c r="G26" s="41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8.75" customHeight="1">
      <c r="A27" s="42" t="str">
        <f t="shared" si="1"/>
        <v>159</v>
      </c>
      <c r="B27" s="43">
        <f t="shared" si="2"/>
        <v>70</v>
      </c>
      <c r="C27" s="44">
        <f t="array" ref="C27">MAX((Solieu!$A$4:$A$4000=A27)*Solieu!$E$4:$E$4000)</f>
        <v>11.6606</v>
      </c>
      <c r="D27" s="45">
        <f>VLOOKUP(C27,Solieu!$E$4:$L$4000,6,FALSE)</f>
        <v>0.13417</v>
      </c>
      <c r="E27" s="46">
        <f t="array" ref="E27">MAX((Solieu!$A$4:$A$4000=A27)*Solieu!$J$4:$J$4000)</f>
        <v>0.13417</v>
      </c>
      <c r="F27" s="47">
        <f>VLOOKUP(E27,Solieu!$J$4:$K$4000,2,FALSE)</f>
        <v>11.6606</v>
      </c>
      <c r="G27" s="41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8.75" customHeight="1">
      <c r="A28" s="42" t="str">
        <f t="shared" si="1"/>
        <v>160</v>
      </c>
      <c r="B28" s="43">
        <f t="shared" si="2"/>
        <v>73</v>
      </c>
      <c r="C28" s="44">
        <f t="array" ref="C28">MAX((Solieu!$A$4:$A$4000=A28)*Solieu!$E$4:$E$4000)</f>
        <v>3.1071</v>
      </c>
      <c r="D28" s="45">
        <f>VLOOKUP(C28,Solieu!$E$4:$L$4000,6,FALSE)</f>
        <v>0.10031</v>
      </c>
      <c r="E28" s="46">
        <f t="array" ref="E28">MAX((Solieu!$A$4:$A$4000=A28)*Solieu!$J$4:$J$4000)</f>
        <v>0.10031</v>
      </c>
      <c r="F28" s="47">
        <f>VLOOKUP(E28,Solieu!$J$4:$K$4000,2,FALSE)</f>
        <v>3.1071</v>
      </c>
      <c r="G28" s="41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8.75" customHeight="1">
      <c r="A29" s="42" t="str">
        <f t="shared" si="1"/>
        <v>161</v>
      </c>
      <c r="B29" s="43">
        <f t="shared" si="2"/>
        <v>76</v>
      </c>
      <c r="C29" s="44">
        <f t="array" ref="C29">MAX((Solieu!$A$4:$A$4000=A29)*Solieu!$E$4:$E$4000)</f>
        <v>20.9329</v>
      </c>
      <c r="D29" s="45">
        <f>VLOOKUP(C29,Solieu!$E$4:$L$4000,6,FALSE)</f>
        <v>0.06538</v>
      </c>
      <c r="E29" s="46">
        <f t="array" ref="E29">MAX((Solieu!$A$4:$A$4000=A29)*Solieu!$J$4:$J$4000)</f>
        <v>0.12995</v>
      </c>
      <c r="F29" s="47">
        <f>VLOOKUP(E29,Solieu!$J$4:$K$4000,2,FALSE)</f>
        <v>20.6359</v>
      </c>
      <c r="G29" s="41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8.75" customHeight="1">
      <c r="A30" s="42" t="str">
        <f t="shared" si="1"/>
        <v>162</v>
      </c>
      <c r="B30" s="43">
        <f t="shared" si="2"/>
        <v>79</v>
      </c>
      <c r="C30" s="44">
        <f t="array" ref="C30">MAX((Solieu!$A$4:$A$4000=A30)*Solieu!$E$4:$E$4000)</f>
        <v>11.6669</v>
      </c>
      <c r="D30" s="45">
        <f>VLOOKUP(C30,Solieu!$E$4:$L$4000,6,FALSE)</f>
        <v>0.13395</v>
      </c>
      <c r="E30" s="46">
        <f t="array" ref="E30">MAX((Solieu!$A$4:$A$4000=A30)*Solieu!$J$4:$J$4000)</f>
        <v>0.13395</v>
      </c>
      <c r="F30" s="47">
        <f>VLOOKUP(E30,Solieu!$J$4:$K$4000,2,FALSE)</f>
        <v>11.6669</v>
      </c>
      <c r="G30" s="41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8.75" customHeight="1">
      <c r="A31" s="42" t="str">
        <f t="shared" si="1"/>
        <v>163</v>
      </c>
      <c r="B31" s="43">
        <f t="shared" si="2"/>
        <v>82</v>
      </c>
      <c r="C31" s="44">
        <f t="array" ref="C31">MAX((Solieu!$A$4:$A$4000=A31)*Solieu!$E$4:$E$4000)</f>
        <v>3.1133</v>
      </c>
      <c r="D31" s="45">
        <f>VLOOKUP(C31,Solieu!$E$4:$L$4000,6,FALSE)</f>
        <v>0.06093</v>
      </c>
      <c r="E31" s="46">
        <f t="array" ref="E31">MAX((Solieu!$A$4:$A$4000=A31)*Solieu!$J$4:$J$4000)</f>
        <v>0.06093</v>
      </c>
      <c r="F31" s="47">
        <f>VLOOKUP(E31,Solieu!$J$4:$K$4000,2,FALSE)</f>
        <v>3.1133</v>
      </c>
      <c r="G31" s="41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8.75" customHeight="1">
      <c r="A32" s="42" t="str">
        <f t="shared" si="1"/>
        <v>164</v>
      </c>
      <c r="B32" s="43">
        <f t="shared" si="2"/>
        <v>85</v>
      </c>
      <c r="C32" s="44">
        <f t="array" ref="C32">MAX((Solieu!$A$4:$A$4000=A32)*Solieu!$E$4:$E$4000)</f>
        <v>13.672</v>
      </c>
      <c r="D32" s="45">
        <f>VLOOKUP(C32,Solieu!$E$4:$L$4000,6,FALSE)</f>
        <v>0.04594</v>
      </c>
      <c r="E32" s="46">
        <f t="array" ref="E32">MAX((Solieu!$A$4:$A$4000=A32)*Solieu!$J$4:$J$4000)</f>
        <v>0.10016</v>
      </c>
      <c r="F32" s="47">
        <f>VLOOKUP(E32,Solieu!$J$4:$K$4000,2,FALSE)</f>
        <v>13.375</v>
      </c>
      <c r="G32" s="41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8.75" customHeight="1">
      <c r="A33" s="42" t="str">
        <f t="shared" si="1"/>
        <v>165</v>
      </c>
      <c r="B33" s="43">
        <f t="shared" si="2"/>
        <v>88</v>
      </c>
      <c r="C33" s="44">
        <f t="array" ref="C33">MAX((Solieu!$A$4:$A$4000=A33)*Solieu!$E$4:$E$4000)</f>
        <v>8.9174</v>
      </c>
      <c r="D33" s="45">
        <f>VLOOKUP(C33,Solieu!$E$4:$L$4000,6,FALSE)</f>
        <v>0.09522</v>
      </c>
      <c r="E33" s="46">
        <f t="array" ref="E33">MAX((Solieu!$A$4:$A$4000=A33)*Solieu!$J$4:$J$4000)</f>
        <v>0.09522</v>
      </c>
      <c r="F33" s="47">
        <f>VLOOKUP(E33,Solieu!$J$4:$K$4000,2,FALSE)</f>
        <v>8.9174</v>
      </c>
      <c r="G33" s="41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8.75" customHeight="1">
      <c r="A34" s="42" t="str">
        <f t="shared" si="1"/>
        <v>166</v>
      </c>
      <c r="B34" s="43">
        <f t="shared" si="2"/>
        <v>91</v>
      </c>
      <c r="C34" s="44">
        <f t="array" ref="C34">MAX((Solieu!$A$4:$A$4000=A34)*Solieu!$E$4:$E$4000)</f>
        <v>4.172</v>
      </c>
      <c r="D34" s="45">
        <f>VLOOKUP(C34,Solieu!$E$4:$L$4000,6,FALSE)</f>
        <v>0.01939</v>
      </c>
      <c r="E34" s="46">
        <f t="array" ref="E34">MAX((Solieu!$A$4:$A$4000=A34)*Solieu!$J$4:$J$4000)</f>
        <v>0.01939</v>
      </c>
      <c r="F34" s="47">
        <f>VLOOKUP(E34,Solieu!$J$4:$K$4000,2,FALSE)</f>
        <v>4.172</v>
      </c>
      <c r="G34" s="41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8.75" customHeight="1">
      <c r="A35" s="42" t="str">
        <f t="shared" si="1"/>
        <v>167</v>
      </c>
      <c r="B35" s="43">
        <f t="shared" si="2"/>
        <v>94</v>
      </c>
      <c r="C35" s="44">
        <f t="array" ref="C35">MAX((Solieu!$A$4:$A$4000=A35)*Solieu!$E$4:$E$4000)</f>
        <v>27.0752</v>
      </c>
      <c r="D35" s="45">
        <f>VLOOKUP(C35,Solieu!$E$4:$L$4000,6,FALSE)</f>
        <v>0.06773</v>
      </c>
      <c r="E35" s="46">
        <f t="array" ref="E35">MAX((Solieu!$A$4:$A$4000=A35)*Solieu!$J$4:$J$4000)</f>
        <v>0.12877</v>
      </c>
      <c r="F35" s="47">
        <f>VLOOKUP(E35,Solieu!$J$4:$K$4000,2,FALSE)</f>
        <v>26.7782</v>
      </c>
      <c r="G35" s="41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8.75" customHeight="1">
      <c r="A36" s="42" t="str">
        <f t="shared" si="1"/>
        <v>168</v>
      </c>
      <c r="B36" s="43">
        <f t="shared" si="2"/>
        <v>97</v>
      </c>
      <c r="C36" s="44">
        <f t="array" ref="C36">MAX((Solieu!$A$4:$A$4000=A36)*Solieu!$E$4:$E$4000)</f>
        <v>21.3555</v>
      </c>
      <c r="D36" s="45">
        <f>VLOOKUP(C36,Solieu!$E$4:$L$4000,6,FALSE)</f>
        <v>0.13948</v>
      </c>
      <c r="E36" s="46">
        <f t="array" ref="E36">MAX((Solieu!$A$4:$A$4000=A36)*Solieu!$J$4:$J$4000)</f>
        <v>0.14893</v>
      </c>
      <c r="F36" s="47">
        <f>VLOOKUP(E36,Solieu!$J$4:$K$4000,2,FALSE)</f>
        <v>20.9595</v>
      </c>
      <c r="G36" s="41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8.75" customHeight="1">
      <c r="A37" s="42" t="str">
        <f t="shared" si="1"/>
        <v>169</v>
      </c>
      <c r="B37" s="43">
        <f t="shared" si="2"/>
        <v>100</v>
      </c>
      <c r="C37" s="44">
        <f t="array" ref="C37">MAX((Solieu!$A$4:$A$4000=A37)*Solieu!$E$4:$E$4000)</f>
        <v>15.9545</v>
      </c>
      <c r="D37" s="45">
        <f>VLOOKUP(C37,Solieu!$E$4:$L$4000,6,FALSE)</f>
        <v>0.14979</v>
      </c>
      <c r="E37" s="46">
        <f t="array" ref="E37">MAX((Solieu!$A$4:$A$4000=A37)*Solieu!$J$4:$J$4000)</f>
        <v>0.16167</v>
      </c>
      <c r="F37" s="47">
        <f>VLOOKUP(E37,Solieu!$J$4:$K$4000,2,FALSE)</f>
        <v>15.5585</v>
      </c>
      <c r="G37" s="41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8.75" customHeight="1">
      <c r="A38" s="42" t="str">
        <f t="shared" si="1"/>
        <v>170</v>
      </c>
      <c r="B38" s="43">
        <f t="shared" si="2"/>
        <v>103</v>
      </c>
      <c r="C38" s="44">
        <f t="array" ref="C38">MAX((Solieu!$A$4:$A$4000=A38)*Solieu!$E$4:$E$4000)</f>
        <v>18.3864</v>
      </c>
      <c r="D38" s="45">
        <f>VLOOKUP(C38,Solieu!$E$4:$L$4000,6,FALSE)</f>
        <v>0.06748</v>
      </c>
      <c r="E38" s="46">
        <f t="array" ref="E38">MAX((Solieu!$A$4:$A$4000=A38)*Solieu!$J$4:$J$4000)</f>
        <v>0.14543</v>
      </c>
      <c r="F38" s="47">
        <f>VLOOKUP(E38,Solieu!$J$4:$K$4000,2,FALSE)</f>
        <v>18.0894</v>
      </c>
      <c r="G38" s="41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8.75" customHeight="1">
      <c r="A39" s="42" t="str">
        <f t="shared" si="1"/>
        <v>171</v>
      </c>
      <c r="B39" s="43">
        <f t="shared" si="2"/>
        <v>106</v>
      </c>
      <c r="C39" s="44">
        <f t="array" ref="C39">MAX((Solieu!$A$4:$A$4000=A39)*Solieu!$E$4:$E$4000)</f>
        <v>13.3514</v>
      </c>
      <c r="D39" s="45">
        <f>VLOOKUP(C39,Solieu!$E$4:$L$4000,6,FALSE)</f>
        <v>0.17995</v>
      </c>
      <c r="E39" s="46">
        <f t="array" ref="E39">MAX((Solieu!$A$4:$A$4000=A39)*Solieu!$J$4:$J$4000)</f>
        <v>0.17995</v>
      </c>
      <c r="F39" s="47">
        <f>VLOOKUP(E39,Solieu!$J$4:$K$4000,2,FALSE)</f>
        <v>13.3514</v>
      </c>
      <c r="G39" s="41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8.75" customHeight="1">
      <c r="A40" s="42" t="str">
        <f t="shared" si="1"/>
        <v>172</v>
      </c>
      <c r="B40" s="43">
        <f t="shared" si="2"/>
        <v>109</v>
      </c>
      <c r="C40" s="44">
        <f t="array" ref="C40">MAX((Solieu!$A$4:$A$4000=A40)*Solieu!$E$4:$E$4000)</f>
        <v>8.2179</v>
      </c>
      <c r="D40" s="45">
        <f>VLOOKUP(C40,Solieu!$E$4:$L$4000,6,FALSE)</f>
        <v>0.29836</v>
      </c>
      <c r="E40" s="46">
        <f t="array" ref="E40">MAX((Solieu!$A$4:$A$4000=A40)*Solieu!$J$4:$J$4000)</f>
        <v>0.35884</v>
      </c>
      <c r="F40" s="47">
        <f>VLOOKUP(E40,Solieu!$J$4:$K$4000,2,FALSE)</f>
        <v>7.8219</v>
      </c>
      <c r="G40" s="41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8.75" customHeight="1">
      <c r="A41" s="42" t="str">
        <f t="shared" si="1"/>
        <v>173</v>
      </c>
      <c r="B41" s="43">
        <f t="shared" si="2"/>
        <v>112</v>
      </c>
      <c r="C41" s="44">
        <f t="array" ref="C41">MAX((Solieu!$A$4:$A$4000=A41)*Solieu!$E$4:$E$4000)</f>
        <v>16.0129</v>
      </c>
      <c r="D41" s="45">
        <f>VLOOKUP(C41,Solieu!$E$4:$L$4000,6,FALSE)</f>
        <v>0.06757</v>
      </c>
      <c r="E41" s="46">
        <f t="array" ref="E41">MAX((Solieu!$A$4:$A$4000=A41)*Solieu!$J$4:$J$4000)</f>
        <v>0.13812</v>
      </c>
      <c r="F41" s="47">
        <f>VLOOKUP(E41,Solieu!$J$4:$K$4000,2,FALSE)</f>
        <v>15.7159</v>
      </c>
      <c r="G41" s="41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8.75" customHeight="1">
      <c r="A42" s="42" t="str">
        <f t="shared" si="1"/>
        <v>174</v>
      </c>
      <c r="B42" s="43">
        <f t="shared" si="2"/>
        <v>115</v>
      </c>
      <c r="C42" s="44">
        <f t="array" ref="C42">MAX((Solieu!$A$4:$A$4000=A42)*Solieu!$E$4:$E$4000)</f>
        <v>12.3388</v>
      </c>
      <c r="D42" s="45">
        <f>VLOOKUP(C42,Solieu!$E$4:$L$4000,6,FALSE)</f>
        <v>0.14345</v>
      </c>
      <c r="E42" s="46">
        <f t="array" ref="E42">MAX((Solieu!$A$4:$A$4000=A42)*Solieu!$J$4:$J$4000)</f>
        <v>0.14345</v>
      </c>
      <c r="F42" s="47">
        <f>VLOOKUP(E42,Solieu!$J$4:$K$4000,2,FALSE)</f>
        <v>12.3388</v>
      </c>
      <c r="G42" s="41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8.75" customHeight="1">
      <c r="A43" s="42" t="str">
        <f t="shared" si="1"/>
        <v>175</v>
      </c>
      <c r="B43" s="43">
        <f t="shared" si="2"/>
        <v>118</v>
      </c>
      <c r="C43" s="44">
        <f t="array" ref="C43">MAX((Solieu!$A$4:$A$4000=A43)*Solieu!$E$4:$E$4000)</f>
        <v>8.5626</v>
      </c>
      <c r="D43" s="45">
        <f>VLOOKUP(C43,Solieu!$E$4:$L$4000,6,FALSE)</f>
        <v>0.33247</v>
      </c>
      <c r="E43" s="46">
        <f t="array" ref="E43">MAX((Solieu!$A$4:$A$4000=A43)*Solieu!$J$4:$J$4000)</f>
        <v>0.41609</v>
      </c>
      <c r="F43" s="47">
        <f>VLOOKUP(E43,Solieu!$J$4:$K$4000,2,FALSE)</f>
        <v>8.1666</v>
      </c>
      <c r="G43" s="41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8.75" customHeight="1">
      <c r="A44" s="42" t="str">
        <f t="shared" si="1"/>
        <v>176</v>
      </c>
      <c r="B44" s="43">
        <f t="shared" si="2"/>
        <v>121</v>
      </c>
      <c r="C44" s="44">
        <f t="array" ref="C44">MAX((Solieu!$A$4:$A$4000=A44)*Solieu!$E$4:$E$4000)</f>
        <v>18.0624</v>
      </c>
      <c r="D44" s="45">
        <f>VLOOKUP(C44,Solieu!$E$4:$L$4000,6,FALSE)</f>
        <v>0.04128</v>
      </c>
      <c r="E44" s="46">
        <f t="array" ref="E44">MAX((Solieu!$A$4:$A$4000=A44)*Solieu!$J$4:$J$4000)</f>
        <v>0.08252</v>
      </c>
      <c r="F44" s="47">
        <f>VLOOKUP(E44,Solieu!$J$4:$K$4000,2,FALSE)</f>
        <v>17.7654</v>
      </c>
      <c r="G44" s="41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8.75" customHeight="1">
      <c r="A45" s="42" t="str">
        <f t="shared" si="1"/>
        <v>177</v>
      </c>
      <c r="B45" s="43">
        <f t="shared" si="2"/>
        <v>124</v>
      </c>
      <c r="C45" s="44">
        <f t="array" ref="C45">MAX((Solieu!$A$4:$A$4000=A45)*Solieu!$E$4:$E$4000)</f>
        <v>12.6207</v>
      </c>
      <c r="D45" s="45">
        <f>VLOOKUP(C45,Solieu!$E$4:$L$4000,6,FALSE)</f>
        <v>0.09671</v>
      </c>
      <c r="E45" s="46">
        <f t="array" ref="E45">MAX((Solieu!$A$4:$A$4000=A45)*Solieu!$J$4:$J$4000)</f>
        <v>0.10215</v>
      </c>
      <c r="F45" s="47">
        <f>VLOOKUP(E45,Solieu!$J$4:$K$4000,2,FALSE)</f>
        <v>12.2247</v>
      </c>
      <c r="G45" s="41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8.75" customHeight="1">
      <c r="A46" s="42" t="str">
        <f t="shared" si="1"/>
        <v>178</v>
      </c>
      <c r="B46" s="43">
        <f t="shared" si="2"/>
        <v>127</v>
      </c>
      <c r="C46" s="44">
        <f t="array" ref="C46">MAX((Solieu!$A$4:$A$4000=A46)*Solieu!$E$4:$E$4000)</f>
        <v>6.9281</v>
      </c>
      <c r="D46" s="45">
        <f>VLOOKUP(C46,Solieu!$E$4:$L$4000,6,FALSE)</f>
        <v>0.03646</v>
      </c>
      <c r="E46" s="46">
        <f t="array" ref="E46">MAX((Solieu!$A$4:$A$4000=A46)*Solieu!$J$4:$J$4000)</f>
        <v>0.05942</v>
      </c>
      <c r="F46" s="47">
        <f>VLOOKUP(E46,Solieu!$J$4:$K$4000,2,FALSE)</f>
        <v>6.5321</v>
      </c>
      <c r="G46" s="41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8.75" customHeight="1">
      <c r="A47" s="42" t="str">
        <f t="shared" si="1"/>
        <v>179</v>
      </c>
      <c r="B47" s="43">
        <f t="shared" si="2"/>
        <v>130</v>
      </c>
      <c r="C47" s="44">
        <f t="array" ref="C47">MAX((Solieu!$A$4:$A$4000=A47)*Solieu!$E$4:$E$4000)</f>
        <v>13.3998</v>
      </c>
      <c r="D47" s="45">
        <f>VLOOKUP(C47,Solieu!$E$4:$L$4000,6,FALSE)</f>
        <v>0.01793</v>
      </c>
      <c r="E47" s="46">
        <f t="array" ref="E47">MAX((Solieu!$A$4:$A$4000=A47)*Solieu!$J$4:$J$4000)</f>
        <v>0.0368</v>
      </c>
      <c r="F47" s="47">
        <f>VLOOKUP(E47,Solieu!$J$4:$K$4000,2,FALSE)</f>
        <v>13.1028</v>
      </c>
      <c r="G47" s="41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8.75" customHeight="1">
      <c r="A48" s="42" t="str">
        <f t="shared" si="1"/>
        <v>180</v>
      </c>
      <c r="B48" s="43">
        <f t="shared" si="2"/>
        <v>133</v>
      </c>
      <c r="C48" s="44">
        <f t="array" ref="C48">MAX((Solieu!$A$4:$A$4000=A48)*Solieu!$E$4:$E$4000)</f>
        <v>8.484</v>
      </c>
      <c r="D48" s="45">
        <f>VLOOKUP(C48,Solieu!$E$4:$L$4000,6,FALSE)</f>
        <v>0.03318</v>
      </c>
      <c r="E48" s="46">
        <f t="array" ref="E48">MAX((Solieu!$A$4:$A$4000=A48)*Solieu!$J$4:$J$4000)</f>
        <v>0.03318</v>
      </c>
      <c r="F48" s="47">
        <f>VLOOKUP(E48,Solieu!$J$4:$K$4000,2,FALSE)</f>
        <v>8.484</v>
      </c>
      <c r="G48" s="41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8.75" customHeight="1">
      <c r="A49" s="42" t="str">
        <f t="shared" si="1"/>
        <v>181</v>
      </c>
      <c r="B49" s="43">
        <f t="shared" si="2"/>
        <v>136</v>
      </c>
      <c r="C49" s="44">
        <f t="array" ref="C49">MAX((Solieu!$A$4:$A$4000=A49)*Solieu!$E$4:$E$4000)</f>
        <v>3.1421</v>
      </c>
      <c r="D49" s="45">
        <f>VLOOKUP(C49,Solieu!$E$4:$L$4000,6,FALSE)</f>
        <v>0.09385</v>
      </c>
      <c r="E49" s="46">
        <f t="array" ref="E49">MAX((Solieu!$A$4:$A$4000=A49)*Solieu!$J$4:$J$4000)</f>
        <v>0.09982</v>
      </c>
      <c r="F49" s="47">
        <f>VLOOKUP(E49,Solieu!$J$4:$K$4000,2,FALSE)</f>
        <v>2.7461</v>
      </c>
      <c r="G49" s="41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8.75" customHeight="1">
      <c r="A50" s="42" t="str">
        <f t="shared" si="1"/>
        <v>182</v>
      </c>
      <c r="B50" s="43">
        <f t="shared" si="2"/>
        <v>139</v>
      </c>
      <c r="C50" s="44">
        <f t="array" ref="C50">MAX((Solieu!$A$4:$A$4000=A50)*Solieu!$E$4:$E$4000)</f>
        <v>12.6124</v>
      </c>
      <c r="D50" s="45">
        <f>VLOOKUP(C50,Solieu!$E$4:$L$4000,6,FALSE)</f>
        <v>0.01841</v>
      </c>
      <c r="E50" s="46">
        <f t="array" ref="E50">MAX((Solieu!$A$4:$A$4000=A50)*Solieu!$J$4:$J$4000)</f>
        <v>0.03741</v>
      </c>
      <c r="F50" s="47">
        <f>VLOOKUP(E50,Solieu!$J$4:$K$4000,2,FALSE)</f>
        <v>12.3154</v>
      </c>
      <c r="G50" s="41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8.75" customHeight="1">
      <c r="A51" s="42" t="str">
        <f t="shared" si="1"/>
        <v>183</v>
      </c>
      <c r="B51" s="43">
        <f t="shared" si="2"/>
        <v>142</v>
      </c>
      <c r="C51" s="44">
        <f t="array" ref="C51">MAX((Solieu!$A$4:$A$4000=A51)*Solieu!$E$4:$E$4000)</f>
        <v>8.8593</v>
      </c>
      <c r="D51" s="45">
        <f>VLOOKUP(C51,Solieu!$E$4:$L$4000,6,FALSE)</f>
        <v>0.04065</v>
      </c>
      <c r="E51" s="46">
        <f t="array" ref="E51">MAX((Solieu!$A$4:$A$4000=A51)*Solieu!$J$4:$J$4000)</f>
        <v>0.04065</v>
      </c>
      <c r="F51" s="47">
        <f>VLOOKUP(E51,Solieu!$J$4:$K$4000,2,FALSE)</f>
        <v>8.8593</v>
      </c>
      <c r="G51" s="41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8.75" customHeight="1">
      <c r="A52" s="42" t="str">
        <f t="shared" si="1"/>
        <v>184</v>
      </c>
      <c r="B52" s="43">
        <f t="shared" si="2"/>
        <v>145</v>
      </c>
      <c r="C52" s="44">
        <f t="array" ref="C52">MAX((Solieu!$A$4:$A$4000=A52)*Solieu!$E$4:$E$4000)</f>
        <v>3.5786</v>
      </c>
      <c r="D52" s="45">
        <f>VLOOKUP(C52,Solieu!$E$4:$L$4000,6,FALSE)</f>
        <v>0.00371</v>
      </c>
      <c r="E52" s="46">
        <f t="array" ref="E52">MAX((Solieu!$A$4:$A$4000=A52)*Solieu!$J$4:$J$4000)</f>
        <v>0.00764</v>
      </c>
      <c r="F52" s="47">
        <f>VLOOKUP(E52,Solieu!$J$4:$K$4000,2,FALSE)</f>
        <v>3.1826</v>
      </c>
      <c r="G52" s="41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8.75" customHeight="1">
      <c r="A53" s="42" t="str">
        <f t="shared" si="1"/>
        <v>185</v>
      </c>
      <c r="B53" s="43">
        <f t="shared" si="2"/>
        <v>148</v>
      </c>
      <c r="C53" s="44">
        <f t="array" ref="C53">MAX((Solieu!$A$4:$A$4000=A53)*Solieu!$E$4:$E$4000)</f>
        <v>12.6118</v>
      </c>
      <c r="D53" s="45">
        <f>VLOOKUP(C53,Solieu!$E$4:$L$4000,6,FALSE)</f>
        <v>0.01855</v>
      </c>
      <c r="E53" s="46">
        <f t="array" ref="E53">MAX((Solieu!$A$4:$A$4000=A53)*Solieu!$J$4:$J$4000)</f>
        <v>0.03762</v>
      </c>
      <c r="F53" s="47">
        <f>VLOOKUP(E53,Solieu!$J$4:$K$4000,2,FALSE)</f>
        <v>12.3148</v>
      </c>
      <c r="G53" s="41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8.75" customHeight="1">
      <c r="A54" s="42" t="str">
        <f t="shared" si="1"/>
        <v>186</v>
      </c>
      <c r="B54" s="43">
        <f t="shared" si="2"/>
        <v>151</v>
      </c>
      <c r="C54" s="44">
        <f t="array" ref="C54">MAX((Solieu!$A$4:$A$4000=A54)*Solieu!$E$4:$E$4000)</f>
        <v>8.8583</v>
      </c>
      <c r="D54" s="45">
        <f>VLOOKUP(C54,Solieu!$E$4:$L$4000,6,FALSE)</f>
        <v>0.03917</v>
      </c>
      <c r="E54" s="46">
        <f t="array" ref="E54">MAX((Solieu!$A$4:$A$4000=A54)*Solieu!$J$4:$J$4000)</f>
        <v>0.03917</v>
      </c>
      <c r="F54" s="47">
        <f>VLOOKUP(E54,Solieu!$J$4:$K$4000,2,FALSE)</f>
        <v>8.8583</v>
      </c>
      <c r="G54" s="41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8.75" customHeight="1">
      <c r="A55" s="42" t="str">
        <f t="shared" si="1"/>
        <v>187</v>
      </c>
      <c r="B55" s="43">
        <f t="shared" si="2"/>
        <v>154</v>
      </c>
      <c r="C55" s="44">
        <f t="array" ref="C55">MAX((Solieu!$A$4:$A$4000=A55)*Solieu!$E$4:$E$4000)</f>
        <v>3.5819</v>
      </c>
      <c r="D55" s="45">
        <f>VLOOKUP(C55,Solieu!$E$4:$L$4000,6,FALSE)</f>
        <v>0.04826</v>
      </c>
      <c r="E55" s="46">
        <f t="array" ref="E55">MAX((Solieu!$A$4:$A$4000=A55)*Solieu!$J$4:$J$4000)</f>
        <v>0.05338</v>
      </c>
      <c r="F55" s="47">
        <f>VLOOKUP(E55,Solieu!$J$4:$K$4000,2,FALSE)</f>
        <v>3.1859</v>
      </c>
      <c r="G55" s="41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8.75" customHeight="1">
      <c r="A56" s="42" t="str">
        <f t="shared" si="1"/>
        <v>188</v>
      </c>
      <c r="B56" s="43">
        <f t="shared" si="2"/>
        <v>157</v>
      </c>
      <c r="C56" s="44">
        <f t="array" ref="C56">MAX((Solieu!$A$4:$A$4000=A56)*Solieu!$E$4:$E$4000)</f>
        <v>13.3969</v>
      </c>
      <c r="D56" s="45">
        <f>VLOOKUP(C56,Solieu!$E$4:$L$4000,6,FALSE)</f>
        <v>0.01793</v>
      </c>
      <c r="E56" s="46">
        <f t="array" ref="E56">MAX((Solieu!$A$4:$A$4000=A56)*Solieu!$J$4:$J$4000)</f>
        <v>0.03689</v>
      </c>
      <c r="F56" s="47">
        <f>VLOOKUP(E56,Solieu!$J$4:$K$4000,2,FALSE)</f>
        <v>13.0999</v>
      </c>
      <c r="G56" s="41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8.75" customHeight="1">
      <c r="A57" s="42" t="str">
        <f t="shared" si="1"/>
        <v>189</v>
      </c>
      <c r="B57" s="43">
        <f t="shared" si="2"/>
        <v>160</v>
      </c>
      <c r="C57" s="44">
        <f t="array" ref="C57">MAX((Solieu!$A$4:$A$4000=A57)*Solieu!$E$4:$E$4000)</f>
        <v>8.4827</v>
      </c>
      <c r="D57" s="45">
        <f>VLOOKUP(C57,Solieu!$E$4:$L$4000,6,FALSE)</f>
        <v>0.0352</v>
      </c>
      <c r="E57" s="46">
        <f t="array" ref="E57">MAX((Solieu!$A$4:$A$4000=A57)*Solieu!$J$4:$J$4000)</f>
        <v>0.0352</v>
      </c>
      <c r="F57" s="47">
        <f>VLOOKUP(E57,Solieu!$J$4:$K$4000,2,FALSE)</f>
        <v>8.4827</v>
      </c>
      <c r="G57" s="41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8.75" customHeight="1">
      <c r="A58" s="42" t="str">
        <f t="shared" si="1"/>
        <v>190</v>
      </c>
      <c r="B58" s="43">
        <f t="shared" si="2"/>
        <v>163</v>
      </c>
      <c r="C58" s="44">
        <f t="array" ref="C58">MAX((Solieu!$A$4:$A$4000=A58)*Solieu!$E$4:$E$4000)</f>
        <v>3.1378</v>
      </c>
      <c r="D58" s="45">
        <f>VLOOKUP(C58,Solieu!$E$4:$L$4000,6,FALSE)</f>
        <v>0.0486</v>
      </c>
      <c r="E58" s="46">
        <f t="array" ref="E58">MAX((Solieu!$A$4:$A$4000=A58)*Solieu!$J$4:$J$4000)</f>
        <v>0.05273</v>
      </c>
      <c r="F58" s="47">
        <f>VLOOKUP(E58,Solieu!$J$4:$K$4000,2,FALSE)</f>
        <v>2.7418</v>
      </c>
      <c r="G58" s="41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8.75" customHeight="1">
      <c r="A59" s="42" t="str">
        <f t="shared" si="1"/>
        <v>191</v>
      </c>
      <c r="B59" s="43">
        <f t="shared" si="2"/>
        <v>166</v>
      </c>
      <c r="C59" s="44">
        <f t="array" ref="C59">MAX((Solieu!$A$4:$A$4000=A59)*Solieu!$E$4:$E$4000)</f>
        <v>17.9089</v>
      </c>
      <c r="D59" s="45">
        <f>VLOOKUP(C59,Solieu!$E$4:$L$4000,6,FALSE)</f>
        <v>0.04099</v>
      </c>
      <c r="E59" s="46">
        <f t="array" ref="E59">MAX((Solieu!$A$4:$A$4000=A59)*Solieu!$J$4:$J$4000)</f>
        <v>0.08185</v>
      </c>
      <c r="F59" s="47">
        <f>VLOOKUP(E59,Solieu!$J$4:$K$4000,2,FALSE)</f>
        <v>17.6119</v>
      </c>
      <c r="G59" s="41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8.75" customHeight="1">
      <c r="A60" s="42" t="str">
        <f t="shared" si="1"/>
        <v>192</v>
      </c>
      <c r="B60" s="43">
        <f t="shared" si="2"/>
        <v>169</v>
      </c>
      <c r="C60" s="44">
        <f t="array" ref="C60">MAX((Solieu!$A$4:$A$4000=A60)*Solieu!$E$4:$E$4000)</f>
        <v>12.4537</v>
      </c>
      <c r="D60" s="45">
        <f>VLOOKUP(C60,Solieu!$E$4:$L$4000,6,FALSE)</f>
        <v>0.09463</v>
      </c>
      <c r="E60" s="46">
        <f t="array" ref="E60">MAX((Solieu!$A$4:$A$4000=A60)*Solieu!$J$4:$J$4000)</f>
        <v>0.09914</v>
      </c>
      <c r="F60" s="47">
        <f>VLOOKUP(E60,Solieu!$J$4:$K$4000,2,FALSE)</f>
        <v>12.0577</v>
      </c>
      <c r="G60" s="41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8.75" customHeight="1">
      <c r="A61" s="42" t="str">
        <f t="shared" si="1"/>
        <v>193</v>
      </c>
      <c r="B61" s="43">
        <f t="shared" si="2"/>
        <v>172</v>
      </c>
      <c r="C61" s="44">
        <f t="array" ref="C61">MAX((Solieu!$A$4:$A$4000=A61)*Solieu!$E$4:$E$4000)</f>
        <v>6.7331</v>
      </c>
      <c r="D61" s="45">
        <f>VLOOKUP(C61,Solieu!$E$4:$L$4000,6,FALSE)</f>
        <v>0.07909</v>
      </c>
      <c r="E61" s="46">
        <f t="array" ref="E61">MAX((Solieu!$A$4:$A$4000=A61)*Solieu!$J$4:$J$4000)</f>
        <v>0.09888</v>
      </c>
      <c r="F61" s="47">
        <f>VLOOKUP(E61,Solieu!$J$4:$K$4000,2,FALSE)</f>
        <v>6.3371</v>
      </c>
      <c r="G61" s="41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8.75" customHeight="1">
      <c r="A62" s="42" t="str">
        <f t="shared" si="1"/>
        <v>194</v>
      </c>
      <c r="B62" s="43">
        <f t="shared" si="2"/>
        <v>175</v>
      </c>
      <c r="C62" s="44">
        <f t="array" ref="C62">MAX((Solieu!$A$4:$A$4000=A62)*Solieu!$E$4:$E$4000)</f>
        <v>15.3773</v>
      </c>
      <c r="D62" s="45">
        <f>VLOOKUP(C62,Solieu!$E$4:$L$4000,6,FALSE)</f>
        <v>0.0673</v>
      </c>
      <c r="E62" s="46">
        <f t="array" ref="E62">MAX((Solieu!$A$4:$A$4000=A62)*Solieu!$J$4:$J$4000)</f>
        <v>0.13763</v>
      </c>
      <c r="F62" s="47">
        <f>VLOOKUP(E62,Solieu!$J$4:$K$4000,2,FALSE)</f>
        <v>15.0803</v>
      </c>
      <c r="G62" s="41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8.75" customHeight="1">
      <c r="A63" s="42" t="str">
        <f t="shared" si="1"/>
        <v>195</v>
      </c>
      <c r="B63" s="43">
        <f t="shared" si="2"/>
        <v>178</v>
      </c>
      <c r="C63" s="44">
        <f t="array" ref="C63">MAX((Solieu!$A$4:$A$4000=A63)*Solieu!$E$4:$E$4000)</f>
        <v>11.6553</v>
      </c>
      <c r="D63" s="45">
        <f>VLOOKUP(C63,Solieu!$E$4:$L$4000,6,FALSE)</f>
        <v>0.14912</v>
      </c>
      <c r="E63" s="46">
        <f t="array" ref="E63">MAX((Solieu!$A$4:$A$4000=A63)*Solieu!$J$4:$J$4000)</f>
        <v>0.14912</v>
      </c>
      <c r="F63" s="47">
        <f>VLOOKUP(E63,Solieu!$J$4:$K$4000,2,FALSE)</f>
        <v>11.6553</v>
      </c>
      <c r="G63" s="41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8.75" customHeight="1">
      <c r="A64" s="42" t="str">
        <f t="shared" si="1"/>
        <v>196</v>
      </c>
      <c r="B64" s="43">
        <f t="shared" si="2"/>
        <v>181</v>
      </c>
      <c r="C64" s="44">
        <f t="array" ref="C64">MAX((Solieu!$A$4:$A$4000=A64)*Solieu!$E$4:$E$4000)</f>
        <v>7.7639</v>
      </c>
      <c r="D64" s="45">
        <f>VLOOKUP(C64,Solieu!$E$4:$L$4000,6,FALSE)</f>
        <v>0.26956</v>
      </c>
      <c r="E64" s="46">
        <f t="array" ref="E64">MAX((Solieu!$A$4:$A$4000=A64)*Solieu!$J$4:$J$4000)</f>
        <v>0.32561</v>
      </c>
      <c r="F64" s="47">
        <f>VLOOKUP(E64,Solieu!$J$4:$K$4000,2,FALSE)</f>
        <v>7.3679</v>
      </c>
      <c r="G64" s="41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8.75" customHeight="1">
      <c r="A65" s="42" t="str">
        <f t="shared" si="1"/>
        <v>197</v>
      </c>
      <c r="B65" s="43">
        <f t="shared" si="2"/>
        <v>184</v>
      </c>
      <c r="C65" s="44">
        <f t="array" ref="C65">MAX((Solieu!$A$4:$A$4000=A65)*Solieu!$E$4:$E$4000)</f>
        <v>15.5252</v>
      </c>
      <c r="D65" s="45">
        <f>VLOOKUP(C65,Solieu!$E$4:$L$4000,6,FALSE)</f>
        <v>0.06943</v>
      </c>
      <c r="E65" s="46">
        <f t="array" ref="E65">MAX((Solieu!$A$4:$A$4000=A65)*Solieu!$J$4:$J$4000)</f>
        <v>0.13816</v>
      </c>
      <c r="F65" s="47">
        <f>VLOOKUP(E65,Solieu!$J$4:$K$4000,2,FALSE)</f>
        <v>15.2282</v>
      </c>
      <c r="G65" s="41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8.75" customHeight="1">
      <c r="A66" s="42" t="str">
        <f t="shared" si="1"/>
        <v>198</v>
      </c>
      <c r="B66" s="43">
        <f t="shared" si="2"/>
        <v>187</v>
      </c>
      <c r="C66" s="44">
        <f t="array" ref="C66">MAX((Solieu!$A$4:$A$4000=A66)*Solieu!$E$4:$E$4000)</f>
        <v>11.4052</v>
      </c>
      <c r="D66" s="45">
        <f>VLOOKUP(C66,Solieu!$E$4:$L$4000,6,FALSE)</f>
        <v>0.1406</v>
      </c>
      <c r="E66" s="46">
        <f t="array" ref="E66">MAX((Solieu!$A$4:$A$4000=A66)*Solieu!$J$4:$J$4000)</f>
        <v>0.1406</v>
      </c>
      <c r="F66" s="47">
        <f>VLOOKUP(E66,Solieu!$J$4:$K$4000,2,FALSE)</f>
        <v>11.4052</v>
      </c>
      <c r="G66" s="41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8.75" customHeight="1">
      <c r="A67" s="42" t="str">
        <f t="shared" si="1"/>
        <v>199</v>
      </c>
      <c r="B67" s="43">
        <f t="shared" si="2"/>
        <v>190</v>
      </c>
      <c r="C67" s="44">
        <f t="array" ref="C67">MAX((Solieu!$A$4:$A$4000=A67)*Solieu!$E$4:$E$4000)</f>
        <v>7.0134</v>
      </c>
      <c r="D67" s="45">
        <f>VLOOKUP(C67,Solieu!$E$4:$L$4000,6,FALSE)</f>
        <v>0.27572</v>
      </c>
      <c r="E67" s="46">
        <f t="array" ref="E67">MAX((Solieu!$A$4:$A$4000=A67)*Solieu!$J$4:$J$4000)</f>
        <v>0.33733</v>
      </c>
      <c r="F67" s="47">
        <f>VLOOKUP(E67,Solieu!$J$4:$K$4000,2,FALSE)</f>
        <v>6.6174</v>
      </c>
      <c r="G67" s="41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8.75" customHeight="1">
      <c r="A68" s="42" t="str">
        <f t="shared" si="1"/>
        <v>200</v>
      </c>
      <c r="B68" s="43">
        <f t="shared" si="2"/>
        <v>193</v>
      </c>
      <c r="C68" s="44">
        <f t="array" ref="C68">MAX((Solieu!$A$4:$A$4000=A68)*Solieu!$E$4:$E$4000)</f>
        <v>17.5754</v>
      </c>
      <c r="D68" s="45">
        <f>VLOOKUP(C68,Solieu!$E$4:$L$4000,6,FALSE)</f>
        <v>0.03651</v>
      </c>
      <c r="E68" s="46">
        <f t="array" ref="E68">MAX((Solieu!$A$4:$A$4000=A68)*Solieu!$J$4:$J$4000)</f>
        <v>0.07615</v>
      </c>
      <c r="F68" s="47">
        <f>VLOOKUP(E68,Solieu!$J$4:$K$4000,2,FALSE)</f>
        <v>17.2784</v>
      </c>
      <c r="G68" s="41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8.75" customHeight="1">
      <c r="A69" s="42" t="str">
        <f t="shared" si="1"/>
        <v>201</v>
      </c>
      <c r="B69" s="43">
        <f t="shared" si="2"/>
        <v>196</v>
      </c>
      <c r="C69" s="44">
        <f t="array" ref="C69">MAX((Solieu!$A$4:$A$4000=A69)*Solieu!$E$4:$E$4000)</f>
        <v>11.9753</v>
      </c>
      <c r="D69" s="45">
        <f>VLOOKUP(C69,Solieu!$E$4:$L$4000,6,FALSE)</f>
        <v>0.0939</v>
      </c>
      <c r="E69" s="46">
        <f t="array" ref="E69">MAX((Solieu!$A$4:$A$4000=A69)*Solieu!$J$4:$J$4000)</f>
        <v>0.09828</v>
      </c>
      <c r="F69" s="47">
        <f>VLOOKUP(E69,Solieu!$J$4:$K$4000,2,FALSE)</f>
        <v>11.5793</v>
      </c>
      <c r="G69" s="41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8.75" customHeight="1">
      <c r="A70" s="42" t="str">
        <f t="shared" si="1"/>
        <v>202</v>
      </c>
      <c r="B70" s="43">
        <f t="shared" si="2"/>
        <v>199</v>
      </c>
      <c r="C70" s="44">
        <f t="array" ref="C70">MAX((Solieu!$A$4:$A$4000=A70)*Solieu!$E$4:$E$4000)</f>
        <v>6.4629</v>
      </c>
      <c r="D70" s="45">
        <f>VLOOKUP(C70,Solieu!$E$4:$L$4000,6,FALSE)</f>
        <v>0.05593</v>
      </c>
      <c r="E70" s="46">
        <f t="array" ref="E70">MAX((Solieu!$A$4:$A$4000=A70)*Solieu!$J$4:$J$4000)</f>
        <v>0.07559</v>
      </c>
      <c r="F70" s="47">
        <f>VLOOKUP(E70,Solieu!$J$4:$K$4000,2,FALSE)</f>
        <v>6.0669</v>
      </c>
      <c r="G70" s="41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8.75" customHeight="1">
      <c r="A71" s="42" t="str">
        <f t="shared" si="1"/>
        <v>203</v>
      </c>
      <c r="B71" s="43">
        <f t="shared" si="2"/>
        <v>202</v>
      </c>
      <c r="C71" s="44">
        <f t="array" ref="C71">MAX((Solieu!$A$4:$A$4000=A71)*Solieu!$E$4:$E$4000)</f>
        <v>13.7317</v>
      </c>
      <c r="D71" s="45">
        <f>VLOOKUP(C71,Solieu!$E$4:$L$4000,6,FALSE)</f>
        <v>0.02259</v>
      </c>
      <c r="E71" s="46">
        <f t="array" ref="E71">MAX((Solieu!$A$4:$A$4000=A71)*Solieu!$J$4:$J$4000)</f>
        <v>0.04369</v>
      </c>
      <c r="F71" s="47">
        <f>VLOOKUP(E71,Solieu!$J$4:$K$4000,2,FALSE)</f>
        <v>13.4347</v>
      </c>
      <c r="G71" s="41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8.75" customHeight="1">
      <c r="A72" s="42" t="str">
        <f t="shared" si="1"/>
        <v>204</v>
      </c>
      <c r="B72" s="43">
        <f t="shared" si="2"/>
        <v>205</v>
      </c>
      <c r="C72" s="44">
        <f t="array" ref="C72">MAX((Solieu!$A$4:$A$4000=A72)*Solieu!$E$4:$E$4000)</f>
        <v>8.3813</v>
      </c>
      <c r="D72" s="45">
        <f>VLOOKUP(C72,Solieu!$E$4:$L$4000,6,FALSE)</f>
        <v>0.0385</v>
      </c>
      <c r="E72" s="46">
        <f t="array" ref="E72">MAX((Solieu!$A$4:$A$4000=A72)*Solieu!$J$4:$J$4000)</f>
        <v>0.0385</v>
      </c>
      <c r="F72" s="47">
        <f>VLOOKUP(E72,Solieu!$J$4:$K$4000,2,FALSE)</f>
        <v>8.3813</v>
      </c>
      <c r="G72" s="41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8.75" customHeight="1">
      <c r="A73" s="42" t="str">
        <f t="shared" si="1"/>
        <v>205</v>
      </c>
      <c r="B73" s="43">
        <f t="shared" si="2"/>
        <v>208</v>
      </c>
      <c r="C73" s="44">
        <f t="array" ref="C73">MAX((Solieu!$A$4:$A$4000=A73)*Solieu!$E$4:$E$4000)</f>
        <v>3.0368</v>
      </c>
      <c r="D73" s="45">
        <f>VLOOKUP(C73,Solieu!$E$4:$L$4000,6,FALSE)</f>
        <v>0.07991</v>
      </c>
      <c r="E73" s="46">
        <f t="array" ref="E73">MAX((Solieu!$A$4:$A$4000=A73)*Solieu!$J$4:$J$4000)</f>
        <v>0.08622</v>
      </c>
      <c r="F73" s="47">
        <f>VLOOKUP(E73,Solieu!$J$4:$K$4000,2,FALSE)</f>
        <v>2.6408</v>
      </c>
      <c r="G73" s="41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8.75" customHeight="1">
      <c r="A74" s="42" t="str">
        <f t="shared" si="1"/>
        <v>206</v>
      </c>
      <c r="B74" s="43">
        <f t="shared" si="2"/>
        <v>211</v>
      </c>
      <c r="C74" s="44">
        <f t="array" ref="C74">MAX((Solieu!$A$4:$A$4000=A74)*Solieu!$E$4:$E$4000)</f>
        <v>15.3661</v>
      </c>
      <c r="D74" s="45">
        <f>VLOOKUP(C74,Solieu!$E$4:$L$4000,6,FALSE)</f>
        <v>0.01655</v>
      </c>
      <c r="E74" s="46">
        <f t="array" ref="E74">MAX((Solieu!$A$4:$A$4000=A74)*Solieu!$J$4:$J$4000)</f>
        <v>0.03421</v>
      </c>
      <c r="F74" s="47">
        <f>VLOOKUP(E74,Solieu!$J$4:$K$4000,2,FALSE)</f>
        <v>15.0691</v>
      </c>
      <c r="G74" s="41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8.75" customHeight="1">
      <c r="A75" s="42" t="str">
        <f t="shared" si="1"/>
        <v>207</v>
      </c>
      <c r="B75" s="43">
        <f t="shared" si="2"/>
        <v>214</v>
      </c>
      <c r="C75" s="44">
        <f t="array" ref="C75">MAX((Solieu!$A$4:$A$4000=A75)*Solieu!$E$4:$E$4000)</f>
        <v>8.9845</v>
      </c>
      <c r="D75" s="45">
        <f>VLOOKUP(C75,Solieu!$E$4:$L$4000,6,FALSE)</f>
        <v>0.03779</v>
      </c>
      <c r="E75" s="46">
        <f t="array" ref="E75">MAX((Solieu!$A$4:$A$4000=A75)*Solieu!$J$4:$J$4000)</f>
        <v>0.03779</v>
      </c>
      <c r="F75" s="47">
        <f>VLOOKUP(E75,Solieu!$J$4:$K$4000,2,FALSE)</f>
        <v>8.9845</v>
      </c>
      <c r="G75" s="41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8.75" customHeight="1">
      <c r="A76" s="42" t="str">
        <f t="shared" si="1"/>
        <v>208</v>
      </c>
      <c r="B76" s="43">
        <f t="shared" si="2"/>
        <v>217</v>
      </c>
      <c r="C76" s="44">
        <f t="array" ref="C76">MAX((Solieu!$A$4:$A$4000=A76)*Solieu!$E$4:$E$4000)</f>
        <v>3.1205</v>
      </c>
      <c r="D76" s="45">
        <f>VLOOKUP(C76,Solieu!$E$4:$L$4000,6,FALSE)</f>
        <v>0.01706</v>
      </c>
      <c r="E76" s="46">
        <f t="array" ref="E76">MAX((Solieu!$A$4:$A$4000=A76)*Solieu!$J$4:$J$4000)</f>
        <v>0.02153</v>
      </c>
      <c r="F76" s="47">
        <f>VLOOKUP(E76,Solieu!$J$4:$K$4000,2,FALSE)</f>
        <v>2.7245</v>
      </c>
      <c r="G76" s="41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8.75" customHeight="1">
      <c r="A77" s="42" t="str">
        <f t="shared" si="1"/>
        <v>209</v>
      </c>
      <c r="B77" s="43">
        <f t="shared" si="2"/>
        <v>220</v>
      </c>
      <c r="C77" s="44">
        <f t="array" ref="C77">MAX((Solieu!$A$4:$A$4000=A77)*Solieu!$E$4:$E$4000)</f>
        <v>15.3725</v>
      </c>
      <c r="D77" s="45">
        <f>VLOOKUP(C77,Solieu!$E$4:$L$4000,6,FALSE)</f>
        <v>0.0168</v>
      </c>
      <c r="E77" s="46">
        <f t="array" ref="E77">MAX((Solieu!$A$4:$A$4000=A77)*Solieu!$J$4:$J$4000)</f>
        <v>0.03451</v>
      </c>
      <c r="F77" s="47">
        <f>VLOOKUP(E77,Solieu!$J$4:$K$4000,2,FALSE)</f>
        <v>15.0755</v>
      </c>
      <c r="G77" s="41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8.75" customHeight="1">
      <c r="A78" s="42" t="str">
        <f t="shared" si="1"/>
        <v>210</v>
      </c>
      <c r="B78" s="43">
        <f t="shared" si="2"/>
        <v>223</v>
      </c>
      <c r="C78" s="44">
        <f t="array" ref="C78">MAX((Solieu!$A$4:$A$4000=A78)*Solieu!$E$4:$E$4000)</f>
        <v>8.9903</v>
      </c>
      <c r="D78" s="45">
        <f>VLOOKUP(C78,Solieu!$E$4:$L$4000,6,FALSE)</f>
        <v>0.03743</v>
      </c>
      <c r="E78" s="46">
        <f t="array" ref="E78">MAX((Solieu!$A$4:$A$4000=A78)*Solieu!$J$4:$J$4000)</f>
        <v>0.03743</v>
      </c>
      <c r="F78" s="47">
        <f>VLOOKUP(E78,Solieu!$J$4:$K$4000,2,FALSE)</f>
        <v>8.9903</v>
      </c>
      <c r="G78" s="41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8.75" customHeight="1">
      <c r="A79" s="42" t="str">
        <f t="shared" si="1"/>
        <v>211</v>
      </c>
      <c r="B79" s="43">
        <f t="shared" si="2"/>
        <v>226</v>
      </c>
      <c r="C79" s="44">
        <f t="array" ref="C79">MAX((Solieu!$A$4:$A$4000=A79)*Solieu!$E$4:$E$4000)</f>
        <v>3.1275</v>
      </c>
      <c r="D79" s="45">
        <f>VLOOKUP(C79,Solieu!$E$4:$L$4000,6,FALSE)</f>
        <v>0.03826</v>
      </c>
      <c r="E79" s="46">
        <f t="array" ref="E79">MAX((Solieu!$A$4:$A$4000=A79)*Solieu!$J$4:$J$4000)</f>
        <v>0.04407</v>
      </c>
      <c r="F79" s="47">
        <f>VLOOKUP(E79,Solieu!$J$4:$K$4000,2,FALSE)</f>
        <v>2.7315</v>
      </c>
      <c r="G79" s="41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8.75" customHeight="1">
      <c r="A80" s="42" t="str">
        <f t="shared" si="1"/>
        <v>212</v>
      </c>
      <c r="B80" s="43">
        <f t="shared" si="2"/>
        <v>229</v>
      </c>
      <c r="C80" s="44">
        <f t="array" ref="C80">MAX((Solieu!$A$4:$A$4000=A80)*Solieu!$E$4:$E$4000)</f>
        <v>13.7305</v>
      </c>
      <c r="D80" s="45">
        <f>VLOOKUP(C80,Solieu!$E$4:$L$4000,6,FALSE)</f>
        <v>0.02259</v>
      </c>
      <c r="E80" s="46">
        <f t="array" ref="E80">MAX((Solieu!$A$4:$A$4000=A80)*Solieu!$J$4:$J$4000)</f>
        <v>0.04391</v>
      </c>
      <c r="F80" s="47">
        <f>VLOOKUP(E80,Solieu!$J$4:$K$4000,2,FALSE)</f>
        <v>13.4335</v>
      </c>
      <c r="G80" s="41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8.75" customHeight="1">
      <c r="A81" s="42" t="str">
        <f t="shared" si="1"/>
        <v>213</v>
      </c>
      <c r="B81" s="43">
        <f t="shared" si="2"/>
        <v>232</v>
      </c>
      <c r="C81" s="44">
        <f t="array" ref="C81">MAX((Solieu!$A$4:$A$4000=A81)*Solieu!$E$4:$E$4000)</f>
        <v>8.382</v>
      </c>
      <c r="D81" s="45">
        <f>VLOOKUP(C81,Solieu!$E$4:$L$4000,6,FALSE)</f>
        <v>0.03983</v>
      </c>
      <c r="E81" s="46">
        <f t="array" ref="E81">MAX((Solieu!$A$4:$A$4000=A81)*Solieu!$J$4:$J$4000)</f>
        <v>0.03983</v>
      </c>
      <c r="F81" s="47">
        <f>VLOOKUP(E81,Solieu!$J$4:$K$4000,2,FALSE)</f>
        <v>8.382</v>
      </c>
      <c r="G81" s="41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8.75" customHeight="1">
      <c r="A82" s="42" t="str">
        <f t="shared" si="1"/>
        <v>214</v>
      </c>
      <c r="B82" s="43">
        <f t="shared" si="2"/>
        <v>235</v>
      </c>
      <c r="C82" s="44">
        <f t="array" ref="C82">MAX((Solieu!$A$4:$A$4000=A82)*Solieu!$E$4:$E$4000)</f>
        <v>3.039</v>
      </c>
      <c r="D82" s="45">
        <f>VLOOKUP(C82,Solieu!$E$4:$L$4000,6,FALSE)</f>
        <v>0.06005</v>
      </c>
      <c r="E82" s="46">
        <f t="array" ref="E82">MAX((Solieu!$A$4:$A$4000=A82)*Solieu!$J$4:$J$4000)</f>
        <v>0.06446</v>
      </c>
      <c r="F82" s="47">
        <f>VLOOKUP(E82,Solieu!$J$4:$K$4000,2,FALSE)</f>
        <v>2.643</v>
      </c>
      <c r="G82" s="41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8.75" customHeight="1">
      <c r="A83" s="42" t="str">
        <f t="shared" si="1"/>
        <v>215</v>
      </c>
      <c r="B83" s="43">
        <f t="shared" si="2"/>
        <v>238</v>
      </c>
      <c r="C83" s="44">
        <f t="array" ref="C83">MAX((Solieu!$A$4:$A$4000=A83)*Solieu!$E$4:$E$4000)</f>
        <v>17.4091</v>
      </c>
      <c r="D83" s="45">
        <f>VLOOKUP(C83,Solieu!$E$4:$L$4000,6,FALSE)</f>
        <v>0.03644</v>
      </c>
      <c r="E83" s="46">
        <f t="array" ref="E83">MAX((Solieu!$A$4:$A$4000=A83)*Solieu!$J$4:$J$4000)</f>
        <v>0.0758</v>
      </c>
      <c r="F83" s="47">
        <f>VLOOKUP(E83,Solieu!$J$4:$K$4000,2,FALSE)</f>
        <v>17.1121</v>
      </c>
      <c r="G83" s="41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8.75" customHeight="1">
      <c r="A84" s="42" t="str">
        <f t="shared" si="1"/>
        <v>216</v>
      </c>
      <c r="B84" s="43">
        <f t="shared" si="2"/>
        <v>241</v>
      </c>
      <c r="C84" s="44">
        <f t="array" ref="C84">MAX((Solieu!$A$4:$A$4000=A84)*Solieu!$E$4:$E$4000)</f>
        <v>11.8158</v>
      </c>
      <c r="D84" s="45">
        <f>VLOOKUP(C84,Solieu!$E$4:$L$4000,6,FALSE)</f>
        <v>0.09317</v>
      </c>
      <c r="E84" s="46">
        <f t="array" ref="E84">MAX((Solieu!$A$4:$A$4000=A84)*Solieu!$J$4:$J$4000)</f>
        <v>0.09733</v>
      </c>
      <c r="F84" s="47">
        <f>VLOOKUP(E84,Solieu!$J$4:$K$4000,2,FALSE)</f>
        <v>11.4198</v>
      </c>
      <c r="G84" s="41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8.75" customHeight="1">
      <c r="A85" s="42" t="str">
        <f t="shared" si="1"/>
        <v>217</v>
      </c>
      <c r="B85" s="43">
        <f t="shared" si="2"/>
        <v>244</v>
      </c>
      <c r="C85" s="44">
        <f t="array" ref="C85">MAX((Solieu!$A$4:$A$4000=A85)*Solieu!$E$4:$E$4000)</f>
        <v>6.3159</v>
      </c>
      <c r="D85" s="45">
        <f>VLOOKUP(C85,Solieu!$E$4:$L$4000,6,FALSE)</f>
        <v>0.07349</v>
      </c>
      <c r="E85" s="46">
        <f t="array" ref="E85">MAX((Solieu!$A$4:$A$4000=A85)*Solieu!$J$4:$J$4000)</f>
        <v>0.09078</v>
      </c>
      <c r="F85" s="47">
        <f>VLOOKUP(E85,Solieu!$J$4:$K$4000,2,FALSE)</f>
        <v>5.9199</v>
      </c>
      <c r="G85" s="41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8.75" customHeight="1">
      <c r="A86" s="42" t="str">
        <f t="shared" si="1"/>
        <v>218</v>
      </c>
      <c r="B86" s="43">
        <f t="shared" si="2"/>
        <v>247</v>
      </c>
      <c r="C86" s="44">
        <f t="array" ref="C86">MAX((Solieu!$A$4:$A$4000=A86)*Solieu!$E$4:$E$4000)</f>
        <v>15.4306</v>
      </c>
      <c r="D86" s="45">
        <f>VLOOKUP(C86,Solieu!$E$4:$L$4000,6,FALSE)</f>
        <v>0.06879</v>
      </c>
      <c r="E86" s="46">
        <f t="array" ref="E86">MAX((Solieu!$A$4:$A$4000=A86)*Solieu!$J$4:$J$4000)</f>
        <v>0.13706</v>
      </c>
      <c r="F86" s="47">
        <f>VLOOKUP(E86,Solieu!$J$4:$K$4000,2,FALSE)</f>
        <v>15.1336</v>
      </c>
      <c r="G86" s="41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8.75" customHeight="1">
      <c r="A87" s="42" t="str">
        <f t="shared" si="1"/>
        <v>219</v>
      </c>
      <c r="B87" s="43">
        <f t="shared" si="2"/>
        <v>250</v>
      </c>
      <c r="C87" s="44">
        <f t="array" ref="C87">MAX((Solieu!$A$4:$A$4000=A87)*Solieu!$E$4:$E$4000)</f>
        <v>11.3373</v>
      </c>
      <c r="D87" s="45">
        <f>VLOOKUP(C87,Solieu!$E$4:$L$4000,6,FALSE)</f>
        <v>0.14278</v>
      </c>
      <c r="E87" s="46">
        <f t="array" ref="E87">MAX((Solieu!$A$4:$A$4000=A87)*Solieu!$J$4:$J$4000)</f>
        <v>0.14278</v>
      </c>
      <c r="F87" s="47">
        <f>VLOOKUP(E87,Solieu!$J$4:$K$4000,2,FALSE)</f>
        <v>11.3373</v>
      </c>
      <c r="G87" s="41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8.75" customHeight="1">
      <c r="A88" s="42" t="str">
        <f t="shared" si="1"/>
        <v>220</v>
      </c>
      <c r="B88" s="43">
        <f t="shared" si="2"/>
        <v>253</v>
      </c>
      <c r="C88" s="44">
        <f t="array" ref="C88">MAX((Solieu!$A$4:$A$4000=A88)*Solieu!$E$4:$E$4000)</f>
        <v>7.0425</v>
      </c>
      <c r="D88" s="45">
        <f>VLOOKUP(C88,Solieu!$E$4:$L$4000,6,FALSE)</f>
        <v>0.24038</v>
      </c>
      <c r="E88" s="46">
        <f t="array" ref="E88">MAX((Solieu!$A$4:$A$4000=A88)*Solieu!$J$4:$J$4000)</f>
        <v>0.27786</v>
      </c>
      <c r="F88" s="47">
        <f>VLOOKUP(E88,Solieu!$J$4:$K$4000,2,FALSE)</f>
        <v>6.6465</v>
      </c>
      <c r="G88" s="41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8.75" customHeight="1">
      <c r="A89" s="42" t="str">
        <f t="shared" si="1"/>
        <v>221</v>
      </c>
      <c r="B89" s="43">
        <f t="shared" si="2"/>
        <v>256</v>
      </c>
      <c r="C89" s="44">
        <f t="array" ref="C89">MAX((Solieu!$A$4:$A$4000=A89)*Solieu!$E$4:$E$4000)</f>
        <v>24.8386</v>
      </c>
      <c r="D89" s="45">
        <f>VLOOKUP(C89,Solieu!$E$4:$L$4000,6,FALSE)</f>
        <v>0.0725</v>
      </c>
      <c r="E89" s="46">
        <f t="array" ref="E89">MAX((Solieu!$A$4:$A$4000=A89)*Solieu!$J$4:$J$4000)</f>
        <v>0.13642</v>
      </c>
      <c r="F89" s="47">
        <f>VLOOKUP(E89,Solieu!$J$4:$K$4000,2,FALSE)</f>
        <v>24.5416</v>
      </c>
      <c r="G89" s="41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8.75" customHeight="1">
      <c r="A90" s="42" t="str">
        <f t="shared" si="1"/>
        <v>222</v>
      </c>
      <c r="B90" s="43">
        <f t="shared" si="2"/>
        <v>259</v>
      </c>
      <c r="C90" s="44">
        <f t="array" ref="C90">MAX((Solieu!$A$4:$A$4000=A90)*Solieu!$E$4:$E$4000)</f>
        <v>21.9747</v>
      </c>
      <c r="D90" s="45">
        <f>VLOOKUP(C90,Solieu!$E$4:$L$4000,6,FALSE)</f>
        <v>0.13357</v>
      </c>
      <c r="E90" s="46">
        <f t="array" ref="E90">MAX((Solieu!$A$4:$A$4000=A90)*Solieu!$J$4:$J$4000)</f>
        <v>0.13357</v>
      </c>
      <c r="F90" s="47">
        <f>VLOOKUP(E90,Solieu!$J$4:$K$4000,2,FALSE)</f>
        <v>21.9747</v>
      </c>
      <c r="G90" s="41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8.75" customHeight="1">
      <c r="A91" s="42" t="str">
        <f t="shared" si="1"/>
        <v>223</v>
      </c>
      <c r="B91" s="43">
        <f t="shared" si="2"/>
        <v>262</v>
      </c>
      <c r="C91" s="44">
        <f t="array" ref="C91">MAX((Solieu!$A$4:$A$4000=A91)*Solieu!$E$4:$E$4000)</f>
        <v>19.1697</v>
      </c>
      <c r="D91" s="45">
        <f>VLOOKUP(C91,Solieu!$E$4:$L$4000,6,FALSE)</f>
        <v>0.08878</v>
      </c>
      <c r="E91" s="46">
        <f t="array" ref="E91">MAX((Solieu!$A$4:$A$4000=A91)*Solieu!$J$4:$J$4000)</f>
        <v>0.08878</v>
      </c>
      <c r="F91" s="47">
        <f>VLOOKUP(E91,Solieu!$J$4:$K$4000,2,FALSE)</f>
        <v>19.1697</v>
      </c>
      <c r="G91" s="41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8.75" customHeight="1">
      <c r="A92" s="42" t="str">
        <f t="shared" si="1"/>
        <v>224</v>
      </c>
      <c r="B92" s="43">
        <f t="shared" si="2"/>
        <v>265</v>
      </c>
      <c r="C92" s="44">
        <f t="array" ref="C92">MAX((Solieu!$A$4:$A$4000=A92)*Solieu!$E$4:$E$4000)</f>
        <v>17.6682</v>
      </c>
      <c r="D92" s="45">
        <f>VLOOKUP(C92,Solieu!$E$4:$L$4000,6,FALSE)</f>
        <v>0.03689</v>
      </c>
      <c r="E92" s="46">
        <f t="array" ref="E92">MAX((Solieu!$A$4:$A$4000=A92)*Solieu!$J$4:$J$4000)</f>
        <v>0.08403</v>
      </c>
      <c r="F92" s="47">
        <f>VLOOKUP(E92,Solieu!$J$4:$K$4000,2,FALSE)</f>
        <v>17.3712</v>
      </c>
      <c r="G92" s="41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8.75" customHeight="1">
      <c r="A93" s="42" t="str">
        <f t="shared" si="1"/>
        <v>225</v>
      </c>
      <c r="B93" s="43">
        <f t="shared" si="2"/>
        <v>268</v>
      </c>
      <c r="C93" s="44">
        <f t="array" ref="C93">MAX((Solieu!$A$4:$A$4000=A93)*Solieu!$E$4:$E$4000)</f>
        <v>13.5422</v>
      </c>
      <c r="D93" s="45">
        <f>VLOOKUP(C93,Solieu!$E$4:$L$4000,6,FALSE)</f>
        <v>0.11898</v>
      </c>
      <c r="E93" s="46">
        <f t="array" ref="E93">MAX((Solieu!$A$4:$A$4000=A93)*Solieu!$J$4:$J$4000)</f>
        <v>0.12781</v>
      </c>
      <c r="F93" s="47">
        <f>VLOOKUP(E93,Solieu!$J$4:$K$4000,2,FALSE)</f>
        <v>13.1462</v>
      </c>
      <c r="G93" s="41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8.75" customHeight="1">
      <c r="A94" s="42" t="str">
        <f t="shared" si="1"/>
        <v>226</v>
      </c>
      <c r="B94" s="43">
        <f t="shared" si="2"/>
        <v>271</v>
      </c>
      <c r="C94" s="44">
        <f t="array" ref="C94">MAX((Solieu!$A$4:$A$4000=A94)*Solieu!$E$4:$E$4000)</f>
        <v>9.4684</v>
      </c>
      <c r="D94" s="45">
        <f>VLOOKUP(C94,Solieu!$E$4:$L$4000,6,FALSE)</f>
        <v>0.19716</v>
      </c>
      <c r="E94" s="46">
        <f t="array" ref="E94">MAX((Solieu!$A$4:$A$4000=A94)*Solieu!$J$4:$J$4000)</f>
        <v>0.21802</v>
      </c>
      <c r="F94" s="47">
        <f>VLOOKUP(E94,Solieu!$J$4:$K$4000,2,FALSE)</f>
        <v>9.0724</v>
      </c>
      <c r="G94" s="41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8.75" customHeight="1">
      <c r="A95" s="42" t="str">
        <f t="shared" si="1"/>
        <v>227</v>
      </c>
      <c r="B95" s="43">
        <f t="shared" si="2"/>
        <v>274</v>
      </c>
      <c r="C95" s="44">
        <f t="array" ref="C95">MAX((Solieu!$A$4:$A$4000=A95)*Solieu!$E$4:$E$4000)</f>
        <v>11.5923</v>
      </c>
      <c r="D95" s="45">
        <f>VLOOKUP(C95,Solieu!$E$4:$L$4000,6,FALSE)</f>
        <v>0.02723</v>
      </c>
      <c r="E95" s="46">
        <f t="array" ref="E95">MAX((Solieu!$A$4:$A$4000=A95)*Solieu!$J$4:$J$4000)</f>
        <v>0.04714</v>
      </c>
      <c r="F95" s="47">
        <f>VLOOKUP(E95,Solieu!$J$4:$K$4000,2,FALSE)</f>
        <v>11.2953</v>
      </c>
      <c r="G95" s="41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8.75" customHeight="1">
      <c r="A96" s="42" t="str">
        <f t="shared" si="1"/>
        <v>228</v>
      </c>
      <c r="B96" s="43">
        <f t="shared" si="2"/>
        <v>277</v>
      </c>
      <c r="C96" s="44">
        <f t="array" ref="C96">MAX((Solieu!$A$4:$A$4000=A96)*Solieu!$E$4:$E$4000)</f>
        <v>7.6927</v>
      </c>
      <c r="D96" s="45">
        <f>VLOOKUP(C96,Solieu!$E$4:$L$4000,6,FALSE)</f>
        <v>0.03304</v>
      </c>
      <c r="E96" s="46">
        <f t="array" ref="E96">MAX((Solieu!$A$4:$A$4000=A96)*Solieu!$J$4:$J$4000)</f>
        <v>0.03304</v>
      </c>
      <c r="F96" s="47">
        <f>VLOOKUP(E96,Solieu!$J$4:$K$4000,2,FALSE)</f>
        <v>7.6927</v>
      </c>
      <c r="G96" s="41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8.75" customHeight="1">
      <c r="A97" s="42" t="str">
        <f t="shared" si="1"/>
        <v>229</v>
      </c>
      <c r="B97" s="43">
        <f t="shared" si="2"/>
        <v>280</v>
      </c>
      <c r="C97" s="44">
        <f t="array" ref="C97">MAX((Solieu!$A$4:$A$4000=A97)*Solieu!$E$4:$E$4000)</f>
        <v>3.7036</v>
      </c>
      <c r="D97" s="45">
        <f>VLOOKUP(C97,Solieu!$E$4:$L$4000,6,FALSE)</f>
        <v>0.0139</v>
      </c>
      <c r="E97" s="46">
        <f t="array" ref="E97">MAX((Solieu!$A$4:$A$4000=A97)*Solieu!$J$4:$J$4000)</f>
        <v>0.01419</v>
      </c>
      <c r="F97" s="47">
        <f>VLOOKUP(E97,Solieu!$J$4:$K$4000,2,FALSE)</f>
        <v>3.3076</v>
      </c>
      <c r="G97" s="41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8.75" customHeight="1">
      <c r="A98" s="42" t="str">
        <f t="shared" si="1"/>
        <v>230</v>
      </c>
      <c r="B98" s="43">
        <f t="shared" si="2"/>
        <v>283</v>
      </c>
      <c r="C98" s="44">
        <f t="array" ref="C98">MAX((Solieu!$A$4:$A$4000=A98)*Solieu!$E$4:$E$4000)</f>
        <v>11.8089</v>
      </c>
      <c r="D98" s="45">
        <f>VLOOKUP(C98,Solieu!$E$4:$L$4000,6,FALSE)</f>
        <v>0.01616</v>
      </c>
      <c r="E98" s="46">
        <f t="array" ref="E98">MAX((Solieu!$A$4:$A$4000=A98)*Solieu!$J$4:$J$4000)</f>
        <v>0.03549</v>
      </c>
      <c r="F98" s="47">
        <f>VLOOKUP(E98,Solieu!$J$4:$K$4000,2,FALSE)</f>
        <v>11.5119</v>
      </c>
      <c r="G98" s="41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8.75" customHeight="1">
      <c r="A99" s="42" t="str">
        <f t="shared" si="1"/>
        <v>231</v>
      </c>
      <c r="B99" s="43">
        <f t="shared" si="2"/>
        <v>286</v>
      </c>
      <c r="C99" s="44">
        <f t="array" ref="C99">MAX((Solieu!$A$4:$A$4000=A99)*Solieu!$E$4:$E$4000)</f>
        <v>7.5536</v>
      </c>
      <c r="D99" s="45">
        <f>VLOOKUP(C99,Solieu!$E$4:$L$4000,6,FALSE)</f>
        <v>0.0411</v>
      </c>
      <c r="E99" s="46">
        <f t="array" ref="E99">MAX((Solieu!$A$4:$A$4000=A99)*Solieu!$J$4:$J$4000)</f>
        <v>0.0411</v>
      </c>
      <c r="F99" s="47">
        <f>VLOOKUP(E99,Solieu!$J$4:$K$4000,2,FALSE)</f>
        <v>7.5536</v>
      </c>
      <c r="G99" s="41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8.75" customHeight="1">
      <c r="A100" s="42" t="str">
        <f t="shared" si="1"/>
        <v>232</v>
      </c>
      <c r="B100" s="43">
        <f t="shared" si="2"/>
        <v>289</v>
      </c>
      <c r="C100" s="44">
        <f t="array" ref="C100">MAX((Solieu!$A$4:$A$4000=A100)*Solieu!$E$4:$E$4000)</f>
        <v>3.2834</v>
      </c>
      <c r="D100" s="45">
        <f>VLOOKUP(C100,Solieu!$E$4:$L$4000,6,FALSE)</f>
        <v>0.05885</v>
      </c>
      <c r="E100" s="46">
        <f t="array" ref="E100">MAX((Solieu!$A$4:$A$4000=A100)*Solieu!$J$4:$J$4000)</f>
        <v>0.06289</v>
      </c>
      <c r="F100" s="47">
        <f>VLOOKUP(E100,Solieu!$J$4:$K$4000,2,FALSE)</f>
        <v>2.8874</v>
      </c>
      <c r="G100" s="41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8.75" customHeight="1">
      <c r="A101" s="42" t="str">
        <f t="shared" si="1"/>
        <v>233</v>
      </c>
      <c r="B101" s="43">
        <f t="shared" si="2"/>
        <v>292</v>
      </c>
      <c r="C101" s="44">
        <f t="array" ref="C101">MAX((Solieu!$A$4:$A$4000=A101)*Solieu!$E$4:$E$4000)</f>
        <v>11.8292</v>
      </c>
      <c r="D101" s="45">
        <f>VLOOKUP(C101,Solieu!$E$4:$L$4000,6,FALSE)</f>
        <v>0.0166</v>
      </c>
      <c r="E101" s="46">
        <f t="array" ref="E101">MAX((Solieu!$A$4:$A$4000=A101)*Solieu!$J$4:$J$4000)</f>
        <v>0.03591</v>
      </c>
      <c r="F101" s="47">
        <f>VLOOKUP(E101,Solieu!$J$4:$K$4000,2,FALSE)</f>
        <v>11.5322</v>
      </c>
      <c r="G101" s="41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8.75" customHeight="1">
      <c r="A102" s="42" t="str">
        <f t="shared" si="1"/>
        <v>234</v>
      </c>
      <c r="B102" s="43">
        <f t="shared" si="2"/>
        <v>295</v>
      </c>
      <c r="C102" s="44">
        <f t="array" ref="C102">MAX((Solieu!$A$4:$A$4000=A102)*Solieu!$E$4:$E$4000)</f>
        <v>7.5734</v>
      </c>
      <c r="D102" s="45">
        <f>VLOOKUP(C102,Solieu!$E$4:$L$4000,6,FALSE)</f>
        <v>0.04311</v>
      </c>
      <c r="E102" s="46">
        <f t="array" ref="E102">MAX((Solieu!$A$4:$A$4000=A102)*Solieu!$J$4:$J$4000)</f>
        <v>0.04311</v>
      </c>
      <c r="F102" s="47">
        <f>VLOOKUP(E102,Solieu!$J$4:$K$4000,2,FALSE)</f>
        <v>7.5734</v>
      </c>
      <c r="G102" s="41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8.75" customHeight="1">
      <c r="A103" s="42" t="str">
        <f t="shared" si="1"/>
        <v>235</v>
      </c>
      <c r="B103" s="43">
        <f t="shared" si="2"/>
        <v>298</v>
      </c>
      <c r="C103" s="44">
        <f t="array" ref="C103">MAX((Solieu!$A$4:$A$4000=A103)*Solieu!$E$4:$E$4000)</f>
        <v>3.2969</v>
      </c>
      <c r="D103" s="45">
        <f>VLOOKUP(C103,Solieu!$E$4:$L$4000,6,FALSE)</f>
        <v>0.03174</v>
      </c>
      <c r="E103" s="46">
        <f t="array" ref="E103">MAX((Solieu!$A$4:$A$4000=A103)*Solieu!$J$4:$J$4000)</f>
        <v>0.0362</v>
      </c>
      <c r="F103" s="47">
        <f>VLOOKUP(E103,Solieu!$J$4:$K$4000,2,FALSE)</f>
        <v>2.9009</v>
      </c>
      <c r="G103" s="41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8.75" customHeight="1">
      <c r="A104" s="42" t="str">
        <f t="shared" si="1"/>
        <v>236</v>
      </c>
      <c r="B104" s="43">
        <f t="shared" si="2"/>
        <v>301</v>
      </c>
      <c r="C104" s="44">
        <f t="array" ref="C104">MAX((Solieu!$A$4:$A$4000=A104)*Solieu!$E$4:$E$4000)</f>
        <v>11.552</v>
      </c>
      <c r="D104" s="45">
        <f>VLOOKUP(C104,Solieu!$E$4:$L$4000,6,FALSE)</f>
        <v>0.02743</v>
      </c>
      <c r="E104" s="46">
        <f t="array" ref="E104">MAX((Solieu!$A$4:$A$4000=A104)*Solieu!$J$4:$J$4000)</f>
        <v>0.04801</v>
      </c>
      <c r="F104" s="47">
        <f>VLOOKUP(E104,Solieu!$J$4:$K$4000,2,FALSE)</f>
        <v>11.255</v>
      </c>
      <c r="G104" s="41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8.75" customHeight="1">
      <c r="A105" s="42" t="str">
        <f t="shared" si="1"/>
        <v>237</v>
      </c>
      <c r="B105" s="43">
        <f t="shared" si="2"/>
        <v>304</v>
      </c>
      <c r="C105" s="44">
        <f t="array" ref="C105">MAX((Solieu!$A$4:$A$4000=A105)*Solieu!$E$4:$E$4000)</f>
        <v>7.657</v>
      </c>
      <c r="D105" s="45">
        <f>VLOOKUP(C105,Solieu!$E$4:$L$4000,6,FALSE)</f>
        <v>0.03338</v>
      </c>
      <c r="E105" s="46">
        <f t="array" ref="E105">MAX((Solieu!$A$4:$A$4000=A105)*Solieu!$J$4:$J$4000)</f>
        <v>0.03338</v>
      </c>
      <c r="F105" s="47">
        <f>VLOOKUP(E105,Solieu!$J$4:$K$4000,2,FALSE)</f>
        <v>7.657</v>
      </c>
      <c r="G105" s="41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8.75" customHeight="1">
      <c r="A106" s="42" t="str">
        <f t="shared" si="1"/>
        <v>238</v>
      </c>
      <c r="B106" s="43">
        <f t="shared" si="2"/>
        <v>307</v>
      </c>
      <c r="C106" s="44">
        <f t="array" ref="C106">MAX((Solieu!$A$4:$A$4000=A106)*Solieu!$E$4:$E$4000)</f>
        <v>3.6816</v>
      </c>
      <c r="D106" s="45">
        <f>VLOOKUP(C106,Solieu!$E$4:$L$4000,6,FALSE)</f>
        <v>0.01827</v>
      </c>
      <c r="E106" s="46">
        <f t="array" ref="E106">MAX((Solieu!$A$4:$A$4000=A106)*Solieu!$J$4:$J$4000)</f>
        <v>0.01843</v>
      </c>
      <c r="F106" s="47">
        <f>VLOOKUP(E106,Solieu!$J$4:$K$4000,2,FALSE)</f>
        <v>3.2856</v>
      </c>
      <c r="G106" s="41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8.75" customHeight="1">
      <c r="A107" s="42" t="str">
        <f t="shared" si="1"/>
        <v>239</v>
      </c>
      <c r="B107" s="43">
        <f t="shared" si="2"/>
        <v>310</v>
      </c>
      <c r="C107" s="44">
        <f t="array" ref="C107">MAX((Solieu!$A$4:$A$4000=A107)*Solieu!$E$4:$E$4000)</f>
        <v>17.2583</v>
      </c>
      <c r="D107" s="45">
        <f>VLOOKUP(C107,Solieu!$E$4:$L$4000,6,FALSE)</f>
        <v>0.03711</v>
      </c>
      <c r="E107" s="46">
        <f t="array" ref="E107">MAX((Solieu!$A$4:$A$4000=A107)*Solieu!$J$4:$J$4000)</f>
        <v>0.08402</v>
      </c>
      <c r="F107" s="47">
        <f>VLOOKUP(E107,Solieu!$J$4:$K$4000,2,FALSE)</f>
        <v>16.9613</v>
      </c>
      <c r="G107" s="41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8.75" customHeight="1">
      <c r="A108" s="42" t="str">
        <f t="shared" si="1"/>
        <v>240</v>
      </c>
      <c r="B108" s="43">
        <f t="shared" si="2"/>
        <v>313</v>
      </c>
      <c r="C108" s="44">
        <f t="array" ref="C108">MAX((Solieu!$A$4:$A$4000=A108)*Solieu!$E$4:$E$4000)</f>
        <v>13.1228</v>
      </c>
      <c r="D108" s="45">
        <f>VLOOKUP(C108,Solieu!$E$4:$L$4000,6,FALSE)</f>
        <v>0.11997</v>
      </c>
      <c r="E108" s="46">
        <f t="array" ref="E108">MAX((Solieu!$A$4:$A$4000=A108)*Solieu!$J$4:$J$4000)</f>
        <v>0.12935</v>
      </c>
      <c r="F108" s="47">
        <f>VLOOKUP(E108,Solieu!$J$4:$K$4000,2,FALSE)</f>
        <v>12.7268</v>
      </c>
      <c r="G108" s="41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8.75" customHeight="1">
      <c r="A109" s="42" t="str">
        <f t="shared" si="1"/>
        <v>241</v>
      </c>
      <c r="B109" s="43">
        <f t="shared" si="2"/>
        <v>316</v>
      </c>
      <c r="C109" s="44">
        <f t="array" ref="C109">MAX((Solieu!$A$4:$A$4000=A109)*Solieu!$E$4:$E$4000)</f>
        <v>9.0138</v>
      </c>
      <c r="D109" s="45">
        <f>VLOOKUP(C109,Solieu!$E$4:$L$4000,6,FALSE)</f>
        <v>0.16717</v>
      </c>
      <c r="E109" s="46">
        <f t="array" ref="E109">MAX((Solieu!$A$4:$A$4000=A109)*Solieu!$J$4:$J$4000)</f>
        <v>0.18784</v>
      </c>
      <c r="F109" s="47">
        <f>VLOOKUP(E109,Solieu!$J$4:$K$4000,2,FALSE)</f>
        <v>8.6178</v>
      </c>
      <c r="G109" s="41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8.75" customHeight="1">
      <c r="A110" s="42" t="str">
        <f t="shared" si="1"/>
        <v>242</v>
      </c>
      <c r="B110" s="43">
        <f t="shared" si="2"/>
        <v>319</v>
      </c>
      <c r="C110" s="44">
        <f t="array" ref="C110">MAX((Solieu!$A$4:$A$4000=A110)*Solieu!$E$4:$E$4000)</f>
        <v>25.351</v>
      </c>
      <c r="D110" s="45">
        <f>VLOOKUP(C110,Solieu!$E$4:$L$4000,6,FALSE)</f>
        <v>0.07154</v>
      </c>
      <c r="E110" s="46">
        <f t="array" ref="E110">MAX((Solieu!$A$4:$A$4000=A110)*Solieu!$J$4:$J$4000)</f>
        <v>0.13494</v>
      </c>
      <c r="F110" s="47">
        <f>VLOOKUP(E110,Solieu!$J$4:$K$4000,2,FALSE)</f>
        <v>25.054</v>
      </c>
      <c r="G110" s="41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8.75" customHeight="1">
      <c r="A111" s="42" t="str">
        <f t="shared" si="1"/>
        <v>243</v>
      </c>
      <c r="B111" s="43">
        <f t="shared" si="2"/>
        <v>322</v>
      </c>
      <c r="C111" s="44">
        <f t="array" ref="C111">MAX((Solieu!$A$4:$A$4000=A111)*Solieu!$E$4:$E$4000)</f>
        <v>22.4878</v>
      </c>
      <c r="D111" s="45">
        <f>VLOOKUP(C111,Solieu!$E$4:$L$4000,6,FALSE)</f>
        <v>0.12881</v>
      </c>
      <c r="E111" s="46">
        <f t="array" ref="E111">MAX((Solieu!$A$4:$A$4000=A111)*Solieu!$J$4:$J$4000)</f>
        <v>0.12881</v>
      </c>
      <c r="F111" s="47">
        <f>VLOOKUP(E111,Solieu!$J$4:$K$4000,2,FALSE)</f>
        <v>22.4878</v>
      </c>
      <c r="G111" s="41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8.75" customHeight="1">
      <c r="A112" s="42" t="str">
        <f t="shared" si="1"/>
        <v>244</v>
      </c>
      <c r="B112" s="43">
        <f t="shared" si="2"/>
        <v>325</v>
      </c>
      <c r="C112" s="44">
        <f t="array" ref="C112">MAX((Solieu!$A$4:$A$4000=A112)*Solieu!$E$4:$E$4000)</f>
        <v>19.6805</v>
      </c>
      <c r="D112" s="45">
        <f>VLOOKUP(C112,Solieu!$E$4:$L$4000,6,FALSE)</f>
        <v>0.10407</v>
      </c>
      <c r="E112" s="46">
        <f t="array" ref="E112">MAX((Solieu!$A$4:$A$4000=A112)*Solieu!$J$4:$J$4000)</f>
        <v>0.10407</v>
      </c>
      <c r="F112" s="47">
        <f>VLOOKUP(E112,Solieu!$J$4:$K$4000,2,FALSE)</f>
        <v>19.6805</v>
      </c>
      <c r="G112" s="41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8.75" customHeight="1">
      <c r="A113" s="42" t="str">
        <f t="shared" si="1"/>
        <v>271</v>
      </c>
      <c r="B113" s="43">
        <f t="shared" si="2"/>
        <v>328</v>
      </c>
      <c r="C113" s="44">
        <f t="array" ref="C113">MAX((Solieu!$A$4:$A$4000=A113)*Solieu!$E$4:$E$4000)</f>
        <v>6.0732</v>
      </c>
      <c r="D113" s="45">
        <f>VLOOKUP(C113,Solieu!$E$4:$L$4000,6,FALSE)</f>
        <v>0.26319</v>
      </c>
      <c r="E113" s="46">
        <f t="array" ref="E113">MAX((Solieu!$A$4:$A$4000=A113)*Solieu!$J$4:$J$4000)</f>
        <v>0.33317</v>
      </c>
      <c r="F113" s="47">
        <f>VLOOKUP(E113,Solieu!$J$4:$K$4000,2,FALSE)</f>
        <v>6.0732</v>
      </c>
      <c r="G113" s="41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8.75" customHeight="1">
      <c r="A114" s="42" t="str">
        <f t="shared" si="1"/>
        <v>271</v>
      </c>
      <c r="B114" s="43">
        <f t="shared" si="2"/>
        <v>331</v>
      </c>
      <c r="C114" s="44">
        <f t="array" ref="C114">MAX((Solieu!$A$4:$A$4000=A114)*Solieu!$E$4:$E$4000)</f>
        <v>6.0732</v>
      </c>
      <c r="D114" s="45">
        <f>VLOOKUP(C114,Solieu!$E$4:$L$4000,6,FALSE)</f>
        <v>0.26319</v>
      </c>
      <c r="E114" s="46">
        <f t="array" ref="E114">MAX((Solieu!$A$4:$A$4000=A114)*Solieu!$J$4:$J$4000)</f>
        <v>0.33317</v>
      </c>
      <c r="F114" s="47">
        <f>VLOOKUP(E114,Solieu!$J$4:$K$4000,2,FALSE)</f>
        <v>6.0732</v>
      </c>
      <c r="G114" s="41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8.75" customHeight="1">
      <c r="A115" s="42" t="str">
        <f t="shared" si="1"/>
        <v>271</v>
      </c>
      <c r="B115" s="43">
        <f t="shared" si="2"/>
        <v>334</v>
      </c>
      <c r="C115" s="44">
        <f t="array" ref="C115">MAX((Solieu!$A$4:$A$4000=A115)*Solieu!$E$4:$E$4000)</f>
        <v>6.0732</v>
      </c>
      <c r="D115" s="45">
        <f>VLOOKUP(C115,Solieu!$E$4:$L$4000,6,FALSE)</f>
        <v>0.26319</v>
      </c>
      <c r="E115" s="46">
        <f t="array" ref="E115">MAX((Solieu!$A$4:$A$4000=A115)*Solieu!$J$4:$J$4000)</f>
        <v>0.33317</v>
      </c>
      <c r="F115" s="47">
        <f>VLOOKUP(E115,Solieu!$J$4:$K$4000,2,FALSE)</f>
        <v>6.0732</v>
      </c>
      <c r="G115" s="41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8.75" customHeight="1">
      <c r="A116" s="42" t="str">
        <f t="shared" si="1"/>
        <v>276</v>
      </c>
      <c r="B116" s="43">
        <f t="shared" si="2"/>
        <v>337</v>
      </c>
      <c r="C116" s="44">
        <f t="array" ref="C116">MAX((Solieu!$A$4:$A$4000=A116)*Solieu!$E$4:$E$4000)</f>
        <v>3.2602</v>
      </c>
      <c r="D116" s="45">
        <f>VLOOKUP(C116,Solieu!$E$4:$L$4000,6,FALSE)</f>
        <v>0.28791</v>
      </c>
      <c r="E116" s="46">
        <f t="array" ref="E116">MAX((Solieu!$A$4:$A$4000=A116)*Solieu!$J$4:$J$4000)</f>
        <v>0.47315</v>
      </c>
      <c r="F116" s="47">
        <f>VLOOKUP(E116,Solieu!$J$4:$K$4000,2,FALSE)</f>
        <v>3.2602</v>
      </c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8.75" customHeight="1">
      <c r="A117" s="42" t="str">
        <f t="shared" si="1"/>
        <v>276</v>
      </c>
      <c r="B117" s="43">
        <f t="shared" si="2"/>
        <v>340</v>
      </c>
      <c r="C117" s="44">
        <f t="array" ref="C117">MAX((Solieu!$A$4:$A$4000=A117)*Solieu!$E$4:$E$4000)</f>
        <v>3.2602</v>
      </c>
      <c r="D117" s="45">
        <f>VLOOKUP(C117,Solieu!$E$4:$L$4000,6,FALSE)</f>
        <v>0.28791</v>
      </c>
      <c r="E117" s="46">
        <f t="array" ref="E117">MAX((Solieu!$A$4:$A$4000=A117)*Solieu!$J$4:$J$4000)</f>
        <v>0.47315</v>
      </c>
      <c r="F117" s="47">
        <f>VLOOKUP(E117,Solieu!$J$4:$K$4000,2,FALSE)</f>
        <v>3.2602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8.75" customHeight="1">
      <c r="A118" s="42" t="str">
        <f t="shared" si="1"/>
        <v>276</v>
      </c>
      <c r="B118" s="43">
        <f t="shared" si="2"/>
        <v>343</v>
      </c>
      <c r="C118" s="44">
        <f t="array" ref="C118">MAX((Solieu!$A$4:$A$4000=A118)*Solieu!$E$4:$E$4000)</f>
        <v>3.2602</v>
      </c>
      <c r="D118" s="45">
        <f>VLOOKUP(C118,Solieu!$E$4:$L$4000,6,FALSE)</f>
        <v>0.28791</v>
      </c>
      <c r="E118" s="46">
        <f t="array" ref="E118">MAX((Solieu!$A$4:$A$4000=A118)*Solieu!$J$4:$J$4000)</f>
        <v>0.47315</v>
      </c>
      <c r="F118" s="47">
        <f>VLOOKUP(E118,Solieu!$J$4:$K$4000,2,FALSE)</f>
        <v>3.2602</v>
      </c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8.75" customHeight="1">
      <c r="A119" s="42" t="str">
        <f t="shared" si="1"/>
        <v>277</v>
      </c>
      <c r="B119" s="43">
        <f t="shared" si="2"/>
        <v>346</v>
      </c>
      <c r="C119" s="44">
        <f t="array" ref="C119">MAX((Solieu!$A$4:$A$4000=A119)*Solieu!$E$4:$E$4000)</f>
        <v>3.2881</v>
      </c>
      <c r="D119" s="45">
        <f>VLOOKUP(C119,Solieu!$E$4:$L$4000,6,FALSE)</f>
        <v>0.48324</v>
      </c>
      <c r="E119" s="46">
        <f t="array" ref="E119">MAX((Solieu!$A$4:$A$4000=A119)*Solieu!$J$4:$J$4000)</f>
        <v>0.48324</v>
      </c>
      <c r="F119" s="47">
        <f>VLOOKUP(E119,Solieu!$J$4:$K$4000,2,FALSE)</f>
        <v>3.2881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8.75" customHeight="1">
      <c r="A120" s="42" t="str">
        <f t="shared" si="1"/>
        <v>277</v>
      </c>
      <c r="B120" s="43">
        <f t="shared" si="2"/>
        <v>349</v>
      </c>
      <c r="C120" s="44">
        <f t="array" ref="C120">MAX((Solieu!$A$4:$A$4000=A120)*Solieu!$E$4:$E$4000)</f>
        <v>3.2881</v>
      </c>
      <c r="D120" s="45">
        <f>VLOOKUP(C120,Solieu!$E$4:$L$4000,6,FALSE)</f>
        <v>0.48324</v>
      </c>
      <c r="E120" s="46">
        <f t="array" ref="E120">MAX((Solieu!$A$4:$A$4000=A120)*Solieu!$J$4:$J$4000)</f>
        <v>0.48324</v>
      </c>
      <c r="F120" s="47">
        <f>VLOOKUP(E120,Solieu!$J$4:$K$4000,2,FALSE)</f>
        <v>3.2881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8.75" customHeight="1">
      <c r="A121" s="42" t="str">
        <f t="shared" si="1"/>
        <v>277</v>
      </c>
      <c r="B121" s="43">
        <f t="shared" si="2"/>
        <v>352</v>
      </c>
      <c r="C121" s="44">
        <f t="array" ref="C121">MAX((Solieu!$A$4:$A$4000=A121)*Solieu!$E$4:$E$4000)</f>
        <v>3.2881</v>
      </c>
      <c r="D121" s="45">
        <f>VLOOKUP(C121,Solieu!$E$4:$L$4000,6,FALSE)</f>
        <v>0.48324</v>
      </c>
      <c r="E121" s="46">
        <f t="array" ref="E121">MAX((Solieu!$A$4:$A$4000=A121)*Solieu!$J$4:$J$4000)</f>
        <v>0.48324</v>
      </c>
      <c r="F121" s="47">
        <f>VLOOKUP(E121,Solieu!$J$4:$K$4000,2,FALSE)</f>
        <v>3.2881</v>
      </c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8.75" customHeight="1">
      <c r="A122" s="42" t="str">
        <f t="shared" si="1"/>
        <v>277</v>
      </c>
      <c r="B122" s="43">
        <f t="shared" si="2"/>
        <v>355</v>
      </c>
      <c r="C122" s="44">
        <f t="array" ref="C122">MAX((Solieu!$A$4:$A$4000=A122)*Solieu!$E$4:$E$4000)</f>
        <v>3.2881</v>
      </c>
      <c r="D122" s="45">
        <f>VLOOKUP(C122,Solieu!$E$4:$L$4000,6,FALSE)</f>
        <v>0.48324</v>
      </c>
      <c r="E122" s="46">
        <f t="array" ref="E122">MAX((Solieu!$A$4:$A$4000=A122)*Solieu!$J$4:$J$4000)</f>
        <v>0.48324</v>
      </c>
      <c r="F122" s="47">
        <f>VLOOKUP(E122,Solieu!$J$4:$K$4000,2,FALSE)</f>
        <v>3.2881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8.75" customHeight="1">
      <c r="A123" s="42" t="str">
        <f t="shared" si="1"/>
        <v>278</v>
      </c>
      <c r="B123" s="43">
        <f t="shared" si="2"/>
        <v>358</v>
      </c>
      <c r="C123" s="44">
        <f t="array" ref="C123">MAX((Solieu!$A$4:$A$4000=A123)*Solieu!$E$4:$E$4000)</f>
        <v>3.2833</v>
      </c>
      <c r="D123" s="45">
        <f>VLOOKUP(C123,Solieu!$E$4:$L$4000,6,FALSE)</f>
        <v>0.34392</v>
      </c>
      <c r="E123" s="46">
        <f t="array" ref="E123">MAX((Solieu!$A$4:$A$4000=A123)*Solieu!$J$4:$J$4000)</f>
        <v>0.34392</v>
      </c>
      <c r="F123" s="47">
        <f>VLOOKUP(E123,Solieu!$J$4:$K$4000,2,FALSE)</f>
        <v>3.2833</v>
      </c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8.75" customHeight="1">
      <c r="A124" s="42" t="str">
        <f t="shared" si="1"/>
        <v>278</v>
      </c>
      <c r="B124" s="43">
        <f t="shared" si="2"/>
        <v>361</v>
      </c>
      <c r="C124" s="44">
        <f t="array" ref="C124">MAX((Solieu!$A$4:$A$4000=A124)*Solieu!$E$4:$E$4000)</f>
        <v>3.2833</v>
      </c>
      <c r="D124" s="45">
        <f>VLOOKUP(C124,Solieu!$E$4:$L$4000,6,FALSE)</f>
        <v>0.34392</v>
      </c>
      <c r="E124" s="46">
        <f t="array" ref="E124">MAX((Solieu!$A$4:$A$4000=A124)*Solieu!$J$4:$J$4000)</f>
        <v>0.34392</v>
      </c>
      <c r="F124" s="47">
        <f>VLOOKUP(E124,Solieu!$J$4:$K$4000,2,FALSE)</f>
        <v>3.2833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8.75" customHeight="1">
      <c r="A125" s="42" t="str">
        <f t="shared" si="1"/>
        <v>278</v>
      </c>
      <c r="B125" s="43">
        <f t="shared" si="2"/>
        <v>364</v>
      </c>
      <c r="C125" s="44">
        <f t="array" ref="C125">MAX((Solieu!$A$4:$A$4000=A125)*Solieu!$E$4:$E$4000)</f>
        <v>3.2833</v>
      </c>
      <c r="D125" s="45">
        <f>VLOOKUP(C125,Solieu!$E$4:$L$4000,6,FALSE)</f>
        <v>0.34392</v>
      </c>
      <c r="E125" s="46">
        <f t="array" ref="E125">MAX((Solieu!$A$4:$A$4000=A125)*Solieu!$J$4:$J$4000)</f>
        <v>0.34392</v>
      </c>
      <c r="F125" s="47">
        <f>VLOOKUP(E125,Solieu!$J$4:$K$4000,2,FALSE)</f>
        <v>3.2833</v>
      </c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8.75" customHeight="1">
      <c r="A126" s="42" t="str">
        <f t="shared" si="1"/>
        <v>279</v>
      </c>
      <c r="B126" s="43">
        <f t="shared" si="2"/>
        <v>367</v>
      </c>
      <c r="C126" s="44">
        <f t="array" ref="C126">MAX((Solieu!$A$4:$A$4000=A126)*Solieu!$E$4:$E$4000)</f>
        <v>3.3231</v>
      </c>
      <c r="D126" s="45">
        <f>VLOOKUP(C126,Solieu!$E$4:$L$4000,6,FALSE)</f>
        <v>0.40837</v>
      </c>
      <c r="E126" s="46">
        <f t="array" ref="E126">MAX((Solieu!$A$4:$A$4000=A126)*Solieu!$J$4:$J$4000)</f>
        <v>0.48186</v>
      </c>
      <c r="F126" s="47">
        <f>VLOOKUP(E126,Solieu!$J$4:$K$4000,2,FALSE)</f>
        <v>3.3231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8.75" customHeight="1">
      <c r="A127" s="42" t="str">
        <f t="shared" si="1"/>
        <v>279</v>
      </c>
      <c r="B127" s="43">
        <f t="shared" si="2"/>
        <v>370</v>
      </c>
      <c r="C127" s="44">
        <f t="array" ref="C127">MAX((Solieu!$A$4:$A$4000=A127)*Solieu!$E$4:$E$4000)</f>
        <v>3.3231</v>
      </c>
      <c r="D127" s="45">
        <f>VLOOKUP(C127,Solieu!$E$4:$L$4000,6,FALSE)</f>
        <v>0.40837</v>
      </c>
      <c r="E127" s="46">
        <f t="array" ref="E127">MAX((Solieu!$A$4:$A$4000=A127)*Solieu!$J$4:$J$4000)</f>
        <v>0.48186</v>
      </c>
      <c r="F127" s="47">
        <f>VLOOKUP(E127,Solieu!$J$4:$K$4000,2,FALSE)</f>
        <v>3.3231</v>
      </c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8.75" customHeight="1">
      <c r="A128" s="42" t="str">
        <f t="shared" si="1"/>
        <v>279</v>
      </c>
      <c r="B128" s="43">
        <f t="shared" si="2"/>
        <v>373</v>
      </c>
      <c r="C128" s="44">
        <f t="array" ref="C128">MAX((Solieu!$A$4:$A$4000=A128)*Solieu!$E$4:$E$4000)</f>
        <v>3.3231</v>
      </c>
      <c r="D128" s="45">
        <f>VLOOKUP(C128,Solieu!$E$4:$L$4000,6,FALSE)</f>
        <v>0.40837</v>
      </c>
      <c r="E128" s="46">
        <f t="array" ref="E128">MAX((Solieu!$A$4:$A$4000=A128)*Solieu!$J$4:$J$4000)</f>
        <v>0.48186</v>
      </c>
      <c r="F128" s="47">
        <f>VLOOKUP(E128,Solieu!$J$4:$K$4000,2,FALSE)</f>
        <v>3.3231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8.75" customHeight="1">
      <c r="A129" s="42" t="str">
        <f t="shared" si="1"/>
        <v>279</v>
      </c>
      <c r="B129" s="43">
        <f t="shared" si="2"/>
        <v>376</v>
      </c>
      <c r="C129" s="44">
        <f t="array" ref="C129">MAX((Solieu!$A$4:$A$4000=A129)*Solieu!$E$4:$E$4000)</f>
        <v>3.3231</v>
      </c>
      <c r="D129" s="45">
        <f>VLOOKUP(C129,Solieu!$E$4:$L$4000,6,FALSE)</f>
        <v>0.40837</v>
      </c>
      <c r="E129" s="46">
        <f t="array" ref="E129">MAX((Solieu!$A$4:$A$4000=A129)*Solieu!$J$4:$J$4000)</f>
        <v>0.48186</v>
      </c>
      <c r="F129" s="47">
        <f>VLOOKUP(E129,Solieu!$J$4:$K$4000,2,FALSE)</f>
        <v>3.3231</v>
      </c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8.75" customHeight="1">
      <c r="A130" s="42" t="str">
        <f t="shared" si="1"/>
        <v>280</v>
      </c>
      <c r="B130" s="43">
        <f t="shared" si="2"/>
        <v>379</v>
      </c>
      <c r="C130" s="44">
        <f t="array" ref="C130">MAX((Solieu!$A$4:$A$4000=A130)*Solieu!$E$4:$E$4000)</f>
        <v>3.334</v>
      </c>
      <c r="D130" s="45">
        <f>VLOOKUP(C130,Solieu!$E$4:$L$4000,6,FALSE)</f>
        <v>0.50977</v>
      </c>
      <c r="E130" s="46">
        <f t="array" ref="E130">MAX((Solieu!$A$4:$A$4000=A130)*Solieu!$J$4:$J$4000)</f>
        <v>0.50977</v>
      </c>
      <c r="F130" s="47">
        <f>VLOOKUP(E130,Solieu!$J$4:$K$4000,2,FALSE)</f>
        <v>3.334</v>
      </c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8.75" customHeight="1">
      <c r="A131" s="42" t="str">
        <f t="shared" si="1"/>
        <v>280</v>
      </c>
      <c r="B131" s="43">
        <f t="shared" si="2"/>
        <v>382</v>
      </c>
      <c r="C131" s="44">
        <f t="array" ref="C131">MAX((Solieu!$A$4:$A$4000=A131)*Solieu!$E$4:$E$4000)</f>
        <v>3.334</v>
      </c>
      <c r="D131" s="45">
        <f>VLOOKUP(C131,Solieu!$E$4:$L$4000,6,FALSE)</f>
        <v>0.50977</v>
      </c>
      <c r="E131" s="46">
        <f t="array" ref="E131">MAX((Solieu!$A$4:$A$4000=A131)*Solieu!$J$4:$J$4000)</f>
        <v>0.50977</v>
      </c>
      <c r="F131" s="47">
        <f>VLOOKUP(E131,Solieu!$J$4:$K$4000,2,FALSE)</f>
        <v>3.334</v>
      </c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8.75" customHeight="1">
      <c r="A132" s="42" t="str">
        <f t="shared" si="1"/>
        <v>282</v>
      </c>
      <c r="B132" s="43">
        <f t="shared" si="2"/>
        <v>385</v>
      </c>
      <c r="C132" s="44">
        <f t="array" ref="C132">MAX((Solieu!$A$4:$A$4000=A132)*Solieu!$E$4:$E$4000)</f>
        <v>2.7872</v>
      </c>
      <c r="D132" s="45">
        <f>VLOOKUP(C132,Solieu!$E$4:$L$4000,6,FALSE)</f>
        <v>0.0362</v>
      </c>
      <c r="E132" s="46">
        <f t="array" ref="E132">MAX((Solieu!$A$4:$A$4000=A132)*Solieu!$J$4:$J$4000)</f>
        <v>0.60223</v>
      </c>
      <c r="F132" s="47">
        <f>VLOOKUP(E132,Solieu!$J$4:$K$4000,2,FALSE)</f>
        <v>2.7872</v>
      </c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8.75" customHeight="1">
      <c r="A133" s="42" t="str">
        <f t="shared" si="1"/>
        <v>282</v>
      </c>
      <c r="B133" s="43">
        <f t="shared" si="2"/>
        <v>388</v>
      </c>
      <c r="C133" s="44">
        <f t="array" ref="C133">MAX((Solieu!$A$4:$A$4000=A133)*Solieu!$E$4:$E$4000)</f>
        <v>2.7872</v>
      </c>
      <c r="D133" s="45">
        <f>VLOOKUP(C133,Solieu!$E$4:$L$4000,6,FALSE)</f>
        <v>0.0362</v>
      </c>
      <c r="E133" s="46">
        <f t="array" ref="E133">MAX((Solieu!$A$4:$A$4000=A133)*Solieu!$J$4:$J$4000)</f>
        <v>0.60223</v>
      </c>
      <c r="F133" s="47">
        <f>VLOOKUP(E133,Solieu!$J$4:$K$4000,2,FALSE)</f>
        <v>2.7872</v>
      </c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8.75" customHeight="1">
      <c r="A134" s="42" t="str">
        <f t="shared" si="1"/>
        <v>282</v>
      </c>
      <c r="B134" s="43">
        <f t="shared" si="2"/>
        <v>391</v>
      </c>
      <c r="C134" s="44">
        <f t="array" ref="C134">MAX((Solieu!$A$4:$A$4000=A134)*Solieu!$E$4:$E$4000)</f>
        <v>2.7872</v>
      </c>
      <c r="D134" s="45">
        <f>VLOOKUP(C134,Solieu!$E$4:$L$4000,6,FALSE)</f>
        <v>0.0362</v>
      </c>
      <c r="E134" s="46">
        <f t="array" ref="E134">MAX((Solieu!$A$4:$A$4000=A134)*Solieu!$J$4:$J$4000)</f>
        <v>0.60223</v>
      </c>
      <c r="F134" s="47">
        <f>VLOOKUP(E134,Solieu!$J$4:$K$4000,2,FALSE)</f>
        <v>2.7872</v>
      </c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8.75" customHeight="1">
      <c r="A135" s="42" t="str">
        <f t="shared" si="1"/>
        <v>344</v>
      </c>
      <c r="B135" s="43">
        <f t="shared" si="2"/>
        <v>394</v>
      </c>
      <c r="C135" s="44">
        <f t="array" ref="C135">MAX((Solieu!$A$4:$A$4000=A135)*Solieu!$E$4:$E$4000)</f>
        <v>1.4114</v>
      </c>
      <c r="D135" s="45">
        <f>VLOOKUP(C135,Solieu!$E$4:$L$4000,6,FALSE)</f>
        <v>2.40628</v>
      </c>
      <c r="E135" s="46">
        <f t="array" ref="E135">MAX((Solieu!$A$4:$A$4000=A135)*Solieu!$J$4:$J$4000)</f>
        <v>2.40628</v>
      </c>
      <c r="F135" s="47">
        <f>VLOOKUP(E135,Solieu!$J$4:$K$4000,2,FALSE)</f>
        <v>1.4114</v>
      </c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8.75" customHeight="1">
      <c r="A136" s="42" t="str">
        <f t="shared" si="1"/>
        <v>344</v>
      </c>
      <c r="B136" s="43">
        <f t="shared" si="2"/>
        <v>397</v>
      </c>
      <c r="C136" s="44">
        <f t="array" ref="C136">MAX((Solieu!$A$4:$A$4000=A136)*Solieu!$E$4:$E$4000)</f>
        <v>1.4114</v>
      </c>
      <c r="D136" s="45">
        <f>VLOOKUP(C136,Solieu!$E$4:$L$4000,6,FALSE)</f>
        <v>2.40628</v>
      </c>
      <c r="E136" s="46">
        <f t="array" ref="E136">MAX((Solieu!$A$4:$A$4000=A136)*Solieu!$J$4:$J$4000)</f>
        <v>2.40628</v>
      </c>
      <c r="F136" s="47">
        <f>VLOOKUP(E136,Solieu!$J$4:$K$4000,2,FALSE)</f>
        <v>1.4114</v>
      </c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8.75" customHeight="1">
      <c r="A137" s="42" t="str">
        <f t="shared" si="1"/>
        <v>352</v>
      </c>
      <c r="B137" s="43">
        <f t="shared" si="2"/>
        <v>400</v>
      </c>
      <c r="C137" s="44">
        <f t="array" ref="C137">MAX((Solieu!$A$4:$A$4000=A137)*Solieu!$E$4:$E$4000)</f>
        <v>2.189</v>
      </c>
      <c r="D137" s="45">
        <f>VLOOKUP(C137,Solieu!$E$4:$L$4000,6,FALSE)</f>
        <v>0.65241</v>
      </c>
      <c r="E137" s="46">
        <f t="array" ref="E137">MAX((Solieu!$A$4:$A$4000=A137)*Solieu!$J$4:$J$4000)</f>
        <v>0.65241</v>
      </c>
      <c r="F137" s="47">
        <f>VLOOKUP(E137,Solieu!$J$4:$K$4000,2,FALSE)</f>
        <v>2.189</v>
      </c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8.75" customHeight="1">
      <c r="A138" s="42" t="str">
        <f t="shared" si="1"/>
        <v>352</v>
      </c>
      <c r="B138" s="43">
        <f t="shared" si="2"/>
        <v>403</v>
      </c>
      <c r="C138" s="44">
        <f t="array" ref="C138">MAX((Solieu!$A$4:$A$4000=A138)*Solieu!$E$4:$E$4000)</f>
        <v>2.189</v>
      </c>
      <c r="D138" s="45">
        <f>VLOOKUP(C138,Solieu!$E$4:$L$4000,6,FALSE)</f>
        <v>0.65241</v>
      </c>
      <c r="E138" s="46">
        <f t="array" ref="E138">MAX((Solieu!$A$4:$A$4000=A138)*Solieu!$J$4:$J$4000)</f>
        <v>0.65241</v>
      </c>
      <c r="F138" s="47">
        <f>VLOOKUP(E138,Solieu!$J$4:$K$4000,2,FALSE)</f>
        <v>2.189</v>
      </c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8.75" customHeight="1">
      <c r="A139" s="42" t="str">
        <f t="shared" si="1"/>
        <v>352</v>
      </c>
      <c r="B139" s="43">
        <f t="shared" si="2"/>
        <v>406</v>
      </c>
      <c r="C139" s="44">
        <f t="array" ref="C139">MAX((Solieu!$A$4:$A$4000=A139)*Solieu!$E$4:$E$4000)</f>
        <v>2.189</v>
      </c>
      <c r="D139" s="45">
        <f>VLOOKUP(C139,Solieu!$E$4:$L$4000,6,FALSE)</f>
        <v>0.65241</v>
      </c>
      <c r="E139" s="46">
        <f t="array" ref="E139">MAX((Solieu!$A$4:$A$4000=A139)*Solieu!$J$4:$J$4000)</f>
        <v>0.65241</v>
      </c>
      <c r="F139" s="47">
        <f>VLOOKUP(E139,Solieu!$J$4:$K$4000,2,FALSE)</f>
        <v>2.189</v>
      </c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8.75" customHeight="1">
      <c r="A140" s="42" t="str">
        <f t="shared" si="1"/>
        <v>402</v>
      </c>
      <c r="B140" s="43">
        <f t="shared" si="2"/>
        <v>409</v>
      </c>
      <c r="C140" s="44">
        <f t="array" ref="C140">MAX((Solieu!$A$4:$A$4000=A140)*Solieu!$E$4:$E$4000)</f>
        <v>2.9136</v>
      </c>
      <c r="D140" s="45">
        <f>VLOOKUP(C140,Solieu!$E$4:$L$4000,6,FALSE)</f>
        <v>0.80987</v>
      </c>
      <c r="E140" s="46">
        <f t="array" ref="E140">MAX((Solieu!$A$4:$A$4000=A140)*Solieu!$J$4:$J$4000)</f>
        <v>0.80987</v>
      </c>
      <c r="F140" s="47">
        <f>VLOOKUP(E140,Solieu!$J$4:$K$4000,2,FALSE)</f>
        <v>2.9136</v>
      </c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8.75" customHeight="1">
      <c r="A141" s="42" t="str">
        <f t="shared" si="1"/>
        <v>402</v>
      </c>
      <c r="B141" s="43">
        <f t="shared" si="2"/>
        <v>412</v>
      </c>
      <c r="C141" s="44">
        <f t="array" ref="C141">MAX((Solieu!$A$4:$A$4000=A141)*Solieu!$E$4:$E$4000)</f>
        <v>2.9136</v>
      </c>
      <c r="D141" s="45">
        <f>VLOOKUP(C141,Solieu!$E$4:$L$4000,6,FALSE)</f>
        <v>0.80987</v>
      </c>
      <c r="E141" s="46">
        <f t="array" ref="E141">MAX((Solieu!$A$4:$A$4000=A141)*Solieu!$J$4:$J$4000)</f>
        <v>0.80987</v>
      </c>
      <c r="F141" s="47">
        <f>VLOOKUP(E141,Solieu!$J$4:$K$4000,2,FALSE)</f>
        <v>2.9136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8.75" customHeight="1">
      <c r="A142" s="42" t="str">
        <f t="shared" si="1"/>
        <v>404</v>
      </c>
      <c r="B142" s="43">
        <f t="shared" si="2"/>
        <v>415</v>
      </c>
      <c r="C142" s="44">
        <f t="array" ref="C142">MAX((Solieu!$A$4:$A$4000=A142)*Solieu!$E$4:$E$4000)</f>
        <v>2.8359</v>
      </c>
      <c r="D142" s="45">
        <f>VLOOKUP(C142,Solieu!$E$4:$L$4000,6,FALSE)</f>
        <v>1.05274</v>
      </c>
      <c r="E142" s="46">
        <f t="array" ref="E142">MAX((Solieu!$A$4:$A$4000=A142)*Solieu!$J$4:$J$4000)</f>
        <v>1.05274</v>
      </c>
      <c r="F142" s="47">
        <f>VLOOKUP(E142,Solieu!$J$4:$K$4000,2,FALSE)</f>
        <v>2.8359</v>
      </c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8.75" customHeight="1">
      <c r="A143" s="42" t="str">
        <f t="shared" si="1"/>
        <v>405</v>
      </c>
      <c r="B143" s="43">
        <f t="shared" si="2"/>
        <v>418</v>
      </c>
      <c r="C143" s="44">
        <f t="array" ref="C143">MAX((Solieu!$A$4:$A$4000=A143)*Solieu!$E$4:$E$4000)</f>
        <v>5.2867</v>
      </c>
      <c r="D143" s="45">
        <f>VLOOKUP(C143,Solieu!$E$4:$L$4000,6,FALSE)</f>
        <v>0.43851</v>
      </c>
      <c r="E143" s="46">
        <f t="array" ref="E143">MAX((Solieu!$A$4:$A$4000=A143)*Solieu!$J$4:$J$4000)</f>
        <v>0.43851</v>
      </c>
      <c r="F143" s="47">
        <f>VLOOKUP(E143,Solieu!$J$4:$K$4000,2,FALSE)</f>
        <v>5.2867</v>
      </c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8.75" customHeight="1">
      <c r="A144" s="42" t="str">
        <f t="shared" si="1"/>
        <v>405</v>
      </c>
      <c r="B144" s="43">
        <f t="shared" si="2"/>
        <v>421</v>
      </c>
      <c r="C144" s="44">
        <f t="array" ref="C144">MAX((Solieu!$A$4:$A$4000=A144)*Solieu!$E$4:$E$4000)</f>
        <v>5.2867</v>
      </c>
      <c r="D144" s="45">
        <f>VLOOKUP(C144,Solieu!$E$4:$L$4000,6,FALSE)</f>
        <v>0.43851</v>
      </c>
      <c r="E144" s="46">
        <f t="array" ref="E144">MAX((Solieu!$A$4:$A$4000=A144)*Solieu!$J$4:$J$4000)</f>
        <v>0.43851</v>
      </c>
      <c r="F144" s="47">
        <f>VLOOKUP(E144,Solieu!$J$4:$K$4000,2,FALSE)</f>
        <v>5.2867</v>
      </c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8.75" customHeight="1">
      <c r="A145" s="42" t="str">
        <f t="shared" si="1"/>
        <v>406</v>
      </c>
      <c r="B145" s="43">
        <f t="shared" si="2"/>
        <v>424</v>
      </c>
      <c r="C145" s="44">
        <f t="array" ref="C145">MAX((Solieu!$A$4:$A$4000=A145)*Solieu!$E$4:$E$4000)</f>
        <v>1.636</v>
      </c>
      <c r="D145" s="45">
        <f>VLOOKUP(C145,Solieu!$E$4:$L$4000,6,FALSE)</f>
        <v>0.07896</v>
      </c>
      <c r="E145" s="46">
        <f t="array" ref="E145">MAX((Solieu!$A$4:$A$4000=A145)*Solieu!$J$4:$J$4000)</f>
        <v>0.38135</v>
      </c>
      <c r="F145" s="47">
        <f>VLOOKUP(E145,Solieu!$J$4:$K$4000,2,FALSE)</f>
        <v>1.636</v>
      </c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8.75" customHeight="1">
      <c r="A146" s="42" t="str">
        <f t="shared" si="1"/>
        <v>406</v>
      </c>
      <c r="B146" s="43">
        <f t="shared" si="2"/>
        <v>427</v>
      </c>
      <c r="C146" s="44">
        <f t="array" ref="C146">MAX((Solieu!$A$4:$A$4000=A146)*Solieu!$E$4:$E$4000)</f>
        <v>1.636</v>
      </c>
      <c r="D146" s="45">
        <f>VLOOKUP(C146,Solieu!$E$4:$L$4000,6,FALSE)</f>
        <v>0.07896</v>
      </c>
      <c r="E146" s="46">
        <f t="array" ref="E146">MAX((Solieu!$A$4:$A$4000=A146)*Solieu!$J$4:$J$4000)</f>
        <v>0.38135</v>
      </c>
      <c r="F146" s="47">
        <f>VLOOKUP(E146,Solieu!$J$4:$K$4000,2,FALSE)</f>
        <v>1.636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8.75" customHeight="1">
      <c r="A147" s="42" t="str">
        <f t="shared" si="1"/>
        <v>407</v>
      </c>
      <c r="B147" s="43">
        <f t="shared" si="2"/>
        <v>430</v>
      </c>
      <c r="C147" s="44">
        <f t="array" ref="C147">MAX((Solieu!$A$4:$A$4000=A147)*Solieu!$E$4:$E$4000)</f>
        <v>1.6278</v>
      </c>
      <c r="D147" s="45">
        <f>VLOOKUP(C147,Solieu!$E$4:$L$4000,6,FALSE)</f>
        <v>0.50749</v>
      </c>
      <c r="E147" s="46">
        <f t="array" ref="E147">MAX((Solieu!$A$4:$A$4000=A147)*Solieu!$J$4:$J$4000)</f>
        <v>0.50749</v>
      </c>
      <c r="F147" s="47">
        <f>VLOOKUP(E147,Solieu!$J$4:$K$4000,2,FALSE)</f>
        <v>1.6278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8.75" customHeight="1">
      <c r="A148" s="42" t="str">
        <f t="shared" si="1"/>
        <v>408</v>
      </c>
      <c r="B148" s="43">
        <f t="shared" si="2"/>
        <v>433</v>
      </c>
      <c r="C148" s="44">
        <f t="array" ref="C148">MAX((Solieu!$A$4:$A$4000=A148)*Solieu!$E$4:$E$4000)</f>
        <v>2.2859</v>
      </c>
      <c r="D148" s="45">
        <f>VLOOKUP(C148,Solieu!$E$4:$L$4000,6,FALSE)</f>
        <v>0.04562</v>
      </c>
      <c r="E148" s="46">
        <f t="array" ref="E148">MAX((Solieu!$A$4:$A$4000=A148)*Solieu!$J$4:$J$4000)</f>
        <v>0.15955</v>
      </c>
      <c r="F148" s="47">
        <f>VLOOKUP(E148,Solieu!$J$4:$K$4000,2,FALSE)</f>
        <v>2.2859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8.75" customHeight="1">
      <c r="A149" s="42" t="str">
        <f t="shared" si="1"/>
        <v>408</v>
      </c>
      <c r="B149" s="43">
        <f t="shared" si="2"/>
        <v>436</v>
      </c>
      <c r="C149" s="44">
        <f t="array" ref="C149">MAX((Solieu!$A$4:$A$4000=A149)*Solieu!$E$4:$E$4000)</f>
        <v>2.2859</v>
      </c>
      <c r="D149" s="45">
        <f>VLOOKUP(C149,Solieu!$E$4:$L$4000,6,FALSE)</f>
        <v>0.04562</v>
      </c>
      <c r="E149" s="46">
        <f t="array" ref="E149">MAX((Solieu!$A$4:$A$4000=A149)*Solieu!$J$4:$J$4000)</f>
        <v>0.15955</v>
      </c>
      <c r="F149" s="47">
        <f>VLOOKUP(E149,Solieu!$J$4:$K$4000,2,FALSE)</f>
        <v>2.2859</v>
      </c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8.75" customHeight="1">
      <c r="A150" s="42" t="str">
        <f t="shared" si="1"/>
        <v>409</v>
      </c>
      <c r="B150" s="43">
        <f t="shared" si="2"/>
        <v>439</v>
      </c>
      <c r="C150" s="44">
        <f t="array" ref="C150">MAX((Solieu!$A$4:$A$4000=A150)*Solieu!$E$4:$E$4000)</f>
        <v>2.2887</v>
      </c>
      <c r="D150" s="45">
        <f>VLOOKUP(C150,Solieu!$E$4:$L$4000,6,FALSE)</f>
        <v>0.18486</v>
      </c>
      <c r="E150" s="46">
        <f t="array" ref="E150">MAX((Solieu!$A$4:$A$4000=A150)*Solieu!$J$4:$J$4000)</f>
        <v>0.18486</v>
      </c>
      <c r="F150" s="47">
        <f>VLOOKUP(E150,Solieu!$J$4:$K$4000,2,FALSE)</f>
        <v>2.2887</v>
      </c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8.75" customHeight="1">
      <c r="A151" s="42" t="str">
        <f t="shared" si="1"/>
        <v>409</v>
      </c>
      <c r="B151" s="43">
        <f t="shared" si="2"/>
        <v>442</v>
      </c>
      <c r="C151" s="44">
        <f t="array" ref="C151">MAX((Solieu!$A$4:$A$4000=A151)*Solieu!$E$4:$E$4000)</f>
        <v>2.2887</v>
      </c>
      <c r="D151" s="45">
        <f>VLOOKUP(C151,Solieu!$E$4:$L$4000,6,FALSE)</f>
        <v>0.18486</v>
      </c>
      <c r="E151" s="46">
        <f t="array" ref="E151">MAX((Solieu!$A$4:$A$4000=A151)*Solieu!$J$4:$J$4000)</f>
        <v>0.18486</v>
      </c>
      <c r="F151" s="47">
        <f>VLOOKUP(E151,Solieu!$J$4:$K$4000,2,FALSE)</f>
        <v>2.2887</v>
      </c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8.75" customHeight="1">
      <c r="A152" s="42" t="str">
        <f t="shared" si="1"/>
        <v>410</v>
      </c>
      <c r="B152" s="43">
        <f t="shared" si="2"/>
        <v>445</v>
      </c>
      <c r="C152" s="44">
        <f t="array" ref="C152">MAX((Solieu!$A$4:$A$4000=A152)*Solieu!$E$4:$E$4000)</f>
        <v>2.0975</v>
      </c>
      <c r="D152" s="45">
        <f>VLOOKUP(C152,Solieu!$E$4:$L$4000,6,FALSE)</f>
        <v>0.01763</v>
      </c>
      <c r="E152" s="46">
        <f t="array" ref="E152">MAX((Solieu!$A$4:$A$4000=A152)*Solieu!$J$4:$J$4000)</f>
        <v>0.19388</v>
      </c>
      <c r="F152" s="47">
        <f>VLOOKUP(E152,Solieu!$J$4:$K$4000,2,FALSE)</f>
        <v>2.0975</v>
      </c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8.75" customHeight="1">
      <c r="A153" s="42" t="str">
        <f t="shared" si="1"/>
        <v>411</v>
      </c>
      <c r="B153" s="43">
        <f t="shared" si="2"/>
        <v>448</v>
      </c>
      <c r="C153" s="44">
        <f t="array" ref="C153">MAX((Solieu!$A$4:$A$4000=A153)*Solieu!$E$4:$E$4000)</f>
        <v>2.0634</v>
      </c>
      <c r="D153" s="45">
        <f>VLOOKUP(C153,Solieu!$E$4:$L$4000,6,FALSE)</f>
        <v>0.17706</v>
      </c>
      <c r="E153" s="46">
        <f t="array" ref="E153">MAX((Solieu!$A$4:$A$4000=A153)*Solieu!$J$4:$J$4000)</f>
        <v>0.17706</v>
      </c>
      <c r="F153" s="47">
        <f>VLOOKUP(E153,Solieu!$J$4:$K$4000,2,FALSE)</f>
        <v>2.0634</v>
      </c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8.75" customHeight="1">
      <c r="A154" s="42" t="str">
        <f t="shared" si="1"/>
        <v>411</v>
      </c>
      <c r="B154" s="43">
        <f t="shared" si="2"/>
        <v>451</v>
      </c>
      <c r="C154" s="44">
        <f t="array" ref="C154">MAX((Solieu!$A$4:$A$4000=A154)*Solieu!$E$4:$E$4000)</f>
        <v>2.0634</v>
      </c>
      <c r="D154" s="45">
        <f>VLOOKUP(C154,Solieu!$E$4:$L$4000,6,FALSE)</f>
        <v>0.17706</v>
      </c>
      <c r="E154" s="46">
        <f t="array" ref="E154">MAX((Solieu!$A$4:$A$4000=A154)*Solieu!$J$4:$J$4000)</f>
        <v>0.17706</v>
      </c>
      <c r="F154" s="47">
        <f>VLOOKUP(E154,Solieu!$J$4:$K$4000,2,FALSE)</f>
        <v>2.0634</v>
      </c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8.75" customHeight="1">
      <c r="A155" s="42" t="str">
        <f t="shared" si="1"/>
        <v>412</v>
      </c>
      <c r="B155" s="43">
        <f t="shared" si="2"/>
        <v>454</v>
      </c>
      <c r="C155" s="44">
        <f t="array" ref="C155">MAX((Solieu!$A$4:$A$4000=A155)*Solieu!$E$4:$E$4000)</f>
        <v>2.1076</v>
      </c>
      <c r="D155" s="45">
        <f>VLOOKUP(C155,Solieu!$E$4:$L$4000,6,FALSE)</f>
        <v>0.01799</v>
      </c>
      <c r="E155" s="46">
        <f t="array" ref="E155">MAX((Solieu!$A$4:$A$4000=A155)*Solieu!$J$4:$J$4000)</f>
        <v>0.1942</v>
      </c>
      <c r="F155" s="47">
        <f>VLOOKUP(E155,Solieu!$J$4:$K$4000,2,FALSE)</f>
        <v>2.1076</v>
      </c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8.75" customHeight="1">
      <c r="A156" s="42" t="str">
        <f t="shared" si="1"/>
        <v>412</v>
      </c>
      <c r="B156" s="43">
        <f t="shared" si="2"/>
        <v>457</v>
      </c>
      <c r="C156" s="44">
        <f t="array" ref="C156">MAX((Solieu!$A$4:$A$4000=A156)*Solieu!$E$4:$E$4000)</f>
        <v>2.1076</v>
      </c>
      <c r="D156" s="45">
        <f>VLOOKUP(C156,Solieu!$E$4:$L$4000,6,FALSE)</f>
        <v>0.01799</v>
      </c>
      <c r="E156" s="46">
        <f t="array" ref="E156">MAX((Solieu!$A$4:$A$4000=A156)*Solieu!$J$4:$J$4000)</f>
        <v>0.1942</v>
      </c>
      <c r="F156" s="47">
        <f>VLOOKUP(E156,Solieu!$J$4:$K$4000,2,FALSE)</f>
        <v>2.1076</v>
      </c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8.75" customHeight="1">
      <c r="A157" s="42" t="str">
        <f t="shared" si="1"/>
        <v>413</v>
      </c>
      <c r="B157" s="43">
        <f t="shared" si="2"/>
        <v>460</v>
      </c>
      <c r="C157" s="44">
        <f t="array" ref="C157">MAX((Solieu!$A$4:$A$4000=A157)*Solieu!$E$4:$E$4000)</f>
        <v>2.0739</v>
      </c>
      <c r="D157" s="45">
        <f>VLOOKUP(C157,Solieu!$E$4:$L$4000,6,FALSE)</f>
        <v>0.17821</v>
      </c>
      <c r="E157" s="46">
        <f t="array" ref="E157">MAX((Solieu!$A$4:$A$4000=A157)*Solieu!$J$4:$J$4000)</f>
        <v>0.17821</v>
      </c>
      <c r="F157" s="47">
        <f>VLOOKUP(E157,Solieu!$J$4:$K$4000,2,FALSE)</f>
        <v>2.0739</v>
      </c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8.75" customHeight="1">
      <c r="A158" s="42" t="str">
        <f t="shared" si="1"/>
        <v>414</v>
      </c>
      <c r="B158" s="43">
        <f t="shared" si="2"/>
        <v>463</v>
      </c>
      <c r="C158" s="44">
        <f t="array" ref="C158">MAX((Solieu!$A$4:$A$4000=A158)*Solieu!$E$4:$E$4000)</f>
        <v>2.2587</v>
      </c>
      <c r="D158" s="45">
        <f>VLOOKUP(C158,Solieu!$E$4:$L$4000,6,FALSE)</f>
        <v>0.0445</v>
      </c>
      <c r="E158" s="46">
        <f t="array" ref="E158">MAX((Solieu!$A$4:$A$4000=A158)*Solieu!$J$4:$J$4000)</f>
        <v>0.1579</v>
      </c>
      <c r="F158" s="47">
        <f>VLOOKUP(E158,Solieu!$J$4:$K$4000,2,FALSE)</f>
        <v>2.2587</v>
      </c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8.75" customHeight="1">
      <c r="A159" s="42" t="str">
        <f t="shared" si="1"/>
        <v>414</v>
      </c>
      <c r="B159" s="43">
        <f t="shared" si="2"/>
        <v>466</v>
      </c>
      <c r="C159" s="44">
        <f t="array" ref="C159">MAX((Solieu!$A$4:$A$4000=A159)*Solieu!$E$4:$E$4000)</f>
        <v>2.2587</v>
      </c>
      <c r="D159" s="45">
        <f>VLOOKUP(C159,Solieu!$E$4:$L$4000,6,FALSE)</f>
        <v>0.0445</v>
      </c>
      <c r="E159" s="46">
        <f t="array" ref="E159">MAX((Solieu!$A$4:$A$4000=A159)*Solieu!$J$4:$J$4000)</f>
        <v>0.1579</v>
      </c>
      <c r="F159" s="47">
        <f>VLOOKUP(E159,Solieu!$J$4:$K$4000,2,FALSE)</f>
        <v>2.2587</v>
      </c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8.75" customHeight="1">
      <c r="A160" s="42" t="str">
        <f t="shared" si="1"/>
        <v>415</v>
      </c>
      <c r="B160" s="43">
        <f t="shared" si="2"/>
        <v>469</v>
      </c>
      <c r="C160" s="44">
        <f t="array" ref="C160">MAX((Solieu!$A$4:$A$4000=A160)*Solieu!$E$4:$E$4000)</f>
        <v>2.2611</v>
      </c>
      <c r="D160" s="45">
        <f>VLOOKUP(C160,Solieu!$E$4:$L$4000,6,FALSE)</f>
        <v>0.18169</v>
      </c>
      <c r="E160" s="46">
        <f t="array" ref="E160">MAX((Solieu!$A$4:$A$4000=A160)*Solieu!$J$4:$J$4000)</f>
        <v>0.18169</v>
      </c>
      <c r="F160" s="47">
        <f>VLOOKUP(E160,Solieu!$J$4:$K$4000,2,FALSE)</f>
        <v>2.2611</v>
      </c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8.75" customHeight="1">
      <c r="A161" s="42" t="str">
        <f t="shared" si="1"/>
        <v>415</v>
      </c>
      <c r="B161" s="43">
        <f t="shared" si="2"/>
        <v>472</v>
      </c>
      <c r="C161" s="44">
        <f t="array" ref="C161">MAX((Solieu!$A$4:$A$4000=A161)*Solieu!$E$4:$E$4000)</f>
        <v>2.2611</v>
      </c>
      <c r="D161" s="45">
        <f>VLOOKUP(C161,Solieu!$E$4:$L$4000,6,FALSE)</f>
        <v>0.18169</v>
      </c>
      <c r="E161" s="46">
        <f t="array" ref="E161">MAX((Solieu!$A$4:$A$4000=A161)*Solieu!$J$4:$J$4000)</f>
        <v>0.18169</v>
      </c>
      <c r="F161" s="47">
        <f>VLOOKUP(E161,Solieu!$J$4:$K$4000,2,FALSE)</f>
        <v>2.2611</v>
      </c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8.75" customHeight="1">
      <c r="A162" s="42" t="str">
        <f t="shared" si="1"/>
        <v>416</v>
      </c>
      <c r="B162" s="43">
        <f t="shared" si="2"/>
        <v>475</v>
      </c>
      <c r="C162" s="44">
        <f t="array" ref="C162">MAX((Solieu!$A$4:$A$4000=A162)*Solieu!$E$4:$E$4000)</f>
        <v>1.6937</v>
      </c>
      <c r="D162" s="45">
        <f>VLOOKUP(C162,Solieu!$E$4:$L$4000,6,FALSE)</f>
        <v>0.07745</v>
      </c>
      <c r="E162" s="46">
        <f t="array" ref="E162">MAX((Solieu!$A$4:$A$4000=A162)*Solieu!$J$4:$J$4000)</f>
        <v>0.38763</v>
      </c>
      <c r="F162" s="47">
        <f>VLOOKUP(E162,Solieu!$J$4:$K$4000,2,FALSE)</f>
        <v>1.6937</v>
      </c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8.75" customHeight="1">
      <c r="A163" s="42" t="str">
        <f t="shared" si="1"/>
        <v>417</v>
      </c>
      <c r="B163" s="43">
        <f t="shared" si="2"/>
        <v>478</v>
      </c>
      <c r="C163" s="44">
        <f t="array" ref="C163">MAX((Solieu!$A$4:$A$4000=A163)*Solieu!$E$4:$E$4000)</f>
        <v>1.6745</v>
      </c>
      <c r="D163" s="45">
        <f>VLOOKUP(C163,Solieu!$E$4:$L$4000,6,FALSE)</f>
        <v>0.50471</v>
      </c>
      <c r="E163" s="46">
        <f t="array" ref="E163">MAX((Solieu!$A$4:$A$4000=A163)*Solieu!$J$4:$J$4000)</f>
        <v>0.50471</v>
      </c>
      <c r="F163" s="47">
        <f>VLOOKUP(E163,Solieu!$J$4:$K$4000,2,FALSE)</f>
        <v>1.6745</v>
      </c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8.75" customHeight="1">
      <c r="A164" s="42" t="str">
        <f t="shared" si="1"/>
        <v>417</v>
      </c>
      <c r="B164" s="43">
        <f t="shared" si="2"/>
        <v>481</v>
      </c>
      <c r="C164" s="44">
        <f t="array" ref="C164">MAX((Solieu!$A$4:$A$4000=A164)*Solieu!$E$4:$E$4000)</f>
        <v>1.6745</v>
      </c>
      <c r="D164" s="45">
        <f>VLOOKUP(C164,Solieu!$E$4:$L$4000,6,FALSE)</f>
        <v>0.50471</v>
      </c>
      <c r="E164" s="46">
        <f t="array" ref="E164">MAX((Solieu!$A$4:$A$4000=A164)*Solieu!$J$4:$J$4000)</f>
        <v>0.50471</v>
      </c>
      <c r="F164" s="47">
        <f>VLOOKUP(E164,Solieu!$J$4:$K$4000,2,FALSE)</f>
        <v>1.6745</v>
      </c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8.75" customHeight="1">
      <c r="A165" s="42" t="str">
        <f t="shared" si="1"/>
        <v>419</v>
      </c>
      <c r="B165" s="43">
        <f t="shared" si="2"/>
        <v>484</v>
      </c>
      <c r="C165" s="44">
        <f t="array" ref="C165">MAX((Solieu!$A$4:$A$4000=A165)*Solieu!$E$4:$E$4000)</f>
        <v>3.1436</v>
      </c>
      <c r="D165" s="45">
        <f>VLOOKUP(C165,Solieu!$E$4:$L$4000,6,FALSE)</f>
        <v>0.09413</v>
      </c>
      <c r="E165" s="46">
        <f t="array" ref="E165">MAX((Solieu!$A$4:$A$4000=A165)*Solieu!$J$4:$J$4000)</f>
        <v>0.15956</v>
      </c>
      <c r="F165" s="47">
        <f>VLOOKUP(E165,Solieu!$J$4:$K$4000,2,FALSE)</f>
        <v>2.9222</v>
      </c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8.75" customHeight="1">
      <c r="A166" s="42" t="str">
        <f t="shared" si="1"/>
        <v>420</v>
      </c>
      <c r="B166" s="43">
        <f t="shared" si="2"/>
        <v>487</v>
      </c>
      <c r="C166" s="44">
        <f t="array" ref="C166">MAX((Solieu!$A$4:$A$4000=A166)*Solieu!$E$4:$E$4000)</f>
        <v>2.4733</v>
      </c>
      <c r="D166" s="45">
        <f>VLOOKUP(C166,Solieu!$E$4:$L$4000,6,FALSE)</f>
        <v>0.09246</v>
      </c>
      <c r="E166" s="46">
        <f t="array" ref="E166">MAX((Solieu!$A$4:$A$4000=A166)*Solieu!$J$4:$J$4000)</f>
        <v>0.17901</v>
      </c>
      <c r="F166" s="47">
        <f>VLOOKUP(E166,Solieu!$J$4:$K$4000,2,FALSE)</f>
        <v>2.252</v>
      </c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8.75" customHeight="1">
      <c r="A167" s="42" t="str">
        <f t="shared" si="1"/>
        <v>421</v>
      </c>
      <c r="B167" s="43">
        <f t="shared" si="2"/>
        <v>490</v>
      </c>
      <c r="C167" s="44">
        <f t="array" ref="C167">MAX((Solieu!$A$4:$A$4000=A167)*Solieu!$E$4:$E$4000)</f>
        <v>2.4635</v>
      </c>
      <c r="D167" s="45">
        <f>VLOOKUP(C167,Solieu!$E$4:$L$4000,6,FALSE)</f>
        <v>0.09207</v>
      </c>
      <c r="E167" s="46">
        <f t="array" ref="E167">MAX((Solieu!$A$4:$A$4000=A167)*Solieu!$J$4:$J$4000)</f>
        <v>0.17959</v>
      </c>
      <c r="F167" s="47">
        <f>VLOOKUP(E167,Solieu!$J$4:$K$4000,2,FALSE)</f>
        <v>2.2421</v>
      </c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8.75" customHeight="1">
      <c r="A168" s="42" t="str">
        <f t="shared" si="1"/>
        <v>434</v>
      </c>
      <c r="B168" s="43">
        <f t="shared" si="2"/>
        <v>493</v>
      </c>
      <c r="C168" s="44">
        <f t="array" ref="C168">MAX((Solieu!$A$4:$A$4000=A168)*Solieu!$E$4:$E$4000)</f>
        <v>3.1495</v>
      </c>
      <c r="D168" s="45">
        <f>VLOOKUP(C168,Solieu!$E$4:$L$4000,6,FALSE)</f>
        <v>0.08874</v>
      </c>
      <c r="E168" s="46">
        <f t="array" ref="E168">MAX((Solieu!$A$4:$A$4000=A168)*Solieu!$J$4:$J$4000)</f>
        <v>0.16062</v>
      </c>
      <c r="F168" s="47">
        <f>VLOOKUP(E168,Solieu!$J$4:$K$4000,2,FALSE)</f>
        <v>2.9281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8.75" customHeight="1">
      <c r="A169" s="42" t="str">
        <f t="shared" si="1"/>
        <v>437</v>
      </c>
      <c r="B169" s="43">
        <f t="shared" si="2"/>
        <v>496</v>
      </c>
      <c r="C169" s="44">
        <f t="array" ref="C169">MAX((Solieu!$A$4:$A$4000=A169)*Solieu!$E$4:$E$4000)</f>
        <v>2.6038</v>
      </c>
      <c r="D169" s="45">
        <f>VLOOKUP(C169,Solieu!$E$4:$L$4000,6,FALSE)</f>
        <v>0.29688</v>
      </c>
      <c r="E169" s="46">
        <f t="array" ref="E169">MAX((Solieu!$A$4:$A$4000=A169)*Solieu!$J$4:$J$4000)</f>
        <v>0.29688</v>
      </c>
      <c r="F169" s="47">
        <f>VLOOKUP(E169,Solieu!$J$4:$K$4000,2,FALSE)</f>
        <v>2.6038</v>
      </c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8.75" customHeight="1">
      <c r="A170" s="42" t="str">
        <f t="shared" si="1"/>
        <v>439</v>
      </c>
      <c r="B170" s="43">
        <f t="shared" si="2"/>
        <v>499</v>
      </c>
      <c r="C170" s="44">
        <f t="array" ref="C170">MAX((Solieu!$A$4:$A$4000=A170)*Solieu!$E$4:$E$4000)</f>
        <v>3.288</v>
      </c>
      <c r="D170" s="45">
        <f>VLOOKUP(C170,Solieu!$E$4:$L$4000,6,FALSE)</f>
        <v>0.17447</v>
      </c>
      <c r="E170" s="46">
        <f t="array" ref="E170">MAX((Solieu!$A$4:$A$4000=A170)*Solieu!$J$4:$J$4000)</f>
        <v>0.18398</v>
      </c>
      <c r="F170" s="47">
        <f>VLOOKUP(E170,Solieu!$J$4:$K$4000,2,FALSE)</f>
        <v>3.0666</v>
      </c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8.75" customHeight="1">
      <c r="A171" s="42" t="str">
        <f t="shared" si="1"/>
        <v>440</v>
      </c>
      <c r="B171" s="43">
        <f t="shared" si="2"/>
        <v>502</v>
      </c>
      <c r="C171" s="44">
        <f t="array" ref="C171">MAX((Solieu!$A$4:$A$4000=A171)*Solieu!$E$4:$E$4000)</f>
        <v>2.4121</v>
      </c>
      <c r="D171" s="45">
        <f>VLOOKUP(C171,Solieu!$E$4:$L$4000,6,FALSE)</f>
        <v>0.11767</v>
      </c>
      <c r="E171" s="46">
        <f t="array" ref="E171">MAX((Solieu!$A$4:$A$4000=A171)*Solieu!$J$4:$J$4000)</f>
        <v>0.16946</v>
      </c>
      <c r="F171" s="47">
        <f>VLOOKUP(E171,Solieu!$J$4:$K$4000,2,FALSE)</f>
        <v>2.1908</v>
      </c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8.75" customHeight="1">
      <c r="A172" s="42" t="str">
        <f t="shared" si="1"/>
        <v>442</v>
      </c>
      <c r="B172" s="43">
        <f t="shared" si="2"/>
        <v>505</v>
      </c>
      <c r="C172" s="44">
        <f t="array" ref="C172">MAX((Solieu!$A$4:$A$4000=A172)*Solieu!$E$4:$E$4000)</f>
        <v>3.2915</v>
      </c>
      <c r="D172" s="45">
        <f>VLOOKUP(C172,Solieu!$E$4:$L$4000,6,FALSE)</f>
        <v>0.17086</v>
      </c>
      <c r="E172" s="46">
        <f t="array" ref="E172">MAX((Solieu!$A$4:$A$4000=A172)*Solieu!$J$4:$J$4000)</f>
        <v>0.1836</v>
      </c>
      <c r="F172" s="47">
        <f>VLOOKUP(E172,Solieu!$J$4:$K$4000,2,FALSE)</f>
        <v>3.0702</v>
      </c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8.75" customHeight="1">
      <c r="A173" s="42" t="str">
        <f t="shared" si="1"/>
        <v>443</v>
      </c>
      <c r="B173" s="43">
        <f t="shared" si="2"/>
        <v>508</v>
      </c>
      <c r="C173" s="44">
        <f t="array" ref="C173">MAX((Solieu!$A$4:$A$4000=A173)*Solieu!$E$4:$E$4000)</f>
        <v>2.6569</v>
      </c>
      <c r="D173" s="45">
        <f>VLOOKUP(C173,Solieu!$E$4:$L$4000,6,FALSE)</f>
        <v>0.28183</v>
      </c>
      <c r="E173" s="46">
        <f t="array" ref="E173">MAX((Solieu!$A$4:$A$4000=A173)*Solieu!$J$4:$J$4000)</f>
        <v>0.28183</v>
      </c>
      <c r="F173" s="47">
        <f>VLOOKUP(E173,Solieu!$J$4:$K$4000,2,FALSE)</f>
        <v>2.6569</v>
      </c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8.75" customHeight="1">
      <c r="A174" s="42" t="str">
        <f t="shared" si="1"/>
        <v>447</v>
      </c>
      <c r="B174" s="43">
        <f t="shared" si="2"/>
        <v>511</v>
      </c>
      <c r="C174" s="44">
        <f t="array" ref="C174">MAX((Solieu!$A$4:$A$4000=A174)*Solieu!$E$4:$E$4000)</f>
        <v>8.6034</v>
      </c>
      <c r="D174" s="45">
        <f>VLOOKUP(C174,Solieu!$E$4:$L$4000,6,FALSE)</f>
        <v>0.32529</v>
      </c>
      <c r="E174" s="46">
        <f t="array" ref="E174">MAX((Solieu!$A$4:$A$4000=A174)*Solieu!$J$4:$J$4000)</f>
        <v>0.3872</v>
      </c>
      <c r="F174" s="47">
        <f>VLOOKUP(E174,Solieu!$J$4:$K$4000,2,FALSE)</f>
        <v>7.2068</v>
      </c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8.75" customHeight="1">
      <c r="A175" s="42" t="str">
        <f t="shared" si="1"/>
        <v>447</v>
      </c>
      <c r="B175" s="43">
        <f t="shared" si="2"/>
        <v>514</v>
      </c>
      <c r="C175" s="44">
        <f t="array" ref="C175">MAX((Solieu!$A$4:$A$4000=A175)*Solieu!$E$4:$E$4000)</f>
        <v>8.6034</v>
      </c>
      <c r="D175" s="45">
        <f>VLOOKUP(C175,Solieu!$E$4:$L$4000,6,FALSE)</f>
        <v>0.32529</v>
      </c>
      <c r="E175" s="46">
        <f t="array" ref="E175">MAX((Solieu!$A$4:$A$4000=A175)*Solieu!$J$4:$J$4000)</f>
        <v>0.3872</v>
      </c>
      <c r="F175" s="47">
        <f>VLOOKUP(E175,Solieu!$J$4:$K$4000,2,FALSE)</f>
        <v>7.2068</v>
      </c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8.75" customHeight="1">
      <c r="A176" s="42" t="str">
        <f t="shared" si="1"/>
        <v>448</v>
      </c>
      <c r="B176" s="43">
        <f t="shared" si="2"/>
        <v>517</v>
      </c>
      <c r="C176" s="44">
        <f t="array" ref="C176">MAX((Solieu!$A$4:$A$4000=A176)*Solieu!$E$4:$E$4000)</f>
        <v>1.4502</v>
      </c>
      <c r="D176" s="45">
        <f>VLOOKUP(C176,Solieu!$E$4:$L$4000,6,FALSE)</f>
        <v>0.01466</v>
      </c>
      <c r="E176" s="46">
        <f t="array" ref="E176">MAX((Solieu!$A$4:$A$4000=A176)*Solieu!$J$4:$J$4000)</f>
        <v>0.02947</v>
      </c>
      <c r="F176" s="47">
        <f>VLOOKUP(E176,Solieu!$J$4:$K$4000,2,FALSE)</f>
        <v>1.3402</v>
      </c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8.75" customHeight="1">
      <c r="A177" s="42" t="str">
        <f t="shared" si="1"/>
        <v>450</v>
      </c>
      <c r="B177" s="43">
        <f t="shared" si="2"/>
        <v>520</v>
      </c>
      <c r="C177" s="44">
        <f t="array" ref="C177">MAX((Solieu!$A$4:$A$4000=A177)*Solieu!$E$4:$E$4000)</f>
        <v>1.8142</v>
      </c>
      <c r="D177" s="45">
        <f>VLOOKUP(C177,Solieu!$E$4:$L$4000,6,FALSE)</f>
        <v>0.01968</v>
      </c>
      <c r="E177" s="46">
        <f t="array" ref="E177">MAX((Solieu!$A$4:$A$4000=A177)*Solieu!$J$4:$J$4000)</f>
        <v>0.05571</v>
      </c>
      <c r="F177" s="47">
        <f>VLOOKUP(E177,Solieu!$J$4:$K$4000,2,FALSE)</f>
        <v>1.7042</v>
      </c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8.75" customHeight="1">
      <c r="A178" s="42" t="str">
        <f t="shared" si="1"/>
        <v>451</v>
      </c>
      <c r="B178" s="43">
        <f t="shared" si="2"/>
        <v>523</v>
      </c>
      <c r="C178" s="44">
        <f t="array" ref="C178">MAX((Solieu!$A$4:$A$4000=A178)*Solieu!$E$4:$E$4000)</f>
        <v>2.6199</v>
      </c>
      <c r="D178" s="45">
        <f>VLOOKUP(C178,Solieu!$E$4:$L$4000,6,FALSE)</f>
        <v>0.10045</v>
      </c>
      <c r="E178" s="46">
        <f t="array" ref="E178">MAX((Solieu!$A$4:$A$4000=A178)*Solieu!$J$4:$J$4000)</f>
        <v>0.10045</v>
      </c>
      <c r="F178" s="47">
        <f>VLOOKUP(E178,Solieu!$J$4:$K$4000,2,FALSE)</f>
        <v>2.6199</v>
      </c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8.75" customHeight="1">
      <c r="A179" s="42" t="str">
        <f t="shared" si="1"/>
        <v>452</v>
      </c>
      <c r="B179" s="43">
        <f t="shared" si="2"/>
        <v>526</v>
      </c>
      <c r="C179" s="44">
        <f t="array" ref="C179">MAX((Solieu!$A$4:$A$4000=A179)*Solieu!$E$4:$E$4000)</f>
        <v>2.2434</v>
      </c>
      <c r="D179" s="45">
        <f>VLOOKUP(C179,Solieu!$E$4:$L$4000,6,FALSE)</f>
        <v>0.0862</v>
      </c>
      <c r="E179" s="46">
        <f t="array" ref="E179">MAX((Solieu!$A$4:$A$4000=A179)*Solieu!$J$4:$J$4000)</f>
        <v>0.10442</v>
      </c>
      <c r="F179" s="47">
        <f>VLOOKUP(E179,Solieu!$J$4:$K$4000,2,FALSE)</f>
        <v>1.9904</v>
      </c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8.75" customHeight="1">
      <c r="A180" s="42" t="str">
        <f t="shared" si="1"/>
        <v>453</v>
      </c>
      <c r="B180" s="43">
        <f t="shared" si="2"/>
        <v>529</v>
      </c>
      <c r="C180" s="44">
        <f t="array" ref="C180">MAX((Solieu!$A$4:$A$4000=A180)*Solieu!$E$4:$E$4000)</f>
        <v>2.6282</v>
      </c>
      <c r="D180" s="45">
        <f>VLOOKUP(C180,Solieu!$E$4:$L$4000,6,FALSE)</f>
        <v>0.01725</v>
      </c>
      <c r="E180" s="46">
        <f t="array" ref="E180">MAX((Solieu!$A$4:$A$4000=A180)*Solieu!$J$4:$J$4000)</f>
        <v>0.01725</v>
      </c>
      <c r="F180" s="47">
        <f>VLOOKUP(E180,Solieu!$J$4:$K$4000,2,FALSE)</f>
        <v>2.6282</v>
      </c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8.75" customHeight="1">
      <c r="A181" s="42" t="str">
        <f t="shared" si="1"/>
        <v>454</v>
      </c>
      <c r="B181" s="43">
        <f t="shared" si="2"/>
        <v>532</v>
      </c>
      <c r="C181" s="44">
        <f t="array" ref="C181">MAX((Solieu!$A$4:$A$4000=A181)*Solieu!$E$4:$E$4000)</f>
        <v>1.8212</v>
      </c>
      <c r="D181" s="45">
        <f>VLOOKUP(C181,Solieu!$E$4:$L$4000,6,FALSE)</f>
        <v>0.00618</v>
      </c>
      <c r="E181" s="46">
        <f t="array" ref="E181">MAX((Solieu!$A$4:$A$4000=A181)*Solieu!$J$4:$J$4000)</f>
        <v>0.02648</v>
      </c>
      <c r="F181" s="47">
        <f>VLOOKUP(E181,Solieu!$J$4:$K$4000,2,FALSE)</f>
        <v>1.7112</v>
      </c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8.75" customHeight="1">
      <c r="A182" s="42" t="str">
        <f t="shared" si="1"/>
        <v>455</v>
      </c>
      <c r="B182" s="43">
        <f t="shared" si="2"/>
        <v>535</v>
      </c>
      <c r="C182" s="44">
        <f t="array" ref="C182">MAX((Solieu!$A$4:$A$4000=A182)*Solieu!$E$4:$E$4000)</f>
        <v>2.2284</v>
      </c>
      <c r="D182" s="45">
        <f>VLOOKUP(C182,Solieu!$E$4:$L$4000,6,FALSE)</f>
        <v>0.0018</v>
      </c>
      <c r="E182" s="46">
        <f t="array" ref="E182">MAX((Solieu!$A$4:$A$4000=A182)*Solieu!$J$4:$J$4000)</f>
        <v>0.02494</v>
      </c>
      <c r="F182" s="47">
        <f>VLOOKUP(E182,Solieu!$J$4:$K$4000,2,FALSE)</f>
        <v>1.9754</v>
      </c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8.75" customHeight="1">
      <c r="A183" s="42" t="str">
        <f t="shared" si="1"/>
        <v>456</v>
      </c>
      <c r="B183" s="43">
        <f t="shared" si="2"/>
        <v>538</v>
      </c>
      <c r="C183" s="44">
        <f t="array" ref="C183">MAX((Solieu!$A$4:$A$4000=A183)*Solieu!$E$4:$E$4000)</f>
        <v>1.4387</v>
      </c>
      <c r="D183" s="45">
        <f>VLOOKUP(C183,Solieu!$E$4:$L$4000,6,FALSE)</f>
        <v>0.01071</v>
      </c>
      <c r="E183" s="46">
        <f t="array" ref="E183">MAX((Solieu!$A$4:$A$4000=A183)*Solieu!$J$4:$J$4000)</f>
        <v>0.01071</v>
      </c>
      <c r="F183" s="47">
        <f>VLOOKUP(E183,Solieu!$J$4:$K$4000,2,FALSE)</f>
        <v>1.4387</v>
      </c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8.75" customHeight="1">
      <c r="A184" s="42" t="str">
        <f t="shared" si="1"/>
        <v>457</v>
      </c>
      <c r="B184" s="43">
        <f t="shared" si="2"/>
        <v>541</v>
      </c>
      <c r="C184" s="44">
        <f t="array" ref="C184">MAX((Solieu!$A$4:$A$4000=A184)*Solieu!$E$4:$E$4000)</f>
        <v>8.373</v>
      </c>
      <c r="D184" s="45">
        <f>VLOOKUP(C184,Solieu!$E$4:$L$4000,6,FALSE)</f>
        <v>0.22879</v>
      </c>
      <c r="E184" s="46">
        <f t="array" ref="E184">MAX((Solieu!$A$4:$A$4000=A184)*Solieu!$J$4:$J$4000)</f>
        <v>0.22879</v>
      </c>
      <c r="F184" s="47">
        <f>VLOOKUP(E184,Solieu!$J$4:$K$4000,2,FALSE)</f>
        <v>8.373</v>
      </c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8.75" customHeight="1">
      <c r="A185" s="42" t="str">
        <f t="shared" si="1"/>
        <v>458</v>
      </c>
      <c r="B185" s="43">
        <f t="shared" si="2"/>
        <v>544</v>
      </c>
      <c r="C185" s="44">
        <f t="array" ref="C185">MAX((Solieu!$A$4:$A$4000=A185)*Solieu!$E$4:$E$4000)</f>
        <v>7.0889</v>
      </c>
      <c r="D185" s="45">
        <f>VLOOKUP(C185,Solieu!$E$4:$L$4000,6,FALSE)</f>
        <v>0.0244</v>
      </c>
      <c r="E185" s="46">
        <f t="array" ref="E185">MAX((Solieu!$A$4:$A$4000=A185)*Solieu!$J$4:$J$4000)</f>
        <v>0.33189</v>
      </c>
      <c r="F185" s="47">
        <f>VLOOKUP(E185,Solieu!$J$4:$K$4000,2,FALSE)</f>
        <v>6.9789</v>
      </c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8.75" customHeight="1">
      <c r="A186" s="42" t="str">
        <f t="shared" si="1"/>
        <v>459</v>
      </c>
      <c r="B186" s="43">
        <f t="shared" si="2"/>
        <v>547</v>
      </c>
      <c r="C186" s="44">
        <f t="array" ref="C186">MAX((Solieu!$A$4:$A$4000=A186)*Solieu!$E$4:$E$4000)</f>
        <v>2.4142</v>
      </c>
      <c r="D186" s="45">
        <f>VLOOKUP(C186,Solieu!$E$4:$L$4000,6,FALSE)</f>
        <v>0.11832</v>
      </c>
      <c r="E186" s="46">
        <f t="array" ref="E186">MAX((Solieu!$A$4:$A$4000=A186)*Solieu!$J$4:$J$4000)</f>
        <v>0.17005</v>
      </c>
      <c r="F186" s="47">
        <f>VLOOKUP(E186,Solieu!$J$4:$K$4000,2,FALSE)</f>
        <v>2.1928</v>
      </c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8.75" customHeight="1">
      <c r="A187" s="42" t="str">
        <f t="shared" si="1"/>
        <v>461</v>
      </c>
      <c r="B187" s="43">
        <f t="shared" si="2"/>
        <v>550</v>
      </c>
      <c r="C187" s="44">
        <f t="array" ref="C187">MAX((Solieu!$A$4:$A$4000=A187)*Solieu!$E$4:$E$4000)</f>
        <v>7.9583</v>
      </c>
      <c r="D187" s="45">
        <f>VLOOKUP(C187,Solieu!$E$4:$L$4000,6,FALSE)</f>
        <v>0.16632</v>
      </c>
      <c r="E187" s="46">
        <f t="array" ref="E187">MAX((Solieu!$A$4:$A$4000=A187)*Solieu!$J$4:$J$4000)</f>
        <v>0.32533</v>
      </c>
      <c r="F187" s="47">
        <f>VLOOKUP(E187,Solieu!$J$4:$K$4000,2,FALSE)</f>
        <v>7.7369</v>
      </c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8.75" customHeight="1">
      <c r="A188" s="42" t="str">
        <f t="shared" si="1"/>
        <v>462</v>
      </c>
      <c r="B188" s="43">
        <f t="shared" si="2"/>
        <v>553</v>
      </c>
      <c r="C188" s="44">
        <f t="array" ref="C188">MAX((Solieu!$A$4:$A$4000=A188)*Solieu!$E$4:$E$4000)</f>
        <v>8.2453</v>
      </c>
      <c r="D188" s="45">
        <f>VLOOKUP(C188,Solieu!$E$4:$L$4000,6,FALSE)</f>
        <v>0.28731</v>
      </c>
      <c r="E188" s="46">
        <f t="array" ref="E188">MAX((Solieu!$A$4:$A$4000=A188)*Solieu!$J$4:$J$4000)</f>
        <v>0.28731</v>
      </c>
      <c r="F188" s="47">
        <f>VLOOKUP(E188,Solieu!$J$4:$K$4000,2,FALSE)</f>
        <v>8.2453</v>
      </c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8.75" customHeight="1">
      <c r="A189" s="42" t="str">
        <f t="shared" si="1"/>
        <v>463</v>
      </c>
      <c r="B189" s="43">
        <f t="shared" si="2"/>
        <v>556</v>
      </c>
      <c r="C189" s="44">
        <f t="array" ref="C189">MAX((Solieu!$A$4:$A$4000=A189)*Solieu!$E$4:$E$4000)</f>
        <v>11.6802</v>
      </c>
      <c r="D189" s="45">
        <f>VLOOKUP(C189,Solieu!$E$4:$L$4000,6,FALSE)</f>
        <v>0.49638</v>
      </c>
      <c r="E189" s="46">
        <f t="array" ref="E189">MAX((Solieu!$A$4:$A$4000=A189)*Solieu!$J$4:$J$4000)</f>
        <v>0.72082</v>
      </c>
      <c r="F189" s="47">
        <f>VLOOKUP(E189,Solieu!$J$4:$K$4000,2,FALSE)</f>
        <v>11.2374</v>
      </c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8.75" customHeight="1">
      <c r="A190" s="42" t="str">
        <f t="shared" si="1"/>
        <v>464</v>
      </c>
      <c r="B190" s="43">
        <f t="shared" si="2"/>
        <v>559</v>
      </c>
      <c r="C190" s="44">
        <f t="array" ref="C190">MAX((Solieu!$A$4:$A$4000=A190)*Solieu!$E$4:$E$4000)</f>
        <v>7.003</v>
      </c>
      <c r="D190" s="45">
        <f>VLOOKUP(C190,Solieu!$E$4:$L$4000,6,FALSE)</f>
        <v>0.09699</v>
      </c>
      <c r="E190" s="46">
        <f t="array" ref="E190">MAX((Solieu!$A$4:$A$4000=A190)*Solieu!$J$4:$J$4000)</f>
        <v>0.41087</v>
      </c>
      <c r="F190" s="47">
        <f>VLOOKUP(E190,Solieu!$J$4:$K$4000,2,FALSE)</f>
        <v>6.8105</v>
      </c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8.75" customHeight="1">
      <c r="A191" s="42" t="str">
        <f t="shared" si="1"/>
        <v>465</v>
      </c>
      <c r="B191" s="43">
        <f t="shared" si="2"/>
        <v>562</v>
      </c>
      <c r="C191" s="44">
        <f t="array" ref="C191">MAX((Solieu!$A$4:$A$4000=A191)*Solieu!$E$4:$E$4000)</f>
        <v>8.8836</v>
      </c>
      <c r="D191" s="45">
        <f>VLOOKUP(C191,Solieu!$E$4:$L$4000,6,FALSE)</f>
        <v>0.08129</v>
      </c>
      <c r="E191" s="46">
        <f t="array" ref="E191">MAX((Solieu!$A$4:$A$4000=A191)*Solieu!$J$4:$J$4000)</f>
        <v>0.48405</v>
      </c>
      <c r="F191" s="47">
        <f>VLOOKUP(E191,Solieu!$J$4:$K$4000,2,FALSE)</f>
        <v>8.6911</v>
      </c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8.75" customHeight="1">
      <c r="A192" s="42" t="str">
        <f t="shared" si="1"/>
        <v>466</v>
      </c>
      <c r="B192" s="43">
        <f t="shared" si="2"/>
        <v>565</v>
      </c>
      <c r="C192" s="44">
        <f t="array" ref="C192">MAX((Solieu!$A$4:$A$4000=A192)*Solieu!$E$4:$E$4000)</f>
        <v>10.3489</v>
      </c>
      <c r="D192" s="45">
        <f>VLOOKUP(C192,Solieu!$E$4:$L$4000,6,FALSE)</f>
        <v>0.24547</v>
      </c>
      <c r="E192" s="46">
        <f t="array" ref="E192">MAX((Solieu!$A$4:$A$4000=A192)*Solieu!$J$4:$J$4000)</f>
        <v>0.28492</v>
      </c>
      <c r="F192" s="47">
        <f>VLOOKUP(E192,Solieu!$J$4:$K$4000,2,FALSE)</f>
        <v>10.1276</v>
      </c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8.75" customHeight="1">
      <c r="A193" s="42" t="str">
        <f t="shared" si="1"/>
        <v>467</v>
      </c>
      <c r="B193" s="43">
        <f t="shared" si="2"/>
        <v>568</v>
      </c>
      <c r="C193" s="44">
        <f t="array" ref="C193">MAX((Solieu!$A$4:$A$4000=A193)*Solieu!$E$4:$E$4000)</f>
        <v>8.3574</v>
      </c>
      <c r="D193" s="45">
        <f>VLOOKUP(C193,Solieu!$E$4:$L$4000,6,FALSE)</f>
        <v>0.07852</v>
      </c>
      <c r="E193" s="46">
        <f t="array" ref="E193">MAX((Solieu!$A$4:$A$4000=A193)*Solieu!$J$4:$J$4000)</f>
        <v>0.27794</v>
      </c>
      <c r="F193" s="47">
        <f>VLOOKUP(E193,Solieu!$J$4:$K$4000,2,FALSE)</f>
        <v>8.1361</v>
      </c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8.75" customHeight="1">
      <c r="A194" s="42" t="str">
        <f t="shared" si="1"/>
        <v>468</v>
      </c>
      <c r="B194" s="43">
        <f t="shared" si="2"/>
        <v>571</v>
      </c>
      <c r="C194" s="44">
        <f t="array" ref="C194">MAX((Solieu!$A$4:$A$4000=A194)*Solieu!$E$4:$E$4000)</f>
        <v>12.7723</v>
      </c>
      <c r="D194" s="45">
        <f>VLOOKUP(C194,Solieu!$E$4:$L$4000,6,FALSE)</f>
        <v>0.36994</v>
      </c>
      <c r="E194" s="46">
        <f t="array" ref="E194">MAX((Solieu!$A$4:$A$4000=A194)*Solieu!$J$4:$J$4000)</f>
        <v>0.36994</v>
      </c>
      <c r="F194" s="47">
        <f>VLOOKUP(E194,Solieu!$J$4:$K$4000,2,FALSE)</f>
        <v>12.7723</v>
      </c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8.75" customHeight="1">
      <c r="A195" s="42" t="str">
        <f t="shared" si="1"/>
        <v>469</v>
      </c>
      <c r="B195" s="43">
        <f t="shared" si="2"/>
        <v>574</v>
      </c>
      <c r="C195" s="44">
        <f t="array" ref="C195">MAX((Solieu!$A$4:$A$4000=A195)*Solieu!$E$4:$E$4000)</f>
        <v>14.784</v>
      </c>
      <c r="D195" s="45">
        <f>VLOOKUP(C195,Solieu!$E$4:$L$4000,6,FALSE)</f>
        <v>0.19774</v>
      </c>
      <c r="E195" s="46">
        <f t="array" ref="E195">MAX((Solieu!$A$4:$A$4000=A195)*Solieu!$J$4:$J$4000)</f>
        <v>0.28571</v>
      </c>
      <c r="F195" s="47">
        <f>VLOOKUP(E195,Solieu!$J$4:$K$4000,2,FALSE)</f>
        <v>14.5627</v>
      </c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8.75" customHeight="1">
      <c r="A196" s="42" t="str">
        <f t="shared" si="1"/>
        <v>470</v>
      </c>
      <c r="B196" s="43">
        <f t="shared" si="2"/>
        <v>577</v>
      </c>
      <c r="C196" s="44">
        <f t="array" ref="C196">MAX((Solieu!$A$4:$A$4000=A196)*Solieu!$E$4:$E$4000)</f>
        <v>15.6646</v>
      </c>
      <c r="D196" s="45">
        <f>VLOOKUP(C196,Solieu!$E$4:$L$4000,6,FALSE)</f>
        <v>0.18716</v>
      </c>
      <c r="E196" s="46">
        <f t="array" ref="E196">MAX((Solieu!$A$4:$A$4000=A196)*Solieu!$J$4:$J$4000)</f>
        <v>0.26607</v>
      </c>
      <c r="F196" s="47">
        <f>VLOOKUP(E196,Solieu!$J$4:$K$4000,2,FALSE)</f>
        <v>15.2218</v>
      </c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8.75" customHeight="1">
      <c r="A197" s="42" t="str">
        <f t="shared" si="1"/>
        <v>487</v>
      </c>
      <c r="B197" s="43">
        <f t="shared" si="2"/>
        <v>580</v>
      </c>
      <c r="C197" s="44">
        <f t="array" ref="C197">MAX((Solieu!$A$4:$A$4000=A197)*Solieu!$E$4:$E$4000)</f>
        <v>3.6723</v>
      </c>
      <c r="D197" s="45">
        <f>VLOOKUP(C197,Solieu!$E$4:$L$4000,6,FALSE)</f>
        <v>0.06314</v>
      </c>
      <c r="E197" s="46">
        <f t="array" ref="E197">MAX((Solieu!$A$4:$A$4000=A197)*Solieu!$J$4:$J$4000)</f>
        <v>0.13314</v>
      </c>
      <c r="F197" s="47">
        <f>VLOOKUP(E197,Solieu!$J$4:$K$4000,2,FALSE)</f>
        <v>3.5073</v>
      </c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8.75" customHeight="1">
      <c r="A198" s="42" t="str">
        <f t="shared" si="1"/>
        <v>488</v>
      </c>
      <c r="B198" s="43">
        <f t="shared" si="2"/>
        <v>583</v>
      </c>
      <c r="C198" s="44">
        <f t="array" ref="C198">MAX((Solieu!$A$4:$A$4000=A198)*Solieu!$E$4:$E$4000)</f>
        <v>3.1226</v>
      </c>
      <c r="D198" s="45">
        <f>VLOOKUP(C198,Solieu!$E$4:$L$4000,6,FALSE)</f>
        <v>0.01752</v>
      </c>
      <c r="E198" s="46">
        <f t="array" ref="E198">MAX((Solieu!$A$4:$A$4000=A198)*Solieu!$J$4:$J$4000)</f>
        <v>0.10044</v>
      </c>
      <c r="F198" s="47">
        <f>VLOOKUP(E198,Solieu!$J$4:$K$4000,2,FALSE)</f>
        <v>2.5946</v>
      </c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8.75" customHeight="1">
      <c r="A199" s="42" t="str">
        <f t="shared" si="1"/>
        <v>489</v>
      </c>
      <c r="B199" s="43">
        <f t="shared" si="2"/>
        <v>586</v>
      </c>
      <c r="C199" s="44">
        <f t="array" ref="C199">MAX((Solieu!$A$4:$A$4000=A199)*Solieu!$E$4:$E$4000)</f>
        <v>3.6729</v>
      </c>
      <c r="D199" s="45">
        <f>VLOOKUP(C199,Solieu!$E$4:$L$4000,6,FALSE)</f>
        <v>0.06346</v>
      </c>
      <c r="E199" s="46">
        <f t="array" ref="E199">MAX((Solieu!$A$4:$A$4000=A199)*Solieu!$J$4:$J$4000)</f>
        <v>0.13329</v>
      </c>
      <c r="F199" s="47">
        <f>VLOOKUP(E199,Solieu!$J$4:$K$4000,2,FALSE)</f>
        <v>3.5079</v>
      </c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8.75" customHeight="1">
      <c r="A200" s="42" t="str">
        <f t="shared" si="1"/>
        <v>490</v>
      </c>
      <c r="B200" s="43">
        <f t="shared" si="2"/>
        <v>589</v>
      </c>
      <c r="C200" s="44">
        <f t="array" ref="C200">MAX((Solieu!$A$4:$A$4000=A200)*Solieu!$E$4:$E$4000)</f>
        <v>3.1226</v>
      </c>
      <c r="D200" s="45">
        <f>VLOOKUP(C200,Solieu!$E$4:$L$4000,6,FALSE)</f>
        <v>0.01752</v>
      </c>
      <c r="E200" s="46">
        <f t="array" ref="E200">MAX((Solieu!$A$4:$A$4000=A200)*Solieu!$J$4:$J$4000)</f>
        <v>0.09987</v>
      </c>
      <c r="F200" s="47">
        <f>VLOOKUP(E200,Solieu!$J$4:$K$4000,2,FALSE)</f>
        <v>2.5946</v>
      </c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8.75" customHeight="1">
      <c r="A201" s="7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8.75" customHeight="1">
      <c r="A202" s="7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8.75" customHeight="1">
      <c r="A203" s="7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8.75" customHeight="1">
      <c r="A204" s="7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8.75" customHeight="1">
      <c r="A205" s="7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8.75" customHeight="1">
      <c r="A206" s="7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8.75" customHeight="1">
      <c r="A207" s="7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8.75" customHeight="1">
      <c r="A208" s="7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8.75" customHeight="1">
      <c r="A209" s="7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8.75" customHeight="1">
      <c r="A210" s="7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8.75" customHeight="1">
      <c r="A211" s="7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8.75" customHeight="1">
      <c r="A212" s="7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8.75" customHeight="1">
      <c r="A213" s="7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8.75" customHeight="1">
      <c r="A214" s="7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8.75" customHeight="1">
      <c r="A215" s="7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8.75" customHeight="1">
      <c r="A216" s="7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8.75" customHeight="1">
      <c r="A217" s="7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8.75" customHeight="1">
      <c r="A218" s="7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8.75" customHeight="1">
      <c r="A219" s="7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8.75" customHeight="1">
      <c r="A220" s="7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8.75" customHeight="1">
      <c r="A221" s="7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8.75" customHeight="1">
      <c r="A222" s="7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8.75" customHeight="1">
      <c r="A223" s="7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8.75" customHeight="1">
      <c r="A224" s="7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8.75" customHeight="1">
      <c r="A225" s="7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8.75" customHeight="1">
      <c r="A226" s="7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8.75" customHeight="1">
      <c r="A227" s="7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8.75" customHeight="1">
      <c r="A228" s="7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8.75" customHeight="1">
      <c r="A229" s="7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8.75" customHeight="1">
      <c r="A230" s="7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8.75" customHeight="1">
      <c r="A231" s="7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8.75" customHeight="1">
      <c r="A232" s="7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8.75" customHeight="1">
      <c r="A233" s="7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8.75" customHeight="1">
      <c r="A234" s="7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8.75" customHeight="1">
      <c r="A235" s="7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8.75" customHeight="1">
      <c r="A236" s="7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8.75" customHeight="1">
      <c r="A237" s="7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8.75" customHeight="1">
      <c r="A238" s="7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8.75" customHeight="1">
      <c r="A239" s="7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8.75" customHeight="1">
      <c r="A240" s="7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8.75" customHeight="1">
      <c r="A241" s="7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8.75" customHeight="1">
      <c r="A242" s="7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8.75" customHeight="1">
      <c r="A243" s="7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8.75" customHeight="1">
      <c r="A244" s="7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8.75" customHeight="1">
      <c r="A245" s="7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8.75" customHeight="1">
      <c r="A246" s="7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8.75" customHeight="1">
      <c r="A247" s="7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8.75" customHeight="1">
      <c r="A248" s="7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8.75" customHeight="1">
      <c r="A249" s="7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8.75" customHeight="1">
      <c r="A250" s="7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8.75" customHeight="1">
      <c r="A251" s="7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8.75" customHeight="1">
      <c r="A252" s="7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8.75" customHeight="1">
      <c r="A253" s="7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8.75" customHeight="1">
      <c r="A254" s="7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8.75" customHeight="1">
      <c r="A255" s="7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8.75" customHeight="1">
      <c r="A256" s="7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8.75" customHeight="1">
      <c r="A257" s="7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8.75" customHeight="1">
      <c r="A258" s="7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8.75" customHeight="1">
      <c r="A259" s="7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8.75" customHeight="1">
      <c r="A260" s="7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8.75" customHeight="1">
      <c r="A261" s="7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8.75" customHeight="1">
      <c r="A262" s="7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8.75" customHeight="1">
      <c r="A263" s="7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8.75" customHeight="1">
      <c r="A264" s="7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8.75" customHeight="1">
      <c r="A265" s="7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8.75" customHeight="1">
      <c r="A266" s="7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8.75" customHeight="1">
      <c r="A267" s="7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8.75" customHeight="1">
      <c r="A268" s="7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8.75" customHeight="1">
      <c r="A269" s="7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8.75" customHeight="1">
      <c r="A270" s="7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8.75" customHeight="1">
      <c r="A271" s="7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8.75" customHeight="1">
      <c r="A272" s="7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8.75" customHeight="1">
      <c r="A273" s="7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8.75" customHeight="1">
      <c r="A274" s="7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8.75" customHeight="1">
      <c r="A275" s="7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8.75" customHeight="1">
      <c r="A276" s="7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8.75" customHeight="1">
      <c r="A277" s="7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8.75" customHeight="1">
      <c r="A278" s="7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8.75" customHeight="1">
      <c r="A279" s="7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8.75" customHeight="1">
      <c r="A280" s="7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8.75" customHeight="1">
      <c r="A281" s="7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8.75" customHeight="1">
      <c r="A282" s="7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8.75" customHeight="1">
      <c r="A283" s="7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8.75" customHeight="1">
      <c r="A284" s="7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8.75" customHeight="1">
      <c r="A285" s="7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8.75" customHeight="1">
      <c r="A286" s="7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8.75" customHeight="1">
      <c r="A287" s="7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8.75" customHeight="1">
      <c r="A288" s="7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8.75" customHeight="1">
      <c r="A289" s="7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8.75" customHeight="1">
      <c r="A290" s="7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8.75" customHeight="1">
      <c r="A291" s="7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8.75" customHeight="1">
      <c r="A292" s="7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8.75" customHeight="1">
      <c r="A293" s="7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8.75" customHeight="1">
      <c r="A294" s="7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8.75" customHeight="1">
      <c r="A295" s="7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8.75" customHeight="1">
      <c r="A296" s="7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8.75" customHeight="1">
      <c r="A297" s="7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8.75" customHeight="1">
      <c r="A298" s="7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8.75" customHeight="1">
      <c r="A299" s="7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8.75" customHeight="1">
      <c r="A300" s="7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8.75" customHeight="1">
      <c r="A301" s="7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8.75" customHeight="1">
      <c r="A302" s="7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8.75" customHeight="1">
      <c r="A303" s="7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8.75" customHeight="1">
      <c r="A304" s="7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8.75" customHeight="1">
      <c r="A305" s="7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8.75" customHeight="1">
      <c r="A306" s="7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8.75" customHeight="1">
      <c r="A307" s="7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8.75" customHeight="1">
      <c r="A308" s="7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8.75" customHeight="1">
      <c r="A309" s="7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8.75" customHeight="1">
      <c r="A310" s="7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8.75" customHeight="1">
      <c r="A311" s="7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8.75" customHeight="1">
      <c r="A312" s="7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8.75" customHeight="1">
      <c r="A313" s="7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8.75" customHeight="1">
      <c r="A314" s="7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8.75" customHeight="1">
      <c r="A315" s="7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8.75" customHeight="1">
      <c r="A316" s="7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8.75" customHeight="1">
      <c r="A317" s="7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8.75" customHeight="1">
      <c r="A318" s="7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8.75" customHeight="1">
      <c r="A319" s="7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8.75" customHeight="1">
      <c r="A320" s="7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8.75" customHeight="1">
      <c r="A321" s="7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8.75" customHeight="1">
      <c r="A322" s="7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8.75" customHeight="1">
      <c r="A323" s="7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8.75" customHeight="1">
      <c r="A324" s="7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8.75" customHeight="1">
      <c r="A325" s="7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8.75" customHeight="1">
      <c r="A326" s="7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8.75" customHeight="1">
      <c r="A327" s="7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8.75" customHeight="1">
      <c r="A328" s="7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8.75" customHeight="1">
      <c r="A329" s="7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8.75" customHeight="1">
      <c r="A330" s="7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8.75" customHeight="1">
      <c r="A331" s="7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8.75" customHeight="1">
      <c r="A332" s="7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8.75" customHeight="1">
      <c r="A333" s="7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8.75" customHeight="1">
      <c r="A334" s="7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8.75" customHeight="1">
      <c r="A335" s="7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8.75" customHeight="1">
      <c r="A336" s="7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8.75" customHeight="1">
      <c r="A337" s="7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8.75" customHeight="1">
      <c r="A338" s="7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8.75" customHeight="1">
      <c r="A339" s="7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8.75" customHeight="1">
      <c r="A340" s="7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8.75" customHeight="1">
      <c r="A341" s="7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8.75" customHeight="1">
      <c r="A342" s="7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8.75" customHeight="1">
      <c r="A343" s="7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8.75" customHeight="1">
      <c r="A344" s="7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8.75" customHeight="1">
      <c r="A345" s="7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8.75" customHeight="1">
      <c r="A346" s="7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8.75" customHeight="1">
      <c r="A347" s="7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8.75" customHeight="1">
      <c r="A348" s="7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8.75" customHeight="1">
      <c r="A349" s="7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8.75" customHeight="1">
      <c r="A350" s="7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8.75" customHeight="1">
      <c r="A351" s="7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8.75" customHeight="1">
      <c r="A352" s="7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8.75" customHeight="1">
      <c r="A353" s="7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8.75" customHeight="1">
      <c r="A354" s="7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8.75" customHeight="1">
      <c r="A355" s="7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8.75" customHeight="1">
      <c r="A356" s="7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8.75" customHeight="1">
      <c r="A357" s="7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8.75" customHeight="1">
      <c r="A358" s="7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8.75" customHeight="1">
      <c r="A359" s="7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8.75" customHeight="1">
      <c r="A360" s="7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8.75" customHeight="1">
      <c r="A361" s="7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8.75" customHeight="1">
      <c r="A362" s="7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8.75" customHeight="1">
      <c r="A363" s="7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8.75" customHeight="1">
      <c r="A364" s="7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8.75" customHeight="1">
      <c r="A365" s="7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8.75" customHeight="1">
      <c r="A366" s="7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8.75" customHeight="1">
      <c r="A367" s="7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8.75" customHeight="1">
      <c r="A368" s="7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8.75" customHeight="1">
      <c r="A369" s="7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8.75" customHeight="1">
      <c r="A370" s="7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8.75" customHeight="1">
      <c r="A371" s="7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8.75" customHeight="1">
      <c r="A372" s="7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8.75" customHeight="1">
      <c r="A373" s="7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8.75" customHeight="1">
      <c r="A374" s="7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8.75" customHeight="1">
      <c r="A375" s="7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8.75" customHeight="1">
      <c r="A376" s="7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8.75" customHeight="1">
      <c r="A377" s="7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8.75" customHeight="1">
      <c r="A378" s="7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8.75" customHeight="1">
      <c r="A379" s="7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8.75" customHeight="1">
      <c r="A380" s="7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8.75" customHeight="1">
      <c r="A381" s="7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8.75" customHeight="1">
      <c r="A382" s="7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8.75" customHeight="1">
      <c r="A383" s="7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8.75" customHeight="1">
      <c r="A384" s="7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8.75" customHeight="1">
      <c r="A385" s="7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8.75" customHeight="1">
      <c r="A386" s="7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8.75" customHeight="1">
      <c r="A387" s="7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8.75" customHeight="1">
      <c r="A388" s="7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8.75" customHeight="1">
      <c r="A389" s="7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8.75" customHeight="1">
      <c r="A390" s="7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8.75" customHeight="1">
      <c r="A391" s="7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8.75" customHeight="1">
      <c r="A392" s="7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8.75" customHeight="1">
      <c r="A393" s="7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8.75" customHeight="1">
      <c r="A394" s="7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8.75" customHeight="1">
      <c r="A395" s="7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8.75" customHeight="1">
      <c r="A396" s="7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8.75" customHeight="1">
      <c r="A397" s="7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8.75" customHeight="1">
      <c r="A398" s="7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8.75" customHeight="1">
      <c r="A399" s="7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8.75" customHeight="1">
      <c r="A400" s="7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8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8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8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8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8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8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8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8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8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8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8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8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8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8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8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8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8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8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8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8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8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8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8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8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8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8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8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8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8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8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8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8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8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8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8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8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8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8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8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8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8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8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8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8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8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8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8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8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8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8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8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8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8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8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8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8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8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8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8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8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8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8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8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8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8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8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8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8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8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8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8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8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8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8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8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8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8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8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8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8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8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8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8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8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8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8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8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8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8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8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8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8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8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8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8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8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8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8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8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8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8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8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8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8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8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8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8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8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8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8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8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8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8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8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8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8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8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8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8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8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8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8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8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8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8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8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8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8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8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8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8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8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8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8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8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8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8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8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8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8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8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8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8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8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8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8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8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8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8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8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8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8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8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8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8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8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8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8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8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8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8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8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8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8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8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8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8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8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8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8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8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8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8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8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8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8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8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8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8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8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8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8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8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8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8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8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8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8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8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8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8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8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8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8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8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8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8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8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8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8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8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8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8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8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8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8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8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8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8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8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8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8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8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8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8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8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8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8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8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8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8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8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8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8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8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8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8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8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8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8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8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8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8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8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8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8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8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8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8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8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8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8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8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8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8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8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8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8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8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8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8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8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8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8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8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8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8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8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8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8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8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8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8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8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8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8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8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8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8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8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8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8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8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8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8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8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8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8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8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8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8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8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8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8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8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8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8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8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8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8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8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8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8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8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8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8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8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8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8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8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8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8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8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8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8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8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8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8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8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8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8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8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8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8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8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8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8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8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8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8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8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8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8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8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8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8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8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8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8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8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8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8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8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8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8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8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8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8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8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8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8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8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8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8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8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8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8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8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8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8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8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8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8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8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8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8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8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8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8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8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8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8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8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8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8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8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8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8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8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8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8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8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8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8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8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8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8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8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8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8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8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8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8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8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8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8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8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8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8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8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8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8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8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8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8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8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8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8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8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8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8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8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8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8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8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8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8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8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8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8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8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8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8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8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8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8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8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8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8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8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8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8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8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8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8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8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8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8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8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8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8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8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8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8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8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8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8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8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8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8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8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8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8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8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8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8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8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8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8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8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8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8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8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8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8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8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8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8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8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8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8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8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8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8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8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8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8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8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8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8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8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8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8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8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8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8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8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8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8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8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8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8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8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8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8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8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8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8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8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8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8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8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8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8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8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8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8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8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8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8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8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8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8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8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8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8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8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8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8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8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8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8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8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8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8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8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8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8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8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8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8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8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8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8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8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8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8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8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8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8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8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8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8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8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8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8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8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8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8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8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8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8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8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8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8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8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8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8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8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8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8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8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8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8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8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8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8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8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8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8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8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8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8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8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8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8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8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8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8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8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8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8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8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8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8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8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8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8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8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8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8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8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8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8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8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8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8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8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8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8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8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8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8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8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8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8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8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8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8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8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2">
    <mergeCell ref="A1:F1"/>
    <mergeCell ref="C2:F2"/>
  </mergeCells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43"/>
    <col customWidth="1" min="2" max="2" width="11.14"/>
    <col customWidth="1" min="3" max="3" width="8.14"/>
    <col customWidth="1" min="4" max="4" width="8.57"/>
    <col customWidth="1" min="5" max="5" width="11.0"/>
    <col customWidth="1" min="6" max="6" width="7.29"/>
    <col customWidth="1" min="7" max="7" width="7.14"/>
    <col customWidth="1" min="8" max="8" width="6.29"/>
    <col customWidth="1" min="9" max="9" width="5.43"/>
    <col customWidth="1" min="10" max="10" width="4.86"/>
    <col customWidth="1" min="11" max="12" width="5.29"/>
    <col customWidth="1" min="13" max="15" width="7.0"/>
    <col customWidth="1" min="16" max="17" width="7.29"/>
    <col customWidth="1" min="18" max="21" width="7.14"/>
    <col customWidth="1" min="22" max="23" width="8.43"/>
    <col customWidth="1" min="24" max="25" width="7.71"/>
    <col customWidth="1" min="26" max="27" width="7.86"/>
    <col customWidth="1" min="28" max="29" width="7.43"/>
    <col customWidth="1" min="30" max="31" width="9.43"/>
    <col customWidth="1" min="32" max="33" width="8.29"/>
    <col customWidth="1" min="34" max="34" width="7.71"/>
    <col customWidth="1" min="35" max="35" width="7.57"/>
    <col customWidth="1" min="36" max="36" width="7.29"/>
    <col customWidth="1" min="37" max="38" width="5.43"/>
    <col customWidth="1" min="39" max="39" width="5.14"/>
    <col customWidth="1" min="40" max="40" width="5.71"/>
    <col customWidth="1" min="41" max="41" width="6.71"/>
    <col customWidth="1" min="42" max="42" width="7.0"/>
    <col customWidth="1" min="43" max="50" width="9.14"/>
  </cols>
  <sheetData>
    <row r="1" ht="25.5" customHeight="1">
      <c r="A1" s="48" t="s">
        <v>374</v>
      </c>
      <c r="I1" s="48"/>
      <c r="J1" s="48"/>
      <c r="K1" s="49"/>
      <c r="L1" s="49"/>
      <c r="M1" s="50"/>
      <c r="N1" s="51"/>
      <c r="O1" s="51"/>
      <c r="P1" s="50"/>
      <c r="Q1" s="50"/>
      <c r="R1" s="52"/>
      <c r="S1" s="52"/>
      <c r="T1" s="53"/>
      <c r="U1" s="53"/>
      <c r="V1" s="54"/>
      <c r="W1" s="54"/>
      <c r="X1" s="55"/>
      <c r="Y1" s="55"/>
      <c r="Z1" s="56"/>
      <c r="AA1" s="56"/>
      <c r="AB1" s="57"/>
      <c r="AC1" s="57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8"/>
      <c r="AT1" s="50"/>
      <c r="AU1" s="50"/>
      <c r="AV1" s="50"/>
      <c r="AW1" s="50"/>
      <c r="AX1" s="50"/>
    </row>
    <row r="2" ht="18.0" customHeight="1">
      <c r="A2" s="59" t="s">
        <v>375</v>
      </c>
      <c r="B2" s="50"/>
      <c r="C2" s="60">
        <v>15.0</v>
      </c>
      <c r="D2" s="61" t="s">
        <v>376</v>
      </c>
      <c r="E2" s="62">
        <f>IF(C2=12.5,7.5,IF(C2=15,8.5,IF(C2=20,11.5,IF(C2=25,14.5,"!!!"))))</f>
        <v>8.5</v>
      </c>
      <c r="F2" s="63" t="s">
        <v>377</v>
      </c>
      <c r="G2" s="64" t="s">
        <v>378</v>
      </c>
      <c r="H2" s="65">
        <f>IF(AND(C2=12.5,E3=280),0.66,IF(AND(C2=12.5,E3=365),0.628,IF(AND(C2=15,E3=280),0.65,IF(AND(C2=15,E3=365),0.619,IF(AND(C2=20,E3=280),0.623,IF(AND(C2=20,E3=365),0.59,IF(AND(C2=25,E3=280),0.595,0.563)))))))</f>
        <v>0.65</v>
      </c>
      <c r="I2" s="50"/>
      <c r="J2" s="50"/>
      <c r="K2" s="50"/>
      <c r="L2" s="50"/>
      <c r="M2" s="50"/>
      <c r="N2" s="50"/>
      <c r="O2" s="50"/>
      <c r="P2" s="66"/>
      <c r="Q2" s="66"/>
      <c r="R2" s="50"/>
      <c r="S2" s="50"/>
      <c r="T2" s="67"/>
      <c r="U2" s="67"/>
      <c r="V2" s="68"/>
      <c r="W2" s="68"/>
      <c r="X2" s="55"/>
      <c r="Y2" s="55"/>
      <c r="Z2" s="50"/>
      <c r="AA2" s="50"/>
      <c r="AB2" s="68"/>
      <c r="AC2" s="68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67"/>
      <c r="AR2" s="67"/>
      <c r="AS2" s="67"/>
      <c r="AT2" s="50"/>
      <c r="AU2" s="50"/>
      <c r="AV2" s="50"/>
      <c r="AW2" s="50"/>
      <c r="AX2" s="50"/>
    </row>
    <row r="3" ht="18.0" customHeight="1">
      <c r="A3" s="59" t="s">
        <v>379</v>
      </c>
      <c r="B3" s="69"/>
      <c r="C3" s="70" t="s">
        <v>380</v>
      </c>
      <c r="D3" s="71" t="s">
        <v>381</v>
      </c>
      <c r="E3" s="72">
        <f>IF(C3="CII",280,IF(C3="AII",280,IF(C3="CIII",365,IF(C3="AIII",365,"!!!"))))</f>
        <v>280</v>
      </c>
      <c r="F3" s="63" t="s">
        <v>377</v>
      </c>
      <c r="G3" s="73" t="s">
        <v>382</v>
      </c>
      <c r="H3" s="74"/>
      <c r="I3" s="69"/>
      <c r="J3" s="69"/>
      <c r="K3" s="69"/>
      <c r="L3" s="69"/>
      <c r="M3" s="69"/>
      <c r="N3" s="69"/>
      <c r="O3" s="69"/>
      <c r="P3" s="75"/>
      <c r="Q3" s="75"/>
      <c r="R3" s="69"/>
      <c r="S3" s="69"/>
      <c r="T3" s="76"/>
      <c r="U3" s="76"/>
      <c r="V3" s="77"/>
      <c r="W3" s="75"/>
      <c r="X3" s="78"/>
      <c r="Y3" s="69"/>
      <c r="Z3" s="69"/>
      <c r="AA3" s="69"/>
      <c r="AB3" s="79"/>
      <c r="AC3" s="69"/>
      <c r="AD3" s="69"/>
      <c r="AE3" s="80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81"/>
      <c r="AR3" s="75"/>
      <c r="AS3" s="75"/>
      <c r="AT3" s="75"/>
      <c r="AU3" s="69"/>
      <c r="AV3" s="69"/>
      <c r="AW3" s="69"/>
      <c r="AX3" s="69"/>
    </row>
    <row r="4" ht="20.25" customHeight="1">
      <c r="A4" s="59" t="s">
        <v>383</v>
      </c>
      <c r="B4" s="69"/>
      <c r="C4" s="70">
        <v>1.0</v>
      </c>
      <c r="D4" s="82" t="s">
        <v>384</v>
      </c>
      <c r="E4" s="83">
        <f>IF(C2=12.5,21000,IF(C2=15,23000,IF(C2=20,27000,IF(C2=25,30000,"!!!"))))</f>
        <v>23000</v>
      </c>
      <c r="F4" s="84" t="s">
        <v>377</v>
      </c>
      <c r="H4" s="85">
        <f>E5/E4</f>
        <v>9.130434783</v>
      </c>
      <c r="I4" s="69"/>
      <c r="J4" s="69"/>
      <c r="K4" s="69"/>
      <c r="L4" s="69"/>
      <c r="M4" s="69"/>
      <c r="N4" s="69"/>
      <c r="O4" s="69"/>
      <c r="P4" s="75"/>
      <c r="Q4" s="75"/>
      <c r="R4" s="69"/>
      <c r="S4" s="69"/>
      <c r="T4" s="76"/>
      <c r="U4" s="76"/>
      <c r="V4" s="86" t="s">
        <v>385</v>
      </c>
      <c r="X4" s="69"/>
      <c r="Y4" s="69"/>
      <c r="Z4" s="69"/>
      <c r="AA4" s="69"/>
      <c r="AB4" s="79"/>
      <c r="AC4" s="87"/>
      <c r="AD4" s="88" t="s">
        <v>386</v>
      </c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81"/>
      <c r="AR4" s="75"/>
      <c r="AS4" s="75"/>
      <c r="AT4" s="75"/>
      <c r="AU4" s="69"/>
      <c r="AV4" s="69"/>
      <c r="AW4" s="69"/>
      <c r="AX4" s="69"/>
    </row>
    <row r="5" ht="18.0" customHeight="1">
      <c r="A5" s="69"/>
      <c r="B5" s="69"/>
      <c r="C5" s="89"/>
      <c r="D5" s="82" t="s">
        <v>387</v>
      </c>
      <c r="E5" s="83">
        <f>IF(E3=225,210000,IF(E3=280,210000,IF(E3=365,200000,"!!!")))</f>
        <v>210000</v>
      </c>
      <c r="F5" s="84" t="s">
        <v>377</v>
      </c>
      <c r="G5" s="69"/>
      <c r="H5" s="90"/>
      <c r="I5" s="69"/>
      <c r="J5" s="69"/>
      <c r="K5" s="69"/>
      <c r="L5" s="69"/>
      <c r="M5" s="69"/>
      <c r="N5" s="69"/>
      <c r="O5" s="69"/>
      <c r="P5" s="75"/>
      <c r="Q5" s="75"/>
      <c r="R5" s="69"/>
      <c r="S5" s="69"/>
      <c r="T5" s="76"/>
      <c r="U5" s="76"/>
      <c r="V5" s="91"/>
      <c r="W5" s="75"/>
      <c r="X5" s="69"/>
      <c r="Y5" s="69"/>
      <c r="Z5" s="69"/>
      <c r="AA5" s="69"/>
      <c r="AB5" s="80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81"/>
      <c r="AR5" s="75"/>
      <c r="AS5" s="75"/>
      <c r="AT5" s="75"/>
      <c r="AU5" s="69"/>
      <c r="AV5" s="69"/>
      <c r="AW5" s="69"/>
      <c r="AX5" s="69"/>
    </row>
    <row r="6" ht="15.0" customHeight="1">
      <c r="A6" s="92" t="str">
        <f>IF(K10="!!!","Sai đơn vị chiều dài !"," ")</f>
        <v> </v>
      </c>
      <c r="B6" s="93"/>
      <c r="C6" s="93"/>
      <c r="D6" s="94"/>
      <c r="E6" s="92" t="str">
        <f>IF(T10="!!!","Sai đơn vị lực !"," ")</f>
        <v>#REF!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6"/>
      <c r="S6" s="96"/>
      <c r="T6" s="95"/>
      <c r="U6" s="95"/>
      <c r="V6" s="95"/>
      <c r="W6" s="95"/>
      <c r="X6" s="96"/>
      <c r="Y6" s="96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68"/>
      <c r="AS6" s="97"/>
      <c r="AT6" s="68"/>
      <c r="AU6" s="68"/>
      <c r="AV6" s="68"/>
      <c r="AW6" s="68"/>
      <c r="AX6" s="68"/>
    </row>
    <row r="7" ht="24.0" customHeight="1">
      <c r="A7" s="98" t="s">
        <v>388</v>
      </c>
      <c r="B7" s="99" t="s">
        <v>389</v>
      </c>
      <c r="C7" s="100"/>
      <c r="D7" s="100"/>
      <c r="E7" s="101"/>
      <c r="F7" s="102" t="s">
        <v>390</v>
      </c>
      <c r="G7" s="103" t="s">
        <v>391</v>
      </c>
      <c r="H7" s="103" t="s">
        <v>392</v>
      </c>
      <c r="I7" s="103" t="s">
        <v>393</v>
      </c>
      <c r="J7" s="104" t="s">
        <v>394</v>
      </c>
      <c r="K7" s="103" t="s">
        <v>395</v>
      </c>
      <c r="L7" s="103" t="s">
        <v>396</v>
      </c>
      <c r="M7" s="105" t="s">
        <v>397</v>
      </c>
      <c r="N7" s="105" t="s">
        <v>398</v>
      </c>
      <c r="O7" s="105" t="s">
        <v>399</v>
      </c>
      <c r="P7" s="102" t="s">
        <v>400</v>
      </c>
      <c r="Q7" s="102" t="s">
        <v>401</v>
      </c>
      <c r="R7" s="102" t="s">
        <v>402</v>
      </c>
      <c r="S7" s="102" t="s">
        <v>403</v>
      </c>
      <c r="T7" s="106" t="s">
        <v>404</v>
      </c>
      <c r="U7" s="106" t="s">
        <v>405</v>
      </c>
      <c r="V7" s="102" t="s">
        <v>406</v>
      </c>
      <c r="W7" s="102" t="s">
        <v>407</v>
      </c>
      <c r="X7" s="102" t="s">
        <v>408</v>
      </c>
      <c r="Y7" s="102" t="s">
        <v>409</v>
      </c>
      <c r="Z7" s="102" t="s">
        <v>410</v>
      </c>
      <c r="AA7" s="102" t="s">
        <v>411</v>
      </c>
      <c r="AB7" s="102" t="s">
        <v>412</v>
      </c>
      <c r="AC7" s="102" t="s">
        <v>413</v>
      </c>
      <c r="AD7" s="107" t="s">
        <v>414</v>
      </c>
      <c r="AE7" s="108"/>
      <c r="AF7" s="107" t="s">
        <v>415</v>
      </c>
      <c r="AG7" s="109"/>
      <c r="AH7" s="109"/>
      <c r="AI7" s="108"/>
      <c r="AJ7" s="107" t="s">
        <v>416</v>
      </c>
      <c r="AK7" s="109"/>
      <c r="AL7" s="109"/>
      <c r="AM7" s="109"/>
      <c r="AN7" s="109"/>
      <c r="AO7" s="109"/>
      <c r="AP7" s="108"/>
      <c r="AQ7" s="110"/>
      <c r="AR7" s="68"/>
      <c r="AS7" s="97"/>
      <c r="AT7" s="68"/>
      <c r="AU7" s="68"/>
      <c r="AV7" s="68"/>
      <c r="AW7" s="68"/>
      <c r="AX7" s="68"/>
    </row>
    <row r="8" ht="22.5" customHeight="1">
      <c r="A8" s="111"/>
      <c r="B8" s="112" t="str">
        <f>Locsolieu!C3</f>
        <v>N-max</v>
      </c>
      <c r="C8" s="112" t="str">
        <f>Locsolieu!D3</f>
        <v>M3-tư</v>
      </c>
      <c r="D8" s="112" t="str">
        <f>Locsolieu!E3</f>
        <v>M3-max</v>
      </c>
      <c r="E8" s="112" t="str">
        <f>Locsolieu!F3</f>
        <v>N - tư</v>
      </c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02" t="s">
        <v>417</v>
      </c>
      <c r="AE8" s="102" t="s">
        <v>418</v>
      </c>
      <c r="AF8" s="115" t="s">
        <v>419</v>
      </c>
      <c r="AG8" s="116"/>
      <c r="AH8" s="115" t="s">
        <v>420</v>
      </c>
      <c r="AI8" s="116"/>
      <c r="AJ8" s="112" t="s">
        <v>421</v>
      </c>
      <c r="AK8" s="115" t="s">
        <v>422</v>
      </c>
      <c r="AL8" s="100"/>
      <c r="AM8" s="100"/>
      <c r="AN8" s="101"/>
      <c r="AO8" s="112" t="s">
        <v>423</v>
      </c>
      <c r="AP8" s="117" t="s">
        <v>424</v>
      </c>
      <c r="AQ8" s="118"/>
      <c r="AR8" s="94"/>
      <c r="AS8" s="119"/>
      <c r="AT8" s="94"/>
      <c r="AU8" s="94"/>
      <c r="AV8" s="94"/>
      <c r="AW8" s="94"/>
      <c r="AX8" s="94"/>
    </row>
    <row r="9" ht="17.25" customHeight="1">
      <c r="A9" s="120"/>
      <c r="B9" s="121" t="str">
        <f>Locsolieu!C4</f>
        <v>Ton</v>
      </c>
      <c r="C9" s="121" t="str">
        <f>Locsolieu!D4</f>
        <v>Tonf-m</v>
      </c>
      <c r="D9" s="121" t="str">
        <f>Locsolieu!E4</f>
        <v>Tonf-m</v>
      </c>
      <c r="E9" s="121" t="str">
        <f>Locsolieu!F4</f>
        <v>Ton</v>
      </c>
      <c r="F9" s="121" t="s">
        <v>425</v>
      </c>
      <c r="G9" s="122" t="s">
        <v>425</v>
      </c>
      <c r="H9" s="122" t="s">
        <v>425</v>
      </c>
      <c r="I9" s="122" t="s">
        <v>425</v>
      </c>
      <c r="J9" s="123" t="s">
        <v>425</v>
      </c>
      <c r="K9" s="124" t="s">
        <v>425</v>
      </c>
      <c r="L9" s="124" t="s">
        <v>425</v>
      </c>
      <c r="M9" s="124" t="s">
        <v>426</v>
      </c>
      <c r="N9" s="124" t="s">
        <v>427</v>
      </c>
      <c r="O9" s="124" t="s">
        <v>428</v>
      </c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6" t="s">
        <v>429</v>
      </c>
      <c r="AG9" s="126" t="s">
        <v>430</v>
      </c>
      <c r="AH9" s="126" t="s">
        <v>431</v>
      </c>
      <c r="AI9" s="126" t="s">
        <v>432</v>
      </c>
      <c r="AJ9" s="127" t="s">
        <v>433</v>
      </c>
      <c r="AK9" s="128" t="s">
        <v>434</v>
      </c>
      <c r="AL9" s="126" t="s">
        <v>435</v>
      </c>
      <c r="AM9" s="129" t="s">
        <v>434</v>
      </c>
      <c r="AN9" s="126" t="s">
        <v>435</v>
      </c>
      <c r="AO9" s="127" t="s">
        <v>436</v>
      </c>
      <c r="AP9" s="127" t="s">
        <v>437</v>
      </c>
      <c r="AQ9" s="118"/>
      <c r="AR9" s="94"/>
      <c r="AS9" s="119"/>
      <c r="AT9" s="94"/>
      <c r="AU9" s="94"/>
      <c r="AV9" s="94"/>
      <c r="AW9" s="94"/>
      <c r="AX9" s="94"/>
    </row>
    <row r="10" ht="19.5" customHeight="1">
      <c r="A10" s="130" t="str">
        <f>Locsolieu!A5</f>
        <v>8</v>
      </c>
      <c r="B10" s="131">
        <f>Locsolieu!C5</f>
        <v>14.2145</v>
      </c>
      <c r="C10" s="132">
        <f>Locsolieu!D5*$C$4</f>
        <v>0.05993</v>
      </c>
      <c r="D10" s="133">
        <f>Locsolieu!E5*$C$4</f>
        <v>0.13839</v>
      </c>
      <c r="E10" s="134">
        <f>Locsolieu!F5</f>
        <v>13.9175</v>
      </c>
      <c r="F10" s="135">
        <v>360.0</v>
      </c>
      <c r="G10" s="136">
        <v>20.0</v>
      </c>
      <c r="H10" s="136">
        <v>25.0</v>
      </c>
      <c r="I10" s="136">
        <v>3.0</v>
      </c>
      <c r="J10" s="136">
        <f>H10-I10</f>
        <v>22</v>
      </c>
      <c r="K10" s="137">
        <f t="shared" ref="K10:K154" si="5">IF(RIGHT($C$9,2)="-m",MAX((C10/B10)*100,MAX(H10/30,F10/600)),"!!!")</f>
        <v>0.8333333333</v>
      </c>
      <c r="L10" s="137">
        <f t="shared" ref="L10:L154" si="6">IF(RIGHT($C$9,2)="-m",MAX((D10/E10)*100,MAX(H10/30,F10/600)),"!!!")</f>
        <v>0.9943596192</v>
      </c>
      <c r="M10" s="138" t="str">
        <f>ABS((AG10/100)*G10*J10*((H10/2)-I10)^2)</f>
        <v>#REF!</v>
      </c>
      <c r="N10" s="138" t="str">
        <f>ABS((AI10/100)*$G10*$J10*(($H10/2)-I10)^2)</f>
        <v>#REF!</v>
      </c>
      <c r="O10" s="139">
        <f t="shared" ref="O10:O154" si="7">(G10*H10*H10*H10)/12</f>
        <v>26041.66667</v>
      </c>
      <c r="P10" s="140">
        <f t="shared" ref="P10:Q10" si="1">0.1+0.11/(0.1+MAX((K10/$H10),(0.5-(0.01*(0.7*$F10/$H10))-0.01*$E$2)))</f>
        <v>0.3655721873</v>
      </c>
      <c r="Q10" s="140">
        <f t="shared" si="1"/>
        <v>0.3655721873</v>
      </c>
      <c r="R10" s="139" t="str">
        <f t="shared" ref="R10:R154" si="9">(6.4*$E$4*10*((P10*O10/2)+($H$4*M10))/(0.7*F10)^2)/1000</f>
        <v>#REF!</v>
      </c>
      <c r="S10" s="139" t="str">
        <f t="shared" ref="S10:S154" si="10">(6.4*$E$4*10*((Q10*O10/2)+($H$4*N10))/(0.7*$F10)^2)/1000</f>
        <v>#REF!</v>
      </c>
      <c r="T10" s="141" t="str">
        <f t="shared" ref="T10:T154" si="11">IF($B$9="Kgf",1/((1-(B10*0.001/R10))),IF($B$9="Ton",1/((1-(B10/R10))),"!!!"))</f>
        <v>#REF!</v>
      </c>
      <c r="U10" s="141" t="str">
        <f t="shared" ref="U10:U154" si="12">IF($B$9="Kgf",1/((1-(E10*0.001/S10))),IF($B$9="Ton",1/((1-(E10/S10))),"!!!"))</f>
        <v>#REF!</v>
      </c>
      <c r="V10" s="142" t="str">
        <f t="shared" ref="V10:W10" si="2">IF(T10*K10&gt;=((0.5*$H10)-$I10),((T10*K10)-(0.5*$H10)+$I10),(0.5*$H10)-(T10*K10)-$I10)</f>
        <v>#REF!</v>
      </c>
      <c r="W10" s="142" t="str">
        <f t="shared" si="2"/>
        <v>#REF!</v>
      </c>
      <c r="X10" s="137" t="str">
        <f t="shared" ref="X10:Y10" si="3">(T10*K10)+(0.5*$H10)-$I10</f>
        <v>#REF!</v>
      </c>
      <c r="Y10" s="137" t="str">
        <f t="shared" si="3"/>
        <v>#REF!</v>
      </c>
      <c r="Z10" s="142">
        <f t="shared" ref="Z10:Z154" si="15">IF($B$9="Kgf",B10/(0.85*$E$2*9.81*$G10),B10*1000/(0.85*$E$2*9.81*$G10))</f>
        <v>10.02754763</v>
      </c>
      <c r="AA10" s="142">
        <f t="shared" ref="AA10:AA154" si="16">IF($B$9="Kgf",E10/(0.85*$E$2*9.81*$G10),E10*1000/(0.85*$E$2*9.81*$G10))</f>
        <v>9.818030468</v>
      </c>
      <c r="AB10" s="142">
        <f t="shared" ref="AB10:AC10" si="4">($H$2+((1-$H$2)/(1+50*(K10/$H10)^2)))*$J10</f>
        <v>21.59473684</v>
      </c>
      <c r="AC10" s="142">
        <f t="shared" si="4"/>
        <v>21.43557539</v>
      </c>
      <c r="AD10" s="142" t="str">
        <f t="shared" ref="AD10:AD154" si="18">IF($B$9="Kgf",IF(Z10&lt;=($H$2*$J10),B10*(X10-$J10+0.5*Z10)/($E$3*9.81*($J10-$I10)),((B10*X10)-($E$2*0.85*9.81*G10*AB10)*($J10-0.5*AB10))/($E$3*9.81*($J10-$I10))),IF(Z10&lt;=($H$2*$J10),B10*1000*(X10-$J10+0.5*Z10)/($E$3*9.81*($J10-$I10)),((B10*1000*X10)-($E$2*0.85*9.81*G10*AB10)*($J10-0.5*AB10))/($E$3*9.81*($J10-$I10))))</f>
        <v>#REF!</v>
      </c>
      <c r="AE10" s="142" t="str">
        <f t="shared" ref="AE10:AE154" si="19">IF($B$9="Kgf",IF(AA10&lt;=($H$2*$J10),E10*(Y10-$J10+0.5*AA10)/($E$3*9.81*($J10-$I10)),((E10*Y10)-($E$2*0.85*9.81*G10*AC10)*($J10-0.5*AC10))/($E$3*9.81*($J10-$I10))),IF(AA10&lt;=($H$2*$J10),E10*1000*(Y10-$J10+0.5*AA10)/($E$3*9.81*($J10-$I10)),((E10*1000*Y10)-($E$2*0.85*9.81*G10*AC10)*($J10-0.5*AC10))/($E$3*9.81*($J10-$I10))))</f>
        <v>#REF!</v>
      </c>
      <c r="AF10" s="143" t="str">
        <f t="shared" ref="AF10:AF154" si="20">2*AD10*100/(G10*J10)</f>
        <v>#REF!</v>
      </c>
      <c r="AG10" s="144" t="str">
        <f t="shared" ref="AG10:AG154" si="21">AF10</f>
        <v>#REF!</v>
      </c>
      <c r="AH10" s="145" t="str">
        <f t="shared" ref="AH10:AH154" si="22">2*AE10*100/(G10*J10)</f>
        <v>#REF!</v>
      </c>
      <c r="AI10" s="146" t="str">
        <f t="shared" ref="AI10:AI154" si="23">AH10</f>
        <v>#REF!</v>
      </c>
      <c r="AJ10" s="147" t="str">
        <f t="shared" ref="AJ10:AJ154" si="24">MAX(AD10,AE10)</f>
        <v>#REF!</v>
      </c>
      <c r="AK10" s="148">
        <v>2.0</v>
      </c>
      <c r="AL10" s="148">
        <v>16.0</v>
      </c>
      <c r="AM10" s="148"/>
      <c r="AO10" s="149">
        <f t="shared" ref="AO10:AO154" si="25">(3.1415*AL10^2)*AK10/(4*100)+(3.1415*AN10^2)*AM10/(4*100)</f>
        <v>4.02112</v>
      </c>
      <c r="AP10" s="149">
        <f t="shared" ref="AP10:AP154" si="26">2*AO10*100/(G10*J10)</f>
        <v>1.827781818</v>
      </c>
      <c r="AQ10" s="150"/>
      <c r="AR10" s="8"/>
      <c r="AS10" s="91"/>
      <c r="AT10" s="8"/>
      <c r="AU10" s="8"/>
      <c r="AV10" s="8"/>
      <c r="AW10" s="8"/>
      <c r="AX10" s="8"/>
    </row>
    <row r="11" ht="19.5" customHeight="1">
      <c r="A11" s="151" t="str">
        <f>Locsolieu!A6</f>
        <v>9</v>
      </c>
      <c r="B11" s="152">
        <f>Locsolieu!C6</f>
        <v>11.4545</v>
      </c>
      <c r="C11" s="132">
        <f>Locsolieu!D6*$C$4</f>
        <v>0.18376</v>
      </c>
      <c r="D11" s="133">
        <f>Locsolieu!E6*$C$4</f>
        <v>0.18376</v>
      </c>
      <c r="E11" s="153">
        <f>Locsolieu!F6</f>
        <v>11.4545</v>
      </c>
      <c r="F11" s="135">
        <v>510.0</v>
      </c>
      <c r="G11" s="136">
        <v>20.0</v>
      </c>
      <c r="H11" s="136">
        <v>25.0</v>
      </c>
      <c r="I11" s="8">
        <v>3.0</v>
      </c>
      <c r="J11" s="136">
        <f>H11-I10</f>
        <v>22</v>
      </c>
      <c r="K11" s="137">
        <f t="shared" si="5"/>
        <v>1.604260334</v>
      </c>
      <c r="L11" s="137">
        <f t="shared" si="6"/>
        <v>1.604260334</v>
      </c>
      <c r="M11" s="138" t="str">
        <f>ABS((AG11/100)*G11*J11*((H11/2)-I10)^2)</f>
        <v>#REF!</v>
      </c>
      <c r="N11" s="138" t="str">
        <f>ABS((AI11/100)*$G11*$J11*(($H11/2)-$I10)^2)</f>
        <v>#REF!</v>
      </c>
      <c r="O11" s="139">
        <f t="shared" si="7"/>
        <v>26041.66667</v>
      </c>
      <c r="P11" s="140">
        <f t="shared" ref="P11:Q11" si="8">0.1+0.11/(0.1+MAX((K11/$H11),(0.5-(0.01*(0.7*$F11/$H11))-0.01*$E$2)))</f>
        <v>0.3955400322</v>
      </c>
      <c r="Q11" s="140">
        <f t="shared" si="8"/>
        <v>0.3955400322</v>
      </c>
      <c r="R11" s="139" t="str">
        <f t="shared" si="9"/>
        <v>#REF!</v>
      </c>
      <c r="S11" s="139" t="str">
        <f t="shared" si="10"/>
        <v>#REF!</v>
      </c>
      <c r="T11" s="141" t="str">
        <f t="shared" si="11"/>
        <v>#REF!</v>
      </c>
      <c r="U11" s="141" t="str">
        <f t="shared" si="12"/>
        <v>#REF!</v>
      </c>
      <c r="V11" s="142" t="str">
        <f t="shared" ref="V11:W11" si="13">IF(T11*K11&gt;=((0.5*$H11)-$I11),((T11*K11)-(0.5*$H11)+$I11),(0.5*$H11)-(T11*K11)-$I11)</f>
        <v>#REF!</v>
      </c>
      <c r="W11" s="142" t="str">
        <f t="shared" si="13"/>
        <v>#REF!</v>
      </c>
      <c r="X11" s="137" t="str">
        <f t="shared" ref="X11:Y11" si="14">(T11*K11)+(0.5*$H11)-$I11</f>
        <v>#REF!</v>
      </c>
      <c r="Y11" s="137" t="str">
        <f t="shared" si="14"/>
        <v>#REF!</v>
      </c>
      <c r="Z11" s="142">
        <f t="shared" si="15"/>
        <v>8.08051949</v>
      </c>
      <c r="AA11" s="142">
        <f t="shared" si="16"/>
        <v>8.08051949</v>
      </c>
      <c r="AB11" s="142">
        <f t="shared" ref="AB11:AC11" si="17">($H$2+((1-$H$2)/(1+50*(K11/$H11)^2)))*$J11</f>
        <v>20.68531425</v>
      </c>
      <c r="AC11" s="142">
        <f t="shared" si="17"/>
        <v>20.68531425</v>
      </c>
      <c r="AD11" s="142" t="str">
        <f t="shared" si="18"/>
        <v>#REF!</v>
      </c>
      <c r="AE11" s="142" t="str">
        <f t="shared" si="19"/>
        <v>#REF!</v>
      </c>
      <c r="AF11" s="143" t="str">
        <f t="shared" si="20"/>
        <v>#REF!</v>
      </c>
      <c r="AG11" s="154" t="str">
        <f t="shared" si="21"/>
        <v>#REF!</v>
      </c>
      <c r="AH11" s="145" t="str">
        <f t="shared" si="22"/>
        <v>#REF!</v>
      </c>
      <c r="AI11" s="146" t="str">
        <f t="shared" si="23"/>
        <v>#REF!</v>
      </c>
      <c r="AJ11" s="147" t="str">
        <f t="shared" si="24"/>
        <v>#REF!</v>
      </c>
      <c r="AK11" s="155">
        <v>2.0</v>
      </c>
      <c r="AL11" s="155">
        <v>14.0</v>
      </c>
      <c r="AM11" s="155"/>
      <c r="AN11" s="155"/>
      <c r="AO11" s="147">
        <f t="shared" si="25"/>
        <v>3.07867</v>
      </c>
      <c r="AP11" s="147">
        <f t="shared" si="26"/>
        <v>1.399395455</v>
      </c>
      <c r="AQ11" s="150"/>
      <c r="AR11" s="8"/>
      <c r="AS11" s="91"/>
      <c r="AT11" s="8"/>
      <c r="AU11" s="8"/>
      <c r="AV11" s="8"/>
      <c r="AW11" s="8"/>
      <c r="AX11" s="8"/>
    </row>
    <row r="12" ht="19.5" customHeight="1">
      <c r="A12" s="151" t="str">
        <f>Locsolieu!A7</f>
        <v>10</v>
      </c>
      <c r="B12" s="152">
        <f>Locsolieu!C7</f>
        <v>8.5072</v>
      </c>
      <c r="C12" s="132">
        <f>Locsolieu!D7*$C$4</f>
        <v>0.16818</v>
      </c>
      <c r="D12" s="133">
        <f>Locsolieu!E7*$C$4</f>
        <v>0.16818</v>
      </c>
      <c r="E12" s="153">
        <f>Locsolieu!F7</f>
        <v>8.5072</v>
      </c>
      <c r="F12" s="135">
        <v>510.0</v>
      </c>
      <c r="G12" s="136">
        <v>20.0</v>
      </c>
      <c r="H12" s="136">
        <v>25.0</v>
      </c>
      <c r="I12" s="136">
        <v>3.0</v>
      </c>
      <c r="J12" s="136">
        <f t="shared" ref="J12:J154" si="31">H12-I12</f>
        <v>22</v>
      </c>
      <c r="K12" s="137">
        <f t="shared" si="5"/>
        <v>1.976913673</v>
      </c>
      <c r="L12" s="137">
        <f t="shared" si="6"/>
        <v>1.976913673</v>
      </c>
      <c r="M12" s="138" t="str">
        <f t="shared" ref="M12:M154" si="32">ABS((AG12/100)*G12*J12*((H12/2)-I12)^2)</f>
        <v>#REF!</v>
      </c>
      <c r="N12" s="138" t="str">
        <f t="shared" ref="N12:N154" si="33">ABS((AI12/100)*$G12*$J12*(($H12/2)-$I12)^2)</f>
        <v>#REF!</v>
      </c>
      <c r="O12" s="139">
        <f t="shared" si="7"/>
        <v>26041.66667</v>
      </c>
      <c r="P12" s="140">
        <f t="shared" ref="P12:Q12" si="27">0.1+0.11/(0.1+MAX((K12/$H12),(0.5-(0.01*(0.7*$F12/$H12))-0.01*$E$2)))</f>
        <v>0.3955400322</v>
      </c>
      <c r="Q12" s="140">
        <f t="shared" si="27"/>
        <v>0.3955400322</v>
      </c>
      <c r="R12" s="139" t="str">
        <f t="shared" si="9"/>
        <v>#REF!</v>
      </c>
      <c r="S12" s="139" t="str">
        <f t="shared" si="10"/>
        <v>#REF!</v>
      </c>
      <c r="T12" s="141" t="str">
        <f t="shared" si="11"/>
        <v>#REF!</v>
      </c>
      <c r="U12" s="141" t="str">
        <f t="shared" si="12"/>
        <v>#REF!</v>
      </c>
      <c r="V12" s="142" t="str">
        <f t="shared" ref="V12:W12" si="28">IF(T12*K12&gt;=((0.5*$H12)-$I12),((T12*K12)-(0.5*$H12)+$I12),(0.5*$H12)-(T12*K12)-$I12)</f>
        <v>#REF!</v>
      </c>
      <c r="W12" s="142" t="str">
        <f t="shared" si="28"/>
        <v>#REF!</v>
      </c>
      <c r="X12" s="137" t="str">
        <f t="shared" ref="X12:Y12" si="29">(T12*K12)+(0.5*$H12)-$I12</f>
        <v>#REF!</v>
      </c>
      <c r="Y12" s="137" t="str">
        <f t="shared" si="29"/>
        <v>#REF!</v>
      </c>
      <c r="Z12" s="142">
        <f t="shared" si="15"/>
        <v>6.001361509</v>
      </c>
      <c r="AA12" s="142">
        <f t="shared" si="16"/>
        <v>6.001361509</v>
      </c>
      <c r="AB12" s="142">
        <f t="shared" ref="AB12:AC12" si="30">($H$2+((1-$H$2)/(1+50*(K12/$H12)^2)))*$J12</f>
        <v>20.16597386</v>
      </c>
      <c r="AC12" s="142">
        <f t="shared" si="30"/>
        <v>20.16597386</v>
      </c>
      <c r="AD12" s="142" t="str">
        <f t="shared" si="18"/>
        <v>#REF!</v>
      </c>
      <c r="AE12" s="142" t="str">
        <f t="shared" si="19"/>
        <v>#REF!</v>
      </c>
      <c r="AF12" s="143" t="str">
        <f t="shared" si="20"/>
        <v>#REF!</v>
      </c>
      <c r="AG12" s="154" t="str">
        <f t="shared" si="21"/>
        <v>#REF!</v>
      </c>
      <c r="AH12" s="145" t="str">
        <f t="shared" si="22"/>
        <v>#REF!</v>
      </c>
      <c r="AI12" s="146" t="str">
        <f t="shared" si="23"/>
        <v>#REF!</v>
      </c>
      <c r="AJ12" s="147" t="str">
        <f t="shared" si="24"/>
        <v>#REF!</v>
      </c>
      <c r="AK12" s="155">
        <v>2.0</v>
      </c>
      <c r="AL12" s="155">
        <v>16.0</v>
      </c>
      <c r="AM12" s="155"/>
      <c r="AN12" s="155"/>
      <c r="AO12" s="147">
        <f t="shared" si="25"/>
        <v>4.02112</v>
      </c>
      <c r="AP12" s="147">
        <f t="shared" si="26"/>
        <v>1.827781818</v>
      </c>
      <c r="AQ12" s="150"/>
      <c r="AR12" s="8"/>
      <c r="AS12" s="91"/>
      <c r="AT12" s="8"/>
      <c r="AU12" s="8"/>
      <c r="AV12" s="8"/>
      <c r="AW12" s="8"/>
      <c r="AX12" s="8"/>
    </row>
    <row r="13" ht="19.5" customHeight="1">
      <c r="A13" s="151" t="str">
        <f>Locsolieu!A8</f>
        <v>140</v>
      </c>
      <c r="B13" s="152">
        <f>Locsolieu!C8</f>
        <v>12.7038</v>
      </c>
      <c r="C13" s="132">
        <f>Locsolieu!D8*$C$4</f>
        <v>0.093</v>
      </c>
      <c r="D13" s="133">
        <f>Locsolieu!E8*$C$4</f>
        <v>0.17097</v>
      </c>
      <c r="E13" s="153">
        <f>Locsolieu!F8</f>
        <v>12.4068</v>
      </c>
      <c r="F13" s="135">
        <v>510.0</v>
      </c>
      <c r="G13" s="136">
        <v>20.0</v>
      </c>
      <c r="H13" s="136">
        <v>25.0</v>
      </c>
      <c r="I13" s="136">
        <v>3.0</v>
      </c>
      <c r="J13" s="136">
        <f t="shared" si="31"/>
        <v>22</v>
      </c>
      <c r="K13" s="137">
        <f t="shared" si="5"/>
        <v>0.85</v>
      </c>
      <c r="L13" s="137">
        <f t="shared" si="6"/>
        <v>1.378034626</v>
      </c>
      <c r="M13" s="138" t="str">
        <f t="shared" si="32"/>
        <v>#REF!</v>
      </c>
      <c r="N13" s="138" t="str">
        <f t="shared" si="33"/>
        <v>#REF!</v>
      </c>
      <c r="O13" s="139">
        <f t="shared" si="7"/>
        <v>26041.66667</v>
      </c>
      <c r="P13" s="140">
        <f t="shared" ref="P13:Q13" si="34">0.1+0.11/(0.1+MAX((K13/$H13),(0.5-(0.01*(0.7*$F13/$H13))-0.01*$E$2)))</f>
        <v>0.3955400322</v>
      </c>
      <c r="Q13" s="140">
        <f t="shared" si="34"/>
        <v>0.3955400322</v>
      </c>
      <c r="R13" s="139" t="str">
        <f t="shared" si="9"/>
        <v>#REF!</v>
      </c>
      <c r="S13" s="139" t="str">
        <f t="shared" si="10"/>
        <v>#REF!</v>
      </c>
      <c r="T13" s="141" t="str">
        <f t="shared" si="11"/>
        <v>#REF!</v>
      </c>
      <c r="U13" s="141" t="str">
        <f t="shared" si="12"/>
        <v>#REF!</v>
      </c>
      <c r="V13" s="142" t="str">
        <f t="shared" ref="V13:W13" si="35">IF(T13*K13&gt;=((0.5*$H13)-$I13),((T13*K13)-(0.5*$H13)+$I13),(0.5*$H13)-(T13*K13)-$I13)</f>
        <v>#REF!</v>
      </c>
      <c r="W13" s="142" t="str">
        <f t="shared" si="35"/>
        <v>#REF!</v>
      </c>
      <c r="X13" s="137" t="str">
        <f t="shared" ref="X13:Y13" si="36">(T13*K13)+(0.5*$H13)-$I13</f>
        <v>#REF!</v>
      </c>
      <c r="Y13" s="137" t="str">
        <f t="shared" si="36"/>
        <v>#REF!</v>
      </c>
      <c r="Z13" s="142">
        <f t="shared" si="15"/>
        <v>8.9618319</v>
      </c>
      <c r="AA13" s="142">
        <f t="shared" si="16"/>
        <v>8.752314741</v>
      </c>
      <c r="AB13" s="142">
        <f t="shared" ref="AB13:AC13" si="37">($H$2+((1-$H$2)/(1+50*(K13/$H13)^2)))*$J13</f>
        <v>21.57925884</v>
      </c>
      <c r="AC13" s="142">
        <f t="shared" si="37"/>
        <v>20.98450153</v>
      </c>
      <c r="AD13" s="142" t="str">
        <f t="shared" si="18"/>
        <v>#REF!</v>
      </c>
      <c r="AE13" s="142" t="str">
        <f t="shared" si="19"/>
        <v>#REF!</v>
      </c>
      <c r="AF13" s="143" t="str">
        <f t="shared" si="20"/>
        <v>#REF!</v>
      </c>
      <c r="AG13" s="154" t="str">
        <f t="shared" si="21"/>
        <v>#REF!</v>
      </c>
      <c r="AH13" s="145" t="str">
        <f t="shared" si="22"/>
        <v>#REF!</v>
      </c>
      <c r="AI13" s="146" t="str">
        <f t="shared" si="23"/>
        <v>#REF!</v>
      </c>
      <c r="AJ13" s="147" t="str">
        <f t="shared" si="24"/>
        <v>#REF!</v>
      </c>
      <c r="AK13" s="155">
        <v>2.0</v>
      </c>
      <c r="AL13" s="155">
        <v>16.0</v>
      </c>
      <c r="AM13" s="155"/>
      <c r="AN13" s="155"/>
      <c r="AO13" s="147">
        <f t="shared" si="25"/>
        <v>4.02112</v>
      </c>
      <c r="AP13" s="147">
        <f t="shared" si="26"/>
        <v>1.827781818</v>
      </c>
      <c r="AQ13" s="150"/>
      <c r="AR13" s="8"/>
      <c r="AS13" s="91"/>
      <c r="AT13" s="8"/>
      <c r="AU13" s="8"/>
      <c r="AV13" s="8"/>
      <c r="AW13" s="8"/>
      <c r="AX13" s="8"/>
    </row>
    <row r="14" ht="19.5" customHeight="1">
      <c r="A14" s="151" t="str">
        <f>Locsolieu!A9</f>
        <v>141</v>
      </c>
      <c r="B14" s="152">
        <f>Locsolieu!C9</f>
        <v>9.864</v>
      </c>
      <c r="C14" s="132">
        <f>Locsolieu!D9*$C$4</f>
        <v>0.17042</v>
      </c>
      <c r="D14" s="133">
        <f>Locsolieu!E9*$C$4</f>
        <v>0.17704</v>
      </c>
      <c r="E14" s="153">
        <f>Locsolieu!F9</f>
        <v>9.468</v>
      </c>
      <c r="F14" s="135">
        <v>510.0</v>
      </c>
      <c r="G14" s="136">
        <v>20.0</v>
      </c>
      <c r="H14" s="136">
        <v>25.0</v>
      </c>
      <c r="I14" s="136">
        <v>3.0</v>
      </c>
      <c r="J14" s="136">
        <f t="shared" si="31"/>
        <v>22</v>
      </c>
      <c r="K14" s="137">
        <f t="shared" si="5"/>
        <v>1.727696675</v>
      </c>
      <c r="L14" s="137">
        <f t="shared" si="6"/>
        <v>1.869877482</v>
      </c>
      <c r="M14" s="138" t="str">
        <f t="shared" si="32"/>
        <v>#REF!</v>
      </c>
      <c r="N14" s="138" t="str">
        <f t="shared" si="33"/>
        <v>#REF!</v>
      </c>
      <c r="O14" s="139">
        <f t="shared" si="7"/>
        <v>26041.66667</v>
      </c>
      <c r="P14" s="140">
        <f t="shared" ref="P14:Q14" si="38">0.1+0.11/(0.1+MAX((K14/$H14),(0.5-(0.01*(0.7*$F14/$H14))-0.01*$E$2)))</f>
        <v>0.3955400322</v>
      </c>
      <c r="Q14" s="140">
        <f t="shared" si="38"/>
        <v>0.3955400322</v>
      </c>
      <c r="R14" s="139" t="str">
        <f t="shared" si="9"/>
        <v>#REF!</v>
      </c>
      <c r="S14" s="139" t="str">
        <f t="shared" si="10"/>
        <v>#REF!</v>
      </c>
      <c r="T14" s="141" t="str">
        <f t="shared" si="11"/>
        <v>#REF!</v>
      </c>
      <c r="U14" s="141" t="str">
        <f t="shared" si="12"/>
        <v>#REF!</v>
      </c>
      <c r="V14" s="142" t="str">
        <f t="shared" ref="V14:W14" si="39">IF(T14*K14&gt;=((0.5*$H14)-$I14),((T14*K14)-(0.5*$H14)+$I14),(0.5*$H14)-(T14*K14)-$I14)</f>
        <v>#REF!</v>
      </c>
      <c r="W14" s="142" t="str">
        <f t="shared" si="39"/>
        <v>#REF!</v>
      </c>
      <c r="X14" s="137" t="str">
        <f t="shared" ref="X14:Y14" si="40">(T14*K14)+(0.5*$H14)-$I14</f>
        <v>#REF!</v>
      </c>
      <c r="Y14" s="137" t="str">
        <f t="shared" si="40"/>
        <v>#REF!</v>
      </c>
      <c r="Z14" s="142">
        <f t="shared" si="15"/>
        <v>6.958509254</v>
      </c>
      <c r="AA14" s="142">
        <f t="shared" si="16"/>
        <v>6.679153043</v>
      </c>
      <c r="AB14" s="142">
        <f t="shared" ref="AB14:AC14" si="41">($H$2+((1-$H$2)/(1+50*(K14/$H14)^2)))*$J14</f>
        <v>20.51571838</v>
      </c>
      <c r="AC14" s="142">
        <f t="shared" si="41"/>
        <v>20.3169631</v>
      </c>
      <c r="AD14" s="142" t="str">
        <f t="shared" si="18"/>
        <v>#REF!</v>
      </c>
      <c r="AE14" s="142" t="str">
        <f t="shared" si="19"/>
        <v>#REF!</v>
      </c>
      <c r="AF14" s="143" t="str">
        <f t="shared" si="20"/>
        <v>#REF!</v>
      </c>
      <c r="AG14" s="154" t="str">
        <f t="shared" si="21"/>
        <v>#REF!</v>
      </c>
      <c r="AH14" s="145" t="str">
        <f t="shared" si="22"/>
        <v>#REF!</v>
      </c>
      <c r="AI14" s="146" t="str">
        <f t="shared" si="23"/>
        <v>#REF!</v>
      </c>
      <c r="AJ14" s="147" t="str">
        <f t="shared" si="24"/>
        <v>#REF!</v>
      </c>
      <c r="AK14" s="155">
        <v>2.0</v>
      </c>
      <c r="AL14" s="155">
        <v>16.0</v>
      </c>
      <c r="AM14" s="155"/>
      <c r="AN14" s="155"/>
      <c r="AO14" s="147">
        <f t="shared" si="25"/>
        <v>4.02112</v>
      </c>
      <c r="AP14" s="147">
        <f t="shared" si="26"/>
        <v>1.827781818</v>
      </c>
      <c r="AQ14" s="150"/>
      <c r="AR14" s="8"/>
      <c r="AS14" s="91"/>
      <c r="AT14" s="8"/>
      <c r="AU14" s="8"/>
      <c r="AV14" s="8"/>
      <c r="AW14" s="8"/>
      <c r="AX14" s="8"/>
    </row>
    <row r="15" ht="19.5" customHeight="1">
      <c r="A15" s="151" t="str">
        <f>Locsolieu!A10</f>
        <v>142</v>
      </c>
      <c r="B15" s="152">
        <f>Locsolieu!C10</f>
        <v>6.7312</v>
      </c>
      <c r="C15" s="132">
        <f>Locsolieu!D10*$C$4</f>
        <v>0.12657</v>
      </c>
      <c r="D15" s="133">
        <f>Locsolieu!E10*$C$4</f>
        <v>0.12657</v>
      </c>
      <c r="E15" s="153">
        <f>Locsolieu!F10</f>
        <v>6.7312</v>
      </c>
      <c r="F15" s="135">
        <v>510.0</v>
      </c>
      <c r="G15" s="136">
        <v>20.0</v>
      </c>
      <c r="H15" s="136">
        <v>25.0</v>
      </c>
      <c r="I15" s="136">
        <v>3.0</v>
      </c>
      <c r="J15" s="136">
        <f t="shared" si="31"/>
        <v>22</v>
      </c>
      <c r="K15" s="137">
        <f t="shared" si="5"/>
        <v>1.880348229</v>
      </c>
      <c r="L15" s="137">
        <f t="shared" si="6"/>
        <v>1.880348229</v>
      </c>
      <c r="M15" s="138" t="str">
        <f t="shared" si="32"/>
        <v>#REF!</v>
      </c>
      <c r="N15" s="138" t="str">
        <f t="shared" si="33"/>
        <v>#REF!</v>
      </c>
      <c r="O15" s="139">
        <f t="shared" si="7"/>
        <v>26041.66667</v>
      </c>
      <c r="P15" s="140">
        <f t="shared" ref="P15:Q15" si="42">0.1+0.11/(0.1+MAX((K15/$H15),(0.5-(0.01*(0.7*$F15/$H15))-0.01*$E$2)))</f>
        <v>0.3955400322</v>
      </c>
      <c r="Q15" s="140">
        <f t="shared" si="42"/>
        <v>0.3955400322</v>
      </c>
      <c r="R15" s="139" t="str">
        <f t="shared" si="9"/>
        <v>#REF!</v>
      </c>
      <c r="S15" s="139" t="str">
        <f t="shared" si="10"/>
        <v>#REF!</v>
      </c>
      <c r="T15" s="141" t="str">
        <f t="shared" si="11"/>
        <v>#REF!</v>
      </c>
      <c r="U15" s="141" t="str">
        <f t="shared" si="12"/>
        <v>#REF!</v>
      </c>
      <c r="V15" s="142" t="str">
        <f t="shared" ref="V15:W15" si="43">IF(T15*K15&gt;=((0.5*$H15)-$I15),((T15*K15)-(0.5*$H15)+$I15),(0.5*$H15)-(T15*K15)-$I15)</f>
        <v>#REF!</v>
      </c>
      <c r="W15" s="142" t="str">
        <f t="shared" si="43"/>
        <v>#REF!</v>
      </c>
      <c r="X15" s="137" t="str">
        <f t="shared" ref="X15:Y15" si="44">(T15*K15)+(0.5*$H15)-$I15</f>
        <v>#REF!</v>
      </c>
      <c r="Y15" s="137" t="str">
        <f t="shared" si="44"/>
        <v>#REF!</v>
      </c>
      <c r="Z15" s="142">
        <f t="shared" si="15"/>
        <v>4.74849123</v>
      </c>
      <c r="AA15" s="142">
        <f t="shared" si="16"/>
        <v>4.74849123</v>
      </c>
      <c r="AB15" s="142">
        <f t="shared" ref="AB15:AC15" si="45">($H$2+((1-$H$2)/(1+50*(K15/$H15)^2)))*$J15</f>
        <v>20.30222898</v>
      </c>
      <c r="AC15" s="142">
        <f t="shared" si="45"/>
        <v>20.30222898</v>
      </c>
      <c r="AD15" s="142" t="str">
        <f t="shared" si="18"/>
        <v>#REF!</v>
      </c>
      <c r="AE15" s="142" t="str">
        <f t="shared" si="19"/>
        <v>#REF!</v>
      </c>
      <c r="AF15" s="143" t="str">
        <f t="shared" si="20"/>
        <v>#REF!</v>
      </c>
      <c r="AG15" s="154" t="str">
        <f t="shared" si="21"/>
        <v>#REF!</v>
      </c>
      <c r="AH15" s="145" t="str">
        <f t="shared" si="22"/>
        <v>#REF!</v>
      </c>
      <c r="AI15" s="146" t="str">
        <f t="shared" si="23"/>
        <v>#REF!</v>
      </c>
      <c r="AJ15" s="147" t="str">
        <f t="shared" si="24"/>
        <v>#REF!</v>
      </c>
      <c r="AK15" s="155">
        <v>2.0</v>
      </c>
      <c r="AL15" s="155">
        <v>16.0</v>
      </c>
      <c r="AM15" s="155"/>
      <c r="AN15" s="155"/>
      <c r="AO15" s="147">
        <f t="shared" si="25"/>
        <v>4.02112</v>
      </c>
      <c r="AP15" s="147">
        <f t="shared" si="26"/>
        <v>1.827781818</v>
      </c>
      <c r="AQ15" s="150"/>
      <c r="AR15" s="8"/>
      <c r="AS15" s="91"/>
      <c r="AT15" s="8"/>
      <c r="AU15" s="8"/>
      <c r="AV15" s="8"/>
      <c r="AW15" s="8"/>
      <c r="AX15" s="8"/>
    </row>
    <row r="16" ht="19.5" customHeight="1">
      <c r="A16" s="151" t="str">
        <f>Locsolieu!A11</f>
        <v>143</v>
      </c>
      <c r="B16" s="152">
        <f>Locsolieu!C11</f>
        <v>11.8632</v>
      </c>
      <c r="C16" s="132">
        <f>Locsolieu!D11*$C$4</f>
        <v>0.0927</v>
      </c>
      <c r="D16" s="133">
        <f>Locsolieu!E11*$C$4</f>
        <v>0.17079</v>
      </c>
      <c r="E16" s="153">
        <f>Locsolieu!F11</f>
        <v>11.5662</v>
      </c>
      <c r="F16" s="135">
        <v>510.0</v>
      </c>
      <c r="G16" s="136">
        <v>20.0</v>
      </c>
      <c r="H16" s="136">
        <v>25.0</v>
      </c>
      <c r="I16" s="136">
        <v>3.0</v>
      </c>
      <c r="J16" s="136">
        <f t="shared" si="31"/>
        <v>22</v>
      </c>
      <c r="K16" s="137">
        <f t="shared" si="5"/>
        <v>0.85</v>
      </c>
      <c r="L16" s="137">
        <f t="shared" si="6"/>
        <v>1.476630181</v>
      </c>
      <c r="M16" s="138" t="str">
        <f t="shared" si="32"/>
        <v>#REF!</v>
      </c>
      <c r="N16" s="138" t="str">
        <f t="shared" si="33"/>
        <v>#REF!</v>
      </c>
      <c r="O16" s="139">
        <f t="shared" si="7"/>
        <v>26041.66667</v>
      </c>
      <c r="P16" s="140">
        <f t="shared" ref="P16:Q16" si="46">0.1+0.11/(0.1+MAX((K16/$H16),(0.5-(0.01*(0.7*$F16/$H16))-0.01*$E$2)))</f>
        <v>0.3955400322</v>
      </c>
      <c r="Q16" s="140">
        <f t="shared" si="46"/>
        <v>0.3955400322</v>
      </c>
      <c r="R16" s="139" t="str">
        <f t="shared" si="9"/>
        <v>#REF!</v>
      </c>
      <c r="S16" s="139" t="str">
        <f t="shared" si="10"/>
        <v>#REF!</v>
      </c>
      <c r="T16" s="141" t="str">
        <f t="shared" si="11"/>
        <v>#REF!</v>
      </c>
      <c r="U16" s="141" t="str">
        <f t="shared" si="12"/>
        <v>#REF!</v>
      </c>
      <c r="V16" s="142" t="str">
        <f t="shared" ref="V16:W16" si="47">IF(T16*K16&gt;=((0.5*$H16)-$I16),((T16*K16)-(0.5*$H16)+$I16),(0.5*$H16)-(T16*K16)-$I16)</f>
        <v>#REF!</v>
      </c>
      <c r="W16" s="142" t="str">
        <f t="shared" si="47"/>
        <v>#REF!</v>
      </c>
      <c r="X16" s="137" t="str">
        <f t="shared" ref="X16:Y16" si="48">(T16*K16)+(0.5*$H16)-$I16</f>
        <v>#REF!</v>
      </c>
      <c r="Y16" s="137" t="str">
        <f t="shared" si="48"/>
        <v>#REF!</v>
      </c>
      <c r="Z16" s="142">
        <f t="shared" si="15"/>
        <v>8.368834852</v>
      </c>
      <c r="AA16" s="142">
        <f t="shared" si="16"/>
        <v>8.159317694</v>
      </c>
      <c r="AB16" s="142">
        <f t="shared" ref="AB16:AC16" si="49">($H$2+((1-$H$2)/(1+50*(K16/$H16)^2)))*$J16</f>
        <v>21.57925884</v>
      </c>
      <c r="AC16" s="142">
        <f t="shared" si="49"/>
        <v>20.85634448</v>
      </c>
      <c r="AD16" s="142" t="str">
        <f t="shared" si="18"/>
        <v>#REF!</v>
      </c>
      <c r="AE16" s="142" t="str">
        <f t="shared" si="19"/>
        <v>#REF!</v>
      </c>
      <c r="AF16" s="143" t="str">
        <f t="shared" si="20"/>
        <v>#REF!</v>
      </c>
      <c r="AG16" s="154" t="str">
        <f t="shared" si="21"/>
        <v>#REF!</v>
      </c>
      <c r="AH16" s="145" t="str">
        <f t="shared" si="22"/>
        <v>#REF!</v>
      </c>
      <c r="AI16" s="146" t="str">
        <f t="shared" si="23"/>
        <v>#REF!</v>
      </c>
      <c r="AJ16" s="147" t="str">
        <f t="shared" si="24"/>
        <v>#REF!</v>
      </c>
      <c r="AK16" s="155">
        <v>2.0</v>
      </c>
      <c r="AL16" s="155">
        <v>16.0</v>
      </c>
      <c r="AM16" s="155"/>
      <c r="AN16" s="155"/>
      <c r="AO16" s="147">
        <f t="shared" si="25"/>
        <v>4.02112</v>
      </c>
      <c r="AP16" s="147">
        <f t="shared" si="26"/>
        <v>1.827781818</v>
      </c>
      <c r="AQ16" s="150"/>
      <c r="AR16" s="8"/>
      <c r="AS16" s="91"/>
      <c r="AT16" s="8"/>
      <c r="AU16" s="8"/>
      <c r="AV16" s="8"/>
      <c r="AW16" s="8"/>
      <c r="AX16" s="8"/>
    </row>
    <row r="17" ht="19.5" customHeight="1">
      <c r="A17" s="151" t="str">
        <f>Locsolieu!A12</f>
        <v>144</v>
      </c>
      <c r="B17" s="152">
        <f>Locsolieu!C12</f>
        <v>9.0172</v>
      </c>
      <c r="C17" s="132">
        <f>Locsolieu!D12*$C$4</f>
        <v>0.17048</v>
      </c>
      <c r="D17" s="133">
        <f>Locsolieu!E12*$C$4</f>
        <v>0.17898</v>
      </c>
      <c r="E17" s="153">
        <f>Locsolieu!F12</f>
        <v>8.6212</v>
      </c>
      <c r="F17" s="135">
        <v>510.0</v>
      </c>
      <c r="G17" s="136">
        <v>20.0</v>
      </c>
      <c r="H17" s="136">
        <v>25.0</v>
      </c>
      <c r="I17" s="136">
        <v>3.0</v>
      </c>
      <c r="J17" s="136">
        <f t="shared" si="31"/>
        <v>22</v>
      </c>
      <c r="K17" s="137">
        <f t="shared" si="5"/>
        <v>1.890609058</v>
      </c>
      <c r="L17" s="137">
        <f t="shared" si="6"/>
        <v>2.076045098</v>
      </c>
      <c r="M17" s="138" t="str">
        <f t="shared" si="32"/>
        <v>#REF!</v>
      </c>
      <c r="N17" s="138" t="str">
        <f t="shared" si="33"/>
        <v>#REF!</v>
      </c>
      <c r="O17" s="139">
        <f t="shared" si="7"/>
        <v>26041.66667</v>
      </c>
      <c r="P17" s="140">
        <f t="shared" ref="P17:Q17" si="50">0.1+0.11/(0.1+MAX((K17/$H17),(0.5-(0.01*(0.7*$F17/$H17))-0.01*$E$2)))</f>
        <v>0.3955400322</v>
      </c>
      <c r="Q17" s="140">
        <f t="shared" si="50"/>
        <v>0.3955400322</v>
      </c>
      <c r="R17" s="139" t="str">
        <f t="shared" si="9"/>
        <v>#REF!</v>
      </c>
      <c r="S17" s="139" t="str">
        <f t="shared" si="10"/>
        <v>#REF!</v>
      </c>
      <c r="T17" s="141" t="str">
        <f t="shared" si="11"/>
        <v>#REF!</v>
      </c>
      <c r="U17" s="141" t="str">
        <f t="shared" si="12"/>
        <v>#REF!</v>
      </c>
      <c r="V17" s="142" t="str">
        <f t="shared" ref="V17:W17" si="51">IF(T17*K17&gt;=((0.5*$H17)-$I17),((T17*K17)-(0.5*$H17)+$I17),(0.5*$H17)-(T17*K17)-$I17)</f>
        <v>#REF!</v>
      </c>
      <c r="W17" s="142" t="str">
        <f t="shared" si="51"/>
        <v>#REF!</v>
      </c>
      <c r="X17" s="137" t="str">
        <f t="shared" ref="X17:Y17" si="52">(T17*K17)+(0.5*$H17)-$I17</f>
        <v>#REF!</v>
      </c>
      <c r="Y17" s="137" t="str">
        <f t="shared" si="52"/>
        <v>#REF!</v>
      </c>
      <c r="Z17" s="142">
        <f t="shared" si="15"/>
        <v>6.361138447</v>
      </c>
      <c r="AA17" s="142">
        <f t="shared" si="16"/>
        <v>6.081782236</v>
      </c>
      <c r="AB17" s="142">
        <f t="shared" ref="AB17:AC17" si="53">($H$2+((1-$H$2)/(1+50*(K17/$H17)^2)))*$J17</f>
        <v>20.28778084</v>
      </c>
      <c r="AC17" s="142">
        <f t="shared" si="53"/>
        <v>20.02577099</v>
      </c>
      <c r="AD17" s="142" t="str">
        <f t="shared" si="18"/>
        <v>#REF!</v>
      </c>
      <c r="AE17" s="142" t="str">
        <f t="shared" si="19"/>
        <v>#REF!</v>
      </c>
      <c r="AF17" s="143" t="str">
        <f t="shared" si="20"/>
        <v>#REF!</v>
      </c>
      <c r="AG17" s="154" t="str">
        <f t="shared" si="21"/>
        <v>#REF!</v>
      </c>
      <c r="AH17" s="145" t="str">
        <f t="shared" si="22"/>
        <v>#REF!</v>
      </c>
      <c r="AI17" s="146" t="str">
        <f t="shared" si="23"/>
        <v>#REF!</v>
      </c>
      <c r="AJ17" s="147" t="str">
        <f t="shared" si="24"/>
        <v>#REF!</v>
      </c>
      <c r="AK17" s="155">
        <v>2.0</v>
      </c>
      <c r="AL17" s="155">
        <v>16.0</v>
      </c>
      <c r="AM17" s="155"/>
      <c r="AN17" s="155"/>
      <c r="AO17" s="147">
        <f t="shared" si="25"/>
        <v>4.02112</v>
      </c>
      <c r="AP17" s="147">
        <f t="shared" si="26"/>
        <v>1.827781818</v>
      </c>
      <c r="AQ17" s="150"/>
      <c r="AR17" s="8"/>
      <c r="AS17" s="91"/>
      <c r="AT17" s="8"/>
      <c r="AU17" s="8"/>
      <c r="AV17" s="8"/>
      <c r="AW17" s="8"/>
      <c r="AX17" s="8"/>
    </row>
    <row r="18" ht="19.5" customHeight="1">
      <c r="A18" s="151" t="str">
        <f>Locsolieu!A13</f>
        <v>145</v>
      </c>
      <c r="B18" s="152">
        <f>Locsolieu!C13</f>
        <v>5.8861</v>
      </c>
      <c r="C18" s="132">
        <f>Locsolieu!D13*$C$4</f>
        <v>0.10912</v>
      </c>
      <c r="D18" s="133">
        <f>Locsolieu!E13*$C$4</f>
        <v>0.10912</v>
      </c>
      <c r="E18" s="153">
        <f>Locsolieu!F13</f>
        <v>5.8861</v>
      </c>
      <c r="F18" s="135">
        <v>510.0</v>
      </c>
      <c r="G18" s="136">
        <v>20.0</v>
      </c>
      <c r="H18" s="136">
        <v>25.0</v>
      </c>
      <c r="I18" s="136">
        <v>3.0</v>
      </c>
      <c r="J18" s="136">
        <f t="shared" si="31"/>
        <v>22</v>
      </c>
      <c r="K18" s="137">
        <f t="shared" si="5"/>
        <v>1.853859092</v>
      </c>
      <c r="L18" s="137">
        <f t="shared" si="6"/>
        <v>1.853859092</v>
      </c>
      <c r="M18" s="138" t="str">
        <f t="shared" si="32"/>
        <v>#REF!</v>
      </c>
      <c r="N18" s="138" t="str">
        <f t="shared" si="33"/>
        <v>#REF!</v>
      </c>
      <c r="O18" s="139">
        <f t="shared" si="7"/>
        <v>26041.66667</v>
      </c>
      <c r="P18" s="140">
        <f t="shared" ref="P18:Q18" si="54">0.1+0.11/(0.1+MAX((K18/$H18),(0.5-(0.01*(0.7*$F18/$H18))-0.01*$E$2)))</f>
        <v>0.3955400322</v>
      </c>
      <c r="Q18" s="140">
        <f t="shared" si="54"/>
        <v>0.3955400322</v>
      </c>
      <c r="R18" s="139" t="str">
        <f t="shared" si="9"/>
        <v>#REF!</v>
      </c>
      <c r="S18" s="139" t="str">
        <f t="shared" si="10"/>
        <v>#REF!</v>
      </c>
      <c r="T18" s="141" t="str">
        <f t="shared" si="11"/>
        <v>#REF!</v>
      </c>
      <c r="U18" s="141" t="str">
        <f t="shared" si="12"/>
        <v>#REF!</v>
      </c>
      <c r="V18" s="142" t="str">
        <f t="shared" ref="V18:W18" si="55">IF(T18*K18&gt;=((0.5*$H18)-$I18),((T18*K18)-(0.5*$H18)+$I18),(0.5*$H18)-(T18*K18)-$I18)</f>
        <v>#REF!</v>
      </c>
      <c r="W18" s="142" t="str">
        <f t="shared" si="55"/>
        <v>#REF!</v>
      </c>
      <c r="X18" s="137" t="str">
        <f t="shared" ref="X18:Y18" si="56">(T18*K18)+(0.5*$H18)-$I18</f>
        <v>#REF!</v>
      </c>
      <c r="Y18" s="137" t="str">
        <f t="shared" si="56"/>
        <v>#REF!</v>
      </c>
      <c r="Z18" s="142">
        <f t="shared" si="15"/>
        <v>4.152319679</v>
      </c>
      <c r="AA18" s="142">
        <f t="shared" si="16"/>
        <v>4.152319679</v>
      </c>
      <c r="AB18" s="142">
        <f t="shared" ref="AB18:AC18" si="57">($H$2+((1-$H$2)/(1+50*(K18/$H18)^2)))*$J18</f>
        <v>20.3394834</v>
      </c>
      <c r="AC18" s="142">
        <f t="shared" si="57"/>
        <v>20.3394834</v>
      </c>
      <c r="AD18" s="142" t="str">
        <f t="shared" si="18"/>
        <v>#REF!</v>
      </c>
      <c r="AE18" s="142" t="str">
        <f t="shared" si="19"/>
        <v>#REF!</v>
      </c>
      <c r="AF18" s="143" t="str">
        <f t="shared" si="20"/>
        <v>#REF!</v>
      </c>
      <c r="AG18" s="154" t="str">
        <f t="shared" si="21"/>
        <v>#REF!</v>
      </c>
      <c r="AH18" s="145" t="str">
        <f t="shared" si="22"/>
        <v>#REF!</v>
      </c>
      <c r="AI18" s="146" t="str">
        <f t="shared" si="23"/>
        <v>#REF!</v>
      </c>
      <c r="AJ18" s="147" t="str">
        <f t="shared" si="24"/>
        <v>#REF!</v>
      </c>
      <c r="AK18" s="155">
        <v>2.0</v>
      </c>
      <c r="AL18" s="155">
        <v>16.0</v>
      </c>
      <c r="AM18" s="155"/>
      <c r="AN18" s="155"/>
      <c r="AO18" s="147">
        <f t="shared" si="25"/>
        <v>4.02112</v>
      </c>
      <c r="AP18" s="147">
        <f t="shared" si="26"/>
        <v>1.827781818</v>
      </c>
      <c r="AQ18" s="150"/>
      <c r="AR18" s="8"/>
      <c r="AS18" s="91"/>
      <c r="AT18" s="8"/>
      <c r="AU18" s="8"/>
      <c r="AV18" s="8"/>
      <c r="AW18" s="8"/>
      <c r="AX18" s="8"/>
    </row>
    <row r="19" ht="19.5" customHeight="1">
      <c r="A19" s="151" t="str">
        <f>Locsolieu!A14</f>
        <v>146</v>
      </c>
      <c r="B19" s="152">
        <f>Locsolieu!C14</f>
        <v>13.4491</v>
      </c>
      <c r="C19" s="132">
        <f>Locsolieu!D14*$C$4</f>
        <v>0.06001</v>
      </c>
      <c r="D19" s="133">
        <f>Locsolieu!E14*$C$4</f>
        <v>0.13813</v>
      </c>
      <c r="E19" s="153">
        <f>Locsolieu!F14</f>
        <v>13.1521</v>
      </c>
      <c r="F19" s="135">
        <v>510.0</v>
      </c>
      <c r="G19" s="136">
        <v>20.0</v>
      </c>
      <c r="H19" s="136">
        <v>25.0</v>
      </c>
      <c r="I19" s="136">
        <v>3.0</v>
      </c>
      <c r="J19" s="136">
        <f t="shared" si="31"/>
        <v>22</v>
      </c>
      <c r="K19" s="137">
        <f t="shared" si="5"/>
        <v>0.85</v>
      </c>
      <c r="L19" s="137">
        <f t="shared" si="6"/>
        <v>1.05025053</v>
      </c>
      <c r="M19" s="138" t="str">
        <f t="shared" si="32"/>
        <v>#REF!</v>
      </c>
      <c r="N19" s="138" t="str">
        <f t="shared" si="33"/>
        <v>#REF!</v>
      </c>
      <c r="O19" s="139">
        <f t="shared" si="7"/>
        <v>26041.66667</v>
      </c>
      <c r="P19" s="140">
        <f t="shared" ref="P19:Q19" si="58">0.1+0.11/(0.1+MAX((K19/$H19),(0.5-(0.01*(0.7*$F19/$H19))-0.01*$E$2)))</f>
        <v>0.3955400322</v>
      </c>
      <c r="Q19" s="140">
        <f t="shared" si="58"/>
        <v>0.3955400322</v>
      </c>
      <c r="R19" s="139" t="str">
        <f t="shared" si="9"/>
        <v>#REF!</v>
      </c>
      <c r="S19" s="139" t="str">
        <f t="shared" si="10"/>
        <v>#REF!</v>
      </c>
      <c r="T19" s="141" t="str">
        <f t="shared" si="11"/>
        <v>#REF!</v>
      </c>
      <c r="U19" s="141" t="str">
        <f t="shared" si="12"/>
        <v>#REF!</v>
      </c>
      <c r="V19" s="142" t="str">
        <f t="shared" ref="V19:W19" si="59">IF(T19*K19&gt;=((0.5*$H19)-$I19),((T19*K19)-(0.5*$H19)+$I19),(0.5*$H19)-(T19*K19)-$I19)</f>
        <v>#REF!</v>
      </c>
      <c r="W19" s="142" t="str">
        <f t="shared" si="59"/>
        <v>#REF!</v>
      </c>
      <c r="X19" s="137" t="str">
        <f t="shared" ref="X19:Y19" si="60">(T19*K19)+(0.5*$H19)-$I19</f>
        <v>#REF!</v>
      </c>
      <c r="Y19" s="137" t="str">
        <f t="shared" si="60"/>
        <v>#REF!</v>
      </c>
      <c r="Z19" s="142">
        <f t="shared" si="15"/>
        <v>9.487600041</v>
      </c>
      <c r="AA19" s="142">
        <f t="shared" si="16"/>
        <v>9.278082883</v>
      </c>
      <c r="AB19" s="142">
        <f t="shared" ref="AB19:AC19" si="61">($H$2+((1-$H$2)/(1+50*(K19/$H19)^2)))*$J19</f>
        <v>21.57925884</v>
      </c>
      <c r="AC19" s="142">
        <f t="shared" si="61"/>
        <v>21.37563146</v>
      </c>
      <c r="AD19" s="142" t="str">
        <f t="shared" si="18"/>
        <v>#REF!</v>
      </c>
      <c r="AE19" s="142" t="str">
        <f t="shared" si="19"/>
        <v>#REF!</v>
      </c>
      <c r="AF19" s="143" t="str">
        <f t="shared" si="20"/>
        <v>#REF!</v>
      </c>
      <c r="AG19" s="154" t="str">
        <f t="shared" si="21"/>
        <v>#REF!</v>
      </c>
      <c r="AH19" s="145" t="str">
        <f t="shared" si="22"/>
        <v>#REF!</v>
      </c>
      <c r="AI19" s="146" t="str">
        <f t="shared" si="23"/>
        <v>#REF!</v>
      </c>
      <c r="AJ19" s="147" t="str">
        <f t="shared" si="24"/>
        <v>#REF!</v>
      </c>
      <c r="AK19" s="155">
        <v>2.0</v>
      </c>
      <c r="AL19" s="155">
        <v>16.0</v>
      </c>
      <c r="AM19" s="155"/>
      <c r="AN19" s="155"/>
      <c r="AO19" s="147">
        <f t="shared" si="25"/>
        <v>4.02112</v>
      </c>
      <c r="AP19" s="147">
        <f t="shared" si="26"/>
        <v>1.827781818</v>
      </c>
      <c r="AQ19" s="150"/>
      <c r="AR19" s="8"/>
      <c r="AS19" s="91"/>
      <c r="AT19" s="8"/>
      <c r="AU19" s="8"/>
      <c r="AV19" s="8"/>
      <c r="AW19" s="8"/>
      <c r="AX19" s="8"/>
    </row>
    <row r="20" ht="19.5" customHeight="1">
      <c r="A20" s="151" t="str">
        <f>Locsolieu!A15</f>
        <v>147</v>
      </c>
      <c r="B20" s="152">
        <f>Locsolieu!C15</f>
        <v>10.6756</v>
      </c>
      <c r="C20" s="132">
        <f>Locsolieu!D15*$C$4</f>
        <v>0.18527</v>
      </c>
      <c r="D20" s="133">
        <f>Locsolieu!E15*$C$4</f>
        <v>0.18527</v>
      </c>
      <c r="E20" s="153">
        <f>Locsolieu!F15</f>
        <v>10.6756</v>
      </c>
      <c r="F20" s="135">
        <v>510.0</v>
      </c>
      <c r="G20" s="136">
        <v>20.0</v>
      </c>
      <c r="H20" s="136">
        <v>25.0</v>
      </c>
      <c r="I20" s="136">
        <v>3.0</v>
      </c>
      <c r="J20" s="136">
        <f t="shared" si="31"/>
        <v>22</v>
      </c>
      <c r="K20" s="137">
        <f t="shared" si="5"/>
        <v>1.735452808</v>
      </c>
      <c r="L20" s="137">
        <f t="shared" si="6"/>
        <v>1.735452808</v>
      </c>
      <c r="M20" s="138" t="str">
        <f t="shared" si="32"/>
        <v>#REF!</v>
      </c>
      <c r="N20" s="138" t="str">
        <f t="shared" si="33"/>
        <v>#REF!</v>
      </c>
      <c r="O20" s="139">
        <f t="shared" si="7"/>
        <v>26041.66667</v>
      </c>
      <c r="P20" s="140">
        <f t="shared" ref="P20:Q20" si="62">0.1+0.11/(0.1+MAX((K20/$H20),(0.5-(0.01*(0.7*$F20/$H20))-0.01*$E$2)))</f>
        <v>0.3955400322</v>
      </c>
      <c r="Q20" s="140">
        <f t="shared" si="62"/>
        <v>0.3955400322</v>
      </c>
      <c r="R20" s="139" t="str">
        <f t="shared" si="9"/>
        <v>#REF!</v>
      </c>
      <c r="S20" s="139" t="str">
        <f t="shared" si="10"/>
        <v>#REF!</v>
      </c>
      <c r="T20" s="141" t="str">
        <f t="shared" si="11"/>
        <v>#REF!</v>
      </c>
      <c r="U20" s="141" t="str">
        <f t="shared" si="12"/>
        <v>#REF!</v>
      </c>
      <c r="V20" s="142" t="str">
        <f t="shared" ref="V20:W20" si="63">IF(T20*K20&gt;=((0.5*$H20)-$I20),((T20*K20)-(0.5*$H20)+$I20),(0.5*$H20)-(T20*K20)-$I20)</f>
        <v>#REF!</v>
      </c>
      <c r="W20" s="142" t="str">
        <f t="shared" si="63"/>
        <v>#REF!</v>
      </c>
      <c r="X20" s="137" t="str">
        <f t="shared" ref="X20:Y20" si="64">(T20*K20)+(0.5*$H20)-$I20</f>
        <v>#REF!</v>
      </c>
      <c r="Y20" s="137" t="str">
        <f t="shared" si="64"/>
        <v>#REF!</v>
      </c>
      <c r="Z20" s="142">
        <f t="shared" si="15"/>
        <v>7.531048397</v>
      </c>
      <c r="AA20" s="142">
        <f t="shared" si="16"/>
        <v>7.531048397</v>
      </c>
      <c r="AB20" s="142">
        <f t="shared" ref="AB20:AC20" si="65">($H$2+((1-$H$2)/(1+50*(K20/$H20)^2)))*$J20</f>
        <v>20.50495507</v>
      </c>
      <c r="AC20" s="142">
        <f t="shared" si="65"/>
        <v>20.50495507</v>
      </c>
      <c r="AD20" s="142" t="str">
        <f t="shared" si="18"/>
        <v>#REF!</v>
      </c>
      <c r="AE20" s="142" t="str">
        <f t="shared" si="19"/>
        <v>#REF!</v>
      </c>
      <c r="AF20" s="143" t="str">
        <f t="shared" si="20"/>
        <v>#REF!</v>
      </c>
      <c r="AG20" s="154" t="str">
        <f t="shared" si="21"/>
        <v>#REF!</v>
      </c>
      <c r="AH20" s="145" t="str">
        <f t="shared" si="22"/>
        <v>#REF!</v>
      </c>
      <c r="AI20" s="146" t="str">
        <f t="shared" si="23"/>
        <v>#REF!</v>
      </c>
      <c r="AJ20" s="147" t="str">
        <f t="shared" si="24"/>
        <v>#REF!</v>
      </c>
      <c r="AK20" s="155"/>
      <c r="AL20" s="155"/>
      <c r="AM20" s="155"/>
      <c r="AN20" s="155"/>
      <c r="AO20" s="147">
        <f t="shared" si="25"/>
        <v>0</v>
      </c>
      <c r="AP20" s="147">
        <f t="shared" si="26"/>
        <v>0</v>
      </c>
      <c r="AQ20" s="150"/>
      <c r="AR20" s="8"/>
      <c r="AS20" s="91"/>
      <c r="AT20" s="8"/>
      <c r="AU20" s="8"/>
      <c r="AV20" s="8"/>
      <c r="AW20" s="8"/>
      <c r="AX20" s="8"/>
    </row>
    <row r="21" ht="19.5" customHeight="1">
      <c r="A21" s="151" t="str">
        <f>Locsolieu!A16</f>
        <v>148</v>
      </c>
      <c r="B21" s="152">
        <f>Locsolieu!C16</f>
        <v>7.691</v>
      </c>
      <c r="C21" s="132">
        <f>Locsolieu!D16*$C$4</f>
        <v>0.16833</v>
      </c>
      <c r="D21" s="133">
        <f>Locsolieu!E16*$C$4</f>
        <v>0.16833</v>
      </c>
      <c r="E21" s="153">
        <f>Locsolieu!F16</f>
        <v>7.691</v>
      </c>
      <c r="F21" s="135">
        <v>510.0</v>
      </c>
      <c r="G21" s="136">
        <v>20.0</v>
      </c>
      <c r="H21" s="136">
        <v>25.0</v>
      </c>
      <c r="I21" s="136">
        <v>3.0</v>
      </c>
      <c r="J21" s="136">
        <f t="shared" si="31"/>
        <v>22</v>
      </c>
      <c r="K21" s="137">
        <f t="shared" si="5"/>
        <v>2.188662073</v>
      </c>
      <c r="L21" s="137">
        <f t="shared" si="6"/>
        <v>2.188662073</v>
      </c>
      <c r="M21" s="138" t="str">
        <f t="shared" si="32"/>
        <v>#REF!</v>
      </c>
      <c r="N21" s="138" t="str">
        <f t="shared" si="33"/>
        <v>#REF!</v>
      </c>
      <c r="O21" s="139">
        <f t="shared" si="7"/>
        <v>26041.66667</v>
      </c>
      <c r="P21" s="140">
        <f t="shared" ref="P21:Q21" si="66">0.1+0.11/(0.1+MAX((K21/$H21),(0.5-(0.01*(0.7*$F21/$H21))-0.01*$E$2)))</f>
        <v>0.3955400322</v>
      </c>
      <c r="Q21" s="140">
        <f t="shared" si="66"/>
        <v>0.3955400322</v>
      </c>
      <c r="R21" s="139" t="str">
        <f t="shared" si="9"/>
        <v>#REF!</v>
      </c>
      <c r="S21" s="139" t="str">
        <f t="shared" si="10"/>
        <v>#REF!</v>
      </c>
      <c r="T21" s="141" t="str">
        <f t="shared" si="11"/>
        <v>#REF!</v>
      </c>
      <c r="U21" s="141" t="str">
        <f t="shared" si="12"/>
        <v>#REF!</v>
      </c>
      <c r="V21" s="142" t="str">
        <f t="shared" ref="V21:W21" si="67">IF(T21*K21&gt;=((0.5*$H21)-$I21),((T21*K21)-(0.5*$H21)+$I21),(0.5*$H21)-(T21*K21)-$I21)</f>
        <v>#REF!</v>
      </c>
      <c r="W21" s="142" t="str">
        <f t="shared" si="67"/>
        <v>#REF!</v>
      </c>
      <c r="X21" s="137" t="str">
        <f t="shared" ref="X21:Y21" si="68">(T21*K21)+(0.5*$H21)-$I21</f>
        <v>#REF!</v>
      </c>
      <c r="Y21" s="137" t="str">
        <f t="shared" si="68"/>
        <v>#REF!</v>
      </c>
      <c r="Z21" s="142">
        <f t="shared" si="15"/>
        <v>5.425577319</v>
      </c>
      <c r="AA21" s="142">
        <f t="shared" si="16"/>
        <v>5.425577319</v>
      </c>
      <c r="AB21" s="142">
        <f t="shared" ref="AB21:AC21" si="69">($H$2+((1-$H$2)/(1+50*(K21/$H21)^2)))*$J21</f>
        <v>19.86672381</v>
      </c>
      <c r="AC21" s="142">
        <f t="shared" si="69"/>
        <v>19.86672381</v>
      </c>
      <c r="AD21" s="142" t="str">
        <f t="shared" si="18"/>
        <v>#REF!</v>
      </c>
      <c r="AE21" s="142" t="str">
        <f t="shared" si="19"/>
        <v>#REF!</v>
      </c>
      <c r="AF21" s="143" t="str">
        <f t="shared" si="20"/>
        <v>#REF!</v>
      </c>
      <c r="AG21" s="154" t="str">
        <f t="shared" si="21"/>
        <v>#REF!</v>
      </c>
      <c r="AH21" s="145" t="str">
        <f t="shared" si="22"/>
        <v>#REF!</v>
      </c>
      <c r="AI21" s="146" t="str">
        <f t="shared" si="23"/>
        <v>#REF!</v>
      </c>
      <c r="AJ21" s="147" t="str">
        <f t="shared" si="24"/>
        <v>#REF!</v>
      </c>
      <c r="AK21" s="155"/>
      <c r="AL21" s="155"/>
      <c r="AM21" s="155"/>
      <c r="AN21" s="155"/>
      <c r="AO21" s="147">
        <f t="shared" si="25"/>
        <v>0</v>
      </c>
      <c r="AP21" s="147">
        <f t="shared" si="26"/>
        <v>0</v>
      </c>
      <c r="AQ21" s="150"/>
      <c r="AR21" s="8"/>
      <c r="AS21" s="91"/>
      <c r="AT21" s="8"/>
      <c r="AU21" s="8"/>
      <c r="AV21" s="8"/>
      <c r="AW21" s="8"/>
      <c r="AX21" s="8"/>
    </row>
    <row r="22" ht="19.5" customHeight="1">
      <c r="A22" s="151" t="str">
        <f>Locsolieu!A17</f>
        <v>149</v>
      </c>
      <c r="B22" s="152">
        <f>Locsolieu!C17</f>
        <v>17.0102</v>
      </c>
      <c r="C22" s="132">
        <f>Locsolieu!D17*$C$4</f>
        <v>0.0676</v>
      </c>
      <c r="D22" s="133">
        <f>Locsolieu!E17*$C$4</f>
        <v>0.14584</v>
      </c>
      <c r="E22" s="153">
        <f>Locsolieu!F17</f>
        <v>16.7132</v>
      </c>
      <c r="F22" s="135">
        <v>510.0</v>
      </c>
      <c r="G22" s="136">
        <v>20.0</v>
      </c>
      <c r="H22" s="136">
        <v>25.0</v>
      </c>
      <c r="I22" s="136">
        <v>3.0</v>
      </c>
      <c r="J22" s="136">
        <f t="shared" si="31"/>
        <v>22</v>
      </c>
      <c r="K22" s="137">
        <f t="shared" si="5"/>
        <v>0.85</v>
      </c>
      <c r="L22" s="137">
        <f t="shared" si="6"/>
        <v>0.8726036905</v>
      </c>
      <c r="M22" s="138" t="str">
        <f t="shared" si="32"/>
        <v>#REF!</v>
      </c>
      <c r="N22" s="138" t="str">
        <f t="shared" si="33"/>
        <v>#REF!</v>
      </c>
      <c r="O22" s="139">
        <f t="shared" si="7"/>
        <v>26041.66667</v>
      </c>
      <c r="P22" s="140">
        <f t="shared" ref="P22:Q22" si="70">0.1+0.11/(0.1+MAX((K22/$H22),(0.5-(0.01*(0.7*$F22/$H22))-0.01*$E$2)))</f>
        <v>0.3955400322</v>
      </c>
      <c r="Q22" s="140">
        <f t="shared" si="70"/>
        <v>0.3955400322</v>
      </c>
      <c r="R22" s="139" t="str">
        <f t="shared" si="9"/>
        <v>#REF!</v>
      </c>
      <c r="S22" s="139" t="str">
        <f t="shared" si="10"/>
        <v>#REF!</v>
      </c>
      <c r="T22" s="141" t="str">
        <f t="shared" si="11"/>
        <v>#REF!</v>
      </c>
      <c r="U22" s="141" t="str">
        <f t="shared" si="12"/>
        <v>#REF!</v>
      </c>
      <c r="V22" s="142" t="str">
        <f t="shared" ref="V22:W22" si="71">IF(T22*K22&gt;=((0.5*$H22)-$I22),((T22*K22)-(0.5*$H22)+$I22),(0.5*$H22)-(T22*K22)-$I22)</f>
        <v>#REF!</v>
      </c>
      <c r="W22" s="142" t="str">
        <f t="shared" si="71"/>
        <v>#REF!</v>
      </c>
      <c r="X22" s="137" t="str">
        <f t="shared" ref="X22:Y22" si="72">(T22*K22)+(0.5*$H22)-$I22</f>
        <v>#REF!</v>
      </c>
      <c r="Y22" s="137" t="str">
        <f t="shared" si="72"/>
        <v>#REF!</v>
      </c>
      <c r="Z22" s="142">
        <f t="shared" si="15"/>
        <v>11.99976015</v>
      </c>
      <c r="AA22" s="142">
        <f t="shared" si="16"/>
        <v>11.79024299</v>
      </c>
      <c r="AB22" s="142">
        <f t="shared" ref="AB22:AC22" si="73">($H$2+((1-$H$2)/(1+50*(K22/$H22)^2)))*$J22</f>
        <v>21.57925884</v>
      </c>
      <c r="AC22" s="142">
        <f t="shared" si="73"/>
        <v>21.55788605</v>
      </c>
      <c r="AD22" s="142" t="str">
        <f t="shared" si="18"/>
        <v>#REF!</v>
      </c>
      <c r="AE22" s="142" t="str">
        <f t="shared" si="19"/>
        <v>#REF!</v>
      </c>
      <c r="AF22" s="143" t="str">
        <f t="shared" si="20"/>
        <v>#REF!</v>
      </c>
      <c r="AG22" s="154" t="str">
        <f t="shared" si="21"/>
        <v>#REF!</v>
      </c>
      <c r="AH22" s="145" t="str">
        <f t="shared" si="22"/>
        <v>#REF!</v>
      </c>
      <c r="AI22" s="146" t="str">
        <f t="shared" si="23"/>
        <v>#REF!</v>
      </c>
      <c r="AJ22" s="147" t="str">
        <f t="shared" si="24"/>
        <v>#REF!</v>
      </c>
      <c r="AK22" s="155"/>
      <c r="AL22" s="155"/>
      <c r="AM22" s="155"/>
      <c r="AN22" s="155"/>
      <c r="AO22" s="147">
        <f t="shared" si="25"/>
        <v>0</v>
      </c>
      <c r="AP22" s="147">
        <f t="shared" si="26"/>
        <v>0</v>
      </c>
      <c r="AQ22" s="150"/>
      <c r="AR22" s="8"/>
      <c r="AS22" s="91"/>
      <c r="AT22" s="8"/>
      <c r="AU22" s="8"/>
      <c r="AV22" s="8"/>
      <c r="AW22" s="8"/>
      <c r="AX22" s="8"/>
    </row>
    <row r="23" ht="19.5" customHeight="1">
      <c r="A23" s="151" t="str">
        <f>Locsolieu!A18</f>
        <v>150</v>
      </c>
      <c r="B23" s="152">
        <f>Locsolieu!C18</f>
        <v>11.9388</v>
      </c>
      <c r="C23" s="132">
        <f>Locsolieu!D18*$C$4</f>
        <v>0.186</v>
      </c>
      <c r="D23" s="133">
        <f>Locsolieu!E18*$C$4</f>
        <v>0.19241</v>
      </c>
      <c r="E23" s="153">
        <f>Locsolieu!F18</f>
        <v>11.5428</v>
      </c>
      <c r="F23" s="135">
        <v>510.0</v>
      </c>
      <c r="G23" s="136">
        <v>20.0</v>
      </c>
      <c r="H23" s="136">
        <v>25.0</v>
      </c>
      <c r="I23" s="136">
        <v>3.0</v>
      </c>
      <c r="J23" s="136">
        <f t="shared" si="31"/>
        <v>22</v>
      </c>
      <c r="K23" s="137">
        <f t="shared" si="5"/>
        <v>1.557945522</v>
      </c>
      <c r="L23" s="137">
        <f t="shared" si="6"/>
        <v>1.666926569</v>
      </c>
      <c r="M23" s="138" t="str">
        <f t="shared" si="32"/>
        <v>#REF!</v>
      </c>
      <c r="N23" s="138" t="str">
        <f t="shared" si="33"/>
        <v>#REF!</v>
      </c>
      <c r="O23" s="139">
        <f t="shared" si="7"/>
        <v>26041.66667</v>
      </c>
      <c r="P23" s="140">
        <f t="shared" ref="P23:Q23" si="74">0.1+0.11/(0.1+MAX((K23/$H23),(0.5-(0.01*(0.7*$F23/$H23))-0.01*$E$2)))</f>
        <v>0.3955400322</v>
      </c>
      <c r="Q23" s="140">
        <f t="shared" si="74"/>
        <v>0.3955400322</v>
      </c>
      <c r="R23" s="139" t="str">
        <f t="shared" si="9"/>
        <v>#REF!</v>
      </c>
      <c r="S23" s="139" t="str">
        <f t="shared" si="10"/>
        <v>#REF!</v>
      </c>
      <c r="T23" s="141" t="str">
        <f t="shared" si="11"/>
        <v>#REF!</v>
      </c>
      <c r="U23" s="141" t="str">
        <f t="shared" si="12"/>
        <v>#REF!</v>
      </c>
      <c r="V23" s="142" t="str">
        <f t="shared" ref="V23:W23" si="75">IF(T23*K23&gt;=((0.5*$H23)-$I23),((T23*K23)-(0.5*$H23)+$I23),(0.5*$H23)-(T23*K23)-$I23)</f>
        <v>#REF!</v>
      </c>
      <c r="W23" s="142" t="str">
        <f t="shared" si="75"/>
        <v>#REF!</v>
      </c>
      <c r="X23" s="137" t="str">
        <f t="shared" ref="X23:Y23" si="76">(T23*K23)+(0.5*$H23)-$I23</f>
        <v>#REF!</v>
      </c>
      <c r="Y23" s="137" t="str">
        <f t="shared" si="76"/>
        <v>#REF!</v>
      </c>
      <c r="Z23" s="142">
        <f t="shared" si="15"/>
        <v>8.422166492</v>
      </c>
      <c r="AA23" s="142">
        <f t="shared" si="16"/>
        <v>8.142810281</v>
      </c>
      <c r="AB23" s="142">
        <f t="shared" ref="AB23:AC23" si="77">($H$2+((1-$H$2)/(1+50*(K23/$H23)^2)))*$J23</f>
        <v>20.74796325</v>
      </c>
      <c r="AC23" s="142">
        <f t="shared" si="77"/>
        <v>20.59964274</v>
      </c>
      <c r="AD23" s="142" t="str">
        <f t="shared" si="18"/>
        <v>#REF!</v>
      </c>
      <c r="AE23" s="142" t="str">
        <f t="shared" si="19"/>
        <v>#REF!</v>
      </c>
      <c r="AF23" s="143" t="str">
        <f t="shared" si="20"/>
        <v>#REF!</v>
      </c>
      <c r="AG23" s="154" t="str">
        <f t="shared" si="21"/>
        <v>#REF!</v>
      </c>
      <c r="AH23" s="145" t="str">
        <f t="shared" si="22"/>
        <v>#REF!</v>
      </c>
      <c r="AI23" s="146" t="str">
        <f t="shared" si="23"/>
        <v>#REF!</v>
      </c>
      <c r="AJ23" s="147" t="str">
        <f t="shared" si="24"/>
        <v>#REF!</v>
      </c>
      <c r="AK23" s="155"/>
      <c r="AL23" s="155"/>
      <c r="AM23" s="155"/>
      <c r="AN23" s="155"/>
      <c r="AO23" s="147">
        <f t="shared" si="25"/>
        <v>0</v>
      </c>
      <c r="AP23" s="147">
        <f t="shared" si="26"/>
        <v>0</v>
      </c>
      <c r="AQ23" s="150"/>
      <c r="AR23" s="8"/>
      <c r="AS23" s="91"/>
      <c r="AT23" s="8"/>
      <c r="AU23" s="8"/>
      <c r="AV23" s="8"/>
      <c r="AW23" s="8"/>
      <c r="AX23" s="8"/>
    </row>
    <row r="24" ht="19.5" customHeight="1">
      <c r="A24" s="151" t="str">
        <f>Locsolieu!A19</f>
        <v>151</v>
      </c>
      <c r="B24" s="152">
        <f>Locsolieu!C19</f>
        <v>6.7431</v>
      </c>
      <c r="C24" s="132">
        <f>Locsolieu!D19*$C$4</f>
        <v>0.23107</v>
      </c>
      <c r="D24" s="133">
        <f>Locsolieu!E19*$C$4</f>
        <v>0.25582</v>
      </c>
      <c r="E24" s="153">
        <f>Locsolieu!F19</f>
        <v>6.3471</v>
      </c>
      <c r="F24" s="135">
        <v>510.0</v>
      </c>
      <c r="G24" s="136">
        <v>20.0</v>
      </c>
      <c r="H24" s="136">
        <v>25.0</v>
      </c>
      <c r="I24" s="136">
        <v>3.0</v>
      </c>
      <c r="J24" s="136">
        <f t="shared" si="31"/>
        <v>22</v>
      </c>
      <c r="K24" s="137">
        <f t="shared" si="5"/>
        <v>3.426762172</v>
      </c>
      <c r="L24" s="137">
        <f t="shared" si="6"/>
        <v>4.030502119</v>
      </c>
      <c r="M24" s="138" t="str">
        <f t="shared" si="32"/>
        <v>#REF!</v>
      </c>
      <c r="N24" s="138" t="str">
        <f t="shared" si="33"/>
        <v>#REF!</v>
      </c>
      <c r="O24" s="139">
        <f t="shared" si="7"/>
        <v>26041.66667</v>
      </c>
      <c r="P24" s="140">
        <f t="shared" ref="P24:Q24" si="78">0.1+0.11/(0.1+MAX((K24/$H24),(0.5-(0.01*(0.7*$F24/$H24))-0.01*$E$2)))</f>
        <v>0.3955400322</v>
      </c>
      <c r="Q24" s="140">
        <f t="shared" si="78"/>
        <v>0.3955400322</v>
      </c>
      <c r="R24" s="139" t="str">
        <f t="shared" si="9"/>
        <v>#REF!</v>
      </c>
      <c r="S24" s="139" t="str">
        <f t="shared" si="10"/>
        <v>#REF!</v>
      </c>
      <c r="T24" s="141" t="str">
        <f t="shared" si="11"/>
        <v>#REF!</v>
      </c>
      <c r="U24" s="141" t="str">
        <f t="shared" si="12"/>
        <v>#REF!</v>
      </c>
      <c r="V24" s="142" t="str">
        <f t="shared" ref="V24:W24" si="79">IF(T24*K24&gt;=((0.5*$H24)-$I24),((T24*K24)-(0.5*$H24)+$I24),(0.5*$H24)-(T24*K24)-$I24)</f>
        <v>#REF!</v>
      </c>
      <c r="W24" s="142" t="str">
        <f t="shared" si="79"/>
        <v>#REF!</v>
      </c>
      <c r="X24" s="137" t="str">
        <f t="shared" ref="X24:Y24" si="80">(T24*K24)+(0.5*$H24)-$I24</f>
        <v>#REF!</v>
      </c>
      <c r="Y24" s="137" t="str">
        <f t="shared" si="80"/>
        <v>#REF!</v>
      </c>
      <c r="Z24" s="142">
        <f t="shared" si="15"/>
        <v>4.756886025</v>
      </c>
      <c r="AA24" s="142">
        <f t="shared" si="16"/>
        <v>4.477529814</v>
      </c>
      <c r="AB24" s="142">
        <f t="shared" ref="AB24:AC24" si="81">($H$2+((1-$H$2)/(1+50*(K24/$H24)^2)))*$J24</f>
        <v>18.27026751</v>
      </c>
      <c r="AC24" s="142">
        <f t="shared" si="81"/>
        <v>17.64841455</v>
      </c>
      <c r="AD24" s="142" t="str">
        <f t="shared" si="18"/>
        <v>#REF!</v>
      </c>
      <c r="AE24" s="142" t="str">
        <f t="shared" si="19"/>
        <v>#REF!</v>
      </c>
      <c r="AF24" s="143" t="str">
        <f t="shared" si="20"/>
        <v>#REF!</v>
      </c>
      <c r="AG24" s="154" t="str">
        <f t="shared" si="21"/>
        <v>#REF!</v>
      </c>
      <c r="AH24" s="145" t="str">
        <f t="shared" si="22"/>
        <v>#REF!</v>
      </c>
      <c r="AI24" s="146" t="str">
        <f t="shared" si="23"/>
        <v>#REF!</v>
      </c>
      <c r="AJ24" s="147" t="str">
        <f t="shared" si="24"/>
        <v>#REF!</v>
      </c>
      <c r="AK24" s="155"/>
      <c r="AL24" s="155"/>
      <c r="AM24" s="155"/>
      <c r="AN24" s="155"/>
      <c r="AO24" s="147">
        <f t="shared" si="25"/>
        <v>0</v>
      </c>
      <c r="AP24" s="147">
        <f t="shared" si="26"/>
        <v>0</v>
      </c>
      <c r="AQ24" s="150"/>
      <c r="AR24" s="8"/>
      <c r="AS24" s="91"/>
      <c r="AT24" s="8"/>
      <c r="AU24" s="8"/>
      <c r="AV24" s="8"/>
      <c r="AW24" s="8"/>
      <c r="AX24" s="8"/>
    </row>
    <row r="25" ht="19.5" customHeight="1">
      <c r="A25" s="151" t="str">
        <f>Locsolieu!A20</f>
        <v>152</v>
      </c>
      <c r="B25" s="152">
        <f>Locsolieu!C20</f>
        <v>26.6881</v>
      </c>
      <c r="C25" s="132">
        <f>Locsolieu!D20*$C$4</f>
        <v>0.06697</v>
      </c>
      <c r="D25" s="133">
        <f>Locsolieu!E20*$C$4</f>
        <v>0.12706</v>
      </c>
      <c r="E25" s="153">
        <f>Locsolieu!F20</f>
        <v>26.3911</v>
      </c>
      <c r="F25" s="135">
        <v>510.0</v>
      </c>
      <c r="G25" s="136">
        <v>20.0</v>
      </c>
      <c r="H25" s="136">
        <v>25.0</v>
      </c>
      <c r="I25" s="136">
        <v>3.0</v>
      </c>
      <c r="J25" s="136">
        <f t="shared" si="31"/>
        <v>22</v>
      </c>
      <c r="K25" s="137">
        <f t="shared" si="5"/>
        <v>0.85</v>
      </c>
      <c r="L25" s="137">
        <f t="shared" si="6"/>
        <v>0.85</v>
      </c>
      <c r="M25" s="138" t="str">
        <f t="shared" si="32"/>
        <v>#REF!</v>
      </c>
      <c r="N25" s="138" t="str">
        <f t="shared" si="33"/>
        <v>#REF!</v>
      </c>
      <c r="O25" s="139">
        <f t="shared" si="7"/>
        <v>26041.66667</v>
      </c>
      <c r="P25" s="140">
        <f t="shared" ref="P25:Q25" si="82">0.1+0.11/(0.1+MAX((K25/$H25),(0.5-(0.01*(0.7*$F25/$H25))-0.01*$E$2)))</f>
        <v>0.3955400322</v>
      </c>
      <c r="Q25" s="140">
        <f t="shared" si="82"/>
        <v>0.3955400322</v>
      </c>
      <c r="R25" s="139" t="str">
        <f t="shared" si="9"/>
        <v>#REF!</v>
      </c>
      <c r="S25" s="139" t="str">
        <f t="shared" si="10"/>
        <v>#REF!</v>
      </c>
      <c r="T25" s="141" t="str">
        <f t="shared" si="11"/>
        <v>#REF!</v>
      </c>
      <c r="U25" s="141" t="str">
        <f t="shared" si="12"/>
        <v>#REF!</v>
      </c>
      <c r="V25" s="142" t="str">
        <f t="shared" ref="V25:W25" si="83">IF(T25*K25&gt;=((0.5*$H25)-$I25),((T25*K25)-(0.5*$H25)+$I25),(0.5*$H25)-(T25*K25)-$I25)</f>
        <v>#REF!</v>
      </c>
      <c r="W25" s="142" t="str">
        <f t="shared" si="83"/>
        <v>#REF!</v>
      </c>
      <c r="X25" s="137" t="str">
        <f t="shared" ref="X25:Y25" si="84">(T25*K25)+(0.5*$H25)-$I25</f>
        <v>#REF!</v>
      </c>
      <c r="Y25" s="137" t="str">
        <f t="shared" si="84"/>
        <v>#REF!</v>
      </c>
      <c r="Z25" s="142">
        <f t="shared" si="15"/>
        <v>18.82698609</v>
      </c>
      <c r="AA25" s="142">
        <f t="shared" si="16"/>
        <v>18.61746893</v>
      </c>
      <c r="AB25" s="142">
        <f t="shared" ref="AB25:AC25" si="85">($H$2+((1-$H$2)/(1+50*(K25/$H25)^2)))*$J25</f>
        <v>21.57925884</v>
      </c>
      <c r="AC25" s="142">
        <f t="shared" si="85"/>
        <v>21.57925884</v>
      </c>
      <c r="AD25" s="142" t="str">
        <f t="shared" si="18"/>
        <v>#REF!</v>
      </c>
      <c r="AE25" s="142" t="str">
        <f t="shared" si="19"/>
        <v>#REF!</v>
      </c>
      <c r="AF25" s="143" t="str">
        <f t="shared" si="20"/>
        <v>#REF!</v>
      </c>
      <c r="AG25" s="154" t="str">
        <f t="shared" si="21"/>
        <v>#REF!</v>
      </c>
      <c r="AH25" s="145" t="str">
        <f t="shared" si="22"/>
        <v>#REF!</v>
      </c>
      <c r="AI25" s="146" t="str">
        <f t="shared" si="23"/>
        <v>#REF!</v>
      </c>
      <c r="AJ25" s="147" t="str">
        <f t="shared" si="24"/>
        <v>#REF!</v>
      </c>
      <c r="AK25" s="155"/>
      <c r="AL25" s="155"/>
      <c r="AM25" s="155"/>
      <c r="AN25" s="155"/>
      <c r="AO25" s="147">
        <f t="shared" si="25"/>
        <v>0</v>
      </c>
      <c r="AP25" s="147">
        <f t="shared" si="26"/>
        <v>0</v>
      </c>
      <c r="AQ25" s="150"/>
      <c r="AR25" s="8"/>
      <c r="AS25" s="91"/>
      <c r="AT25" s="8"/>
      <c r="AU25" s="8"/>
      <c r="AV25" s="8"/>
      <c r="AW25" s="8"/>
      <c r="AX25" s="8"/>
    </row>
    <row r="26" ht="19.5" customHeight="1">
      <c r="A26" s="151" t="str">
        <f>Locsolieu!A21</f>
        <v>153</v>
      </c>
      <c r="B26" s="152">
        <f>Locsolieu!C21</f>
        <v>20.9526</v>
      </c>
      <c r="C26" s="132">
        <f>Locsolieu!D21*$C$4</f>
        <v>0.13743</v>
      </c>
      <c r="D26" s="133">
        <f>Locsolieu!E21*$C$4</f>
        <v>0.14572</v>
      </c>
      <c r="E26" s="153">
        <f>Locsolieu!F21</f>
        <v>20.5566</v>
      </c>
      <c r="F26" s="135">
        <v>510.0</v>
      </c>
      <c r="G26" s="136">
        <v>20.0</v>
      </c>
      <c r="H26" s="136">
        <v>25.0</v>
      </c>
      <c r="I26" s="136">
        <v>3.0</v>
      </c>
      <c r="J26" s="136">
        <f t="shared" si="31"/>
        <v>22</v>
      </c>
      <c r="K26" s="137">
        <f t="shared" si="5"/>
        <v>0.85</v>
      </c>
      <c r="L26" s="137">
        <f t="shared" si="6"/>
        <v>0.85</v>
      </c>
      <c r="M26" s="138" t="str">
        <f t="shared" si="32"/>
        <v>#REF!</v>
      </c>
      <c r="N26" s="138" t="str">
        <f t="shared" si="33"/>
        <v>#REF!</v>
      </c>
      <c r="O26" s="139">
        <f t="shared" si="7"/>
        <v>26041.66667</v>
      </c>
      <c r="P26" s="140">
        <f t="shared" ref="P26:Q26" si="86">0.1+0.11/(0.1+MAX((K26/$H26),(0.5-(0.01*(0.7*$F26/$H26))-0.01*$E$2)))</f>
        <v>0.3955400322</v>
      </c>
      <c r="Q26" s="140">
        <f t="shared" si="86"/>
        <v>0.3955400322</v>
      </c>
      <c r="R26" s="139" t="str">
        <f t="shared" si="9"/>
        <v>#REF!</v>
      </c>
      <c r="S26" s="139" t="str">
        <f t="shared" si="10"/>
        <v>#REF!</v>
      </c>
      <c r="T26" s="141" t="str">
        <f t="shared" si="11"/>
        <v>#REF!</v>
      </c>
      <c r="U26" s="141" t="str">
        <f t="shared" si="12"/>
        <v>#REF!</v>
      </c>
      <c r="V26" s="142" t="str">
        <f t="shared" ref="V26:W26" si="87">IF(T26*K26&gt;=((0.5*$H26)-$I26),((T26*K26)-(0.5*$H26)+$I26),(0.5*$H26)-(T26*K26)-$I26)</f>
        <v>#REF!</v>
      </c>
      <c r="W26" s="142" t="str">
        <f t="shared" si="87"/>
        <v>#REF!</v>
      </c>
      <c r="X26" s="137" t="str">
        <f t="shared" ref="X26:Y26" si="88">(T26*K26)+(0.5*$H26)-$I26</f>
        <v>#REF!</v>
      </c>
      <c r="Y26" s="137" t="str">
        <f t="shared" si="88"/>
        <v>#REF!</v>
      </c>
      <c r="Z26" s="142">
        <f t="shared" si="15"/>
        <v>14.78090643</v>
      </c>
      <c r="AA26" s="142">
        <f t="shared" si="16"/>
        <v>14.50155022</v>
      </c>
      <c r="AB26" s="142">
        <f t="shared" ref="AB26:AC26" si="89">($H$2+((1-$H$2)/(1+50*(K26/$H26)^2)))*$J26</f>
        <v>21.57925884</v>
      </c>
      <c r="AC26" s="142">
        <f t="shared" si="89"/>
        <v>21.57925884</v>
      </c>
      <c r="AD26" s="142" t="str">
        <f t="shared" si="18"/>
        <v>#REF!</v>
      </c>
      <c r="AE26" s="142" t="str">
        <f t="shared" si="19"/>
        <v>#REF!</v>
      </c>
      <c r="AF26" s="143" t="str">
        <f t="shared" si="20"/>
        <v>#REF!</v>
      </c>
      <c r="AG26" s="154" t="str">
        <f t="shared" si="21"/>
        <v>#REF!</v>
      </c>
      <c r="AH26" s="145" t="str">
        <f t="shared" si="22"/>
        <v>#REF!</v>
      </c>
      <c r="AI26" s="146" t="str">
        <f t="shared" si="23"/>
        <v>#REF!</v>
      </c>
      <c r="AJ26" s="147" t="str">
        <f t="shared" si="24"/>
        <v>#REF!</v>
      </c>
      <c r="AK26" s="155"/>
      <c r="AL26" s="155"/>
      <c r="AM26" s="155"/>
      <c r="AN26" s="155"/>
      <c r="AO26" s="147">
        <f t="shared" si="25"/>
        <v>0</v>
      </c>
      <c r="AP26" s="147">
        <f t="shared" si="26"/>
        <v>0</v>
      </c>
      <c r="AQ26" s="150"/>
      <c r="AR26" s="8"/>
      <c r="AS26" s="91"/>
      <c r="AT26" s="8"/>
      <c r="AU26" s="8"/>
      <c r="AV26" s="8"/>
      <c r="AW26" s="8"/>
      <c r="AX26" s="8"/>
    </row>
    <row r="27" ht="19.5" customHeight="1">
      <c r="A27" s="151" t="str">
        <f>Locsolieu!A22</f>
        <v>154</v>
      </c>
      <c r="B27" s="152">
        <f>Locsolieu!C22</f>
        <v>15.5201</v>
      </c>
      <c r="C27" s="132">
        <f>Locsolieu!D22*$C$4</f>
        <v>0.18115</v>
      </c>
      <c r="D27" s="133">
        <f>Locsolieu!E22*$C$4</f>
        <v>0.18581</v>
      </c>
      <c r="E27" s="153">
        <f>Locsolieu!F22</f>
        <v>15.1241</v>
      </c>
      <c r="F27" s="135">
        <v>510.0</v>
      </c>
      <c r="G27" s="136">
        <v>20.0</v>
      </c>
      <c r="H27" s="136">
        <v>25.0</v>
      </c>
      <c r="I27" s="136">
        <v>3.0</v>
      </c>
      <c r="J27" s="136">
        <f t="shared" si="31"/>
        <v>22</v>
      </c>
      <c r="K27" s="137">
        <f t="shared" si="5"/>
        <v>1.167196088</v>
      </c>
      <c r="L27" s="137">
        <f t="shared" si="6"/>
        <v>1.228568973</v>
      </c>
      <c r="M27" s="138" t="str">
        <f t="shared" si="32"/>
        <v>#REF!</v>
      </c>
      <c r="N27" s="138" t="str">
        <f t="shared" si="33"/>
        <v>#REF!</v>
      </c>
      <c r="O27" s="139">
        <f t="shared" si="7"/>
        <v>26041.66667</v>
      </c>
      <c r="P27" s="140">
        <f t="shared" ref="P27:Q27" si="90">0.1+0.11/(0.1+MAX((K27/$H27),(0.5-(0.01*(0.7*$F27/$H27))-0.01*$E$2)))</f>
        <v>0.3955400322</v>
      </c>
      <c r="Q27" s="140">
        <f t="shared" si="90"/>
        <v>0.3955400322</v>
      </c>
      <c r="R27" s="139" t="str">
        <f t="shared" si="9"/>
        <v>#REF!</v>
      </c>
      <c r="S27" s="139" t="str">
        <f t="shared" si="10"/>
        <v>#REF!</v>
      </c>
      <c r="T27" s="141" t="str">
        <f t="shared" si="11"/>
        <v>#REF!</v>
      </c>
      <c r="U27" s="141" t="str">
        <f t="shared" si="12"/>
        <v>#REF!</v>
      </c>
      <c r="V27" s="142" t="str">
        <f t="shared" ref="V27:W27" si="91">IF(T27*K27&gt;=((0.5*$H27)-$I27),((T27*K27)-(0.5*$H27)+$I27),(0.5*$H27)-(T27*K27)-$I27)</f>
        <v>#REF!</v>
      </c>
      <c r="W27" s="142" t="str">
        <f t="shared" si="91"/>
        <v>#REF!</v>
      </c>
      <c r="X27" s="137" t="str">
        <f t="shared" ref="X27:Y27" si="92">(T27*K27)+(0.5*$H27)-$I27</f>
        <v>#REF!</v>
      </c>
      <c r="Y27" s="137" t="str">
        <f t="shared" si="92"/>
        <v>#REF!</v>
      </c>
      <c r="Z27" s="142">
        <f t="shared" si="15"/>
        <v>10.94857659</v>
      </c>
      <c r="AA27" s="142">
        <f t="shared" si="16"/>
        <v>10.66922038</v>
      </c>
      <c r="AB27" s="142">
        <f t="shared" ref="AB27:AC27" si="93">($H$2+((1-$H$2)/(1+50*(K27/$H27)^2)))*$J27</f>
        <v>21.24326884</v>
      </c>
      <c r="AC27" s="142">
        <f t="shared" si="93"/>
        <v>21.17039599</v>
      </c>
      <c r="AD27" s="142" t="str">
        <f t="shared" si="18"/>
        <v>#REF!</v>
      </c>
      <c r="AE27" s="142" t="str">
        <f t="shared" si="19"/>
        <v>#REF!</v>
      </c>
      <c r="AF27" s="143" t="str">
        <f t="shared" si="20"/>
        <v>#REF!</v>
      </c>
      <c r="AG27" s="154" t="str">
        <f t="shared" si="21"/>
        <v>#REF!</v>
      </c>
      <c r="AH27" s="145" t="str">
        <f t="shared" si="22"/>
        <v>#REF!</v>
      </c>
      <c r="AI27" s="146" t="str">
        <f t="shared" si="23"/>
        <v>#REF!</v>
      </c>
      <c r="AJ27" s="147" t="str">
        <f t="shared" si="24"/>
        <v>#REF!</v>
      </c>
      <c r="AK27" s="155"/>
      <c r="AL27" s="155"/>
      <c r="AM27" s="155"/>
      <c r="AN27" s="155"/>
      <c r="AO27" s="147">
        <f t="shared" si="25"/>
        <v>0</v>
      </c>
      <c r="AP27" s="147">
        <f t="shared" si="26"/>
        <v>0</v>
      </c>
      <c r="AQ27" s="150"/>
      <c r="AR27" s="8"/>
      <c r="AS27" s="91"/>
      <c r="AT27" s="8"/>
      <c r="AU27" s="8"/>
      <c r="AV27" s="8"/>
      <c r="AW27" s="8"/>
      <c r="AX27" s="8"/>
    </row>
    <row r="28" ht="19.5" customHeight="1">
      <c r="A28" s="151" t="str">
        <f>Locsolieu!A23</f>
        <v>155</v>
      </c>
      <c r="B28" s="152">
        <f>Locsolieu!C23</f>
        <v>13.6967</v>
      </c>
      <c r="C28" s="132">
        <f>Locsolieu!D23*$C$4</f>
        <v>0.04615</v>
      </c>
      <c r="D28" s="133">
        <f>Locsolieu!E23*$C$4</f>
        <v>0.10077</v>
      </c>
      <c r="E28" s="153">
        <f>Locsolieu!F23</f>
        <v>13.3997</v>
      </c>
      <c r="F28" s="135">
        <v>510.0</v>
      </c>
      <c r="G28" s="136">
        <v>20.0</v>
      </c>
      <c r="H28" s="136">
        <v>25.0</v>
      </c>
      <c r="I28" s="136">
        <v>3.0</v>
      </c>
      <c r="J28" s="136">
        <f t="shared" si="31"/>
        <v>22</v>
      </c>
      <c r="K28" s="137">
        <f t="shared" si="5"/>
        <v>0.85</v>
      </c>
      <c r="L28" s="137">
        <f t="shared" si="6"/>
        <v>0.85</v>
      </c>
      <c r="M28" s="138" t="str">
        <f t="shared" si="32"/>
        <v>#REF!</v>
      </c>
      <c r="N28" s="138" t="str">
        <f t="shared" si="33"/>
        <v>#REF!</v>
      </c>
      <c r="O28" s="139">
        <f t="shared" si="7"/>
        <v>26041.66667</v>
      </c>
      <c r="P28" s="140">
        <f t="shared" ref="P28:Q28" si="94">0.1+0.11/(0.1+MAX((K28/$H28),(0.5-(0.01*(0.7*$F28/$H28))-0.01*$E$2)))</f>
        <v>0.3955400322</v>
      </c>
      <c r="Q28" s="140">
        <f t="shared" si="94"/>
        <v>0.3955400322</v>
      </c>
      <c r="R28" s="139" t="str">
        <f t="shared" si="9"/>
        <v>#REF!</v>
      </c>
      <c r="S28" s="139" t="str">
        <f t="shared" si="10"/>
        <v>#REF!</v>
      </c>
      <c r="T28" s="141" t="str">
        <f t="shared" si="11"/>
        <v>#REF!</v>
      </c>
      <c r="U28" s="141" t="str">
        <f t="shared" si="12"/>
        <v>#REF!</v>
      </c>
      <c r="V28" s="142" t="str">
        <f t="shared" ref="V28:W28" si="95">IF(T28*K28&gt;=((0.5*$H28)-$I28),((T28*K28)-(0.5*$H28)+$I28),(0.5*$H28)-(T28*K28)-$I28)</f>
        <v>#REF!</v>
      </c>
      <c r="W28" s="142" t="str">
        <f t="shared" si="95"/>
        <v>#REF!</v>
      </c>
      <c r="X28" s="137" t="str">
        <f t="shared" ref="X28:Y28" si="96">(T28*K28)+(0.5*$H28)-$I28</f>
        <v>#REF!</v>
      </c>
      <c r="Y28" s="137" t="str">
        <f t="shared" si="96"/>
        <v>#REF!</v>
      </c>
      <c r="Z28" s="142">
        <f t="shared" si="15"/>
        <v>9.662268217</v>
      </c>
      <c r="AA28" s="142">
        <f t="shared" si="16"/>
        <v>9.452751059</v>
      </c>
      <c r="AB28" s="142">
        <f t="shared" ref="AB28:AC28" si="97">($H$2+((1-$H$2)/(1+50*(K28/$H28)^2)))*$J28</f>
        <v>21.57925884</v>
      </c>
      <c r="AC28" s="142">
        <f t="shared" si="97"/>
        <v>21.57925884</v>
      </c>
      <c r="AD28" s="142" t="str">
        <f t="shared" si="18"/>
        <v>#REF!</v>
      </c>
      <c r="AE28" s="142" t="str">
        <f t="shared" si="19"/>
        <v>#REF!</v>
      </c>
      <c r="AF28" s="143" t="str">
        <f t="shared" si="20"/>
        <v>#REF!</v>
      </c>
      <c r="AG28" s="154" t="str">
        <f t="shared" si="21"/>
        <v>#REF!</v>
      </c>
      <c r="AH28" s="145" t="str">
        <f t="shared" si="22"/>
        <v>#REF!</v>
      </c>
      <c r="AI28" s="146" t="str">
        <f t="shared" si="23"/>
        <v>#REF!</v>
      </c>
      <c r="AJ28" s="147" t="str">
        <f t="shared" si="24"/>
        <v>#REF!</v>
      </c>
      <c r="AK28" s="155"/>
      <c r="AL28" s="155"/>
      <c r="AM28" s="155"/>
      <c r="AN28" s="155"/>
      <c r="AO28" s="147">
        <f t="shared" si="25"/>
        <v>0</v>
      </c>
      <c r="AP28" s="147">
        <f t="shared" si="26"/>
        <v>0</v>
      </c>
      <c r="AQ28" s="150"/>
      <c r="AR28" s="8"/>
      <c r="AS28" s="91"/>
      <c r="AT28" s="8"/>
      <c r="AU28" s="8"/>
      <c r="AV28" s="8"/>
      <c r="AW28" s="8"/>
      <c r="AX28" s="8"/>
    </row>
    <row r="29" ht="19.5" customHeight="1">
      <c r="A29" s="151" t="str">
        <f>Locsolieu!A24</f>
        <v>156</v>
      </c>
      <c r="B29" s="152">
        <f>Locsolieu!C24</f>
        <v>8.9456</v>
      </c>
      <c r="C29" s="132">
        <f>Locsolieu!D24*$C$4</f>
        <v>0.09674</v>
      </c>
      <c r="D29" s="133">
        <f>Locsolieu!E24*$C$4</f>
        <v>0.09674</v>
      </c>
      <c r="E29" s="153">
        <f>Locsolieu!F24</f>
        <v>8.9456</v>
      </c>
      <c r="F29" s="135">
        <v>510.0</v>
      </c>
      <c r="G29" s="136">
        <v>20.0</v>
      </c>
      <c r="H29" s="136">
        <v>25.0</v>
      </c>
      <c r="I29" s="136">
        <v>3.0</v>
      </c>
      <c r="J29" s="136">
        <f t="shared" si="31"/>
        <v>22</v>
      </c>
      <c r="K29" s="137">
        <f t="shared" si="5"/>
        <v>1.081425505</v>
      </c>
      <c r="L29" s="137">
        <f t="shared" si="6"/>
        <v>1.081425505</v>
      </c>
      <c r="M29" s="138" t="str">
        <f t="shared" si="32"/>
        <v>#REF!</v>
      </c>
      <c r="N29" s="138" t="str">
        <f t="shared" si="33"/>
        <v>#REF!</v>
      </c>
      <c r="O29" s="139">
        <f t="shared" si="7"/>
        <v>26041.66667</v>
      </c>
      <c r="P29" s="140">
        <f t="shared" ref="P29:Q29" si="98">0.1+0.11/(0.1+MAX((K29/$H29),(0.5-(0.01*(0.7*$F29/$H29))-0.01*$E$2)))</f>
        <v>0.3955400322</v>
      </c>
      <c r="Q29" s="140">
        <f t="shared" si="98"/>
        <v>0.3955400322</v>
      </c>
      <c r="R29" s="139" t="str">
        <f t="shared" si="9"/>
        <v>#REF!</v>
      </c>
      <c r="S29" s="139" t="str">
        <f t="shared" si="10"/>
        <v>#REF!</v>
      </c>
      <c r="T29" s="141" t="str">
        <f t="shared" si="11"/>
        <v>#REF!</v>
      </c>
      <c r="U29" s="141" t="str">
        <f t="shared" si="12"/>
        <v>#REF!</v>
      </c>
      <c r="V29" s="142" t="str">
        <f t="shared" ref="V29:W29" si="99">IF(T29*K29&gt;=((0.5*$H29)-$I29),((T29*K29)-(0.5*$H29)+$I29),(0.5*$H29)-(T29*K29)-$I29)</f>
        <v>#REF!</v>
      </c>
      <c r="W29" s="142" t="str">
        <f t="shared" si="99"/>
        <v>#REF!</v>
      </c>
      <c r="X29" s="137" t="str">
        <f t="shared" ref="X29:Y29" si="100">(T29*K29)+(0.5*$H29)-$I29</f>
        <v>#REF!</v>
      </c>
      <c r="Y29" s="137" t="str">
        <f t="shared" si="100"/>
        <v>#REF!</v>
      </c>
      <c r="Z29" s="142">
        <f t="shared" si="15"/>
        <v>6.310628587</v>
      </c>
      <c r="AA29" s="142">
        <f t="shared" si="16"/>
        <v>6.310628587</v>
      </c>
      <c r="AB29" s="142">
        <f t="shared" ref="AB29:AC29" si="101">($H$2+((1-$H$2)/(1+50*(K29/$H29)^2)))*$J29</f>
        <v>21.34123288</v>
      </c>
      <c r="AC29" s="142">
        <f t="shared" si="101"/>
        <v>21.34123288</v>
      </c>
      <c r="AD29" s="142" t="str">
        <f t="shared" si="18"/>
        <v>#REF!</v>
      </c>
      <c r="AE29" s="142" t="str">
        <f t="shared" si="19"/>
        <v>#REF!</v>
      </c>
      <c r="AF29" s="143" t="str">
        <f t="shared" si="20"/>
        <v>#REF!</v>
      </c>
      <c r="AG29" s="154" t="str">
        <f t="shared" si="21"/>
        <v>#REF!</v>
      </c>
      <c r="AH29" s="145" t="str">
        <f t="shared" si="22"/>
        <v>#REF!</v>
      </c>
      <c r="AI29" s="146" t="str">
        <f t="shared" si="23"/>
        <v>#REF!</v>
      </c>
      <c r="AJ29" s="147" t="str">
        <f t="shared" si="24"/>
        <v>#REF!</v>
      </c>
      <c r="AK29" s="155"/>
      <c r="AL29" s="155"/>
      <c r="AM29" s="155"/>
      <c r="AN29" s="155"/>
      <c r="AO29" s="147">
        <f t="shared" si="25"/>
        <v>0</v>
      </c>
      <c r="AP29" s="147">
        <f t="shared" si="26"/>
        <v>0</v>
      </c>
      <c r="AQ29" s="150"/>
      <c r="AR29" s="8"/>
      <c r="AS29" s="91"/>
      <c r="AT29" s="8"/>
      <c r="AU29" s="8"/>
      <c r="AV29" s="8"/>
      <c r="AW29" s="8"/>
      <c r="AX29" s="8"/>
    </row>
    <row r="30" ht="19.5" customHeight="1">
      <c r="A30" s="151" t="str">
        <f>Locsolieu!A25</f>
        <v>157</v>
      </c>
      <c r="B30" s="152">
        <f>Locsolieu!C25</f>
        <v>4.1984</v>
      </c>
      <c r="C30" s="132">
        <f>Locsolieu!D25*$C$4</f>
        <v>0.01828</v>
      </c>
      <c r="D30" s="133">
        <f>Locsolieu!E25*$C$4</f>
        <v>0.05263</v>
      </c>
      <c r="E30" s="153">
        <f>Locsolieu!F25</f>
        <v>3.8024</v>
      </c>
      <c r="F30" s="135">
        <v>510.0</v>
      </c>
      <c r="G30" s="136">
        <v>20.0</v>
      </c>
      <c r="H30" s="136">
        <v>25.0</v>
      </c>
      <c r="I30" s="136">
        <v>3.0</v>
      </c>
      <c r="J30" s="136">
        <f t="shared" si="31"/>
        <v>22</v>
      </c>
      <c r="K30" s="137">
        <f t="shared" si="5"/>
        <v>0.85</v>
      </c>
      <c r="L30" s="137">
        <f t="shared" si="6"/>
        <v>1.384125815</v>
      </c>
      <c r="M30" s="138" t="str">
        <f t="shared" si="32"/>
        <v>#REF!</v>
      </c>
      <c r="N30" s="138" t="str">
        <f t="shared" si="33"/>
        <v>#REF!</v>
      </c>
      <c r="O30" s="139">
        <f t="shared" si="7"/>
        <v>26041.66667</v>
      </c>
      <c r="P30" s="140">
        <f t="shared" ref="P30:Q30" si="102">0.1+0.11/(0.1+MAX((K30/$H30),(0.5-(0.01*(0.7*$F30/$H30))-0.01*$E$2)))</f>
        <v>0.3955400322</v>
      </c>
      <c r="Q30" s="140">
        <f t="shared" si="102"/>
        <v>0.3955400322</v>
      </c>
      <c r="R30" s="139" t="str">
        <f t="shared" si="9"/>
        <v>#REF!</v>
      </c>
      <c r="S30" s="139" t="str">
        <f t="shared" si="10"/>
        <v>#REF!</v>
      </c>
      <c r="T30" s="141" t="str">
        <f t="shared" si="11"/>
        <v>#REF!</v>
      </c>
      <c r="U30" s="141" t="str">
        <f t="shared" si="12"/>
        <v>#REF!</v>
      </c>
      <c r="V30" s="142" t="str">
        <f t="shared" ref="V30:W30" si="103">IF(T30*K30&gt;=((0.5*$H30)-$I30),((T30*K30)-(0.5*$H30)+$I30),(0.5*$H30)-(T30*K30)-$I30)</f>
        <v>#REF!</v>
      </c>
      <c r="W30" s="142" t="str">
        <f t="shared" si="103"/>
        <v>#REF!</v>
      </c>
      <c r="X30" s="137" t="str">
        <f t="shared" ref="X30:Y30" si="104">(T30*K30)+(0.5*$H30)-$I30</f>
        <v>#REF!</v>
      </c>
      <c r="Y30" s="137" t="str">
        <f t="shared" si="104"/>
        <v>#REF!</v>
      </c>
      <c r="Z30" s="142">
        <f t="shared" si="15"/>
        <v>2.961740192</v>
      </c>
      <c r="AA30" s="142">
        <f t="shared" si="16"/>
        <v>2.682383981</v>
      </c>
      <c r="AB30" s="142">
        <f t="shared" ref="AB30:AC30" si="105">($H$2+((1-$H$2)/(1+50*(K30/$H30)^2)))*$J30</f>
        <v>21.57925884</v>
      </c>
      <c r="AC30" s="142">
        <f t="shared" si="105"/>
        <v>20.97669997</v>
      </c>
      <c r="AD30" s="142" t="str">
        <f t="shared" si="18"/>
        <v>#REF!</v>
      </c>
      <c r="AE30" s="142" t="str">
        <f t="shared" si="19"/>
        <v>#REF!</v>
      </c>
      <c r="AF30" s="143" t="str">
        <f t="shared" si="20"/>
        <v>#REF!</v>
      </c>
      <c r="AG30" s="154" t="str">
        <f t="shared" si="21"/>
        <v>#REF!</v>
      </c>
      <c r="AH30" s="145" t="str">
        <f t="shared" si="22"/>
        <v>#REF!</v>
      </c>
      <c r="AI30" s="146" t="str">
        <f t="shared" si="23"/>
        <v>#REF!</v>
      </c>
      <c r="AJ30" s="147" t="str">
        <f t="shared" si="24"/>
        <v>#REF!</v>
      </c>
      <c r="AK30" s="155"/>
      <c r="AL30" s="155"/>
      <c r="AM30" s="155"/>
      <c r="AN30" s="155"/>
      <c r="AO30" s="147">
        <f t="shared" si="25"/>
        <v>0</v>
      </c>
      <c r="AP30" s="147">
        <f t="shared" si="26"/>
        <v>0</v>
      </c>
      <c r="AQ30" s="150"/>
      <c r="AR30" s="8"/>
      <c r="AS30" s="91"/>
      <c r="AT30" s="8"/>
      <c r="AU30" s="8"/>
      <c r="AV30" s="8"/>
      <c r="AW30" s="8"/>
      <c r="AX30" s="8"/>
    </row>
    <row r="31" ht="19.5" customHeight="1">
      <c r="A31" s="151" t="str">
        <f>Locsolieu!A26</f>
        <v>158</v>
      </c>
      <c r="B31" s="152">
        <f>Locsolieu!C26</f>
        <v>20.9269</v>
      </c>
      <c r="C31" s="132">
        <f>Locsolieu!D26*$C$4</f>
        <v>0.06557</v>
      </c>
      <c r="D31" s="133">
        <f>Locsolieu!E26*$C$4</f>
        <v>0.13017</v>
      </c>
      <c r="E31" s="153">
        <f>Locsolieu!F26</f>
        <v>20.6299</v>
      </c>
      <c r="F31" s="135">
        <v>510.0</v>
      </c>
      <c r="G31" s="136">
        <v>20.0</v>
      </c>
      <c r="H31" s="136">
        <v>25.0</v>
      </c>
      <c r="I31" s="136">
        <v>3.0</v>
      </c>
      <c r="J31" s="136">
        <f t="shared" si="31"/>
        <v>22</v>
      </c>
      <c r="K31" s="137">
        <f t="shared" si="5"/>
        <v>0.85</v>
      </c>
      <c r="L31" s="137">
        <f t="shared" si="6"/>
        <v>0.85</v>
      </c>
      <c r="M31" s="138" t="str">
        <f t="shared" si="32"/>
        <v>#REF!</v>
      </c>
      <c r="N31" s="138" t="str">
        <f t="shared" si="33"/>
        <v>#REF!</v>
      </c>
      <c r="O31" s="139">
        <f t="shared" si="7"/>
        <v>26041.66667</v>
      </c>
      <c r="P31" s="140">
        <f t="shared" ref="P31:Q31" si="106">0.1+0.11/(0.1+MAX((K31/$H31),(0.5-(0.01*(0.7*$F31/$H31))-0.01*$E$2)))</f>
        <v>0.3955400322</v>
      </c>
      <c r="Q31" s="140">
        <f t="shared" si="106"/>
        <v>0.3955400322</v>
      </c>
      <c r="R31" s="139" t="str">
        <f t="shared" si="9"/>
        <v>#REF!</v>
      </c>
      <c r="S31" s="139" t="str">
        <f t="shared" si="10"/>
        <v>#REF!</v>
      </c>
      <c r="T31" s="141" t="str">
        <f t="shared" si="11"/>
        <v>#REF!</v>
      </c>
      <c r="U31" s="141" t="str">
        <f t="shared" si="12"/>
        <v>#REF!</v>
      </c>
      <c r="V31" s="142" t="str">
        <f t="shared" ref="V31:W31" si="107">IF(T31*K31&gt;=((0.5*$H31)-$I31),((T31*K31)-(0.5*$H31)+$I31),(0.5*$H31)-(T31*K31)-$I31)</f>
        <v>#REF!</v>
      </c>
      <c r="W31" s="142" t="str">
        <f t="shared" si="107"/>
        <v>#REF!</v>
      </c>
      <c r="X31" s="137" t="str">
        <f t="shared" ref="X31:Y31" si="108">(T31*K31)+(0.5*$H31)-$I31</f>
        <v>#REF!</v>
      </c>
      <c r="Y31" s="137" t="str">
        <f t="shared" si="108"/>
        <v>#REF!</v>
      </c>
      <c r="Z31" s="142">
        <f t="shared" si="15"/>
        <v>14.76277649</v>
      </c>
      <c r="AA31" s="142">
        <f t="shared" si="16"/>
        <v>14.55325933</v>
      </c>
      <c r="AB31" s="142">
        <f t="shared" ref="AB31:AC31" si="109">($H$2+((1-$H$2)/(1+50*(K31/$H31)^2)))*$J31</f>
        <v>21.57925884</v>
      </c>
      <c r="AC31" s="142">
        <f t="shared" si="109"/>
        <v>21.57925884</v>
      </c>
      <c r="AD31" s="142" t="str">
        <f t="shared" si="18"/>
        <v>#REF!</v>
      </c>
      <c r="AE31" s="142" t="str">
        <f t="shared" si="19"/>
        <v>#REF!</v>
      </c>
      <c r="AF31" s="143" t="str">
        <f t="shared" si="20"/>
        <v>#REF!</v>
      </c>
      <c r="AG31" s="154" t="str">
        <f t="shared" si="21"/>
        <v>#REF!</v>
      </c>
      <c r="AH31" s="145" t="str">
        <f t="shared" si="22"/>
        <v>#REF!</v>
      </c>
      <c r="AI31" s="146" t="str">
        <f t="shared" si="23"/>
        <v>#REF!</v>
      </c>
      <c r="AJ31" s="147" t="str">
        <f t="shared" si="24"/>
        <v>#REF!</v>
      </c>
      <c r="AK31" s="155"/>
      <c r="AL31" s="155"/>
      <c r="AM31" s="155"/>
      <c r="AN31" s="155"/>
      <c r="AO31" s="147">
        <f t="shared" si="25"/>
        <v>0</v>
      </c>
      <c r="AP31" s="147">
        <f t="shared" si="26"/>
        <v>0</v>
      </c>
      <c r="AQ31" s="150"/>
      <c r="AR31" s="8"/>
      <c r="AS31" s="91"/>
      <c r="AT31" s="8"/>
      <c r="AU31" s="8"/>
      <c r="AV31" s="8"/>
      <c r="AW31" s="8"/>
      <c r="AX31" s="8"/>
    </row>
    <row r="32" ht="19.5" customHeight="1">
      <c r="A32" s="151" t="str">
        <f>Locsolieu!A27</f>
        <v>159</v>
      </c>
      <c r="B32" s="152">
        <f>Locsolieu!C27</f>
        <v>11.6606</v>
      </c>
      <c r="C32" s="132">
        <f>Locsolieu!D27*$C$4</f>
        <v>0.13417</v>
      </c>
      <c r="D32" s="133">
        <f>Locsolieu!E27*$C$4</f>
        <v>0.13417</v>
      </c>
      <c r="E32" s="153">
        <f>Locsolieu!F27</f>
        <v>11.6606</v>
      </c>
      <c r="F32" s="135">
        <v>510.0</v>
      </c>
      <c r="G32" s="136">
        <v>20.0</v>
      </c>
      <c r="H32" s="136">
        <v>25.0</v>
      </c>
      <c r="I32" s="136">
        <v>3.0</v>
      </c>
      <c r="J32" s="136">
        <f t="shared" si="31"/>
        <v>22</v>
      </c>
      <c r="K32" s="137">
        <f t="shared" si="5"/>
        <v>1.150626897</v>
      </c>
      <c r="L32" s="137">
        <f t="shared" si="6"/>
        <v>1.150626897</v>
      </c>
      <c r="M32" s="138" t="str">
        <f t="shared" si="32"/>
        <v>#REF!</v>
      </c>
      <c r="N32" s="138" t="str">
        <f t="shared" si="33"/>
        <v>#REF!</v>
      </c>
      <c r="O32" s="139">
        <f t="shared" si="7"/>
        <v>26041.66667</v>
      </c>
      <c r="P32" s="140">
        <f t="shared" ref="P32:Q32" si="110">0.1+0.11/(0.1+MAX((K32/$H32),(0.5-(0.01*(0.7*$F32/$H32))-0.01*$E$2)))</f>
        <v>0.3955400322</v>
      </c>
      <c r="Q32" s="140">
        <f t="shared" si="110"/>
        <v>0.3955400322</v>
      </c>
      <c r="R32" s="139" t="str">
        <f t="shared" si="9"/>
        <v>#REF!</v>
      </c>
      <c r="S32" s="139" t="str">
        <f t="shared" si="10"/>
        <v>#REF!</v>
      </c>
      <c r="T32" s="141" t="str">
        <f t="shared" si="11"/>
        <v>#REF!</v>
      </c>
      <c r="U32" s="141" t="str">
        <f t="shared" si="12"/>
        <v>#REF!</v>
      </c>
      <c r="V32" s="142" t="str">
        <f t="shared" ref="V32:W32" si="111">IF(T32*K32&gt;=((0.5*$H32)-$I32),((T32*K32)-(0.5*$H32)+$I32),(0.5*$H32)-(T32*K32)-$I32)</f>
        <v>#REF!</v>
      </c>
      <c r="W32" s="142" t="str">
        <f t="shared" si="111"/>
        <v>#REF!</v>
      </c>
      <c r="X32" s="137" t="str">
        <f t="shared" ref="X32:Y32" si="112">(T32*K32)+(0.5*$H32)-$I32</f>
        <v>#REF!</v>
      </c>
      <c r="Y32" s="137" t="str">
        <f t="shared" si="112"/>
        <v>#REF!</v>
      </c>
      <c r="Z32" s="142">
        <f t="shared" si="15"/>
        <v>8.225911699</v>
      </c>
      <c r="AA32" s="142">
        <f t="shared" si="16"/>
        <v>8.225911699</v>
      </c>
      <c r="AB32" s="142">
        <f t="shared" ref="AB32:AC32" si="113">($H$2+((1-$H$2)/(1+50*(K32/$H32)^2)))*$J32</f>
        <v>21.26255802</v>
      </c>
      <c r="AC32" s="142">
        <f t="shared" si="113"/>
        <v>21.26255802</v>
      </c>
      <c r="AD32" s="142" t="str">
        <f t="shared" si="18"/>
        <v>#REF!</v>
      </c>
      <c r="AE32" s="142" t="str">
        <f t="shared" si="19"/>
        <v>#REF!</v>
      </c>
      <c r="AF32" s="143" t="str">
        <f t="shared" si="20"/>
        <v>#REF!</v>
      </c>
      <c r="AG32" s="154" t="str">
        <f t="shared" si="21"/>
        <v>#REF!</v>
      </c>
      <c r="AH32" s="145" t="str">
        <f t="shared" si="22"/>
        <v>#REF!</v>
      </c>
      <c r="AI32" s="146" t="str">
        <f t="shared" si="23"/>
        <v>#REF!</v>
      </c>
      <c r="AJ32" s="147" t="str">
        <f t="shared" si="24"/>
        <v>#REF!</v>
      </c>
      <c r="AK32" s="155"/>
      <c r="AL32" s="155"/>
      <c r="AM32" s="155"/>
      <c r="AN32" s="155"/>
      <c r="AO32" s="147">
        <f t="shared" si="25"/>
        <v>0</v>
      </c>
      <c r="AP32" s="147">
        <f t="shared" si="26"/>
        <v>0</v>
      </c>
      <c r="AQ32" s="150"/>
      <c r="AR32" s="8"/>
      <c r="AS32" s="91"/>
      <c r="AT32" s="8"/>
      <c r="AU32" s="8"/>
      <c r="AV32" s="8"/>
      <c r="AW32" s="8"/>
      <c r="AX32" s="8"/>
    </row>
    <row r="33" ht="19.5" customHeight="1">
      <c r="A33" s="151" t="str">
        <f>Locsolieu!A28</f>
        <v>160</v>
      </c>
      <c r="B33" s="152">
        <f>Locsolieu!C28</f>
        <v>3.1071</v>
      </c>
      <c r="C33" s="132">
        <f>Locsolieu!D28*$C$4</f>
        <v>0.10031</v>
      </c>
      <c r="D33" s="133">
        <f>Locsolieu!E28*$C$4</f>
        <v>0.10031</v>
      </c>
      <c r="E33" s="153">
        <f>Locsolieu!F28</f>
        <v>3.1071</v>
      </c>
      <c r="F33" s="135">
        <v>510.0</v>
      </c>
      <c r="G33" s="136">
        <v>20.0</v>
      </c>
      <c r="H33" s="136">
        <v>25.0</v>
      </c>
      <c r="I33" s="136">
        <v>3.0</v>
      </c>
      <c r="J33" s="136">
        <f t="shared" si="31"/>
        <v>22</v>
      </c>
      <c r="K33" s="137">
        <f t="shared" si="5"/>
        <v>3.228412346</v>
      </c>
      <c r="L33" s="137">
        <f t="shared" si="6"/>
        <v>3.228412346</v>
      </c>
      <c r="M33" s="138" t="str">
        <f t="shared" si="32"/>
        <v>#REF!</v>
      </c>
      <c r="N33" s="138" t="str">
        <f t="shared" si="33"/>
        <v>#REF!</v>
      </c>
      <c r="O33" s="139">
        <f t="shared" si="7"/>
        <v>26041.66667</v>
      </c>
      <c r="P33" s="140">
        <f t="shared" ref="P33:Q33" si="114">0.1+0.11/(0.1+MAX((K33/$H33),(0.5-(0.01*(0.7*$F33/$H33))-0.01*$E$2)))</f>
        <v>0.3955400322</v>
      </c>
      <c r="Q33" s="140">
        <f t="shared" si="114"/>
        <v>0.3955400322</v>
      </c>
      <c r="R33" s="139" t="str">
        <f t="shared" si="9"/>
        <v>#REF!</v>
      </c>
      <c r="S33" s="139" t="str">
        <f t="shared" si="10"/>
        <v>#REF!</v>
      </c>
      <c r="T33" s="141" t="str">
        <f t="shared" si="11"/>
        <v>#REF!</v>
      </c>
      <c r="U33" s="141" t="str">
        <f t="shared" si="12"/>
        <v>#REF!</v>
      </c>
      <c r="V33" s="142" t="str">
        <f t="shared" ref="V33:W33" si="115">IF(T33*K33&gt;=((0.5*$H33)-$I33),((T33*K33)-(0.5*$H33)+$I33),(0.5*$H33)-(T33*K33)-$I33)</f>
        <v>#REF!</v>
      </c>
      <c r="W33" s="142" t="str">
        <f t="shared" si="115"/>
        <v>#REF!</v>
      </c>
      <c r="X33" s="137" t="str">
        <f t="shared" ref="X33:Y33" si="116">(T33*K33)+(0.5*$H33)-$I33</f>
        <v>#REF!</v>
      </c>
      <c r="Y33" s="137" t="str">
        <f t="shared" si="116"/>
        <v>#REF!</v>
      </c>
      <c r="Z33" s="142">
        <f t="shared" si="15"/>
        <v>2.191888088</v>
      </c>
      <c r="AA33" s="142">
        <f t="shared" si="16"/>
        <v>2.191888088</v>
      </c>
      <c r="AB33" s="142">
        <f t="shared" ref="AB33:AC33" si="117">($H$2+((1-$H$2)/(1+50*(K33/$H33)^2)))*$J33</f>
        <v>18.49890439</v>
      </c>
      <c r="AC33" s="142">
        <f t="shared" si="117"/>
        <v>18.49890439</v>
      </c>
      <c r="AD33" s="142" t="str">
        <f t="shared" si="18"/>
        <v>#REF!</v>
      </c>
      <c r="AE33" s="142" t="str">
        <f t="shared" si="19"/>
        <v>#REF!</v>
      </c>
      <c r="AF33" s="143" t="str">
        <f t="shared" si="20"/>
        <v>#REF!</v>
      </c>
      <c r="AG33" s="154" t="str">
        <f t="shared" si="21"/>
        <v>#REF!</v>
      </c>
      <c r="AH33" s="145" t="str">
        <f t="shared" si="22"/>
        <v>#REF!</v>
      </c>
      <c r="AI33" s="146" t="str">
        <f t="shared" si="23"/>
        <v>#REF!</v>
      </c>
      <c r="AJ33" s="147" t="str">
        <f t="shared" si="24"/>
        <v>#REF!</v>
      </c>
      <c r="AK33" s="155"/>
      <c r="AL33" s="155"/>
      <c r="AM33" s="155"/>
      <c r="AN33" s="155"/>
      <c r="AO33" s="147">
        <f t="shared" si="25"/>
        <v>0</v>
      </c>
      <c r="AP33" s="147">
        <f t="shared" si="26"/>
        <v>0</v>
      </c>
      <c r="AQ33" s="150"/>
      <c r="AR33" s="8"/>
      <c r="AS33" s="91"/>
      <c r="AT33" s="8"/>
      <c r="AU33" s="8"/>
      <c r="AV33" s="8"/>
      <c r="AW33" s="8"/>
      <c r="AX33" s="8"/>
    </row>
    <row r="34" ht="19.5" customHeight="1">
      <c r="A34" s="151" t="str">
        <f>Locsolieu!A29</f>
        <v>161</v>
      </c>
      <c r="B34" s="152">
        <f>Locsolieu!C29</f>
        <v>20.9329</v>
      </c>
      <c r="C34" s="132">
        <f>Locsolieu!D29*$C$4</f>
        <v>0.06538</v>
      </c>
      <c r="D34" s="133">
        <f>Locsolieu!E29*$C$4</f>
        <v>0.12995</v>
      </c>
      <c r="E34" s="153">
        <f>Locsolieu!F29</f>
        <v>20.6359</v>
      </c>
      <c r="F34" s="135">
        <v>510.0</v>
      </c>
      <c r="G34" s="136">
        <v>20.0</v>
      </c>
      <c r="H34" s="136">
        <v>25.0</v>
      </c>
      <c r="I34" s="136">
        <v>3.0</v>
      </c>
      <c r="J34" s="136">
        <f t="shared" si="31"/>
        <v>22</v>
      </c>
      <c r="K34" s="137">
        <f t="shared" si="5"/>
        <v>0.85</v>
      </c>
      <c r="L34" s="137">
        <f t="shared" si="6"/>
        <v>0.85</v>
      </c>
      <c r="M34" s="138" t="str">
        <f t="shared" si="32"/>
        <v>#REF!</v>
      </c>
      <c r="N34" s="138" t="str">
        <f t="shared" si="33"/>
        <v>#REF!</v>
      </c>
      <c r="O34" s="139">
        <f t="shared" si="7"/>
        <v>26041.66667</v>
      </c>
      <c r="P34" s="140">
        <f t="shared" ref="P34:Q34" si="118">0.1+0.11/(0.1+MAX((K34/$H34),(0.5-(0.01*(0.7*$F34/$H34))-0.01*$E$2)))</f>
        <v>0.3955400322</v>
      </c>
      <c r="Q34" s="140">
        <f t="shared" si="118"/>
        <v>0.3955400322</v>
      </c>
      <c r="R34" s="139" t="str">
        <f t="shared" si="9"/>
        <v>#REF!</v>
      </c>
      <c r="S34" s="139" t="str">
        <f t="shared" si="10"/>
        <v>#REF!</v>
      </c>
      <c r="T34" s="141" t="str">
        <f t="shared" si="11"/>
        <v>#REF!</v>
      </c>
      <c r="U34" s="141" t="str">
        <f t="shared" si="12"/>
        <v>#REF!</v>
      </c>
      <c r="V34" s="142" t="str">
        <f t="shared" ref="V34:W34" si="119">IF(T34*K34&gt;=((0.5*$H34)-$I34),((T34*K34)-(0.5*$H34)+$I34),(0.5*$H34)-(T34*K34)-$I34)</f>
        <v>#REF!</v>
      </c>
      <c r="W34" s="142" t="str">
        <f t="shared" si="119"/>
        <v>#REF!</v>
      </c>
      <c r="X34" s="137" t="str">
        <f t="shared" ref="X34:Y34" si="120">(T34*K34)+(0.5*$H34)-$I34</f>
        <v>#REF!</v>
      </c>
      <c r="Y34" s="137" t="str">
        <f t="shared" si="120"/>
        <v>#REF!</v>
      </c>
      <c r="Z34" s="142">
        <f t="shared" si="15"/>
        <v>14.76700916</v>
      </c>
      <c r="AA34" s="142">
        <f t="shared" si="16"/>
        <v>14.557492</v>
      </c>
      <c r="AB34" s="142">
        <f t="shared" ref="AB34:AC34" si="121">($H$2+((1-$H$2)/(1+50*(K34/$H34)^2)))*$J34</f>
        <v>21.57925884</v>
      </c>
      <c r="AC34" s="142">
        <f t="shared" si="121"/>
        <v>21.57925884</v>
      </c>
      <c r="AD34" s="142" t="str">
        <f t="shared" si="18"/>
        <v>#REF!</v>
      </c>
      <c r="AE34" s="142" t="str">
        <f t="shared" si="19"/>
        <v>#REF!</v>
      </c>
      <c r="AF34" s="143" t="str">
        <f t="shared" si="20"/>
        <v>#REF!</v>
      </c>
      <c r="AG34" s="154" t="str">
        <f t="shared" si="21"/>
        <v>#REF!</v>
      </c>
      <c r="AH34" s="145" t="str">
        <f t="shared" si="22"/>
        <v>#REF!</v>
      </c>
      <c r="AI34" s="146" t="str">
        <f t="shared" si="23"/>
        <v>#REF!</v>
      </c>
      <c r="AJ34" s="147" t="str">
        <f t="shared" si="24"/>
        <v>#REF!</v>
      </c>
      <c r="AK34" s="155"/>
      <c r="AL34" s="155"/>
      <c r="AM34" s="155"/>
      <c r="AN34" s="155"/>
      <c r="AO34" s="147">
        <f t="shared" si="25"/>
        <v>0</v>
      </c>
      <c r="AP34" s="147">
        <f t="shared" si="26"/>
        <v>0</v>
      </c>
      <c r="AQ34" s="150"/>
      <c r="AR34" s="8"/>
      <c r="AS34" s="91"/>
      <c r="AT34" s="8"/>
      <c r="AU34" s="8"/>
      <c r="AV34" s="8"/>
      <c r="AW34" s="8"/>
      <c r="AX34" s="8"/>
    </row>
    <row r="35" ht="19.5" customHeight="1">
      <c r="A35" s="151" t="str">
        <f>Locsolieu!A30</f>
        <v>162</v>
      </c>
      <c r="B35" s="152">
        <f>Locsolieu!C30</f>
        <v>11.6669</v>
      </c>
      <c r="C35" s="132">
        <f>Locsolieu!D30*$C$4</f>
        <v>0.13395</v>
      </c>
      <c r="D35" s="133">
        <f>Locsolieu!E30*$C$4</f>
        <v>0.13395</v>
      </c>
      <c r="E35" s="153">
        <f>Locsolieu!F30</f>
        <v>11.6669</v>
      </c>
      <c r="F35" s="135">
        <v>510.0</v>
      </c>
      <c r="G35" s="136">
        <v>20.0</v>
      </c>
      <c r="H35" s="136">
        <v>25.0</v>
      </c>
      <c r="I35" s="136">
        <v>3.0</v>
      </c>
      <c r="J35" s="136">
        <f t="shared" si="31"/>
        <v>22</v>
      </c>
      <c r="K35" s="137">
        <f t="shared" si="5"/>
        <v>1.148119895</v>
      </c>
      <c r="L35" s="137">
        <f t="shared" si="6"/>
        <v>1.148119895</v>
      </c>
      <c r="M35" s="138" t="str">
        <f t="shared" si="32"/>
        <v>#REF!</v>
      </c>
      <c r="N35" s="138" t="str">
        <f t="shared" si="33"/>
        <v>#REF!</v>
      </c>
      <c r="O35" s="139">
        <f t="shared" si="7"/>
        <v>26041.66667</v>
      </c>
      <c r="P35" s="140">
        <f t="shared" ref="P35:Q35" si="122">0.1+0.11/(0.1+MAX((K35/$H35),(0.5-(0.01*(0.7*$F35/$H35))-0.01*$E$2)))</f>
        <v>0.3955400322</v>
      </c>
      <c r="Q35" s="140">
        <f t="shared" si="122"/>
        <v>0.3955400322</v>
      </c>
      <c r="R35" s="139" t="str">
        <f t="shared" si="9"/>
        <v>#REF!</v>
      </c>
      <c r="S35" s="139" t="str">
        <f t="shared" si="10"/>
        <v>#REF!</v>
      </c>
      <c r="T35" s="141" t="str">
        <f t="shared" si="11"/>
        <v>#REF!</v>
      </c>
      <c r="U35" s="141" t="str">
        <f t="shared" si="12"/>
        <v>#REF!</v>
      </c>
      <c r="V35" s="142" t="str">
        <f t="shared" ref="V35:W35" si="123">IF(T35*K35&gt;=((0.5*$H35)-$I35),((T35*K35)-(0.5*$H35)+$I35),(0.5*$H35)-(T35*K35)-$I35)</f>
        <v>#REF!</v>
      </c>
      <c r="W35" s="142" t="str">
        <f t="shared" si="123"/>
        <v>#REF!</v>
      </c>
      <c r="X35" s="137" t="str">
        <f t="shared" ref="X35:Y35" si="124">(T35*K35)+(0.5*$H35)-$I35</f>
        <v>#REF!</v>
      </c>
      <c r="Y35" s="137" t="str">
        <f t="shared" si="124"/>
        <v>#REF!</v>
      </c>
      <c r="Z35" s="142">
        <f t="shared" si="15"/>
        <v>8.230356003</v>
      </c>
      <c r="AA35" s="142">
        <f t="shared" si="16"/>
        <v>8.230356003</v>
      </c>
      <c r="AB35" s="142">
        <f t="shared" ref="AB35:AC35" si="125">($H$2+((1-$H$2)/(1+50*(K35/$H35)^2)))*$J35</f>
        <v>21.2654618</v>
      </c>
      <c r="AC35" s="142">
        <f t="shared" si="125"/>
        <v>21.2654618</v>
      </c>
      <c r="AD35" s="142" t="str">
        <f t="shared" si="18"/>
        <v>#REF!</v>
      </c>
      <c r="AE35" s="142" t="str">
        <f t="shared" si="19"/>
        <v>#REF!</v>
      </c>
      <c r="AF35" s="143" t="str">
        <f t="shared" si="20"/>
        <v>#REF!</v>
      </c>
      <c r="AG35" s="154" t="str">
        <f t="shared" si="21"/>
        <v>#REF!</v>
      </c>
      <c r="AH35" s="145" t="str">
        <f t="shared" si="22"/>
        <v>#REF!</v>
      </c>
      <c r="AI35" s="146" t="str">
        <f t="shared" si="23"/>
        <v>#REF!</v>
      </c>
      <c r="AJ35" s="147" t="str">
        <f t="shared" si="24"/>
        <v>#REF!</v>
      </c>
      <c r="AK35" s="155"/>
      <c r="AL35" s="155"/>
      <c r="AM35" s="155"/>
      <c r="AN35" s="155"/>
      <c r="AO35" s="147">
        <f t="shared" si="25"/>
        <v>0</v>
      </c>
      <c r="AP35" s="147">
        <f t="shared" si="26"/>
        <v>0</v>
      </c>
      <c r="AQ35" s="150"/>
      <c r="AR35" s="8"/>
      <c r="AS35" s="91"/>
      <c r="AT35" s="8"/>
      <c r="AU35" s="8"/>
      <c r="AV35" s="8"/>
      <c r="AW35" s="8"/>
      <c r="AX35" s="8"/>
    </row>
    <row r="36" ht="19.5" customHeight="1">
      <c r="A36" s="151" t="str">
        <f>Locsolieu!A31</f>
        <v>163</v>
      </c>
      <c r="B36" s="152">
        <f>Locsolieu!C31</f>
        <v>3.1133</v>
      </c>
      <c r="C36" s="132">
        <f>Locsolieu!D31*$C$4</f>
        <v>0.06093</v>
      </c>
      <c r="D36" s="133">
        <f>Locsolieu!E31*$C$4</f>
        <v>0.06093</v>
      </c>
      <c r="E36" s="153">
        <f>Locsolieu!F31</f>
        <v>3.1133</v>
      </c>
      <c r="F36" s="135">
        <v>510.0</v>
      </c>
      <c r="G36" s="136">
        <v>20.0</v>
      </c>
      <c r="H36" s="136">
        <v>25.0</v>
      </c>
      <c r="I36" s="136">
        <v>3.0</v>
      </c>
      <c r="J36" s="136">
        <f t="shared" si="31"/>
        <v>22</v>
      </c>
      <c r="K36" s="137">
        <f t="shared" si="5"/>
        <v>1.957087335</v>
      </c>
      <c r="L36" s="137">
        <f t="shared" si="6"/>
        <v>1.957087335</v>
      </c>
      <c r="M36" s="138" t="str">
        <f t="shared" si="32"/>
        <v>#REF!</v>
      </c>
      <c r="N36" s="138" t="str">
        <f t="shared" si="33"/>
        <v>#REF!</v>
      </c>
      <c r="O36" s="139">
        <f t="shared" si="7"/>
        <v>26041.66667</v>
      </c>
      <c r="P36" s="140">
        <f t="shared" ref="P36:Q36" si="126">0.1+0.11/(0.1+MAX((K36/$H36),(0.5-(0.01*(0.7*$F36/$H36))-0.01*$E$2)))</f>
        <v>0.3955400322</v>
      </c>
      <c r="Q36" s="140">
        <f t="shared" si="126"/>
        <v>0.3955400322</v>
      </c>
      <c r="R36" s="139" t="str">
        <f t="shared" si="9"/>
        <v>#REF!</v>
      </c>
      <c r="S36" s="139" t="str">
        <f t="shared" si="10"/>
        <v>#REF!</v>
      </c>
      <c r="T36" s="141" t="str">
        <f t="shared" si="11"/>
        <v>#REF!</v>
      </c>
      <c r="U36" s="141" t="str">
        <f t="shared" si="12"/>
        <v>#REF!</v>
      </c>
      <c r="V36" s="142" t="str">
        <f t="shared" ref="V36:W36" si="127">IF(T36*K36&gt;=((0.5*$H36)-$I36),((T36*K36)-(0.5*$H36)+$I36),(0.5*$H36)-(T36*K36)-$I36)</f>
        <v>#REF!</v>
      </c>
      <c r="W36" s="142" t="str">
        <f t="shared" si="127"/>
        <v>#REF!</v>
      </c>
      <c r="X36" s="137" t="str">
        <f t="shared" ref="X36:Y36" si="128">(T36*K36)+(0.5*$H36)-$I36</f>
        <v>#REF!</v>
      </c>
      <c r="Y36" s="137" t="str">
        <f t="shared" si="128"/>
        <v>#REF!</v>
      </c>
      <c r="Z36" s="142">
        <f t="shared" si="15"/>
        <v>2.196261847</v>
      </c>
      <c r="AA36" s="142">
        <f t="shared" si="16"/>
        <v>2.196261847</v>
      </c>
      <c r="AB36" s="142">
        <f t="shared" ref="AB36:AC36" si="129">($H$2+((1-$H$2)/(1+50*(K36/$H36)^2)))*$J36</f>
        <v>20.19399113</v>
      </c>
      <c r="AC36" s="142">
        <f t="shared" si="129"/>
        <v>20.19399113</v>
      </c>
      <c r="AD36" s="142" t="str">
        <f t="shared" si="18"/>
        <v>#REF!</v>
      </c>
      <c r="AE36" s="142" t="str">
        <f t="shared" si="19"/>
        <v>#REF!</v>
      </c>
      <c r="AF36" s="143" t="str">
        <f t="shared" si="20"/>
        <v>#REF!</v>
      </c>
      <c r="AG36" s="154" t="str">
        <f t="shared" si="21"/>
        <v>#REF!</v>
      </c>
      <c r="AH36" s="145" t="str">
        <f t="shared" si="22"/>
        <v>#REF!</v>
      </c>
      <c r="AI36" s="146" t="str">
        <f t="shared" si="23"/>
        <v>#REF!</v>
      </c>
      <c r="AJ36" s="147" t="str">
        <f t="shared" si="24"/>
        <v>#REF!</v>
      </c>
      <c r="AK36" s="155"/>
      <c r="AL36" s="155"/>
      <c r="AM36" s="155"/>
      <c r="AN36" s="155"/>
      <c r="AO36" s="147">
        <f t="shared" si="25"/>
        <v>0</v>
      </c>
      <c r="AP36" s="147">
        <f t="shared" si="26"/>
        <v>0</v>
      </c>
      <c r="AQ36" s="150"/>
      <c r="AR36" s="8"/>
      <c r="AS36" s="91"/>
      <c r="AT36" s="8"/>
      <c r="AU36" s="8"/>
      <c r="AV36" s="8"/>
      <c r="AW36" s="8"/>
      <c r="AX36" s="8"/>
    </row>
    <row r="37" ht="19.5" customHeight="1">
      <c r="A37" s="151" t="str">
        <f>Locsolieu!A32</f>
        <v>164</v>
      </c>
      <c r="B37" s="152">
        <f>Locsolieu!C32</f>
        <v>13.672</v>
      </c>
      <c r="C37" s="132">
        <f>Locsolieu!D32*$C$4</f>
        <v>0.04594</v>
      </c>
      <c r="D37" s="133">
        <f>Locsolieu!E32*$C$4</f>
        <v>0.10016</v>
      </c>
      <c r="E37" s="153">
        <f>Locsolieu!F32</f>
        <v>13.375</v>
      </c>
      <c r="F37" s="135">
        <v>510.0</v>
      </c>
      <c r="G37" s="136">
        <v>20.0</v>
      </c>
      <c r="H37" s="136">
        <v>30.0</v>
      </c>
      <c r="I37" s="136">
        <v>3.0</v>
      </c>
      <c r="J37" s="136">
        <f t="shared" si="31"/>
        <v>27</v>
      </c>
      <c r="K37" s="137">
        <f t="shared" si="5"/>
        <v>1</v>
      </c>
      <c r="L37" s="137">
        <f t="shared" si="6"/>
        <v>1</v>
      </c>
      <c r="M37" s="138" t="str">
        <f t="shared" si="32"/>
        <v>#REF!</v>
      </c>
      <c r="N37" s="138" t="str">
        <f t="shared" si="33"/>
        <v>#REF!</v>
      </c>
      <c r="O37" s="139">
        <f t="shared" si="7"/>
        <v>45000</v>
      </c>
      <c r="P37" s="140">
        <f t="shared" ref="P37:Q37" si="130">0.1+0.11/(0.1+MAX((K37/$H37),(0.5-(0.01*(0.7*$F37/$H37))-0.01*$E$2)))</f>
        <v>0.3777777778</v>
      </c>
      <c r="Q37" s="140">
        <f t="shared" si="130"/>
        <v>0.3777777778</v>
      </c>
      <c r="R37" s="139" t="str">
        <f t="shared" si="9"/>
        <v>#REF!</v>
      </c>
      <c r="S37" s="139" t="str">
        <f t="shared" si="10"/>
        <v>#REF!</v>
      </c>
      <c r="T37" s="141" t="str">
        <f t="shared" si="11"/>
        <v>#REF!</v>
      </c>
      <c r="U37" s="141" t="str">
        <f t="shared" si="12"/>
        <v>#REF!</v>
      </c>
      <c r="V37" s="142" t="str">
        <f t="shared" ref="V37:W37" si="131">IF(T37*K37&gt;=((0.5*$H37)-$I37),((T37*K37)-(0.5*$H37)+$I37),(0.5*$H37)-(T37*K37)-$I37)</f>
        <v>#REF!</v>
      </c>
      <c r="W37" s="142" t="str">
        <f t="shared" si="131"/>
        <v>#REF!</v>
      </c>
      <c r="X37" s="137" t="str">
        <f t="shared" ref="X37:Y37" si="132">(T37*K37)+(0.5*$H37)-$I37</f>
        <v>#REF!</v>
      </c>
      <c r="Y37" s="137" t="str">
        <f t="shared" si="132"/>
        <v>#REF!</v>
      </c>
      <c r="Z37" s="142">
        <f t="shared" si="15"/>
        <v>9.644843726</v>
      </c>
      <c r="AA37" s="142">
        <f t="shared" si="16"/>
        <v>9.435326568</v>
      </c>
      <c r="AB37" s="142">
        <f t="shared" ref="AB37:AC37" si="133">($H$2+((1-$H$2)/(1+50*(K37/$H37)^2)))*$J37</f>
        <v>26.50263158</v>
      </c>
      <c r="AC37" s="142">
        <f t="shared" si="133"/>
        <v>26.50263158</v>
      </c>
      <c r="AD37" s="142" t="str">
        <f t="shared" si="18"/>
        <v>#REF!</v>
      </c>
      <c r="AE37" s="142" t="str">
        <f t="shared" si="19"/>
        <v>#REF!</v>
      </c>
      <c r="AF37" s="143" t="str">
        <f t="shared" si="20"/>
        <v>#REF!</v>
      </c>
      <c r="AG37" s="154" t="str">
        <f t="shared" si="21"/>
        <v>#REF!</v>
      </c>
      <c r="AH37" s="145" t="str">
        <f t="shared" si="22"/>
        <v>#REF!</v>
      </c>
      <c r="AI37" s="146" t="str">
        <f t="shared" si="23"/>
        <v>#REF!</v>
      </c>
      <c r="AJ37" s="147" t="str">
        <f t="shared" si="24"/>
        <v>#REF!</v>
      </c>
      <c r="AK37" s="155"/>
      <c r="AL37" s="155"/>
      <c r="AM37" s="155"/>
      <c r="AN37" s="155"/>
      <c r="AO37" s="147">
        <f t="shared" si="25"/>
        <v>0</v>
      </c>
      <c r="AP37" s="147">
        <f t="shared" si="26"/>
        <v>0</v>
      </c>
      <c r="AQ37" s="150"/>
      <c r="AR37" s="8"/>
      <c r="AS37" s="91"/>
      <c r="AT37" s="8"/>
      <c r="AU37" s="8"/>
      <c r="AV37" s="8"/>
      <c r="AW37" s="8"/>
      <c r="AX37" s="8"/>
    </row>
    <row r="38" ht="19.5" customHeight="1">
      <c r="A38" s="151" t="str">
        <f>Locsolieu!A33</f>
        <v>165</v>
      </c>
      <c r="B38" s="152">
        <f>Locsolieu!C33</f>
        <v>8.9174</v>
      </c>
      <c r="C38" s="132">
        <f>Locsolieu!D33*$C$4</f>
        <v>0.09522</v>
      </c>
      <c r="D38" s="133">
        <f>Locsolieu!E33*$C$4</f>
        <v>0.09522</v>
      </c>
      <c r="E38" s="153">
        <f>Locsolieu!F33</f>
        <v>8.9174</v>
      </c>
      <c r="F38" s="135">
        <v>510.0</v>
      </c>
      <c r="G38" s="136">
        <v>20.0</v>
      </c>
      <c r="H38" s="136">
        <v>30.0</v>
      </c>
      <c r="I38" s="136">
        <v>3.0</v>
      </c>
      <c r="J38" s="136">
        <f t="shared" si="31"/>
        <v>27</v>
      </c>
      <c r="K38" s="137">
        <f t="shared" si="5"/>
        <v>1.067800031</v>
      </c>
      <c r="L38" s="137">
        <f t="shared" si="6"/>
        <v>1.067800031</v>
      </c>
      <c r="M38" s="138" t="str">
        <f t="shared" si="32"/>
        <v>#REF!</v>
      </c>
      <c r="N38" s="138" t="str">
        <f t="shared" si="33"/>
        <v>#REF!</v>
      </c>
      <c r="O38" s="139">
        <f t="shared" si="7"/>
        <v>45000</v>
      </c>
      <c r="P38" s="140">
        <f t="shared" ref="P38:Q38" si="134">0.1+0.11/(0.1+MAX((K38/$H38),(0.5-(0.01*(0.7*$F38/$H38))-0.01*$E$2)))</f>
        <v>0.3777777778</v>
      </c>
      <c r="Q38" s="140">
        <f t="shared" si="134"/>
        <v>0.3777777778</v>
      </c>
      <c r="R38" s="139" t="str">
        <f t="shared" si="9"/>
        <v>#REF!</v>
      </c>
      <c r="S38" s="139" t="str">
        <f t="shared" si="10"/>
        <v>#REF!</v>
      </c>
      <c r="T38" s="141" t="str">
        <f t="shared" si="11"/>
        <v>#REF!</v>
      </c>
      <c r="U38" s="141" t="str">
        <f t="shared" si="12"/>
        <v>#REF!</v>
      </c>
      <c r="V38" s="142" t="str">
        <f t="shared" ref="V38:W38" si="135">IF(T38*K38&gt;=((0.5*$H38)-$I38),((T38*K38)-(0.5*$H38)+$I38),(0.5*$H38)-(T38*K38)-$I38)</f>
        <v>#REF!</v>
      </c>
      <c r="W38" s="142" t="str">
        <f t="shared" si="135"/>
        <v>#REF!</v>
      </c>
      <c r="X38" s="137" t="str">
        <f t="shared" ref="X38:Y38" si="136">(T38*K38)+(0.5*$H38)-$I38</f>
        <v>#REF!</v>
      </c>
      <c r="Y38" s="137" t="str">
        <f t="shared" si="136"/>
        <v>#REF!</v>
      </c>
      <c r="Z38" s="142">
        <f t="shared" si="15"/>
        <v>6.290735038</v>
      </c>
      <c r="AA38" s="142">
        <f t="shared" si="16"/>
        <v>6.290735038</v>
      </c>
      <c r="AB38" s="142">
        <f t="shared" ref="AB38:AC38" si="137">($H$2+((1-$H$2)/(1+50*(K38/$H38)^2)))*$J38</f>
        <v>26.43705591</v>
      </c>
      <c r="AC38" s="142">
        <f t="shared" si="137"/>
        <v>26.43705591</v>
      </c>
      <c r="AD38" s="142" t="str">
        <f t="shared" si="18"/>
        <v>#REF!</v>
      </c>
      <c r="AE38" s="142" t="str">
        <f t="shared" si="19"/>
        <v>#REF!</v>
      </c>
      <c r="AF38" s="143" t="str">
        <f t="shared" si="20"/>
        <v>#REF!</v>
      </c>
      <c r="AG38" s="154" t="str">
        <f t="shared" si="21"/>
        <v>#REF!</v>
      </c>
      <c r="AH38" s="145" t="str">
        <f t="shared" si="22"/>
        <v>#REF!</v>
      </c>
      <c r="AI38" s="146" t="str">
        <f t="shared" si="23"/>
        <v>#REF!</v>
      </c>
      <c r="AJ38" s="147" t="str">
        <f t="shared" si="24"/>
        <v>#REF!</v>
      </c>
      <c r="AK38" s="155"/>
      <c r="AL38" s="155"/>
      <c r="AM38" s="155"/>
      <c r="AN38" s="155"/>
      <c r="AO38" s="147">
        <f t="shared" si="25"/>
        <v>0</v>
      </c>
      <c r="AP38" s="147">
        <f t="shared" si="26"/>
        <v>0</v>
      </c>
      <c r="AQ38" s="150"/>
      <c r="AR38" s="8"/>
      <c r="AS38" s="91"/>
      <c r="AT38" s="8"/>
      <c r="AU38" s="8"/>
      <c r="AV38" s="8"/>
      <c r="AW38" s="8"/>
      <c r="AX38" s="8"/>
    </row>
    <row r="39" ht="19.5" customHeight="1">
      <c r="A39" s="151" t="str">
        <f>Locsolieu!A34</f>
        <v>166</v>
      </c>
      <c r="B39" s="152">
        <f>Locsolieu!C34</f>
        <v>4.172</v>
      </c>
      <c r="C39" s="132">
        <f>Locsolieu!D34*$C$4</f>
        <v>0.01939</v>
      </c>
      <c r="D39" s="133">
        <f>Locsolieu!E34*$C$4</f>
        <v>0.01939</v>
      </c>
      <c r="E39" s="153">
        <f>Locsolieu!F34</f>
        <v>4.172</v>
      </c>
      <c r="F39" s="135">
        <v>510.0</v>
      </c>
      <c r="G39" s="136">
        <v>20.0</v>
      </c>
      <c r="H39" s="136">
        <v>30.0</v>
      </c>
      <c r="I39" s="136">
        <v>3.0</v>
      </c>
      <c r="J39" s="136">
        <f t="shared" si="31"/>
        <v>27</v>
      </c>
      <c r="K39" s="137">
        <f t="shared" si="5"/>
        <v>1</v>
      </c>
      <c r="L39" s="137">
        <f t="shared" si="6"/>
        <v>1</v>
      </c>
      <c r="M39" s="138" t="str">
        <f t="shared" si="32"/>
        <v>#REF!</v>
      </c>
      <c r="N39" s="138" t="str">
        <f t="shared" si="33"/>
        <v>#REF!</v>
      </c>
      <c r="O39" s="139">
        <f t="shared" si="7"/>
        <v>45000</v>
      </c>
      <c r="P39" s="140">
        <f t="shared" ref="P39:Q39" si="138">0.1+0.11/(0.1+MAX((K39/$H39),(0.5-(0.01*(0.7*$F39/$H39))-0.01*$E$2)))</f>
        <v>0.3777777778</v>
      </c>
      <c r="Q39" s="140">
        <f t="shared" si="138"/>
        <v>0.3777777778</v>
      </c>
      <c r="R39" s="139" t="str">
        <f t="shared" si="9"/>
        <v>#REF!</v>
      </c>
      <c r="S39" s="139" t="str">
        <f t="shared" si="10"/>
        <v>#REF!</v>
      </c>
      <c r="T39" s="141" t="str">
        <f t="shared" si="11"/>
        <v>#REF!</v>
      </c>
      <c r="U39" s="141" t="str">
        <f t="shared" si="12"/>
        <v>#REF!</v>
      </c>
      <c r="V39" s="142" t="str">
        <f t="shared" ref="V39:W39" si="139">IF(T39*K39&gt;=((0.5*$H39)-$I39),((T39*K39)-(0.5*$H39)+$I39),(0.5*$H39)-(T39*K39)-$I39)</f>
        <v>#REF!</v>
      </c>
      <c r="W39" s="142" t="str">
        <f t="shared" si="139"/>
        <v>#REF!</v>
      </c>
      <c r="X39" s="137" t="str">
        <f t="shared" ref="X39:Y39" si="140">(T39*K39)+(0.5*$H39)-$I39</f>
        <v>#REF!</v>
      </c>
      <c r="Y39" s="137" t="str">
        <f t="shared" si="140"/>
        <v>#REF!</v>
      </c>
      <c r="Z39" s="142">
        <f t="shared" si="15"/>
        <v>2.943116444</v>
      </c>
      <c r="AA39" s="142">
        <f t="shared" si="16"/>
        <v>2.943116444</v>
      </c>
      <c r="AB39" s="142">
        <f t="shared" ref="AB39:AC39" si="141">($H$2+((1-$H$2)/(1+50*(K39/$H39)^2)))*$J39</f>
        <v>26.50263158</v>
      </c>
      <c r="AC39" s="142">
        <f t="shared" si="141"/>
        <v>26.50263158</v>
      </c>
      <c r="AD39" s="142" t="str">
        <f t="shared" si="18"/>
        <v>#REF!</v>
      </c>
      <c r="AE39" s="142" t="str">
        <f t="shared" si="19"/>
        <v>#REF!</v>
      </c>
      <c r="AF39" s="143" t="str">
        <f t="shared" si="20"/>
        <v>#REF!</v>
      </c>
      <c r="AG39" s="154" t="str">
        <f t="shared" si="21"/>
        <v>#REF!</v>
      </c>
      <c r="AH39" s="145" t="str">
        <f t="shared" si="22"/>
        <v>#REF!</v>
      </c>
      <c r="AI39" s="146" t="str">
        <f t="shared" si="23"/>
        <v>#REF!</v>
      </c>
      <c r="AJ39" s="147" t="str">
        <f t="shared" si="24"/>
        <v>#REF!</v>
      </c>
      <c r="AK39" s="155"/>
      <c r="AL39" s="155"/>
      <c r="AM39" s="155"/>
      <c r="AN39" s="155"/>
      <c r="AO39" s="147">
        <f t="shared" si="25"/>
        <v>0</v>
      </c>
      <c r="AP39" s="147">
        <f t="shared" si="26"/>
        <v>0</v>
      </c>
      <c r="AQ39" s="150"/>
      <c r="AR39" s="8"/>
      <c r="AS39" s="91"/>
      <c r="AT39" s="8"/>
      <c r="AU39" s="8"/>
      <c r="AV39" s="8"/>
      <c r="AW39" s="8"/>
      <c r="AX39" s="8"/>
    </row>
    <row r="40" ht="19.5" customHeight="1">
      <c r="A40" s="151" t="str">
        <f>Locsolieu!A35</f>
        <v>167</v>
      </c>
      <c r="B40" s="152">
        <f>Locsolieu!C35</f>
        <v>27.0752</v>
      </c>
      <c r="C40" s="132">
        <f>Locsolieu!D35*$C$4</f>
        <v>0.06773</v>
      </c>
      <c r="D40" s="133">
        <f>Locsolieu!E35*$C$4</f>
        <v>0.12877</v>
      </c>
      <c r="E40" s="153">
        <f>Locsolieu!F35</f>
        <v>26.7782</v>
      </c>
      <c r="F40" s="135">
        <v>510.0</v>
      </c>
      <c r="G40" s="136">
        <v>20.0</v>
      </c>
      <c r="H40" s="136">
        <v>30.0</v>
      </c>
      <c r="I40" s="136">
        <v>3.0</v>
      </c>
      <c r="J40" s="136">
        <f t="shared" si="31"/>
        <v>27</v>
      </c>
      <c r="K40" s="137">
        <f t="shared" si="5"/>
        <v>1</v>
      </c>
      <c r="L40" s="137">
        <f t="shared" si="6"/>
        <v>1</v>
      </c>
      <c r="M40" s="138" t="str">
        <f t="shared" si="32"/>
        <v>#REF!</v>
      </c>
      <c r="N40" s="138" t="str">
        <f t="shared" si="33"/>
        <v>#REF!</v>
      </c>
      <c r="O40" s="139">
        <f t="shared" si="7"/>
        <v>45000</v>
      </c>
      <c r="P40" s="140">
        <f t="shared" ref="P40:Q40" si="142">0.1+0.11/(0.1+MAX((K40/$H40),(0.5-(0.01*(0.7*$F40/$H40))-0.01*$E$2)))</f>
        <v>0.3777777778</v>
      </c>
      <c r="Q40" s="140">
        <f t="shared" si="142"/>
        <v>0.3777777778</v>
      </c>
      <c r="R40" s="139" t="str">
        <f t="shared" si="9"/>
        <v>#REF!</v>
      </c>
      <c r="S40" s="139" t="str">
        <f t="shared" si="10"/>
        <v>#REF!</v>
      </c>
      <c r="T40" s="141" t="str">
        <f t="shared" si="11"/>
        <v>#REF!</v>
      </c>
      <c r="U40" s="141" t="str">
        <f t="shared" si="12"/>
        <v>#REF!</v>
      </c>
      <c r="V40" s="142" t="str">
        <f t="shared" ref="V40:W40" si="143">IF(T40*K40&gt;=((0.5*$H40)-$I40),((T40*K40)-(0.5*$H40)+$I40),(0.5*$H40)-(T40*K40)-$I40)</f>
        <v>#REF!</v>
      </c>
      <c r="W40" s="142" t="str">
        <f t="shared" si="143"/>
        <v>#REF!</v>
      </c>
      <c r="X40" s="137" t="str">
        <f t="shared" ref="X40:Y40" si="144">(T40*K40)+(0.5*$H40)-$I40</f>
        <v>#REF!</v>
      </c>
      <c r="Y40" s="137" t="str">
        <f t="shared" si="144"/>
        <v>#REF!</v>
      </c>
      <c r="Z40" s="142">
        <f t="shared" si="15"/>
        <v>19.10006384</v>
      </c>
      <c r="AA40" s="142">
        <f t="shared" si="16"/>
        <v>18.89054668</v>
      </c>
      <c r="AB40" s="142">
        <f t="shared" ref="AB40:AC40" si="145">($H$2+((1-$H$2)/(1+50*(K40/$H40)^2)))*$J40</f>
        <v>26.50263158</v>
      </c>
      <c r="AC40" s="142">
        <f t="shared" si="145"/>
        <v>26.50263158</v>
      </c>
      <c r="AD40" s="142" t="str">
        <f t="shared" si="18"/>
        <v>#REF!</v>
      </c>
      <c r="AE40" s="142" t="str">
        <f t="shared" si="19"/>
        <v>#REF!</v>
      </c>
      <c r="AF40" s="143" t="str">
        <f t="shared" si="20"/>
        <v>#REF!</v>
      </c>
      <c r="AG40" s="154" t="str">
        <f t="shared" si="21"/>
        <v>#REF!</v>
      </c>
      <c r="AH40" s="145" t="str">
        <f t="shared" si="22"/>
        <v>#REF!</v>
      </c>
      <c r="AI40" s="146" t="str">
        <f t="shared" si="23"/>
        <v>#REF!</v>
      </c>
      <c r="AJ40" s="147" t="str">
        <f t="shared" si="24"/>
        <v>#REF!</v>
      </c>
      <c r="AK40" s="155"/>
      <c r="AL40" s="155"/>
      <c r="AM40" s="155"/>
      <c r="AN40" s="155"/>
      <c r="AO40" s="147">
        <f t="shared" si="25"/>
        <v>0</v>
      </c>
      <c r="AP40" s="147">
        <f t="shared" si="26"/>
        <v>0</v>
      </c>
      <c r="AQ40" s="150"/>
      <c r="AR40" s="8"/>
      <c r="AS40" s="91"/>
      <c r="AT40" s="8"/>
      <c r="AU40" s="8"/>
      <c r="AV40" s="8"/>
      <c r="AW40" s="8"/>
      <c r="AX40" s="8"/>
    </row>
    <row r="41" ht="19.5" customHeight="1">
      <c r="A41" s="151" t="str">
        <f>Locsolieu!A36</f>
        <v>168</v>
      </c>
      <c r="B41" s="152">
        <f>Locsolieu!C36</f>
        <v>21.3555</v>
      </c>
      <c r="C41" s="132">
        <f>Locsolieu!D36*$C$4</f>
        <v>0.13948</v>
      </c>
      <c r="D41" s="133">
        <f>Locsolieu!E36*$C$4</f>
        <v>0.14893</v>
      </c>
      <c r="E41" s="153">
        <f>Locsolieu!F36</f>
        <v>20.9595</v>
      </c>
      <c r="F41" s="135">
        <v>510.0</v>
      </c>
      <c r="G41" s="136">
        <v>20.0</v>
      </c>
      <c r="H41" s="136">
        <v>30.0</v>
      </c>
      <c r="I41" s="136">
        <v>3.0</v>
      </c>
      <c r="J41" s="136">
        <f t="shared" si="31"/>
        <v>27</v>
      </c>
      <c r="K41" s="137">
        <f t="shared" si="5"/>
        <v>1</v>
      </c>
      <c r="L41" s="137">
        <f t="shared" si="6"/>
        <v>1</v>
      </c>
      <c r="M41" s="138" t="str">
        <f t="shared" si="32"/>
        <v>#REF!</v>
      </c>
      <c r="N41" s="138" t="str">
        <f t="shared" si="33"/>
        <v>#REF!</v>
      </c>
      <c r="O41" s="139">
        <f t="shared" si="7"/>
        <v>45000</v>
      </c>
      <c r="P41" s="140">
        <f t="shared" ref="P41:Q41" si="146">0.1+0.11/(0.1+MAX((K41/$H41),(0.5-(0.01*(0.7*$F41/$H41))-0.01*$E$2)))</f>
        <v>0.3777777778</v>
      </c>
      <c r="Q41" s="140">
        <f t="shared" si="146"/>
        <v>0.3777777778</v>
      </c>
      <c r="R41" s="139" t="str">
        <f t="shared" si="9"/>
        <v>#REF!</v>
      </c>
      <c r="S41" s="139" t="str">
        <f t="shared" si="10"/>
        <v>#REF!</v>
      </c>
      <c r="T41" s="141" t="str">
        <f t="shared" si="11"/>
        <v>#REF!</v>
      </c>
      <c r="U41" s="141" t="str">
        <f t="shared" si="12"/>
        <v>#REF!</v>
      </c>
      <c r="V41" s="142" t="str">
        <f t="shared" ref="V41:W41" si="147">IF(T41*K41&gt;=((0.5*$H41)-$I41),((T41*K41)-(0.5*$H41)+$I41),(0.5*$H41)-(T41*K41)-$I41)</f>
        <v>#REF!</v>
      </c>
      <c r="W41" s="142" t="str">
        <f t="shared" si="147"/>
        <v>#REF!</v>
      </c>
      <c r="X41" s="137" t="str">
        <f t="shared" ref="X41:Y41" si="148">(T41*K41)+(0.5*$H41)-$I41</f>
        <v>#REF!</v>
      </c>
      <c r="Y41" s="137" t="str">
        <f t="shared" si="148"/>
        <v>#REF!</v>
      </c>
      <c r="Z41" s="142">
        <f t="shared" si="15"/>
        <v>15.06513021</v>
      </c>
      <c r="AA41" s="142">
        <f t="shared" si="16"/>
        <v>14.785774</v>
      </c>
      <c r="AB41" s="142">
        <f t="shared" ref="AB41:AC41" si="149">($H$2+((1-$H$2)/(1+50*(K41/$H41)^2)))*$J41</f>
        <v>26.50263158</v>
      </c>
      <c r="AC41" s="142">
        <f t="shared" si="149"/>
        <v>26.50263158</v>
      </c>
      <c r="AD41" s="142" t="str">
        <f t="shared" si="18"/>
        <v>#REF!</v>
      </c>
      <c r="AE41" s="142" t="str">
        <f t="shared" si="19"/>
        <v>#REF!</v>
      </c>
      <c r="AF41" s="143" t="str">
        <f t="shared" si="20"/>
        <v>#REF!</v>
      </c>
      <c r="AG41" s="154" t="str">
        <f t="shared" si="21"/>
        <v>#REF!</v>
      </c>
      <c r="AH41" s="145" t="str">
        <f t="shared" si="22"/>
        <v>#REF!</v>
      </c>
      <c r="AI41" s="146" t="str">
        <f t="shared" si="23"/>
        <v>#REF!</v>
      </c>
      <c r="AJ41" s="147" t="str">
        <f t="shared" si="24"/>
        <v>#REF!</v>
      </c>
      <c r="AK41" s="155"/>
      <c r="AL41" s="155"/>
      <c r="AM41" s="155"/>
      <c r="AN41" s="155"/>
      <c r="AO41" s="147">
        <f t="shared" si="25"/>
        <v>0</v>
      </c>
      <c r="AP41" s="147">
        <f t="shared" si="26"/>
        <v>0</v>
      </c>
      <c r="AQ41" s="150"/>
      <c r="AR41" s="8"/>
      <c r="AS41" s="91"/>
      <c r="AT41" s="8"/>
      <c r="AU41" s="8"/>
      <c r="AV41" s="8"/>
      <c r="AW41" s="8"/>
      <c r="AX41" s="8"/>
    </row>
    <row r="42" ht="19.5" customHeight="1">
      <c r="A42" s="151" t="str">
        <f>Locsolieu!A37</f>
        <v>169</v>
      </c>
      <c r="B42" s="152">
        <f>Locsolieu!C37</f>
        <v>15.9545</v>
      </c>
      <c r="C42" s="132">
        <f>Locsolieu!D37*$C$4</f>
        <v>0.14979</v>
      </c>
      <c r="D42" s="133">
        <f>Locsolieu!E37*$C$4</f>
        <v>0.16167</v>
      </c>
      <c r="E42" s="153">
        <f>Locsolieu!F37</f>
        <v>15.5585</v>
      </c>
      <c r="F42" s="135">
        <v>510.0</v>
      </c>
      <c r="G42" s="136">
        <v>20.0</v>
      </c>
      <c r="H42" s="136">
        <v>30.0</v>
      </c>
      <c r="I42" s="136">
        <v>3.0</v>
      </c>
      <c r="J42" s="136">
        <f t="shared" si="31"/>
        <v>27</v>
      </c>
      <c r="K42" s="137">
        <f t="shared" si="5"/>
        <v>1</v>
      </c>
      <c r="L42" s="137">
        <f t="shared" si="6"/>
        <v>1.039110454</v>
      </c>
      <c r="M42" s="138" t="str">
        <f t="shared" si="32"/>
        <v>#REF!</v>
      </c>
      <c r="N42" s="138" t="str">
        <f t="shared" si="33"/>
        <v>#REF!</v>
      </c>
      <c r="O42" s="139">
        <f t="shared" si="7"/>
        <v>45000</v>
      </c>
      <c r="P42" s="140">
        <f t="shared" ref="P42:Q42" si="150">0.1+0.11/(0.1+MAX((K42/$H42),(0.5-(0.01*(0.7*$F42/$H42))-0.01*$E$2)))</f>
        <v>0.3777777778</v>
      </c>
      <c r="Q42" s="140">
        <f t="shared" si="150"/>
        <v>0.3777777778</v>
      </c>
      <c r="R42" s="139" t="str">
        <f t="shared" si="9"/>
        <v>#REF!</v>
      </c>
      <c r="S42" s="139" t="str">
        <f t="shared" si="10"/>
        <v>#REF!</v>
      </c>
      <c r="T42" s="141" t="str">
        <f t="shared" si="11"/>
        <v>#REF!</v>
      </c>
      <c r="U42" s="141" t="str">
        <f t="shared" si="12"/>
        <v>#REF!</v>
      </c>
      <c r="V42" s="142" t="str">
        <f t="shared" ref="V42:W42" si="151">IF(T42*K42&gt;=((0.5*$H42)-$I42),((T42*K42)-(0.5*$H42)+$I42),(0.5*$H42)-(T42*K42)-$I42)</f>
        <v>#REF!</v>
      </c>
      <c r="W42" s="142" t="str">
        <f t="shared" si="151"/>
        <v>#REF!</v>
      </c>
      <c r="X42" s="137" t="str">
        <f t="shared" ref="X42:Y42" si="152">(T42*K42)+(0.5*$H42)-$I42</f>
        <v>#REF!</v>
      </c>
      <c r="Y42" s="137" t="str">
        <f t="shared" si="152"/>
        <v>#REF!</v>
      </c>
      <c r="Z42" s="142">
        <f t="shared" si="15"/>
        <v>11.25502189</v>
      </c>
      <c r="AA42" s="142">
        <f t="shared" si="16"/>
        <v>10.97566568</v>
      </c>
      <c r="AB42" s="142">
        <f t="shared" ref="AB42:AC42" si="153">($H$2+((1-$H$2)/(1+50*(K42/$H42)^2)))*$J42</f>
        <v>26.50263158</v>
      </c>
      <c r="AC42" s="142">
        <f t="shared" si="153"/>
        <v>26.4652109</v>
      </c>
      <c r="AD42" s="142" t="str">
        <f t="shared" si="18"/>
        <v>#REF!</v>
      </c>
      <c r="AE42" s="142" t="str">
        <f t="shared" si="19"/>
        <v>#REF!</v>
      </c>
      <c r="AF42" s="143" t="str">
        <f t="shared" si="20"/>
        <v>#REF!</v>
      </c>
      <c r="AG42" s="154" t="str">
        <f t="shared" si="21"/>
        <v>#REF!</v>
      </c>
      <c r="AH42" s="145" t="str">
        <f t="shared" si="22"/>
        <v>#REF!</v>
      </c>
      <c r="AI42" s="146" t="str">
        <f t="shared" si="23"/>
        <v>#REF!</v>
      </c>
      <c r="AJ42" s="147" t="str">
        <f t="shared" si="24"/>
        <v>#REF!</v>
      </c>
      <c r="AK42" s="155"/>
      <c r="AL42" s="155"/>
      <c r="AM42" s="155"/>
      <c r="AN42" s="155"/>
      <c r="AO42" s="147">
        <f t="shared" si="25"/>
        <v>0</v>
      </c>
      <c r="AP42" s="147">
        <f t="shared" si="26"/>
        <v>0</v>
      </c>
      <c r="AQ42" s="150"/>
      <c r="AR42" s="8"/>
      <c r="AS42" s="91"/>
      <c r="AT42" s="8"/>
      <c r="AU42" s="8"/>
      <c r="AV42" s="8"/>
      <c r="AW42" s="8"/>
      <c r="AX42" s="8"/>
    </row>
    <row r="43" ht="19.5" customHeight="1">
      <c r="A43" s="151" t="str">
        <f>Locsolieu!A38</f>
        <v>170</v>
      </c>
      <c r="B43" s="152">
        <f>Locsolieu!C38</f>
        <v>18.3864</v>
      </c>
      <c r="C43" s="132">
        <f>Locsolieu!D38*$C$4</f>
        <v>0.06748</v>
      </c>
      <c r="D43" s="133">
        <f>Locsolieu!E38*$C$4</f>
        <v>0.14543</v>
      </c>
      <c r="E43" s="153">
        <f>Locsolieu!F38</f>
        <v>18.0894</v>
      </c>
      <c r="F43" s="135">
        <v>510.0</v>
      </c>
      <c r="G43" s="136">
        <v>20.0</v>
      </c>
      <c r="H43" s="136">
        <v>30.0</v>
      </c>
      <c r="I43" s="136">
        <v>3.0</v>
      </c>
      <c r="J43" s="136">
        <f t="shared" si="31"/>
        <v>27</v>
      </c>
      <c r="K43" s="137">
        <f t="shared" si="5"/>
        <v>1</v>
      </c>
      <c r="L43" s="137">
        <f t="shared" si="6"/>
        <v>1</v>
      </c>
      <c r="M43" s="138" t="str">
        <f t="shared" si="32"/>
        <v>#REF!</v>
      </c>
      <c r="N43" s="138" t="str">
        <f t="shared" si="33"/>
        <v>#REF!</v>
      </c>
      <c r="O43" s="139">
        <f t="shared" si="7"/>
        <v>45000</v>
      </c>
      <c r="P43" s="140">
        <f t="shared" ref="P43:Q43" si="154">0.1+0.11/(0.1+MAX((K43/$H43),(0.5-(0.01*(0.7*$F43/$H43))-0.01*$E$2)))</f>
        <v>0.3777777778</v>
      </c>
      <c r="Q43" s="140">
        <f t="shared" si="154"/>
        <v>0.3777777778</v>
      </c>
      <c r="R43" s="139" t="str">
        <f t="shared" si="9"/>
        <v>#REF!</v>
      </c>
      <c r="S43" s="139" t="str">
        <f t="shared" si="10"/>
        <v>#REF!</v>
      </c>
      <c r="T43" s="141" t="str">
        <f t="shared" si="11"/>
        <v>#REF!</v>
      </c>
      <c r="U43" s="141" t="str">
        <f t="shared" si="12"/>
        <v>#REF!</v>
      </c>
      <c r="V43" s="142" t="str">
        <f t="shared" ref="V43:W43" si="155">IF(T43*K43&gt;=((0.5*$H43)-$I43),((T43*K43)-(0.5*$H43)+$I43),(0.5*$H43)-(T43*K43)-$I43)</f>
        <v>#REF!</v>
      </c>
      <c r="W43" s="142" t="str">
        <f t="shared" si="155"/>
        <v>#REF!</v>
      </c>
      <c r="X43" s="137" t="str">
        <f t="shared" ref="X43:Y43" si="156">(T43*K43)+(0.5*$H43)-$I43</f>
        <v>#REF!</v>
      </c>
      <c r="Y43" s="137" t="str">
        <f t="shared" si="156"/>
        <v>#REF!</v>
      </c>
      <c r="Z43" s="142">
        <f t="shared" si="15"/>
        <v>12.97059353</v>
      </c>
      <c r="AA43" s="142">
        <f t="shared" si="16"/>
        <v>12.76107637</v>
      </c>
      <c r="AB43" s="142">
        <f t="shared" ref="AB43:AC43" si="157">($H$2+((1-$H$2)/(1+50*(K43/$H43)^2)))*$J43</f>
        <v>26.50263158</v>
      </c>
      <c r="AC43" s="142">
        <f t="shared" si="157"/>
        <v>26.50263158</v>
      </c>
      <c r="AD43" s="142" t="str">
        <f t="shared" si="18"/>
        <v>#REF!</v>
      </c>
      <c r="AE43" s="142" t="str">
        <f t="shared" si="19"/>
        <v>#REF!</v>
      </c>
      <c r="AF43" s="143" t="str">
        <f t="shared" si="20"/>
        <v>#REF!</v>
      </c>
      <c r="AG43" s="154" t="str">
        <f t="shared" si="21"/>
        <v>#REF!</v>
      </c>
      <c r="AH43" s="145" t="str">
        <f t="shared" si="22"/>
        <v>#REF!</v>
      </c>
      <c r="AI43" s="146" t="str">
        <f t="shared" si="23"/>
        <v>#REF!</v>
      </c>
      <c r="AJ43" s="147" t="str">
        <f t="shared" si="24"/>
        <v>#REF!</v>
      </c>
      <c r="AK43" s="155"/>
      <c r="AL43" s="155"/>
      <c r="AM43" s="155"/>
      <c r="AN43" s="155"/>
      <c r="AO43" s="147">
        <f t="shared" si="25"/>
        <v>0</v>
      </c>
      <c r="AP43" s="147">
        <f t="shared" si="26"/>
        <v>0</v>
      </c>
      <c r="AQ43" s="150"/>
      <c r="AR43" s="8"/>
      <c r="AS43" s="91"/>
      <c r="AT43" s="8"/>
      <c r="AU43" s="8"/>
      <c r="AV43" s="8"/>
      <c r="AW43" s="8"/>
      <c r="AX43" s="8"/>
    </row>
    <row r="44" ht="19.5" customHeight="1">
      <c r="A44" s="151" t="str">
        <f>Locsolieu!A39</f>
        <v>171</v>
      </c>
      <c r="B44" s="152">
        <f>Locsolieu!C39</f>
        <v>13.3514</v>
      </c>
      <c r="C44" s="132">
        <f>Locsolieu!D39*$C$4</f>
        <v>0.17995</v>
      </c>
      <c r="D44" s="133">
        <f>Locsolieu!E39*$C$4</f>
        <v>0.17995</v>
      </c>
      <c r="E44" s="153">
        <f>Locsolieu!F39</f>
        <v>13.3514</v>
      </c>
      <c r="F44" s="135">
        <v>510.0</v>
      </c>
      <c r="G44" s="136">
        <v>20.0</v>
      </c>
      <c r="H44" s="136">
        <v>30.0</v>
      </c>
      <c r="I44" s="136">
        <v>3.0</v>
      </c>
      <c r="J44" s="136">
        <f t="shared" si="31"/>
        <v>27</v>
      </c>
      <c r="K44" s="137">
        <f t="shared" si="5"/>
        <v>1.347798733</v>
      </c>
      <c r="L44" s="137">
        <f t="shared" si="6"/>
        <v>1.347798733</v>
      </c>
      <c r="M44" s="138" t="str">
        <f t="shared" si="32"/>
        <v>#REF!</v>
      </c>
      <c r="N44" s="138" t="str">
        <f t="shared" si="33"/>
        <v>#REF!</v>
      </c>
      <c r="O44" s="139">
        <f t="shared" si="7"/>
        <v>45000</v>
      </c>
      <c r="P44" s="140">
        <f t="shared" ref="P44:Q44" si="158">0.1+0.11/(0.1+MAX((K44/$H44),(0.5-(0.01*(0.7*$F44/$H44))-0.01*$E$2)))</f>
        <v>0.3777777778</v>
      </c>
      <c r="Q44" s="140">
        <f t="shared" si="158"/>
        <v>0.3777777778</v>
      </c>
      <c r="R44" s="139" t="str">
        <f t="shared" si="9"/>
        <v>#REF!</v>
      </c>
      <c r="S44" s="139" t="str">
        <f t="shared" si="10"/>
        <v>#REF!</v>
      </c>
      <c r="T44" s="141" t="str">
        <f t="shared" si="11"/>
        <v>#REF!</v>
      </c>
      <c r="U44" s="141" t="str">
        <f t="shared" si="12"/>
        <v>#REF!</v>
      </c>
      <c r="V44" s="142" t="str">
        <f t="shared" ref="V44:W44" si="159">IF(T44*K44&gt;=((0.5*$H44)-$I44),((T44*K44)-(0.5*$H44)+$I44),(0.5*$H44)-(T44*K44)-$I44)</f>
        <v>#REF!</v>
      </c>
      <c r="W44" s="142" t="str">
        <f t="shared" si="159"/>
        <v>#REF!</v>
      </c>
      <c r="X44" s="137" t="str">
        <f t="shared" ref="X44:Y44" si="160">(T44*K44)+(0.5*$H44)-$I44</f>
        <v>#REF!</v>
      </c>
      <c r="Y44" s="137" t="str">
        <f t="shared" si="160"/>
        <v>#REF!</v>
      </c>
      <c r="Z44" s="142">
        <f t="shared" si="15"/>
        <v>9.418678067</v>
      </c>
      <c r="AA44" s="142">
        <f t="shared" si="16"/>
        <v>9.418678067</v>
      </c>
      <c r="AB44" s="142">
        <f t="shared" ref="AB44:AC44" si="161">($H$2+((1-$H$2)/(1+50*(K44/$H44)^2)))*$J44</f>
        <v>26.13372935</v>
      </c>
      <c r="AC44" s="142">
        <f t="shared" si="161"/>
        <v>26.13372935</v>
      </c>
      <c r="AD44" s="142" t="str">
        <f t="shared" si="18"/>
        <v>#REF!</v>
      </c>
      <c r="AE44" s="142" t="str">
        <f t="shared" si="19"/>
        <v>#REF!</v>
      </c>
      <c r="AF44" s="143" t="str">
        <f t="shared" si="20"/>
        <v>#REF!</v>
      </c>
      <c r="AG44" s="154" t="str">
        <f t="shared" si="21"/>
        <v>#REF!</v>
      </c>
      <c r="AH44" s="145" t="str">
        <f t="shared" si="22"/>
        <v>#REF!</v>
      </c>
      <c r="AI44" s="146" t="str">
        <f t="shared" si="23"/>
        <v>#REF!</v>
      </c>
      <c r="AJ44" s="147" t="str">
        <f t="shared" si="24"/>
        <v>#REF!</v>
      </c>
      <c r="AK44" s="155"/>
      <c r="AL44" s="155"/>
      <c r="AM44" s="155"/>
      <c r="AN44" s="155"/>
      <c r="AO44" s="147">
        <f t="shared" si="25"/>
        <v>0</v>
      </c>
      <c r="AP44" s="147">
        <f t="shared" si="26"/>
        <v>0</v>
      </c>
      <c r="AQ44" s="150"/>
      <c r="AR44" s="8"/>
      <c r="AS44" s="91"/>
      <c r="AT44" s="8"/>
      <c r="AU44" s="8"/>
      <c r="AV44" s="8"/>
      <c r="AW44" s="8"/>
      <c r="AX44" s="8"/>
    </row>
    <row r="45" ht="19.5" customHeight="1">
      <c r="A45" s="151" t="str">
        <f>Locsolieu!A40</f>
        <v>172</v>
      </c>
      <c r="B45" s="152">
        <f>Locsolieu!C40</f>
        <v>8.2179</v>
      </c>
      <c r="C45" s="132">
        <f>Locsolieu!D40*$C$4</f>
        <v>0.29836</v>
      </c>
      <c r="D45" s="133">
        <f>Locsolieu!E40*$C$4</f>
        <v>0.35884</v>
      </c>
      <c r="E45" s="153">
        <f>Locsolieu!F40</f>
        <v>7.8219</v>
      </c>
      <c r="F45" s="135">
        <v>510.0</v>
      </c>
      <c r="G45" s="136">
        <v>20.0</v>
      </c>
      <c r="H45" s="136">
        <v>30.0</v>
      </c>
      <c r="I45" s="136">
        <v>3.0</v>
      </c>
      <c r="J45" s="136">
        <f t="shared" si="31"/>
        <v>27</v>
      </c>
      <c r="K45" s="137">
        <f t="shared" si="5"/>
        <v>3.630611227</v>
      </c>
      <c r="L45" s="137">
        <f t="shared" si="6"/>
        <v>4.587632161</v>
      </c>
      <c r="M45" s="138" t="str">
        <f t="shared" si="32"/>
        <v>#REF!</v>
      </c>
      <c r="N45" s="138" t="str">
        <f t="shared" si="33"/>
        <v>#REF!</v>
      </c>
      <c r="O45" s="139">
        <f t="shared" si="7"/>
        <v>45000</v>
      </c>
      <c r="P45" s="140">
        <f t="shared" ref="P45:Q45" si="162">0.1+0.11/(0.1+MAX((K45/$H45),(0.5-(0.01*(0.7*$F45/$H45))-0.01*$E$2)))</f>
        <v>0.3777777778</v>
      </c>
      <c r="Q45" s="140">
        <f t="shared" si="162"/>
        <v>0.3777777778</v>
      </c>
      <c r="R45" s="139" t="str">
        <f t="shared" si="9"/>
        <v>#REF!</v>
      </c>
      <c r="S45" s="139" t="str">
        <f t="shared" si="10"/>
        <v>#REF!</v>
      </c>
      <c r="T45" s="141" t="str">
        <f t="shared" si="11"/>
        <v>#REF!</v>
      </c>
      <c r="U45" s="141" t="str">
        <f t="shared" si="12"/>
        <v>#REF!</v>
      </c>
      <c r="V45" s="142" t="str">
        <f t="shared" ref="V45:W45" si="163">IF(T45*K45&gt;=((0.5*$H45)-$I45),((T45*K45)-(0.5*$H45)+$I45),(0.5*$H45)-(T45*K45)-$I45)</f>
        <v>#REF!</v>
      </c>
      <c r="W45" s="142" t="str">
        <f t="shared" si="163"/>
        <v>#REF!</v>
      </c>
      <c r="X45" s="137" t="str">
        <f t="shared" ref="X45:Y45" si="164">(T45*K45)+(0.5*$H45)-$I45</f>
        <v>#REF!</v>
      </c>
      <c r="Y45" s="137" t="str">
        <f t="shared" si="164"/>
        <v>#REF!</v>
      </c>
      <c r="Z45" s="142">
        <f t="shared" si="15"/>
        <v>5.797276277</v>
      </c>
      <c r="AA45" s="142">
        <f t="shared" si="16"/>
        <v>5.517920066</v>
      </c>
      <c r="AB45" s="142">
        <f t="shared" ref="AB45:AC45" si="165">($H$2+((1-$H$2)/(1+50*(K45/$H45)^2)))*$J45</f>
        <v>23.00518607</v>
      </c>
      <c r="AC45" s="142">
        <f t="shared" si="165"/>
        <v>21.90635899</v>
      </c>
      <c r="AD45" s="142" t="str">
        <f t="shared" si="18"/>
        <v>#REF!</v>
      </c>
      <c r="AE45" s="142" t="str">
        <f t="shared" si="19"/>
        <v>#REF!</v>
      </c>
      <c r="AF45" s="143" t="str">
        <f t="shared" si="20"/>
        <v>#REF!</v>
      </c>
      <c r="AG45" s="154" t="str">
        <f t="shared" si="21"/>
        <v>#REF!</v>
      </c>
      <c r="AH45" s="145" t="str">
        <f t="shared" si="22"/>
        <v>#REF!</v>
      </c>
      <c r="AI45" s="146" t="str">
        <f t="shared" si="23"/>
        <v>#REF!</v>
      </c>
      <c r="AJ45" s="147" t="str">
        <f t="shared" si="24"/>
        <v>#REF!</v>
      </c>
      <c r="AK45" s="155"/>
      <c r="AL45" s="155"/>
      <c r="AM45" s="155"/>
      <c r="AN45" s="155"/>
      <c r="AO45" s="147">
        <f t="shared" si="25"/>
        <v>0</v>
      </c>
      <c r="AP45" s="147">
        <f t="shared" si="26"/>
        <v>0</v>
      </c>
      <c r="AQ45" s="150"/>
      <c r="AR45" s="8"/>
      <c r="AS45" s="91"/>
      <c r="AT45" s="8"/>
      <c r="AU45" s="8"/>
      <c r="AV45" s="8"/>
      <c r="AW45" s="8"/>
      <c r="AX45" s="8"/>
    </row>
    <row r="46" ht="19.5" customHeight="1">
      <c r="A46" s="151" t="str">
        <f>Locsolieu!A41</f>
        <v>173</v>
      </c>
      <c r="B46" s="152">
        <f>Locsolieu!C41</f>
        <v>16.0129</v>
      </c>
      <c r="C46" s="132">
        <f>Locsolieu!D41*$C$4</f>
        <v>0.06757</v>
      </c>
      <c r="D46" s="133">
        <f>Locsolieu!E41*$C$4</f>
        <v>0.13812</v>
      </c>
      <c r="E46" s="153">
        <f>Locsolieu!F41</f>
        <v>15.7159</v>
      </c>
      <c r="F46" s="135">
        <v>510.0</v>
      </c>
      <c r="G46" s="136">
        <v>20.0</v>
      </c>
      <c r="H46" s="136">
        <v>30.0</v>
      </c>
      <c r="I46" s="136">
        <v>3.0</v>
      </c>
      <c r="J46" s="136">
        <f t="shared" si="31"/>
        <v>27</v>
      </c>
      <c r="K46" s="137">
        <f t="shared" si="5"/>
        <v>1</v>
      </c>
      <c r="L46" s="137">
        <f t="shared" si="6"/>
        <v>1</v>
      </c>
      <c r="M46" s="138" t="str">
        <f t="shared" si="32"/>
        <v>#REF!</v>
      </c>
      <c r="N46" s="138" t="str">
        <f t="shared" si="33"/>
        <v>#REF!</v>
      </c>
      <c r="O46" s="139">
        <f t="shared" si="7"/>
        <v>45000</v>
      </c>
      <c r="P46" s="140">
        <f t="shared" ref="P46:Q46" si="166">0.1+0.11/(0.1+MAX((K46/$H46),(0.5-(0.01*(0.7*$F46/$H46))-0.01*$E$2)))</f>
        <v>0.3777777778</v>
      </c>
      <c r="Q46" s="140">
        <f t="shared" si="166"/>
        <v>0.3777777778</v>
      </c>
      <c r="R46" s="139" t="str">
        <f t="shared" si="9"/>
        <v>#REF!</v>
      </c>
      <c r="S46" s="139" t="str">
        <f t="shared" si="10"/>
        <v>#REF!</v>
      </c>
      <c r="T46" s="141" t="str">
        <f t="shared" si="11"/>
        <v>#REF!</v>
      </c>
      <c r="U46" s="141" t="str">
        <f t="shared" si="12"/>
        <v>#REF!</v>
      </c>
      <c r="V46" s="142" t="str">
        <f t="shared" ref="V46:W46" si="167">IF(T46*K46&gt;=((0.5*$H46)-$I46),((T46*K46)-(0.5*$H46)+$I46),(0.5*$H46)-(T46*K46)-$I46)</f>
        <v>#REF!</v>
      </c>
      <c r="W46" s="142" t="str">
        <f t="shared" si="167"/>
        <v>#REF!</v>
      </c>
      <c r="X46" s="137" t="str">
        <f t="shared" ref="X46:Y46" si="168">(T46*K46)+(0.5*$H46)-$I46</f>
        <v>#REF!</v>
      </c>
      <c r="Y46" s="137" t="str">
        <f t="shared" si="168"/>
        <v>#REF!</v>
      </c>
      <c r="Z46" s="142">
        <f t="shared" si="15"/>
        <v>11.29621987</v>
      </c>
      <c r="AA46" s="142">
        <f t="shared" si="16"/>
        <v>11.08670271</v>
      </c>
      <c r="AB46" s="142">
        <f t="shared" ref="AB46:AC46" si="169">($H$2+((1-$H$2)/(1+50*(K46/$H46)^2)))*$J46</f>
        <v>26.50263158</v>
      </c>
      <c r="AC46" s="142">
        <f t="shared" si="169"/>
        <v>26.50263158</v>
      </c>
      <c r="AD46" s="142" t="str">
        <f t="shared" si="18"/>
        <v>#REF!</v>
      </c>
      <c r="AE46" s="142" t="str">
        <f t="shared" si="19"/>
        <v>#REF!</v>
      </c>
      <c r="AF46" s="143" t="str">
        <f t="shared" si="20"/>
        <v>#REF!</v>
      </c>
      <c r="AG46" s="154" t="str">
        <f t="shared" si="21"/>
        <v>#REF!</v>
      </c>
      <c r="AH46" s="145" t="str">
        <f t="shared" si="22"/>
        <v>#REF!</v>
      </c>
      <c r="AI46" s="146" t="str">
        <f t="shared" si="23"/>
        <v>#REF!</v>
      </c>
      <c r="AJ46" s="147" t="str">
        <f t="shared" si="24"/>
        <v>#REF!</v>
      </c>
      <c r="AK46" s="155"/>
      <c r="AL46" s="155"/>
      <c r="AM46" s="155"/>
      <c r="AN46" s="155"/>
      <c r="AO46" s="147">
        <f t="shared" si="25"/>
        <v>0</v>
      </c>
      <c r="AP46" s="147">
        <f t="shared" si="26"/>
        <v>0</v>
      </c>
      <c r="AQ46" s="150"/>
      <c r="AR46" s="8"/>
      <c r="AS46" s="91"/>
      <c r="AT46" s="8"/>
      <c r="AU46" s="8"/>
      <c r="AV46" s="8"/>
      <c r="AW46" s="8"/>
      <c r="AX46" s="8"/>
    </row>
    <row r="47" ht="19.5" customHeight="1">
      <c r="A47" s="151" t="str">
        <f>Locsolieu!A42</f>
        <v>174</v>
      </c>
      <c r="B47" s="152">
        <f>Locsolieu!C42</f>
        <v>12.3388</v>
      </c>
      <c r="C47" s="132">
        <f>Locsolieu!D42*$C$4</f>
        <v>0.14345</v>
      </c>
      <c r="D47" s="133">
        <f>Locsolieu!E42*$C$4</f>
        <v>0.14345</v>
      </c>
      <c r="E47" s="153">
        <f>Locsolieu!F42</f>
        <v>12.3388</v>
      </c>
      <c r="F47" s="135">
        <v>510.0</v>
      </c>
      <c r="G47" s="136">
        <v>20.0</v>
      </c>
      <c r="H47" s="136">
        <v>30.0</v>
      </c>
      <c r="I47" s="136">
        <v>3.0</v>
      </c>
      <c r="J47" s="136">
        <f t="shared" si="31"/>
        <v>27</v>
      </c>
      <c r="K47" s="137">
        <f t="shared" si="5"/>
        <v>1.162592797</v>
      </c>
      <c r="L47" s="137">
        <f t="shared" si="6"/>
        <v>1.162592797</v>
      </c>
      <c r="M47" s="138" t="str">
        <f t="shared" si="32"/>
        <v>#REF!</v>
      </c>
      <c r="N47" s="138" t="str">
        <f t="shared" si="33"/>
        <v>#REF!</v>
      </c>
      <c r="O47" s="139">
        <f t="shared" si="7"/>
        <v>45000</v>
      </c>
      <c r="P47" s="140">
        <f t="shared" ref="P47:Q47" si="170">0.1+0.11/(0.1+MAX((K47/$H47),(0.5-(0.01*(0.7*$F47/$H47))-0.01*$E$2)))</f>
        <v>0.3777777778</v>
      </c>
      <c r="Q47" s="140">
        <f t="shared" si="170"/>
        <v>0.3777777778</v>
      </c>
      <c r="R47" s="139" t="str">
        <f t="shared" si="9"/>
        <v>#REF!</v>
      </c>
      <c r="S47" s="139" t="str">
        <f t="shared" si="10"/>
        <v>#REF!</v>
      </c>
      <c r="T47" s="141" t="str">
        <f t="shared" si="11"/>
        <v>#REF!</v>
      </c>
      <c r="U47" s="141" t="str">
        <f t="shared" si="12"/>
        <v>#REF!</v>
      </c>
      <c r="V47" s="142" t="str">
        <f t="shared" ref="V47:W47" si="171">IF(T47*K47&gt;=((0.5*$H47)-$I47),((T47*K47)-(0.5*$H47)+$I47),(0.5*$H47)-(T47*K47)-$I47)</f>
        <v>#REF!</v>
      </c>
      <c r="W47" s="142" t="str">
        <f t="shared" si="171"/>
        <v>#REF!</v>
      </c>
      <c r="X47" s="137" t="str">
        <f t="shared" ref="X47:Y47" si="172">(T47*K47)+(0.5*$H47)-$I47</f>
        <v>#REF!</v>
      </c>
      <c r="Y47" s="137" t="str">
        <f t="shared" si="172"/>
        <v>#REF!</v>
      </c>
      <c r="Z47" s="142">
        <f t="shared" si="15"/>
        <v>8.704344483</v>
      </c>
      <c r="AA47" s="142">
        <f t="shared" si="16"/>
        <v>8.704344483</v>
      </c>
      <c r="AB47" s="142">
        <f t="shared" ref="AB47:AC47" si="173">($H$2+((1-$H$2)/(1+50*(K47/$H47)^2)))*$J47</f>
        <v>26.33996086</v>
      </c>
      <c r="AC47" s="142">
        <f t="shared" si="173"/>
        <v>26.33996086</v>
      </c>
      <c r="AD47" s="142" t="str">
        <f t="shared" si="18"/>
        <v>#REF!</v>
      </c>
      <c r="AE47" s="142" t="str">
        <f t="shared" si="19"/>
        <v>#REF!</v>
      </c>
      <c r="AF47" s="143" t="str">
        <f t="shared" si="20"/>
        <v>#REF!</v>
      </c>
      <c r="AG47" s="154" t="str">
        <f t="shared" si="21"/>
        <v>#REF!</v>
      </c>
      <c r="AH47" s="145" t="str">
        <f t="shared" si="22"/>
        <v>#REF!</v>
      </c>
      <c r="AI47" s="146" t="str">
        <f t="shared" si="23"/>
        <v>#REF!</v>
      </c>
      <c r="AJ47" s="147" t="str">
        <f t="shared" si="24"/>
        <v>#REF!</v>
      </c>
      <c r="AK47" s="155"/>
      <c r="AL47" s="155"/>
      <c r="AM47" s="155"/>
      <c r="AN47" s="155"/>
      <c r="AO47" s="147">
        <f t="shared" si="25"/>
        <v>0</v>
      </c>
      <c r="AP47" s="147">
        <f t="shared" si="26"/>
        <v>0</v>
      </c>
      <c r="AQ47" s="150"/>
      <c r="AR47" s="8"/>
      <c r="AS47" s="91"/>
      <c r="AT47" s="8"/>
      <c r="AU47" s="8"/>
      <c r="AV47" s="8"/>
      <c r="AW47" s="8"/>
      <c r="AX47" s="8"/>
    </row>
    <row r="48" ht="19.5" customHeight="1">
      <c r="A48" s="151" t="str">
        <f>Locsolieu!A43</f>
        <v>175</v>
      </c>
      <c r="B48" s="152">
        <f>Locsolieu!C43</f>
        <v>8.5626</v>
      </c>
      <c r="C48" s="132">
        <f>Locsolieu!D43*$C$4</f>
        <v>0.33247</v>
      </c>
      <c r="D48" s="133">
        <f>Locsolieu!E43*$C$4</f>
        <v>0.41609</v>
      </c>
      <c r="E48" s="153">
        <f>Locsolieu!F43</f>
        <v>8.1666</v>
      </c>
      <c r="F48" s="135">
        <v>510.0</v>
      </c>
      <c r="G48" s="136">
        <v>20.0</v>
      </c>
      <c r="H48" s="136">
        <v>30.0</v>
      </c>
      <c r="I48" s="136">
        <v>3.0</v>
      </c>
      <c r="J48" s="136">
        <f t="shared" si="31"/>
        <v>27</v>
      </c>
      <c r="K48" s="137">
        <f t="shared" si="5"/>
        <v>3.882815967</v>
      </c>
      <c r="L48" s="137">
        <f t="shared" si="6"/>
        <v>5.095021184</v>
      </c>
      <c r="M48" s="138" t="str">
        <f t="shared" si="32"/>
        <v>#REF!</v>
      </c>
      <c r="N48" s="138" t="str">
        <f t="shared" si="33"/>
        <v>#REF!</v>
      </c>
      <c r="O48" s="139">
        <f t="shared" si="7"/>
        <v>45000</v>
      </c>
      <c r="P48" s="140">
        <f t="shared" ref="P48:Q48" si="174">0.1+0.11/(0.1+MAX((K48/$H48),(0.5-(0.01*(0.7*$F48/$H48))-0.01*$E$2)))</f>
        <v>0.3777777778</v>
      </c>
      <c r="Q48" s="140">
        <f t="shared" si="174"/>
        <v>0.3777777778</v>
      </c>
      <c r="R48" s="139" t="str">
        <f t="shared" si="9"/>
        <v>#REF!</v>
      </c>
      <c r="S48" s="139" t="str">
        <f t="shared" si="10"/>
        <v>#REF!</v>
      </c>
      <c r="T48" s="141" t="str">
        <f t="shared" si="11"/>
        <v>#REF!</v>
      </c>
      <c r="U48" s="141" t="str">
        <f t="shared" si="12"/>
        <v>#REF!</v>
      </c>
      <c r="V48" s="142" t="str">
        <f t="shared" ref="V48:W48" si="175">IF(T48*K48&gt;=((0.5*$H48)-$I48),((T48*K48)-(0.5*$H48)+$I48),(0.5*$H48)-(T48*K48)-$I48)</f>
        <v>#REF!</v>
      </c>
      <c r="W48" s="142" t="str">
        <f t="shared" si="175"/>
        <v>#REF!</v>
      </c>
      <c r="X48" s="137" t="str">
        <f t="shared" ref="X48:Y48" si="176">(T48*K48)+(0.5*$H48)-$I48</f>
        <v>#REF!</v>
      </c>
      <c r="Y48" s="137" t="str">
        <f t="shared" si="176"/>
        <v>#REF!</v>
      </c>
      <c r="Z48" s="142">
        <f t="shared" si="15"/>
        <v>6.040443161</v>
      </c>
      <c r="AA48" s="142">
        <f t="shared" si="16"/>
        <v>5.76108695</v>
      </c>
      <c r="AB48" s="142">
        <f t="shared" ref="AB48:AC48" si="177">($H$2+((1-$H$2)/(1+50*(K48/$H48)^2)))*$J48</f>
        <v>22.69266126</v>
      </c>
      <c r="AC48" s="142">
        <f t="shared" si="177"/>
        <v>21.41949357</v>
      </c>
      <c r="AD48" s="142" t="str">
        <f t="shared" si="18"/>
        <v>#REF!</v>
      </c>
      <c r="AE48" s="142" t="str">
        <f t="shared" si="19"/>
        <v>#REF!</v>
      </c>
      <c r="AF48" s="143" t="str">
        <f t="shared" si="20"/>
        <v>#REF!</v>
      </c>
      <c r="AG48" s="154" t="str">
        <f t="shared" si="21"/>
        <v>#REF!</v>
      </c>
      <c r="AH48" s="145" t="str">
        <f t="shared" si="22"/>
        <v>#REF!</v>
      </c>
      <c r="AI48" s="146" t="str">
        <f t="shared" si="23"/>
        <v>#REF!</v>
      </c>
      <c r="AJ48" s="147" t="str">
        <f t="shared" si="24"/>
        <v>#REF!</v>
      </c>
      <c r="AK48" s="155"/>
      <c r="AL48" s="155"/>
      <c r="AM48" s="155"/>
      <c r="AN48" s="155"/>
      <c r="AO48" s="147">
        <f t="shared" si="25"/>
        <v>0</v>
      </c>
      <c r="AP48" s="147">
        <f t="shared" si="26"/>
        <v>0</v>
      </c>
      <c r="AQ48" s="150"/>
      <c r="AR48" s="8"/>
      <c r="AS48" s="91"/>
      <c r="AT48" s="8"/>
      <c r="AU48" s="8"/>
      <c r="AV48" s="8"/>
      <c r="AW48" s="8"/>
      <c r="AX48" s="8"/>
    </row>
    <row r="49" ht="19.5" customHeight="1">
      <c r="A49" s="151" t="str">
        <f>Locsolieu!A44</f>
        <v>176</v>
      </c>
      <c r="B49" s="152">
        <f>Locsolieu!C44</f>
        <v>18.0624</v>
      </c>
      <c r="C49" s="132">
        <f>Locsolieu!D44*$C$4</f>
        <v>0.04128</v>
      </c>
      <c r="D49" s="133">
        <f>Locsolieu!E44*$C$4</f>
        <v>0.08252</v>
      </c>
      <c r="E49" s="153">
        <f>Locsolieu!F44</f>
        <v>17.7654</v>
      </c>
      <c r="F49" s="135">
        <v>510.0</v>
      </c>
      <c r="G49" s="136">
        <v>20.0</v>
      </c>
      <c r="H49" s="136">
        <v>30.0</v>
      </c>
      <c r="I49" s="136">
        <v>3.0</v>
      </c>
      <c r="J49" s="136">
        <f t="shared" si="31"/>
        <v>27</v>
      </c>
      <c r="K49" s="137">
        <f t="shared" si="5"/>
        <v>1</v>
      </c>
      <c r="L49" s="137">
        <f t="shared" si="6"/>
        <v>1</v>
      </c>
      <c r="M49" s="138" t="str">
        <f t="shared" si="32"/>
        <v>#REF!</v>
      </c>
      <c r="N49" s="138" t="str">
        <f t="shared" si="33"/>
        <v>#REF!</v>
      </c>
      <c r="O49" s="139">
        <f t="shared" si="7"/>
        <v>45000</v>
      </c>
      <c r="P49" s="140">
        <f t="shared" ref="P49:Q49" si="178">0.1+0.11/(0.1+MAX((K49/$H49),(0.5-(0.01*(0.7*$F49/$H49))-0.01*$E$2)))</f>
        <v>0.3777777778</v>
      </c>
      <c r="Q49" s="140">
        <f t="shared" si="178"/>
        <v>0.3777777778</v>
      </c>
      <c r="R49" s="139" t="str">
        <f t="shared" si="9"/>
        <v>#REF!</v>
      </c>
      <c r="S49" s="139" t="str">
        <f t="shared" si="10"/>
        <v>#REF!</v>
      </c>
      <c r="T49" s="141" t="str">
        <f t="shared" si="11"/>
        <v>#REF!</v>
      </c>
      <c r="U49" s="141" t="str">
        <f t="shared" si="12"/>
        <v>#REF!</v>
      </c>
      <c r="V49" s="142" t="str">
        <f t="shared" ref="V49:W49" si="179">IF(T49*K49&gt;=((0.5*$H49)-$I49),((T49*K49)-(0.5*$H49)+$I49),(0.5*$H49)-(T49*K49)-$I49)</f>
        <v>#REF!</v>
      </c>
      <c r="W49" s="142" t="str">
        <f t="shared" si="179"/>
        <v>#REF!</v>
      </c>
      <c r="X49" s="137" t="str">
        <f t="shared" ref="X49:Y49" si="180">(T49*K49)+(0.5*$H49)-$I49</f>
        <v>#REF!</v>
      </c>
      <c r="Y49" s="137" t="str">
        <f t="shared" si="180"/>
        <v>#REF!</v>
      </c>
      <c r="Z49" s="142">
        <f t="shared" si="15"/>
        <v>12.74202935</v>
      </c>
      <c r="AA49" s="142">
        <f t="shared" si="16"/>
        <v>12.5325122</v>
      </c>
      <c r="AB49" s="142">
        <f t="shared" ref="AB49:AC49" si="181">($H$2+((1-$H$2)/(1+50*(K49/$H49)^2)))*$J49</f>
        <v>26.50263158</v>
      </c>
      <c r="AC49" s="142">
        <f t="shared" si="181"/>
        <v>26.50263158</v>
      </c>
      <c r="AD49" s="142" t="str">
        <f t="shared" si="18"/>
        <v>#REF!</v>
      </c>
      <c r="AE49" s="142" t="str">
        <f t="shared" si="19"/>
        <v>#REF!</v>
      </c>
      <c r="AF49" s="143" t="str">
        <f t="shared" si="20"/>
        <v>#REF!</v>
      </c>
      <c r="AG49" s="154" t="str">
        <f t="shared" si="21"/>
        <v>#REF!</v>
      </c>
      <c r="AH49" s="145" t="str">
        <f t="shared" si="22"/>
        <v>#REF!</v>
      </c>
      <c r="AI49" s="146" t="str">
        <f t="shared" si="23"/>
        <v>#REF!</v>
      </c>
      <c r="AJ49" s="147" t="str">
        <f t="shared" si="24"/>
        <v>#REF!</v>
      </c>
      <c r="AK49" s="155"/>
      <c r="AL49" s="155"/>
      <c r="AM49" s="155"/>
      <c r="AN49" s="155"/>
      <c r="AO49" s="147">
        <f t="shared" si="25"/>
        <v>0</v>
      </c>
      <c r="AP49" s="147">
        <f t="shared" si="26"/>
        <v>0</v>
      </c>
      <c r="AQ49" s="150"/>
      <c r="AR49" s="8"/>
      <c r="AS49" s="91"/>
      <c r="AT49" s="8"/>
      <c r="AU49" s="8"/>
      <c r="AV49" s="8"/>
      <c r="AW49" s="8"/>
      <c r="AX49" s="8"/>
    </row>
    <row r="50" ht="19.5" customHeight="1">
      <c r="A50" s="151" t="str">
        <f>Locsolieu!A45</f>
        <v>177</v>
      </c>
      <c r="B50" s="152">
        <f>Locsolieu!C45</f>
        <v>12.6207</v>
      </c>
      <c r="C50" s="132">
        <f>Locsolieu!D45*$C$4</f>
        <v>0.09671</v>
      </c>
      <c r="D50" s="133">
        <f>Locsolieu!E45*$C$4</f>
        <v>0.10215</v>
      </c>
      <c r="E50" s="153">
        <f>Locsolieu!F45</f>
        <v>12.2247</v>
      </c>
      <c r="F50" s="135">
        <v>510.0</v>
      </c>
      <c r="G50" s="136">
        <v>20.0</v>
      </c>
      <c r="H50" s="136">
        <v>30.0</v>
      </c>
      <c r="I50" s="136">
        <v>3.0</v>
      </c>
      <c r="J50" s="136">
        <f t="shared" si="31"/>
        <v>27</v>
      </c>
      <c r="K50" s="137">
        <f t="shared" si="5"/>
        <v>1</v>
      </c>
      <c r="L50" s="137">
        <f t="shared" si="6"/>
        <v>1</v>
      </c>
      <c r="M50" s="138" t="str">
        <f t="shared" si="32"/>
        <v>#REF!</v>
      </c>
      <c r="N50" s="138" t="str">
        <f t="shared" si="33"/>
        <v>#REF!</v>
      </c>
      <c r="O50" s="139">
        <f t="shared" si="7"/>
        <v>45000</v>
      </c>
      <c r="P50" s="140">
        <f t="shared" ref="P50:Q50" si="182">0.1+0.11/(0.1+MAX((K50/$H50),(0.5-(0.01*(0.7*$F50/$H50))-0.01*$E$2)))</f>
        <v>0.3777777778</v>
      </c>
      <c r="Q50" s="140">
        <f t="shared" si="182"/>
        <v>0.3777777778</v>
      </c>
      <c r="R50" s="139" t="str">
        <f t="shared" si="9"/>
        <v>#REF!</v>
      </c>
      <c r="S50" s="139" t="str">
        <f t="shared" si="10"/>
        <v>#REF!</v>
      </c>
      <c r="T50" s="141" t="str">
        <f t="shared" si="11"/>
        <v>#REF!</v>
      </c>
      <c r="U50" s="141" t="str">
        <f t="shared" si="12"/>
        <v>#REF!</v>
      </c>
      <c r="V50" s="142" t="str">
        <f t="shared" ref="V50:W50" si="183">IF(T50*K50&gt;=((0.5*$H50)-$I50),((T50*K50)-(0.5*$H50)+$I50),(0.5*$H50)-(T50*K50)-$I50)</f>
        <v>#REF!</v>
      </c>
      <c r="W50" s="142" t="str">
        <f t="shared" si="183"/>
        <v>#REF!</v>
      </c>
      <c r="X50" s="137" t="str">
        <f t="shared" ref="X50:Y50" si="184">(T50*K50)+(0.5*$H50)-$I50</f>
        <v>#REF!</v>
      </c>
      <c r="Y50" s="137" t="str">
        <f t="shared" si="184"/>
        <v>#REF!</v>
      </c>
      <c r="Z50" s="142">
        <f t="shared" si="15"/>
        <v>8.903209422</v>
      </c>
      <c r="AA50" s="142">
        <f t="shared" si="16"/>
        <v>8.623853211</v>
      </c>
      <c r="AB50" s="142">
        <f t="shared" ref="AB50:AC50" si="185">($H$2+((1-$H$2)/(1+50*(K50/$H50)^2)))*$J50</f>
        <v>26.50263158</v>
      </c>
      <c r="AC50" s="142">
        <f t="shared" si="185"/>
        <v>26.50263158</v>
      </c>
      <c r="AD50" s="142" t="str">
        <f t="shared" si="18"/>
        <v>#REF!</v>
      </c>
      <c r="AE50" s="142" t="str">
        <f t="shared" si="19"/>
        <v>#REF!</v>
      </c>
      <c r="AF50" s="143" t="str">
        <f t="shared" si="20"/>
        <v>#REF!</v>
      </c>
      <c r="AG50" s="154" t="str">
        <f t="shared" si="21"/>
        <v>#REF!</v>
      </c>
      <c r="AH50" s="145" t="str">
        <f t="shared" si="22"/>
        <v>#REF!</v>
      </c>
      <c r="AI50" s="146" t="str">
        <f t="shared" si="23"/>
        <v>#REF!</v>
      </c>
      <c r="AJ50" s="147" t="str">
        <f t="shared" si="24"/>
        <v>#REF!</v>
      </c>
      <c r="AK50" s="155"/>
      <c r="AL50" s="155"/>
      <c r="AM50" s="155"/>
      <c r="AN50" s="155"/>
      <c r="AO50" s="147">
        <f t="shared" si="25"/>
        <v>0</v>
      </c>
      <c r="AP50" s="147">
        <f t="shared" si="26"/>
        <v>0</v>
      </c>
      <c r="AQ50" s="150"/>
      <c r="AR50" s="8"/>
      <c r="AS50" s="91"/>
      <c r="AT50" s="8"/>
      <c r="AU50" s="8"/>
      <c r="AV50" s="8"/>
      <c r="AW50" s="8"/>
      <c r="AX50" s="8"/>
    </row>
    <row r="51" ht="19.5" customHeight="1">
      <c r="A51" s="151" t="str">
        <f>Locsolieu!A46</f>
        <v>178</v>
      </c>
      <c r="B51" s="152">
        <f>Locsolieu!C46</f>
        <v>6.9281</v>
      </c>
      <c r="C51" s="132">
        <f>Locsolieu!D46*$C$4</f>
        <v>0.03646</v>
      </c>
      <c r="D51" s="133">
        <f>Locsolieu!E46*$C$4</f>
        <v>0.05942</v>
      </c>
      <c r="E51" s="153">
        <f>Locsolieu!F46</f>
        <v>6.5321</v>
      </c>
      <c r="F51" s="135">
        <v>510.0</v>
      </c>
      <c r="G51" s="136">
        <v>20.0</v>
      </c>
      <c r="H51" s="136">
        <v>30.0</v>
      </c>
      <c r="I51" s="136">
        <v>3.0</v>
      </c>
      <c r="J51" s="136">
        <f t="shared" si="31"/>
        <v>27</v>
      </c>
      <c r="K51" s="137">
        <f t="shared" si="5"/>
        <v>1</v>
      </c>
      <c r="L51" s="137">
        <f t="shared" si="6"/>
        <v>1</v>
      </c>
      <c r="M51" s="138" t="str">
        <f t="shared" si="32"/>
        <v>#REF!</v>
      </c>
      <c r="N51" s="138" t="str">
        <f t="shared" si="33"/>
        <v>#REF!</v>
      </c>
      <c r="O51" s="139">
        <f t="shared" si="7"/>
        <v>45000</v>
      </c>
      <c r="P51" s="140">
        <f t="shared" ref="P51:Q51" si="186">0.1+0.11/(0.1+MAX((K51/$H51),(0.5-(0.01*(0.7*$F51/$H51))-0.01*$E$2)))</f>
        <v>0.3777777778</v>
      </c>
      <c r="Q51" s="140">
        <f t="shared" si="186"/>
        <v>0.3777777778</v>
      </c>
      <c r="R51" s="139" t="str">
        <f t="shared" si="9"/>
        <v>#REF!</v>
      </c>
      <c r="S51" s="139" t="str">
        <f t="shared" si="10"/>
        <v>#REF!</v>
      </c>
      <c r="T51" s="141" t="str">
        <f t="shared" si="11"/>
        <v>#REF!</v>
      </c>
      <c r="U51" s="141" t="str">
        <f t="shared" si="12"/>
        <v>#REF!</v>
      </c>
      <c r="V51" s="142" t="str">
        <f t="shared" ref="V51:W51" si="187">IF(T51*K51&gt;=((0.5*$H51)-$I51),((T51*K51)-(0.5*$H51)+$I51),(0.5*$H51)-(T51*K51)-$I51)</f>
        <v>#REF!</v>
      </c>
      <c r="W51" s="142" t="str">
        <f t="shared" si="187"/>
        <v>#REF!</v>
      </c>
      <c r="X51" s="137" t="str">
        <f t="shared" ref="X51:Y51" si="188">(T51*K51)+(0.5*$H51)-$I51</f>
        <v>#REF!</v>
      </c>
      <c r="Y51" s="137" t="str">
        <f t="shared" si="188"/>
        <v>#REF!</v>
      </c>
      <c r="Z51" s="142">
        <f t="shared" si="15"/>
        <v>4.887393346</v>
      </c>
      <c r="AA51" s="142">
        <f t="shared" si="16"/>
        <v>4.608037135</v>
      </c>
      <c r="AB51" s="142">
        <f t="shared" ref="AB51:AC51" si="189">($H$2+((1-$H$2)/(1+50*(K51/$H51)^2)))*$J51</f>
        <v>26.50263158</v>
      </c>
      <c r="AC51" s="142">
        <f t="shared" si="189"/>
        <v>26.50263158</v>
      </c>
      <c r="AD51" s="142" t="str">
        <f t="shared" si="18"/>
        <v>#REF!</v>
      </c>
      <c r="AE51" s="142" t="str">
        <f t="shared" si="19"/>
        <v>#REF!</v>
      </c>
      <c r="AF51" s="143" t="str">
        <f t="shared" si="20"/>
        <v>#REF!</v>
      </c>
      <c r="AG51" s="154" t="str">
        <f t="shared" si="21"/>
        <v>#REF!</v>
      </c>
      <c r="AH51" s="145" t="str">
        <f t="shared" si="22"/>
        <v>#REF!</v>
      </c>
      <c r="AI51" s="146" t="str">
        <f t="shared" si="23"/>
        <v>#REF!</v>
      </c>
      <c r="AJ51" s="147" t="str">
        <f t="shared" si="24"/>
        <v>#REF!</v>
      </c>
      <c r="AK51" s="155"/>
      <c r="AL51" s="155"/>
      <c r="AM51" s="155"/>
      <c r="AN51" s="155"/>
      <c r="AO51" s="147">
        <f t="shared" si="25"/>
        <v>0</v>
      </c>
      <c r="AP51" s="147">
        <f t="shared" si="26"/>
        <v>0</v>
      </c>
      <c r="AQ51" s="150"/>
      <c r="AR51" s="8"/>
      <c r="AS51" s="91"/>
      <c r="AT51" s="8"/>
      <c r="AU51" s="8"/>
      <c r="AV51" s="8"/>
      <c r="AW51" s="8"/>
      <c r="AX51" s="8"/>
    </row>
    <row r="52" ht="19.5" customHeight="1">
      <c r="A52" s="151" t="str">
        <f>Locsolieu!A47</f>
        <v>179</v>
      </c>
      <c r="B52" s="152">
        <f>Locsolieu!C47</f>
        <v>13.3998</v>
      </c>
      <c r="C52" s="132">
        <f>Locsolieu!D47*$C$4</f>
        <v>0.01793</v>
      </c>
      <c r="D52" s="133">
        <f>Locsolieu!E47*$C$4</f>
        <v>0.0368</v>
      </c>
      <c r="E52" s="153">
        <f>Locsolieu!F47</f>
        <v>13.1028</v>
      </c>
      <c r="F52" s="135">
        <v>510.0</v>
      </c>
      <c r="G52" s="136">
        <v>20.0</v>
      </c>
      <c r="H52" s="136">
        <v>30.0</v>
      </c>
      <c r="I52" s="136">
        <v>3.0</v>
      </c>
      <c r="J52" s="136">
        <f t="shared" si="31"/>
        <v>27</v>
      </c>
      <c r="K52" s="137">
        <f t="shared" si="5"/>
        <v>1</v>
      </c>
      <c r="L52" s="137">
        <f t="shared" si="6"/>
        <v>1</v>
      </c>
      <c r="M52" s="138" t="str">
        <f t="shared" si="32"/>
        <v>#REF!</v>
      </c>
      <c r="N52" s="138" t="str">
        <f t="shared" si="33"/>
        <v>#REF!</v>
      </c>
      <c r="O52" s="139">
        <f t="shared" si="7"/>
        <v>45000</v>
      </c>
      <c r="P52" s="140">
        <f t="shared" ref="P52:Q52" si="190">0.1+0.11/(0.1+MAX((K52/$H52),(0.5-(0.01*(0.7*$F52/$H52))-0.01*$E$2)))</f>
        <v>0.3777777778</v>
      </c>
      <c r="Q52" s="140">
        <f t="shared" si="190"/>
        <v>0.3777777778</v>
      </c>
      <c r="R52" s="139" t="str">
        <f t="shared" si="9"/>
        <v>#REF!</v>
      </c>
      <c r="S52" s="139" t="str">
        <f t="shared" si="10"/>
        <v>#REF!</v>
      </c>
      <c r="T52" s="141" t="str">
        <f t="shared" si="11"/>
        <v>#REF!</v>
      </c>
      <c r="U52" s="141" t="str">
        <f t="shared" si="12"/>
        <v>#REF!</v>
      </c>
      <c r="V52" s="142" t="str">
        <f t="shared" ref="V52:W52" si="191">IF(T52*K52&gt;=((0.5*$H52)-$I52),((T52*K52)-(0.5*$H52)+$I52),(0.5*$H52)-(T52*K52)-$I52)</f>
        <v>#REF!</v>
      </c>
      <c r="W52" s="142" t="str">
        <f t="shared" si="191"/>
        <v>#REF!</v>
      </c>
      <c r="X52" s="137" t="str">
        <f t="shared" ref="X52:Y52" si="192">(T52*K52)+(0.5*$H52)-$I52</f>
        <v>#REF!</v>
      </c>
      <c r="Y52" s="137" t="str">
        <f t="shared" si="192"/>
        <v>#REF!</v>
      </c>
      <c r="Z52" s="142">
        <f t="shared" si="15"/>
        <v>9.452821604</v>
      </c>
      <c r="AA52" s="142">
        <f t="shared" si="16"/>
        <v>9.243304445</v>
      </c>
      <c r="AB52" s="142">
        <f t="shared" ref="AB52:AC52" si="193">($H$2+((1-$H$2)/(1+50*(K52/$H52)^2)))*$J52</f>
        <v>26.50263158</v>
      </c>
      <c r="AC52" s="142">
        <f t="shared" si="193"/>
        <v>26.50263158</v>
      </c>
      <c r="AD52" s="142" t="str">
        <f t="shared" si="18"/>
        <v>#REF!</v>
      </c>
      <c r="AE52" s="142" t="str">
        <f t="shared" si="19"/>
        <v>#REF!</v>
      </c>
      <c r="AF52" s="143" t="str">
        <f t="shared" si="20"/>
        <v>#REF!</v>
      </c>
      <c r="AG52" s="154" t="str">
        <f t="shared" si="21"/>
        <v>#REF!</v>
      </c>
      <c r="AH52" s="145" t="str">
        <f t="shared" si="22"/>
        <v>#REF!</v>
      </c>
      <c r="AI52" s="146" t="str">
        <f t="shared" si="23"/>
        <v>#REF!</v>
      </c>
      <c r="AJ52" s="147" t="str">
        <f t="shared" si="24"/>
        <v>#REF!</v>
      </c>
      <c r="AK52" s="155"/>
      <c r="AL52" s="155"/>
      <c r="AM52" s="155"/>
      <c r="AN52" s="155"/>
      <c r="AO52" s="147">
        <f t="shared" si="25"/>
        <v>0</v>
      </c>
      <c r="AP52" s="147">
        <f t="shared" si="26"/>
        <v>0</v>
      </c>
      <c r="AQ52" s="150"/>
      <c r="AR52" s="8"/>
      <c r="AS52" s="91"/>
      <c r="AT52" s="8"/>
      <c r="AU52" s="8"/>
      <c r="AV52" s="8"/>
      <c r="AW52" s="8"/>
      <c r="AX52" s="8"/>
    </row>
    <row r="53" ht="19.5" customHeight="1">
      <c r="A53" s="151" t="str">
        <f>Locsolieu!A48</f>
        <v>180</v>
      </c>
      <c r="B53" s="152">
        <f>Locsolieu!C48</f>
        <v>8.484</v>
      </c>
      <c r="C53" s="132">
        <f>Locsolieu!D48*$C$4</f>
        <v>0.03318</v>
      </c>
      <c r="D53" s="133">
        <f>Locsolieu!E48*$C$4</f>
        <v>0.03318</v>
      </c>
      <c r="E53" s="153">
        <f>Locsolieu!F48</f>
        <v>8.484</v>
      </c>
      <c r="F53" s="135">
        <v>510.0</v>
      </c>
      <c r="G53" s="136">
        <v>20.0</v>
      </c>
      <c r="H53" s="136">
        <v>30.0</v>
      </c>
      <c r="I53" s="136">
        <v>3.0</v>
      </c>
      <c r="J53" s="136">
        <f t="shared" si="31"/>
        <v>27</v>
      </c>
      <c r="K53" s="137">
        <f t="shared" si="5"/>
        <v>1</v>
      </c>
      <c r="L53" s="137">
        <f t="shared" si="6"/>
        <v>1</v>
      </c>
      <c r="M53" s="138" t="str">
        <f t="shared" si="32"/>
        <v>#REF!</v>
      </c>
      <c r="N53" s="138" t="str">
        <f t="shared" si="33"/>
        <v>#REF!</v>
      </c>
      <c r="O53" s="139">
        <f t="shared" si="7"/>
        <v>45000</v>
      </c>
      <c r="P53" s="140">
        <f t="shared" ref="P53:Q53" si="194">0.1+0.11/(0.1+MAX((K53/$H53),(0.5-(0.01*(0.7*$F53/$H53))-0.01*$E$2)))</f>
        <v>0.3777777778</v>
      </c>
      <c r="Q53" s="140">
        <f t="shared" si="194"/>
        <v>0.3777777778</v>
      </c>
      <c r="R53" s="139" t="str">
        <f t="shared" si="9"/>
        <v>#REF!</v>
      </c>
      <c r="S53" s="139" t="str">
        <f t="shared" si="10"/>
        <v>#REF!</v>
      </c>
      <c r="T53" s="141" t="str">
        <f t="shared" si="11"/>
        <v>#REF!</v>
      </c>
      <c r="U53" s="141" t="str">
        <f t="shared" si="12"/>
        <v>#REF!</v>
      </c>
      <c r="V53" s="142" t="str">
        <f t="shared" ref="V53:W53" si="195">IF(T53*K53&gt;=((0.5*$H53)-$I53),((T53*K53)-(0.5*$H53)+$I53),(0.5*$H53)-(T53*K53)-$I53)</f>
        <v>#REF!</v>
      </c>
      <c r="W53" s="142" t="str">
        <f t="shared" si="195"/>
        <v>#REF!</v>
      </c>
      <c r="X53" s="137" t="str">
        <f t="shared" ref="X53:Y53" si="196">(T53*K53)+(0.5*$H53)-$I53</f>
        <v>#REF!</v>
      </c>
      <c r="Y53" s="137" t="str">
        <f t="shared" si="196"/>
        <v>#REF!</v>
      </c>
      <c r="Z53" s="142">
        <f t="shared" si="15"/>
        <v>5.984995185</v>
      </c>
      <c r="AA53" s="142">
        <f t="shared" si="16"/>
        <v>5.984995185</v>
      </c>
      <c r="AB53" s="142">
        <f t="shared" ref="AB53:AC53" si="197">($H$2+((1-$H$2)/(1+50*(K53/$H53)^2)))*$J53</f>
        <v>26.50263158</v>
      </c>
      <c r="AC53" s="142">
        <f t="shared" si="197"/>
        <v>26.50263158</v>
      </c>
      <c r="AD53" s="142" t="str">
        <f t="shared" si="18"/>
        <v>#REF!</v>
      </c>
      <c r="AE53" s="142" t="str">
        <f t="shared" si="19"/>
        <v>#REF!</v>
      </c>
      <c r="AF53" s="143" t="str">
        <f t="shared" si="20"/>
        <v>#REF!</v>
      </c>
      <c r="AG53" s="154" t="str">
        <f t="shared" si="21"/>
        <v>#REF!</v>
      </c>
      <c r="AH53" s="145" t="str">
        <f t="shared" si="22"/>
        <v>#REF!</v>
      </c>
      <c r="AI53" s="146" t="str">
        <f t="shared" si="23"/>
        <v>#REF!</v>
      </c>
      <c r="AJ53" s="147" t="str">
        <f t="shared" si="24"/>
        <v>#REF!</v>
      </c>
      <c r="AK53" s="155"/>
      <c r="AL53" s="155"/>
      <c r="AM53" s="155"/>
      <c r="AN53" s="155"/>
      <c r="AO53" s="147">
        <f t="shared" si="25"/>
        <v>0</v>
      </c>
      <c r="AP53" s="147">
        <f t="shared" si="26"/>
        <v>0</v>
      </c>
      <c r="AQ53" s="150"/>
      <c r="AR53" s="8"/>
      <c r="AS53" s="91"/>
      <c r="AT53" s="8"/>
      <c r="AU53" s="8"/>
      <c r="AV53" s="8"/>
      <c r="AW53" s="8"/>
      <c r="AX53" s="8"/>
    </row>
    <row r="54" ht="19.5" customHeight="1">
      <c r="A54" s="151" t="str">
        <f>Locsolieu!A49</f>
        <v>181</v>
      </c>
      <c r="B54" s="152">
        <f>Locsolieu!C49</f>
        <v>3.1421</v>
      </c>
      <c r="C54" s="132">
        <f>Locsolieu!D49*$C$4</f>
        <v>0.09385</v>
      </c>
      <c r="D54" s="133">
        <f>Locsolieu!E49*$C$4</f>
        <v>0.09982</v>
      </c>
      <c r="E54" s="153">
        <f>Locsolieu!F49</f>
        <v>2.7461</v>
      </c>
      <c r="F54" s="135">
        <v>510.0</v>
      </c>
      <c r="G54" s="136">
        <v>20.0</v>
      </c>
      <c r="H54" s="136">
        <v>30.0</v>
      </c>
      <c r="I54" s="136">
        <v>3.0</v>
      </c>
      <c r="J54" s="136">
        <f t="shared" si="31"/>
        <v>27</v>
      </c>
      <c r="K54" s="137">
        <f t="shared" si="5"/>
        <v>2.986855924</v>
      </c>
      <c r="L54" s="137">
        <f t="shared" si="6"/>
        <v>3.634973235</v>
      </c>
      <c r="M54" s="138" t="str">
        <f t="shared" si="32"/>
        <v>#REF!</v>
      </c>
      <c r="N54" s="138" t="str">
        <f t="shared" si="33"/>
        <v>#REF!</v>
      </c>
      <c r="O54" s="139">
        <f t="shared" si="7"/>
        <v>45000</v>
      </c>
      <c r="P54" s="140">
        <f t="shared" ref="P54:Q54" si="198">0.1+0.11/(0.1+MAX((K54/$H54),(0.5-(0.01*(0.7*$F54/$H54))-0.01*$E$2)))</f>
        <v>0.3777777778</v>
      </c>
      <c r="Q54" s="140">
        <f t="shared" si="198"/>
        <v>0.3777777778</v>
      </c>
      <c r="R54" s="139" t="str">
        <f t="shared" si="9"/>
        <v>#REF!</v>
      </c>
      <c r="S54" s="139" t="str">
        <f t="shared" si="10"/>
        <v>#REF!</v>
      </c>
      <c r="T54" s="141" t="str">
        <f t="shared" si="11"/>
        <v>#REF!</v>
      </c>
      <c r="U54" s="141" t="str">
        <f t="shared" si="12"/>
        <v>#REF!</v>
      </c>
      <c r="V54" s="142" t="str">
        <f t="shared" ref="V54:W54" si="199">IF(T54*K54&gt;=((0.5*$H54)-$I54),((T54*K54)-(0.5*$H54)+$I54),(0.5*$H54)-(T54*K54)-$I54)</f>
        <v>#REF!</v>
      </c>
      <c r="W54" s="142" t="str">
        <f t="shared" si="199"/>
        <v>#REF!</v>
      </c>
      <c r="X54" s="137" t="str">
        <f t="shared" ref="X54:Y54" si="200">(T54*K54)+(0.5*$H54)-$I54</f>
        <v>#REF!</v>
      </c>
      <c r="Y54" s="137" t="str">
        <f t="shared" si="200"/>
        <v>#REF!</v>
      </c>
      <c r="Z54" s="142">
        <f t="shared" si="15"/>
        <v>2.216578662</v>
      </c>
      <c r="AA54" s="142">
        <f t="shared" si="16"/>
        <v>1.937222451</v>
      </c>
      <c r="AB54" s="142">
        <f t="shared" ref="AB54:AC54" si="201">($H$2+((1-$H$2)/(1+50*(K54/$H54)^2)))*$J54</f>
        <v>23.86841506</v>
      </c>
      <c r="AC54" s="142">
        <f t="shared" si="201"/>
        <v>22.99964708</v>
      </c>
      <c r="AD54" s="142" t="str">
        <f t="shared" si="18"/>
        <v>#REF!</v>
      </c>
      <c r="AE54" s="142" t="str">
        <f t="shared" si="19"/>
        <v>#REF!</v>
      </c>
      <c r="AF54" s="143" t="str">
        <f t="shared" si="20"/>
        <v>#REF!</v>
      </c>
      <c r="AG54" s="154" t="str">
        <f t="shared" si="21"/>
        <v>#REF!</v>
      </c>
      <c r="AH54" s="145" t="str">
        <f t="shared" si="22"/>
        <v>#REF!</v>
      </c>
      <c r="AI54" s="146" t="str">
        <f t="shared" si="23"/>
        <v>#REF!</v>
      </c>
      <c r="AJ54" s="147" t="str">
        <f t="shared" si="24"/>
        <v>#REF!</v>
      </c>
      <c r="AK54" s="155"/>
      <c r="AL54" s="155"/>
      <c r="AM54" s="155"/>
      <c r="AN54" s="155"/>
      <c r="AO54" s="147">
        <f t="shared" si="25"/>
        <v>0</v>
      </c>
      <c r="AP54" s="147">
        <f t="shared" si="26"/>
        <v>0</v>
      </c>
      <c r="AQ54" s="150"/>
      <c r="AR54" s="8"/>
      <c r="AS54" s="91"/>
      <c r="AT54" s="8"/>
      <c r="AU54" s="8"/>
      <c r="AV54" s="8"/>
      <c r="AW54" s="8"/>
      <c r="AX54" s="8"/>
    </row>
    <row r="55" ht="19.5" customHeight="1">
      <c r="A55" s="151" t="str">
        <f>Locsolieu!A50</f>
        <v>182</v>
      </c>
      <c r="B55" s="152">
        <f>Locsolieu!C50</f>
        <v>12.6124</v>
      </c>
      <c r="C55" s="132">
        <f>Locsolieu!D50*$C$4</f>
        <v>0.01841</v>
      </c>
      <c r="D55" s="133">
        <f>Locsolieu!E50*$C$4</f>
        <v>0.03741</v>
      </c>
      <c r="E55" s="153">
        <f>Locsolieu!F50</f>
        <v>12.3154</v>
      </c>
      <c r="F55" s="135">
        <v>510.0</v>
      </c>
      <c r="G55" s="136">
        <v>20.0</v>
      </c>
      <c r="H55" s="136">
        <v>30.0</v>
      </c>
      <c r="I55" s="136">
        <v>3.0</v>
      </c>
      <c r="J55" s="136">
        <f t="shared" si="31"/>
        <v>27</v>
      </c>
      <c r="K55" s="137">
        <f t="shared" si="5"/>
        <v>1</v>
      </c>
      <c r="L55" s="137">
        <f t="shared" si="6"/>
        <v>1</v>
      </c>
      <c r="M55" s="138" t="str">
        <f t="shared" si="32"/>
        <v>#REF!</v>
      </c>
      <c r="N55" s="138" t="str">
        <f t="shared" si="33"/>
        <v>#REF!</v>
      </c>
      <c r="O55" s="139">
        <f t="shared" si="7"/>
        <v>45000</v>
      </c>
      <c r="P55" s="140">
        <f t="shared" ref="P55:Q55" si="202">0.1+0.11/(0.1+MAX((K55/$H55),(0.5-(0.01*(0.7*$F55/$H55))-0.01*$E$2)))</f>
        <v>0.3777777778</v>
      </c>
      <c r="Q55" s="140">
        <f t="shared" si="202"/>
        <v>0.3777777778</v>
      </c>
      <c r="R55" s="139" t="str">
        <f t="shared" si="9"/>
        <v>#REF!</v>
      </c>
      <c r="S55" s="139" t="str">
        <f t="shared" si="10"/>
        <v>#REF!</v>
      </c>
      <c r="T55" s="141" t="str">
        <f t="shared" si="11"/>
        <v>#REF!</v>
      </c>
      <c r="U55" s="141" t="str">
        <f t="shared" si="12"/>
        <v>#REF!</v>
      </c>
      <c r="V55" s="142" t="str">
        <f t="shared" ref="V55:W55" si="203">IF(T55*K55&gt;=((0.5*$H55)-$I55),((T55*K55)-(0.5*$H55)+$I55),(0.5*$H55)-(T55*K55)-$I55)</f>
        <v>#REF!</v>
      </c>
      <c r="W55" s="142" t="str">
        <f t="shared" si="203"/>
        <v>#REF!</v>
      </c>
      <c r="X55" s="137" t="str">
        <f t="shared" ref="X55:Y55" si="204">(T55*K55)+(0.5*$H55)-$I55</f>
        <v>#REF!</v>
      </c>
      <c r="Y55" s="137" t="str">
        <f t="shared" si="204"/>
        <v>#REF!</v>
      </c>
      <c r="Z55" s="142">
        <f t="shared" si="15"/>
        <v>8.897354229</v>
      </c>
      <c r="AA55" s="142">
        <f t="shared" si="16"/>
        <v>8.68783707</v>
      </c>
      <c r="AB55" s="142">
        <f t="shared" ref="AB55:AC55" si="205">($H$2+((1-$H$2)/(1+50*(K55/$H55)^2)))*$J55</f>
        <v>26.50263158</v>
      </c>
      <c r="AC55" s="142">
        <f t="shared" si="205"/>
        <v>26.50263158</v>
      </c>
      <c r="AD55" s="142" t="str">
        <f t="shared" si="18"/>
        <v>#REF!</v>
      </c>
      <c r="AE55" s="142" t="str">
        <f t="shared" si="19"/>
        <v>#REF!</v>
      </c>
      <c r="AF55" s="143" t="str">
        <f t="shared" si="20"/>
        <v>#REF!</v>
      </c>
      <c r="AG55" s="154" t="str">
        <f t="shared" si="21"/>
        <v>#REF!</v>
      </c>
      <c r="AH55" s="145" t="str">
        <f t="shared" si="22"/>
        <v>#REF!</v>
      </c>
      <c r="AI55" s="146" t="str">
        <f t="shared" si="23"/>
        <v>#REF!</v>
      </c>
      <c r="AJ55" s="147" t="str">
        <f t="shared" si="24"/>
        <v>#REF!</v>
      </c>
      <c r="AK55" s="155"/>
      <c r="AL55" s="155"/>
      <c r="AM55" s="155"/>
      <c r="AN55" s="155"/>
      <c r="AO55" s="147">
        <f t="shared" si="25"/>
        <v>0</v>
      </c>
      <c r="AP55" s="147">
        <f t="shared" si="26"/>
        <v>0</v>
      </c>
      <c r="AQ55" s="150"/>
      <c r="AR55" s="8"/>
      <c r="AS55" s="91"/>
      <c r="AT55" s="8"/>
      <c r="AU55" s="8"/>
      <c r="AV55" s="8"/>
      <c r="AW55" s="8"/>
      <c r="AX55" s="8"/>
    </row>
    <row r="56" ht="19.5" customHeight="1">
      <c r="A56" s="151" t="str">
        <f>Locsolieu!A51</f>
        <v>183</v>
      </c>
      <c r="B56" s="152">
        <f>Locsolieu!C51</f>
        <v>8.8593</v>
      </c>
      <c r="C56" s="132">
        <f>Locsolieu!D51*$C$4</f>
        <v>0.04065</v>
      </c>
      <c r="D56" s="133">
        <f>Locsolieu!E51*$C$4</f>
        <v>0.04065</v>
      </c>
      <c r="E56" s="153">
        <f>Locsolieu!F51</f>
        <v>8.8593</v>
      </c>
      <c r="F56" s="135">
        <v>510.0</v>
      </c>
      <c r="G56" s="136">
        <v>20.0</v>
      </c>
      <c r="H56" s="136">
        <v>30.0</v>
      </c>
      <c r="I56" s="136">
        <v>3.0</v>
      </c>
      <c r="J56" s="136">
        <f t="shared" si="31"/>
        <v>27</v>
      </c>
      <c r="K56" s="137">
        <f t="shared" si="5"/>
        <v>1</v>
      </c>
      <c r="L56" s="137">
        <f t="shared" si="6"/>
        <v>1</v>
      </c>
      <c r="M56" s="138" t="str">
        <f t="shared" si="32"/>
        <v>#REF!</v>
      </c>
      <c r="N56" s="138" t="str">
        <f t="shared" si="33"/>
        <v>#REF!</v>
      </c>
      <c r="O56" s="139">
        <f t="shared" si="7"/>
        <v>45000</v>
      </c>
      <c r="P56" s="140">
        <f t="shared" ref="P56:Q56" si="206">0.1+0.11/(0.1+MAX((K56/$H56),(0.5-(0.01*(0.7*$F56/$H56))-0.01*$E$2)))</f>
        <v>0.3777777778</v>
      </c>
      <c r="Q56" s="140">
        <f t="shared" si="206"/>
        <v>0.3777777778</v>
      </c>
      <c r="R56" s="139" t="str">
        <f t="shared" si="9"/>
        <v>#REF!</v>
      </c>
      <c r="S56" s="139" t="str">
        <f t="shared" si="10"/>
        <v>#REF!</v>
      </c>
      <c r="T56" s="141" t="str">
        <f t="shared" si="11"/>
        <v>#REF!</v>
      </c>
      <c r="U56" s="141" t="str">
        <f t="shared" si="12"/>
        <v>#REF!</v>
      </c>
      <c r="V56" s="142" t="str">
        <f t="shared" ref="V56:W56" si="207">IF(T56*K56&gt;=((0.5*$H56)-$I56),((T56*K56)-(0.5*$H56)+$I56),(0.5*$H56)-(T56*K56)-$I56)</f>
        <v>#REF!</v>
      </c>
      <c r="W56" s="142" t="str">
        <f t="shared" si="207"/>
        <v>#REF!</v>
      </c>
      <c r="X56" s="137" t="str">
        <f t="shared" ref="X56:Y56" si="208">(T56*K56)+(0.5*$H56)-$I56</f>
        <v>#REF!</v>
      </c>
      <c r="Y56" s="137" t="str">
        <f t="shared" si="208"/>
        <v>#REF!</v>
      </c>
      <c r="Z56" s="142">
        <f t="shared" si="15"/>
        <v>6.249748685</v>
      </c>
      <c r="AA56" s="142">
        <f t="shared" si="16"/>
        <v>6.249748685</v>
      </c>
      <c r="AB56" s="142">
        <f t="shared" ref="AB56:AC56" si="209">($H$2+((1-$H$2)/(1+50*(K56/$H56)^2)))*$J56</f>
        <v>26.50263158</v>
      </c>
      <c r="AC56" s="142">
        <f t="shared" si="209"/>
        <v>26.50263158</v>
      </c>
      <c r="AD56" s="142" t="str">
        <f t="shared" si="18"/>
        <v>#REF!</v>
      </c>
      <c r="AE56" s="142" t="str">
        <f t="shared" si="19"/>
        <v>#REF!</v>
      </c>
      <c r="AF56" s="143" t="str">
        <f t="shared" si="20"/>
        <v>#REF!</v>
      </c>
      <c r="AG56" s="154" t="str">
        <f t="shared" si="21"/>
        <v>#REF!</v>
      </c>
      <c r="AH56" s="145" t="str">
        <f t="shared" si="22"/>
        <v>#REF!</v>
      </c>
      <c r="AI56" s="146" t="str">
        <f t="shared" si="23"/>
        <v>#REF!</v>
      </c>
      <c r="AJ56" s="147" t="str">
        <f t="shared" si="24"/>
        <v>#REF!</v>
      </c>
      <c r="AK56" s="155"/>
      <c r="AL56" s="155"/>
      <c r="AM56" s="155"/>
      <c r="AN56" s="155"/>
      <c r="AO56" s="147">
        <f t="shared" si="25"/>
        <v>0</v>
      </c>
      <c r="AP56" s="147">
        <f t="shared" si="26"/>
        <v>0</v>
      </c>
      <c r="AQ56" s="150"/>
      <c r="AR56" s="8"/>
      <c r="AS56" s="91"/>
      <c r="AT56" s="8"/>
      <c r="AU56" s="8"/>
      <c r="AV56" s="8"/>
      <c r="AW56" s="8"/>
      <c r="AX56" s="8"/>
    </row>
    <row r="57" ht="19.5" customHeight="1">
      <c r="A57" s="151" t="str">
        <f>Locsolieu!A52</f>
        <v>184</v>
      </c>
      <c r="B57" s="152">
        <f>Locsolieu!C52</f>
        <v>3.5786</v>
      </c>
      <c r="C57" s="132">
        <f>Locsolieu!D52*$C$4</f>
        <v>0.00371</v>
      </c>
      <c r="D57" s="133">
        <f>Locsolieu!E52*$C$4</f>
        <v>0.00764</v>
      </c>
      <c r="E57" s="153">
        <f>Locsolieu!F52</f>
        <v>3.1826</v>
      </c>
      <c r="F57" s="135">
        <v>510.0</v>
      </c>
      <c r="G57" s="136">
        <v>20.0</v>
      </c>
      <c r="H57" s="136">
        <v>30.0</v>
      </c>
      <c r="I57" s="136">
        <v>3.0</v>
      </c>
      <c r="J57" s="136">
        <f t="shared" si="31"/>
        <v>27</v>
      </c>
      <c r="K57" s="137">
        <f t="shared" si="5"/>
        <v>1</v>
      </c>
      <c r="L57" s="137">
        <f t="shared" si="6"/>
        <v>1</v>
      </c>
      <c r="M57" s="138" t="str">
        <f t="shared" si="32"/>
        <v>#REF!</v>
      </c>
      <c r="N57" s="138" t="str">
        <f t="shared" si="33"/>
        <v>#REF!</v>
      </c>
      <c r="O57" s="139">
        <f t="shared" si="7"/>
        <v>45000</v>
      </c>
      <c r="P57" s="140">
        <f t="shared" ref="P57:Q57" si="210">0.1+0.11/(0.1+MAX((K57/$H57),(0.5-(0.01*(0.7*$F57/$H57))-0.01*$E$2)))</f>
        <v>0.3777777778</v>
      </c>
      <c r="Q57" s="140">
        <f t="shared" si="210"/>
        <v>0.3777777778</v>
      </c>
      <c r="R57" s="139" t="str">
        <f t="shared" si="9"/>
        <v>#REF!</v>
      </c>
      <c r="S57" s="139" t="str">
        <f t="shared" si="10"/>
        <v>#REF!</v>
      </c>
      <c r="T57" s="141" t="str">
        <f t="shared" si="11"/>
        <v>#REF!</v>
      </c>
      <c r="U57" s="141" t="str">
        <f t="shared" si="12"/>
        <v>#REF!</v>
      </c>
      <c r="V57" s="142" t="str">
        <f t="shared" ref="V57:W57" si="211">IF(T57*K57&gt;=((0.5*$H57)-$I57),((T57*K57)-(0.5*$H57)+$I57),(0.5*$H57)-(T57*K57)-$I57)</f>
        <v>#REF!</v>
      </c>
      <c r="W57" s="142" t="str">
        <f t="shared" si="211"/>
        <v>#REF!</v>
      </c>
      <c r="X57" s="137" t="str">
        <f t="shared" ref="X57:Y57" si="212">(T57*K57)+(0.5*$H57)-$I57</f>
        <v>#REF!</v>
      </c>
      <c r="Y57" s="137" t="str">
        <f t="shared" si="212"/>
        <v>#REF!</v>
      </c>
      <c r="Z57" s="142">
        <f t="shared" si="15"/>
        <v>2.524505395</v>
      </c>
      <c r="AA57" s="142">
        <f t="shared" si="16"/>
        <v>2.245149184</v>
      </c>
      <c r="AB57" s="142">
        <f t="shared" ref="AB57:AC57" si="213">($H$2+((1-$H$2)/(1+50*(K57/$H57)^2)))*$J57</f>
        <v>26.50263158</v>
      </c>
      <c r="AC57" s="142">
        <f t="shared" si="213"/>
        <v>26.50263158</v>
      </c>
      <c r="AD57" s="142" t="str">
        <f t="shared" si="18"/>
        <v>#REF!</v>
      </c>
      <c r="AE57" s="142" t="str">
        <f t="shared" si="19"/>
        <v>#REF!</v>
      </c>
      <c r="AF57" s="143" t="str">
        <f t="shared" si="20"/>
        <v>#REF!</v>
      </c>
      <c r="AG57" s="154" t="str">
        <f t="shared" si="21"/>
        <v>#REF!</v>
      </c>
      <c r="AH57" s="145" t="str">
        <f t="shared" si="22"/>
        <v>#REF!</v>
      </c>
      <c r="AI57" s="146" t="str">
        <f t="shared" si="23"/>
        <v>#REF!</v>
      </c>
      <c r="AJ57" s="147" t="str">
        <f t="shared" si="24"/>
        <v>#REF!</v>
      </c>
      <c r="AK57" s="155"/>
      <c r="AL57" s="155"/>
      <c r="AM57" s="155"/>
      <c r="AN57" s="155"/>
      <c r="AO57" s="147">
        <f t="shared" si="25"/>
        <v>0</v>
      </c>
      <c r="AP57" s="147">
        <f t="shared" si="26"/>
        <v>0</v>
      </c>
      <c r="AQ57" s="150"/>
      <c r="AR57" s="8"/>
      <c r="AS57" s="91"/>
      <c r="AT57" s="8"/>
      <c r="AU57" s="8"/>
      <c r="AV57" s="8"/>
      <c r="AW57" s="8"/>
      <c r="AX57" s="8"/>
    </row>
    <row r="58" ht="19.5" customHeight="1">
      <c r="A58" s="151" t="str">
        <f>Locsolieu!A53</f>
        <v>185</v>
      </c>
      <c r="B58" s="152">
        <f>Locsolieu!C53</f>
        <v>12.6118</v>
      </c>
      <c r="C58" s="132">
        <f>Locsolieu!D53*$C$4</f>
        <v>0.01855</v>
      </c>
      <c r="D58" s="133">
        <f>Locsolieu!E53*$C$4</f>
        <v>0.03762</v>
      </c>
      <c r="E58" s="153">
        <f>Locsolieu!F53</f>
        <v>12.3148</v>
      </c>
      <c r="F58" s="135">
        <v>510.0</v>
      </c>
      <c r="G58" s="136">
        <v>20.0</v>
      </c>
      <c r="H58" s="136">
        <v>30.0</v>
      </c>
      <c r="I58" s="136">
        <v>3.0</v>
      </c>
      <c r="J58" s="136">
        <f t="shared" si="31"/>
        <v>27</v>
      </c>
      <c r="K58" s="137">
        <f t="shared" si="5"/>
        <v>1</v>
      </c>
      <c r="L58" s="137">
        <f t="shared" si="6"/>
        <v>1</v>
      </c>
      <c r="M58" s="138" t="str">
        <f t="shared" si="32"/>
        <v>#REF!</v>
      </c>
      <c r="N58" s="138" t="str">
        <f t="shared" si="33"/>
        <v>#REF!</v>
      </c>
      <c r="O58" s="139">
        <f t="shared" si="7"/>
        <v>45000</v>
      </c>
      <c r="P58" s="140">
        <f t="shared" ref="P58:Q58" si="214">0.1+0.11/(0.1+MAX((K58/$H58),(0.5-(0.01*(0.7*$F58/$H58))-0.01*$E$2)))</f>
        <v>0.3777777778</v>
      </c>
      <c r="Q58" s="140">
        <f t="shared" si="214"/>
        <v>0.3777777778</v>
      </c>
      <c r="R58" s="139" t="str">
        <f t="shared" si="9"/>
        <v>#REF!</v>
      </c>
      <c r="S58" s="139" t="str">
        <f t="shared" si="10"/>
        <v>#REF!</v>
      </c>
      <c r="T58" s="141" t="str">
        <f t="shared" si="11"/>
        <v>#REF!</v>
      </c>
      <c r="U58" s="141" t="str">
        <f t="shared" si="12"/>
        <v>#REF!</v>
      </c>
      <c r="V58" s="142" t="str">
        <f t="shared" ref="V58:W58" si="215">IF(T58*K58&gt;=((0.5*$H58)-$I58),((T58*K58)-(0.5*$H58)+$I58),(0.5*$H58)-(T58*K58)-$I58)</f>
        <v>#REF!</v>
      </c>
      <c r="W58" s="142" t="str">
        <f t="shared" si="215"/>
        <v>#REF!</v>
      </c>
      <c r="X58" s="137" t="str">
        <f t="shared" ref="X58:Y58" si="216">(T58*K58)+(0.5*$H58)-$I58</f>
        <v>#REF!</v>
      </c>
      <c r="Y58" s="137" t="str">
        <f t="shared" si="216"/>
        <v>#REF!</v>
      </c>
      <c r="Z58" s="142">
        <f t="shared" si="15"/>
        <v>8.896930962</v>
      </c>
      <c r="AA58" s="142">
        <f t="shared" si="16"/>
        <v>8.687413803</v>
      </c>
      <c r="AB58" s="142">
        <f t="shared" ref="AB58:AC58" si="217">($H$2+((1-$H$2)/(1+50*(K58/$H58)^2)))*$J58</f>
        <v>26.50263158</v>
      </c>
      <c r="AC58" s="142">
        <f t="shared" si="217"/>
        <v>26.50263158</v>
      </c>
      <c r="AD58" s="142" t="str">
        <f t="shared" si="18"/>
        <v>#REF!</v>
      </c>
      <c r="AE58" s="142" t="str">
        <f t="shared" si="19"/>
        <v>#REF!</v>
      </c>
      <c r="AF58" s="143" t="str">
        <f t="shared" si="20"/>
        <v>#REF!</v>
      </c>
      <c r="AG58" s="154" t="str">
        <f t="shared" si="21"/>
        <v>#REF!</v>
      </c>
      <c r="AH58" s="145" t="str">
        <f t="shared" si="22"/>
        <v>#REF!</v>
      </c>
      <c r="AI58" s="146" t="str">
        <f t="shared" si="23"/>
        <v>#REF!</v>
      </c>
      <c r="AJ58" s="147" t="str">
        <f t="shared" si="24"/>
        <v>#REF!</v>
      </c>
      <c r="AK58" s="155"/>
      <c r="AL58" s="155"/>
      <c r="AM58" s="155"/>
      <c r="AN58" s="155"/>
      <c r="AO58" s="147">
        <f t="shared" si="25"/>
        <v>0</v>
      </c>
      <c r="AP58" s="147">
        <f t="shared" si="26"/>
        <v>0</v>
      </c>
      <c r="AQ58" s="150"/>
      <c r="AR58" s="8"/>
      <c r="AS58" s="91"/>
      <c r="AT58" s="8"/>
      <c r="AU58" s="8"/>
      <c r="AV58" s="8"/>
      <c r="AW58" s="8"/>
      <c r="AX58" s="8"/>
    </row>
    <row r="59" ht="19.5" customHeight="1">
      <c r="A59" s="151" t="str">
        <f>Locsolieu!A54</f>
        <v>186</v>
      </c>
      <c r="B59" s="152">
        <f>Locsolieu!C54</f>
        <v>8.8583</v>
      </c>
      <c r="C59" s="132">
        <f>Locsolieu!D54*$C$4</f>
        <v>0.03917</v>
      </c>
      <c r="D59" s="133">
        <f>Locsolieu!E54*$C$4</f>
        <v>0.03917</v>
      </c>
      <c r="E59" s="153">
        <f>Locsolieu!F54</f>
        <v>8.8583</v>
      </c>
      <c r="F59" s="135">
        <v>510.0</v>
      </c>
      <c r="G59" s="136">
        <v>20.0</v>
      </c>
      <c r="H59" s="136">
        <v>30.0</v>
      </c>
      <c r="I59" s="136">
        <v>3.0</v>
      </c>
      <c r="J59" s="136">
        <f t="shared" si="31"/>
        <v>27</v>
      </c>
      <c r="K59" s="137">
        <f t="shared" si="5"/>
        <v>1</v>
      </c>
      <c r="L59" s="137">
        <f t="shared" si="6"/>
        <v>1</v>
      </c>
      <c r="M59" s="138" t="str">
        <f t="shared" si="32"/>
        <v>#REF!</v>
      </c>
      <c r="N59" s="138" t="str">
        <f t="shared" si="33"/>
        <v>#REF!</v>
      </c>
      <c r="O59" s="139">
        <f t="shared" si="7"/>
        <v>45000</v>
      </c>
      <c r="P59" s="140">
        <f t="shared" ref="P59:Q59" si="218">0.1+0.11/(0.1+MAX((K59/$H59),(0.5-(0.01*(0.7*$F59/$H59))-0.01*$E$2)))</f>
        <v>0.3777777778</v>
      </c>
      <c r="Q59" s="140">
        <f t="shared" si="218"/>
        <v>0.3777777778</v>
      </c>
      <c r="R59" s="139" t="str">
        <f t="shared" si="9"/>
        <v>#REF!</v>
      </c>
      <c r="S59" s="139" t="str">
        <f t="shared" si="10"/>
        <v>#REF!</v>
      </c>
      <c r="T59" s="141" t="str">
        <f t="shared" si="11"/>
        <v>#REF!</v>
      </c>
      <c r="U59" s="141" t="str">
        <f t="shared" si="12"/>
        <v>#REF!</v>
      </c>
      <c r="V59" s="142" t="str">
        <f t="shared" ref="V59:W59" si="219">IF(T59*K59&gt;=((0.5*$H59)-$I59),((T59*K59)-(0.5*$H59)+$I59),(0.5*$H59)-(T59*K59)-$I59)</f>
        <v>#REF!</v>
      </c>
      <c r="W59" s="142" t="str">
        <f t="shared" si="219"/>
        <v>#REF!</v>
      </c>
      <c r="X59" s="137" t="str">
        <f t="shared" ref="X59:Y59" si="220">(T59*K59)+(0.5*$H59)-$I59</f>
        <v>#REF!</v>
      </c>
      <c r="Y59" s="137" t="str">
        <f t="shared" si="220"/>
        <v>#REF!</v>
      </c>
      <c r="Z59" s="142">
        <f t="shared" si="15"/>
        <v>6.24904324</v>
      </c>
      <c r="AA59" s="142">
        <f t="shared" si="16"/>
        <v>6.24904324</v>
      </c>
      <c r="AB59" s="142">
        <f t="shared" ref="AB59:AC59" si="221">($H$2+((1-$H$2)/(1+50*(K59/$H59)^2)))*$J59</f>
        <v>26.50263158</v>
      </c>
      <c r="AC59" s="142">
        <f t="shared" si="221"/>
        <v>26.50263158</v>
      </c>
      <c r="AD59" s="142" t="str">
        <f t="shared" si="18"/>
        <v>#REF!</v>
      </c>
      <c r="AE59" s="142" t="str">
        <f t="shared" si="19"/>
        <v>#REF!</v>
      </c>
      <c r="AF59" s="143" t="str">
        <f t="shared" si="20"/>
        <v>#REF!</v>
      </c>
      <c r="AG59" s="154" t="str">
        <f t="shared" si="21"/>
        <v>#REF!</v>
      </c>
      <c r="AH59" s="145" t="str">
        <f t="shared" si="22"/>
        <v>#REF!</v>
      </c>
      <c r="AI59" s="146" t="str">
        <f t="shared" si="23"/>
        <v>#REF!</v>
      </c>
      <c r="AJ59" s="147" t="str">
        <f t="shared" si="24"/>
        <v>#REF!</v>
      </c>
      <c r="AK59" s="155"/>
      <c r="AL59" s="155"/>
      <c r="AM59" s="155"/>
      <c r="AN59" s="155"/>
      <c r="AO59" s="147">
        <f t="shared" si="25"/>
        <v>0</v>
      </c>
      <c r="AP59" s="147">
        <f t="shared" si="26"/>
        <v>0</v>
      </c>
      <c r="AQ59" s="150"/>
      <c r="AR59" s="8"/>
      <c r="AS59" s="91"/>
      <c r="AT59" s="8"/>
      <c r="AU59" s="8"/>
      <c r="AV59" s="8"/>
      <c r="AW59" s="8"/>
      <c r="AX59" s="8"/>
    </row>
    <row r="60" ht="19.5" customHeight="1">
      <c r="A60" s="151" t="str">
        <f>Locsolieu!A55</f>
        <v>187</v>
      </c>
      <c r="B60" s="152">
        <f>Locsolieu!C55</f>
        <v>3.5819</v>
      </c>
      <c r="C60" s="132">
        <f>Locsolieu!D55*$C$4</f>
        <v>0.04826</v>
      </c>
      <c r="D60" s="133">
        <f>Locsolieu!E55*$C$4</f>
        <v>0.05338</v>
      </c>
      <c r="E60" s="153">
        <f>Locsolieu!F55</f>
        <v>3.1859</v>
      </c>
      <c r="F60" s="135">
        <v>510.0</v>
      </c>
      <c r="G60" s="136">
        <v>20.0</v>
      </c>
      <c r="H60" s="136">
        <v>30.0</v>
      </c>
      <c r="I60" s="136">
        <v>3.0</v>
      </c>
      <c r="J60" s="136">
        <f t="shared" si="31"/>
        <v>27</v>
      </c>
      <c r="K60" s="137">
        <f t="shared" si="5"/>
        <v>1.34732963</v>
      </c>
      <c r="L60" s="137">
        <f t="shared" si="6"/>
        <v>1.675507706</v>
      </c>
      <c r="M60" s="138" t="str">
        <f t="shared" si="32"/>
        <v>#REF!</v>
      </c>
      <c r="N60" s="138" t="str">
        <f t="shared" si="33"/>
        <v>#REF!</v>
      </c>
      <c r="O60" s="139">
        <f t="shared" si="7"/>
        <v>45000</v>
      </c>
      <c r="P60" s="140">
        <f t="shared" ref="P60:Q60" si="222">0.1+0.11/(0.1+MAX((K60/$H60),(0.5-(0.01*(0.7*$F60/$H60))-0.01*$E$2)))</f>
        <v>0.3777777778</v>
      </c>
      <c r="Q60" s="140">
        <f t="shared" si="222"/>
        <v>0.3777777778</v>
      </c>
      <c r="R60" s="139" t="str">
        <f t="shared" si="9"/>
        <v>#REF!</v>
      </c>
      <c r="S60" s="139" t="str">
        <f t="shared" si="10"/>
        <v>#REF!</v>
      </c>
      <c r="T60" s="141" t="str">
        <f t="shared" si="11"/>
        <v>#REF!</v>
      </c>
      <c r="U60" s="141" t="str">
        <f t="shared" si="12"/>
        <v>#REF!</v>
      </c>
      <c r="V60" s="142" t="str">
        <f t="shared" ref="V60:W60" si="223">IF(T60*K60&gt;=((0.5*$H60)-$I60),((T60*K60)-(0.5*$H60)+$I60),(0.5*$H60)-(T60*K60)-$I60)</f>
        <v>#REF!</v>
      </c>
      <c r="W60" s="142" t="str">
        <f t="shared" si="223"/>
        <v>#REF!</v>
      </c>
      <c r="X60" s="137" t="str">
        <f t="shared" ref="X60:Y60" si="224">(T60*K60)+(0.5*$H60)-$I60</f>
        <v>#REF!</v>
      </c>
      <c r="Y60" s="137" t="str">
        <f t="shared" si="224"/>
        <v>#REF!</v>
      </c>
      <c r="Z60" s="142">
        <f t="shared" si="15"/>
        <v>2.526833363</v>
      </c>
      <c r="AA60" s="142">
        <f t="shared" si="16"/>
        <v>2.247477152</v>
      </c>
      <c r="AB60" s="142">
        <f t="shared" ref="AB60:AC60" si="225">($H$2+((1-$H$2)/(1+50*(K60/$H60)^2)))*$J60</f>
        <v>26.13427703</v>
      </c>
      <c r="AC60" s="142">
        <f t="shared" si="225"/>
        <v>25.72500526</v>
      </c>
      <c r="AD60" s="142" t="str">
        <f t="shared" si="18"/>
        <v>#REF!</v>
      </c>
      <c r="AE60" s="142" t="str">
        <f t="shared" si="19"/>
        <v>#REF!</v>
      </c>
      <c r="AF60" s="143" t="str">
        <f t="shared" si="20"/>
        <v>#REF!</v>
      </c>
      <c r="AG60" s="154" t="str">
        <f t="shared" si="21"/>
        <v>#REF!</v>
      </c>
      <c r="AH60" s="145" t="str">
        <f t="shared" si="22"/>
        <v>#REF!</v>
      </c>
      <c r="AI60" s="146" t="str">
        <f t="shared" si="23"/>
        <v>#REF!</v>
      </c>
      <c r="AJ60" s="147" t="str">
        <f t="shared" si="24"/>
        <v>#REF!</v>
      </c>
      <c r="AK60" s="155"/>
      <c r="AL60" s="155"/>
      <c r="AM60" s="155"/>
      <c r="AN60" s="155"/>
      <c r="AO60" s="147">
        <f t="shared" si="25"/>
        <v>0</v>
      </c>
      <c r="AP60" s="147">
        <f t="shared" si="26"/>
        <v>0</v>
      </c>
      <c r="AQ60" s="150"/>
      <c r="AR60" s="8"/>
      <c r="AS60" s="91"/>
      <c r="AT60" s="8"/>
      <c r="AU60" s="8"/>
      <c r="AV60" s="8"/>
      <c r="AW60" s="8"/>
      <c r="AX60" s="8"/>
    </row>
    <row r="61" ht="19.5" customHeight="1">
      <c r="A61" s="151" t="str">
        <f>Locsolieu!A56</f>
        <v>188</v>
      </c>
      <c r="B61" s="152">
        <f>Locsolieu!C56</f>
        <v>13.3969</v>
      </c>
      <c r="C61" s="132">
        <f>Locsolieu!D56*$C$4</f>
        <v>0.01793</v>
      </c>
      <c r="D61" s="133">
        <f>Locsolieu!E56*$C$4</f>
        <v>0.03689</v>
      </c>
      <c r="E61" s="153">
        <f>Locsolieu!F56</f>
        <v>13.0999</v>
      </c>
      <c r="F61" s="135">
        <v>510.0</v>
      </c>
      <c r="G61" s="136">
        <v>20.0</v>
      </c>
      <c r="H61" s="136">
        <v>30.0</v>
      </c>
      <c r="I61" s="136">
        <v>3.0</v>
      </c>
      <c r="J61" s="136">
        <f t="shared" si="31"/>
        <v>27</v>
      </c>
      <c r="K61" s="137">
        <f t="shared" si="5"/>
        <v>1</v>
      </c>
      <c r="L61" s="137">
        <f t="shared" si="6"/>
        <v>1</v>
      </c>
      <c r="M61" s="138" t="str">
        <f t="shared" si="32"/>
        <v>#REF!</v>
      </c>
      <c r="N61" s="138" t="str">
        <f t="shared" si="33"/>
        <v>#REF!</v>
      </c>
      <c r="O61" s="139">
        <f t="shared" si="7"/>
        <v>45000</v>
      </c>
      <c r="P61" s="140">
        <f t="shared" ref="P61:Q61" si="226">0.1+0.11/(0.1+MAX((K61/$H61),(0.5-(0.01*(0.7*$F61/$H61))-0.01*$E$2)))</f>
        <v>0.3777777778</v>
      </c>
      <c r="Q61" s="140">
        <f t="shared" si="226"/>
        <v>0.3777777778</v>
      </c>
      <c r="R61" s="139" t="str">
        <f t="shared" si="9"/>
        <v>#REF!</v>
      </c>
      <c r="S61" s="139" t="str">
        <f t="shared" si="10"/>
        <v>#REF!</v>
      </c>
      <c r="T61" s="141" t="str">
        <f t="shared" si="11"/>
        <v>#REF!</v>
      </c>
      <c r="U61" s="141" t="str">
        <f t="shared" si="12"/>
        <v>#REF!</v>
      </c>
      <c r="V61" s="142" t="str">
        <f t="shared" ref="V61:W61" si="227">IF(T61*K61&gt;=((0.5*$H61)-$I61),((T61*K61)-(0.5*$H61)+$I61),(0.5*$H61)-(T61*K61)-$I61)</f>
        <v>#REF!</v>
      </c>
      <c r="W61" s="142" t="str">
        <f t="shared" si="227"/>
        <v>#REF!</v>
      </c>
      <c r="X61" s="137" t="str">
        <f t="shared" ref="X61:Y61" si="228">(T61*K61)+(0.5*$H61)-$I61</f>
        <v>#REF!</v>
      </c>
      <c r="Y61" s="137" t="str">
        <f t="shared" si="228"/>
        <v>#REF!</v>
      </c>
      <c r="Z61" s="142">
        <f t="shared" si="15"/>
        <v>9.450775813</v>
      </c>
      <c r="AA61" s="142">
        <f t="shared" si="16"/>
        <v>9.241258655</v>
      </c>
      <c r="AB61" s="142">
        <f t="shared" ref="AB61:AC61" si="229">($H$2+((1-$H$2)/(1+50*(K61/$H61)^2)))*$J61</f>
        <v>26.50263158</v>
      </c>
      <c r="AC61" s="142">
        <f t="shared" si="229"/>
        <v>26.50263158</v>
      </c>
      <c r="AD61" s="142" t="str">
        <f t="shared" si="18"/>
        <v>#REF!</v>
      </c>
      <c r="AE61" s="142" t="str">
        <f t="shared" si="19"/>
        <v>#REF!</v>
      </c>
      <c r="AF61" s="143" t="str">
        <f t="shared" si="20"/>
        <v>#REF!</v>
      </c>
      <c r="AG61" s="154" t="str">
        <f t="shared" si="21"/>
        <v>#REF!</v>
      </c>
      <c r="AH61" s="145" t="str">
        <f t="shared" si="22"/>
        <v>#REF!</v>
      </c>
      <c r="AI61" s="146" t="str">
        <f t="shared" si="23"/>
        <v>#REF!</v>
      </c>
      <c r="AJ61" s="147" t="str">
        <f t="shared" si="24"/>
        <v>#REF!</v>
      </c>
      <c r="AK61" s="155"/>
      <c r="AL61" s="155"/>
      <c r="AM61" s="155"/>
      <c r="AN61" s="155"/>
      <c r="AO61" s="147">
        <f t="shared" si="25"/>
        <v>0</v>
      </c>
      <c r="AP61" s="147">
        <f t="shared" si="26"/>
        <v>0</v>
      </c>
      <c r="AQ61" s="150"/>
      <c r="AR61" s="8"/>
      <c r="AS61" s="91"/>
      <c r="AT61" s="8"/>
      <c r="AU61" s="8"/>
      <c r="AV61" s="8"/>
      <c r="AW61" s="8"/>
      <c r="AX61" s="8"/>
    </row>
    <row r="62" ht="19.5" customHeight="1">
      <c r="A62" s="151" t="str">
        <f>Locsolieu!A57</f>
        <v>189</v>
      </c>
      <c r="B62" s="152">
        <f>Locsolieu!C57</f>
        <v>8.4827</v>
      </c>
      <c r="C62" s="132">
        <f>Locsolieu!D57*$C$4</f>
        <v>0.0352</v>
      </c>
      <c r="D62" s="133">
        <f>Locsolieu!E57*$C$4</f>
        <v>0.0352</v>
      </c>
      <c r="E62" s="153">
        <f>Locsolieu!F57</f>
        <v>8.4827</v>
      </c>
      <c r="F62" s="135">
        <v>510.0</v>
      </c>
      <c r="G62" s="136">
        <v>20.0</v>
      </c>
      <c r="H62" s="136">
        <v>30.0</v>
      </c>
      <c r="I62" s="136">
        <v>3.0</v>
      </c>
      <c r="J62" s="136">
        <f t="shared" si="31"/>
        <v>27</v>
      </c>
      <c r="K62" s="137">
        <f t="shared" si="5"/>
        <v>1</v>
      </c>
      <c r="L62" s="137">
        <f t="shared" si="6"/>
        <v>1</v>
      </c>
      <c r="M62" s="138" t="str">
        <f t="shared" si="32"/>
        <v>#REF!</v>
      </c>
      <c r="N62" s="138" t="str">
        <f t="shared" si="33"/>
        <v>#REF!</v>
      </c>
      <c r="O62" s="139">
        <f t="shared" si="7"/>
        <v>45000</v>
      </c>
      <c r="P62" s="140">
        <f t="shared" ref="P62:Q62" si="230">0.1+0.11/(0.1+MAX((K62/$H62),(0.5-(0.01*(0.7*$F62/$H62))-0.01*$E$2)))</f>
        <v>0.3777777778</v>
      </c>
      <c r="Q62" s="140">
        <f t="shared" si="230"/>
        <v>0.3777777778</v>
      </c>
      <c r="R62" s="139" t="str">
        <f t="shared" si="9"/>
        <v>#REF!</v>
      </c>
      <c r="S62" s="139" t="str">
        <f t="shared" si="10"/>
        <v>#REF!</v>
      </c>
      <c r="T62" s="141" t="str">
        <f t="shared" si="11"/>
        <v>#REF!</v>
      </c>
      <c r="U62" s="141" t="str">
        <f t="shared" si="12"/>
        <v>#REF!</v>
      </c>
      <c r="V62" s="142" t="str">
        <f t="shared" ref="V62:W62" si="231">IF(T62*K62&gt;=((0.5*$H62)-$I62),((T62*K62)-(0.5*$H62)+$I62),(0.5*$H62)-(T62*K62)-$I62)</f>
        <v>#REF!</v>
      </c>
      <c r="W62" s="142" t="str">
        <f t="shared" si="231"/>
        <v>#REF!</v>
      </c>
      <c r="X62" s="137" t="str">
        <f t="shared" ref="X62:Y62" si="232">(T62*K62)+(0.5*$H62)-$I62</f>
        <v>#REF!</v>
      </c>
      <c r="Y62" s="137" t="str">
        <f t="shared" si="232"/>
        <v>#REF!</v>
      </c>
      <c r="Z62" s="142">
        <f t="shared" si="15"/>
        <v>5.984078107</v>
      </c>
      <c r="AA62" s="142">
        <f t="shared" si="16"/>
        <v>5.984078107</v>
      </c>
      <c r="AB62" s="142">
        <f t="shared" ref="AB62:AC62" si="233">($H$2+((1-$H$2)/(1+50*(K62/$H62)^2)))*$J62</f>
        <v>26.50263158</v>
      </c>
      <c r="AC62" s="142">
        <f t="shared" si="233"/>
        <v>26.50263158</v>
      </c>
      <c r="AD62" s="142" t="str">
        <f t="shared" si="18"/>
        <v>#REF!</v>
      </c>
      <c r="AE62" s="142" t="str">
        <f t="shared" si="19"/>
        <v>#REF!</v>
      </c>
      <c r="AF62" s="143" t="str">
        <f t="shared" si="20"/>
        <v>#REF!</v>
      </c>
      <c r="AG62" s="154" t="str">
        <f t="shared" si="21"/>
        <v>#REF!</v>
      </c>
      <c r="AH62" s="145" t="str">
        <f t="shared" si="22"/>
        <v>#REF!</v>
      </c>
      <c r="AI62" s="146" t="str">
        <f t="shared" si="23"/>
        <v>#REF!</v>
      </c>
      <c r="AJ62" s="147" t="str">
        <f t="shared" si="24"/>
        <v>#REF!</v>
      </c>
      <c r="AK62" s="155"/>
      <c r="AL62" s="155"/>
      <c r="AM62" s="155"/>
      <c r="AN62" s="155"/>
      <c r="AO62" s="147">
        <f t="shared" si="25"/>
        <v>0</v>
      </c>
      <c r="AP62" s="147">
        <f t="shared" si="26"/>
        <v>0</v>
      </c>
      <c r="AQ62" s="150"/>
      <c r="AR62" s="8"/>
      <c r="AS62" s="91"/>
      <c r="AT62" s="8"/>
      <c r="AU62" s="8"/>
      <c r="AV62" s="8"/>
      <c r="AW62" s="8"/>
      <c r="AX62" s="8"/>
    </row>
    <row r="63" ht="19.5" customHeight="1">
      <c r="A63" s="151" t="str">
        <f>Locsolieu!A58</f>
        <v>190</v>
      </c>
      <c r="B63" s="152">
        <f>Locsolieu!C58</f>
        <v>3.1378</v>
      </c>
      <c r="C63" s="132">
        <f>Locsolieu!D58*$C$4</f>
        <v>0.0486</v>
      </c>
      <c r="D63" s="133">
        <f>Locsolieu!E58*$C$4</f>
        <v>0.05273</v>
      </c>
      <c r="E63" s="153">
        <f>Locsolieu!F58</f>
        <v>2.7418</v>
      </c>
      <c r="F63" s="135">
        <v>510.0</v>
      </c>
      <c r="G63" s="136">
        <v>20.0</v>
      </c>
      <c r="H63" s="136">
        <v>30.0</v>
      </c>
      <c r="I63" s="136">
        <v>3.0</v>
      </c>
      <c r="J63" s="136">
        <f t="shared" si="31"/>
        <v>27</v>
      </c>
      <c r="K63" s="137">
        <f t="shared" si="5"/>
        <v>1.548855886</v>
      </c>
      <c r="L63" s="137">
        <f t="shared" si="6"/>
        <v>1.923189146</v>
      </c>
      <c r="M63" s="138" t="str">
        <f t="shared" si="32"/>
        <v>#REF!</v>
      </c>
      <c r="N63" s="138" t="str">
        <f t="shared" si="33"/>
        <v>#REF!</v>
      </c>
      <c r="O63" s="139">
        <f t="shared" si="7"/>
        <v>45000</v>
      </c>
      <c r="P63" s="140">
        <f t="shared" ref="P63:Q63" si="234">0.1+0.11/(0.1+MAX((K63/$H63),(0.5-(0.01*(0.7*$F63/$H63))-0.01*$E$2)))</f>
        <v>0.3777777778</v>
      </c>
      <c r="Q63" s="140">
        <f t="shared" si="234"/>
        <v>0.3777777778</v>
      </c>
      <c r="R63" s="139" t="str">
        <f t="shared" si="9"/>
        <v>#REF!</v>
      </c>
      <c r="S63" s="139" t="str">
        <f t="shared" si="10"/>
        <v>#REF!</v>
      </c>
      <c r="T63" s="141" t="str">
        <f t="shared" si="11"/>
        <v>#REF!</v>
      </c>
      <c r="U63" s="141" t="str">
        <f t="shared" si="12"/>
        <v>#REF!</v>
      </c>
      <c r="V63" s="142" t="str">
        <f t="shared" ref="V63:W63" si="235">IF(T63*K63&gt;=((0.5*$H63)-$I63),((T63*K63)-(0.5*$H63)+$I63),(0.5*$H63)-(T63*K63)-$I63)</f>
        <v>#REF!</v>
      </c>
      <c r="W63" s="142" t="str">
        <f t="shared" si="235"/>
        <v>#REF!</v>
      </c>
      <c r="X63" s="137" t="str">
        <f t="shared" ref="X63:Y63" si="236">(T63*K63)+(0.5*$H63)-$I63</f>
        <v>#REF!</v>
      </c>
      <c r="Y63" s="137" t="str">
        <f t="shared" si="236"/>
        <v>#REF!</v>
      </c>
      <c r="Z63" s="142">
        <f t="shared" si="15"/>
        <v>2.213545249</v>
      </c>
      <c r="AA63" s="142">
        <f t="shared" si="16"/>
        <v>1.934189038</v>
      </c>
      <c r="AB63" s="142">
        <f t="shared" ref="AB63:AC63" si="237">($H$2+((1-$H$2)/(1+50*(K63/$H63)^2)))*$J63</f>
        <v>25.88866263</v>
      </c>
      <c r="AC63" s="142">
        <f t="shared" si="237"/>
        <v>25.38919502</v>
      </c>
      <c r="AD63" s="142" t="str">
        <f t="shared" si="18"/>
        <v>#REF!</v>
      </c>
      <c r="AE63" s="142" t="str">
        <f t="shared" si="19"/>
        <v>#REF!</v>
      </c>
      <c r="AF63" s="143" t="str">
        <f t="shared" si="20"/>
        <v>#REF!</v>
      </c>
      <c r="AG63" s="154" t="str">
        <f t="shared" si="21"/>
        <v>#REF!</v>
      </c>
      <c r="AH63" s="145" t="str">
        <f t="shared" si="22"/>
        <v>#REF!</v>
      </c>
      <c r="AI63" s="146" t="str">
        <f t="shared" si="23"/>
        <v>#REF!</v>
      </c>
      <c r="AJ63" s="147" t="str">
        <f t="shared" si="24"/>
        <v>#REF!</v>
      </c>
      <c r="AK63" s="155"/>
      <c r="AL63" s="155"/>
      <c r="AM63" s="155"/>
      <c r="AN63" s="155"/>
      <c r="AO63" s="147">
        <f t="shared" si="25"/>
        <v>0</v>
      </c>
      <c r="AP63" s="147">
        <f t="shared" si="26"/>
        <v>0</v>
      </c>
      <c r="AQ63" s="150"/>
      <c r="AR63" s="8"/>
      <c r="AS63" s="91"/>
      <c r="AT63" s="8"/>
      <c r="AU63" s="8"/>
      <c r="AV63" s="8"/>
      <c r="AW63" s="8"/>
      <c r="AX63" s="8"/>
    </row>
    <row r="64" ht="19.5" customHeight="1">
      <c r="A64" s="151" t="str">
        <f>Locsolieu!A59</f>
        <v>191</v>
      </c>
      <c r="B64" s="152">
        <f>Locsolieu!C59</f>
        <v>17.9089</v>
      </c>
      <c r="C64" s="132">
        <f>Locsolieu!D59*$C$4</f>
        <v>0.04099</v>
      </c>
      <c r="D64" s="133">
        <f>Locsolieu!E59*$C$4</f>
        <v>0.08185</v>
      </c>
      <c r="E64" s="153">
        <f>Locsolieu!F59</f>
        <v>17.6119</v>
      </c>
      <c r="F64" s="135">
        <v>510.0</v>
      </c>
      <c r="G64" s="136">
        <v>20.0</v>
      </c>
      <c r="H64" s="136">
        <v>30.0</v>
      </c>
      <c r="I64" s="136">
        <v>3.0</v>
      </c>
      <c r="J64" s="136">
        <f t="shared" si="31"/>
        <v>27</v>
      </c>
      <c r="K64" s="137">
        <f t="shared" si="5"/>
        <v>1</v>
      </c>
      <c r="L64" s="137">
        <f t="shared" si="6"/>
        <v>1</v>
      </c>
      <c r="M64" s="138" t="str">
        <f t="shared" si="32"/>
        <v>#REF!</v>
      </c>
      <c r="N64" s="138" t="str">
        <f t="shared" si="33"/>
        <v>#REF!</v>
      </c>
      <c r="O64" s="139">
        <f t="shared" si="7"/>
        <v>45000</v>
      </c>
      <c r="P64" s="140">
        <f t="shared" ref="P64:Q64" si="238">0.1+0.11/(0.1+MAX((K64/$H64),(0.5-(0.01*(0.7*$F64/$H64))-0.01*$E$2)))</f>
        <v>0.3777777778</v>
      </c>
      <c r="Q64" s="140">
        <f t="shared" si="238"/>
        <v>0.3777777778</v>
      </c>
      <c r="R64" s="139" t="str">
        <f t="shared" si="9"/>
        <v>#REF!</v>
      </c>
      <c r="S64" s="139" t="str">
        <f t="shared" si="10"/>
        <v>#REF!</v>
      </c>
      <c r="T64" s="141" t="str">
        <f t="shared" si="11"/>
        <v>#REF!</v>
      </c>
      <c r="U64" s="141" t="str">
        <f t="shared" si="12"/>
        <v>#REF!</v>
      </c>
      <c r="V64" s="142" t="str">
        <f t="shared" ref="V64:W64" si="239">IF(T64*K64&gt;=((0.5*$H64)-$I64),((T64*K64)-(0.5*$H64)+$I64),(0.5*$H64)-(T64*K64)-$I64)</f>
        <v>#REF!</v>
      </c>
      <c r="W64" s="142" t="str">
        <f t="shared" si="239"/>
        <v>#REF!</v>
      </c>
      <c r="X64" s="137" t="str">
        <f t="shared" ref="X64:Y64" si="240">(T64*K64)+(0.5*$H64)-$I64</f>
        <v>#REF!</v>
      </c>
      <c r="Y64" s="137" t="str">
        <f t="shared" si="240"/>
        <v>#REF!</v>
      </c>
      <c r="Z64" s="142">
        <f t="shared" si="15"/>
        <v>12.63374355</v>
      </c>
      <c r="AA64" s="142">
        <f t="shared" si="16"/>
        <v>12.42422639</v>
      </c>
      <c r="AB64" s="142">
        <f t="shared" ref="AB64:AC64" si="241">($H$2+((1-$H$2)/(1+50*(K64/$H64)^2)))*$J64</f>
        <v>26.50263158</v>
      </c>
      <c r="AC64" s="142">
        <f t="shared" si="241"/>
        <v>26.50263158</v>
      </c>
      <c r="AD64" s="142" t="str">
        <f t="shared" si="18"/>
        <v>#REF!</v>
      </c>
      <c r="AE64" s="142" t="str">
        <f t="shared" si="19"/>
        <v>#REF!</v>
      </c>
      <c r="AF64" s="143" t="str">
        <f t="shared" si="20"/>
        <v>#REF!</v>
      </c>
      <c r="AG64" s="154" t="str">
        <f t="shared" si="21"/>
        <v>#REF!</v>
      </c>
      <c r="AH64" s="145" t="str">
        <f t="shared" si="22"/>
        <v>#REF!</v>
      </c>
      <c r="AI64" s="146" t="str">
        <f t="shared" si="23"/>
        <v>#REF!</v>
      </c>
      <c r="AJ64" s="147" t="str">
        <f t="shared" si="24"/>
        <v>#REF!</v>
      </c>
      <c r="AK64" s="155"/>
      <c r="AL64" s="155"/>
      <c r="AM64" s="155"/>
      <c r="AN64" s="155"/>
      <c r="AO64" s="147">
        <f t="shared" si="25"/>
        <v>0</v>
      </c>
      <c r="AP64" s="147">
        <f t="shared" si="26"/>
        <v>0</v>
      </c>
      <c r="AQ64" s="150"/>
      <c r="AR64" s="8"/>
      <c r="AS64" s="91"/>
      <c r="AT64" s="8"/>
      <c r="AU64" s="8"/>
      <c r="AV64" s="8"/>
      <c r="AW64" s="8"/>
      <c r="AX64" s="8"/>
    </row>
    <row r="65" ht="19.5" customHeight="1">
      <c r="A65" s="151" t="str">
        <f>Locsolieu!A60</f>
        <v>192</v>
      </c>
      <c r="B65" s="152">
        <f>Locsolieu!C60</f>
        <v>12.4537</v>
      </c>
      <c r="C65" s="132">
        <f>Locsolieu!D60*$C$4</f>
        <v>0.09463</v>
      </c>
      <c r="D65" s="133">
        <f>Locsolieu!E60*$C$4</f>
        <v>0.09914</v>
      </c>
      <c r="E65" s="153">
        <f>Locsolieu!F60</f>
        <v>12.0577</v>
      </c>
      <c r="F65" s="135">
        <v>510.0</v>
      </c>
      <c r="G65" s="136">
        <v>20.0</v>
      </c>
      <c r="H65" s="136">
        <v>30.0</v>
      </c>
      <c r="I65" s="136">
        <v>3.0</v>
      </c>
      <c r="J65" s="136">
        <f t="shared" si="31"/>
        <v>27</v>
      </c>
      <c r="K65" s="137">
        <f t="shared" si="5"/>
        <v>1</v>
      </c>
      <c r="L65" s="137">
        <f t="shared" si="6"/>
        <v>1</v>
      </c>
      <c r="M65" s="138" t="str">
        <f t="shared" si="32"/>
        <v>#REF!</v>
      </c>
      <c r="N65" s="138" t="str">
        <f t="shared" si="33"/>
        <v>#REF!</v>
      </c>
      <c r="O65" s="139">
        <f t="shared" si="7"/>
        <v>45000</v>
      </c>
      <c r="P65" s="140">
        <f t="shared" ref="P65:Q65" si="242">0.1+0.11/(0.1+MAX((K65/$H65),(0.5-(0.01*(0.7*$F65/$H65))-0.01*$E$2)))</f>
        <v>0.3777777778</v>
      </c>
      <c r="Q65" s="140">
        <f t="shared" si="242"/>
        <v>0.3777777778</v>
      </c>
      <c r="R65" s="139" t="str">
        <f t="shared" si="9"/>
        <v>#REF!</v>
      </c>
      <c r="S65" s="139" t="str">
        <f t="shared" si="10"/>
        <v>#REF!</v>
      </c>
      <c r="T65" s="141" t="str">
        <f t="shared" si="11"/>
        <v>#REF!</v>
      </c>
      <c r="U65" s="141" t="str">
        <f t="shared" si="12"/>
        <v>#REF!</v>
      </c>
      <c r="V65" s="142" t="str">
        <f t="shared" ref="V65:W65" si="243">IF(T65*K65&gt;=((0.5*$H65)-$I65),((T65*K65)-(0.5*$H65)+$I65),(0.5*$H65)-(T65*K65)-$I65)</f>
        <v>#REF!</v>
      </c>
      <c r="W65" s="142" t="str">
        <f t="shared" si="243"/>
        <v>#REF!</v>
      </c>
      <c r="X65" s="137" t="str">
        <f t="shared" ref="X65:Y65" si="244">(T65*K65)+(0.5*$H65)-$I65</f>
        <v>#REF!</v>
      </c>
      <c r="Y65" s="137" t="str">
        <f t="shared" si="244"/>
        <v>#REF!</v>
      </c>
      <c r="Z65" s="142">
        <f t="shared" si="15"/>
        <v>8.785400111</v>
      </c>
      <c r="AA65" s="142">
        <f t="shared" si="16"/>
        <v>8.5060439</v>
      </c>
      <c r="AB65" s="142">
        <f t="shared" ref="AB65:AC65" si="245">($H$2+((1-$H$2)/(1+50*(K65/$H65)^2)))*$J65</f>
        <v>26.50263158</v>
      </c>
      <c r="AC65" s="142">
        <f t="shared" si="245"/>
        <v>26.50263158</v>
      </c>
      <c r="AD65" s="142" t="str">
        <f t="shared" si="18"/>
        <v>#REF!</v>
      </c>
      <c r="AE65" s="142" t="str">
        <f t="shared" si="19"/>
        <v>#REF!</v>
      </c>
      <c r="AF65" s="143" t="str">
        <f t="shared" si="20"/>
        <v>#REF!</v>
      </c>
      <c r="AG65" s="154" t="str">
        <f t="shared" si="21"/>
        <v>#REF!</v>
      </c>
      <c r="AH65" s="145" t="str">
        <f t="shared" si="22"/>
        <v>#REF!</v>
      </c>
      <c r="AI65" s="146" t="str">
        <f t="shared" si="23"/>
        <v>#REF!</v>
      </c>
      <c r="AJ65" s="147" t="str">
        <f t="shared" si="24"/>
        <v>#REF!</v>
      </c>
      <c r="AK65" s="155"/>
      <c r="AL65" s="155"/>
      <c r="AM65" s="155"/>
      <c r="AN65" s="155"/>
      <c r="AO65" s="147">
        <f t="shared" si="25"/>
        <v>0</v>
      </c>
      <c r="AP65" s="147">
        <f t="shared" si="26"/>
        <v>0</v>
      </c>
      <c r="AQ65" s="150"/>
      <c r="AR65" s="8"/>
      <c r="AS65" s="91"/>
      <c r="AT65" s="8"/>
      <c r="AU65" s="8"/>
      <c r="AV65" s="8"/>
      <c r="AW65" s="8"/>
      <c r="AX65" s="8"/>
    </row>
    <row r="66" ht="19.5" customHeight="1">
      <c r="A66" s="151" t="str">
        <f>Locsolieu!A61</f>
        <v>193</v>
      </c>
      <c r="B66" s="152">
        <f>Locsolieu!C61</f>
        <v>6.7331</v>
      </c>
      <c r="C66" s="132">
        <f>Locsolieu!D61*$C$4</f>
        <v>0.07909</v>
      </c>
      <c r="D66" s="133">
        <f>Locsolieu!E61*$C$4</f>
        <v>0.09888</v>
      </c>
      <c r="E66" s="153">
        <f>Locsolieu!F61</f>
        <v>6.3371</v>
      </c>
      <c r="F66" s="135">
        <v>510.0</v>
      </c>
      <c r="G66" s="136">
        <v>20.0</v>
      </c>
      <c r="H66" s="136">
        <v>30.0</v>
      </c>
      <c r="I66" s="136">
        <v>3.0</v>
      </c>
      <c r="J66" s="136">
        <f t="shared" si="31"/>
        <v>27</v>
      </c>
      <c r="K66" s="137">
        <f t="shared" si="5"/>
        <v>1.174644666</v>
      </c>
      <c r="L66" s="137">
        <f t="shared" si="6"/>
        <v>1.560335169</v>
      </c>
      <c r="M66" s="138" t="str">
        <f t="shared" si="32"/>
        <v>#REF!</v>
      </c>
      <c r="N66" s="138" t="str">
        <f t="shared" si="33"/>
        <v>#REF!</v>
      </c>
      <c r="O66" s="139">
        <f t="shared" si="7"/>
        <v>45000</v>
      </c>
      <c r="P66" s="140">
        <f t="shared" ref="P66:Q66" si="246">0.1+0.11/(0.1+MAX((K66/$H66),(0.5-(0.01*(0.7*$F66/$H66))-0.01*$E$2)))</f>
        <v>0.3777777778</v>
      </c>
      <c r="Q66" s="140">
        <f t="shared" si="246"/>
        <v>0.3777777778</v>
      </c>
      <c r="R66" s="139" t="str">
        <f t="shared" si="9"/>
        <v>#REF!</v>
      </c>
      <c r="S66" s="139" t="str">
        <f t="shared" si="10"/>
        <v>#REF!</v>
      </c>
      <c r="T66" s="141" t="str">
        <f t="shared" si="11"/>
        <v>#REF!</v>
      </c>
      <c r="U66" s="141" t="str">
        <f t="shared" si="12"/>
        <v>#REF!</v>
      </c>
      <c r="V66" s="142" t="str">
        <f t="shared" ref="V66:W66" si="247">IF(T66*K66&gt;=((0.5*$H66)-$I66),((T66*K66)-(0.5*$H66)+$I66),(0.5*$H66)-(T66*K66)-$I66)</f>
        <v>#REF!</v>
      </c>
      <c r="W66" s="142" t="str">
        <f t="shared" si="247"/>
        <v>#REF!</v>
      </c>
      <c r="X66" s="137" t="str">
        <f t="shared" ref="X66:Y66" si="248">(T66*K66)+(0.5*$H66)-$I66</f>
        <v>#REF!</v>
      </c>
      <c r="Y66" s="137" t="str">
        <f t="shared" si="248"/>
        <v>#REF!</v>
      </c>
      <c r="Z66" s="142">
        <f t="shared" si="15"/>
        <v>4.749831575</v>
      </c>
      <c r="AA66" s="142">
        <f t="shared" si="16"/>
        <v>4.470475364</v>
      </c>
      <c r="AB66" s="142">
        <f t="shared" ref="AB66:AC66" si="249">($H$2+((1-$H$2)/(1+50*(K66/$H66)^2)))*$J66</f>
        <v>26.32718485</v>
      </c>
      <c r="AC66" s="142">
        <f t="shared" si="249"/>
        <v>25.87409827</v>
      </c>
      <c r="AD66" s="142" t="str">
        <f t="shared" si="18"/>
        <v>#REF!</v>
      </c>
      <c r="AE66" s="142" t="str">
        <f t="shared" si="19"/>
        <v>#REF!</v>
      </c>
      <c r="AF66" s="143" t="str">
        <f t="shared" si="20"/>
        <v>#REF!</v>
      </c>
      <c r="AG66" s="154" t="str">
        <f t="shared" si="21"/>
        <v>#REF!</v>
      </c>
      <c r="AH66" s="145" t="str">
        <f t="shared" si="22"/>
        <v>#REF!</v>
      </c>
      <c r="AI66" s="146" t="str">
        <f t="shared" si="23"/>
        <v>#REF!</v>
      </c>
      <c r="AJ66" s="147" t="str">
        <f t="shared" si="24"/>
        <v>#REF!</v>
      </c>
      <c r="AK66" s="155"/>
      <c r="AL66" s="155"/>
      <c r="AM66" s="155"/>
      <c r="AN66" s="155"/>
      <c r="AO66" s="147">
        <f t="shared" si="25"/>
        <v>0</v>
      </c>
      <c r="AP66" s="147">
        <f t="shared" si="26"/>
        <v>0</v>
      </c>
      <c r="AQ66" s="150"/>
      <c r="AR66" s="8"/>
      <c r="AS66" s="91"/>
      <c r="AT66" s="8"/>
      <c r="AU66" s="8"/>
      <c r="AV66" s="8"/>
      <c r="AW66" s="8"/>
      <c r="AX66" s="8"/>
    </row>
    <row r="67" ht="19.5" customHeight="1">
      <c r="A67" s="151" t="str">
        <f>Locsolieu!A62</f>
        <v>194</v>
      </c>
      <c r="B67" s="152">
        <f>Locsolieu!C62</f>
        <v>15.3773</v>
      </c>
      <c r="C67" s="132">
        <f>Locsolieu!D62*$C$4</f>
        <v>0.0673</v>
      </c>
      <c r="D67" s="133">
        <f>Locsolieu!E62*$C$4</f>
        <v>0.13763</v>
      </c>
      <c r="E67" s="153">
        <f>Locsolieu!F62</f>
        <v>15.0803</v>
      </c>
      <c r="F67" s="135">
        <v>510.0</v>
      </c>
      <c r="G67" s="136">
        <v>20.0</v>
      </c>
      <c r="H67" s="136">
        <v>30.0</v>
      </c>
      <c r="I67" s="136">
        <v>3.0</v>
      </c>
      <c r="J67" s="136">
        <f t="shared" si="31"/>
        <v>27</v>
      </c>
      <c r="K67" s="137">
        <f t="shared" si="5"/>
        <v>1</v>
      </c>
      <c r="L67" s="137">
        <f t="shared" si="6"/>
        <v>1</v>
      </c>
      <c r="M67" s="138" t="str">
        <f t="shared" si="32"/>
        <v>#REF!</v>
      </c>
      <c r="N67" s="138" t="str">
        <f t="shared" si="33"/>
        <v>#REF!</v>
      </c>
      <c r="O67" s="139">
        <f t="shared" si="7"/>
        <v>45000</v>
      </c>
      <c r="P67" s="140">
        <f t="shared" ref="P67:Q67" si="250">0.1+0.11/(0.1+MAX((K67/$H67),(0.5-(0.01*(0.7*$F67/$H67))-0.01*$E$2)))</f>
        <v>0.3777777778</v>
      </c>
      <c r="Q67" s="140">
        <f t="shared" si="250"/>
        <v>0.3777777778</v>
      </c>
      <c r="R67" s="139" t="str">
        <f t="shared" si="9"/>
        <v>#REF!</v>
      </c>
      <c r="S67" s="139" t="str">
        <f t="shared" si="10"/>
        <v>#REF!</v>
      </c>
      <c r="T67" s="141" t="str">
        <f t="shared" si="11"/>
        <v>#REF!</v>
      </c>
      <c r="U67" s="141" t="str">
        <f t="shared" si="12"/>
        <v>#REF!</v>
      </c>
      <c r="V67" s="142" t="str">
        <f t="shared" ref="V67:W67" si="251">IF(T67*K67&gt;=((0.5*$H67)-$I67),((T67*K67)-(0.5*$H67)+$I67),(0.5*$H67)-(T67*K67)-$I67)</f>
        <v>#REF!</v>
      </c>
      <c r="W67" s="142" t="str">
        <f t="shared" si="251"/>
        <v>#REF!</v>
      </c>
      <c r="X67" s="137" t="str">
        <f t="shared" ref="X67:Y67" si="252">(T67*K67)+(0.5*$H67)-$I67</f>
        <v>#REF!</v>
      </c>
      <c r="Y67" s="137" t="str">
        <f t="shared" si="252"/>
        <v>#REF!</v>
      </c>
      <c r="Z67" s="142">
        <f t="shared" si="15"/>
        <v>10.84783905</v>
      </c>
      <c r="AA67" s="142">
        <f t="shared" si="16"/>
        <v>10.63832189</v>
      </c>
      <c r="AB67" s="142">
        <f t="shared" ref="AB67:AC67" si="253">($H$2+((1-$H$2)/(1+50*(K67/$H67)^2)))*$J67</f>
        <v>26.50263158</v>
      </c>
      <c r="AC67" s="142">
        <f t="shared" si="253"/>
        <v>26.50263158</v>
      </c>
      <c r="AD67" s="142" t="str">
        <f t="shared" si="18"/>
        <v>#REF!</v>
      </c>
      <c r="AE67" s="142" t="str">
        <f t="shared" si="19"/>
        <v>#REF!</v>
      </c>
      <c r="AF67" s="143" t="str">
        <f t="shared" si="20"/>
        <v>#REF!</v>
      </c>
      <c r="AG67" s="154" t="str">
        <f t="shared" si="21"/>
        <v>#REF!</v>
      </c>
      <c r="AH67" s="145" t="str">
        <f t="shared" si="22"/>
        <v>#REF!</v>
      </c>
      <c r="AI67" s="146" t="str">
        <f t="shared" si="23"/>
        <v>#REF!</v>
      </c>
      <c r="AJ67" s="147" t="str">
        <f t="shared" si="24"/>
        <v>#REF!</v>
      </c>
      <c r="AK67" s="155"/>
      <c r="AL67" s="155"/>
      <c r="AM67" s="155"/>
      <c r="AN67" s="155"/>
      <c r="AO67" s="147">
        <f t="shared" si="25"/>
        <v>0</v>
      </c>
      <c r="AP67" s="147">
        <f t="shared" si="26"/>
        <v>0</v>
      </c>
      <c r="AQ67" s="150"/>
      <c r="AR67" s="8"/>
      <c r="AS67" s="91"/>
      <c r="AT67" s="8"/>
      <c r="AU67" s="8"/>
      <c r="AV67" s="8"/>
      <c r="AW67" s="8"/>
      <c r="AX67" s="8"/>
    </row>
    <row r="68" ht="19.5" customHeight="1">
      <c r="A68" s="151" t="str">
        <f>Locsolieu!A63</f>
        <v>195</v>
      </c>
      <c r="B68" s="152">
        <f>Locsolieu!C63</f>
        <v>11.6553</v>
      </c>
      <c r="C68" s="132">
        <f>Locsolieu!D63*$C$4</f>
        <v>0.14912</v>
      </c>
      <c r="D68" s="133">
        <f>Locsolieu!E63*$C$4</f>
        <v>0.14912</v>
      </c>
      <c r="E68" s="153">
        <f>Locsolieu!F63</f>
        <v>11.6553</v>
      </c>
      <c r="F68" s="135">
        <v>510.0</v>
      </c>
      <c r="G68" s="136">
        <v>20.0</v>
      </c>
      <c r="H68" s="136">
        <v>30.0</v>
      </c>
      <c r="I68" s="136">
        <v>3.0</v>
      </c>
      <c r="J68" s="136">
        <f t="shared" si="31"/>
        <v>27</v>
      </c>
      <c r="K68" s="137">
        <f t="shared" si="5"/>
        <v>1.279417947</v>
      </c>
      <c r="L68" s="137">
        <f t="shared" si="6"/>
        <v>1.279417947</v>
      </c>
      <c r="M68" s="138" t="str">
        <f t="shared" si="32"/>
        <v>#REF!</v>
      </c>
      <c r="N68" s="138" t="str">
        <f t="shared" si="33"/>
        <v>#REF!</v>
      </c>
      <c r="O68" s="139">
        <f t="shared" si="7"/>
        <v>45000</v>
      </c>
      <c r="P68" s="140">
        <f t="shared" ref="P68:Q68" si="254">0.1+0.11/(0.1+MAX((K68/$H68),(0.5-(0.01*(0.7*$F68/$H68))-0.01*$E$2)))</f>
        <v>0.3777777778</v>
      </c>
      <c r="Q68" s="140">
        <f t="shared" si="254"/>
        <v>0.3777777778</v>
      </c>
      <c r="R68" s="139" t="str">
        <f t="shared" si="9"/>
        <v>#REF!</v>
      </c>
      <c r="S68" s="139" t="str">
        <f t="shared" si="10"/>
        <v>#REF!</v>
      </c>
      <c r="T68" s="141" t="str">
        <f t="shared" si="11"/>
        <v>#REF!</v>
      </c>
      <c r="U68" s="141" t="str">
        <f t="shared" si="12"/>
        <v>#REF!</v>
      </c>
      <c r="V68" s="142" t="str">
        <f t="shared" ref="V68:W68" si="255">IF(T68*K68&gt;=((0.5*$H68)-$I68),((T68*K68)-(0.5*$H68)+$I68),(0.5*$H68)-(T68*K68)-$I68)</f>
        <v>#REF!</v>
      </c>
      <c r="W68" s="142" t="str">
        <f t="shared" si="255"/>
        <v>#REF!</v>
      </c>
      <c r="X68" s="137" t="str">
        <f t="shared" ref="X68:Y68" si="256">(T68*K68)+(0.5*$H68)-$I68</f>
        <v>#REF!</v>
      </c>
      <c r="Y68" s="137" t="str">
        <f t="shared" si="256"/>
        <v>#REF!</v>
      </c>
      <c r="Z68" s="142">
        <f t="shared" si="15"/>
        <v>8.222172841</v>
      </c>
      <c r="AA68" s="142">
        <f t="shared" si="16"/>
        <v>8.222172841</v>
      </c>
      <c r="AB68" s="142">
        <f t="shared" ref="AB68:AC68" si="257">($H$2+((1-$H$2)/(1+50*(K68/$H68)^2)))*$J68</f>
        <v>26.21225886</v>
      </c>
      <c r="AC68" s="142">
        <f t="shared" si="257"/>
        <v>26.21225886</v>
      </c>
      <c r="AD68" s="142" t="str">
        <f t="shared" si="18"/>
        <v>#REF!</v>
      </c>
      <c r="AE68" s="142" t="str">
        <f t="shared" si="19"/>
        <v>#REF!</v>
      </c>
      <c r="AF68" s="143" t="str">
        <f t="shared" si="20"/>
        <v>#REF!</v>
      </c>
      <c r="AG68" s="154" t="str">
        <f t="shared" si="21"/>
        <v>#REF!</v>
      </c>
      <c r="AH68" s="145" t="str">
        <f t="shared" si="22"/>
        <v>#REF!</v>
      </c>
      <c r="AI68" s="146" t="str">
        <f t="shared" si="23"/>
        <v>#REF!</v>
      </c>
      <c r="AJ68" s="147" t="str">
        <f t="shared" si="24"/>
        <v>#REF!</v>
      </c>
      <c r="AK68" s="155"/>
      <c r="AL68" s="155"/>
      <c r="AM68" s="155"/>
      <c r="AN68" s="155"/>
      <c r="AO68" s="147">
        <f t="shared" si="25"/>
        <v>0</v>
      </c>
      <c r="AP68" s="147">
        <f t="shared" si="26"/>
        <v>0</v>
      </c>
      <c r="AQ68" s="150"/>
      <c r="AR68" s="8"/>
      <c r="AS68" s="91"/>
      <c r="AT68" s="8"/>
      <c r="AU68" s="8"/>
      <c r="AV68" s="8"/>
      <c r="AW68" s="8"/>
      <c r="AX68" s="8"/>
    </row>
    <row r="69" ht="19.5" customHeight="1">
      <c r="A69" s="151" t="str">
        <f>Locsolieu!A64</f>
        <v>196</v>
      </c>
      <c r="B69" s="152">
        <f>Locsolieu!C64</f>
        <v>7.7639</v>
      </c>
      <c r="C69" s="132">
        <f>Locsolieu!D64*$C$4</f>
        <v>0.26956</v>
      </c>
      <c r="D69" s="133">
        <f>Locsolieu!E64*$C$4</f>
        <v>0.32561</v>
      </c>
      <c r="E69" s="153">
        <f>Locsolieu!F64</f>
        <v>7.3679</v>
      </c>
      <c r="F69" s="135">
        <v>510.0</v>
      </c>
      <c r="G69" s="136">
        <v>20.0</v>
      </c>
      <c r="H69" s="136">
        <v>30.0</v>
      </c>
      <c r="I69" s="136">
        <v>3.0</v>
      </c>
      <c r="J69" s="136">
        <f t="shared" si="31"/>
        <v>27</v>
      </c>
      <c r="K69" s="137">
        <f t="shared" si="5"/>
        <v>3.471966409</v>
      </c>
      <c r="L69" s="137">
        <f t="shared" si="6"/>
        <v>4.419305365</v>
      </c>
      <c r="M69" s="138" t="str">
        <f t="shared" si="32"/>
        <v>#REF!</v>
      </c>
      <c r="N69" s="138" t="str">
        <f t="shared" si="33"/>
        <v>#REF!</v>
      </c>
      <c r="O69" s="139">
        <f t="shared" si="7"/>
        <v>45000</v>
      </c>
      <c r="P69" s="140">
        <f t="shared" ref="P69:Q69" si="258">0.1+0.11/(0.1+MAX((K69/$H69),(0.5-(0.01*(0.7*$F69/$H69))-0.01*$E$2)))</f>
        <v>0.3777777778</v>
      </c>
      <c r="Q69" s="140">
        <f t="shared" si="258"/>
        <v>0.3777777778</v>
      </c>
      <c r="R69" s="139" t="str">
        <f t="shared" si="9"/>
        <v>#REF!</v>
      </c>
      <c r="S69" s="139" t="str">
        <f t="shared" si="10"/>
        <v>#REF!</v>
      </c>
      <c r="T69" s="141" t="str">
        <f t="shared" si="11"/>
        <v>#REF!</v>
      </c>
      <c r="U69" s="141" t="str">
        <f t="shared" si="12"/>
        <v>#REF!</v>
      </c>
      <c r="V69" s="142" t="str">
        <f t="shared" ref="V69:W69" si="259">IF(T69*K69&gt;=((0.5*$H69)-$I69),((T69*K69)-(0.5*$H69)+$I69),(0.5*$H69)-(T69*K69)-$I69)</f>
        <v>#REF!</v>
      </c>
      <c r="W69" s="142" t="str">
        <f t="shared" si="259"/>
        <v>#REF!</v>
      </c>
      <c r="X69" s="137" t="str">
        <f t="shared" ref="X69:Y69" si="260">(T69*K69)+(0.5*$H69)-$I69</f>
        <v>#REF!</v>
      </c>
      <c r="Y69" s="137" t="str">
        <f t="shared" si="260"/>
        <v>#REF!</v>
      </c>
      <c r="Z69" s="142">
        <f t="shared" si="15"/>
        <v>5.477004257</v>
      </c>
      <c r="AA69" s="142">
        <f t="shared" si="16"/>
        <v>5.197648046</v>
      </c>
      <c r="AB69" s="142">
        <f t="shared" ref="AB69:AC69" si="261">($H$2+((1-$H$2)/(1+50*(K69/$H69)^2)))*$J69</f>
        <v>23.20970862</v>
      </c>
      <c r="AC69" s="142">
        <f t="shared" si="261"/>
        <v>22.08234271</v>
      </c>
      <c r="AD69" s="142" t="str">
        <f t="shared" si="18"/>
        <v>#REF!</v>
      </c>
      <c r="AE69" s="142" t="str">
        <f t="shared" si="19"/>
        <v>#REF!</v>
      </c>
      <c r="AF69" s="143" t="str">
        <f t="shared" si="20"/>
        <v>#REF!</v>
      </c>
      <c r="AG69" s="154" t="str">
        <f t="shared" si="21"/>
        <v>#REF!</v>
      </c>
      <c r="AH69" s="145" t="str">
        <f t="shared" si="22"/>
        <v>#REF!</v>
      </c>
      <c r="AI69" s="146" t="str">
        <f t="shared" si="23"/>
        <v>#REF!</v>
      </c>
      <c r="AJ69" s="147" t="str">
        <f t="shared" si="24"/>
        <v>#REF!</v>
      </c>
      <c r="AK69" s="155"/>
      <c r="AL69" s="155"/>
      <c r="AM69" s="155"/>
      <c r="AN69" s="155"/>
      <c r="AO69" s="147">
        <f t="shared" si="25"/>
        <v>0</v>
      </c>
      <c r="AP69" s="147">
        <f t="shared" si="26"/>
        <v>0</v>
      </c>
      <c r="AQ69" s="150"/>
      <c r="AR69" s="8"/>
      <c r="AS69" s="91"/>
      <c r="AT69" s="8"/>
      <c r="AU69" s="8"/>
      <c r="AV69" s="8"/>
      <c r="AW69" s="8"/>
      <c r="AX69" s="8"/>
    </row>
    <row r="70" ht="19.5" customHeight="1">
      <c r="A70" s="151" t="str">
        <f>Locsolieu!A65</f>
        <v>197</v>
      </c>
      <c r="B70" s="152">
        <f>Locsolieu!C65</f>
        <v>15.5252</v>
      </c>
      <c r="C70" s="132">
        <f>Locsolieu!D65*$C$4</f>
        <v>0.06943</v>
      </c>
      <c r="D70" s="133">
        <f>Locsolieu!E65*$C$4</f>
        <v>0.13816</v>
      </c>
      <c r="E70" s="153">
        <f>Locsolieu!F65</f>
        <v>15.2282</v>
      </c>
      <c r="F70" s="135">
        <v>510.0</v>
      </c>
      <c r="G70" s="136">
        <v>20.0</v>
      </c>
      <c r="H70" s="136">
        <v>30.0</v>
      </c>
      <c r="I70" s="136">
        <v>3.0</v>
      </c>
      <c r="J70" s="136">
        <f t="shared" si="31"/>
        <v>27</v>
      </c>
      <c r="K70" s="137">
        <f t="shared" si="5"/>
        <v>1</v>
      </c>
      <c r="L70" s="137">
        <f t="shared" si="6"/>
        <v>1</v>
      </c>
      <c r="M70" s="138" t="str">
        <f t="shared" si="32"/>
        <v>#REF!</v>
      </c>
      <c r="N70" s="138" t="str">
        <f t="shared" si="33"/>
        <v>#REF!</v>
      </c>
      <c r="O70" s="139">
        <f t="shared" si="7"/>
        <v>45000</v>
      </c>
      <c r="P70" s="140">
        <f t="shared" ref="P70:Q70" si="262">0.1+0.11/(0.1+MAX((K70/$H70),(0.5-(0.01*(0.7*$F70/$H70))-0.01*$E$2)))</f>
        <v>0.3777777778</v>
      </c>
      <c r="Q70" s="140">
        <f t="shared" si="262"/>
        <v>0.3777777778</v>
      </c>
      <c r="R70" s="139" t="str">
        <f t="shared" si="9"/>
        <v>#REF!</v>
      </c>
      <c r="S70" s="139" t="str">
        <f t="shared" si="10"/>
        <v>#REF!</v>
      </c>
      <c r="T70" s="141" t="str">
        <f t="shared" si="11"/>
        <v>#REF!</v>
      </c>
      <c r="U70" s="141" t="str">
        <f t="shared" si="12"/>
        <v>#REF!</v>
      </c>
      <c r="V70" s="142" t="str">
        <f t="shared" ref="V70:W70" si="263">IF(T70*K70&gt;=((0.5*$H70)-$I70),((T70*K70)-(0.5*$H70)+$I70),(0.5*$H70)-(T70*K70)-$I70)</f>
        <v>#REF!</v>
      </c>
      <c r="W70" s="142" t="str">
        <f t="shared" si="263"/>
        <v>#REF!</v>
      </c>
      <c r="X70" s="137" t="str">
        <f t="shared" ref="X70:Y70" si="264">(T70*K70)+(0.5*$H70)-$I70</f>
        <v>#REF!</v>
      </c>
      <c r="Y70" s="137" t="str">
        <f t="shared" si="264"/>
        <v>#REF!</v>
      </c>
      <c r="Z70" s="142">
        <f t="shared" si="15"/>
        <v>10.95217436</v>
      </c>
      <c r="AA70" s="142">
        <f t="shared" si="16"/>
        <v>10.7426572</v>
      </c>
      <c r="AB70" s="142">
        <f t="shared" ref="AB70:AC70" si="265">($H$2+((1-$H$2)/(1+50*(K70/$H70)^2)))*$J70</f>
        <v>26.50263158</v>
      </c>
      <c r="AC70" s="142">
        <f t="shared" si="265"/>
        <v>26.50263158</v>
      </c>
      <c r="AD70" s="142" t="str">
        <f t="shared" si="18"/>
        <v>#REF!</v>
      </c>
      <c r="AE70" s="142" t="str">
        <f t="shared" si="19"/>
        <v>#REF!</v>
      </c>
      <c r="AF70" s="143" t="str">
        <f t="shared" si="20"/>
        <v>#REF!</v>
      </c>
      <c r="AG70" s="154" t="str">
        <f t="shared" si="21"/>
        <v>#REF!</v>
      </c>
      <c r="AH70" s="145" t="str">
        <f t="shared" si="22"/>
        <v>#REF!</v>
      </c>
      <c r="AI70" s="146" t="str">
        <f t="shared" si="23"/>
        <v>#REF!</v>
      </c>
      <c r="AJ70" s="147" t="str">
        <f t="shared" si="24"/>
        <v>#REF!</v>
      </c>
      <c r="AK70" s="155"/>
      <c r="AL70" s="155"/>
      <c r="AM70" s="155"/>
      <c r="AN70" s="155"/>
      <c r="AO70" s="147">
        <f t="shared" si="25"/>
        <v>0</v>
      </c>
      <c r="AP70" s="147">
        <f t="shared" si="26"/>
        <v>0</v>
      </c>
      <c r="AQ70" s="150"/>
      <c r="AR70" s="8"/>
      <c r="AS70" s="91"/>
      <c r="AT70" s="8"/>
      <c r="AU70" s="8"/>
      <c r="AV70" s="8"/>
      <c r="AW70" s="8"/>
      <c r="AX70" s="8"/>
    </row>
    <row r="71" ht="19.5" customHeight="1">
      <c r="A71" s="151" t="str">
        <f>Locsolieu!A66</f>
        <v>198</v>
      </c>
      <c r="B71" s="152">
        <f>Locsolieu!C66</f>
        <v>11.4052</v>
      </c>
      <c r="C71" s="132">
        <f>Locsolieu!D66*$C$4</f>
        <v>0.1406</v>
      </c>
      <c r="D71" s="133">
        <f>Locsolieu!E66*$C$4</f>
        <v>0.1406</v>
      </c>
      <c r="E71" s="153">
        <f>Locsolieu!F66</f>
        <v>11.4052</v>
      </c>
      <c r="F71" s="135">
        <v>510.0</v>
      </c>
      <c r="G71" s="136">
        <v>20.0</v>
      </c>
      <c r="H71" s="136">
        <v>30.0</v>
      </c>
      <c r="I71" s="136">
        <v>3.0</v>
      </c>
      <c r="J71" s="136">
        <f t="shared" si="31"/>
        <v>27</v>
      </c>
      <c r="K71" s="137">
        <f t="shared" si="5"/>
        <v>1.232771017</v>
      </c>
      <c r="L71" s="137">
        <f t="shared" si="6"/>
        <v>1.232771017</v>
      </c>
      <c r="M71" s="138" t="str">
        <f t="shared" si="32"/>
        <v>#REF!</v>
      </c>
      <c r="N71" s="138" t="str">
        <f t="shared" si="33"/>
        <v>#REF!</v>
      </c>
      <c r="O71" s="139">
        <f t="shared" si="7"/>
        <v>45000</v>
      </c>
      <c r="P71" s="140">
        <f t="shared" ref="P71:Q71" si="266">0.1+0.11/(0.1+MAX((K71/$H71),(0.5-(0.01*(0.7*$F71/$H71))-0.01*$E$2)))</f>
        <v>0.3777777778</v>
      </c>
      <c r="Q71" s="140">
        <f t="shared" si="266"/>
        <v>0.3777777778</v>
      </c>
      <c r="R71" s="139" t="str">
        <f t="shared" si="9"/>
        <v>#REF!</v>
      </c>
      <c r="S71" s="139" t="str">
        <f t="shared" si="10"/>
        <v>#REF!</v>
      </c>
      <c r="T71" s="141" t="str">
        <f t="shared" si="11"/>
        <v>#REF!</v>
      </c>
      <c r="U71" s="141" t="str">
        <f t="shared" si="12"/>
        <v>#REF!</v>
      </c>
      <c r="V71" s="142" t="str">
        <f t="shared" ref="V71:W71" si="267">IF(T71*K71&gt;=((0.5*$H71)-$I71),((T71*K71)-(0.5*$H71)+$I71),(0.5*$H71)-(T71*K71)-$I71)</f>
        <v>#REF!</v>
      </c>
      <c r="W71" s="142" t="str">
        <f t="shared" si="267"/>
        <v>#REF!</v>
      </c>
      <c r="X71" s="137" t="str">
        <f t="shared" ref="X71:Y71" si="268">(T71*K71)+(0.5*$H71)-$I71</f>
        <v>#REF!</v>
      </c>
      <c r="Y71" s="137" t="str">
        <f t="shared" si="268"/>
        <v>#REF!</v>
      </c>
      <c r="Z71" s="142">
        <f t="shared" si="15"/>
        <v>8.045741052</v>
      </c>
      <c r="AA71" s="142">
        <f t="shared" si="16"/>
        <v>8.045741052</v>
      </c>
      <c r="AB71" s="142">
        <f t="shared" ref="AB71:AC71" si="269">($H$2+((1-$H$2)/(1+50*(K71/$H71)^2)))*$J71</f>
        <v>26.26426239</v>
      </c>
      <c r="AC71" s="142">
        <f t="shared" si="269"/>
        <v>26.26426239</v>
      </c>
      <c r="AD71" s="142" t="str">
        <f t="shared" si="18"/>
        <v>#REF!</v>
      </c>
      <c r="AE71" s="142" t="str">
        <f t="shared" si="19"/>
        <v>#REF!</v>
      </c>
      <c r="AF71" s="143" t="str">
        <f t="shared" si="20"/>
        <v>#REF!</v>
      </c>
      <c r="AG71" s="154" t="str">
        <f t="shared" si="21"/>
        <v>#REF!</v>
      </c>
      <c r="AH71" s="145" t="str">
        <f t="shared" si="22"/>
        <v>#REF!</v>
      </c>
      <c r="AI71" s="146" t="str">
        <f t="shared" si="23"/>
        <v>#REF!</v>
      </c>
      <c r="AJ71" s="147" t="str">
        <f t="shared" si="24"/>
        <v>#REF!</v>
      </c>
      <c r="AK71" s="155"/>
      <c r="AL71" s="155"/>
      <c r="AM71" s="155"/>
      <c r="AN71" s="155"/>
      <c r="AO71" s="147">
        <f t="shared" si="25"/>
        <v>0</v>
      </c>
      <c r="AP71" s="147">
        <f t="shared" si="26"/>
        <v>0</v>
      </c>
      <c r="AQ71" s="150"/>
      <c r="AR71" s="8"/>
      <c r="AS71" s="91"/>
      <c r="AT71" s="8"/>
      <c r="AU71" s="8"/>
      <c r="AV71" s="8"/>
      <c r="AW71" s="8"/>
      <c r="AX71" s="8"/>
    </row>
    <row r="72" ht="19.5" customHeight="1">
      <c r="A72" s="151" t="str">
        <f>Locsolieu!A67</f>
        <v>199</v>
      </c>
      <c r="B72" s="152">
        <f>Locsolieu!C67</f>
        <v>7.0134</v>
      </c>
      <c r="C72" s="132">
        <f>Locsolieu!D67*$C$4</f>
        <v>0.27572</v>
      </c>
      <c r="D72" s="133">
        <f>Locsolieu!E67*$C$4</f>
        <v>0.33733</v>
      </c>
      <c r="E72" s="153">
        <f>Locsolieu!F67</f>
        <v>6.6174</v>
      </c>
      <c r="F72" s="135">
        <v>510.0</v>
      </c>
      <c r="G72" s="136">
        <v>20.0</v>
      </c>
      <c r="H72" s="136">
        <v>30.0</v>
      </c>
      <c r="I72" s="136">
        <v>3.0</v>
      </c>
      <c r="J72" s="136">
        <f t="shared" si="31"/>
        <v>27</v>
      </c>
      <c r="K72" s="137">
        <f t="shared" si="5"/>
        <v>3.931331451</v>
      </c>
      <c r="L72" s="137">
        <f t="shared" si="6"/>
        <v>5.097621422</v>
      </c>
      <c r="M72" s="138" t="str">
        <f t="shared" si="32"/>
        <v>#REF!</v>
      </c>
      <c r="N72" s="138" t="str">
        <f t="shared" si="33"/>
        <v>#REF!</v>
      </c>
      <c r="O72" s="139">
        <f t="shared" si="7"/>
        <v>45000</v>
      </c>
      <c r="P72" s="140">
        <f t="shared" ref="P72:Q72" si="270">0.1+0.11/(0.1+MAX((K72/$H72),(0.5-(0.01*(0.7*$F72/$H72))-0.01*$E$2)))</f>
        <v>0.3777777778</v>
      </c>
      <c r="Q72" s="140">
        <f t="shared" si="270"/>
        <v>0.3777777778</v>
      </c>
      <c r="R72" s="139" t="str">
        <f t="shared" si="9"/>
        <v>#REF!</v>
      </c>
      <c r="S72" s="139" t="str">
        <f t="shared" si="10"/>
        <v>#REF!</v>
      </c>
      <c r="T72" s="141" t="str">
        <f t="shared" si="11"/>
        <v>#REF!</v>
      </c>
      <c r="U72" s="141" t="str">
        <f t="shared" si="12"/>
        <v>#REF!</v>
      </c>
      <c r="V72" s="142" t="str">
        <f t="shared" ref="V72:W72" si="271">IF(T72*K72&gt;=((0.5*$H72)-$I72),((T72*K72)-(0.5*$H72)+$I72),(0.5*$H72)-(T72*K72)-$I72)</f>
        <v>#REF!</v>
      </c>
      <c r="W72" s="142" t="str">
        <f t="shared" si="271"/>
        <v>#REF!</v>
      </c>
      <c r="X72" s="137" t="str">
        <f t="shared" ref="X72:Y72" si="272">(T72*K72)+(0.5*$H72)-$I72</f>
        <v>#REF!</v>
      </c>
      <c r="Y72" s="137" t="str">
        <f t="shared" si="272"/>
        <v>#REF!</v>
      </c>
      <c r="Z72" s="142">
        <f t="shared" si="15"/>
        <v>4.947567802</v>
      </c>
      <c r="AA72" s="142">
        <f t="shared" si="16"/>
        <v>4.668211591</v>
      </c>
      <c r="AB72" s="142">
        <f t="shared" ref="AB72:AC72" si="273">($H$2+((1-$H$2)/(1+50*(K72/$H72)^2)))*$J72</f>
        <v>22.63438602</v>
      </c>
      <c r="AC72" s="142">
        <f t="shared" si="273"/>
        <v>21.41716204</v>
      </c>
      <c r="AD72" s="142" t="str">
        <f t="shared" si="18"/>
        <v>#REF!</v>
      </c>
      <c r="AE72" s="142" t="str">
        <f t="shared" si="19"/>
        <v>#REF!</v>
      </c>
      <c r="AF72" s="143" t="str">
        <f t="shared" si="20"/>
        <v>#REF!</v>
      </c>
      <c r="AG72" s="154" t="str">
        <f t="shared" si="21"/>
        <v>#REF!</v>
      </c>
      <c r="AH72" s="145" t="str">
        <f t="shared" si="22"/>
        <v>#REF!</v>
      </c>
      <c r="AI72" s="146" t="str">
        <f t="shared" si="23"/>
        <v>#REF!</v>
      </c>
      <c r="AJ72" s="147" t="str">
        <f t="shared" si="24"/>
        <v>#REF!</v>
      </c>
      <c r="AK72" s="155"/>
      <c r="AL72" s="155"/>
      <c r="AM72" s="155"/>
      <c r="AN72" s="155"/>
      <c r="AO72" s="147">
        <f t="shared" si="25"/>
        <v>0</v>
      </c>
      <c r="AP72" s="147">
        <f t="shared" si="26"/>
        <v>0</v>
      </c>
      <c r="AQ72" s="150"/>
      <c r="AR72" s="8"/>
      <c r="AS72" s="91"/>
      <c r="AT72" s="8"/>
      <c r="AU72" s="8"/>
      <c r="AV72" s="8"/>
      <c r="AW72" s="8"/>
      <c r="AX72" s="8"/>
    </row>
    <row r="73" ht="19.5" customHeight="1">
      <c r="A73" s="151" t="str">
        <f>Locsolieu!A68</f>
        <v>200</v>
      </c>
      <c r="B73" s="152">
        <f>Locsolieu!C68</f>
        <v>17.5754</v>
      </c>
      <c r="C73" s="132">
        <f>Locsolieu!D68*$C$4</f>
        <v>0.03651</v>
      </c>
      <c r="D73" s="133">
        <f>Locsolieu!E68*$C$4</f>
        <v>0.07615</v>
      </c>
      <c r="E73" s="153">
        <f>Locsolieu!F68</f>
        <v>17.2784</v>
      </c>
      <c r="F73" s="135">
        <v>510.0</v>
      </c>
      <c r="G73" s="136">
        <v>20.0</v>
      </c>
      <c r="H73" s="136">
        <v>30.0</v>
      </c>
      <c r="I73" s="136">
        <v>3.0</v>
      </c>
      <c r="J73" s="136">
        <f t="shared" si="31"/>
        <v>27</v>
      </c>
      <c r="K73" s="137">
        <f t="shared" si="5"/>
        <v>1</v>
      </c>
      <c r="L73" s="137">
        <f t="shared" si="6"/>
        <v>1</v>
      </c>
      <c r="M73" s="138" t="str">
        <f t="shared" si="32"/>
        <v>#REF!</v>
      </c>
      <c r="N73" s="138" t="str">
        <f t="shared" si="33"/>
        <v>#REF!</v>
      </c>
      <c r="O73" s="139">
        <f t="shared" si="7"/>
        <v>45000</v>
      </c>
      <c r="P73" s="140">
        <f t="shared" ref="P73:Q73" si="274">0.1+0.11/(0.1+MAX((K73/$H73),(0.5-(0.01*(0.7*$F73/$H73))-0.01*$E$2)))</f>
        <v>0.3777777778</v>
      </c>
      <c r="Q73" s="140">
        <f t="shared" si="274"/>
        <v>0.3777777778</v>
      </c>
      <c r="R73" s="139" t="str">
        <f t="shared" si="9"/>
        <v>#REF!</v>
      </c>
      <c r="S73" s="139" t="str">
        <f t="shared" si="10"/>
        <v>#REF!</v>
      </c>
      <c r="T73" s="141" t="str">
        <f t="shared" si="11"/>
        <v>#REF!</v>
      </c>
      <c r="U73" s="141" t="str">
        <f t="shared" si="12"/>
        <v>#REF!</v>
      </c>
      <c r="V73" s="142" t="str">
        <f t="shared" ref="V73:W73" si="275">IF(T73*K73&gt;=((0.5*$H73)-$I73),((T73*K73)-(0.5*$H73)+$I73),(0.5*$H73)-(T73*K73)-$I73)</f>
        <v>#REF!</v>
      </c>
      <c r="W73" s="142" t="str">
        <f t="shared" si="275"/>
        <v>#REF!</v>
      </c>
      <c r="X73" s="137" t="str">
        <f t="shared" ref="X73:Y73" si="276">(T73*K73)+(0.5*$H73)-$I73</f>
        <v>#REF!</v>
      </c>
      <c r="Y73" s="137" t="str">
        <f t="shared" si="276"/>
        <v>#REF!</v>
      </c>
      <c r="Z73" s="142">
        <f t="shared" si="15"/>
        <v>12.39847765</v>
      </c>
      <c r="AA73" s="142">
        <f t="shared" si="16"/>
        <v>12.18896049</v>
      </c>
      <c r="AB73" s="142">
        <f t="shared" ref="AB73:AC73" si="277">($H$2+((1-$H$2)/(1+50*(K73/$H73)^2)))*$J73</f>
        <v>26.50263158</v>
      </c>
      <c r="AC73" s="142">
        <f t="shared" si="277"/>
        <v>26.50263158</v>
      </c>
      <c r="AD73" s="142" t="str">
        <f t="shared" si="18"/>
        <v>#REF!</v>
      </c>
      <c r="AE73" s="142" t="str">
        <f t="shared" si="19"/>
        <v>#REF!</v>
      </c>
      <c r="AF73" s="143" t="str">
        <f t="shared" si="20"/>
        <v>#REF!</v>
      </c>
      <c r="AG73" s="154" t="str">
        <f t="shared" si="21"/>
        <v>#REF!</v>
      </c>
      <c r="AH73" s="145" t="str">
        <f t="shared" si="22"/>
        <v>#REF!</v>
      </c>
      <c r="AI73" s="146" t="str">
        <f t="shared" si="23"/>
        <v>#REF!</v>
      </c>
      <c r="AJ73" s="147" t="str">
        <f t="shared" si="24"/>
        <v>#REF!</v>
      </c>
      <c r="AK73" s="155"/>
      <c r="AL73" s="155"/>
      <c r="AM73" s="155"/>
      <c r="AN73" s="155"/>
      <c r="AO73" s="147">
        <f t="shared" si="25"/>
        <v>0</v>
      </c>
      <c r="AP73" s="147">
        <f t="shared" si="26"/>
        <v>0</v>
      </c>
      <c r="AQ73" s="150"/>
      <c r="AR73" s="8"/>
      <c r="AS73" s="91"/>
      <c r="AT73" s="8"/>
      <c r="AU73" s="8"/>
      <c r="AV73" s="8"/>
      <c r="AW73" s="8"/>
      <c r="AX73" s="8"/>
    </row>
    <row r="74" ht="19.5" customHeight="1">
      <c r="A74" s="151" t="str">
        <f>Locsolieu!A69</f>
        <v>201</v>
      </c>
      <c r="B74" s="152">
        <f>Locsolieu!C69</f>
        <v>11.9753</v>
      </c>
      <c r="C74" s="132">
        <f>Locsolieu!D69*$C$4</f>
        <v>0.0939</v>
      </c>
      <c r="D74" s="133">
        <f>Locsolieu!E69*$C$4</f>
        <v>0.09828</v>
      </c>
      <c r="E74" s="153">
        <f>Locsolieu!F69</f>
        <v>11.5793</v>
      </c>
      <c r="F74" s="135">
        <v>510.0</v>
      </c>
      <c r="G74" s="136">
        <v>20.0</v>
      </c>
      <c r="H74" s="136">
        <v>30.0</v>
      </c>
      <c r="I74" s="136">
        <v>3.0</v>
      </c>
      <c r="J74" s="136">
        <f t="shared" si="31"/>
        <v>27</v>
      </c>
      <c r="K74" s="137">
        <f t="shared" si="5"/>
        <v>1</v>
      </c>
      <c r="L74" s="137">
        <f t="shared" si="6"/>
        <v>1</v>
      </c>
      <c r="M74" s="138" t="str">
        <f t="shared" si="32"/>
        <v>#REF!</v>
      </c>
      <c r="N74" s="138" t="str">
        <f t="shared" si="33"/>
        <v>#REF!</v>
      </c>
      <c r="O74" s="139">
        <f t="shared" si="7"/>
        <v>45000</v>
      </c>
      <c r="P74" s="140">
        <f t="shared" ref="P74:Q74" si="278">0.1+0.11/(0.1+MAX((K74/$H74),(0.5-(0.01*(0.7*$F74/$H74))-0.01*$E$2)))</f>
        <v>0.3777777778</v>
      </c>
      <c r="Q74" s="140">
        <f t="shared" si="278"/>
        <v>0.3777777778</v>
      </c>
      <c r="R74" s="139" t="str">
        <f t="shared" si="9"/>
        <v>#REF!</v>
      </c>
      <c r="S74" s="139" t="str">
        <f t="shared" si="10"/>
        <v>#REF!</v>
      </c>
      <c r="T74" s="141" t="str">
        <f t="shared" si="11"/>
        <v>#REF!</v>
      </c>
      <c r="U74" s="141" t="str">
        <f t="shared" si="12"/>
        <v>#REF!</v>
      </c>
      <c r="V74" s="142" t="str">
        <f t="shared" ref="V74:W74" si="279">IF(T74*K74&gt;=((0.5*$H74)-$I74),((T74*K74)-(0.5*$H74)+$I74),(0.5*$H74)-(T74*K74)-$I74)</f>
        <v>#REF!</v>
      </c>
      <c r="W74" s="142" t="str">
        <f t="shared" si="279"/>
        <v>#REF!</v>
      </c>
      <c r="X74" s="137" t="str">
        <f t="shared" ref="X74:Y74" si="280">(T74*K74)+(0.5*$H74)-$I74</f>
        <v>#REF!</v>
      </c>
      <c r="Y74" s="137" t="str">
        <f t="shared" si="280"/>
        <v>#REF!</v>
      </c>
      <c r="Z74" s="142">
        <f t="shared" si="15"/>
        <v>8.447915234</v>
      </c>
      <c r="AA74" s="142">
        <f t="shared" si="16"/>
        <v>8.168559023</v>
      </c>
      <c r="AB74" s="142">
        <f t="shared" ref="AB74:AC74" si="281">($H$2+((1-$H$2)/(1+50*(K74/$H74)^2)))*$J74</f>
        <v>26.50263158</v>
      </c>
      <c r="AC74" s="142">
        <f t="shared" si="281"/>
        <v>26.50263158</v>
      </c>
      <c r="AD74" s="142" t="str">
        <f t="shared" si="18"/>
        <v>#REF!</v>
      </c>
      <c r="AE74" s="142" t="str">
        <f t="shared" si="19"/>
        <v>#REF!</v>
      </c>
      <c r="AF74" s="143" t="str">
        <f t="shared" si="20"/>
        <v>#REF!</v>
      </c>
      <c r="AG74" s="154" t="str">
        <f t="shared" si="21"/>
        <v>#REF!</v>
      </c>
      <c r="AH74" s="145" t="str">
        <f t="shared" si="22"/>
        <v>#REF!</v>
      </c>
      <c r="AI74" s="146" t="str">
        <f t="shared" si="23"/>
        <v>#REF!</v>
      </c>
      <c r="AJ74" s="147" t="str">
        <f t="shared" si="24"/>
        <v>#REF!</v>
      </c>
      <c r="AK74" s="155"/>
      <c r="AL74" s="155"/>
      <c r="AM74" s="155"/>
      <c r="AN74" s="155"/>
      <c r="AO74" s="147">
        <f t="shared" si="25"/>
        <v>0</v>
      </c>
      <c r="AP74" s="147">
        <f t="shared" si="26"/>
        <v>0</v>
      </c>
      <c r="AQ74" s="150"/>
      <c r="AR74" s="8"/>
      <c r="AS74" s="91"/>
      <c r="AT74" s="8"/>
      <c r="AU74" s="8"/>
      <c r="AV74" s="8"/>
      <c r="AW74" s="8"/>
      <c r="AX74" s="8"/>
    </row>
    <row r="75" ht="19.5" customHeight="1">
      <c r="A75" s="151" t="str">
        <f>Locsolieu!A70</f>
        <v>202</v>
      </c>
      <c r="B75" s="152">
        <f>Locsolieu!C70</f>
        <v>6.4629</v>
      </c>
      <c r="C75" s="132">
        <f>Locsolieu!D70*$C$4</f>
        <v>0.05593</v>
      </c>
      <c r="D75" s="133">
        <f>Locsolieu!E70*$C$4</f>
        <v>0.07559</v>
      </c>
      <c r="E75" s="153">
        <f>Locsolieu!F70</f>
        <v>6.0669</v>
      </c>
      <c r="F75" s="135">
        <v>510.0</v>
      </c>
      <c r="G75" s="136">
        <v>20.0</v>
      </c>
      <c r="H75" s="136">
        <v>30.0</v>
      </c>
      <c r="I75" s="136">
        <v>3.0</v>
      </c>
      <c r="J75" s="136">
        <f t="shared" si="31"/>
        <v>27</v>
      </c>
      <c r="K75" s="137">
        <f t="shared" si="5"/>
        <v>1</v>
      </c>
      <c r="L75" s="137">
        <f t="shared" si="6"/>
        <v>1.24594109</v>
      </c>
      <c r="M75" s="138" t="str">
        <f t="shared" si="32"/>
        <v>#REF!</v>
      </c>
      <c r="N75" s="138" t="str">
        <f t="shared" si="33"/>
        <v>#REF!</v>
      </c>
      <c r="O75" s="139">
        <f t="shared" si="7"/>
        <v>45000</v>
      </c>
      <c r="P75" s="140">
        <f t="shared" ref="P75:Q75" si="282">0.1+0.11/(0.1+MAX((K75/$H75),(0.5-(0.01*(0.7*$F75/$H75))-0.01*$E$2)))</f>
        <v>0.3777777778</v>
      </c>
      <c r="Q75" s="140">
        <f t="shared" si="282"/>
        <v>0.3777777778</v>
      </c>
      <c r="R75" s="139" t="str">
        <f t="shared" si="9"/>
        <v>#REF!</v>
      </c>
      <c r="S75" s="139" t="str">
        <f t="shared" si="10"/>
        <v>#REF!</v>
      </c>
      <c r="T75" s="141" t="str">
        <f t="shared" si="11"/>
        <v>#REF!</v>
      </c>
      <c r="U75" s="141" t="str">
        <f t="shared" si="12"/>
        <v>#REF!</v>
      </c>
      <c r="V75" s="142" t="str">
        <f t="shared" ref="V75:W75" si="283">IF(T75*K75&gt;=((0.5*$H75)-$I75),((T75*K75)-(0.5*$H75)+$I75),(0.5*$H75)-(T75*K75)-$I75)</f>
        <v>#REF!</v>
      </c>
      <c r="W75" s="142" t="str">
        <f t="shared" si="283"/>
        <v>#REF!</v>
      </c>
      <c r="X75" s="137" t="str">
        <f t="shared" ref="X75:Y75" si="284">(T75*K75)+(0.5*$H75)-$I75</f>
        <v>#REF!</v>
      </c>
      <c r="Y75" s="137" t="str">
        <f t="shared" si="284"/>
        <v>#REF!</v>
      </c>
      <c r="Z75" s="142">
        <f t="shared" si="15"/>
        <v>4.559220342</v>
      </c>
      <c r="AA75" s="142">
        <f t="shared" si="16"/>
        <v>4.279864131</v>
      </c>
      <c r="AB75" s="142">
        <f t="shared" ref="AB75:AC75" si="285">($H$2+((1-$H$2)/(1+50*(K75/$H75)^2)))*$J75</f>
        <v>26.50263158</v>
      </c>
      <c r="AC75" s="142">
        <f t="shared" si="285"/>
        <v>26.24971297</v>
      </c>
      <c r="AD75" s="142" t="str">
        <f t="shared" si="18"/>
        <v>#REF!</v>
      </c>
      <c r="AE75" s="142" t="str">
        <f t="shared" si="19"/>
        <v>#REF!</v>
      </c>
      <c r="AF75" s="143" t="str">
        <f t="shared" si="20"/>
        <v>#REF!</v>
      </c>
      <c r="AG75" s="154" t="str">
        <f t="shared" si="21"/>
        <v>#REF!</v>
      </c>
      <c r="AH75" s="145" t="str">
        <f t="shared" si="22"/>
        <v>#REF!</v>
      </c>
      <c r="AI75" s="146" t="str">
        <f t="shared" si="23"/>
        <v>#REF!</v>
      </c>
      <c r="AJ75" s="147" t="str">
        <f t="shared" si="24"/>
        <v>#REF!</v>
      </c>
      <c r="AK75" s="155"/>
      <c r="AL75" s="155"/>
      <c r="AM75" s="155"/>
      <c r="AN75" s="155"/>
      <c r="AO75" s="147">
        <f t="shared" si="25"/>
        <v>0</v>
      </c>
      <c r="AP75" s="147">
        <f t="shared" si="26"/>
        <v>0</v>
      </c>
      <c r="AQ75" s="150"/>
      <c r="AR75" s="8"/>
      <c r="AS75" s="91"/>
      <c r="AT75" s="8"/>
      <c r="AU75" s="8"/>
      <c r="AV75" s="8"/>
      <c r="AW75" s="8"/>
      <c r="AX75" s="8"/>
    </row>
    <row r="76" ht="19.5" customHeight="1">
      <c r="A76" s="151" t="str">
        <f>Locsolieu!A71</f>
        <v>203</v>
      </c>
      <c r="B76" s="152">
        <f>Locsolieu!C71</f>
        <v>13.7317</v>
      </c>
      <c r="C76" s="132">
        <f>Locsolieu!D71*$C$4</f>
        <v>0.02259</v>
      </c>
      <c r="D76" s="133">
        <f>Locsolieu!E71*$C$4</f>
        <v>0.04369</v>
      </c>
      <c r="E76" s="153">
        <f>Locsolieu!F71</f>
        <v>13.4347</v>
      </c>
      <c r="F76" s="135">
        <v>510.0</v>
      </c>
      <c r="G76" s="136">
        <v>20.0</v>
      </c>
      <c r="H76" s="136">
        <v>30.0</v>
      </c>
      <c r="I76" s="136">
        <v>3.0</v>
      </c>
      <c r="J76" s="136">
        <f t="shared" si="31"/>
        <v>27</v>
      </c>
      <c r="K76" s="137">
        <f t="shared" si="5"/>
        <v>1</v>
      </c>
      <c r="L76" s="137">
        <f t="shared" si="6"/>
        <v>1</v>
      </c>
      <c r="M76" s="138" t="str">
        <f t="shared" si="32"/>
        <v>#REF!</v>
      </c>
      <c r="N76" s="138" t="str">
        <f t="shared" si="33"/>
        <v>#REF!</v>
      </c>
      <c r="O76" s="139">
        <f t="shared" si="7"/>
        <v>45000</v>
      </c>
      <c r="P76" s="140">
        <f t="shared" ref="P76:Q76" si="286">0.1+0.11/(0.1+MAX((K76/$H76),(0.5-(0.01*(0.7*$F76/$H76))-0.01*$E$2)))</f>
        <v>0.3777777778</v>
      </c>
      <c r="Q76" s="140">
        <f t="shared" si="286"/>
        <v>0.3777777778</v>
      </c>
      <c r="R76" s="139" t="str">
        <f t="shared" si="9"/>
        <v>#REF!</v>
      </c>
      <c r="S76" s="139" t="str">
        <f t="shared" si="10"/>
        <v>#REF!</v>
      </c>
      <c r="T76" s="141" t="str">
        <f t="shared" si="11"/>
        <v>#REF!</v>
      </c>
      <c r="U76" s="141" t="str">
        <f t="shared" si="12"/>
        <v>#REF!</v>
      </c>
      <c r="V76" s="142" t="str">
        <f t="shared" ref="V76:W76" si="287">IF(T76*K76&gt;=((0.5*$H76)-$I76),((T76*K76)-(0.5*$H76)+$I76),(0.5*$H76)-(T76*K76)-$I76)</f>
        <v>#REF!</v>
      </c>
      <c r="W76" s="142" t="str">
        <f t="shared" si="287"/>
        <v>#REF!</v>
      </c>
      <c r="X76" s="137" t="str">
        <f t="shared" ref="X76:Y76" si="288">(T76*K76)+(0.5*$H76)-$I76</f>
        <v>#REF!</v>
      </c>
      <c r="Y76" s="137" t="str">
        <f t="shared" si="288"/>
        <v>#REF!</v>
      </c>
      <c r="Z76" s="142">
        <f t="shared" si="15"/>
        <v>9.686958791</v>
      </c>
      <c r="AA76" s="142">
        <f t="shared" si="16"/>
        <v>9.477441633</v>
      </c>
      <c r="AB76" s="142">
        <f t="shared" ref="AB76:AC76" si="289">($H$2+((1-$H$2)/(1+50*(K76/$H76)^2)))*$J76</f>
        <v>26.50263158</v>
      </c>
      <c r="AC76" s="142">
        <f t="shared" si="289"/>
        <v>26.50263158</v>
      </c>
      <c r="AD76" s="142" t="str">
        <f t="shared" si="18"/>
        <v>#REF!</v>
      </c>
      <c r="AE76" s="142" t="str">
        <f t="shared" si="19"/>
        <v>#REF!</v>
      </c>
      <c r="AF76" s="143" t="str">
        <f t="shared" si="20"/>
        <v>#REF!</v>
      </c>
      <c r="AG76" s="154" t="str">
        <f t="shared" si="21"/>
        <v>#REF!</v>
      </c>
      <c r="AH76" s="145" t="str">
        <f t="shared" si="22"/>
        <v>#REF!</v>
      </c>
      <c r="AI76" s="146" t="str">
        <f t="shared" si="23"/>
        <v>#REF!</v>
      </c>
      <c r="AJ76" s="147" t="str">
        <f t="shared" si="24"/>
        <v>#REF!</v>
      </c>
      <c r="AK76" s="155"/>
      <c r="AL76" s="155"/>
      <c r="AM76" s="155"/>
      <c r="AN76" s="155"/>
      <c r="AO76" s="147">
        <f t="shared" si="25"/>
        <v>0</v>
      </c>
      <c r="AP76" s="147">
        <f t="shared" si="26"/>
        <v>0</v>
      </c>
      <c r="AQ76" s="150"/>
      <c r="AR76" s="8"/>
      <c r="AS76" s="91"/>
      <c r="AT76" s="8"/>
      <c r="AU76" s="8"/>
      <c r="AV76" s="8"/>
      <c r="AW76" s="8"/>
      <c r="AX76" s="8"/>
    </row>
    <row r="77" ht="19.5" customHeight="1">
      <c r="A77" s="151" t="str">
        <f>Locsolieu!A72</f>
        <v>204</v>
      </c>
      <c r="B77" s="152">
        <f>Locsolieu!C72</f>
        <v>8.3813</v>
      </c>
      <c r="C77" s="132">
        <f>Locsolieu!D72*$C$4</f>
        <v>0.0385</v>
      </c>
      <c r="D77" s="133">
        <f>Locsolieu!E72*$C$4</f>
        <v>0.0385</v>
      </c>
      <c r="E77" s="153">
        <f>Locsolieu!F72</f>
        <v>8.3813</v>
      </c>
      <c r="F77" s="135">
        <v>510.0</v>
      </c>
      <c r="G77" s="136">
        <v>20.0</v>
      </c>
      <c r="H77" s="136">
        <v>30.0</v>
      </c>
      <c r="I77" s="136">
        <v>3.0</v>
      </c>
      <c r="J77" s="136">
        <f t="shared" si="31"/>
        <v>27</v>
      </c>
      <c r="K77" s="137">
        <f t="shared" si="5"/>
        <v>1</v>
      </c>
      <c r="L77" s="137">
        <f t="shared" si="6"/>
        <v>1</v>
      </c>
      <c r="M77" s="138" t="str">
        <f t="shared" si="32"/>
        <v>#REF!</v>
      </c>
      <c r="N77" s="138" t="str">
        <f t="shared" si="33"/>
        <v>#REF!</v>
      </c>
      <c r="O77" s="139">
        <f t="shared" si="7"/>
        <v>45000</v>
      </c>
      <c r="P77" s="140">
        <f t="shared" ref="P77:Q77" si="290">0.1+0.11/(0.1+MAX((K77/$H77),(0.5-(0.01*(0.7*$F77/$H77))-0.01*$E$2)))</f>
        <v>0.3777777778</v>
      </c>
      <c r="Q77" s="140">
        <f t="shared" si="290"/>
        <v>0.3777777778</v>
      </c>
      <c r="R77" s="139" t="str">
        <f t="shared" si="9"/>
        <v>#REF!</v>
      </c>
      <c r="S77" s="139" t="str">
        <f t="shared" si="10"/>
        <v>#REF!</v>
      </c>
      <c r="T77" s="141" t="str">
        <f t="shared" si="11"/>
        <v>#REF!</v>
      </c>
      <c r="U77" s="141" t="str">
        <f t="shared" si="12"/>
        <v>#REF!</v>
      </c>
      <c r="V77" s="142" t="str">
        <f t="shared" ref="V77:W77" si="291">IF(T77*K77&gt;=((0.5*$H77)-$I77),((T77*K77)-(0.5*$H77)+$I77),(0.5*$H77)-(T77*K77)-$I77)</f>
        <v>#REF!</v>
      </c>
      <c r="W77" s="142" t="str">
        <f t="shared" si="291"/>
        <v>#REF!</v>
      </c>
      <c r="X77" s="137" t="str">
        <f t="shared" ref="X77:Y77" si="292">(T77*K77)+(0.5*$H77)-$I77</f>
        <v>#REF!</v>
      </c>
      <c r="Y77" s="137" t="str">
        <f t="shared" si="292"/>
        <v>#REF!</v>
      </c>
      <c r="Z77" s="142">
        <f t="shared" si="15"/>
        <v>5.912545986</v>
      </c>
      <c r="AA77" s="142">
        <f t="shared" si="16"/>
        <v>5.912545986</v>
      </c>
      <c r="AB77" s="142">
        <f t="shared" ref="AB77:AC77" si="293">($H$2+((1-$H$2)/(1+50*(K77/$H77)^2)))*$J77</f>
        <v>26.50263158</v>
      </c>
      <c r="AC77" s="142">
        <f t="shared" si="293"/>
        <v>26.50263158</v>
      </c>
      <c r="AD77" s="142" t="str">
        <f t="shared" si="18"/>
        <v>#REF!</v>
      </c>
      <c r="AE77" s="142" t="str">
        <f t="shared" si="19"/>
        <v>#REF!</v>
      </c>
      <c r="AF77" s="143" t="str">
        <f t="shared" si="20"/>
        <v>#REF!</v>
      </c>
      <c r="AG77" s="154" t="str">
        <f t="shared" si="21"/>
        <v>#REF!</v>
      </c>
      <c r="AH77" s="145" t="str">
        <f t="shared" si="22"/>
        <v>#REF!</v>
      </c>
      <c r="AI77" s="146" t="str">
        <f t="shared" si="23"/>
        <v>#REF!</v>
      </c>
      <c r="AJ77" s="147" t="str">
        <f t="shared" si="24"/>
        <v>#REF!</v>
      </c>
      <c r="AK77" s="155"/>
      <c r="AL77" s="155"/>
      <c r="AM77" s="155"/>
      <c r="AN77" s="155"/>
      <c r="AO77" s="147">
        <f t="shared" si="25"/>
        <v>0</v>
      </c>
      <c r="AP77" s="147">
        <f t="shared" si="26"/>
        <v>0</v>
      </c>
      <c r="AQ77" s="150"/>
      <c r="AR77" s="8"/>
      <c r="AS77" s="91"/>
      <c r="AT77" s="8"/>
      <c r="AU77" s="8"/>
      <c r="AV77" s="8"/>
      <c r="AW77" s="8"/>
      <c r="AX77" s="8"/>
    </row>
    <row r="78" ht="19.5" customHeight="1">
      <c r="A78" s="151" t="str">
        <f>Locsolieu!A73</f>
        <v>205</v>
      </c>
      <c r="B78" s="152">
        <f>Locsolieu!C73</f>
        <v>3.0368</v>
      </c>
      <c r="C78" s="132">
        <f>Locsolieu!D73*$C$4</f>
        <v>0.07991</v>
      </c>
      <c r="D78" s="133">
        <f>Locsolieu!E73*$C$4</f>
        <v>0.08622</v>
      </c>
      <c r="E78" s="153">
        <f>Locsolieu!F73</f>
        <v>2.6408</v>
      </c>
      <c r="F78" s="135">
        <v>510.0</v>
      </c>
      <c r="G78" s="136">
        <v>20.0</v>
      </c>
      <c r="H78" s="136">
        <v>30.0</v>
      </c>
      <c r="I78" s="136">
        <v>3.0</v>
      </c>
      <c r="J78" s="136">
        <f t="shared" si="31"/>
        <v>27</v>
      </c>
      <c r="K78" s="137">
        <f t="shared" si="5"/>
        <v>2.631388303</v>
      </c>
      <c r="L78" s="137">
        <f t="shared" si="6"/>
        <v>3.264919721</v>
      </c>
      <c r="M78" s="138" t="str">
        <f t="shared" si="32"/>
        <v>#REF!</v>
      </c>
      <c r="N78" s="138" t="str">
        <f t="shared" si="33"/>
        <v>#REF!</v>
      </c>
      <c r="O78" s="139">
        <f t="shared" si="7"/>
        <v>45000</v>
      </c>
      <c r="P78" s="140">
        <f t="shared" ref="P78:Q78" si="294">0.1+0.11/(0.1+MAX((K78/$H78),(0.5-(0.01*(0.7*$F78/$H78))-0.01*$E$2)))</f>
        <v>0.3777777778</v>
      </c>
      <c r="Q78" s="140">
        <f t="shared" si="294"/>
        <v>0.3777777778</v>
      </c>
      <c r="R78" s="139" t="str">
        <f t="shared" si="9"/>
        <v>#REF!</v>
      </c>
      <c r="S78" s="139" t="str">
        <f t="shared" si="10"/>
        <v>#REF!</v>
      </c>
      <c r="T78" s="141" t="str">
        <f t="shared" si="11"/>
        <v>#REF!</v>
      </c>
      <c r="U78" s="141" t="str">
        <f t="shared" si="12"/>
        <v>#REF!</v>
      </c>
      <c r="V78" s="142" t="str">
        <f t="shared" ref="V78:W78" si="295">IF(T78*K78&gt;=((0.5*$H78)-$I78),((T78*K78)-(0.5*$H78)+$I78),(0.5*$H78)-(T78*K78)-$I78)</f>
        <v>#REF!</v>
      </c>
      <c r="W78" s="142" t="str">
        <f t="shared" si="295"/>
        <v>#REF!</v>
      </c>
      <c r="X78" s="137" t="str">
        <f t="shared" ref="X78:Y78" si="296">(T78*K78)+(0.5*$H78)-$I78</f>
        <v>#REF!</v>
      </c>
      <c r="Y78" s="137" t="str">
        <f t="shared" si="296"/>
        <v>#REF!</v>
      </c>
      <c r="Z78" s="142">
        <f t="shared" si="15"/>
        <v>2.142295306</v>
      </c>
      <c r="AA78" s="142">
        <f t="shared" si="16"/>
        <v>1.862939095</v>
      </c>
      <c r="AB78" s="142">
        <f t="shared" ref="AB78:AC78" si="297">($H$2+((1-$H$2)/(1+50*(K78/$H78)^2)))*$J78</f>
        <v>24.37469126</v>
      </c>
      <c r="AC78" s="142">
        <f t="shared" si="297"/>
        <v>23.48516315</v>
      </c>
      <c r="AD78" s="142" t="str">
        <f t="shared" si="18"/>
        <v>#REF!</v>
      </c>
      <c r="AE78" s="142" t="str">
        <f t="shared" si="19"/>
        <v>#REF!</v>
      </c>
      <c r="AF78" s="143" t="str">
        <f t="shared" si="20"/>
        <v>#REF!</v>
      </c>
      <c r="AG78" s="154" t="str">
        <f t="shared" si="21"/>
        <v>#REF!</v>
      </c>
      <c r="AH78" s="145" t="str">
        <f t="shared" si="22"/>
        <v>#REF!</v>
      </c>
      <c r="AI78" s="146" t="str">
        <f t="shared" si="23"/>
        <v>#REF!</v>
      </c>
      <c r="AJ78" s="147" t="str">
        <f t="shared" si="24"/>
        <v>#REF!</v>
      </c>
      <c r="AK78" s="155"/>
      <c r="AL78" s="155"/>
      <c r="AM78" s="155"/>
      <c r="AN78" s="155"/>
      <c r="AO78" s="147">
        <f t="shared" si="25"/>
        <v>0</v>
      </c>
      <c r="AP78" s="147">
        <f t="shared" si="26"/>
        <v>0</v>
      </c>
      <c r="AQ78" s="150"/>
      <c r="AR78" s="8"/>
      <c r="AS78" s="91"/>
      <c r="AT78" s="8"/>
      <c r="AU78" s="8"/>
      <c r="AV78" s="8"/>
      <c r="AW78" s="8"/>
      <c r="AX78" s="8"/>
    </row>
    <row r="79" ht="19.5" customHeight="1">
      <c r="A79" s="151" t="str">
        <f>Locsolieu!A74</f>
        <v>206</v>
      </c>
      <c r="B79" s="152">
        <f>Locsolieu!C74</f>
        <v>15.3661</v>
      </c>
      <c r="C79" s="132">
        <f>Locsolieu!D74*$C$4</f>
        <v>0.01655</v>
      </c>
      <c r="D79" s="133">
        <f>Locsolieu!E74*$C$4</f>
        <v>0.03421</v>
      </c>
      <c r="E79" s="153">
        <f>Locsolieu!F74</f>
        <v>15.0691</v>
      </c>
      <c r="F79" s="135">
        <v>510.0</v>
      </c>
      <c r="G79" s="136">
        <v>20.0</v>
      </c>
      <c r="H79" s="136">
        <v>30.0</v>
      </c>
      <c r="I79" s="136">
        <v>3.0</v>
      </c>
      <c r="J79" s="136">
        <f t="shared" si="31"/>
        <v>27</v>
      </c>
      <c r="K79" s="137">
        <f t="shared" si="5"/>
        <v>1</v>
      </c>
      <c r="L79" s="137">
        <f t="shared" si="6"/>
        <v>1</v>
      </c>
      <c r="M79" s="138" t="str">
        <f t="shared" si="32"/>
        <v>#REF!</v>
      </c>
      <c r="N79" s="138" t="str">
        <f t="shared" si="33"/>
        <v>#REF!</v>
      </c>
      <c r="O79" s="139">
        <f t="shared" si="7"/>
        <v>45000</v>
      </c>
      <c r="P79" s="140">
        <f t="shared" ref="P79:Q79" si="298">0.1+0.11/(0.1+MAX((K79/$H79),(0.5-(0.01*(0.7*$F79/$H79))-0.01*$E$2)))</f>
        <v>0.3777777778</v>
      </c>
      <c r="Q79" s="140">
        <f t="shared" si="298"/>
        <v>0.3777777778</v>
      </c>
      <c r="R79" s="139" t="str">
        <f t="shared" si="9"/>
        <v>#REF!</v>
      </c>
      <c r="S79" s="139" t="str">
        <f t="shared" si="10"/>
        <v>#REF!</v>
      </c>
      <c r="T79" s="141" t="str">
        <f t="shared" si="11"/>
        <v>#REF!</v>
      </c>
      <c r="U79" s="141" t="str">
        <f t="shared" si="12"/>
        <v>#REF!</v>
      </c>
      <c r="V79" s="142" t="str">
        <f t="shared" ref="V79:W79" si="299">IF(T79*K79&gt;=((0.5*$H79)-$I79),((T79*K79)-(0.5*$H79)+$I79),(0.5*$H79)-(T79*K79)-$I79)</f>
        <v>#REF!</v>
      </c>
      <c r="W79" s="142" t="str">
        <f t="shared" si="299"/>
        <v>#REF!</v>
      </c>
      <c r="X79" s="137" t="str">
        <f t="shared" ref="X79:Y79" si="300">(T79*K79)+(0.5*$H79)-$I79</f>
        <v>#REF!</v>
      </c>
      <c r="Y79" s="137" t="str">
        <f t="shared" si="300"/>
        <v>#REF!</v>
      </c>
      <c r="Z79" s="142">
        <f t="shared" si="15"/>
        <v>10.83993806</v>
      </c>
      <c r="AA79" s="142">
        <f t="shared" si="16"/>
        <v>10.6304209</v>
      </c>
      <c r="AB79" s="142">
        <f t="shared" ref="AB79:AC79" si="301">($H$2+((1-$H$2)/(1+50*(K79/$H79)^2)))*$J79</f>
        <v>26.50263158</v>
      </c>
      <c r="AC79" s="142">
        <f t="shared" si="301"/>
        <v>26.50263158</v>
      </c>
      <c r="AD79" s="142" t="str">
        <f t="shared" si="18"/>
        <v>#REF!</v>
      </c>
      <c r="AE79" s="142" t="str">
        <f t="shared" si="19"/>
        <v>#REF!</v>
      </c>
      <c r="AF79" s="143" t="str">
        <f t="shared" si="20"/>
        <v>#REF!</v>
      </c>
      <c r="AG79" s="154" t="str">
        <f t="shared" si="21"/>
        <v>#REF!</v>
      </c>
      <c r="AH79" s="145" t="str">
        <f t="shared" si="22"/>
        <v>#REF!</v>
      </c>
      <c r="AI79" s="146" t="str">
        <f t="shared" si="23"/>
        <v>#REF!</v>
      </c>
      <c r="AJ79" s="147" t="str">
        <f t="shared" si="24"/>
        <v>#REF!</v>
      </c>
      <c r="AK79" s="155"/>
      <c r="AL79" s="155"/>
      <c r="AM79" s="155"/>
      <c r="AN79" s="155"/>
      <c r="AO79" s="147">
        <f t="shared" si="25"/>
        <v>0</v>
      </c>
      <c r="AP79" s="147">
        <f t="shared" si="26"/>
        <v>0</v>
      </c>
      <c r="AQ79" s="150"/>
      <c r="AR79" s="8"/>
      <c r="AS79" s="91"/>
      <c r="AT79" s="8"/>
      <c r="AU79" s="8"/>
      <c r="AV79" s="8"/>
      <c r="AW79" s="8"/>
      <c r="AX79" s="8"/>
    </row>
    <row r="80" ht="19.5" customHeight="1">
      <c r="A80" s="151" t="str">
        <f>Locsolieu!A75</f>
        <v>207</v>
      </c>
      <c r="B80" s="152">
        <f>Locsolieu!C75</f>
        <v>8.9845</v>
      </c>
      <c r="C80" s="132">
        <f>Locsolieu!D75*$C$4</f>
        <v>0.03779</v>
      </c>
      <c r="D80" s="133">
        <f>Locsolieu!E75*$C$4</f>
        <v>0.03779</v>
      </c>
      <c r="E80" s="153">
        <f>Locsolieu!F75</f>
        <v>8.9845</v>
      </c>
      <c r="F80" s="135">
        <v>510.0</v>
      </c>
      <c r="G80" s="136">
        <v>20.0</v>
      </c>
      <c r="H80" s="136">
        <v>30.0</v>
      </c>
      <c r="I80" s="136">
        <v>3.0</v>
      </c>
      <c r="J80" s="136">
        <f t="shared" si="31"/>
        <v>27</v>
      </c>
      <c r="K80" s="137">
        <f t="shared" si="5"/>
        <v>1</v>
      </c>
      <c r="L80" s="137">
        <f t="shared" si="6"/>
        <v>1</v>
      </c>
      <c r="M80" s="138" t="str">
        <f t="shared" si="32"/>
        <v>#REF!</v>
      </c>
      <c r="N80" s="138" t="str">
        <f t="shared" si="33"/>
        <v>#REF!</v>
      </c>
      <c r="O80" s="139">
        <f t="shared" si="7"/>
        <v>45000</v>
      </c>
      <c r="P80" s="140">
        <f t="shared" ref="P80:Q80" si="302">0.1+0.11/(0.1+MAX((K80/$H80),(0.5-(0.01*(0.7*$F80/$H80))-0.01*$E$2)))</f>
        <v>0.3777777778</v>
      </c>
      <c r="Q80" s="140">
        <f t="shared" si="302"/>
        <v>0.3777777778</v>
      </c>
      <c r="R80" s="139" t="str">
        <f t="shared" si="9"/>
        <v>#REF!</v>
      </c>
      <c r="S80" s="139" t="str">
        <f t="shared" si="10"/>
        <v>#REF!</v>
      </c>
      <c r="T80" s="141" t="str">
        <f t="shared" si="11"/>
        <v>#REF!</v>
      </c>
      <c r="U80" s="141" t="str">
        <f t="shared" si="12"/>
        <v>#REF!</v>
      </c>
      <c r="V80" s="142" t="str">
        <f t="shared" ref="V80:W80" si="303">IF(T80*K80&gt;=((0.5*$H80)-$I80),((T80*K80)-(0.5*$H80)+$I80),(0.5*$H80)-(T80*K80)-$I80)</f>
        <v>#REF!</v>
      </c>
      <c r="W80" s="142" t="str">
        <f t="shared" si="303"/>
        <v>#REF!</v>
      </c>
      <c r="X80" s="137" t="str">
        <f t="shared" ref="X80:Y80" si="304">(T80*K80)+(0.5*$H80)-$I80</f>
        <v>#REF!</v>
      </c>
      <c r="Y80" s="137" t="str">
        <f t="shared" si="304"/>
        <v>#REF!</v>
      </c>
      <c r="Z80" s="142">
        <f t="shared" si="15"/>
        <v>6.338070396</v>
      </c>
      <c r="AA80" s="142">
        <f t="shared" si="16"/>
        <v>6.338070396</v>
      </c>
      <c r="AB80" s="142">
        <f t="shared" ref="AB80:AC80" si="305">($H$2+((1-$H$2)/(1+50*(K80/$H80)^2)))*$J80</f>
        <v>26.50263158</v>
      </c>
      <c r="AC80" s="142">
        <f t="shared" si="305"/>
        <v>26.50263158</v>
      </c>
      <c r="AD80" s="142" t="str">
        <f t="shared" si="18"/>
        <v>#REF!</v>
      </c>
      <c r="AE80" s="142" t="str">
        <f t="shared" si="19"/>
        <v>#REF!</v>
      </c>
      <c r="AF80" s="143" t="str">
        <f t="shared" si="20"/>
        <v>#REF!</v>
      </c>
      <c r="AG80" s="154" t="str">
        <f t="shared" si="21"/>
        <v>#REF!</v>
      </c>
      <c r="AH80" s="145" t="str">
        <f t="shared" si="22"/>
        <v>#REF!</v>
      </c>
      <c r="AI80" s="146" t="str">
        <f t="shared" si="23"/>
        <v>#REF!</v>
      </c>
      <c r="AJ80" s="147" t="str">
        <f t="shared" si="24"/>
        <v>#REF!</v>
      </c>
      <c r="AK80" s="155"/>
      <c r="AL80" s="155"/>
      <c r="AM80" s="155"/>
      <c r="AN80" s="155"/>
      <c r="AO80" s="147">
        <f t="shared" si="25"/>
        <v>0</v>
      </c>
      <c r="AP80" s="147">
        <f t="shared" si="26"/>
        <v>0</v>
      </c>
      <c r="AQ80" s="150"/>
      <c r="AR80" s="8"/>
      <c r="AS80" s="91"/>
      <c r="AT80" s="8"/>
      <c r="AU80" s="8"/>
      <c r="AV80" s="8"/>
      <c r="AW80" s="8"/>
      <c r="AX80" s="8"/>
    </row>
    <row r="81" ht="19.5" customHeight="1">
      <c r="A81" s="151" t="str">
        <f>Locsolieu!A76</f>
        <v>208</v>
      </c>
      <c r="B81" s="152">
        <f>Locsolieu!C76</f>
        <v>3.1205</v>
      </c>
      <c r="C81" s="132">
        <f>Locsolieu!D76*$C$4</f>
        <v>0.01706</v>
      </c>
      <c r="D81" s="133">
        <f>Locsolieu!E76*$C$4</f>
        <v>0.02153</v>
      </c>
      <c r="E81" s="153">
        <f>Locsolieu!F76</f>
        <v>2.7245</v>
      </c>
      <c r="F81" s="135">
        <v>510.0</v>
      </c>
      <c r="G81" s="136">
        <v>20.0</v>
      </c>
      <c r="H81" s="136">
        <v>30.0</v>
      </c>
      <c r="I81" s="136">
        <v>3.0</v>
      </c>
      <c r="J81" s="136">
        <f t="shared" si="31"/>
        <v>27</v>
      </c>
      <c r="K81" s="137">
        <f t="shared" si="5"/>
        <v>1</v>
      </c>
      <c r="L81" s="137">
        <f t="shared" si="6"/>
        <v>1</v>
      </c>
      <c r="M81" s="138" t="str">
        <f t="shared" si="32"/>
        <v>#REF!</v>
      </c>
      <c r="N81" s="138" t="str">
        <f t="shared" si="33"/>
        <v>#REF!</v>
      </c>
      <c r="O81" s="139">
        <f t="shared" si="7"/>
        <v>45000</v>
      </c>
      <c r="P81" s="140">
        <f t="shared" ref="P81:Q81" si="306">0.1+0.11/(0.1+MAX((K81/$H81),(0.5-(0.01*(0.7*$F81/$H81))-0.01*$E$2)))</f>
        <v>0.3777777778</v>
      </c>
      <c r="Q81" s="140">
        <f t="shared" si="306"/>
        <v>0.3777777778</v>
      </c>
      <c r="R81" s="139" t="str">
        <f t="shared" si="9"/>
        <v>#REF!</v>
      </c>
      <c r="S81" s="139" t="str">
        <f t="shared" si="10"/>
        <v>#REF!</v>
      </c>
      <c r="T81" s="141" t="str">
        <f t="shared" si="11"/>
        <v>#REF!</v>
      </c>
      <c r="U81" s="141" t="str">
        <f t="shared" si="12"/>
        <v>#REF!</v>
      </c>
      <c r="V81" s="142" t="str">
        <f t="shared" ref="V81:W81" si="307">IF(T81*K81&gt;=((0.5*$H81)-$I81),((T81*K81)-(0.5*$H81)+$I81),(0.5*$H81)-(T81*K81)-$I81)</f>
        <v>#REF!</v>
      </c>
      <c r="W81" s="142" t="str">
        <f t="shared" si="307"/>
        <v>#REF!</v>
      </c>
      <c r="X81" s="137" t="str">
        <f t="shared" ref="X81:Y81" si="308">(T81*K81)+(0.5*$H81)-$I81</f>
        <v>#REF!</v>
      </c>
      <c r="Y81" s="137" t="str">
        <f t="shared" si="308"/>
        <v>#REF!</v>
      </c>
      <c r="Z81" s="142">
        <f t="shared" si="15"/>
        <v>2.201341051</v>
      </c>
      <c r="AA81" s="142">
        <f t="shared" si="16"/>
        <v>1.92198484</v>
      </c>
      <c r="AB81" s="142">
        <f t="shared" ref="AB81:AC81" si="309">($H$2+((1-$H$2)/(1+50*(K81/$H81)^2)))*$J81</f>
        <v>26.50263158</v>
      </c>
      <c r="AC81" s="142">
        <f t="shared" si="309"/>
        <v>26.50263158</v>
      </c>
      <c r="AD81" s="142" t="str">
        <f t="shared" si="18"/>
        <v>#REF!</v>
      </c>
      <c r="AE81" s="142" t="str">
        <f t="shared" si="19"/>
        <v>#REF!</v>
      </c>
      <c r="AF81" s="143" t="str">
        <f t="shared" si="20"/>
        <v>#REF!</v>
      </c>
      <c r="AG81" s="154" t="str">
        <f t="shared" si="21"/>
        <v>#REF!</v>
      </c>
      <c r="AH81" s="145" t="str">
        <f t="shared" si="22"/>
        <v>#REF!</v>
      </c>
      <c r="AI81" s="146" t="str">
        <f t="shared" si="23"/>
        <v>#REF!</v>
      </c>
      <c r="AJ81" s="147" t="str">
        <f t="shared" si="24"/>
        <v>#REF!</v>
      </c>
      <c r="AK81" s="155"/>
      <c r="AL81" s="155"/>
      <c r="AM81" s="155"/>
      <c r="AN81" s="155"/>
      <c r="AO81" s="147">
        <f t="shared" si="25"/>
        <v>0</v>
      </c>
      <c r="AP81" s="147">
        <f t="shared" si="26"/>
        <v>0</v>
      </c>
      <c r="AQ81" s="156"/>
      <c r="AR81" s="8"/>
      <c r="AS81" s="91"/>
      <c r="AT81" s="8"/>
      <c r="AU81" s="8"/>
      <c r="AV81" s="8"/>
      <c r="AW81" s="8"/>
      <c r="AX81" s="8"/>
    </row>
    <row r="82" ht="19.5" customHeight="1">
      <c r="A82" s="151" t="str">
        <f>Locsolieu!A77</f>
        <v>209</v>
      </c>
      <c r="B82" s="152">
        <f>Locsolieu!C77</f>
        <v>15.3725</v>
      </c>
      <c r="C82" s="132">
        <f>Locsolieu!D77*$C$4</f>
        <v>0.0168</v>
      </c>
      <c r="D82" s="133">
        <f>Locsolieu!E77*$C$4</f>
        <v>0.03451</v>
      </c>
      <c r="E82" s="153">
        <f>Locsolieu!F77</f>
        <v>15.0755</v>
      </c>
      <c r="F82" s="135">
        <v>510.0</v>
      </c>
      <c r="G82" s="136">
        <v>20.0</v>
      </c>
      <c r="H82" s="136">
        <v>30.0</v>
      </c>
      <c r="I82" s="136">
        <v>3.0</v>
      </c>
      <c r="J82" s="136">
        <f t="shared" si="31"/>
        <v>27</v>
      </c>
      <c r="K82" s="137">
        <f t="shared" si="5"/>
        <v>1</v>
      </c>
      <c r="L82" s="137">
        <f t="shared" si="6"/>
        <v>1</v>
      </c>
      <c r="M82" s="138" t="str">
        <f t="shared" si="32"/>
        <v>#REF!</v>
      </c>
      <c r="N82" s="138" t="str">
        <f t="shared" si="33"/>
        <v>#REF!</v>
      </c>
      <c r="O82" s="139">
        <f t="shared" si="7"/>
        <v>45000</v>
      </c>
      <c r="P82" s="140">
        <f t="shared" ref="P82:Q82" si="310">0.1+0.11/(0.1+MAX((K82/$H82),(0.5-(0.01*(0.7*$F82/$H82))-0.01*$E$2)))</f>
        <v>0.3777777778</v>
      </c>
      <c r="Q82" s="140">
        <f t="shared" si="310"/>
        <v>0.3777777778</v>
      </c>
      <c r="R82" s="139" t="str">
        <f t="shared" si="9"/>
        <v>#REF!</v>
      </c>
      <c r="S82" s="139" t="str">
        <f t="shared" si="10"/>
        <v>#REF!</v>
      </c>
      <c r="T82" s="141" t="str">
        <f t="shared" si="11"/>
        <v>#REF!</v>
      </c>
      <c r="U82" s="141" t="str">
        <f t="shared" si="12"/>
        <v>#REF!</v>
      </c>
      <c r="V82" s="142" t="str">
        <f t="shared" ref="V82:W82" si="311">IF(T82*K82&gt;=((0.5*$H82)-$I82),((T82*K82)-(0.5*$H82)+$I82),(0.5*$H82)-(T82*K82)-$I82)</f>
        <v>#REF!</v>
      </c>
      <c r="W82" s="142" t="str">
        <f t="shared" si="311"/>
        <v>#REF!</v>
      </c>
      <c r="X82" s="137" t="str">
        <f t="shared" ref="X82:Y82" si="312">(T82*K82)+(0.5*$H82)-$I82</f>
        <v>#REF!</v>
      </c>
      <c r="Y82" s="137" t="str">
        <f t="shared" si="312"/>
        <v>#REF!</v>
      </c>
      <c r="Z82" s="142">
        <f t="shared" si="15"/>
        <v>10.84445291</v>
      </c>
      <c r="AA82" s="142">
        <f t="shared" si="16"/>
        <v>10.63493575</v>
      </c>
      <c r="AB82" s="142">
        <f t="shared" ref="AB82:AC82" si="313">($H$2+((1-$H$2)/(1+50*(K82/$H82)^2)))*$J82</f>
        <v>26.50263158</v>
      </c>
      <c r="AC82" s="142">
        <f t="shared" si="313"/>
        <v>26.50263158</v>
      </c>
      <c r="AD82" s="142" t="str">
        <f t="shared" si="18"/>
        <v>#REF!</v>
      </c>
      <c r="AE82" s="142" t="str">
        <f t="shared" si="19"/>
        <v>#REF!</v>
      </c>
      <c r="AF82" s="143" t="str">
        <f t="shared" si="20"/>
        <v>#REF!</v>
      </c>
      <c r="AG82" s="154" t="str">
        <f t="shared" si="21"/>
        <v>#REF!</v>
      </c>
      <c r="AH82" s="145" t="str">
        <f t="shared" si="22"/>
        <v>#REF!</v>
      </c>
      <c r="AI82" s="146" t="str">
        <f t="shared" si="23"/>
        <v>#REF!</v>
      </c>
      <c r="AJ82" s="147" t="str">
        <f t="shared" si="24"/>
        <v>#REF!</v>
      </c>
      <c r="AK82" s="155"/>
      <c r="AL82" s="155"/>
      <c r="AM82" s="155"/>
      <c r="AN82" s="155"/>
      <c r="AO82" s="147">
        <f t="shared" si="25"/>
        <v>0</v>
      </c>
      <c r="AP82" s="147">
        <f t="shared" si="26"/>
        <v>0</v>
      </c>
      <c r="AQ82" s="156"/>
      <c r="AR82" s="8"/>
      <c r="AS82" s="91"/>
      <c r="AT82" s="8"/>
      <c r="AU82" s="8"/>
      <c r="AV82" s="8"/>
      <c r="AW82" s="8"/>
      <c r="AX82" s="8"/>
    </row>
    <row r="83" ht="19.5" customHeight="1">
      <c r="A83" s="151" t="str">
        <f>Locsolieu!A78</f>
        <v>210</v>
      </c>
      <c r="B83" s="152">
        <f>Locsolieu!C78</f>
        <v>8.9903</v>
      </c>
      <c r="C83" s="132">
        <f>Locsolieu!D78*$C$4</f>
        <v>0.03743</v>
      </c>
      <c r="D83" s="133">
        <f>Locsolieu!E78*$C$4</f>
        <v>0.03743</v>
      </c>
      <c r="E83" s="153">
        <f>Locsolieu!F78</f>
        <v>8.9903</v>
      </c>
      <c r="F83" s="135">
        <v>510.0</v>
      </c>
      <c r="G83" s="136">
        <v>20.0</v>
      </c>
      <c r="H83" s="136">
        <v>30.0</v>
      </c>
      <c r="I83" s="136">
        <v>3.0</v>
      </c>
      <c r="J83" s="136">
        <f t="shared" si="31"/>
        <v>27</v>
      </c>
      <c r="K83" s="137">
        <f t="shared" si="5"/>
        <v>1</v>
      </c>
      <c r="L83" s="137">
        <f t="shared" si="6"/>
        <v>1</v>
      </c>
      <c r="M83" s="138" t="str">
        <f t="shared" si="32"/>
        <v>#REF!</v>
      </c>
      <c r="N83" s="138" t="str">
        <f t="shared" si="33"/>
        <v>#REF!</v>
      </c>
      <c r="O83" s="139">
        <f t="shared" si="7"/>
        <v>45000</v>
      </c>
      <c r="P83" s="140">
        <f t="shared" ref="P83:Q83" si="314">0.1+0.11/(0.1+MAX((K83/$H83),(0.5-(0.01*(0.7*$F83/$H83))-0.01*$E$2)))</f>
        <v>0.3777777778</v>
      </c>
      <c r="Q83" s="140">
        <f t="shared" si="314"/>
        <v>0.3777777778</v>
      </c>
      <c r="R83" s="139" t="str">
        <f t="shared" si="9"/>
        <v>#REF!</v>
      </c>
      <c r="S83" s="139" t="str">
        <f t="shared" si="10"/>
        <v>#REF!</v>
      </c>
      <c r="T83" s="141" t="str">
        <f t="shared" si="11"/>
        <v>#REF!</v>
      </c>
      <c r="U83" s="141" t="str">
        <f t="shared" si="12"/>
        <v>#REF!</v>
      </c>
      <c r="V83" s="142" t="str">
        <f t="shared" ref="V83:W83" si="315">IF(T83*K83&gt;=((0.5*$H83)-$I83),((T83*K83)-(0.5*$H83)+$I83),(0.5*$H83)-(T83*K83)-$I83)</f>
        <v>#REF!</v>
      </c>
      <c r="W83" s="142" t="str">
        <f t="shared" si="315"/>
        <v>#REF!</v>
      </c>
      <c r="X83" s="137" t="str">
        <f t="shared" ref="X83:Y83" si="316">(T83*K83)+(0.5*$H83)-$I83</f>
        <v>#REF!</v>
      </c>
      <c r="Y83" s="137" t="str">
        <f t="shared" si="316"/>
        <v>#REF!</v>
      </c>
      <c r="Z83" s="142">
        <f t="shared" si="15"/>
        <v>6.342161977</v>
      </c>
      <c r="AA83" s="142">
        <f t="shared" si="16"/>
        <v>6.342161977</v>
      </c>
      <c r="AB83" s="142">
        <f t="shared" ref="AB83:AC83" si="317">($H$2+((1-$H$2)/(1+50*(K83/$H83)^2)))*$J83</f>
        <v>26.50263158</v>
      </c>
      <c r="AC83" s="142">
        <f t="shared" si="317"/>
        <v>26.50263158</v>
      </c>
      <c r="AD83" s="142" t="str">
        <f t="shared" si="18"/>
        <v>#REF!</v>
      </c>
      <c r="AE83" s="142" t="str">
        <f t="shared" si="19"/>
        <v>#REF!</v>
      </c>
      <c r="AF83" s="143" t="str">
        <f t="shared" si="20"/>
        <v>#REF!</v>
      </c>
      <c r="AG83" s="154" t="str">
        <f t="shared" si="21"/>
        <v>#REF!</v>
      </c>
      <c r="AH83" s="145" t="str">
        <f t="shared" si="22"/>
        <v>#REF!</v>
      </c>
      <c r="AI83" s="146" t="str">
        <f t="shared" si="23"/>
        <v>#REF!</v>
      </c>
      <c r="AJ83" s="147" t="str">
        <f t="shared" si="24"/>
        <v>#REF!</v>
      </c>
      <c r="AK83" s="155"/>
      <c r="AL83" s="155"/>
      <c r="AM83" s="155"/>
      <c r="AN83" s="155"/>
      <c r="AO83" s="147">
        <f t="shared" si="25"/>
        <v>0</v>
      </c>
      <c r="AP83" s="147">
        <f t="shared" si="26"/>
        <v>0</v>
      </c>
      <c r="AQ83" s="156"/>
      <c r="AR83" s="8"/>
      <c r="AS83" s="91"/>
      <c r="AT83" s="8"/>
      <c r="AU83" s="8"/>
      <c r="AV83" s="8"/>
      <c r="AW83" s="8"/>
      <c r="AX83" s="8"/>
    </row>
    <row r="84" ht="19.5" customHeight="1">
      <c r="A84" s="151" t="str">
        <f>Locsolieu!A79</f>
        <v>211</v>
      </c>
      <c r="B84" s="152">
        <f>Locsolieu!C79</f>
        <v>3.1275</v>
      </c>
      <c r="C84" s="132">
        <f>Locsolieu!D79*$C$4</f>
        <v>0.03826</v>
      </c>
      <c r="D84" s="133">
        <f>Locsolieu!E79*$C$4</f>
        <v>0.04407</v>
      </c>
      <c r="E84" s="153">
        <f>Locsolieu!F79</f>
        <v>2.7315</v>
      </c>
      <c r="F84" s="135">
        <v>510.0</v>
      </c>
      <c r="G84" s="136">
        <v>20.0</v>
      </c>
      <c r="H84" s="136">
        <v>30.0</v>
      </c>
      <c r="I84" s="136">
        <v>3.0</v>
      </c>
      <c r="J84" s="136">
        <f t="shared" si="31"/>
        <v>27</v>
      </c>
      <c r="K84" s="137">
        <f t="shared" si="5"/>
        <v>1.223341327</v>
      </c>
      <c r="L84" s="137">
        <f t="shared" si="6"/>
        <v>1.613399231</v>
      </c>
      <c r="M84" s="138" t="str">
        <f t="shared" si="32"/>
        <v>#REF!</v>
      </c>
      <c r="N84" s="138" t="str">
        <f t="shared" si="33"/>
        <v>#REF!</v>
      </c>
      <c r="O84" s="139">
        <f t="shared" si="7"/>
        <v>45000</v>
      </c>
      <c r="P84" s="140">
        <f t="shared" ref="P84:Q84" si="318">0.1+0.11/(0.1+MAX((K84/$H84),(0.5-(0.01*(0.7*$F84/$H84))-0.01*$E$2)))</f>
        <v>0.3777777778</v>
      </c>
      <c r="Q84" s="140">
        <f t="shared" si="318"/>
        <v>0.3777777778</v>
      </c>
      <c r="R84" s="139" t="str">
        <f t="shared" si="9"/>
        <v>#REF!</v>
      </c>
      <c r="S84" s="139" t="str">
        <f t="shared" si="10"/>
        <v>#REF!</v>
      </c>
      <c r="T84" s="141" t="str">
        <f t="shared" si="11"/>
        <v>#REF!</v>
      </c>
      <c r="U84" s="141" t="str">
        <f t="shared" si="12"/>
        <v>#REF!</v>
      </c>
      <c r="V84" s="142" t="str">
        <f t="shared" ref="V84:W84" si="319">IF(T84*K84&gt;=((0.5*$H84)-$I84),((T84*K84)-(0.5*$H84)+$I84),(0.5*$H84)-(T84*K84)-$I84)</f>
        <v>#REF!</v>
      </c>
      <c r="W84" s="142" t="str">
        <f t="shared" si="319"/>
        <v>#REF!</v>
      </c>
      <c r="X84" s="137" t="str">
        <f t="shared" ref="X84:Y84" si="320">(T84*K84)+(0.5*$H84)-$I84</f>
        <v>#REF!</v>
      </c>
      <c r="Y84" s="137" t="str">
        <f t="shared" si="320"/>
        <v>#REF!</v>
      </c>
      <c r="Z84" s="142">
        <f t="shared" si="15"/>
        <v>2.206279166</v>
      </c>
      <c r="AA84" s="142">
        <f t="shared" si="16"/>
        <v>1.926922955</v>
      </c>
      <c r="AB84" s="142">
        <f t="shared" ref="AB84:AC84" si="321">($H$2+((1-$H$2)/(1+50*(K84/$H84)^2)))*$J84</f>
        <v>26.27461424</v>
      </c>
      <c r="AC84" s="142">
        <f t="shared" si="321"/>
        <v>25.80605634</v>
      </c>
      <c r="AD84" s="142" t="str">
        <f t="shared" si="18"/>
        <v>#REF!</v>
      </c>
      <c r="AE84" s="142" t="str">
        <f t="shared" si="19"/>
        <v>#REF!</v>
      </c>
      <c r="AF84" s="143" t="str">
        <f t="shared" si="20"/>
        <v>#REF!</v>
      </c>
      <c r="AG84" s="154" t="str">
        <f t="shared" si="21"/>
        <v>#REF!</v>
      </c>
      <c r="AH84" s="145" t="str">
        <f t="shared" si="22"/>
        <v>#REF!</v>
      </c>
      <c r="AI84" s="146" t="str">
        <f t="shared" si="23"/>
        <v>#REF!</v>
      </c>
      <c r="AJ84" s="147" t="str">
        <f t="shared" si="24"/>
        <v>#REF!</v>
      </c>
      <c r="AK84" s="155"/>
      <c r="AL84" s="155"/>
      <c r="AM84" s="155"/>
      <c r="AN84" s="155"/>
      <c r="AO84" s="147">
        <f t="shared" si="25"/>
        <v>0</v>
      </c>
      <c r="AP84" s="147">
        <f t="shared" si="26"/>
        <v>0</v>
      </c>
      <c r="AQ84" s="156"/>
      <c r="AR84" s="8"/>
      <c r="AS84" s="91"/>
      <c r="AT84" s="8"/>
      <c r="AU84" s="8"/>
      <c r="AV84" s="8"/>
      <c r="AW84" s="8"/>
      <c r="AX84" s="8"/>
    </row>
    <row r="85" ht="19.5" customHeight="1">
      <c r="A85" s="151" t="str">
        <f>Locsolieu!A80</f>
        <v>212</v>
      </c>
      <c r="B85" s="152">
        <f>Locsolieu!C80</f>
        <v>13.7305</v>
      </c>
      <c r="C85" s="132">
        <f>Locsolieu!D80*$C$4</f>
        <v>0.02259</v>
      </c>
      <c r="D85" s="133">
        <f>Locsolieu!E80*$C$4</f>
        <v>0.04391</v>
      </c>
      <c r="E85" s="153">
        <f>Locsolieu!F80</f>
        <v>13.4335</v>
      </c>
      <c r="F85" s="135">
        <v>510.0</v>
      </c>
      <c r="G85" s="136">
        <v>20.0</v>
      </c>
      <c r="H85" s="136">
        <v>30.0</v>
      </c>
      <c r="I85" s="136">
        <v>3.0</v>
      </c>
      <c r="J85" s="136">
        <f t="shared" si="31"/>
        <v>27</v>
      </c>
      <c r="K85" s="137">
        <f t="shared" si="5"/>
        <v>1</v>
      </c>
      <c r="L85" s="137">
        <f t="shared" si="6"/>
        <v>1</v>
      </c>
      <c r="M85" s="138" t="str">
        <f t="shared" si="32"/>
        <v>#REF!</v>
      </c>
      <c r="N85" s="138" t="str">
        <f t="shared" si="33"/>
        <v>#REF!</v>
      </c>
      <c r="O85" s="139">
        <f t="shared" si="7"/>
        <v>45000</v>
      </c>
      <c r="P85" s="140">
        <f t="shared" ref="P85:Q85" si="322">0.1+0.11/(0.1+MAX((K85/$H85),(0.5-(0.01*(0.7*$F85/$H85))-0.01*$E$2)))</f>
        <v>0.3777777778</v>
      </c>
      <c r="Q85" s="140">
        <f t="shared" si="322"/>
        <v>0.3777777778</v>
      </c>
      <c r="R85" s="139" t="str">
        <f t="shared" si="9"/>
        <v>#REF!</v>
      </c>
      <c r="S85" s="139" t="str">
        <f t="shared" si="10"/>
        <v>#REF!</v>
      </c>
      <c r="T85" s="141" t="str">
        <f t="shared" si="11"/>
        <v>#REF!</v>
      </c>
      <c r="U85" s="141" t="str">
        <f t="shared" si="12"/>
        <v>#REF!</v>
      </c>
      <c r="V85" s="142" t="str">
        <f t="shared" ref="V85:W85" si="323">IF(T85*K85&gt;=((0.5*$H85)-$I85),((T85*K85)-(0.5*$H85)+$I85),(0.5*$H85)-(T85*K85)-$I85)</f>
        <v>#REF!</v>
      </c>
      <c r="W85" s="142" t="str">
        <f t="shared" si="323"/>
        <v>#REF!</v>
      </c>
      <c r="X85" s="137" t="str">
        <f t="shared" ref="X85:Y85" si="324">(T85*K85)+(0.5*$H85)-$I85</f>
        <v>#REF!</v>
      </c>
      <c r="Y85" s="137" t="str">
        <f t="shared" si="324"/>
        <v>#REF!</v>
      </c>
      <c r="Z85" s="142">
        <f t="shared" si="15"/>
        <v>9.686112257</v>
      </c>
      <c r="AA85" s="142">
        <f t="shared" si="16"/>
        <v>9.476595099</v>
      </c>
      <c r="AB85" s="142">
        <f t="shared" ref="AB85:AC85" si="325">($H$2+((1-$H$2)/(1+50*(K85/$H85)^2)))*$J85</f>
        <v>26.50263158</v>
      </c>
      <c r="AC85" s="142">
        <f t="shared" si="325"/>
        <v>26.50263158</v>
      </c>
      <c r="AD85" s="142" t="str">
        <f t="shared" si="18"/>
        <v>#REF!</v>
      </c>
      <c r="AE85" s="142" t="str">
        <f t="shared" si="19"/>
        <v>#REF!</v>
      </c>
      <c r="AF85" s="143" t="str">
        <f t="shared" si="20"/>
        <v>#REF!</v>
      </c>
      <c r="AG85" s="154" t="str">
        <f t="shared" si="21"/>
        <v>#REF!</v>
      </c>
      <c r="AH85" s="145" t="str">
        <f t="shared" si="22"/>
        <v>#REF!</v>
      </c>
      <c r="AI85" s="146" t="str">
        <f t="shared" si="23"/>
        <v>#REF!</v>
      </c>
      <c r="AJ85" s="147" t="str">
        <f t="shared" si="24"/>
        <v>#REF!</v>
      </c>
      <c r="AK85" s="155"/>
      <c r="AL85" s="155"/>
      <c r="AM85" s="155"/>
      <c r="AN85" s="155"/>
      <c r="AO85" s="147">
        <f t="shared" si="25"/>
        <v>0</v>
      </c>
      <c r="AP85" s="147">
        <f t="shared" si="26"/>
        <v>0</v>
      </c>
      <c r="AQ85" s="156"/>
      <c r="AR85" s="8"/>
      <c r="AS85" s="91"/>
      <c r="AT85" s="8"/>
      <c r="AU85" s="8"/>
      <c r="AV85" s="8"/>
      <c r="AW85" s="8"/>
      <c r="AX85" s="8"/>
    </row>
    <row r="86" ht="19.5" customHeight="1">
      <c r="A86" s="151" t="str">
        <f>Locsolieu!A81</f>
        <v>213</v>
      </c>
      <c r="B86" s="152">
        <f>Locsolieu!C81</f>
        <v>8.382</v>
      </c>
      <c r="C86" s="132">
        <f>Locsolieu!D81*$C$4</f>
        <v>0.03983</v>
      </c>
      <c r="D86" s="133">
        <f>Locsolieu!E81*$C$4</f>
        <v>0.03983</v>
      </c>
      <c r="E86" s="153">
        <f>Locsolieu!F81</f>
        <v>8.382</v>
      </c>
      <c r="F86" s="135">
        <v>510.0</v>
      </c>
      <c r="G86" s="136">
        <v>20.0</v>
      </c>
      <c r="H86" s="136">
        <v>30.0</v>
      </c>
      <c r="I86" s="136">
        <v>3.0</v>
      </c>
      <c r="J86" s="136">
        <f t="shared" si="31"/>
        <v>27</v>
      </c>
      <c r="K86" s="137">
        <f t="shared" si="5"/>
        <v>1</v>
      </c>
      <c r="L86" s="137">
        <f t="shared" si="6"/>
        <v>1</v>
      </c>
      <c r="M86" s="138" t="str">
        <f t="shared" si="32"/>
        <v>#REF!</v>
      </c>
      <c r="N86" s="138" t="str">
        <f t="shared" si="33"/>
        <v>#REF!</v>
      </c>
      <c r="O86" s="139">
        <f t="shared" si="7"/>
        <v>45000</v>
      </c>
      <c r="P86" s="140">
        <f t="shared" ref="P86:Q86" si="326">0.1+0.11/(0.1+MAX((K86/$H86),(0.5-(0.01*(0.7*$F86/$H86))-0.01*$E$2)))</f>
        <v>0.3777777778</v>
      </c>
      <c r="Q86" s="140">
        <f t="shared" si="326"/>
        <v>0.3777777778</v>
      </c>
      <c r="R86" s="139" t="str">
        <f t="shared" si="9"/>
        <v>#REF!</v>
      </c>
      <c r="S86" s="139" t="str">
        <f t="shared" si="10"/>
        <v>#REF!</v>
      </c>
      <c r="T86" s="141" t="str">
        <f t="shared" si="11"/>
        <v>#REF!</v>
      </c>
      <c r="U86" s="141" t="str">
        <f t="shared" si="12"/>
        <v>#REF!</v>
      </c>
      <c r="V86" s="142" t="str">
        <f t="shared" ref="V86:W86" si="327">IF(T86*K86&gt;=((0.5*$H86)-$I86),((T86*K86)-(0.5*$H86)+$I86),(0.5*$H86)-(T86*K86)-$I86)</f>
        <v>#REF!</v>
      </c>
      <c r="W86" s="142" t="str">
        <f t="shared" si="327"/>
        <v>#REF!</v>
      </c>
      <c r="X86" s="137" t="str">
        <f t="shared" ref="X86:Y86" si="328">(T86*K86)+(0.5*$H86)-$I86</f>
        <v>#REF!</v>
      </c>
      <c r="Y86" s="137" t="str">
        <f t="shared" si="328"/>
        <v>#REF!</v>
      </c>
      <c r="Z86" s="142">
        <f t="shared" si="15"/>
        <v>5.913039798</v>
      </c>
      <c r="AA86" s="142">
        <f t="shared" si="16"/>
        <v>5.913039798</v>
      </c>
      <c r="AB86" s="142">
        <f t="shared" ref="AB86:AC86" si="329">($H$2+((1-$H$2)/(1+50*(K86/$H86)^2)))*$J86</f>
        <v>26.50263158</v>
      </c>
      <c r="AC86" s="142">
        <f t="shared" si="329"/>
        <v>26.50263158</v>
      </c>
      <c r="AD86" s="142" t="str">
        <f t="shared" si="18"/>
        <v>#REF!</v>
      </c>
      <c r="AE86" s="142" t="str">
        <f t="shared" si="19"/>
        <v>#REF!</v>
      </c>
      <c r="AF86" s="143" t="str">
        <f t="shared" si="20"/>
        <v>#REF!</v>
      </c>
      <c r="AG86" s="154" t="str">
        <f t="shared" si="21"/>
        <v>#REF!</v>
      </c>
      <c r="AH86" s="145" t="str">
        <f t="shared" si="22"/>
        <v>#REF!</v>
      </c>
      <c r="AI86" s="146" t="str">
        <f t="shared" si="23"/>
        <v>#REF!</v>
      </c>
      <c r="AJ86" s="147" t="str">
        <f t="shared" si="24"/>
        <v>#REF!</v>
      </c>
      <c r="AK86" s="155"/>
      <c r="AL86" s="155"/>
      <c r="AM86" s="155"/>
      <c r="AN86" s="155"/>
      <c r="AO86" s="147">
        <f t="shared" si="25"/>
        <v>0</v>
      </c>
      <c r="AP86" s="147">
        <f t="shared" si="26"/>
        <v>0</v>
      </c>
      <c r="AQ86" s="156"/>
      <c r="AR86" s="8"/>
      <c r="AS86" s="91"/>
      <c r="AT86" s="8"/>
      <c r="AU86" s="8"/>
      <c r="AV86" s="8"/>
      <c r="AW86" s="8"/>
      <c r="AX86" s="8"/>
    </row>
    <row r="87" ht="19.5" customHeight="1">
      <c r="A87" s="151" t="str">
        <f>Locsolieu!A82</f>
        <v>214</v>
      </c>
      <c r="B87" s="152">
        <f>Locsolieu!C82</f>
        <v>3.039</v>
      </c>
      <c r="C87" s="132">
        <f>Locsolieu!D82*$C$4</f>
        <v>0.06005</v>
      </c>
      <c r="D87" s="133">
        <f>Locsolieu!E82*$C$4</f>
        <v>0.06446</v>
      </c>
      <c r="E87" s="153">
        <f>Locsolieu!F82</f>
        <v>2.643</v>
      </c>
      <c r="F87" s="135">
        <v>510.0</v>
      </c>
      <c r="G87" s="136">
        <v>20.0</v>
      </c>
      <c r="H87" s="136">
        <v>30.0</v>
      </c>
      <c r="I87" s="136">
        <v>3.0</v>
      </c>
      <c r="J87" s="136">
        <f t="shared" si="31"/>
        <v>27</v>
      </c>
      <c r="K87" s="137">
        <f t="shared" si="5"/>
        <v>1.97597894</v>
      </c>
      <c r="L87" s="137">
        <f t="shared" si="6"/>
        <v>2.438895195</v>
      </c>
      <c r="M87" s="138" t="str">
        <f t="shared" si="32"/>
        <v>#REF!</v>
      </c>
      <c r="N87" s="138" t="str">
        <f t="shared" si="33"/>
        <v>#REF!</v>
      </c>
      <c r="O87" s="139">
        <f t="shared" si="7"/>
        <v>45000</v>
      </c>
      <c r="P87" s="140">
        <f t="shared" ref="P87:Q87" si="330">0.1+0.11/(0.1+MAX((K87/$H87),(0.5-(0.01*(0.7*$F87/$H87))-0.01*$E$2)))</f>
        <v>0.3777777778</v>
      </c>
      <c r="Q87" s="140">
        <f t="shared" si="330"/>
        <v>0.3777777778</v>
      </c>
      <c r="R87" s="139" t="str">
        <f t="shared" si="9"/>
        <v>#REF!</v>
      </c>
      <c r="S87" s="139" t="str">
        <f t="shared" si="10"/>
        <v>#REF!</v>
      </c>
      <c r="T87" s="141" t="str">
        <f t="shared" si="11"/>
        <v>#REF!</v>
      </c>
      <c r="U87" s="141" t="str">
        <f t="shared" si="12"/>
        <v>#REF!</v>
      </c>
      <c r="V87" s="142" t="str">
        <f t="shared" ref="V87:W87" si="331">IF(T87*K87&gt;=((0.5*$H87)-$I87),((T87*K87)-(0.5*$H87)+$I87),(0.5*$H87)-(T87*K87)-$I87)</f>
        <v>#REF!</v>
      </c>
      <c r="W87" s="142" t="str">
        <f t="shared" si="331"/>
        <v>#REF!</v>
      </c>
      <c r="X87" s="137" t="str">
        <f t="shared" ref="X87:Y87" si="332">(T87*K87)+(0.5*$H87)-$I87</f>
        <v>#REF!</v>
      </c>
      <c r="Y87" s="137" t="str">
        <f t="shared" si="332"/>
        <v>#REF!</v>
      </c>
      <c r="Z87" s="142">
        <f t="shared" si="15"/>
        <v>2.143847285</v>
      </c>
      <c r="AA87" s="142">
        <f t="shared" si="16"/>
        <v>1.864491074</v>
      </c>
      <c r="AB87" s="142">
        <f t="shared" ref="AB87:AC87" si="333">($H$2+((1-$H$2)/(1+50*(K87/$H87)^2)))*$J87</f>
        <v>25.31553019</v>
      </c>
      <c r="AC87" s="142">
        <f t="shared" si="333"/>
        <v>24.65282738</v>
      </c>
      <c r="AD87" s="142" t="str">
        <f t="shared" si="18"/>
        <v>#REF!</v>
      </c>
      <c r="AE87" s="142" t="str">
        <f t="shared" si="19"/>
        <v>#REF!</v>
      </c>
      <c r="AF87" s="143" t="str">
        <f t="shared" si="20"/>
        <v>#REF!</v>
      </c>
      <c r="AG87" s="154" t="str">
        <f t="shared" si="21"/>
        <v>#REF!</v>
      </c>
      <c r="AH87" s="145" t="str">
        <f t="shared" si="22"/>
        <v>#REF!</v>
      </c>
      <c r="AI87" s="146" t="str">
        <f t="shared" si="23"/>
        <v>#REF!</v>
      </c>
      <c r="AJ87" s="147" t="str">
        <f t="shared" si="24"/>
        <v>#REF!</v>
      </c>
      <c r="AK87" s="155"/>
      <c r="AL87" s="155"/>
      <c r="AM87" s="155"/>
      <c r="AN87" s="155"/>
      <c r="AO87" s="147">
        <f t="shared" si="25"/>
        <v>0</v>
      </c>
      <c r="AP87" s="147">
        <f t="shared" si="26"/>
        <v>0</v>
      </c>
      <c r="AQ87" s="156"/>
      <c r="AR87" s="8"/>
      <c r="AS87" s="91"/>
      <c r="AT87" s="8"/>
      <c r="AU87" s="8"/>
      <c r="AV87" s="8"/>
      <c r="AW87" s="8"/>
      <c r="AX87" s="8"/>
    </row>
    <row r="88" ht="19.5" customHeight="1">
      <c r="A88" s="151" t="str">
        <f>Locsolieu!A83</f>
        <v>215</v>
      </c>
      <c r="B88" s="152">
        <f>Locsolieu!C83</f>
        <v>17.4091</v>
      </c>
      <c r="C88" s="132">
        <f>Locsolieu!D83*$C$4</f>
        <v>0.03644</v>
      </c>
      <c r="D88" s="133">
        <f>Locsolieu!E83*$C$4</f>
        <v>0.0758</v>
      </c>
      <c r="E88" s="153">
        <f>Locsolieu!F83</f>
        <v>17.1121</v>
      </c>
      <c r="F88" s="135">
        <v>510.0</v>
      </c>
      <c r="G88" s="136">
        <v>20.0</v>
      </c>
      <c r="H88" s="136">
        <v>30.0</v>
      </c>
      <c r="I88" s="136">
        <v>3.0</v>
      </c>
      <c r="J88" s="136">
        <f t="shared" si="31"/>
        <v>27</v>
      </c>
      <c r="K88" s="137">
        <f t="shared" si="5"/>
        <v>1</v>
      </c>
      <c r="L88" s="137">
        <f t="shared" si="6"/>
        <v>1</v>
      </c>
      <c r="M88" s="138" t="str">
        <f t="shared" si="32"/>
        <v>#REF!</v>
      </c>
      <c r="N88" s="138" t="str">
        <f t="shared" si="33"/>
        <v>#REF!</v>
      </c>
      <c r="O88" s="139">
        <f t="shared" si="7"/>
        <v>45000</v>
      </c>
      <c r="P88" s="140">
        <f t="shared" ref="P88:Q88" si="334">0.1+0.11/(0.1+MAX((K88/$H88),(0.5-(0.01*(0.7*$F88/$H88))-0.01*$E$2)))</f>
        <v>0.3777777778</v>
      </c>
      <c r="Q88" s="140">
        <f t="shared" si="334"/>
        <v>0.3777777778</v>
      </c>
      <c r="R88" s="139" t="str">
        <f t="shared" si="9"/>
        <v>#REF!</v>
      </c>
      <c r="S88" s="139" t="str">
        <f t="shared" si="10"/>
        <v>#REF!</v>
      </c>
      <c r="T88" s="141" t="str">
        <f t="shared" si="11"/>
        <v>#REF!</v>
      </c>
      <c r="U88" s="141" t="str">
        <f t="shared" si="12"/>
        <v>#REF!</v>
      </c>
      <c r="V88" s="142" t="str">
        <f t="shared" ref="V88:W88" si="335">IF(T88*K88&gt;=((0.5*$H88)-$I88),((T88*K88)-(0.5*$H88)+$I88),(0.5*$H88)-(T88*K88)-$I88)</f>
        <v>#REF!</v>
      </c>
      <c r="W88" s="142" t="str">
        <f t="shared" si="335"/>
        <v>#REF!</v>
      </c>
      <c r="X88" s="137" t="str">
        <f t="shared" ref="X88:Y88" si="336">(T88*K88)+(0.5*$H88)-$I88</f>
        <v>#REF!</v>
      </c>
      <c r="Y88" s="137" t="str">
        <f t="shared" si="336"/>
        <v>#REF!</v>
      </c>
      <c r="Z88" s="142">
        <f t="shared" si="15"/>
        <v>12.28116215</v>
      </c>
      <c r="AA88" s="142">
        <f t="shared" si="16"/>
        <v>12.07164499</v>
      </c>
      <c r="AB88" s="142">
        <f t="shared" ref="AB88:AC88" si="337">($H$2+((1-$H$2)/(1+50*(K88/$H88)^2)))*$J88</f>
        <v>26.50263158</v>
      </c>
      <c r="AC88" s="142">
        <f t="shared" si="337"/>
        <v>26.50263158</v>
      </c>
      <c r="AD88" s="142" t="str">
        <f t="shared" si="18"/>
        <v>#REF!</v>
      </c>
      <c r="AE88" s="142" t="str">
        <f t="shared" si="19"/>
        <v>#REF!</v>
      </c>
      <c r="AF88" s="143" t="str">
        <f t="shared" si="20"/>
        <v>#REF!</v>
      </c>
      <c r="AG88" s="154" t="str">
        <f t="shared" si="21"/>
        <v>#REF!</v>
      </c>
      <c r="AH88" s="145" t="str">
        <f t="shared" si="22"/>
        <v>#REF!</v>
      </c>
      <c r="AI88" s="146" t="str">
        <f t="shared" si="23"/>
        <v>#REF!</v>
      </c>
      <c r="AJ88" s="147" t="str">
        <f t="shared" si="24"/>
        <v>#REF!</v>
      </c>
      <c r="AK88" s="155"/>
      <c r="AL88" s="155"/>
      <c r="AM88" s="155"/>
      <c r="AN88" s="155"/>
      <c r="AO88" s="147">
        <f t="shared" si="25"/>
        <v>0</v>
      </c>
      <c r="AP88" s="147">
        <f t="shared" si="26"/>
        <v>0</v>
      </c>
      <c r="AQ88" s="156"/>
      <c r="AR88" s="8"/>
      <c r="AS88" s="91"/>
      <c r="AT88" s="8"/>
      <c r="AU88" s="8"/>
      <c r="AV88" s="8"/>
      <c r="AW88" s="8"/>
      <c r="AX88" s="8"/>
    </row>
    <row r="89" ht="19.5" customHeight="1">
      <c r="A89" s="151" t="str">
        <f>Locsolieu!A84</f>
        <v>216</v>
      </c>
      <c r="B89" s="152">
        <f>Locsolieu!C84</f>
        <v>11.8158</v>
      </c>
      <c r="C89" s="132">
        <f>Locsolieu!D84*$C$4</f>
        <v>0.09317</v>
      </c>
      <c r="D89" s="133">
        <f>Locsolieu!E84*$C$4</f>
        <v>0.09733</v>
      </c>
      <c r="E89" s="153">
        <f>Locsolieu!F84</f>
        <v>11.4198</v>
      </c>
      <c r="F89" s="135">
        <v>510.0</v>
      </c>
      <c r="G89" s="136">
        <v>20.0</v>
      </c>
      <c r="H89" s="136">
        <v>30.0</v>
      </c>
      <c r="I89" s="136">
        <v>3.0</v>
      </c>
      <c r="J89" s="136">
        <f t="shared" si="31"/>
        <v>27</v>
      </c>
      <c r="K89" s="137">
        <f t="shared" si="5"/>
        <v>1</v>
      </c>
      <c r="L89" s="137">
        <f t="shared" si="6"/>
        <v>1</v>
      </c>
      <c r="M89" s="138" t="str">
        <f t="shared" si="32"/>
        <v>#REF!</v>
      </c>
      <c r="N89" s="138" t="str">
        <f t="shared" si="33"/>
        <v>#REF!</v>
      </c>
      <c r="O89" s="139">
        <f t="shared" si="7"/>
        <v>45000</v>
      </c>
      <c r="P89" s="140">
        <f t="shared" ref="P89:Q89" si="338">0.1+0.11/(0.1+MAX((K89/$H89),(0.5-(0.01*(0.7*$F89/$H89))-0.01*$E$2)))</f>
        <v>0.3777777778</v>
      </c>
      <c r="Q89" s="140">
        <f t="shared" si="338"/>
        <v>0.3777777778</v>
      </c>
      <c r="R89" s="139" t="str">
        <f t="shared" si="9"/>
        <v>#REF!</v>
      </c>
      <c r="S89" s="139" t="str">
        <f t="shared" si="10"/>
        <v>#REF!</v>
      </c>
      <c r="T89" s="141" t="str">
        <f t="shared" si="11"/>
        <v>#REF!</v>
      </c>
      <c r="U89" s="141" t="str">
        <f t="shared" si="12"/>
        <v>#REF!</v>
      </c>
      <c r="V89" s="142" t="str">
        <f t="shared" ref="V89:W89" si="339">IF(T89*K89&gt;=((0.5*$H89)-$I89),((T89*K89)-(0.5*$H89)+$I89),(0.5*$H89)-(T89*K89)-$I89)</f>
        <v>#REF!</v>
      </c>
      <c r="W89" s="142" t="str">
        <f t="shared" si="339"/>
        <v>#REF!</v>
      </c>
      <c r="X89" s="137" t="str">
        <f t="shared" ref="X89:Y89" si="340">(T89*K89)+(0.5*$H89)-$I89</f>
        <v>#REF!</v>
      </c>
      <c r="Y89" s="137" t="str">
        <f t="shared" si="340"/>
        <v>#REF!</v>
      </c>
      <c r="Z89" s="142">
        <f t="shared" si="15"/>
        <v>8.33539676</v>
      </c>
      <c r="AA89" s="142">
        <f t="shared" si="16"/>
        <v>8.056040549</v>
      </c>
      <c r="AB89" s="142">
        <f t="shared" ref="AB89:AC89" si="341">($H$2+((1-$H$2)/(1+50*(K89/$H89)^2)))*$J89</f>
        <v>26.50263158</v>
      </c>
      <c r="AC89" s="142">
        <f t="shared" si="341"/>
        <v>26.50263158</v>
      </c>
      <c r="AD89" s="142" t="str">
        <f t="shared" si="18"/>
        <v>#REF!</v>
      </c>
      <c r="AE89" s="142" t="str">
        <f t="shared" si="19"/>
        <v>#REF!</v>
      </c>
      <c r="AF89" s="143" t="str">
        <f t="shared" si="20"/>
        <v>#REF!</v>
      </c>
      <c r="AG89" s="154" t="str">
        <f t="shared" si="21"/>
        <v>#REF!</v>
      </c>
      <c r="AH89" s="145" t="str">
        <f t="shared" si="22"/>
        <v>#REF!</v>
      </c>
      <c r="AI89" s="146" t="str">
        <f t="shared" si="23"/>
        <v>#REF!</v>
      </c>
      <c r="AJ89" s="147" t="str">
        <f t="shared" si="24"/>
        <v>#REF!</v>
      </c>
      <c r="AK89" s="155"/>
      <c r="AL89" s="155"/>
      <c r="AM89" s="155"/>
      <c r="AN89" s="155"/>
      <c r="AO89" s="147">
        <f t="shared" si="25"/>
        <v>0</v>
      </c>
      <c r="AP89" s="147">
        <f t="shared" si="26"/>
        <v>0</v>
      </c>
      <c r="AQ89" s="156"/>
      <c r="AR89" s="8"/>
      <c r="AS89" s="91"/>
      <c r="AT89" s="8"/>
      <c r="AU89" s="8"/>
      <c r="AV89" s="8"/>
      <c r="AW89" s="8"/>
      <c r="AX89" s="8"/>
    </row>
    <row r="90" ht="19.5" customHeight="1">
      <c r="A90" s="151" t="str">
        <f>Locsolieu!A85</f>
        <v>217</v>
      </c>
      <c r="B90" s="152">
        <f>Locsolieu!C85</f>
        <v>6.3159</v>
      </c>
      <c r="C90" s="132">
        <f>Locsolieu!D85*$C$4</f>
        <v>0.07349</v>
      </c>
      <c r="D90" s="133">
        <f>Locsolieu!E85*$C$4</f>
        <v>0.09078</v>
      </c>
      <c r="E90" s="153">
        <f>Locsolieu!F85</f>
        <v>5.9199</v>
      </c>
      <c r="F90" s="135">
        <v>510.0</v>
      </c>
      <c r="G90" s="136">
        <v>20.0</v>
      </c>
      <c r="H90" s="136">
        <v>30.0</v>
      </c>
      <c r="I90" s="136">
        <v>3.0</v>
      </c>
      <c r="J90" s="136">
        <f t="shared" si="31"/>
        <v>27</v>
      </c>
      <c r="K90" s="137">
        <f t="shared" si="5"/>
        <v>1.163571304</v>
      </c>
      <c r="L90" s="137">
        <f t="shared" si="6"/>
        <v>1.533471849</v>
      </c>
      <c r="M90" s="138" t="str">
        <f t="shared" si="32"/>
        <v>#REF!</v>
      </c>
      <c r="N90" s="138" t="str">
        <f t="shared" si="33"/>
        <v>#REF!</v>
      </c>
      <c r="O90" s="139">
        <f t="shared" si="7"/>
        <v>45000</v>
      </c>
      <c r="P90" s="140">
        <f t="shared" ref="P90:Q90" si="342">0.1+0.11/(0.1+MAX((K90/$H90),(0.5-(0.01*(0.7*$F90/$H90))-0.01*$E$2)))</f>
        <v>0.3777777778</v>
      </c>
      <c r="Q90" s="140">
        <f t="shared" si="342"/>
        <v>0.3777777778</v>
      </c>
      <c r="R90" s="139" t="str">
        <f t="shared" si="9"/>
        <v>#REF!</v>
      </c>
      <c r="S90" s="139" t="str">
        <f t="shared" si="10"/>
        <v>#REF!</v>
      </c>
      <c r="T90" s="141" t="str">
        <f t="shared" si="11"/>
        <v>#REF!</v>
      </c>
      <c r="U90" s="141" t="str">
        <f t="shared" si="12"/>
        <v>#REF!</v>
      </c>
      <c r="V90" s="142" t="str">
        <f t="shared" ref="V90:W90" si="343">IF(T90*K90&gt;=((0.5*$H90)-$I90),((T90*K90)-(0.5*$H90)+$I90),(0.5*$H90)-(T90*K90)-$I90)</f>
        <v>#REF!</v>
      </c>
      <c r="W90" s="142" t="str">
        <f t="shared" si="343"/>
        <v>#REF!</v>
      </c>
      <c r="X90" s="137" t="str">
        <f t="shared" ref="X90:Y90" si="344">(T90*K90)+(0.5*$H90)-$I90</f>
        <v>#REF!</v>
      </c>
      <c r="Y90" s="137" t="str">
        <f t="shared" si="344"/>
        <v>#REF!</v>
      </c>
      <c r="Z90" s="142">
        <f t="shared" si="15"/>
        <v>4.455519931</v>
      </c>
      <c r="AA90" s="142">
        <f t="shared" si="16"/>
        <v>4.17616372</v>
      </c>
      <c r="AB90" s="142">
        <f t="shared" ref="AB90:AC90" si="345">($H$2+((1-$H$2)/(1+50*(K90/$H90)^2)))*$J90</f>
        <v>26.33892709</v>
      </c>
      <c r="AC90" s="142">
        <f t="shared" si="345"/>
        <v>25.90809153</v>
      </c>
      <c r="AD90" s="142" t="str">
        <f t="shared" si="18"/>
        <v>#REF!</v>
      </c>
      <c r="AE90" s="142" t="str">
        <f t="shared" si="19"/>
        <v>#REF!</v>
      </c>
      <c r="AF90" s="143" t="str">
        <f t="shared" si="20"/>
        <v>#REF!</v>
      </c>
      <c r="AG90" s="154" t="str">
        <f t="shared" si="21"/>
        <v>#REF!</v>
      </c>
      <c r="AH90" s="145" t="str">
        <f t="shared" si="22"/>
        <v>#REF!</v>
      </c>
      <c r="AI90" s="146" t="str">
        <f t="shared" si="23"/>
        <v>#REF!</v>
      </c>
      <c r="AJ90" s="147" t="str">
        <f t="shared" si="24"/>
        <v>#REF!</v>
      </c>
      <c r="AK90" s="155"/>
      <c r="AL90" s="155"/>
      <c r="AM90" s="155"/>
      <c r="AN90" s="155"/>
      <c r="AO90" s="147">
        <f t="shared" si="25"/>
        <v>0</v>
      </c>
      <c r="AP90" s="147">
        <f t="shared" si="26"/>
        <v>0</v>
      </c>
      <c r="AQ90" s="156"/>
      <c r="AR90" s="8"/>
      <c r="AS90" s="91"/>
      <c r="AT90" s="8"/>
      <c r="AU90" s="8"/>
      <c r="AV90" s="8"/>
      <c r="AW90" s="8"/>
      <c r="AX90" s="8"/>
    </row>
    <row r="91" ht="19.5" customHeight="1">
      <c r="A91" s="151" t="str">
        <f>Locsolieu!A86</f>
        <v>218</v>
      </c>
      <c r="B91" s="152">
        <f>Locsolieu!C86</f>
        <v>15.4306</v>
      </c>
      <c r="C91" s="132">
        <f>Locsolieu!D86*$C$4</f>
        <v>0.06879</v>
      </c>
      <c r="D91" s="133">
        <f>Locsolieu!E86*$C$4</f>
        <v>0.13706</v>
      </c>
      <c r="E91" s="153">
        <f>Locsolieu!F86</f>
        <v>15.1336</v>
      </c>
      <c r="F91" s="135">
        <v>510.0</v>
      </c>
      <c r="G91" s="136">
        <v>20.0</v>
      </c>
      <c r="H91" s="136">
        <v>30.0</v>
      </c>
      <c r="I91" s="136">
        <v>3.0</v>
      </c>
      <c r="J91" s="136">
        <f t="shared" si="31"/>
        <v>27</v>
      </c>
      <c r="K91" s="137">
        <f t="shared" si="5"/>
        <v>1</v>
      </c>
      <c r="L91" s="137">
        <f t="shared" si="6"/>
        <v>1</v>
      </c>
      <c r="M91" s="138" t="str">
        <f t="shared" si="32"/>
        <v>#REF!</v>
      </c>
      <c r="N91" s="138" t="str">
        <f t="shared" si="33"/>
        <v>#REF!</v>
      </c>
      <c r="O91" s="139">
        <f t="shared" si="7"/>
        <v>45000</v>
      </c>
      <c r="P91" s="140">
        <f t="shared" ref="P91:Q91" si="346">0.1+0.11/(0.1+MAX((K91/$H91),(0.5-(0.01*(0.7*$F91/$H91))-0.01*$E$2)))</f>
        <v>0.3777777778</v>
      </c>
      <c r="Q91" s="140">
        <f t="shared" si="346"/>
        <v>0.3777777778</v>
      </c>
      <c r="R91" s="139" t="str">
        <f t="shared" si="9"/>
        <v>#REF!</v>
      </c>
      <c r="S91" s="139" t="str">
        <f t="shared" si="10"/>
        <v>#REF!</v>
      </c>
      <c r="T91" s="141" t="str">
        <f t="shared" si="11"/>
        <v>#REF!</v>
      </c>
      <c r="U91" s="141" t="str">
        <f t="shared" si="12"/>
        <v>#REF!</v>
      </c>
      <c r="V91" s="142" t="str">
        <f t="shared" ref="V91:W91" si="347">IF(T91*K91&gt;=((0.5*$H91)-$I91),((T91*K91)-(0.5*$H91)+$I91),(0.5*$H91)-(T91*K91)-$I91)</f>
        <v>#REF!</v>
      </c>
      <c r="W91" s="142" t="str">
        <f t="shared" si="347"/>
        <v>#REF!</v>
      </c>
      <c r="X91" s="137" t="str">
        <f t="shared" ref="X91:Y91" si="348">(T91*K91)+(0.5*$H91)-$I91</f>
        <v>#REF!</v>
      </c>
      <c r="Y91" s="137" t="str">
        <f t="shared" si="348"/>
        <v>#REF!</v>
      </c>
      <c r="Z91" s="142">
        <f t="shared" si="15"/>
        <v>10.88543926</v>
      </c>
      <c r="AA91" s="142">
        <f t="shared" si="16"/>
        <v>10.6759221</v>
      </c>
      <c r="AB91" s="142">
        <f t="shared" ref="AB91:AC91" si="349">($H$2+((1-$H$2)/(1+50*(K91/$H91)^2)))*$J91</f>
        <v>26.50263158</v>
      </c>
      <c r="AC91" s="142">
        <f t="shared" si="349"/>
        <v>26.50263158</v>
      </c>
      <c r="AD91" s="142" t="str">
        <f t="shared" si="18"/>
        <v>#REF!</v>
      </c>
      <c r="AE91" s="142" t="str">
        <f t="shared" si="19"/>
        <v>#REF!</v>
      </c>
      <c r="AF91" s="143" t="str">
        <f t="shared" si="20"/>
        <v>#REF!</v>
      </c>
      <c r="AG91" s="154" t="str">
        <f t="shared" si="21"/>
        <v>#REF!</v>
      </c>
      <c r="AH91" s="145" t="str">
        <f t="shared" si="22"/>
        <v>#REF!</v>
      </c>
      <c r="AI91" s="146" t="str">
        <f t="shared" si="23"/>
        <v>#REF!</v>
      </c>
      <c r="AJ91" s="147" t="str">
        <f t="shared" si="24"/>
        <v>#REF!</v>
      </c>
      <c r="AK91" s="155"/>
      <c r="AL91" s="155"/>
      <c r="AM91" s="155"/>
      <c r="AN91" s="155"/>
      <c r="AO91" s="147">
        <f t="shared" si="25"/>
        <v>0</v>
      </c>
      <c r="AP91" s="147">
        <f t="shared" si="26"/>
        <v>0</v>
      </c>
      <c r="AQ91" s="156"/>
      <c r="AR91" s="8"/>
      <c r="AS91" s="91"/>
      <c r="AT91" s="8"/>
      <c r="AU91" s="8"/>
      <c r="AV91" s="8"/>
      <c r="AW91" s="8"/>
      <c r="AX91" s="8"/>
    </row>
    <row r="92" ht="19.5" customHeight="1">
      <c r="A92" s="151" t="str">
        <f>Locsolieu!A87</f>
        <v>219</v>
      </c>
      <c r="B92" s="152">
        <f>Locsolieu!C87</f>
        <v>11.3373</v>
      </c>
      <c r="C92" s="132">
        <f>Locsolieu!D87*$C$4</f>
        <v>0.14278</v>
      </c>
      <c r="D92" s="133">
        <f>Locsolieu!E87*$C$4</f>
        <v>0.14278</v>
      </c>
      <c r="E92" s="153">
        <f>Locsolieu!F87</f>
        <v>11.3373</v>
      </c>
      <c r="F92" s="135">
        <v>510.0</v>
      </c>
      <c r="G92" s="136">
        <v>20.0</v>
      </c>
      <c r="H92" s="136">
        <v>30.0</v>
      </c>
      <c r="I92" s="136">
        <v>3.0</v>
      </c>
      <c r="J92" s="136">
        <f t="shared" si="31"/>
        <v>27</v>
      </c>
      <c r="K92" s="137">
        <f t="shared" si="5"/>
        <v>1.259382745</v>
      </c>
      <c r="L92" s="137">
        <f t="shared" si="6"/>
        <v>1.259382745</v>
      </c>
      <c r="M92" s="138" t="str">
        <f t="shared" si="32"/>
        <v>#REF!</v>
      </c>
      <c r="N92" s="138" t="str">
        <f t="shared" si="33"/>
        <v>#REF!</v>
      </c>
      <c r="O92" s="139">
        <f t="shared" si="7"/>
        <v>45000</v>
      </c>
      <c r="P92" s="140">
        <f t="shared" ref="P92:Q92" si="350">0.1+0.11/(0.1+MAX((K92/$H92),(0.5-(0.01*(0.7*$F92/$H92))-0.01*$E$2)))</f>
        <v>0.3777777778</v>
      </c>
      <c r="Q92" s="140">
        <f t="shared" si="350"/>
        <v>0.3777777778</v>
      </c>
      <c r="R92" s="139" t="str">
        <f t="shared" si="9"/>
        <v>#REF!</v>
      </c>
      <c r="S92" s="139" t="str">
        <f t="shared" si="10"/>
        <v>#REF!</v>
      </c>
      <c r="T92" s="141" t="str">
        <f t="shared" si="11"/>
        <v>#REF!</v>
      </c>
      <c r="U92" s="141" t="str">
        <f t="shared" si="12"/>
        <v>#REF!</v>
      </c>
      <c r="V92" s="142" t="str">
        <f t="shared" ref="V92:W92" si="351">IF(T92*K92&gt;=((0.5*$H92)-$I92),((T92*K92)-(0.5*$H92)+$I92),(0.5*$H92)-(T92*K92)-$I92)</f>
        <v>#REF!</v>
      </c>
      <c r="W92" s="142" t="str">
        <f t="shared" si="351"/>
        <v>#REF!</v>
      </c>
      <c r="X92" s="137" t="str">
        <f t="shared" ref="X92:Y92" si="352">(T92*K92)+(0.5*$H92)-$I92</f>
        <v>#REF!</v>
      </c>
      <c r="Y92" s="137" t="str">
        <f t="shared" si="352"/>
        <v>#REF!</v>
      </c>
      <c r="Z92" s="142">
        <f t="shared" si="15"/>
        <v>7.997841338</v>
      </c>
      <c r="AA92" s="142">
        <f t="shared" si="16"/>
        <v>7.997841338</v>
      </c>
      <c r="AB92" s="142">
        <f t="shared" ref="AB92:AC92" si="353">($H$2+((1-$H$2)/(1+50*(K92/$H92)^2)))*$J92</f>
        <v>26.23475493</v>
      </c>
      <c r="AC92" s="142">
        <f t="shared" si="353"/>
        <v>26.23475493</v>
      </c>
      <c r="AD92" s="142" t="str">
        <f t="shared" si="18"/>
        <v>#REF!</v>
      </c>
      <c r="AE92" s="142" t="str">
        <f t="shared" si="19"/>
        <v>#REF!</v>
      </c>
      <c r="AF92" s="143" t="str">
        <f t="shared" si="20"/>
        <v>#REF!</v>
      </c>
      <c r="AG92" s="154" t="str">
        <f t="shared" si="21"/>
        <v>#REF!</v>
      </c>
      <c r="AH92" s="145" t="str">
        <f t="shared" si="22"/>
        <v>#REF!</v>
      </c>
      <c r="AI92" s="146" t="str">
        <f t="shared" si="23"/>
        <v>#REF!</v>
      </c>
      <c r="AJ92" s="147" t="str">
        <f t="shared" si="24"/>
        <v>#REF!</v>
      </c>
      <c r="AK92" s="155"/>
      <c r="AL92" s="155"/>
      <c r="AM92" s="155"/>
      <c r="AN92" s="155"/>
      <c r="AO92" s="147">
        <f t="shared" si="25"/>
        <v>0</v>
      </c>
      <c r="AP92" s="147">
        <f t="shared" si="26"/>
        <v>0</v>
      </c>
      <c r="AQ92" s="156"/>
      <c r="AR92" s="8"/>
      <c r="AS92" s="91"/>
      <c r="AT92" s="8"/>
      <c r="AU92" s="8"/>
      <c r="AV92" s="8"/>
      <c r="AW92" s="8"/>
      <c r="AX92" s="8"/>
    </row>
    <row r="93" ht="19.5" customHeight="1">
      <c r="A93" s="151" t="str">
        <f>Locsolieu!A88</f>
        <v>220</v>
      </c>
      <c r="B93" s="152">
        <f>Locsolieu!C88</f>
        <v>7.0425</v>
      </c>
      <c r="C93" s="132">
        <f>Locsolieu!D88*$C$4</f>
        <v>0.24038</v>
      </c>
      <c r="D93" s="133">
        <f>Locsolieu!E88*$C$4</f>
        <v>0.27786</v>
      </c>
      <c r="E93" s="153">
        <f>Locsolieu!F88</f>
        <v>6.6465</v>
      </c>
      <c r="F93" s="135">
        <v>510.0</v>
      </c>
      <c r="G93" s="136">
        <v>20.0</v>
      </c>
      <c r="H93" s="136">
        <v>30.0</v>
      </c>
      <c r="I93" s="136">
        <v>3.0</v>
      </c>
      <c r="J93" s="136">
        <f t="shared" si="31"/>
        <v>27</v>
      </c>
      <c r="K93" s="137">
        <f t="shared" si="5"/>
        <v>3.413276535</v>
      </c>
      <c r="L93" s="137">
        <f t="shared" si="6"/>
        <v>4.180546152</v>
      </c>
      <c r="M93" s="138" t="str">
        <f t="shared" si="32"/>
        <v>#REF!</v>
      </c>
      <c r="N93" s="138" t="str">
        <f t="shared" si="33"/>
        <v>#REF!</v>
      </c>
      <c r="O93" s="139">
        <f t="shared" si="7"/>
        <v>45000</v>
      </c>
      <c r="P93" s="140">
        <f t="shared" ref="P93:Q93" si="354">0.1+0.11/(0.1+MAX((K93/$H93),(0.5-(0.01*(0.7*$F93/$H93))-0.01*$E$2)))</f>
        <v>0.3777777778</v>
      </c>
      <c r="Q93" s="140">
        <f t="shared" si="354"/>
        <v>0.3777777778</v>
      </c>
      <c r="R93" s="139" t="str">
        <f t="shared" si="9"/>
        <v>#REF!</v>
      </c>
      <c r="S93" s="139" t="str">
        <f t="shared" si="10"/>
        <v>#REF!</v>
      </c>
      <c r="T93" s="141" t="str">
        <f t="shared" si="11"/>
        <v>#REF!</v>
      </c>
      <c r="U93" s="141" t="str">
        <f t="shared" si="12"/>
        <v>#REF!</v>
      </c>
      <c r="V93" s="142" t="str">
        <f t="shared" ref="V93:W93" si="355">IF(T93*K93&gt;=((0.5*$H93)-$I93),((T93*K93)-(0.5*$H93)+$I93),(0.5*$H93)-(T93*K93)-$I93)</f>
        <v>#REF!</v>
      </c>
      <c r="W93" s="142" t="str">
        <f t="shared" si="355"/>
        <v>#REF!</v>
      </c>
      <c r="X93" s="137" t="str">
        <f t="shared" ref="X93:Y93" si="356">(T93*K93)+(0.5*$H93)-$I93</f>
        <v>#REF!</v>
      </c>
      <c r="Y93" s="137" t="str">
        <f t="shared" si="356"/>
        <v>#REF!</v>
      </c>
      <c r="Z93" s="142">
        <f t="shared" si="15"/>
        <v>4.968096251</v>
      </c>
      <c r="AA93" s="142">
        <f t="shared" si="16"/>
        <v>4.68874004</v>
      </c>
      <c r="AB93" s="142">
        <f t="shared" ref="AB93:AC93" si="357">($H$2+((1-$H$2)/(1+50*(K93/$H93)^2)))*$J93</f>
        <v>23.28684249</v>
      </c>
      <c r="AC93" s="142">
        <f t="shared" si="357"/>
        <v>22.34466027</v>
      </c>
      <c r="AD93" s="142" t="str">
        <f t="shared" si="18"/>
        <v>#REF!</v>
      </c>
      <c r="AE93" s="142" t="str">
        <f t="shared" si="19"/>
        <v>#REF!</v>
      </c>
      <c r="AF93" s="143" t="str">
        <f t="shared" si="20"/>
        <v>#REF!</v>
      </c>
      <c r="AG93" s="154" t="str">
        <f t="shared" si="21"/>
        <v>#REF!</v>
      </c>
      <c r="AH93" s="145" t="str">
        <f t="shared" si="22"/>
        <v>#REF!</v>
      </c>
      <c r="AI93" s="146" t="str">
        <f t="shared" si="23"/>
        <v>#REF!</v>
      </c>
      <c r="AJ93" s="147" t="str">
        <f t="shared" si="24"/>
        <v>#REF!</v>
      </c>
      <c r="AK93" s="155"/>
      <c r="AL93" s="155"/>
      <c r="AM93" s="155"/>
      <c r="AN93" s="155"/>
      <c r="AO93" s="147">
        <f t="shared" si="25"/>
        <v>0</v>
      </c>
      <c r="AP93" s="147">
        <f t="shared" si="26"/>
        <v>0</v>
      </c>
      <c r="AQ93" s="156"/>
      <c r="AR93" s="8"/>
      <c r="AS93" s="91"/>
      <c r="AT93" s="8"/>
      <c r="AU93" s="8"/>
      <c r="AV93" s="8"/>
      <c r="AW93" s="8"/>
      <c r="AX93" s="8"/>
    </row>
    <row r="94" ht="19.5" customHeight="1">
      <c r="A94" s="151" t="str">
        <f>Locsolieu!A89</f>
        <v>221</v>
      </c>
      <c r="B94" s="152">
        <f>Locsolieu!C89</f>
        <v>24.8386</v>
      </c>
      <c r="C94" s="132">
        <f>Locsolieu!D89*$C$4</f>
        <v>0.0725</v>
      </c>
      <c r="D94" s="133">
        <f>Locsolieu!E89*$C$4</f>
        <v>0.13642</v>
      </c>
      <c r="E94" s="153">
        <f>Locsolieu!F89</f>
        <v>24.5416</v>
      </c>
      <c r="F94" s="135">
        <v>510.0</v>
      </c>
      <c r="G94" s="136">
        <v>20.0</v>
      </c>
      <c r="H94" s="136">
        <v>30.0</v>
      </c>
      <c r="I94" s="136">
        <v>3.0</v>
      </c>
      <c r="J94" s="136">
        <f t="shared" si="31"/>
        <v>27</v>
      </c>
      <c r="K94" s="137">
        <f t="shared" si="5"/>
        <v>1</v>
      </c>
      <c r="L94" s="137">
        <f t="shared" si="6"/>
        <v>1</v>
      </c>
      <c r="M94" s="138" t="str">
        <f t="shared" si="32"/>
        <v>#REF!</v>
      </c>
      <c r="N94" s="138" t="str">
        <f t="shared" si="33"/>
        <v>#REF!</v>
      </c>
      <c r="O94" s="139">
        <f t="shared" si="7"/>
        <v>45000</v>
      </c>
      <c r="P94" s="140">
        <f t="shared" ref="P94:Q94" si="358">0.1+0.11/(0.1+MAX((K94/$H94),(0.5-(0.01*(0.7*$F94/$H94))-0.01*$E$2)))</f>
        <v>0.3777777778</v>
      </c>
      <c r="Q94" s="140">
        <f t="shared" si="358"/>
        <v>0.3777777778</v>
      </c>
      <c r="R94" s="139" t="str">
        <f t="shared" si="9"/>
        <v>#REF!</v>
      </c>
      <c r="S94" s="139" t="str">
        <f t="shared" si="10"/>
        <v>#REF!</v>
      </c>
      <c r="T94" s="141" t="str">
        <f t="shared" si="11"/>
        <v>#REF!</v>
      </c>
      <c r="U94" s="141" t="str">
        <f t="shared" si="12"/>
        <v>#REF!</v>
      </c>
      <c r="V94" s="142" t="str">
        <f t="shared" ref="V94:W94" si="359">IF(T94*K94&gt;=((0.5*$H94)-$I94),((T94*K94)-(0.5*$H94)+$I94),(0.5*$H94)-(T94*K94)-$I94)</f>
        <v>#REF!</v>
      </c>
      <c r="W94" s="142" t="str">
        <f t="shared" si="359"/>
        <v>#REF!</v>
      </c>
      <c r="X94" s="137" t="str">
        <f t="shared" ref="X94:Y94" si="360">(T94*K94)+(0.5*$H94)-$I94</f>
        <v>#REF!</v>
      </c>
      <c r="Y94" s="137" t="str">
        <f t="shared" si="360"/>
        <v>#REF!</v>
      </c>
      <c r="Z94" s="142">
        <f t="shared" si="15"/>
        <v>17.52226561</v>
      </c>
      <c r="AA94" s="142">
        <f t="shared" si="16"/>
        <v>17.31274845</v>
      </c>
      <c r="AB94" s="142">
        <f t="shared" ref="AB94:AC94" si="361">($H$2+((1-$H$2)/(1+50*(K94/$H94)^2)))*$J94</f>
        <v>26.50263158</v>
      </c>
      <c r="AC94" s="142">
        <f t="shared" si="361"/>
        <v>26.50263158</v>
      </c>
      <c r="AD94" s="142" t="str">
        <f t="shared" si="18"/>
        <v>#REF!</v>
      </c>
      <c r="AE94" s="142" t="str">
        <f t="shared" si="19"/>
        <v>#REF!</v>
      </c>
      <c r="AF94" s="143" t="str">
        <f t="shared" si="20"/>
        <v>#REF!</v>
      </c>
      <c r="AG94" s="154" t="str">
        <f t="shared" si="21"/>
        <v>#REF!</v>
      </c>
      <c r="AH94" s="145" t="str">
        <f t="shared" si="22"/>
        <v>#REF!</v>
      </c>
      <c r="AI94" s="146" t="str">
        <f t="shared" si="23"/>
        <v>#REF!</v>
      </c>
      <c r="AJ94" s="147" t="str">
        <f t="shared" si="24"/>
        <v>#REF!</v>
      </c>
      <c r="AK94" s="155"/>
      <c r="AL94" s="155"/>
      <c r="AM94" s="155"/>
      <c r="AN94" s="155"/>
      <c r="AO94" s="147">
        <f t="shared" si="25"/>
        <v>0</v>
      </c>
      <c r="AP94" s="147">
        <f t="shared" si="26"/>
        <v>0</v>
      </c>
      <c r="AQ94" s="156"/>
      <c r="AR94" s="8"/>
      <c r="AS94" s="91"/>
      <c r="AT94" s="8"/>
      <c r="AU94" s="8"/>
      <c r="AV94" s="8"/>
      <c r="AW94" s="8"/>
      <c r="AX94" s="8"/>
    </row>
    <row r="95" ht="19.5" customHeight="1">
      <c r="A95" s="151" t="str">
        <f>Locsolieu!A90</f>
        <v>222</v>
      </c>
      <c r="B95" s="152">
        <f>Locsolieu!C90</f>
        <v>21.9747</v>
      </c>
      <c r="C95" s="132">
        <f>Locsolieu!D90*$C$4</f>
        <v>0.13357</v>
      </c>
      <c r="D95" s="133">
        <f>Locsolieu!E90*$C$4</f>
        <v>0.13357</v>
      </c>
      <c r="E95" s="153">
        <f>Locsolieu!F90</f>
        <v>21.9747</v>
      </c>
      <c r="F95" s="135">
        <v>510.0</v>
      </c>
      <c r="G95" s="136">
        <v>20.0</v>
      </c>
      <c r="H95" s="136">
        <v>30.0</v>
      </c>
      <c r="I95" s="136">
        <v>3.0</v>
      </c>
      <c r="J95" s="136">
        <f t="shared" si="31"/>
        <v>27</v>
      </c>
      <c r="K95" s="137">
        <f t="shared" si="5"/>
        <v>1</v>
      </c>
      <c r="L95" s="137">
        <f t="shared" si="6"/>
        <v>1</v>
      </c>
      <c r="M95" s="138" t="str">
        <f t="shared" si="32"/>
        <v>#REF!</v>
      </c>
      <c r="N95" s="138" t="str">
        <f t="shared" si="33"/>
        <v>#REF!</v>
      </c>
      <c r="O95" s="139">
        <f t="shared" si="7"/>
        <v>45000</v>
      </c>
      <c r="P95" s="140">
        <f t="shared" ref="P95:Q95" si="362">0.1+0.11/(0.1+MAX((K95/$H95),(0.5-(0.01*(0.7*$F95/$H95))-0.01*$E$2)))</f>
        <v>0.3777777778</v>
      </c>
      <c r="Q95" s="140">
        <f t="shared" si="362"/>
        <v>0.3777777778</v>
      </c>
      <c r="R95" s="139" t="str">
        <f t="shared" si="9"/>
        <v>#REF!</v>
      </c>
      <c r="S95" s="139" t="str">
        <f t="shared" si="10"/>
        <v>#REF!</v>
      </c>
      <c r="T95" s="141" t="str">
        <f t="shared" si="11"/>
        <v>#REF!</v>
      </c>
      <c r="U95" s="141" t="str">
        <f t="shared" si="12"/>
        <v>#REF!</v>
      </c>
      <c r="V95" s="142" t="str">
        <f t="shared" ref="V95:W95" si="363">IF(T95*K95&gt;=((0.5*$H95)-$I95),((T95*K95)-(0.5*$H95)+$I95),(0.5*$H95)-(T95*K95)-$I95)</f>
        <v>#REF!</v>
      </c>
      <c r="W95" s="142" t="str">
        <f t="shared" si="363"/>
        <v>#REF!</v>
      </c>
      <c r="X95" s="137" t="str">
        <f t="shared" ref="X95:Y95" si="364">(T95*K95)+(0.5*$H95)-$I95</f>
        <v>#REF!</v>
      </c>
      <c r="Y95" s="137" t="str">
        <f t="shared" si="364"/>
        <v>#REF!</v>
      </c>
      <c r="Z95" s="142">
        <f t="shared" si="15"/>
        <v>15.50194174</v>
      </c>
      <c r="AA95" s="142">
        <f t="shared" si="16"/>
        <v>15.50194174</v>
      </c>
      <c r="AB95" s="142">
        <f t="shared" ref="AB95:AC95" si="365">($H$2+((1-$H$2)/(1+50*(K95/$H95)^2)))*$J95</f>
        <v>26.50263158</v>
      </c>
      <c r="AC95" s="142">
        <f t="shared" si="365"/>
        <v>26.50263158</v>
      </c>
      <c r="AD95" s="142" t="str">
        <f t="shared" si="18"/>
        <v>#REF!</v>
      </c>
      <c r="AE95" s="142" t="str">
        <f t="shared" si="19"/>
        <v>#REF!</v>
      </c>
      <c r="AF95" s="143" t="str">
        <f t="shared" si="20"/>
        <v>#REF!</v>
      </c>
      <c r="AG95" s="154" t="str">
        <f t="shared" si="21"/>
        <v>#REF!</v>
      </c>
      <c r="AH95" s="145" t="str">
        <f t="shared" si="22"/>
        <v>#REF!</v>
      </c>
      <c r="AI95" s="146" t="str">
        <f t="shared" si="23"/>
        <v>#REF!</v>
      </c>
      <c r="AJ95" s="147" t="str">
        <f t="shared" si="24"/>
        <v>#REF!</v>
      </c>
      <c r="AK95" s="155"/>
      <c r="AL95" s="155"/>
      <c r="AM95" s="155"/>
      <c r="AN95" s="155"/>
      <c r="AO95" s="147">
        <f t="shared" si="25"/>
        <v>0</v>
      </c>
      <c r="AP95" s="147">
        <f t="shared" si="26"/>
        <v>0</v>
      </c>
      <c r="AQ95" s="156"/>
      <c r="AR95" s="8"/>
      <c r="AS95" s="91"/>
      <c r="AT95" s="8"/>
      <c r="AU95" s="8"/>
      <c r="AV95" s="8"/>
      <c r="AW95" s="8"/>
      <c r="AX95" s="8"/>
    </row>
    <row r="96" ht="19.5" customHeight="1">
      <c r="A96" s="151" t="str">
        <f>Locsolieu!A91</f>
        <v>223</v>
      </c>
      <c r="B96" s="152">
        <f>Locsolieu!C91</f>
        <v>19.1697</v>
      </c>
      <c r="C96" s="132">
        <f>Locsolieu!D91*$C$4</f>
        <v>0.08878</v>
      </c>
      <c r="D96" s="133">
        <f>Locsolieu!E91*$C$4</f>
        <v>0.08878</v>
      </c>
      <c r="E96" s="153">
        <f>Locsolieu!F91</f>
        <v>19.1697</v>
      </c>
      <c r="F96" s="135">
        <v>510.0</v>
      </c>
      <c r="G96" s="136">
        <v>20.0</v>
      </c>
      <c r="H96" s="136">
        <v>30.0</v>
      </c>
      <c r="I96" s="136">
        <v>3.0</v>
      </c>
      <c r="J96" s="136">
        <f t="shared" si="31"/>
        <v>27</v>
      </c>
      <c r="K96" s="137">
        <f t="shared" si="5"/>
        <v>1</v>
      </c>
      <c r="L96" s="137">
        <f t="shared" si="6"/>
        <v>1</v>
      </c>
      <c r="M96" s="138" t="str">
        <f t="shared" si="32"/>
        <v>#REF!</v>
      </c>
      <c r="N96" s="138" t="str">
        <f t="shared" si="33"/>
        <v>#REF!</v>
      </c>
      <c r="O96" s="139">
        <f t="shared" si="7"/>
        <v>45000</v>
      </c>
      <c r="P96" s="140">
        <f t="shared" ref="P96:Q96" si="366">0.1+0.11/(0.1+MAX((K96/$H96),(0.5-(0.01*(0.7*$F96/$H96))-0.01*$E$2)))</f>
        <v>0.3777777778</v>
      </c>
      <c r="Q96" s="140">
        <f t="shared" si="366"/>
        <v>0.3777777778</v>
      </c>
      <c r="R96" s="139" t="str">
        <f t="shared" si="9"/>
        <v>#REF!</v>
      </c>
      <c r="S96" s="139" t="str">
        <f t="shared" si="10"/>
        <v>#REF!</v>
      </c>
      <c r="T96" s="141" t="str">
        <f t="shared" si="11"/>
        <v>#REF!</v>
      </c>
      <c r="U96" s="141" t="str">
        <f t="shared" si="12"/>
        <v>#REF!</v>
      </c>
      <c r="V96" s="142" t="str">
        <f t="shared" ref="V96:W96" si="367">IF(T96*K96&gt;=((0.5*$H96)-$I96),((T96*K96)-(0.5*$H96)+$I96),(0.5*$H96)-(T96*K96)-$I96)</f>
        <v>#REF!</v>
      </c>
      <c r="W96" s="142" t="str">
        <f t="shared" si="367"/>
        <v>#REF!</v>
      </c>
      <c r="X96" s="137" t="str">
        <f t="shared" ref="X96:Y96" si="368">(T96*K96)+(0.5*$H96)-$I96</f>
        <v>#REF!</v>
      </c>
      <c r="Y96" s="137" t="str">
        <f t="shared" si="368"/>
        <v>#REF!</v>
      </c>
      <c r="Z96" s="142">
        <f t="shared" si="15"/>
        <v>13.52316858</v>
      </c>
      <c r="AA96" s="142">
        <f t="shared" si="16"/>
        <v>13.52316858</v>
      </c>
      <c r="AB96" s="142">
        <f t="shared" ref="AB96:AC96" si="369">($H$2+((1-$H$2)/(1+50*(K96/$H96)^2)))*$J96</f>
        <v>26.50263158</v>
      </c>
      <c r="AC96" s="142">
        <f t="shared" si="369"/>
        <v>26.50263158</v>
      </c>
      <c r="AD96" s="142" t="str">
        <f t="shared" si="18"/>
        <v>#REF!</v>
      </c>
      <c r="AE96" s="142" t="str">
        <f t="shared" si="19"/>
        <v>#REF!</v>
      </c>
      <c r="AF96" s="143" t="str">
        <f t="shared" si="20"/>
        <v>#REF!</v>
      </c>
      <c r="AG96" s="154" t="str">
        <f t="shared" si="21"/>
        <v>#REF!</v>
      </c>
      <c r="AH96" s="145" t="str">
        <f t="shared" si="22"/>
        <v>#REF!</v>
      </c>
      <c r="AI96" s="146" t="str">
        <f t="shared" si="23"/>
        <v>#REF!</v>
      </c>
      <c r="AJ96" s="147" t="str">
        <f t="shared" si="24"/>
        <v>#REF!</v>
      </c>
      <c r="AK96" s="155"/>
      <c r="AL96" s="155"/>
      <c r="AM96" s="155"/>
      <c r="AN96" s="155"/>
      <c r="AO96" s="147">
        <f t="shared" si="25"/>
        <v>0</v>
      </c>
      <c r="AP96" s="147">
        <f t="shared" si="26"/>
        <v>0</v>
      </c>
      <c r="AQ96" s="156"/>
      <c r="AR96" s="8"/>
      <c r="AS96" s="91"/>
      <c r="AT96" s="8"/>
      <c r="AU96" s="8"/>
      <c r="AV96" s="8"/>
      <c r="AW96" s="8"/>
      <c r="AX96" s="8"/>
    </row>
    <row r="97" ht="19.5" customHeight="1">
      <c r="A97" s="151" t="str">
        <f>Locsolieu!A92</f>
        <v>224</v>
      </c>
      <c r="B97" s="152">
        <f>Locsolieu!C92</f>
        <v>17.6682</v>
      </c>
      <c r="C97" s="132">
        <f>Locsolieu!D92*$C$4</f>
        <v>0.03689</v>
      </c>
      <c r="D97" s="133">
        <f>Locsolieu!E92*$C$4</f>
        <v>0.08403</v>
      </c>
      <c r="E97" s="153">
        <f>Locsolieu!F92</f>
        <v>17.3712</v>
      </c>
      <c r="F97" s="135">
        <v>510.0</v>
      </c>
      <c r="G97" s="136">
        <v>20.0</v>
      </c>
      <c r="H97" s="136">
        <v>30.0</v>
      </c>
      <c r="I97" s="136">
        <v>3.0</v>
      </c>
      <c r="J97" s="136">
        <f t="shared" si="31"/>
        <v>27</v>
      </c>
      <c r="K97" s="137">
        <f t="shared" si="5"/>
        <v>1</v>
      </c>
      <c r="L97" s="137">
        <f t="shared" si="6"/>
        <v>1</v>
      </c>
      <c r="M97" s="138" t="str">
        <f t="shared" si="32"/>
        <v>#REF!</v>
      </c>
      <c r="N97" s="138" t="str">
        <f t="shared" si="33"/>
        <v>#REF!</v>
      </c>
      <c r="O97" s="139">
        <f t="shared" si="7"/>
        <v>45000</v>
      </c>
      <c r="P97" s="140">
        <f t="shared" ref="P97:Q97" si="370">0.1+0.11/(0.1+MAX((K97/$H97),(0.5-(0.01*(0.7*$F97/$H97))-0.01*$E$2)))</f>
        <v>0.3777777778</v>
      </c>
      <c r="Q97" s="140">
        <f t="shared" si="370"/>
        <v>0.3777777778</v>
      </c>
      <c r="R97" s="139" t="str">
        <f t="shared" si="9"/>
        <v>#REF!</v>
      </c>
      <c r="S97" s="139" t="str">
        <f t="shared" si="10"/>
        <v>#REF!</v>
      </c>
      <c r="T97" s="141" t="str">
        <f t="shared" si="11"/>
        <v>#REF!</v>
      </c>
      <c r="U97" s="141" t="str">
        <f t="shared" si="12"/>
        <v>#REF!</v>
      </c>
      <c r="V97" s="142" t="str">
        <f t="shared" ref="V97:W97" si="371">IF(T97*K97&gt;=((0.5*$H97)-$I97),((T97*K97)-(0.5*$H97)+$I97),(0.5*$H97)-(T97*K97)-$I97)</f>
        <v>#REF!</v>
      </c>
      <c r="W97" s="142" t="str">
        <f t="shared" si="371"/>
        <v>#REF!</v>
      </c>
      <c r="X97" s="137" t="str">
        <f t="shared" ref="X97:Y97" si="372">(T97*K97)+(0.5*$H97)-$I97</f>
        <v>#REF!</v>
      </c>
      <c r="Y97" s="137" t="str">
        <f t="shared" si="372"/>
        <v>#REF!</v>
      </c>
      <c r="Z97" s="142">
        <f t="shared" si="15"/>
        <v>12.46394294</v>
      </c>
      <c r="AA97" s="142">
        <f t="shared" si="16"/>
        <v>12.25442579</v>
      </c>
      <c r="AB97" s="142">
        <f t="shared" ref="AB97:AC97" si="373">($H$2+((1-$H$2)/(1+50*(K97/$H97)^2)))*$J97</f>
        <v>26.50263158</v>
      </c>
      <c r="AC97" s="142">
        <f t="shared" si="373"/>
        <v>26.50263158</v>
      </c>
      <c r="AD97" s="142" t="str">
        <f t="shared" si="18"/>
        <v>#REF!</v>
      </c>
      <c r="AE97" s="142" t="str">
        <f t="shared" si="19"/>
        <v>#REF!</v>
      </c>
      <c r="AF97" s="143" t="str">
        <f t="shared" si="20"/>
        <v>#REF!</v>
      </c>
      <c r="AG97" s="154" t="str">
        <f t="shared" si="21"/>
        <v>#REF!</v>
      </c>
      <c r="AH97" s="145" t="str">
        <f t="shared" si="22"/>
        <v>#REF!</v>
      </c>
      <c r="AI97" s="146" t="str">
        <f t="shared" si="23"/>
        <v>#REF!</v>
      </c>
      <c r="AJ97" s="147" t="str">
        <f t="shared" si="24"/>
        <v>#REF!</v>
      </c>
      <c r="AK97" s="155"/>
      <c r="AL97" s="155"/>
      <c r="AM97" s="155"/>
      <c r="AN97" s="155"/>
      <c r="AO97" s="147">
        <f t="shared" si="25"/>
        <v>0</v>
      </c>
      <c r="AP97" s="147">
        <f t="shared" si="26"/>
        <v>0</v>
      </c>
      <c r="AQ97" s="156"/>
      <c r="AR97" s="8"/>
      <c r="AS97" s="91"/>
      <c r="AT97" s="8"/>
      <c r="AU97" s="8"/>
      <c r="AV97" s="8"/>
      <c r="AW97" s="8"/>
      <c r="AX97" s="8"/>
    </row>
    <row r="98" ht="19.5" customHeight="1">
      <c r="A98" s="151" t="str">
        <f>Locsolieu!A93</f>
        <v>225</v>
      </c>
      <c r="B98" s="152">
        <f>Locsolieu!C93</f>
        <v>13.5422</v>
      </c>
      <c r="C98" s="132">
        <f>Locsolieu!D93*$C$4</f>
        <v>0.11898</v>
      </c>
      <c r="D98" s="133">
        <f>Locsolieu!E93*$C$4</f>
        <v>0.12781</v>
      </c>
      <c r="E98" s="153">
        <f>Locsolieu!F93</f>
        <v>13.1462</v>
      </c>
      <c r="F98" s="135">
        <v>510.0</v>
      </c>
      <c r="G98" s="136">
        <v>20.0</v>
      </c>
      <c r="H98" s="136">
        <v>30.0</v>
      </c>
      <c r="I98" s="136">
        <v>3.0</v>
      </c>
      <c r="J98" s="136">
        <f t="shared" si="31"/>
        <v>27</v>
      </c>
      <c r="K98" s="137">
        <f t="shared" si="5"/>
        <v>1</v>
      </c>
      <c r="L98" s="137">
        <f t="shared" si="6"/>
        <v>1</v>
      </c>
      <c r="M98" s="138" t="str">
        <f t="shared" si="32"/>
        <v>#REF!</v>
      </c>
      <c r="N98" s="138" t="str">
        <f t="shared" si="33"/>
        <v>#REF!</v>
      </c>
      <c r="O98" s="139">
        <f t="shared" si="7"/>
        <v>45000</v>
      </c>
      <c r="P98" s="140">
        <f t="shared" ref="P98:Q98" si="374">0.1+0.11/(0.1+MAX((K98/$H98),(0.5-(0.01*(0.7*$F98/$H98))-0.01*$E$2)))</f>
        <v>0.3777777778</v>
      </c>
      <c r="Q98" s="140">
        <f t="shared" si="374"/>
        <v>0.3777777778</v>
      </c>
      <c r="R98" s="139" t="str">
        <f t="shared" si="9"/>
        <v>#REF!</v>
      </c>
      <c r="S98" s="139" t="str">
        <f t="shared" si="10"/>
        <v>#REF!</v>
      </c>
      <c r="T98" s="141" t="str">
        <f t="shared" si="11"/>
        <v>#REF!</v>
      </c>
      <c r="U98" s="141" t="str">
        <f t="shared" si="12"/>
        <v>#REF!</v>
      </c>
      <c r="V98" s="142" t="str">
        <f t="shared" ref="V98:W98" si="375">IF(T98*K98&gt;=((0.5*$H98)-$I98),((T98*K98)-(0.5*$H98)+$I98),(0.5*$H98)-(T98*K98)-$I98)</f>
        <v>#REF!</v>
      </c>
      <c r="W98" s="142" t="str">
        <f t="shared" si="375"/>
        <v>#REF!</v>
      </c>
      <c r="X98" s="137" t="str">
        <f t="shared" ref="X98:Y98" si="376">(T98*K98)+(0.5*$H98)-$I98</f>
        <v>#REF!</v>
      </c>
      <c r="Y98" s="137" t="str">
        <f t="shared" si="376"/>
        <v>#REF!</v>
      </c>
      <c r="Z98" s="142">
        <f t="shared" si="15"/>
        <v>9.553276968</v>
      </c>
      <c r="AA98" s="142">
        <f t="shared" si="16"/>
        <v>9.273920757</v>
      </c>
      <c r="AB98" s="142">
        <f t="shared" ref="AB98:AC98" si="377">($H$2+((1-$H$2)/(1+50*(K98/$H98)^2)))*$J98</f>
        <v>26.50263158</v>
      </c>
      <c r="AC98" s="142">
        <f t="shared" si="377"/>
        <v>26.50263158</v>
      </c>
      <c r="AD98" s="142" t="str">
        <f t="shared" si="18"/>
        <v>#REF!</v>
      </c>
      <c r="AE98" s="142" t="str">
        <f t="shared" si="19"/>
        <v>#REF!</v>
      </c>
      <c r="AF98" s="143" t="str">
        <f t="shared" si="20"/>
        <v>#REF!</v>
      </c>
      <c r="AG98" s="154" t="str">
        <f t="shared" si="21"/>
        <v>#REF!</v>
      </c>
      <c r="AH98" s="145" t="str">
        <f t="shared" si="22"/>
        <v>#REF!</v>
      </c>
      <c r="AI98" s="146" t="str">
        <f t="shared" si="23"/>
        <v>#REF!</v>
      </c>
      <c r="AJ98" s="147" t="str">
        <f t="shared" si="24"/>
        <v>#REF!</v>
      </c>
      <c r="AK98" s="155"/>
      <c r="AL98" s="155"/>
      <c r="AM98" s="155"/>
      <c r="AN98" s="155"/>
      <c r="AO98" s="147">
        <f t="shared" si="25"/>
        <v>0</v>
      </c>
      <c r="AP98" s="147">
        <f t="shared" si="26"/>
        <v>0</v>
      </c>
      <c r="AQ98" s="156"/>
      <c r="AR98" s="8"/>
      <c r="AS98" s="91"/>
      <c r="AT98" s="8"/>
      <c r="AU98" s="8"/>
      <c r="AV98" s="8"/>
      <c r="AW98" s="8"/>
      <c r="AX98" s="8"/>
    </row>
    <row r="99" ht="19.5" customHeight="1">
      <c r="A99" s="151" t="str">
        <f>Locsolieu!A94</f>
        <v>226</v>
      </c>
      <c r="B99" s="152">
        <f>Locsolieu!C94</f>
        <v>9.4684</v>
      </c>
      <c r="C99" s="132">
        <f>Locsolieu!D94*$C$4</f>
        <v>0.19716</v>
      </c>
      <c r="D99" s="133">
        <f>Locsolieu!E94*$C$4</f>
        <v>0.21802</v>
      </c>
      <c r="E99" s="153">
        <f>Locsolieu!F94</f>
        <v>9.0724</v>
      </c>
      <c r="F99" s="135">
        <v>510.0</v>
      </c>
      <c r="G99" s="136">
        <v>20.0</v>
      </c>
      <c r="H99" s="136">
        <v>30.0</v>
      </c>
      <c r="I99" s="136">
        <v>3.0</v>
      </c>
      <c r="J99" s="136">
        <f t="shared" si="31"/>
        <v>27</v>
      </c>
      <c r="K99" s="137">
        <f t="shared" si="5"/>
        <v>2.082294791</v>
      </c>
      <c r="L99" s="137">
        <f t="shared" si="6"/>
        <v>2.403112738</v>
      </c>
      <c r="M99" s="138" t="str">
        <f t="shared" si="32"/>
        <v>#REF!</v>
      </c>
      <c r="N99" s="138" t="str">
        <f t="shared" si="33"/>
        <v>#REF!</v>
      </c>
      <c r="O99" s="139">
        <f t="shared" si="7"/>
        <v>45000</v>
      </c>
      <c r="P99" s="140">
        <f t="shared" ref="P99:Q99" si="378">0.1+0.11/(0.1+MAX((K99/$H99),(0.5-(0.01*(0.7*$F99/$H99))-0.01*$E$2)))</f>
        <v>0.3777777778</v>
      </c>
      <c r="Q99" s="140">
        <f t="shared" si="378"/>
        <v>0.3777777778</v>
      </c>
      <c r="R99" s="139" t="str">
        <f t="shared" si="9"/>
        <v>#REF!</v>
      </c>
      <c r="S99" s="139" t="str">
        <f t="shared" si="10"/>
        <v>#REF!</v>
      </c>
      <c r="T99" s="141" t="str">
        <f t="shared" si="11"/>
        <v>#REF!</v>
      </c>
      <c r="U99" s="141" t="str">
        <f t="shared" si="12"/>
        <v>#REF!</v>
      </c>
      <c r="V99" s="142" t="str">
        <f t="shared" ref="V99:W99" si="379">IF(T99*K99&gt;=((0.5*$H99)-$I99),((T99*K99)-(0.5*$H99)+$I99),(0.5*$H99)-(T99*K99)-$I99)</f>
        <v>#REF!</v>
      </c>
      <c r="W99" s="142" t="str">
        <f t="shared" si="379"/>
        <v>#REF!</v>
      </c>
      <c r="X99" s="137" t="str">
        <f t="shared" ref="X99:Y99" si="380">(T99*K99)+(0.5*$H99)-$I99</f>
        <v>#REF!</v>
      </c>
      <c r="Y99" s="137" t="str">
        <f t="shared" si="380"/>
        <v>#REF!</v>
      </c>
      <c r="Z99" s="142">
        <f t="shared" si="15"/>
        <v>6.679435221</v>
      </c>
      <c r="AA99" s="142">
        <f t="shared" si="16"/>
        <v>6.40007901</v>
      </c>
      <c r="AB99" s="142">
        <f t="shared" ref="AB99:AC99" si="381">($H$2+((1-$H$2)/(1+50*(K99/$H99)^2)))*$J99</f>
        <v>25.1655251</v>
      </c>
      <c r="AC99" s="142">
        <f t="shared" si="381"/>
        <v>24.70458893</v>
      </c>
      <c r="AD99" s="142" t="str">
        <f t="shared" si="18"/>
        <v>#REF!</v>
      </c>
      <c r="AE99" s="142" t="str">
        <f t="shared" si="19"/>
        <v>#REF!</v>
      </c>
      <c r="AF99" s="143" t="str">
        <f t="shared" si="20"/>
        <v>#REF!</v>
      </c>
      <c r="AG99" s="154" t="str">
        <f t="shared" si="21"/>
        <v>#REF!</v>
      </c>
      <c r="AH99" s="145" t="str">
        <f t="shared" si="22"/>
        <v>#REF!</v>
      </c>
      <c r="AI99" s="146" t="str">
        <f t="shared" si="23"/>
        <v>#REF!</v>
      </c>
      <c r="AJ99" s="147" t="str">
        <f t="shared" si="24"/>
        <v>#REF!</v>
      </c>
      <c r="AK99" s="155"/>
      <c r="AL99" s="155"/>
      <c r="AM99" s="155"/>
      <c r="AN99" s="155"/>
      <c r="AO99" s="147">
        <f t="shared" si="25"/>
        <v>0</v>
      </c>
      <c r="AP99" s="147">
        <f t="shared" si="26"/>
        <v>0</v>
      </c>
      <c r="AQ99" s="156"/>
      <c r="AR99" s="8"/>
      <c r="AS99" s="91"/>
      <c r="AT99" s="8"/>
      <c r="AU99" s="8"/>
      <c r="AV99" s="8"/>
      <c r="AW99" s="8"/>
      <c r="AX99" s="8"/>
    </row>
    <row r="100" ht="19.5" customHeight="1">
      <c r="A100" s="151" t="str">
        <f>Locsolieu!A95</f>
        <v>227</v>
      </c>
      <c r="B100" s="152">
        <f>Locsolieu!C95</f>
        <v>11.5923</v>
      </c>
      <c r="C100" s="132">
        <f>Locsolieu!D95*$C$4</f>
        <v>0.02723</v>
      </c>
      <c r="D100" s="133">
        <f>Locsolieu!E95*$C$4</f>
        <v>0.04714</v>
      </c>
      <c r="E100" s="153">
        <f>Locsolieu!F95</f>
        <v>11.2953</v>
      </c>
      <c r="F100" s="135">
        <v>510.0</v>
      </c>
      <c r="G100" s="136">
        <v>20.0</v>
      </c>
      <c r="H100" s="136">
        <v>30.0</v>
      </c>
      <c r="I100" s="136">
        <v>3.0</v>
      </c>
      <c r="J100" s="136">
        <f t="shared" si="31"/>
        <v>27</v>
      </c>
      <c r="K100" s="137">
        <f t="shared" si="5"/>
        <v>1</v>
      </c>
      <c r="L100" s="137">
        <f t="shared" si="6"/>
        <v>1</v>
      </c>
      <c r="M100" s="138" t="str">
        <f t="shared" si="32"/>
        <v>#REF!</v>
      </c>
      <c r="N100" s="138" t="str">
        <f t="shared" si="33"/>
        <v>#REF!</v>
      </c>
      <c r="O100" s="139">
        <f t="shared" si="7"/>
        <v>45000</v>
      </c>
      <c r="P100" s="140">
        <f t="shared" ref="P100:Q100" si="382">0.1+0.11/(0.1+MAX((K100/$H100),(0.5-(0.01*(0.7*$F100/$H100))-0.01*$E$2)))</f>
        <v>0.3777777778</v>
      </c>
      <c r="Q100" s="140">
        <f t="shared" si="382"/>
        <v>0.3777777778</v>
      </c>
      <c r="R100" s="139" t="str">
        <f t="shared" si="9"/>
        <v>#REF!</v>
      </c>
      <c r="S100" s="139" t="str">
        <f t="shared" si="10"/>
        <v>#REF!</v>
      </c>
      <c r="T100" s="141" t="str">
        <f t="shared" si="11"/>
        <v>#REF!</v>
      </c>
      <c r="U100" s="141" t="str">
        <f t="shared" si="12"/>
        <v>#REF!</v>
      </c>
      <c r="V100" s="142" t="str">
        <f t="shared" ref="V100:W100" si="383">IF(T100*K100&gt;=((0.5*$H100)-$I100),((T100*K100)-(0.5*$H100)+$I100),(0.5*$H100)-(T100*K100)-$I100)</f>
        <v>#REF!</v>
      </c>
      <c r="W100" s="142" t="str">
        <f t="shared" si="383"/>
        <v>#REF!</v>
      </c>
      <c r="X100" s="137" t="str">
        <f t="shared" ref="X100:Y100" si="384">(T100*K100)+(0.5*$H100)-$I100</f>
        <v>#REF!</v>
      </c>
      <c r="Y100" s="137" t="str">
        <f t="shared" si="384"/>
        <v>#REF!</v>
      </c>
      <c r="Z100" s="142">
        <f t="shared" si="15"/>
        <v>8.177729808</v>
      </c>
      <c r="AA100" s="142">
        <f t="shared" si="16"/>
        <v>7.968212649</v>
      </c>
      <c r="AB100" s="142">
        <f t="shared" ref="AB100:AC100" si="385">($H$2+((1-$H$2)/(1+50*(K100/$H100)^2)))*$J100</f>
        <v>26.50263158</v>
      </c>
      <c r="AC100" s="142">
        <f t="shared" si="385"/>
        <v>26.50263158</v>
      </c>
      <c r="AD100" s="142" t="str">
        <f t="shared" si="18"/>
        <v>#REF!</v>
      </c>
      <c r="AE100" s="142" t="str">
        <f t="shared" si="19"/>
        <v>#REF!</v>
      </c>
      <c r="AF100" s="143" t="str">
        <f t="shared" si="20"/>
        <v>#REF!</v>
      </c>
      <c r="AG100" s="154" t="str">
        <f t="shared" si="21"/>
        <v>#REF!</v>
      </c>
      <c r="AH100" s="145" t="str">
        <f t="shared" si="22"/>
        <v>#REF!</v>
      </c>
      <c r="AI100" s="146" t="str">
        <f t="shared" si="23"/>
        <v>#REF!</v>
      </c>
      <c r="AJ100" s="147" t="str">
        <f t="shared" si="24"/>
        <v>#REF!</v>
      </c>
      <c r="AK100" s="155"/>
      <c r="AL100" s="155"/>
      <c r="AM100" s="155"/>
      <c r="AN100" s="155"/>
      <c r="AO100" s="147">
        <f t="shared" si="25"/>
        <v>0</v>
      </c>
      <c r="AP100" s="147">
        <f t="shared" si="26"/>
        <v>0</v>
      </c>
      <c r="AQ100" s="156"/>
      <c r="AR100" s="8"/>
      <c r="AS100" s="91"/>
      <c r="AT100" s="8"/>
      <c r="AU100" s="8"/>
      <c r="AV100" s="8"/>
      <c r="AW100" s="8"/>
      <c r="AX100" s="8"/>
    </row>
    <row r="101" ht="19.5" customHeight="1">
      <c r="A101" s="151" t="str">
        <f>Locsolieu!A96</f>
        <v>228</v>
      </c>
      <c r="B101" s="152">
        <f>Locsolieu!C96</f>
        <v>7.6927</v>
      </c>
      <c r="C101" s="132">
        <f>Locsolieu!D96*$C$4</f>
        <v>0.03304</v>
      </c>
      <c r="D101" s="133">
        <f>Locsolieu!E96*$C$4</f>
        <v>0.03304</v>
      </c>
      <c r="E101" s="153">
        <f>Locsolieu!F96</f>
        <v>7.6927</v>
      </c>
      <c r="F101" s="135">
        <v>510.0</v>
      </c>
      <c r="G101" s="136">
        <v>20.0</v>
      </c>
      <c r="H101" s="136">
        <v>30.0</v>
      </c>
      <c r="I101" s="136">
        <v>3.0</v>
      </c>
      <c r="J101" s="136">
        <f t="shared" si="31"/>
        <v>27</v>
      </c>
      <c r="K101" s="137">
        <f t="shared" si="5"/>
        <v>1</v>
      </c>
      <c r="L101" s="137">
        <f t="shared" si="6"/>
        <v>1</v>
      </c>
      <c r="M101" s="138" t="str">
        <f t="shared" si="32"/>
        <v>#REF!</v>
      </c>
      <c r="N101" s="138" t="str">
        <f t="shared" si="33"/>
        <v>#REF!</v>
      </c>
      <c r="O101" s="139">
        <f t="shared" si="7"/>
        <v>45000</v>
      </c>
      <c r="P101" s="140">
        <f t="shared" ref="P101:Q101" si="386">0.1+0.11/(0.1+MAX((K101/$H101),(0.5-(0.01*(0.7*$F101/$H101))-0.01*$E$2)))</f>
        <v>0.3777777778</v>
      </c>
      <c r="Q101" s="140">
        <f t="shared" si="386"/>
        <v>0.3777777778</v>
      </c>
      <c r="R101" s="139" t="str">
        <f t="shared" si="9"/>
        <v>#REF!</v>
      </c>
      <c r="S101" s="139" t="str">
        <f t="shared" si="10"/>
        <v>#REF!</v>
      </c>
      <c r="T101" s="141" t="str">
        <f t="shared" si="11"/>
        <v>#REF!</v>
      </c>
      <c r="U101" s="141" t="str">
        <f t="shared" si="12"/>
        <v>#REF!</v>
      </c>
      <c r="V101" s="142" t="str">
        <f t="shared" ref="V101:W101" si="387">IF(T101*K101&gt;=((0.5*$H101)-$I101),((T101*K101)-(0.5*$H101)+$I101),(0.5*$H101)-(T101*K101)-$I101)</f>
        <v>#REF!</v>
      </c>
      <c r="W101" s="142" t="str">
        <f t="shared" si="387"/>
        <v>#REF!</v>
      </c>
      <c r="X101" s="137" t="str">
        <f t="shared" ref="X101:Y101" si="388">(T101*K101)+(0.5*$H101)-$I101</f>
        <v>#REF!</v>
      </c>
      <c r="Y101" s="137" t="str">
        <f t="shared" si="388"/>
        <v>#REF!</v>
      </c>
      <c r="Z101" s="142">
        <f t="shared" si="15"/>
        <v>5.426776575</v>
      </c>
      <c r="AA101" s="142">
        <f t="shared" si="16"/>
        <v>5.426776575</v>
      </c>
      <c r="AB101" s="142">
        <f t="shared" ref="AB101:AC101" si="389">($H$2+((1-$H$2)/(1+50*(K101/$H101)^2)))*$J101</f>
        <v>26.50263158</v>
      </c>
      <c r="AC101" s="142">
        <f t="shared" si="389"/>
        <v>26.50263158</v>
      </c>
      <c r="AD101" s="142" t="str">
        <f t="shared" si="18"/>
        <v>#REF!</v>
      </c>
      <c r="AE101" s="142" t="str">
        <f t="shared" si="19"/>
        <v>#REF!</v>
      </c>
      <c r="AF101" s="143" t="str">
        <f t="shared" si="20"/>
        <v>#REF!</v>
      </c>
      <c r="AG101" s="154" t="str">
        <f t="shared" si="21"/>
        <v>#REF!</v>
      </c>
      <c r="AH101" s="145" t="str">
        <f t="shared" si="22"/>
        <v>#REF!</v>
      </c>
      <c r="AI101" s="146" t="str">
        <f t="shared" si="23"/>
        <v>#REF!</v>
      </c>
      <c r="AJ101" s="147" t="str">
        <f t="shared" si="24"/>
        <v>#REF!</v>
      </c>
      <c r="AK101" s="155"/>
      <c r="AL101" s="155"/>
      <c r="AM101" s="155"/>
      <c r="AN101" s="155"/>
      <c r="AO101" s="147">
        <f t="shared" si="25"/>
        <v>0</v>
      </c>
      <c r="AP101" s="147">
        <f t="shared" si="26"/>
        <v>0</v>
      </c>
      <c r="AQ101" s="156"/>
      <c r="AR101" s="8"/>
      <c r="AS101" s="91"/>
      <c r="AT101" s="8"/>
      <c r="AU101" s="8"/>
      <c r="AV101" s="8"/>
      <c r="AW101" s="8"/>
      <c r="AX101" s="8"/>
    </row>
    <row r="102" ht="19.5" customHeight="1">
      <c r="A102" s="151" t="str">
        <f>Locsolieu!A97</f>
        <v>229</v>
      </c>
      <c r="B102" s="152">
        <f>Locsolieu!C97</f>
        <v>3.7036</v>
      </c>
      <c r="C102" s="132">
        <f>Locsolieu!D97*$C$4</f>
        <v>0.0139</v>
      </c>
      <c r="D102" s="133">
        <f>Locsolieu!E97*$C$4</f>
        <v>0.01419</v>
      </c>
      <c r="E102" s="153">
        <f>Locsolieu!F97</f>
        <v>3.3076</v>
      </c>
      <c r="F102" s="135">
        <v>510.0</v>
      </c>
      <c r="G102" s="136">
        <v>20.0</v>
      </c>
      <c r="H102" s="136">
        <v>30.0</v>
      </c>
      <c r="I102" s="136">
        <v>3.0</v>
      </c>
      <c r="J102" s="136">
        <f t="shared" si="31"/>
        <v>27</v>
      </c>
      <c r="K102" s="137">
        <f t="shared" si="5"/>
        <v>1</v>
      </c>
      <c r="L102" s="137">
        <f t="shared" si="6"/>
        <v>1</v>
      </c>
      <c r="M102" s="138" t="str">
        <f t="shared" si="32"/>
        <v>#REF!</v>
      </c>
      <c r="N102" s="138" t="str">
        <f t="shared" si="33"/>
        <v>#REF!</v>
      </c>
      <c r="O102" s="139">
        <f t="shared" si="7"/>
        <v>45000</v>
      </c>
      <c r="P102" s="140">
        <f t="shared" ref="P102:Q102" si="390">0.1+0.11/(0.1+MAX((K102/$H102),(0.5-(0.01*(0.7*$F102/$H102))-0.01*$E$2)))</f>
        <v>0.3777777778</v>
      </c>
      <c r="Q102" s="140">
        <f t="shared" si="390"/>
        <v>0.3777777778</v>
      </c>
      <c r="R102" s="139" t="str">
        <f t="shared" si="9"/>
        <v>#REF!</v>
      </c>
      <c r="S102" s="139" t="str">
        <f t="shared" si="10"/>
        <v>#REF!</v>
      </c>
      <c r="T102" s="141" t="str">
        <f t="shared" si="11"/>
        <v>#REF!</v>
      </c>
      <c r="U102" s="141" t="str">
        <f t="shared" si="12"/>
        <v>#REF!</v>
      </c>
      <c r="V102" s="142" t="str">
        <f t="shared" ref="V102:W102" si="391">IF(T102*K102&gt;=((0.5*$H102)-$I102),((T102*K102)-(0.5*$H102)+$I102),(0.5*$H102)-(T102*K102)-$I102)</f>
        <v>#REF!</v>
      </c>
      <c r="W102" s="142" t="str">
        <f t="shared" si="391"/>
        <v>#REF!</v>
      </c>
      <c r="X102" s="137" t="str">
        <f t="shared" ref="X102:Y102" si="392">(T102*K102)+(0.5*$H102)-$I102</f>
        <v>#REF!</v>
      </c>
      <c r="Y102" s="137" t="str">
        <f t="shared" si="392"/>
        <v>#REF!</v>
      </c>
      <c r="Z102" s="142">
        <f t="shared" si="15"/>
        <v>2.612686017</v>
      </c>
      <c r="AA102" s="142">
        <f t="shared" si="16"/>
        <v>2.333329806</v>
      </c>
      <c r="AB102" s="142">
        <f t="shared" ref="AB102:AC102" si="393">($H$2+((1-$H$2)/(1+50*(K102/$H102)^2)))*$J102</f>
        <v>26.50263158</v>
      </c>
      <c r="AC102" s="142">
        <f t="shared" si="393"/>
        <v>26.50263158</v>
      </c>
      <c r="AD102" s="142" t="str">
        <f t="shared" si="18"/>
        <v>#REF!</v>
      </c>
      <c r="AE102" s="142" t="str">
        <f t="shared" si="19"/>
        <v>#REF!</v>
      </c>
      <c r="AF102" s="143" t="str">
        <f t="shared" si="20"/>
        <v>#REF!</v>
      </c>
      <c r="AG102" s="154" t="str">
        <f t="shared" si="21"/>
        <v>#REF!</v>
      </c>
      <c r="AH102" s="145" t="str">
        <f t="shared" si="22"/>
        <v>#REF!</v>
      </c>
      <c r="AI102" s="146" t="str">
        <f t="shared" si="23"/>
        <v>#REF!</v>
      </c>
      <c r="AJ102" s="147" t="str">
        <f t="shared" si="24"/>
        <v>#REF!</v>
      </c>
      <c r="AK102" s="155"/>
      <c r="AL102" s="155"/>
      <c r="AM102" s="155"/>
      <c r="AN102" s="155"/>
      <c r="AO102" s="147">
        <f t="shared" si="25"/>
        <v>0</v>
      </c>
      <c r="AP102" s="147">
        <f t="shared" si="26"/>
        <v>0</v>
      </c>
      <c r="AQ102" s="156"/>
      <c r="AR102" s="8"/>
      <c r="AS102" s="91"/>
      <c r="AT102" s="8"/>
      <c r="AU102" s="8"/>
      <c r="AV102" s="8"/>
      <c r="AW102" s="8"/>
      <c r="AX102" s="8"/>
    </row>
    <row r="103" ht="19.5" customHeight="1">
      <c r="A103" s="151" t="str">
        <f>Locsolieu!A98</f>
        <v>230</v>
      </c>
      <c r="B103" s="152">
        <f>Locsolieu!C98</f>
        <v>11.8089</v>
      </c>
      <c r="C103" s="132">
        <f>Locsolieu!D98*$C$4</f>
        <v>0.01616</v>
      </c>
      <c r="D103" s="133">
        <f>Locsolieu!E98*$C$4</f>
        <v>0.03549</v>
      </c>
      <c r="E103" s="153">
        <f>Locsolieu!F98</f>
        <v>11.5119</v>
      </c>
      <c r="F103" s="135">
        <v>510.0</v>
      </c>
      <c r="G103" s="136">
        <v>20.0</v>
      </c>
      <c r="H103" s="136">
        <v>30.0</v>
      </c>
      <c r="I103" s="136">
        <v>3.0</v>
      </c>
      <c r="J103" s="136">
        <f t="shared" si="31"/>
        <v>27</v>
      </c>
      <c r="K103" s="137">
        <f t="shared" si="5"/>
        <v>1</v>
      </c>
      <c r="L103" s="137">
        <f t="shared" si="6"/>
        <v>1</v>
      </c>
      <c r="M103" s="138" t="str">
        <f t="shared" si="32"/>
        <v>#REF!</v>
      </c>
      <c r="N103" s="138" t="str">
        <f t="shared" si="33"/>
        <v>#REF!</v>
      </c>
      <c r="O103" s="139">
        <f t="shared" si="7"/>
        <v>45000</v>
      </c>
      <c r="P103" s="140">
        <f t="shared" ref="P103:Q103" si="394">0.1+0.11/(0.1+MAX((K103/$H103),(0.5-(0.01*(0.7*$F103/$H103))-0.01*$E$2)))</f>
        <v>0.3777777778</v>
      </c>
      <c r="Q103" s="140">
        <f t="shared" si="394"/>
        <v>0.3777777778</v>
      </c>
      <c r="R103" s="139" t="str">
        <f t="shared" si="9"/>
        <v>#REF!</v>
      </c>
      <c r="S103" s="139" t="str">
        <f t="shared" si="10"/>
        <v>#REF!</v>
      </c>
      <c r="T103" s="141" t="str">
        <f t="shared" si="11"/>
        <v>#REF!</v>
      </c>
      <c r="U103" s="141" t="str">
        <f t="shared" si="12"/>
        <v>#REF!</v>
      </c>
      <c r="V103" s="142" t="str">
        <f t="shared" ref="V103:W103" si="395">IF(T103*K103&gt;=((0.5*$H103)-$I103),((T103*K103)-(0.5*$H103)+$I103),(0.5*$H103)-(T103*K103)-$I103)</f>
        <v>#REF!</v>
      </c>
      <c r="W103" s="142" t="str">
        <f t="shared" si="395"/>
        <v>#REF!</v>
      </c>
      <c r="X103" s="137" t="str">
        <f t="shared" ref="X103:Y103" si="396">(T103*K103)+(0.5*$H103)-$I103</f>
        <v>#REF!</v>
      </c>
      <c r="Y103" s="137" t="str">
        <f t="shared" si="396"/>
        <v>#REF!</v>
      </c>
      <c r="Z103" s="142">
        <f t="shared" si="15"/>
        <v>8.33052919</v>
      </c>
      <c r="AA103" s="142">
        <f t="shared" si="16"/>
        <v>8.121012031</v>
      </c>
      <c r="AB103" s="142">
        <f t="shared" ref="AB103:AC103" si="397">($H$2+((1-$H$2)/(1+50*(K103/$H103)^2)))*$J103</f>
        <v>26.50263158</v>
      </c>
      <c r="AC103" s="142">
        <f t="shared" si="397"/>
        <v>26.50263158</v>
      </c>
      <c r="AD103" s="142" t="str">
        <f t="shared" si="18"/>
        <v>#REF!</v>
      </c>
      <c r="AE103" s="142" t="str">
        <f t="shared" si="19"/>
        <v>#REF!</v>
      </c>
      <c r="AF103" s="143" t="str">
        <f t="shared" si="20"/>
        <v>#REF!</v>
      </c>
      <c r="AG103" s="154" t="str">
        <f t="shared" si="21"/>
        <v>#REF!</v>
      </c>
      <c r="AH103" s="145" t="str">
        <f t="shared" si="22"/>
        <v>#REF!</v>
      </c>
      <c r="AI103" s="146" t="str">
        <f t="shared" si="23"/>
        <v>#REF!</v>
      </c>
      <c r="AJ103" s="147" t="str">
        <f t="shared" si="24"/>
        <v>#REF!</v>
      </c>
      <c r="AK103" s="155"/>
      <c r="AL103" s="155"/>
      <c r="AM103" s="155"/>
      <c r="AN103" s="155"/>
      <c r="AO103" s="147">
        <f t="shared" si="25"/>
        <v>0</v>
      </c>
      <c r="AP103" s="147">
        <f t="shared" si="26"/>
        <v>0</v>
      </c>
      <c r="AQ103" s="156"/>
      <c r="AR103" s="8"/>
      <c r="AS103" s="91"/>
      <c r="AT103" s="8"/>
      <c r="AU103" s="8"/>
      <c r="AV103" s="8"/>
      <c r="AW103" s="8"/>
      <c r="AX103" s="8"/>
    </row>
    <row r="104" ht="19.5" customHeight="1">
      <c r="A104" s="151" t="str">
        <f>Locsolieu!A99</f>
        <v>231</v>
      </c>
      <c r="B104" s="152">
        <f>Locsolieu!C99</f>
        <v>7.5536</v>
      </c>
      <c r="C104" s="132">
        <f>Locsolieu!D99*$C$4</f>
        <v>0.0411</v>
      </c>
      <c r="D104" s="133">
        <f>Locsolieu!E99*$C$4</f>
        <v>0.0411</v>
      </c>
      <c r="E104" s="153">
        <f>Locsolieu!F99</f>
        <v>7.5536</v>
      </c>
      <c r="F104" s="135">
        <v>510.0</v>
      </c>
      <c r="G104" s="136">
        <v>20.0</v>
      </c>
      <c r="H104" s="136">
        <v>30.0</v>
      </c>
      <c r="I104" s="136">
        <v>3.0</v>
      </c>
      <c r="J104" s="136">
        <f t="shared" si="31"/>
        <v>27</v>
      </c>
      <c r="K104" s="137">
        <f t="shared" si="5"/>
        <v>1</v>
      </c>
      <c r="L104" s="137">
        <f t="shared" si="6"/>
        <v>1</v>
      </c>
      <c r="M104" s="138" t="str">
        <f t="shared" si="32"/>
        <v>#REF!</v>
      </c>
      <c r="N104" s="138" t="str">
        <f t="shared" si="33"/>
        <v>#REF!</v>
      </c>
      <c r="O104" s="139">
        <f t="shared" si="7"/>
        <v>45000</v>
      </c>
      <c r="P104" s="140">
        <f t="shared" ref="P104:Q104" si="398">0.1+0.11/(0.1+MAX((K104/$H104),(0.5-(0.01*(0.7*$F104/$H104))-0.01*$E$2)))</f>
        <v>0.3777777778</v>
      </c>
      <c r="Q104" s="140">
        <f t="shared" si="398"/>
        <v>0.3777777778</v>
      </c>
      <c r="R104" s="139" t="str">
        <f t="shared" si="9"/>
        <v>#REF!</v>
      </c>
      <c r="S104" s="139" t="str">
        <f t="shared" si="10"/>
        <v>#REF!</v>
      </c>
      <c r="T104" s="141" t="str">
        <f t="shared" si="11"/>
        <v>#REF!</v>
      </c>
      <c r="U104" s="141" t="str">
        <f t="shared" si="12"/>
        <v>#REF!</v>
      </c>
      <c r="V104" s="142" t="str">
        <f t="shared" ref="V104:W104" si="399">IF(T104*K104&gt;=((0.5*$H104)-$I104),((T104*K104)-(0.5*$H104)+$I104),(0.5*$H104)-(T104*K104)-$I104)</f>
        <v>#REF!</v>
      </c>
      <c r="W104" s="142" t="str">
        <f t="shared" si="399"/>
        <v>#REF!</v>
      </c>
      <c r="X104" s="137" t="str">
        <f t="shared" ref="X104:Y104" si="400">(T104*K104)+(0.5*$H104)-$I104</f>
        <v>#REF!</v>
      </c>
      <c r="Y104" s="137" t="str">
        <f t="shared" si="400"/>
        <v>#REF!</v>
      </c>
      <c r="Z104" s="142">
        <f t="shared" si="15"/>
        <v>5.328649179</v>
      </c>
      <c r="AA104" s="142">
        <f t="shared" si="16"/>
        <v>5.328649179</v>
      </c>
      <c r="AB104" s="142">
        <f t="shared" ref="AB104:AC104" si="401">($H$2+((1-$H$2)/(1+50*(K104/$H104)^2)))*$J104</f>
        <v>26.50263158</v>
      </c>
      <c r="AC104" s="142">
        <f t="shared" si="401"/>
        <v>26.50263158</v>
      </c>
      <c r="AD104" s="142" t="str">
        <f t="shared" si="18"/>
        <v>#REF!</v>
      </c>
      <c r="AE104" s="142" t="str">
        <f t="shared" si="19"/>
        <v>#REF!</v>
      </c>
      <c r="AF104" s="143" t="str">
        <f t="shared" si="20"/>
        <v>#REF!</v>
      </c>
      <c r="AG104" s="154" t="str">
        <f t="shared" si="21"/>
        <v>#REF!</v>
      </c>
      <c r="AH104" s="145" t="str">
        <f t="shared" si="22"/>
        <v>#REF!</v>
      </c>
      <c r="AI104" s="146" t="str">
        <f t="shared" si="23"/>
        <v>#REF!</v>
      </c>
      <c r="AJ104" s="147" t="str">
        <f t="shared" si="24"/>
        <v>#REF!</v>
      </c>
      <c r="AK104" s="155"/>
      <c r="AL104" s="155"/>
      <c r="AM104" s="155"/>
      <c r="AN104" s="155"/>
      <c r="AO104" s="147">
        <f t="shared" si="25"/>
        <v>0</v>
      </c>
      <c r="AP104" s="147">
        <f t="shared" si="26"/>
        <v>0</v>
      </c>
      <c r="AQ104" s="156"/>
      <c r="AR104" s="8"/>
      <c r="AS104" s="91"/>
      <c r="AT104" s="8"/>
      <c r="AU104" s="8"/>
      <c r="AV104" s="8"/>
      <c r="AW104" s="8"/>
      <c r="AX104" s="8"/>
    </row>
    <row r="105" ht="19.5" customHeight="1">
      <c r="A105" s="151" t="str">
        <f>Locsolieu!A100</f>
        <v>232</v>
      </c>
      <c r="B105" s="152">
        <f>Locsolieu!C100</f>
        <v>3.2834</v>
      </c>
      <c r="C105" s="132">
        <f>Locsolieu!D100*$C$4</f>
        <v>0.05885</v>
      </c>
      <c r="D105" s="133">
        <f>Locsolieu!E100*$C$4</f>
        <v>0.06289</v>
      </c>
      <c r="E105" s="153">
        <f>Locsolieu!F100</f>
        <v>2.8874</v>
      </c>
      <c r="F105" s="135">
        <v>510.0</v>
      </c>
      <c r="G105" s="136">
        <v>20.0</v>
      </c>
      <c r="H105" s="136">
        <v>30.0</v>
      </c>
      <c r="I105" s="136">
        <v>3.0</v>
      </c>
      <c r="J105" s="136">
        <f t="shared" si="31"/>
        <v>27</v>
      </c>
      <c r="K105" s="137">
        <f t="shared" si="5"/>
        <v>1.792349394</v>
      </c>
      <c r="L105" s="137">
        <f t="shared" si="6"/>
        <v>2.178084089</v>
      </c>
      <c r="M105" s="138" t="str">
        <f t="shared" si="32"/>
        <v>#REF!</v>
      </c>
      <c r="N105" s="138" t="str">
        <f t="shared" si="33"/>
        <v>#REF!</v>
      </c>
      <c r="O105" s="139">
        <f t="shared" si="7"/>
        <v>45000</v>
      </c>
      <c r="P105" s="140">
        <f t="shared" ref="P105:Q105" si="402">0.1+0.11/(0.1+MAX((K105/$H105),(0.5-(0.01*(0.7*$F105/$H105))-0.01*$E$2)))</f>
        <v>0.3777777778</v>
      </c>
      <c r="Q105" s="140">
        <f t="shared" si="402"/>
        <v>0.3777777778</v>
      </c>
      <c r="R105" s="139" t="str">
        <f t="shared" si="9"/>
        <v>#REF!</v>
      </c>
      <c r="S105" s="139" t="str">
        <f t="shared" si="10"/>
        <v>#REF!</v>
      </c>
      <c r="T105" s="141" t="str">
        <f t="shared" si="11"/>
        <v>#REF!</v>
      </c>
      <c r="U105" s="141" t="str">
        <f t="shared" si="12"/>
        <v>#REF!</v>
      </c>
      <c r="V105" s="142" t="str">
        <f t="shared" ref="V105:W105" si="403">IF(T105*K105&gt;=((0.5*$H105)-$I105),((T105*K105)-(0.5*$H105)+$I105),(0.5*$H105)-(T105*K105)-$I105)</f>
        <v>#REF!</v>
      </c>
      <c r="W105" s="142" t="str">
        <f t="shared" si="403"/>
        <v>#REF!</v>
      </c>
      <c r="X105" s="137" t="str">
        <f t="shared" ref="X105:Y105" si="404">(T105*K105)+(0.5*$H105)-$I105</f>
        <v>#REF!</v>
      </c>
      <c r="Y105" s="137" t="str">
        <f t="shared" si="404"/>
        <v>#REF!</v>
      </c>
      <c r="Z105" s="142">
        <f t="shared" si="15"/>
        <v>2.316258038</v>
      </c>
      <c r="AA105" s="142">
        <f t="shared" si="16"/>
        <v>2.036901827</v>
      </c>
      <c r="AB105" s="142">
        <f t="shared" ref="AB105:AC105" si="405">($H$2+((1-$H$2)/(1+50*(K105/$H105)^2)))*$J105</f>
        <v>25.56885063</v>
      </c>
      <c r="AC105" s="142">
        <f t="shared" si="405"/>
        <v>25.02887899</v>
      </c>
      <c r="AD105" s="142" t="str">
        <f t="shared" si="18"/>
        <v>#REF!</v>
      </c>
      <c r="AE105" s="142" t="str">
        <f t="shared" si="19"/>
        <v>#REF!</v>
      </c>
      <c r="AF105" s="143" t="str">
        <f t="shared" si="20"/>
        <v>#REF!</v>
      </c>
      <c r="AG105" s="154" t="str">
        <f t="shared" si="21"/>
        <v>#REF!</v>
      </c>
      <c r="AH105" s="145" t="str">
        <f t="shared" si="22"/>
        <v>#REF!</v>
      </c>
      <c r="AI105" s="146" t="str">
        <f t="shared" si="23"/>
        <v>#REF!</v>
      </c>
      <c r="AJ105" s="147" t="str">
        <f t="shared" si="24"/>
        <v>#REF!</v>
      </c>
      <c r="AK105" s="155"/>
      <c r="AL105" s="155"/>
      <c r="AM105" s="155"/>
      <c r="AN105" s="155"/>
      <c r="AO105" s="147">
        <f t="shared" si="25"/>
        <v>0</v>
      </c>
      <c r="AP105" s="147">
        <f t="shared" si="26"/>
        <v>0</v>
      </c>
      <c r="AQ105" s="156"/>
      <c r="AR105" s="8"/>
      <c r="AS105" s="91"/>
      <c r="AT105" s="8"/>
      <c r="AU105" s="8"/>
      <c r="AV105" s="8"/>
      <c r="AW105" s="8"/>
      <c r="AX105" s="8"/>
    </row>
    <row r="106" ht="19.5" customHeight="1">
      <c r="A106" s="151" t="str">
        <f>Locsolieu!A101</f>
        <v>233</v>
      </c>
      <c r="B106" s="152">
        <f>Locsolieu!C101</f>
        <v>11.8292</v>
      </c>
      <c r="C106" s="132">
        <f>Locsolieu!D101*$C$4</f>
        <v>0.0166</v>
      </c>
      <c r="D106" s="133">
        <f>Locsolieu!E101*$C$4</f>
        <v>0.03591</v>
      </c>
      <c r="E106" s="153">
        <f>Locsolieu!F101</f>
        <v>11.5322</v>
      </c>
      <c r="F106" s="135">
        <v>510.0</v>
      </c>
      <c r="G106" s="136">
        <v>20.0</v>
      </c>
      <c r="H106" s="136">
        <v>30.0</v>
      </c>
      <c r="I106" s="136">
        <v>3.0</v>
      </c>
      <c r="J106" s="136">
        <f t="shared" si="31"/>
        <v>27</v>
      </c>
      <c r="K106" s="137">
        <f t="shared" si="5"/>
        <v>1</v>
      </c>
      <c r="L106" s="137">
        <f t="shared" si="6"/>
        <v>1</v>
      </c>
      <c r="M106" s="138" t="str">
        <f t="shared" si="32"/>
        <v>#REF!</v>
      </c>
      <c r="N106" s="138" t="str">
        <f t="shared" si="33"/>
        <v>#REF!</v>
      </c>
      <c r="O106" s="139">
        <f t="shared" si="7"/>
        <v>45000</v>
      </c>
      <c r="P106" s="140">
        <f t="shared" ref="P106:Q106" si="406">0.1+0.11/(0.1+MAX((K106/$H106),(0.5-(0.01*(0.7*$F106/$H106))-0.01*$E$2)))</f>
        <v>0.3777777778</v>
      </c>
      <c r="Q106" s="140">
        <f t="shared" si="406"/>
        <v>0.3777777778</v>
      </c>
      <c r="R106" s="139" t="str">
        <f t="shared" si="9"/>
        <v>#REF!</v>
      </c>
      <c r="S106" s="139" t="str">
        <f t="shared" si="10"/>
        <v>#REF!</v>
      </c>
      <c r="T106" s="141" t="str">
        <f t="shared" si="11"/>
        <v>#REF!</v>
      </c>
      <c r="U106" s="141" t="str">
        <f t="shared" si="12"/>
        <v>#REF!</v>
      </c>
      <c r="V106" s="142" t="str">
        <f t="shared" ref="V106:W106" si="407">IF(T106*K106&gt;=((0.5*$H106)-$I106),((T106*K106)-(0.5*$H106)+$I106),(0.5*$H106)-(T106*K106)-$I106)</f>
        <v>#REF!</v>
      </c>
      <c r="W106" s="142" t="str">
        <f t="shared" si="407"/>
        <v>#REF!</v>
      </c>
      <c r="X106" s="137" t="str">
        <f t="shared" ref="X106:Y106" si="408">(T106*K106)+(0.5*$H106)-$I106</f>
        <v>#REF!</v>
      </c>
      <c r="Y106" s="137" t="str">
        <f t="shared" si="408"/>
        <v>#REF!</v>
      </c>
      <c r="Z106" s="142">
        <f t="shared" si="15"/>
        <v>8.344849723</v>
      </c>
      <c r="AA106" s="142">
        <f t="shared" si="16"/>
        <v>8.135332564</v>
      </c>
      <c r="AB106" s="142">
        <f t="shared" ref="AB106:AC106" si="409">($H$2+((1-$H$2)/(1+50*(K106/$H106)^2)))*$J106</f>
        <v>26.50263158</v>
      </c>
      <c r="AC106" s="142">
        <f t="shared" si="409"/>
        <v>26.50263158</v>
      </c>
      <c r="AD106" s="142" t="str">
        <f t="shared" si="18"/>
        <v>#REF!</v>
      </c>
      <c r="AE106" s="142" t="str">
        <f t="shared" si="19"/>
        <v>#REF!</v>
      </c>
      <c r="AF106" s="143" t="str">
        <f t="shared" si="20"/>
        <v>#REF!</v>
      </c>
      <c r="AG106" s="154" t="str">
        <f t="shared" si="21"/>
        <v>#REF!</v>
      </c>
      <c r="AH106" s="145" t="str">
        <f t="shared" si="22"/>
        <v>#REF!</v>
      </c>
      <c r="AI106" s="146" t="str">
        <f t="shared" si="23"/>
        <v>#REF!</v>
      </c>
      <c r="AJ106" s="147" t="str">
        <f t="shared" si="24"/>
        <v>#REF!</v>
      </c>
      <c r="AK106" s="155"/>
      <c r="AL106" s="155"/>
      <c r="AM106" s="155"/>
      <c r="AN106" s="155"/>
      <c r="AO106" s="147">
        <f t="shared" si="25"/>
        <v>0</v>
      </c>
      <c r="AP106" s="147">
        <f t="shared" si="26"/>
        <v>0</v>
      </c>
      <c r="AQ106" s="156"/>
      <c r="AR106" s="8"/>
      <c r="AS106" s="91"/>
      <c r="AT106" s="8"/>
      <c r="AU106" s="8"/>
      <c r="AV106" s="8"/>
      <c r="AW106" s="8"/>
      <c r="AX106" s="8"/>
    </row>
    <row r="107" ht="19.5" customHeight="1">
      <c r="A107" s="151" t="str">
        <f>Locsolieu!A102</f>
        <v>234</v>
      </c>
      <c r="B107" s="152">
        <f>Locsolieu!C102</f>
        <v>7.5734</v>
      </c>
      <c r="C107" s="132">
        <f>Locsolieu!D102*$C$4</f>
        <v>0.04311</v>
      </c>
      <c r="D107" s="133">
        <f>Locsolieu!E102*$C$4</f>
        <v>0.04311</v>
      </c>
      <c r="E107" s="153">
        <f>Locsolieu!F102</f>
        <v>7.5734</v>
      </c>
      <c r="F107" s="135">
        <v>510.0</v>
      </c>
      <c r="G107" s="136">
        <v>20.0</v>
      </c>
      <c r="H107" s="136">
        <v>30.0</v>
      </c>
      <c r="I107" s="136">
        <v>3.0</v>
      </c>
      <c r="J107" s="136">
        <f t="shared" si="31"/>
        <v>27</v>
      </c>
      <c r="K107" s="137">
        <f t="shared" si="5"/>
        <v>1</v>
      </c>
      <c r="L107" s="137">
        <f t="shared" si="6"/>
        <v>1</v>
      </c>
      <c r="M107" s="138" t="str">
        <f t="shared" si="32"/>
        <v>#REF!</v>
      </c>
      <c r="N107" s="138" t="str">
        <f t="shared" si="33"/>
        <v>#REF!</v>
      </c>
      <c r="O107" s="139">
        <f t="shared" si="7"/>
        <v>45000</v>
      </c>
      <c r="P107" s="140">
        <f t="shared" ref="P107:Q107" si="410">0.1+0.11/(0.1+MAX((K107/$H107),(0.5-(0.01*(0.7*$F107/$H107))-0.01*$E$2)))</f>
        <v>0.3777777778</v>
      </c>
      <c r="Q107" s="140">
        <f t="shared" si="410"/>
        <v>0.3777777778</v>
      </c>
      <c r="R107" s="139" t="str">
        <f t="shared" si="9"/>
        <v>#REF!</v>
      </c>
      <c r="S107" s="139" t="str">
        <f t="shared" si="10"/>
        <v>#REF!</v>
      </c>
      <c r="T107" s="141" t="str">
        <f t="shared" si="11"/>
        <v>#REF!</v>
      </c>
      <c r="U107" s="141" t="str">
        <f t="shared" si="12"/>
        <v>#REF!</v>
      </c>
      <c r="V107" s="142" t="str">
        <f t="shared" ref="V107:W107" si="411">IF(T107*K107&gt;=((0.5*$H107)-$I107),((T107*K107)-(0.5*$H107)+$I107),(0.5*$H107)-(T107*K107)-$I107)</f>
        <v>#REF!</v>
      </c>
      <c r="W107" s="142" t="str">
        <f t="shared" si="411"/>
        <v>#REF!</v>
      </c>
      <c r="X107" s="137" t="str">
        <f t="shared" ref="X107:Y107" si="412">(T107*K107)+(0.5*$H107)-$I107</f>
        <v>#REF!</v>
      </c>
      <c r="Y107" s="137" t="str">
        <f t="shared" si="412"/>
        <v>#REF!</v>
      </c>
      <c r="Z107" s="142">
        <f t="shared" si="15"/>
        <v>5.342616989</v>
      </c>
      <c r="AA107" s="142">
        <f t="shared" si="16"/>
        <v>5.342616989</v>
      </c>
      <c r="AB107" s="142">
        <f t="shared" ref="AB107:AC107" si="413">($H$2+((1-$H$2)/(1+50*(K107/$H107)^2)))*$J107</f>
        <v>26.50263158</v>
      </c>
      <c r="AC107" s="142">
        <f t="shared" si="413"/>
        <v>26.50263158</v>
      </c>
      <c r="AD107" s="142" t="str">
        <f t="shared" si="18"/>
        <v>#REF!</v>
      </c>
      <c r="AE107" s="142" t="str">
        <f t="shared" si="19"/>
        <v>#REF!</v>
      </c>
      <c r="AF107" s="143" t="str">
        <f t="shared" si="20"/>
        <v>#REF!</v>
      </c>
      <c r="AG107" s="154" t="str">
        <f t="shared" si="21"/>
        <v>#REF!</v>
      </c>
      <c r="AH107" s="145" t="str">
        <f t="shared" si="22"/>
        <v>#REF!</v>
      </c>
      <c r="AI107" s="146" t="str">
        <f t="shared" si="23"/>
        <v>#REF!</v>
      </c>
      <c r="AJ107" s="147" t="str">
        <f t="shared" si="24"/>
        <v>#REF!</v>
      </c>
      <c r="AK107" s="155"/>
      <c r="AL107" s="155"/>
      <c r="AM107" s="155"/>
      <c r="AN107" s="155"/>
      <c r="AO107" s="147">
        <f t="shared" si="25"/>
        <v>0</v>
      </c>
      <c r="AP107" s="147">
        <f t="shared" si="26"/>
        <v>0</v>
      </c>
      <c r="AQ107" s="156"/>
      <c r="AR107" s="8"/>
      <c r="AS107" s="91"/>
      <c r="AT107" s="8"/>
      <c r="AU107" s="8"/>
      <c r="AV107" s="8"/>
      <c r="AW107" s="8"/>
      <c r="AX107" s="8"/>
    </row>
    <row r="108" ht="19.5" customHeight="1">
      <c r="A108" s="151" t="str">
        <f>Locsolieu!A103</f>
        <v>235</v>
      </c>
      <c r="B108" s="152">
        <f>Locsolieu!C103</f>
        <v>3.2969</v>
      </c>
      <c r="C108" s="132">
        <f>Locsolieu!D103*$C$4</f>
        <v>0.03174</v>
      </c>
      <c r="D108" s="133">
        <f>Locsolieu!E103*$C$4</f>
        <v>0.0362</v>
      </c>
      <c r="E108" s="153">
        <f>Locsolieu!F103</f>
        <v>2.9009</v>
      </c>
      <c r="F108" s="135">
        <v>510.0</v>
      </c>
      <c r="G108" s="136">
        <v>20.0</v>
      </c>
      <c r="H108" s="136">
        <v>30.0</v>
      </c>
      <c r="I108" s="136">
        <v>3.0</v>
      </c>
      <c r="J108" s="136">
        <f t="shared" si="31"/>
        <v>27</v>
      </c>
      <c r="K108" s="137">
        <f t="shared" si="5"/>
        <v>1</v>
      </c>
      <c r="L108" s="137">
        <f t="shared" si="6"/>
        <v>1.247888586</v>
      </c>
      <c r="M108" s="138" t="str">
        <f t="shared" si="32"/>
        <v>#REF!</v>
      </c>
      <c r="N108" s="138" t="str">
        <f t="shared" si="33"/>
        <v>#REF!</v>
      </c>
      <c r="O108" s="139">
        <f t="shared" si="7"/>
        <v>45000</v>
      </c>
      <c r="P108" s="140">
        <f t="shared" ref="P108:Q108" si="414">0.1+0.11/(0.1+MAX((K108/$H108),(0.5-(0.01*(0.7*$F108/$H108))-0.01*$E$2)))</f>
        <v>0.3777777778</v>
      </c>
      <c r="Q108" s="140">
        <f t="shared" si="414"/>
        <v>0.3777777778</v>
      </c>
      <c r="R108" s="139" t="str">
        <f t="shared" si="9"/>
        <v>#REF!</v>
      </c>
      <c r="S108" s="139" t="str">
        <f t="shared" si="10"/>
        <v>#REF!</v>
      </c>
      <c r="T108" s="141" t="str">
        <f t="shared" si="11"/>
        <v>#REF!</v>
      </c>
      <c r="U108" s="141" t="str">
        <f t="shared" si="12"/>
        <v>#REF!</v>
      </c>
      <c r="V108" s="142" t="str">
        <f t="shared" ref="V108:W108" si="415">IF(T108*K108&gt;=((0.5*$H108)-$I108),((T108*K108)-(0.5*$H108)+$I108),(0.5*$H108)-(T108*K108)-$I108)</f>
        <v>#REF!</v>
      </c>
      <c r="W108" s="142" t="str">
        <f t="shared" si="415"/>
        <v>#REF!</v>
      </c>
      <c r="X108" s="137" t="str">
        <f t="shared" ref="X108:Y108" si="416">(T108*K108)+(0.5*$H108)-$I108</f>
        <v>#REF!</v>
      </c>
      <c r="Y108" s="137" t="str">
        <f t="shared" si="416"/>
        <v>#REF!</v>
      </c>
      <c r="Z108" s="142">
        <f t="shared" si="15"/>
        <v>2.325781545</v>
      </c>
      <c r="AA108" s="142">
        <f t="shared" si="16"/>
        <v>2.046425334</v>
      </c>
      <c r="AB108" s="142">
        <f t="shared" ref="AB108:AC108" si="417">($H$2+((1-$H$2)/(1+50*(K108/$H108)^2)))*$J108</f>
        <v>26.50263158</v>
      </c>
      <c r="AC108" s="142">
        <f t="shared" si="417"/>
        <v>26.24755254</v>
      </c>
      <c r="AD108" s="142" t="str">
        <f t="shared" si="18"/>
        <v>#REF!</v>
      </c>
      <c r="AE108" s="142" t="str">
        <f t="shared" si="19"/>
        <v>#REF!</v>
      </c>
      <c r="AF108" s="143" t="str">
        <f t="shared" si="20"/>
        <v>#REF!</v>
      </c>
      <c r="AG108" s="154" t="str">
        <f t="shared" si="21"/>
        <v>#REF!</v>
      </c>
      <c r="AH108" s="145" t="str">
        <f t="shared" si="22"/>
        <v>#REF!</v>
      </c>
      <c r="AI108" s="146" t="str">
        <f t="shared" si="23"/>
        <v>#REF!</v>
      </c>
      <c r="AJ108" s="147" t="str">
        <f t="shared" si="24"/>
        <v>#REF!</v>
      </c>
      <c r="AK108" s="155"/>
      <c r="AL108" s="155"/>
      <c r="AM108" s="155"/>
      <c r="AN108" s="155"/>
      <c r="AO108" s="147">
        <f t="shared" si="25"/>
        <v>0</v>
      </c>
      <c r="AP108" s="147">
        <f t="shared" si="26"/>
        <v>0</v>
      </c>
      <c r="AQ108" s="156"/>
      <c r="AR108" s="8"/>
      <c r="AS108" s="91"/>
      <c r="AT108" s="8"/>
      <c r="AU108" s="8"/>
      <c r="AV108" s="8"/>
      <c r="AW108" s="8"/>
      <c r="AX108" s="8"/>
    </row>
    <row r="109" ht="19.5" customHeight="1">
      <c r="A109" s="151" t="str">
        <f>Locsolieu!A104</f>
        <v>236</v>
      </c>
      <c r="B109" s="152">
        <f>Locsolieu!C104</f>
        <v>11.552</v>
      </c>
      <c r="C109" s="132">
        <f>Locsolieu!D104*$C$4</f>
        <v>0.02743</v>
      </c>
      <c r="D109" s="133">
        <f>Locsolieu!E104*$C$4</f>
        <v>0.04801</v>
      </c>
      <c r="E109" s="153">
        <f>Locsolieu!F104</f>
        <v>11.255</v>
      </c>
      <c r="F109" s="135">
        <v>510.0</v>
      </c>
      <c r="G109" s="136">
        <v>20.0</v>
      </c>
      <c r="H109" s="136">
        <v>30.0</v>
      </c>
      <c r="I109" s="136">
        <v>3.0</v>
      </c>
      <c r="J109" s="136">
        <f t="shared" si="31"/>
        <v>27</v>
      </c>
      <c r="K109" s="137">
        <f t="shared" si="5"/>
        <v>1</v>
      </c>
      <c r="L109" s="137">
        <f t="shared" si="6"/>
        <v>1</v>
      </c>
      <c r="M109" s="138" t="str">
        <f t="shared" si="32"/>
        <v>#REF!</v>
      </c>
      <c r="N109" s="138" t="str">
        <f t="shared" si="33"/>
        <v>#REF!</v>
      </c>
      <c r="O109" s="139">
        <f t="shared" si="7"/>
        <v>45000</v>
      </c>
      <c r="P109" s="140">
        <f t="shared" ref="P109:Q109" si="418">0.1+0.11/(0.1+MAX((K109/$H109),(0.5-(0.01*(0.7*$F109/$H109))-0.01*$E$2)))</f>
        <v>0.3777777778</v>
      </c>
      <c r="Q109" s="140">
        <f t="shared" si="418"/>
        <v>0.3777777778</v>
      </c>
      <c r="R109" s="139" t="str">
        <f t="shared" si="9"/>
        <v>#REF!</v>
      </c>
      <c r="S109" s="139" t="str">
        <f t="shared" si="10"/>
        <v>#REF!</v>
      </c>
      <c r="T109" s="141" t="str">
        <f t="shared" si="11"/>
        <v>#REF!</v>
      </c>
      <c r="U109" s="141" t="str">
        <f t="shared" si="12"/>
        <v>#REF!</v>
      </c>
      <c r="V109" s="142" t="str">
        <f t="shared" ref="V109:W109" si="419">IF(T109*K109&gt;=((0.5*$H109)-$I109),((T109*K109)-(0.5*$H109)+$I109),(0.5*$H109)-(T109*K109)-$I109)</f>
        <v>#REF!</v>
      </c>
      <c r="W109" s="142" t="str">
        <f t="shared" si="419"/>
        <v>#REF!</v>
      </c>
      <c r="X109" s="137" t="str">
        <f t="shared" ref="X109:Y109" si="420">(T109*K109)+(0.5*$H109)-$I109</f>
        <v>#REF!</v>
      </c>
      <c r="Y109" s="137" t="str">
        <f t="shared" si="420"/>
        <v>#REF!</v>
      </c>
      <c r="Z109" s="142">
        <f t="shared" si="15"/>
        <v>8.149300375</v>
      </c>
      <c r="AA109" s="142">
        <f t="shared" si="16"/>
        <v>7.939783217</v>
      </c>
      <c r="AB109" s="142">
        <f t="shared" ref="AB109:AC109" si="421">($H$2+((1-$H$2)/(1+50*(K109/$H109)^2)))*$J109</f>
        <v>26.50263158</v>
      </c>
      <c r="AC109" s="142">
        <f t="shared" si="421"/>
        <v>26.50263158</v>
      </c>
      <c r="AD109" s="142" t="str">
        <f t="shared" si="18"/>
        <v>#REF!</v>
      </c>
      <c r="AE109" s="142" t="str">
        <f t="shared" si="19"/>
        <v>#REF!</v>
      </c>
      <c r="AF109" s="143" t="str">
        <f t="shared" si="20"/>
        <v>#REF!</v>
      </c>
      <c r="AG109" s="154" t="str">
        <f t="shared" si="21"/>
        <v>#REF!</v>
      </c>
      <c r="AH109" s="145" t="str">
        <f t="shared" si="22"/>
        <v>#REF!</v>
      </c>
      <c r="AI109" s="146" t="str">
        <f t="shared" si="23"/>
        <v>#REF!</v>
      </c>
      <c r="AJ109" s="147" t="str">
        <f t="shared" si="24"/>
        <v>#REF!</v>
      </c>
      <c r="AK109" s="155"/>
      <c r="AL109" s="155"/>
      <c r="AM109" s="155"/>
      <c r="AN109" s="155"/>
      <c r="AO109" s="147">
        <f t="shared" si="25"/>
        <v>0</v>
      </c>
      <c r="AP109" s="147">
        <f t="shared" si="26"/>
        <v>0</v>
      </c>
      <c r="AQ109" s="156"/>
      <c r="AR109" s="8"/>
      <c r="AS109" s="91"/>
      <c r="AT109" s="8"/>
      <c r="AU109" s="8"/>
      <c r="AV109" s="8"/>
      <c r="AW109" s="8"/>
      <c r="AX109" s="8"/>
    </row>
    <row r="110" ht="19.5" customHeight="1">
      <c r="A110" s="151" t="str">
        <f>Locsolieu!A105</f>
        <v>237</v>
      </c>
      <c r="B110" s="152">
        <f>Locsolieu!C105</f>
        <v>7.657</v>
      </c>
      <c r="C110" s="132">
        <f>Locsolieu!D105*$C$4</f>
        <v>0.03338</v>
      </c>
      <c r="D110" s="133">
        <f>Locsolieu!E105*$C$4</f>
        <v>0.03338</v>
      </c>
      <c r="E110" s="153">
        <f>Locsolieu!F105</f>
        <v>7.657</v>
      </c>
      <c r="F110" s="135">
        <v>510.0</v>
      </c>
      <c r="G110" s="136">
        <v>20.0</v>
      </c>
      <c r="H110" s="136">
        <v>30.0</v>
      </c>
      <c r="I110" s="136">
        <v>3.0</v>
      </c>
      <c r="J110" s="136">
        <f t="shared" si="31"/>
        <v>27</v>
      </c>
      <c r="K110" s="137">
        <f t="shared" si="5"/>
        <v>1</v>
      </c>
      <c r="L110" s="137">
        <f t="shared" si="6"/>
        <v>1</v>
      </c>
      <c r="M110" s="138" t="str">
        <f t="shared" si="32"/>
        <v>#REF!</v>
      </c>
      <c r="N110" s="138" t="str">
        <f t="shared" si="33"/>
        <v>#REF!</v>
      </c>
      <c r="O110" s="139">
        <f t="shared" si="7"/>
        <v>45000</v>
      </c>
      <c r="P110" s="140">
        <f t="shared" ref="P110:Q110" si="422">0.1+0.11/(0.1+MAX((K110/$H110),(0.5-(0.01*(0.7*$F110/$H110))-0.01*$E$2)))</f>
        <v>0.3777777778</v>
      </c>
      <c r="Q110" s="140">
        <f t="shared" si="422"/>
        <v>0.3777777778</v>
      </c>
      <c r="R110" s="139" t="str">
        <f t="shared" si="9"/>
        <v>#REF!</v>
      </c>
      <c r="S110" s="139" t="str">
        <f t="shared" si="10"/>
        <v>#REF!</v>
      </c>
      <c r="T110" s="141" t="str">
        <f t="shared" si="11"/>
        <v>#REF!</v>
      </c>
      <c r="U110" s="141" t="str">
        <f t="shared" si="12"/>
        <v>#REF!</v>
      </c>
      <c r="V110" s="142" t="str">
        <f t="shared" ref="V110:W110" si="423">IF(T110*K110&gt;=((0.5*$H110)-$I110),((T110*K110)-(0.5*$H110)+$I110),(0.5*$H110)-(T110*K110)-$I110)</f>
        <v>#REF!</v>
      </c>
      <c r="W110" s="142" t="str">
        <f t="shared" si="423"/>
        <v>#REF!</v>
      </c>
      <c r="X110" s="137" t="str">
        <f t="shared" ref="X110:Y110" si="424">(T110*K110)+(0.5*$H110)-$I110</f>
        <v>#REF!</v>
      </c>
      <c r="Y110" s="137" t="str">
        <f t="shared" si="424"/>
        <v>#REF!</v>
      </c>
      <c r="Z110" s="142">
        <f t="shared" si="15"/>
        <v>5.401592189</v>
      </c>
      <c r="AA110" s="142">
        <f t="shared" si="16"/>
        <v>5.401592189</v>
      </c>
      <c r="AB110" s="142">
        <f t="shared" ref="AB110:AC110" si="425">($H$2+((1-$H$2)/(1+50*(K110/$H110)^2)))*$J110</f>
        <v>26.50263158</v>
      </c>
      <c r="AC110" s="142">
        <f t="shared" si="425"/>
        <v>26.50263158</v>
      </c>
      <c r="AD110" s="142" t="str">
        <f t="shared" si="18"/>
        <v>#REF!</v>
      </c>
      <c r="AE110" s="142" t="str">
        <f t="shared" si="19"/>
        <v>#REF!</v>
      </c>
      <c r="AF110" s="143" t="str">
        <f t="shared" si="20"/>
        <v>#REF!</v>
      </c>
      <c r="AG110" s="154" t="str">
        <f t="shared" si="21"/>
        <v>#REF!</v>
      </c>
      <c r="AH110" s="145" t="str">
        <f t="shared" si="22"/>
        <v>#REF!</v>
      </c>
      <c r="AI110" s="146" t="str">
        <f t="shared" si="23"/>
        <v>#REF!</v>
      </c>
      <c r="AJ110" s="147" t="str">
        <f t="shared" si="24"/>
        <v>#REF!</v>
      </c>
      <c r="AK110" s="155"/>
      <c r="AL110" s="155"/>
      <c r="AM110" s="155"/>
      <c r="AN110" s="155"/>
      <c r="AO110" s="147">
        <f t="shared" si="25"/>
        <v>0</v>
      </c>
      <c r="AP110" s="147">
        <f t="shared" si="26"/>
        <v>0</v>
      </c>
      <c r="AQ110" s="156"/>
      <c r="AR110" s="8"/>
      <c r="AS110" s="91"/>
      <c r="AT110" s="8"/>
      <c r="AU110" s="8"/>
      <c r="AV110" s="8"/>
      <c r="AW110" s="8"/>
      <c r="AX110" s="8"/>
    </row>
    <row r="111" ht="19.5" customHeight="1">
      <c r="A111" s="151" t="str">
        <f>Locsolieu!A106</f>
        <v>238</v>
      </c>
      <c r="B111" s="152">
        <f>Locsolieu!C106</f>
        <v>3.6816</v>
      </c>
      <c r="C111" s="132">
        <f>Locsolieu!D106*$C$4</f>
        <v>0.01827</v>
      </c>
      <c r="D111" s="133">
        <f>Locsolieu!E106*$C$4</f>
        <v>0.01843</v>
      </c>
      <c r="E111" s="153">
        <f>Locsolieu!F106</f>
        <v>3.2856</v>
      </c>
      <c r="F111" s="135">
        <v>510.0</v>
      </c>
      <c r="G111" s="136">
        <v>20.0</v>
      </c>
      <c r="H111" s="136">
        <v>30.0</v>
      </c>
      <c r="I111" s="136">
        <v>3.0</v>
      </c>
      <c r="J111" s="136">
        <f t="shared" si="31"/>
        <v>27</v>
      </c>
      <c r="K111" s="137">
        <f t="shared" si="5"/>
        <v>1</v>
      </c>
      <c r="L111" s="137">
        <f t="shared" si="6"/>
        <v>1</v>
      </c>
      <c r="M111" s="138" t="str">
        <f t="shared" si="32"/>
        <v>#REF!</v>
      </c>
      <c r="N111" s="138" t="str">
        <f t="shared" si="33"/>
        <v>#REF!</v>
      </c>
      <c r="O111" s="139">
        <f t="shared" si="7"/>
        <v>45000</v>
      </c>
      <c r="P111" s="140">
        <f t="shared" ref="P111:Q111" si="426">0.1+0.11/(0.1+MAX((K111/$H111),(0.5-(0.01*(0.7*$F111/$H111))-0.01*$E$2)))</f>
        <v>0.3777777778</v>
      </c>
      <c r="Q111" s="140">
        <f t="shared" si="426"/>
        <v>0.3777777778</v>
      </c>
      <c r="R111" s="139" t="str">
        <f t="shared" si="9"/>
        <v>#REF!</v>
      </c>
      <c r="S111" s="139" t="str">
        <f t="shared" si="10"/>
        <v>#REF!</v>
      </c>
      <c r="T111" s="141" t="str">
        <f t="shared" si="11"/>
        <v>#REF!</v>
      </c>
      <c r="U111" s="141" t="str">
        <f t="shared" si="12"/>
        <v>#REF!</v>
      </c>
      <c r="V111" s="142" t="str">
        <f t="shared" ref="V111:W111" si="427">IF(T111*K111&gt;=((0.5*$H111)-$I111),((T111*K111)-(0.5*$H111)+$I111),(0.5*$H111)-(T111*K111)-$I111)</f>
        <v>#REF!</v>
      </c>
      <c r="W111" s="142" t="str">
        <f t="shared" si="427"/>
        <v>#REF!</v>
      </c>
      <c r="X111" s="137" t="str">
        <f t="shared" ref="X111:Y111" si="428">(T111*K111)+(0.5*$H111)-$I111</f>
        <v>#REF!</v>
      </c>
      <c r="Y111" s="137" t="str">
        <f t="shared" si="428"/>
        <v>#REF!</v>
      </c>
      <c r="Z111" s="142">
        <f t="shared" si="15"/>
        <v>2.597166228</v>
      </c>
      <c r="AA111" s="142">
        <f t="shared" si="16"/>
        <v>2.317810017</v>
      </c>
      <c r="AB111" s="142">
        <f t="shared" ref="AB111:AC111" si="429">($H$2+((1-$H$2)/(1+50*(K111/$H111)^2)))*$J111</f>
        <v>26.50263158</v>
      </c>
      <c r="AC111" s="142">
        <f t="shared" si="429"/>
        <v>26.50263158</v>
      </c>
      <c r="AD111" s="142" t="str">
        <f t="shared" si="18"/>
        <v>#REF!</v>
      </c>
      <c r="AE111" s="142" t="str">
        <f t="shared" si="19"/>
        <v>#REF!</v>
      </c>
      <c r="AF111" s="143" t="str">
        <f t="shared" si="20"/>
        <v>#REF!</v>
      </c>
      <c r="AG111" s="154" t="str">
        <f t="shared" si="21"/>
        <v>#REF!</v>
      </c>
      <c r="AH111" s="145" t="str">
        <f t="shared" si="22"/>
        <v>#REF!</v>
      </c>
      <c r="AI111" s="146" t="str">
        <f t="shared" si="23"/>
        <v>#REF!</v>
      </c>
      <c r="AJ111" s="147" t="str">
        <f t="shared" si="24"/>
        <v>#REF!</v>
      </c>
      <c r="AK111" s="155"/>
      <c r="AL111" s="155"/>
      <c r="AM111" s="155"/>
      <c r="AN111" s="155"/>
      <c r="AO111" s="147">
        <f t="shared" si="25"/>
        <v>0</v>
      </c>
      <c r="AP111" s="147">
        <f t="shared" si="26"/>
        <v>0</v>
      </c>
      <c r="AQ111" s="156"/>
      <c r="AR111" s="8"/>
      <c r="AS111" s="91"/>
      <c r="AT111" s="8"/>
      <c r="AU111" s="8"/>
      <c r="AV111" s="8"/>
      <c r="AW111" s="8"/>
      <c r="AX111" s="8"/>
    </row>
    <row r="112" ht="19.5" customHeight="1">
      <c r="A112" s="151" t="str">
        <f>Locsolieu!A107</f>
        <v>239</v>
      </c>
      <c r="B112" s="152">
        <f>Locsolieu!C107</f>
        <v>17.2583</v>
      </c>
      <c r="C112" s="132">
        <f>Locsolieu!D107*$C$4</f>
        <v>0.03711</v>
      </c>
      <c r="D112" s="133">
        <f>Locsolieu!E107*$C$4</f>
        <v>0.08402</v>
      </c>
      <c r="E112" s="153">
        <f>Locsolieu!F107</f>
        <v>16.9613</v>
      </c>
      <c r="F112" s="135">
        <v>510.0</v>
      </c>
      <c r="G112" s="136">
        <v>20.0</v>
      </c>
      <c r="H112" s="136">
        <v>30.0</v>
      </c>
      <c r="I112" s="136">
        <v>3.0</v>
      </c>
      <c r="J112" s="136">
        <f t="shared" si="31"/>
        <v>27</v>
      </c>
      <c r="K112" s="137">
        <f t="shared" si="5"/>
        <v>1</v>
      </c>
      <c r="L112" s="137">
        <f t="shared" si="6"/>
        <v>1</v>
      </c>
      <c r="M112" s="138" t="str">
        <f t="shared" si="32"/>
        <v>#REF!</v>
      </c>
      <c r="N112" s="138" t="str">
        <f t="shared" si="33"/>
        <v>#REF!</v>
      </c>
      <c r="O112" s="139">
        <f t="shared" si="7"/>
        <v>45000</v>
      </c>
      <c r="P112" s="140">
        <f t="shared" ref="P112:Q112" si="430">0.1+0.11/(0.1+MAX((K112/$H112),(0.5-(0.01*(0.7*$F112/$H112))-0.01*$E$2)))</f>
        <v>0.3777777778</v>
      </c>
      <c r="Q112" s="140">
        <f t="shared" si="430"/>
        <v>0.3777777778</v>
      </c>
      <c r="R112" s="139" t="str">
        <f t="shared" si="9"/>
        <v>#REF!</v>
      </c>
      <c r="S112" s="139" t="str">
        <f t="shared" si="10"/>
        <v>#REF!</v>
      </c>
      <c r="T112" s="141" t="str">
        <f t="shared" si="11"/>
        <v>#REF!</v>
      </c>
      <c r="U112" s="141" t="str">
        <f t="shared" si="12"/>
        <v>#REF!</v>
      </c>
      <c r="V112" s="142" t="str">
        <f t="shared" ref="V112:W112" si="431">IF(T112*K112&gt;=((0.5*$H112)-$I112),((T112*K112)-(0.5*$H112)+$I112),(0.5*$H112)-(T112*K112)-$I112)</f>
        <v>#REF!</v>
      </c>
      <c r="W112" s="142" t="str">
        <f t="shared" si="431"/>
        <v>#REF!</v>
      </c>
      <c r="X112" s="137" t="str">
        <f t="shared" ref="X112:Y112" si="432">(T112*K112)+(0.5*$H112)-$I112</f>
        <v>#REF!</v>
      </c>
      <c r="Y112" s="137" t="str">
        <f t="shared" si="432"/>
        <v>#REF!</v>
      </c>
      <c r="Z112" s="142">
        <f t="shared" si="15"/>
        <v>12.17478105</v>
      </c>
      <c r="AA112" s="142">
        <f t="shared" si="16"/>
        <v>11.96526389</v>
      </c>
      <c r="AB112" s="142">
        <f t="shared" ref="AB112:AC112" si="433">($H$2+((1-$H$2)/(1+50*(K112/$H112)^2)))*$J112</f>
        <v>26.50263158</v>
      </c>
      <c r="AC112" s="142">
        <f t="shared" si="433"/>
        <v>26.50263158</v>
      </c>
      <c r="AD112" s="142" t="str">
        <f t="shared" si="18"/>
        <v>#REF!</v>
      </c>
      <c r="AE112" s="142" t="str">
        <f t="shared" si="19"/>
        <v>#REF!</v>
      </c>
      <c r="AF112" s="143" t="str">
        <f t="shared" si="20"/>
        <v>#REF!</v>
      </c>
      <c r="AG112" s="154" t="str">
        <f t="shared" si="21"/>
        <v>#REF!</v>
      </c>
      <c r="AH112" s="145" t="str">
        <f t="shared" si="22"/>
        <v>#REF!</v>
      </c>
      <c r="AI112" s="146" t="str">
        <f t="shared" si="23"/>
        <v>#REF!</v>
      </c>
      <c r="AJ112" s="147" t="str">
        <f t="shared" si="24"/>
        <v>#REF!</v>
      </c>
      <c r="AK112" s="155"/>
      <c r="AL112" s="155"/>
      <c r="AM112" s="155"/>
      <c r="AN112" s="155"/>
      <c r="AO112" s="147">
        <f t="shared" si="25"/>
        <v>0</v>
      </c>
      <c r="AP112" s="147">
        <f t="shared" si="26"/>
        <v>0</v>
      </c>
      <c r="AQ112" s="156"/>
      <c r="AR112" s="8"/>
      <c r="AS112" s="91"/>
      <c r="AT112" s="8"/>
      <c r="AU112" s="8"/>
      <c r="AV112" s="8"/>
      <c r="AW112" s="8"/>
      <c r="AX112" s="8"/>
    </row>
    <row r="113" ht="19.5" customHeight="1">
      <c r="A113" s="151" t="str">
        <f>Locsolieu!A108</f>
        <v>240</v>
      </c>
      <c r="B113" s="152">
        <f>Locsolieu!C108</f>
        <v>13.1228</v>
      </c>
      <c r="C113" s="132">
        <f>Locsolieu!D108*$C$4</f>
        <v>0.11997</v>
      </c>
      <c r="D113" s="133">
        <f>Locsolieu!E108*$C$4</f>
        <v>0.12935</v>
      </c>
      <c r="E113" s="153">
        <f>Locsolieu!F108</f>
        <v>12.7268</v>
      </c>
      <c r="F113" s="135">
        <v>510.0</v>
      </c>
      <c r="G113" s="136">
        <v>20.0</v>
      </c>
      <c r="H113" s="136">
        <v>30.0</v>
      </c>
      <c r="I113" s="136">
        <v>3.0</v>
      </c>
      <c r="J113" s="136">
        <f t="shared" si="31"/>
        <v>27</v>
      </c>
      <c r="K113" s="137">
        <f t="shared" si="5"/>
        <v>1</v>
      </c>
      <c r="L113" s="137">
        <f t="shared" si="6"/>
        <v>1.016359179</v>
      </c>
      <c r="M113" s="138" t="str">
        <f t="shared" si="32"/>
        <v>#REF!</v>
      </c>
      <c r="N113" s="138" t="str">
        <f t="shared" si="33"/>
        <v>#REF!</v>
      </c>
      <c r="O113" s="139">
        <f t="shared" si="7"/>
        <v>45000</v>
      </c>
      <c r="P113" s="140">
        <f t="shared" ref="P113:Q113" si="434">0.1+0.11/(0.1+MAX((K113/$H113),(0.5-(0.01*(0.7*$F113/$H113))-0.01*$E$2)))</f>
        <v>0.3777777778</v>
      </c>
      <c r="Q113" s="140">
        <f t="shared" si="434"/>
        <v>0.3777777778</v>
      </c>
      <c r="R113" s="139" t="str">
        <f t="shared" si="9"/>
        <v>#REF!</v>
      </c>
      <c r="S113" s="139" t="str">
        <f t="shared" si="10"/>
        <v>#REF!</v>
      </c>
      <c r="T113" s="141" t="str">
        <f t="shared" si="11"/>
        <v>#REF!</v>
      </c>
      <c r="U113" s="141" t="str">
        <f t="shared" si="12"/>
        <v>#REF!</v>
      </c>
      <c r="V113" s="142" t="str">
        <f t="shared" ref="V113:W113" si="435">IF(T113*K113&gt;=((0.5*$H113)-$I113),((T113*K113)-(0.5*$H113)+$I113),(0.5*$H113)-(T113*K113)-$I113)</f>
        <v>#REF!</v>
      </c>
      <c r="W113" s="142" t="str">
        <f t="shared" si="435"/>
        <v>#REF!</v>
      </c>
      <c r="X113" s="137" t="str">
        <f t="shared" ref="X113:Y113" si="436">(T113*K113)+(0.5*$H113)-$I113</f>
        <v>#REF!</v>
      </c>
      <c r="Y113" s="137" t="str">
        <f t="shared" si="436"/>
        <v>#REF!</v>
      </c>
      <c r="Z113" s="142">
        <f t="shared" si="15"/>
        <v>9.257413345</v>
      </c>
      <c r="AA113" s="142">
        <f t="shared" si="16"/>
        <v>8.978057134</v>
      </c>
      <c r="AB113" s="142">
        <f t="shared" ref="AB113:AC113" si="437">($H$2+((1-$H$2)/(1+50*(K113/$H113)^2)))*$J113</f>
        <v>26.50263158</v>
      </c>
      <c r="AC113" s="142">
        <f t="shared" si="437"/>
        <v>26.48711581</v>
      </c>
      <c r="AD113" s="142" t="str">
        <f t="shared" si="18"/>
        <v>#REF!</v>
      </c>
      <c r="AE113" s="142" t="str">
        <f t="shared" si="19"/>
        <v>#REF!</v>
      </c>
      <c r="AF113" s="143" t="str">
        <f t="shared" si="20"/>
        <v>#REF!</v>
      </c>
      <c r="AG113" s="154" t="str">
        <f t="shared" si="21"/>
        <v>#REF!</v>
      </c>
      <c r="AH113" s="145" t="str">
        <f t="shared" si="22"/>
        <v>#REF!</v>
      </c>
      <c r="AI113" s="146" t="str">
        <f t="shared" si="23"/>
        <v>#REF!</v>
      </c>
      <c r="AJ113" s="147" t="str">
        <f t="shared" si="24"/>
        <v>#REF!</v>
      </c>
      <c r="AK113" s="155"/>
      <c r="AL113" s="155"/>
      <c r="AM113" s="155"/>
      <c r="AN113" s="155"/>
      <c r="AO113" s="147">
        <f t="shared" si="25"/>
        <v>0</v>
      </c>
      <c r="AP113" s="147">
        <f t="shared" si="26"/>
        <v>0</v>
      </c>
      <c r="AQ113" s="156"/>
      <c r="AR113" s="8"/>
      <c r="AS113" s="91"/>
      <c r="AT113" s="8"/>
      <c r="AU113" s="8"/>
      <c r="AV113" s="8"/>
      <c r="AW113" s="8"/>
      <c r="AX113" s="8"/>
    </row>
    <row r="114" ht="19.5" customHeight="1">
      <c r="A114" s="151" t="str">
        <f>Locsolieu!A109</f>
        <v>241</v>
      </c>
      <c r="B114" s="152">
        <f>Locsolieu!C109</f>
        <v>9.0138</v>
      </c>
      <c r="C114" s="132">
        <f>Locsolieu!D109*$C$4</f>
        <v>0.16717</v>
      </c>
      <c r="D114" s="133">
        <f>Locsolieu!E109*$C$4</f>
        <v>0.18784</v>
      </c>
      <c r="E114" s="153">
        <f>Locsolieu!F109</f>
        <v>8.6178</v>
      </c>
      <c r="F114" s="135">
        <v>510.0</v>
      </c>
      <c r="G114" s="136">
        <v>20.0</v>
      </c>
      <c r="H114" s="136">
        <v>30.0</v>
      </c>
      <c r="I114" s="136">
        <v>3.0</v>
      </c>
      <c r="J114" s="136">
        <f t="shared" si="31"/>
        <v>27</v>
      </c>
      <c r="K114" s="137">
        <f t="shared" si="5"/>
        <v>1.854600723</v>
      </c>
      <c r="L114" s="137">
        <f t="shared" si="6"/>
        <v>2.179674627</v>
      </c>
      <c r="M114" s="138" t="str">
        <f t="shared" si="32"/>
        <v>#REF!</v>
      </c>
      <c r="N114" s="138" t="str">
        <f t="shared" si="33"/>
        <v>#REF!</v>
      </c>
      <c r="O114" s="139">
        <f t="shared" si="7"/>
        <v>45000</v>
      </c>
      <c r="P114" s="140">
        <f t="shared" ref="P114:Q114" si="438">0.1+0.11/(0.1+MAX((K114/$H114),(0.5-(0.01*(0.7*$F114/$H114))-0.01*$E$2)))</f>
        <v>0.3777777778</v>
      </c>
      <c r="Q114" s="140">
        <f t="shared" si="438"/>
        <v>0.3777777778</v>
      </c>
      <c r="R114" s="139" t="str">
        <f t="shared" si="9"/>
        <v>#REF!</v>
      </c>
      <c r="S114" s="139" t="str">
        <f t="shared" si="10"/>
        <v>#REF!</v>
      </c>
      <c r="T114" s="141" t="str">
        <f t="shared" si="11"/>
        <v>#REF!</v>
      </c>
      <c r="U114" s="141" t="str">
        <f t="shared" si="12"/>
        <v>#REF!</v>
      </c>
      <c r="V114" s="142" t="str">
        <f t="shared" ref="V114:W114" si="439">IF(T114*K114&gt;=((0.5*$H114)-$I114),((T114*K114)-(0.5*$H114)+$I114),(0.5*$H114)-(T114*K114)-$I114)</f>
        <v>#REF!</v>
      </c>
      <c r="W114" s="142" t="str">
        <f t="shared" si="439"/>
        <v>#REF!</v>
      </c>
      <c r="X114" s="137" t="str">
        <f t="shared" ref="X114:Y114" si="440">(T114*K114)+(0.5*$H114)-$I114</f>
        <v>#REF!</v>
      </c>
      <c r="Y114" s="137" t="str">
        <f t="shared" si="440"/>
        <v>#REF!</v>
      </c>
      <c r="Z114" s="142">
        <f t="shared" si="15"/>
        <v>6.358739934</v>
      </c>
      <c r="AA114" s="142">
        <f t="shared" si="16"/>
        <v>6.079383723</v>
      </c>
      <c r="AB114" s="142">
        <f t="shared" ref="AB114:AC114" si="441">($H$2+((1-$H$2)/(1+50*(K114/$H114)^2)))*$J114</f>
        <v>25.48393746</v>
      </c>
      <c r="AC114" s="142">
        <f t="shared" si="441"/>
        <v>25.02660052</v>
      </c>
      <c r="AD114" s="142" t="str">
        <f t="shared" si="18"/>
        <v>#REF!</v>
      </c>
      <c r="AE114" s="142" t="str">
        <f t="shared" si="19"/>
        <v>#REF!</v>
      </c>
      <c r="AF114" s="143" t="str">
        <f t="shared" si="20"/>
        <v>#REF!</v>
      </c>
      <c r="AG114" s="154" t="str">
        <f t="shared" si="21"/>
        <v>#REF!</v>
      </c>
      <c r="AH114" s="145" t="str">
        <f t="shared" si="22"/>
        <v>#REF!</v>
      </c>
      <c r="AI114" s="146" t="str">
        <f t="shared" si="23"/>
        <v>#REF!</v>
      </c>
      <c r="AJ114" s="147" t="str">
        <f t="shared" si="24"/>
        <v>#REF!</v>
      </c>
      <c r="AK114" s="155"/>
      <c r="AL114" s="155"/>
      <c r="AM114" s="155"/>
      <c r="AN114" s="155"/>
      <c r="AO114" s="147">
        <f t="shared" si="25"/>
        <v>0</v>
      </c>
      <c r="AP114" s="147">
        <f t="shared" si="26"/>
        <v>0</v>
      </c>
      <c r="AQ114" s="156"/>
      <c r="AR114" s="8"/>
      <c r="AS114" s="91"/>
      <c r="AT114" s="8"/>
      <c r="AU114" s="8"/>
      <c r="AV114" s="8"/>
      <c r="AW114" s="8"/>
      <c r="AX114" s="8"/>
    </row>
    <row r="115" ht="19.5" customHeight="1">
      <c r="A115" s="151" t="str">
        <f>Locsolieu!A110</f>
        <v>242</v>
      </c>
      <c r="B115" s="152">
        <f>Locsolieu!C110</f>
        <v>25.351</v>
      </c>
      <c r="C115" s="132">
        <f>Locsolieu!D110*$C$4</f>
        <v>0.07154</v>
      </c>
      <c r="D115" s="133">
        <f>Locsolieu!E110*$C$4</f>
        <v>0.13494</v>
      </c>
      <c r="E115" s="153">
        <f>Locsolieu!F110</f>
        <v>25.054</v>
      </c>
      <c r="F115" s="135">
        <v>510.0</v>
      </c>
      <c r="G115" s="136">
        <v>20.0</v>
      </c>
      <c r="H115" s="136">
        <v>30.0</v>
      </c>
      <c r="I115" s="136">
        <v>3.0</v>
      </c>
      <c r="J115" s="136">
        <f t="shared" si="31"/>
        <v>27</v>
      </c>
      <c r="K115" s="137">
        <f t="shared" si="5"/>
        <v>1</v>
      </c>
      <c r="L115" s="137">
        <f t="shared" si="6"/>
        <v>1</v>
      </c>
      <c r="M115" s="138" t="str">
        <f t="shared" si="32"/>
        <v>#REF!</v>
      </c>
      <c r="N115" s="138" t="str">
        <f t="shared" si="33"/>
        <v>#REF!</v>
      </c>
      <c r="O115" s="139">
        <f t="shared" si="7"/>
        <v>45000</v>
      </c>
      <c r="P115" s="140">
        <f t="shared" ref="P115:Q115" si="442">0.1+0.11/(0.1+MAX((K115/$H115),(0.5-(0.01*(0.7*$F115/$H115))-0.01*$E$2)))</f>
        <v>0.3777777778</v>
      </c>
      <c r="Q115" s="140">
        <f t="shared" si="442"/>
        <v>0.3777777778</v>
      </c>
      <c r="R115" s="139" t="str">
        <f t="shared" si="9"/>
        <v>#REF!</v>
      </c>
      <c r="S115" s="139" t="str">
        <f t="shared" si="10"/>
        <v>#REF!</v>
      </c>
      <c r="T115" s="141" t="str">
        <f t="shared" si="11"/>
        <v>#REF!</v>
      </c>
      <c r="U115" s="141" t="str">
        <f t="shared" si="12"/>
        <v>#REF!</v>
      </c>
      <c r="V115" s="142" t="str">
        <f t="shared" ref="V115:W115" si="443">IF(T115*K115&gt;=((0.5*$H115)-$I115),((T115*K115)-(0.5*$H115)+$I115),(0.5*$H115)-(T115*K115)-$I115)</f>
        <v>#REF!</v>
      </c>
      <c r="W115" s="142" t="str">
        <f t="shared" si="443"/>
        <v>#REF!</v>
      </c>
      <c r="X115" s="137" t="str">
        <f t="shared" ref="X115:Y115" si="444">(T115*K115)+(0.5*$H115)-$I115</f>
        <v>#REF!</v>
      </c>
      <c r="Y115" s="137" t="str">
        <f t="shared" si="444"/>
        <v>#REF!</v>
      </c>
      <c r="Z115" s="142">
        <f t="shared" si="15"/>
        <v>17.88373561</v>
      </c>
      <c r="AA115" s="142">
        <f t="shared" si="16"/>
        <v>17.67421846</v>
      </c>
      <c r="AB115" s="142">
        <f t="shared" ref="AB115:AC115" si="445">($H$2+((1-$H$2)/(1+50*(K115/$H115)^2)))*$J115</f>
        <v>26.50263158</v>
      </c>
      <c r="AC115" s="142">
        <f t="shared" si="445"/>
        <v>26.50263158</v>
      </c>
      <c r="AD115" s="142" t="str">
        <f t="shared" si="18"/>
        <v>#REF!</v>
      </c>
      <c r="AE115" s="142" t="str">
        <f t="shared" si="19"/>
        <v>#REF!</v>
      </c>
      <c r="AF115" s="143" t="str">
        <f t="shared" si="20"/>
        <v>#REF!</v>
      </c>
      <c r="AG115" s="154" t="str">
        <f t="shared" si="21"/>
        <v>#REF!</v>
      </c>
      <c r="AH115" s="145" t="str">
        <f t="shared" si="22"/>
        <v>#REF!</v>
      </c>
      <c r="AI115" s="146" t="str">
        <f t="shared" si="23"/>
        <v>#REF!</v>
      </c>
      <c r="AJ115" s="147" t="str">
        <f t="shared" si="24"/>
        <v>#REF!</v>
      </c>
      <c r="AK115" s="155"/>
      <c r="AL115" s="155"/>
      <c r="AM115" s="155"/>
      <c r="AN115" s="155"/>
      <c r="AO115" s="147">
        <f t="shared" si="25"/>
        <v>0</v>
      </c>
      <c r="AP115" s="147">
        <f t="shared" si="26"/>
        <v>0</v>
      </c>
      <c r="AQ115" s="156"/>
      <c r="AR115" s="8"/>
      <c r="AS115" s="91"/>
      <c r="AT115" s="8"/>
      <c r="AU115" s="8"/>
      <c r="AV115" s="8"/>
      <c r="AW115" s="8"/>
      <c r="AX115" s="8"/>
    </row>
    <row r="116" ht="19.5" customHeight="1">
      <c r="A116" s="151" t="str">
        <f>Locsolieu!A111</f>
        <v>243</v>
      </c>
      <c r="B116" s="152">
        <f>Locsolieu!C111</f>
        <v>22.4878</v>
      </c>
      <c r="C116" s="132">
        <f>Locsolieu!D111*$C$4</f>
        <v>0.12881</v>
      </c>
      <c r="D116" s="133">
        <f>Locsolieu!E111*$C$4</f>
        <v>0.12881</v>
      </c>
      <c r="E116" s="153">
        <f>Locsolieu!F111</f>
        <v>22.4878</v>
      </c>
      <c r="F116" s="135">
        <v>510.0</v>
      </c>
      <c r="G116" s="136">
        <v>20.0</v>
      </c>
      <c r="H116" s="136">
        <v>30.0</v>
      </c>
      <c r="I116" s="136">
        <v>3.0</v>
      </c>
      <c r="J116" s="136">
        <f t="shared" si="31"/>
        <v>27</v>
      </c>
      <c r="K116" s="137">
        <f t="shared" si="5"/>
        <v>1</v>
      </c>
      <c r="L116" s="137">
        <f t="shared" si="6"/>
        <v>1</v>
      </c>
      <c r="M116" s="138" t="str">
        <f t="shared" si="32"/>
        <v>#REF!</v>
      </c>
      <c r="N116" s="138" t="str">
        <f t="shared" si="33"/>
        <v>#REF!</v>
      </c>
      <c r="O116" s="139">
        <f t="shared" si="7"/>
        <v>45000</v>
      </c>
      <c r="P116" s="140">
        <f t="shared" ref="P116:Q116" si="446">0.1+0.11/(0.1+MAX((K116/$H116),(0.5-(0.01*(0.7*$F116/$H116))-0.01*$E$2)))</f>
        <v>0.3777777778</v>
      </c>
      <c r="Q116" s="140">
        <f t="shared" si="446"/>
        <v>0.3777777778</v>
      </c>
      <c r="R116" s="139" t="str">
        <f t="shared" si="9"/>
        <v>#REF!</v>
      </c>
      <c r="S116" s="139" t="str">
        <f t="shared" si="10"/>
        <v>#REF!</v>
      </c>
      <c r="T116" s="141" t="str">
        <f t="shared" si="11"/>
        <v>#REF!</v>
      </c>
      <c r="U116" s="141" t="str">
        <f t="shared" si="12"/>
        <v>#REF!</v>
      </c>
      <c r="V116" s="142" t="str">
        <f t="shared" ref="V116:W116" si="447">IF(T116*K116&gt;=((0.5*$H116)-$I116),((T116*K116)-(0.5*$H116)+$I116),(0.5*$H116)-(T116*K116)-$I116)</f>
        <v>#REF!</v>
      </c>
      <c r="W116" s="142" t="str">
        <f t="shared" si="447"/>
        <v>#REF!</v>
      </c>
      <c r="X116" s="137" t="str">
        <f t="shared" ref="X116:Y116" si="448">(T116*K116)+(0.5*$H116)-$I116</f>
        <v>#REF!</v>
      </c>
      <c r="Y116" s="137" t="str">
        <f t="shared" si="448"/>
        <v>#REF!</v>
      </c>
      <c r="Z116" s="142">
        <f t="shared" si="15"/>
        <v>15.86390556</v>
      </c>
      <c r="AA116" s="142">
        <f t="shared" si="16"/>
        <v>15.86390556</v>
      </c>
      <c r="AB116" s="142">
        <f t="shared" ref="AB116:AC116" si="449">($H$2+((1-$H$2)/(1+50*(K116/$H116)^2)))*$J116</f>
        <v>26.50263158</v>
      </c>
      <c r="AC116" s="142">
        <f t="shared" si="449"/>
        <v>26.50263158</v>
      </c>
      <c r="AD116" s="142" t="str">
        <f t="shared" si="18"/>
        <v>#REF!</v>
      </c>
      <c r="AE116" s="142" t="str">
        <f t="shared" si="19"/>
        <v>#REF!</v>
      </c>
      <c r="AF116" s="143" t="str">
        <f t="shared" si="20"/>
        <v>#REF!</v>
      </c>
      <c r="AG116" s="154" t="str">
        <f t="shared" si="21"/>
        <v>#REF!</v>
      </c>
      <c r="AH116" s="145" t="str">
        <f t="shared" si="22"/>
        <v>#REF!</v>
      </c>
      <c r="AI116" s="146" t="str">
        <f t="shared" si="23"/>
        <v>#REF!</v>
      </c>
      <c r="AJ116" s="147" t="str">
        <f t="shared" si="24"/>
        <v>#REF!</v>
      </c>
      <c r="AK116" s="155"/>
      <c r="AL116" s="155"/>
      <c r="AM116" s="155"/>
      <c r="AN116" s="155"/>
      <c r="AO116" s="147">
        <f t="shared" si="25"/>
        <v>0</v>
      </c>
      <c r="AP116" s="147">
        <f t="shared" si="26"/>
        <v>0</v>
      </c>
      <c r="AQ116" s="156"/>
      <c r="AR116" s="8"/>
      <c r="AS116" s="91"/>
      <c r="AT116" s="8"/>
      <c r="AU116" s="8"/>
      <c r="AV116" s="8"/>
      <c r="AW116" s="8"/>
      <c r="AX116" s="8"/>
    </row>
    <row r="117" ht="19.5" customHeight="1">
      <c r="A117" s="151" t="str">
        <f>Locsolieu!A112</f>
        <v>244</v>
      </c>
      <c r="B117" s="152">
        <f>Locsolieu!C112</f>
        <v>19.6805</v>
      </c>
      <c r="C117" s="132">
        <f>Locsolieu!D112*$C$4</f>
        <v>0.10407</v>
      </c>
      <c r="D117" s="133">
        <f>Locsolieu!E112*$C$4</f>
        <v>0.10407</v>
      </c>
      <c r="E117" s="153">
        <f>Locsolieu!F112</f>
        <v>19.6805</v>
      </c>
      <c r="F117" s="135">
        <v>510.0</v>
      </c>
      <c r="G117" s="136">
        <v>20.0</v>
      </c>
      <c r="H117" s="136">
        <v>30.0</v>
      </c>
      <c r="I117" s="136">
        <v>3.0</v>
      </c>
      <c r="J117" s="136">
        <f t="shared" si="31"/>
        <v>27</v>
      </c>
      <c r="K117" s="137">
        <f t="shared" si="5"/>
        <v>1</v>
      </c>
      <c r="L117" s="137">
        <f t="shared" si="6"/>
        <v>1</v>
      </c>
      <c r="M117" s="138" t="str">
        <f t="shared" si="32"/>
        <v>#REF!</v>
      </c>
      <c r="N117" s="138" t="str">
        <f t="shared" si="33"/>
        <v>#REF!</v>
      </c>
      <c r="O117" s="139">
        <f t="shared" si="7"/>
        <v>45000</v>
      </c>
      <c r="P117" s="140">
        <f t="shared" ref="P117:Q117" si="450">0.1+0.11/(0.1+MAX((K117/$H117),(0.5-(0.01*(0.7*$F117/$H117))-0.01*$E$2)))</f>
        <v>0.3777777778</v>
      </c>
      <c r="Q117" s="140">
        <f t="shared" si="450"/>
        <v>0.3777777778</v>
      </c>
      <c r="R117" s="139" t="str">
        <f t="shared" si="9"/>
        <v>#REF!</v>
      </c>
      <c r="S117" s="139" t="str">
        <f t="shared" si="10"/>
        <v>#REF!</v>
      </c>
      <c r="T117" s="141" t="str">
        <f t="shared" si="11"/>
        <v>#REF!</v>
      </c>
      <c r="U117" s="141" t="str">
        <f t="shared" si="12"/>
        <v>#REF!</v>
      </c>
      <c r="V117" s="142" t="str">
        <f t="shared" ref="V117:W117" si="451">IF(T117*K117&gt;=((0.5*$H117)-$I117),((T117*K117)-(0.5*$H117)+$I117),(0.5*$H117)-(T117*K117)-$I117)</f>
        <v>#REF!</v>
      </c>
      <c r="W117" s="142" t="str">
        <f t="shared" si="451"/>
        <v>#REF!</v>
      </c>
      <c r="X117" s="137" t="str">
        <f t="shared" ref="X117:Y117" si="452">(T117*K117)+(0.5*$H117)-$I117</f>
        <v>#REF!</v>
      </c>
      <c r="Y117" s="137" t="str">
        <f t="shared" si="452"/>
        <v>#REF!</v>
      </c>
      <c r="Z117" s="142">
        <f t="shared" si="15"/>
        <v>13.88350987</v>
      </c>
      <c r="AA117" s="142">
        <f t="shared" si="16"/>
        <v>13.88350987</v>
      </c>
      <c r="AB117" s="142">
        <f t="shared" ref="AB117:AC117" si="453">($H$2+((1-$H$2)/(1+50*(K117/$H117)^2)))*$J117</f>
        <v>26.50263158</v>
      </c>
      <c r="AC117" s="142">
        <f t="shared" si="453"/>
        <v>26.50263158</v>
      </c>
      <c r="AD117" s="142" t="str">
        <f t="shared" si="18"/>
        <v>#REF!</v>
      </c>
      <c r="AE117" s="142" t="str">
        <f t="shared" si="19"/>
        <v>#REF!</v>
      </c>
      <c r="AF117" s="143" t="str">
        <f t="shared" si="20"/>
        <v>#REF!</v>
      </c>
      <c r="AG117" s="154" t="str">
        <f t="shared" si="21"/>
        <v>#REF!</v>
      </c>
      <c r="AH117" s="145" t="str">
        <f t="shared" si="22"/>
        <v>#REF!</v>
      </c>
      <c r="AI117" s="146" t="str">
        <f t="shared" si="23"/>
        <v>#REF!</v>
      </c>
      <c r="AJ117" s="147" t="str">
        <f t="shared" si="24"/>
        <v>#REF!</v>
      </c>
      <c r="AK117" s="155"/>
      <c r="AL117" s="155"/>
      <c r="AM117" s="155"/>
      <c r="AN117" s="155"/>
      <c r="AO117" s="147">
        <f t="shared" si="25"/>
        <v>0</v>
      </c>
      <c r="AP117" s="147">
        <f t="shared" si="26"/>
        <v>0</v>
      </c>
      <c r="AQ117" s="156"/>
      <c r="AR117" s="8"/>
      <c r="AS117" s="91"/>
      <c r="AT117" s="8"/>
      <c r="AU117" s="8"/>
      <c r="AV117" s="8"/>
      <c r="AW117" s="8"/>
      <c r="AX117" s="8"/>
    </row>
    <row r="118" ht="19.5" customHeight="1">
      <c r="A118" s="151" t="str">
        <f>Locsolieu!A113</f>
        <v>271</v>
      </c>
      <c r="B118" s="152">
        <f>Locsolieu!C113</f>
        <v>6.0732</v>
      </c>
      <c r="C118" s="132">
        <f>Locsolieu!D113*$C$4</f>
        <v>0.26319</v>
      </c>
      <c r="D118" s="133">
        <f>Locsolieu!E113*$C$4</f>
        <v>0.33317</v>
      </c>
      <c r="E118" s="153">
        <f>Locsolieu!F113</f>
        <v>6.0732</v>
      </c>
      <c r="F118" s="135">
        <v>510.0</v>
      </c>
      <c r="G118" s="136">
        <v>20.0</v>
      </c>
      <c r="H118" s="136">
        <v>30.0</v>
      </c>
      <c r="I118" s="136">
        <v>3.0</v>
      </c>
      <c r="J118" s="136">
        <f t="shared" si="31"/>
        <v>27</v>
      </c>
      <c r="K118" s="137">
        <f t="shared" si="5"/>
        <v>4.333629717</v>
      </c>
      <c r="L118" s="137">
        <f t="shared" si="6"/>
        <v>5.485905289</v>
      </c>
      <c r="M118" s="138" t="str">
        <f t="shared" si="32"/>
        <v>#REF!</v>
      </c>
      <c r="N118" s="138" t="str">
        <f t="shared" si="33"/>
        <v>#REF!</v>
      </c>
      <c r="O118" s="139">
        <f t="shared" si="7"/>
        <v>45000</v>
      </c>
      <c r="P118" s="140">
        <f t="shared" ref="P118:Q118" si="454">0.1+0.11/(0.1+MAX((K118/$H118),(0.5-(0.01*(0.7*$F118/$H118))-0.01*$E$2)))</f>
        <v>0.3777777778</v>
      </c>
      <c r="Q118" s="140">
        <f t="shared" si="454"/>
        <v>0.3777777778</v>
      </c>
      <c r="R118" s="139" t="str">
        <f t="shared" si="9"/>
        <v>#REF!</v>
      </c>
      <c r="S118" s="139" t="str">
        <f t="shared" si="10"/>
        <v>#REF!</v>
      </c>
      <c r="T118" s="141" t="str">
        <f t="shared" si="11"/>
        <v>#REF!</v>
      </c>
      <c r="U118" s="141" t="str">
        <f t="shared" si="12"/>
        <v>#REF!</v>
      </c>
      <c r="V118" s="142" t="str">
        <f t="shared" ref="V118:W118" si="455">IF(T118*K118&gt;=((0.5*$H118)-$I118),((T118*K118)-(0.5*$H118)+$I118),(0.5*$H118)-(T118*K118)-$I118)</f>
        <v>#REF!</v>
      </c>
      <c r="W118" s="142" t="str">
        <f t="shared" si="455"/>
        <v>#REF!</v>
      </c>
      <c r="X118" s="137" t="str">
        <f t="shared" ref="X118:Y118" si="456">(T118*K118)+(0.5*$H118)-$I118</f>
        <v>#REF!</v>
      </c>
      <c r="Y118" s="137" t="str">
        <f t="shared" si="456"/>
        <v>#REF!</v>
      </c>
      <c r="Z118" s="142">
        <f t="shared" si="15"/>
        <v>4.284308435</v>
      </c>
      <c r="AA118" s="142">
        <f t="shared" si="16"/>
        <v>4.284308435</v>
      </c>
      <c r="AB118" s="142">
        <f t="shared" ref="AB118:AC118" si="457">($H$2+((1-$H$2)/(1+50*(K118/$H118)^2)))*$J118</f>
        <v>22.17475251</v>
      </c>
      <c r="AC118" s="142">
        <f t="shared" si="457"/>
        <v>21.08673865</v>
      </c>
      <c r="AD118" s="142" t="str">
        <f t="shared" si="18"/>
        <v>#REF!</v>
      </c>
      <c r="AE118" s="142" t="str">
        <f t="shared" si="19"/>
        <v>#REF!</v>
      </c>
      <c r="AF118" s="143" t="str">
        <f t="shared" si="20"/>
        <v>#REF!</v>
      </c>
      <c r="AG118" s="154" t="str">
        <f t="shared" si="21"/>
        <v>#REF!</v>
      </c>
      <c r="AH118" s="145" t="str">
        <f t="shared" si="22"/>
        <v>#REF!</v>
      </c>
      <c r="AI118" s="146" t="str">
        <f t="shared" si="23"/>
        <v>#REF!</v>
      </c>
      <c r="AJ118" s="147" t="str">
        <f t="shared" si="24"/>
        <v>#REF!</v>
      </c>
      <c r="AK118" s="155"/>
      <c r="AL118" s="155"/>
      <c r="AM118" s="155"/>
      <c r="AN118" s="155"/>
      <c r="AO118" s="147">
        <f t="shared" si="25"/>
        <v>0</v>
      </c>
      <c r="AP118" s="147">
        <f t="shared" si="26"/>
        <v>0</v>
      </c>
      <c r="AQ118" s="156"/>
      <c r="AR118" s="8"/>
      <c r="AS118" s="91"/>
      <c r="AT118" s="8"/>
      <c r="AU118" s="8"/>
      <c r="AV118" s="8"/>
      <c r="AW118" s="8"/>
      <c r="AX118" s="8"/>
    </row>
    <row r="119" ht="19.5" customHeight="1">
      <c r="A119" s="151" t="str">
        <f>Locsolieu!A114</f>
        <v>271</v>
      </c>
      <c r="B119" s="152">
        <f>Locsolieu!C114</f>
        <v>6.0732</v>
      </c>
      <c r="C119" s="132">
        <f>Locsolieu!D114*$C$4</f>
        <v>0.26319</v>
      </c>
      <c r="D119" s="133">
        <f>Locsolieu!E114*$C$4</f>
        <v>0.33317</v>
      </c>
      <c r="E119" s="153">
        <f>Locsolieu!F114</f>
        <v>6.0732</v>
      </c>
      <c r="F119" s="135">
        <v>510.0</v>
      </c>
      <c r="G119" s="136">
        <v>20.0</v>
      </c>
      <c r="H119" s="136">
        <v>30.0</v>
      </c>
      <c r="I119" s="136">
        <v>3.0</v>
      </c>
      <c r="J119" s="136">
        <f t="shared" si="31"/>
        <v>27</v>
      </c>
      <c r="K119" s="137">
        <f t="shared" si="5"/>
        <v>4.333629717</v>
      </c>
      <c r="L119" s="137">
        <f t="shared" si="6"/>
        <v>5.485905289</v>
      </c>
      <c r="M119" s="138" t="str">
        <f t="shared" si="32"/>
        <v>#REF!</v>
      </c>
      <c r="N119" s="138" t="str">
        <f t="shared" si="33"/>
        <v>#REF!</v>
      </c>
      <c r="O119" s="139">
        <f t="shared" si="7"/>
        <v>45000</v>
      </c>
      <c r="P119" s="140">
        <f t="shared" ref="P119:Q119" si="458">0.1+0.11/(0.1+MAX((K119/$H119),(0.5-(0.01*(0.7*$F119/$H119))-0.01*$E$2)))</f>
        <v>0.3777777778</v>
      </c>
      <c r="Q119" s="140">
        <f t="shared" si="458"/>
        <v>0.3777777778</v>
      </c>
      <c r="R119" s="139" t="str">
        <f t="shared" si="9"/>
        <v>#REF!</v>
      </c>
      <c r="S119" s="139" t="str">
        <f t="shared" si="10"/>
        <v>#REF!</v>
      </c>
      <c r="T119" s="141" t="str">
        <f t="shared" si="11"/>
        <v>#REF!</v>
      </c>
      <c r="U119" s="141" t="str">
        <f t="shared" si="12"/>
        <v>#REF!</v>
      </c>
      <c r="V119" s="142" t="str">
        <f t="shared" ref="V119:W119" si="459">IF(T119*K119&gt;=((0.5*$H119)-$I119),((T119*K119)-(0.5*$H119)+$I119),(0.5*$H119)-(T119*K119)-$I119)</f>
        <v>#REF!</v>
      </c>
      <c r="W119" s="142" t="str">
        <f t="shared" si="459"/>
        <v>#REF!</v>
      </c>
      <c r="X119" s="137" t="str">
        <f t="shared" ref="X119:Y119" si="460">(T119*K119)+(0.5*$H119)-$I119</f>
        <v>#REF!</v>
      </c>
      <c r="Y119" s="137" t="str">
        <f t="shared" si="460"/>
        <v>#REF!</v>
      </c>
      <c r="Z119" s="142">
        <f t="shared" si="15"/>
        <v>4.284308435</v>
      </c>
      <c r="AA119" s="142">
        <f t="shared" si="16"/>
        <v>4.284308435</v>
      </c>
      <c r="AB119" s="142">
        <f t="shared" ref="AB119:AC119" si="461">($H$2+((1-$H$2)/(1+50*(K119/$H119)^2)))*$J119</f>
        <v>22.17475251</v>
      </c>
      <c r="AC119" s="142">
        <f t="shared" si="461"/>
        <v>21.08673865</v>
      </c>
      <c r="AD119" s="142" t="str">
        <f t="shared" si="18"/>
        <v>#REF!</v>
      </c>
      <c r="AE119" s="142" t="str">
        <f t="shared" si="19"/>
        <v>#REF!</v>
      </c>
      <c r="AF119" s="143" t="str">
        <f t="shared" si="20"/>
        <v>#REF!</v>
      </c>
      <c r="AG119" s="154" t="str">
        <f t="shared" si="21"/>
        <v>#REF!</v>
      </c>
      <c r="AH119" s="145" t="str">
        <f t="shared" si="22"/>
        <v>#REF!</v>
      </c>
      <c r="AI119" s="146" t="str">
        <f t="shared" si="23"/>
        <v>#REF!</v>
      </c>
      <c r="AJ119" s="147" t="str">
        <f t="shared" si="24"/>
        <v>#REF!</v>
      </c>
      <c r="AK119" s="155"/>
      <c r="AL119" s="155"/>
      <c r="AM119" s="155"/>
      <c r="AN119" s="155"/>
      <c r="AO119" s="147">
        <f t="shared" si="25"/>
        <v>0</v>
      </c>
      <c r="AP119" s="147">
        <f t="shared" si="26"/>
        <v>0</v>
      </c>
      <c r="AQ119" s="156"/>
      <c r="AR119" s="8"/>
      <c r="AS119" s="91"/>
      <c r="AT119" s="8"/>
      <c r="AU119" s="8"/>
      <c r="AV119" s="8"/>
      <c r="AW119" s="8"/>
      <c r="AX119" s="8"/>
    </row>
    <row r="120" ht="19.5" customHeight="1">
      <c r="A120" s="151" t="str">
        <f>Locsolieu!A115</f>
        <v>271</v>
      </c>
      <c r="B120" s="152">
        <f>Locsolieu!C115</f>
        <v>6.0732</v>
      </c>
      <c r="C120" s="132">
        <f>Locsolieu!D115*$C$4</f>
        <v>0.26319</v>
      </c>
      <c r="D120" s="133">
        <f>Locsolieu!E115*$C$4</f>
        <v>0.33317</v>
      </c>
      <c r="E120" s="153">
        <f>Locsolieu!F115</f>
        <v>6.0732</v>
      </c>
      <c r="F120" s="135">
        <v>510.0</v>
      </c>
      <c r="G120" s="136">
        <v>20.0</v>
      </c>
      <c r="H120" s="136">
        <v>30.0</v>
      </c>
      <c r="I120" s="136">
        <v>3.0</v>
      </c>
      <c r="J120" s="136">
        <f t="shared" si="31"/>
        <v>27</v>
      </c>
      <c r="K120" s="137">
        <f t="shared" si="5"/>
        <v>4.333629717</v>
      </c>
      <c r="L120" s="137">
        <f t="shared" si="6"/>
        <v>5.485905289</v>
      </c>
      <c r="M120" s="138" t="str">
        <f t="shared" si="32"/>
        <v>#REF!</v>
      </c>
      <c r="N120" s="138" t="str">
        <f t="shared" si="33"/>
        <v>#REF!</v>
      </c>
      <c r="O120" s="139">
        <f t="shared" si="7"/>
        <v>45000</v>
      </c>
      <c r="P120" s="140">
        <f t="shared" ref="P120:Q120" si="462">0.1+0.11/(0.1+MAX((K120/$H120),(0.5-(0.01*(0.7*$F120/$H120))-0.01*$E$2)))</f>
        <v>0.3777777778</v>
      </c>
      <c r="Q120" s="140">
        <f t="shared" si="462"/>
        <v>0.3777777778</v>
      </c>
      <c r="R120" s="139" t="str">
        <f t="shared" si="9"/>
        <v>#REF!</v>
      </c>
      <c r="S120" s="139" t="str">
        <f t="shared" si="10"/>
        <v>#REF!</v>
      </c>
      <c r="T120" s="141" t="str">
        <f t="shared" si="11"/>
        <v>#REF!</v>
      </c>
      <c r="U120" s="141" t="str">
        <f t="shared" si="12"/>
        <v>#REF!</v>
      </c>
      <c r="V120" s="142" t="str">
        <f t="shared" ref="V120:W120" si="463">IF(T120*K120&gt;=((0.5*$H120)-$I120),((T120*K120)-(0.5*$H120)+$I120),(0.5*$H120)-(T120*K120)-$I120)</f>
        <v>#REF!</v>
      </c>
      <c r="W120" s="142" t="str">
        <f t="shared" si="463"/>
        <v>#REF!</v>
      </c>
      <c r="X120" s="137" t="str">
        <f t="shared" ref="X120:Y120" si="464">(T120*K120)+(0.5*$H120)-$I120</f>
        <v>#REF!</v>
      </c>
      <c r="Y120" s="137" t="str">
        <f t="shared" si="464"/>
        <v>#REF!</v>
      </c>
      <c r="Z120" s="142">
        <f t="shared" si="15"/>
        <v>4.284308435</v>
      </c>
      <c r="AA120" s="142">
        <f t="shared" si="16"/>
        <v>4.284308435</v>
      </c>
      <c r="AB120" s="142">
        <f t="shared" ref="AB120:AC120" si="465">($H$2+((1-$H$2)/(1+50*(K120/$H120)^2)))*$J120</f>
        <v>22.17475251</v>
      </c>
      <c r="AC120" s="142">
        <f t="shared" si="465"/>
        <v>21.08673865</v>
      </c>
      <c r="AD120" s="142" t="str">
        <f t="shared" si="18"/>
        <v>#REF!</v>
      </c>
      <c r="AE120" s="142" t="str">
        <f t="shared" si="19"/>
        <v>#REF!</v>
      </c>
      <c r="AF120" s="143" t="str">
        <f t="shared" si="20"/>
        <v>#REF!</v>
      </c>
      <c r="AG120" s="154" t="str">
        <f t="shared" si="21"/>
        <v>#REF!</v>
      </c>
      <c r="AH120" s="145" t="str">
        <f t="shared" si="22"/>
        <v>#REF!</v>
      </c>
      <c r="AI120" s="146" t="str">
        <f t="shared" si="23"/>
        <v>#REF!</v>
      </c>
      <c r="AJ120" s="147" t="str">
        <f t="shared" si="24"/>
        <v>#REF!</v>
      </c>
      <c r="AK120" s="155"/>
      <c r="AL120" s="155"/>
      <c r="AM120" s="155"/>
      <c r="AN120" s="155"/>
      <c r="AO120" s="147">
        <f t="shared" si="25"/>
        <v>0</v>
      </c>
      <c r="AP120" s="147">
        <f t="shared" si="26"/>
        <v>0</v>
      </c>
      <c r="AQ120" s="156"/>
      <c r="AR120" s="8"/>
      <c r="AS120" s="91"/>
      <c r="AT120" s="8"/>
      <c r="AU120" s="8"/>
      <c r="AV120" s="8"/>
      <c r="AW120" s="8"/>
      <c r="AX120" s="8"/>
    </row>
    <row r="121" ht="19.5" customHeight="1">
      <c r="A121" s="151" t="str">
        <f>Locsolieu!A116</f>
        <v>276</v>
      </c>
      <c r="B121" s="152">
        <f>Locsolieu!C116</f>
        <v>3.2602</v>
      </c>
      <c r="C121" s="132">
        <f>Locsolieu!D116*$C$4</f>
        <v>0.28791</v>
      </c>
      <c r="D121" s="133">
        <f>Locsolieu!E116*$C$4</f>
        <v>0.47315</v>
      </c>
      <c r="E121" s="153">
        <f>Locsolieu!F116</f>
        <v>3.2602</v>
      </c>
      <c r="F121" s="135">
        <v>510.0</v>
      </c>
      <c r="G121" s="136">
        <v>20.0</v>
      </c>
      <c r="H121" s="136">
        <v>30.0</v>
      </c>
      <c r="I121" s="136">
        <v>3.0</v>
      </c>
      <c r="J121" s="136">
        <f t="shared" si="31"/>
        <v>27</v>
      </c>
      <c r="K121" s="137">
        <f t="shared" si="5"/>
        <v>8.83105331</v>
      </c>
      <c r="L121" s="137">
        <f t="shared" si="6"/>
        <v>14.51291332</v>
      </c>
      <c r="M121" s="138" t="str">
        <f t="shared" si="32"/>
        <v>#REF!</v>
      </c>
      <c r="N121" s="138" t="str">
        <f t="shared" si="33"/>
        <v>#REF!</v>
      </c>
      <c r="O121" s="139">
        <f t="shared" si="7"/>
        <v>45000</v>
      </c>
      <c r="P121" s="140">
        <f t="shared" ref="P121:Q121" si="466">0.1+0.11/(0.1+MAX((K121/$H121),(0.5-(0.01*(0.7*$F121/$H121))-0.01*$E$2)))</f>
        <v>0.3777777778</v>
      </c>
      <c r="Q121" s="140">
        <f t="shared" si="466"/>
        <v>0.2884323836</v>
      </c>
      <c r="R121" s="139" t="str">
        <f t="shared" si="9"/>
        <v>#REF!</v>
      </c>
      <c r="S121" s="139" t="str">
        <f t="shared" si="10"/>
        <v>#REF!</v>
      </c>
      <c r="T121" s="141" t="str">
        <f t="shared" si="11"/>
        <v>#REF!</v>
      </c>
      <c r="U121" s="141" t="str">
        <f t="shared" si="12"/>
        <v>#REF!</v>
      </c>
      <c r="V121" s="142" t="str">
        <f t="shared" ref="V121:W121" si="467">IF(T121*K121&gt;=((0.5*$H121)-$I121),((T121*K121)-(0.5*$H121)+$I121),(0.5*$H121)-(T121*K121)-$I121)</f>
        <v>#REF!</v>
      </c>
      <c r="W121" s="142" t="str">
        <f t="shared" si="467"/>
        <v>#REF!</v>
      </c>
      <c r="X121" s="137" t="str">
        <f t="shared" ref="X121:Y121" si="468">(T121*K121)+(0.5*$H121)-$I121</f>
        <v>#REF!</v>
      </c>
      <c r="Y121" s="137" t="str">
        <f t="shared" si="468"/>
        <v>#REF!</v>
      </c>
      <c r="Z121" s="142">
        <f t="shared" si="15"/>
        <v>2.299891714</v>
      </c>
      <c r="AA121" s="142">
        <f t="shared" si="16"/>
        <v>2.299891714</v>
      </c>
      <c r="AB121" s="142">
        <f t="shared" ref="AB121:AC121" si="469">($H$2+((1-$H$2)/(1+50*(K121/$H121)^2)))*$J121</f>
        <v>19.3221057</v>
      </c>
      <c r="AC121" s="142">
        <f t="shared" si="469"/>
        <v>18.29401425</v>
      </c>
      <c r="AD121" s="142" t="str">
        <f t="shared" si="18"/>
        <v>#REF!</v>
      </c>
      <c r="AE121" s="142" t="str">
        <f t="shared" si="19"/>
        <v>#REF!</v>
      </c>
      <c r="AF121" s="143" t="str">
        <f t="shared" si="20"/>
        <v>#REF!</v>
      </c>
      <c r="AG121" s="154" t="str">
        <f t="shared" si="21"/>
        <v>#REF!</v>
      </c>
      <c r="AH121" s="145" t="str">
        <f t="shared" si="22"/>
        <v>#REF!</v>
      </c>
      <c r="AI121" s="146" t="str">
        <f t="shared" si="23"/>
        <v>#REF!</v>
      </c>
      <c r="AJ121" s="147" t="str">
        <f t="shared" si="24"/>
        <v>#REF!</v>
      </c>
      <c r="AK121" s="155"/>
      <c r="AL121" s="155"/>
      <c r="AM121" s="155"/>
      <c r="AN121" s="155"/>
      <c r="AO121" s="147">
        <f t="shared" si="25"/>
        <v>0</v>
      </c>
      <c r="AP121" s="147">
        <f t="shared" si="26"/>
        <v>0</v>
      </c>
      <c r="AQ121" s="8"/>
      <c r="AR121" s="8"/>
      <c r="AS121" s="91"/>
      <c r="AT121" s="8"/>
      <c r="AU121" s="8"/>
      <c r="AV121" s="8"/>
      <c r="AW121" s="8"/>
      <c r="AX121" s="8"/>
    </row>
    <row r="122" ht="19.5" customHeight="1">
      <c r="A122" s="151" t="str">
        <f>Locsolieu!A117</f>
        <v>276</v>
      </c>
      <c r="B122" s="152">
        <f>Locsolieu!C117</f>
        <v>3.2602</v>
      </c>
      <c r="C122" s="132">
        <f>Locsolieu!D117*$C$4</f>
        <v>0.28791</v>
      </c>
      <c r="D122" s="133">
        <f>Locsolieu!E117*$C$4</f>
        <v>0.47315</v>
      </c>
      <c r="E122" s="153">
        <f>Locsolieu!F117</f>
        <v>3.2602</v>
      </c>
      <c r="F122" s="135">
        <v>510.0</v>
      </c>
      <c r="G122" s="136">
        <v>20.0</v>
      </c>
      <c r="H122" s="136">
        <v>30.0</v>
      </c>
      <c r="I122" s="136">
        <v>3.0</v>
      </c>
      <c r="J122" s="136">
        <f t="shared" si="31"/>
        <v>27</v>
      </c>
      <c r="K122" s="137">
        <f t="shared" si="5"/>
        <v>8.83105331</v>
      </c>
      <c r="L122" s="137">
        <f t="shared" si="6"/>
        <v>14.51291332</v>
      </c>
      <c r="M122" s="138" t="str">
        <f t="shared" si="32"/>
        <v>#REF!</v>
      </c>
      <c r="N122" s="138" t="str">
        <f t="shared" si="33"/>
        <v>#REF!</v>
      </c>
      <c r="O122" s="139">
        <f t="shared" si="7"/>
        <v>45000</v>
      </c>
      <c r="P122" s="140">
        <f t="shared" ref="P122:Q122" si="470">0.1+0.11/(0.1+MAX((K122/$H122),(0.5-(0.01*(0.7*$F122/$H122))-0.01*$E$2)))</f>
        <v>0.3777777778</v>
      </c>
      <c r="Q122" s="140">
        <f t="shared" si="470"/>
        <v>0.2884323836</v>
      </c>
      <c r="R122" s="139" t="str">
        <f t="shared" si="9"/>
        <v>#REF!</v>
      </c>
      <c r="S122" s="139" t="str">
        <f t="shared" si="10"/>
        <v>#REF!</v>
      </c>
      <c r="T122" s="141" t="str">
        <f t="shared" si="11"/>
        <v>#REF!</v>
      </c>
      <c r="U122" s="141" t="str">
        <f t="shared" si="12"/>
        <v>#REF!</v>
      </c>
      <c r="V122" s="142" t="str">
        <f t="shared" ref="V122:W122" si="471">IF(T122*K122&gt;=((0.5*$H122)-$I122),((T122*K122)-(0.5*$H122)+$I122),(0.5*$H122)-(T122*K122)-$I122)</f>
        <v>#REF!</v>
      </c>
      <c r="W122" s="142" t="str">
        <f t="shared" si="471"/>
        <v>#REF!</v>
      </c>
      <c r="X122" s="137" t="str">
        <f t="shared" ref="X122:Y122" si="472">(T122*K122)+(0.5*$H122)-$I122</f>
        <v>#REF!</v>
      </c>
      <c r="Y122" s="137" t="str">
        <f t="shared" si="472"/>
        <v>#REF!</v>
      </c>
      <c r="Z122" s="142">
        <f t="shared" si="15"/>
        <v>2.299891714</v>
      </c>
      <c r="AA122" s="142">
        <f t="shared" si="16"/>
        <v>2.299891714</v>
      </c>
      <c r="AB122" s="142">
        <f t="shared" ref="AB122:AC122" si="473">($H$2+((1-$H$2)/(1+50*(K122/$H122)^2)))*$J122</f>
        <v>19.3221057</v>
      </c>
      <c r="AC122" s="142">
        <f t="shared" si="473"/>
        <v>18.29401425</v>
      </c>
      <c r="AD122" s="142" t="str">
        <f t="shared" si="18"/>
        <v>#REF!</v>
      </c>
      <c r="AE122" s="142" t="str">
        <f t="shared" si="19"/>
        <v>#REF!</v>
      </c>
      <c r="AF122" s="143" t="str">
        <f t="shared" si="20"/>
        <v>#REF!</v>
      </c>
      <c r="AG122" s="154" t="str">
        <f t="shared" si="21"/>
        <v>#REF!</v>
      </c>
      <c r="AH122" s="145" t="str">
        <f t="shared" si="22"/>
        <v>#REF!</v>
      </c>
      <c r="AI122" s="146" t="str">
        <f t="shared" si="23"/>
        <v>#REF!</v>
      </c>
      <c r="AJ122" s="147" t="str">
        <f t="shared" si="24"/>
        <v>#REF!</v>
      </c>
      <c r="AK122" s="155"/>
      <c r="AL122" s="155"/>
      <c r="AM122" s="155"/>
      <c r="AN122" s="155"/>
      <c r="AO122" s="147">
        <f t="shared" si="25"/>
        <v>0</v>
      </c>
      <c r="AP122" s="147">
        <f t="shared" si="26"/>
        <v>0</v>
      </c>
      <c r="AQ122" s="8"/>
      <c r="AR122" s="8"/>
      <c r="AS122" s="91"/>
      <c r="AT122" s="8"/>
      <c r="AU122" s="8"/>
      <c r="AV122" s="8"/>
      <c r="AW122" s="8"/>
      <c r="AX122" s="8"/>
    </row>
    <row r="123" ht="19.5" customHeight="1">
      <c r="A123" s="151" t="str">
        <f>Locsolieu!A118</f>
        <v>276</v>
      </c>
      <c r="B123" s="152">
        <f>Locsolieu!C118</f>
        <v>3.2602</v>
      </c>
      <c r="C123" s="132">
        <f>Locsolieu!D118*$C$4</f>
        <v>0.28791</v>
      </c>
      <c r="D123" s="133">
        <f>Locsolieu!E118*$C$4</f>
        <v>0.47315</v>
      </c>
      <c r="E123" s="153">
        <f>Locsolieu!F118</f>
        <v>3.2602</v>
      </c>
      <c r="F123" s="135">
        <v>510.0</v>
      </c>
      <c r="G123" s="136">
        <v>20.0</v>
      </c>
      <c r="H123" s="136">
        <v>30.0</v>
      </c>
      <c r="I123" s="136">
        <v>3.0</v>
      </c>
      <c r="J123" s="136">
        <f t="shared" si="31"/>
        <v>27</v>
      </c>
      <c r="K123" s="137">
        <f t="shared" si="5"/>
        <v>8.83105331</v>
      </c>
      <c r="L123" s="137">
        <f t="shared" si="6"/>
        <v>14.51291332</v>
      </c>
      <c r="M123" s="138" t="str">
        <f t="shared" si="32"/>
        <v>#REF!</v>
      </c>
      <c r="N123" s="138" t="str">
        <f t="shared" si="33"/>
        <v>#REF!</v>
      </c>
      <c r="O123" s="139">
        <f t="shared" si="7"/>
        <v>45000</v>
      </c>
      <c r="P123" s="140">
        <f t="shared" ref="P123:Q123" si="474">0.1+0.11/(0.1+MAX((K123/$H123),(0.5-(0.01*(0.7*$F123/$H123))-0.01*$E$2)))</f>
        <v>0.3777777778</v>
      </c>
      <c r="Q123" s="140">
        <f t="shared" si="474"/>
        <v>0.2884323836</v>
      </c>
      <c r="R123" s="139" t="str">
        <f t="shared" si="9"/>
        <v>#REF!</v>
      </c>
      <c r="S123" s="139" t="str">
        <f t="shared" si="10"/>
        <v>#REF!</v>
      </c>
      <c r="T123" s="141" t="str">
        <f t="shared" si="11"/>
        <v>#REF!</v>
      </c>
      <c r="U123" s="141" t="str">
        <f t="shared" si="12"/>
        <v>#REF!</v>
      </c>
      <c r="V123" s="142" t="str">
        <f t="shared" ref="V123:W123" si="475">IF(T123*K123&gt;=((0.5*$H123)-$I123),((T123*K123)-(0.5*$H123)+$I123),(0.5*$H123)-(T123*K123)-$I123)</f>
        <v>#REF!</v>
      </c>
      <c r="W123" s="142" t="str">
        <f t="shared" si="475"/>
        <v>#REF!</v>
      </c>
      <c r="X123" s="137" t="str">
        <f t="shared" ref="X123:Y123" si="476">(T123*K123)+(0.5*$H123)-$I123</f>
        <v>#REF!</v>
      </c>
      <c r="Y123" s="137" t="str">
        <f t="shared" si="476"/>
        <v>#REF!</v>
      </c>
      <c r="Z123" s="142">
        <f t="shared" si="15"/>
        <v>2.299891714</v>
      </c>
      <c r="AA123" s="142">
        <f t="shared" si="16"/>
        <v>2.299891714</v>
      </c>
      <c r="AB123" s="142">
        <f t="shared" ref="AB123:AC123" si="477">($H$2+((1-$H$2)/(1+50*(K123/$H123)^2)))*$J123</f>
        <v>19.3221057</v>
      </c>
      <c r="AC123" s="142">
        <f t="shared" si="477"/>
        <v>18.29401425</v>
      </c>
      <c r="AD123" s="142" t="str">
        <f t="shared" si="18"/>
        <v>#REF!</v>
      </c>
      <c r="AE123" s="142" t="str">
        <f t="shared" si="19"/>
        <v>#REF!</v>
      </c>
      <c r="AF123" s="143" t="str">
        <f t="shared" si="20"/>
        <v>#REF!</v>
      </c>
      <c r="AG123" s="154" t="str">
        <f t="shared" si="21"/>
        <v>#REF!</v>
      </c>
      <c r="AH123" s="145" t="str">
        <f t="shared" si="22"/>
        <v>#REF!</v>
      </c>
      <c r="AI123" s="146" t="str">
        <f t="shared" si="23"/>
        <v>#REF!</v>
      </c>
      <c r="AJ123" s="147" t="str">
        <f t="shared" si="24"/>
        <v>#REF!</v>
      </c>
      <c r="AK123" s="155"/>
      <c r="AL123" s="155"/>
      <c r="AM123" s="155"/>
      <c r="AN123" s="155"/>
      <c r="AO123" s="147">
        <f t="shared" si="25"/>
        <v>0</v>
      </c>
      <c r="AP123" s="147">
        <f t="shared" si="26"/>
        <v>0</v>
      </c>
      <c r="AQ123" s="157"/>
      <c r="AR123" s="157"/>
      <c r="AS123" s="158"/>
      <c r="AT123" s="157"/>
      <c r="AU123" s="157"/>
      <c r="AV123" s="157"/>
      <c r="AW123" s="157"/>
      <c r="AX123" s="157"/>
    </row>
    <row r="124" ht="19.5" customHeight="1">
      <c r="A124" s="151" t="str">
        <f>Locsolieu!A119</f>
        <v>277</v>
      </c>
      <c r="B124" s="152">
        <f>Locsolieu!C119</f>
        <v>3.2881</v>
      </c>
      <c r="C124" s="132">
        <f>Locsolieu!D119*$C$4</f>
        <v>0.48324</v>
      </c>
      <c r="D124" s="133">
        <f>Locsolieu!E119*$C$4</f>
        <v>0.48324</v>
      </c>
      <c r="E124" s="153">
        <f>Locsolieu!F119</f>
        <v>3.2881</v>
      </c>
      <c r="F124" s="135">
        <v>510.0</v>
      </c>
      <c r="G124" s="136">
        <v>20.0</v>
      </c>
      <c r="H124" s="136">
        <v>30.0</v>
      </c>
      <c r="I124" s="136">
        <v>3.0</v>
      </c>
      <c r="J124" s="136">
        <f t="shared" si="31"/>
        <v>27</v>
      </c>
      <c r="K124" s="137">
        <f t="shared" si="5"/>
        <v>14.69663331</v>
      </c>
      <c r="L124" s="137">
        <f t="shared" si="6"/>
        <v>14.69663331</v>
      </c>
      <c r="M124" s="138" t="str">
        <f t="shared" si="32"/>
        <v>#REF!</v>
      </c>
      <c r="N124" s="138" t="str">
        <f t="shared" si="33"/>
        <v>#REF!</v>
      </c>
      <c r="O124" s="139">
        <f t="shared" si="7"/>
        <v>45000</v>
      </c>
      <c r="P124" s="140">
        <f t="shared" ref="P124:Q124" si="478">0.1+0.11/(0.1+MAX((K124/$H124),(0.5-(0.01*(0.7*$F124/$H124))-0.01*$E$2)))</f>
        <v>0.2864761473</v>
      </c>
      <c r="Q124" s="140">
        <f t="shared" si="478"/>
        <v>0.2864761473</v>
      </c>
      <c r="R124" s="139" t="str">
        <f t="shared" si="9"/>
        <v>#REF!</v>
      </c>
      <c r="S124" s="139" t="str">
        <f t="shared" si="10"/>
        <v>#REF!</v>
      </c>
      <c r="T124" s="141" t="str">
        <f t="shared" si="11"/>
        <v>#REF!</v>
      </c>
      <c r="U124" s="141" t="str">
        <f t="shared" si="12"/>
        <v>#REF!</v>
      </c>
      <c r="V124" s="142" t="str">
        <f t="shared" ref="V124:W124" si="479">IF(T124*K124&gt;=((0.5*$H124)-$I124),((T124*K124)-(0.5*$H124)+$I124),(0.5*$H124)-(T124*K124)-$I124)</f>
        <v>#REF!</v>
      </c>
      <c r="W124" s="142" t="str">
        <f t="shared" si="479"/>
        <v>#REF!</v>
      </c>
      <c r="X124" s="137" t="str">
        <f t="shared" ref="X124:Y124" si="480">(T124*K124)+(0.5*$H124)-$I124</f>
        <v>#REF!</v>
      </c>
      <c r="Y124" s="137" t="str">
        <f t="shared" si="480"/>
        <v>#REF!</v>
      </c>
      <c r="Z124" s="142">
        <f t="shared" si="15"/>
        <v>2.319573629</v>
      </c>
      <c r="AA124" s="142">
        <f t="shared" si="16"/>
        <v>2.319573629</v>
      </c>
      <c r="AB124" s="142">
        <f t="shared" ref="AB124:AC124" si="481">($H$2+((1-$H$2)/(1+50*(K124/$H124)^2)))*$J124</f>
        <v>18.27695094</v>
      </c>
      <c r="AC124" s="142">
        <f t="shared" si="481"/>
        <v>18.27695094</v>
      </c>
      <c r="AD124" s="142" t="str">
        <f t="shared" si="18"/>
        <v>#REF!</v>
      </c>
      <c r="AE124" s="142" t="str">
        <f t="shared" si="19"/>
        <v>#REF!</v>
      </c>
      <c r="AF124" s="143" t="str">
        <f t="shared" si="20"/>
        <v>#REF!</v>
      </c>
      <c r="AG124" s="154" t="str">
        <f t="shared" si="21"/>
        <v>#REF!</v>
      </c>
      <c r="AH124" s="145" t="str">
        <f t="shared" si="22"/>
        <v>#REF!</v>
      </c>
      <c r="AI124" s="146" t="str">
        <f t="shared" si="23"/>
        <v>#REF!</v>
      </c>
      <c r="AJ124" s="147" t="str">
        <f t="shared" si="24"/>
        <v>#REF!</v>
      </c>
      <c r="AK124" s="155"/>
      <c r="AL124" s="155"/>
      <c r="AM124" s="155"/>
      <c r="AN124" s="155"/>
      <c r="AO124" s="147">
        <f t="shared" si="25"/>
        <v>0</v>
      </c>
      <c r="AP124" s="147">
        <f t="shared" si="26"/>
        <v>0</v>
      </c>
      <c r="AQ124" s="157"/>
      <c r="AR124" s="157"/>
      <c r="AS124" s="158"/>
      <c r="AT124" s="157"/>
      <c r="AU124" s="157"/>
      <c r="AV124" s="157"/>
      <c r="AW124" s="157"/>
      <c r="AX124" s="157"/>
    </row>
    <row r="125" ht="19.5" customHeight="1">
      <c r="A125" s="151" t="str">
        <f>Locsolieu!A120</f>
        <v>277</v>
      </c>
      <c r="B125" s="152">
        <f>Locsolieu!C120</f>
        <v>3.2881</v>
      </c>
      <c r="C125" s="132">
        <f>Locsolieu!D120*$C$4</f>
        <v>0.48324</v>
      </c>
      <c r="D125" s="133">
        <f>Locsolieu!E120*$C$4</f>
        <v>0.48324</v>
      </c>
      <c r="E125" s="153">
        <f>Locsolieu!F120</f>
        <v>3.2881</v>
      </c>
      <c r="F125" s="135">
        <v>510.0</v>
      </c>
      <c r="G125" s="136">
        <v>20.0</v>
      </c>
      <c r="H125" s="136">
        <v>30.0</v>
      </c>
      <c r="I125" s="136">
        <v>3.0</v>
      </c>
      <c r="J125" s="136">
        <f t="shared" si="31"/>
        <v>27</v>
      </c>
      <c r="K125" s="137">
        <f t="shared" si="5"/>
        <v>14.69663331</v>
      </c>
      <c r="L125" s="137">
        <f t="shared" si="6"/>
        <v>14.69663331</v>
      </c>
      <c r="M125" s="138" t="str">
        <f t="shared" si="32"/>
        <v>#REF!</v>
      </c>
      <c r="N125" s="138" t="str">
        <f t="shared" si="33"/>
        <v>#REF!</v>
      </c>
      <c r="O125" s="139">
        <f t="shared" si="7"/>
        <v>45000</v>
      </c>
      <c r="P125" s="140">
        <f t="shared" ref="P125:Q125" si="482">0.1+0.11/(0.1+MAX((K125/$H125),(0.5-(0.01*(0.7*$F125/$H125))-0.01*$E$2)))</f>
        <v>0.2864761473</v>
      </c>
      <c r="Q125" s="140">
        <f t="shared" si="482"/>
        <v>0.2864761473</v>
      </c>
      <c r="R125" s="139" t="str">
        <f t="shared" si="9"/>
        <v>#REF!</v>
      </c>
      <c r="S125" s="139" t="str">
        <f t="shared" si="10"/>
        <v>#REF!</v>
      </c>
      <c r="T125" s="141" t="str">
        <f t="shared" si="11"/>
        <v>#REF!</v>
      </c>
      <c r="U125" s="141" t="str">
        <f t="shared" si="12"/>
        <v>#REF!</v>
      </c>
      <c r="V125" s="142" t="str">
        <f t="shared" ref="V125:W125" si="483">IF(T125*K125&gt;=((0.5*$H125)-$I125),((T125*K125)-(0.5*$H125)+$I125),(0.5*$H125)-(T125*K125)-$I125)</f>
        <v>#REF!</v>
      </c>
      <c r="W125" s="142" t="str">
        <f t="shared" si="483"/>
        <v>#REF!</v>
      </c>
      <c r="X125" s="137" t="str">
        <f t="shared" ref="X125:Y125" si="484">(T125*K125)+(0.5*$H125)-$I125</f>
        <v>#REF!</v>
      </c>
      <c r="Y125" s="137" t="str">
        <f t="shared" si="484"/>
        <v>#REF!</v>
      </c>
      <c r="Z125" s="142">
        <f t="shared" si="15"/>
        <v>2.319573629</v>
      </c>
      <c r="AA125" s="142">
        <f t="shared" si="16"/>
        <v>2.319573629</v>
      </c>
      <c r="AB125" s="142">
        <f t="shared" ref="AB125:AC125" si="485">($H$2+((1-$H$2)/(1+50*(K125/$H125)^2)))*$J125</f>
        <v>18.27695094</v>
      </c>
      <c r="AC125" s="142">
        <f t="shared" si="485"/>
        <v>18.27695094</v>
      </c>
      <c r="AD125" s="142" t="str">
        <f t="shared" si="18"/>
        <v>#REF!</v>
      </c>
      <c r="AE125" s="142" t="str">
        <f t="shared" si="19"/>
        <v>#REF!</v>
      </c>
      <c r="AF125" s="143" t="str">
        <f t="shared" si="20"/>
        <v>#REF!</v>
      </c>
      <c r="AG125" s="154" t="str">
        <f t="shared" si="21"/>
        <v>#REF!</v>
      </c>
      <c r="AH125" s="145" t="str">
        <f t="shared" si="22"/>
        <v>#REF!</v>
      </c>
      <c r="AI125" s="146" t="str">
        <f t="shared" si="23"/>
        <v>#REF!</v>
      </c>
      <c r="AJ125" s="147" t="str">
        <f t="shared" si="24"/>
        <v>#REF!</v>
      </c>
      <c r="AK125" s="155"/>
      <c r="AL125" s="155"/>
      <c r="AM125" s="155"/>
      <c r="AN125" s="155"/>
      <c r="AO125" s="147">
        <f t="shared" si="25"/>
        <v>0</v>
      </c>
      <c r="AP125" s="147">
        <f t="shared" si="26"/>
        <v>0</v>
      </c>
      <c r="AQ125" s="157"/>
      <c r="AR125" s="157"/>
      <c r="AS125" s="158"/>
      <c r="AT125" s="157"/>
      <c r="AU125" s="157"/>
      <c r="AV125" s="157"/>
      <c r="AW125" s="157"/>
      <c r="AX125" s="157"/>
    </row>
    <row r="126" ht="19.5" customHeight="1">
      <c r="A126" s="151" t="str">
        <f>Locsolieu!A121</f>
        <v>277</v>
      </c>
      <c r="B126" s="152">
        <f>Locsolieu!C121</f>
        <v>3.2881</v>
      </c>
      <c r="C126" s="132">
        <f>Locsolieu!D121*$C$4</f>
        <v>0.48324</v>
      </c>
      <c r="D126" s="133">
        <f>Locsolieu!E121*$C$4</f>
        <v>0.48324</v>
      </c>
      <c r="E126" s="153">
        <f>Locsolieu!F121</f>
        <v>3.2881</v>
      </c>
      <c r="F126" s="135">
        <v>510.0</v>
      </c>
      <c r="G126" s="136">
        <v>20.0</v>
      </c>
      <c r="H126" s="136">
        <v>30.0</v>
      </c>
      <c r="I126" s="136">
        <v>3.0</v>
      </c>
      <c r="J126" s="136">
        <f t="shared" si="31"/>
        <v>27</v>
      </c>
      <c r="K126" s="137">
        <f t="shared" si="5"/>
        <v>14.69663331</v>
      </c>
      <c r="L126" s="137">
        <f t="shared" si="6"/>
        <v>14.69663331</v>
      </c>
      <c r="M126" s="138" t="str">
        <f t="shared" si="32"/>
        <v>#REF!</v>
      </c>
      <c r="N126" s="138" t="str">
        <f t="shared" si="33"/>
        <v>#REF!</v>
      </c>
      <c r="O126" s="139">
        <f t="shared" si="7"/>
        <v>45000</v>
      </c>
      <c r="P126" s="140">
        <f t="shared" ref="P126:Q126" si="486">0.1+0.11/(0.1+MAX((K126/$H126),(0.5-(0.01*(0.7*$F126/$H126))-0.01*$E$2)))</f>
        <v>0.2864761473</v>
      </c>
      <c r="Q126" s="140">
        <f t="shared" si="486"/>
        <v>0.2864761473</v>
      </c>
      <c r="R126" s="139" t="str">
        <f t="shared" si="9"/>
        <v>#REF!</v>
      </c>
      <c r="S126" s="139" t="str">
        <f t="shared" si="10"/>
        <v>#REF!</v>
      </c>
      <c r="T126" s="141" t="str">
        <f t="shared" si="11"/>
        <v>#REF!</v>
      </c>
      <c r="U126" s="141" t="str">
        <f t="shared" si="12"/>
        <v>#REF!</v>
      </c>
      <c r="V126" s="142" t="str">
        <f t="shared" ref="V126:W126" si="487">IF(T126*K126&gt;=((0.5*$H126)-$I126),((T126*K126)-(0.5*$H126)+$I126),(0.5*$H126)-(T126*K126)-$I126)</f>
        <v>#REF!</v>
      </c>
      <c r="W126" s="142" t="str">
        <f t="shared" si="487"/>
        <v>#REF!</v>
      </c>
      <c r="X126" s="137" t="str">
        <f t="shared" ref="X126:Y126" si="488">(T126*K126)+(0.5*$H126)-$I126</f>
        <v>#REF!</v>
      </c>
      <c r="Y126" s="137" t="str">
        <f t="shared" si="488"/>
        <v>#REF!</v>
      </c>
      <c r="Z126" s="142">
        <f t="shared" si="15"/>
        <v>2.319573629</v>
      </c>
      <c r="AA126" s="142">
        <f t="shared" si="16"/>
        <v>2.319573629</v>
      </c>
      <c r="AB126" s="142">
        <f t="shared" ref="AB126:AC126" si="489">($H$2+((1-$H$2)/(1+50*(K126/$H126)^2)))*$J126</f>
        <v>18.27695094</v>
      </c>
      <c r="AC126" s="142">
        <f t="shared" si="489"/>
        <v>18.27695094</v>
      </c>
      <c r="AD126" s="142" t="str">
        <f t="shared" si="18"/>
        <v>#REF!</v>
      </c>
      <c r="AE126" s="142" t="str">
        <f t="shared" si="19"/>
        <v>#REF!</v>
      </c>
      <c r="AF126" s="143" t="str">
        <f t="shared" si="20"/>
        <v>#REF!</v>
      </c>
      <c r="AG126" s="154" t="str">
        <f t="shared" si="21"/>
        <v>#REF!</v>
      </c>
      <c r="AH126" s="145" t="str">
        <f t="shared" si="22"/>
        <v>#REF!</v>
      </c>
      <c r="AI126" s="146" t="str">
        <f t="shared" si="23"/>
        <v>#REF!</v>
      </c>
      <c r="AJ126" s="147" t="str">
        <f t="shared" si="24"/>
        <v>#REF!</v>
      </c>
      <c r="AK126" s="155"/>
      <c r="AL126" s="155"/>
      <c r="AM126" s="155"/>
      <c r="AN126" s="155"/>
      <c r="AO126" s="147">
        <f t="shared" si="25"/>
        <v>0</v>
      </c>
      <c r="AP126" s="147">
        <f t="shared" si="26"/>
        <v>0</v>
      </c>
      <c r="AQ126" s="157"/>
      <c r="AR126" s="157"/>
      <c r="AS126" s="158"/>
      <c r="AT126" s="157"/>
      <c r="AU126" s="157"/>
      <c r="AV126" s="157"/>
      <c r="AW126" s="157"/>
      <c r="AX126" s="157"/>
    </row>
    <row r="127" ht="19.5" customHeight="1">
      <c r="A127" s="151" t="str">
        <f>Locsolieu!A122</f>
        <v>277</v>
      </c>
      <c r="B127" s="152">
        <f>Locsolieu!C122</f>
        <v>3.2881</v>
      </c>
      <c r="C127" s="132">
        <f>Locsolieu!D122*$C$4</f>
        <v>0.48324</v>
      </c>
      <c r="D127" s="133">
        <f>Locsolieu!E122*$C$4</f>
        <v>0.48324</v>
      </c>
      <c r="E127" s="153">
        <f>Locsolieu!F122</f>
        <v>3.2881</v>
      </c>
      <c r="F127" s="135">
        <v>510.0</v>
      </c>
      <c r="G127" s="136">
        <v>20.0</v>
      </c>
      <c r="H127" s="136">
        <v>30.0</v>
      </c>
      <c r="I127" s="136">
        <v>3.0</v>
      </c>
      <c r="J127" s="136">
        <f t="shared" si="31"/>
        <v>27</v>
      </c>
      <c r="K127" s="137">
        <f t="shared" si="5"/>
        <v>14.69663331</v>
      </c>
      <c r="L127" s="137">
        <f t="shared" si="6"/>
        <v>14.69663331</v>
      </c>
      <c r="M127" s="138" t="str">
        <f t="shared" si="32"/>
        <v>#REF!</v>
      </c>
      <c r="N127" s="138" t="str">
        <f t="shared" si="33"/>
        <v>#REF!</v>
      </c>
      <c r="O127" s="139">
        <f t="shared" si="7"/>
        <v>45000</v>
      </c>
      <c r="P127" s="140">
        <f t="shared" ref="P127:Q127" si="490">0.1+0.11/(0.1+MAX((K127/$H127),(0.5-(0.01*(0.7*$F127/$H127))-0.01*$E$2)))</f>
        <v>0.2864761473</v>
      </c>
      <c r="Q127" s="140">
        <f t="shared" si="490"/>
        <v>0.2864761473</v>
      </c>
      <c r="R127" s="139" t="str">
        <f t="shared" si="9"/>
        <v>#REF!</v>
      </c>
      <c r="S127" s="139" t="str">
        <f t="shared" si="10"/>
        <v>#REF!</v>
      </c>
      <c r="T127" s="141" t="str">
        <f t="shared" si="11"/>
        <v>#REF!</v>
      </c>
      <c r="U127" s="141" t="str">
        <f t="shared" si="12"/>
        <v>#REF!</v>
      </c>
      <c r="V127" s="142" t="str">
        <f t="shared" ref="V127:W127" si="491">IF(T127*K127&gt;=((0.5*$H127)-$I127),((T127*K127)-(0.5*$H127)+$I127),(0.5*$H127)-(T127*K127)-$I127)</f>
        <v>#REF!</v>
      </c>
      <c r="W127" s="142" t="str">
        <f t="shared" si="491"/>
        <v>#REF!</v>
      </c>
      <c r="X127" s="137" t="str">
        <f t="shared" ref="X127:Y127" si="492">(T127*K127)+(0.5*$H127)-$I127</f>
        <v>#REF!</v>
      </c>
      <c r="Y127" s="137" t="str">
        <f t="shared" si="492"/>
        <v>#REF!</v>
      </c>
      <c r="Z127" s="142">
        <f t="shared" si="15"/>
        <v>2.319573629</v>
      </c>
      <c r="AA127" s="142">
        <f t="shared" si="16"/>
        <v>2.319573629</v>
      </c>
      <c r="AB127" s="142">
        <f t="shared" ref="AB127:AC127" si="493">($H$2+((1-$H$2)/(1+50*(K127/$H127)^2)))*$J127</f>
        <v>18.27695094</v>
      </c>
      <c r="AC127" s="142">
        <f t="shared" si="493"/>
        <v>18.27695094</v>
      </c>
      <c r="AD127" s="142" t="str">
        <f t="shared" si="18"/>
        <v>#REF!</v>
      </c>
      <c r="AE127" s="142" t="str">
        <f t="shared" si="19"/>
        <v>#REF!</v>
      </c>
      <c r="AF127" s="143" t="str">
        <f t="shared" si="20"/>
        <v>#REF!</v>
      </c>
      <c r="AG127" s="154" t="str">
        <f t="shared" si="21"/>
        <v>#REF!</v>
      </c>
      <c r="AH127" s="145" t="str">
        <f t="shared" si="22"/>
        <v>#REF!</v>
      </c>
      <c r="AI127" s="146" t="str">
        <f t="shared" si="23"/>
        <v>#REF!</v>
      </c>
      <c r="AJ127" s="147" t="str">
        <f t="shared" si="24"/>
        <v>#REF!</v>
      </c>
      <c r="AK127" s="155"/>
      <c r="AL127" s="155"/>
      <c r="AM127" s="155"/>
      <c r="AN127" s="155"/>
      <c r="AO127" s="147">
        <f t="shared" si="25"/>
        <v>0</v>
      </c>
      <c r="AP127" s="147">
        <f t="shared" si="26"/>
        <v>0</v>
      </c>
      <c r="AQ127" s="157"/>
      <c r="AR127" s="157"/>
      <c r="AS127" s="158"/>
      <c r="AT127" s="157"/>
      <c r="AU127" s="157"/>
      <c r="AV127" s="157"/>
      <c r="AW127" s="157"/>
      <c r="AX127" s="157"/>
    </row>
    <row r="128" ht="19.5" customHeight="1">
      <c r="A128" s="151" t="str">
        <f>Locsolieu!A123</f>
        <v>278</v>
      </c>
      <c r="B128" s="152">
        <f>Locsolieu!C123</f>
        <v>3.2833</v>
      </c>
      <c r="C128" s="132">
        <f>Locsolieu!D123*$C$4</f>
        <v>0.34392</v>
      </c>
      <c r="D128" s="133">
        <f>Locsolieu!E123*$C$4</f>
        <v>0.34392</v>
      </c>
      <c r="E128" s="153">
        <f>Locsolieu!F123</f>
        <v>3.2833</v>
      </c>
      <c r="F128" s="135">
        <v>510.0</v>
      </c>
      <c r="G128" s="136">
        <v>20.0</v>
      </c>
      <c r="H128" s="136">
        <v>30.0</v>
      </c>
      <c r="I128" s="136">
        <v>3.0</v>
      </c>
      <c r="J128" s="136">
        <f t="shared" si="31"/>
        <v>27</v>
      </c>
      <c r="K128" s="137">
        <f t="shared" si="5"/>
        <v>10.47482716</v>
      </c>
      <c r="L128" s="137">
        <f t="shared" si="6"/>
        <v>10.47482716</v>
      </c>
      <c r="M128" s="138" t="str">
        <f t="shared" si="32"/>
        <v>#REF!</v>
      </c>
      <c r="N128" s="138" t="str">
        <f t="shared" si="33"/>
        <v>#REF!</v>
      </c>
      <c r="O128" s="139">
        <f t="shared" si="7"/>
        <v>45000</v>
      </c>
      <c r="P128" s="140">
        <f t="shared" ref="P128:Q128" si="494">0.1+0.11/(0.1+MAX((K128/$H128),(0.5-(0.01*(0.7*$F128/$H128))-0.01*$E$2)))</f>
        <v>0.3449011005</v>
      </c>
      <c r="Q128" s="140">
        <f t="shared" si="494"/>
        <v>0.3449011005</v>
      </c>
      <c r="R128" s="139" t="str">
        <f t="shared" si="9"/>
        <v>#REF!</v>
      </c>
      <c r="S128" s="139" t="str">
        <f t="shared" si="10"/>
        <v>#REF!</v>
      </c>
      <c r="T128" s="141" t="str">
        <f t="shared" si="11"/>
        <v>#REF!</v>
      </c>
      <c r="U128" s="141" t="str">
        <f t="shared" si="12"/>
        <v>#REF!</v>
      </c>
      <c r="V128" s="142" t="str">
        <f t="shared" ref="V128:W128" si="495">IF(T128*K128&gt;=((0.5*$H128)-$I128),((T128*K128)-(0.5*$H128)+$I128),(0.5*$H128)-(T128*K128)-$I128)</f>
        <v>#REF!</v>
      </c>
      <c r="W128" s="142" t="str">
        <f t="shared" si="495"/>
        <v>#REF!</v>
      </c>
      <c r="X128" s="137" t="str">
        <f t="shared" ref="X128:Y128" si="496">(T128*K128)+(0.5*$H128)-$I128</f>
        <v>#REF!</v>
      </c>
      <c r="Y128" s="137" t="str">
        <f t="shared" si="496"/>
        <v>#REF!</v>
      </c>
      <c r="Z128" s="142">
        <f t="shared" si="15"/>
        <v>2.316187493</v>
      </c>
      <c r="AA128" s="142">
        <f t="shared" si="16"/>
        <v>2.316187493</v>
      </c>
      <c r="AB128" s="142">
        <f t="shared" ref="AB128:AC128" si="497">($H$2+((1-$H$2)/(1+50*(K128/$H128)^2)))*$J128</f>
        <v>18.88179871</v>
      </c>
      <c r="AC128" s="142">
        <f t="shared" si="497"/>
        <v>18.88179871</v>
      </c>
      <c r="AD128" s="142" t="str">
        <f t="shared" si="18"/>
        <v>#REF!</v>
      </c>
      <c r="AE128" s="142" t="str">
        <f t="shared" si="19"/>
        <v>#REF!</v>
      </c>
      <c r="AF128" s="143" t="str">
        <f t="shared" si="20"/>
        <v>#REF!</v>
      </c>
      <c r="AG128" s="154" t="str">
        <f t="shared" si="21"/>
        <v>#REF!</v>
      </c>
      <c r="AH128" s="145" t="str">
        <f t="shared" si="22"/>
        <v>#REF!</v>
      </c>
      <c r="AI128" s="146" t="str">
        <f t="shared" si="23"/>
        <v>#REF!</v>
      </c>
      <c r="AJ128" s="147" t="str">
        <f t="shared" si="24"/>
        <v>#REF!</v>
      </c>
      <c r="AK128" s="155"/>
      <c r="AL128" s="155"/>
      <c r="AM128" s="155"/>
      <c r="AN128" s="155"/>
      <c r="AO128" s="147">
        <f t="shared" si="25"/>
        <v>0</v>
      </c>
      <c r="AP128" s="147">
        <f t="shared" si="26"/>
        <v>0</v>
      </c>
      <c r="AQ128" s="157"/>
      <c r="AR128" s="157"/>
      <c r="AS128" s="158"/>
      <c r="AT128" s="157"/>
      <c r="AU128" s="157"/>
      <c r="AV128" s="157"/>
      <c r="AW128" s="157"/>
      <c r="AX128" s="157"/>
    </row>
    <row r="129" ht="19.5" customHeight="1">
      <c r="A129" s="151" t="str">
        <f>Locsolieu!A124</f>
        <v>278</v>
      </c>
      <c r="B129" s="152">
        <f>Locsolieu!C124</f>
        <v>3.2833</v>
      </c>
      <c r="C129" s="132">
        <f>Locsolieu!D124*$C$4</f>
        <v>0.34392</v>
      </c>
      <c r="D129" s="133">
        <f>Locsolieu!E124*$C$4</f>
        <v>0.34392</v>
      </c>
      <c r="E129" s="153">
        <f>Locsolieu!F124</f>
        <v>3.2833</v>
      </c>
      <c r="F129" s="135">
        <v>510.0</v>
      </c>
      <c r="G129" s="136">
        <v>20.0</v>
      </c>
      <c r="H129" s="136">
        <v>30.0</v>
      </c>
      <c r="I129" s="136">
        <v>3.0</v>
      </c>
      <c r="J129" s="136">
        <f t="shared" si="31"/>
        <v>27</v>
      </c>
      <c r="K129" s="137">
        <f t="shared" si="5"/>
        <v>10.47482716</v>
      </c>
      <c r="L129" s="137">
        <f t="shared" si="6"/>
        <v>10.47482716</v>
      </c>
      <c r="M129" s="138" t="str">
        <f t="shared" si="32"/>
        <v>#REF!</v>
      </c>
      <c r="N129" s="138" t="str">
        <f t="shared" si="33"/>
        <v>#REF!</v>
      </c>
      <c r="O129" s="139">
        <f t="shared" si="7"/>
        <v>45000</v>
      </c>
      <c r="P129" s="140">
        <f t="shared" ref="P129:Q129" si="498">0.1+0.11/(0.1+MAX((K129/$H129),(0.5-(0.01*(0.7*$F129/$H129))-0.01*$E$2)))</f>
        <v>0.3449011005</v>
      </c>
      <c r="Q129" s="140">
        <f t="shared" si="498"/>
        <v>0.3449011005</v>
      </c>
      <c r="R129" s="139" t="str">
        <f t="shared" si="9"/>
        <v>#REF!</v>
      </c>
      <c r="S129" s="139" t="str">
        <f t="shared" si="10"/>
        <v>#REF!</v>
      </c>
      <c r="T129" s="141" t="str">
        <f t="shared" si="11"/>
        <v>#REF!</v>
      </c>
      <c r="U129" s="141" t="str">
        <f t="shared" si="12"/>
        <v>#REF!</v>
      </c>
      <c r="V129" s="142" t="str">
        <f t="shared" ref="V129:W129" si="499">IF(T129*K129&gt;=((0.5*$H129)-$I129),((T129*K129)-(0.5*$H129)+$I129),(0.5*$H129)-(T129*K129)-$I129)</f>
        <v>#REF!</v>
      </c>
      <c r="W129" s="142" t="str">
        <f t="shared" si="499"/>
        <v>#REF!</v>
      </c>
      <c r="X129" s="137" t="str">
        <f t="shared" ref="X129:Y129" si="500">(T129*K129)+(0.5*$H129)-$I129</f>
        <v>#REF!</v>
      </c>
      <c r="Y129" s="137" t="str">
        <f t="shared" si="500"/>
        <v>#REF!</v>
      </c>
      <c r="Z129" s="142">
        <f t="shared" si="15"/>
        <v>2.316187493</v>
      </c>
      <c r="AA129" s="142">
        <f t="shared" si="16"/>
        <v>2.316187493</v>
      </c>
      <c r="AB129" s="142">
        <f t="shared" ref="AB129:AC129" si="501">($H$2+((1-$H$2)/(1+50*(K129/$H129)^2)))*$J129</f>
        <v>18.88179871</v>
      </c>
      <c r="AC129" s="142">
        <f t="shared" si="501"/>
        <v>18.88179871</v>
      </c>
      <c r="AD129" s="142" t="str">
        <f t="shared" si="18"/>
        <v>#REF!</v>
      </c>
      <c r="AE129" s="142" t="str">
        <f t="shared" si="19"/>
        <v>#REF!</v>
      </c>
      <c r="AF129" s="143" t="str">
        <f t="shared" si="20"/>
        <v>#REF!</v>
      </c>
      <c r="AG129" s="154" t="str">
        <f t="shared" si="21"/>
        <v>#REF!</v>
      </c>
      <c r="AH129" s="145" t="str">
        <f t="shared" si="22"/>
        <v>#REF!</v>
      </c>
      <c r="AI129" s="146" t="str">
        <f t="shared" si="23"/>
        <v>#REF!</v>
      </c>
      <c r="AJ129" s="147" t="str">
        <f t="shared" si="24"/>
        <v>#REF!</v>
      </c>
      <c r="AK129" s="155"/>
      <c r="AL129" s="155"/>
      <c r="AM129" s="155"/>
      <c r="AN129" s="155"/>
      <c r="AO129" s="147">
        <f t="shared" si="25"/>
        <v>0</v>
      </c>
      <c r="AP129" s="147">
        <f t="shared" si="26"/>
        <v>0</v>
      </c>
      <c r="AQ129" s="157"/>
      <c r="AR129" s="157"/>
      <c r="AS129" s="158"/>
      <c r="AT129" s="157"/>
      <c r="AU129" s="157"/>
      <c r="AV129" s="157"/>
      <c r="AW129" s="157"/>
      <c r="AX129" s="157"/>
    </row>
    <row r="130" ht="19.5" customHeight="1">
      <c r="A130" s="151" t="str">
        <f>Locsolieu!A125</f>
        <v>278</v>
      </c>
      <c r="B130" s="152">
        <f>Locsolieu!C125</f>
        <v>3.2833</v>
      </c>
      <c r="C130" s="132">
        <f>Locsolieu!D125*$C$4</f>
        <v>0.34392</v>
      </c>
      <c r="D130" s="133">
        <f>Locsolieu!E125*$C$4</f>
        <v>0.34392</v>
      </c>
      <c r="E130" s="153">
        <f>Locsolieu!F125</f>
        <v>3.2833</v>
      </c>
      <c r="F130" s="135">
        <v>510.0</v>
      </c>
      <c r="G130" s="136">
        <v>20.0</v>
      </c>
      <c r="H130" s="136">
        <v>30.0</v>
      </c>
      <c r="I130" s="136">
        <v>3.0</v>
      </c>
      <c r="J130" s="136">
        <f t="shared" si="31"/>
        <v>27</v>
      </c>
      <c r="K130" s="137">
        <f t="shared" si="5"/>
        <v>10.47482716</v>
      </c>
      <c r="L130" s="137">
        <f t="shared" si="6"/>
        <v>10.47482716</v>
      </c>
      <c r="M130" s="138" t="str">
        <f t="shared" si="32"/>
        <v>#REF!</v>
      </c>
      <c r="N130" s="138" t="str">
        <f t="shared" si="33"/>
        <v>#REF!</v>
      </c>
      <c r="O130" s="139">
        <f t="shared" si="7"/>
        <v>45000</v>
      </c>
      <c r="P130" s="140">
        <f t="shared" ref="P130:Q130" si="502">0.1+0.11/(0.1+MAX((K130/$H130),(0.5-(0.01*(0.7*$F130/$H130))-0.01*$E$2)))</f>
        <v>0.3449011005</v>
      </c>
      <c r="Q130" s="140">
        <f t="shared" si="502"/>
        <v>0.3449011005</v>
      </c>
      <c r="R130" s="139" t="str">
        <f t="shared" si="9"/>
        <v>#REF!</v>
      </c>
      <c r="S130" s="139" t="str">
        <f t="shared" si="10"/>
        <v>#REF!</v>
      </c>
      <c r="T130" s="141" t="str">
        <f t="shared" si="11"/>
        <v>#REF!</v>
      </c>
      <c r="U130" s="141" t="str">
        <f t="shared" si="12"/>
        <v>#REF!</v>
      </c>
      <c r="V130" s="142" t="str">
        <f t="shared" ref="V130:W130" si="503">IF(T130*K130&gt;=((0.5*$H130)-$I130),((T130*K130)-(0.5*$H130)+$I130),(0.5*$H130)-(T130*K130)-$I130)</f>
        <v>#REF!</v>
      </c>
      <c r="W130" s="142" t="str">
        <f t="shared" si="503"/>
        <v>#REF!</v>
      </c>
      <c r="X130" s="137" t="str">
        <f t="shared" ref="X130:Y130" si="504">(T130*K130)+(0.5*$H130)-$I130</f>
        <v>#REF!</v>
      </c>
      <c r="Y130" s="137" t="str">
        <f t="shared" si="504"/>
        <v>#REF!</v>
      </c>
      <c r="Z130" s="142">
        <f t="shared" si="15"/>
        <v>2.316187493</v>
      </c>
      <c r="AA130" s="142">
        <f t="shared" si="16"/>
        <v>2.316187493</v>
      </c>
      <c r="AB130" s="142">
        <f t="shared" ref="AB130:AC130" si="505">($H$2+((1-$H$2)/(1+50*(K130/$H130)^2)))*$J130</f>
        <v>18.88179871</v>
      </c>
      <c r="AC130" s="142">
        <f t="shared" si="505"/>
        <v>18.88179871</v>
      </c>
      <c r="AD130" s="142" t="str">
        <f t="shared" si="18"/>
        <v>#REF!</v>
      </c>
      <c r="AE130" s="142" t="str">
        <f t="shared" si="19"/>
        <v>#REF!</v>
      </c>
      <c r="AF130" s="143" t="str">
        <f t="shared" si="20"/>
        <v>#REF!</v>
      </c>
      <c r="AG130" s="154" t="str">
        <f t="shared" si="21"/>
        <v>#REF!</v>
      </c>
      <c r="AH130" s="145" t="str">
        <f t="shared" si="22"/>
        <v>#REF!</v>
      </c>
      <c r="AI130" s="146" t="str">
        <f t="shared" si="23"/>
        <v>#REF!</v>
      </c>
      <c r="AJ130" s="147" t="str">
        <f t="shared" si="24"/>
        <v>#REF!</v>
      </c>
      <c r="AK130" s="155"/>
      <c r="AL130" s="155"/>
      <c r="AM130" s="155"/>
      <c r="AN130" s="155"/>
      <c r="AO130" s="147">
        <f t="shared" si="25"/>
        <v>0</v>
      </c>
      <c r="AP130" s="147">
        <f t="shared" si="26"/>
        <v>0</v>
      </c>
      <c r="AQ130" s="157"/>
      <c r="AR130" s="157"/>
      <c r="AS130" s="158"/>
      <c r="AT130" s="157"/>
      <c r="AU130" s="157"/>
      <c r="AV130" s="157"/>
      <c r="AW130" s="157"/>
      <c r="AX130" s="157"/>
    </row>
    <row r="131" ht="19.5" customHeight="1">
      <c r="A131" s="151" t="str">
        <f>Locsolieu!A126</f>
        <v>279</v>
      </c>
      <c r="B131" s="152">
        <f>Locsolieu!C126</f>
        <v>3.3231</v>
      </c>
      <c r="C131" s="132">
        <f>Locsolieu!D126*$C$4</f>
        <v>0.40837</v>
      </c>
      <c r="D131" s="133">
        <f>Locsolieu!E126*$C$4</f>
        <v>0.48186</v>
      </c>
      <c r="E131" s="153">
        <f>Locsolieu!F126</f>
        <v>3.3231</v>
      </c>
      <c r="F131" s="135">
        <v>510.0</v>
      </c>
      <c r="G131" s="136">
        <v>20.0</v>
      </c>
      <c r="H131" s="136">
        <v>30.0</v>
      </c>
      <c r="I131" s="136">
        <v>3.0</v>
      </c>
      <c r="J131" s="136">
        <f t="shared" si="31"/>
        <v>27</v>
      </c>
      <c r="K131" s="137">
        <f t="shared" si="5"/>
        <v>12.2888267</v>
      </c>
      <c r="L131" s="137">
        <f t="shared" si="6"/>
        <v>14.50031597</v>
      </c>
      <c r="M131" s="138" t="str">
        <f t="shared" si="32"/>
        <v>#REF!</v>
      </c>
      <c r="N131" s="138" t="str">
        <f t="shared" si="33"/>
        <v>#REF!</v>
      </c>
      <c r="O131" s="139">
        <f t="shared" si="7"/>
        <v>45000</v>
      </c>
      <c r="P131" s="140">
        <f t="shared" ref="P131:Q131" si="506">0.1+0.11/(0.1+MAX((K131/$H131),(0.5-(0.01*(0.7*$F131/$H131))-0.01*$E$2)))</f>
        <v>0.3158439012</v>
      </c>
      <c r="Q131" s="140">
        <f t="shared" si="506"/>
        <v>0.2885680239</v>
      </c>
      <c r="R131" s="139" t="str">
        <f t="shared" si="9"/>
        <v>#REF!</v>
      </c>
      <c r="S131" s="139" t="str">
        <f t="shared" si="10"/>
        <v>#REF!</v>
      </c>
      <c r="T131" s="141" t="str">
        <f t="shared" si="11"/>
        <v>#REF!</v>
      </c>
      <c r="U131" s="141" t="str">
        <f t="shared" si="12"/>
        <v>#REF!</v>
      </c>
      <c r="V131" s="142" t="str">
        <f t="shared" ref="V131:W131" si="507">IF(T131*K131&gt;=((0.5*$H131)-$I131),((T131*K131)-(0.5*$H131)+$I131),(0.5*$H131)-(T131*K131)-$I131)</f>
        <v>#REF!</v>
      </c>
      <c r="W131" s="142" t="str">
        <f t="shared" si="507"/>
        <v>#REF!</v>
      </c>
      <c r="X131" s="137" t="str">
        <f t="shared" ref="X131:Y131" si="508">(T131*K131)+(0.5*$H131)-$I131</f>
        <v>#REF!</v>
      </c>
      <c r="Y131" s="137" t="str">
        <f t="shared" si="508"/>
        <v>#REF!</v>
      </c>
      <c r="Z131" s="142">
        <f t="shared" si="15"/>
        <v>2.344264203</v>
      </c>
      <c r="AA131" s="142">
        <f t="shared" si="16"/>
        <v>2.344264203</v>
      </c>
      <c r="AB131" s="142">
        <f t="shared" ref="AB131:AC131" si="509">($H$2+((1-$H$2)/(1+50*(K131/$H131)^2)))*$J131</f>
        <v>18.55641799</v>
      </c>
      <c r="AC131" s="142">
        <f t="shared" si="509"/>
        <v>18.29520557</v>
      </c>
      <c r="AD131" s="142" t="str">
        <f t="shared" si="18"/>
        <v>#REF!</v>
      </c>
      <c r="AE131" s="142" t="str">
        <f t="shared" si="19"/>
        <v>#REF!</v>
      </c>
      <c r="AF131" s="143" t="str">
        <f t="shared" si="20"/>
        <v>#REF!</v>
      </c>
      <c r="AG131" s="154" t="str">
        <f t="shared" si="21"/>
        <v>#REF!</v>
      </c>
      <c r="AH131" s="145" t="str">
        <f t="shared" si="22"/>
        <v>#REF!</v>
      </c>
      <c r="AI131" s="146" t="str">
        <f t="shared" si="23"/>
        <v>#REF!</v>
      </c>
      <c r="AJ131" s="147" t="str">
        <f t="shared" si="24"/>
        <v>#REF!</v>
      </c>
      <c r="AK131" s="155"/>
      <c r="AL131" s="155"/>
      <c r="AM131" s="155"/>
      <c r="AN131" s="155"/>
      <c r="AO131" s="147">
        <f t="shared" si="25"/>
        <v>0</v>
      </c>
      <c r="AP131" s="147">
        <f t="shared" si="26"/>
        <v>0</v>
      </c>
      <c r="AQ131" s="157"/>
      <c r="AR131" s="157"/>
      <c r="AS131" s="158"/>
      <c r="AT131" s="157"/>
      <c r="AU131" s="157"/>
      <c r="AV131" s="157"/>
      <c r="AW131" s="157"/>
      <c r="AX131" s="157"/>
    </row>
    <row r="132" ht="19.5" customHeight="1">
      <c r="A132" s="151" t="str">
        <f>Locsolieu!A127</f>
        <v>279</v>
      </c>
      <c r="B132" s="152">
        <f>Locsolieu!C127</f>
        <v>3.3231</v>
      </c>
      <c r="C132" s="132">
        <f>Locsolieu!D127*$C$4</f>
        <v>0.40837</v>
      </c>
      <c r="D132" s="133">
        <f>Locsolieu!E127*$C$4</f>
        <v>0.48186</v>
      </c>
      <c r="E132" s="153">
        <f>Locsolieu!F127</f>
        <v>3.3231</v>
      </c>
      <c r="F132" s="135">
        <v>510.0</v>
      </c>
      <c r="G132" s="136">
        <v>20.0</v>
      </c>
      <c r="H132" s="136">
        <v>30.0</v>
      </c>
      <c r="I132" s="136">
        <v>3.0</v>
      </c>
      <c r="J132" s="136">
        <f t="shared" si="31"/>
        <v>27</v>
      </c>
      <c r="K132" s="137">
        <f t="shared" si="5"/>
        <v>12.2888267</v>
      </c>
      <c r="L132" s="137">
        <f t="shared" si="6"/>
        <v>14.50031597</v>
      </c>
      <c r="M132" s="138" t="str">
        <f t="shared" si="32"/>
        <v>#REF!</v>
      </c>
      <c r="N132" s="138" t="str">
        <f t="shared" si="33"/>
        <v>#REF!</v>
      </c>
      <c r="O132" s="139">
        <f t="shared" si="7"/>
        <v>45000</v>
      </c>
      <c r="P132" s="140">
        <f t="shared" ref="P132:Q132" si="510">0.1+0.11/(0.1+MAX((K132/$H132),(0.5-(0.01*(0.7*$F132/$H132))-0.01*$E$2)))</f>
        <v>0.3158439012</v>
      </c>
      <c r="Q132" s="140">
        <f t="shared" si="510"/>
        <v>0.2885680239</v>
      </c>
      <c r="R132" s="139" t="str">
        <f t="shared" si="9"/>
        <v>#REF!</v>
      </c>
      <c r="S132" s="139" t="str">
        <f t="shared" si="10"/>
        <v>#REF!</v>
      </c>
      <c r="T132" s="141" t="str">
        <f t="shared" si="11"/>
        <v>#REF!</v>
      </c>
      <c r="U132" s="141" t="str">
        <f t="shared" si="12"/>
        <v>#REF!</v>
      </c>
      <c r="V132" s="142" t="str">
        <f t="shared" ref="V132:W132" si="511">IF(T132*K132&gt;=((0.5*$H132)-$I132),((T132*K132)-(0.5*$H132)+$I132),(0.5*$H132)-(T132*K132)-$I132)</f>
        <v>#REF!</v>
      </c>
      <c r="W132" s="142" t="str">
        <f t="shared" si="511"/>
        <v>#REF!</v>
      </c>
      <c r="X132" s="137" t="str">
        <f t="shared" ref="X132:Y132" si="512">(T132*K132)+(0.5*$H132)-$I132</f>
        <v>#REF!</v>
      </c>
      <c r="Y132" s="137" t="str">
        <f t="shared" si="512"/>
        <v>#REF!</v>
      </c>
      <c r="Z132" s="142">
        <f t="shared" si="15"/>
        <v>2.344264203</v>
      </c>
      <c r="AA132" s="142">
        <f t="shared" si="16"/>
        <v>2.344264203</v>
      </c>
      <c r="AB132" s="142">
        <f t="shared" ref="AB132:AC132" si="513">($H$2+((1-$H$2)/(1+50*(K132/$H132)^2)))*$J132</f>
        <v>18.55641799</v>
      </c>
      <c r="AC132" s="142">
        <f t="shared" si="513"/>
        <v>18.29520557</v>
      </c>
      <c r="AD132" s="142" t="str">
        <f t="shared" si="18"/>
        <v>#REF!</v>
      </c>
      <c r="AE132" s="142" t="str">
        <f t="shared" si="19"/>
        <v>#REF!</v>
      </c>
      <c r="AF132" s="143" t="str">
        <f t="shared" si="20"/>
        <v>#REF!</v>
      </c>
      <c r="AG132" s="154" t="str">
        <f t="shared" si="21"/>
        <v>#REF!</v>
      </c>
      <c r="AH132" s="145" t="str">
        <f t="shared" si="22"/>
        <v>#REF!</v>
      </c>
      <c r="AI132" s="146" t="str">
        <f t="shared" si="23"/>
        <v>#REF!</v>
      </c>
      <c r="AJ132" s="147" t="str">
        <f t="shared" si="24"/>
        <v>#REF!</v>
      </c>
      <c r="AK132" s="155"/>
      <c r="AL132" s="155"/>
      <c r="AM132" s="155"/>
      <c r="AN132" s="155"/>
      <c r="AO132" s="147">
        <f t="shared" si="25"/>
        <v>0</v>
      </c>
      <c r="AP132" s="147">
        <f t="shared" si="26"/>
        <v>0</v>
      </c>
      <c r="AQ132" s="157"/>
      <c r="AR132" s="157"/>
      <c r="AS132" s="158"/>
      <c r="AT132" s="157"/>
      <c r="AU132" s="157"/>
      <c r="AV132" s="157"/>
      <c r="AW132" s="157"/>
      <c r="AX132" s="157"/>
    </row>
    <row r="133" ht="19.5" customHeight="1">
      <c r="A133" s="151" t="str">
        <f>Locsolieu!A128</f>
        <v>279</v>
      </c>
      <c r="B133" s="152">
        <f>Locsolieu!C128</f>
        <v>3.3231</v>
      </c>
      <c r="C133" s="132">
        <f>Locsolieu!D128*$C$4</f>
        <v>0.40837</v>
      </c>
      <c r="D133" s="133">
        <f>Locsolieu!E128*$C$4</f>
        <v>0.48186</v>
      </c>
      <c r="E133" s="153">
        <f>Locsolieu!F128</f>
        <v>3.3231</v>
      </c>
      <c r="F133" s="135">
        <v>510.0</v>
      </c>
      <c r="G133" s="136">
        <v>20.0</v>
      </c>
      <c r="H133" s="136">
        <v>30.0</v>
      </c>
      <c r="I133" s="136">
        <v>3.0</v>
      </c>
      <c r="J133" s="136">
        <f t="shared" si="31"/>
        <v>27</v>
      </c>
      <c r="K133" s="137">
        <f t="shared" si="5"/>
        <v>12.2888267</v>
      </c>
      <c r="L133" s="137">
        <f t="shared" si="6"/>
        <v>14.50031597</v>
      </c>
      <c r="M133" s="138" t="str">
        <f t="shared" si="32"/>
        <v>#REF!</v>
      </c>
      <c r="N133" s="138" t="str">
        <f t="shared" si="33"/>
        <v>#REF!</v>
      </c>
      <c r="O133" s="139">
        <f t="shared" si="7"/>
        <v>45000</v>
      </c>
      <c r="P133" s="140">
        <f t="shared" ref="P133:Q133" si="514">0.1+0.11/(0.1+MAX((K133/$H133),(0.5-(0.01*(0.7*$F133/$H133))-0.01*$E$2)))</f>
        <v>0.3158439012</v>
      </c>
      <c r="Q133" s="140">
        <f t="shared" si="514"/>
        <v>0.2885680239</v>
      </c>
      <c r="R133" s="139" t="str">
        <f t="shared" si="9"/>
        <v>#REF!</v>
      </c>
      <c r="S133" s="139" t="str">
        <f t="shared" si="10"/>
        <v>#REF!</v>
      </c>
      <c r="T133" s="141" t="str">
        <f t="shared" si="11"/>
        <v>#REF!</v>
      </c>
      <c r="U133" s="141" t="str">
        <f t="shared" si="12"/>
        <v>#REF!</v>
      </c>
      <c r="V133" s="142" t="str">
        <f t="shared" ref="V133:W133" si="515">IF(T133*K133&gt;=((0.5*$H133)-$I133),((T133*K133)-(0.5*$H133)+$I133),(0.5*$H133)-(T133*K133)-$I133)</f>
        <v>#REF!</v>
      </c>
      <c r="W133" s="142" t="str">
        <f t="shared" si="515"/>
        <v>#REF!</v>
      </c>
      <c r="X133" s="137" t="str">
        <f t="shared" ref="X133:Y133" si="516">(T133*K133)+(0.5*$H133)-$I133</f>
        <v>#REF!</v>
      </c>
      <c r="Y133" s="137" t="str">
        <f t="shared" si="516"/>
        <v>#REF!</v>
      </c>
      <c r="Z133" s="142">
        <f t="shared" si="15"/>
        <v>2.344264203</v>
      </c>
      <c r="AA133" s="142">
        <f t="shared" si="16"/>
        <v>2.344264203</v>
      </c>
      <c r="AB133" s="142">
        <f t="shared" ref="AB133:AC133" si="517">($H$2+((1-$H$2)/(1+50*(K133/$H133)^2)))*$J133</f>
        <v>18.55641799</v>
      </c>
      <c r="AC133" s="142">
        <f t="shared" si="517"/>
        <v>18.29520557</v>
      </c>
      <c r="AD133" s="142" t="str">
        <f t="shared" si="18"/>
        <v>#REF!</v>
      </c>
      <c r="AE133" s="142" t="str">
        <f t="shared" si="19"/>
        <v>#REF!</v>
      </c>
      <c r="AF133" s="143" t="str">
        <f t="shared" si="20"/>
        <v>#REF!</v>
      </c>
      <c r="AG133" s="154" t="str">
        <f t="shared" si="21"/>
        <v>#REF!</v>
      </c>
      <c r="AH133" s="145" t="str">
        <f t="shared" si="22"/>
        <v>#REF!</v>
      </c>
      <c r="AI133" s="146" t="str">
        <f t="shared" si="23"/>
        <v>#REF!</v>
      </c>
      <c r="AJ133" s="147" t="str">
        <f t="shared" si="24"/>
        <v>#REF!</v>
      </c>
      <c r="AK133" s="155"/>
      <c r="AL133" s="155"/>
      <c r="AM133" s="155"/>
      <c r="AN133" s="155"/>
      <c r="AO133" s="147">
        <f t="shared" si="25"/>
        <v>0</v>
      </c>
      <c r="AP133" s="147">
        <f t="shared" si="26"/>
        <v>0</v>
      </c>
      <c r="AQ133" s="157"/>
      <c r="AR133" s="157"/>
      <c r="AS133" s="158"/>
      <c r="AT133" s="157"/>
      <c r="AU133" s="157"/>
      <c r="AV133" s="157"/>
      <c r="AW133" s="157"/>
      <c r="AX133" s="157"/>
    </row>
    <row r="134" ht="19.5" customHeight="1">
      <c r="A134" s="151" t="str">
        <f>Locsolieu!A129</f>
        <v>279</v>
      </c>
      <c r="B134" s="152">
        <f>Locsolieu!C129</f>
        <v>3.3231</v>
      </c>
      <c r="C134" s="132">
        <f>Locsolieu!D129*$C$4</f>
        <v>0.40837</v>
      </c>
      <c r="D134" s="133">
        <f>Locsolieu!E129*$C$4</f>
        <v>0.48186</v>
      </c>
      <c r="E134" s="153">
        <f>Locsolieu!F129</f>
        <v>3.3231</v>
      </c>
      <c r="F134" s="135">
        <v>510.0</v>
      </c>
      <c r="G134" s="136">
        <v>20.0</v>
      </c>
      <c r="H134" s="136">
        <v>30.0</v>
      </c>
      <c r="I134" s="136">
        <v>3.0</v>
      </c>
      <c r="J134" s="136">
        <f t="shared" si="31"/>
        <v>27</v>
      </c>
      <c r="K134" s="137">
        <f t="shared" si="5"/>
        <v>12.2888267</v>
      </c>
      <c r="L134" s="137">
        <f t="shared" si="6"/>
        <v>14.50031597</v>
      </c>
      <c r="M134" s="138" t="str">
        <f t="shared" si="32"/>
        <v>#REF!</v>
      </c>
      <c r="N134" s="138" t="str">
        <f t="shared" si="33"/>
        <v>#REF!</v>
      </c>
      <c r="O134" s="139">
        <f t="shared" si="7"/>
        <v>45000</v>
      </c>
      <c r="P134" s="140">
        <f t="shared" ref="P134:Q134" si="518">0.1+0.11/(0.1+MAX((K134/$H134),(0.5-(0.01*(0.7*$F134/$H134))-0.01*$E$2)))</f>
        <v>0.3158439012</v>
      </c>
      <c r="Q134" s="140">
        <f t="shared" si="518"/>
        <v>0.2885680239</v>
      </c>
      <c r="R134" s="139" t="str">
        <f t="shared" si="9"/>
        <v>#REF!</v>
      </c>
      <c r="S134" s="139" t="str">
        <f t="shared" si="10"/>
        <v>#REF!</v>
      </c>
      <c r="T134" s="141" t="str">
        <f t="shared" si="11"/>
        <v>#REF!</v>
      </c>
      <c r="U134" s="141" t="str">
        <f t="shared" si="12"/>
        <v>#REF!</v>
      </c>
      <c r="V134" s="142" t="str">
        <f t="shared" ref="V134:W134" si="519">IF(T134*K134&gt;=((0.5*$H134)-$I134),((T134*K134)-(0.5*$H134)+$I134),(0.5*$H134)-(T134*K134)-$I134)</f>
        <v>#REF!</v>
      </c>
      <c r="W134" s="142" t="str">
        <f t="shared" si="519"/>
        <v>#REF!</v>
      </c>
      <c r="X134" s="137" t="str">
        <f t="shared" ref="X134:Y134" si="520">(T134*K134)+(0.5*$H134)-$I134</f>
        <v>#REF!</v>
      </c>
      <c r="Y134" s="137" t="str">
        <f t="shared" si="520"/>
        <v>#REF!</v>
      </c>
      <c r="Z134" s="142">
        <f t="shared" si="15"/>
        <v>2.344264203</v>
      </c>
      <c r="AA134" s="142">
        <f t="shared" si="16"/>
        <v>2.344264203</v>
      </c>
      <c r="AB134" s="142">
        <f t="shared" ref="AB134:AC134" si="521">($H$2+((1-$H$2)/(1+50*(K134/$H134)^2)))*$J134</f>
        <v>18.55641799</v>
      </c>
      <c r="AC134" s="142">
        <f t="shared" si="521"/>
        <v>18.29520557</v>
      </c>
      <c r="AD134" s="142" t="str">
        <f t="shared" si="18"/>
        <v>#REF!</v>
      </c>
      <c r="AE134" s="142" t="str">
        <f t="shared" si="19"/>
        <v>#REF!</v>
      </c>
      <c r="AF134" s="143" t="str">
        <f t="shared" si="20"/>
        <v>#REF!</v>
      </c>
      <c r="AG134" s="154" t="str">
        <f t="shared" si="21"/>
        <v>#REF!</v>
      </c>
      <c r="AH134" s="145" t="str">
        <f t="shared" si="22"/>
        <v>#REF!</v>
      </c>
      <c r="AI134" s="146" t="str">
        <f t="shared" si="23"/>
        <v>#REF!</v>
      </c>
      <c r="AJ134" s="147" t="str">
        <f t="shared" si="24"/>
        <v>#REF!</v>
      </c>
      <c r="AK134" s="155"/>
      <c r="AL134" s="155"/>
      <c r="AM134" s="155"/>
      <c r="AN134" s="155"/>
      <c r="AO134" s="147">
        <f t="shared" si="25"/>
        <v>0</v>
      </c>
      <c r="AP134" s="147">
        <f t="shared" si="26"/>
        <v>0</v>
      </c>
      <c r="AQ134" s="157"/>
      <c r="AR134" s="157"/>
      <c r="AS134" s="158"/>
      <c r="AT134" s="157"/>
      <c r="AU134" s="157"/>
      <c r="AV134" s="157"/>
      <c r="AW134" s="157"/>
      <c r="AX134" s="157"/>
    </row>
    <row r="135" ht="19.5" customHeight="1">
      <c r="A135" s="151" t="str">
        <f>Locsolieu!A130</f>
        <v>280</v>
      </c>
      <c r="B135" s="152">
        <f>Locsolieu!C130</f>
        <v>3.334</v>
      </c>
      <c r="C135" s="132">
        <f>Locsolieu!D130*$C$4</f>
        <v>0.50977</v>
      </c>
      <c r="D135" s="133">
        <f>Locsolieu!E130*$C$4</f>
        <v>0.50977</v>
      </c>
      <c r="E135" s="153">
        <f>Locsolieu!F130</f>
        <v>3.334</v>
      </c>
      <c r="F135" s="135">
        <v>510.0</v>
      </c>
      <c r="G135" s="136">
        <v>20.0</v>
      </c>
      <c r="H135" s="136">
        <v>30.0</v>
      </c>
      <c r="I135" s="136">
        <v>3.0</v>
      </c>
      <c r="J135" s="136">
        <f t="shared" si="31"/>
        <v>27</v>
      </c>
      <c r="K135" s="137">
        <f t="shared" si="5"/>
        <v>15.29004199</v>
      </c>
      <c r="L135" s="137">
        <f t="shared" si="6"/>
        <v>15.29004199</v>
      </c>
      <c r="M135" s="138" t="str">
        <f t="shared" si="32"/>
        <v>#REF!</v>
      </c>
      <c r="N135" s="138" t="str">
        <f t="shared" si="33"/>
        <v>#REF!</v>
      </c>
      <c r="O135" s="139">
        <f t="shared" si="7"/>
        <v>45000</v>
      </c>
      <c r="P135" s="140">
        <f t="shared" ref="P135:Q135" si="522">0.1+0.11/(0.1+MAX((K135/$H135),(0.5-(0.01*(0.7*$F135/$H135))-0.01*$E$2)))</f>
        <v>0.2804260483</v>
      </c>
      <c r="Q135" s="140">
        <f t="shared" si="522"/>
        <v>0.2804260483</v>
      </c>
      <c r="R135" s="139" t="str">
        <f t="shared" si="9"/>
        <v>#REF!</v>
      </c>
      <c r="S135" s="139" t="str">
        <f t="shared" si="10"/>
        <v>#REF!</v>
      </c>
      <c r="T135" s="141" t="str">
        <f t="shared" si="11"/>
        <v>#REF!</v>
      </c>
      <c r="U135" s="141" t="str">
        <f t="shared" si="12"/>
        <v>#REF!</v>
      </c>
      <c r="V135" s="142" t="str">
        <f t="shared" ref="V135:W135" si="523">IF(T135*K135&gt;=((0.5*$H135)-$I135),((T135*K135)-(0.5*$H135)+$I135),(0.5*$H135)-(T135*K135)-$I135)</f>
        <v>#REF!</v>
      </c>
      <c r="W135" s="142" t="str">
        <f t="shared" si="523"/>
        <v>#REF!</v>
      </c>
      <c r="X135" s="137" t="str">
        <f t="shared" ref="X135:Y135" si="524">(T135*K135)+(0.5*$H135)-$I135</f>
        <v>#REF!</v>
      </c>
      <c r="Y135" s="137" t="str">
        <f t="shared" si="524"/>
        <v>#REF!</v>
      </c>
      <c r="Z135" s="142">
        <f t="shared" si="15"/>
        <v>2.351953554</v>
      </c>
      <c r="AA135" s="142">
        <f t="shared" si="16"/>
        <v>2.351953554</v>
      </c>
      <c r="AB135" s="142">
        <f t="shared" ref="AB135:AC135" si="525">($H$2+((1-$H$2)/(1+50*(K135/$H135)^2)))*$J135</f>
        <v>18.22557535</v>
      </c>
      <c r="AC135" s="142">
        <f t="shared" si="525"/>
        <v>18.22557535</v>
      </c>
      <c r="AD135" s="142" t="str">
        <f t="shared" si="18"/>
        <v>#REF!</v>
      </c>
      <c r="AE135" s="142" t="str">
        <f t="shared" si="19"/>
        <v>#REF!</v>
      </c>
      <c r="AF135" s="143" t="str">
        <f t="shared" si="20"/>
        <v>#REF!</v>
      </c>
      <c r="AG135" s="154" t="str">
        <f t="shared" si="21"/>
        <v>#REF!</v>
      </c>
      <c r="AH135" s="145" t="str">
        <f t="shared" si="22"/>
        <v>#REF!</v>
      </c>
      <c r="AI135" s="146" t="str">
        <f t="shared" si="23"/>
        <v>#REF!</v>
      </c>
      <c r="AJ135" s="147" t="str">
        <f t="shared" si="24"/>
        <v>#REF!</v>
      </c>
      <c r="AK135" s="155"/>
      <c r="AL135" s="155"/>
      <c r="AM135" s="155"/>
      <c r="AN135" s="155"/>
      <c r="AO135" s="147">
        <f t="shared" si="25"/>
        <v>0</v>
      </c>
      <c r="AP135" s="147">
        <f t="shared" si="26"/>
        <v>0</v>
      </c>
      <c r="AQ135" s="157"/>
      <c r="AR135" s="157"/>
      <c r="AS135" s="158"/>
      <c r="AT135" s="157"/>
      <c r="AU135" s="157"/>
      <c r="AV135" s="157"/>
      <c r="AW135" s="157"/>
      <c r="AX135" s="157"/>
    </row>
    <row r="136" ht="19.5" customHeight="1">
      <c r="A136" s="151" t="str">
        <f>Locsolieu!A131</f>
        <v>280</v>
      </c>
      <c r="B136" s="152">
        <f>Locsolieu!C131</f>
        <v>3.334</v>
      </c>
      <c r="C136" s="132">
        <f>Locsolieu!D131*$C$4</f>
        <v>0.50977</v>
      </c>
      <c r="D136" s="133">
        <f>Locsolieu!E131*$C$4</f>
        <v>0.50977</v>
      </c>
      <c r="E136" s="153">
        <f>Locsolieu!F131</f>
        <v>3.334</v>
      </c>
      <c r="F136" s="135">
        <v>510.0</v>
      </c>
      <c r="G136" s="136">
        <v>20.0</v>
      </c>
      <c r="H136" s="136">
        <v>30.0</v>
      </c>
      <c r="I136" s="136">
        <v>3.0</v>
      </c>
      <c r="J136" s="136">
        <f t="shared" si="31"/>
        <v>27</v>
      </c>
      <c r="K136" s="137">
        <f t="shared" si="5"/>
        <v>15.29004199</v>
      </c>
      <c r="L136" s="137">
        <f t="shared" si="6"/>
        <v>15.29004199</v>
      </c>
      <c r="M136" s="138" t="str">
        <f t="shared" si="32"/>
        <v>#REF!</v>
      </c>
      <c r="N136" s="138" t="str">
        <f t="shared" si="33"/>
        <v>#REF!</v>
      </c>
      <c r="O136" s="139">
        <f t="shared" si="7"/>
        <v>45000</v>
      </c>
      <c r="P136" s="140">
        <f t="shared" ref="P136:Q136" si="526">0.1+0.11/(0.1+MAX((K136/$H136),(0.5-(0.01*(0.7*$F136/$H136))-0.01*$E$2)))</f>
        <v>0.2804260483</v>
      </c>
      <c r="Q136" s="140">
        <f t="shared" si="526"/>
        <v>0.2804260483</v>
      </c>
      <c r="R136" s="139" t="str">
        <f t="shared" si="9"/>
        <v>#REF!</v>
      </c>
      <c r="S136" s="139" t="str">
        <f t="shared" si="10"/>
        <v>#REF!</v>
      </c>
      <c r="T136" s="141" t="str">
        <f t="shared" si="11"/>
        <v>#REF!</v>
      </c>
      <c r="U136" s="141" t="str">
        <f t="shared" si="12"/>
        <v>#REF!</v>
      </c>
      <c r="V136" s="142" t="str">
        <f t="shared" ref="V136:W136" si="527">IF(T136*K136&gt;=((0.5*$H136)-$I136),((T136*K136)-(0.5*$H136)+$I136),(0.5*$H136)-(T136*K136)-$I136)</f>
        <v>#REF!</v>
      </c>
      <c r="W136" s="142" t="str">
        <f t="shared" si="527"/>
        <v>#REF!</v>
      </c>
      <c r="X136" s="137" t="str">
        <f t="shared" ref="X136:Y136" si="528">(T136*K136)+(0.5*$H136)-$I136</f>
        <v>#REF!</v>
      </c>
      <c r="Y136" s="137" t="str">
        <f t="shared" si="528"/>
        <v>#REF!</v>
      </c>
      <c r="Z136" s="142">
        <f t="shared" si="15"/>
        <v>2.351953554</v>
      </c>
      <c r="AA136" s="142">
        <f t="shared" si="16"/>
        <v>2.351953554</v>
      </c>
      <c r="AB136" s="142">
        <f t="shared" ref="AB136:AC136" si="529">($H$2+((1-$H$2)/(1+50*(K136/$H136)^2)))*$J136</f>
        <v>18.22557535</v>
      </c>
      <c r="AC136" s="142">
        <f t="shared" si="529"/>
        <v>18.22557535</v>
      </c>
      <c r="AD136" s="142" t="str">
        <f t="shared" si="18"/>
        <v>#REF!</v>
      </c>
      <c r="AE136" s="142" t="str">
        <f t="shared" si="19"/>
        <v>#REF!</v>
      </c>
      <c r="AF136" s="143" t="str">
        <f t="shared" si="20"/>
        <v>#REF!</v>
      </c>
      <c r="AG136" s="154" t="str">
        <f t="shared" si="21"/>
        <v>#REF!</v>
      </c>
      <c r="AH136" s="145" t="str">
        <f t="shared" si="22"/>
        <v>#REF!</v>
      </c>
      <c r="AI136" s="146" t="str">
        <f t="shared" si="23"/>
        <v>#REF!</v>
      </c>
      <c r="AJ136" s="147" t="str">
        <f t="shared" si="24"/>
        <v>#REF!</v>
      </c>
      <c r="AK136" s="155"/>
      <c r="AL136" s="155"/>
      <c r="AM136" s="155"/>
      <c r="AN136" s="155"/>
      <c r="AO136" s="147">
        <f t="shared" si="25"/>
        <v>0</v>
      </c>
      <c r="AP136" s="147">
        <f t="shared" si="26"/>
        <v>0</v>
      </c>
      <c r="AQ136" s="157"/>
      <c r="AR136" s="157"/>
      <c r="AS136" s="158"/>
      <c r="AT136" s="157"/>
      <c r="AU136" s="157"/>
      <c r="AV136" s="157"/>
      <c r="AW136" s="157"/>
      <c r="AX136" s="157"/>
    </row>
    <row r="137" ht="19.5" customHeight="1">
      <c r="A137" s="151" t="str">
        <f>Locsolieu!A132</f>
        <v>282</v>
      </c>
      <c r="B137" s="152">
        <f>Locsolieu!C132</f>
        <v>2.7872</v>
      </c>
      <c r="C137" s="132">
        <f>Locsolieu!D132*$C$4</f>
        <v>0.0362</v>
      </c>
      <c r="D137" s="133">
        <f>Locsolieu!E132*$C$4</f>
        <v>0.60223</v>
      </c>
      <c r="E137" s="153">
        <f>Locsolieu!F132</f>
        <v>2.7872</v>
      </c>
      <c r="F137" s="135">
        <v>510.0</v>
      </c>
      <c r="G137" s="136">
        <v>20.0</v>
      </c>
      <c r="H137" s="136">
        <v>30.0</v>
      </c>
      <c r="I137" s="136">
        <v>3.0</v>
      </c>
      <c r="J137" s="136">
        <f t="shared" si="31"/>
        <v>27</v>
      </c>
      <c r="K137" s="137">
        <f t="shared" si="5"/>
        <v>1.298794489</v>
      </c>
      <c r="L137" s="137">
        <f t="shared" si="6"/>
        <v>21.60698909</v>
      </c>
      <c r="M137" s="138" t="str">
        <f t="shared" si="32"/>
        <v>#REF!</v>
      </c>
      <c r="N137" s="138" t="str">
        <f t="shared" si="33"/>
        <v>#REF!</v>
      </c>
      <c r="O137" s="139">
        <f t="shared" si="7"/>
        <v>45000</v>
      </c>
      <c r="P137" s="140">
        <f t="shared" ref="P137:Q137" si="530">0.1+0.11/(0.1+MAX((K137/$H137),(0.5-(0.01*(0.7*$F137/$H137))-0.01*$E$2)))</f>
        <v>0.3777777778</v>
      </c>
      <c r="Q137" s="140">
        <f t="shared" si="530"/>
        <v>0.23410824</v>
      </c>
      <c r="R137" s="139" t="str">
        <f t="shared" si="9"/>
        <v>#REF!</v>
      </c>
      <c r="S137" s="139" t="str">
        <f t="shared" si="10"/>
        <v>#REF!</v>
      </c>
      <c r="T137" s="141" t="str">
        <f t="shared" si="11"/>
        <v>#REF!</v>
      </c>
      <c r="U137" s="141" t="str">
        <f t="shared" si="12"/>
        <v>#REF!</v>
      </c>
      <c r="V137" s="142" t="str">
        <f t="shared" ref="V137:W137" si="531">IF(T137*K137&gt;=((0.5*$H137)-$I137),((T137*K137)-(0.5*$H137)+$I137),(0.5*$H137)-(T137*K137)-$I137)</f>
        <v>#REF!</v>
      </c>
      <c r="W137" s="142" t="str">
        <f t="shared" si="531"/>
        <v>#REF!</v>
      </c>
      <c r="X137" s="137" t="str">
        <f t="shared" ref="X137:Y137" si="532">(T137*K137)+(0.5*$H137)-$I137</f>
        <v>#REF!</v>
      </c>
      <c r="Y137" s="137" t="str">
        <f t="shared" si="532"/>
        <v>#REF!</v>
      </c>
      <c r="Z137" s="142">
        <f t="shared" si="15"/>
        <v>1.96621624</v>
      </c>
      <c r="AA137" s="142">
        <f t="shared" si="16"/>
        <v>1.96621624</v>
      </c>
      <c r="AB137" s="142">
        <f t="shared" ref="AB137:AC137" si="533">($H$2+((1-$H$2)/(1+50*(K137/$H137)^2)))*$J137</f>
        <v>26.19027775</v>
      </c>
      <c r="AC137" s="142">
        <f t="shared" si="533"/>
        <v>17.90082149</v>
      </c>
      <c r="AD137" s="142" t="str">
        <f t="shared" si="18"/>
        <v>#REF!</v>
      </c>
      <c r="AE137" s="142" t="str">
        <f t="shared" si="19"/>
        <v>#REF!</v>
      </c>
      <c r="AF137" s="143" t="str">
        <f t="shared" si="20"/>
        <v>#REF!</v>
      </c>
      <c r="AG137" s="154" t="str">
        <f t="shared" si="21"/>
        <v>#REF!</v>
      </c>
      <c r="AH137" s="145" t="str">
        <f t="shared" si="22"/>
        <v>#REF!</v>
      </c>
      <c r="AI137" s="146" t="str">
        <f t="shared" si="23"/>
        <v>#REF!</v>
      </c>
      <c r="AJ137" s="147" t="str">
        <f t="shared" si="24"/>
        <v>#REF!</v>
      </c>
      <c r="AK137" s="155"/>
      <c r="AL137" s="155"/>
      <c r="AM137" s="155"/>
      <c r="AN137" s="155"/>
      <c r="AO137" s="147">
        <f t="shared" si="25"/>
        <v>0</v>
      </c>
      <c r="AP137" s="147">
        <f t="shared" si="26"/>
        <v>0</v>
      </c>
      <c r="AQ137" s="157"/>
      <c r="AR137" s="157"/>
      <c r="AS137" s="158"/>
      <c r="AT137" s="157"/>
      <c r="AU137" s="157"/>
      <c r="AV137" s="157"/>
      <c r="AW137" s="157"/>
      <c r="AX137" s="157"/>
    </row>
    <row r="138" ht="19.5" customHeight="1">
      <c r="A138" s="151" t="str">
        <f>Locsolieu!A133</f>
        <v>282</v>
      </c>
      <c r="B138" s="152">
        <f>Locsolieu!C133</f>
        <v>2.7872</v>
      </c>
      <c r="C138" s="132">
        <f>Locsolieu!D133*$C$4</f>
        <v>0.0362</v>
      </c>
      <c r="D138" s="133">
        <f>Locsolieu!E133*$C$4</f>
        <v>0.60223</v>
      </c>
      <c r="E138" s="153">
        <f>Locsolieu!F133</f>
        <v>2.7872</v>
      </c>
      <c r="F138" s="135">
        <v>510.0</v>
      </c>
      <c r="G138" s="136">
        <v>20.0</v>
      </c>
      <c r="H138" s="136">
        <v>30.0</v>
      </c>
      <c r="I138" s="136">
        <v>3.0</v>
      </c>
      <c r="J138" s="136">
        <f t="shared" si="31"/>
        <v>27</v>
      </c>
      <c r="K138" s="137">
        <f t="shared" si="5"/>
        <v>1.298794489</v>
      </c>
      <c r="L138" s="137">
        <f t="shared" si="6"/>
        <v>21.60698909</v>
      </c>
      <c r="M138" s="138" t="str">
        <f t="shared" si="32"/>
        <v>#REF!</v>
      </c>
      <c r="N138" s="138" t="str">
        <f t="shared" si="33"/>
        <v>#REF!</v>
      </c>
      <c r="O138" s="139">
        <f t="shared" si="7"/>
        <v>45000</v>
      </c>
      <c r="P138" s="140">
        <f t="shared" ref="P138:Q138" si="534">0.1+0.11/(0.1+MAX((K138/$H138),(0.5-(0.01*(0.7*$F138/$H138))-0.01*$E$2)))</f>
        <v>0.3777777778</v>
      </c>
      <c r="Q138" s="140">
        <f t="shared" si="534"/>
        <v>0.23410824</v>
      </c>
      <c r="R138" s="139" t="str">
        <f t="shared" si="9"/>
        <v>#REF!</v>
      </c>
      <c r="S138" s="139" t="str">
        <f t="shared" si="10"/>
        <v>#REF!</v>
      </c>
      <c r="T138" s="141" t="str">
        <f t="shared" si="11"/>
        <v>#REF!</v>
      </c>
      <c r="U138" s="141" t="str">
        <f t="shared" si="12"/>
        <v>#REF!</v>
      </c>
      <c r="V138" s="142" t="str">
        <f t="shared" ref="V138:W138" si="535">IF(T138*K138&gt;=((0.5*$H138)-$I138),((T138*K138)-(0.5*$H138)+$I138),(0.5*$H138)-(T138*K138)-$I138)</f>
        <v>#REF!</v>
      </c>
      <c r="W138" s="142" t="str">
        <f t="shared" si="535"/>
        <v>#REF!</v>
      </c>
      <c r="X138" s="137" t="str">
        <f t="shared" ref="X138:Y138" si="536">(T138*K138)+(0.5*$H138)-$I138</f>
        <v>#REF!</v>
      </c>
      <c r="Y138" s="137" t="str">
        <f t="shared" si="536"/>
        <v>#REF!</v>
      </c>
      <c r="Z138" s="142">
        <f t="shared" si="15"/>
        <v>1.96621624</v>
      </c>
      <c r="AA138" s="142">
        <f t="shared" si="16"/>
        <v>1.96621624</v>
      </c>
      <c r="AB138" s="142">
        <f t="shared" ref="AB138:AC138" si="537">($H$2+((1-$H$2)/(1+50*(K138/$H138)^2)))*$J138</f>
        <v>26.19027775</v>
      </c>
      <c r="AC138" s="142">
        <f t="shared" si="537"/>
        <v>17.90082149</v>
      </c>
      <c r="AD138" s="142" t="str">
        <f t="shared" si="18"/>
        <v>#REF!</v>
      </c>
      <c r="AE138" s="142" t="str">
        <f t="shared" si="19"/>
        <v>#REF!</v>
      </c>
      <c r="AF138" s="143" t="str">
        <f t="shared" si="20"/>
        <v>#REF!</v>
      </c>
      <c r="AG138" s="154" t="str">
        <f t="shared" si="21"/>
        <v>#REF!</v>
      </c>
      <c r="AH138" s="145" t="str">
        <f t="shared" si="22"/>
        <v>#REF!</v>
      </c>
      <c r="AI138" s="146" t="str">
        <f t="shared" si="23"/>
        <v>#REF!</v>
      </c>
      <c r="AJ138" s="147" t="str">
        <f t="shared" si="24"/>
        <v>#REF!</v>
      </c>
      <c r="AK138" s="155"/>
      <c r="AL138" s="155"/>
      <c r="AM138" s="155"/>
      <c r="AN138" s="155"/>
      <c r="AO138" s="147">
        <f t="shared" si="25"/>
        <v>0</v>
      </c>
      <c r="AP138" s="147">
        <f t="shared" si="26"/>
        <v>0</v>
      </c>
      <c r="AQ138" s="157"/>
      <c r="AR138" s="157"/>
      <c r="AS138" s="158"/>
      <c r="AT138" s="157"/>
      <c r="AU138" s="157"/>
      <c r="AV138" s="157"/>
      <c r="AW138" s="157"/>
      <c r="AX138" s="157"/>
    </row>
    <row r="139" ht="19.5" customHeight="1">
      <c r="A139" s="151" t="str">
        <f>Locsolieu!A134</f>
        <v>282</v>
      </c>
      <c r="B139" s="152">
        <f>Locsolieu!C134</f>
        <v>2.7872</v>
      </c>
      <c r="C139" s="132">
        <f>Locsolieu!D134*$C$4</f>
        <v>0.0362</v>
      </c>
      <c r="D139" s="133">
        <f>Locsolieu!E134*$C$4</f>
        <v>0.60223</v>
      </c>
      <c r="E139" s="153">
        <f>Locsolieu!F134</f>
        <v>2.7872</v>
      </c>
      <c r="F139" s="135">
        <v>510.0</v>
      </c>
      <c r="G139" s="136">
        <v>20.0</v>
      </c>
      <c r="H139" s="136">
        <v>30.0</v>
      </c>
      <c r="I139" s="136">
        <v>3.0</v>
      </c>
      <c r="J139" s="136">
        <f t="shared" si="31"/>
        <v>27</v>
      </c>
      <c r="K139" s="137">
        <f t="shared" si="5"/>
        <v>1.298794489</v>
      </c>
      <c r="L139" s="137">
        <f t="shared" si="6"/>
        <v>21.60698909</v>
      </c>
      <c r="M139" s="138" t="str">
        <f t="shared" si="32"/>
        <v>#REF!</v>
      </c>
      <c r="N139" s="138" t="str">
        <f t="shared" si="33"/>
        <v>#REF!</v>
      </c>
      <c r="O139" s="139">
        <f t="shared" si="7"/>
        <v>45000</v>
      </c>
      <c r="P139" s="140">
        <f t="shared" ref="P139:Q139" si="538">0.1+0.11/(0.1+MAX((K139/$H139),(0.5-(0.01*(0.7*$F139/$H139))-0.01*$E$2)))</f>
        <v>0.3777777778</v>
      </c>
      <c r="Q139" s="140">
        <f t="shared" si="538"/>
        <v>0.23410824</v>
      </c>
      <c r="R139" s="139" t="str">
        <f t="shared" si="9"/>
        <v>#REF!</v>
      </c>
      <c r="S139" s="139" t="str">
        <f t="shared" si="10"/>
        <v>#REF!</v>
      </c>
      <c r="T139" s="141" t="str">
        <f t="shared" si="11"/>
        <v>#REF!</v>
      </c>
      <c r="U139" s="141" t="str">
        <f t="shared" si="12"/>
        <v>#REF!</v>
      </c>
      <c r="V139" s="142" t="str">
        <f t="shared" ref="V139:W139" si="539">IF(T139*K139&gt;=((0.5*$H139)-$I139),((T139*K139)-(0.5*$H139)+$I139),(0.5*$H139)-(T139*K139)-$I139)</f>
        <v>#REF!</v>
      </c>
      <c r="W139" s="142" t="str">
        <f t="shared" si="539"/>
        <v>#REF!</v>
      </c>
      <c r="X139" s="137" t="str">
        <f t="shared" ref="X139:Y139" si="540">(T139*K139)+(0.5*$H139)-$I139</f>
        <v>#REF!</v>
      </c>
      <c r="Y139" s="137" t="str">
        <f t="shared" si="540"/>
        <v>#REF!</v>
      </c>
      <c r="Z139" s="142">
        <f t="shared" si="15"/>
        <v>1.96621624</v>
      </c>
      <c r="AA139" s="142">
        <f t="shared" si="16"/>
        <v>1.96621624</v>
      </c>
      <c r="AB139" s="142">
        <f t="shared" ref="AB139:AC139" si="541">($H$2+((1-$H$2)/(1+50*(K139/$H139)^2)))*$J139</f>
        <v>26.19027775</v>
      </c>
      <c r="AC139" s="142">
        <f t="shared" si="541"/>
        <v>17.90082149</v>
      </c>
      <c r="AD139" s="142" t="str">
        <f t="shared" si="18"/>
        <v>#REF!</v>
      </c>
      <c r="AE139" s="142" t="str">
        <f t="shared" si="19"/>
        <v>#REF!</v>
      </c>
      <c r="AF139" s="143" t="str">
        <f t="shared" si="20"/>
        <v>#REF!</v>
      </c>
      <c r="AG139" s="154" t="str">
        <f t="shared" si="21"/>
        <v>#REF!</v>
      </c>
      <c r="AH139" s="145" t="str">
        <f t="shared" si="22"/>
        <v>#REF!</v>
      </c>
      <c r="AI139" s="146" t="str">
        <f t="shared" si="23"/>
        <v>#REF!</v>
      </c>
      <c r="AJ139" s="147" t="str">
        <f t="shared" si="24"/>
        <v>#REF!</v>
      </c>
      <c r="AK139" s="155"/>
      <c r="AL139" s="155"/>
      <c r="AM139" s="155"/>
      <c r="AN139" s="155"/>
      <c r="AO139" s="147">
        <f t="shared" si="25"/>
        <v>0</v>
      </c>
      <c r="AP139" s="147">
        <f t="shared" si="26"/>
        <v>0</v>
      </c>
      <c r="AQ139" s="157"/>
      <c r="AR139" s="157"/>
      <c r="AS139" s="158"/>
      <c r="AT139" s="157"/>
      <c r="AU139" s="157"/>
      <c r="AV139" s="157"/>
      <c r="AW139" s="157"/>
      <c r="AX139" s="157"/>
    </row>
    <row r="140" ht="19.5" customHeight="1">
      <c r="A140" s="151" t="str">
        <f>Locsolieu!A135</f>
        <v>344</v>
      </c>
      <c r="B140" s="152">
        <f>Locsolieu!C135</f>
        <v>1.4114</v>
      </c>
      <c r="C140" s="132">
        <f>Locsolieu!D135*$C$4</f>
        <v>2.40628</v>
      </c>
      <c r="D140" s="133">
        <f>Locsolieu!E135*$C$4</f>
        <v>2.40628</v>
      </c>
      <c r="E140" s="153">
        <f>Locsolieu!F135</f>
        <v>1.4114</v>
      </c>
      <c r="F140" s="135">
        <v>510.0</v>
      </c>
      <c r="G140" s="136">
        <v>20.0</v>
      </c>
      <c r="H140" s="136">
        <v>30.0</v>
      </c>
      <c r="I140" s="136">
        <v>3.0</v>
      </c>
      <c r="J140" s="136">
        <f t="shared" si="31"/>
        <v>27</v>
      </c>
      <c r="K140" s="137">
        <f t="shared" si="5"/>
        <v>170.4888763</v>
      </c>
      <c r="L140" s="137">
        <f t="shared" si="6"/>
        <v>170.4888763</v>
      </c>
      <c r="M140" s="138" t="str">
        <f t="shared" si="32"/>
        <v>#REF!</v>
      </c>
      <c r="N140" s="138" t="str">
        <f t="shared" si="33"/>
        <v>#REF!</v>
      </c>
      <c r="O140" s="139">
        <f t="shared" si="7"/>
        <v>45000</v>
      </c>
      <c r="P140" s="140">
        <f t="shared" ref="P140:Q140" si="542">0.1+0.11/(0.1+MAX((K140/$H140),(0.5-(0.01*(0.7*$F140/$H140))-0.01*$E$2)))</f>
        <v>0.1190213924</v>
      </c>
      <c r="Q140" s="140">
        <f t="shared" si="542"/>
        <v>0.1190213924</v>
      </c>
      <c r="R140" s="139" t="str">
        <f t="shared" si="9"/>
        <v>#REF!</v>
      </c>
      <c r="S140" s="139" t="str">
        <f t="shared" si="10"/>
        <v>#REF!</v>
      </c>
      <c r="T140" s="141" t="str">
        <f t="shared" si="11"/>
        <v>#REF!</v>
      </c>
      <c r="U140" s="141" t="str">
        <f t="shared" si="12"/>
        <v>#REF!</v>
      </c>
      <c r="V140" s="142" t="str">
        <f t="shared" ref="V140:W140" si="543">IF(T140*K140&gt;=((0.5*$H140)-$I140),((T140*K140)-(0.5*$H140)+$I140),(0.5*$H140)-(T140*K140)-$I140)</f>
        <v>#REF!</v>
      </c>
      <c r="W140" s="142" t="str">
        <f t="shared" si="543"/>
        <v>#REF!</v>
      </c>
      <c r="X140" s="137" t="str">
        <f t="shared" ref="X140:Y140" si="544">(T140*K140)+(0.5*$H140)-$I140</f>
        <v>#REF!</v>
      </c>
      <c r="Y140" s="137" t="str">
        <f t="shared" si="544"/>
        <v>#REF!</v>
      </c>
      <c r="Z140" s="142">
        <f t="shared" si="15"/>
        <v>0.9956650406</v>
      </c>
      <c r="AA140" s="142">
        <f t="shared" si="16"/>
        <v>0.9956650406</v>
      </c>
      <c r="AB140" s="142">
        <f t="shared" ref="AB140:AC140" si="545">($H$2+((1-$H$2)/(1+50*(K140/$H140)^2)))*$J140</f>
        <v>17.55584848</v>
      </c>
      <c r="AC140" s="142">
        <f t="shared" si="545"/>
        <v>17.55584848</v>
      </c>
      <c r="AD140" s="142" t="str">
        <f t="shared" si="18"/>
        <v>#REF!</v>
      </c>
      <c r="AE140" s="142" t="str">
        <f t="shared" si="19"/>
        <v>#REF!</v>
      </c>
      <c r="AF140" s="143" t="str">
        <f t="shared" si="20"/>
        <v>#REF!</v>
      </c>
      <c r="AG140" s="154" t="str">
        <f t="shared" si="21"/>
        <v>#REF!</v>
      </c>
      <c r="AH140" s="145" t="str">
        <f t="shared" si="22"/>
        <v>#REF!</v>
      </c>
      <c r="AI140" s="146" t="str">
        <f t="shared" si="23"/>
        <v>#REF!</v>
      </c>
      <c r="AJ140" s="147" t="str">
        <f t="shared" si="24"/>
        <v>#REF!</v>
      </c>
      <c r="AK140" s="155"/>
      <c r="AL140" s="155"/>
      <c r="AM140" s="155"/>
      <c r="AN140" s="155"/>
      <c r="AO140" s="147">
        <f t="shared" si="25"/>
        <v>0</v>
      </c>
      <c r="AP140" s="147">
        <f t="shared" si="26"/>
        <v>0</v>
      </c>
      <c r="AQ140" s="157"/>
      <c r="AR140" s="157"/>
      <c r="AS140" s="158"/>
      <c r="AT140" s="157"/>
      <c r="AU140" s="157"/>
      <c r="AV140" s="157"/>
      <c r="AW140" s="157"/>
      <c r="AX140" s="157"/>
    </row>
    <row r="141" ht="19.5" customHeight="1">
      <c r="A141" s="151" t="str">
        <f>Locsolieu!A136</f>
        <v>344</v>
      </c>
      <c r="B141" s="152">
        <f>Locsolieu!C136</f>
        <v>1.4114</v>
      </c>
      <c r="C141" s="132">
        <f>Locsolieu!D136*$C$4</f>
        <v>2.40628</v>
      </c>
      <c r="D141" s="133">
        <f>Locsolieu!E136*$C$4</f>
        <v>2.40628</v>
      </c>
      <c r="E141" s="153">
        <f>Locsolieu!F136</f>
        <v>1.4114</v>
      </c>
      <c r="F141" s="135">
        <v>510.0</v>
      </c>
      <c r="G141" s="136">
        <v>20.0</v>
      </c>
      <c r="H141" s="136">
        <v>30.0</v>
      </c>
      <c r="I141" s="136">
        <v>3.0</v>
      </c>
      <c r="J141" s="136">
        <f t="shared" si="31"/>
        <v>27</v>
      </c>
      <c r="K141" s="137">
        <f t="shared" si="5"/>
        <v>170.4888763</v>
      </c>
      <c r="L141" s="137">
        <f t="shared" si="6"/>
        <v>170.4888763</v>
      </c>
      <c r="M141" s="138" t="str">
        <f t="shared" si="32"/>
        <v>#REF!</v>
      </c>
      <c r="N141" s="138" t="str">
        <f t="shared" si="33"/>
        <v>#REF!</v>
      </c>
      <c r="O141" s="139">
        <f t="shared" si="7"/>
        <v>45000</v>
      </c>
      <c r="P141" s="140">
        <f t="shared" ref="P141:Q141" si="546">0.1+0.11/(0.1+MAX((K141/$H141),(0.5-(0.01*(0.7*$F141/$H141))-0.01*$E$2)))</f>
        <v>0.1190213924</v>
      </c>
      <c r="Q141" s="140">
        <f t="shared" si="546"/>
        <v>0.1190213924</v>
      </c>
      <c r="R141" s="139" t="str">
        <f t="shared" si="9"/>
        <v>#REF!</v>
      </c>
      <c r="S141" s="139" t="str">
        <f t="shared" si="10"/>
        <v>#REF!</v>
      </c>
      <c r="T141" s="141" t="str">
        <f t="shared" si="11"/>
        <v>#REF!</v>
      </c>
      <c r="U141" s="141" t="str">
        <f t="shared" si="12"/>
        <v>#REF!</v>
      </c>
      <c r="V141" s="142" t="str">
        <f t="shared" ref="V141:W141" si="547">IF(T141*K141&gt;=((0.5*$H141)-$I141),((T141*K141)-(0.5*$H141)+$I141),(0.5*$H141)-(T141*K141)-$I141)</f>
        <v>#REF!</v>
      </c>
      <c r="W141" s="142" t="str">
        <f t="shared" si="547"/>
        <v>#REF!</v>
      </c>
      <c r="X141" s="137" t="str">
        <f t="shared" ref="X141:Y141" si="548">(T141*K141)+(0.5*$H141)-$I141</f>
        <v>#REF!</v>
      </c>
      <c r="Y141" s="137" t="str">
        <f t="shared" si="548"/>
        <v>#REF!</v>
      </c>
      <c r="Z141" s="142">
        <f t="shared" si="15"/>
        <v>0.9956650406</v>
      </c>
      <c r="AA141" s="142">
        <f t="shared" si="16"/>
        <v>0.9956650406</v>
      </c>
      <c r="AB141" s="142">
        <f t="shared" ref="AB141:AC141" si="549">($H$2+((1-$H$2)/(1+50*(K141/$H141)^2)))*$J141</f>
        <v>17.55584848</v>
      </c>
      <c r="AC141" s="142">
        <f t="shared" si="549"/>
        <v>17.55584848</v>
      </c>
      <c r="AD141" s="142" t="str">
        <f t="shared" si="18"/>
        <v>#REF!</v>
      </c>
      <c r="AE141" s="142" t="str">
        <f t="shared" si="19"/>
        <v>#REF!</v>
      </c>
      <c r="AF141" s="143" t="str">
        <f t="shared" si="20"/>
        <v>#REF!</v>
      </c>
      <c r="AG141" s="154" t="str">
        <f t="shared" si="21"/>
        <v>#REF!</v>
      </c>
      <c r="AH141" s="145" t="str">
        <f t="shared" si="22"/>
        <v>#REF!</v>
      </c>
      <c r="AI141" s="146" t="str">
        <f t="shared" si="23"/>
        <v>#REF!</v>
      </c>
      <c r="AJ141" s="147" t="str">
        <f t="shared" si="24"/>
        <v>#REF!</v>
      </c>
      <c r="AK141" s="155"/>
      <c r="AL141" s="155"/>
      <c r="AM141" s="155"/>
      <c r="AN141" s="155"/>
      <c r="AO141" s="147">
        <f t="shared" si="25"/>
        <v>0</v>
      </c>
      <c r="AP141" s="147">
        <f t="shared" si="26"/>
        <v>0</v>
      </c>
      <c r="AQ141" s="157"/>
      <c r="AR141" s="157"/>
      <c r="AS141" s="158"/>
      <c r="AT141" s="157"/>
      <c r="AU141" s="157"/>
      <c r="AV141" s="157"/>
      <c r="AW141" s="157"/>
      <c r="AX141" s="157"/>
    </row>
    <row r="142" ht="19.5" customHeight="1">
      <c r="A142" s="151" t="str">
        <f>Locsolieu!A137</f>
        <v>352</v>
      </c>
      <c r="B142" s="152">
        <f>Locsolieu!C137</f>
        <v>2.189</v>
      </c>
      <c r="C142" s="132">
        <f>Locsolieu!D137*$C$4</f>
        <v>0.65241</v>
      </c>
      <c r="D142" s="133">
        <f>Locsolieu!E137*$C$4</f>
        <v>0.65241</v>
      </c>
      <c r="E142" s="153">
        <f>Locsolieu!F137</f>
        <v>2.189</v>
      </c>
      <c r="F142" s="135">
        <v>510.0</v>
      </c>
      <c r="G142" s="136">
        <v>20.0</v>
      </c>
      <c r="H142" s="136">
        <v>30.0</v>
      </c>
      <c r="I142" s="136">
        <v>3.0</v>
      </c>
      <c r="J142" s="136">
        <f t="shared" si="31"/>
        <v>27</v>
      </c>
      <c r="K142" s="137">
        <f t="shared" si="5"/>
        <v>29.8040201</v>
      </c>
      <c r="L142" s="137">
        <f t="shared" si="6"/>
        <v>29.8040201</v>
      </c>
      <c r="M142" s="138" t="str">
        <f t="shared" si="32"/>
        <v>#REF!</v>
      </c>
      <c r="N142" s="138" t="str">
        <f t="shared" si="33"/>
        <v>#REF!</v>
      </c>
      <c r="O142" s="139">
        <f t="shared" si="7"/>
        <v>45000</v>
      </c>
      <c r="P142" s="140">
        <f t="shared" ref="P142:Q142" si="550">0.1+0.11/(0.1+MAX((K142/$H142),(0.5-(0.01*(0.7*$F142/$H142))-0.01*$E$2)))</f>
        <v>0.2005974265</v>
      </c>
      <c r="Q142" s="140">
        <f t="shared" si="550"/>
        <v>0.2005974265</v>
      </c>
      <c r="R142" s="139" t="str">
        <f t="shared" si="9"/>
        <v>#REF!</v>
      </c>
      <c r="S142" s="139" t="str">
        <f t="shared" si="10"/>
        <v>#REF!</v>
      </c>
      <c r="T142" s="141" t="str">
        <f t="shared" si="11"/>
        <v>#REF!</v>
      </c>
      <c r="U142" s="141" t="str">
        <f t="shared" si="12"/>
        <v>#REF!</v>
      </c>
      <c r="V142" s="142" t="str">
        <f t="shared" ref="V142:W142" si="551">IF(T142*K142&gt;=((0.5*$H142)-$I142),((T142*K142)-(0.5*$H142)+$I142),(0.5*$H142)-(T142*K142)-$I142)</f>
        <v>#REF!</v>
      </c>
      <c r="W142" s="142" t="str">
        <f t="shared" si="551"/>
        <v>#REF!</v>
      </c>
      <c r="X142" s="137" t="str">
        <f t="shared" ref="X142:Y142" si="552">(T142*K142)+(0.5*$H142)-$I142</f>
        <v>#REF!</v>
      </c>
      <c r="Y142" s="137" t="str">
        <f t="shared" si="552"/>
        <v>#REF!</v>
      </c>
      <c r="Z142" s="142">
        <f t="shared" si="15"/>
        <v>1.544219055</v>
      </c>
      <c r="AA142" s="142">
        <f t="shared" si="16"/>
        <v>1.544219055</v>
      </c>
      <c r="AB142" s="142">
        <f t="shared" ref="AB142:AC142" si="553">($H$2+((1-$H$2)/(1+50*(K142/$H142)^2)))*$J142</f>
        <v>17.73769042</v>
      </c>
      <c r="AC142" s="142">
        <f t="shared" si="553"/>
        <v>17.73769042</v>
      </c>
      <c r="AD142" s="142" t="str">
        <f t="shared" si="18"/>
        <v>#REF!</v>
      </c>
      <c r="AE142" s="142" t="str">
        <f t="shared" si="19"/>
        <v>#REF!</v>
      </c>
      <c r="AF142" s="143" t="str">
        <f t="shared" si="20"/>
        <v>#REF!</v>
      </c>
      <c r="AG142" s="154" t="str">
        <f t="shared" si="21"/>
        <v>#REF!</v>
      </c>
      <c r="AH142" s="145" t="str">
        <f t="shared" si="22"/>
        <v>#REF!</v>
      </c>
      <c r="AI142" s="146" t="str">
        <f t="shared" si="23"/>
        <v>#REF!</v>
      </c>
      <c r="AJ142" s="147" t="str">
        <f t="shared" si="24"/>
        <v>#REF!</v>
      </c>
      <c r="AK142" s="155"/>
      <c r="AL142" s="155"/>
      <c r="AM142" s="155"/>
      <c r="AN142" s="155"/>
      <c r="AO142" s="147">
        <f t="shared" si="25"/>
        <v>0</v>
      </c>
      <c r="AP142" s="147">
        <f t="shared" si="26"/>
        <v>0</v>
      </c>
      <c r="AQ142" s="157"/>
      <c r="AR142" s="157"/>
      <c r="AS142" s="158"/>
      <c r="AT142" s="157"/>
      <c r="AU142" s="157"/>
      <c r="AV142" s="157"/>
      <c r="AW142" s="157"/>
      <c r="AX142" s="157"/>
    </row>
    <row r="143" ht="19.5" customHeight="1">
      <c r="A143" s="151" t="str">
        <f>Locsolieu!A138</f>
        <v>352</v>
      </c>
      <c r="B143" s="152">
        <f>Locsolieu!C138</f>
        <v>2.189</v>
      </c>
      <c r="C143" s="132">
        <f>Locsolieu!D138*$C$4</f>
        <v>0.65241</v>
      </c>
      <c r="D143" s="133">
        <f>Locsolieu!E138*$C$4</f>
        <v>0.65241</v>
      </c>
      <c r="E143" s="153">
        <f>Locsolieu!F138</f>
        <v>2.189</v>
      </c>
      <c r="F143" s="135">
        <v>510.0</v>
      </c>
      <c r="G143" s="136">
        <v>20.0</v>
      </c>
      <c r="H143" s="136">
        <v>30.0</v>
      </c>
      <c r="I143" s="136">
        <v>3.0</v>
      </c>
      <c r="J143" s="136">
        <f t="shared" si="31"/>
        <v>27</v>
      </c>
      <c r="K143" s="137">
        <f t="shared" si="5"/>
        <v>29.8040201</v>
      </c>
      <c r="L143" s="137">
        <f t="shared" si="6"/>
        <v>29.8040201</v>
      </c>
      <c r="M143" s="138" t="str">
        <f t="shared" si="32"/>
        <v>#REF!</v>
      </c>
      <c r="N143" s="138" t="str">
        <f t="shared" si="33"/>
        <v>#REF!</v>
      </c>
      <c r="O143" s="139">
        <f t="shared" si="7"/>
        <v>45000</v>
      </c>
      <c r="P143" s="140">
        <f t="shared" ref="P143:Q143" si="554">0.1+0.11/(0.1+MAX((K143/$H143),(0.5-(0.01*(0.7*$F143/$H143))-0.01*$E$2)))</f>
        <v>0.2005974265</v>
      </c>
      <c r="Q143" s="140">
        <f t="shared" si="554"/>
        <v>0.2005974265</v>
      </c>
      <c r="R143" s="139" t="str">
        <f t="shared" si="9"/>
        <v>#REF!</v>
      </c>
      <c r="S143" s="139" t="str">
        <f t="shared" si="10"/>
        <v>#REF!</v>
      </c>
      <c r="T143" s="141" t="str">
        <f t="shared" si="11"/>
        <v>#REF!</v>
      </c>
      <c r="U143" s="141" t="str">
        <f t="shared" si="12"/>
        <v>#REF!</v>
      </c>
      <c r="V143" s="142" t="str">
        <f t="shared" ref="V143:W143" si="555">IF(T143*K143&gt;=((0.5*$H143)-$I143),((T143*K143)-(0.5*$H143)+$I143),(0.5*$H143)-(T143*K143)-$I143)</f>
        <v>#REF!</v>
      </c>
      <c r="W143" s="142" t="str">
        <f t="shared" si="555"/>
        <v>#REF!</v>
      </c>
      <c r="X143" s="137" t="str">
        <f t="shared" ref="X143:Y143" si="556">(T143*K143)+(0.5*$H143)-$I143</f>
        <v>#REF!</v>
      </c>
      <c r="Y143" s="137" t="str">
        <f t="shared" si="556"/>
        <v>#REF!</v>
      </c>
      <c r="Z143" s="142">
        <f t="shared" si="15"/>
        <v>1.544219055</v>
      </c>
      <c r="AA143" s="142">
        <f t="shared" si="16"/>
        <v>1.544219055</v>
      </c>
      <c r="AB143" s="142">
        <f t="shared" ref="AB143:AC143" si="557">($H$2+((1-$H$2)/(1+50*(K143/$H143)^2)))*$J143</f>
        <v>17.73769042</v>
      </c>
      <c r="AC143" s="142">
        <f t="shared" si="557"/>
        <v>17.73769042</v>
      </c>
      <c r="AD143" s="142" t="str">
        <f t="shared" si="18"/>
        <v>#REF!</v>
      </c>
      <c r="AE143" s="142" t="str">
        <f t="shared" si="19"/>
        <v>#REF!</v>
      </c>
      <c r="AF143" s="143" t="str">
        <f t="shared" si="20"/>
        <v>#REF!</v>
      </c>
      <c r="AG143" s="154" t="str">
        <f t="shared" si="21"/>
        <v>#REF!</v>
      </c>
      <c r="AH143" s="145" t="str">
        <f t="shared" si="22"/>
        <v>#REF!</v>
      </c>
      <c r="AI143" s="146" t="str">
        <f t="shared" si="23"/>
        <v>#REF!</v>
      </c>
      <c r="AJ143" s="147" t="str">
        <f t="shared" si="24"/>
        <v>#REF!</v>
      </c>
      <c r="AK143" s="155"/>
      <c r="AL143" s="155"/>
      <c r="AM143" s="155"/>
      <c r="AN143" s="155"/>
      <c r="AO143" s="147">
        <f t="shared" si="25"/>
        <v>0</v>
      </c>
      <c r="AP143" s="147">
        <f t="shared" si="26"/>
        <v>0</v>
      </c>
      <c r="AQ143" s="157"/>
      <c r="AR143" s="157"/>
      <c r="AS143" s="158"/>
      <c r="AT143" s="157"/>
      <c r="AU143" s="157"/>
      <c r="AV143" s="157"/>
      <c r="AW143" s="157"/>
      <c r="AX143" s="157"/>
    </row>
    <row r="144" ht="19.5" customHeight="1">
      <c r="A144" s="151" t="str">
        <f>Locsolieu!A139</f>
        <v>352</v>
      </c>
      <c r="B144" s="152">
        <f>Locsolieu!C139</f>
        <v>2.189</v>
      </c>
      <c r="C144" s="132">
        <f>Locsolieu!D139*$C$4</f>
        <v>0.65241</v>
      </c>
      <c r="D144" s="133">
        <f>Locsolieu!E139*$C$4</f>
        <v>0.65241</v>
      </c>
      <c r="E144" s="153">
        <f>Locsolieu!F139</f>
        <v>2.189</v>
      </c>
      <c r="F144" s="135">
        <v>510.0</v>
      </c>
      <c r="G144" s="136">
        <v>20.0</v>
      </c>
      <c r="H144" s="136">
        <v>30.0</v>
      </c>
      <c r="I144" s="136">
        <v>3.0</v>
      </c>
      <c r="J144" s="136">
        <f t="shared" si="31"/>
        <v>27</v>
      </c>
      <c r="K144" s="137">
        <f t="shared" si="5"/>
        <v>29.8040201</v>
      </c>
      <c r="L144" s="137">
        <f t="shared" si="6"/>
        <v>29.8040201</v>
      </c>
      <c r="M144" s="138" t="str">
        <f t="shared" si="32"/>
        <v>#REF!</v>
      </c>
      <c r="N144" s="138" t="str">
        <f t="shared" si="33"/>
        <v>#REF!</v>
      </c>
      <c r="O144" s="139">
        <f t="shared" si="7"/>
        <v>45000</v>
      </c>
      <c r="P144" s="140">
        <f t="shared" ref="P144:Q144" si="558">0.1+0.11/(0.1+MAX((K144/$H144),(0.5-(0.01*(0.7*$F144/$H144))-0.01*$E$2)))</f>
        <v>0.2005974265</v>
      </c>
      <c r="Q144" s="140">
        <f t="shared" si="558"/>
        <v>0.2005974265</v>
      </c>
      <c r="R144" s="139" t="str">
        <f t="shared" si="9"/>
        <v>#REF!</v>
      </c>
      <c r="S144" s="139" t="str">
        <f t="shared" si="10"/>
        <v>#REF!</v>
      </c>
      <c r="T144" s="141" t="str">
        <f t="shared" si="11"/>
        <v>#REF!</v>
      </c>
      <c r="U144" s="141" t="str">
        <f t="shared" si="12"/>
        <v>#REF!</v>
      </c>
      <c r="V144" s="142" t="str">
        <f t="shared" ref="V144:W144" si="559">IF(T144*K144&gt;=((0.5*$H144)-$I144),((T144*K144)-(0.5*$H144)+$I144),(0.5*$H144)-(T144*K144)-$I144)</f>
        <v>#REF!</v>
      </c>
      <c r="W144" s="142" t="str">
        <f t="shared" si="559"/>
        <v>#REF!</v>
      </c>
      <c r="X144" s="137" t="str">
        <f t="shared" ref="X144:Y144" si="560">(T144*K144)+(0.5*$H144)-$I144</f>
        <v>#REF!</v>
      </c>
      <c r="Y144" s="137" t="str">
        <f t="shared" si="560"/>
        <v>#REF!</v>
      </c>
      <c r="Z144" s="142">
        <f t="shared" si="15"/>
        <v>1.544219055</v>
      </c>
      <c r="AA144" s="142">
        <f t="shared" si="16"/>
        <v>1.544219055</v>
      </c>
      <c r="AB144" s="142">
        <f t="shared" ref="AB144:AC144" si="561">($H$2+((1-$H$2)/(1+50*(K144/$H144)^2)))*$J144</f>
        <v>17.73769042</v>
      </c>
      <c r="AC144" s="142">
        <f t="shared" si="561"/>
        <v>17.73769042</v>
      </c>
      <c r="AD144" s="142" t="str">
        <f t="shared" si="18"/>
        <v>#REF!</v>
      </c>
      <c r="AE144" s="142" t="str">
        <f t="shared" si="19"/>
        <v>#REF!</v>
      </c>
      <c r="AF144" s="143" t="str">
        <f t="shared" si="20"/>
        <v>#REF!</v>
      </c>
      <c r="AG144" s="154" t="str">
        <f t="shared" si="21"/>
        <v>#REF!</v>
      </c>
      <c r="AH144" s="145" t="str">
        <f t="shared" si="22"/>
        <v>#REF!</v>
      </c>
      <c r="AI144" s="146" t="str">
        <f t="shared" si="23"/>
        <v>#REF!</v>
      </c>
      <c r="AJ144" s="147" t="str">
        <f t="shared" si="24"/>
        <v>#REF!</v>
      </c>
      <c r="AK144" s="155"/>
      <c r="AL144" s="155"/>
      <c r="AM144" s="155"/>
      <c r="AN144" s="155"/>
      <c r="AO144" s="147">
        <f t="shared" si="25"/>
        <v>0</v>
      </c>
      <c r="AP144" s="147">
        <f t="shared" si="26"/>
        <v>0</v>
      </c>
      <c r="AQ144" s="95"/>
      <c r="AR144" s="95"/>
      <c r="AS144" s="58"/>
      <c r="AT144" s="95"/>
      <c r="AU144" s="95"/>
      <c r="AV144" s="95"/>
      <c r="AW144" s="95"/>
      <c r="AX144" s="95"/>
    </row>
    <row r="145" ht="19.5" customHeight="1">
      <c r="A145" s="151" t="str">
        <f>Locsolieu!A140</f>
        <v>402</v>
      </c>
      <c r="B145" s="152">
        <f>Locsolieu!C140</f>
        <v>2.9136</v>
      </c>
      <c r="C145" s="132">
        <f>Locsolieu!D140*$C$4</f>
        <v>0.80987</v>
      </c>
      <c r="D145" s="133">
        <f>Locsolieu!E140*$C$4</f>
        <v>0.80987</v>
      </c>
      <c r="E145" s="153">
        <f>Locsolieu!F140</f>
        <v>2.9136</v>
      </c>
      <c r="F145" s="135">
        <v>510.0</v>
      </c>
      <c r="G145" s="136">
        <v>20.0</v>
      </c>
      <c r="H145" s="136">
        <v>30.0</v>
      </c>
      <c r="I145" s="136">
        <v>3.0</v>
      </c>
      <c r="J145" s="136">
        <f t="shared" si="31"/>
        <v>27</v>
      </c>
      <c r="K145" s="137">
        <f t="shared" si="5"/>
        <v>27.79619714</v>
      </c>
      <c r="L145" s="137">
        <f t="shared" si="6"/>
        <v>27.79619714</v>
      </c>
      <c r="M145" s="138" t="str">
        <f t="shared" si="32"/>
        <v>#REF!</v>
      </c>
      <c r="N145" s="138" t="str">
        <f t="shared" si="33"/>
        <v>#REF!</v>
      </c>
      <c r="O145" s="139">
        <f t="shared" si="7"/>
        <v>45000</v>
      </c>
      <c r="P145" s="140">
        <f t="shared" ref="P145:Q145" si="562">0.1+0.11/(0.1+MAX((K145/$H145),(0.5-(0.01*(0.7*$F145/$H145))-0.01*$E$2)))</f>
        <v>0.2071560876</v>
      </c>
      <c r="Q145" s="140">
        <f t="shared" si="562"/>
        <v>0.2071560876</v>
      </c>
      <c r="R145" s="139" t="str">
        <f t="shared" si="9"/>
        <v>#REF!</v>
      </c>
      <c r="S145" s="139" t="str">
        <f t="shared" si="10"/>
        <v>#REF!</v>
      </c>
      <c r="T145" s="141" t="str">
        <f t="shared" si="11"/>
        <v>#REF!</v>
      </c>
      <c r="U145" s="141" t="str">
        <f t="shared" si="12"/>
        <v>#REF!</v>
      </c>
      <c r="V145" s="142" t="str">
        <f t="shared" ref="V145:W145" si="563">IF(T145*K145&gt;=((0.5*$H145)-$I145),((T145*K145)-(0.5*$H145)+$I145),(0.5*$H145)-(T145*K145)-$I145)</f>
        <v>#REF!</v>
      </c>
      <c r="W145" s="142" t="str">
        <f t="shared" si="563"/>
        <v>#REF!</v>
      </c>
      <c r="X145" s="137" t="str">
        <f t="shared" ref="X145:Y145" si="564">(T145*K145)+(0.5*$H145)-$I145</f>
        <v>#REF!</v>
      </c>
      <c r="Y145" s="137" t="str">
        <f t="shared" si="564"/>
        <v>#REF!</v>
      </c>
      <c r="Z145" s="142">
        <f t="shared" si="15"/>
        <v>2.055384485</v>
      </c>
      <c r="AA145" s="142">
        <f t="shared" si="16"/>
        <v>2.055384485</v>
      </c>
      <c r="AB145" s="142">
        <f t="shared" ref="AB145:AC145" si="565">($H$2+((1-$H$2)/(1+50*(K145/$H145)^2)))*$J145</f>
        <v>17.76514527</v>
      </c>
      <c r="AC145" s="142">
        <f t="shared" si="565"/>
        <v>17.76514527</v>
      </c>
      <c r="AD145" s="142" t="str">
        <f t="shared" si="18"/>
        <v>#REF!</v>
      </c>
      <c r="AE145" s="142" t="str">
        <f t="shared" si="19"/>
        <v>#REF!</v>
      </c>
      <c r="AF145" s="143" t="str">
        <f t="shared" si="20"/>
        <v>#REF!</v>
      </c>
      <c r="AG145" s="154" t="str">
        <f t="shared" si="21"/>
        <v>#REF!</v>
      </c>
      <c r="AH145" s="145" t="str">
        <f t="shared" si="22"/>
        <v>#REF!</v>
      </c>
      <c r="AI145" s="146" t="str">
        <f t="shared" si="23"/>
        <v>#REF!</v>
      </c>
      <c r="AJ145" s="147" t="str">
        <f t="shared" si="24"/>
        <v>#REF!</v>
      </c>
      <c r="AK145" s="155"/>
      <c r="AL145" s="155"/>
      <c r="AM145" s="155"/>
      <c r="AN145" s="155"/>
      <c r="AO145" s="147">
        <f t="shared" si="25"/>
        <v>0</v>
      </c>
      <c r="AP145" s="147">
        <f t="shared" si="26"/>
        <v>0</v>
      </c>
      <c r="AQ145" s="95"/>
      <c r="AR145" s="95"/>
      <c r="AS145" s="58"/>
      <c r="AT145" s="95"/>
      <c r="AU145" s="95"/>
      <c r="AV145" s="95"/>
      <c r="AW145" s="95"/>
      <c r="AX145" s="95"/>
    </row>
    <row r="146" ht="19.5" customHeight="1">
      <c r="A146" s="151" t="str">
        <f>Locsolieu!A141</f>
        <v>402</v>
      </c>
      <c r="B146" s="152">
        <f>Locsolieu!C141</f>
        <v>2.9136</v>
      </c>
      <c r="C146" s="132">
        <f>Locsolieu!D141*$C$4</f>
        <v>0.80987</v>
      </c>
      <c r="D146" s="133">
        <f>Locsolieu!E141*$C$4</f>
        <v>0.80987</v>
      </c>
      <c r="E146" s="153">
        <f>Locsolieu!F141</f>
        <v>2.9136</v>
      </c>
      <c r="F146" s="135">
        <v>510.0</v>
      </c>
      <c r="G146" s="136">
        <v>20.0</v>
      </c>
      <c r="H146" s="136">
        <v>30.0</v>
      </c>
      <c r="I146" s="136">
        <v>3.0</v>
      </c>
      <c r="J146" s="136">
        <f t="shared" si="31"/>
        <v>27</v>
      </c>
      <c r="K146" s="137">
        <f t="shared" si="5"/>
        <v>27.79619714</v>
      </c>
      <c r="L146" s="137">
        <f t="shared" si="6"/>
        <v>27.79619714</v>
      </c>
      <c r="M146" s="138" t="str">
        <f t="shared" si="32"/>
        <v>#REF!</v>
      </c>
      <c r="N146" s="138" t="str">
        <f t="shared" si="33"/>
        <v>#REF!</v>
      </c>
      <c r="O146" s="139">
        <f t="shared" si="7"/>
        <v>45000</v>
      </c>
      <c r="P146" s="140">
        <f t="shared" ref="P146:Q146" si="566">0.1+0.11/(0.1+MAX((K146/$H146),(0.5-(0.01*(0.7*$F146/$H146))-0.01*$E$2)))</f>
        <v>0.2071560876</v>
      </c>
      <c r="Q146" s="140">
        <f t="shared" si="566"/>
        <v>0.2071560876</v>
      </c>
      <c r="R146" s="139" t="str">
        <f t="shared" si="9"/>
        <v>#REF!</v>
      </c>
      <c r="S146" s="139" t="str">
        <f t="shared" si="10"/>
        <v>#REF!</v>
      </c>
      <c r="T146" s="141" t="str">
        <f t="shared" si="11"/>
        <v>#REF!</v>
      </c>
      <c r="U146" s="141" t="str">
        <f t="shared" si="12"/>
        <v>#REF!</v>
      </c>
      <c r="V146" s="142" t="str">
        <f t="shared" ref="V146:W146" si="567">IF(T146*K146&gt;=((0.5*$H146)-$I146),((T146*K146)-(0.5*$H146)+$I146),(0.5*$H146)-(T146*K146)-$I146)</f>
        <v>#REF!</v>
      </c>
      <c r="W146" s="142" t="str">
        <f t="shared" si="567"/>
        <v>#REF!</v>
      </c>
      <c r="X146" s="137" t="str">
        <f t="shared" ref="X146:Y146" si="568">(T146*K146)+(0.5*$H146)-$I146</f>
        <v>#REF!</v>
      </c>
      <c r="Y146" s="137" t="str">
        <f t="shared" si="568"/>
        <v>#REF!</v>
      </c>
      <c r="Z146" s="142">
        <f t="shared" si="15"/>
        <v>2.055384485</v>
      </c>
      <c r="AA146" s="142">
        <f t="shared" si="16"/>
        <v>2.055384485</v>
      </c>
      <c r="AB146" s="142">
        <f t="shared" ref="AB146:AC146" si="569">($H$2+((1-$H$2)/(1+50*(K146/$H146)^2)))*$J146</f>
        <v>17.76514527</v>
      </c>
      <c r="AC146" s="142">
        <f t="shared" si="569"/>
        <v>17.76514527</v>
      </c>
      <c r="AD146" s="142" t="str">
        <f t="shared" si="18"/>
        <v>#REF!</v>
      </c>
      <c r="AE146" s="142" t="str">
        <f t="shared" si="19"/>
        <v>#REF!</v>
      </c>
      <c r="AF146" s="143" t="str">
        <f t="shared" si="20"/>
        <v>#REF!</v>
      </c>
      <c r="AG146" s="154" t="str">
        <f t="shared" si="21"/>
        <v>#REF!</v>
      </c>
      <c r="AH146" s="145" t="str">
        <f t="shared" si="22"/>
        <v>#REF!</v>
      </c>
      <c r="AI146" s="146" t="str">
        <f t="shared" si="23"/>
        <v>#REF!</v>
      </c>
      <c r="AJ146" s="147" t="str">
        <f t="shared" si="24"/>
        <v>#REF!</v>
      </c>
      <c r="AK146" s="155"/>
      <c r="AL146" s="155"/>
      <c r="AM146" s="155"/>
      <c r="AN146" s="155"/>
      <c r="AO146" s="147">
        <f t="shared" si="25"/>
        <v>0</v>
      </c>
      <c r="AP146" s="147">
        <f t="shared" si="26"/>
        <v>0</v>
      </c>
      <c r="AQ146" s="95"/>
      <c r="AR146" s="95"/>
      <c r="AS146" s="58"/>
      <c r="AT146" s="95"/>
      <c r="AU146" s="95"/>
      <c r="AV146" s="95"/>
      <c r="AW146" s="95"/>
      <c r="AX146" s="95"/>
    </row>
    <row r="147" ht="19.5" customHeight="1">
      <c r="A147" s="151" t="str">
        <f>Locsolieu!A142</f>
        <v>404</v>
      </c>
      <c r="B147" s="152">
        <f>Locsolieu!C142</f>
        <v>2.8359</v>
      </c>
      <c r="C147" s="132">
        <f>Locsolieu!D142*$C$4</f>
        <v>1.05274</v>
      </c>
      <c r="D147" s="133">
        <f>Locsolieu!E142*$C$4</f>
        <v>1.05274</v>
      </c>
      <c r="E147" s="153">
        <f>Locsolieu!F142</f>
        <v>2.8359</v>
      </c>
      <c r="F147" s="135">
        <v>510.0</v>
      </c>
      <c r="G147" s="136">
        <v>20.0</v>
      </c>
      <c r="H147" s="136">
        <v>30.0</v>
      </c>
      <c r="I147" s="136">
        <v>3.0</v>
      </c>
      <c r="J147" s="136">
        <f t="shared" si="31"/>
        <v>27</v>
      </c>
      <c r="K147" s="137">
        <f t="shared" si="5"/>
        <v>37.12190134</v>
      </c>
      <c r="L147" s="137">
        <f t="shared" si="6"/>
        <v>37.12190134</v>
      </c>
      <c r="M147" s="138" t="str">
        <f t="shared" si="32"/>
        <v>#REF!</v>
      </c>
      <c r="N147" s="138" t="str">
        <f t="shared" si="33"/>
        <v>#REF!</v>
      </c>
      <c r="O147" s="139">
        <f t="shared" si="7"/>
        <v>45000</v>
      </c>
      <c r="P147" s="140">
        <f t="shared" ref="P147:Q147" si="570">0.1+0.11/(0.1+MAX((K147/$H147),(0.5-(0.01*(0.7*$F147/$H147))-0.01*$E$2)))</f>
        <v>0.1822493424</v>
      </c>
      <c r="Q147" s="140">
        <f t="shared" si="570"/>
        <v>0.1822493424</v>
      </c>
      <c r="R147" s="139" t="str">
        <f t="shared" si="9"/>
        <v>#REF!</v>
      </c>
      <c r="S147" s="139" t="str">
        <f t="shared" si="10"/>
        <v>#REF!</v>
      </c>
      <c r="T147" s="141" t="str">
        <f t="shared" si="11"/>
        <v>#REF!</v>
      </c>
      <c r="U147" s="141" t="str">
        <f t="shared" si="12"/>
        <v>#REF!</v>
      </c>
      <c r="V147" s="142" t="str">
        <f t="shared" ref="V147:W147" si="571">IF(T147*K147&gt;=((0.5*$H147)-$I147),((T147*K147)-(0.5*$H147)+$I147),(0.5*$H147)-(T147*K147)-$I147)</f>
        <v>#REF!</v>
      </c>
      <c r="W147" s="142" t="str">
        <f t="shared" si="571"/>
        <v>#REF!</v>
      </c>
      <c r="X147" s="137" t="str">
        <f t="shared" ref="X147:Y147" si="572">(T147*K147)+(0.5*$H147)-$I147</f>
        <v>#REF!</v>
      </c>
      <c r="Y147" s="137" t="str">
        <f t="shared" si="572"/>
        <v>#REF!</v>
      </c>
      <c r="Z147" s="142">
        <f t="shared" si="15"/>
        <v>2.00057141</v>
      </c>
      <c r="AA147" s="142">
        <f t="shared" si="16"/>
        <v>2.00057141</v>
      </c>
      <c r="AB147" s="142">
        <f t="shared" ref="AB147:AC147" si="573">($H$2+((1-$H$2)/(1+50*(K147/$H147)^2)))*$J147</f>
        <v>17.67184503</v>
      </c>
      <c r="AC147" s="142">
        <f t="shared" si="573"/>
        <v>17.67184503</v>
      </c>
      <c r="AD147" s="142" t="str">
        <f t="shared" si="18"/>
        <v>#REF!</v>
      </c>
      <c r="AE147" s="142" t="str">
        <f t="shared" si="19"/>
        <v>#REF!</v>
      </c>
      <c r="AF147" s="143" t="str">
        <f t="shared" si="20"/>
        <v>#REF!</v>
      </c>
      <c r="AG147" s="154" t="str">
        <f t="shared" si="21"/>
        <v>#REF!</v>
      </c>
      <c r="AH147" s="145" t="str">
        <f t="shared" si="22"/>
        <v>#REF!</v>
      </c>
      <c r="AI147" s="146" t="str">
        <f t="shared" si="23"/>
        <v>#REF!</v>
      </c>
      <c r="AJ147" s="147" t="str">
        <f t="shared" si="24"/>
        <v>#REF!</v>
      </c>
      <c r="AK147" s="155"/>
      <c r="AL147" s="155"/>
      <c r="AM147" s="155"/>
      <c r="AN147" s="155"/>
      <c r="AO147" s="147">
        <f t="shared" si="25"/>
        <v>0</v>
      </c>
      <c r="AP147" s="147">
        <f t="shared" si="26"/>
        <v>0</v>
      </c>
      <c r="AQ147" s="95"/>
      <c r="AR147" s="95"/>
      <c r="AS147" s="58"/>
      <c r="AT147" s="95"/>
      <c r="AU147" s="95"/>
      <c r="AV147" s="95"/>
      <c r="AW147" s="95"/>
      <c r="AX147" s="95"/>
    </row>
    <row r="148" ht="19.5" customHeight="1">
      <c r="A148" s="151" t="str">
        <f>Locsolieu!A143</f>
        <v>405</v>
      </c>
      <c r="B148" s="152">
        <f>Locsolieu!C143</f>
        <v>5.2867</v>
      </c>
      <c r="C148" s="132">
        <f>Locsolieu!D143*$C$4</f>
        <v>0.43851</v>
      </c>
      <c r="D148" s="133">
        <f>Locsolieu!E143*$C$4</f>
        <v>0.43851</v>
      </c>
      <c r="E148" s="153">
        <f>Locsolieu!F143</f>
        <v>5.2867</v>
      </c>
      <c r="F148" s="135">
        <v>510.0</v>
      </c>
      <c r="G148" s="136">
        <v>20.0</v>
      </c>
      <c r="H148" s="136">
        <v>30.0</v>
      </c>
      <c r="I148" s="136">
        <v>3.0</v>
      </c>
      <c r="J148" s="136">
        <f t="shared" si="31"/>
        <v>27</v>
      </c>
      <c r="K148" s="137">
        <f t="shared" si="5"/>
        <v>8.294588307</v>
      </c>
      <c r="L148" s="137">
        <f t="shared" si="6"/>
        <v>8.294588307</v>
      </c>
      <c r="M148" s="138" t="str">
        <f t="shared" si="32"/>
        <v>#REF!</v>
      </c>
      <c r="N148" s="138" t="str">
        <f t="shared" si="33"/>
        <v>#REF!</v>
      </c>
      <c r="O148" s="139">
        <f t="shared" si="7"/>
        <v>45000</v>
      </c>
      <c r="P148" s="140">
        <f t="shared" ref="P148:Q148" si="574">0.1+0.11/(0.1+MAX((K148/$H148),(0.5-(0.01*(0.7*$F148/$H148))-0.01*$E$2)))</f>
        <v>0.3777777778</v>
      </c>
      <c r="Q148" s="140">
        <f t="shared" si="574"/>
        <v>0.3777777778</v>
      </c>
      <c r="R148" s="139" t="str">
        <f t="shared" si="9"/>
        <v>#REF!</v>
      </c>
      <c r="S148" s="139" t="str">
        <f t="shared" si="10"/>
        <v>#REF!</v>
      </c>
      <c r="T148" s="141" t="str">
        <f t="shared" si="11"/>
        <v>#REF!</v>
      </c>
      <c r="U148" s="141" t="str">
        <f t="shared" si="12"/>
        <v>#REF!</v>
      </c>
      <c r="V148" s="142" t="str">
        <f t="shared" ref="V148:W148" si="575">IF(T148*K148&gt;=((0.5*$H148)-$I148),((T148*K148)-(0.5*$H148)+$I148),(0.5*$H148)-(T148*K148)-$I148)</f>
        <v>#REF!</v>
      </c>
      <c r="W148" s="142" t="str">
        <f t="shared" si="575"/>
        <v>#REF!</v>
      </c>
      <c r="X148" s="137" t="str">
        <f t="shared" ref="X148:Y148" si="576">(T148*K148)+(0.5*$H148)-$I148</f>
        <v>#REF!</v>
      </c>
      <c r="Y148" s="137" t="str">
        <f t="shared" si="576"/>
        <v>#REF!</v>
      </c>
      <c r="Z148" s="142">
        <f t="shared" si="15"/>
        <v>3.72947596</v>
      </c>
      <c r="AA148" s="142">
        <f t="shared" si="16"/>
        <v>3.72947596</v>
      </c>
      <c r="AB148" s="142">
        <f t="shared" ref="AB148:AC148" si="577">($H$2+((1-$H$2)/(1+50*(K148/$H148)^2)))*$J148</f>
        <v>19.50967301</v>
      </c>
      <c r="AC148" s="142">
        <f t="shared" si="577"/>
        <v>19.50967301</v>
      </c>
      <c r="AD148" s="142" t="str">
        <f t="shared" si="18"/>
        <v>#REF!</v>
      </c>
      <c r="AE148" s="142" t="str">
        <f t="shared" si="19"/>
        <v>#REF!</v>
      </c>
      <c r="AF148" s="143" t="str">
        <f t="shared" si="20"/>
        <v>#REF!</v>
      </c>
      <c r="AG148" s="154" t="str">
        <f t="shared" si="21"/>
        <v>#REF!</v>
      </c>
      <c r="AH148" s="145" t="str">
        <f t="shared" si="22"/>
        <v>#REF!</v>
      </c>
      <c r="AI148" s="146" t="str">
        <f t="shared" si="23"/>
        <v>#REF!</v>
      </c>
      <c r="AJ148" s="147" t="str">
        <f t="shared" si="24"/>
        <v>#REF!</v>
      </c>
      <c r="AK148" s="155"/>
      <c r="AL148" s="155"/>
      <c r="AM148" s="155"/>
      <c r="AN148" s="155"/>
      <c r="AO148" s="147">
        <f t="shared" si="25"/>
        <v>0</v>
      </c>
      <c r="AP148" s="147">
        <f t="shared" si="26"/>
        <v>0</v>
      </c>
      <c r="AQ148" s="95"/>
      <c r="AR148" s="95"/>
      <c r="AS148" s="58"/>
      <c r="AT148" s="95"/>
      <c r="AU148" s="95"/>
      <c r="AV148" s="95"/>
      <c r="AW148" s="95"/>
      <c r="AX148" s="95"/>
    </row>
    <row r="149" ht="19.5" customHeight="1">
      <c r="A149" s="151" t="str">
        <f>Locsolieu!A144</f>
        <v>405</v>
      </c>
      <c r="B149" s="152">
        <f>Locsolieu!C144</f>
        <v>5.2867</v>
      </c>
      <c r="C149" s="132">
        <f>Locsolieu!D144*$C$4</f>
        <v>0.43851</v>
      </c>
      <c r="D149" s="133">
        <f>Locsolieu!E144*$C$4</f>
        <v>0.43851</v>
      </c>
      <c r="E149" s="153">
        <f>Locsolieu!F144</f>
        <v>5.2867</v>
      </c>
      <c r="F149" s="135">
        <v>510.0</v>
      </c>
      <c r="G149" s="136">
        <v>20.0</v>
      </c>
      <c r="H149" s="136">
        <v>30.0</v>
      </c>
      <c r="I149" s="136">
        <v>3.0</v>
      </c>
      <c r="J149" s="136">
        <f t="shared" si="31"/>
        <v>27</v>
      </c>
      <c r="K149" s="137">
        <f t="shared" si="5"/>
        <v>8.294588307</v>
      </c>
      <c r="L149" s="137">
        <f t="shared" si="6"/>
        <v>8.294588307</v>
      </c>
      <c r="M149" s="138" t="str">
        <f t="shared" si="32"/>
        <v>#REF!</v>
      </c>
      <c r="N149" s="138" t="str">
        <f t="shared" si="33"/>
        <v>#REF!</v>
      </c>
      <c r="O149" s="139">
        <f t="shared" si="7"/>
        <v>45000</v>
      </c>
      <c r="P149" s="140">
        <f t="shared" ref="P149:Q149" si="578">0.1+0.11/(0.1+MAX((K149/$H149),(0.5-(0.01*(0.7*$F149/$H149))-0.01*$E$2)))</f>
        <v>0.3777777778</v>
      </c>
      <c r="Q149" s="140">
        <f t="shared" si="578"/>
        <v>0.3777777778</v>
      </c>
      <c r="R149" s="139" t="str">
        <f t="shared" si="9"/>
        <v>#REF!</v>
      </c>
      <c r="S149" s="139" t="str">
        <f t="shared" si="10"/>
        <v>#REF!</v>
      </c>
      <c r="T149" s="141" t="str">
        <f t="shared" si="11"/>
        <v>#REF!</v>
      </c>
      <c r="U149" s="141" t="str">
        <f t="shared" si="12"/>
        <v>#REF!</v>
      </c>
      <c r="V149" s="142" t="str">
        <f t="shared" ref="V149:W149" si="579">IF(T149*K149&gt;=((0.5*$H149)-$I149),((T149*K149)-(0.5*$H149)+$I149),(0.5*$H149)-(T149*K149)-$I149)</f>
        <v>#REF!</v>
      </c>
      <c r="W149" s="142" t="str">
        <f t="shared" si="579"/>
        <v>#REF!</v>
      </c>
      <c r="X149" s="137" t="str">
        <f t="shared" ref="X149:Y149" si="580">(T149*K149)+(0.5*$H149)-$I149</f>
        <v>#REF!</v>
      </c>
      <c r="Y149" s="137" t="str">
        <f t="shared" si="580"/>
        <v>#REF!</v>
      </c>
      <c r="Z149" s="142">
        <f t="shared" si="15"/>
        <v>3.72947596</v>
      </c>
      <c r="AA149" s="142">
        <f t="shared" si="16"/>
        <v>3.72947596</v>
      </c>
      <c r="AB149" s="142">
        <f t="shared" ref="AB149:AC149" si="581">($H$2+((1-$H$2)/(1+50*(K149/$H149)^2)))*$J149</f>
        <v>19.50967301</v>
      </c>
      <c r="AC149" s="142">
        <f t="shared" si="581"/>
        <v>19.50967301</v>
      </c>
      <c r="AD149" s="142" t="str">
        <f t="shared" si="18"/>
        <v>#REF!</v>
      </c>
      <c r="AE149" s="142" t="str">
        <f t="shared" si="19"/>
        <v>#REF!</v>
      </c>
      <c r="AF149" s="143" t="str">
        <f t="shared" si="20"/>
        <v>#REF!</v>
      </c>
      <c r="AG149" s="154" t="str">
        <f t="shared" si="21"/>
        <v>#REF!</v>
      </c>
      <c r="AH149" s="145" t="str">
        <f t="shared" si="22"/>
        <v>#REF!</v>
      </c>
      <c r="AI149" s="146" t="str">
        <f t="shared" si="23"/>
        <v>#REF!</v>
      </c>
      <c r="AJ149" s="147" t="str">
        <f t="shared" si="24"/>
        <v>#REF!</v>
      </c>
      <c r="AK149" s="155"/>
      <c r="AL149" s="155"/>
      <c r="AM149" s="155"/>
      <c r="AN149" s="155"/>
      <c r="AO149" s="147">
        <f t="shared" si="25"/>
        <v>0</v>
      </c>
      <c r="AP149" s="147">
        <f t="shared" si="26"/>
        <v>0</v>
      </c>
      <c r="AQ149" s="95"/>
      <c r="AR149" s="95"/>
      <c r="AS149" s="58"/>
      <c r="AT149" s="95"/>
      <c r="AU149" s="95"/>
      <c r="AV149" s="95"/>
      <c r="AW149" s="95"/>
      <c r="AX149" s="95"/>
    </row>
    <row r="150" ht="19.5" customHeight="1">
      <c r="A150" s="151" t="str">
        <f>Locsolieu!A145</f>
        <v>406</v>
      </c>
      <c r="B150" s="152">
        <f>Locsolieu!C145</f>
        <v>1.636</v>
      </c>
      <c r="C150" s="132">
        <f>Locsolieu!D145*$C$4</f>
        <v>0.07896</v>
      </c>
      <c r="D150" s="133">
        <f>Locsolieu!E145*$C$4</f>
        <v>0.38135</v>
      </c>
      <c r="E150" s="153">
        <f>Locsolieu!F145</f>
        <v>1.636</v>
      </c>
      <c r="F150" s="135">
        <v>510.0</v>
      </c>
      <c r="G150" s="136">
        <v>20.0</v>
      </c>
      <c r="H150" s="136">
        <v>30.0</v>
      </c>
      <c r="I150" s="136">
        <v>3.0</v>
      </c>
      <c r="J150" s="136">
        <f t="shared" si="31"/>
        <v>27</v>
      </c>
      <c r="K150" s="137">
        <f t="shared" si="5"/>
        <v>4.826405868</v>
      </c>
      <c r="L150" s="137">
        <f t="shared" si="6"/>
        <v>23.3099022</v>
      </c>
      <c r="M150" s="138" t="str">
        <f t="shared" si="32"/>
        <v>#REF!</v>
      </c>
      <c r="N150" s="138" t="str">
        <f t="shared" si="33"/>
        <v>#REF!</v>
      </c>
      <c r="O150" s="139">
        <f t="shared" si="7"/>
        <v>45000</v>
      </c>
      <c r="P150" s="140">
        <f t="shared" ref="P150:Q150" si="582">0.1+0.11/(0.1+MAX((K150/$H150),(0.5-(0.01*(0.7*$F150/$H150))-0.01*$E$2)))</f>
        <v>0.3777777778</v>
      </c>
      <c r="Q150" s="140">
        <f t="shared" si="582"/>
        <v>0.2254280603</v>
      </c>
      <c r="R150" s="139" t="str">
        <f t="shared" si="9"/>
        <v>#REF!</v>
      </c>
      <c r="S150" s="139" t="str">
        <f t="shared" si="10"/>
        <v>#REF!</v>
      </c>
      <c r="T150" s="141" t="str">
        <f t="shared" si="11"/>
        <v>#REF!</v>
      </c>
      <c r="U150" s="141" t="str">
        <f t="shared" si="12"/>
        <v>#REF!</v>
      </c>
      <c r="V150" s="142" t="str">
        <f t="shared" ref="V150:W150" si="583">IF(T150*K150&gt;=((0.5*$H150)-$I150),((T150*K150)-(0.5*$H150)+$I150),(0.5*$H150)-(T150*K150)-$I150)</f>
        <v>#REF!</v>
      </c>
      <c r="W150" s="142" t="str">
        <f t="shared" si="583"/>
        <v>#REF!</v>
      </c>
      <c r="X150" s="137" t="str">
        <f t="shared" ref="X150:Y150" si="584">(T150*K150)+(0.5*$H150)-$I150</f>
        <v>#REF!</v>
      </c>
      <c r="Y150" s="137" t="str">
        <f t="shared" si="584"/>
        <v>#REF!</v>
      </c>
      <c r="Z150" s="142">
        <f t="shared" si="15"/>
        <v>1.154107982</v>
      </c>
      <c r="AA150" s="142">
        <f t="shared" si="16"/>
        <v>1.154107982</v>
      </c>
      <c r="AB150" s="142">
        <f t="shared" ref="AB150:AC150" si="585">($H$2+((1-$H$2)/(1+50*(K150/$H150)^2)))*$J150</f>
        <v>21.66922319</v>
      </c>
      <c r="AC150" s="142">
        <f t="shared" si="585"/>
        <v>17.85301867</v>
      </c>
      <c r="AD150" s="142" t="str">
        <f t="shared" si="18"/>
        <v>#REF!</v>
      </c>
      <c r="AE150" s="142" t="str">
        <f t="shared" si="19"/>
        <v>#REF!</v>
      </c>
      <c r="AF150" s="143" t="str">
        <f t="shared" si="20"/>
        <v>#REF!</v>
      </c>
      <c r="AG150" s="154" t="str">
        <f t="shared" si="21"/>
        <v>#REF!</v>
      </c>
      <c r="AH150" s="145" t="str">
        <f t="shared" si="22"/>
        <v>#REF!</v>
      </c>
      <c r="AI150" s="146" t="str">
        <f t="shared" si="23"/>
        <v>#REF!</v>
      </c>
      <c r="AJ150" s="147" t="str">
        <f t="shared" si="24"/>
        <v>#REF!</v>
      </c>
      <c r="AK150" s="155"/>
      <c r="AL150" s="155"/>
      <c r="AM150" s="155"/>
      <c r="AN150" s="155"/>
      <c r="AO150" s="147">
        <f t="shared" si="25"/>
        <v>0</v>
      </c>
      <c r="AP150" s="147">
        <f t="shared" si="26"/>
        <v>0</v>
      </c>
      <c r="AQ150" s="95"/>
      <c r="AR150" s="95"/>
      <c r="AS150" s="58"/>
      <c r="AT150" s="95"/>
      <c r="AU150" s="95"/>
      <c r="AV150" s="95"/>
      <c r="AW150" s="95"/>
      <c r="AX150" s="95"/>
    </row>
    <row r="151" ht="19.5" customHeight="1">
      <c r="A151" s="151" t="str">
        <f>Locsolieu!A146</f>
        <v>406</v>
      </c>
      <c r="B151" s="152">
        <f>Locsolieu!C146</f>
        <v>1.636</v>
      </c>
      <c r="C151" s="132">
        <f>Locsolieu!D146*$C$4</f>
        <v>0.07896</v>
      </c>
      <c r="D151" s="133">
        <f>Locsolieu!E146*$C$4</f>
        <v>0.38135</v>
      </c>
      <c r="E151" s="153">
        <f>Locsolieu!F146</f>
        <v>1.636</v>
      </c>
      <c r="F151" s="135">
        <v>510.0</v>
      </c>
      <c r="G151" s="136">
        <v>20.0</v>
      </c>
      <c r="H151" s="136">
        <v>30.0</v>
      </c>
      <c r="I151" s="136">
        <v>3.0</v>
      </c>
      <c r="J151" s="136">
        <f t="shared" si="31"/>
        <v>27</v>
      </c>
      <c r="K151" s="137">
        <f t="shared" si="5"/>
        <v>4.826405868</v>
      </c>
      <c r="L151" s="137">
        <f t="shared" si="6"/>
        <v>23.3099022</v>
      </c>
      <c r="M151" s="138" t="str">
        <f t="shared" si="32"/>
        <v>#REF!</v>
      </c>
      <c r="N151" s="138" t="str">
        <f t="shared" si="33"/>
        <v>#REF!</v>
      </c>
      <c r="O151" s="139">
        <f t="shared" si="7"/>
        <v>45000</v>
      </c>
      <c r="P151" s="140">
        <f t="shared" ref="P151:Q151" si="586">0.1+0.11/(0.1+MAX((K151/$H151),(0.5-(0.01*(0.7*$F151/$H151))-0.01*$E$2)))</f>
        <v>0.3777777778</v>
      </c>
      <c r="Q151" s="140">
        <f t="shared" si="586"/>
        <v>0.2254280603</v>
      </c>
      <c r="R151" s="139" t="str">
        <f t="shared" si="9"/>
        <v>#REF!</v>
      </c>
      <c r="S151" s="139" t="str">
        <f t="shared" si="10"/>
        <v>#REF!</v>
      </c>
      <c r="T151" s="141" t="str">
        <f t="shared" si="11"/>
        <v>#REF!</v>
      </c>
      <c r="U151" s="141" t="str">
        <f t="shared" si="12"/>
        <v>#REF!</v>
      </c>
      <c r="V151" s="142" t="str">
        <f t="shared" ref="V151:W151" si="587">IF(T151*K151&gt;=((0.5*$H151)-$I151),((T151*K151)-(0.5*$H151)+$I151),(0.5*$H151)-(T151*K151)-$I151)</f>
        <v>#REF!</v>
      </c>
      <c r="W151" s="142" t="str">
        <f t="shared" si="587"/>
        <v>#REF!</v>
      </c>
      <c r="X151" s="137" t="str">
        <f t="shared" ref="X151:Y151" si="588">(T151*K151)+(0.5*$H151)-$I151</f>
        <v>#REF!</v>
      </c>
      <c r="Y151" s="137" t="str">
        <f t="shared" si="588"/>
        <v>#REF!</v>
      </c>
      <c r="Z151" s="142">
        <f t="shared" si="15"/>
        <v>1.154107982</v>
      </c>
      <c r="AA151" s="142">
        <f t="shared" si="16"/>
        <v>1.154107982</v>
      </c>
      <c r="AB151" s="142">
        <f t="shared" ref="AB151:AC151" si="589">($H$2+((1-$H$2)/(1+50*(K151/$H151)^2)))*$J151</f>
        <v>21.66922319</v>
      </c>
      <c r="AC151" s="142">
        <f t="shared" si="589"/>
        <v>17.85301867</v>
      </c>
      <c r="AD151" s="142" t="str">
        <f t="shared" si="18"/>
        <v>#REF!</v>
      </c>
      <c r="AE151" s="142" t="str">
        <f t="shared" si="19"/>
        <v>#REF!</v>
      </c>
      <c r="AF151" s="143" t="str">
        <f t="shared" si="20"/>
        <v>#REF!</v>
      </c>
      <c r="AG151" s="154" t="str">
        <f t="shared" si="21"/>
        <v>#REF!</v>
      </c>
      <c r="AH151" s="145" t="str">
        <f t="shared" si="22"/>
        <v>#REF!</v>
      </c>
      <c r="AI151" s="146" t="str">
        <f t="shared" si="23"/>
        <v>#REF!</v>
      </c>
      <c r="AJ151" s="147" t="str">
        <f t="shared" si="24"/>
        <v>#REF!</v>
      </c>
      <c r="AK151" s="155"/>
      <c r="AL151" s="155"/>
      <c r="AM151" s="155"/>
      <c r="AN151" s="155"/>
      <c r="AO151" s="147">
        <f t="shared" si="25"/>
        <v>0</v>
      </c>
      <c r="AP151" s="147">
        <f t="shared" si="26"/>
        <v>0</v>
      </c>
      <c r="AQ151" s="95"/>
      <c r="AR151" s="95"/>
      <c r="AS151" s="58"/>
      <c r="AT151" s="95"/>
      <c r="AU151" s="95"/>
      <c r="AV151" s="95"/>
      <c r="AW151" s="95"/>
      <c r="AX151" s="95"/>
    </row>
    <row r="152" ht="19.5" customHeight="1">
      <c r="A152" s="151" t="str">
        <f>Locsolieu!A147</f>
        <v>407</v>
      </c>
      <c r="B152" s="152">
        <f>Locsolieu!C147</f>
        <v>1.6278</v>
      </c>
      <c r="C152" s="132">
        <f>Locsolieu!D147*$C$4</f>
        <v>0.50749</v>
      </c>
      <c r="D152" s="133">
        <f>Locsolieu!E147*$C$4</f>
        <v>0.50749</v>
      </c>
      <c r="E152" s="153">
        <f>Locsolieu!F147</f>
        <v>1.6278</v>
      </c>
      <c r="F152" s="135">
        <v>510.0</v>
      </c>
      <c r="G152" s="136">
        <v>20.0</v>
      </c>
      <c r="H152" s="136">
        <v>30.0</v>
      </c>
      <c r="I152" s="136">
        <v>3.0</v>
      </c>
      <c r="J152" s="136">
        <f t="shared" si="31"/>
        <v>27</v>
      </c>
      <c r="K152" s="137">
        <f t="shared" si="5"/>
        <v>31.17643445</v>
      </c>
      <c r="L152" s="137">
        <f t="shared" si="6"/>
        <v>31.17643445</v>
      </c>
      <c r="M152" s="138" t="str">
        <f t="shared" si="32"/>
        <v>#REF!</v>
      </c>
      <c r="N152" s="138" t="str">
        <f t="shared" si="33"/>
        <v>#REF!</v>
      </c>
      <c r="O152" s="139">
        <f t="shared" si="7"/>
        <v>45000</v>
      </c>
      <c r="P152" s="140">
        <f t="shared" ref="P152:Q152" si="590">0.1+0.11/(0.1+MAX((K152/$H152),(0.5-(0.01*(0.7*$F152/$H152))-0.01*$E$2)))</f>
        <v>0.1965577613</v>
      </c>
      <c r="Q152" s="140">
        <f t="shared" si="590"/>
        <v>0.1965577613</v>
      </c>
      <c r="R152" s="139" t="str">
        <f t="shared" si="9"/>
        <v>#REF!</v>
      </c>
      <c r="S152" s="139" t="str">
        <f t="shared" si="10"/>
        <v>#REF!</v>
      </c>
      <c r="T152" s="141" t="str">
        <f t="shared" si="11"/>
        <v>#REF!</v>
      </c>
      <c r="U152" s="141" t="str">
        <f t="shared" si="12"/>
        <v>#REF!</v>
      </c>
      <c r="V152" s="142" t="str">
        <f t="shared" ref="V152:W152" si="591">IF(T152*K152&gt;=((0.5*$H152)-$I152),((T152*K152)-(0.5*$H152)+$I152),(0.5*$H152)-(T152*K152)-$I152)</f>
        <v>#REF!</v>
      </c>
      <c r="W152" s="142" t="str">
        <f t="shared" si="591"/>
        <v>#REF!</v>
      </c>
      <c r="X152" s="137" t="str">
        <f t="shared" ref="X152:Y152" si="592">(T152*K152)+(0.5*$H152)-$I152</f>
        <v>#REF!</v>
      </c>
      <c r="Y152" s="137" t="str">
        <f t="shared" si="592"/>
        <v>#REF!</v>
      </c>
      <c r="Z152" s="142">
        <f t="shared" si="15"/>
        <v>1.148323334</v>
      </c>
      <c r="AA152" s="142">
        <f t="shared" si="16"/>
        <v>1.148323334</v>
      </c>
      <c r="AB152" s="142">
        <f t="shared" ref="AB152:AC152" si="593">($H$2+((1-$H$2)/(1+50*(K152/$H152)^2)))*$J152</f>
        <v>17.72182338</v>
      </c>
      <c r="AC152" s="142">
        <f t="shared" si="593"/>
        <v>17.72182338</v>
      </c>
      <c r="AD152" s="142" t="str">
        <f t="shared" si="18"/>
        <v>#REF!</v>
      </c>
      <c r="AE152" s="142" t="str">
        <f t="shared" si="19"/>
        <v>#REF!</v>
      </c>
      <c r="AF152" s="143" t="str">
        <f t="shared" si="20"/>
        <v>#REF!</v>
      </c>
      <c r="AG152" s="154" t="str">
        <f t="shared" si="21"/>
        <v>#REF!</v>
      </c>
      <c r="AH152" s="145" t="str">
        <f t="shared" si="22"/>
        <v>#REF!</v>
      </c>
      <c r="AI152" s="146" t="str">
        <f t="shared" si="23"/>
        <v>#REF!</v>
      </c>
      <c r="AJ152" s="147" t="str">
        <f t="shared" si="24"/>
        <v>#REF!</v>
      </c>
      <c r="AK152" s="155"/>
      <c r="AL152" s="155"/>
      <c r="AM152" s="155"/>
      <c r="AN152" s="155"/>
      <c r="AO152" s="147">
        <f t="shared" si="25"/>
        <v>0</v>
      </c>
      <c r="AP152" s="147">
        <f t="shared" si="26"/>
        <v>0</v>
      </c>
      <c r="AQ152" s="95"/>
      <c r="AR152" s="95"/>
      <c r="AS152" s="58"/>
      <c r="AT152" s="95"/>
      <c r="AU152" s="95"/>
      <c r="AV152" s="95"/>
      <c r="AW152" s="95"/>
      <c r="AX152" s="95"/>
    </row>
    <row r="153" ht="19.5" customHeight="1">
      <c r="A153" s="151" t="str">
        <f>Locsolieu!A148</f>
        <v>408</v>
      </c>
      <c r="B153" s="152">
        <f>Locsolieu!C148</f>
        <v>2.2859</v>
      </c>
      <c r="C153" s="132">
        <f>Locsolieu!D148*$C$4</f>
        <v>0.04562</v>
      </c>
      <c r="D153" s="133">
        <f>Locsolieu!E148*$C$4</f>
        <v>0.15955</v>
      </c>
      <c r="E153" s="153">
        <f>Locsolieu!F148</f>
        <v>2.2859</v>
      </c>
      <c r="F153" s="135">
        <v>510.0</v>
      </c>
      <c r="G153" s="136">
        <v>20.0</v>
      </c>
      <c r="H153" s="136">
        <v>30.0</v>
      </c>
      <c r="I153" s="136">
        <v>3.0</v>
      </c>
      <c r="J153" s="136">
        <f t="shared" si="31"/>
        <v>27</v>
      </c>
      <c r="K153" s="137">
        <f t="shared" si="5"/>
        <v>1.995712848</v>
      </c>
      <c r="L153" s="137">
        <f t="shared" si="6"/>
        <v>6.979745396</v>
      </c>
      <c r="M153" s="138" t="str">
        <f t="shared" si="32"/>
        <v>#REF!</v>
      </c>
      <c r="N153" s="138" t="str">
        <f t="shared" si="33"/>
        <v>#REF!</v>
      </c>
      <c r="O153" s="139">
        <f t="shared" si="7"/>
        <v>45000</v>
      </c>
      <c r="P153" s="140">
        <f t="shared" ref="P153:Q153" si="594">0.1+0.11/(0.1+MAX((K153/$H153),(0.5-(0.01*(0.7*$F153/$H153))-0.01*$E$2)))</f>
        <v>0.3777777778</v>
      </c>
      <c r="Q153" s="140">
        <f t="shared" si="594"/>
        <v>0.3777777778</v>
      </c>
      <c r="R153" s="139" t="str">
        <f t="shared" si="9"/>
        <v>#REF!</v>
      </c>
      <c r="S153" s="139" t="str">
        <f t="shared" si="10"/>
        <v>#REF!</v>
      </c>
      <c r="T153" s="141" t="str">
        <f t="shared" si="11"/>
        <v>#REF!</v>
      </c>
      <c r="U153" s="141" t="str">
        <f t="shared" si="12"/>
        <v>#REF!</v>
      </c>
      <c r="V153" s="142" t="str">
        <f t="shared" ref="V153:W153" si="595">IF(T153*K153&gt;=((0.5*$H153)-$I153),((T153*K153)-(0.5*$H153)+$I153),(0.5*$H153)-(T153*K153)-$I153)</f>
        <v>#REF!</v>
      </c>
      <c r="W153" s="142" t="str">
        <f t="shared" si="595"/>
        <v>#REF!</v>
      </c>
      <c r="X153" s="137" t="str">
        <f t="shared" ref="X153:Y153" si="596">(T153*K153)+(0.5*$H153)-$I153</f>
        <v>#REF!</v>
      </c>
      <c r="Y153" s="137" t="str">
        <f t="shared" si="596"/>
        <v>#REF!</v>
      </c>
      <c r="Z153" s="142">
        <f t="shared" si="15"/>
        <v>1.612576673</v>
      </c>
      <c r="AA153" s="142">
        <f t="shared" si="16"/>
        <v>1.612576673</v>
      </c>
      <c r="AB153" s="142">
        <f t="shared" ref="AB153:AC153" si="597">($H$2+((1-$H$2)/(1+50*(K153/$H153)^2)))*$J153</f>
        <v>25.28784323</v>
      </c>
      <c r="AC153" s="142">
        <f t="shared" si="597"/>
        <v>20.09958096</v>
      </c>
      <c r="AD153" s="142" t="str">
        <f t="shared" si="18"/>
        <v>#REF!</v>
      </c>
      <c r="AE153" s="142" t="str">
        <f t="shared" si="19"/>
        <v>#REF!</v>
      </c>
      <c r="AF153" s="143" t="str">
        <f t="shared" si="20"/>
        <v>#REF!</v>
      </c>
      <c r="AG153" s="154" t="str">
        <f t="shared" si="21"/>
        <v>#REF!</v>
      </c>
      <c r="AH153" s="145" t="str">
        <f t="shared" si="22"/>
        <v>#REF!</v>
      </c>
      <c r="AI153" s="146" t="str">
        <f t="shared" si="23"/>
        <v>#REF!</v>
      </c>
      <c r="AJ153" s="147" t="str">
        <f t="shared" si="24"/>
        <v>#REF!</v>
      </c>
      <c r="AK153" s="155"/>
      <c r="AL153" s="155"/>
      <c r="AM153" s="155"/>
      <c r="AN153" s="155"/>
      <c r="AO153" s="147">
        <f t="shared" si="25"/>
        <v>0</v>
      </c>
      <c r="AP153" s="147">
        <f t="shared" si="26"/>
        <v>0</v>
      </c>
      <c r="AQ153" s="95"/>
      <c r="AR153" s="95"/>
      <c r="AS153" s="58"/>
      <c r="AT153" s="95"/>
      <c r="AU153" s="95"/>
      <c r="AV153" s="95"/>
      <c r="AW153" s="95"/>
      <c r="AX153" s="95"/>
    </row>
    <row r="154" ht="19.5" customHeight="1">
      <c r="A154" s="151" t="str">
        <f>Locsolieu!A149</f>
        <v>408</v>
      </c>
      <c r="B154" s="152">
        <f>Locsolieu!C149</f>
        <v>2.2859</v>
      </c>
      <c r="C154" s="132">
        <f>Locsolieu!D149*$C$4</f>
        <v>0.04562</v>
      </c>
      <c r="D154" s="133">
        <f>Locsolieu!E149*$C$4</f>
        <v>0.15955</v>
      </c>
      <c r="E154" s="153">
        <f>Locsolieu!F149</f>
        <v>2.2859</v>
      </c>
      <c r="F154" s="135">
        <v>510.0</v>
      </c>
      <c r="G154" s="136">
        <v>20.0</v>
      </c>
      <c r="H154" s="136">
        <v>30.0</v>
      </c>
      <c r="I154" s="136">
        <v>3.0</v>
      </c>
      <c r="J154" s="136">
        <f t="shared" si="31"/>
        <v>27</v>
      </c>
      <c r="K154" s="137">
        <f t="shared" si="5"/>
        <v>1.995712848</v>
      </c>
      <c r="L154" s="137">
        <f t="shared" si="6"/>
        <v>6.979745396</v>
      </c>
      <c r="M154" s="138" t="str">
        <f t="shared" si="32"/>
        <v>#REF!</v>
      </c>
      <c r="N154" s="138" t="str">
        <f t="shared" si="33"/>
        <v>#REF!</v>
      </c>
      <c r="O154" s="139">
        <f t="shared" si="7"/>
        <v>45000</v>
      </c>
      <c r="P154" s="140">
        <f t="shared" ref="P154:Q154" si="598">0.1+0.11/(0.1+MAX((K154/$H154),(0.5-(0.01*(0.7*$F154/$H154))-0.01*$E$2)))</f>
        <v>0.3777777778</v>
      </c>
      <c r="Q154" s="140">
        <f t="shared" si="598"/>
        <v>0.3777777778</v>
      </c>
      <c r="R154" s="139" t="str">
        <f t="shared" si="9"/>
        <v>#REF!</v>
      </c>
      <c r="S154" s="139" t="str">
        <f t="shared" si="10"/>
        <v>#REF!</v>
      </c>
      <c r="T154" s="141" t="str">
        <f t="shared" si="11"/>
        <v>#REF!</v>
      </c>
      <c r="U154" s="141" t="str">
        <f t="shared" si="12"/>
        <v>#REF!</v>
      </c>
      <c r="V154" s="142" t="str">
        <f t="shared" ref="V154:W154" si="599">IF(T154*K154&gt;=((0.5*$H154)-$I154),((T154*K154)-(0.5*$H154)+$I154),(0.5*$H154)-(T154*K154)-$I154)</f>
        <v>#REF!</v>
      </c>
      <c r="W154" s="142" t="str">
        <f t="shared" si="599"/>
        <v>#REF!</v>
      </c>
      <c r="X154" s="137" t="str">
        <f t="shared" ref="X154:Y154" si="600">(T154*K154)+(0.5*$H154)-$I154</f>
        <v>#REF!</v>
      </c>
      <c r="Y154" s="137" t="str">
        <f t="shared" si="600"/>
        <v>#REF!</v>
      </c>
      <c r="Z154" s="142">
        <f t="shared" si="15"/>
        <v>1.612576673</v>
      </c>
      <c r="AA154" s="142">
        <f t="shared" si="16"/>
        <v>1.612576673</v>
      </c>
      <c r="AB154" s="142">
        <f t="shared" ref="AB154:AC154" si="601">($H$2+((1-$H$2)/(1+50*(K154/$H154)^2)))*$J154</f>
        <v>25.28784323</v>
      </c>
      <c r="AC154" s="142">
        <f t="shared" si="601"/>
        <v>20.09958096</v>
      </c>
      <c r="AD154" s="142" t="str">
        <f t="shared" si="18"/>
        <v>#REF!</v>
      </c>
      <c r="AE154" s="142" t="str">
        <f t="shared" si="19"/>
        <v>#REF!</v>
      </c>
      <c r="AF154" s="143" t="str">
        <f t="shared" si="20"/>
        <v>#REF!</v>
      </c>
      <c r="AG154" s="154" t="str">
        <f t="shared" si="21"/>
        <v>#REF!</v>
      </c>
      <c r="AH154" s="145" t="str">
        <f t="shared" si="22"/>
        <v>#REF!</v>
      </c>
      <c r="AI154" s="146" t="str">
        <f t="shared" si="23"/>
        <v>#REF!</v>
      </c>
      <c r="AJ154" s="147" t="str">
        <f t="shared" si="24"/>
        <v>#REF!</v>
      </c>
      <c r="AK154" s="155"/>
      <c r="AL154" s="155"/>
      <c r="AM154" s="155"/>
      <c r="AN154" s="155"/>
      <c r="AO154" s="147">
        <f t="shared" si="25"/>
        <v>0</v>
      </c>
      <c r="AP154" s="147">
        <f t="shared" si="26"/>
        <v>0</v>
      </c>
      <c r="AQ154" s="95"/>
      <c r="AR154" s="95"/>
      <c r="AS154" s="58"/>
      <c r="AT154" s="95"/>
      <c r="AU154" s="95"/>
      <c r="AV154" s="95"/>
      <c r="AW154" s="95"/>
      <c r="AX154" s="95"/>
    </row>
    <row r="155" ht="19.5" customHeight="1">
      <c r="A155" s="95"/>
      <c r="B155" s="95"/>
      <c r="C155" s="95"/>
      <c r="D155" s="95"/>
      <c r="E155" s="95"/>
      <c r="F155" s="159"/>
      <c r="G155" s="95"/>
      <c r="H155" s="95"/>
      <c r="I155" s="95"/>
      <c r="J155" s="95"/>
      <c r="K155" s="95"/>
      <c r="L155" s="95"/>
      <c r="M155" s="159"/>
      <c r="N155" s="159"/>
      <c r="O155" s="159"/>
      <c r="P155" s="16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  <c r="AC155" s="95"/>
      <c r="AD155" s="94"/>
      <c r="AE155" s="94"/>
      <c r="AF155" s="94"/>
      <c r="AG155" s="94"/>
      <c r="AH155" s="94"/>
      <c r="AI155" s="94"/>
      <c r="AJ155" s="95"/>
      <c r="AK155" s="95"/>
      <c r="AL155" s="95"/>
      <c r="AM155" s="95"/>
      <c r="AN155" s="95"/>
      <c r="AO155" s="95"/>
      <c r="AP155" s="95"/>
      <c r="AQ155" s="95"/>
      <c r="AR155" s="95"/>
      <c r="AS155" s="58"/>
      <c r="AT155" s="95"/>
      <c r="AU155" s="95"/>
      <c r="AV155" s="95"/>
      <c r="AW155" s="95"/>
      <c r="AX155" s="95"/>
    </row>
    <row r="156" ht="19.5" customHeight="1">
      <c r="A156" s="95"/>
      <c r="B156" s="95"/>
      <c r="C156" s="95"/>
      <c r="D156" s="95"/>
      <c r="E156" s="95"/>
      <c r="F156" s="159"/>
      <c r="G156" s="95"/>
      <c r="H156" s="95"/>
      <c r="I156" s="95"/>
      <c r="J156" s="95"/>
      <c r="K156" s="95"/>
      <c r="L156" s="95"/>
      <c r="M156" s="159"/>
      <c r="N156" s="159"/>
      <c r="O156" s="159"/>
      <c r="P156" s="16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4"/>
      <c r="AE156" s="94"/>
      <c r="AF156" s="94"/>
      <c r="AG156" s="94"/>
      <c r="AH156" s="94"/>
      <c r="AI156" s="94"/>
      <c r="AJ156" s="95"/>
      <c r="AK156" s="95"/>
      <c r="AL156" s="95"/>
      <c r="AM156" s="95"/>
      <c r="AN156" s="95"/>
      <c r="AO156" s="95"/>
      <c r="AP156" s="95"/>
      <c r="AQ156" s="95"/>
      <c r="AR156" s="95"/>
      <c r="AS156" s="58"/>
      <c r="AT156" s="95"/>
      <c r="AU156" s="95"/>
      <c r="AV156" s="95"/>
      <c r="AW156" s="95"/>
      <c r="AX156" s="95"/>
    </row>
    <row r="157" ht="19.5" customHeight="1">
      <c r="A157" s="95"/>
      <c r="B157" s="95"/>
      <c r="C157" s="95"/>
      <c r="D157" s="95"/>
      <c r="E157" s="95"/>
      <c r="F157" s="159"/>
      <c r="G157" s="95"/>
      <c r="H157" s="95"/>
      <c r="I157" s="95"/>
      <c r="J157" s="95"/>
      <c r="K157" s="95"/>
      <c r="L157" s="95"/>
      <c r="M157" s="159"/>
      <c r="N157" s="159"/>
      <c r="O157" s="159"/>
      <c r="P157" s="16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  <c r="AC157" s="95"/>
      <c r="AD157" s="94"/>
      <c r="AE157" s="94"/>
      <c r="AF157" s="94"/>
      <c r="AG157" s="94"/>
      <c r="AH157" s="94"/>
      <c r="AI157" s="94"/>
      <c r="AJ157" s="95"/>
      <c r="AK157" s="95"/>
      <c r="AL157" s="95"/>
      <c r="AM157" s="95"/>
      <c r="AN157" s="95"/>
      <c r="AO157" s="95"/>
      <c r="AP157" s="95"/>
      <c r="AQ157" s="95"/>
      <c r="AR157" s="95"/>
      <c r="AS157" s="58"/>
      <c r="AT157" s="95"/>
      <c r="AU157" s="95"/>
      <c r="AV157" s="95"/>
      <c r="AW157" s="95"/>
      <c r="AX157" s="95"/>
    </row>
    <row r="158" ht="19.5" customHeight="1">
      <c r="A158" s="95"/>
      <c r="B158" s="95"/>
      <c r="C158" s="95"/>
      <c r="D158" s="95"/>
      <c r="E158" s="95"/>
      <c r="F158" s="159"/>
      <c r="G158" s="95"/>
      <c r="H158" s="95"/>
      <c r="I158" s="95"/>
      <c r="J158" s="95"/>
      <c r="K158" s="95"/>
      <c r="L158" s="95"/>
      <c r="M158" s="159"/>
      <c r="N158" s="159"/>
      <c r="O158" s="159"/>
      <c r="P158" s="16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4"/>
      <c r="AE158" s="94"/>
      <c r="AF158" s="94"/>
      <c r="AG158" s="94"/>
      <c r="AH158" s="94"/>
      <c r="AI158" s="94"/>
      <c r="AJ158" s="95"/>
      <c r="AK158" s="95"/>
      <c r="AL158" s="95"/>
      <c r="AM158" s="95"/>
      <c r="AN158" s="95"/>
      <c r="AO158" s="95"/>
      <c r="AP158" s="95"/>
      <c r="AQ158" s="95"/>
      <c r="AR158" s="95"/>
      <c r="AS158" s="58"/>
      <c r="AT158" s="95"/>
      <c r="AU158" s="95"/>
      <c r="AV158" s="95"/>
      <c r="AW158" s="95"/>
      <c r="AX158" s="95"/>
    </row>
    <row r="159" ht="19.5" customHeight="1">
      <c r="A159" s="95"/>
      <c r="B159" s="95"/>
      <c r="C159" s="95"/>
      <c r="D159" s="95"/>
      <c r="E159" s="95"/>
      <c r="F159" s="159"/>
      <c r="G159" s="95"/>
      <c r="H159" s="95"/>
      <c r="I159" s="95"/>
      <c r="J159" s="95"/>
      <c r="K159" s="95"/>
      <c r="L159" s="95"/>
      <c r="M159" s="159"/>
      <c r="N159" s="159"/>
      <c r="O159" s="159"/>
      <c r="P159" s="16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  <c r="AC159" s="95"/>
      <c r="AD159" s="94"/>
      <c r="AE159" s="94"/>
      <c r="AF159" s="94"/>
      <c r="AG159" s="94"/>
      <c r="AH159" s="94"/>
      <c r="AI159" s="94"/>
      <c r="AJ159" s="95"/>
      <c r="AK159" s="95"/>
      <c r="AL159" s="95"/>
      <c r="AM159" s="95"/>
      <c r="AN159" s="95"/>
      <c r="AO159" s="95"/>
      <c r="AP159" s="95"/>
      <c r="AQ159" s="95"/>
      <c r="AR159" s="95"/>
      <c r="AS159" s="58"/>
      <c r="AT159" s="95"/>
      <c r="AU159" s="95"/>
      <c r="AV159" s="95"/>
      <c r="AW159" s="95"/>
      <c r="AX159" s="95"/>
    </row>
    <row r="160" ht="19.5" customHeight="1">
      <c r="A160" s="95"/>
      <c r="B160" s="95"/>
      <c r="C160" s="95"/>
      <c r="D160" s="95"/>
      <c r="E160" s="95"/>
      <c r="F160" s="159"/>
      <c r="G160" s="95"/>
      <c r="H160" s="95"/>
      <c r="I160" s="95"/>
      <c r="J160" s="95"/>
      <c r="K160" s="95"/>
      <c r="L160" s="95"/>
      <c r="M160" s="159"/>
      <c r="N160" s="159"/>
      <c r="O160" s="159"/>
      <c r="P160" s="16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4"/>
      <c r="AE160" s="94"/>
      <c r="AF160" s="94"/>
      <c r="AG160" s="94"/>
      <c r="AH160" s="94"/>
      <c r="AI160" s="94"/>
      <c r="AJ160" s="95"/>
      <c r="AK160" s="95"/>
      <c r="AL160" s="95"/>
      <c r="AM160" s="95"/>
      <c r="AN160" s="95"/>
      <c r="AO160" s="95"/>
      <c r="AP160" s="95"/>
      <c r="AQ160" s="95"/>
      <c r="AR160" s="95"/>
      <c r="AS160" s="58"/>
      <c r="AT160" s="95"/>
      <c r="AU160" s="95"/>
      <c r="AV160" s="95"/>
      <c r="AW160" s="95"/>
      <c r="AX160" s="95"/>
    </row>
    <row r="161" ht="19.5" customHeight="1">
      <c r="A161" s="95"/>
      <c r="B161" s="95"/>
      <c r="C161" s="95"/>
      <c r="D161" s="95"/>
      <c r="E161" s="95"/>
      <c r="F161" s="159"/>
      <c r="G161" s="95"/>
      <c r="H161" s="95"/>
      <c r="I161" s="95"/>
      <c r="J161" s="95"/>
      <c r="K161" s="95"/>
      <c r="L161" s="95"/>
      <c r="M161" s="159"/>
      <c r="N161" s="159"/>
      <c r="O161" s="159"/>
      <c r="P161" s="16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4"/>
      <c r="AE161" s="94"/>
      <c r="AF161" s="94"/>
      <c r="AG161" s="94"/>
      <c r="AH161" s="94"/>
      <c r="AI161" s="94"/>
      <c r="AJ161" s="95"/>
      <c r="AK161" s="95"/>
      <c r="AL161" s="95"/>
      <c r="AM161" s="95"/>
      <c r="AN161" s="95"/>
      <c r="AO161" s="95"/>
      <c r="AP161" s="95"/>
      <c r="AQ161" s="95"/>
      <c r="AR161" s="95"/>
      <c r="AS161" s="58"/>
      <c r="AT161" s="95"/>
      <c r="AU161" s="95"/>
      <c r="AV161" s="95"/>
      <c r="AW161" s="95"/>
      <c r="AX161" s="95"/>
    </row>
    <row r="162" ht="19.5" customHeight="1">
      <c r="A162" s="95"/>
      <c r="B162" s="95"/>
      <c r="C162" s="95"/>
      <c r="D162" s="95"/>
      <c r="E162" s="95"/>
      <c r="F162" s="159"/>
      <c r="G162" s="95"/>
      <c r="H162" s="95"/>
      <c r="I162" s="95"/>
      <c r="J162" s="95"/>
      <c r="K162" s="95"/>
      <c r="L162" s="95"/>
      <c r="M162" s="159"/>
      <c r="N162" s="159"/>
      <c r="O162" s="159"/>
      <c r="P162" s="16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4"/>
      <c r="AE162" s="94"/>
      <c r="AF162" s="94"/>
      <c r="AG162" s="94"/>
      <c r="AH162" s="94"/>
      <c r="AI162" s="94"/>
      <c r="AJ162" s="95"/>
      <c r="AK162" s="95"/>
      <c r="AL162" s="95"/>
      <c r="AM162" s="95"/>
      <c r="AN162" s="95"/>
      <c r="AO162" s="95"/>
      <c r="AP162" s="95"/>
      <c r="AQ162" s="95"/>
      <c r="AR162" s="95"/>
      <c r="AS162" s="58"/>
      <c r="AT162" s="95"/>
      <c r="AU162" s="95"/>
      <c r="AV162" s="95"/>
      <c r="AW162" s="95"/>
      <c r="AX162" s="95"/>
    </row>
    <row r="163" ht="19.5" customHeight="1">
      <c r="A163" s="95"/>
      <c r="B163" s="95"/>
      <c r="C163" s="95"/>
      <c r="D163" s="95"/>
      <c r="E163" s="95"/>
      <c r="F163" s="159"/>
      <c r="G163" s="95"/>
      <c r="H163" s="95"/>
      <c r="I163" s="95"/>
      <c r="J163" s="95"/>
      <c r="K163" s="95"/>
      <c r="L163" s="95"/>
      <c r="M163" s="159"/>
      <c r="N163" s="159"/>
      <c r="O163" s="159"/>
      <c r="P163" s="16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4"/>
      <c r="AE163" s="94"/>
      <c r="AF163" s="94"/>
      <c r="AG163" s="94"/>
      <c r="AH163" s="94"/>
      <c r="AI163" s="94"/>
      <c r="AJ163" s="95"/>
      <c r="AK163" s="95"/>
      <c r="AL163" s="95"/>
      <c r="AM163" s="95"/>
      <c r="AN163" s="95"/>
      <c r="AO163" s="95"/>
      <c r="AP163" s="95"/>
      <c r="AQ163" s="95"/>
      <c r="AR163" s="95"/>
      <c r="AS163" s="58"/>
      <c r="AT163" s="95"/>
      <c r="AU163" s="95"/>
      <c r="AV163" s="95"/>
      <c r="AW163" s="95"/>
      <c r="AX163" s="95"/>
    </row>
    <row r="164" ht="19.5" customHeight="1">
      <c r="A164" s="95"/>
      <c r="B164" s="95"/>
      <c r="C164" s="95"/>
      <c r="D164" s="95"/>
      <c r="E164" s="95"/>
      <c r="F164" s="159"/>
      <c r="G164" s="95"/>
      <c r="H164" s="95"/>
      <c r="I164" s="95"/>
      <c r="J164" s="95"/>
      <c r="K164" s="95"/>
      <c r="L164" s="95"/>
      <c r="M164" s="159"/>
      <c r="N164" s="159"/>
      <c r="O164" s="159"/>
      <c r="P164" s="16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4"/>
      <c r="AE164" s="94"/>
      <c r="AF164" s="94"/>
      <c r="AG164" s="94"/>
      <c r="AH164" s="94"/>
      <c r="AI164" s="94"/>
      <c r="AJ164" s="95"/>
      <c r="AK164" s="95"/>
      <c r="AL164" s="95"/>
      <c r="AM164" s="95"/>
      <c r="AN164" s="95"/>
      <c r="AO164" s="95"/>
      <c r="AP164" s="95"/>
      <c r="AQ164" s="95"/>
      <c r="AR164" s="95"/>
      <c r="AS164" s="58"/>
      <c r="AT164" s="95"/>
      <c r="AU164" s="95"/>
      <c r="AV164" s="95"/>
      <c r="AW164" s="95"/>
      <c r="AX164" s="95"/>
    </row>
    <row r="165" ht="19.5" customHeight="1">
      <c r="A165" s="95"/>
      <c r="B165" s="95"/>
      <c r="C165" s="95"/>
      <c r="D165" s="95"/>
      <c r="E165" s="95"/>
      <c r="F165" s="159"/>
      <c r="G165" s="95"/>
      <c r="H165" s="95"/>
      <c r="I165" s="95"/>
      <c r="J165" s="95"/>
      <c r="K165" s="95"/>
      <c r="L165" s="95"/>
      <c r="M165" s="159"/>
      <c r="N165" s="159"/>
      <c r="O165" s="159"/>
      <c r="P165" s="16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4"/>
      <c r="AE165" s="94"/>
      <c r="AF165" s="94"/>
      <c r="AG165" s="94"/>
      <c r="AH165" s="94"/>
      <c r="AI165" s="94"/>
      <c r="AJ165" s="95"/>
      <c r="AK165" s="95"/>
      <c r="AL165" s="95"/>
      <c r="AM165" s="95"/>
      <c r="AN165" s="95"/>
      <c r="AO165" s="95"/>
      <c r="AP165" s="95"/>
      <c r="AQ165" s="95"/>
      <c r="AR165" s="95"/>
      <c r="AS165" s="58"/>
      <c r="AT165" s="95"/>
      <c r="AU165" s="95"/>
      <c r="AV165" s="95"/>
      <c r="AW165" s="95"/>
      <c r="AX165" s="95"/>
    </row>
    <row r="166" ht="19.5" customHeight="1">
      <c r="A166" s="95"/>
      <c r="B166" s="95"/>
      <c r="C166" s="95"/>
      <c r="D166" s="95"/>
      <c r="E166" s="95"/>
      <c r="F166" s="159"/>
      <c r="G166" s="95"/>
      <c r="H166" s="95"/>
      <c r="I166" s="95"/>
      <c r="J166" s="95"/>
      <c r="K166" s="95"/>
      <c r="L166" s="95"/>
      <c r="M166" s="159"/>
      <c r="N166" s="159"/>
      <c r="O166" s="159"/>
      <c r="P166" s="16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4"/>
      <c r="AE166" s="94"/>
      <c r="AF166" s="94"/>
      <c r="AG166" s="94"/>
      <c r="AH166" s="94"/>
      <c r="AI166" s="94"/>
      <c r="AJ166" s="95"/>
      <c r="AK166" s="95"/>
      <c r="AL166" s="95"/>
      <c r="AM166" s="95"/>
      <c r="AN166" s="95"/>
      <c r="AO166" s="95"/>
      <c r="AP166" s="95"/>
      <c r="AQ166" s="95"/>
      <c r="AR166" s="95"/>
      <c r="AS166" s="58"/>
      <c r="AT166" s="95"/>
      <c r="AU166" s="95"/>
      <c r="AV166" s="95"/>
      <c r="AW166" s="95"/>
      <c r="AX166" s="95"/>
    </row>
    <row r="167" ht="19.5" customHeight="1">
      <c r="A167" s="95"/>
      <c r="B167" s="95"/>
      <c r="C167" s="95"/>
      <c r="D167" s="95"/>
      <c r="E167" s="95"/>
      <c r="F167" s="159"/>
      <c r="G167" s="95"/>
      <c r="H167" s="95"/>
      <c r="I167" s="95"/>
      <c r="J167" s="95"/>
      <c r="K167" s="95"/>
      <c r="L167" s="95"/>
      <c r="M167" s="159"/>
      <c r="N167" s="159"/>
      <c r="O167" s="159"/>
      <c r="P167" s="16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4"/>
      <c r="AE167" s="94"/>
      <c r="AF167" s="94"/>
      <c r="AG167" s="94"/>
      <c r="AH167" s="94"/>
      <c r="AI167" s="94"/>
      <c r="AJ167" s="95"/>
      <c r="AK167" s="95"/>
      <c r="AL167" s="95"/>
      <c r="AM167" s="95"/>
      <c r="AN167" s="95"/>
      <c r="AO167" s="95"/>
      <c r="AP167" s="95"/>
      <c r="AQ167" s="95"/>
      <c r="AR167" s="95"/>
      <c r="AS167" s="58"/>
      <c r="AT167" s="95"/>
      <c r="AU167" s="95"/>
      <c r="AV167" s="95"/>
      <c r="AW167" s="95"/>
      <c r="AX167" s="95"/>
    </row>
    <row r="168" ht="19.5" customHeight="1">
      <c r="A168" s="95"/>
      <c r="B168" s="95"/>
      <c r="C168" s="95"/>
      <c r="D168" s="95"/>
      <c r="E168" s="95"/>
      <c r="F168" s="159"/>
      <c r="G168" s="95"/>
      <c r="H168" s="95"/>
      <c r="I168" s="95"/>
      <c r="J168" s="95"/>
      <c r="K168" s="95"/>
      <c r="L168" s="95"/>
      <c r="M168" s="159"/>
      <c r="N168" s="159"/>
      <c r="O168" s="159"/>
      <c r="P168" s="16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4"/>
      <c r="AE168" s="94"/>
      <c r="AF168" s="94"/>
      <c r="AG168" s="94"/>
      <c r="AH168" s="94"/>
      <c r="AI168" s="94"/>
      <c r="AJ168" s="95"/>
      <c r="AK168" s="95"/>
      <c r="AL168" s="95"/>
      <c r="AM168" s="95"/>
      <c r="AN168" s="95"/>
      <c r="AO168" s="95"/>
      <c r="AP168" s="95"/>
      <c r="AQ168" s="95"/>
      <c r="AR168" s="95"/>
      <c r="AS168" s="58"/>
      <c r="AT168" s="95"/>
      <c r="AU168" s="95"/>
      <c r="AV168" s="95"/>
      <c r="AW168" s="95"/>
      <c r="AX168" s="95"/>
    </row>
    <row r="169" ht="19.5" customHeight="1">
      <c r="A169" s="95"/>
      <c r="B169" s="95"/>
      <c r="C169" s="95"/>
      <c r="D169" s="95"/>
      <c r="E169" s="95"/>
      <c r="F169" s="159"/>
      <c r="G169" s="95"/>
      <c r="H169" s="95"/>
      <c r="I169" s="95"/>
      <c r="J169" s="95"/>
      <c r="K169" s="95"/>
      <c r="L169" s="95"/>
      <c r="M169" s="159"/>
      <c r="N169" s="159"/>
      <c r="O169" s="159"/>
      <c r="P169" s="16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4"/>
      <c r="AE169" s="94"/>
      <c r="AF169" s="94"/>
      <c r="AG169" s="94"/>
      <c r="AH169" s="94"/>
      <c r="AI169" s="94"/>
      <c r="AJ169" s="95"/>
      <c r="AK169" s="95"/>
      <c r="AL169" s="95"/>
      <c r="AM169" s="95"/>
      <c r="AN169" s="95"/>
      <c r="AO169" s="95"/>
      <c r="AP169" s="95"/>
      <c r="AQ169" s="95"/>
      <c r="AR169" s="95"/>
      <c r="AS169" s="58"/>
      <c r="AT169" s="95"/>
      <c r="AU169" s="95"/>
      <c r="AV169" s="95"/>
      <c r="AW169" s="95"/>
      <c r="AX169" s="95"/>
    </row>
    <row r="170" ht="19.5" customHeight="1">
      <c r="A170" s="95"/>
      <c r="B170" s="95"/>
      <c r="C170" s="95"/>
      <c r="D170" s="95"/>
      <c r="E170" s="95"/>
      <c r="F170" s="159"/>
      <c r="G170" s="95"/>
      <c r="H170" s="95"/>
      <c r="I170" s="95"/>
      <c r="J170" s="95"/>
      <c r="K170" s="95"/>
      <c r="L170" s="95"/>
      <c r="M170" s="159"/>
      <c r="N170" s="159"/>
      <c r="O170" s="159"/>
      <c r="P170" s="16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4"/>
      <c r="AE170" s="94"/>
      <c r="AF170" s="94"/>
      <c r="AG170" s="94"/>
      <c r="AH170" s="94"/>
      <c r="AI170" s="94"/>
      <c r="AJ170" s="95"/>
      <c r="AK170" s="95"/>
      <c r="AL170" s="95"/>
      <c r="AM170" s="95"/>
      <c r="AN170" s="95"/>
      <c r="AO170" s="95"/>
      <c r="AP170" s="95"/>
      <c r="AQ170" s="95"/>
      <c r="AR170" s="95"/>
      <c r="AS170" s="58"/>
      <c r="AT170" s="95"/>
      <c r="AU170" s="95"/>
      <c r="AV170" s="95"/>
      <c r="AW170" s="95"/>
      <c r="AX170" s="95"/>
    </row>
    <row r="171" ht="19.5" customHeight="1">
      <c r="A171" s="95"/>
      <c r="B171" s="95"/>
      <c r="C171" s="95"/>
      <c r="D171" s="95"/>
      <c r="E171" s="95"/>
      <c r="F171" s="159"/>
      <c r="G171" s="95"/>
      <c r="H171" s="95"/>
      <c r="I171" s="95"/>
      <c r="J171" s="95"/>
      <c r="K171" s="95"/>
      <c r="L171" s="95"/>
      <c r="M171" s="159"/>
      <c r="N171" s="159"/>
      <c r="O171" s="159"/>
      <c r="P171" s="16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4"/>
      <c r="AE171" s="94"/>
      <c r="AF171" s="94"/>
      <c r="AG171" s="94"/>
      <c r="AH171" s="94"/>
      <c r="AI171" s="94"/>
      <c r="AJ171" s="95"/>
      <c r="AK171" s="95"/>
      <c r="AL171" s="95"/>
      <c r="AM171" s="95"/>
      <c r="AN171" s="95"/>
      <c r="AO171" s="95"/>
      <c r="AP171" s="95"/>
      <c r="AQ171" s="95"/>
      <c r="AR171" s="95"/>
      <c r="AS171" s="58"/>
      <c r="AT171" s="95"/>
      <c r="AU171" s="95"/>
      <c r="AV171" s="95"/>
      <c r="AW171" s="95"/>
      <c r="AX171" s="95"/>
    </row>
    <row r="172" ht="19.5" customHeight="1">
      <c r="A172" s="95"/>
      <c r="B172" s="95"/>
      <c r="C172" s="95"/>
      <c r="D172" s="95"/>
      <c r="E172" s="95"/>
      <c r="F172" s="159"/>
      <c r="G172" s="95"/>
      <c r="H172" s="95"/>
      <c r="I172" s="95"/>
      <c r="J172" s="95"/>
      <c r="K172" s="95"/>
      <c r="L172" s="95"/>
      <c r="M172" s="159"/>
      <c r="N172" s="159"/>
      <c r="O172" s="159"/>
      <c r="P172" s="16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4"/>
      <c r="AE172" s="94"/>
      <c r="AF172" s="94"/>
      <c r="AG172" s="94"/>
      <c r="AH172" s="94"/>
      <c r="AI172" s="94"/>
      <c r="AJ172" s="95"/>
      <c r="AK172" s="95"/>
      <c r="AL172" s="95"/>
      <c r="AM172" s="95"/>
      <c r="AN172" s="95"/>
      <c r="AO172" s="95"/>
      <c r="AP172" s="95"/>
      <c r="AQ172" s="95"/>
      <c r="AR172" s="95"/>
      <c r="AS172" s="58"/>
      <c r="AT172" s="95"/>
      <c r="AU172" s="95"/>
      <c r="AV172" s="95"/>
      <c r="AW172" s="95"/>
      <c r="AX172" s="95"/>
    </row>
    <row r="173" ht="15.0" customHeight="1">
      <c r="A173" s="95"/>
      <c r="B173" s="95"/>
      <c r="C173" s="95"/>
      <c r="D173" s="95"/>
      <c r="E173" s="95"/>
      <c r="F173" s="159"/>
      <c r="G173" s="95"/>
      <c r="H173" s="95"/>
      <c r="I173" s="95"/>
      <c r="J173" s="95"/>
      <c r="K173" s="95"/>
      <c r="L173" s="95"/>
      <c r="M173" s="159"/>
      <c r="N173" s="159"/>
      <c r="O173" s="159"/>
      <c r="P173" s="16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4"/>
      <c r="AE173" s="94"/>
      <c r="AF173" s="94"/>
      <c r="AG173" s="94"/>
      <c r="AH173" s="94"/>
      <c r="AI173" s="94"/>
      <c r="AJ173" s="95"/>
      <c r="AK173" s="95"/>
      <c r="AL173" s="95"/>
      <c r="AM173" s="95"/>
      <c r="AN173" s="95"/>
      <c r="AO173" s="95"/>
      <c r="AP173" s="95"/>
      <c r="AQ173" s="95"/>
      <c r="AR173" s="95"/>
      <c r="AS173" s="58"/>
      <c r="AT173" s="95"/>
      <c r="AU173" s="95"/>
      <c r="AV173" s="95"/>
      <c r="AW173" s="95"/>
      <c r="AX173" s="95"/>
    </row>
    <row r="174" ht="15.0" customHeight="1">
      <c r="A174" s="95"/>
      <c r="B174" s="95"/>
      <c r="C174" s="95"/>
      <c r="D174" s="95"/>
      <c r="E174" s="95"/>
      <c r="F174" s="159"/>
      <c r="G174" s="95"/>
      <c r="H174" s="95"/>
      <c r="I174" s="95"/>
      <c r="J174" s="95"/>
      <c r="K174" s="95"/>
      <c r="L174" s="95"/>
      <c r="M174" s="159"/>
      <c r="N174" s="159"/>
      <c r="O174" s="159"/>
      <c r="P174" s="16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4"/>
      <c r="AE174" s="94"/>
      <c r="AF174" s="94"/>
      <c r="AG174" s="94"/>
      <c r="AH174" s="94"/>
      <c r="AI174" s="94"/>
      <c r="AJ174" s="95"/>
      <c r="AK174" s="95"/>
      <c r="AL174" s="95"/>
      <c r="AM174" s="95"/>
      <c r="AN174" s="95"/>
      <c r="AO174" s="95"/>
      <c r="AP174" s="95"/>
      <c r="AQ174" s="95"/>
      <c r="AR174" s="95"/>
      <c r="AS174" s="58"/>
      <c r="AT174" s="95"/>
      <c r="AU174" s="95"/>
      <c r="AV174" s="95"/>
      <c r="AW174" s="95"/>
      <c r="AX174" s="95"/>
    </row>
    <row r="175" ht="15.0" customHeight="1">
      <c r="A175" s="95"/>
      <c r="B175" s="95"/>
      <c r="C175" s="95"/>
      <c r="D175" s="95"/>
      <c r="E175" s="95"/>
      <c r="F175" s="159"/>
      <c r="G175" s="95"/>
      <c r="H175" s="95"/>
      <c r="I175" s="95"/>
      <c r="J175" s="95"/>
      <c r="K175" s="95"/>
      <c r="L175" s="95"/>
      <c r="M175" s="159"/>
      <c r="N175" s="159"/>
      <c r="O175" s="159"/>
      <c r="P175" s="16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4"/>
      <c r="AE175" s="94"/>
      <c r="AF175" s="94"/>
      <c r="AG175" s="94"/>
      <c r="AH175" s="94"/>
      <c r="AI175" s="94"/>
      <c r="AJ175" s="95"/>
      <c r="AK175" s="95"/>
      <c r="AL175" s="95"/>
      <c r="AM175" s="95"/>
      <c r="AN175" s="95"/>
      <c r="AO175" s="95"/>
      <c r="AP175" s="95"/>
      <c r="AQ175" s="95"/>
      <c r="AR175" s="95"/>
      <c r="AS175" s="58"/>
      <c r="AT175" s="95"/>
      <c r="AU175" s="95"/>
      <c r="AV175" s="95"/>
      <c r="AW175" s="95"/>
      <c r="AX175" s="95"/>
    </row>
    <row r="176" ht="15.0" customHeight="1">
      <c r="A176" s="95"/>
      <c r="B176" s="95"/>
      <c r="C176" s="95"/>
      <c r="D176" s="95"/>
      <c r="E176" s="95"/>
      <c r="F176" s="159"/>
      <c r="G176" s="95"/>
      <c r="H176" s="95"/>
      <c r="I176" s="95"/>
      <c r="J176" s="95"/>
      <c r="K176" s="95"/>
      <c r="L176" s="95"/>
      <c r="M176" s="159"/>
      <c r="N176" s="159"/>
      <c r="O176" s="159"/>
      <c r="P176" s="16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4"/>
      <c r="AE176" s="94"/>
      <c r="AF176" s="94"/>
      <c r="AG176" s="94"/>
      <c r="AH176" s="94"/>
      <c r="AI176" s="94"/>
      <c r="AJ176" s="95"/>
      <c r="AK176" s="95"/>
      <c r="AL176" s="95"/>
      <c r="AM176" s="95"/>
      <c r="AN176" s="95"/>
      <c r="AO176" s="95"/>
      <c r="AP176" s="95"/>
      <c r="AQ176" s="95"/>
      <c r="AR176" s="95"/>
      <c r="AS176" s="58"/>
      <c r="AT176" s="95"/>
      <c r="AU176" s="95"/>
      <c r="AV176" s="95"/>
      <c r="AW176" s="95"/>
      <c r="AX176" s="95"/>
    </row>
    <row r="177" ht="15.0" customHeight="1">
      <c r="A177" s="95"/>
      <c r="B177" s="95"/>
      <c r="C177" s="95"/>
      <c r="D177" s="95"/>
      <c r="E177" s="95"/>
      <c r="F177" s="159"/>
      <c r="G177" s="95"/>
      <c r="H177" s="95"/>
      <c r="I177" s="95"/>
      <c r="J177" s="95"/>
      <c r="K177" s="95"/>
      <c r="L177" s="95"/>
      <c r="M177" s="159"/>
      <c r="N177" s="159"/>
      <c r="O177" s="159"/>
      <c r="P177" s="16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4"/>
      <c r="AE177" s="94"/>
      <c r="AF177" s="94"/>
      <c r="AG177" s="94"/>
      <c r="AH177" s="94"/>
      <c r="AI177" s="94"/>
      <c r="AJ177" s="95"/>
      <c r="AK177" s="95"/>
      <c r="AL177" s="95"/>
      <c r="AM177" s="95"/>
      <c r="AN177" s="95"/>
      <c r="AO177" s="95"/>
      <c r="AP177" s="95"/>
      <c r="AQ177" s="95"/>
      <c r="AR177" s="95"/>
      <c r="AS177" s="58"/>
      <c r="AT177" s="95"/>
      <c r="AU177" s="95"/>
      <c r="AV177" s="95"/>
      <c r="AW177" s="95"/>
      <c r="AX177" s="95"/>
    </row>
    <row r="178" ht="15.0" customHeight="1">
      <c r="A178" s="95"/>
      <c r="B178" s="95"/>
      <c r="C178" s="95"/>
      <c r="D178" s="95"/>
      <c r="E178" s="95"/>
      <c r="F178" s="159"/>
      <c r="G178" s="95"/>
      <c r="H178" s="95"/>
      <c r="I178" s="95"/>
      <c r="J178" s="95"/>
      <c r="K178" s="95"/>
      <c r="L178" s="95"/>
      <c r="M178" s="159"/>
      <c r="N178" s="159"/>
      <c r="O178" s="159"/>
      <c r="P178" s="16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4"/>
      <c r="AE178" s="94"/>
      <c r="AF178" s="94"/>
      <c r="AG178" s="94"/>
      <c r="AH178" s="94"/>
      <c r="AI178" s="94"/>
      <c r="AJ178" s="95"/>
      <c r="AK178" s="95"/>
      <c r="AL178" s="95"/>
      <c r="AM178" s="95"/>
      <c r="AN178" s="95"/>
      <c r="AO178" s="95"/>
      <c r="AP178" s="95"/>
      <c r="AQ178" s="95"/>
      <c r="AR178" s="95"/>
      <c r="AS178" s="58"/>
      <c r="AT178" s="95"/>
      <c r="AU178" s="95"/>
      <c r="AV178" s="95"/>
      <c r="AW178" s="95"/>
      <c r="AX178" s="95"/>
    </row>
    <row r="179" ht="15.0" customHeight="1">
      <c r="A179" s="95"/>
      <c r="B179" s="95"/>
      <c r="C179" s="95"/>
      <c r="D179" s="95"/>
      <c r="E179" s="95"/>
      <c r="F179" s="159"/>
      <c r="G179" s="95"/>
      <c r="H179" s="95"/>
      <c r="I179" s="95"/>
      <c r="J179" s="95"/>
      <c r="K179" s="95"/>
      <c r="L179" s="95"/>
      <c r="M179" s="159"/>
      <c r="N179" s="159"/>
      <c r="O179" s="159"/>
      <c r="P179" s="16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4"/>
      <c r="AE179" s="94"/>
      <c r="AF179" s="94"/>
      <c r="AG179" s="94"/>
      <c r="AH179" s="94"/>
      <c r="AI179" s="94"/>
      <c r="AJ179" s="95"/>
      <c r="AK179" s="95"/>
      <c r="AL179" s="95"/>
      <c r="AM179" s="95"/>
      <c r="AN179" s="95"/>
      <c r="AO179" s="95"/>
      <c r="AP179" s="95"/>
      <c r="AQ179" s="95"/>
      <c r="AR179" s="95"/>
      <c r="AS179" s="58"/>
      <c r="AT179" s="95"/>
      <c r="AU179" s="95"/>
      <c r="AV179" s="95"/>
      <c r="AW179" s="95"/>
      <c r="AX179" s="95"/>
    </row>
    <row r="180" ht="15.0" customHeight="1">
      <c r="A180" s="95"/>
      <c r="B180" s="95"/>
      <c r="C180" s="95"/>
      <c r="D180" s="95"/>
      <c r="E180" s="95"/>
      <c r="F180" s="159"/>
      <c r="G180" s="95"/>
      <c r="H180" s="95"/>
      <c r="I180" s="95"/>
      <c r="J180" s="95"/>
      <c r="K180" s="95"/>
      <c r="L180" s="95"/>
      <c r="M180" s="159"/>
      <c r="N180" s="159"/>
      <c r="O180" s="159"/>
      <c r="P180" s="16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4"/>
      <c r="AE180" s="94"/>
      <c r="AF180" s="94"/>
      <c r="AG180" s="94"/>
      <c r="AH180" s="94"/>
      <c r="AI180" s="94"/>
      <c r="AJ180" s="95"/>
      <c r="AK180" s="95"/>
      <c r="AL180" s="95"/>
      <c r="AM180" s="95"/>
      <c r="AN180" s="95"/>
      <c r="AO180" s="95"/>
      <c r="AP180" s="95"/>
      <c r="AQ180" s="95"/>
      <c r="AR180" s="95"/>
      <c r="AS180" s="58"/>
      <c r="AT180" s="95"/>
      <c r="AU180" s="95"/>
      <c r="AV180" s="95"/>
      <c r="AW180" s="95"/>
      <c r="AX180" s="95"/>
    </row>
    <row r="181" ht="15.0" customHeight="1">
      <c r="A181" s="95"/>
      <c r="B181" s="95"/>
      <c r="C181" s="95"/>
      <c r="D181" s="95"/>
      <c r="E181" s="95"/>
      <c r="F181" s="159"/>
      <c r="G181" s="95"/>
      <c r="H181" s="95"/>
      <c r="I181" s="95"/>
      <c r="J181" s="95"/>
      <c r="K181" s="95"/>
      <c r="L181" s="95"/>
      <c r="M181" s="159"/>
      <c r="N181" s="159"/>
      <c r="O181" s="159"/>
      <c r="P181" s="16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4"/>
      <c r="AE181" s="94"/>
      <c r="AF181" s="94"/>
      <c r="AG181" s="94"/>
      <c r="AH181" s="94"/>
      <c r="AI181" s="94"/>
      <c r="AJ181" s="95"/>
      <c r="AK181" s="95"/>
      <c r="AL181" s="95"/>
      <c r="AM181" s="95"/>
      <c r="AN181" s="95"/>
      <c r="AO181" s="95"/>
      <c r="AP181" s="95"/>
      <c r="AQ181" s="95"/>
      <c r="AR181" s="95"/>
      <c r="AS181" s="58"/>
      <c r="AT181" s="95"/>
      <c r="AU181" s="95"/>
      <c r="AV181" s="95"/>
      <c r="AW181" s="95"/>
      <c r="AX181" s="95"/>
    </row>
    <row r="182" ht="15.0" customHeight="1">
      <c r="A182" s="95"/>
      <c r="B182" s="95"/>
      <c r="C182" s="95"/>
      <c r="D182" s="95"/>
      <c r="E182" s="95"/>
      <c r="F182" s="159"/>
      <c r="G182" s="95"/>
      <c r="H182" s="95"/>
      <c r="I182" s="95"/>
      <c r="J182" s="95"/>
      <c r="K182" s="95"/>
      <c r="L182" s="95"/>
      <c r="M182" s="159"/>
      <c r="N182" s="159"/>
      <c r="O182" s="159"/>
      <c r="P182" s="16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4"/>
      <c r="AE182" s="94"/>
      <c r="AF182" s="94"/>
      <c r="AG182" s="94"/>
      <c r="AH182" s="94"/>
      <c r="AI182" s="94"/>
      <c r="AJ182" s="95"/>
      <c r="AK182" s="95"/>
      <c r="AL182" s="95"/>
      <c r="AM182" s="95"/>
      <c r="AN182" s="95"/>
      <c r="AO182" s="95"/>
      <c r="AP182" s="95"/>
      <c r="AQ182" s="95"/>
      <c r="AR182" s="95"/>
      <c r="AS182" s="58"/>
      <c r="AT182" s="95"/>
      <c r="AU182" s="95"/>
      <c r="AV182" s="95"/>
      <c r="AW182" s="95"/>
      <c r="AX182" s="95"/>
    </row>
    <row r="183" ht="15.0" customHeight="1">
      <c r="A183" s="95"/>
      <c r="B183" s="95"/>
      <c r="C183" s="95"/>
      <c r="D183" s="95"/>
      <c r="E183" s="95"/>
      <c r="F183" s="159"/>
      <c r="G183" s="95"/>
      <c r="H183" s="95"/>
      <c r="I183" s="95"/>
      <c r="J183" s="95"/>
      <c r="K183" s="95"/>
      <c r="L183" s="95"/>
      <c r="M183" s="159"/>
      <c r="N183" s="159"/>
      <c r="O183" s="159"/>
      <c r="P183" s="16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4"/>
      <c r="AE183" s="94"/>
      <c r="AF183" s="94"/>
      <c r="AG183" s="94"/>
      <c r="AH183" s="94"/>
      <c r="AI183" s="94"/>
      <c r="AJ183" s="95"/>
      <c r="AK183" s="95"/>
      <c r="AL183" s="95"/>
      <c r="AM183" s="95"/>
      <c r="AN183" s="95"/>
      <c r="AO183" s="95"/>
      <c r="AP183" s="95"/>
      <c r="AQ183" s="95"/>
      <c r="AR183" s="95"/>
      <c r="AS183" s="58"/>
      <c r="AT183" s="95"/>
      <c r="AU183" s="95"/>
      <c r="AV183" s="95"/>
      <c r="AW183" s="95"/>
      <c r="AX183" s="95"/>
    </row>
    <row r="184" ht="15.0" customHeight="1">
      <c r="A184" s="95"/>
      <c r="B184" s="95"/>
      <c r="C184" s="95"/>
      <c r="D184" s="95"/>
      <c r="E184" s="95"/>
      <c r="F184" s="159"/>
      <c r="G184" s="95"/>
      <c r="H184" s="95"/>
      <c r="I184" s="95"/>
      <c r="J184" s="95"/>
      <c r="K184" s="95"/>
      <c r="L184" s="95"/>
      <c r="M184" s="159"/>
      <c r="N184" s="159"/>
      <c r="O184" s="159"/>
      <c r="P184" s="16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  <c r="AC184" s="95"/>
      <c r="AD184" s="94"/>
      <c r="AE184" s="94"/>
      <c r="AF184" s="94"/>
      <c r="AG184" s="94"/>
      <c r="AH184" s="94"/>
      <c r="AI184" s="94"/>
      <c r="AJ184" s="95"/>
      <c r="AK184" s="95"/>
      <c r="AL184" s="95"/>
      <c r="AM184" s="95"/>
      <c r="AN184" s="95"/>
      <c r="AO184" s="95"/>
      <c r="AP184" s="95"/>
      <c r="AQ184" s="95"/>
      <c r="AR184" s="95"/>
      <c r="AS184" s="58"/>
      <c r="AT184" s="95"/>
      <c r="AU184" s="95"/>
      <c r="AV184" s="95"/>
      <c r="AW184" s="95"/>
      <c r="AX184" s="95"/>
    </row>
    <row r="185" ht="15.0" customHeight="1">
      <c r="A185" s="95"/>
      <c r="B185" s="95"/>
      <c r="C185" s="95"/>
      <c r="D185" s="95"/>
      <c r="E185" s="95"/>
      <c r="F185" s="159"/>
      <c r="G185" s="95"/>
      <c r="H185" s="95"/>
      <c r="I185" s="95"/>
      <c r="J185" s="95"/>
      <c r="K185" s="95"/>
      <c r="L185" s="95"/>
      <c r="M185" s="159"/>
      <c r="N185" s="159"/>
      <c r="O185" s="159"/>
      <c r="P185" s="16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4"/>
      <c r="AE185" s="94"/>
      <c r="AF185" s="94"/>
      <c r="AG185" s="94"/>
      <c r="AH185" s="94"/>
      <c r="AI185" s="94"/>
      <c r="AJ185" s="95"/>
      <c r="AK185" s="95"/>
      <c r="AL185" s="95"/>
      <c r="AM185" s="95"/>
      <c r="AN185" s="95"/>
      <c r="AO185" s="95"/>
      <c r="AP185" s="95"/>
      <c r="AQ185" s="95"/>
      <c r="AR185" s="95"/>
      <c r="AS185" s="58"/>
      <c r="AT185" s="95"/>
      <c r="AU185" s="95"/>
      <c r="AV185" s="95"/>
      <c r="AW185" s="95"/>
      <c r="AX185" s="95"/>
    </row>
    <row r="186" ht="15.0" customHeight="1">
      <c r="A186" s="95"/>
      <c r="B186" s="95"/>
      <c r="C186" s="95"/>
      <c r="D186" s="95"/>
      <c r="E186" s="95"/>
      <c r="F186" s="159"/>
      <c r="G186" s="95"/>
      <c r="H186" s="95"/>
      <c r="I186" s="95"/>
      <c r="J186" s="95"/>
      <c r="K186" s="95"/>
      <c r="L186" s="95"/>
      <c r="M186" s="159"/>
      <c r="N186" s="159"/>
      <c r="O186" s="159"/>
      <c r="P186" s="16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4"/>
      <c r="AE186" s="94"/>
      <c r="AF186" s="94"/>
      <c r="AG186" s="94"/>
      <c r="AH186" s="94"/>
      <c r="AI186" s="94"/>
      <c r="AJ186" s="95"/>
      <c r="AK186" s="95"/>
      <c r="AL186" s="95"/>
      <c r="AM186" s="95"/>
      <c r="AN186" s="95"/>
      <c r="AO186" s="95"/>
      <c r="AP186" s="95"/>
      <c r="AQ186" s="95"/>
      <c r="AR186" s="95"/>
      <c r="AS186" s="58"/>
      <c r="AT186" s="95"/>
      <c r="AU186" s="95"/>
      <c r="AV186" s="95"/>
      <c r="AW186" s="95"/>
      <c r="AX186" s="95"/>
    </row>
    <row r="187" ht="15.0" customHeight="1">
      <c r="A187" s="95"/>
      <c r="B187" s="95"/>
      <c r="C187" s="95"/>
      <c r="D187" s="95"/>
      <c r="E187" s="95"/>
      <c r="F187" s="159"/>
      <c r="G187" s="95"/>
      <c r="H187" s="95"/>
      <c r="I187" s="95"/>
      <c r="J187" s="95"/>
      <c r="K187" s="95"/>
      <c r="L187" s="95"/>
      <c r="M187" s="159"/>
      <c r="N187" s="159"/>
      <c r="O187" s="159"/>
      <c r="P187" s="16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  <c r="AC187" s="95"/>
      <c r="AD187" s="94"/>
      <c r="AE187" s="94"/>
      <c r="AF187" s="94"/>
      <c r="AG187" s="94"/>
      <c r="AH187" s="94"/>
      <c r="AI187" s="94"/>
      <c r="AJ187" s="95"/>
      <c r="AK187" s="95"/>
      <c r="AL187" s="95"/>
      <c r="AM187" s="95"/>
      <c r="AN187" s="95"/>
      <c r="AO187" s="95"/>
      <c r="AP187" s="95"/>
      <c r="AQ187" s="95"/>
      <c r="AR187" s="95"/>
      <c r="AS187" s="58"/>
      <c r="AT187" s="95"/>
      <c r="AU187" s="95"/>
      <c r="AV187" s="95"/>
      <c r="AW187" s="95"/>
      <c r="AX187" s="95"/>
    </row>
    <row r="188" ht="15.0" customHeight="1">
      <c r="A188" s="95"/>
      <c r="B188" s="95"/>
      <c r="C188" s="95"/>
      <c r="D188" s="95"/>
      <c r="E188" s="95"/>
      <c r="F188" s="159"/>
      <c r="G188" s="95"/>
      <c r="H188" s="95"/>
      <c r="I188" s="95"/>
      <c r="J188" s="95"/>
      <c r="K188" s="95"/>
      <c r="L188" s="95"/>
      <c r="M188" s="159"/>
      <c r="N188" s="159"/>
      <c r="O188" s="159"/>
      <c r="P188" s="16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4"/>
      <c r="AE188" s="94"/>
      <c r="AF188" s="94"/>
      <c r="AG188" s="94"/>
      <c r="AH188" s="94"/>
      <c r="AI188" s="94"/>
      <c r="AJ188" s="95"/>
      <c r="AK188" s="95"/>
      <c r="AL188" s="95"/>
      <c r="AM188" s="95"/>
      <c r="AN188" s="95"/>
      <c r="AO188" s="95"/>
      <c r="AP188" s="95"/>
      <c r="AQ188" s="95"/>
      <c r="AR188" s="95"/>
      <c r="AS188" s="58"/>
      <c r="AT188" s="95"/>
      <c r="AU188" s="95"/>
      <c r="AV188" s="95"/>
      <c r="AW188" s="95"/>
      <c r="AX188" s="95"/>
    </row>
    <row r="189" ht="15.0" customHeight="1">
      <c r="A189" s="95"/>
      <c r="B189" s="95"/>
      <c r="C189" s="95"/>
      <c r="D189" s="95"/>
      <c r="E189" s="95"/>
      <c r="F189" s="159"/>
      <c r="G189" s="95"/>
      <c r="H189" s="95"/>
      <c r="I189" s="95"/>
      <c r="J189" s="95"/>
      <c r="K189" s="95"/>
      <c r="L189" s="95"/>
      <c r="M189" s="159"/>
      <c r="N189" s="159"/>
      <c r="O189" s="159"/>
      <c r="P189" s="16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  <c r="AC189" s="95"/>
      <c r="AD189" s="94"/>
      <c r="AE189" s="94"/>
      <c r="AF189" s="94"/>
      <c r="AG189" s="94"/>
      <c r="AH189" s="94"/>
      <c r="AI189" s="94"/>
      <c r="AJ189" s="95"/>
      <c r="AK189" s="95"/>
      <c r="AL189" s="95"/>
      <c r="AM189" s="95"/>
      <c r="AN189" s="95"/>
      <c r="AO189" s="95"/>
      <c r="AP189" s="95"/>
      <c r="AQ189" s="95"/>
      <c r="AR189" s="95"/>
      <c r="AS189" s="58"/>
      <c r="AT189" s="95"/>
      <c r="AU189" s="95"/>
      <c r="AV189" s="95"/>
      <c r="AW189" s="95"/>
      <c r="AX189" s="95"/>
    </row>
    <row r="190" ht="15.0" customHeight="1">
      <c r="A190" s="95"/>
      <c r="B190" s="95"/>
      <c r="C190" s="95"/>
      <c r="D190" s="95"/>
      <c r="E190" s="95"/>
      <c r="F190" s="159"/>
      <c r="G190" s="95"/>
      <c r="H190" s="95"/>
      <c r="I190" s="95"/>
      <c r="J190" s="95"/>
      <c r="K190" s="95"/>
      <c r="L190" s="95"/>
      <c r="M190" s="159"/>
      <c r="N190" s="159"/>
      <c r="O190" s="159"/>
      <c r="P190" s="16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4"/>
      <c r="AE190" s="94"/>
      <c r="AF190" s="94"/>
      <c r="AG190" s="94"/>
      <c r="AH190" s="94"/>
      <c r="AI190" s="94"/>
      <c r="AJ190" s="95"/>
      <c r="AK190" s="95"/>
      <c r="AL190" s="95"/>
      <c r="AM190" s="95"/>
      <c r="AN190" s="95"/>
      <c r="AO190" s="95"/>
      <c r="AP190" s="95"/>
      <c r="AQ190" s="95"/>
      <c r="AR190" s="95"/>
      <c r="AS190" s="58"/>
      <c r="AT190" s="95"/>
      <c r="AU190" s="95"/>
      <c r="AV190" s="95"/>
      <c r="AW190" s="95"/>
      <c r="AX190" s="95"/>
    </row>
    <row r="191" ht="15.0" customHeight="1">
      <c r="A191" s="95"/>
      <c r="B191" s="95"/>
      <c r="C191" s="95"/>
      <c r="D191" s="95"/>
      <c r="E191" s="95"/>
      <c r="F191" s="159"/>
      <c r="G191" s="95"/>
      <c r="H191" s="95"/>
      <c r="I191" s="95"/>
      <c r="J191" s="95"/>
      <c r="K191" s="95"/>
      <c r="L191" s="95"/>
      <c r="M191" s="159"/>
      <c r="N191" s="159"/>
      <c r="O191" s="159"/>
      <c r="P191" s="16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4"/>
      <c r="AE191" s="94"/>
      <c r="AF191" s="94"/>
      <c r="AG191" s="94"/>
      <c r="AH191" s="94"/>
      <c r="AI191" s="94"/>
      <c r="AJ191" s="95"/>
      <c r="AK191" s="95"/>
      <c r="AL191" s="95"/>
      <c r="AM191" s="95"/>
      <c r="AN191" s="95"/>
      <c r="AO191" s="95"/>
      <c r="AP191" s="95"/>
      <c r="AQ191" s="95"/>
      <c r="AR191" s="95"/>
      <c r="AS191" s="58"/>
      <c r="AT191" s="95"/>
      <c r="AU191" s="95"/>
      <c r="AV191" s="95"/>
      <c r="AW191" s="95"/>
      <c r="AX191" s="95"/>
    </row>
    <row r="192" ht="15.0" customHeight="1">
      <c r="A192" s="95"/>
      <c r="B192" s="95"/>
      <c r="C192" s="95"/>
      <c r="D192" s="95"/>
      <c r="E192" s="95"/>
      <c r="F192" s="159"/>
      <c r="G192" s="95"/>
      <c r="H192" s="95"/>
      <c r="I192" s="95"/>
      <c r="J192" s="95"/>
      <c r="K192" s="95"/>
      <c r="L192" s="95"/>
      <c r="M192" s="159"/>
      <c r="N192" s="159"/>
      <c r="O192" s="159"/>
      <c r="P192" s="16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4"/>
      <c r="AE192" s="94"/>
      <c r="AF192" s="94"/>
      <c r="AG192" s="94"/>
      <c r="AH192" s="94"/>
      <c r="AI192" s="94"/>
      <c r="AJ192" s="95"/>
      <c r="AK192" s="95"/>
      <c r="AL192" s="95"/>
      <c r="AM192" s="95"/>
      <c r="AN192" s="95"/>
      <c r="AO192" s="95"/>
      <c r="AP192" s="95"/>
      <c r="AQ192" s="95"/>
      <c r="AR192" s="95"/>
      <c r="AS192" s="58"/>
      <c r="AT192" s="95"/>
      <c r="AU192" s="95"/>
      <c r="AV192" s="95"/>
      <c r="AW192" s="95"/>
      <c r="AX192" s="95"/>
    </row>
    <row r="193" ht="15.0" customHeight="1">
      <c r="A193" s="95"/>
      <c r="B193" s="95"/>
      <c r="C193" s="95"/>
      <c r="D193" s="95"/>
      <c r="E193" s="95"/>
      <c r="F193" s="159"/>
      <c r="G193" s="95"/>
      <c r="H193" s="95"/>
      <c r="I193" s="95"/>
      <c r="J193" s="95"/>
      <c r="K193" s="95"/>
      <c r="L193" s="95"/>
      <c r="M193" s="159"/>
      <c r="N193" s="159"/>
      <c r="O193" s="159"/>
      <c r="P193" s="16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4"/>
      <c r="AE193" s="94"/>
      <c r="AF193" s="94"/>
      <c r="AG193" s="94"/>
      <c r="AH193" s="94"/>
      <c r="AI193" s="94"/>
      <c r="AJ193" s="95"/>
      <c r="AK193" s="95"/>
      <c r="AL193" s="95"/>
      <c r="AM193" s="95"/>
      <c r="AN193" s="95"/>
      <c r="AO193" s="95"/>
      <c r="AP193" s="95"/>
      <c r="AQ193" s="95"/>
      <c r="AR193" s="95"/>
      <c r="AS193" s="58"/>
      <c r="AT193" s="95"/>
      <c r="AU193" s="95"/>
      <c r="AV193" s="95"/>
      <c r="AW193" s="95"/>
      <c r="AX193" s="95"/>
    </row>
    <row r="194" ht="15.0" customHeight="1">
      <c r="A194" s="95"/>
      <c r="B194" s="95"/>
      <c r="C194" s="95"/>
      <c r="D194" s="95"/>
      <c r="E194" s="95"/>
      <c r="F194" s="159"/>
      <c r="G194" s="95"/>
      <c r="H194" s="95"/>
      <c r="I194" s="95"/>
      <c r="J194" s="95"/>
      <c r="K194" s="95"/>
      <c r="L194" s="95"/>
      <c r="M194" s="159"/>
      <c r="N194" s="159"/>
      <c r="O194" s="159"/>
      <c r="P194" s="16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4"/>
      <c r="AE194" s="94"/>
      <c r="AF194" s="94"/>
      <c r="AG194" s="94"/>
      <c r="AH194" s="94"/>
      <c r="AI194" s="94"/>
      <c r="AJ194" s="95"/>
      <c r="AK194" s="95"/>
      <c r="AL194" s="95"/>
      <c r="AM194" s="95"/>
      <c r="AN194" s="95"/>
      <c r="AO194" s="95"/>
      <c r="AP194" s="95"/>
      <c r="AQ194" s="95"/>
      <c r="AR194" s="95"/>
      <c r="AS194" s="58"/>
      <c r="AT194" s="95"/>
      <c r="AU194" s="95"/>
      <c r="AV194" s="95"/>
      <c r="AW194" s="95"/>
      <c r="AX194" s="95"/>
    </row>
    <row r="195" ht="15.0" customHeight="1">
      <c r="A195" s="95"/>
      <c r="B195" s="95"/>
      <c r="C195" s="95"/>
      <c r="D195" s="95"/>
      <c r="E195" s="95"/>
      <c r="F195" s="159"/>
      <c r="G195" s="95"/>
      <c r="H195" s="95"/>
      <c r="I195" s="95"/>
      <c r="J195" s="95"/>
      <c r="K195" s="95"/>
      <c r="L195" s="95"/>
      <c r="M195" s="159"/>
      <c r="N195" s="159"/>
      <c r="O195" s="159"/>
      <c r="P195" s="16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4"/>
      <c r="AE195" s="94"/>
      <c r="AF195" s="94"/>
      <c r="AG195" s="94"/>
      <c r="AH195" s="94"/>
      <c r="AI195" s="94"/>
      <c r="AJ195" s="95"/>
      <c r="AK195" s="95"/>
      <c r="AL195" s="95"/>
      <c r="AM195" s="95"/>
      <c r="AN195" s="95"/>
      <c r="AO195" s="95"/>
      <c r="AP195" s="95"/>
      <c r="AQ195" s="95"/>
      <c r="AR195" s="95"/>
      <c r="AS195" s="58"/>
      <c r="AT195" s="95"/>
      <c r="AU195" s="95"/>
      <c r="AV195" s="95"/>
      <c r="AW195" s="95"/>
      <c r="AX195" s="95"/>
    </row>
    <row r="196" ht="15.0" customHeight="1">
      <c r="A196" s="95"/>
      <c r="B196" s="95"/>
      <c r="C196" s="95"/>
      <c r="D196" s="95"/>
      <c r="E196" s="95"/>
      <c r="F196" s="159"/>
      <c r="G196" s="95"/>
      <c r="H196" s="95"/>
      <c r="I196" s="95"/>
      <c r="J196" s="95"/>
      <c r="K196" s="95"/>
      <c r="L196" s="95"/>
      <c r="M196" s="159"/>
      <c r="N196" s="159"/>
      <c r="O196" s="159"/>
      <c r="P196" s="16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4"/>
      <c r="AE196" s="94"/>
      <c r="AF196" s="94"/>
      <c r="AG196" s="94"/>
      <c r="AH196" s="94"/>
      <c r="AI196" s="94"/>
      <c r="AJ196" s="95"/>
      <c r="AK196" s="95"/>
      <c r="AL196" s="95"/>
      <c r="AM196" s="95"/>
      <c r="AN196" s="95"/>
      <c r="AO196" s="95"/>
      <c r="AP196" s="95"/>
      <c r="AQ196" s="95"/>
      <c r="AR196" s="95"/>
      <c r="AS196" s="58"/>
      <c r="AT196" s="95"/>
      <c r="AU196" s="95"/>
      <c r="AV196" s="95"/>
      <c r="AW196" s="95"/>
      <c r="AX196" s="95"/>
    </row>
    <row r="197" ht="15.0" customHeight="1">
      <c r="A197" s="95"/>
      <c r="B197" s="95"/>
      <c r="C197" s="95"/>
      <c r="D197" s="95"/>
      <c r="E197" s="95"/>
      <c r="F197" s="159"/>
      <c r="G197" s="95"/>
      <c r="H197" s="95"/>
      <c r="I197" s="95"/>
      <c r="J197" s="95"/>
      <c r="K197" s="95"/>
      <c r="L197" s="95"/>
      <c r="M197" s="159"/>
      <c r="N197" s="159"/>
      <c r="O197" s="159"/>
      <c r="P197" s="16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4"/>
      <c r="AE197" s="94"/>
      <c r="AF197" s="94"/>
      <c r="AG197" s="94"/>
      <c r="AH197" s="94"/>
      <c r="AI197" s="94"/>
      <c r="AJ197" s="95"/>
      <c r="AK197" s="95"/>
      <c r="AL197" s="95"/>
      <c r="AM197" s="95"/>
      <c r="AN197" s="95"/>
      <c r="AO197" s="95"/>
      <c r="AP197" s="95"/>
      <c r="AQ197" s="95"/>
      <c r="AR197" s="95"/>
      <c r="AS197" s="58"/>
      <c r="AT197" s="95"/>
      <c r="AU197" s="95"/>
      <c r="AV197" s="95"/>
      <c r="AW197" s="95"/>
      <c r="AX197" s="95"/>
    </row>
    <row r="198" ht="15.0" customHeight="1">
      <c r="A198" s="95"/>
      <c r="B198" s="95"/>
      <c r="C198" s="95"/>
      <c r="D198" s="95"/>
      <c r="E198" s="95"/>
      <c r="F198" s="159"/>
      <c r="G198" s="95"/>
      <c r="H198" s="95"/>
      <c r="I198" s="95"/>
      <c r="J198" s="95"/>
      <c r="K198" s="95"/>
      <c r="L198" s="95"/>
      <c r="M198" s="159"/>
      <c r="N198" s="159"/>
      <c r="O198" s="159"/>
      <c r="P198" s="16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4"/>
      <c r="AE198" s="94"/>
      <c r="AF198" s="94"/>
      <c r="AG198" s="94"/>
      <c r="AH198" s="94"/>
      <c r="AI198" s="94"/>
      <c r="AJ198" s="95"/>
      <c r="AK198" s="95"/>
      <c r="AL198" s="95"/>
      <c r="AM198" s="95"/>
      <c r="AN198" s="95"/>
      <c r="AO198" s="95"/>
      <c r="AP198" s="95"/>
      <c r="AQ198" s="95"/>
      <c r="AR198" s="95"/>
      <c r="AS198" s="58"/>
      <c r="AT198" s="95"/>
      <c r="AU198" s="95"/>
      <c r="AV198" s="95"/>
      <c r="AW198" s="95"/>
      <c r="AX198" s="95"/>
    </row>
    <row r="199" ht="15.0" customHeight="1">
      <c r="A199" s="95"/>
      <c r="B199" s="95"/>
      <c r="C199" s="95"/>
      <c r="D199" s="95"/>
      <c r="E199" s="95"/>
      <c r="F199" s="159"/>
      <c r="G199" s="95"/>
      <c r="H199" s="95"/>
      <c r="I199" s="95"/>
      <c r="J199" s="95"/>
      <c r="K199" s="95"/>
      <c r="L199" s="95"/>
      <c r="M199" s="159"/>
      <c r="N199" s="159"/>
      <c r="O199" s="159"/>
      <c r="P199" s="16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4"/>
      <c r="AE199" s="94"/>
      <c r="AF199" s="94"/>
      <c r="AG199" s="94"/>
      <c r="AH199" s="94"/>
      <c r="AI199" s="94"/>
      <c r="AJ199" s="95"/>
      <c r="AK199" s="95"/>
      <c r="AL199" s="95"/>
      <c r="AM199" s="95"/>
      <c r="AN199" s="95"/>
      <c r="AO199" s="95"/>
      <c r="AP199" s="95"/>
      <c r="AQ199" s="95"/>
      <c r="AR199" s="95"/>
      <c r="AS199" s="58"/>
      <c r="AT199" s="95"/>
      <c r="AU199" s="95"/>
      <c r="AV199" s="95"/>
      <c r="AW199" s="95"/>
      <c r="AX199" s="95"/>
    </row>
    <row r="200" ht="15.0" customHeight="1">
      <c r="A200" s="95"/>
      <c r="B200" s="95"/>
      <c r="C200" s="95"/>
      <c r="D200" s="95"/>
      <c r="E200" s="95"/>
      <c r="F200" s="159"/>
      <c r="G200" s="95"/>
      <c r="H200" s="95"/>
      <c r="I200" s="95"/>
      <c r="J200" s="95"/>
      <c r="K200" s="95"/>
      <c r="L200" s="95"/>
      <c r="M200" s="159"/>
      <c r="N200" s="159"/>
      <c r="O200" s="159"/>
      <c r="P200" s="16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4"/>
      <c r="AE200" s="94"/>
      <c r="AF200" s="94"/>
      <c r="AG200" s="94"/>
      <c r="AH200" s="94"/>
      <c r="AI200" s="94"/>
      <c r="AJ200" s="95"/>
      <c r="AK200" s="95"/>
      <c r="AL200" s="95"/>
      <c r="AM200" s="95"/>
      <c r="AN200" s="95"/>
      <c r="AO200" s="95"/>
      <c r="AP200" s="95"/>
      <c r="AQ200" s="95"/>
      <c r="AR200" s="95"/>
      <c r="AS200" s="58"/>
      <c r="AT200" s="95"/>
      <c r="AU200" s="95"/>
      <c r="AV200" s="95"/>
      <c r="AW200" s="95"/>
      <c r="AX200" s="95"/>
    </row>
    <row r="201" ht="15.0" customHeight="1">
      <c r="A201" s="95"/>
      <c r="B201" s="95"/>
      <c r="C201" s="95"/>
      <c r="D201" s="95"/>
      <c r="E201" s="95"/>
      <c r="F201" s="159"/>
      <c r="G201" s="95"/>
      <c r="H201" s="95"/>
      <c r="I201" s="95"/>
      <c r="J201" s="95"/>
      <c r="K201" s="95"/>
      <c r="L201" s="95"/>
      <c r="M201" s="159"/>
      <c r="N201" s="159"/>
      <c r="O201" s="159"/>
      <c r="P201" s="16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4"/>
      <c r="AE201" s="94"/>
      <c r="AF201" s="94"/>
      <c r="AG201" s="94"/>
      <c r="AH201" s="94"/>
      <c r="AI201" s="94"/>
      <c r="AJ201" s="95"/>
      <c r="AK201" s="95"/>
      <c r="AL201" s="95"/>
      <c r="AM201" s="95"/>
      <c r="AN201" s="95"/>
      <c r="AO201" s="95"/>
      <c r="AP201" s="95"/>
      <c r="AQ201" s="95"/>
      <c r="AR201" s="95"/>
      <c r="AS201" s="58"/>
      <c r="AT201" s="95"/>
      <c r="AU201" s="95"/>
      <c r="AV201" s="95"/>
      <c r="AW201" s="95"/>
      <c r="AX201" s="95"/>
    </row>
    <row r="202" ht="15.0" customHeight="1">
      <c r="A202" s="95"/>
      <c r="B202" s="95"/>
      <c r="C202" s="95"/>
      <c r="D202" s="95"/>
      <c r="E202" s="95"/>
      <c r="F202" s="159"/>
      <c r="G202" s="95"/>
      <c r="H202" s="95"/>
      <c r="I202" s="95"/>
      <c r="J202" s="95"/>
      <c r="K202" s="95"/>
      <c r="L202" s="95"/>
      <c r="M202" s="159"/>
      <c r="N202" s="159"/>
      <c r="O202" s="159"/>
      <c r="P202" s="16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4"/>
      <c r="AE202" s="94"/>
      <c r="AF202" s="94"/>
      <c r="AG202" s="94"/>
      <c r="AH202" s="94"/>
      <c r="AI202" s="94"/>
      <c r="AJ202" s="95"/>
      <c r="AK202" s="95"/>
      <c r="AL202" s="95"/>
      <c r="AM202" s="95"/>
      <c r="AN202" s="95"/>
      <c r="AO202" s="95"/>
      <c r="AP202" s="95"/>
      <c r="AQ202" s="95"/>
      <c r="AR202" s="95"/>
      <c r="AS202" s="58"/>
      <c r="AT202" s="95"/>
      <c r="AU202" s="95"/>
      <c r="AV202" s="95"/>
      <c r="AW202" s="95"/>
      <c r="AX202" s="95"/>
    </row>
    <row r="203" ht="15.0" customHeight="1">
      <c r="A203" s="95"/>
      <c r="B203" s="95"/>
      <c r="C203" s="95"/>
      <c r="D203" s="95"/>
      <c r="E203" s="95"/>
      <c r="F203" s="159"/>
      <c r="G203" s="95"/>
      <c r="H203" s="95"/>
      <c r="I203" s="95"/>
      <c r="J203" s="95"/>
      <c r="K203" s="95"/>
      <c r="L203" s="95"/>
      <c r="M203" s="159"/>
      <c r="N203" s="159"/>
      <c r="O203" s="159"/>
      <c r="P203" s="16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4"/>
      <c r="AE203" s="94"/>
      <c r="AF203" s="94"/>
      <c r="AG203" s="94"/>
      <c r="AH203" s="94"/>
      <c r="AI203" s="94"/>
      <c r="AJ203" s="95"/>
      <c r="AK203" s="95"/>
      <c r="AL203" s="95"/>
      <c r="AM203" s="95"/>
      <c r="AN203" s="95"/>
      <c r="AO203" s="95"/>
      <c r="AP203" s="95"/>
      <c r="AQ203" s="95"/>
      <c r="AR203" s="95"/>
      <c r="AS203" s="58"/>
      <c r="AT203" s="95"/>
      <c r="AU203" s="95"/>
      <c r="AV203" s="95"/>
      <c r="AW203" s="95"/>
      <c r="AX203" s="95"/>
    </row>
    <row r="204" ht="15.0" customHeight="1">
      <c r="A204" s="95"/>
      <c r="B204" s="95"/>
      <c r="C204" s="95"/>
      <c r="D204" s="95"/>
      <c r="E204" s="95"/>
      <c r="F204" s="159"/>
      <c r="G204" s="95"/>
      <c r="H204" s="95"/>
      <c r="I204" s="95"/>
      <c r="J204" s="95"/>
      <c r="K204" s="95"/>
      <c r="L204" s="95"/>
      <c r="M204" s="159"/>
      <c r="N204" s="159"/>
      <c r="O204" s="159"/>
      <c r="P204" s="16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4"/>
      <c r="AE204" s="94"/>
      <c r="AF204" s="94"/>
      <c r="AG204" s="94"/>
      <c r="AH204" s="94"/>
      <c r="AI204" s="94"/>
      <c r="AJ204" s="95"/>
      <c r="AK204" s="95"/>
      <c r="AL204" s="95"/>
      <c r="AM204" s="95"/>
      <c r="AN204" s="95"/>
      <c r="AO204" s="95"/>
      <c r="AP204" s="95"/>
      <c r="AQ204" s="95"/>
      <c r="AR204" s="95"/>
      <c r="AS204" s="58"/>
      <c r="AT204" s="95"/>
      <c r="AU204" s="95"/>
      <c r="AV204" s="95"/>
      <c r="AW204" s="95"/>
      <c r="AX204" s="95"/>
    </row>
    <row r="205" ht="15.0" customHeight="1">
      <c r="A205" s="95"/>
      <c r="B205" s="95"/>
      <c r="C205" s="95"/>
      <c r="D205" s="95"/>
      <c r="E205" s="95"/>
      <c r="F205" s="159"/>
      <c r="G205" s="95"/>
      <c r="H205" s="95"/>
      <c r="I205" s="95"/>
      <c r="J205" s="95"/>
      <c r="K205" s="95"/>
      <c r="L205" s="95"/>
      <c r="M205" s="159"/>
      <c r="N205" s="159"/>
      <c r="O205" s="159"/>
      <c r="P205" s="16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4"/>
      <c r="AE205" s="94"/>
      <c r="AF205" s="94"/>
      <c r="AG205" s="94"/>
      <c r="AH205" s="94"/>
      <c r="AI205" s="94"/>
      <c r="AJ205" s="95"/>
      <c r="AK205" s="95"/>
      <c r="AL205" s="95"/>
      <c r="AM205" s="95"/>
      <c r="AN205" s="95"/>
      <c r="AO205" s="95"/>
      <c r="AP205" s="95"/>
      <c r="AQ205" s="95"/>
      <c r="AR205" s="95"/>
      <c r="AS205" s="58"/>
      <c r="AT205" s="95"/>
      <c r="AU205" s="95"/>
      <c r="AV205" s="95"/>
      <c r="AW205" s="95"/>
      <c r="AX205" s="95"/>
    </row>
    <row r="206" ht="15.0" customHeight="1">
      <c r="A206" s="95"/>
      <c r="B206" s="95"/>
      <c r="C206" s="95"/>
      <c r="D206" s="95"/>
      <c r="E206" s="95"/>
      <c r="F206" s="159"/>
      <c r="G206" s="95"/>
      <c r="H206" s="95"/>
      <c r="I206" s="95"/>
      <c r="J206" s="95"/>
      <c r="K206" s="95"/>
      <c r="L206" s="95"/>
      <c r="M206" s="159"/>
      <c r="N206" s="159"/>
      <c r="O206" s="159"/>
      <c r="P206" s="16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4"/>
      <c r="AE206" s="94"/>
      <c r="AF206" s="94"/>
      <c r="AG206" s="94"/>
      <c r="AH206" s="94"/>
      <c r="AI206" s="94"/>
      <c r="AJ206" s="95"/>
      <c r="AK206" s="95"/>
      <c r="AL206" s="95"/>
      <c r="AM206" s="95"/>
      <c r="AN206" s="95"/>
      <c r="AO206" s="95"/>
      <c r="AP206" s="95"/>
      <c r="AQ206" s="95"/>
      <c r="AR206" s="95"/>
      <c r="AS206" s="58"/>
      <c r="AT206" s="95"/>
      <c r="AU206" s="95"/>
      <c r="AV206" s="95"/>
      <c r="AW206" s="95"/>
      <c r="AX206" s="95"/>
    </row>
    <row r="207" ht="15.0" customHeight="1">
      <c r="A207" s="95"/>
      <c r="B207" s="95"/>
      <c r="C207" s="95"/>
      <c r="D207" s="95"/>
      <c r="E207" s="95"/>
      <c r="F207" s="159"/>
      <c r="G207" s="95"/>
      <c r="H207" s="95"/>
      <c r="I207" s="95"/>
      <c r="J207" s="95"/>
      <c r="K207" s="95"/>
      <c r="L207" s="95"/>
      <c r="M207" s="159"/>
      <c r="N207" s="159"/>
      <c r="O207" s="159"/>
      <c r="P207" s="16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4"/>
      <c r="AE207" s="94"/>
      <c r="AF207" s="94"/>
      <c r="AG207" s="94"/>
      <c r="AH207" s="94"/>
      <c r="AI207" s="94"/>
      <c r="AJ207" s="95"/>
      <c r="AK207" s="95"/>
      <c r="AL207" s="95"/>
      <c r="AM207" s="95"/>
      <c r="AN207" s="95"/>
      <c r="AO207" s="95"/>
      <c r="AP207" s="95"/>
      <c r="AQ207" s="95"/>
      <c r="AR207" s="95"/>
      <c r="AS207" s="58"/>
      <c r="AT207" s="95"/>
      <c r="AU207" s="95"/>
      <c r="AV207" s="95"/>
      <c r="AW207" s="95"/>
      <c r="AX207" s="95"/>
    </row>
    <row r="208" ht="15.0" customHeight="1">
      <c r="A208" s="95"/>
      <c r="B208" s="95"/>
      <c r="C208" s="95"/>
      <c r="D208" s="95"/>
      <c r="E208" s="95"/>
      <c r="F208" s="159"/>
      <c r="G208" s="95"/>
      <c r="H208" s="95"/>
      <c r="I208" s="95"/>
      <c r="J208" s="95"/>
      <c r="K208" s="95"/>
      <c r="L208" s="95"/>
      <c r="M208" s="159"/>
      <c r="N208" s="159"/>
      <c r="O208" s="159"/>
      <c r="P208" s="16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4"/>
      <c r="AE208" s="94"/>
      <c r="AF208" s="94"/>
      <c r="AG208" s="94"/>
      <c r="AH208" s="94"/>
      <c r="AI208" s="94"/>
      <c r="AJ208" s="95"/>
      <c r="AK208" s="95"/>
      <c r="AL208" s="95"/>
      <c r="AM208" s="95"/>
      <c r="AN208" s="95"/>
      <c r="AO208" s="95"/>
      <c r="AP208" s="95"/>
      <c r="AQ208" s="95"/>
      <c r="AR208" s="95"/>
      <c r="AS208" s="58"/>
      <c r="AT208" s="95"/>
      <c r="AU208" s="95"/>
      <c r="AV208" s="95"/>
      <c r="AW208" s="95"/>
      <c r="AX208" s="95"/>
    </row>
    <row r="209" ht="15.0" customHeight="1">
      <c r="A209" s="95"/>
      <c r="B209" s="95"/>
      <c r="C209" s="95"/>
      <c r="D209" s="95"/>
      <c r="E209" s="95"/>
      <c r="F209" s="159"/>
      <c r="G209" s="95"/>
      <c r="H209" s="95"/>
      <c r="I209" s="95"/>
      <c r="J209" s="95"/>
      <c r="K209" s="95"/>
      <c r="L209" s="95"/>
      <c r="M209" s="159"/>
      <c r="N209" s="159"/>
      <c r="O209" s="159"/>
      <c r="P209" s="16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4"/>
      <c r="AE209" s="94"/>
      <c r="AF209" s="94"/>
      <c r="AG209" s="94"/>
      <c r="AH209" s="94"/>
      <c r="AI209" s="94"/>
      <c r="AJ209" s="95"/>
      <c r="AK209" s="95"/>
      <c r="AL209" s="95"/>
      <c r="AM209" s="95"/>
      <c r="AN209" s="95"/>
      <c r="AO209" s="95"/>
      <c r="AP209" s="95"/>
      <c r="AQ209" s="95"/>
      <c r="AR209" s="95"/>
      <c r="AS209" s="58"/>
      <c r="AT209" s="95"/>
      <c r="AU209" s="95"/>
      <c r="AV209" s="95"/>
      <c r="AW209" s="95"/>
      <c r="AX209" s="95"/>
    </row>
    <row r="210" ht="15.0" customHeight="1">
      <c r="A210" s="95"/>
      <c r="B210" s="95"/>
      <c r="C210" s="95"/>
      <c r="D210" s="95"/>
      <c r="E210" s="95"/>
      <c r="F210" s="159"/>
      <c r="G210" s="95"/>
      <c r="H210" s="95"/>
      <c r="I210" s="95"/>
      <c r="J210" s="95"/>
      <c r="K210" s="95"/>
      <c r="L210" s="95"/>
      <c r="M210" s="159"/>
      <c r="N210" s="159"/>
      <c r="O210" s="159"/>
      <c r="P210" s="16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4"/>
      <c r="AE210" s="94"/>
      <c r="AF210" s="94"/>
      <c r="AG210" s="94"/>
      <c r="AH210" s="94"/>
      <c r="AI210" s="94"/>
      <c r="AJ210" s="95"/>
      <c r="AK210" s="95"/>
      <c r="AL210" s="95"/>
      <c r="AM210" s="95"/>
      <c r="AN210" s="95"/>
      <c r="AO210" s="95"/>
      <c r="AP210" s="95"/>
      <c r="AQ210" s="95"/>
      <c r="AR210" s="95"/>
      <c r="AS210" s="58"/>
      <c r="AT210" s="95"/>
      <c r="AU210" s="95"/>
      <c r="AV210" s="95"/>
      <c r="AW210" s="95"/>
      <c r="AX210" s="95"/>
    </row>
    <row r="211" ht="15.0" customHeight="1">
      <c r="A211" s="95"/>
      <c r="B211" s="95"/>
      <c r="C211" s="95"/>
      <c r="D211" s="95"/>
      <c r="E211" s="95"/>
      <c r="F211" s="159"/>
      <c r="G211" s="95"/>
      <c r="H211" s="95"/>
      <c r="I211" s="95"/>
      <c r="J211" s="95"/>
      <c r="K211" s="95"/>
      <c r="L211" s="95"/>
      <c r="M211" s="159"/>
      <c r="N211" s="159"/>
      <c r="O211" s="159"/>
      <c r="P211" s="16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4"/>
      <c r="AE211" s="94"/>
      <c r="AF211" s="94"/>
      <c r="AG211" s="94"/>
      <c r="AH211" s="94"/>
      <c r="AI211" s="94"/>
      <c r="AJ211" s="95"/>
      <c r="AK211" s="95"/>
      <c r="AL211" s="95"/>
      <c r="AM211" s="95"/>
      <c r="AN211" s="95"/>
      <c r="AO211" s="95"/>
      <c r="AP211" s="95"/>
      <c r="AQ211" s="95"/>
      <c r="AR211" s="95"/>
      <c r="AS211" s="58"/>
      <c r="AT211" s="95"/>
      <c r="AU211" s="95"/>
      <c r="AV211" s="95"/>
      <c r="AW211" s="95"/>
      <c r="AX211" s="95"/>
    </row>
    <row r="212" ht="15.0" customHeight="1">
      <c r="A212" s="95"/>
      <c r="B212" s="95"/>
      <c r="C212" s="95"/>
      <c r="D212" s="95"/>
      <c r="E212" s="95"/>
      <c r="F212" s="159"/>
      <c r="G212" s="95"/>
      <c r="H212" s="95"/>
      <c r="I212" s="95"/>
      <c r="J212" s="95"/>
      <c r="K212" s="95"/>
      <c r="L212" s="95"/>
      <c r="M212" s="159"/>
      <c r="N212" s="159"/>
      <c r="O212" s="159"/>
      <c r="P212" s="16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4"/>
      <c r="AE212" s="94"/>
      <c r="AF212" s="94"/>
      <c r="AG212" s="94"/>
      <c r="AH212" s="94"/>
      <c r="AI212" s="94"/>
      <c r="AJ212" s="95"/>
      <c r="AK212" s="95"/>
      <c r="AL212" s="95"/>
      <c r="AM212" s="95"/>
      <c r="AN212" s="95"/>
      <c r="AO212" s="95"/>
      <c r="AP212" s="95"/>
      <c r="AQ212" s="95"/>
      <c r="AR212" s="95"/>
      <c r="AS212" s="58"/>
      <c r="AT212" s="95"/>
      <c r="AU212" s="95"/>
      <c r="AV212" s="95"/>
      <c r="AW212" s="95"/>
      <c r="AX212" s="95"/>
    </row>
    <row r="213" ht="15.0" customHeight="1">
      <c r="A213" s="95"/>
      <c r="B213" s="95"/>
      <c r="C213" s="95"/>
      <c r="D213" s="95"/>
      <c r="E213" s="95"/>
      <c r="F213" s="159"/>
      <c r="G213" s="95"/>
      <c r="H213" s="95"/>
      <c r="I213" s="95"/>
      <c r="J213" s="95"/>
      <c r="K213" s="95"/>
      <c r="L213" s="95"/>
      <c r="M213" s="159"/>
      <c r="N213" s="159"/>
      <c r="O213" s="159"/>
      <c r="P213" s="16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4"/>
      <c r="AE213" s="94"/>
      <c r="AF213" s="94"/>
      <c r="AG213" s="94"/>
      <c r="AH213" s="94"/>
      <c r="AI213" s="94"/>
      <c r="AJ213" s="95"/>
      <c r="AK213" s="95"/>
      <c r="AL213" s="95"/>
      <c r="AM213" s="95"/>
      <c r="AN213" s="95"/>
      <c r="AO213" s="95"/>
      <c r="AP213" s="95"/>
      <c r="AQ213" s="95"/>
      <c r="AR213" s="95"/>
      <c r="AS213" s="58"/>
      <c r="AT213" s="95"/>
      <c r="AU213" s="95"/>
      <c r="AV213" s="95"/>
      <c r="AW213" s="95"/>
      <c r="AX213" s="95"/>
    </row>
    <row r="214" ht="15.0" customHeight="1">
      <c r="A214" s="95"/>
      <c r="B214" s="95"/>
      <c r="C214" s="95"/>
      <c r="D214" s="95"/>
      <c r="E214" s="95"/>
      <c r="F214" s="159"/>
      <c r="G214" s="95"/>
      <c r="H214" s="95"/>
      <c r="I214" s="95"/>
      <c r="J214" s="95"/>
      <c r="K214" s="95"/>
      <c r="L214" s="95"/>
      <c r="M214" s="159"/>
      <c r="N214" s="159"/>
      <c r="O214" s="159"/>
      <c r="P214" s="16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  <c r="AC214" s="95"/>
      <c r="AD214" s="94"/>
      <c r="AE214" s="94"/>
      <c r="AF214" s="94"/>
      <c r="AG214" s="94"/>
      <c r="AH214" s="94"/>
      <c r="AI214" s="94"/>
      <c r="AJ214" s="95"/>
      <c r="AK214" s="95"/>
      <c r="AL214" s="95"/>
      <c r="AM214" s="95"/>
      <c r="AN214" s="95"/>
      <c r="AO214" s="95"/>
      <c r="AP214" s="95"/>
      <c r="AQ214" s="95"/>
      <c r="AR214" s="95"/>
      <c r="AS214" s="58"/>
      <c r="AT214" s="95"/>
      <c r="AU214" s="95"/>
      <c r="AV214" s="95"/>
      <c r="AW214" s="95"/>
      <c r="AX214" s="95"/>
    </row>
    <row r="215" ht="15.0" customHeight="1">
      <c r="A215" s="95"/>
      <c r="B215" s="95"/>
      <c r="C215" s="95"/>
      <c r="D215" s="95"/>
      <c r="E215" s="95"/>
      <c r="F215" s="159"/>
      <c r="G215" s="95"/>
      <c r="H215" s="95"/>
      <c r="I215" s="95"/>
      <c r="J215" s="95"/>
      <c r="K215" s="95"/>
      <c r="L215" s="95"/>
      <c r="M215" s="159"/>
      <c r="N215" s="159"/>
      <c r="O215" s="159"/>
      <c r="P215" s="16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  <c r="AC215" s="95"/>
      <c r="AD215" s="94"/>
      <c r="AE215" s="94"/>
      <c r="AF215" s="94"/>
      <c r="AG215" s="94"/>
      <c r="AH215" s="94"/>
      <c r="AI215" s="94"/>
      <c r="AJ215" s="95"/>
      <c r="AK215" s="95"/>
      <c r="AL215" s="95"/>
      <c r="AM215" s="95"/>
      <c r="AN215" s="95"/>
      <c r="AO215" s="95"/>
      <c r="AP215" s="95"/>
      <c r="AQ215" s="95"/>
      <c r="AR215" s="95"/>
      <c r="AS215" s="58"/>
      <c r="AT215" s="95"/>
      <c r="AU215" s="95"/>
      <c r="AV215" s="95"/>
      <c r="AW215" s="95"/>
      <c r="AX215" s="95"/>
    </row>
    <row r="216" ht="15.0" customHeight="1">
      <c r="A216" s="95"/>
      <c r="B216" s="95"/>
      <c r="C216" s="95"/>
      <c r="D216" s="95"/>
      <c r="E216" s="95"/>
      <c r="F216" s="159"/>
      <c r="G216" s="95"/>
      <c r="H216" s="95"/>
      <c r="I216" s="95"/>
      <c r="J216" s="95"/>
      <c r="K216" s="95"/>
      <c r="L216" s="95"/>
      <c r="M216" s="159"/>
      <c r="N216" s="159"/>
      <c r="O216" s="159"/>
      <c r="P216" s="16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  <c r="AC216" s="95"/>
      <c r="AD216" s="94"/>
      <c r="AE216" s="94"/>
      <c r="AF216" s="94"/>
      <c r="AG216" s="94"/>
      <c r="AH216" s="94"/>
      <c r="AI216" s="94"/>
      <c r="AJ216" s="95"/>
      <c r="AK216" s="95"/>
      <c r="AL216" s="95"/>
      <c r="AM216" s="95"/>
      <c r="AN216" s="95"/>
      <c r="AO216" s="95"/>
      <c r="AP216" s="95"/>
      <c r="AQ216" s="95"/>
      <c r="AR216" s="95"/>
      <c r="AS216" s="58"/>
      <c r="AT216" s="95"/>
      <c r="AU216" s="95"/>
      <c r="AV216" s="95"/>
      <c r="AW216" s="95"/>
      <c r="AX216" s="95"/>
    </row>
    <row r="217" ht="15.0" customHeight="1">
      <c r="A217" s="95"/>
      <c r="B217" s="95"/>
      <c r="C217" s="95"/>
      <c r="D217" s="95"/>
      <c r="E217" s="95"/>
      <c r="F217" s="159"/>
      <c r="G217" s="95"/>
      <c r="H217" s="95"/>
      <c r="I217" s="95"/>
      <c r="J217" s="95"/>
      <c r="K217" s="95"/>
      <c r="L217" s="95"/>
      <c r="M217" s="159"/>
      <c r="N217" s="159"/>
      <c r="O217" s="159"/>
      <c r="P217" s="16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  <c r="AC217" s="95"/>
      <c r="AD217" s="94"/>
      <c r="AE217" s="94"/>
      <c r="AF217" s="94"/>
      <c r="AG217" s="94"/>
      <c r="AH217" s="94"/>
      <c r="AI217" s="94"/>
      <c r="AJ217" s="95"/>
      <c r="AK217" s="95"/>
      <c r="AL217" s="95"/>
      <c r="AM217" s="95"/>
      <c r="AN217" s="95"/>
      <c r="AO217" s="95"/>
      <c r="AP217" s="95"/>
      <c r="AQ217" s="95"/>
      <c r="AR217" s="95"/>
      <c r="AS217" s="58"/>
      <c r="AT217" s="95"/>
      <c r="AU217" s="95"/>
      <c r="AV217" s="95"/>
      <c r="AW217" s="95"/>
      <c r="AX217" s="95"/>
    </row>
    <row r="218" ht="15.0" customHeight="1">
      <c r="A218" s="95"/>
      <c r="B218" s="95"/>
      <c r="C218" s="95"/>
      <c r="D218" s="95"/>
      <c r="E218" s="95"/>
      <c r="F218" s="159"/>
      <c r="G218" s="95"/>
      <c r="H218" s="95"/>
      <c r="I218" s="95"/>
      <c r="J218" s="95"/>
      <c r="K218" s="95"/>
      <c r="L218" s="95"/>
      <c r="M218" s="159"/>
      <c r="N218" s="159"/>
      <c r="O218" s="159"/>
      <c r="P218" s="16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4"/>
      <c r="AE218" s="94"/>
      <c r="AF218" s="94"/>
      <c r="AG218" s="94"/>
      <c r="AH218" s="94"/>
      <c r="AI218" s="94"/>
      <c r="AJ218" s="95"/>
      <c r="AK218" s="95"/>
      <c r="AL218" s="95"/>
      <c r="AM218" s="95"/>
      <c r="AN218" s="95"/>
      <c r="AO218" s="95"/>
      <c r="AP218" s="95"/>
      <c r="AQ218" s="95"/>
      <c r="AR218" s="95"/>
      <c r="AS218" s="58"/>
      <c r="AT218" s="95"/>
      <c r="AU218" s="95"/>
      <c r="AV218" s="95"/>
      <c r="AW218" s="95"/>
      <c r="AX218" s="95"/>
    </row>
    <row r="219" ht="15.0" customHeight="1">
      <c r="A219" s="95"/>
      <c r="B219" s="95"/>
      <c r="C219" s="95"/>
      <c r="D219" s="95"/>
      <c r="E219" s="95"/>
      <c r="F219" s="159"/>
      <c r="G219" s="95"/>
      <c r="H219" s="95"/>
      <c r="I219" s="95"/>
      <c r="J219" s="95"/>
      <c r="K219" s="95"/>
      <c r="L219" s="95"/>
      <c r="M219" s="159"/>
      <c r="N219" s="159"/>
      <c r="O219" s="159"/>
      <c r="P219" s="16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  <c r="AC219" s="95"/>
      <c r="AD219" s="94"/>
      <c r="AE219" s="94"/>
      <c r="AF219" s="94"/>
      <c r="AG219" s="94"/>
      <c r="AH219" s="94"/>
      <c r="AI219" s="94"/>
      <c r="AJ219" s="95"/>
      <c r="AK219" s="95"/>
      <c r="AL219" s="95"/>
      <c r="AM219" s="95"/>
      <c r="AN219" s="95"/>
      <c r="AO219" s="95"/>
      <c r="AP219" s="95"/>
      <c r="AQ219" s="95"/>
      <c r="AR219" s="95"/>
      <c r="AS219" s="58"/>
      <c r="AT219" s="95"/>
      <c r="AU219" s="95"/>
      <c r="AV219" s="95"/>
      <c r="AW219" s="95"/>
      <c r="AX219" s="95"/>
    </row>
    <row r="220" ht="15.0" customHeight="1">
      <c r="A220" s="95"/>
      <c r="B220" s="95"/>
      <c r="C220" s="95"/>
      <c r="D220" s="95"/>
      <c r="E220" s="95"/>
      <c r="F220" s="159"/>
      <c r="G220" s="95"/>
      <c r="H220" s="95"/>
      <c r="I220" s="95"/>
      <c r="J220" s="95"/>
      <c r="K220" s="95"/>
      <c r="L220" s="95"/>
      <c r="M220" s="159"/>
      <c r="N220" s="159"/>
      <c r="O220" s="159"/>
      <c r="P220" s="16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  <c r="AC220" s="95"/>
      <c r="AD220" s="94"/>
      <c r="AE220" s="94"/>
      <c r="AF220" s="94"/>
      <c r="AG220" s="94"/>
      <c r="AH220" s="94"/>
      <c r="AI220" s="94"/>
      <c r="AJ220" s="95"/>
      <c r="AK220" s="95"/>
      <c r="AL220" s="95"/>
      <c r="AM220" s="95"/>
      <c r="AN220" s="95"/>
      <c r="AO220" s="95"/>
      <c r="AP220" s="95"/>
      <c r="AQ220" s="95"/>
      <c r="AR220" s="95"/>
      <c r="AS220" s="58"/>
      <c r="AT220" s="95"/>
      <c r="AU220" s="95"/>
      <c r="AV220" s="95"/>
      <c r="AW220" s="95"/>
      <c r="AX220" s="95"/>
    </row>
    <row r="221" ht="15.0" customHeight="1">
      <c r="A221" s="95"/>
      <c r="B221" s="95"/>
      <c r="C221" s="95"/>
      <c r="D221" s="95"/>
      <c r="E221" s="95"/>
      <c r="F221" s="159"/>
      <c r="G221" s="95"/>
      <c r="H221" s="95"/>
      <c r="I221" s="95"/>
      <c r="J221" s="95"/>
      <c r="K221" s="95"/>
      <c r="L221" s="95"/>
      <c r="M221" s="159"/>
      <c r="N221" s="159"/>
      <c r="O221" s="159"/>
      <c r="P221" s="16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  <c r="AC221" s="95"/>
      <c r="AD221" s="94"/>
      <c r="AE221" s="94"/>
      <c r="AF221" s="94"/>
      <c r="AG221" s="94"/>
      <c r="AH221" s="94"/>
      <c r="AI221" s="94"/>
      <c r="AJ221" s="95"/>
      <c r="AK221" s="95"/>
      <c r="AL221" s="95"/>
      <c r="AM221" s="95"/>
      <c r="AN221" s="95"/>
      <c r="AO221" s="95"/>
      <c r="AP221" s="95"/>
      <c r="AQ221" s="95"/>
      <c r="AR221" s="95"/>
      <c r="AS221" s="58"/>
      <c r="AT221" s="95"/>
      <c r="AU221" s="95"/>
      <c r="AV221" s="95"/>
      <c r="AW221" s="95"/>
      <c r="AX221" s="95"/>
    </row>
    <row r="222" ht="15.0" customHeight="1">
      <c r="A222" s="95"/>
      <c r="B222" s="95"/>
      <c r="C222" s="95"/>
      <c r="D222" s="95"/>
      <c r="E222" s="95"/>
      <c r="F222" s="159"/>
      <c r="G222" s="95"/>
      <c r="H222" s="95"/>
      <c r="I222" s="95"/>
      <c r="J222" s="95"/>
      <c r="K222" s="95"/>
      <c r="L222" s="95"/>
      <c r="M222" s="159"/>
      <c r="N222" s="159"/>
      <c r="O222" s="159"/>
      <c r="P222" s="16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  <c r="AC222" s="95"/>
      <c r="AD222" s="94"/>
      <c r="AE222" s="94"/>
      <c r="AF222" s="94"/>
      <c r="AG222" s="94"/>
      <c r="AH222" s="94"/>
      <c r="AI222" s="94"/>
      <c r="AJ222" s="95"/>
      <c r="AK222" s="95"/>
      <c r="AL222" s="95"/>
      <c r="AM222" s="95"/>
      <c r="AN222" s="95"/>
      <c r="AO222" s="95"/>
      <c r="AP222" s="95"/>
      <c r="AQ222" s="95"/>
      <c r="AR222" s="95"/>
      <c r="AS222" s="58"/>
      <c r="AT222" s="95"/>
      <c r="AU222" s="95"/>
      <c r="AV222" s="95"/>
      <c r="AW222" s="95"/>
      <c r="AX222" s="95"/>
    </row>
    <row r="223" ht="15.0" customHeight="1">
      <c r="A223" s="95"/>
      <c r="B223" s="95"/>
      <c r="C223" s="95"/>
      <c r="D223" s="95"/>
      <c r="E223" s="95"/>
      <c r="F223" s="159"/>
      <c r="G223" s="95"/>
      <c r="H223" s="95"/>
      <c r="I223" s="95"/>
      <c r="J223" s="95"/>
      <c r="K223" s="95"/>
      <c r="L223" s="95"/>
      <c r="M223" s="159"/>
      <c r="N223" s="159"/>
      <c r="O223" s="159"/>
      <c r="P223" s="16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  <c r="AC223" s="95"/>
      <c r="AD223" s="94"/>
      <c r="AE223" s="94"/>
      <c r="AF223" s="94"/>
      <c r="AG223" s="94"/>
      <c r="AH223" s="94"/>
      <c r="AI223" s="94"/>
      <c r="AJ223" s="95"/>
      <c r="AK223" s="95"/>
      <c r="AL223" s="95"/>
      <c r="AM223" s="95"/>
      <c r="AN223" s="95"/>
      <c r="AO223" s="95"/>
      <c r="AP223" s="95"/>
      <c r="AQ223" s="95"/>
      <c r="AR223" s="95"/>
      <c r="AS223" s="58"/>
      <c r="AT223" s="95"/>
      <c r="AU223" s="95"/>
      <c r="AV223" s="95"/>
      <c r="AW223" s="95"/>
      <c r="AX223" s="95"/>
    </row>
    <row r="224" ht="15.0" customHeight="1">
      <c r="A224" s="95"/>
      <c r="B224" s="95"/>
      <c r="C224" s="95"/>
      <c r="D224" s="95"/>
      <c r="E224" s="95"/>
      <c r="F224" s="159"/>
      <c r="G224" s="95"/>
      <c r="H224" s="95"/>
      <c r="I224" s="95"/>
      <c r="J224" s="95"/>
      <c r="K224" s="95"/>
      <c r="L224" s="95"/>
      <c r="M224" s="159"/>
      <c r="N224" s="159"/>
      <c r="O224" s="159"/>
      <c r="P224" s="16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  <c r="AC224" s="95"/>
      <c r="AD224" s="94"/>
      <c r="AE224" s="94"/>
      <c r="AF224" s="94"/>
      <c r="AG224" s="94"/>
      <c r="AH224" s="94"/>
      <c r="AI224" s="94"/>
      <c r="AJ224" s="95"/>
      <c r="AK224" s="95"/>
      <c r="AL224" s="95"/>
      <c r="AM224" s="95"/>
      <c r="AN224" s="95"/>
      <c r="AO224" s="95"/>
      <c r="AP224" s="95"/>
      <c r="AQ224" s="95"/>
      <c r="AR224" s="95"/>
      <c r="AS224" s="58"/>
      <c r="AT224" s="95"/>
      <c r="AU224" s="95"/>
      <c r="AV224" s="95"/>
      <c r="AW224" s="95"/>
      <c r="AX224" s="95"/>
    </row>
    <row r="225" ht="15.0" customHeight="1">
      <c r="A225" s="95"/>
      <c r="B225" s="95"/>
      <c r="C225" s="95"/>
      <c r="D225" s="95"/>
      <c r="E225" s="95"/>
      <c r="F225" s="159"/>
      <c r="G225" s="95"/>
      <c r="H225" s="95"/>
      <c r="I225" s="95"/>
      <c r="J225" s="95"/>
      <c r="K225" s="95"/>
      <c r="L225" s="95"/>
      <c r="M225" s="159"/>
      <c r="N225" s="159"/>
      <c r="O225" s="159"/>
      <c r="P225" s="16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  <c r="AC225" s="95"/>
      <c r="AD225" s="94"/>
      <c r="AE225" s="94"/>
      <c r="AF225" s="94"/>
      <c r="AG225" s="94"/>
      <c r="AH225" s="94"/>
      <c r="AI225" s="94"/>
      <c r="AJ225" s="95"/>
      <c r="AK225" s="95"/>
      <c r="AL225" s="95"/>
      <c r="AM225" s="95"/>
      <c r="AN225" s="95"/>
      <c r="AO225" s="95"/>
      <c r="AP225" s="95"/>
      <c r="AQ225" s="95"/>
      <c r="AR225" s="95"/>
      <c r="AS225" s="58"/>
      <c r="AT225" s="95"/>
      <c r="AU225" s="95"/>
      <c r="AV225" s="95"/>
      <c r="AW225" s="95"/>
      <c r="AX225" s="95"/>
    </row>
    <row r="226" ht="15.0" customHeight="1">
      <c r="A226" s="95"/>
      <c r="B226" s="95"/>
      <c r="C226" s="95"/>
      <c r="D226" s="95"/>
      <c r="E226" s="95"/>
      <c r="F226" s="159"/>
      <c r="G226" s="95"/>
      <c r="H226" s="95"/>
      <c r="I226" s="95"/>
      <c r="J226" s="95"/>
      <c r="K226" s="95"/>
      <c r="L226" s="95"/>
      <c r="M226" s="159"/>
      <c r="N226" s="159"/>
      <c r="O226" s="159"/>
      <c r="P226" s="16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  <c r="AC226" s="95"/>
      <c r="AD226" s="94"/>
      <c r="AE226" s="94"/>
      <c r="AF226" s="94"/>
      <c r="AG226" s="94"/>
      <c r="AH226" s="94"/>
      <c r="AI226" s="94"/>
      <c r="AJ226" s="95"/>
      <c r="AK226" s="95"/>
      <c r="AL226" s="95"/>
      <c r="AM226" s="95"/>
      <c r="AN226" s="95"/>
      <c r="AO226" s="95"/>
      <c r="AP226" s="95"/>
      <c r="AQ226" s="95"/>
      <c r="AR226" s="95"/>
      <c r="AS226" s="58"/>
      <c r="AT226" s="95"/>
      <c r="AU226" s="95"/>
      <c r="AV226" s="95"/>
      <c r="AW226" s="95"/>
      <c r="AX226" s="95"/>
    </row>
    <row r="227" ht="15.0" customHeight="1">
      <c r="A227" s="95"/>
      <c r="B227" s="95"/>
      <c r="C227" s="95"/>
      <c r="D227" s="95"/>
      <c r="E227" s="95"/>
      <c r="F227" s="159"/>
      <c r="G227" s="95"/>
      <c r="H227" s="95"/>
      <c r="I227" s="95"/>
      <c r="J227" s="95"/>
      <c r="K227" s="95"/>
      <c r="L227" s="95"/>
      <c r="M227" s="159"/>
      <c r="N227" s="159"/>
      <c r="O227" s="159"/>
      <c r="P227" s="16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  <c r="AC227" s="95"/>
      <c r="AD227" s="94"/>
      <c r="AE227" s="94"/>
      <c r="AF227" s="94"/>
      <c r="AG227" s="94"/>
      <c r="AH227" s="94"/>
      <c r="AI227" s="94"/>
      <c r="AJ227" s="95"/>
      <c r="AK227" s="95"/>
      <c r="AL227" s="95"/>
      <c r="AM227" s="95"/>
      <c r="AN227" s="95"/>
      <c r="AO227" s="95"/>
      <c r="AP227" s="95"/>
      <c r="AQ227" s="95"/>
      <c r="AR227" s="95"/>
      <c r="AS227" s="58"/>
      <c r="AT227" s="95"/>
      <c r="AU227" s="95"/>
      <c r="AV227" s="95"/>
      <c r="AW227" s="95"/>
      <c r="AX227" s="95"/>
    </row>
    <row r="228" ht="15.0" customHeight="1">
      <c r="A228" s="95"/>
      <c r="B228" s="95"/>
      <c r="C228" s="95"/>
      <c r="D228" s="95"/>
      <c r="E228" s="95"/>
      <c r="F228" s="159"/>
      <c r="G228" s="95"/>
      <c r="H228" s="95"/>
      <c r="I228" s="95"/>
      <c r="J228" s="95"/>
      <c r="K228" s="95"/>
      <c r="L228" s="95"/>
      <c r="M228" s="159"/>
      <c r="N228" s="159"/>
      <c r="O228" s="159"/>
      <c r="P228" s="16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  <c r="AC228" s="95"/>
      <c r="AD228" s="94"/>
      <c r="AE228" s="94"/>
      <c r="AF228" s="94"/>
      <c r="AG228" s="94"/>
      <c r="AH228" s="94"/>
      <c r="AI228" s="94"/>
      <c r="AJ228" s="95"/>
      <c r="AK228" s="95"/>
      <c r="AL228" s="95"/>
      <c r="AM228" s="95"/>
      <c r="AN228" s="95"/>
      <c r="AO228" s="95"/>
      <c r="AP228" s="95"/>
      <c r="AQ228" s="95"/>
      <c r="AR228" s="95"/>
      <c r="AS228" s="58"/>
      <c r="AT228" s="95"/>
      <c r="AU228" s="95"/>
      <c r="AV228" s="95"/>
      <c r="AW228" s="95"/>
      <c r="AX228" s="95"/>
    </row>
    <row r="229" ht="15.0" customHeight="1">
      <c r="A229" s="95"/>
      <c r="B229" s="95"/>
      <c r="C229" s="95"/>
      <c r="D229" s="95"/>
      <c r="E229" s="95"/>
      <c r="F229" s="159"/>
      <c r="G229" s="95"/>
      <c r="H229" s="95"/>
      <c r="I229" s="95"/>
      <c r="J229" s="95"/>
      <c r="K229" s="95"/>
      <c r="L229" s="95"/>
      <c r="M229" s="159"/>
      <c r="N229" s="159"/>
      <c r="O229" s="159"/>
      <c r="P229" s="16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  <c r="AC229" s="95"/>
      <c r="AD229" s="94"/>
      <c r="AE229" s="94"/>
      <c r="AF229" s="94"/>
      <c r="AG229" s="94"/>
      <c r="AH229" s="94"/>
      <c r="AI229" s="94"/>
      <c r="AJ229" s="95"/>
      <c r="AK229" s="95"/>
      <c r="AL229" s="95"/>
      <c r="AM229" s="95"/>
      <c r="AN229" s="95"/>
      <c r="AO229" s="95"/>
      <c r="AP229" s="95"/>
      <c r="AQ229" s="95"/>
      <c r="AR229" s="95"/>
      <c r="AS229" s="58"/>
      <c r="AT229" s="95"/>
      <c r="AU229" s="95"/>
      <c r="AV229" s="95"/>
      <c r="AW229" s="95"/>
      <c r="AX229" s="95"/>
    </row>
    <row r="230" ht="15.0" customHeight="1">
      <c r="A230" s="95"/>
      <c r="B230" s="95"/>
      <c r="C230" s="95"/>
      <c r="D230" s="95"/>
      <c r="E230" s="95"/>
      <c r="F230" s="159"/>
      <c r="G230" s="95"/>
      <c r="H230" s="95"/>
      <c r="I230" s="95"/>
      <c r="J230" s="95"/>
      <c r="K230" s="95"/>
      <c r="L230" s="95"/>
      <c r="M230" s="159"/>
      <c r="N230" s="159"/>
      <c r="O230" s="159"/>
      <c r="P230" s="16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  <c r="AC230" s="95"/>
      <c r="AD230" s="94"/>
      <c r="AE230" s="94"/>
      <c r="AF230" s="94"/>
      <c r="AG230" s="94"/>
      <c r="AH230" s="94"/>
      <c r="AI230" s="94"/>
      <c r="AJ230" s="95"/>
      <c r="AK230" s="95"/>
      <c r="AL230" s="95"/>
      <c r="AM230" s="95"/>
      <c r="AN230" s="95"/>
      <c r="AO230" s="95"/>
      <c r="AP230" s="95"/>
      <c r="AQ230" s="95"/>
      <c r="AR230" s="95"/>
      <c r="AS230" s="58"/>
      <c r="AT230" s="95"/>
      <c r="AU230" s="95"/>
      <c r="AV230" s="95"/>
      <c r="AW230" s="95"/>
      <c r="AX230" s="95"/>
    </row>
    <row r="231" ht="15.0" customHeight="1">
      <c r="A231" s="95"/>
      <c r="B231" s="95"/>
      <c r="C231" s="95"/>
      <c r="D231" s="95"/>
      <c r="E231" s="95"/>
      <c r="F231" s="159"/>
      <c r="G231" s="95"/>
      <c r="H231" s="95"/>
      <c r="I231" s="95"/>
      <c r="J231" s="95"/>
      <c r="K231" s="95"/>
      <c r="L231" s="95"/>
      <c r="M231" s="159"/>
      <c r="N231" s="159"/>
      <c r="O231" s="159"/>
      <c r="P231" s="16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  <c r="AC231" s="95"/>
      <c r="AD231" s="94"/>
      <c r="AE231" s="94"/>
      <c r="AF231" s="94"/>
      <c r="AG231" s="94"/>
      <c r="AH231" s="94"/>
      <c r="AI231" s="94"/>
      <c r="AJ231" s="95"/>
      <c r="AK231" s="95"/>
      <c r="AL231" s="95"/>
      <c r="AM231" s="95"/>
      <c r="AN231" s="95"/>
      <c r="AO231" s="95"/>
      <c r="AP231" s="95"/>
      <c r="AQ231" s="95"/>
      <c r="AR231" s="95"/>
      <c r="AS231" s="58"/>
      <c r="AT231" s="95"/>
      <c r="AU231" s="95"/>
      <c r="AV231" s="95"/>
      <c r="AW231" s="95"/>
      <c r="AX231" s="95"/>
    </row>
    <row r="232" ht="15.0" customHeight="1">
      <c r="A232" s="95"/>
      <c r="B232" s="95"/>
      <c r="C232" s="95"/>
      <c r="D232" s="95"/>
      <c r="E232" s="95"/>
      <c r="F232" s="159"/>
      <c r="G232" s="95"/>
      <c r="H232" s="95"/>
      <c r="I232" s="95"/>
      <c r="J232" s="95"/>
      <c r="K232" s="95"/>
      <c r="L232" s="95"/>
      <c r="M232" s="159"/>
      <c r="N232" s="159"/>
      <c r="O232" s="159"/>
      <c r="P232" s="16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  <c r="AC232" s="95"/>
      <c r="AD232" s="94"/>
      <c r="AE232" s="94"/>
      <c r="AF232" s="94"/>
      <c r="AG232" s="94"/>
      <c r="AH232" s="94"/>
      <c r="AI232" s="94"/>
      <c r="AJ232" s="95"/>
      <c r="AK232" s="95"/>
      <c r="AL232" s="95"/>
      <c r="AM232" s="95"/>
      <c r="AN232" s="95"/>
      <c r="AO232" s="95"/>
      <c r="AP232" s="95"/>
      <c r="AQ232" s="95"/>
      <c r="AR232" s="95"/>
      <c r="AS232" s="58"/>
      <c r="AT232" s="95"/>
      <c r="AU232" s="95"/>
      <c r="AV232" s="95"/>
      <c r="AW232" s="95"/>
      <c r="AX232" s="95"/>
    </row>
    <row r="233" ht="15.0" customHeight="1">
      <c r="A233" s="95"/>
      <c r="B233" s="95"/>
      <c r="C233" s="95"/>
      <c r="D233" s="95"/>
      <c r="E233" s="95"/>
      <c r="F233" s="159"/>
      <c r="G233" s="95"/>
      <c r="H233" s="95"/>
      <c r="I233" s="95"/>
      <c r="J233" s="95"/>
      <c r="K233" s="95"/>
      <c r="L233" s="95"/>
      <c r="M233" s="159"/>
      <c r="N233" s="159"/>
      <c r="O233" s="159"/>
      <c r="P233" s="16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  <c r="AC233" s="95"/>
      <c r="AD233" s="94"/>
      <c r="AE233" s="94"/>
      <c r="AF233" s="94"/>
      <c r="AG233" s="94"/>
      <c r="AH233" s="94"/>
      <c r="AI233" s="94"/>
      <c r="AJ233" s="95"/>
      <c r="AK233" s="95"/>
      <c r="AL233" s="95"/>
      <c r="AM233" s="95"/>
      <c r="AN233" s="95"/>
      <c r="AO233" s="95"/>
      <c r="AP233" s="95"/>
      <c r="AQ233" s="95"/>
      <c r="AR233" s="95"/>
      <c r="AS233" s="58"/>
      <c r="AT233" s="95"/>
      <c r="AU233" s="95"/>
      <c r="AV233" s="95"/>
      <c r="AW233" s="95"/>
      <c r="AX233" s="95"/>
    </row>
    <row r="234" ht="15.0" customHeight="1">
      <c r="A234" s="95"/>
      <c r="B234" s="95"/>
      <c r="C234" s="95"/>
      <c r="D234" s="95"/>
      <c r="E234" s="95"/>
      <c r="F234" s="159"/>
      <c r="G234" s="95"/>
      <c r="H234" s="95"/>
      <c r="I234" s="95"/>
      <c r="J234" s="95"/>
      <c r="K234" s="95"/>
      <c r="L234" s="95"/>
      <c r="M234" s="159"/>
      <c r="N234" s="159"/>
      <c r="O234" s="159"/>
      <c r="P234" s="16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  <c r="AC234" s="95"/>
      <c r="AD234" s="94"/>
      <c r="AE234" s="94"/>
      <c r="AF234" s="94"/>
      <c r="AG234" s="94"/>
      <c r="AH234" s="94"/>
      <c r="AI234" s="94"/>
      <c r="AJ234" s="95"/>
      <c r="AK234" s="95"/>
      <c r="AL234" s="95"/>
      <c r="AM234" s="95"/>
      <c r="AN234" s="95"/>
      <c r="AO234" s="95"/>
      <c r="AP234" s="95"/>
      <c r="AQ234" s="95"/>
      <c r="AR234" s="95"/>
      <c r="AS234" s="58"/>
      <c r="AT234" s="95"/>
      <c r="AU234" s="95"/>
      <c r="AV234" s="95"/>
      <c r="AW234" s="95"/>
      <c r="AX234" s="95"/>
    </row>
    <row r="235" ht="15.0" customHeight="1">
      <c r="A235" s="95"/>
      <c r="B235" s="95"/>
      <c r="C235" s="95"/>
      <c r="D235" s="95"/>
      <c r="E235" s="95"/>
      <c r="F235" s="159"/>
      <c r="G235" s="95"/>
      <c r="H235" s="95"/>
      <c r="I235" s="95"/>
      <c r="J235" s="95"/>
      <c r="K235" s="95"/>
      <c r="L235" s="95"/>
      <c r="M235" s="159"/>
      <c r="N235" s="159"/>
      <c r="O235" s="159"/>
      <c r="P235" s="16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  <c r="AC235" s="95"/>
      <c r="AD235" s="94"/>
      <c r="AE235" s="94"/>
      <c r="AF235" s="94"/>
      <c r="AG235" s="94"/>
      <c r="AH235" s="94"/>
      <c r="AI235" s="94"/>
      <c r="AJ235" s="95"/>
      <c r="AK235" s="95"/>
      <c r="AL235" s="95"/>
      <c r="AM235" s="95"/>
      <c r="AN235" s="95"/>
      <c r="AO235" s="95"/>
      <c r="AP235" s="95"/>
      <c r="AQ235" s="95"/>
      <c r="AR235" s="95"/>
      <c r="AS235" s="58"/>
      <c r="AT235" s="95"/>
      <c r="AU235" s="95"/>
      <c r="AV235" s="95"/>
      <c r="AW235" s="95"/>
      <c r="AX235" s="95"/>
    </row>
    <row r="236" ht="15.0" customHeight="1">
      <c r="A236" s="95"/>
      <c r="B236" s="95"/>
      <c r="C236" s="95"/>
      <c r="D236" s="95"/>
      <c r="E236" s="95"/>
      <c r="F236" s="159"/>
      <c r="G236" s="95"/>
      <c r="H236" s="95"/>
      <c r="I236" s="95"/>
      <c r="J236" s="95"/>
      <c r="K236" s="95"/>
      <c r="L236" s="95"/>
      <c r="M236" s="159"/>
      <c r="N236" s="159"/>
      <c r="O236" s="159"/>
      <c r="P236" s="16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  <c r="AC236" s="95"/>
      <c r="AD236" s="94"/>
      <c r="AE236" s="94"/>
      <c r="AF236" s="94"/>
      <c r="AG236" s="94"/>
      <c r="AH236" s="94"/>
      <c r="AI236" s="94"/>
      <c r="AJ236" s="95"/>
      <c r="AK236" s="95"/>
      <c r="AL236" s="95"/>
      <c r="AM236" s="95"/>
      <c r="AN236" s="95"/>
      <c r="AO236" s="95"/>
      <c r="AP236" s="95"/>
      <c r="AQ236" s="95"/>
      <c r="AR236" s="95"/>
      <c r="AS236" s="58"/>
      <c r="AT236" s="95"/>
      <c r="AU236" s="95"/>
      <c r="AV236" s="95"/>
      <c r="AW236" s="95"/>
      <c r="AX236" s="95"/>
    </row>
    <row r="237" ht="15.0" customHeight="1">
      <c r="A237" s="95"/>
      <c r="B237" s="95"/>
      <c r="C237" s="95"/>
      <c r="D237" s="95"/>
      <c r="E237" s="95"/>
      <c r="F237" s="159"/>
      <c r="G237" s="95"/>
      <c r="H237" s="95"/>
      <c r="I237" s="95"/>
      <c r="J237" s="95"/>
      <c r="K237" s="95"/>
      <c r="L237" s="95"/>
      <c r="M237" s="159"/>
      <c r="N237" s="159"/>
      <c r="O237" s="159"/>
      <c r="P237" s="16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  <c r="AC237" s="95"/>
      <c r="AD237" s="94"/>
      <c r="AE237" s="94"/>
      <c r="AF237" s="94"/>
      <c r="AG237" s="94"/>
      <c r="AH237" s="94"/>
      <c r="AI237" s="94"/>
      <c r="AJ237" s="95"/>
      <c r="AK237" s="95"/>
      <c r="AL237" s="95"/>
      <c r="AM237" s="95"/>
      <c r="AN237" s="95"/>
      <c r="AO237" s="95"/>
      <c r="AP237" s="95"/>
      <c r="AQ237" s="95"/>
      <c r="AR237" s="95"/>
      <c r="AS237" s="58"/>
      <c r="AT237" s="95"/>
      <c r="AU237" s="95"/>
      <c r="AV237" s="95"/>
      <c r="AW237" s="95"/>
      <c r="AX237" s="95"/>
    </row>
    <row r="238" ht="15.0" customHeight="1">
      <c r="A238" s="95"/>
      <c r="B238" s="95"/>
      <c r="C238" s="95"/>
      <c r="D238" s="95"/>
      <c r="E238" s="95"/>
      <c r="F238" s="159"/>
      <c r="G238" s="95"/>
      <c r="H238" s="95"/>
      <c r="I238" s="95"/>
      <c r="J238" s="95"/>
      <c r="K238" s="95"/>
      <c r="L238" s="95"/>
      <c r="M238" s="159"/>
      <c r="N238" s="159"/>
      <c r="O238" s="159"/>
      <c r="P238" s="16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  <c r="AC238" s="95"/>
      <c r="AD238" s="94"/>
      <c r="AE238" s="94"/>
      <c r="AF238" s="94"/>
      <c r="AG238" s="94"/>
      <c r="AH238" s="94"/>
      <c r="AI238" s="94"/>
      <c r="AJ238" s="95"/>
      <c r="AK238" s="95"/>
      <c r="AL238" s="95"/>
      <c r="AM238" s="95"/>
      <c r="AN238" s="95"/>
      <c r="AO238" s="95"/>
      <c r="AP238" s="95"/>
      <c r="AQ238" s="95"/>
      <c r="AR238" s="95"/>
      <c r="AS238" s="58"/>
      <c r="AT238" s="95"/>
      <c r="AU238" s="95"/>
      <c r="AV238" s="95"/>
      <c r="AW238" s="95"/>
      <c r="AX238" s="95"/>
    </row>
    <row r="239" ht="15.0" customHeight="1">
      <c r="A239" s="95"/>
      <c r="B239" s="95"/>
      <c r="C239" s="95"/>
      <c r="D239" s="95"/>
      <c r="E239" s="95"/>
      <c r="F239" s="159"/>
      <c r="G239" s="95"/>
      <c r="H239" s="95"/>
      <c r="I239" s="95"/>
      <c r="J239" s="95"/>
      <c r="K239" s="95"/>
      <c r="L239" s="95"/>
      <c r="M239" s="159"/>
      <c r="N239" s="159"/>
      <c r="O239" s="159"/>
      <c r="P239" s="16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  <c r="AC239" s="95"/>
      <c r="AD239" s="94"/>
      <c r="AE239" s="94"/>
      <c r="AF239" s="94"/>
      <c r="AG239" s="94"/>
      <c r="AH239" s="94"/>
      <c r="AI239" s="94"/>
      <c r="AJ239" s="95"/>
      <c r="AK239" s="95"/>
      <c r="AL239" s="95"/>
      <c r="AM239" s="95"/>
      <c r="AN239" s="95"/>
      <c r="AO239" s="95"/>
      <c r="AP239" s="95"/>
      <c r="AQ239" s="95"/>
      <c r="AR239" s="95"/>
      <c r="AS239" s="58"/>
      <c r="AT239" s="95"/>
      <c r="AU239" s="95"/>
      <c r="AV239" s="95"/>
      <c r="AW239" s="95"/>
      <c r="AX239" s="95"/>
    </row>
    <row r="240" ht="15.0" customHeight="1">
      <c r="A240" s="95"/>
      <c r="B240" s="95"/>
      <c r="C240" s="95"/>
      <c r="D240" s="95"/>
      <c r="E240" s="95"/>
      <c r="F240" s="159"/>
      <c r="G240" s="95"/>
      <c r="H240" s="95"/>
      <c r="I240" s="95"/>
      <c r="J240" s="95"/>
      <c r="K240" s="95"/>
      <c r="L240" s="95"/>
      <c r="M240" s="159"/>
      <c r="N240" s="159"/>
      <c r="O240" s="159"/>
      <c r="P240" s="16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  <c r="AC240" s="95"/>
      <c r="AD240" s="94"/>
      <c r="AE240" s="94"/>
      <c r="AF240" s="94"/>
      <c r="AG240" s="94"/>
      <c r="AH240" s="94"/>
      <c r="AI240" s="94"/>
      <c r="AJ240" s="95"/>
      <c r="AK240" s="95"/>
      <c r="AL240" s="95"/>
      <c r="AM240" s="95"/>
      <c r="AN240" s="95"/>
      <c r="AO240" s="95"/>
      <c r="AP240" s="95"/>
      <c r="AQ240" s="95"/>
      <c r="AR240" s="95"/>
      <c r="AS240" s="58"/>
      <c r="AT240" s="95"/>
      <c r="AU240" s="95"/>
      <c r="AV240" s="95"/>
      <c r="AW240" s="95"/>
      <c r="AX240" s="95"/>
    </row>
    <row r="241" ht="15.0" customHeight="1">
      <c r="A241" s="95"/>
      <c r="B241" s="95"/>
      <c r="C241" s="95"/>
      <c r="D241" s="95"/>
      <c r="E241" s="95"/>
      <c r="F241" s="159"/>
      <c r="G241" s="95"/>
      <c r="H241" s="95"/>
      <c r="I241" s="95"/>
      <c r="J241" s="95"/>
      <c r="K241" s="95"/>
      <c r="L241" s="95"/>
      <c r="M241" s="159"/>
      <c r="N241" s="159"/>
      <c r="O241" s="159"/>
      <c r="P241" s="16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  <c r="AC241" s="95"/>
      <c r="AD241" s="94"/>
      <c r="AE241" s="94"/>
      <c r="AF241" s="94"/>
      <c r="AG241" s="94"/>
      <c r="AH241" s="94"/>
      <c r="AI241" s="94"/>
      <c r="AJ241" s="95"/>
      <c r="AK241" s="95"/>
      <c r="AL241" s="95"/>
      <c r="AM241" s="95"/>
      <c r="AN241" s="95"/>
      <c r="AO241" s="95"/>
      <c r="AP241" s="95"/>
      <c r="AQ241" s="95"/>
      <c r="AR241" s="95"/>
      <c r="AS241" s="58"/>
      <c r="AT241" s="95"/>
      <c r="AU241" s="95"/>
      <c r="AV241" s="95"/>
      <c r="AW241" s="95"/>
      <c r="AX241" s="95"/>
    </row>
    <row r="242" ht="15.0" customHeight="1">
      <c r="A242" s="95"/>
      <c r="B242" s="95"/>
      <c r="C242" s="95"/>
      <c r="D242" s="95"/>
      <c r="E242" s="95"/>
      <c r="F242" s="159"/>
      <c r="G242" s="95"/>
      <c r="H242" s="95"/>
      <c r="I242" s="95"/>
      <c r="J242" s="95"/>
      <c r="K242" s="95"/>
      <c r="L242" s="95"/>
      <c r="M242" s="159"/>
      <c r="N242" s="159"/>
      <c r="O242" s="159"/>
      <c r="P242" s="16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  <c r="AC242" s="95"/>
      <c r="AD242" s="94"/>
      <c r="AE242" s="94"/>
      <c r="AF242" s="94"/>
      <c r="AG242" s="94"/>
      <c r="AH242" s="94"/>
      <c r="AI242" s="94"/>
      <c r="AJ242" s="95"/>
      <c r="AK242" s="95"/>
      <c r="AL242" s="95"/>
      <c r="AM242" s="95"/>
      <c r="AN242" s="95"/>
      <c r="AO242" s="95"/>
      <c r="AP242" s="95"/>
      <c r="AQ242" s="95"/>
      <c r="AR242" s="95"/>
      <c r="AS242" s="58"/>
      <c r="AT242" s="95"/>
      <c r="AU242" s="95"/>
      <c r="AV242" s="95"/>
      <c r="AW242" s="95"/>
      <c r="AX242" s="95"/>
    </row>
    <row r="243" ht="15.0" customHeight="1">
      <c r="A243" s="95"/>
      <c r="B243" s="95"/>
      <c r="C243" s="95"/>
      <c r="D243" s="95"/>
      <c r="E243" s="95"/>
      <c r="F243" s="159"/>
      <c r="G243" s="95"/>
      <c r="H243" s="95"/>
      <c r="I243" s="95"/>
      <c r="J243" s="95"/>
      <c r="K243" s="95"/>
      <c r="L243" s="95"/>
      <c r="M243" s="159"/>
      <c r="N243" s="159"/>
      <c r="O243" s="159"/>
      <c r="P243" s="16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  <c r="AC243" s="95"/>
      <c r="AD243" s="94"/>
      <c r="AE243" s="94"/>
      <c r="AF243" s="94"/>
      <c r="AG243" s="94"/>
      <c r="AH243" s="94"/>
      <c r="AI243" s="94"/>
      <c r="AJ243" s="95"/>
      <c r="AK243" s="95"/>
      <c r="AL243" s="95"/>
      <c r="AM243" s="95"/>
      <c r="AN243" s="95"/>
      <c r="AO243" s="95"/>
      <c r="AP243" s="95"/>
      <c r="AQ243" s="95"/>
      <c r="AR243" s="95"/>
      <c r="AS243" s="58"/>
      <c r="AT243" s="95"/>
      <c r="AU243" s="95"/>
      <c r="AV243" s="95"/>
      <c r="AW243" s="95"/>
      <c r="AX243" s="95"/>
    </row>
    <row r="244" ht="15.0" customHeight="1">
      <c r="A244" s="95"/>
      <c r="B244" s="95"/>
      <c r="C244" s="95"/>
      <c r="D244" s="95"/>
      <c r="E244" s="95"/>
      <c r="F244" s="159"/>
      <c r="G244" s="95"/>
      <c r="H244" s="95"/>
      <c r="I244" s="95"/>
      <c r="J244" s="95"/>
      <c r="K244" s="95"/>
      <c r="L244" s="95"/>
      <c r="M244" s="159"/>
      <c r="N244" s="159"/>
      <c r="O244" s="159"/>
      <c r="P244" s="16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  <c r="AC244" s="95"/>
      <c r="AD244" s="94"/>
      <c r="AE244" s="94"/>
      <c r="AF244" s="94"/>
      <c r="AG244" s="94"/>
      <c r="AH244" s="94"/>
      <c r="AI244" s="94"/>
      <c r="AJ244" s="95"/>
      <c r="AK244" s="95"/>
      <c r="AL244" s="95"/>
      <c r="AM244" s="95"/>
      <c r="AN244" s="95"/>
      <c r="AO244" s="95"/>
      <c r="AP244" s="95"/>
      <c r="AQ244" s="95"/>
      <c r="AR244" s="95"/>
      <c r="AS244" s="58"/>
      <c r="AT244" s="95"/>
      <c r="AU244" s="95"/>
      <c r="AV244" s="95"/>
      <c r="AW244" s="95"/>
      <c r="AX244" s="95"/>
    </row>
    <row r="245" ht="15.0" customHeight="1">
      <c r="A245" s="95"/>
      <c r="B245" s="95"/>
      <c r="C245" s="95"/>
      <c r="D245" s="95"/>
      <c r="E245" s="95"/>
      <c r="F245" s="159"/>
      <c r="G245" s="95"/>
      <c r="H245" s="95"/>
      <c r="I245" s="95"/>
      <c r="J245" s="95"/>
      <c r="K245" s="95"/>
      <c r="L245" s="95"/>
      <c r="M245" s="159"/>
      <c r="N245" s="159"/>
      <c r="O245" s="159"/>
      <c r="P245" s="16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  <c r="AC245" s="95"/>
      <c r="AD245" s="94"/>
      <c r="AE245" s="94"/>
      <c r="AF245" s="94"/>
      <c r="AG245" s="94"/>
      <c r="AH245" s="94"/>
      <c r="AI245" s="94"/>
      <c r="AJ245" s="95"/>
      <c r="AK245" s="95"/>
      <c r="AL245" s="95"/>
      <c r="AM245" s="95"/>
      <c r="AN245" s="95"/>
      <c r="AO245" s="95"/>
      <c r="AP245" s="95"/>
      <c r="AQ245" s="95"/>
      <c r="AR245" s="95"/>
      <c r="AS245" s="58"/>
      <c r="AT245" s="95"/>
      <c r="AU245" s="95"/>
      <c r="AV245" s="95"/>
      <c r="AW245" s="95"/>
      <c r="AX245" s="95"/>
    </row>
    <row r="246" ht="15.0" customHeight="1">
      <c r="A246" s="95"/>
      <c r="B246" s="95"/>
      <c r="C246" s="95"/>
      <c r="D246" s="95"/>
      <c r="E246" s="95"/>
      <c r="F246" s="159"/>
      <c r="G246" s="95"/>
      <c r="H246" s="95"/>
      <c r="I246" s="95"/>
      <c r="J246" s="95"/>
      <c r="K246" s="95"/>
      <c r="L246" s="95"/>
      <c r="M246" s="159"/>
      <c r="N246" s="159"/>
      <c r="O246" s="159"/>
      <c r="P246" s="16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  <c r="AC246" s="95"/>
      <c r="AD246" s="94"/>
      <c r="AE246" s="94"/>
      <c r="AF246" s="94"/>
      <c r="AG246" s="94"/>
      <c r="AH246" s="94"/>
      <c r="AI246" s="94"/>
      <c r="AJ246" s="95"/>
      <c r="AK246" s="95"/>
      <c r="AL246" s="95"/>
      <c r="AM246" s="95"/>
      <c r="AN246" s="95"/>
      <c r="AO246" s="95"/>
      <c r="AP246" s="95"/>
      <c r="AQ246" s="95"/>
      <c r="AR246" s="95"/>
      <c r="AS246" s="58"/>
      <c r="AT246" s="95"/>
      <c r="AU246" s="95"/>
      <c r="AV246" s="95"/>
      <c r="AW246" s="95"/>
      <c r="AX246" s="95"/>
    </row>
    <row r="247" ht="15.0" customHeight="1">
      <c r="A247" s="95"/>
      <c r="B247" s="95"/>
      <c r="C247" s="95"/>
      <c r="D247" s="95"/>
      <c r="E247" s="95"/>
      <c r="F247" s="159"/>
      <c r="G247" s="95"/>
      <c r="H247" s="95"/>
      <c r="I247" s="95"/>
      <c r="J247" s="95"/>
      <c r="K247" s="95"/>
      <c r="L247" s="95"/>
      <c r="M247" s="159"/>
      <c r="N247" s="159"/>
      <c r="O247" s="159"/>
      <c r="P247" s="16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  <c r="AC247" s="95"/>
      <c r="AD247" s="94"/>
      <c r="AE247" s="94"/>
      <c r="AF247" s="94"/>
      <c r="AG247" s="94"/>
      <c r="AH247" s="94"/>
      <c r="AI247" s="94"/>
      <c r="AJ247" s="95"/>
      <c r="AK247" s="95"/>
      <c r="AL247" s="95"/>
      <c r="AM247" s="95"/>
      <c r="AN247" s="95"/>
      <c r="AO247" s="95"/>
      <c r="AP247" s="95"/>
      <c r="AQ247" s="95"/>
      <c r="AR247" s="95"/>
      <c r="AS247" s="58"/>
      <c r="AT247" s="95"/>
      <c r="AU247" s="95"/>
      <c r="AV247" s="95"/>
      <c r="AW247" s="95"/>
      <c r="AX247" s="95"/>
    </row>
    <row r="248" ht="15.0" customHeight="1">
      <c r="A248" s="95"/>
      <c r="B248" s="95"/>
      <c r="C248" s="95"/>
      <c r="D248" s="95"/>
      <c r="E248" s="95"/>
      <c r="F248" s="159"/>
      <c r="G248" s="95"/>
      <c r="H248" s="95"/>
      <c r="I248" s="95"/>
      <c r="J248" s="95"/>
      <c r="K248" s="95"/>
      <c r="L248" s="95"/>
      <c r="M248" s="159"/>
      <c r="N248" s="159"/>
      <c r="O248" s="159"/>
      <c r="P248" s="16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  <c r="AC248" s="95"/>
      <c r="AD248" s="94"/>
      <c r="AE248" s="94"/>
      <c r="AF248" s="94"/>
      <c r="AG248" s="94"/>
      <c r="AH248" s="94"/>
      <c r="AI248" s="94"/>
      <c r="AJ248" s="95"/>
      <c r="AK248" s="95"/>
      <c r="AL248" s="95"/>
      <c r="AM248" s="95"/>
      <c r="AN248" s="95"/>
      <c r="AO248" s="95"/>
      <c r="AP248" s="95"/>
      <c r="AQ248" s="95"/>
      <c r="AR248" s="95"/>
      <c r="AS248" s="58"/>
      <c r="AT248" s="95"/>
      <c r="AU248" s="95"/>
      <c r="AV248" s="95"/>
      <c r="AW248" s="95"/>
      <c r="AX248" s="95"/>
    </row>
    <row r="249" ht="15.0" customHeight="1">
      <c r="A249" s="95"/>
      <c r="B249" s="95"/>
      <c r="C249" s="95"/>
      <c r="D249" s="95"/>
      <c r="E249" s="95"/>
      <c r="F249" s="159"/>
      <c r="G249" s="95"/>
      <c r="H249" s="95"/>
      <c r="I249" s="95"/>
      <c r="J249" s="95"/>
      <c r="K249" s="95"/>
      <c r="L249" s="95"/>
      <c r="M249" s="159"/>
      <c r="N249" s="159"/>
      <c r="O249" s="159"/>
      <c r="P249" s="16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  <c r="AC249" s="95"/>
      <c r="AD249" s="94"/>
      <c r="AE249" s="94"/>
      <c r="AF249" s="94"/>
      <c r="AG249" s="94"/>
      <c r="AH249" s="94"/>
      <c r="AI249" s="94"/>
      <c r="AJ249" s="95"/>
      <c r="AK249" s="95"/>
      <c r="AL249" s="95"/>
      <c r="AM249" s="95"/>
      <c r="AN249" s="95"/>
      <c r="AO249" s="95"/>
      <c r="AP249" s="95"/>
      <c r="AQ249" s="95"/>
      <c r="AR249" s="95"/>
      <c r="AS249" s="58"/>
      <c r="AT249" s="95"/>
      <c r="AU249" s="95"/>
      <c r="AV249" s="95"/>
      <c r="AW249" s="95"/>
      <c r="AX249" s="95"/>
    </row>
    <row r="250" ht="15.0" customHeight="1">
      <c r="A250" s="95"/>
      <c r="B250" s="95"/>
      <c r="C250" s="95"/>
      <c r="D250" s="95"/>
      <c r="E250" s="95"/>
      <c r="F250" s="159"/>
      <c r="G250" s="95"/>
      <c r="H250" s="95"/>
      <c r="I250" s="95"/>
      <c r="J250" s="95"/>
      <c r="K250" s="95"/>
      <c r="L250" s="95"/>
      <c r="M250" s="159"/>
      <c r="N250" s="159"/>
      <c r="O250" s="159"/>
      <c r="P250" s="16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  <c r="AC250" s="95"/>
      <c r="AD250" s="94"/>
      <c r="AE250" s="94"/>
      <c r="AF250" s="94"/>
      <c r="AG250" s="94"/>
      <c r="AH250" s="94"/>
      <c r="AI250" s="94"/>
      <c r="AJ250" s="95"/>
      <c r="AK250" s="95"/>
      <c r="AL250" s="95"/>
      <c r="AM250" s="95"/>
      <c r="AN250" s="95"/>
      <c r="AO250" s="95"/>
      <c r="AP250" s="95"/>
      <c r="AQ250" s="95"/>
      <c r="AR250" s="95"/>
      <c r="AS250" s="58"/>
      <c r="AT250" s="95"/>
      <c r="AU250" s="95"/>
      <c r="AV250" s="95"/>
      <c r="AW250" s="95"/>
      <c r="AX250" s="95"/>
    </row>
    <row r="251" ht="15.0" customHeight="1">
      <c r="A251" s="95"/>
      <c r="B251" s="95"/>
      <c r="C251" s="95"/>
      <c r="D251" s="95"/>
      <c r="E251" s="95"/>
      <c r="F251" s="159"/>
      <c r="G251" s="95"/>
      <c r="H251" s="95"/>
      <c r="I251" s="95"/>
      <c r="J251" s="95"/>
      <c r="K251" s="95"/>
      <c r="L251" s="95"/>
      <c r="M251" s="159"/>
      <c r="N251" s="159"/>
      <c r="O251" s="159"/>
      <c r="P251" s="16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  <c r="AC251" s="95"/>
      <c r="AD251" s="94"/>
      <c r="AE251" s="94"/>
      <c r="AF251" s="94"/>
      <c r="AG251" s="94"/>
      <c r="AH251" s="94"/>
      <c r="AI251" s="94"/>
      <c r="AJ251" s="95"/>
      <c r="AK251" s="95"/>
      <c r="AL251" s="95"/>
      <c r="AM251" s="95"/>
      <c r="AN251" s="95"/>
      <c r="AO251" s="95"/>
      <c r="AP251" s="95"/>
      <c r="AQ251" s="95"/>
      <c r="AR251" s="95"/>
      <c r="AS251" s="58"/>
      <c r="AT251" s="95"/>
      <c r="AU251" s="95"/>
      <c r="AV251" s="95"/>
      <c r="AW251" s="95"/>
      <c r="AX251" s="95"/>
    </row>
    <row r="252" ht="15.0" customHeight="1">
      <c r="A252" s="95"/>
      <c r="B252" s="95"/>
      <c r="C252" s="95"/>
      <c r="D252" s="95"/>
      <c r="E252" s="95"/>
      <c r="F252" s="95"/>
      <c r="G252" s="95"/>
      <c r="H252" s="159"/>
      <c r="I252" s="95"/>
      <c r="J252" s="95"/>
      <c r="K252" s="95"/>
      <c r="L252" s="95"/>
      <c r="M252" s="159"/>
      <c r="N252" s="159"/>
      <c r="O252" s="159"/>
      <c r="P252" s="159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  <c r="AC252" s="95"/>
      <c r="AD252" s="95"/>
      <c r="AE252" s="95"/>
      <c r="AF252" s="94"/>
      <c r="AG252" s="94"/>
      <c r="AH252" s="94"/>
      <c r="AI252" s="94"/>
      <c r="AJ252" s="95"/>
      <c r="AK252" s="95"/>
      <c r="AL252" s="95"/>
      <c r="AM252" s="96"/>
      <c r="AN252" s="95"/>
      <c r="AO252" s="95"/>
      <c r="AP252" s="95"/>
      <c r="AQ252" s="95"/>
      <c r="AR252" s="95"/>
      <c r="AS252" s="58"/>
      <c r="AT252" s="95"/>
      <c r="AU252" s="95"/>
      <c r="AV252" s="95"/>
      <c r="AW252" s="95"/>
      <c r="AX252" s="95"/>
    </row>
    <row r="253" ht="15.0" customHeight="1">
      <c r="A253" s="95"/>
      <c r="B253" s="95"/>
      <c r="C253" s="95"/>
      <c r="D253" s="95"/>
      <c r="E253" s="95"/>
      <c r="F253" s="95"/>
      <c r="G253" s="95"/>
      <c r="H253" s="159"/>
      <c r="I253" s="95"/>
      <c r="J253" s="95"/>
      <c r="K253" s="95"/>
      <c r="L253" s="95"/>
      <c r="M253" s="159"/>
      <c r="N253" s="159"/>
      <c r="O253" s="159"/>
      <c r="P253" s="159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  <c r="AC253" s="95"/>
      <c r="AD253" s="95"/>
      <c r="AE253" s="95"/>
      <c r="AF253" s="94"/>
      <c r="AG253" s="94"/>
      <c r="AH253" s="94"/>
      <c r="AI253" s="94"/>
      <c r="AJ253" s="95"/>
      <c r="AK253" s="95"/>
      <c r="AL253" s="95"/>
      <c r="AM253" s="96"/>
      <c r="AN253" s="95"/>
      <c r="AO253" s="95"/>
      <c r="AP253" s="95"/>
      <c r="AQ253" s="95"/>
      <c r="AR253" s="95"/>
      <c r="AS253" s="58"/>
      <c r="AT253" s="95"/>
      <c r="AU253" s="95"/>
      <c r="AV253" s="95"/>
      <c r="AW253" s="95"/>
      <c r="AX253" s="95"/>
    </row>
    <row r="254" ht="15.0" customHeight="1">
      <c r="A254" s="95"/>
      <c r="B254" s="95"/>
      <c r="C254" s="95"/>
      <c r="D254" s="95"/>
      <c r="E254" s="95"/>
      <c r="F254" s="95"/>
      <c r="G254" s="95"/>
      <c r="H254" s="159"/>
      <c r="I254" s="95"/>
      <c r="J254" s="95"/>
      <c r="K254" s="95"/>
      <c r="L254" s="95"/>
      <c r="M254" s="159"/>
      <c r="N254" s="159"/>
      <c r="O254" s="159"/>
      <c r="P254" s="159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  <c r="AC254" s="95"/>
      <c r="AD254" s="95"/>
      <c r="AE254" s="95"/>
      <c r="AF254" s="94"/>
      <c r="AG254" s="94"/>
      <c r="AH254" s="94"/>
      <c r="AI254" s="94"/>
      <c r="AJ254" s="95"/>
      <c r="AK254" s="95"/>
      <c r="AL254" s="95"/>
      <c r="AM254" s="96"/>
      <c r="AN254" s="95"/>
      <c r="AO254" s="95"/>
      <c r="AP254" s="95"/>
      <c r="AQ254" s="95"/>
      <c r="AR254" s="95"/>
      <c r="AS254" s="58"/>
      <c r="AT254" s="95"/>
      <c r="AU254" s="95"/>
      <c r="AV254" s="95"/>
      <c r="AW254" s="95"/>
      <c r="AX254" s="95"/>
    </row>
    <row r="255" ht="15.0" customHeight="1">
      <c r="A255" s="95"/>
      <c r="B255" s="95"/>
      <c r="C255" s="95"/>
      <c r="D255" s="95"/>
      <c r="E255" s="95"/>
      <c r="F255" s="95"/>
      <c r="G255" s="95"/>
      <c r="H255" s="159"/>
      <c r="I255" s="95"/>
      <c r="J255" s="95"/>
      <c r="K255" s="95"/>
      <c r="L255" s="95"/>
      <c r="M255" s="159"/>
      <c r="N255" s="159"/>
      <c r="O255" s="159"/>
      <c r="P255" s="159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  <c r="AC255" s="95"/>
      <c r="AD255" s="95"/>
      <c r="AE255" s="95"/>
      <c r="AF255" s="94"/>
      <c r="AG255" s="94"/>
      <c r="AH255" s="94"/>
      <c r="AI255" s="94"/>
      <c r="AJ255" s="95"/>
      <c r="AK255" s="95"/>
      <c r="AL255" s="95"/>
      <c r="AM255" s="96"/>
      <c r="AN255" s="95"/>
      <c r="AO255" s="95"/>
      <c r="AP255" s="95"/>
      <c r="AQ255" s="95"/>
      <c r="AR255" s="95"/>
      <c r="AS255" s="58"/>
      <c r="AT255" s="95"/>
      <c r="AU255" s="95"/>
      <c r="AV255" s="95"/>
      <c r="AW255" s="95"/>
      <c r="AX255" s="95"/>
    </row>
    <row r="256" ht="15.0" customHeight="1">
      <c r="A256" s="95"/>
      <c r="B256" s="95"/>
      <c r="C256" s="95"/>
      <c r="D256" s="95"/>
      <c r="E256" s="95"/>
      <c r="F256" s="95"/>
      <c r="G256" s="95"/>
      <c r="H256" s="159"/>
      <c r="I256" s="95"/>
      <c r="J256" s="95"/>
      <c r="K256" s="95"/>
      <c r="L256" s="95"/>
      <c r="M256" s="159"/>
      <c r="N256" s="159"/>
      <c r="O256" s="159"/>
      <c r="P256" s="159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  <c r="AE256" s="95"/>
      <c r="AF256" s="94"/>
      <c r="AG256" s="94"/>
      <c r="AH256" s="94"/>
      <c r="AI256" s="94"/>
      <c r="AJ256" s="95"/>
      <c r="AK256" s="95"/>
      <c r="AL256" s="95"/>
      <c r="AM256" s="96"/>
      <c r="AN256" s="95"/>
      <c r="AO256" s="95"/>
      <c r="AP256" s="95"/>
      <c r="AQ256" s="95"/>
      <c r="AR256" s="95"/>
      <c r="AS256" s="58"/>
      <c r="AT256" s="95"/>
      <c r="AU256" s="95"/>
      <c r="AV256" s="95"/>
      <c r="AW256" s="95"/>
      <c r="AX256" s="95"/>
    </row>
    <row r="257" ht="15.0" customHeight="1">
      <c r="A257" s="95"/>
      <c r="B257" s="95"/>
      <c r="C257" s="95"/>
      <c r="D257" s="95"/>
      <c r="E257" s="95"/>
      <c r="F257" s="95"/>
      <c r="G257" s="95"/>
      <c r="H257" s="159"/>
      <c r="I257" s="95"/>
      <c r="J257" s="95"/>
      <c r="K257" s="95"/>
      <c r="L257" s="95"/>
      <c r="M257" s="159"/>
      <c r="N257" s="159"/>
      <c r="O257" s="159"/>
      <c r="P257" s="159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  <c r="AC257" s="95"/>
      <c r="AD257" s="95"/>
      <c r="AE257" s="95"/>
      <c r="AF257" s="94"/>
      <c r="AG257" s="94"/>
      <c r="AH257" s="94"/>
      <c r="AI257" s="94"/>
      <c r="AJ257" s="95"/>
      <c r="AK257" s="95"/>
      <c r="AL257" s="95"/>
      <c r="AM257" s="96"/>
      <c r="AN257" s="95"/>
      <c r="AO257" s="95"/>
      <c r="AP257" s="95"/>
      <c r="AQ257" s="95"/>
      <c r="AR257" s="95"/>
      <c r="AS257" s="58"/>
      <c r="AT257" s="95"/>
      <c r="AU257" s="95"/>
      <c r="AV257" s="95"/>
      <c r="AW257" s="95"/>
      <c r="AX257" s="95"/>
    </row>
    <row r="258" ht="15.0" customHeight="1">
      <c r="A258" s="95"/>
      <c r="B258" s="95"/>
      <c r="C258" s="95"/>
      <c r="D258" s="95"/>
      <c r="E258" s="95"/>
      <c r="F258" s="95"/>
      <c r="G258" s="95"/>
      <c r="H258" s="159"/>
      <c r="I258" s="95"/>
      <c r="J258" s="95"/>
      <c r="K258" s="95"/>
      <c r="L258" s="95"/>
      <c r="M258" s="159"/>
      <c r="N258" s="159"/>
      <c r="O258" s="159"/>
      <c r="P258" s="159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  <c r="AC258" s="95"/>
      <c r="AD258" s="95"/>
      <c r="AE258" s="95"/>
      <c r="AF258" s="94"/>
      <c r="AG258" s="94"/>
      <c r="AH258" s="94"/>
      <c r="AI258" s="94"/>
      <c r="AJ258" s="95"/>
      <c r="AK258" s="95"/>
      <c r="AL258" s="95"/>
      <c r="AM258" s="96"/>
      <c r="AN258" s="95"/>
      <c r="AO258" s="95"/>
      <c r="AP258" s="95"/>
      <c r="AQ258" s="95"/>
      <c r="AR258" s="95"/>
      <c r="AS258" s="58"/>
      <c r="AT258" s="95"/>
      <c r="AU258" s="95"/>
      <c r="AV258" s="95"/>
      <c r="AW258" s="95"/>
      <c r="AX258" s="95"/>
    </row>
    <row r="259" ht="15.0" customHeight="1">
      <c r="A259" s="95"/>
      <c r="B259" s="95"/>
      <c r="C259" s="95"/>
      <c r="D259" s="95"/>
      <c r="E259" s="95"/>
      <c r="F259" s="95"/>
      <c r="G259" s="95"/>
      <c r="H259" s="159"/>
      <c r="I259" s="95"/>
      <c r="J259" s="95"/>
      <c r="K259" s="95"/>
      <c r="L259" s="95"/>
      <c r="M259" s="159"/>
      <c r="N259" s="159"/>
      <c r="O259" s="159"/>
      <c r="P259" s="159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  <c r="AC259" s="95"/>
      <c r="AD259" s="95"/>
      <c r="AE259" s="95"/>
      <c r="AF259" s="94"/>
      <c r="AG259" s="94"/>
      <c r="AH259" s="94"/>
      <c r="AI259" s="94"/>
      <c r="AJ259" s="95"/>
      <c r="AK259" s="95"/>
      <c r="AL259" s="95"/>
      <c r="AM259" s="96"/>
      <c r="AN259" s="95"/>
      <c r="AO259" s="95"/>
      <c r="AP259" s="95"/>
      <c r="AQ259" s="95"/>
      <c r="AR259" s="95"/>
      <c r="AS259" s="58"/>
      <c r="AT259" s="95"/>
      <c r="AU259" s="95"/>
      <c r="AV259" s="95"/>
      <c r="AW259" s="95"/>
      <c r="AX259" s="95"/>
    </row>
    <row r="260" ht="15.0" customHeight="1">
      <c r="A260" s="95"/>
      <c r="B260" s="95"/>
      <c r="C260" s="95"/>
      <c r="D260" s="95"/>
      <c r="E260" s="95"/>
      <c r="F260" s="95"/>
      <c r="G260" s="95"/>
      <c r="H260" s="159"/>
      <c r="I260" s="95"/>
      <c r="J260" s="95"/>
      <c r="K260" s="95"/>
      <c r="L260" s="95"/>
      <c r="M260" s="159"/>
      <c r="N260" s="159"/>
      <c r="O260" s="159"/>
      <c r="P260" s="159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  <c r="AC260" s="95"/>
      <c r="AD260" s="95"/>
      <c r="AE260" s="95"/>
      <c r="AF260" s="94"/>
      <c r="AG260" s="94"/>
      <c r="AH260" s="94"/>
      <c r="AI260" s="94"/>
      <c r="AJ260" s="95"/>
      <c r="AK260" s="95"/>
      <c r="AL260" s="95"/>
      <c r="AM260" s="96"/>
      <c r="AN260" s="95"/>
      <c r="AO260" s="95"/>
      <c r="AP260" s="95"/>
      <c r="AQ260" s="95"/>
      <c r="AR260" s="95"/>
      <c r="AS260" s="58"/>
      <c r="AT260" s="95"/>
      <c r="AU260" s="95"/>
      <c r="AV260" s="95"/>
      <c r="AW260" s="95"/>
      <c r="AX260" s="95"/>
    </row>
    <row r="261" ht="15.0" customHeight="1">
      <c r="A261" s="95"/>
      <c r="B261" s="95"/>
      <c r="C261" s="95"/>
      <c r="D261" s="95"/>
      <c r="E261" s="95"/>
      <c r="F261" s="95"/>
      <c r="G261" s="95"/>
      <c r="H261" s="159"/>
      <c r="I261" s="95"/>
      <c r="J261" s="95"/>
      <c r="K261" s="95"/>
      <c r="L261" s="95"/>
      <c r="M261" s="159"/>
      <c r="N261" s="159"/>
      <c r="O261" s="159"/>
      <c r="P261" s="159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  <c r="AC261" s="95"/>
      <c r="AD261" s="95"/>
      <c r="AE261" s="95"/>
      <c r="AF261" s="94"/>
      <c r="AG261" s="94"/>
      <c r="AH261" s="94"/>
      <c r="AI261" s="94"/>
      <c r="AJ261" s="95"/>
      <c r="AK261" s="95"/>
      <c r="AL261" s="95"/>
      <c r="AM261" s="96"/>
      <c r="AN261" s="95"/>
      <c r="AO261" s="95"/>
      <c r="AP261" s="95"/>
      <c r="AQ261" s="95"/>
      <c r="AR261" s="95"/>
      <c r="AS261" s="58"/>
      <c r="AT261" s="95"/>
      <c r="AU261" s="95"/>
      <c r="AV261" s="95"/>
      <c r="AW261" s="95"/>
      <c r="AX261" s="95"/>
    </row>
    <row r="262" ht="15.0" customHeight="1">
      <c r="A262" s="95"/>
      <c r="B262" s="95"/>
      <c r="C262" s="95"/>
      <c r="D262" s="95"/>
      <c r="E262" s="95"/>
      <c r="F262" s="95"/>
      <c r="G262" s="95"/>
      <c r="H262" s="159"/>
      <c r="I262" s="95"/>
      <c r="J262" s="95"/>
      <c r="K262" s="95"/>
      <c r="L262" s="95"/>
      <c r="M262" s="159"/>
      <c r="N262" s="159"/>
      <c r="O262" s="159"/>
      <c r="P262" s="159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  <c r="AC262" s="95"/>
      <c r="AD262" s="95"/>
      <c r="AE262" s="95"/>
      <c r="AF262" s="94"/>
      <c r="AG262" s="94"/>
      <c r="AH262" s="94"/>
      <c r="AI262" s="94"/>
      <c r="AJ262" s="95"/>
      <c r="AK262" s="95"/>
      <c r="AL262" s="95"/>
      <c r="AM262" s="96"/>
      <c r="AN262" s="95"/>
      <c r="AO262" s="95"/>
      <c r="AP262" s="95"/>
      <c r="AQ262" s="95"/>
      <c r="AR262" s="95"/>
      <c r="AS262" s="58"/>
      <c r="AT262" s="95"/>
      <c r="AU262" s="95"/>
      <c r="AV262" s="95"/>
      <c r="AW262" s="95"/>
      <c r="AX262" s="95"/>
    </row>
    <row r="263" ht="15.0" customHeight="1">
      <c r="A263" s="95"/>
      <c r="B263" s="95"/>
      <c r="C263" s="95"/>
      <c r="D263" s="95"/>
      <c r="E263" s="95"/>
      <c r="F263" s="95"/>
      <c r="G263" s="95"/>
      <c r="H263" s="159"/>
      <c r="I263" s="95"/>
      <c r="J263" s="95"/>
      <c r="K263" s="95"/>
      <c r="L263" s="95"/>
      <c r="M263" s="159"/>
      <c r="N263" s="159"/>
      <c r="O263" s="159"/>
      <c r="P263" s="159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  <c r="AC263" s="95"/>
      <c r="AD263" s="95"/>
      <c r="AE263" s="95"/>
      <c r="AF263" s="94"/>
      <c r="AG263" s="94"/>
      <c r="AH263" s="94"/>
      <c r="AI263" s="94"/>
      <c r="AJ263" s="95"/>
      <c r="AK263" s="95"/>
      <c r="AL263" s="95"/>
      <c r="AM263" s="96"/>
      <c r="AN263" s="95"/>
      <c r="AO263" s="95"/>
      <c r="AP263" s="95"/>
      <c r="AQ263" s="95"/>
      <c r="AR263" s="95"/>
      <c r="AS263" s="58"/>
      <c r="AT263" s="95"/>
      <c r="AU263" s="95"/>
      <c r="AV263" s="95"/>
      <c r="AW263" s="95"/>
      <c r="AX263" s="95"/>
    </row>
    <row r="264" ht="15.0" customHeight="1">
      <c r="A264" s="95"/>
      <c r="B264" s="95"/>
      <c r="C264" s="95"/>
      <c r="D264" s="95"/>
      <c r="E264" s="95"/>
      <c r="F264" s="95"/>
      <c r="G264" s="95"/>
      <c r="H264" s="159"/>
      <c r="I264" s="95"/>
      <c r="J264" s="95"/>
      <c r="K264" s="95"/>
      <c r="L264" s="95"/>
      <c r="M264" s="159"/>
      <c r="N264" s="159"/>
      <c r="O264" s="159"/>
      <c r="P264" s="159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  <c r="AC264" s="95"/>
      <c r="AD264" s="95"/>
      <c r="AE264" s="95"/>
      <c r="AF264" s="94"/>
      <c r="AG264" s="94"/>
      <c r="AH264" s="94"/>
      <c r="AI264" s="94"/>
      <c r="AJ264" s="95"/>
      <c r="AK264" s="95"/>
      <c r="AL264" s="95"/>
      <c r="AM264" s="96"/>
      <c r="AN264" s="95"/>
      <c r="AO264" s="95"/>
      <c r="AP264" s="95"/>
      <c r="AQ264" s="95"/>
      <c r="AR264" s="95"/>
      <c r="AS264" s="58"/>
      <c r="AT264" s="95"/>
      <c r="AU264" s="95"/>
      <c r="AV264" s="95"/>
      <c r="AW264" s="95"/>
      <c r="AX264" s="95"/>
    </row>
    <row r="265" ht="15.0" customHeight="1">
      <c r="A265" s="95"/>
      <c r="B265" s="95"/>
      <c r="C265" s="95"/>
      <c r="D265" s="95"/>
      <c r="E265" s="95"/>
      <c r="F265" s="95"/>
      <c r="G265" s="95"/>
      <c r="H265" s="159"/>
      <c r="I265" s="95"/>
      <c r="J265" s="95"/>
      <c r="K265" s="95"/>
      <c r="L265" s="95"/>
      <c r="M265" s="159"/>
      <c r="N265" s="159"/>
      <c r="O265" s="159"/>
      <c r="P265" s="159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  <c r="AC265" s="95"/>
      <c r="AD265" s="95"/>
      <c r="AE265" s="95"/>
      <c r="AF265" s="94"/>
      <c r="AG265" s="94"/>
      <c r="AH265" s="94"/>
      <c r="AI265" s="94"/>
      <c r="AJ265" s="95"/>
      <c r="AK265" s="95"/>
      <c r="AL265" s="95"/>
      <c r="AM265" s="96"/>
      <c r="AN265" s="95"/>
      <c r="AO265" s="95"/>
      <c r="AP265" s="95"/>
      <c r="AQ265" s="95"/>
      <c r="AR265" s="95"/>
      <c r="AS265" s="58"/>
      <c r="AT265" s="95"/>
      <c r="AU265" s="95"/>
      <c r="AV265" s="95"/>
      <c r="AW265" s="95"/>
      <c r="AX265" s="95"/>
    </row>
    <row r="266" ht="15.0" customHeight="1">
      <c r="A266" s="95"/>
      <c r="B266" s="95"/>
      <c r="C266" s="95"/>
      <c r="D266" s="95"/>
      <c r="E266" s="95"/>
      <c r="F266" s="95"/>
      <c r="G266" s="95"/>
      <c r="H266" s="159"/>
      <c r="I266" s="95"/>
      <c r="J266" s="95"/>
      <c r="K266" s="95"/>
      <c r="L266" s="95"/>
      <c r="M266" s="159"/>
      <c r="N266" s="159"/>
      <c r="O266" s="159"/>
      <c r="P266" s="159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  <c r="AC266" s="95"/>
      <c r="AD266" s="95"/>
      <c r="AE266" s="95"/>
      <c r="AF266" s="94"/>
      <c r="AG266" s="94"/>
      <c r="AH266" s="94"/>
      <c r="AI266" s="94"/>
      <c r="AJ266" s="95"/>
      <c r="AK266" s="95"/>
      <c r="AL266" s="95"/>
      <c r="AM266" s="96"/>
      <c r="AN266" s="95"/>
      <c r="AO266" s="95"/>
      <c r="AP266" s="95"/>
      <c r="AQ266" s="95"/>
      <c r="AR266" s="95"/>
      <c r="AS266" s="58"/>
      <c r="AT266" s="95"/>
      <c r="AU266" s="95"/>
      <c r="AV266" s="95"/>
      <c r="AW266" s="95"/>
      <c r="AX266" s="95"/>
    </row>
    <row r="267" ht="15.0" customHeight="1">
      <c r="A267" s="95"/>
      <c r="B267" s="95"/>
      <c r="C267" s="95"/>
      <c r="D267" s="95"/>
      <c r="E267" s="95"/>
      <c r="F267" s="95"/>
      <c r="G267" s="95"/>
      <c r="H267" s="159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  <c r="AC267" s="95"/>
      <c r="AD267" s="95"/>
      <c r="AE267" s="95"/>
      <c r="AF267" s="94"/>
      <c r="AG267" s="94"/>
      <c r="AH267" s="94"/>
      <c r="AI267" s="94"/>
      <c r="AJ267" s="95"/>
      <c r="AK267" s="95"/>
      <c r="AL267" s="95"/>
      <c r="AM267" s="96"/>
      <c r="AN267" s="95"/>
      <c r="AO267" s="95"/>
      <c r="AP267" s="95"/>
      <c r="AQ267" s="95"/>
      <c r="AR267" s="95"/>
      <c r="AS267" s="58"/>
      <c r="AT267" s="95"/>
      <c r="AU267" s="95"/>
      <c r="AV267" s="95"/>
      <c r="AW267" s="95"/>
      <c r="AX267" s="95"/>
    </row>
    <row r="268" ht="15.0" customHeight="1">
      <c r="A268" s="95"/>
      <c r="B268" s="95"/>
      <c r="C268" s="95"/>
      <c r="D268" s="95"/>
      <c r="E268" s="95"/>
      <c r="F268" s="95"/>
      <c r="G268" s="95"/>
      <c r="H268" s="159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  <c r="AC268" s="95"/>
      <c r="AD268" s="95"/>
      <c r="AE268" s="95"/>
      <c r="AF268" s="94"/>
      <c r="AG268" s="94"/>
      <c r="AH268" s="94"/>
      <c r="AI268" s="94"/>
      <c r="AJ268" s="95"/>
      <c r="AK268" s="95"/>
      <c r="AL268" s="95"/>
      <c r="AM268" s="96"/>
      <c r="AN268" s="95"/>
      <c r="AO268" s="95"/>
      <c r="AP268" s="95"/>
      <c r="AQ268" s="95"/>
      <c r="AR268" s="95"/>
      <c r="AS268" s="58"/>
      <c r="AT268" s="95"/>
      <c r="AU268" s="95"/>
      <c r="AV268" s="95"/>
      <c r="AW268" s="95"/>
      <c r="AX268" s="95"/>
    </row>
    <row r="269" ht="15.0" customHeight="1">
      <c r="A269" s="95"/>
      <c r="B269" s="95"/>
      <c r="C269" s="95"/>
      <c r="D269" s="95"/>
      <c r="E269" s="95"/>
      <c r="F269" s="95"/>
      <c r="G269" s="95"/>
      <c r="H269" s="159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  <c r="AC269" s="95"/>
      <c r="AD269" s="95"/>
      <c r="AE269" s="95"/>
      <c r="AF269" s="94"/>
      <c r="AG269" s="94"/>
      <c r="AH269" s="94"/>
      <c r="AI269" s="94"/>
      <c r="AJ269" s="95"/>
      <c r="AK269" s="95"/>
      <c r="AL269" s="95"/>
      <c r="AM269" s="96"/>
      <c r="AN269" s="95"/>
      <c r="AO269" s="95"/>
      <c r="AP269" s="95"/>
      <c r="AQ269" s="95"/>
      <c r="AR269" s="95"/>
      <c r="AS269" s="58"/>
      <c r="AT269" s="95"/>
      <c r="AU269" s="95"/>
      <c r="AV269" s="95"/>
      <c r="AW269" s="95"/>
      <c r="AX269" s="95"/>
    </row>
    <row r="270" ht="15.0" customHeight="1">
      <c r="A270" s="95"/>
      <c r="B270" s="95"/>
      <c r="C270" s="95"/>
      <c r="D270" s="95"/>
      <c r="E270" s="95"/>
      <c r="F270" s="95"/>
      <c r="G270" s="95"/>
      <c r="H270" s="159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  <c r="AC270" s="95"/>
      <c r="AD270" s="95"/>
      <c r="AE270" s="95"/>
      <c r="AF270" s="94"/>
      <c r="AG270" s="94"/>
      <c r="AH270" s="94"/>
      <c r="AI270" s="94"/>
      <c r="AJ270" s="95"/>
      <c r="AK270" s="95"/>
      <c r="AL270" s="95"/>
      <c r="AM270" s="96"/>
      <c r="AN270" s="95"/>
      <c r="AO270" s="95"/>
      <c r="AP270" s="95"/>
      <c r="AQ270" s="95"/>
      <c r="AR270" s="95"/>
      <c r="AS270" s="58"/>
      <c r="AT270" s="95"/>
      <c r="AU270" s="95"/>
      <c r="AV270" s="95"/>
      <c r="AW270" s="95"/>
      <c r="AX270" s="95"/>
    </row>
    <row r="271" ht="15.0" customHeight="1">
      <c r="A271" s="95"/>
      <c r="B271" s="95"/>
      <c r="C271" s="95"/>
      <c r="D271" s="95"/>
      <c r="E271" s="95"/>
      <c r="F271" s="95"/>
      <c r="G271" s="95"/>
      <c r="H271" s="159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  <c r="AC271" s="95"/>
      <c r="AD271" s="95"/>
      <c r="AE271" s="95"/>
      <c r="AF271" s="94"/>
      <c r="AG271" s="94"/>
      <c r="AH271" s="94"/>
      <c r="AI271" s="94"/>
      <c r="AJ271" s="95"/>
      <c r="AK271" s="95"/>
      <c r="AL271" s="95"/>
      <c r="AM271" s="96"/>
      <c r="AN271" s="95"/>
      <c r="AO271" s="95"/>
      <c r="AP271" s="95"/>
      <c r="AQ271" s="95"/>
      <c r="AR271" s="95"/>
      <c r="AS271" s="58"/>
      <c r="AT271" s="95"/>
      <c r="AU271" s="95"/>
      <c r="AV271" s="95"/>
      <c r="AW271" s="95"/>
      <c r="AX271" s="95"/>
    </row>
    <row r="272" ht="15.0" customHeight="1">
      <c r="A272" s="95"/>
      <c r="B272" s="95"/>
      <c r="C272" s="95"/>
      <c r="D272" s="95"/>
      <c r="E272" s="95"/>
      <c r="F272" s="95"/>
      <c r="G272" s="95"/>
      <c r="H272" s="159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  <c r="AC272" s="95"/>
      <c r="AD272" s="95"/>
      <c r="AE272" s="95"/>
      <c r="AF272" s="94"/>
      <c r="AG272" s="94"/>
      <c r="AH272" s="94"/>
      <c r="AI272" s="94"/>
      <c r="AJ272" s="95"/>
      <c r="AK272" s="95"/>
      <c r="AL272" s="95"/>
      <c r="AM272" s="96"/>
      <c r="AN272" s="95"/>
      <c r="AO272" s="95"/>
      <c r="AP272" s="95"/>
      <c r="AQ272" s="95"/>
      <c r="AR272" s="95"/>
      <c r="AS272" s="58"/>
      <c r="AT272" s="95"/>
      <c r="AU272" s="95"/>
      <c r="AV272" s="95"/>
      <c r="AW272" s="95"/>
      <c r="AX272" s="95"/>
    </row>
    <row r="273" ht="15.0" customHeight="1">
      <c r="A273" s="95"/>
      <c r="B273" s="95"/>
      <c r="C273" s="95"/>
      <c r="D273" s="95"/>
      <c r="E273" s="95"/>
      <c r="F273" s="95"/>
      <c r="G273" s="95"/>
      <c r="H273" s="159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  <c r="AC273" s="95"/>
      <c r="AD273" s="95"/>
      <c r="AE273" s="95"/>
      <c r="AF273" s="94"/>
      <c r="AG273" s="94"/>
      <c r="AH273" s="94"/>
      <c r="AI273" s="94"/>
      <c r="AJ273" s="95"/>
      <c r="AK273" s="95"/>
      <c r="AL273" s="95"/>
      <c r="AM273" s="96"/>
      <c r="AN273" s="95"/>
      <c r="AO273" s="95"/>
      <c r="AP273" s="95"/>
      <c r="AQ273" s="95"/>
      <c r="AR273" s="95"/>
      <c r="AS273" s="58"/>
      <c r="AT273" s="95"/>
      <c r="AU273" s="95"/>
      <c r="AV273" s="95"/>
      <c r="AW273" s="95"/>
      <c r="AX273" s="95"/>
    </row>
    <row r="274" ht="15.0" customHeight="1">
      <c r="A274" s="95"/>
      <c r="B274" s="95"/>
      <c r="C274" s="95"/>
      <c r="D274" s="95"/>
      <c r="E274" s="95"/>
      <c r="F274" s="95"/>
      <c r="G274" s="95"/>
      <c r="H274" s="159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  <c r="AC274" s="95"/>
      <c r="AD274" s="95"/>
      <c r="AE274" s="95"/>
      <c r="AF274" s="94"/>
      <c r="AG274" s="94"/>
      <c r="AH274" s="94"/>
      <c r="AI274" s="94"/>
      <c r="AJ274" s="95"/>
      <c r="AK274" s="95"/>
      <c r="AL274" s="95"/>
      <c r="AM274" s="96"/>
      <c r="AN274" s="95"/>
      <c r="AO274" s="95"/>
      <c r="AP274" s="95"/>
      <c r="AQ274" s="95"/>
      <c r="AR274" s="95"/>
      <c r="AS274" s="58"/>
      <c r="AT274" s="95"/>
      <c r="AU274" s="95"/>
      <c r="AV274" s="95"/>
      <c r="AW274" s="95"/>
      <c r="AX274" s="95"/>
    </row>
    <row r="275" ht="15.0" customHeight="1">
      <c r="A275" s="95"/>
      <c r="B275" s="95"/>
      <c r="C275" s="95"/>
      <c r="D275" s="95"/>
      <c r="E275" s="95"/>
      <c r="F275" s="95"/>
      <c r="G275" s="95"/>
      <c r="H275" s="159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  <c r="AC275" s="95"/>
      <c r="AD275" s="95"/>
      <c r="AE275" s="95"/>
      <c r="AF275" s="94"/>
      <c r="AG275" s="94"/>
      <c r="AH275" s="94"/>
      <c r="AI275" s="94"/>
      <c r="AJ275" s="95"/>
      <c r="AK275" s="95"/>
      <c r="AL275" s="95"/>
      <c r="AM275" s="96"/>
      <c r="AN275" s="95"/>
      <c r="AO275" s="95"/>
      <c r="AP275" s="95"/>
      <c r="AQ275" s="95"/>
      <c r="AR275" s="95"/>
      <c r="AS275" s="58"/>
      <c r="AT275" s="95"/>
      <c r="AU275" s="95"/>
      <c r="AV275" s="95"/>
      <c r="AW275" s="95"/>
      <c r="AX275" s="95"/>
    </row>
    <row r="276" ht="15.0" customHeight="1">
      <c r="A276" s="95"/>
      <c r="B276" s="95"/>
      <c r="C276" s="95"/>
      <c r="D276" s="95"/>
      <c r="E276" s="95"/>
      <c r="F276" s="95"/>
      <c r="G276" s="95"/>
      <c r="H276" s="159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  <c r="AC276" s="95"/>
      <c r="AD276" s="95"/>
      <c r="AE276" s="95"/>
      <c r="AF276" s="94"/>
      <c r="AG276" s="94"/>
      <c r="AH276" s="94"/>
      <c r="AI276" s="94"/>
      <c r="AJ276" s="95"/>
      <c r="AK276" s="95"/>
      <c r="AL276" s="95"/>
      <c r="AM276" s="96"/>
      <c r="AN276" s="95"/>
      <c r="AO276" s="95"/>
      <c r="AP276" s="95"/>
      <c r="AQ276" s="95"/>
      <c r="AR276" s="95"/>
      <c r="AS276" s="58"/>
      <c r="AT276" s="95"/>
      <c r="AU276" s="95"/>
      <c r="AV276" s="95"/>
      <c r="AW276" s="95"/>
      <c r="AX276" s="95"/>
    </row>
    <row r="277" ht="15.0" customHeight="1">
      <c r="A277" s="95"/>
      <c r="B277" s="95"/>
      <c r="C277" s="95"/>
      <c r="D277" s="95"/>
      <c r="E277" s="95"/>
      <c r="F277" s="95"/>
      <c r="G277" s="95"/>
      <c r="H277" s="159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  <c r="AC277" s="95"/>
      <c r="AD277" s="95"/>
      <c r="AE277" s="95"/>
      <c r="AF277" s="94"/>
      <c r="AG277" s="94"/>
      <c r="AH277" s="94"/>
      <c r="AI277" s="94"/>
      <c r="AJ277" s="95"/>
      <c r="AK277" s="95"/>
      <c r="AL277" s="95"/>
      <c r="AM277" s="96"/>
      <c r="AN277" s="95"/>
      <c r="AO277" s="95"/>
      <c r="AP277" s="95"/>
      <c r="AQ277" s="95"/>
      <c r="AR277" s="95"/>
      <c r="AS277" s="58"/>
      <c r="AT277" s="95"/>
      <c r="AU277" s="95"/>
      <c r="AV277" s="95"/>
      <c r="AW277" s="95"/>
      <c r="AX277" s="95"/>
    </row>
    <row r="278" ht="15.0" customHeight="1">
      <c r="A278" s="95"/>
      <c r="B278" s="95"/>
      <c r="C278" s="95"/>
      <c r="D278" s="95"/>
      <c r="E278" s="95"/>
      <c r="F278" s="95"/>
      <c r="G278" s="95"/>
      <c r="H278" s="159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  <c r="AC278" s="95"/>
      <c r="AD278" s="95"/>
      <c r="AE278" s="95"/>
      <c r="AF278" s="94"/>
      <c r="AG278" s="94"/>
      <c r="AH278" s="94"/>
      <c r="AI278" s="94"/>
      <c r="AJ278" s="95"/>
      <c r="AK278" s="95"/>
      <c r="AL278" s="95"/>
      <c r="AM278" s="96"/>
      <c r="AN278" s="95"/>
      <c r="AO278" s="95"/>
      <c r="AP278" s="95"/>
      <c r="AQ278" s="95"/>
      <c r="AR278" s="95"/>
      <c r="AS278" s="58"/>
      <c r="AT278" s="95"/>
      <c r="AU278" s="95"/>
      <c r="AV278" s="95"/>
      <c r="AW278" s="95"/>
      <c r="AX278" s="95"/>
    </row>
    <row r="279" ht="15.0" customHeight="1">
      <c r="A279" s="95"/>
      <c r="B279" s="95"/>
      <c r="C279" s="95"/>
      <c r="D279" s="95"/>
      <c r="E279" s="95"/>
      <c r="F279" s="95"/>
      <c r="G279" s="95"/>
      <c r="H279" s="159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  <c r="AC279" s="95"/>
      <c r="AD279" s="95"/>
      <c r="AE279" s="95"/>
      <c r="AF279" s="94"/>
      <c r="AG279" s="94"/>
      <c r="AH279" s="94"/>
      <c r="AI279" s="94"/>
      <c r="AJ279" s="95"/>
      <c r="AK279" s="95"/>
      <c r="AL279" s="95"/>
      <c r="AM279" s="96"/>
      <c r="AN279" s="95"/>
      <c r="AO279" s="95"/>
      <c r="AP279" s="95"/>
      <c r="AQ279" s="95"/>
      <c r="AR279" s="95"/>
      <c r="AS279" s="58"/>
      <c r="AT279" s="95"/>
      <c r="AU279" s="95"/>
      <c r="AV279" s="95"/>
      <c r="AW279" s="95"/>
      <c r="AX279" s="95"/>
    </row>
    <row r="280" ht="15.0" customHeight="1">
      <c r="A280" s="95"/>
      <c r="B280" s="95"/>
      <c r="C280" s="95"/>
      <c r="D280" s="95"/>
      <c r="E280" s="95"/>
      <c r="F280" s="95"/>
      <c r="G280" s="95"/>
      <c r="H280" s="159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  <c r="AC280" s="95"/>
      <c r="AD280" s="95"/>
      <c r="AE280" s="95"/>
      <c r="AF280" s="94"/>
      <c r="AG280" s="94"/>
      <c r="AH280" s="94"/>
      <c r="AI280" s="94"/>
      <c r="AJ280" s="95"/>
      <c r="AK280" s="95"/>
      <c r="AL280" s="95"/>
      <c r="AM280" s="96"/>
      <c r="AN280" s="95"/>
      <c r="AO280" s="95"/>
      <c r="AP280" s="95"/>
      <c r="AQ280" s="95"/>
      <c r="AR280" s="95"/>
      <c r="AS280" s="58"/>
      <c r="AT280" s="95"/>
      <c r="AU280" s="95"/>
      <c r="AV280" s="95"/>
      <c r="AW280" s="95"/>
      <c r="AX280" s="95"/>
    </row>
    <row r="281" ht="15.0" customHeight="1">
      <c r="A281" s="95"/>
      <c r="B281" s="95"/>
      <c r="C281" s="95"/>
      <c r="D281" s="95"/>
      <c r="E281" s="95"/>
      <c r="F281" s="95"/>
      <c r="G281" s="95"/>
      <c r="H281" s="159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  <c r="AC281" s="95"/>
      <c r="AD281" s="95"/>
      <c r="AE281" s="95"/>
      <c r="AF281" s="94"/>
      <c r="AG281" s="94"/>
      <c r="AH281" s="94"/>
      <c r="AI281" s="94"/>
      <c r="AJ281" s="95"/>
      <c r="AK281" s="95"/>
      <c r="AL281" s="95"/>
      <c r="AM281" s="96"/>
      <c r="AN281" s="95"/>
      <c r="AO281" s="95"/>
      <c r="AP281" s="95"/>
      <c r="AQ281" s="95"/>
      <c r="AR281" s="95"/>
      <c r="AS281" s="58"/>
      <c r="AT281" s="95"/>
      <c r="AU281" s="95"/>
      <c r="AV281" s="95"/>
      <c r="AW281" s="95"/>
      <c r="AX281" s="95"/>
    </row>
    <row r="282" ht="15.0" customHeight="1">
      <c r="A282" s="95"/>
      <c r="B282" s="95"/>
      <c r="C282" s="95"/>
      <c r="D282" s="95"/>
      <c r="E282" s="95"/>
      <c r="F282" s="95"/>
      <c r="G282" s="95"/>
      <c r="H282" s="159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  <c r="AC282" s="95"/>
      <c r="AD282" s="95"/>
      <c r="AE282" s="95"/>
      <c r="AF282" s="94"/>
      <c r="AG282" s="94"/>
      <c r="AH282" s="94"/>
      <c r="AI282" s="94"/>
      <c r="AJ282" s="95"/>
      <c r="AK282" s="95"/>
      <c r="AL282" s="95"/>
      <c r="AM282" s="96"/>
      <c r="AN282" s="95"/>
      <c r="AO282" s="95"/>
      <c r="AP282" s="95"/>
      <c r="AQ282" s="95"/>
      <c r="AR282" s="95"/>
      <c r="AS282" s="58"/>
      <c r="AT282" s="95"/>
      <c r="AU282" s="95"/>
      <c r="AV282" s="95"/>
      <c r="AW282" s="95"/>
      <c r="AX282" s="95"/>
    </row>
    <row r="283" ht="15.0" customHeight="1">
      <c r="A283" s="95"/>
      <c r="B283" s="95"/>
      <c r="C283" s="95"/>
      <c r="D283" s="95"/>
      <c r="E283" s="95"/>
      <c r="F283" s="95"/>
      <c r="G283" s="95"/>
      <c r="H283" s="159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  <c r="AC283" s="95"/>
      <c r="AD283" s="95"/>
      <c r="AE283" s="95"/>
      <c r="AF283" s="94"/>
      <c r="AG283" s="94"/>
      <c r="AH283" s="94"/>
      <c r="AI283" s="94"/>
      <c r="AJ283" s="95"/>
      <c r="AK283" s="95"/>
      <c r="AL283" s="95"/>
      <c r="AM283" s="96"/>
      <c r="AN283" s="95"/>
      <c r="AO283" s="95"/>
      <c r="AP283" s="95"/>
      <c r="AQ283" s="95"/>
      <c r="AR283" s="95"/>
      <c r="AS283" s="58"/>
      <c r="AT283" s="95"/>
      <c r="AU283" s="95"/>
      <c r="AV283" s="95"/>
      <c r="AW283" s="95"/>
      <c r="AX283" s="95"/>
    </row>
    <row r="284" ht="15.0" customHeight="1">
      <c r="A284" s="95"/>
      <c r="B284" s="95"/>
      <c r="C284" s="95"/>
      <c r="D284" s="95"/>
      <c r="E284" s="95"/>
      <c r="F284" s="95"/>
      <c r="G284" s="95"/>
      <c r="H284" s="159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  <c r="AC284" s="95"/>
      <c r="AD284" s="95"/>
      <c r="AE284" s="95"/>
      <c r="AF284" s="94"/>
      <c r="AG284" s="94"/>
      <c r="AH284" s="94"/>
      <c r="AI284" s="94"/>
      <c r="AJ284" s="95"/>
      <c r="AK284" s="95"/>
      <c r="AL284" s="95"/>
      <c r="AM284" s="96"/>
      <c r="AN284" s="95"/>
      <c r="AO284" s="95"/>
      <c r="AP284" s="95"/>
      <c r="AQ284" s="95"/>
      <c r="AR284" s="95"/>
      <c r="AS284" s="58"/>
      <c r="AT284" s="95"/>
      <c r="AU284" s="95"/>
      <c r="AV284" s="95"/>
      <c r="AW284" s="95"/>
      <c r="AX284" s="95"/>
    </row>
    <row r="285" ht="15.0" customHeight="1">
      <c r="A285" s="95"/>
      <c r="B285" s="95"/>
      <c r="C285" s="95"/>
      <c r="D285" s="95"/>
      <c r="E285" s="95"/>
      <c r="F285" s="95"/>
      <c r="G285" s="95"/>
      <c r="H285" s="159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  <c r="AC285" s="95"/>
      <c r="AD285" s="95"/>
      <c r="AE285" s="95"/>
      <c r="AF285" s="94"/>
      <c r="AG285" s="94"/>
      <c r="AH285" s="94"/>
      <c r="AI285" s="94"/>
      <c r="AJ285" s="95"/>
      <c r="AK285" s="95"/>
      <c r="AL285" s="95"/>
      <c r="AM285" s="96"/>
      <c r="AN285" s="95"/>
      <c r="AO285" s="95"/>
      <c r="AP285" s="95"/>
      <c r="AQ285" s="95"/>
      <c r="AR285" s="95"/>
      <c r="AS285" s="58"/>
      <c r="AT285" s="95"/>
      <c r="AU285" s="95"/>
      <c r="AV285" s="95"/>
      <c r="AW285" s="95"/>
      <c r="AX285" s="95"/>
    </row>
    <row r="286" ht="15.0" customHeight="1">
      <c r="A286" s="95"/>
      <c r="B286" s="95"/>
      <c r="C286" s="95"/>
      <c r="D286" s="95"/>
      <c r="E286" s="95"/>
      <c r="F286" s="95"/>
      <c r="G286" s="95"/>
      <c r="H286" s="159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  <c r="AC286" s="95"/>
      <c r="AD286" s="95"/>
      <c r="AE286" s="95"/>
      <c r="AF286" s="94"/>
      <c r="AG286" s="94"/>
      <c r="AH286" s="94"/>
      <c r="AI286" s="94"/>
      <c r="AJ286" s="95"/>
      <c r="AK286" s="95"/>
      <c r="AL286" s="95"/>
      <c r="AM286" s="96"/>
      <c r="AN286" s="95"/>
      <c r="AO286" s="95"/>
      <c r="AP286" s="95"/>
      <c r="AQ286" s="95"/>
      <c r="AR286" s="95"/>
      <c r="AS286" s="58"/>
      <c r="AT286" s="95"/>
      <c r="AU286" s="95"/>
      <c r="AV286" s="95"/>
      <c r="AW286" s="95"/>
      <c r="AX286" s="95"/>
    </row>
    <row r="287" ht="15.0" customHeight="1">
      <c r="A287" s="95"/>
      <c r="B287" s="95"/>
      <c r="C287" s="95"/>
      <c r="D287" s="95"/>
      <c r="E287" s="95"/>
      <c r="F287" s="95"/>
      <c r="G287" s="95"/>
      <c r="H287" s="159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  <c r="AC287" s="95"/>
      <c r="AD287" s="95"/>
      <c r="AE287" s="95"/>
      <c r="AF287" s="94"/>
      <c r="AG287" s="94"/>
      <c r="AH287" s="94"/>
      <c r="AI287" s="94"/>
      <c r="AJ287" s="95"/>
      <c r="AK287" s="95"/>
      <c r="AL287" s="95"/>
      <c r="AM287" s="96"/>
      <c r="AN287" s="95"/>
      <c r="AO287" s="95"/>
      <c r="AP287" s="95"/>
      <c r="AQ287" s="95"/>
      <c r="AR287" s="95"/>
      <c r="AS287" s="58"/>
      <c r="AT287" s="95"/>
      <c r="AU287" s="95"/>
      <c r="AV287" s="95"/>
      <c r="AW287" s="95"/>
      <c r="AX287" s="95"/>
    </row>
    <row r="288" ht="15.0" customHeight="1">
      <c r="A288" s="95"/>
      <c r="B288" s="95"/>
      <c r="C288" s="95"/>
      <c r="D288" s="95"/>
      <c r="E288" s="95"/>
      <c r="F288" s="95"/>
      <c r="G288" s="95"/>
      <c r="H288" s="159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  <c r="AC288" s="95"/>
      <c r="AD288" s="95"/>
      <c r="AE288" s="95"/>
      <c r="AF288" s="94"/>
      <c r="AG288" s="94"/>
      <c r="AH288" s="94"/>
      <c r="AI288" s="94"/>
      <c r="AJ288" s="95"/>
      <c r="AK288" s="95"/>
      <c r="AL288" s="95"/>
      <c r="AM288" s="96"/>
      <c r="AN288" s="95"/>
      <c r="AO288" s="95"/>
      <c r="AP288" s="95"/>
      <c r="AQ288" s="95"/>
      <c r="AR288" s="95"/>
      <c r="AS288" s="58"/>
      <c r="AT288" s="95"/>
      <c r="AU288" s="95"/>
      <c r="AV288" s="95"/>
      <c r="AW288" s="95"/>
      <c r="AX288" s="95"/>
    </row>
    <row r="289" ht="15.0" customHeight="1">
      <c r="A289" s="95"/>
      <c r="B289" s="95"/>
      <c r="C289" s="95"/>
      <c r="D289" s="95"/>
      <c r="E289" s="95"/>
      <c r="F289" s="95"/>
      <c r="G289" s="95"/>
      <c r="H289" s="159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  <c r="AC289" s="95"/>
      <c r="AD289" s="95"/>
      <c r="AE289" s="95"/>
      <c r="AF289" s="94"/>
      <c r="AG289" s="94"/>
      <c r="AH289" s="94"/>
      <c r="AI289" s="94"/>
      <c r="AJ289" s="95"/>
      <c r="AK289" s="95"/>
      <c r="AL289" s="95"/>
      <c r="AM289" s="96"/>
      <c r="AN289" s="95"/>
      <c r="AO289" s="95"/>
      <c r="AP289" s="95"/>
      <c r="AQ289" s="95"/>
      <c r="AR289" s="95"/>
      <c r="AS289" s="58"/>
      <c r="AT289" s="95"/>
      <c r="AU289" s="95"/>
      <c r="AV289" s="95"/>
      <c r="AW289" s="95"/>
      <c r="AX289" s="95"/>
    </row>
    <row r="290" ht="15.0" customHeight="1">
      <c r="A290" s="95"/>
      <c r="B290" s="95"/>
      <c r="C290" s="95"/>
      <c r="D290" s="95"/>
      <c r="E290" s="95"/>
      <c r="F290" s="95"/>
      <c r="G290" s="95"/>
      <c r="H290" s="159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  <c r="AC290" s="95"/>
      <c r="AD290" s="95"/>
      <c r="AE290" s="95"/>
      <c r="AF290" s="94"/>
      <c r="AG290" s="94"/>
      <c r="AH290" s="94"/>
      <c r="AI290" s="94"/>
      <c r="AJ290" s="95"/>
      <c r="AK290" s="95"/>
      <c r="AL290" s="95"/>
      <c r="AM290" s="96"/>
      <c r="AN290" s="95"/>
      <c r="AO290" s="95"/>
      <c r="AP290" s="95"/>
      <c r="AQ290" s="95"/>
      <c r="AR290" s="95"/>
      <c r="AS290" s="58"/>
      <c r="AT290" s="95"/>
      <c r="AU290" s="95"/>
      <c r="AV290" s="95"/>
      <c r="AW290" s="95"/>
      <c r="AX290" s="95"/>
    </row>
    <row r="291" ht="15.0" customHeight="1">
      <c r="A291" s="95"/>
      <c r="B291" s="95"/>
      <c r="C291" s="95"/>
      <c r="D291" s="95"/>
      <c r="E291" s="95"/>
      <c r="F291" s="95"/>
      <c r="G291" s="95"/>
      <c r="H291" s="159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  <c r="AC291" s="95"/>
      <c r="AD291" s="95"/>
      <c r="AE291" s="95"/>
      <c r="AF291" s="94"/>
      <c r="AG291" s="94"/>
      <c r="AH291" s="94"/>
      <c r="AI291" s="94"/>
      <c r="AJ291" s="95"/>
      <c r="AK291" s="95"/>
      <c r="AL291" s="95"/>
      <c r="AM291" s="96"/>
      <c r="AN291" s="95"/>
      <c r="AO291" s="95"/>
      <c r="AP291" s="95"/>
      <c r="AQ291" s="95"/>
      <c r="AR291" s="95"/>
      <c r="AS291" s="58"/>
      <c r="AT291" s="95"/>
      <c r="AU291" s="95"/>
      <c r="AV291" s="95"/>
      <c r="AW291" s="95"/>
      <c r="AX291" s="95"/>
    </row>
    <row r="292" ht="15.0" customHeight="1">
      <c r="A292" s="95"/>
      <c r="B292" s="95"/>
      <c r="C292" s="95"/>
      <c r="D292" s="95"/>
      <c r="E292" s="95"/>
      <c r="F292" s="95"/>
      <c r="G292" s="95"/>
      <c r="H292" s="159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  <c r="AC292" s="95"/>
      <c r="AD292" s="95"/>
      <c r="AE292" s="95"/>
      <c r="AF292" s="94"/>
      <c r="AG292" s="94"/>
      <c r="AH292" s="94"/>
      <c r="AI292" s="94"/>
      <c r="AJ292" s="95"/>
      <c r="AK292" s="95"/>
      <c r="AL292" s="95"/>
      <c r="AM292" s="96"/>
      <c r="AN292" s="95"/>
      <c r="AO292" s="95"/>
      <c r="AP292" s="95"/>
      <c r="AQ292" s="95"/>
      <c r="AR292" s="95"/>
      <c r="AS292" s="58"/>
      <c r="AT292" s="95"/>
      <c r="AU292" s="95"/>
      <c r="AV292" s="95"/>
      <c r="AW292" s="95"/>
      <c r="AX292" s="95"/>
    </row>
    <row r="293" ht="15.0" customHeight="1">
      <c r="A293" s="95"/>
      <c r="B293" s="95"/>
      <c r="C293" s="95"/>
      <c r="D293" s="95"/>
      <c r="E293" s="95"/>
      <c r="F293" s="95"/>
      <c r="G293" s="95"/>
      <c r="H293" s="159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  <c r="AC293" s="95"/>
      <c r="AD293" s="95"/>
      <c r="AE293" s="95"/>
      <c r="AF293" s="94"/>
      <c r="AG293" s="94"/>
      <c r="AH293" s="94"/>
      <c r="AI293" s="94"/>
      <c r="AJ293" s="95"/>
      <c r="AK293" s="95"/>
      <c r="AL293" s="95"/>
      <c r="AM293" s="96"/>
      <c r="AN293" s="95"/>
      <c r="AO293" s="95"/>
      <c r="AP293" s="95"/>
      <c r="AQ293" s="95"/>
      <c r="AR293" s="95"/>
      <c r="AS293" s="58"/>
      <c r="AT293" s="95"/>
      <c r="AU293" s="95"/>
      <c r="AV293" s="95"/>
      <c r="AW293" s="95"/>
      <c r="AX293" s="95"/>
    </row>
    <row r="294" ht="15.0" customHeight="1">
      <c r="A294" s="95"/>
      <c r="B294" s="95"/>
      <c r="C294" s="95"/>
      <c r="D294" s="95"/>
      <c r="E294" s="95"/>
      <c r="F294" s="95"/>
      <c r="G294" s="95"/>
      <c r="H294" s="159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  <c r="AC294" s="95"/>
      <c r="AD294" s="95"/>
      <c r="AE294" s="95"/>
      <c r="AF294" s="94"/>
      <c r="AG294" s="94"/>
      <c r="AH294" s="94"/>
      <c r="AI294" s="94"/>
      <c r="AJ294" s="95"/>
      <c r="AK294" s="95"/>
      <c r="AL294" s="95"/>
      <c r="AM294" s="96"/>
      <c r="AN294" s="95"/>
      <c r="AO294" s="95"/>
      <c r="AP294" s="95"/>
      <c r="AQ294" s="95"/>
      <c r="AR294" s="95"/>
      <c r="AS294" s="58"/>
      <c r="AT294" s="95"/>
      <c r="AU294" s="95"/>
      <c r="AV294" s="95"/>
      <c r="AW294" s="95"/>
      <c r="AX294" s="95"/>
    </row>
    <row r="295" ht="15.0" customHeight="1">
      <c r="A295" s="95"/>
      <c r="B295" s="95"/>
      <c r="C295" s="95"/>
      <c r="D295" s="95"/>
      <c r="E295" s="95"/>
      <c r="F295" s="95"/>
      <c r="G295" s="95"/>
      <c r="H295" s="159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  <c r="AC295" s="95"/>
      <c r="AD295" s="95"/>
      <c r="AE295" s="95"/>
      <c r="AF295" s="94"/>
      <c r="AG295" s="94"/>
      <c r="AH295" s="94"/>
      <c r="AI295" s="94"/>
      <c r="AJ295" s="95"/>
      <c r="AK295" s="95"/>
      <c r="AL295" s="95"/>
      <c r="AM295" s="96"/>
      <c r="AN295" s="95"/>
      <c r="AO295" s="95"/>
      <c r="AP295" s="95"/>
      <c r="AQ295" s="95"/>
      <c r="AR295" s="95"/>
      <c r="AS295" s="58"/>
      <c r="AT295" s="95"/>
      <c r="AU295" s="95"/>
      <c r="AV295" s="95"/>
      <c r="AW295" s="95"/>
      <c r="AX295" s="95"/>
    </row>
    <row r="296" ht="15.0" customHeight="1">
      <c r="A296" s="95"/>
      <c r="B296" s="95"/>
      <c r="C296" s="95"/>
      <c r="D296" s="95"/>
      <c r="E296" s="95"/>
      <c r="F296" s="95"/>
      <c r="G296" s="95"/>
      <c r="H296" s="159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  <c r="AC296" s="95"/>
      <c r="AD296" s="95"/>
      <c r="AE296" s="95"/>
      <c r="AF296" s="94"/>
      <c r="AG296" s="94"/>
      <c r="AH296" s="94"/>
      <c r="AI296" s="94"/>
      <c r="AJ296" s="95"/>
      <c r="AK296" s="95"/>
      <c r="AL296" s="95"/>
      <c r="AM296" s="96"/>
      <c r="AN296" s="95"/>
      <c r="AO296" s="95"/>
      <c r="AP296" s="95"/>
      <c r="AQ296" s="95"/>
      <c r="AR296" s="95"/>
      <c r="AS296" s="58"/>
      <c r="AT296" s="95"/>
      <c r="AU296" s="95"/>
      <c r="AV296" s="95"/>
      <c r="AW296" s="95"/>
      <c r="AX296" s="95"/>
    </row>
    <row r="297" ht="15.0" customHeight="1">
      <c r="A297" s="95"/>
      <c r="B297" s="95"/>
      <c r="C297" s="95"/>
      <c r="D297" s="95"/>
      <c r="E297" s="95"/>
      <c r="F297" s="95"/>
      <c r="G297" s="95"/>
      <c r="H297" s="159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  <c r="AC297" s="95"/>
      <c r="AD297" s="95"/>
      <c r="AE297" s="95"/>
      <c r="AF297" s="94"/>
      <c r="AG297" s="94"/>
      <c r="AH297" s="94"/>
      <c r="AI297" s="94"/>
      <c r="AJ297" s="95"/>
      <c r="AK297" s="95"/>
      <c r="AL297" s="95"/>
      <c r="AM297" s="96"/>
      <c r="AN297" s="95"/>
      <c r="AO297" s="95"/>
      <c r="AP297" s="95"/>
      <c r="AQ297" s="95"/>
      <c r="AR297" s="95"/>
      <c r="AS297" s="58"/>
      <c r="AT297" s="95"/>
      <c r="AU297" s="95"/>
      <c r="AV297" s="95"/>
      <c r="AW297" s="95"/>
      <c r="AX297" s="95"/>
    </row>
    <row r="298" ht="15.0" customHeight="1">
      <c r="A298" s="95"/>
      <c r="B298" s="95"/>
      <c r="C298" s="95"/>
      <c r="D298" s="95"/>
      <c r="E298" s="95"/>
      <c r="F298" s="95"/>
      <c r="G298" s="95"/>
      <c r="H298" s="159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  <c r="AC298" s="95"/>
      <c r="AD298" s="95"/>
      <c r="AE298" s="95"/>
      <c r="AF298" s="94"/>
      <c r="AG298" s="94"/>
      <c r="AH298" s="94"/>
      <c r="AI298" s="94"/>
      <c r="AJ298" s="95"/>
      <c r="AK298" s="95"/>
      <c r="AL298" s="95"/>
      <c r="AM298" s="96"/>
      <c r="AN298" s="95"/>
      <c r="AO298" s="95"/>
      <c r="AP298" s="95"/>
      <c r="AQ298" s="95"/>
      <c r="AR298" s="95"/>
      <c r="AS298" s="58"/>
      <c r="AT298" s="95"/>
      <c r="AU298" s="95"/>
      <c r="AV298" s="95"/>
      <c r="AW298" s="95"/>
      <c r="AX298" s="95"/>
    </row>
    <row r="299" ht="15.0" customHeight="1">
      <c r="A299" s="95"/>
      <c r="B299" s="95"/>
      <c r="C299" s="95"/>
      <c r="D299" s="95"/>
      <c r="E299" s="95"/>
      <c r="F299" s="95"/>
      <c r="G299" s="95"/>
      <c r="H299" s="159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  <c r="AC299" s="95"/>
      <c r="AD299" s="95"/>
      <c r="AE299" s="95"/>
      <c r="AF299" s="94"/>
      <c r="AG299" s="94"/>
      <c r="AH299" s="94"/>
      <c r="AI299" s="94"/>
      <c r="AJ299" s="95"/>
      <c r="AK299" s="95"/>
      <c r="AL299" s="95"/>
      <c r="AM299" s="96"/>
      <c r="AN299" s="95"/>
      <c r="AO299" s="95"/>
      <c r="AP299" s="95"/>
      <c r="AQ299" s="95"/>
      <c r="AR299" s="95"/>
      <c r="AS299" s="58"/>
      <c r="AT299" s="95"/>
      <c r="AU299" s="95"/>
      <c r="AV299" s="95"/>
      <c r="AW299" s="95"/>
      <c r="AX299" s="95"/>
    </row>
    <row r="300" ht="15.0" customHeight="1">
      <c r="A300" s="95"/>
      <c r="B300" s="95"/>
      <c r="C300" s="95"/>
      <c r="D300" s="95"/>
      <c r="E300" s="95"/>
      <c r="F300" s="95"/>
      <c r="G300" s="95"/>
      <c r="H300" s="159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  <c r="AC300" s="95"/>
      <c r="AD300" s="95"/>
      <c r="AE300" s="95"/>
      <c r="AF300" s="94"/>
      <c r="AG300" s="94"/>
      <c r="AH300" s="94"/>
      <c r="AI300" s="94"/>
      <c r="AJ300" s="95"/>
      <c r="AK300" s="95"/>
      <c r="AL300" s="95"/>
      <c r="AM300" s="96"/>
      <c r="AN300" s="95"/>
      <c r="AO300" s="95"/>
      <c r="AP300" s="95"/>
      <c r="AQ300" s="95"/>
      <c r="AR300" s="95"/>
      <c r="AS300" s="58"/>
      <c r="AT300" s="95"/>
      <c r="AU300" s="95"/>
      <c r="AV300" s="95"/>
      <c r="AW300" s="95"/>
      <c r="AX300" s="95"/>
    </row>
    <row r="301" ht="15.0" customHeight="1">
      <c r="A301" s="95"/>
      <c r="B301" s="95"/>
      <c r="C301" s="95"/>
      <c r="D301" s="95"/>
      <c r="E301" s="95"/>
      <c r="F301" s="95"/>
      <c r="G301" s="95"/>
      <c r="H301" s="159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  <c r="AC301" s="95"/>
      <c r="AD301" s="95"/>
      <c r="AE301" s="95"/>
      <c r="AF301" s="94"/>
      <c r="AG301" s="94"/>
      <c r="AH301" s="94"/>
      <c r="AI301" s="94"/>
      <c r="AJ301" s="95"/>
      <c r="AK301" s="95"/>
      <c r="AL301" s="95"/>
      <c r="AM301" s="96"/>
      <c r="AN301" s="95"/>
      <c r="AO301" s="95"/>
      <c r="AP301" s="95"/>
      <c r="AQ301" s="95"/>
      <c r="AR301" s="95"/>
      <c r="AS301" s="58"/>
      <c r="AT301" s="95"/>
      <c r="AU301" s="95"/>
      <c r="AV301" s="95"/>
      <c r="AW301" s="95"/>
      <c r="AX301" s="95"/>
    </row>
    <row r="302" ht="15.0" customHeight="1">
      <c r="A302" s="95"/>
      <c r="B302" s="95"/>
      <c r="C302" s="95"/>
      <c r="D302" s="95"/>
      <c r="E302" s="95"/>
      <c r="F302" s="95"/>
      <c r="G302" s="95"/>
      <c r="H302" s="159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  <c r="AC302" s="95"/>
      <c r="AD302" s="95"/>
      <c r="AE302" s="95"/>
      <c r="AF302" s="94"/>
      <c r="AG302" s="94"/>
      <c r="AH302" s="94"/>
      <c r="AI302" s="94"/>
      <c r="AJ302" s="95"/>
      <c r="AK302" s="95"/>
      <c r="AL302" s="95"/>
      <c r="AM302" s="96"/>
      <c r="AN302" s="95"/>
      <c r="AO302" s="95"/>
      <c r="AP302" s="95"/>
      <c r="AQ302" s="95"/>
      <c r="AR302" s="95"/>
      <c r="AS302" s="58"/>
      <c r="AT302" s="95"/>
      <c r="AU302" s="95"/>
      <c r="AV302" s="95"/>
      <c r="AW302" s="95"/>
      <c r="AX302" s="95"/>
    </row>
    <row r="303" ht="15.0" customHeight="1">
      <c r="A303" s="95"/>
      <c r="B303" s="95"/>
      <c r="C303" s="95"/>
      <c r="D303" s="95"/>
      <c r="E303" s="95"/>
      <c r="F303" s="95"/>
      <c r="G303" s="95"/>
      <c r="H303" s="159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  <c r="AC303" s="95"/>
      <c r="AD303" s="95"/>
      <c r="AE303" s="95"/>
      <c r="AF303" s="94"/>
      <c r="AG303" s="94"/>
      <c r="AH303" s="94"/>
      <c r="AI303" s="94"/>
      <c r="AJ303" s="95"/>
      <c r="AK303" s="95"/>
      <c r="AL303" s="95"/>
      <c r="AM303" s="96"/>
      <c r="AN303" s="95"/>
      <c r="AO303" s="95"/>
      <c r="AP303" s="95"/>
      <c r="AQ303" s="95"/>
      <c r="AR303" s="95"/>
      <c r="AS303" s="58"/>
      <c r="AT303" s="95"/>
      <c r="AU303" s="95"/>
      <c r="AV303" s="95"/>
      <c r="AW303" s="95"/>
      <c r="AX303" s="95"/>
    </row>
    <row r="304" ht="15.0" customHeight="1">
      <c r="A304" s="95"/>
      <c r="B304" s="95"/>
      <c r="C304" s="95"/>
      <c r="D304" s="95"/>
      <c r="E304" s="95"/>
      <c r="F304" s="95"/>
      <c r="G304" s="95"/>
      <c r="H304" s="159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  <c r="AC304" s="95"/>
      <c r="AD304" s="95"/>
      <c r="AE304" s="95"/>
      <c r="AF304" s="94"/>
      <c r="AG304" s="94"/>
      <c r="AH304" s="94"/>
      <c r="AI304" s="94"/>
      <c r="AJ304" s="95"/>
      <c r="AK304" s="95"/>
      <c r="AL304" s="95"/>
      <c r="AM304" s="96"/>
      <c r="AN304" s="95"/>
      <c r="AO304" s="95"/>
      <c r="AP304" s="95"/>
      <c r="AQ304" s="95"/>
      <c r="AR304" s="95"/>
      <c r="AS304" s="58"/>
      <c r="AT304" s="95"/>
      <c r="AU304" s="95"/>
      <c r="AV304" s="95"/>
      <c r="AW304" s="95"/>
      <c r="AX304" s="95"/>
    </row>
    <row r="305" ht="15.0" customHeight="1">
      <c r="A305" s="95"/>
      <c r="B305" s="95"/>
      <c r="C305" s="95"/>
      <c r="D305" s="95"/>
      <c r="E305" s="95"/>
      <c r="F305" s="95"/>
      <c r="G305" s="95"/>
      <c r="H305" s="159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  <c r="AC305" s="95"/>
      <c r="AD305" s="95"/>
      <c r="AE305" s="95"/>
      <c r="AF305" s="94"/>
      <c r="AG305" s="94"/>
      <c r="AH305" s="94"/>
      <c r="AI305" s="94"/>
      <c r="AJ305" s="95"/>
      <c r="AK305" s="95"/>
      <c r="AL305" s="95"/>
      <c r="AM305" s="96"/>
      <c r="AN305" s="95"/>
      <c r="AO305" s="95"/>
      <c r="AP305" s="95"/>
      <c r="AQ305" s="95"/>
      <c r="AR305" s="95"/>
      <c r="AS305" s="58"/>
      <c r="AT305" s="95"/>
      <c r="AU305" s="95"/>
      <c r="AV305" s="95"/>
      <c r="AW305" s="95"/>
      <c r="AX305" s="95"/>
    </row>
    <row r="306" ht="15.0" customHeight="1">
      <c r="A306" s="95"/>
      <c r="B306" s="95"/>
      <c r="C306" s="95"/>
      <c r="D306" s="95"/>
      <c r="E306" s="95"/>
      <c r="F306" s="95"/>
      <c r="G306" s="95"/>
      <c r="H306" s="159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  <c r="AC306" s="95"/>
      <c r="AD306" s="95"/>
      <c r="AE306" s="95"/>
      <c r="AF306" s="94"/>
      <c r="AG306" s="94"/>
      <c r="AH306" s="94"/>
      <c r="AI306" s="94"/>
      <c r="AJ306" s="95"/>
      <c r="AK306" s="95"/>
      <c r="AL306" s="95"/>
      <c r="AM306" s="96"/>
      <c r="AN306" s="95"/>
      <c r="AO306" s="95"/>
      <c r="AP306" s="95"/>
      <c r="AQ306" s="95"/>
      <c r="AR306" s="95"/>
      <c r="AS306" s="58"/>
      <c r="AT306" s="95"/>
      <c r="AU306" s="95"/>
      <c r="AV306" s="95"/>
      <c r="AW306" s="95"/>
      <c r="AX306" s="95"/>
    </row>
    <row r="307" ht="15.0" customHeight="1">
      <c r="A307" s="95"/>
      <c r="B307" s="95"/>
      <c r="C307" s="95"/>
      <c r="D307" s="95"/>
      <c r="E307" s="95"/>
      <c r="F307" s="95"/>
      <c r="G307" s="95"/>
      <c r="H307" s="159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  <c r="AC307" s="95"/>
      <c r="AD307" s="95"/>
      <c r="AE307" s="95"/>
      <c r="AF307" s="94"/>
      <c r="AG307" s="94"/>
      <c r="AH307" s="94"/>
      <c r="AI307" s="94"/>
      <c r="AJ307" s="95"/>
      <c r="AK307" s="95"/>
      <c r="AL307" s="95"/>
      <c r="AM307" s="96"/>
      <c r="AN307" s="95"/>
      <c r="AO307" s="95"/>
      <c r="AP307" s="95"/>
      <c r="AQ307" s="95"/>
      <c r="AR307" s="95"/>
      <c r="AS307" s="58"/>
      <c r="AT307" s="95"/>
      <c r="AU307" s="95"/>
      <c r="AV307" s="95"/>
      <c r="AW307" s="95"/>
      <c r="AX307" s="95"/>
    </row>
    <row r="308" ht="15.0" customHeight="1">
      <c r="A308" s="95"/>
      <c r="B308" s="95"/>
      <c r="C308" s="95"/>
      <c r="D308" s="95"/>
      <c r="E308" s="95"/>
      <c r="F308" s="95"/>
      <c r="G308" s="95"/>
      <c r="H308" s="159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  <c r="AC308" s="95"/>
      <c r="AD308" s="95"/>
      <c r="AE308" s="95"/>
      <c r="AF308" s="94"/>
      <c r="AG308" s="94"/>
      <c r="AH308" s="94"/>
      <c r="AI308" s="94"/>
      <c r="AJ308" s="95"/>
      <c r="AK308" s="95"/>
      <c r="AL308" s="95"/>
      <c r="AM308" s="96"/>
      <c r="AN308" s="95"/>
      <c r="AO308" s="95"/>
      <c r="AP308" s="95"/>
      <c r="AQ308" s="95"/>
      <c r="AR308" s="95"/>
      <c r="AS308" s="58"/>
      <c r="AT308" s="95"/>
      <c r="AU308" s="95"/>
      <c r="AV308" s="95"/>
      <c r="AW308" s="95"/>
      <c r="AX308" s="95"/>
    </row>
    <row r="309" ht="15.0" customHeight="1">
      <c r="A309" s="95"/>
      <c r="B309" s="95"/>
      <c r="C309" s="95"/>
      <c r="D309" s="95"/>
      <c r="E309" s="95"/>
      <c r="F309" s="95"/>
      <c r="G309" s="95"/>
      <c r="H309" s="159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  <c r="AC309" s="95"/>
      <c r="AD309" s="95"/>
      <c r="AE309" s="95"/>
      <c r="AF309" s="94"/>
      <c r="AG309" s="94"/>
      <c r="AH309" s="94"/>
      <c r="AI309" s="94"/>
      <c r="AJ309" s="95"/>
      <c r="AK309" s="95"/>
      <c r="AL309" s="95"/>
      <c r="AM309" s="96"/>
      <c r="AN309" s="95"/>
      <c r="AO309" s="95"/>
      <c r="AP309" s="95"/>
      <c r="AQ309" s="95"/>
      <c r="AR309" s="95"/>
      <c r="AS309" s="58"/>
      <c r="AT309" s="95"/>
      <c r="AU309" s="95"/>
      <c r="AV309" s="95"/>
      <c r="AW309" s="95"/>
      <c r="AX309" s="95"/>
    </row>
    <row r="310" ht="15.0" customHeight="1">
      <c r="A310" s="95"/>
      <c r="B310" s="95"/>
      <c r="C310" s="95"/>
      <c r="D310" s="95"/>
      <c r="E310" s="95"/>
      <c r="F310" s="95"/>
      <c r="G310" s="95"/>
      <c r="H310" s="159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  <c r="AC310" s="95"/>
      <c r="AD310" s="95"/>
      <c r="AE310" s="95"/>
      <c r="AF310" s="94"/>
      <c r="AG310" s="94"/>
      <c r="AH310" s="94"/>
      <c r="AI310" s="94"/>
      <c r="AJ310" s="95"/>
      <c r="AK310" s="95"/>
      <c r="AL310" s="95"/>
      <c r="AM310" s="96"/>
      <c r="AN310" s="95"/>
      <c r="AO310" s="95"/>
      <c r="AP310" s="95"/>
      <c r="AQ310" s="95"/>
      <c r="AR310" s="95"/>
      <c r="AS310" s="58"/>
      <c r="AT310" s="95"/>
      <c r="AU310" s="95"/>
      <c r="AV310" s="95"/>
      <c r="AW310" s="95"/>
      <c r="AX310" s="95"/>
    </row>
    <row r="311" ht="15.0" customHeight="1">
      <c r="A311" s="95"/>
      <c r="B311" s="95"/>
      <c r="C311" s="95"/>
      <c r="D311" s="95"/>
      <c r="E311" s="95"/>
      <c r="F311" s="95"/>
      <c r="G311" s="95"/>
      <c r="H311" s="159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  <c r="AC311" s="95"/>
      <c r="AD311" s="95"/>
      <c r="AE311" s="95"/>
      <c r="AF311" s="94"/>
      <c r="AG311" s="94"/>
      <c r="AH311" s="94"/>
      <c r="AI311" s="94"/>
      <c r="AJ311" s="95"/>
      <c r="AK311" s="95"/>
      <c r="AL311" s="95"/>
      <c r="AM311" s="96"/>
      <c r="AN311" s="95"/>
      <c r="AO311" s="95"/>
      <c r="AP311" s="95"/>
      <c r="AQ311" s="95"/>
      <c r="AR311" s="95"/>
      <c r="AS311" s="58"/>
      <c r="AT311" s="95"/>
      <c r="AU311" s="95"/>
      <c r="AV311" s="95"/>
      <c r="AW311" s="95"/>
      <c r="AX311" s="95"/>
    </row>
    <row r="312" ht="15.0" customHeight="1">
      <c r="A312" s="95"/>
      <c r="B312" s="95"/>
      <c r="C312" s="95"/>
      <c r="D312" s="95"/>
      <c r="E312" s="95"/>
      <c r="F312" s="95"/>
      <c r="G312" s="95"/>
      <c r="H312" s="159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  <c r="AC312" s="95"/>
      <c r="AD312" s="95"/>
      <c r="AE312" s="95"/>
      <c r="AF312" s="94"/>
      <c r="AG312" s="94"/>
      <c r="AH312" s="94"/>
      <c r="AI312" s="94"/>
      <c r="AJ312" s="95"/>
      <c r="AK312" s="95"/>
      <c r="AL312" s="95"/>
      <c r="AM312" s="96"/>
      <c r="AN312" s="95"/>
      <c r="AO312" s="95"/>
      <c r="AP312" s="95"/>
      <c r="AQ312" s="95"/>
      <c r="AR312" s="95"/>
      <c r="AS312" s="58"/>
      <c r="AT312" s="95"/>
      <c r="AU312" s="95"/>
      <c r="AV312" s="95"/>
      <c r="AW312" s="95"/>
      <c r="AX312" s="95"/>
    </row>
    <row r="313" ht="15.0" customHeight="1">
      <c r="A313" s="95"/>
      <c r="B313" s="95"/>
      <c r="C313" s="95"/>
      <c r="D313" s="95"/>
      <c r="E313" s="95"/>
      <c r="F313" s="95"/>
      <c r="G313" s="95"/>
      <c r="H313" s="159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  <c r="AC313" s="95"/>
      <c r="AD313" s="95"/>
      <c r="AE313" s="95"/>
      <c r="AF313" s="94"/>
      <c r="AG313" s="94"/>
      <c r="AH313" s="94"/>
      <c r="AI313" s="94"/>
      <c r="AJ313" s="95"/>
      <c r="AK313" s="95"/>
      <c r="AL313" s="95"/>
      <c r="AM313" s="96"/>
      <c r="AN313" s="95"/>
      <c r="AO313" s="95"/>
      <c r="AP313" s="95"/>
      <c r="AQ313" s="95"/>
      <c r="AR313" s="95"/>
      <c r="AS313" s="58"/>
      <c r="AT313" s="95"/>
      <c r="AU313" s="95"/>
      <c r="AV313" s="95"/>
      <c r="AW313" s="95"/>
      <c r="AX313" s="95"/>
    </row>
    <row r="314" ht="15.0" customHeight="1">
      <c r="A314" s="95"/>
      <c r="B314" s="95"/>
      <c r="C314" s="95"/>
      <c r="D314" s="95"/>
      <c r="E314" s="95"/>
      <c r="F314" s="95"/>
      <c r="G314" s="95"/>
      <c r="H314" s="159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  <c r="AC314" s="95"/>
      <c r="AD314" s="95"/>
      <c r="AE314" s="95"/>
      <c r="AF314" s="94"/>
      <c r="AG314" s="94"/>
      <c r="AH314" s="94"/>
      <c r="AI314" s="94"/>
      <c r="AJ314" s="95"/>
      <c r="AK314" s="95"/>
      <c r="AL314" s="95"/>
      <c r="AM314" s="96"/>
      <c r="AN314" s="95"/>
      <c r="AO314" s="95"/>
      <c r="AP314" s="95"/>
      <c r="AQ314" s="95"/>
      <c r="AR314" s="95"/>
      <c r="AS314" s="58"/>
      <c r="AT314" s="95"/>
      <c r="AU314" s="95"/>
      <c r="AV314" s="95"/>
      <c r="AW314" s="95"/>
      <c r="AX314" s="95"/>
    </row>
    <row r="315" ht="15.0" customHeight="1">
      <c r="A315" s="95"/>
      <c r="B315" s="95"/>
      <c r="C315" s="95"/>
      <c r="D315" s="95"/>
      <c r="E315" s="95"/>
      <c r="F315" s="95"/>
      <c r="G315" s="95"/>
      <c r="H315" s="159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  <c r="AC315" s="95"/>
      <c r="AD315" s="95"/>
      <c r="AE315" s="95"/>
      <c r="AF315" s="94"/>
      <c r="AG315" s="94"/>
      <c r="AH315" s="94"/>
      <c r="AI315" s="94"/>
      <c r="AJ315" s="95"/>
      <c r="AK315" s="95"/>
      <c r="AL315" s="95"/>
      <c r="AM315" s="96"/>
      <c r="AN315" s="95"/>
      <c r="AO315" s="95"/>
      <c r="AP315" s="95"/>
      <c r="AQ315" s="95"/>
      <c r="AR315" s="95"/>
      <c r="AS315" s="58"/>
      <c r="AT315" s="95"/>
      <c r="AU315" s="95"/>
      <c r="AV315" s="95"/>
      <c r="AW315" s="95"/>
      <c r="AX315" s="95"/>
    </row>
    <row r="316" ht="15.0" customHeight="1">
      <c r="A316" s="95"/>
      <c r="B316" s="95"/>
      <c r="C316" s="95"/>
      <c r="D316" s="95"/>
      <c r="E316" s="95"/>
      <c r="F316" s="95"/>
      <c r="G316" s="95"/>
      <c r="H316" s="159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  <c r="AC316" s="95"/>
      <c r="AD316" s="95"/>
      <c r="AE316" s="95"/>
      <c r="AF316" s="94"/>
      <c r="AG316" s="94"/>
      <c r="AH316" s="94"/>
      <c r="AI316" s="94"/>
      <c r="AJ316" s="95"/>
      <c r="AK316" s="95"/>
      <c r="AL316" s="95"/>
      <c r="AM316" s="96"/>
      <c r="AN316" s="95"/>
      <c r="AO316" s="95"/>
      <c r="AP316" s="95"/>
      <c r="AQ316" s="95"/>
      <c r="AR316" s="95"/>
      <c r="AS316" s="58"/>
      <c r="AT316" s="95"/>
      <c r="AU316" s="95"/>
      <c r="AV316" s="95"/>
      <c r="AW316" s="95"/>
      <c r="AX316" s="95"/>
    </row>
    <row r="317" ht="15.0" customHeight="1">
      <c r="A317" s="95"/>
      <c r="B317" s="95"/>
      <c r="C317" s="95"/>
      <c r="D317" s="95"/>
      <c r="E317" s="95"/>
      <c r="F317" s="95"/>
      <c r="G317" s="95"/>
      <c r="H317" s="159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  <c r="AC317" s="95"/>
      <c r="AD317" s="95"/>
      <c r="AE317" s="95"/>
      <c r="AF317" s="94"/>
      <c r="AG317" s="94"/>
      <c r="AH317" s="94"/>
      <c r="AI317" s="94"/>
      <c r="AJ317" s="95"/>
      <c r="AK317" s="95"/>
      <c r="AL317" s="95"/>
      <c r="AM317" s="96"/>
      <c r="AN317" s="95"/>
      <c r="AO317" s="95"/>
      <c r="AP317" s="95"/>
      <c r="AQ317" s="95"/>
      <c r="AR317" s="95"/>
      <c r="AS317" s="58"/>
      <c r="AT317" s="95"/>
      <c r="AU317" s="95"/>
      <c r="AV317" s="95"/>
      <c r="AW317" s="95"/>
      <c r="AX317" s="95"/>
    </row>
    <row r="318" ht="15.0" customHeight="1">
      <c r="A318" s="95"/>
      <c r="B318" s="95"/>
      <c r="C318" s="95"/>
      <c r="D318" s="95"/>
      <c r="E318" s="95"/>
      <c r="F318" s="95"/>
      <c r="G318" s="95"/>
      <c r="H318" s="159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  <c r="AC318" s="95"/>
      <c r="AD318" s="95"/>
      <c r="AE318" s="95"/>
      <c r="AF318" s="94"/>
      <c r="AG318" s="94"/>
      <c r="AH318" s="94"/>
      <c r="AI318" s="94"/>
      <c r="AJ318" s="95"/>
      <c r="AK318" s="95"/>
      <c r="AL318" s="95"/>
      <c r="AM318" s="96"/>
      <c r="AN318" s="95"/>
      <c r="AO318" s="95"/>
      <c r="AP318" s="95"/>
      <c r="AQ318" s="95"/>
      <c r="AR318" s="95"/>
      <c r="AS318" s="58"/>
      <c r="AT318" s="95"/>
      <c r="AU318" s="95"/>
      <c r="AV318" s="95"/>
      <c r="AW318" s="95"/>
      <c r="AX318" s="95"/>
    </row>
    <row r="319" ht="15.0" customHeight="1">
      <c r="A319" s="95"/>
      <c r="B319" s="95"/>
      <c r="C319" s="95"/>
      <c r="D319" s="95"/>
      <c r="E319" s="95"/>
      <c r="F319" s="95"/>
      <c r="G319" s="95"/>
      <c r="H319" s="159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  <c r="AC319" s="95"/>
      <c r="AD319" s="95"/>
      <c r="AE319" s="95"/>
      <c r="AF319" s="94"/>
      <c r="AG319" s="94"/>
      <c r="AH319" s="94"/>
      <c r="AI319" s="94"/>
      <c r="AJ319" s="95"/>
      <c r="AK319" s="95"/>
      <c r="AL319" s="95"/>
      <c r="AM319" s="96"/>
      <c r="AN319" s="95"/>
      <c r="AO319" s="95"/>
      <c r="AP319" s="95"/>
      <c r="AQ319" s="95"/>
      <c r="AR319" s="95"/>
      <c r="AS319" s="58"/>
      <c r="AT319" s="95"/>
      <c r="AU319" s="95"/>
      <c r="AV319" s="95"/>
      <c r="AW319" s="95"/>
      <c r="AX319" s="95"/>
    </row>
    <row r="320" ht="15.0" customHeight="1">
      <c r="A320" s="95"/>
      <c r="B320" s="95"/>
      <c r="C320" s="95"/>
      <c r="D320" s="95"/>
      <c r="E320" s="95"/>
      <c r="F320" s="95"/>
      <c r="G320" s="95"/>
      <c r="H320" s="159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  <c r="AC320" s="95"/>
      <c r="AD320" s="95"/>
      <c r="AE320" s="95"/>
      <c r="AF320" s="94"/>
      <c r="AG320" s="94"/>
      <c r="AH320" s="94"/>
      <c r="AI320" s="94"/>
      <c r="AJ320" s="95"/>
      <c r="AK320" s="95"/>
      <c r="AL320" s="95"/>
      <c r="AM320" s="96"/>
      <c r="AN320" s="95"/>
      <c r="AO320" s="95"/>
      <c r="AP320" s="95"/>
      <c r="AQ320" s="95"/>
      <c r="AR320" s="95"/>
      <c r="AS320" s="58"/>
      <c r="AT320" s="95"/>
      <c r="AU320" s="95"/>
      <c r="AV320" s="95"/>
      <c r="AW320" s="95"/>
      <c r="AX320" s="95"/>
    </row>
    <row r="321" ht="15.0" customHeight="1">
      <c r="A321" s="95"/>
      <c r="B321" s="95"/>
      <c r="C321" s="95"/>
      <c r="D321" s="95"/>
      <c r="E321" s="95"/>
      <c r="F321" s="95"/>
      <c r="G321" s="95"/>
      <c r="H321" s="159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  <c r="AC321" s="95"/>
      <c r="AD321" s="95"/>
      <c r="AE321" s="95"/>
      <c r="AF321" s="94"/>
      <c r="AG321" s="94"/>
      <c r="AH321" s="94"/>
      <c r="AI321" s="94"/>
      <c r="AJ321" s="95"/>
      <c r="AK321" s="95"/>
      <c r="AL321" s="95"/>
      <c r="AM321" s="96"/>
      <c r="AN321" s="95"/>
      <c r="AO321" s="95"/>
      <c r="AP321" s="95"/>
      <c r="AQ321" s="95"/>
      <c r="AR321" s="95"/>
      <c r="AS321" s="58"/>
      <c r="AT321" s="95"/>
      <c r="AU321" s="95"/>
      <c r="AV321" s="95"/>
      <c r="AW321" s="95"/>
      <c r="AX321" s="95"/>
    </row>
    <row r="322" ht="15.0" customHeight="1">
      <c r="A322" s="95"/>
      <c r="B322" s="95"/>
      <c r="C322" s="95"/>
      <c r="D322" s="95"/>
      <c r="E322" s="95"/>
      <c r="F322" s="95"/>
      <c r="G322" s="95"/>
      <c r="H322" s="159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  <c r="AC322" s="95"/>
      <c r="AD322" s="95"/>
      <c r="AE322" s="95"/>
      <c r="AF322" s="94"/>
      <c r="AG322" s="94"/>
      <c r="AH322" s="94"/>
      <c r="AI322" s="94"/>
      <c r="AJ322" s="95"/>
      <c r="AK322" s="95"/>
      <c r="AL322" s="95"/>
      <c r="AM322" s="96"/>
      <c r="AN322" s="95"/>
      <c r="AO322" s="95"/>
      <c r="AP322" s="95"/>
      <c r="AQ322" s="95"/>
      <c r="AR322" s="95"/>
      <c r="AS322" s="58"/>
      <c r="AT322" s="95"/>
      <c r="AU322" s="95"/>
      <c r="AV322" s="95"/>
      <c r="AW322" s="95"/>
      <c r="AX322" s="95"/>
    </row>
    <row r="323" ht="15.0" customHeight="1">
      <c r="A323" s="95"/>
      <c r="B323" s="95"/>
      <c r="C323" s="95"/>
      <c r="D323" s="95"/>
      <c r="E323" s="95"/>
      <c r="F323" s="95"/>
      <c r="G323" s="95"/>
      <c r="H323" s="159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  <c r="AC323" s="95"/>
      <c r="AD323" s="95"/>
      <c r="AE323" s="95"/>
      <c r="AF323" s="94"/>
      <c r="AG323" s="94"/>
      <c r="AH323" s="94"/>
      <c r="AI323" s="94"/>
      <c r="AJ323" s="95"/>
      <c r="AK323" s="95"/>
      <c r="AL323" s="95"/>
      <c r="AM323" s="96"/>
      <c r="AN323" s="95"/>
      <c r="AO323" s="95"/>
      <c r="AP323" s="95"/>
      <c r="AQ323" s="95"/>
      <c r="AR323" s="95"/>
      <c r="AS323" s="58"/>
      <c r="AT323" s="95"/>
      <c r="AU323" s="95"/>
      <c r="AV323" s="95"/>
      <c r="AW323" s="95"/>
      <c r="AX323" s="95"/>
    </row>
    <row r="324" ht="15.0" customHeight="1">
      <c r="A324" s="95"/>
      <c r="B324" s="95"/>
      <c r="C324" s="95"/>
      <c r="D324" s="95"/>
      <c r="E324" s="95"/>
      <c r="F324" s="95"/>
      <c r="G324" s="95"/>
      <c r="H324" s="159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  <c r="AC324" s="95"/>
      <c r="AD324" s="95"/>
      <c r="AE324" s="95"/>
      <c r="AF324" s="94"/>
      <c r="AG324" s="94"/>
      <c r="AH324" s="94"/>
      <c r="AI324" s="94"/>
      <c r="AJ324" s="95"/>
      <c r="AK324" s="95"/>
      <c r="AL324" s="95"/>
      <c r="AM324" s="96"/>
      <c r="AN324" s="95"/>
      <c r="AO324" s="95"/>
      <c r="AP324" s="95"/>
      <c r="AQ324" s="95"/>
      <c r="AR324" s="95"/>
      <c r="AS324" s="58"/>
      <c r="AT324" s="95"/>
      <c r="AU324" s="95"/>
      <c r="AV324" s="95"/>
      <c r="AW324" s="95"/>
      <c r="AX324" s="95"/>
    </row>
    <row r="325" ht="15.0" customHeight="1">
      <c r="A325" s="95"/>
      <c r="B325" s="95"/>
      <c r="C325" s="95"/>
      <c r="D325" s="95"/>
      <c r="E325" s="95"/>
      <c r="F325" s="95"/>
      <c r="G325" s="95"/>
      <c r="H325" s="159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  <c r="AC325" s="95"/>
      <c r="AD325" s="95"/>
      <c r="AE325" s="95"/>
      <c r="AF325" s="94"/>
      <c r="AG325" s="94"/>
      <c r="AH325" s="94"/>
      <c r="AI325" s="94"/>
      <c r="AJ325" s="95"/>
      <c r="AK325" s="95"/>
      <c r="AL325" s="95"/>
      <c r="AM325" s="96"/>
      <c r="AN325" s="95"/>
      <c r="AO325" s="95"/>
      <c r="AP325" s="95"/>
      <c r="AQ325" s="95"/>
      <c r="AR325" s="95"/>
      <c r="AS325" s="58"/>
      <c r="AT325" s="95"/>
      <c r="AU325" s="95"/>
      <c r="AV325" s="95"/>
      <c r="AW325" s="95"/>
      <c r="AX325" s="95"/>
    </row>
    <row r="326" ht="15.0" customHeight="1">
      <c r="A326" s="95"/>
      <c r="B326" s="95"/>
      <c r="C326" s="95"/>
      <c r="D326" s="95"/>
      <c r="E326" s="95"/>
      <c r="F326" s="95"/>
      <c r="G326" s="95"/>
      <c r="H326" s="159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  <c r="AC326" s="95"/>
      <c r="AD326" s="95"/>
      <c r="AE326" s="95"/>
      <c r="AF326" s="94"/>
      <c r="AG326" s="94"/>
      <c r="AH326" s="94"/>
      <c r="AI326" s="94"/>
      <c r="AJ326" s="95"/>
      <c r="AK326" s="95"/>
      <c r="AL326" s="95"/>
      <c r="AM326" s="96"/>
      <c r="AN326" s="95"/>
      <c r="AO326" s="95"/>
      <c r="AP326" s="95"/>
      <c r="AQ326" s="95"/>
      <c r="AR326" s="95"/>
      <c r="AS326" s="58"/>
      <c r="AT326" s="95"/>
      <c r="AU326" s="95"/>
      <c r="AV326" s="95"/>
      <c r="AW326" s="95"/>
      <c r="AX326" s="95"/>
    </row>
    <row r="327" ht="15.0" customHeight="1">
      <c r="A327" s="95"/>
      <c r="B327" s="95"/>
      <c r="C327" s="95"/>
      <c r="D327" s="95"/>
      <c r="E327" s="95"/>
      <c r="F327" s="95"/>
      <c r="G327" s="95"/>
      <c r="H327" s="159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  <c r="AC327" s="95"/>
      <c r="AD327" s="95"/>
      <c r="AE327" s="95"/>
      <c r="AF327" s="94"/>
      <c r="AG327" s="94"/>
      <c r="AH327" s="94"/>
      <c r="AI327" s="94"/>
      <c r="AJ327" s="95"/>
      <c r="AK327" s="95"/>
      <c r="AL327" s="95"/>
      <c r="AM327" s="96"/>
      <c r="AN327" s="95"/>
      <c r="AO327" s="95"/>
      <c r="AP327" s="95"/>
      <c r="AQ327" s="95"/>
      <c r="AR327" s="95"/>
      <c r="AS327" s="58"/>
      <c r="AT327" s="95"/>
      <c r="AU327" s="95"/>
      <c r="AV327" s="95"/>
      <c r="AW327" s="95"/>
      <c r="AX327" s="95"/>
    </row>
    <row r="328" ht="15.0" customHeight="1">
      <c r="A328" s="95"/>
      <c r="B328" s="95"/>
      <c r="C328" s="95"/>
      <c r="D328" s="95"/>
      <c r="E328" s="95"/>
      <c r="F328" s="95"/>
      <c r="G328" s="95"/>
      <c r="H328" s="159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  <c r="AC328" s="95"/>
      <c r="AD328" s="95"/>
      <c r="AE328" s="95"/>
      <c r="AF328" s="94"/>
      <c r="AG328" s="94"/>
      <c r="AH328" s="94"/>
      <c r="AI328" s="94"/>
      <c r="AJ328" s="95"/>
      <c r="AK328" s="95"/>
      <c r="AL328" s="95"/>
      <c r="AM328" s="96"/>
      <c r="AN328" s="95"/>
      <c r="AO328" s="95"/>
      <c r="AP328" s="95"/>
      <c r="AQ328" s="95"/>
      <c r="AR328" s="95"/>
      <c r="AS328" s="58"/>
      <c r="AT328" s="95"/>
      <c r="AU328" s="95"/>
      <c r="AV328" s="95"/>
      <c r="AW328" s="95"/>
      <c r="AX328" s="95"/>
    </row>
    <row r="329" ht="15.0" customHeight="1">
      <c r="A329" s="95"/>
      <c r="B329" s="95"/>
      <c r="C329" s="95"/>
      <c r="D329" s="95"/>
      <c r="E329" s="95"/>
      <c r="F329" s="95"/>
      <c r="G329" s="95"/>
      <c r="H329" s="159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  <c r="AC329" s="95"/>
      <c r="AD329" s="95"/>
      <c r="AE329" s="95"/>
      <c r="AF329" s="94"/>
      <c r="AG329" s="94"/>
      <c r="AH329" s="94"/>
      <c r="AI329" s="94"/>
      <c r="AJ329" s="95"/>
      <c r="AK329" s="95"/>
      <c r="AL329" s="95"/>
      <c r="AM329" s="96"/>
      <c r="AN329" s="95"/>
      <c r="AO329" s="95"/>
      <c r="AP329" s="95"/>
      <c r="AQ329" s="95"/>
      <c r="AR329" s="95"/>
      <c r="AS329" s="58"/>
      <c r="AT329" s="95"/>
      <c r="AU329" s="95"/>
      <c r="AV329" s="95"/>
      <c r="AW329" s="95"/>
      <c r="AX329" s="95"/>
    </row>
    <row r="330" ht="15.0" customHeight="1">
      <c r="A330" s="95"/>
      <c r="B330" s="95"/>
      <c r="C330" s="95"/>
      <c r="D330" s="95"/>
      <c r="E330" s="95"/>
      <c r="F330" s="95"/>
      <c r="G330" s="95"/>
      <c r="H330" s="159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  <c r="AC330" s="95"/>
      <c r="AD330" s="95"/>
      <c r="AE330" s="95"/>
      <c r="AF330" s="94"/>
      <c r="AG330" s="94"/>
      <c r="AH330" s="94"/>
      <c r="AI330" s="94"/>
      <c r="AJ330" s="95"/>
      <c r="AK330" s="95"/>
      <c r="AL330" s="95"/>
      <c r="AM330" s="96"/>
      <c r="AN330" s="95"/>
      <c r="AO330" s="95"/>
      <c r="AP330" s="95"/>
      <c r="AQ330" s="95"/>
      <c r="AR330" s="95"/>
      <c r="AS330" s="58"/>
      <c r="AT330" s="95"/>
      <c r="AU330" s="95"/>
      <c r="AV330" s="95"/>
      <c r="AW330" s="95"/>
      <c r="AX330" s="95"/>
    </row>
    <row r="331" ht="15.0" customHeight="1">
      <c r="A331" s="95"/>
      <c r="B331" s="95"/>
      <c r="C331" s="95"/>
      <c r="D331" s="95"/>
      <c r="E331" s="95"/>
      <c r="F331" s="95"/>
      <c r="G331" s="95"/>
      <c r="H331" s="159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  <c r="AC331" s="95"/>
      <c r="AD331" s="95"/>
      <c r="AE331" s="95"/>
      <c r="AF331" s="94"/>
      <c r="AG331" s="94"/>
      <c r="AH331" s="94"/>
      <c r="AI331" s="94"/>
      <c r="AJ331" s="95"/>
      <c r="AK331" s="95"/>
      <c r="AL331" s="95"/>
      <c r="AM331" s="96"/>
      <c r="AN331" s="95"/>
      <c r="AO331" s="95"/>
      <c r="AP331" s="95"/>
      <c r="AQ331" s="95"/>
      <c r="AR331" s="95"/>
      <c r="AS331" s="58"/>
      <c r="AT331" s="95"/>
      <c r="AU331" s="95"/>
      <c r="AV331" s="95"/>
      <c r="AW331" s="95"/>
      <c r="AX331" s="95"/>
    </row>
    <row r="332" ht="15.0" customHeight="1">
      <c r="A332" s="95"/>
      <c r="B332" s="95"/>
      <c r="C332" s="95"/>
      <c r="D332" s="95"/>
      <c r="E332" s="95"/>
      <c r="F332" s="95"/>
      <c r="G332" s="95"/>
      <c r="H332" s="159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  <c r="AC332" s="95"/>
      <c r="AD332" s="95"/>
      <c r="AE332" s="95"/>
      <c r="AF332" s="94"/>
      <c r="AG332" s="94"/>
      <c r="AH332" s="94"/>
      <c r="AI332" s="94"/>
      <c r="AJ332" s="95"/>
      <c r="AK332" s="95"/>
      <c r="AL332" s="95"/>
      <c r="AM332" s="96"/>
      <c r="AN332" s="95"/>
      <c r="AO332" s="95"/>
      <c r="AP332" s="95"/>
      <c r="AQ332" s="95"/>
      <c r="AR332" s="95"/>
      <c r="AS332" s="58"/>
      <c r="AT332" s="95"/>
      <c r="AU332" s="95"/>
      <c r="AV332" s="95"/>
      <c r="AW332" s="95"/>
      <c r="AX332" s="95"/>
    </row>
    <row r="333" ht="15.0" customHeight="1">
      <c r="A333" s="95"/>
      <c r="B333" s="95"/>
      <c r="C333" s="95"/>
      <c r="D333" s="95"/>
      <c r="E333" s="95"/>
      <c r="F333" s="95"/>
      <c r="G333" s="95"/>
      <c r="H333" s="159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  <c r="AC333" s="95"/>
      <c r="AD333" s="95"/>
      <c r="AE333" s="95"/>
      <c r="AF333" s="94"/>
      <c r="AG333" s="94"/>
      <c r="AH333" s="94"/>
      <c r="AI333" s="94"/>
      <c r="AJ333" s="95"/>
      <c r="AK333" s="95"/>
      <c r="AL333" s="95"/>
      <c r="AM333" s="96"/>
      <c r="AN333" s="95"/>
      <c r="AO333" s="95"/>
      <c r="AP333" s="95"/>
      <c r="AQ333" s="95"/>
      <c r="AR333" s="95"/>
      <c r="AS333" s="58"/>
      <c r="AT333" s="95"/>
      <c r="AU333" s="95"/>
      <c r="AV333" s="95"/>
      <c r="AW333" s="95"/>
      <c r="AX333" s="95"/>
    </row>
    <row r="334" ht="15.0" customHeight="1">
      <c r="A334" s="95"/>
      <c r="B334" s="95"/>
      <c r="C334" s="95"/>
      <c r="D334" s="95"/>
      <c r="E334" s="95"/>
      <c r="F334" s="95"/>
      <c r="G334" s="95"/>
      <c r="H334" s="159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  <c r="AC334" s="95"/>
      <c r="AD334" s="95"/>
      <c r="AE334" s="95"/>
      <c r="AF334" s="94"/>
      <c r="AG334" s="94"/>
      <c r="AH334" s="94"/>
      <c r="AI334" s="94"/>
      <c r="AJ334" s="95"/>
      <c r="AK334" s="95"/>
      <c r="AL334" s="95"/>
      <c r="AM334" s="96"/>
      <c r="AN334" s="95"/>
      <c r="AO334" s="95"/>
      <c r="AP334" s="95"/>
      <c r="AQ334" s="95"/>
      <c r="AR334" s="95"/>
      <c r="AS334" s="58"/>
      <c r="AT334" s="95"/>
      <c r="AU334" s="95"/>
      <c r="AV334" s="95"/>
      <c r="AW334" s="95"/>
      <c r="AX334" s="95"/>
    </row>
    <row r="335" ht="15.0" customHeight="1">
      <c r="A335" s="95"/>
      <c r="B335" s="95"/>
      <c r="C335" s="95"/>
      <c r="D335" s="95"/>
      <c r="E335" s="95"/>
      <c r="F335" s="95"/>
      <c r="G335" s="95"/>
      <c r="H335" s="159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  <c r="AC335" s="95"/>
      <c r="AD335" s="95"/>
      <c r="AE335" s="95"/>
      <c r="AF335" s="94"/>
      <c r="AG335" s="94"/>
      <c r="AH335" s="94"/>
      <c r="AI335" s="94"/>
      <c r="AJ335" s="95"/>
      <c r="AK335" s="95"/>
      <c r="AL335" s="95"/>
      <c r="AM335" s="96"/>
      <c r="AN335" s="95"/>
      <c r="AO335" s="95"/>
      <c r="AP335" s="95"/>
      <c r="AQ335" s="95"/>
      <c r="AR335" s="95"/>
      <c r="AS335" s="58"/>
      <c r="AT335" s="95"/>
      <c r="AU335" s="95"/>
      <c r="AV335" s="95"/>
      <c r="AW335" s="95"/>
      <c r="AX335" s="95"/>
    </row>
    <row r="336" ht="15.0" customHeight="1">
      <c r="A336" s="95"/>
      <c r="B336" s="95"/>
      <c r="C336" s="95"/>
      <c r="D336" s="95"/>
      <c r="E336" s="95"/>
      <c r="F336" s="95"/>
      <c r="G336" s="95"/>
      <c r="H336" s="159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  <c r="AC336" s="95"/>
      <c r="AD336" s="95"/>
      <c r="AE336" s="95"/>
      <c r="AF336" s="94"/>
      <c r="AG336" s="94"/>
      <c r="AH336" s="94"/>
      <c r="AI336" s="94"/>
      <c r="AJ336" s="95"/>
      <c r="AK336" s="95"/>
      <c r="AL336" s="95"/>
      <c r="AM336" s="96"/>
      <c r="AN336" s="95"/>
      <c r="AO336" s="95"/>
      <c r="AP336" s="95"/>
      <c r="AQ336" s="95"/>
      <c r="AR336" s="95"/>
      <c r="AS336" s="58"/>
      <c r="AT336" s="95"/>
      <c r="AU336" s="95"/>
      <c r="AV336" s="95"/>
      <c r="AW336" s="95"/>
      <c r="AX336" s="95"/>
    </row>
    <row r="337" ht="15.0" customHeight="1">
      <c r="A337" s="95"/>
      <c r="B337" s="95"/>
      <c r="C337" s="95"/>
      <c r="D337" s="95"/>
      <c r="E337" s="95"/>
      <c r="F337" s="95"/>
      <c r="G337" s="95"/>
      <c r="H337" s="159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  <c r="AC337" s="95"/>
      <c r="AD337" s="95"/>
      <c r="AE337" s="95"/>
      <c r="AF337" s="94"/>
      <c r="AG337" s="94"/>
      <c r="AH337" s="94"/>
      <c r="AI337" s="94"/>
      <c r="AJ337" s="95"/>
      <c r="AK337" s="95"/>
      <c r="AL337" s="95"/>
      <c r="AM337" s="96"/>
      <c r="AN337" s="95"/>
      <c r="AO337" s="95"/>
      <c r="AP337" s="95"/>
      <c r="AQ337" s="95"/>
      <c r="AR337" s="95"/>
      <c r="AS337" s="58"/>
      <c r="AT337" s="95"/>
      <c r="AU337" s="95"/>
      <c r="AV337" s="95"/>
      <c r="AW337" s="95"/>
      <c r="AX337" s="95"/>
    </row>
    <row r="338" ht="15.0" customHeight="1">
      <c r="A338" s="95"/>
      <c r="B338" s="95"/>
      <c r="C338" s="95"/>
      <c r="D338" s="95"/>
      <c r="E338" s="95"/>
      <c r="F338" s="95"/>
      <c r="G338" s="95"/>
      <c r="H338" s="159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  <c r="AC338" s="95"/>
      <c r="AD338" s="95"/>
      <c r="AE338" s="95"/>
      <c r="AF338" s="94"/>
      <c r="AG338" s="94"/>
      <c r="AH338" s="94"/>
      <c r="AI338" s="94"/>
      <c r="AJ338" s="95"/>
      <c r="AK338" s="95"/>
      <c r="AL338" s="95"/>
      <c r="AM338" s="96"/>
      <c r="AN338" s="95"/>
      <c r="AO338" s="95"/>
      <c r="AP338" s="95"/>
      <c r="AQ338" s="95"/>
      <c r="AR338" s="95"/>
      <c r="AS338" s="58"/>
      <c r="AT338" s="95"/>
      <c r="AU338" s="95"/>
      <c r="AV338" s="95"/>
      <c r="AW338" s="95"/>
      <c r="AX338" s="95"/>
    </row>
    <row r="339" ht="15.0" customHeight="1">
      <c r="A339" s="95"/>
      <c r="B339" s="95"/>
      <c r="C339" s="95"/>
      <c r="D339" s="95"/>
      <c r="E339" s="95"/>
      <c r="F339" s="95"/>
      <c r="G339" s="95"/>
      <c r="H339" s="159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  <c r="AC339" s="95"/>
      <c r="AD339" s="95"/>
      <c r="AE339" s="95"/>
      <c r="AF339" s="94"/>
      <c r="AG339" s="94"/>
      <c r="AH339" s="94"/>
      <c r="AI339" s="94"/>
      <c r="AJ339" s="95"/>
      <c r="AK339" s="95"/>
      <c r="AL339" s="95"/>
      <c r="AM339" s="96"/>
      <c r="AN339" s="95"/>
      <c r="AO339" s="95"/>
      <c r="AP339" s="95"/>
      <c r="AQ339" s="95"/>
      <c r="AR339" s="95"/>
      <c r="AS339" s="58"/>
      <c r="AT339" s="95"/>
      <c r="AU339" s="95"/>
      <c r="AV339" s="95"/>
      <c r="AW339" s="95"/>
      <c r="AX339" s="95"/>
    </row>
    <row r="340" ht="15.0" customHeight="1">
      <c r="A340" s="95"/>
      <c r="B340" s="95"/>
      <c r="C340" s="95"/>
      <c r="D340" s="95"/>
      <c r="E340" s="95"/>
      <c r="F340" s="95"/>
      <c r="G340" s="95"/>
      <c r="H340" s="159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  <c r="AC340" s="95"/>
      <c r="AD340" s="95"/>
      <c r="AE340" s="95"/>
      <c r="AF340" s="94"/>
      <c r="AG340" s="94"/>
      <c r="AH340" s="94"/>
      <c r="AI340" s="94"/>
      <c r="AJ340" s="95"/>
      <c r="AK340" s="95"/>
      <c r="AL340" s="95"/>
      <c r="AM340" s="96"/>
      <c r="AN340" s="95"/>
      <c r="AO340" s="95"/>
      <c r="AP340" s="95"/>
      <c r="AQ340" s="95"/>
      <c r="AR340" s="95"/>
      <c r="AS340" s="58"/>
      <c r="AT340" s="95"/>
      <c r="AU340" s="95"/>
      <c r="AV340" s="95"/>
      <c r="AW340" s="95"/>
      <c r="AX340" s="95"/>
    </row>
    <row r="341" ht="15.0" customHeight="1">
      <c r="A341" s="95"/>
      <c r="B341" s="95"/>
      <c r="C341" s="95"/>
      <c r="D341" s="95"/>
      <c r="E341" s="95"/>
      <c r="F341" s="95"/>
      <c r="G341" s="95"/>
      <c r="H341" s="159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  <c r="AC341" s="95"/>
      <c r="AD341" s="95"/>
      <c r="AE341" s="95"/>
      <c r="AF341" s="94"/>
      <c r="AG341" s="94"/>
      <c r="AH341" s="94"/>
      <c r="AI341" s="94"/>
      <c r="AJ341" s="95"/>
      <c r="AK341" s="95"/>
      <c r="AL341" s="95"/>
      <c r="AM341" s="96"/>
      <c r="AN341" s="95"/>
      <c r="AO341" s="95"/>
      <c r="AP341" s="95"/>
      <c r="AQ341" s="95"/>
      <c r="AR341" s="95"/>
      <c r="AS341" s="58"/>
      <c r="AT341" s="95"/>
      <c r="AU341" s="95"/>
      <c r="AV341" s="95"/>
      <c r="AW341" s="95"/>
      <c r="AX341" s="95"/>
    </row>
    <row r="342" ht="15.0" customHeight="1">
      <c r="A342" s="95"/>
      <c r="B342" s="95"/>
      <c r="C342" s="95"/>
      <c r="D342" s="95"/>
      <c r="E342" s="95"/>
      <c r="F342" s="95"/>
      <c r="G342" s="95"/>
      <c r="H342" s="159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  <c r="AC342" s="95"/>
      <c r="AD342" s="95"/>
      <c r="AE342" s="95"/>
      <c r="AF342" s="94"/>
      <c r="AG342" s="94"/>
      <c r="AH342" s="94"/>
      <c r="AI342" s="94"/>
      <c r="AJ342" s="95"/>
      <c r="AK342" s="95"/>
      <c r="AL342" s="95"/>
      <c r="AM342" s="96"/>
      <c r="AN342" s="95"/>
      <c r="AO342" s="95"/>
      <c r="AP342" s="95"/>
      <c r="AQ342" s="95"/>
      <c r="AR342" s="95"/>
      <c r="AS342" s="58"/>
      <c r="AT342" s="95"/>
      <c r="AU342" s="95"/>
      <c r="AV342" s="95"/>
      <c r="AW342" s="95"/>
      <c r="AX342" s="95"/>
    </row>
    <row r="343" ht="15.0" customHeight="1">
      <c r="A343" s="95"/>
      <c r="B343" s="95"/>
      <c r="C343" s="95"/>
      <c r="D343" s="95"/>
      <c r="E343" s="95"/>
      <c r="F343" s="95"/>
      <c r="G343" s="95"/>
      <c r="H343" s="159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  <c r="AC343" s="95"/>
      <c r="AD343" s="95"/>
      <c r="AE343" s="95"/>
      <c r="AF343" s="94"/>
      <c r="AG343" s="94"/>
      <c r="AH343" s="94"/>
      <c r="AI343" s="94"/>
      <c r="AJ343" s="95"/>
      <c r="AK343" s="95"/>
      <c r="AL343" s="95"/>
      <c r="AM343" s="96"/>
      <c r="AN343" s="95"/>
      <c r="AO343" s="95"/>
      <c r="AP343" s="95"/>
      <c r="AQ343" s="95"/>
      <c r="AR343" s="95"/>
      <c r="AS343" s="58"/>
      <c r="AT343" s="95"/>
      <c r="AU343" s="95"/>
      <c r="AV343" s="95"/>
      <c r="AW343" s="95"/>
      <c r="AX343" s="95"/>
    </row>
    <row r="344" ht="15.0" customHeight="1">
      <c r="A344" s="95"/>
      <c r="B344" s="95"/>
      <c r="C344" s="95"/>
      <c r="D344" s="95"/>
      <c r="E344" s="95"/>
      <c r="F344" s="95"/>
      <c r="G344" s="95"/>
      <c r="H344" s="159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  <c r="AC344" s="95"/>
      <c r="AD344" s="95"/>
      <c r="AE344" s="95"/>
      <c r="AF344" s="94"/>
      <c r="AG344" s="94"/>
      <c r="AH344" s="94"/>
      <c r="AI344" s="94"/>
      <c r="AJ344" s="95"/>
      <c r="AK344" s="95"/>
      <c r="AL344" s="95"/>
      <c r="AM344" s="96"/>
      <c r="AN344" s="95"/>
      <c r="AO344" s="95"/>
      <c r="AP344" s="95"/>
      <c r="AQ344" s="95"/>
      <c r="AR344" s="95"/>
      <c r="AS344" s="58"/>
      <c r="AT344" s="95"/>
      <c r="AU344" s="95"/>
      <c r="AV344" s="95"/>
      <c r="AW344" s="95"/>
      <c r="AX344" s="95"/>
    </row>
    <row r="345" ht="15.0" customHeight="1">
      <c r="A345" s="95"/>
      <c r="B345" s="95"/>
      <c r="C345" s="95"/>
      <c r="D345" s="95"/>
      <c r="E345" s="95"/>
      <c r="F345" s="95"/>
      <c r="G345" s="95"/>
      <c r="H345" s="159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  <c r="AC345" s="95"/>
      <c r="AD345" s="95"/>
      <c r="AE345" s="95"/>
      <c r="AF345" s="94"/>
      <c r="AG345" s="94"/>
      <c r="AH345" s="94"/>
      <c r="AI345" s="94"/>
      <c r="AJ345" s="95"/>
      <c r="AK345" s="95"/>
      <c r="AL345" s="95"/>
      <c r="AM345" s="96"/>
      <c r="AN345" s="95"/>
      <c r="AO345" s="95"/>
      <c r="AP345" s="95"/>
      <c r="AQ345" s="95"/>
      <c r="AR345" s="95"/>
      <c r="AS345" s="58"/>
      <c r="AT345" s="95"/>
      <c r="AU345" s="95"/>
      <c r="AV345" s="95"/>
      <c r="AW345" s="95"/>
      <c r="AX345" s="95"/>
    </row>
    <row r="346" ht="15.0" customHeight="1">
      <c r="A346" s="95"/>
      <c r="B346" s="95"/>
      <c r="C346" s="95"/>
      <c r="D346" s="95"/>
      <c r="E346" s="95"/>
      <c r="F346" s="95"/>
      <c r="G346" s="95"/>
      <c r="H346" s="159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  <c r="AC346" s="95"/>
      <c r="AD346" s="95"/>
      <c r="AE346" s="95"/>
      <c r="AF346" s="94"/>
      <c r="AG346" s="94"/>
      <c r="AH346" s="94"/>
      <c r="AI346" s="94"/>
      <c r="AJ346" s="95"/>
      <c r="AK346" s="95"/>
      <c r="AL346" s="95"/>
      <c r="AM346" s="96"/>
      <c r="AN346" s="95"/>
      <c r="AO346" s="95"/>
      <c r="AP346" s="95"/>
      <c r="AQ346" s="95"/>
      <c r="AR346" s="95"/>
      <c r="AS346" s="58"/>
      <c r="AT346" s="95"/>
      <c r="AU346" s="95"/>
      <c r="AV346" s="95"/>
      <c r="AW346" s="95"/>
      <c r="AX346" s="95"/>
    </row>
    <row r="347" ht="15.0" customHeight="1">
      <c r="A347" s="95"/>
      <c r="B347" s="95"/>
      <c r="C347" s="95"/>
      <c r="D347" s="95"/>
      <c r="E347" s="95"/>
      <c r="F347" s="95"/>
      <c r="G347" s="95"/>
      <c r="H347" s="159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  <c r="AC347" s="95"/>
      <c r="AD347" s="95"/>
      <c r="AE347" s="95"/>
      <c r="AF347" s="94"/>
      <c r="AG347" s="94"/>
      <c r="AH347" s="94"/>
      <c r="AI347" s="94"/>
      <c r="AJ347" s="95"/>
      <c r="AK347" s="95"/>
      <c r="AL347" s="95"/>
      <c r="AM347" s="96"/>
      <c r="AN347" s="95"/>
      <c r="AO347" s="95"/>
      <c r="AP347" s="95"/>
      <c r="AQ347" s="95"/>
      <c r="AR347" s="95"/>
      <c r="AS347" s="58"/>
      <c r="AT347" s="95"/>
      <c r="AU347" s="95"/>
      <c r="AV347" s="95"/>
      <c r="AW347" s="95"/>
      <c r="AX347" s="95"/>
    </row>
    <row r="348" ht="15.0" customHeight="1">
      <c r="A348" s="95"/>
      <c r="B348" s="95"/>
      <c r="C348" s="95"/>
      <c r="D348" s="95"/>
      <c r="E348" s="95"/>
      <c r="F348" s="95"/>
      <c r="G348" s="95"/>
      <c r="H348" s="159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  <c r="AC348" s="95"/>
      <c r="AD348" s="95"/>
      <c r="AE348" s="95"/>
      <c r="AF348" s="94"/>
      <c r="AG348" s="94"/>
      <c r="AH348" s="94"/>
      <c r="AI348" s="94"/>
      <c r="AJ348" s="95"/>
      <c r="AK348" s="95"/>
      <c r="AL348" s="95"/>
      <c r="AM348" s="96"/>
      <c r="AN348" s="95"/>
      <c r="AO348" s="95"/>
      <c r="AP348" s="95"/>
      <c r="AQ348" s="95"/>
      <c r="AR348" s="95"/>
      <c r="AS348" s="58"/>
      <c r="AT348" s="95"/>
      <c r="AU348" s="95"/>
      <c r="AV348" s="95"/>
      <c r="AW348" s="95"/>
      <c r="AX348" s="95"/>
    </row>
    <row r="349" ht="15.0" customHeight="1">
      <c r="A349" s="95"/>
      <c r="B349" s="95"/>
      <c r="C349" s="95"/>
      <c r="D349" s="95"/>
      <c r="E349" s="95"/>
      <c r="F349" s="95"/>
      <c r="G349" s="95"/>
      <c r="H349" s="159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  <c r="AC349" s="95"/>
      <c r="AD349" s="95"/>
      <c r="AE349" s="95"/>
      <c r="AF349" s="94"/>
      <c r="AG349" s="94"/>
      <c r="AH349" s="94"/>
      <c r="AI349" s="94"/>
      <c r="AJ349" s="95"/>
      <c r="AK349" s="95"/>
      <c r="AL349" s="95"/>
      <c r="AM349" s="96"/>
      <c r="AN349" s="95"/>
      <c r="AO349" s="95"/>
      <c r="AP349" s="95"/>
      <c r="AQ349" s="95"/>
      <c r="AR349" s="95"/>
      <c r="AS349" s="58"/>
      <c r="AT349" s="95"/>
      <c r="AU349" s="95"/>
      <c r="AV349" s="95"/>
      <c r="AW349" s="95"/>
      <c r="AX349" s="95"/>
    </row>
    <row r="350" ht="15.0" customHeight="1">
      <c r="A350" s="95"/>
      <c r="B350" s="95"/>
      <c r="C350" s="95"/>
      <c r="D350" s="95"/>
      <c r="E350" s="95"/>
      <c r="F350" s="95"/>
      <c r="G350" s="95"/>
      <c r="H350" s="159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  <c r="AC350" s="95"/>
      <c r="AD350" s="95"/>
      <c r="AE350" s="95"/>
      <c r="AF350" s="94"/>
      <c r="AG350" s="94"/>
      <c r="AH350" s="94"/>
      <c r="AI350" s="94"/>
      <c r="AJ350" s="95"/>
      <c r="AK350" s="95"/>
      <c r="AL350" s="95"/>
      <c r="AM350" s="96"/>
      <c r="AN350" s="95"/>
      <c r="AO350" s="95"/>
      <c r="AP350" s="95"/>
      <c r="AQ350" s="95"/>
      <c r="AR350" s="95"/>
      <c r="AS350" s="58"/>
      <c r="AT350" s="95"/>
      <c r="AU350" s="95"/>
      <c r="AV350" s="95"/>
      <c r="AW350" s="95"/>
      <c r="AX350" s="95"/>
    </row>
    <row r="351" ht="15.0" customHeight="1">
      <c r="A351" s="95"/>
      <c r="B351" s="95"/>
      <c r="C351" s="95"/>
      <c r="D351" s="95"/>
      <c r="E351" s="95"/>
      <c r="F351" s="95"/>
      <c r="G351" s="95"/>
      <c r="H351" s="159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  <c r="AC351" s="95"/>
      <c r="AD351" s="95"/>
      <c r="AE351" s="95"/>
      <c r="AF351" s="94"/>
      <c r="AG351" s="94"/>
      <c r="AH351" s="94"/>
      <c r="AI351" s="94"/>
      <c r="AJ351" s="95"/>
      <c r="AK351" s="95"/>
      <c r="AL351" s="95"/>
      <c r="AM351" s="96"/>
      <c r="AN351" s="95"/>
      <c r="AO351" s="95"/>
      <c r="AP351" s="95"/>
      <c r="AQ351" s="95"/>
      <c r="AR351" s="95"/>
      <c r="AS351" s="58"/>
      <c r="AT351" s="95"/>
      <c r="AU351" s="95"/>
      <c r="AV351" s="95"/>
      <c r="AW351" s="95"/>
      <c r="AX351" s="95"/>
    </row>
    <row r="352" ht="15.0" customHeight="1">
      <c r="A352" s="95"/>
      <c r="B352" s="95"/>
      <c r="C352" s="95"/>
      <c r="D352" s="95"/>
      <c r="E352" s="95"/>
      <c r="F352" s="95"/>
      <c r="G352" s="95"/>
      <c r="H352" s="159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  <c r="AC352" s="95"/>
      <c r="AD352" s="95"/>
      <c r="AE352" s="95"/>
      <c r="AF352" s="94"/>
      <c r="AG352" s="94"/>
      <c r="AH352" s="94"/>
      <c r="AI352" s="94"/>
      <c r="AJ352" s="95"/>
      <c r="AK352" s="95"/>
      <c r="AL352" s="95"/>
      <c r="AM352" s="96"/>
      <c r="AN352" s="95"/>
      <c r="AO352" s="95"/>
      <c r="AP352" s="95"/>
      <c r="AQ352" s="95"/>
      <c r="AR352" s="95"/>
      <c r="AS352" s="58"/>
      <c r="AT352" s="95"/>
      <c r="AU352" s="95"/>
      <c r="AV352" s="95"/>
      <c r="AW352" s="95"/>
      <c r="AX352" s="95"/>
    </row>
    <row r="353" ht="15.0" customHeight="1">
      <c r="A353" s="95"/>
      <c r="B353" s="95"/>
      <c r="C353" s="95"/>
      <c r="D353" s="95"/>
      <c r="E353" s="95"/>
      <c r="F353" s="95"/>
      <c r="G353" s="95"/>
      <c r="H353" s="159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  <c r="AC353" s="95"/>
      <c r="AD353" s="95"/>
      <c r="AE353" s="95"/>
      <c r="AF353" s="94"/>
      <c r="AG353" s="94"/>
      <c r="AH353" s="94"/>
      <c r="AI353" s="94"/>
      <c r="AJ353" s="95"/>
      <c r="AK353" s="95"/>
      <c r="AL353" s="95"/>
      <c r="AM353" s="96"/>
      <c r="AN353" s="95"/>
      <c r="AO353" s="95"/>
      <c r="AP353" s="95"/>
      <c r="AQ353" s="95"/>
      <c r="AR353" s="95"/>
      <c r="AS353" s="58"/>
      <c r="AT353" s="95"/>
      <c r="AU353" s="95"/>
      <c r="AV353" s="95"/>
      <c r="AW353" s="95"/>
      <c r="AX353" s="95"/>
    </row>
    <row r="354" ht="15.0" customHeight="1">
      <c r="A354" s="95"/>
      <c r="B354" s="95"/>
      <c r="C354" s="95"/>
      <c r="D354" s="95"/>
      <c r="E354" s="95"/>
      <c r="F354" s="95"/>
      <c r="G354" s="95"/>
      <c r="H354" s="159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  <c r="AC354" s="95"/>
      <c r="AD354" s="95"/>
      <c r="AE354" s="95"/>
      <c r="AF354" s="94"/>
      <c r="AG354" s="94"/>
      <c r="AH354" s="94"/>
      <c r="AI354" s="94"/>
      <c r="AJ354" s="95"/>
      <c r="AK354" s="95"/>
      <c r="AL354" s="95"/>
      <c r="AM354" s="96"/>
      <c r="AN354" s="95"/>
      <c r="AO354" s="95"/>
      <c r="AP354" s="95"/>
      <c r="AQ354" s="95"/>
      <c r="AR354" s="95"/>
      <c r="AS354" s="58"/>
      <c r="AT354" s="95"/>
      <c r="AU354" s="95"/>
      <c r="AV354" s="95"/>
      <c r="AW354" s="95"/>
      <c r="AX354" s="95"/>
    </row>
    <row r="355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  <c r="AC355" s="95"/>
      <c r="AD355" s="95"/>
      <c r="AE355" s="95"/>
      <c r="AF355" s="95"/>
      <c r="AG355" s="95"/>
      <c r="AH355" s="95"/>
      <c r="AI355" s="95"/>
      <c r="AJ355" s="95"/>
      <c r="AK355" s="95"/>
      <c r="AL355" s="95"/>
      <c r="AM355" s="95"/>
      <c r="AN355" s="95"/>
      <c r="AO355" s="95"/>
      <c r="AP355" s="95"/>
      <c r="AQ355" s="95"/>
      <c r="AR355" s="95"/>
      <c r="AS355" s="95"/>
      <c r="AT355" s="95"/>
      <c r="AU355" s="95"/>
      <c r="AV355" s="95"/>
      <c r="AW355" s="95"/>
      <c r="AX355" s="95"/>
    </row>
    <row r="356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  <c r="AC356" s="95"/>
      <c r="AD356" s="95"/>
      <c r="AE356" s="95"/>
      <c r="AF356" s="95"/>
      <c r="AG356" s="95"/>
      <c r="AH356" s="95"/>
      <c r="AI356" s="95"/>
      <c r="AJ356" s="95"/>
      <c r="AK356" s="95"/>
      <c r="AL356" s="95"/>
      <c r="AM356" s="95"/>
      <c r="AN356" s="95"/>
      <c r="AO356" s="95"/>
      <c r="AP356" s="95"/>
      <c r="AQ356" s="95"/>
      <c r="AR356" s="95"/>
      <c r="AS356" s="95"/>
      <c r="AT356" s="95"/>
      <c r="AU356" s="95"/>
      <c r="AV356" s="95"/>
      <c r="AW356" s="95"/>
      <c r="AX356" s="95"/>
    </row>
    <row r="357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  <c r="AC357" s="95"/>
      <c r="AD357" s="95"/>
      <c r="AE357" s="95"/>
      <c r="AF357" s="95"/>
      <c r="AG357" s="95"/>
      <c r="AH357" s="95"/>
      <c r="AI357" s="95"/>
      <c r="AJ357" s="95"/>
      <c r="AK357" s="95"/>
      <c r="AL357" s="95"/>
      <c r="AM357" s="95"/>
      <c r="AN357" s="95"/>
      <c r="AO357" s="95"/>
      <c r="AP357" s="95"/>
      <c r="AQ357" s="95"/>
      <c r="AR357" s="95"/>
      <c r="AS357" s="95"/>
      <c r="AT357" s="95"/>
      <c r="AU357" s="95"/>
      <c r="AV357" s="95"/>
      <c r="AW357" s="95"/>
      <c r="AX357" s="95"/>
    </row>
    <row r="358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  <c r="AC358" s="95"/>
      <c r="AD358" s="95"/>
      <c r="AE358" s="95"/>
      <c r="AF358" s="95"/>
      <c r="AG358" s="95"/>
      <c r="AH358" s="95"/>
      <c r="AI358" s="95"/>
      <c r="AJ358" s="95"/>
      <c r="AK358" s="95"/>
      <c r="AL358" s="95"/>
      <c r="AM358" s="95"/>
      <c r="AN358" s="95"/>
      <c r="AO358" s="95"/>
      <c r="AP358" s="95"/>
      <c r="AQ358" s="95"/>
      <c r="AR358" s="95"/>
      <c r="AS358" s="95"/>
      <c r="AT358" s="95"/>
      <c r="AU358" s="95"/>
      <c r="AV358" s="95"/>
      <c r="AW358" s="95"/>
      <c r="AX358" s="95"/>
    </row>
    <row r="359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  <c r="AC359" s="95"/>
      <c r="AD359" s="95"/>
      <c r="AE359" s="95"/>
      <c r="AF359" s="95"/>
      <c r="AG359" s="95"/>
      <c r="AH359" s="95"/>
      <c r="AI359" s="95"/>
      <c r="AJ359" s="95"/>
      <c r="AK359" s="95"/>
      <c r="AL359" s="95"/>
      <c r="AM359" s="95"/>
      <c r="AN359" s="95"/>
      <c r="AO359" s="95"/>
      <c r="AP359" s="95"/>
      <c r="AQ359" s="95"/>
      <c r="AR359" s="95"/>
      <c r="AS359" s="95"/>
      <c r="AT359" s="95"/>
      <c r="AU359" s="95"/>
      <c r="AV359" s="95"/>
      <c r="AW359" s="95"/>
      <c r="AX359" s="95"/>
    </row>
    <row r="360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  <c r="AC360" s="95"/>
      <c r="AD360" s="95"/>
      <c r="AE360" s="95"/>
      <c r="AF360" s="95"/>
      <c r="AG360" s="95"/>
      <c r="AH360" s="95"/>
      <c r="AI360" s="95"/>
      <c r="AJ360" s="95"/>
      <c r="AK360" s="95"/>
      <c r="AL360" s="95"/>
      <c r="AM360" s="95"/>
      <c r="AN360" s="95"/>
      <c r="AO360" s="95"/>
      <c r="AP360" s="95"/>
      <c r="AQ360" s="95"/>
      <c r="AR360" s="95"/>
      <c r="AS360" s="95"/>
      <c r="AT360" s="95"/>
      <c r="AU360" s="95"/>
      <c r="AV360" s="95"/>
      <c r="AW360" s="95"/>
      <c r="AX360" s="95"/>
    </row>
    <row r="36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  <c r="AC361" s="95"/>
      <c r="AD361" s="95"/>
      <c r="AE361" s="95"/>
      <c r="AF361" s="95"/>
      <c r="AG361" s="95"/>
      <c r="AH361" s="95"/>
      <c r="AI361" s="95"/>
      <c r="AJ361" s="95"/>
      <c r="AK361" s="95"/>
      <c r="AL361" s="95"/>
      <c r="AM361" s="95"/>
      <c r="AN361" s="95"/>
      <c r="AO361" s="95"/>
      <c r="AP361" s="95"/>
      <c r="AQ361" s="95"/>
      <c r="AR361" s="95"/>
      <c r="AS361" s="95"/>
      <c r="AT361" s="95"/>
      <c r="AU361" s="95"/>
      <c r="AV361" s="95"/>
      <c r="AW361" s="95"/>
      <c r="AX361" s="95"/>
    </row>
    <row r="362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  <c r="AC362" s="95"/>
      <c r="AD362" s="95"/>
      <c r="AE362" s="95"/>
      <c r="AF362" s="95"/>
      <c r="AG362" s="95"/>
      <c r="AH362" s="95"/>
      <c r="AI362" s="95"/>
      <c r="AJ362" s="95"/>
      <c r="AK362" s="95"/>
      <c r="AL362" s="95"/>
      <c r="AM362" s="95"/>
      <c r="AN362" s="95"/>
      <c r="AO362" s="95"/>
      <c r="AP362" s="95"/>
      <c r="AQ362" s="95"/>
      <c r="AR362" s="95"/>
      <c r="AS362" s="95"/>
      <c r="AT362" s="95"/>
      <c r="AU362" s="95"/>
      <c r="AV362" s="95"/>
      <c r="AW362" s="95"/>
      <c r="AX362" s="95"/>
    </row>
    <row r="363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  <c r="AC363" s="95"/>
      <c r="AD363" s="95"/>
      <c r="AE363" s="95"/>
      <c r="AF363" s="95"/>
      <c r="AG363" s="95"/>
      <c r="AH363" s="95"/>
      <c r="AI363" s="95"/>
      <c r="AJ363" s="95"/>
      <c r="AK363" s="95"/>
      <c r="AL363" s="95"/>
      <c r="AM363" s="95"/>
      <c r="AN363" s="95"/>
      <c r="AO363" s="95"/>
      <c r="AP363" s="95"/>
      <c r="AQ363" s="95"/>
      <c r="AR363" s="95"/>
      <c r="AS363" s="95"/>
      <c r="AT363" s="95"/>
      <c r="AU363" s="95"/>
      <c r="AV363" s="95"/>
      <c r="AW363" s="95"/>
      <c r="AX363" s="95"/>
    </row>
    <row r="364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  <c r="AC364" s="95"/>
      <c r="AD364" s="95"/>
      <c r="AE364" s="95"/>
      <c r="AF364" s="95"/>
      <c r="AG364" s="95"/>
      <c r="AH364" s="95"/>
      <c r="AI364" s="95"/>
      <c r="AJ364" s="95"/>
      <c r="AK364" s="95"/>
      <c r="AL364" s="95"/>
      <c r="AM364" s="95"/>
      <c r="AN364" s="95"/>
      <c r="AO364" s="95"/>
      <c r="AP364" s="95"/>
      <c r="AQ364" s="95"/>
      <c r="AR364" s="95"/>
      <c r="AS364" s="95"/>
      <c r="AT364" s="95"/>
      <c r="AU364" s="95"/>
      <c r="AV364" s="95"/>
      <c r="AW364" s="95"/>
      <c r="AX364" s="95"/>
    </row>
    <row r="365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  <c r="AC365" s="95"/>
      <c r="AD365" s="95"/>
      <c r="AE365" s="95"/>
      <c r="AF365" s="95"/>
      <c r="AG365" s="95"/>
      <c r="AH365" s="95"/>
      <c r="AI365" s="95"/>
      <c r="AJ365" s="95"/>
      <c r="AK365" s="95"/>
      <c r="AL365" s="95"/>
      <c r="AM365" s="95"/>
      <c r="AN365" s="95"/>
      <c r="AO365" s="95"/>
      <c r="AP365" s="95"/>
      <c r="AQ365" s="95"/>
      <c r="AR365" s="95"/>
      <c r="AS365" s="95"/>
      <c r="AT365" s="95"/>
      <c r="AU365" s="95"/>
      <c r="AV365" s="95"/>
      <c r="AW365" s="95"/>
      <c r="AX365" s="95"/>
    </row>
    <row r="366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  <c r="AC366" s="95"/>
      <c r="AD366" s="95"/>
      <c r="AE366" s="95"/>
      <c r="AF366" s="95"/>
      <c r="AG366" s="95"/>
      <c r="AH366" s="95"/>
      <c r="AI366" s="95"/>
      <c r="AJ366" s="95"/>
      <c r="AK366" s="95"/>
      <c r="AL366" s="95"/>
      <c r="AM366" s="95"/>
      <c r="AN366" s="95"/>
      <c r="AO366" s="95"/>
      <c r="AP366" s="95"/>
      <c r="AQ366" s="95"/>
      <c r="AR366" s="95"/>
      <c r="AS366" s="95"/>
      <c r="AT366" s="95"/>
      <c r="AU366" s="95"/>
      <c r="AV366" s="95"/>
      <c r="AW366" s="95"/>
      <c r="AX366" s="95"/>
    </row>
    <row r="367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  <c r="AC367" s="95"/>
      <c r="AD367" s="95"/>
      <c r="AE367" s="95"/>
      <c r="AF367" s="95"/>
      <c r="AG367" s="95"/>
      <c r="AH367" s="95"/>
      <c r="AI367" s="95"/>
      <c r="AJ367" s="95"/>
      <c r="AK367" s="95"/>
      <c r="AL367" s="95"/>
      <c r="AM367" s="95"/>
      <c r="AN367" s="95"/>
      <c r="AO367" s="95"/>
      <c r="AP367" s="95"/>
      <c r="AQ367" s="95"/>
      <c r="AR367" s="95"/>
      <c r="AS367" s="95"/>
      <c r="AT367" s="95"/>
      <c r="AU367" s="95"/>
      <c r="AV367" s="95"/>
      <c r="AW367" s="95"/>
      <c r="AX367" s="95"/>
    </row>
    <row r="368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  <c r="AC368" s="95"/>
      <c r="AD368" s="95"/>
      <c r="AE368" s="95"/>
      <c r="AF368" s="95"/>
      <c r="AG368" s="95"/>
      <c r="AH368" s="95"/>
      <c r="AI368" s="95"/>
      <c r="AJ368" s="95"/>
      <c r="AK368" s="95"/>
      <c r="AL368" s="95"/>
      <c r="AM368" s="95"/>
      <c r="AN368" s="95"/>
      <c r="AO368" s="95"/>
      <c r="AP368" s="95"/>
      <c r="AQ368" s="95"/>
      <c r="AR368" s="95"/>
      <c r="AS368" s="95"/>
      <c r="AT368" s="95"/>
      <c r="AU368" s="95"/>
      <c r="AV368" s="95"/>
      <c r="AW368" s="95"/>
      <c r="AX368" s="95"/>
    </row>
    <row r="369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  <c r="AC369" s="95"/>
      <c r="AD369" s="95"/>
      <c r="AE369" s="95"/>
      <c r="AF369" s="95"/>
      <c r="AG369" s="95"/>
      <c r="AH369" s="95"/>
      <c r="AI369" s="95"/>
      <c r="AJ369" s="95"/>
      <c r="AK369" s="95"/>
      <c r="AL369" s="95"/>
      <c r="AM369" s="95"/>
      <c r="AN369" s="95"/>
      <c r="AO369" s="95"/>
      <c r="AP369" s="95"/>
      <c r="AQ369" s="95"/>
      <c r="AR369" s="95"/>
      <c r="AS369" s="95"/>
      <c r="AT369" s="95"/>
      <c r="AU369" s="95"/>
      <c r="AV369" s="95"/>
      <c r="AW369" s="95"/>
      <c r="AX369" s="95"/>
    </row>
    <row r="370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  <c r="AC370" s="95"/>
      <c r="AD370" s="95"/>
      <c r="AE370" s="95"/>
      <c r="AF370" s="95"/>
      <c r="AG370" s="95"/>
      <c r="AH370" s="95"/>
      <c r="AI370" s="95"/>
      <c r="AJ370" s="95"/>
      <c r="AK370" s="95"/>
      <c r="AL370" s="95"/>
      <c r="AM370" s="95"/>
      <c r="AN370" s="95"/>
      <c r="AO370" s="95"/>
      <c r="AP370" s="95"/>
      <c r="AQ370" s="95"/>
      <c r="AR370" s="95"/>
      <c r="AS370" s="95"/>
      <c r="AT370" s="95"/>
      <c r="AU370" s="95"/>
      <c r="AV370" s="95"/>
      <c r="AW370" s="95"/>
      <c r="AX370" s="95"/>
    </row>
    <row r="37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  <c r="AC371" s="95"/>
      <c r="AD371" s="95"/>
      <c r="AE371" s="95"/>
      <c r="AF371" s="95"/>
      <c r="AG371" s="95"/>
      <c r="AH371" s="95"/>
      <c r="AI371" s="95"/>
      <c r="AJ371" s="95"/>
      <c r="AK371" s="95"/>
      <c r="AL371" s="95"/>
      <c r="AM371" s="95"/>
      <c r="AN371" s="95"/>
      <c r="AO371" s="95"/>
      <c r="AP371" s="95"/>
      <c r="AQ371" s="95"/>
      <c r="AR371" s="95"/>
      <c r="AS371" s="95"/>
      <c r="AT371" s="95"/>
      <c r="AU371" s="95"/>
      <c r="AV371" s="95"/>
      <c r="AW371" s="95"/>
      <c r="AX371" s="95"/>
    </row>
    <row r="372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  <c r="AC372" s="95"/>
      <c r="AD372" s="95"/>
      <c r="AE372" s="95"/>
      <c r="AF372" s="95"/>
      <c r="AG372" s="95"/>
      <c r="AH372" s="95"/>
      <c r="AI372" s="95"/>
      <c r="AJ372" s="95"/>
      <c r="AK372" s="95"/>
      <c r="AL372" s="95"/>
      <c r="AM372" s="95"/>
      <c r="AN372" s="95"/>
      <c r="AO372" s="95"/>
      <c r="AP372" s="95"/>
      <c r="AQ372" s="95"/>
      <c r="AR372" s="95"/>
      <c r="AS372" s="95"/>
      <c r="AT372" s="95"/>
      <c r="AU372" s="95"/>
      <c r="AV372" s="95"/>
      <c r="AW372" s="95"/>
      <c r="AX372" s="95"/>
    </row>
    <row r="373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  <c r="AC373" s="95"/>
      <c r="AD373" s="95"/>
      <c r="AE373" s="95"/>
      <c r="AF373" s="95"/>
      <c r="AG373" s="95"/>
      <c r="AH373" s="95"/>
      <c r="AI373" s="95"/>
      <c r="AJ373" s="95"/>
      <c r="AK373" s="95"/>
      <c r="AL373" s="95"/>
      <c r="AM373" s="95"/>
      <c r="AN373" s="95"/>
      <c r="AO373" s="95"/>
      <c r="AP373" s="95"/>
      <c r="AQ373" s="95"/>
      <c r="AR373" s="95"/>
      <c r="AS373" s="95"/>
      <c r="AT373" s="95"/>
      <c r="AU373" s="95"/>
      <c r="AV373" s="95"/>
      <c r="AW373" s="95"/>
      <c r="AX373" s="95"/>
    </row>
    <row r="374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  <c r="AC374" s="95"/>
      <c r="AD374" s="95"/>
      <c r="AE374" s="95"/>
      <c r="AF374" s="95"/>
      <c r="AG374" s="95"/>
      <c r="AH374" s="95"/>
      <c r="AI374" s="95"/>
      <c r="AJ374" s="95"/>
      <c r="AK374" s="95"/>
      <c r="AL374" s="95"/>
      <c r="AM374" s="95"/>
      <c r="AN374" s="95"/>
      <c r="AO374" s="95"/>
      <c r="AP374" s="95"/>
      <c r="AQ374" s="95"/>
      <c r="AR374" s="95"/>
      <c r="AS374" s="95"/>
      <c r="AT374" s="95"/>
      <c r="AU374" s="95"/>
      <c r="AV374" s="95"/>
      <c r="AW374" s="95"/>
      <c r="AX374" s="95"/>
    </row>
    <row r="375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  <c r="AC375" s="95"/>
      <c r="AD375" s="95"/>
      <c r="AE375" s="95"/>
      <c r="AF375" s="95"/>
      <c r="AG375" s="95"/>
      <c r="AH375" s="95"/>
      <c r="AI375" s="95"/>
      <c r="AJ375" s="95"/>
      <c r="AK375" s="95"/>
      <c r="AL375" s="95"/>
      <c r="AM375" s="95"/>
      <c r="AN375" s="95"/>
      <c r="AO375" s="95"/>
      <c r="AP375" s="95"/>
      <c r="AQ375" s="95"/>
      <c r="AR375" s="95"/>
      <c r="AS375" s="95"/>
      <c r="AT375" s="95"/>
      <c r="AU375" s="95"/>
      <c r="AV375" s="95"/>
      <c r="AW375" s="95"/>
      <c r="AX375" s="95"/>
    </row>
    <row r="376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  <c r="AC376" s="95"/>
      <c r="AD376" s="95"/>
      <c r="AE376" s="95"/>
      <c r="AF376" s="95"/>
      <c r="AG376" s="95"/>
      <c r="AH376" s="95"/>
      <c r="AI376" s="95"/>
      <c r="AJ376" s="95"/>
      <c r="AK376" s="95"/>
      <c r="AL376" s="95"/>
      <c r="AM376" s="95"/>
      <c r="AN376" s="95"/>
      <c r="AO376" s="95"/>
      <c r="AP376" s="95"/>
      <c r="AQ376" s="95"/>
      <c r="AR376" s="95"/>
      <c r="AS376" s="95"/>
      <c r="AT376" s="95"/>
      <c r="AU376" s="95"/>
      <c r="AV376" s="95"/>
      <c r="AW376" s="95"/>
      <c r="AX376" s="95"/>
    </row>
    <row r="377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  <c r="AC377" s="95"/>
      <c r="AD377" s="95"/>
      <c r="AE377" s="95"/>
      <c r="AF377" s="95"/>
      <c r="AG377" s="95"/>
      <c r="AH377" s="95"/>
      <c r="AI377" s="95"/>
      <c r="AJ377" s="95"/>
      <c r="AK377" s="95"/>
      <c r="AL377" s="95"/>
      <c r="AM377" s="95"/>
      <c r="AN377" s="95"/>
      <c r="AO377" s="95"/>
      <c r="AP377" s="95"/>
      <c r="AQ377" s="95"/>
      <c r="AR377" s="95"/>
      <c r="AS377" s="95"/>
      <c r="AT377" s="95"/>
      <c r="AU377" s="95"/>
      <c r="AV377" s="95"/>
      <c r="AW377" s="95"/>
      <c r="AX377" s="95"/>
    </row>
    <row r="378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  <c r="AC378" s="95"/>
      <c r="AD378" s="95"/>
      <c r="AE378" s="95"/>
      <c r="AF378" s="95"/>
      <c r="AG378" s="95"/>
      <c r="AH378" s="95"/>
      <c r="AI378" s="95"/>
      <c r="AJ378" s="95"/>
      <c r="AK378" s="95"/>
      <c r="AL378" s="95"/>
      <c r="AM378" s="95"/>
      <c r="AN378" s="95"/>
      <c r="AO378" s="95"/>
      <c r="AP378" s="95"/>
      <c r="AQ378" s="95"/>
      <c r="AR378" s="95"/>
      <c r="AS378" s="95"/>
      <c r="AT378" s="95"/>
      <c r="AU378" s="95"/>
      <c r="AV378" s="95"/>
      <c r="AW378" s="95"/>
      <c r="AX378" s="95"/>
    </row>
    <row r="379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  <c r="AC379" s="95"/>
      <c r="AD379" s="95"/>
      <c r="AE379" s="95"/>
      <c r="AF379" s="95"/>
      <c r="AG379" s="95"/>
      <c r="AH379" s="95"/>
      <c r="AI379" s="95"/>
      <c r="AJ379" s="95"/>
      <c r="AK379" s="95"/>
      <c r="AL379" s="95"/>
      <c r="AM379" s="95"/>
      <c r="AN379" s="95"/>
      <c r="AO379" s="95"/>
      <c r="AP379" s="95"/>
      <c r="AQ379" s="95"/>
      <c r="AR379" s="95"/>
      <c r="AS379" s="95"/>
      <c r="AT379" s="95"/>
      <c r="AU379" s="95"/>
      <c r="AV379" s="95"/>
      <c r="AW379" s="95"/>
      <c r="AX379" s="95"/>
    </row>
    <row r="380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  <c r="AC380" s="95"/>
      <c r="AD380" s="95"/>
      <c r="AE380" s="95"/>
      <c r="AF380" s="95"/>
      <c r="AG380" s="95"/>
      <c r="AH380" s="95"/>
      <c r="AI380" s="95"/>
      <c r="AJ380" s="95"/>
      <c r="AK380" s="95"/>
      <c r="AL380" s="95"/>
      <c r="AM380" s="95"/>
      <c r="AN380" s="95"/>
      <c r="AO380" s="95"/>
      <c r="AP380" s="95"/>
      <c r="AQ380" s="95"/>
      <c r="AR380" s="95"/>
      <c r="AS380" s="95"/>
      <c r="AT380" s="95"/>
      <c r="AU380" s="95"/>
      <c r="AV380" s="95"/>
      <c r="AW380" s="95"/>
      <c r="AX380" s="95"/>
    </row>
    <row r="38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  <c r="AC381" s="95"/>
      <c r="AD381" s="95"/>
      <c r="AE381" s="95"/>
      <c r="AF381" s="95"/>
      <c r="AG381" s="95"/>
      <c r="AH381" s="95"/>
      <c r="AI381" s="95"/>
      <c r="AJ381" s="95"/>
      <c r="AK381" s="95"/>
      <c r="AL381" s="95"/>
      <c r="AM381" s="95"/>
      <c r="AN381" s="95"/>
      <c r="AO381" s="95"/>
      <c r="AP381" s="95"/>
      <c r="AQ381" s="95"/>
      <c r="AR381" s="95"/>
      <c r="AS381" s="95"/>
      <c r="AT381" s="95"/>
      <c r="AU381" s="95"/>
      <c r="AV381" s="95"/>
      <c r="AW381" s="95"/>
      <c r="AX381" s="95"/>
    </row>
    <row r="382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  <c r="AC382" s="95"/>
      <c r="AD382" s="95"/>
      <c r="AE382" s="95"/>
      <c r="AF382" s="95"/>
      <c r="AG382" s="95"/>
      <c r="AH382" s="95"/>
      <c r="AI382" s="95"/>
      <c r="AJ382" s="95"/>
      <c r="AK382" s="95"/>
      <c r="AL382" s="95"/>
      <c r="AM382" s="95"/>
      <c r="AN382" s="95"/>
      <c r="AO382" s="95"/>
      <c r="AP382" s="95"/>
      <c r="AQ382" s="95"/>
      <c r="AR382" s="95"/>
      <c r="AS382" s="95"/>
      <c r="AT382" s="95"/>
      <c r="AU382" s="95"/>
      <c r="AV382" s="95"/>
      <c r="AW382" s="95"/>
      <c r="AX382" s="95"/>
    </row>
    <row r="383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  <c r="AC383" s="95"/>
      <c r="AD383" s="95"/>
      <c r="AE383" s="95"/>
      <c r="AF383" s="95"/>
      <c r="AG383" s="95"/>
      <c r="AH383" s="95"/>
      <c r="AI383" s="95"/>
      <c r="AJ383" s="95"/>
      <c r="AK383" s="95"/>
      <c r="AL383" s="95"/>
      <c r="AM383" s="95"/>
      <c r="AN383" s="95"/>
      <c r="AO383" s="95"/>
      <c r="AP383" s="95"/>
      <c r="AQ383" s="95"/>
      <c r="AR383" s="95"/>
      <c r="AS383" s="95"/>
      <c r="AT383" s="95"/>
      <c r="AU383" s="95"/>
      <c r="AV383" s="95"/>
      <c r="AW383" s="95"/>
      <c r="AX383" s="95"/>
    </row>
    <row r="384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  <c r="AC384" s="95"/>
      <c r="AD384" s="95"/>
      <c r="AE384" s="95"/>
      <c r="AF384" s="95"/>
      <c r="AG384" s="95"/>
      <c r="AH384" s="95"/>
      <c r="AI384" s="95"/>
      <c r="AJ384" s="95"/>
      <c r="AK384" s="95"/>
      <c r="AL384" s="95"/>
      <c r="AM384" s="95"/>
      <c r="AN384" s="95"/>
      <c r="AO384" s="95"/>
      <c r="AP384" s="95"/>
      <c r="AQ384" s="95"/>
      <c r="AR384" s="95"/>
      <c r="AS384" s="95"/>
      <c r="AT384" s="95"/>
      <c r="AU384" s="95"/>
      <c r="AV384" s="95"/>
      <c r="AW384" s="95"/>
      <c r="AX384" s="95"/>
    </row>
    <row r="385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  <c r="AC385" s="95"/>
      <c r="AD385" s="95"/>
      <c r="AE385" s="95"/>
      <c r="AF385" s="95"/>
      <c r="AG385" s="95"/>
      <c r="AH385" s="95"/>
      <c r="AI385" s="95"/>
      <c r="AJ385" s="95"/>
      <c r="AK385" s="95"/>
      <c r="AL385" s="95"/>
      <c r="AM385" s="95"/>
      <c r="AN385" s="95"/>
      <c r="AO385" s="95"/>
      <c r="AP385" s="95"/>
      <c r="AQ385" s="95"/>
      <c r="AR385" s="95"/>
      <c r="AS385" s="95"/>
      <c r="AT385" s="95"/>
      <c r="AU385" s="95"/>
      <c r="AV385" s="95"/>
      <c r="AW385" s="95"/>
      <c r="AX385" s="95"/>
    </row>
    <row r="386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  <c r="AC386" s="95"/>
      <c r="AD386" s="95"/>
      <c r="AE386" s="95"/>
      <c r="AF386" s="95"/>
      <c r="AG386" s="95"/>
      <c r="AH386" s="95"/>
      <c r="AI386" s="95"/>
      <c r="AJ386" s="95"/>
      <c r="AK386" s="95"/>
      <c r="AL386" s="95"/>
      <c r="AM386" s="95"/>
      <c r="AN386" s="95"/>
      <c r="AO386" s="95"/>
      <c r="AP386" s="95"/>
      <c r="AQ386" s="95"/>
      <c r="AR386" s="95"/>
      <c r="AS386" s="95"/>
      <c r="AT386" s="95"/>
      <c r="AU386" s="95"/>
      <c r="AV386" s="95"/>
      <c r="AW386" s="95"/>
      <c r="AX386" s="95"/>
    </row>
    <row r="387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  <c r="AC387" s="95"/>
      <c r="AD387" s="95"/>
      <c r="AE387" s="95"/>
      <c r="AF387" s="95"/>
      <c r="AG387" s="95"/>
      <c r="AH387" s="95"/>
      <c r="AI387" s="95"/>
      <c r="AJ387" s="95"/>
      <c r="AK387" s="95"/>
      <c r="AL387" s="95"/>
      <c r="AM387" s="95"/>
      <c r="AN387" s="95"/>
      <c r="AO387" s="95"/>
      <c r="AP387" s="95"/>
      <c r="AQ387" s="95"/>
      <c r="AR387" s="95"/>
      <c r="AS387" s="95"/>
      <c r="AT387" s="95"/>
      <c r="AU387" s="95"/>
      <c r="AV387" s="95"/>
      <c r="AW387" s="95"/>
      <c r="AX387" s="95"/>
    </row>
    <row r="388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  <c r="AC388" s="95"/>
      <c r="AD388" s="95"/>
      <c r="AE388" s="95"/>
      <c r="AF388" s="95"/>
      <c r="AG388" s="95"/>
      <c r="AH388" s="95"/>
      <c r="AI388" s="95"/>
      <c r="AJ388" s="95"/>
      <c r="AK388" s="95"/>
      <c r="AL388" s="95"/>
      <c r="AM388" s="95"/>
      <c r="AN388" s="95"/>
      <c r="AO388" s="95"/>
      <c r="AP388" s="95"/>
      <c r="AQ388" s="95"/>
      <c r="AR388" s="95"/>
      <c r="AS388" s="95"/>
      <c r="AT388" s="95"/>
      <c r="AU388" s="95"/>
      <c r="AV388" s="95"/>
      <c r="AW388" s="95"/>
      <c r="AX388" s="95"/>
    </row>
    <row r="389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  <c r="AC389" s="95"/>
      <c r="AD389" s="95"/>
      <c r="AE389" s="95"/>
      <c r="AF389" s="95"/>
      <c r="AG389" s="95"/>
      <c r="AH389" s="95"/>
      <c r="AI389" s="95"/>
      <c r="AJ389" s="95"/>
      <c r="AK389" s="95"/>
      <c r="AL389" s="95"/>
      <c r="AM389" s="95"/>
      <c r="AN389" s="95"/>
      <c r="AO389" s="95"/>
      <c r="AP389" s="95"/>
      <c r="AQ389" s="95"/>
      <c r="AR389" s="95"/>
      <c r="AS389" s="95"/>
      <c r="AT389" s="95"/>
      <c r="AU389" s="95"/>
      <c r="AV389" s="95"/>
      <c r="AW389" s="95"/>
      <c r="AX389" s="95"/>
    </row>
    <row r="390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  <c r="AC390" s="95"/>
      <c r="AD390" s="95"/>
      <c r="AE390" s="95"/>
      <c r="AF390" s="95"/>
      <c r="AG390" s="95"/>
      <c r="AH390" s="95"/>
      <c r="AI390" s="95"/>
      <c r="AJ390" s="95"/>
      <c r="AK390" s="95"/>
      <c r="AL390" s="95"/>
      <c r="AM390" s="95"/>
      <c r="AN390" s="95"/>
      <c r="AO390" s="95"/>
      <c r="AP390" s="95"/>
      <c r="AQ390" s="95"/>
      <c r="AR390" s="95"/>
      <c r="AS390" s="95"/>
      <c r="AT390" s="95"/>
      <c r="AU390" s="95"/>
      <c r="AV390" s="95"/>
      <c r="AW390" s="95"/>
      <c r="AX390" s="95"/>
    </row>
    <row r="39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  <c r="AC391" s="95"/>
      <c r="AD391" s="95"/>
      <c r="AE391" s="95"/>
      <c r="AF391" s="95"/>
      <c r="AG391" s="95"/>
      <c r="AH391" s="95"/>
      <c r="AI391" s="95"/>
      <c r="AJ391" s="95"/>
      <c r="AK391" s="95"/>
      <c r="AL391" s="95"/>
      <c r="AM391" s="95"/>
      <c r="AN391" s="95"/>
      <c r="AO391" s="95"/>
      <c r="AP391" s="95"/>
      <c r="AQ391" s="95"/>
      <c r="AR391" s="95"/>
      <c r="AS391" s="95"/>
      <c r="AT391" s="95"/>
      <c r="AU391" s="95"/>
      <c r="AV391" s="95"/>
      <c r="AW391" s="95"/>
      <c r="AX391" s="95"/>
    </row>
    <row r="392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  <c r="AC392" s="95"/>
      <c r="AD392" s="95"/>
      <c r="AE392" s="95"/>
      <c r="AF392" s="95"/>
      <c r="AG392" s="95"/>
      <c r="AH392" s="95"/>
      <c r="AI392" s="95"/>
      <c r="AJ392" s="95"/>
      <c r="AK392" s="95"/>
      <c r="AL392" s="95"/>
      <c r="AM392" s="95"/>
      <c r="AN392" s="95"/>
      <c r="AO392" s="95"/>
      <c r="AP392" s="95"/>
      <c r="AQ392" s="95"/>
      <c r="AR392" s="95"/>
      <c r="AS392" s="95"/>
      <c r="AT392" s="95"/>
      <c r="AU392" s="95"/>
      <c r="AV392" s="95"/>
      <c r="AW392" s="95"/>
      <c r="AX392" s="95"/>
    </row>
    <row r="393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  <c r="AC393" s="95"/>
      <c r="AD393" s="95"/>
      <c r="AE393" s="95"/>
      <c r="AF393" s="95"/>
      <c r="AG393" s="95"/>
      <c r="AH393" s="95"/>
      <c r="AI393" s="95"/>
      <c r="AJ393" s="95"/>
      <c r="AK393" s="95"/>
      <c r="AL393" s="95"/>
      <c r="AM393" s="95"/>
      <c r="AN393" s="95"/>
      <c r="AO393" s="95"/>
      <c r="AP393" s="95"/>
      <c r="AQ393" s="95"/>
      <c r="AR393" s="95"/>
      <c r="AS393" s="95"/>
      <c r="AT393" s="95"/>
      <c r="AU393" s="95"/>
      <c r="AV393" s="95"/>
      <c r="AW393" s="95"/>
      <c r="AX393" s="95"/>
    </row>
    <row r="394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  <c r="AC394" s="95"/>
      <c r="AD394" s="95"/>
      <c r="AE394" s="95"/>
      <c r="AF394" s="95"/>
      <c r="AG394" s="95"/>
      <c r="AH394" s="95"/>
      <c r="AI394" s="95"/>
      <c r="AJ394" s="95"/>
      <c r="AK394" s="95"/>
      <c r="AL394" s="95"/>
      <c r="AM394" s="95"/>
      <c r="AN394" s="95"/>
      <c r="AO394" s="95"/>
      <c r="AP394" s="95"/>
      <c r="AQ394" s="95"/>
      <c r="AR394" s="95"/>
      <c r="AS394" s="95"/>
      <c r="AT394" s="95"/>
      <c r="AU394" s="95"/>
      <c r="AV394" s="95"/>
      <c r="AW394" s="95"/>
      <c r="AX394" s="95"/>
    </row>
    <row r="395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  <c r="AC395" s="95"/>
      <c r="AD395" s="95"/>
      <c r="AE395" s="95"/>
      <c r="AF395" s="95"/>
      <c r="AG395" s="95"/>
      <c r="AH395" s="95"/>
      <c r="AI395" s="95"/>
      <c r="AJ395" s="95"/>
      <c r="AK395" s="95"/>
      <c r="AL395" s="95"/>
      <c r="AM395" s="95"/>
      <c r="AN395" s="95"/>
      <c r="AO395" s="95"/>
      <c r="AP395" s="95"/>
      <c r="AQ395" s="95"/>
      <c r="AR395" s="95"/>
      <c r="AS395" s="95"/>
      <c r="AT395" s="95"/>
      <c r="AU395" s="95"/>
      <c r="AV395" s="95"/>
      <c r="AW395" s="95"/>
      <c r="AX395" s="95"/>
    </row>
    <row r="396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  <c r="AC396" s="95"/>
      <c r="AD396" s="95"/>
      <c r="AE396" s="95"/>
      <c r="AF396" s="95"/>
      <c r="AG396" s="95"/>
      <c r="AH396" s="95"/>
      <c r="AI396" s="95"/>
      <c r="AJ396" s="95"/>
      <c r="AK396" s="95"/>
      <c r="AL396" s="95"/>
      <c r="AM396" s="95"/>
      <c r="AN396" s="95"/>
      <c r="AO396" s="95"/>
      <c r="AP396" s="95"/>
      <c r="AQ396" s="95"/>
      <c r="AR396" s="95"/>
      <c r="AS396" s="95"/>
      <c r="AT396" s="95"/>
      <c r="AU396" s="95"/>
      <c r="AV396" s="95"/>
      <c r="AW396" s="95"/>
      <c r="AX396" s="95"/>
    </row>
    <row r="397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  <c r="AC397" s="95"/>
      <c r="AD397" s="95"/>
      <c r="AE397" s="95"/>
      <c r="AF397" s="95"/>
      <c r="AG397" s="95"/>
      <c r="AH397" s="95"/>
      <c r="AI397" s="95"/>
      <c r="AJ397" s="95"/>
      <c r="AK397" s="95"/>
      <c r="AL397" s="95"/>
      <c r="AM397" s="95"/>
      <c r="AN397" s="95"/>
      <c r="AO397" s="95"/>
      <c r="AP397" s="95"/>
      <c r="AQ397" s="95"/>
      <c r="AR397" s="95"/>
      <c r="AS397" s="95"/>
      <c r="AT397" s="95"/>
      <c r="AU397" s="95"/>
      <c r="AV397" s="95"/>
      <c r="AW397" s="95"/>
      <c r="AX397" s="95"/>
    </row>
    <row r="398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  <c r="AC398" s="95"/>
      <c r="AD398" s="95"/>
      <c r="AE398" s="95"/>
      <c r="AF398" s="95"/>
      <c r="AG398" s="95"/>
      <c r="AH398" s="95"/>
      <c r="AI398" s="95"/>
      <c r="AJ398" s="95"/>
      <c r="AK398" s="95"/>
      <c r="AL398" s="95"/>
      <c r="AM398" s="95"/>
      <c r="AN398" s="95"/>
      <c r="AO398" s="95"/>
      <c r="AP398" s="95"/>
      <c r="AQ398" s="95"/>
      <c r="AR398" s="95"/>
      <c r="AS398" s="95"/>
      <c r="AT398" s="95"/>
      <c r="AU398" s="95"/>
      <c r="AV398" s="95"/>
      <c r="AW398" s="95"/>
      <c r="AX398" s="95"/>
    </row>
    <row r="399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  <c r="AC399" s="95"/>
      <c r="AD399" s="95"/>
      <c r="AE399" s="95"/>
      <c r="AF399" s="95"/>
      <c r="AG399" s="95"/>
      <c r="AH399" s="95"/>
      <c r="AI399" s="95"/>
      <c r="AJ399" s="95"/>
      <c r="AK399" s="95"/>
      <c r="AL399" s="95"/>
      <c r="AM399" s="95"/>
      <c r="AN399" s="95"/>
      <c r="AO399" s="95"/>
      <c r="AP399" s="95"/>
      <c r="AQ399" s="95"/>
      <c r="AR399" s="95"/>
      <c r="AS399" s="95"/>
      <c r="AT399" s="95"/>
      <c r="AU399" s="95"/>
      <c r="AV399" s="95"/>
      <c r="AW399" s="95"/>
      <c r="AX399" s="95"/>
    </row>
    <row r="400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  <c r="AC400" s="95"/>
      <c r="AD400" s="95"/>
      <c r="AE400" s="95"/>
      <c r="AF400" s="95"/>
      <c r="AG400" s="95"/>
      <c r="AH400" s="95"/>
      <c r="AI400" s="95"/>
      <c r="AJ400" s="95"/>
      <c r="AK400" s="95"/>
      <c r="AL400" s="95"/>
      <c r="AM400" s="95"/>
      <c r="AN400" s="95"/>
      <c r="AO400" s="95"/>
      <c r="AP400" s="95"/>
      <c r="AQ400" s="95"/>
      <c r="AR400" s="95"/>
      <c r="AS400" s="95"/>
      <c r="AT400" s="95"/>
      <c r="AU400" s="95"/>
      <c r="AV400" s="95"/>
      <c r="AW400" s="95"/>
      <c r="AX400" s="95"/>
    </row>
    <row r="40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  <c r="AC401" s="95"/>
      <c r="AD401" s="95"/>
      <c r="AE401" s="95"/>
      <c r="AF401" s="95"/>
      <c r="AG401" s="95"/>
      <c r="AH401" s="95"/>
      <c r="AI401" s="95"/>
      <c r="AJ401" s="95"/>
      <c r="AK401" s="95"/>
      <c r="AL401" s="95"/>
      <c r="AM401" s="95"/>
      <c r="AN401" s="95"/>
      <c r="AO401" s="95"/>
      <c r="AP401" s="95"/>
      <c r="AQ401" s="95"/>
      <c r="AR401" s="95"/>
      <c r="AS401" s="95"/>
      <c r="AT401" s="95"/>
      <c r="AU401" s="95"/>
      <c r="AV401" s="95"/>
      <c r="AW401" s="95"/>
      <c r="AX401" s="95"/>
    </row>
    <row r="402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  <c r="AC402" s="95"/>
      <c r="AD402" s="95"/>
      <c r="AE402" s="95"/>
      <c r="AF402" s="95"/>
      <c r="AG402" s="95"/>
      <c r="AH402" s="95"/>
      <c r="AI402" s="95"/>
      <c r="AJ402" s="95"/>
      <c r="AK402" s="95"/>
      <c r="AL402" s="95"/>
      <c r="AM402" s="95"/>
      <c r="AN402" s="95"/>
      <c r="AO402" s="95"/>
      <c r="AP402" s="95"/>
      <c r="AQ402" s="95"/>
      <c r="AR402" s="95"/>
      <c r="AS402" s="95"/>
      <c r="AT402" s="95"/>
      <c r="AU402" s="95"/>
      <c r="AV402" s="95"/>
      <c r="AW402" s="95"/>
      <c r="AX402" s="95"/>
    </row>
    <row r="403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  <c r="AC403" s="95"/>
      <c r="AD403" s="95"/>
      <c r="AE403" s="95"/>
      <c r="AF403" s="95"/>
      <c r="AG403" s="95"/>
      <c r="AH403" s="95"/>
      <c r="AI403" s="95"/>
      <c r="AJ403" s="95"/>
      <c r="AK403" s="95"/>
      <c r="AL403" s="95"/>
      <c r="AM403" s="95"/>
      <c r="AN403" s="95"/>
      <c r="AO403" s="95"/>
      <c r="AP403" s="95"/>
      <c r="AQ403" s="95"/>
      <c r="AR403" s="95"/>
      <c r="AS403" s="95"/>
      <c r="AT403" s="95"/>
      <c r="AU403" s="95"/>
      <c r="AV403" s="95"/>
      <c r="AW403" s="95"/>
      <c r="AX403" s="95"/>
    </row>
    <row r="404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  <c r="AC404" s="95"/>
      <c r="AD404" s="95"/>
      <c r="AE404" s="95"/>
      <c r="AF404" s="95"/>
      <c r="AG404" s="95"/>
      <c r="AH404" s="95"/>
      <c r="AI404" s="95"/>
      <c r="AJ404" s="95"/>
      <c r="AK404" s="95"/>
      <c r="AL404" s="95"/>
      <c r="AM404" s="95"/>
      <c r="AN404" s="95"/>
      <c r="AO404" s="95"/>
      <c r="AP404" s="95"/>
      <c r="AQ404" s="95"/>
      <c r="AR404" s="95"/>
      <c r="AS404" s="95"/>
      <c r="AT404" s="95"/>
      <c r="AU404" s="95"/>
      <c r="AV404" s="95"/>
      <c r="AW404" s="95"/>
      <c r="AX404" s="95"/>
    </row>
    <row r="405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  <c r="AC405" s="95"/>
      <c r="AD405" s="95"/>
      <c r="AE405" s="95"/>
      <c r="AF405" s="95"/>
      <c r="AG405" s="95"/>
      <c r="AH405" s="95"/>
      <c r="AI405" s="95"/>
      <c r="AJ405" s="95"/>
      <c r="AK405" s="95"/>
      <c r="AL405" s="95"/>
      <c r="AM405" s="95"/>
      <c r="AN405" s="95"/>
      <c r="AO405" s="95"/>
      <c r="AP405" s="95"/>
      <c r="AQ405" s="95"/>
      <c r="AR405" s="95"/>
      <c r="AS405" s="95"/>
      <c r="AT405" s="95"/>
      <c r="AU405" s="95"/>
      <c r="AV405" s="95"/>
      <c r="AW405" s="95"/>
      <c r="AX405" s="95"/>
    </row>
    <row r="406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  <c r="AC406" s="95"/>
      <c r="AD406" s="95"/>
      <c r="AE406" s="95"/>
      <c r="AF406" s="95"/>
      <c r="AG406" s="95"/>
      <c r="AH406" s="95"/>
      <c r="AI406" s="95"/>
      <c r="AJ406" s="95"/>
      <c r="AK406" s="95"/>
      <c r="AL406" s="95"/>
      <c r="AM406" s="95"/>
      <c r="AN406" s="95"/>
      <c r="AO406" s="95"/>
      <c r="AP406" s="95"/>
      <c r="AQ406" s="95"/>
      <c r="AR406" s="95"/>
      <c r="AS406" s="95"/>
      <c r="AT406" s="95"/>
      <c r="AU406" s="95"/>
      <c r="AV406" s="95"/>
      <c r="AW406" s="95"/>
      <c r="AX406" s="95"/>
    </row>
    <row r="407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  <c r="AC407" s="95"/>
      <c r="AD407" s="95"/>
      <c r="AE407" s="95"/>
      <c r="AF407" s="95"/>
      <c r="AG407" s="95"/>
      <c r="AH407" s="95"/>
      <c r="AI407" s="95"/>
      <c r="AJ407" s="95"/>
      <c r="AK407" s="95"/>
      <c r="AL407" s="95"/>
      <c r="AM407" s="95"/>
      <c r="AN407" s="95"/>
      <c r="AO407" s="95"/>
      <c r="AP407" s="95"/>
      <c r="AQ407" s="95"/>
      <c r="AR407" s="95"/>
      <c r="AS407" s="95"/>
      <c r="AT407" s="95"/>
      <c r="AU407" s="95"/>
      <c r="AV407" s="95"/>
      <c r="AW407" s="95"/>
      <c r="AX407" s="95"/>
    </row>
    <row r="408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  <c r="AC408" s="95"/>
      <c r="AD408" s="95"/>
      <c r="AE408" s="95"/>
      <c r="AF408" s="95"/>
      <c r="AG408" s="95"/>
      <c r="AH408" s="95"/>
      <c r="AI408" s="95"/>
      <c r="AJ408" s="95"/>
      <c r="AK408" s="95"/>
      <c r="AL408" s="95"/>
      <c r="AM408" s="95"/>
      <c r="AN408" s="95"/>
      <c r="AO408" s="95"/>
      <c r="AP408" s="95"/>
      <c r="AQ408" s="95"/>
      <c r="AR408" s="95"/>
      <c r="AS408" s="95"/>
      <c r="AT408" s="95"/>
      <c r="AU408" s="95"/>
      <c r="AV408" s="95"/>
      <c r="AW408" s="95"/>
      <c r="AX408" s="95"/>
    </row>
    <row r="409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  <c r="AC409" s="95"/>
      <c r="AD409" s="95"/>
      <c r="AE409" s="95"/>
      <c r="AF409" s="95"/>
      <c r="AG409" s="95"/>
      <c r="AH409" s="95"/>
      <c r="AI409" s="95"/>
      <c r="AJ409" s="95"/>
      <c r="AK409" s="95"/>
      <c r="AL409" s="95"/>
      <c r="AM409" s="95"/>
      <c r="AN409" s="95"/>
      <c r="AO409" s="95"/>
      <c r="AP409" s="95"/>
      <c r="AQ409" s="95"/>
      <c r="AR409" s="95"/>
      <c r="AS409" s="95"/>
      <c r="AT409" s="95"/>
      <c r="AU409" s="95"/>
      <c r="AV409" s="95"/>
      <c r="AW409" s="95"/>
      <c r="AX409" s="95"/>
    </row>
    <row r="410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  <c r="AC410" s="95"/>
      <c r="AD410" s="95"/>
      <c r="AE410" s="95"/>
      <c r="AF410" s="95"/>
      <c r="AG410" s="95"/>
      <c r="AH410" s="95"/>
      <c r="AI410" s="95"/>
      <c r="AJ410" s="95"/>
      <c r="AK410" s="95"/>
      <c r="AL410" s="95"/>
      <c r="AM410" s="95"/>
      <c r="AN410" s="95"/>
      <c r="AO410" s="95"/>
      <c r="AP410" s="95"/>
      <c r="AQ410" s="95"/>
      <c r="AR410" s="95"/>
      <c r="AS410" s="95"/>
      <c r="AT410" s="95"/>
      <c r="AU410" s="95"/>
      <c r="AV410" s="95"/>
      <c r="AW410" s="95"/>
      <c r="AX410" s="95"/>
    </row>
    <row r="41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  <c r="AC411" s="95"/>
      <c r="AD411" s="95"/>
      <c r="AE411" s="95"/>
      <c r="AF411" s="95"/>
      <c r="AG411" s="95"/>
      <c r="AH411" s="95"/>
      <c r="AI411" s="95"/>
      <c r="AJ411" s="95"/>
      <c r="AK411" s="95"/>
      <c r="AL411" s="95"/>
      <c r="AM411" s="95"/>
      <c r="AN411" s="95"/>
      <c r="AO411" s="95"/>
      <c r="AP411" s="95"/>
      <c r="AQ411" s="95"/>
      <c r="AR411" s="95"/>
      <c r="AS411" s="95"/>
      <c r="AT411" s="95"/>
      <c r="AU411" s="95"/>
      <c r="AV411" s="95"/>
      <c r="AW411" s="95"/>
      <c r="AX411" s="95"/>
    </row>
    <row r="412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  <c r="AC412" s="95"/>
      <c r="AD412" s="95"/>
      <c r="AE412" s="95"/>
      <c r="AF412" s="95"/>
      <c r="AG412" s="95"/>
      <c r="AH412" s="95"/>
      <c r="AI412" s="95"/>
      <c r="AJ412" s="95"/>
      <c r="AK412" s="95"/>
      <c r="AL412" s="95"/>
      <c r="AM412" s="95"/>
      <c r="AN412" s="95"/>
      <c r="AO412" s="95"/>
      <c r="AP412" s="95"/>
      <c r="AQ412" s="95"/>
      <c r="AR412" s="95"/>
      <c r="AS412" s="95"/>
      <c r="AT412" s="95"/>
      <c r="AU412" s="95"/>
      <c r="AV412" s="95"/>
      <c r="AW412" s="95"/>
      <c r="AX412" s="95"/>
    </row>
    <row r="413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  <c r="AC413" s="95"/>
      <c r="AD413" s="95"/>
      <c r="AE413" s="95"/>
      <c r="AF413" s="95"/>
      <c r="AG413" s="95"/>
      <c r="AH413" s="95"/>
      <c r="AI413" s="95"/>
      <c r="AJ413" s="95"/>
      <c r="AK413" s="95"/>
      <c r="AL413" s="95"/>
      <c r="AM413" s="95"/>
      <c r="AN413" s="95"/>
      <c r="AO413" s="95"/>
      <c r="AP413" s="95"/>
      <c r="AQ413" s="95"/>
      <c r="AR413" s="95"/>
      <c r="AS413" s="95"/>
      <c r="AT413" s="95"/>
      <c r="AU413" s="95"/>
      <c r="AV413" s="95"/>
      <c r="AW413" s="95"/>
      <c r="AX413" s="95"/>
    </row>
    <row r="414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  <c r="AC414" s="95"/>
      <c r="AD414" s="95"/>
      <c r="AE414" s="95"/>
      <c r="AF414" s="95"/>
      <c r="AG414" s="95"/>
      <c r="AH414" s="95"/>
      <c r="AI414" s="95"/>
      <c r="AJ414" s="95"/>
      <c r="AK414" s="95"/>
      <c r="AL414" s="95"/>
      <c r="AM414" s="95"/>
      <c r="AN414" s="95"/>
      <c r="AO414" s="95"/>
      <c r="AP414" s="95"/>
      <c r="AQ414" s="95"/>
      <c r="AR414" s="95"/>
      <c r="AS414" s="95"/>
      <c r="AT414" s="95"/>
      <c r="AU414" s="95"/>
      <c r="AV414" s="95"/>
      <c r="AW414" s="95"/>
      <c r="AX414" s="95"/>
    </row>
    <row r="415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  <c r="AC415" s="95"/>
      <c r="AD415" s="95"/>
      <c r="AE415" s="95"/>
      <c r="AF415" s="95"/>
      <c r="AG415" s="95"/>
      <c r="AH415" s="95"/>
      <c r="AI415" s="95"/>
      <c r="AJ415" s="95"/>
      <c r="AK415" s="95"/>
      <c r="AL415" s="95"/>
      <c r="AM415" s="95"/>
      <c r="AN415" s="95"/>
      <c r="AO415" s="95"/>
      <c r="AP415" s="95"/>
      <c r="AQ415" s="95"/>
      <c r="AR415" s="95"/>
      <c r="AS415" s="95"/>
      <c r="AT415" s="95"/>
      <c r="AU415" s="95"/>
      <c r="AV415" s="95"/>
      <c r="AW415" s="95"/>
      <c r="AX415" s="95"/>
    </row>
    <row r="416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  <c r="AC416" s="95"/>
      <c r="AD416" s="95"/>
      <c r="AE416" s="95"/>
      <c r="AF416" s="95"/>
      <c r="AG416" s="95"/>
      <c r="AH416" s="95"/>
      <c r="AI416" s="95"/>
      <c r="AJ416" s="95"/>
      <c r="AK416" s="95"/>
      <c r="AL416" s="95"/>
      <c r="AM416" s="95"/>
      <c r="AN416" s="95"/>
      <c r="AO416" s="95"/>
      <c r="AP416" s="95"/>
      <c r="AQ416" s="95"/>
      <c r="AR416" s="95"/>
      <c r="AS416" s="95"/>
      <c r="AT416" s="95"/>
      <c r="AU416" s="95"/>
      <c r="AV416" s="95"/>
      <c r="AW416" s="95"/>
      <c r="AX416" s="95"/>
    </row>
    <row r="417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  <c r="AC417" s="95"/>
      <c r="AD417" s="95"/>
      <c r="AE417" s="95"/>
      <c r="AF417" s="95"/>
      <c r="AG417" s="95"/>
      <c r="AH417" s="95"/>
      <c r="AI417" s="95"/>
      <c r="AJ417" s="95"/>
      <c r="AK417" s="95"/>
      <c r="AL417" s="95"/>
      <c r="AM417" s="95"/>
      <c r="AN417" s="95"/>
      <c r="AO417" s="95"/>
      <c r="AP417" s="95"/>
      <c r="AQ417" s="95"/>
      <c r="AR417" s="95"/>
      <c r="AS417" s="95"/>
      <c r="AT417" s="95"/>
      <c r="AU417" s="95"/>
      <c r="AV417" s="95"/>
      <c r="AW417" s="95"/>
      <c r="AX417" s="95"/>
    </row>
    <row r="418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  <c r="AC418" s="95"/>
      <c r="AD418" s="95"/>
      <c r="AE418" s="95"/>
      <c r="AF418" s="95"/>
      <c r="AG418" s="95"/>
      <c r="AH418" s="95"/>
      <c r="AI418" s="95"/>
      <c r="AJ418" s="95"/>
      <c r="AK418" s="95"/>
      <c r="AL418" s="95"/>
      <c r="AM418" s="95"/>
      <c r="AN418" s="95"/>
      <c r="AO418" s="95"/>
      <c r="AP418" s="95"/>
      <c r="AQ418" s="95"/>
      <c r="AR418" s="95"/>
      <c r="AS418" s="95"/>
      <c r="AT418" s="95"/>
      <c r="AU418" s="95"/>
      <c r="AV418" s="95"/>
      <c r="AW418" s="95"/>
      <c r="AX418" s="95"/>
    </row>
    <row r="419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  <c r="AC419" s="95"/>
      <c r="AD419" s="95"/>
      <c r="AE419" s="95"/>
      <c r="AF419" s="95"/>
      <c r="AG419" s="95"/>
      <c r="AH419" s="95"/>
      <c r="AI419" s="95"/>
      <c r="AJ419" s="95"/>
      <c r="AK419" s="95"/>
      <c r="AL419" s="95"/>
      <c r="AM419" s="95"/>
      <c r="AN419" s="95"/>
      <c r="AO419" s="95"/>
      <c r="AP419" s="95"/>
      <c r="AQ419" s="95"/>
      <c r="AR419" s="95"/>
      <c r="AS419" s="95"/>
      <c r="AT419" s="95"/>
      <c r="AU419" s="95"/>
      <c r="AV419" s="95"/>
      <c r="AW419" s="95"/>
      <c r="AX419" s="95"/>
    </row>
    <row r="420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  <c r="AC420" s="95"/>
      <c r="AD420" s="95"/>
      <c r="AE420" s="95"/>
      <c r="AF420" s="95"/>
      <c r="AG420" s="95"/>
      <c r="AH420" s="95"/>
      <c r="AI420" s="95"/>
      <c r="AJ420" s="95"/>
      <c r="AK420" s="95"/>
      <c r="AL420" s="95"/>
      <c r="AM420" s="95"/>
      <c r="AN420" s="95"/>
      <c r="AO420" s="95"/>
      <c r="AP420" s="95"/>
      <c r="AQ420" s="95"/>
      <c r="AR420" s="95"/>
      <c r="AS420" s="95"/>
      <c r="AT420" s="95"/>
      <c r="AU420" s="95"/>
      <c r="AV420" s="95"/>
      <c r="AW420" s="95"/>
      <c r="AX420" s="95"/>
    </row>
    <row r="42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  <c r="AC421" s="95"/>
      <c r="AD421" s="95"/>
      <c r="AE421" s="95"/>
      <c r="AF421" s="95"/>
      <c r="AG421" s="95"/>
      <c r="AH421" s="95"/>
      <c r="AI421" s="95"/>
      <c r="AJ421" s="95"/>
      <c r="AK421" s="95"/>
      <c r="AL421" s="95"/>
      <c r="AM421" s="95"/>
      <c r="AN421" s="95"/>
      <c r="AO421" s="95"/>
      <c r="AP421" s="95"/>
      <c r="AQ421" s="95"/>
      <c r="AR421" s="95"/>
      <c r="AS421" s="95"/>
      <c r="AT421" s="95"/>
      <c r="AU421" s="95"/>
      <c r="AV421" s="95"/>
      <c r="AW421" s="95"/>
      <c r="AX421" s="95"/>
    </row>
    <row r="422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  <c r="AC422" s="95"/>
      <c r="AD422" s="95"/>
      <c r="AE422" s="95"/>
      <c r="AF422" s="95"/>
      <c r="AG422" s="95"/>
      <c r="AH422" s="95"/>
      <c r="AI422" s="95"/>
      <c r="AJ422" s="95"/>
      <c r="AK422" s="95"/>
      <c r="AL422" s="95"/>
      <c r="AM422" s="95"/>
      <c r="AN422" s="95"/>
      <c r="AO422" s="95"/>
      <c r="AP422" s="95"/>
      <c r="AQ422" s="95"/>
      <c r="AR422" s="95"/>
      <c r="AS422" s="95"/>
      <c r="AT422" s="95"/>
      <c r="AU422" s="95"/>
      <c r="AV422" s="95"/>
      <c r="AW422" s="95"/>
      <c r="AX422" s="95"/>
    </row>
    <row r="423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  <c r="AC423" s="95"/>
      <c r="AD423" s="95"/>
      <c r="AE423" s="95"/>
      <c r="AF423" s="95"/>
      <c r="AG423" s="95"/>
      <c r="AH423" s="95"/>
      <c r="AI423" s="95"/>
      <c r="AJ423" s="95"/>
      <c r="AK423" s="95"/>
      <c r="AL423" s="95"/>
      <c r="AM423" s="95"/>
      <c r="AN423" s="95"/>
      <c r="AO423" s="95"/>
      <c r="AP423" s="95"/>
      <c r="AQ423" s="95"/>
      <c r="AR423" s="95"/>
      <c r="AS423" s="95"/>
      <c r="AT423" s="95"/>
      <c r="AU423" s="95"/>
      <c r="AV423" s="95"/>
      <c r="AW423" s="95"/>
      <c r="AX423" s="95"/>
    </row>
    <row r="424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  <c r="AC424" s="95"/>
      <c r="AD424" s="95"/>
      <c r="AE424" s="95"/>
      <c r="AF424" s="95"/>
      <c r="AG424" s="95"/>
      <c r="AH424" s="95"/>
      <c r="AI424" s="95"/>
      <c r="AJ424" s="95"/>
      <c r="AK424" s="95"/>
      <c r="AL424" s="95"/>
      <c r="AM424" s="95"/>
      <c r="AN424" s="95"/>
      <c r="AO424" s="95"/>
      <c r="AP424" s="95"/>
      <c r="AQ424" s="95"/>
      <c r="AR424" s="95"/>
      <c r="AS424" s="95"/>
      <c r="AT424" s="95"/>
      <c r="AU424" s="95"/>
      <c r="AV424" s="95"/>
      <c r="AW424" s="95"/>
      <c r="AX424" s="95"/>
    </row>
    <row r="425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  <c r="AC425" s="95"/>
      <c r="AD425" s="95"/>
      <c r="AE425" s="95"/>
      <c r="AF425" s="95"/>
      <c r="AG425" s="95"/>
      <c r="AH425" s="95"/>
      <c r="AI425" s="95"/>
      <c r="AJ425" s="95"/>
      <c r="AK425" s="95"/>
      <c r="AL425" s="95"/>
      <c r="AM425" s="95"/>
      <c r="AN425" s="95"/>
      <c r="AO425" s="95"/>
      <c r="AP425" s="95"/>
      <c r="AQ425" s="95"/>
      <c r="AR425" s="95"/>
      <c r="AS425" s="95"/>
      <c r="AT425" s="95"/>
      <c r="AU425" s="95"/>
      <c r="AV425" s="95"/>
      <c r="AW425" s="95"/>
      <c r="AX425" s="95"/>
    </row>
    <row r="426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  <c r="AC426" s="95"/>
      <c r="AD426" s="95"/>
      <c r="AE426" s="95"/>
      <c r="AF426" s="95"/>
      <c r="AG426" s="95"/>
      <c r="AH426" s="95"/>
      <c r="AI426" s="95"/>
      <c r="AJ426" s="95"/>
      <c r="AK426" s="95"/>
      <c r="AL426" s="95"/>
      <c r="AM426" s="95"/>
      <c r="AN426" s="95"/>
      <c r="AO426" s="95"/>
      <c r="AP426" s="95"/>
      <c r="AQ426" s="95"/>
      <c r="AR426" s="95"/>
      <c r="AS426" s="95"/>
      <c r="AT426" s="95"/>
      <c r="AU426" s="95"/>
      <c r="AV426" s="95"/>
      <c r="AW426" s="95"/>
      <c r="AX426" s="95"/>
    </row>
    <row r="427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  <c r="AC427" s="95"/>
      <c r="AD427" s="95"/>
      <c r="AE427" s="95"/>
      <c r="AF427" s="95"/>
      <c r="AG427" s="95"/>
      <c r="AH427" s="95"/>
      <c r="AI427" s="95"/>
      <c r="AJ427" s="95"/>
      <c r="AK427" s="95"/>
      <c r="AL427" s="95"/>
      <c r="AM427" s="95"/>
      <c r="AN427" s="95"/>
      <c r="AO427" s="95"/>
      <c r="AP427" s="95"/>
      <c r="AQ427" s="95"/>
      <c r="AR427" s="95"/>
      <c r="AS427" s="95"/>
      <c r="AT427" s="95"/>
      <c r="AU427" s="95"/>
      <c r="AV427" s="95"/>
      <c r="AW427" s="95"/>
      <c r="AX427" s="95"/>
    </row>
    <row r="428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  <c r="AC428" s="95"/>
      <c r="AD428" s="95"/>
      <c r="AE428" s="95"/>
      <c r="AF428" s="95"/>
      <c r="AG428" s="95"/>
      <c r="AH428" s="95"/>
      <c r="AI428" s="95"/>
      <c r="AJ428" s="95"/>
      <c r="AK428" s="95"/>
      <c r="AL428" s="95"/>
      <c r="AM428" s="95"/>
      <c r="AN428" s="95"/>
      <c r="AO428" s="95"/>
      <c r="AP428" s="95"/>
      <c r="AQ428" s="95"/>
      <c r="AR428" s="95"/>
      <c r="AS428" s="95"/>
      <c r="AT428" s="95"/>
      <c r="AU428" s="95"/>
      <c r="AV428" s="95"/>
      <c r="AW428" s="95"/>
      <c r="AX428" s="95"/>
    </row>
    <row r="429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  <c r="AC429" s="95"/>
      <c r="AD429" s="95"/>
      <c r="AE429" s="95"/>
      <c r="AF429" s="95"/>
      <c r="AG429" s="95"/>
      <c r="AH429" s="95"/>
      <c r="AI429" s="95"/>
      <c r="AJ429" s="95"/>
      <c r="AK429" s="95"/>
      <c r="AL429" s="95"/>
      <c r="AM429" s="95"/>
      <c r="AN429" s="95"/>
      <c r="AO429" s="95"/>
      <c r="AP429" s="95"/>
      <c r="AQ429" s="95"/>
      <c r="AR429" s="95"/>
      <c r="AS429" s="95"/>
      <c r="AT429" s="95"/>
      <c r="AU429" s="95"/>
      <c r="AV429" s="95"/>
      <c r="AW429" s="95"/>
      <c r="AX429" s="95"/>
    </row>
    <row r="430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  <c r="AC430" s="95"/>
      <c r="AD430" s="95"/>
      <c r="AE430" s="95"/>
      <c r="AF430" s="95"/>
      <c r="AG430" s="95"/>
      <c r="AH430" s="95"/>
      <c r="AI430" s="95"/>
      <c r="AJ430" s="95"/>
      <c r="AK430" s="95"/>
      <c r="AL430" s="95"/>
      <c r="AM430" s="95"/>
      <c r="AN430" s="95"/>
      <c r="AO430" s="95"/>
      <c r="AP430" s="95"/>
      <c r="AQ430" s="95"/>
      <c r="AR430" s="95"/>
      <c r="AS430" s="95"/>
      <c r="AT430" s="95"/>
      <c r="AU430" s="95"/>
      <c r="AV430" s="95"/>
      <c r="AW430" s="95"/>
      <c r="AX430" s="95"/>
    </row>
    <row r="43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  <c r="AC431" s="95"/>
      <c r="AD431" s="95"/>
      <c r="AE431" s="95"/>
      <c r="AF431" s="95"/>
      <c r="AG431" s="95"/>
      <c r="AH431" s="95"/>
      <c r="AI431" s="95"/>
      <c r="AJ431" s="95"/>
      <c r="AK431" s="95"/>
      <c r="AL431" s="95"/>
      <c r="AM431" s="95"/>
      <c r="AN431" s="95"/>
      <c r="AO431" s="95"/>
      <c r="AP431" s="95"/>
      <c r="AQ431" s="95"/>
      <c r="AR431" s="95"/>
      <c r="AS431" s="95"/>
      <c r="AT431" s="95"/>
      <c r="AU431" s="95"/>
      <c r="AV431" s="95"/>
      <c r="AW431" s="95"/>
      <c r="AX431" s="95"/>
    </row>
    <row r="432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  <c r="AC432" s="95"/>
      <c r="AD432" s="95"/>
      <c r="AE432" s="95"/>
      <c r="AF432" s="95"/>
      <c r="AG432" s="95"/>
      <c r="AH432" s="95"/>
      <c r="AI432" s="95"/>
      <c r="AJ432" s="95"/>
      <c r="AK432" s="95"/>
      <c r="AL432" s="95"/>
      <c r="AM432" s="95"/>
      <c r="AN432" s="95"/>
      <c r="AO432" s="95"/>
      <c r="AP432" s="95"/>
      <c r="AQ432" s="95"/>
      <c r="AR432" s="95"/>
      <c r="AS432" s="95"/>
      <c r="AT432" s="95"/>
      <c r="AU432" s="95"/>
      <c r="AV432" s="95"/>
      <c r="AW432" s="95"/>
      <c r="AX432" s="95"/>
    </row>
    <row r="433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  <c r="AC433" s="95"/>
      <c r="AD433" s="95"/>
      <c r="AE433" s="95"/>
      <c r="AF433" s="95"/>
      <c r="AG433" s="95"/>
      <c r="AH433" s="95"/>
      <c r="AI433" s="95"/>
      <c r="AJ433" s="95"/>
      <c r="AK433" s="95"/>
      <c r="AL433" s="95"/>
      <c r="AM433" s="95"/>
      <c r="AN433" s="95"/>
      <c r="AO433" s="95"/>
      <c r="AP433" s="95"/>
      <c r="AQ433" s="95"/>
      <c r="AR433" s="95"/>
      <c r="AS433" s="95"/>
      <c r="AT433" s="95"/>
      <c r="AU433" s="95"/>
      <c r="AV433" s="95"/>
      <c r="AW433" s="95"/>
      <c r="AX433" s="95"/>
    </row>
    <row r="434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  <c r="AC434" s="95"/>
      <c r="AD434" s="95"/>
      <c r="AE434" s="95"/>
      <c r="AF434" s="95"/>
      <c r="AG434" s="95"/>
      <c r="AH434" s="95"/>
      <c r="AI434" s="95"/>
      <c r="AJ434" s="95"/>
      <c r="AK434" s="95"/>
      <c r="AL434" s="95"/>
      <c r="AM434" s="95"/>
      <c r="AN434" s="95"/>
      <c r="AO434" s="95"/>
      <c r="AP434" s="95"/>
      <c r="AQ434" s="95"/>
      <c r="AR434" s="95"/>
      <c r="AS434" s="95"/>
      <c r="AT434" s="95"/>
      <c r="AU434" s="95"/>
      <c r="AV434" s="95"/>
      <c r="AW434" s="95"/>
      <c r="AX434" s="95"/>
    </row>
    <row r="435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  <c r="AC435" s="95"/>
      <c r="AD435" s="95"/>
      <c r="AE435" s="95"/>
      <c r="AF435" s="95"/>
      <c r="AG435" s="95"/>
      <c r="AH435" s="95"/>
      <c r="AI435" s="95"/>
      <c r="AJ435" s="95"/>
      <c r="AK435" s="95"/>
      <c r="AL435" s="95"/>
      <c r="AM435" s="95"/>
      <c r="AN435" s="95"/>
      <c r="AO435" s="95"/>
      <c r="AP435" s="95"/>
      <c r="AQ435" s="95"/>
      <c r="AR435" s="95"/>
      <c r="AS435" s="95"/>
      <c r="AT435" s="95"/>
      <c r="AU435" s="95"/>
      <c r="AV435" s="95"/>
      <c r="AW435" s="95"/>
      <c r="AX435" s="95"/>
    </row>
    <row r="436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  <c r="AC436" s="95"/>
      <c r="AD436" s="95"/>
      <c r="AE436" s="95"/>
      <c r="AF436" s="95"/>
      <c r="AG436" s="95"/>
      <c r="AH436" s="95"/>
      <c r="AI436" s="95"/>
      <c r="AJ436" s="95"/>
      <c r="AK436" s="95"/>
      <c r="AL436" s="95"/>
      <c r="AM436" s="95"/>
      <c r="AN436" s="95"/>
      <c r="AO436" s="95"/>
      <c r="AP436" s="95"/>
      <c r="AQ436" s="95"/>
      <c r="AR436" s="95"/>
      <c r="AS436" s="95"/>
      <c r="AT436" s="95"/>
      <c r="AU436" s="95"/>
      <c r="AV436" s="95"/>
      <c r="AW436" s="95"/>
      <c r="AX436" s="95"/>
    </row>
    <row r="437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  <c r="AC437" s="95"/>
      <c r="AD437" s="95"/>
      <c r="AE437" s="95"/>
      <c r="AF437" s="95"/>
      <c r="AG437" s="95"/>
      <c r="AH437" s="95"/>
      <c r="AI437" s="95"/>
      <c r="AJ437" s="95"/>
      <c r="AK437" s="95"/>
      <c r="AL437" s="95"/>
      <c r="AM437" s="95"/>
      <c r="AN437" s="95"/>
      <c r="AO437" s="95"/>
      <c r="AP437" s="95"/>
      <c r="AQ437" s="95"/>
      <c r="AR437" s="95"/>
      <c r="AS437" s="95"/>
      <c r="AT437" s="95"/>
      <c r="AU437" s="95"/>
      <c r="AV437" s="95"/>
      <c r="AW437" s="95"/>
      <c r="AX437" s="95"/>
    </row>
    <row r="438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  <c r="AC438" s="95"/>
      <c r="AD438" s="95"/>
      <c r="AE438" s="95"/>
      <c r="AF438" s="95"/>
      <c r="AG438" s="95"/>
      <c r="AH438" s="95"/>
      <c r="AI438" s="95"/>
      <c r="AJ438" s="95"/>
      <c r="AK438" s="95"/>
      <c r="AL438" s="95"/>
      <c r="AM438" s="95"/>
      <c r="AN438" s="95"/>
      <c r="AO438" s="95"/>
      <c r="AP438" s="95"/>
      <c r="AQ438" s="95"/>
      <c r="AR438" s="95"/>
      <c r="AS438" s="95"/>
      <c r="AT438" s="95"/>
      <c r="AU438" s="95"/>
      <c r="AV438" s="95"/>
      <c r="AW438" s="95"/>
      <c r="AX438" s="95"/>
    </row>
    <row r="439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  <c r="AC439" s="95"/>
      <c r="AD439" s="95"/>
      <c r="AE439" s="95"/>
      <c r="AF439" s="95"/>
      <c r="AG439" s="95"/>
      <c r="AH439" s="95"/>
      <c r="AI439" s="95"/>
      <c r="AJ439" s="95"/>
      <c r="AK439" s="95"/>
      <c r="AL439" s="95"/>
      <c r="AM439" s="95"/>
      <c r="AN439" s="95"/>
      <c r="AO439" s="95"/>
      <c r="AP439" s="95"/>
      <c r="AQ439" s="95"/>
      <c r="AR439" s="95"/>
      <c r="AS439" s="95"/>
      <c r="AT439" s="95"/>
      <c r="AU439" s="95"/>
      <c r="AV439" s="95"/>
      <c r="AW439" s="95"/>
      <c r="AX439" s="95"/>
    </row>
    <row r="440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  <c r="AC440" s="95"/>
      <c r="AD440" s="95"/>
      <c r="AE440" s="95"/>
      <c r="AF440" s="95"/>
      <c r="AG440" s="95"/>
      <c r="AH440" s="95"/>
      <c r="AI440" s="95"/>
      <c r="AJ440" s="95"/>
      <c r="AK440" s="95"/>
      <c r="AL440" s="95"/>
      <c r="AM440" s="95"/>
      <c r="AN440" s="95"/>
      <c r="AO440" s="95"/>
      <c r="AP440" s="95"/>
      <c r="AQ440" s="95"/>
      <c r="AR440" s="95"/>
      <c r="AS440" s="95"/>
      <c r="AT440" s="95"/>
      <c r="AU440" s="95"/>
      <c r="AV440" s="95"/>
      <c r="AW440" s="95"/>
      <c r="AX440" s="95"/>
    </row>
    <row r="44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  <c r="AC441" s="95"/>
      <c r="AD441" s="95"/>
      <c r="AE441" s="95"/>
      <c r="AF441" s="95"/>
      <c r="AG441" s="95"/>
      <c r="AH441" s="95"/>
      <c r="AI441" s="95"/>
      <c r="AJ441" s="95"/>
      <c r="AK441" s="95"/>
      <c r="AL441" s="95"/>
      <c r="AM441" s="95"/>
      <c r="AN441" s="95"/>
      <c r="AO441" s="95"/>
      <c r="AP441" s="95"/>
      <c r="AQ441" s="95"/>
      <c r="AR441" s="95"/>
      <c r="AS441" s="95"/>
      <c r="AT441" s="95"/>
      <c r="AU441" s="95"/>
      <c r="AV441" s="95"/>
      <c r="AW441" s="95"/>
      <c r="AX441" s="95"/>
    </row>
    <row r="442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  <c r="AC442" s="95"/>
      <c r="AD442" s="95"/>
      <c r="AE442" s="95"/>
      <c r="AF442" s="95"/>
      <c r="AG442" s="95"/>
      <c r="AH442" s="95"/>
      <c r="AI442" s="95"/>
      <c r="AJ442" s="95"/>
      <c r="AK442" s="95"/>
      <c r="AL442" s="95"/>
      <c r="AM442" s="95"/>
      <c r="AN442" s="95"/>
      <c r="AO442" s="95"/>
      <c r="AP442" s="95"/>
      <c r="AQ442" s="95"/>
      <c r="AR442" s="95"/>
      <c r="AS442" s="95"/>
      <c r="AT442" s="95"/>
      <c r="AU442" s="95"/>
      <c r="AV442" s="95"/>
      <c r="AW442" s="95"/>
      <c r="AX442" s="95"/>
    </row>
    <row r="443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  <c r="AC443" s="95"/>
      <c r="AD443" s="95"/>
      <c r="AE443" s="95"/>
      <c r="AF443" s="95"/>
      <c r="AG443" s="95"/>
      <c r="AH443" s="95"/>
      <c r="AI443" s="95"/>
      <c r="AJ443" s="95"/>
      <c r="AK443" s="95"/>
      <c r="AL443" s="95"/>
      <c r="AM443" s="95"/>
      <c r="AN443" s="95"/>
      <c r="AO443" s="95"/>
      <c r="AP443" s="95"/>
      <c r="AQ443" s="95"/>
      <c r="AR443" s="95"/>
      <c r="AS443" s="95"/>
      <c r="AT443" s="95"/>
      <c r="AU443" s="95"/>
      <c r="AV443" s="95"/>
      <c r="AW443" s="95"/>
      <c r="AX443" s="95"/>
    </row>
    <row r="444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  <c r="AC444" s="95"/>
      <c r="AD444" s="95"/>
      <c r="AE444" s="95"/>
      <c r="AF444" s="95"/>
      <c r="AG444" s="95"/>
      <c r="AH444" s="95"/>
      <c r="AI444" s="95"/>
      <c r="AJ444" s="95"/>
      <c r="AK444" s="95"/>
      <c r="AL444" s="95"/>
      <c r="AM444" s="95"/>
      <c r="AN444" s="95"/>
      <c r="AO444" s="95"/>
      <c r="AP444" s="95"/>
      <c r="AQ444" s="95"/>
      <c r="AR444" s="95"/>
      <c r="AS444" s="95"/>
      <c r="AT444" s="95"/>
      <c r="AU444" s="95"/>
      <c r="AV444" s="95"/>
      <c r="AW444" s="95"/>
      <c r="AX444" s="95"/>
    </row>
    <row r="445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  <c r="AC445" s="95"/>
      <c r="AD445" s="95"/>
      <c r="AE445" s="95"/>
      <c r="AF445" s="95"/>
      <c r="AG445" s="95"/>
      <c r="AH445" s="95"/>
      <c r="AI445" s="95"/>
      <c r="AJ445" s="95"/>
      <c r="AK445" s="95"/>
      <c r="AL445" s="95"/>
      <c r="AM445" s="95"/>
      <c r="AN445" s="95"/>
      <c r="AO445" s="95"/>
      <c r="AP445" s="95"/>
      <c r="AQ445" s="95"/>
      <c r="AR445" s="95"/>
      <c r="AS445" s="95"/>
      <c r="AT445" s="95"/>
      <c r="AU445" s="95"/>
      <c r="AV445" s="95"/>
      <c r="AW445" s="95"/>
      <c r="AX445" s="95"/>
    </row>
    <row r="446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  <c r="AC446" s="95"/>
      <c r="AD446" s="95"/>
      <c r="AE446" s="95"/>
      <c r="AF446" s="95"/>
      <c r="AG446" s="95"/>
      <c r="AH446" s="95"/>
      <c r="AI446" s="95"/>
      <c r="AJ446" s="95"/>
      <c r="AK446" s="95"/>
      <c r="AL446" s="95"/>
      <c r="AM446" s="95"/>
      <c r="AN446" s="95"/>
      <c r="AO446" s="95"/>
      <c r="AP446" s="95"/>
      <c r="AQ446" s="95"/>
      <c r="AR446" s="95"/>
      <c r="AS446" s="95"/>
      <c r="AT446" s="95"/>
      <c r="AU446" s="95"/>
      <c r="AV446" s="95"/>
      <c r="AW446" s="95"/>
      <c r="AX446" s="95"/>
    </row>
    <row r="447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  <c r="AC447" s="95"/>
      <c r="AD447" s="95"/>
      <c r="AE447" s="95"/>
      <c r="AF447" s="95"/>
      <c r="AG447" s="95"/>
      <c r="AH447" s="95"/>
      <c r="AI447" s="95"/>
      <c r="AJ447" s="95"/>
      <c r="AK447" s="95"/>
      <c r="AL447" s="95"/>
      <c r="AM447" s="95"/>
      <c r="AN447" s="95"/>
      <c r="AO447" s="95"/>
      <c r="AP447" s="95"/>
      <c r="AQ447" s="95"/>
      <c r="AR447" s="95"/>
      <c r="AS447" s="95"/>
      <c r="AT447" s="95"/>
      <c r="AU447" s="95"/>
      <c r="AV447" s="95"/>
      <c r="AW447" s="95"/>
      <c r="AX447" s="95"/>
    </row>
    <row r="448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  <c r="AC448" s="95"/>
      <c r="AD448" s="95"/>
      <c r="AE448" s="95"/>
      <c r="AF448" s="95"/>
      <c r="AG448" s="95"/>
      <c r="AH448" s="95"/>
      <c r="AI448" s="95"/>
      <c r="AJ448" s="95"/>
      <c r="AK448" s="95"/>
      <c r="AL448" s="95"/>
      <c r="AM448" s="95"/>
      <c r="AN448" s="95"/>
      <c r="AO448" s="95"/>
      <c r="AP448" s="95"/>
      <c r="AQ448" s="95"/>
      <c r="AR448" s="95"/>
      <c r="AS448" s="95"/>
      <c r="AT448" s="95"/>
      <c r="AU448" s="95"/>
      <c r="AV448" s="95"/>
      <c r="AW448" s="95"/>
      <c r="AX448" s="95"/>
    </row>
    <row r="449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  <c r="AC449" s="95"/>
      <c r="AD449" s="95"/>
      <c r="AE449" s="95"/>
      <c r="AF449" s="95"/>
      <c r="AG449" s="95"/>
      <c r="AH449" s="95"/>
      <c r="AI449" s="95"/>
      <c r="AJ449" s="95"/>
      <c r="AK449" s="95"/>
      <c r="AL449" s="95"/>
      <c r="AM449" s="95"/>
      <c r="AN449" s="95"/>
      <c r="AO449" s="95"/>
      <c r="AP449" s="95"/>
      <c r="AQ449" s="95"/>
      <c r="AR449" s="95"/>
      <c r="AS449" s="95"/>
      <c r="AT449" s="95"/>
      <c r="AU449" s="95"/>
      <c r="AV449" s="95"/>
      <c r="AW449" s="95"/>
      <c r="AX449" s="95"/>
    </row>
    <row r="450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  <c r="AC450" s="95"/>
      <c r="AD450" s="95"/>
      <c r="AE450" s="95"/>
      <c r="AF450" s="95"/>
      <c r="AG450" s="95"/>
      <c r="AH450" s="95"/>
      <c r="AI450" s="95"/>
      <c r="AJ450" s="95"/>
      <c r="AK450" s="95"/>
      <c r="AL450" s="95"/>
      <c r="AM450" s="95"/>
      <c r="AN450" s="95"/>
      <c r="AO450" s="95"/>
      <c r="AP450" s="95"/>
      <c r="AQ450" s="95"/>
      <c r="AR450" s="95"/>
      <c r="AS450" s="95"/>
      <c r="AT450" s="95"/>
      <c r="AU450" s="95"/>
      <c r="AV450" s="95"/>
      <c r="AW450" s="95"/>
      <c r="AX450" s="95"/>
    </row>
    <row r="45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  <c r="AC451" s="95"/>
      <c r="AD451" s="95"/>
      <c r="AE451" s="95"/>
      <c r="AF451" s="95"/>
      <c r="AG451" s="95"/>
      <c r="AH451" s="95"/>
      <c r="AI451" s="95"/>
      <c r="AJ451" s="95"/>
      <c r="AK451" s="95"/>
      <c r="AL451" s="95"/>
      <c r="AM451" s="95"/>
      <c r="AN451" s="95"/>
      <c r="AO451" s="95"/>
      <c r="AP451" s="95"/>
      <c r="AQ451" s="95"/>
      <c r="AR451" s="95"/>
      <c r="AS451" s="95"/>
      <c r="AT451" s="95"/>
      <c r="AU451" s="95"/>
      <c r="AV451" s="95"/>
      <c r="AW451" s="95"/>
      <c r="AX451" s="95"/>
    </row>
    <row r="452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  <c r="AC452" s="95"/>
      <c r="AD452" s="95"/>
      <c r="AE452" s="95"/>
      <c r="AF452" s="95"/>
      <c r="AG452" s="95"/>
      <c r="AH452" s="95"/>
      <c r="AI452" s="95"/>
      <c r="AJ452" s="95"/>
      <c r="AK452" s="95"/>
      <c r="AL452" s="95"/>
      <c r="AM452" s="95"/>
      <c r="AN452" s="95"/>
      <c r="AO452" s="95"/>
      <c r="AP452" s="95"/>
      <c r="AQ452" s="95"/>
      <c r="AR452" s="95"/>
      <c r="AS452" s="95"/>
      <c r="AT452" s="95"/>
      <c r="AU452" s="95"/>
      <c r="AV452" s="95"/>
      <c r="AW452" s="95"/>
      <c r="AX452" s="95"/>
    </row>
    <row r="453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  <c r="AC453" s="95"/>
      <c r="AD453" s="95"/>
      <c r="AE453" s="95"/>
      <c r="AF453" s="95"/>
      <c r="AG453" s="95"/>
      <c r="AH453" s="95"/>
      <c r="AI453" s="95"/>
      <c r="AJ453" s="95"/>
      <c r="AK453" s="95"/>
      <c r="AL453" s="95"/>
      <c r="AM453" s="95"/>
      <c r="AN453" s="95"/>
      <c r="AO453" s="95"/>
      <c r="AP453" s="95"/>
      <c r="AQ453" s="95"/>
      <c r="AR453" s="95"/>
      <c r="AS453" s="95"/>
      <c r="AT453" s="95"/>
      <c r="AU453" s="95"/>
      <c r="AV453" s="95"/>
      <c r="AW453" s="95"/>
      <c r="AX453" s="95"/>
    </row>
    <row r="454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  <c r="AC454" s="95"/>
      <c r="AD454" s="95"/>
      <c r="AE454" s="95"/>
      <c r="AF454" s="95"/>
      <c r="AG454" s="95"/>
      <c r="AH454" s="95"/>
      <c r="AI454" s="95"/>
      <c r="AJ454" s="95"/>
      <c r="AK454" s="95"/>
      <c r="AL454" s="95"/>
      <c r="AM454" s="95"/>
      <c r="AN454" s="95"/>
      <c r="AO454" s="95"/>
      <c r="AP454" s="95"/>
      <c r="AQ454" s="95"/>
      <c r="AR454" s="95"/>
      <c r="AS454" s="95"/>
      <c r="AT454" s="95"/>
      <c r="AU454" s="95"/>
      <c r="AV454" s="95"/>
      <c r="AW454" s="95"/>
      <c r="AX454" s="95"/>
    </row>
    <row r="455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  <c r="AC455" s="95"/>
      <c r="AD455" s="95"/>
      <c r="AE455" s="95"/>
      <c r="AF455" s="95"/>
      <c r="AG455" s="95"/>
      <c r="AH455" s="95"/>
      <c r="AI455" s="95"/>
      <c r="AJ455" s="95"/>
      <c r="AK455" s="95"/>
      <c r="AL455" s="95"/>
      <c r="AM455" s="95"/>
      <c r="AN455" s="95"/>
      <c r="AO455" s="95"/>
      <c r="AP455" s="95"/>
      <c r="AQ455" s="95"/>
      <c r="AR455" s="95"/>
      <c r="AS455" s="95"/>
      <c r="AT455" s="95"/>
      <c r="AU455" s="95"/>
      <c r="AV455" s="95"/>
      <c r="AW455" s="95"/>
      <c r="AX455" s="95"/>
    </row>
    <row r="456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  <c r="AC456" s="95"/>
      <c r="AD456" s="95"/>
      <c r="AE456" s="95"/>
      <c r="AF456" s="95"/>
      <c r="AG456" s="95"/>
      <c r="AH456" s="95"/>
      <c r="AI456" s="95"/>
      <c r="AJ456" s="95"/>
      <c r="AK456" s="95"/>
      <c r="AL456" s="95"/>
      <c r="AM456" s="95"/>
      <c r="AN456" s="95"/>
      <c r="AO456" s="95"/>
      <c r="AP456" s="95"/>
      <c r="AQ456" s="95"/>
      <c r="AR456" s="95"/>
      <c r="AS456" s="95"/>
      <c r="AT456" s="95"/>
      <c r="AU456" s="95"/>
      <c r="AV456" s="95"/>
      <c r="AW456" s="95"/>
      <c r="AX456" s="95"/>
    </row>
    <row r="457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  <c r="AC457" s="95"/>
      <c r="AD457" s="95"/>
      <c r="AE457" s="95"/>
      <c r="AF457" s="95"/>
      <c r="AG457" s="95"/>
      <c r="AH457" s="95"/>
      <c r="AI457" s="95"/>
      <c r="AJ457" s="95"/>
      <c r="AK457" s="95"/>
      <c r="AL457" s="95"/>
      <c r="AM457" s="95"/>
      <c r="AN457" s="95"/>
      <c r="AO457" s="95"/>
      <c r="AP457" s="95"/>
      <c r="AQ457" s="95"/>
      <c r="AR457" s="95"/>
      <c r="AS457" s="95"/>
      <c r="AT457" s="95"/>
      <c r="AU457" s="95"/>
      <c r="AV457" s="95"/>
      <c r="AW457" s="95"/>
      <c r="AX457" s="95"/>
    </row>
    <row r="458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  <c r="AC458" s="95"/>
      <c r="AD458" s="95"/>
      <c r="AE458" s="95"/>
      <c r="AF458" s="95"/>
      <c r="AG458" s="95"/>
      <c r="AH458" s="95"/>
      <c r="AI458" s="95"/>
      <c r="AJ458" s="95"/>
      <c r="AK458" s="95"/>
      <c r="AL458" s="95"/>
      <c r="AM458" s="95"/>
      <c r="AN458" s="95"/>
      <c r="AO458" s="95"/>
      <c r="AP458" s="95"/>
      <c r="AQ458" s="95"/>
      <c r="AR458" s="95"/>
      <c r="AS458" s="95"/>
      <c r="AT458" s="95"/>
      <c r="AU458" s="95"/>
      <c r="AV458" s="95"/>
      <c r="AW458" s="95"/>
      <c r="AX458" s="95"/>
    </row>
    <row r="459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  <c r="AC459" s="95"/>
      <c r="AD459" s="95"/>
      <c r="AE459" s="95"/>
      <c r="AF459" s="95"/>
      <c r="AG459" s="95"/>
      <c r="AH459" s="95"/>
      <c r="AI459" s="95"/>
      <c r="AJ459" s="95"/>
      <c r="AK459" s="95"/>
      <c r="AL459" s="95"/>
      <c r="AM459" s="95"/>
      <c r="AN459" s="95"/>
      <c r="AO459" s="95"/>
      <c r="AP459" s="95"/>
      <c r="AQ459" s="95"/>
      <c r="AR459" s="95"/>
      <c r="AS459" s="95"/>
      <c r="AT459" s="95"/>
      <c r="AU459" s="95"/>
      <c r="AV459" s="95"/>
      <c r="AW459" s="95"/>
      <c r="AX459" s="95"/>
    </row>
    <row r="460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  <c r="AC460" s="95"/>
      <c r="AD460" s="95"/>
      <c r="AE460" s="95"/>
      <c r="AF460" s="95"/>
      <c r="AG460" s="95"/>
      <c r="AH460" s="95"/>
      <c r="AI460" s="95"/>
      <c r="AJ460" s="95"/>
      <c r="AK460" s="95"/>
      <c r="AL460" s="95"/>
      <c r="AM460" s="95"/>
      <c r="AN460" s="95"/>
      <c r="AO460" s="95"/>
      <c r="AP460" s="95"/>
      <c r="AQ460" s="95"/>
      <c r="AR460" s="95"/>
      <c r="AS460" s="95"/>
      <c r="AT460" s="95"/>
      <c r="AU460" s="95"/>
      <c r="AV460" s="95"/>
      <c r="AW460" s="95"/>
      <c r="AX460" s="95"/>
    </row>
    <row r="46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  <c r="AC461" s="95"/>
      <c r="AD461" s="95"/>
      <c r="AE461" s="95"/>
      <c r="AF461" s="95"/>
      <c r="AG461" s="95"/>
      <c r="AH461" s="95"/>
      <c r="AI461" s="95"/>
      <c r="AJ461" s="95"/>
      <c r="AK461" s="95"/>
      <c r="AL461" s="95"/>
      <c r="AM461" s="95"/>
      <c r="AN461" s="95"/>
      <c r="AO461" s="95"/>
      <c r="AP461" s="95"/>
      <c r="AQ461" s="95"/>
      <c r="AR461" s="95"/>
      <c r="AS461" s="95"/>
      <c r="AT461" s="95"/>
      <c r="AU461" s="95"/>
      <c r="AV461" s="95"/>
      <c r="AW461" s="95"/>
      <c r="AX461" s="95"/>
    </row>
    <row r="462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  <c r="AC462" s="95"/>
      <c r="AD462" s="95"/>
      <c r="AE462" s="95"/>
      <c r="AF462" s="95"/>
      <c r="AG462" s="95"/>
      <c r="AH462" s="95"/>
      <c r="AI462" s="95"/>
      <c r="AJ462" s="95"/>
      <c r="AK462" s="95"/>
      <c r="AL462" s="95"/>
      <c r="AM462" s="95"/>
      <c r="AN462" s="95"/>
      <c r="AO462" s="95"/>
      <c r="AP462" s="95"/>
      <c r="AQ462" s="95"/>
      <c r="AR462" s="95"/>
      <c r="AS462" s="95"/>
      <c r="AT462" s="95"/>
      <c r="AU462" s="95"/>
      <c r="AV462" s="95"/>
      <c r="AW462" s="95"/>
      <c r="AX462" s="95"/>
    </row>
    <row r="463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  <c r="AC463" s="95"/>
      <c r="AD463" s="95"/>
      <c r="AE463" s="95"/>
      <c r="AF463" s="95"/>
      <c r="AG463" s="95"/>
      <c r="AH463" s="95"/>
      <c r="AI463" s="95"/>
      <c r="AJ463" s="95"/>
      <c r="AK463" s="95"/>
      <c r="AL463" s="95"/>
      <c r="AM463" s="95"/>
      <c r="AN463" s="95"/>
      <c r="AO463" s="95"/>
      <c r="AP463" s="95"/>
      <c r="AQ463" s="95"/>
      <c r="AR463" s="95"/>
      <c r="AS463" s="95"/>
      <c r="AT463" s="95"/>
      <c r="AU463" s="95"/>
      <c r="AV463" s="95"/>
      <c r="AW463" s="95"/>
      <c r="AX463" s="95"/>
    </row>
    <row r="464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  <c r="AC464" s="95"/>
      <c r="AD464" s="95"/>
      <c r="AE464" s="95"/>
      <c r="AF464" s="95"/>
      <c r="AG464" s="95"/>
      <c r="AH464" s="95"/>
      <c r="AI464" s="95"/>
      <c r="AJ464" s="95"/>
      <c r="AK464" s="95"/>
      <c r="AL464" s="95"/>
      <c r="AM464" s="95"/>
      <c r="AN464" s="95"/>
      <c r="AO464" s="95"/>
      <c r="AP464" s="95"/>
      <c r="AQ464" s="95"/>
      <c r="AR464" s="95"/>
      <c r="AS464" s="95"/>
      <c r="AT464" s="95"/>
      <c r="AU464" s="95"/>
      <c r="AV464" s="95"/>
      <c r="AW464" s="95"/>
      <c r="AX464" s="95"/>
    </row>
    <row r="465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  <c r="AC465" s="95"/>
      <c r="AD465" s="95"/>
      <c r="AE465" s="95"/>
      <c r="AF465" s="95"/>
      <c r="AG465" s="95"/>
      <c r="AH465" s="95"/>
      <c r="AI465" s="95"/>
      <c r="AJ465" s="95"/>
      <c r="AK465" s="95"/>
      <c r="AL465" s="95"/>
      <c r="AM465" s="95"/>
      <c r="AN465" s="95"/>
      <c r="AO465" s="95"/>
      <c r="AP465" s="95"/>
      <c r="AQ465" s="95"/>
      <c r="AR465" s="95"/>
      <c r="AS465" s="95"/>
      <c r="AT465" s="95"/>
      <c r="AU465" s="95"/>
      <c r="AV465" s="95"/>
      <c r="AW465" s="95"/>
      <c r="AX465" s="95"/>
    </row>
    <row r="466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  <c r="AC466" s="95"/>
      <c r="AD466" s="95"/>
      <c r="AE466" s="95"/>
      <c r="AF466" s="95"/>
      <c r="AG466" s="95"/>
      <c r="AH466" s="95"/>
      <c r="AI466" s="95"/>
      <c r="AJ466" s="95"/>
      <c r="AK466" s="95"/>
      <c r="AL466" s="95"/>
      <c r="AM466" s="95"/>
      <c r="AN466" s="95"/>
      <c r="AO466" s="95"/>
      <c r="AP466" s="95"/>
      <c r="AQ466" s="95"/>
      <c r="AR466" s="95"/>
      <c r="AS466" s="95"/>
      <c r="AT466" s="95"/>
      <c r="AU466" s="95"/>
      <c r="AV466" s="95"/>
      <c r="AW466" s="95"/>
      <c r="AX466" s="95"/>
    </row>
    <row r="467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  <c r="AC467" s="95"/>
      <c r="AD467" s="95"/>
      <c r="AE467" s="95"/>
      <c r="AF467" s="95"/>
      <c r="AG467" s="95"/>
      <c r="AH467" s="95"/>
      <c r="AI467" s="95"/>
      <c r="AJ467" s="95"/>
      <c r="AK467" s="95"/>
      <c r="AL467" s="95"/>
      <c r="AM467" s="95"/>
      <c r="AN467" s="95"/>
      <c r="AO467" s="95"/>
      <c r="AP467" s="95"/>
      <c r="AQ467" s="95"/>
      <c r="AR467" s="95"/>
      <c r="AS467" s="95"/>
      <c r="AT467" s="95"/>
      <c r="AU467" s="95"/>
      <c r="AV467" s="95"/>
      <c r="AW467" s="95"/>
      <c r="AX467" s="95"/>
    </row>
    <row r="468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  <c r="AC468" s="95"/>
      <c r="AD468" s="95"/>
      <c r="AE468" s="95"/>
      <c r="AF468" s="95"/>
      <c r="AG468" s="95"/>
      <c r="AH468" s="95"/>
      <c r="AI468" s="95"/>
      <c r="AJ468" s="95"/>
      <c r="AK468" s="95"/>
      <c r="AL468" s="95"/>
      <c r="AM468" s="95"/>
      <c r="AN468" s="95"/>
      <c r="AO468" s="95"/>
      <c r="AP468" s="95"/>
      <c r="AQ468" s="95"/>
      <c r="AR468" s="95"/>
      <c r="AS468" s="95"/>
      <c r="AT468" s="95"/>
      <c r="AU468" s="95"/>
      <c r="AV468" s="95"/>
      <c r="AW468" s="95"/>
      <c r="AX468" s="95"/>
    </row>
    <row r="469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  <c r="AC469" s="95"/>
      <c r="AD469" s="95"/>
      <c r="AE469" s="95"/>
      <c r="AF469" s="95"/>
      <c r="AG469" s="95"/>
      <c r="AH469" s="95"/>
      <c r="AI469" s="95"/>
      <c r="AJ469" s="95"/>
      <c r="AK469" s="95"/>
      <c r="AL469" s="95"/>
      <c r="AM469" s="95"/>
      <c r="AN469" s="95"/>
      <c r="AO469" s="95"/>
      <c r="AP469" s="95"/>
      <c r="AQ469" s="95"/>
      <c r="AR469" s="95"/>
      <c r="AS469" s="95"/>
      <c r="AT469" s="95"/>
      <c r="AU469" s="95"/>
      <c r="AV469" s="95"/>
      <c r="AW469" s="95"/>
      <c r="AX469" s="95"/>
    </row>
    <row r="470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  <c r="AC470" s="95"/>
      <c r="AD470" s="95"/>
      <c r="AE470" s="95"/>
      <c r="AF470" s="95"/>
      <c r="AG470" s="95"/>
      <c r="AH470" s="95"/>
      <c r="AI470" s="95"/>
      <c r="AJ470" s="95"/>
      <c r="AK470" s="95"/>
      <c r="AL470" s="95"/>
      <c r="AM470" s="95"/>
      <c r="AN470" s="95"/>
      <c r="AO470" s="95"/>
      <c r="AP470" s="95"/>
      <c r="AQ470" s="95"/>
      <c r="AR470" s="95"/>
      <c r="AS470" s="95"/>
      <c r="AT470" s="95"/>
      <c r="AU470" s="95"/>
      <c r="AV470" s="95"/>
      <c r="AW470" s="95"/>
      <c r="AX470" s="95"/>
    </row>
    <row r="47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  <c r="AC471" s="95"/>
      <c r="AD471" s="95"/>
      <c r="AE471" s="95"/>
      <c r="AF471" s="95"/>
      <c r="AG471" s="95"/>
      <c r="AH471" s="95"/>
      <c r="AI471" s="95"/>
      <c r="AJ471" s="95"/>
      <c r="AK471" s="95"/>
      <c r="AL471" s="95"/>
      <c r="AM471" s="95"/>
      <c r="AN471" s="95"/>
      <c r="AO471" s="95"/>
      <c r="AP471" s="95"/>
      <c r="AQ471" s="95"/>
      <c r="AR471" s="95"/>
      <c r="AS471" s="95"/>
      <c r="AT471" s="95"/>
      <c r="AU471" s="95"/>
      <c r="AV471" s="95"/>
      <c r="AW471" s="95"/>
      <c r="AX471" s="95"/>
    </row>
    <row r="472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  <c r="AC472" s="95"/>
      <c r="AD472" s="95"/>
      <c r="AE472" s="95"/>
      <c r="AF472" s="95"/>
      <c r="AG472" s="95"/>
      <c r="AH472" s="95"/>
      <c r="AI472" s="95"/>
      <c r="AJ472" s="95"/>
      <c r="AK472" s="95"/>
      <c r="AL472" s="95"/>
      <c r="AM472" s="95"/>
      <c r="AN472" s="95"/>
      <c r="AO472" s="95"/>
      <c r="AP472" s="95"/>
      <c r="AQ472" s="95"/>
      <c r="AR472" s="95"/>
      <c r="AS472" s="95"/>
      <c r="AT472" s="95"/>
      <c r="AU472" s="95"/>
      <c r="AV472" s="95"/>
      <c r="AW472" s="95"/>
      <c r="AX472" s="95"/>
    </row>
    <row r="47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  <c r="AC473" s="95"/>
      <c r="AD473" s="95"/>
      <c r="AE473" s="95"/>
      <c r="AF473" s="95"/>
      <c r="AG473" s="95"/>
      <c r="AH473" s="95"/>
      <c r="AI473" s="95"/>
      <c r="AJ473" s="95"/>
      <c r="AK473" s="95"/>
      <c r="AL473" s="95"/>
      <c r="AM473" s="95"/>
      <c r="AN473" s="95"/>
      <c r="AO473" s="95"/>
      <c r="AP473" s="95"/>
      <c r="AQ473" s="95"/>
      <c r="AR473" s="95"/>
      <c r="AS473" s="95"/>
      <c r="AT473" s="95"/>
      <c r="AU473" s="95"/>
      <c r="AV473" s="95"/>
      <c r="AW473" s="95"/>
      <c r="AX473" s="95"/>
    </row>
    <row r="474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  <c r="AC474" s="95"/>
      <c r="AD474" s="95"/>
      <c r="AE474" s="95"/>
      <c r="AF474" s="95"/>
      <c r="AG474" s="95"/>
      <c r="AH474" s="95"/>
      <c r="AI474" s="95"/>
      <c r="AJ474" s="95"/>
      <c r="AK474" s="95"/>
      <c r="AL474" s="95"/>
      <c r="AM474" s="95"/>
      <c r="AN474" s="95"/>
      <c r="AO474" s="95"/>
      <c r="AP474" s="95"/>
      <c r="AQ474" s="95"/>
      <c r="AR474" s="95"/>
      <c r="AS474" s="95"/>
      <c r="AT474" s="95"/>
      <c r="AU474" s="95"/>
      <c r="AV474" s="95"/>
      <c r="AW474" s="95"/>
      <c r="AX474" s="95"/>
    </row>
    <row r="475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  <c r="AC475" s="95"/>
      <c r="AD475" s="95"/>
      <c r="AE475" s="95"/>
      <c r="AF475" s="95"/>
      <c r="AG475" s="95"/>
      <c r="AH475" s="95"/>
      <c r="AI475" s="95"/>
      <c r="AJ475" s="95"/>
      <c r="AK475" s="95"/>
      <c r="AL475" s="95"/>
      <c r="AM475" s="95"/>
      <c r="AN475" s="95"/>
      <c r="AO475" s="95"/>
      <c r="AP475" s="95"/>
      <c r="AQ475" s="95"/>
      <c r="AR475" s="95"/>
      <c r="AS475" s="95"/>
      <c r="AT475" s="95"/>
      <c r="AU475" s="95"/>
      <c r="AV475" s="95"/>
      <c r="AW475" s="95"/>
      <c r="AX475" s="95"/>
    </row>
    <row r="476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  <c r="AC476" s="95"/>
      <c r="AD476" s="95"/>
      <c r="AE476" s="95"/>
      <c r="AF476" s="95"/>
      <c r="AG476" s="95"/>
      <c r="AH476" s="95"/>
      <c r="AI476" s="95"/>
      <c r="AJ476" s="95"/>
      <c r="AK476" s="95"/>
      <c r="AL476" s="95"/>
      <c r="AM476" s="95"/>
      <c r="AN476" s="95"/>
      <c r="AO476" s="95"/>
      <c r="AP476" s="95"/>
      <c r="AQ476" s="95"/>
      <c r="AR476" s="95"/>
      <c r="AS476" s="95"/>
      <c r="AT476" s="95"/>
      <c r="AU476" s="95"/>
      <c r="AV476" s="95"/>
      <c r="AW476" s="95"/>
      <c r="AX476" s="95"/>
    </row>
    <row r="477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  <c r="AC477" s="95"/>
      <c r="AD477" s="95"/>
      <c r="AE477" s="95"/>
      <c r="AF477" s="95"/>
      <c r="AG477" s="95"/>
      <c r="AH477" s="95"/>
      <c r="AI477" s="95"/>
      <c r="AJ477" s="95"/>
      <c r="AK477" s="95"/>
      <c r="AL477" s="95"/>
      <c r="AM477" s="95"/>
      <c r="AN477" s="95"/>
      <c r="AO477" s="95"/>
      <c r="AP477" s="95"/>
      <c r="AQ477" s="95"/>
      <c r="AR477" s="95"/>
      <c r="AS477" s="95"/>
      <c r="AT477" s="95"/>
      <c r="AU477" s="95"/>
      <c r="AV477" s="95"/>
      <c r="AW477" s="95"/>
      <c r="AX477" s="95"/>
    </row>
    <row r="478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  <c r="AC478" s="95"/>
      <c r="AD478" s="95"/>
      <c r="AE478" s="95"/>
      <c r="AF478" s="95"/>
      <c r="AG478" s="95"/>
      <c r="AH478" s="95"/>
      <c r="AI478" s="95"/>
      <c r="AJ478" s="95"/>
      <c r="AK478" s="95"/>
      <c r="AL478" s="95"/>
      <c r="AM478" s="95"/>
      <c r="AN478" s="95"/>
      <c r="AO478" s="95"/>
      <c r="AP478" s="95"/>
      <c r="AQ478" s="95"/>
      <c r="AR478" s="95"/>
      <c r="AS478" s="95"/>
      <c r="AT478" s="95"/>
      <c r="AU478" s="95"/>
      <c r="AV478" s="95"/>
      <c r="AW478" s="95"/>
      <c r="AX478" s="95"/>
    </row>
    <row r="479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  <c r="AC479" s="95"/>
      <c r="AD479" s="95"/>
      <c r="AE479" s="95"/>
      <c r="AF479" s="95"/>
      <c r="AG479" s="95"/>
      <c r="AH479" s="95"/>
      <c r="AI479" s="95"/>
      <c r="AJ479" s="95"/>
      <c r="AK479" s="95"/>
      <c r="AL479" s="95"/>
      <c r="AM479" s="95"/>
      <c r="AN479" s="95"/>
      <c r="AO479" s="95"/>
      <c r="AP479" s="95"/>
      <c r="AQ479" s="95"/>
      <c r="AR479" s="95"/>
      <c r="AS479" s="95"/>
      <c r="AT479" s="95"/>
      <c r="AU479" s="95"/>
      <c r="AV479" s="95"/>
      <c r="AW479" s="95"/>
      <c r="AX479" s="95"/>
    </row>
    <row r="480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  <c r="AC480" s="95"/>
      <c r="AD480" s="95"/>
      <c r="AE480" s="95"/>
      <c r="AF480" s="95"/>
      <c r="AG480" s="95"/>
      <c r="AH480" s="95"/>
      <c r="AI480" s="95"/>
      <c r="AJ480" s="95"/>
      <c r="AK480" s="95"/>
      <c r="AL480" s="95"/>
      <c r="AM480" s="95"/>
      <c r="AN480" s="95"/>
      <c r="AO480" s="95"/>
      <c r="AP480" s="95"/>
      <c r="AQ480" s="95"/>
      <c r="AR480" s="95"/>
      <c r="AS480" s="95"/>
      <c r="AT480" s="95"/>
      <c r="AU480" s="95"/>
      <c r="AV480" s="95"/>
      <c r="AW480" s="95"/>
      <c r="AX480" s="95"/>
    </row>
    <row r="48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  <c r="AC481" s="95"/>
      <c r="AD481" s="95"/>
      <c r="AE481" s="95"/>
      <c r="AF481" s="95"/>
      <c r="AG481" s="95"/>
      <c r="AH481" s="95"/>
      <c r="AI481" s="95"/>
      <c r="AJ481" s="95"/>
      <c r="AK481" s="95"/>
      <c r="AL481" s="95"/>
      <c r="AM481" s="95"/>
      <c r="AN481" s="95"/>
      <c r="AO481" s="95"/>
      <c r="AP481" s="95"/>
      <c r="AQ481" s="95"/>
      <c r="AR481" s="95"/>
      <c r="AS481" s="95"/>
      <c r="AT481" s="95"/>
      <c r="AU481" s="95"/>
      <c r="AV481" s="95"/>
      <c r="AW481" s="95"/>
      <c r="AX481" s="95"/>
    </row>
    <row r="482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  <c r="AC482" s="95"/>
      <c r="AD482" s="95"/>
      <c r="AE482" s="95"/>
      <c r="AF482" s="95"/>
      <c r="AG482" s="95"/>
      <c r="AH482" s="95"/>
      <c r="AI482" s="95"/>
      <c r="AJ482" s="95"/>
      <c r="AK482" s="95"/>
      <c r="AL482" s="95"/>
      <c r="AM482" s="95"/>
      <c r="AN482" s="95"/>
      <c r="AO482" s="95"/>
      <c r="AP482" s="95"/>
      <c r="AQ482" s="95"/>
      <c r="AR482" s="95"/>
      <c r="AS482" s="95"/>
      <c r="AT482" s="95"/>
      <c r="AU482" s="95"/>
      <c r="AV482" s="95"/>
      <c r="AW482" s="95"/>
      <c r="AX482" s="95"/>
    </row>
    <row r="48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  <c r="AC483" s="95"/>
      <c r="AD483" s="95"/>
      <c r="AE483" s="95"/>
      <c r="AF483" s="95"/>
      <c r="AG483" s="95"/>
      <c r="AH483" s="95"/>
      <c r="AI483" s="95"/>
      <c r="AJ483" s="95"/>
      <c r="AK483" s="95"/>
      <c r="AL483" s="95"/>
      <c r="AM483" s="95"/>
      <c r="AN483" s="95"/>
      <c r="AO483" s="95"/>
      <c r="AP483" s="95"/>
      <c r="AQ483" s="95"/>
      <c r="AR483" s="95"/>
      <c r="AS483" s="95"/>
      <c r="AT483" s="95"/>
      <c r="AU483" s="95"/>
      <c r="AV483" s="95"/>
      <c r="AW483" s="95"/>
      <c r="AX483" s="95"/>
    </row>
    <row r="484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  <c r="AC484" s="95"/>
      <c r="AD484" s="95"/>
      <c r="AE484" s="95"/>
      <c r="AF484" s="95"/>
      <c r="AG484" s="95"/>
      <c r="AH484" s="95"/>
      <c r="AI484" s="95"/>
      <c r="AJ484" s="95"/>
      <c r="AK484" s="95"/>
      <c r="AL484" s="95"/>
      <c r="AM484" s="95"/>
      <c r="AN484" s="95"/>
      <c r="AO484" s="95"/>
      <c r="AP484" s="95"/>
      <c r="AQ484" s="95"/>
      <c r="AR484" s="95"/>
      <c r="AS484" s="95"/>
      <c r="AT484" s="95"/>
      <c r="AU484" s="95"/>
      <c r="AV484" s="95"/>
      <c r="AW484" s="95"/>
      <c r="AX484" s="95"/>
    </row>
    <row r="485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  <c r="AC485" s="95"/>
      <c r="AD485" s="95"/>
      <c r="AE485" s="95"/>
      <c r="AF485" s="95"/>
      <c r="AG485" s="95"/>
      <c r="AH485" s="95"/>
      <c r="AI485" s="95"/>
      <c r="AJ485" s="95"/>
      <c r="AK485" s="95"/>
      <c r="AL485" s="95"/>
      <c r="AM485" s="95"/>
      <c r="AN485" s="95"/>
      <c r="AO485" s="95"/>
      <c r="AP485" s="95"/>
      <c r="AQ485" s="95"/>
      <c r="AR485" s="95"/>
      <c r="AS485" s="95"/>
      <c r="AT485" s="95"/>
      <c r="AU485" s="95"/>
      <c r="AV485" s="95"/>
      <c r="AW485" s="95"/>
      <c r="AX485" s="95"/>
    </row>
    <row r="486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  <c r="AC486" s="95"/>
      <c r="AD486" s="95"/>
      <c r="AE486" s="95"/>
      <c r="AF486" s="95"/>
      <c r="AG486" s="95"/>
      <c r="AH486" s="95"/>
      <c r="AI486" s="95"/>
      <c r="AJ486" s="95"/>
      <c r="AK486" s="95"/>
      <c r="AL486" s="95"/>
      <c r="AM486" s="95"/>
      <c r="AN486" s="95"/>
      <c r="AO486" s="95"/>
      <c r="AP486" s="95"/>
      <c r="AQ486" s="95"/>
      <c r="AR486" s="95"/>
      <c r="AS486" s="95"/>
      <c r="AT486" s="95"/>
      <c r="AU486" s="95"/>
      <c r="AV486" s="95"/>
      <c r="AW486" s="95"/>
      <c r="AX486" s="95"/>
    </row>
    <row r="487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  <c r="AC487" s="95"/>
      <c r="AD487" s="95"/>
      <c r="AE487" s="95"/>
      <c r="AF487" s="95"/>
      <c r="AG487" s="95"/>
      <c r="AH487" s="95"/>
      <c r="AI487" s="95"/>
      <c r="AJ487" s="95"/>
      <c r="AK487" s="95"/>
      <c r="AL487" s="95"/>
      <c r="AM487" s="95"/>
      <c r="AN487" s="95"/>
      <c r="AO487" s="95"/>
      <c r="AP487" s="95"/>
      <c r="AQ487" s="95"/>
      <c r="AR487" s="95"/>
      <c r="AS487" s="95"/>
      <c r="AT487" s="95"/>
      <c r="AU487" s="95"/>
      <c r="AV487" s="95"/>
      <c r="AW487" s="95"/>
      <c r="AX487" s="95"/>
    </row>
    <row r="488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  <c r="AC488" s="95"/>
      <c r="AD488" s="95"/>
      <c r="AE488" s="95"/>
      <c r="AF488" s="95"/>
      <c r="AG488" s="95"/>
      <c r="AH488" s="95"/>
      <c r="AI488" s="95"/>
      <c r="AJ488" s="95"/>
      <c r="AK488" s="95"/>
      <c r="AL488" s="95"/>
      <c r="AM488" s="95"/>
      <c r="AN488" s="95"/>
      <c r="AO488" s="95"/>
      <c r="AP488" s="95"/>
      <c r="AQ488" s="95"/>
      <c r="AR488" s="95"/>
      <c r="AS488" s="95"/>
      <c r="AT488" s="95"/>
      <c r="AU488" s="95"/>
      <c r="AV488" s="95"/>
      <c r="AW488" s="95"/>
      <c r="AX488" s="95"/>
    </row>
    <row r="489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  <c r="AC489" s="95"/>
      <c r="AD489" s="95"/>
      <c r="AE489" s="95"/>
      <c r="AF489" s="95"/>
      <c r="AG489" s="95"/>
      <c r="AH489" s="95"/>
      <c r="AI489" s="95"/>
      <c r="AJ489" s="95"/>
      <c r="AK489" s="95"/>
      <c r="AL489" s="95"/>
      <c r="AM489" s="95"/>
      <c r="AN489" s="95"/>
      <c r="AO489" s="95"/>
      <c r="AP489" s="95"/>
      <c r="AQ489" s="95"/>
      <c r="AR489" s="95"/>
      <c r="AS489" s="95"/>
      <c r="AT489" s="95"/>
      <c r="AU489" s="95"/>
      <c r="AV489" s="95"/>
      <c r="AW489" s="95"/>
      <c r="AX489" s="95"/>
    </row>
    <row r="490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  <c r="AC490" s="95"/>
      <c r="AD490" s="95"/>
      <c r="AE490" s="95"/>
      <c r="AF490" s="95"/>
      <c r="AG490" s="95"/>
      <c r="AH490" s="95"/>
      <c r="AI490" s="95"/>
      <c r="AJ490" s="95"/>
      <c r="AK490" s="95"/>
      <c r="AL490" s="95"/>
      <c r="AM490" s="95"/>
      <c r="AN490" s="95"/>
      <c r="AO490" s="95"/>
      <c r="AP490" s="95"/>
      <c r="AQ490" s="95"/>
      <c r="AR490" s="95"/>
      <c r="AS490" s="95"/>
      <c r="AT490" s="95"/>
      <c r="AU490" s="95"/>
      <c r="AV490" s="95"/>
      <c r="AW490" s="95"/>
      <c r="AX490" s="95"/>
    </row>
    <row r="49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  <c r="AC491" s="95"/>
      <c r="AD491" s="95"/>
      <c r="AE491" s="95"/>
      <c r="AF491" s="95"/>
      <c r="AG491" s="95"/>
      <c r="AH491" s="95"/>
      <c r="AI491" s="95"/>
      <c r="AJ491" s="95"/>
      <c r="AK491" s="95"/>
      <c r="AL491" s="95"/>
      <c r="AM491" s="95"/>
      <c r="AN491" s="95"/>
      <c r="AO491" s="95"/>
      <c r="AP491" s="95"/>
      <c r="AQ491" s="95"/>
      <c r="AR491" s="95"/>
      <c r="AS491" s="95"/>
      <c r="AT491" s="95"/>
      <c r="AU491" s="95"/>
      <c r="AV491" s="95"/>
      <c r="AW491" s="95"/>
      <c r="AX491" s="95"/>
    </row>
    <row r="492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  <c r="AC492" s="95"/>
      <c r="AD492" s="95"/>
      <c r="AE492" s="95"/>
      <c r="AF492" s="95"/>
      <c r="AG492" s="95"/>
      <c r="AH492" s="95"/>
      <c r="AI492" s="95"/>
      <c r="AJ492" s="95"/>
      <c r="AK492" s="95"/>
      <c r="AL492" s="95"/>
      <c r="AM492" s="95"/>
      <c r="AN492" s="95"/>
      <c r="AO492" s="95"/>
      <c r="AP492" s="95"/>
      <c r="AQ492" s="95"/>
      <c r="AR492" s="95"/>
      <c r="AS492" s="95"/>
      <c r="AT492" s="95"/>
      <c r="AU492" s="95"/>
      <c r="AV492" s="95"/>
      <c r="AW492" s="95"/>
      <c r="AX492" s="95"/>
    </row>
    <row r="49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  <c r="AC493" s="95"/>
      <c r="AD493" s="95"/>
      <c r="AE493" s="95"/>
      <c r="AF493" s="95"/>
      <c r="AG493" s="95"/>
      <c r="AH493" s="95"/>
      <c r="AI493" s="95"/>
      <c r="AJ493" s="95"/>
      <c r="AK493" s="95"/>
      <c r="AL493" s="95"/>
      <c r="AM493" s="95"/>
      <c r="AN493" s="95"/>
      <c r="AO493" s="95"/>
      <c r="AP493" s="95"/>
      <c r="AQ493" s="95"/>
      <c r="AR493" s="95"/>
      <c r="AS493" s="95"/>
      <c r="AT493" s="95"/>
      <c r="AU493" s="95"/>
      <c r="AV493" s="95"/>
      <c r="AW493" s="95"/>
      <c r="AX493" s="95"/>
    </row>
    <row r="494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  <c r="AC494" s="95"/>
      <c r="AD494" s="95"/>
      <c r="AE494" s="95"/>
      <c r="AF494" s="95"/>
      <c r="AG494" s="95"/>
      <c r="AH494" s="95"/>
      <c r="AI494" s="95"/>
      <c r="AJ494" s="95"/>
      <c r="AK494" s="95"/>
      <c r="AL494" s="95"/>
      <c r="AM494" s="95"/>
      <c r="AN494" s="95"/>
      <c r="AO494" s="95"/>
      <c r="AP494" s="95"/>
      <c r="AQ494" s="95"/>
      <c r="AR494" s="95"/>
      <c r="AS494" s="95"/>
      <c r="AT494" s="95"/>
      <c r="AU494" s="95"/>
      <c r="AV494" s="95"/>
      <c r="AW494" s="95"/>
      <c r="AX494" s="95"/>
    </row>
    <row r="495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  <c r="AC495" s="95"/>
      <c r="AD495" s="95"/>
      <c r="AE495" s="95"/>
      <c r="AF495" s="95"/>
      <c r="AG495" s="95"/>
      <c r="AH495" s="95"/>
      <c r="AI495" s="95"/>
      <c r="AJ495" s="95"/>
      <c r="AK495" s="95"/>
      <c r="AL495" s="95"/>
      <c r="AM495" s="95"/>
      <c r="AN495" s="95"/>
      <c r="AO495" s="95"/>
      <c r="AP495" s="95"/>
      <c r="AQ495" s="95"/>
      <c r="AR495" s="95"/>
      <c r="AS495" s="95"/>
      <c r="AT495" s="95"/>
      <c r="AU495" s="95"/>
      <c r="AV495" s="95"/>
      <c r="AW495" s="95"/>
      <c r="AX495" s="95"/>
    </row>
    <row r="496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  <c r="AC496" s="95"/>
      <c r="AD496" s="95"/>
      <c r="AE496" s="95"/>
      <c r="AF496" s="95"/>
      <c r="AG496" s="95"/>
      <c r="AH496" s="95"/>
      <c r="AI496" s="95"/>
      <c r="AJ496" s="95"/>
      <c r="AK496" s="95"/>
      <c r="AL496" s="95"/>
      <c r="AM496" s="95"/>
      <c r="AN496" s="95"/>
      <c r="AO496" s="95"/>
      <c r="AP496" s="95"/>
      <c r="AQ496" s="95"/>
      <c r="AR496" s="95"/>
      <c r="AS496" s="95"/>
      <c r="AT496" s="95"/>
      <c r="AU496" s="95"/>
      <c r="AV496" s="95"/>
      <c r="AW496" s="95"/>
      <c r="AX496" s="95"/>
    </row>
    <row r="497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  <c r="AC497" s="95"/>
      <c r="AD497" s="95"/>
      <c r="AE497" s="95"/>
      <c r="AF497" s="95"/>
      <c r="AG497" s="95"/>
      <c r="AH497" s="95"/>
      <c r="AI497" s="95"/>
      <c r="AJ497" s="95"/>
      <c r="AK497" s="95"/>
      <c r="AL497" s="95"/>
      <c r="AM497" s="95"/>
      <c r="AN497" s="95"/>
      <c r="AO497" s="95"/>
      <c r="AP497" s="95"/>
      <c r="AQ497" s="95"/>
      <c r="AR497" s="95"/>
      <c r="AS497" s="95"/>
      <c r="AT497" s="95"/>
      <c r="AU497" s="95"/>
      <c r="AV497" s="95"/>
      <c r="AW497" s="95"/>
      <c r="AX497" s="95"/>
    </row>
    <row r="498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  <c r="AC498" s="95"/>
      <c r="AD498" s="95"/>
      <c r="AE498" s="95"/>
      <c r="AF498" s="95"/>
      <c r="AG498" s="95"/>
      <c r="AH498" s="95"/>
      <c r="AI498" s="95"/>
      <c r="AJ498" s="95"/>
      <c r="AK498" s="95"/>
      <c r="AL498" s="95"/>
      <c r="AM498" s="95"/>
      <c r="AN498" s="95"/>
      <c r="AO498" s="95"/>
      <c r="AP498" s="95"/>
      <c r="AQ498" s="95"/>
      <c r="AR498" s="95"/>
      <c r="AS498" s="95"/>
      <c r="AT498" s="95"/>
      <c r="AU498" s="95"/>
      <c r="AV498" s="95"/>
      <c r="AW498" s="95"/>
      <c r="AX498" s="95"/>
    </row>
    <row r="499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  <c r="AC499" s="95"/>
      <c r="AD499" s="95"/>
      <c r="AE499" s="95"/>
      <c r="AF499" s="95"/>
      <c r="AG499" s="95"/>
      <c r="AH499" s="95"/>
      <c r="AI499" s="95"/>
      <c r="AJ499" s="95"/>
      <c r="AK499" s="95"/>
      <c r="AL499" s="95"/>
      <c r="AM499" s="95"/>
      <c r="AN499" s="95"/>
      <c r="AO499" s="95"/>
      <c r="AP499" s="95"/>
      <c r="AQ499" s="95"/>
      <c r="AR499" s="95"/>
      <c r="AS499" s="95"/>
      <c r="AT499" s="95"/>
      <c r="AU499" s="95"/>
      <c r="AV499" s="95"/>
      <c r="AW499" s="95"/>
      <c r="AX499" s="95"/>
    </row>
    <row r="500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  <c r="AC500" s="95"/>
      <c r="AD500" s="95"/>
      <c r="AE500" s="95"/>
      <c r="AF500" s="95"/>
      <c r="AG500" s="95"/>
      <c r="AH500" s="95"/>
      <c r="AI500" s="95"/>
      <c r="AJ500" s="95"/>
      <c r="AK500" s="95"/>
      <c r="AL500" s="95"/>
      <c r="AM500" s="95"/>
      <c r="AN500" s="95"/>
      <c r="AO500" s="95"/>
      <c r="AP500" s="95"/>
      <c r="AQ500" s="95"/>
      <c r="AR500" s="95"/>
      <c r="AS500" s="95"/>
      <c r="AT500" s="95"/>
      <c r="AU500" s="95"/>
      <c r="AV500" s="95"/>
      <c r="AW500" s="95"/>
      <c r="AX500" s="95"/>
    </row>
    <row r="50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  <c r="AC501" s="95"/>
      <c r="AD501" s="95"/>
      <c r="AE501" s="95"/>
      <c r="AF501" s="95"/>
      <c r="AG501" s="95"/>
      <c r="AH501" s="95"/>
      <c r="AI501" s="95"/>
      <c r="AJ501" s="95"/>
      <c r="AK501" s="95"/>
      <c r="AL501" s="95"/>
      <c r="AM501" s="95"/>
      <c r="AN501" s="95"/>
      <c r="AO501" s="95"/>
      <c r="AP501" s="95"/>
      <c r="AQ501" s="95"/>
      <c r="AR501" s="95"/>
      <c r="AS501" s="95"/>
      <c r="AT501" s="95"/>
      <c r="AU501" s="95"/>
      <c r="AV501" s="95"/>
      <c r="AW501" s="95"/>
      <c r="AX501" s="95"/>
    </row>
    <row r="502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  <c r="AC502" s="95"/>
      <c r="AD502" s="95"/>
      <c r="AE502" s="95"/>
      <c r="AF502" s="95"/>
      <c r="AG502" s="95"/>
      <c r="AH502" s="95"/>
      <c r="AI502" s="95"/>
      <c r="AJ502" s="95"/>
      <c r="AK502" s="95"/>
      <c r="AL502" s="95"/>
      <c r="AM502" s="95"/>
      <c r="AN502" s="95"/>
      <c r="AO502" s="95"/>
      <c r="AP502" s="95"/>
      <c r="AQ502" s="95"/>
      <c r="AR502" s="95"/>
      <c r="AS502" s="95"/>
      <c r="AT502" s="95"/>
      <c r="AU502" s="95"/>
      <c r="AV502" s="95"/>
      <c r="AW502" s="95"/>
      <c r="AX502" s="95"/>
    </row>
    <row r="50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  <c r="AC503" s="95"/>
      <c r="AD503" s="95"/>
      <c r="AE503" s="95"/>
      <c r="AF503" s="95"/>
      <c r="AG503" s="95"/>
      <c r="AH503" s="95"/>
      <c r="AI503" s="95"/>
      <c r="AJ503" s="95"/>
      <c r="AK503" s="95"/>
      <c r="AL503" s="95"/>
      <c r="AM503" s="95"/>
      <c r="AN503" s="95"/>
      <c r="AO503" s="95"/>
      <c r="AP503" s="95"/>
      <c r="AQ503" s="95"/>
      <c r="AR503" s="95"/>
      <c r="AS503" s="95"/>
      <c r="AT503" s="95"/>
      <c r="AU503" s="95"/>
      <c r="AV503" s="95"/>
      <c r="AW503" s="95"/>
      <c r="AX503" s="95"/>
    </row>
    <row r="504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  <c r="AC504" s="95"/>
      <c r="AD504" s="95"/>
      <c r="AE504" s="95"/>
      <c r="AF504" s="95"/>
      <c r="AG504" s="95"/>
      <c r="AH504" s="95"/>
      <c r="AI504" s="95"/>
      <c r="AJ504" s="95"/>
      <c r="AK504" s="95"/>
      <c r="AL504" s="95"/>
      <c r="AM504" s="95"/>
      <c r="AN504" s="95"/>
      <c r="AO504" s="95"/>
      <c r="AP504" s="95"/>
      <c r="AQ504" s="95"/>
      <c r="AR504" s="95"/>
      <c r="AS504" s="95"/>
      <c r="AT504" s="95"/>
      <c r="AU504" s="95"/>
      <c r="AV504" s="95"/>
      <c r="AW504" s="95"/>
      <c r="AX504" s="95"/>
    </row>
    <row r="505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  <c r="AC505" s="95"/>
      <c r="AD505" s="95"/>
      <c r="AE505" s="95"/>
      <c r="AF505" s="95"/>
      <c r="AG505" s="95"/>
      <c r="AH505" s="95"/>
      <c r="AI505" s="95"/>
      <c r="AJ505" s="95"/>
      <c r="AK505" s="95"/>
      <c r="AL505" s="95"/>
      <c r="AM505" s="95"/>
      <c r="AN505" s="95"/>
      <c r="AO505" s="95"/>
      <c r="AP505" s="95"/>
      <c r="AQ505" s="95"/>
      <c r="AR505" s="95"/>
      <c r="AS505" s="95"/>
      <c r="AT505" s="95"/>
      <c r="AU505" s="95"/>
      <c r="AV505" s="95"/>
      <c r="AW505" s="95"/>
      <c r="AX505" s="95"/>
    </row>
    <row r="506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  <c r="AC506" s="95"/>
      <c r="AD506" s="95"/>
      <c r="AE506" s="95"/>
      <c r="AF506" s="95"/>
      <c r="AG506" s="95"/>
      <c r="AH506" s="95"/>
      <c r="AI506" s="95"/>
      <c r="AJ506" s="95"/>
      <c r="AK506" s="95"/>
      <c r="AL506" s="95"/>
      <c r="AM506" s="95"/>
      <c r="AN506" s="95"/>
      <c r="AO506" s="95"/>
      <c r="AP506" s="95"/>
      <c r="AQ506" s="95"/>
      <c r="AR506" s="95"/>
      <c r="AS506" s="95"/>
      <c r="AT506" s="95"/>
      <c r="AU506" s="95"/>
      <c r="AV506" s="95"/>
      <c r="AW506" s="95"/>
      <c r="AX506" s="95"/>
    </row>
    <row r="507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  <c r="AC507" s="95"/>
      <c r="AD507" s="95"/>
      <c r="AE507" s="95"/>
      <c r="AF507" s="95"/>
      <c r="AG507" s="95"/>
      <c r="AH507" s="95"/>
      <c r="AI507" s="95"/>
      <c r="AJ507" s="95"/>
      <c r="AK507" s="95"/>
      <c r="AL507" s="95"/>
      <c r="AM507" s="95"/>
      <c r="AN507" s="95"/>
      <c r="AO507" s="95"/>
      <c r="AP507" s="95"/>
      <c r="AQ507" s="95"/>
      <c r="AR507" s="95"/>
      <c r="AS507" s="95"/>
      <c r="AT507" s="95"/>
      <c r="AU507" s="95"/>
      <c r="AV507" s="95"/>
      <c r="AW507" s="95"/>
      <c r="AX507" s="95"/>
    </row>
    <row r="508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  <c r="AC508" s="95"/>
      <c r="AD508" s="95"/>
      <c r="AE508" s="95"/>
      <c r="AF508" s="95"/>
      <c r="AG508" s="95"/>
      <c r="AH508" s="95"/>
      <c r="AI508" s="95"/>
      <c r="AJ508" s="95"/>
      <c r="AK508" s="95"/>
      <c r="AL508" s="95"/>
      <c r="AM508" s="95"/>
      <c r="AN508" s="95"/>
      <c r="AO508" s="95"/>
      <c r="AP508" s="95"/>
      <c r="AQ508" s="95"/>
      <c r="AR508" s="95"/>
      <c r="AS508" s="95"/>
      <c r="AT508" s="95"/>
      <c r="AU508" s="95"/>
      <c r="AV508" s="95"/>
      <c r="AW508" s="95"/>
      <c r="AX508" s="95"/>
    </row>
    <row r="509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  <c r="AC509" s="95"/>
      <c r="AD509" s="95"/>
      <c r="AE509" s="95"/>
      <c r="AF509" s="95"/>
      <c r="AG509" s="95"/>
      <c r="AH509" s="95"/>
      <c r="AI509" s="95"/>
      <c r="AJ509" s="95"/>
      <c r="AK509" s="95"/>
      <c r="AL509" s="95"/>
      <c r="AM509" s="95"/>
      <c r="AN509" s="95"/>
      <c r="AO509" s="95"/>
      <c r="AP509" s="95"/>
      <c r="AQ509" s="95"/>
      <c r="AR509" s="95"/>
      <c r="AS509" s="95"/>
      <c r="AT509" s="95"/>
      <c r="AU509" s="95"/>
      <c r="AV509" s="95"/>
      <c r="AW509" s="95"/>
      <c r="AX509" s="95"/>
    </row>
    <row r="510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  <c r="AC510" s="95"/>
      <c r="AD510" s="95"/>
      <c r="AE510" s="95"/>
      <c r="AF510" s="95"/>
      <c r="AG510" s="95"/>
      <c r="AH510" s="95"/>
      <c r="AI510" s="95"/>
      <c r="AJ510" s="95"/>
      <c r="AK510" s="95"/>
      <c r="AL510" s="95"/>
      <c r="AM510" s="95"/>
      <c r="AN510" s="95"/>
      <c r="AO510" s="95"/>
      <c r="AP510" s="95"/>
      <c r="AQ510" s="95"/>
      <c r="AR510" s="95"/>
      <c r="AS510" s="95"/>
      <c r="AT510" s="95"/>
      <c r="AU510" s="95"/>
      <c r="AV510" s="95"/>
      <c r="AW510" s="95"/>
      <c r="AX510" s="95"/>
    </row>
    <row r="51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  <c r="AC511" s="95"/>
      <c r="AD511" s="95"/>
      <c r="AE511" s="95"/>
      <c r="AF511" s="95"/>
      <c r="AG511" s="95"/>
      <c r="AH511" s="95"/>
      <c r="AI511" s="95"/>
      <c r="AJ511" s="95"/>
      <c r="AK511" s="95"/>
      <c r="AL511" s="95"/>
      <c r="AM511" s="95"/>
      <c r="AN511" s="95"/>
      <c r="AO511" s="95"/>
      <c r="AP511" s="95"/>
      <c r="AQ511" s="95"/>
      <c r="AR511" s="95"/>
      <c r="AS511" s="95"/>
      <c r="AT511" s="95"/>
      <c r="AU511" s="95"/>
      <c r="AV511" s="95"/>
      <c r="AW511" s="95"/>
      <c r="AX511" s="95"/>
    </row>
    <row r="512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  <c r="AC512" s="95"/>
      <c r="AD512" s="95"/>
      <c r="AE512" s="95"/>
      <c r="AF512" s="95"/>
      <c r="AG512" s="95"/>
      <c r="AH512" s="95"/>
      <c r="AI512" s="95"/>
      <c r="AJ512" s="95"/>
      <c r="AK512" s="95"/>
      <c r="AL512" s="95"/>
      <c r="AM512" s="95"/>
      <c r="AN512" s="95"/>
      <c r="AO512" s="95"/>
      <c r="AP512" s="95"/>
      <c r="AQ512" s="95"/>
      <c r="AR512" s="95"/>
      <c r="AS512" s="95"/>
      <c r="AT512" s="95"/>
      <c r="AU512" s="95"/>
      <c r="AV512" s="95"/>
      <c r="AW512" s="95"/>
      <c r="AX512" s="95"/>
    </row>
    <row r="51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  <c r="AC513" s="95"/>
      <c r="AD513" s="95"/>
      <c r="AE513" s="95"/>
      <c r="AF513" s="95"/>
      <c r="AG513" s="95"/>
      <c r="AH513" s="95"/>
      <c r="AI513" s="95"/>
      <c r="AJ513" s="95"/>
      <c r="AK513" s="95"/>
      <c r="AL513" s="95"/>
      <c r="AM513" s="95"/>
      <c r="AN513" s="95"/>
      <c r="AO513" s="95"/>
      <c r="AP513" s="95"/>
      <c r="AQ513" s="95"/>
      <c r="AR513" s="95"/>
      <c r="AS513" s="95"/>
      <c r="AT513" s="95"/>
      <c r="AU513" s="95"/>
      <c r="AV513" s="95"/>
      <c r="AW513" s="95"/>
      <c r="AX513" s="95"/>
    </row>
    <row r="514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  <c r="AC514" s="95"/>
      <c r="AD514" s="95"/>
      <c r="AE514" s="95"/>
      <c r="AF514" s="95"/>
      <c r="AG514" s="95"/>
      <c r="AH514" s="95"/>
      <c r="AI514" s="95"/>
      <c r="AJ514" s="95"/>
      <c r="AK514" s="95"/>
      <c r="AL514" s="95"/>
      <c r="AM514" s="95"/>
      <c r="AN514" s="95"/>
      <c r="AO514" s="95"/>
      <c r="AP514" s="95"/>
      <c r="AQ514" s="95"/>
      <c r="AR514" s="95"/>
      <c r="AS514" s="95"/>
      <c r="AT514" s="95"/>
      <c r="AU514" s="95"/>
      <c r="AV514" s="95"/>
      <c r="AW514" s="95"/>
      <c r="AX514" s="95"/>
    </row>
    <row r="515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  <c r="AC515" s="95"/>
      <c r="AD515" s="95"/>
      <c r="AE515" s="95"/>
      <c r="AF515" s="95"/>
      <c r="AG515" s="95"/>
      <c r="AH515" s="95"/>
      <c r="AI515" s="95"/>
      <c r="AJ515" s="95"/>
      <c r="AK515" s="95"/>
      <c r="AL515" s="95"/>
      <c r="AM515" s="95"/>
      <c r="AN515" s="95"/>
      <c r="AO515" s="95"/>
      <c r="AP515" s="95"/>
      <c r="AQ515" s="95"/>
      <c r="AR515" s="95"/>
      <c r="AS515" s="95"/>
      <c r="AT515" s="95"/>
      <c r="AU515" s="95"/>
      <c r="AV515" s="95"/>
      <c r="AW515" s="95"/>
      <c r="AX515" s="95"/>
    </row>
    <row r="516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  <c r="AC516" s="95"/>
      <c r="AD516" s="95"/>
      <c r="AE516" s="95"/>
      <c r="AF516" s="95"/>
      <c r="AG516" s="95"/>
      <c r="AH516" s="95"/>
      <c r="AI516" s="95"/>
      <c r="AJ516" s="95"/>
      <c r="AK516" s="95"/>
      <c r="AL516" s="95"/>
      <c r="AM516" s="95"/>
      <c r="AN516" s="95"/>
      <c r="AO516" s="95"/>
      <c r="AP516" s="95"/>
      <c r="AQ516" s="95"/>
      <c r="AR516" s="95"/>
      <c r="AS516" s="95"/>
      <c r="AT516" s="95"/>
      <c r="AU516" s="95"/>
      <c r="AV516" s="95"/>
      <c r="AW516" s="95"/>
      <c r="AX516" s="95"/>
    </row>
    <row r="517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  <c r="AC517" s="95"/>
      <c r="AD517" s="95"/>
      <c r="AE517" s="95"/>
      <c r="AF517" s="95"/>
      <c r="AG517" s="95"/>
      <c r="AH517" s="95"/>
      <c r="AI517" s="95"/>
      <c r="AJ517" s="95"/>
      <c r="AK517" s="95"/>
      <c r="AL517" s="95"/>
      <c r="AM517" s="95"/>
      <c r="AN517" s="95"/>
      <c r="AO517" s="95"/>
      <c r="AP517" s="95"/>
      <c r="AQ517" s="95"/>
      <c r="AR517" s="95"/>
      <c r="AS517" s="95"/>
      <c r="AT517" s="95"/>
      <c r="AU517" s="95"/>
      <c r="AV517" s="95"/>
      <c r="AW517" s="95"/>
      <c r="AX517" s="95"/>
    </row>
    <row r="518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  <c r="AC518" s="95"/>
      <c r="AD518" s="95"/>
      <c r="AE518" s="95"/>
      <c r="AF518" s="95"/>
      <c r="AG518" s="95"/>
      <c r="AH518" s="95"/>
      <c r="AI518" s="95"/>
      <c r="AJ518" s="95"/>
      <c r="AK518" s="95"/>
      <c r="AL518" s="95"/>
      <c r="AM518" s="95"/>
      <c r="AN518" s="95"/>
      <c r="AO518" s="95"/>
      <c r="AP518" s="95"/>
      <c r="AQ518" s="95"/>
      <c r="AR518" s="95"/>
      <c r="AS518" s="95"/>
      <c r="AT518" s="95"/>
      <c r="AU518" s="95"/>
      <c r="AV518" s="95"/>
      <c r="AW518" s="95"/>
      <c r="AX518" s="95"/>
    </row>
    <row r="519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  <c r="AC519" s="95"/>
      <c r="AD519" s="95"/>
      <c r="AE519" s="95"/>
      <c r="AF519" s="95"/>
      <c r="AG519" s="95"/>
      <c r="AH519" s="95"/>
      <c r="AI519" s="95"/>
      <c r="AJ519" s="95"/>
      <c r="AK519" s="95"/>
      <c r="AL519" s="95"/>
      <c r="AM519" s="95"/>
      <c r="AN519" s="95"/>
      <c r="AO519" s="95"/>
      <c r="AP519" s="95"/>
      <c r="AQ519" s="95"/>
      <c r="AR519" s="95"/>
      <c r="AS519" s="95"/>
      <c r="AT519" s="95"/>
      <c r="AU519" s="95"/>
      <c r="AV519" s="95"/>
      <c r="AW519" s="95"/>
      <c r="AX519" s="95"/>
    </row>
    <row r="520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  <c r="AC520" s="95"/>
      <c r="AD520" s="95"/>
      <c r="AE520" s="95"/>
      <c r="AF520" s="95"/>
      <c r="AG520" s="95"/>
      <c r="AH520" s="95"/>
      <c r="AI520" s="95"/>
      <c r="AJ520" s="95"/>
      <c r="AK520" s="95"/>
      <c r="AL520" s="95"/>
      <c r="AM520" s="95"/>
      <c r="AN520" s="95"/>
      <c r="AO520" s="95"/>
      <c r="AP520" s="95"/>
      <c r="AQ520" s="95"/>
      <c r="AR520" s="95"/>
      <c r="AS520" s="95"/>
      <c r="AT520" s="95"/>
      <c r="AU520" s="95"/>
      <c r="AV520" s="95"/>
      <c r="AW520" s="95"/>
      <c r="AX520" s="95"/>
    </row>
    <row r="52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  <c r="AC521" s="95"/>
      <c r="AD521" s="95"/>
      <c r="AE521" s="95"/>
      <c r="AF521" s="95"/>
      <c r="AG521" s="95"/>
      <c r="AH521" s="95"/>
      <c r="AI521" s="95"/>
      <c r="AJ521" s="95"/>
      <c r="AK521" s="95"/>
      <c r="AL521" s="95"/>
      <c r="AM521" s="95"/>
      <c r="AN521" s="95"/>
      <c r="AO521" s="95"/>
      <c r="AP521" s="95"/>
      <c r="AQ521" s="95"/>
      <c r="AR521" s="95"/>
      <c r="AS521" s="95"/>
      <c r="AT521" s="95"/>
      <c r="AU521" s="95"/>
      <c r="AV521" s="95"/>
      <c r="AW521" s="95"/>
      <c r="AX521" s="95"/>
    </row>
    <row r="522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  <c r="AC522" s="95"/>
      <c r="AD522" s="95"/>
      <c r="AE522" s="95"/>
      <c r="AF522" s="95"/>
      <c r="AG522" s="95"/>
      <c r="AH522" s="95"/>
      <c r="AI522" s="95"/>
      <c r="AJ522" s="95"/>
      <c r="AK522" s="95"/>
      <c r="AL522" s="95"/>
      <c r="AM522" s="95"/>
      <c r="AN522" s="95"/>
      <c r="AO522" s="95"/>
      <c r="AP522" s="95"/>
      <c r="AQ522" s="95"/>
      <c r="AR522" s="95"/>
      <c r="AS522" s="95"/>
      <c r="AT522" s="95"/>
      <c r="AU522" s="95"/>
      <c r="AV522" s="95"/>
      <c r="AW522" s="95"/>
      <c r="AX522" s="95"/>
    </row>
    <row r="52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  <c r="AC523" s="95"/>
      <c r="AD523" s="95"/>
      <c r="AE523" s="95"/>
      <c r="AF523" s="95"/>
      <c r="AG523" s="95"/>
      <c r="AH523" s="95"/>
      <c r="AI523" s="95"/>
      <c r="AJ523" s="95"/>
      <c r="AK523" s="95"/>
      <c r="AL523" s="95"/>
      <c r="AM523" s="95"/>
      <c r="AN523" s="95"/>
      <c r="AO523" s="95"/>
      <c r="AP523" s="95"/>
      <c r="AQ523" s="95"/>
      <c r="AR523" s="95"/>
      <c r="AS523" s="95"/>
      <c r="AT523" s="95"/>
      <c r="AU523" s="95"/>
      <c r="AV523" s="95"/>
      <c r="AW523" s="95"/>
      <c r="AX523" s="95"/>
    </row>
    <row r="524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  <c r="AC524" s="95"/>
      <c r="AD524" s="95"/>
      <c r="AE524" s="95"/>
      <c r="AF524" s="95"/>
      <c r="AG524" s="95"/>
      <c r="AH524" s="95"/>
      <c r="AI524" s="95"/>
      <c r="AJ524" s="95"/>
      <c r="AK524" s="95"/>
      <c r="AL524" s="95"/>
      <c r="AM524" s="95"/>
      <c r="AN524" s="95"/>
      <c r="AO524" s="95"/>
      <c r="AP524" s="95"/>
      <c r="AQ524" s="95"/>
      <c r="AR524" s="95"/>
      <c r="AS524" s="95"/>
      <c r="AT524" s="95"/>
      <c r="AU524" s="95"/>
      <c r="AV524" s="95"/>
      <c r="AW524" s="95"/>
      <c r="AX524" s="95"/>
    </row>
    <row r="525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  <c r="AC525" s="95"/>
      <c r="AD525" s="95"/>
      <c r="AE525" s="95"/>
      <c r="AF525" s="95"/>
      <c r="AG525" s="95"/>
      <c r="AH525" s="95"/>
      <c r="AI525" s="95"/>
      <c r="AJ525" s="95"/>
      <c r="AK525" s="95"/>
      <c r="AL525" s="95"/>
      <c r="AM525" s="95"/>
      <c r="AN525" s="95"/>
      <c r="AO525" s="95"/>
      <c r="AP525" s="95"/>
      <c r="AQ525" s="95"/>
      <c r="AR525" s="95"/>
      <c r="AS525" s="95"/>
      <c r="AT525" s="95"/>
      <c r="AU525" s="95"/>
      <c r="AV525" s="95"/>
      <c r="AW525" s="95"/>
      <c r="AX525" s="95"/>
    </row>
    <row r="526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  <c r="AC526" s="95"/>
      <c r="AD526" s="95"/>
      <c r="AE526" s="95"/>
      <c r="AF526" s="95"/>
      <c r="AG526" s="95"/>
      <c r="AH526" s="95"/>
      <c r="AI526" s="95"/>
      <c r="AJ526" s="95"/>
      <c r="AK526" s="95"/>
      <c r="AL526" s="95"/>
      <c r="AM526" s="95"/>
      <c r="AN526" s="95"/>
      <c r="AO526" s="95"/>
      <c r="AP526" s="95"/>
      <c r="AQ526" s="95"/>
      <c r="AR526" s="95"/>
      <c r="AS526" s="95"/>
      <c r="AT526" s="95"/>
      <c r="AU526" s="95"/>
      <c r="AV526" s="95"/>
      <c r="AW526" s="95"/>
      <c r="AX526" s="95"/>
    </row>
    <row r="527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  <c r="AC527" s="95"/>
      <c r="AD527" s="95"/>
      <c r="AE527" s="95"/>
      <c r="AF527" s="95"/>
      <c r="AG527" s="95"/>
      <c r="AH527" s="95"/>
      <c r="AI527" s="95"/>
      <c r="AJ527" s="95"/>
      <c r="AK527" s="95"/>
      <c r="AL527" s="95"/>
      <c r="AM527" s="95"/>
      <c r="AN527" s="95"/>
      <c r="AO527" s="95"/>
      <c r="AP527" s="95"/>
      <c r="AQ527" s="95"/>
      <c r="AR527" s="95"/>
      <c r="AS527" s="95"/>
      <c r="AT527" s="95"/>
      <c r="AU527" s="95"/>
      <c r="AV527" s="95"/>
      <c r="AW527" s="95"/>
      <c r="AX527" s="95"/>
    </row>
    <row r="528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  <c r="AC528" s="95"/>
      <c r="AD528" s="95"/>
      <c r="AE528" s="95"/>
      <c r="AF528" s="95"/>
      <c r="AG528" s="95"/>
      <c r="AH528" s="95"/>
      <c r="AI528" s="95"/>
      <c r="AJ528" s="95"/>
      <c r="AK528" s="95"/>
      <c r="AL528" s="95"/>
      <c r="AM528" s="95"/>
      <c r="AN528" s="95"/>
      <c r="AO528" s="95"/>
      <c r="AP528" s="95"/>
      <c r="AQ528" s="95"/>
      <c r="AR528" s="95"/>
      <c r="AS528" s="95"/>
      <c r="AT528" s="95"/>
      <c r="AU528" s="95"/>
      <c r="AV528" s="95"/>
      <c r="AW528" s="95"/>
      <c r="AX528" s="95"/>
    </row>
    <row r="529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  <c r="AC529" s="95"/>
      <c r="AD529" s="95"/>
      <c r="AE529" s="95"/>
      <c r="AF529" s="95"/>
      <c r="AG529" s="95"/>
      <c r="AH529" s="95"/>
      <c r="AI529" s="95"/>
      <c r="AJ529" s="95"/>
      <c r="AK529" s="95"/>
      <c r="AL529" s="95"/>
      <c r="AM529" s="95"/>
      <c r="AN529" s="95"/>
      <c r="AO529" s="95"/>
      <c r="AP529" s="95"/>
      <c r="AQ529" s="95"/>
      <c r="AR529" s="95"/>
      <c r="AS529" s="95"/>
      <c r="AT529" s="95"/>
      <c r="AU529" s="95"/>
      <c r="AV529" s="95"/>
      <c r="AW529" s="95"/>
      <c r="AX529" s="95"/>
    </row>
    <row r="530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  <c r="AC530" s="95"/>
      <c r="AD530" s="95"/>
      <c r="AE530" s="95"/>
      <c r="AF530" s="95"/>
      <c r="AG530" s="95"/>
      <c r="AH530" s="95"/>
      <c r="AI530" s="95"/>
      <c r="AJ530" s="95"/>
      <c r="AK530" s="95"/>
      <c r="AL530" s="95"/>
      <c r="AM530" s="95"/>
      <c r="AN530" s="95"/>
      <c r="AO530" s="95"/>
      <c r="AP530" s="95"/>
      <c r="AQ530" s="95"/>
      <c r="AR530" s="95"/>
      <c r="AS530" s="95"/>
      <c r="AT530" s="95"/>
      <c r="AU530" s="95"/>
      <c r="AV530" s="95"/>
      <c r="AW530" s="95"/>
      <c r="AX530" s="95"/>
    </row>
    <row r="53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  <c r="AC531" s="95"/>
      <c r="AD531" s="95"/>
      <c r="AE531" s="95"/>
      <c r="AF531" s="95"/>
      <c r="AG531" s="95"/>
      <c r="AH531" s="95"/>
      <c r="AI531" s="95"/>
      <c r="AJ531" s="95"/>
      <c r="AK531" s="95"/>
      <c r="AL531" s="95"/>
      <c r="AM531" s="95"/>
      <c r="AN531" s="95"/>
      <c r="AO531" s="95"/>
      <c r="AP531" s="95"/>
      <c r="AQ531" s="95"/>
      <c r="AR531" s="95"/>
      <c r="AS531" s="95"/>
      <c r="AT531" s="95"/>
      <c r="AU531" s="95"/>
      <c r="AV531" s="95"/>
      <c r="AW531" s="95"/>
      <c r="AX531" s="95"/>
    </row>
    <row r="532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  <c r="AC532" s="95"/>
      <c r="AD532" s="95"/>
      <c r="AE532" s="95"/>
      <c r="AF532" s="95"/>
      <c r="AG532" s="95"/>
      <c r="AH532" s="95"/>
      <c r="AI532" s="95"/>
      <c r="AJ532" s="95"/>
      <c r="AK532" s="95"/>
      <c r="AL532" s="95"/>
      <c r="AM532" s="95"/>
      <c r="AN532" s="95"/>
      <c r="AO532" s="95"/>
      <c r="AP532" s="95"/>
      <c r="AQ532" s="95"/>
      <c r="AR532" s="95"/>
      <c r="AS532" s="95"/>
      <c r="AT532" s="95"/>
      <c r="AU532" s="95"/>
      <c r="AV532" s="95"/>
      <c r="AW532" s="95"/>
      <c r="AX532" s="95"/>
    </row>
    <row r="53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  <c r="AC533" s="95"/>
      <c r="AD533" s="95"/>
      <c r="AE533" s="95"/>
      <c r="AF533" s="95"/>
      <c r="AG533" s="95"/>
      <c r="AH533" s="95"/>
      <c r="AI533" s="95"/>
      <c r="AJ533" s="95"/>
      <c r="AK533" s="95"/>
      <c r="AL533" s="95"/>
      <c r="AM533" s="95"/>
      <c r="AN533" s="95"/>
      <c r="AO533" s="95"/>
      <c r="AP533" s="95"/>
      <c r="AQ533" s="95"/>
      <c r="AR533" s="95"/>
      <c r="AS533" s="95"/>
      <c r="AT533" s="95"/>
      <c r="AU533" s="95"/>
      <c r="AV533" s="95"/>
      <c r="AW533" s="95"/>
      <c r="AX533" s="95"/>
    </row>
    <row r="534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  <c r="AC534" s="95"/>
      <c r="AD534" s="95"/>
      <c r="AE534" s="95"/>
      <c r="AF534" s="95"/>
      <c r="AG534" s="95"/>
      <c r="AH534" s="95"/>
      <c r="AI534" s="95"/>
      <c r="AJ534" s="95"/>
      <c r="AK534" s="95"/>
      <c r="AL534" s="95"/>
      <c r="AM534" s="95"/>
      <c r="AN534" s="95"/>
      <c r="AO534" s="95"/>
      <c r="AP534" s="95"/>
      <c r="AQ534" s="95"/>
      <c r="AR534" s="95"/>
      <c r="AS534" s="95"/>
      <c r="AT534" s="95"/>
      <c r="AU534" s="95"/>
      <c r="AV534" s="95"/>
      <c r="AW534" s="95"/>
      <c r="AX534" s="95"/>
    </row>
    <row r="535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  <c r="AC535" s="95"/>
      <c r="AD535" s="95"/>
      <c r="AE535" s="95"/>
      <c r="AF535" s="95"/>
      <c r="AG535" s="95"/>
      <c r="AH535" s="95"/>
      <c r="AI535" s="95"/>
      <c r="AJ535" s="95"/>
      <c r="AK535" s="95"/>
      <c r="AL535" s="95"/>
      <c r="AM535" s="95"/>
      <c r="AN535" s="95"/>
      <c r="AO535" s="95"/>
      <c r="AP535" s="95"/>
      <c r="AQ535" s="95"/>
      <c r="AR535" s="95"/>
      <c r="AS535" s="95"/>
      <c r="AT535" s="95"/>
      <c r="AU535" s="95"/>
      <c r="AV535" s="95"/>
      <c r="AW535" s="95"/>
      <c r="AX535" s="95"/>
    </row>
    <row r="536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  <c r="AC536" s="95"/>
      <c r="AD536" s="95"/>
      <c r="AE536" s="95"/>
      <c r="AF536" s="95"/>
      <c r="AG536" s="95"/>
      <c r="AH536" s="95"/>
      <c r="AI536" s="95"/>
      <c r="AJ536" s="95"/>
      <c r="AK536" s="95"/>
      <c r="AL536" s="95"/>
      <c r="AM536" s="95"/>
      <c r="AN536" s="95"/>
      <c r="AO536" s="95"/>
      <c r="AP536" s="95"/>
      <c r="AQ536" s="95"/>
      <c r="AR536" s="95"/>
      <c r="AS536" s="95"/>
      <c r="AT536" s="95"/>
      <c r="AU536" s="95"/>
      <c r="AV536" s="95"/>
      <c r="AW536" s="95"/>
      <c r="AX536" s="95"/>
    </row>
    <row r="537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  <c r="AC537" s="95"/>
      <c r="AD537" s="95"/>
      <c r="AE537" s="95"/>
      <c r="AF537" s="95"/>
      <c r="AG537" s="95"/>
      <c r="AH537" s="95"/>
      <c r="AI537" s="95"/>
      <c r="AJ537" s="95"/>
      <c r="AK537" s="95"/>
      <c r="AL537" s="95"/>
      <c r="AM537" s="95"/>
      <c r="AN537" s="95"/>
      <c r="AO537" s="95"/>
      <c r="AP537" s="95"/>
      <c r="AQ537" s="95"/>
      <c r="AR537" s="95"/>
      <c r="AS537" s="95"/>
      <c r="AT537" s="95"/>
      <c r="AU537" s="95"/>
      <c r="AV537" s="95"/>
      <c r="AW537" s="95"/>
      <c r="AX537" s="95"/>
    </row>
    <row r="538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</row>
    <row r="539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  <c r="AC539" s="95"/>
      <c r="AD539" s="95"/>
      <c r="AE539" s="95"/>
      <c r="AF539" s="95"/>
      <c r="AG539" s="95"/>
      <c r="AH539" s="95"/>
      <c r="AI539" s="95"/>
      <c r="AJ539" s="95"/>
      <c r="AK539" s="95"/>
      <c r="AL539" s="95"/>
      <c r="AM539" s="95"/>
      <c r="AN539" s="95"/>
      <c r="AO539" s="95"/>
      <c r="AP539" s="95"/>
      <c r="AQ539" s="95"/>
      <c r="AR539" s="95"/>
      <c r="AS539" s="95"/>
      <c r="AT539" s="95"/>
      <c r="AU539" s="95"/>
      <c r="AV539" s="95"/>
      <c r="AW539" s="95"/>
      <c r="AX539" s="95"/>
    </row>
    <row r="540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  <c r="AC540" s="95"/>
      <c r="AD540" s="95"/>
      <c r="AE540" s="95"/>
      <c r="AF540" s="95"/>
      <c r="AG540" s="95"/>
      <c r="AH540" s="95"/>
      <c r="AI540" s="95"/>
      <c r="AJ540" s="95"/>
      <c r="AK540" s="95"/>
      <c r="AL540" s="95"/>
      <c r="AM540" s="95"/>
      <c r="AN540" s="95"/>
      <c r="AO540" s="95"/>
      <c r="AP540" s="95"/>
      <c r="AQ540" s="95"/>
      <c r="AR540" s="95"/>
      <c r="AS540" s="95"/>
      <c r="AT540" s="95"/>
      <c r="AU540" s="95"/>
      <c r="AV540" s="95"/>
      <c r="AW540" s="95"/>
      <c r="AX540" s="95"/>
    </row>
    <row r="54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  <c r="AC541" s="95"/>
      <c r="AD541" s="95"/>
      <c r="AE541" s="95"/>
      <c r="AF541" s="95"/>
      <c r="AG541" s="95"/>
      <c r="AH541" s="95"/>
      <c r="AI541" s="95"/>
      <c r="AJ541" s="95"/>
      <c r="AK541" s="95"/>
      <c r="AL541" s="95"/>
      <c r="AM541" s="95"/>
      <c r="AN541" s="95"/>
      <c r="AO541" s="95"/>
      <c r="AP541" s="95"/>
      <c r="AQ541" s="95"/>
      <c r="AR541" s="95"/>
      <c r="AS541" s="95"/>
      <c r="AT541" s="95"/>
      <c r="AU541" s="95"/>
      <c r="AV541" s="95"/>
      <c r="AW541" s="95"/>
      <c r="AX541" s="95"/>
    </row>
    <row r="542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  <c r="AC542" s="95"/>
      <c r="AD542" s="95"/>
      <c r="AE542" s="95"/>
      <c r="AF542" s="95"/>
      <c r="AG542" s="95"/>
      <c r="AH542" s="95"/>
      <c r="AI542" s="95"/>
      <c r="AJ542" s="95"/>
      <c r="AK542" s="95"/>
      <c r="AL542" s="95"/>
      <c r="AM542" s="95"/>
      <c r="AN542" s="95"/>
      <c r="AO542" s="95"/>
      <c r="AP542" s="95"/>
      <c r="AQ542" s="95"/>
      <c r="AR542" s="95"/>
      <c r="AS542" s="95"/>
      <c r="AT542" s="95"/>
      <c r="AU542" s="95"/>
      <c r="AV542" s="95"/>
      <c r="AW542" s="95"/>
      <c r="AX542" s="95"/>
    </row>
    <row r="54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  <c r="AC543" s="95"/>
      <c r="AD543" s="95"/>
      <c r="AE543" s="95"/>
      <c r="AF543" s="95"/>
      <c r="AG543" s="95"/>
      <c r="AH543" s="95"/>
      <c r="AI543" s="95"/>
      <c r="AJ543" s="95"/>
      <c r="AK543" s="95"/>
      <c r="AL543" s="95"/>
      <c r="AM543" s="95"/>
      <c r="AN543" s="95"/>
      <c r="AO543" s="95"/>
      <c r="AP543" s="95"/>
      <c r="AQ543" s="95"/>
      <c r="AR543" s="95"/>
      <c r="AS543" s="95"/>
      <c r="AT543" s="95"/>
      <c r="AU543" s="95"/>
      <c r="AV543" s="95"/>
      <c r="AW543" s="95"/>
      <c r="AX543" s="95"/>
    </row>
    <row r="544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  <c r="AC544" s="95"/>
      <c r="AD544" s="95"/>
      <c r="AE544" s="95"/>
      <c r="AF544" s="95"/>
      <c r="AG544" s="95"/>
      <c r="AH544" s="95"/>
      <c r="AI544" s="95"/>
      <c r="AJ544" s="95"/>
      <c r="AK544" s="95"/>
      <c r="AL544" s="95"/>
      <c r="AM544" s="95"/>
      <c r="AN544" s="95"/>
      <c r="AO544" s="95"/>
      <c r="AP544" s="95"/>
      <c r="AQ544" s="95"/>
      <c r="AR544" s="95"/>
      <c r="AS544" s="95"/>
      <c r="AT544" s="95"/>
      <c r="AU544" s="95"/>
      <c r="AV544" s="95"/>
      <c r="AW544" s="95"/>
      <c r="AX544" s="95"/>
    </row>
    <row r="545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  <c r="AC545" s="95"/>
      <c r="AD545" s="95"/>
      <c r="AE545" s="95"/>
      <c r="AF545" s="95"/>
      <c r="AG545" s="95"/>
      <c r="AH545" s="95"/>
      <c r="AI545" s="95"/>
      <c r="AJ545" s="95"/>
      <c r="AK545" s="95"/>
      <c r="AL545" s="95"/>
      <c r="AM545" s="95"/>
      <c r="AN545" s="95"/>
      <c r="AO545" s="95"/>
      <c r="AP545" s="95"/>
      <c r="AQ545" s="95"/>
      <c r="AR545" s="95"/>
      <c r="AS545" s="95"/>
      <c r="AT545" s="95"/>
      <c r="AU545" s="95"/>
      <c r="AV545" s="95"/>
      <c r="AW545" s="95"/>
      <c r="AX545" s="95"/>
    </row>
    <row r="546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  <c r="AC546" s="95"/>
      <c r="AD546" s="95"/>
      <c r="AE546" s="95"/>
      <c r="AF546" s="95"/>
      <c r="AG546" s="95"/>
      <c r="AH546" s="95"/>
      <c r="AI546" s="95"/>
      <c r="AJ546" s="95"/>
      <c r="AK546" s="95"/>
      <c r="AL546" s="95"/>
      <c r="AM546" s="95"/>
      <c r="AN546" s="95"/>
      <c r="AO546" s="95"/>
      <c r="AP546" s="95"/>
      <c r="AQ546" s="95"/>
      <c r="AR546" s="95"/>
      <c r="AS546" s="95"/>
      <c r="AT546" s="95"/>
      <c r="AU546" s="95"/>
      <c r="AV546" s="95"/>
      <c r="AW546" s="95"/>
      <c r="AX546" s="95"/>
    </row>
    <row r="547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  <c r="AC547" s="95"/>
      <c r="AD547" s="95"/>
      <c r="AE547" s="95"/>
      <c r="AF547" s="95"/>
      <c r="AG547" s="95"/>
      <c r="AH547" s="95"/>
      <c r="AI547" s="95"/>
      <c r="AJ547" s="95"/>
      <c r="AK547" s="95"/>
      <c r="AL547" s="95"/>
      <c r="AM547" s="95"/>
      <c r="AN547" s="95"/>
      <c r="AO547" s="95"/>
      <c r="AP547" s="95"/>
      <c r="AQ547" s="95"/>
      <c r="AR547" s="95"/>
      <c r="AS547" s="95"/>
      <c r="AT547" s="95"/>
      <c r="AU547" s="95"/>
      <c r="AV547" s="95"/>
      <c r="AW547" s="95"/>
      <c r="AX547" s="95"/>
    </row>
    <row r="548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  <c r="AC548" s="95"/>
      <c r="AD548" s="95"/>
      <c r="AE548" s="95"/>
      <c r="AF548" s="95"/>
      <c r="AG548" s="95"/>
      <c r="AH548" s="95"/>
      <c r="AI548" s="95"/>
      <c r="AJ548" s="95"/>
      <c r="AK548" s="95"/>
      <c r="AL548" s="95"/>
      <c r="AM548" s="95"/>
      <c r="AN548" s="95"/>
      <c r="AO548" s="95"/>
      <c r="AP548" s="95"/>
      <c r="AQ548" s="95"/>
      <c r="AR548" s="95"/>
      <c r="AS548" s="95"/>
      <c r="AT548" s="95"/>
      <c r="AU548" s="95"/>
      <c r="AV548" s="95"/>
      <c r="AW548" s="95"/>
      <c r="AX548" s="95"/>
    </row>
    <row r="549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  <c r="AC549" s="95"/>
      <c r="AD549" s="95"/>
      <c r="AE549" s="95"/>
      <c r="AF549" s="95"/>
      <c r="AG549" s="95"/>
      <c r="AH549" s="95"/>
      <c r="AI549" s="95"/>
      <c r="AJ549" s="95"/>
      <c r="AK549" s="95"/>
      <c r="AL549" s="95"/>
      <c r="AM549" s="95"/>
      <c r="AN549" s="95"/>
      <c r="AO549" s="95"/>
      <c r="AP549" s="95"/>
      <c r="AQ549" s="95"/>
      <c r="AR549" s="95"/>
      <c r="AS549" s="95"/>
      <c r="AT549" s="95"/>
      <c r="AU549" s="95"/>
      <c r="AV549" s="95"/>
      <c r="AW549" s="95"/>
      <c r="AX549" s="95"/>
    </row>
    <row r="550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  <c r="AC550" s="95"/>
      <c r="AD550" s="95"/>
      <c r="AE550" s="95"/>
      <c r="AF550" s="95"/>
      <c r="AG550" s="95"/>
      <c r="AH550" s="95"/>
      <c r="AI550" s="95"/>
      <c r="AJ550" s="95"/>
      <c r="AK550" s="95"/>
      <c r="AL550" s="95"/>
      <c r="AM550" s="95"/>
      <c r="AN550" s="95"/>
      <c r="AO550" s="95"/>
      <c r="AP550" s="95"/>
      <c r="AQ550" s="95"/>
      <c r="AR550" s="95"/>
      <c r="AS550" s="95"/>
      <c r="AT550" s="95"/>
      <c r="AU550" s="95"/>
      <c r="AV550" s="95"/>
      <c r="AW550" s="95"/>
      <c r="AX550" s="95"/>
    </row>
    <row r="55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  <c r="AC551" s="95"/>
      <c r="AD551" s="95"/>
      <c r="AE551" s="95"/>
      <c r="AF551" s="95"/>
      <c r="AG551" s="95"/>
      <c r="AH551" s="95"/>
      <c r="AI551" s="95"/>
      <c r="AJ551" s="95"/>
      <c r="AK551" s="95"/>
      <c r="AL551" s="95"/>
      <c r="AM551" s="95"/>
      <c r="AN551" s="95"/>
      <c r="AO551" s="95"/>
      <c r="AP551" s="95"/>
      <c r="AQ551" s="95"/>
      <c r="AR551" s="95"/>
      <c r="AS551" s="95"/>
      <c r="AT551" s="95"/>
      <c r="AU551" s="95"/>
      <c r="AV551" s="95"/>
      <c r="AW551" s="95"/>
      <c r="AX551" s="95"/>
    </row>
    <row r="552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  <c r="AC552" s="95"/>
      <c r="AD552" s="95"/>
      <c r="AE552" s="95"/>
      <c r="AF552" s="95"/>
      <c r="AG552" s="95"/>
      <c r="AH552" s="95"/>
      <c r="AI552" s="95"/>
      <c r="AJ552" s="95"/>
      <c r="AK552" s="95"/>
      <c r="AL552" s="95"/>
      <c r="AM552" s="95"/>
      <c r="AN552" s="95"/>
      <c r="AO552" s="95"/>
      <c r="AP552" s="95"/>
      <c r="AQ552" s="95"/>
      <c r="AR552" s="95"/>
      <c r="AS552" s="95"/>
      <c r="AT552" s="95"/>
      <c r="AU552" s="95"/>
      <c r="AV552" s="95"/>
      <c r="AW552" s="95"/>
      <c r="AX552" s="95"/>
    </row>
    <row r="55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  <c r="AC553" s="95"/>
      <c r="AD553" s="95"/>
      <c r="AE553" s="95"/>
      <c r="AF553" s="95"/>
      <c r="AG553" s="95"/>
      <c r="AH553" s="95"/>
      <c r="AI553" s="95"/>
      <c r="AJ553" s="95"/>
      <c r="AK553" s="95"/>
      <c r="AL553" s="95"/>
      <c r="AM553" s="95"/>
      <c r="AN553" s="95"/>
      <c r="AO553" s="95"/>
      <c r="AP553" s="95"/>
      <c r="AQ553" s="95"/>
      <c r="AR553" s="95"/>
      <c r="AS553" s="95"/>
      <c r="AT553" s="95"/>
      <c r="AU553" s="95"/>
      <c r="AV553" s="95"/>
      <c r="AW553" s="95"/>
      <c r="AX553" s="95"/>
    </row>
    <row r="554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  <c r="AC554" s="95"/>
      <c r="AD554" s="95"/>
      <c r="AE554" s="95"/>
      <c r="AF554" s="95"/>
      <c r="AG554" s="95"/>
      <c r="AH554" s="95"/>
      <c r="AI554" s="95"/>
      <c r="AJ554" s="95"/>
      <c r="AK554" s="95"/>
      <c r="AL554" s="95"/>
      <c r="AM554" s="95"/>
      <c r="AN554" s="95"/>
      <c r="AO554" s="95"/>
      <c r="AP554" s="95"/>
      <c r="AQ554" s="95"/>
      <c r="AR554" s="95"/>
      <c r="AS554" s="95"/>
      <c r="AT554" s="95"/>
      <c r="AU554" s="95"/>
      <c r="AV554" s="95"/>
      <c r="AW554" s="95"/>
      <c r="AX554" s="95"/>
    </row>
    <row r="555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  <c r="AC555" s="95"/>
      <c r="AD555" s="95"/>
      <c r="AE555" s="95"/>
      <c r="AF555" s="95"/>
      <c r="AG555" s="95"/>
      <c r="AH555" s="95"/>
      <c r="AI555" s="95"/>
      <c r="AJ555" s="95"/>
      <c r="AK555" s="95"/>
      <c r="AL555" s="95"/>
      <c r="AM555" s="95"/>
      <c r="AN555" s="95"/>
      <c r="AO555" s="95"/>
      <c r="AP555" s="95"/>
      <c r="AQ555" s="95"/>
      <c r="AR555" s="95"/>
      <c r="AS555" s="95"/>
      <c r="AT555" s="95"/>
      <c r="AU555" s="95"/>
      <c r="AV555" s="95"/>
      <c r="AW555" s="95"/>
      <c r="AX555" s="95"/>
    </row>
    <row r="556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  <c r="AC556" s="95"/>
      <c r="AD556" s="95"/>
      <c r="AE556" s="95"/>
      <c r="AF556" s="95"/>
      <c r="AG556" s="95"/>
      <c r="AH556" s="95"/>
      <c r="AI556" s="95"/>
      <c r="AJ556" s="95"/>
      <c r="AK556" s="95"/>
      <c r="AL556" s="95"/>
      <c r="AM556" s="95"/>
      <c r="AN556" s="95"/>
      <c r="AO556" s="95"/>
      <c r="AP556" s="95"/>
      <c r="AQ556" s="95"/>
      <c r="AR556" s="95"/>
      <c r="AS556" s="95"/>
      <c r="AT556" s="95"/>
      <c r="AU556" s="95"/>
      <c r="AV556" s="95"/>
      <c r="AW556" s="95"/>
      <c r="AX556" s="95"/>
    </row>
    <row r="557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  <c r="AC557" s="95"/>
      <c r="AD557" s="95"/>
      <c r="AE557" s="95"/>
      <c r="AF557" s="95"/>
      <c r="AG557" s="95"/>
      <c r="AH557" s="95"/>
      <c r="AI557" s="95"/>
      <c r="AJ557" s="95"/>
      <c r="AK557" s="95"/>
      <c r="AL557" s="95"/>
      <c r="AM557" s="95"/>
      <c r="AN557" s="95"/>
      <c r="AO557" s="95"/>
      <c r="AP557" s="95"/>
      <c r="AQ557" s="95"/>
      <c r="AR557" s="95"/>
      <c r="AS557" s="95"/>
      <c r="AT557" s="95"/>
      <c r="AU557" s="95"/>
      <c r="AV557" s="95"/>
      <c r="AW557" s="95"/>
      <c r="AX557" s="95"/>
    </row>
    <row r="558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  <c r="AC558" s="95"/>
      <c r="AD558" s="95"/>
      <c r="AE558" s="95"/>
      <c r="AF558" s="95"/>
      <c r="AG558" s="95"/>
      <c r="AH558" s="95"/>
      <c r="AI558" s="95"/>
      <c r="AJ558" s="95"/>
      <c r="AK558" s="95"/>
      <c r="AL558" s="95"/>
      <c r="AM558" s="95"/>
      <c r="AN558" s="95"/>
      <c r="AO558" s="95"/>
      <c r="AP558" s="95"/>
      <c r="AQ558" s="95"/>
      <c r="AR558" s="95"/>
      <c r="AS558" s="95"/>
      <c r="AT558" s="95"/>
      <c r="AU558" s="95"/>
      <c r="AV558" s="95"/>
      <c r="AW558" s="95"/>
      <c r="AX558" s="95"/>
    </row>
    <row r="559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  <c r="AC559" s="95"/>
      <c r="AD559" s="95"/>
      <c r="AE559" s="95"/>
      <c r="AF559" s="95"/>
      <c r="AG559" s="95"/>
      <c r="AH559" s="95"/>
      <c r="AI559" s="95"/>
      <c r="AJ559" s="95"/>
      <c r="AK559" s="95"/>
      <c r="AL559" s="95"/>
      <c r="AM559" s="95"/>
      <c r="AN559" s="95"/>
      <c r="AO559" s="95"/>
      <c r="AP559" s="95"/>
      <c r="AQ559" s="95"/>
      <c r="AR559" s="95"/>
      <c r="AS559" s="95"/>
      <c r="AT559" s="95"/>
      <c r="AU559" s="95"/>
      <c r="AV559" s="95"/>
      <c r="AW559" s="95"/>
      <c r="AX559" s="95"/>
    </row>
    <row r="560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  <c r="AC560" s="95"/>
      <c r="AD560" s="95"/>
      <c r="AE560" s="95"/>
      <c r="AF560" s="95"/>
      <c r="AG560" s="95"/>
      <c r="AH560" s="95"/>
      <c r="AI560" s="95"/>
      <c r="AJ560" s="95"/>
      <c r="AK560" s="95"/>
      <c r="AL560" s="95"/>
      <c r="AM560" s="95"/>
      <c r="AN560" s="95"/>
      <c r="AO560" s="95"/>
      <c r="AP560" s="95"/>
      <c r="AQ560" s="95"/>
      <c r="AR560" s="95"/>
      <c r="AS560" s="95"/>
      <c r="AT560" s="95"/>
      <c r="AU560" s="95"/>
      <c r="AV560" s="95"/>
      <c r="AW560" s="95"/>
      <c r="AX560" s="95"/>
    </row>
    <row r="56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  <c r="AC561" s="95"/>
      <c r="AD561" s="95"/>
      <c r="AE561" s="95"/>
      <c r="AF561" s="95"/>
      <c r="AG561" s="95"/>
      <c r="AH561" s="95"/>
      <c r="AI561" s="95"/>
      <c r="AJ561" s="95"/>
      <c r="AK561" s="95"/>
      <c r="AL561" s="95"/>
      <c r="AM561" s="95"/>
      <c r="AN561" s="95"/>
      <c r="AO561" s="95"/>
      <c r="AP561" s="95"/>
      <c r="AQ561" s="95"/>
      <c r="AR561" s="95"/>
      <c r="AS561" s="95"/>
      <c r="AT561" s="95"/>
      <c r="AU561" s="95"/>
      <c r="AV561" s="95"/>
      <c r="AW561" s="95"/>
      <c r="AX561" s="95"/>
    </row>
    <row r="562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  <c r="AC562" s="95"/>
      <c r="AD562" s="95"/>
      <c r="AE562" s="95"/>
      <c r="AF562" s="95"/>
      <c r="AG562" s="95"/>
      <c r="AH562" s="95"/>
      <c r="AI562" s="95"/>
      <c r="AJ562" s="95"/>
      <c r="AK562" s="95"/>
      <c r="AL562" s="95"/>
      <c r="AM562" s="95"/>
      <c r="AN562" s="95"/>
      <c r="AO562" s="95"/>
      <c r="AP562" s="95"/>
      <c r="AQ562" s="95"/>
      <c r="AR562" s="95"/>
      <c r="AS562" s="95"/>
      <c r="AT562" s="95"/>
      <c r="AU562" s="95"/>
      <c r="AV562" s="95"/>
      <c r="AW562" s="95"/>
      <c r="AX562" s="95"/>
    </row>
    <row r="56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  <c r="AC563" s="95"/>
      <c r="AD563" s="95"/>
      <c r="AE563" s="95"/>
      <c r="AF563" s="95"/>
      <c r="AG563" s="95"/>
      <c r="AH563" s="95"/>
      <c r="AI563" s="95"/>
      <c r="AJ563" s="95"/>
      <c r="AK563" s="95"/>
      <c r="AL563" s="95"/>
      <c r="AM563" s="95"/>
      <c r="AN563" s="95"/>
      <c r="AO563" s="95"/>
      <c r="AP563" s="95"/>
      <c r="AQ563" s="95"/>
      <c r="AR563" s="95"/>
      <c r="AS563" s="95"/>
      <c r="AT563" s="95"/>
      <c r="AU563" s="95"/>
      <c r="AV563" s="95"/>
      <c r="AW563" s="95"/>
      <c r="AX563" s="95"/>
    </row>
    <row r="564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  <c r="AC564" s="95"/>
      <c r="AD564" s="95"/>
      <c r="AE564" s="95"/>
      <c r="AF564" s="95"/>
      <c r="AG564" s="95"/>
      <c r="AH564" s="95"/>
      <c r="AI564" s="95"/>
      <c r="AJ564" s="95"/>
      <c r="AK564" s="95"/>
      <c r="AL564" s="95"/>
      <c r="AM564" s="95"/>
      <c r="AN564" s="95"/>
      <c r="AO564" s="95"/>
      <c r="AP564" s="95"/>
      <c r="AQ564" s="95"/>
      <c r="AR564" s="95"/>
      <c r="AS564" s="95"/>
      <c r="AT564" s="95"/>
      <c r="AU564" s="95"/>
      <c r="AV564" s="95"/>
      <c r="AW564" s="95"/>
      <c r="AX564" s="95"/>
    </row>
    <row r="565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  <c r="AC565" s="95"/>
      <c r="AD565" s="95"/>
      <c r="AE565" s="95"/>
      <c r="AF565" s="95"/>
      <c r="AG565" s="95"/>
      <c r="AH565" s="95"/>
      <c r="AI565" s="95"/>
      <c r="AJ565" s="95"/>
      <c r="AK565" s="95"/>
      <c r="AL565" s="95"/>
      <c r="AM565" s="95"/>
      <c r="AN565" s="95"/>
      <c r="AO565" s="95"/>
      <c r="AP565" s="95"/>
      <c r="AQ565" s="95"/>
      <c r="AR565" s="95"/>
      <c r="AS565" s="95"/>
      <c r="AT565" s="95"/>
      <c r="AU565" s="95"/>
      <c r="AV565" s="95"/>
      <c r="AW565" s="95"/>
      <c r="AX565" s="95"/>
    </row>
    <row r="566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  <c r="AC566" s="95"/>
      <c r="AD566" s="95"/>
      <c r="AE566" s="95"/>
      <c r="AF566" s="95"/>
      <c r="AG566" s="95"/>
      <c r="AH566" s="95"/>
      <c r="AI566" s="95"/>
      <c r="AJ566" s="95"/>
      <c r="AK566" s="95"/>
      <c r="AL566" s="95"/>
      <c r="AM566" s="95"/>
      <c r="AN566" s="95"/>
      <c r="AO566" s="95"/>
      <c r="AP566" s="95"/>
      <c r="AQ566" s="95"/>
      <c r="AR566" s="95"/>
      <c r="AS566" s="95"/>
      <c r="AT566" s="95"/>
      <c r="AU566" s="95"/>
      <c r="AV566" s="95"/>
      <c r="AW566" s="95"/>
      <c r="AX566" s="95"/>
    </row>
    <row r="567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  <c r="AC567" s="95"/>
      <c r="AD567" s="95"/>
      <c r="AE567" s="95"/>
      <c r="AF567" s="95"/>
      <c r="AG567" s="95"/>
      <c r="AH567" s="95"/>
      <c r="AI567" s="95"/>
      <c r="AJ567" s="95"/>
      <c r="AK567" s="95"/>
      <c r="AL567" s="95"/>
      <c r="AM567" s="95"/>
      <c r="AN567" s="95"/>
      <c r="AO567" s="95"/>
      <c r="AP567" s="95"/>
      <c r="AQ567" s="95"/>
      <c r="AR567" s="95"/>
      <c r="AS567" s="95"/>
      <c r="AT567" s="95"/>
      <c r="AU567" s="95"/>
      <c r="AV567" s="95"/>
      <c r="AW567" s="95"/>
      <c r="AX567" s="95"/>
    </row>
    <row r="568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  <c r="AC568" s="95"/>
      <c r="AD568" s="95"/>
      <c r="AE568" s="95"/>
      <c r="AF568" s="95"/>
      <c r="AG568" s="95"/>
      <c r="AH568" s="95"/>
      <c r="AI568" s="95"/>
      <c r="AJ568" s="95"/>
      <c r="AK568" s="95"/>
      <c r="AL568" s="95"/>
      <c r="AM568" s="95"/>
      <c r="AN568" s="95"/>
      <c r="AO568" s="95"/>
      <c r="AP568" s="95"/>
      <c r="AQ568" s="95"/>
      <c r="AR568" s="95"/>
      <c r="AS568" s="95"/>
      <c r="AT568" s="95"/>
      <c r="AU568" s="95"/>
      <c r="AV568" s="95"/>
      <c r="AW568" s="95"/>
      <c r="AX568" s="95"/>
    </row>
    <row r="569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  <c r="AC569" s="95"/>
      <c r="AD569" s="95"/>
      <c r="AE569" s="95"/>
      <c r="AF569" s="95"/>
      <c r="AG569" s="95"/>
      <c r="AH569" s="95"/>
      <c r="AI569" s="95"/>
      <c r="AJ569" s="95"/>
      <c r="AK569" s="95"/>
      <c r="AL569" s="95"/>
      <c r="AM569" s="95"/>
      <c r="AN569" s="95"/>
      <c r="AO569" s="95"/>
      <c r="AP569" s="95"/>
      <c r="AQ569" s="95"/>
      <c r="AR569" s="95"/>
      <c r="AS569" s="95"/>
      <c r="AT569" s="95"/>
      <c r="AU569" s="95"/>
      <c r="AV569" s="95"/>
      <c r="AW569" s="95"/>
      <c r="AX569" s="95"/>
    </row>
    <row r="570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  <c r="AC570" s="95"/>
      <c r="AD570" s="95"/>
      <c r="AE570" s="95"/>
      <c r="AF570" s="95"/>
      <c r="AG570" s="95"/>
      <c r="AH570" s="95"/>
      <c r="AI570" s="95"/>
      <c r="AJ570" s="95"/>
      <c r="AK570" s="95"/>
      <c r="AL570" s="95"/>
      <c r="AM570" s="95"/>
      <c r="AN570" s="95"/>
      <c r="AO570" s="95"/>
      <c r="AP570" s="95"/>
      <c r="AQ570" s="95"/>
      <c r="AR570" s="95"/>
      <c r="AS570" s="95"/>
      <c r="AT570" s="95"/>
      <c r="AU570" s="95"/>
      <c r="AV570" s="95"/>
      <c r="AW570" s="95"/>
      <c r="AX570" s="95"/>
    </row>
    <row r="57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  <c r="AC571" s="95"/>
      <c r="AD571" s="95"/>
      <c r="AE571" s="95"/>
      <c r="AF571" s="95"/>
      <c r="AG571" s="95"/>
      <c r="AH571" s="95"/>
      <c r="AI571" s="95"/>
      <c r="AJ571" s="95"/>
      <c r="AK571" s="95"/>
      <c r="AL571" s="95"/>
      <c r="AM571" s="95"/>
      <c r="AN571" s="95"/>
      <c r="AO571" s="95"/>
      <c r="AP571" s="95"/>
      <c r="AQ571" s="95"/>
      <c r="AR571" s="95"/>
      <c r="AS571" s="95"/>
      <c r="AT571" s="95"/>
      <c r="AU571" s="95"/>
      <c r="AV571" s="95"/>
      <c r="AW571" s="95"/>
      <c r="AX571" s="95"/>
    </row>
    <row r="572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  <c r="AC572" s="95"/>
      <c r="AD572" s="95"/>
      <c r="AE572" s="95"/>
      <c r="AF572" s="95"/>
      <c r="AG572" s="95"/>
      <c r="AH572" s="95"/>
      <c r="AI572" s="95"/>
      <c r="AJ572" s="95"/>
      <c r="AK572" s="95"/>
      <c r="AL572" s="95"/>
      <c r="AM572" s="95"/>
      <c r="AN572" s="95"/>
      <c r="AO572" s="95"/>
      <c r="AP572" s="95"/>
      <c r="AQ572" s="95"/>
      <c r="AR572" s="95"/>
      <c r="AS572" s="95"/>
      <c r="AT572" s="95"/>
      <c r="AU572" s="95"/>
      <c r="AV572" s="95"/>
      <c r="AW572" s="95"/>
      <c r="AX572" s="95"/>
    </row>
    <row r="57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  <c r="AC573" s="95"/>
      <c r="AD573" s="95"/>
      <c r="AE573" s="95"/>
      <c r="AF573" s="95"/>
      <c r="AG573" s="95"/>
      <c r="AH573" s="95"/>
      <c r="AI573" s="95"/>
      <c r="AJ573" s="95"/>
      <c r="AK573" s="95"/>
      <c r="AL573" s="95"/>
      <c r="AM573" s="95"/>
      <c r="AN573" s="95"/>
      <c r="AO573" s="95"/>
      <c r="AP573" s="95"/>
      <c r="AQ573" s="95"/>
      <c r="AR573" s="95"/>
      <c r="AS573" s="95"/>
      <c r="AT573" s="95"/>
      <c r="AU573" s="95"/>
      <c r="AV573" s="95"/>
      <c r="AW573" s="95"/>
      <c r="AX573" s="95"/>
    </row>
    <row r="574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  <c r="AC574" s="95"/>
      <c r="AD574" s="95"/>
      <c r="AE574" s="95"/>
      <c r="AF574" s="95"/>
      <c r="AG574" s="95"/>
      <c r="AH574" s="95"/>
      <c r="AI574" s="95"/>
      <c r="AJ574" s="95"/>
      <c r="AK574" s="95"/>
      <c r="AL574" s="95"/>
      <c r="AM574" s="95"/>
      <c r="AN574" s="95"/>
      <c r="AO574" s="95"/>
      <c r="AP574" s="95"/>
      <c r="AQ574" s="95"/>
      <c r="AR574" s="95"/>
      <c r="AS574" s="95"/>
      <c r="AT574" s="95"/>
      <c r="AU574" s="95"/>
      <c r="AV574" s="95"/>
      <c r="AW574" s="95"/>
      <c r="AX574" s="95"/>
    </row>
    <row r="575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  <c r="AC575" s="95"/>
      <c r="AD575" s="95"/>
      <c r="AE575" s="95"/>
      <c r="AF575" s="95"/>
      <c r="AG575" s="95"/>
      <c r="AH575" s="95"/>
      <c r="AI575" s="95"/>
      <c r="AJ575" s="95"/>
      <c r="AK575" s="95"/>
      <c r="AL575" s="95"/>
      <c r="AM575" s="95"/>
      <c r="AN575" s="95"/>
      <c r="AO575" s="95"/>
      <c r="AP575" s="95"/>
      <c r="AQ575" s="95"/>
      <c r="AR575" s="95"/>
      <c r="AS575" s="95"/>
      <c r="AT575" s="95"/>
      <c r="AU575" s="95"/>
      <c r="AV575" s="95"/>
      <c r="AW575" s="95"/>
      <c r="AX575" s="95"/>
    </row>
    <row r="576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  <c r="AC576" s="95"/>
      <c r="AD576" s="95"/>
      <c r="AE576" s="95"/>
      <c r="AF576" s="95"/>
      <c r="AG576" s="95"/>
      <c r="AH576" s="95"/>
      <c r="AI576" s="95"/>
      <c r="AJ576" s="95"/>
      <c r="AK576" s="95"/>
      <c r="AL576" s="95"/>
      <c r="AM576" s="95"/>
      <c r="AN576" s="95"/>
      <c r="AO576" s="95"/>
      <c r="AP576" s="95"/>
      <c r="AQ576" s="95"/>
      <c r="AR576" s="95"/>
      <c r="AS576" s="95"/>
      <c r="AT576" s="95"/>
      <c r="AU576" s="95"/>
      <c r="AV576" s="95"/>
      <c r="AW576" s="95"/>
      <c r="AX576" s="95"/>
    </row>
    <row r="577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  <c r="AC577" s="95"/>
      <c r="AD577" s="95"/>
      <c r="AE577" s="95"/>
      <c r="AF577" s="95"/>
      <c r="AG577" s="95"/>
      <c r="AH577" s="95"/>
      <c r="AI577" s="95"/>
      <c r="AJ577" s="95"/>
      <c r="AK577" s="95"/>
      <c r="AL577" s="95"/>
      <c r="AM577" s="95"/>
      <c r="AN577" s="95"/>
      <c r="AO577" s="95"/>
      <c r="AP577" s="95"/>
      <c r="AQ577" s="95"/>
      <c r="AR577" s="95"/>
      <c r="AS577" s="95"/>
      <c r="AT577" s="95"/>
      <c r="AU577" s="95"/>
      <c r="AV577" s="95"/>
      <c r="AW577" s="95"/>
      <c r="AX577" s="95"/>
    </row>
    <row r="578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  <c r="AC578" s="95"/>
      <c r="AD578" s="95"/>
      <c r="AE578" s="95"/>
      <c r="AF578" s="95"/>
      <c r="AG578" s="95"/>
      <c r="AH578" s="95"/>
      <c r="AI578" s="95"/>
      <c r="AJ578" s="95"/>
      <c r="AK578" s="95"/>
      <c r="AL578" s="95"/>
      <c r="AM578" s="95"/>
      <c r="AN578" s="95"/>
      <c r="AO578" s="95"/>
      <c r="AP578" s="95"/>
      <c r="AQ578" s="95"/>
      <c r="AR578" s="95"/>
      <c r="AS578" s="95"/>
      <c r="AT578" s="95"/>
      <c r="AU578" s="95"/>
      <c r="AV578" s="95"/>
      <c r="AW578" s="95"/>
      <c r="AX578" s="95"/>
    </row>
    <row r="579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  <c r="AC579" s="95"/>
      <c r="AD579" s="95"/>
      <c r="AE579" s="95"/>
      <c r="AF579" s="95"/>
      <c r="AG579" s="95"/>
      <c r="AH579" s="95"/>
      <c r="AI579" s="95"/>
      <c r="AJ579" s="95"/>
      <c r="AK579" s="95"/>
      <c r="AL579" s="95"/>
      <c r="AM579" s="95"/>
      <c r="AN579" s="95"/>
      <c r="AO579" s="95"/>
      <c r="AP579" s="95"/>
      <c r="AQ579" s="95"/>
      <c r="AR579" s="95"/>
      <c r="AS579" s="95"/>
      <c r="AT579" s="95"/>
      <c r="AU579" s="95"/>
      <c r="AV579" s="95"/>
      <c r="AW579" s="95"/>
      <c r="AX579" s="95"/>
    </row>
    <row r="580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  <c r="AC580" s="95"/>
      <c r="AD580" s="95"/>
      <c r="AE580" s="95"/>
      <c r="AF580" s="95"/>
      <c r="AG580" s="95"/>
      <c r="AH580" s="95"/>
      <c r="AI580" s="95"/>
      <c r="AJ580" s="95"/>
      <c r="AK580" s="95"/>
      <c r="AL580" s="95"/>
      <c r="AM580" s="95"/>
      <c r="AN580" s="95"/>
      <c r="AO580" s="95"/>
      <c r="AP580" s="95"/>
      <c r="AQ580" s="95"/>
      <c r="AR580" s="95"/>
      <c r="AS580" s="95"/>
      <c r="AT580" s="95"/>
      <c r="AU580" s="95"/>
      <c r="AV580" s="95"/>
      <c r="AW580" s="95"/>
      <c r="AX580" s="95"/>
    </row>
    <row r="58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  <c r="AC581" s="95"/>
      <c r="AD581" s="95"/>
      <c r="AE581" s="95"/>
      <c r="AF581" s="95"/>
      <c r="AG581" s="95"/>
      <c r="AH581" s="95"/>
      <c r="AI581" s="95"/>
      <c r="AJ581" s="95"/>
      <c r="AK581" s="95"/>
      <c r="AL581" s="95"/>
      <c r="AM581" s="95"/>
      <c r="AN581" s="95"/>
      <c r="AO581" s="95"/>
      <c r="AP581" s="95"/>
      <c r="AQ581" s="95"/>
      <c r="AR581" s="95"/>
      <c r="AS581" s="95"/>
      <c r="AT581" s="95"/>
      <c r="AU581" s="95"/>
      <c r="AV581" s="95"/>
      <c r="AW581" s="95"/>
      <c r="AX581" s="95"/>
    </row>
    <row r="582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  <c r="AC582" s="95"/>
      <c r="AD582" s="95"/>
      <c r="AE582" s="95"/>
      <c r="AF582" s="95"/>
      <c r="AG582" s="95"/>
      <c r="AH582" s="95"/>
      <c r="AI582" s="95"/>
      <c r="AJ582" s="95"/>
      <c r="AK582" s="95"/>
      <c r="AL582" s="95"/>
      <c r="AM582" s="95"/>
      <c r="AN582" s="95"/>
      <c r="AO582" s="95"/>
      <c r="AP582" s="95"/>
      <c r="AQ582" s="95"/>
      <c r="AR582" s="95"/>
      <c r="AS582" s="95"/>
      <c r="AT582" s="95"/>
      <c r="AU582" s="95"/>
      <c r="AV582" s="95"/>
      <c r="AW582" s="95"/>
      <c r="AX582" s="95"/>
    </row>
    <row r="58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  <c r="AC583" s="95"/>
      <c r="AD583" s="95"/>
      <c r="AE583" s="95"/>
      <c r="AF583" s="95"/>
      <c r="AG583" s="95"/>
      <c r="AH583" s="95"/>
      <c r="AI583" s="95"/>
      <c r="AJ583" s="95"/>
      <c r="AK583" s="95"/>
      <c r="AL583" s="95"/>
      <c r="AM583" s="95"/>
      <c r="AN583" s="95"/>
      <c r="AO583" s="95"/>
      <c r="AP583" s="95"/>
      <c r="AQ583" s="95"/>
      <c r="AR583" s="95"/>
      <c r="AS583" s="95"/>
      <c r="AT583" s="95"/>
      <c r="AU583" s="95"/>
      <c r="AV583" s="95"/>
      <c r="AW583" s="95"/>
      <c r="AX583" s="95"/>
    </row>
    <row r="584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  <c r="AC584" s="95"/>
      <c r="AD584" s="95"/>
      <c r="AE584" s="95"/>
      <c r="AF584" s="95"/>
      <c r="AG584" s="95"/>
      <c r="AH584" s="95"/>
      <c r="AI584" s="95"/>
      <c r="AJ584" s="95"/>
      <c r="AK584" s="95"/>
      <c r="AL584" s="95"/>
      <c r="AM584" s="95"/>
      <c r="AN584" s="95"/>
      <c r="AO584" s="95"/>
      <c r="AP584" s="95"/>
      <c r="AQ584" s="95"/>
      <c r="AR584" s="95"/>
      <c r="AS584" s="95"/>
      <c r="AT584" s="95"/>
      <c r="AU584" s="95"/>
      <c r="AV584" s="95"/>
      <c r="AW584" s="95"/>
      <c r="AX584" s="95"/>
    </row>
    <row r="58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  <c r="AC585" s="95"/>
      <c r="AD585" s="95"/>
      <c r="AE585" s="95"/>
      <c r="AF585" s="95"/>
      <c r="AG585" s="95"/>
      <c r="AH585" s="95"/>
      <c r="AI585" s="95"/>
      <c r="AJ585" s="95"/>
      <c r="AK585" s="95"/>
      <c r="AL585" s="95"/>
      <c r="AM585" s="95"/>
      <c r="AN585" s="95"/>
      <c r="AO585" s="95"/>
      <c r="AP585" s="95"/>
      <c r="AQ585" s="95"/>
      <c r="AR585" s="95"/>
      <c r="AS585" s="95"/>
      <c r="AT585" s="95"/>
      <c r="AU585" s="95"/>
      <c r="AV585" s="95"/>
      <c r="AW585" s="95"/>
      <c r="AX585" s="95"/>
    </row>
    <row r="586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  <c r="AC586" s="95"/>
      <c r="AD586" s="95"/>
      <c r="AE586" s="95"/>
      <c r="AF586" s="95"/>
      <c r="AG586" s="95"/>
      <c r="AH586" s="95"/>
      <c r="AI586" s="95"/>
      <c r="AJ586" s="95"/>
      <c r="AK586" s="95"/>
      <c r="AL586" s="95"/>
      <c r="AM586" s="95"/>
      <c r="AN586" s="95"/>
      <c r="AO586" s="95"/>
      <c r="AP586" s="95"/>
      <c r="AQ586" s="95"/>
      <c r="AR586" s="95"/>
      <c r="AS586" s="95"/>
      <c r="AT586" s="95"/>
      <c r="AU586" s="95"/>
      <c r="AV586" s="95"/>
      <c r="AW586" s="95"/>
      <c r="AX586" s="95"/>
    </row>
    <row r="587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  <c r="AC587" s="95"/>
      <c r="AD587" s="95"/>
      <c r="AE587" s="95"/>
      <c r="AF587" s="95"/>
      <c r="AG587" s="95"/>
      <c r="AH587" s="95"/>
      <c r="AI587" s="95"/>
      <c r="AJ587" s="95"/>
      <c r="AK587" s="95"/>
      <c r="AL587" s="95"/>
      <c r="AM587" s="95"/>
      <c r="AN587" s="95"/>
      <c r="AO587" s="95"/>
      <c r="AP587" s="95"/>
      <c r="AQ587" s="95"/>
      <c r="AR587" s="95"/>
      <c r="AS587" s="95"/>
      <c r="AT587" s="95"/>
      <c r="AU587" s="95"/>
      <c r="AV587" s="95"/>
      <c r="AW587" s="95"/>
      <c r="AX587" s="95"/>
    </row>
    <row r="588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  <c r="AC588" s="95"/>
      <c r="AD588" s="95"/>
      <c r="AE588" s="95"/>
      <c r="AF588" s="95"/>
      <c r="AG588" s="95"/>
      <c r="AH588" s="95"/>
      <c r="AI588" s="95"/>
      <c r="AJ588" s="95"/>
      <c r="AK588" s="95"/>
      <c r="AL588" s="95"/>
      <c r="AM588" s="95"/>
      <c r="AN588" s="95"/>
      <c r="AO588" s="95"/>
      <c r="AP588" s="95"/>
      <c r="AQ588" s="95"/>
      <c r="AR588" s="95"/>
      <c r="AS588" s="95"/>
      <c r="AT588" s="95"/>
      <c r="AU588" s="95"/>
      <c r="AV588" s="95"/>
      <c r="AW588" s="95"/>
      <c r="AX588" s="95"/>
    </row>
    <row r="589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  <c r="AC589" s="95"/>
      <c r="AD589" s="95"/>
      <c r="AE589" s="95"/>
      <c r="AF589" s="95"/>
      <c r="AG589" s="95"/>
      <c r="AH589" s="95"/>
      <c r="AI589" s="95"/>
      <c r="AJ589" s="95"/>
      <c r="AK589" s="95"/>
      <c r="AL589" s="95"/>
      <c r="AM589" s="95"/>
      <c r="AN589" s="95"/>
      <c r="AO589" s="95"/>
      <c r="AP589" s="95"/>
      <c r="AQ589" s="95"/>
      <c r="AR589" s="95"/>
      <c r="AS589" s="95"/>
      <c r="AT589" s="95"/>
      <c r="AU589" s="95"/>
      <c r="AV589" s="95"/>
      <c r="AW589" s="95"/>
      <c r="AX589" s="95"/>
    </row>
    <row r="590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  <c r="AC590" s="95"/>
      <c r="AD590" s="95"/>
      <c r="AE590" s="95"/>
      <c r="AF590" s="95"/>
      <c r="AG590" s="95"/>
      <c r="AH590" s="95"/>
      <c r="AI590" s="95"/>
      <c r="AJ590" s="95"/>
      <c r="AK590" s="95"/>
      <c r="AL590" s="95"/>
      <c r="AM590" s="95"/>
      <c r="AN590" s="95"/>
      <c r="AO590" s="95"/>
      <c r="AP590" s="95"/>
      <c r="AQ590" s="95"/>
      <c r="AR590" s="95"/>
      <c r="AS590" s="95"/>
      <c r="AT590" s="95"/>
      <c r="AU590" s="95"/>
      <c r="AV590" s="95"/>
      <c r="AW590" s="95"/>
      <c r="AX590" s="95"/>
    </row>
    <row r="59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  <c r="AC591" s="95"/>
      <c r="AD591" s="95"/>
      <c r="AE591" s="95"/>
      <c r="AF591" s="95"/>
      <c r="AG591" s="95"/>
      <c r="AH591" s="95"/>
      <c r="AI591" s="95"/>
      <c r="AJ591" s="95"/>
      <c r="AK591" s="95"/>
      <c r="AL591" s="95"/>
      <c r="AM591" s="95"/>
      <c r="AN591" s="95"/>
      <c r="AO591" s="95"/>
      <c r="AP591" s="95"/>
      <c r="AQ591" s="95"/>
      <c r="AR591" s="95"/>
      <c r="AS591" s="95"/>
      <c r="AT591" s="95"/>
      <c r="AU591" s="95"/>
      <c r="AV591" s="95"/>
      <c r="AW591" s="95"/>
      <c r="AX591" s="95"/>
    </row>
    <row r="592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  <c r="AC592" s="95"/>
      <c r="AD592" s="95"/>
      <c r="AE592" s="95"/>
      <c r="AF592" s="95"/>
      <c r="AG592" s="95"/>
      <c r="AH592" s="95"/>
      <c r="AI592" s="95"/>
      <c r="AJ592" s="95"/>
      <c r="AK592" s="95"/>
      <c r="AL592" s="95"/>
      <c r="AM592" s="95"/>
      <c r="AN592" s="95"/>
      <c r="AO592" s="95"/>
      <c r="AP592" s="95"/>
      <c r="AQ592" s="95"/>
      <c r="AR592" s="95"/>
      <c r="AS592" s="95"/>
      <c r="AT592" s="95"/>
      <c r="AU592" s="95"/>
      <c r="AV592" s="95"/>
      <c r="AW592" s="95"/>
      <c r="AX592" s="95"/>
    </row>
    <row r="59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  <c r="AC593" s="95"/>
      <c r="AD593" s="95"/>
      <c r="AE593" s="95"/>
      <c r="AF593" s="95"/>
      <c r="AG593" s="95"/>
      <c r="AH593" s="95"/>
      <c r="AI593" s="95"/>
      <c r="AJ593" s="95"/>
      <c r="AK593" s="95"/>
      <c r="AL593" s="95"/>
      <c r="AM593" s="95"/>
      <c r="AN593" s="95"/>
      <c r="AO593" s="95"/>
      <c r="AP593" s="95"/>
      <c r="AQ593" s="95"/>
      <c r="AR593" s="95"/>
      <c r="AS593" s="95"/>
      <c r="AT593" s="95"/>
      <c r="AU593" s="95"/>
      <c r="AV593" s="95"/>
      <c r="AW593" s="95"/>
      <c r="AX593" s="95"/>
    </row>
    <row r="594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  <c r="AC594" s="95"/>
      <c r="AD594" s="95"/>
      <c r="AE594" s="95"/>
      <c r="AF594" s="95"/>
      <c r="AG594" s="95"/>
      <c r="AH594" s="95"/>
      <c r="AI594" s="95"/>
      <c r="AJ594" s="95"/>
      <c r="AK594" s="95"/>
      <c r="AL594" s="95"/>
      <c r="AM594" s="95"/>
      <c r="AN594" s="95"/>
      <c r="AO594" s="95"/>
      <c r="AP594" s="95"/>
      <c r="AQ594" s="95"/>
      <c r="AR594" s="95"/>
      <c r="AS594" s="95"/>
      <c r="AT594" s="95"/>
      <c r="AU594" s="95"/>
      <c r="AV594" s="95"/>
      <c r="AW594" s="95"/>
      <c r="AX594" s="95"/>
    </row>
    <row r="59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  <c r="AC595" s="95"/>
      <c r="AD595" s="95"/>
      <c r="AE595" s="95"/>
      <c r="AF595" s="95"/>
      <c r="AG595" s="95"/>
      <c r="AH595" s="95"/>
      <c r="AI595" s="95"/>
      <c r="AJ595" s="95"/>
      <c r="AK595" s="95"/>
      <c r="AL595" s="95"/>
      <c r="AM595" s="95"/>
      <c r="AN595" s="95"/>
      <c r="AO595" s="95"/>
      <c r="AP595" s="95"/>
      <c r="AQ595" s="95"/>
      <c r="AR595" s="95"/>
      <c r="AS595" s="95"/>
      <c r="AT595" s="95"/>
      <c r="AU595" s="95"/>
      <c r="AV595" s="95"/>
      <c r="AW595" s="95"/>
      <c r="AX595" s="95"/>
    </row>
    <row r="596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  <c r="AC596" s="95"/>
      <c r="AD596" s="95"/>
      <c r="AE596" s="95"/>
      <c r="AF596" s="95"/>
      <c r="AG596" s="95"/>
      <c r="AH596" s="95"/>
      <c r="AI596" s="95"/>
      <c r="AJ596" s="95"/>
      <c r="AK596" s="95"/>
      <c r="AL596" s="95"/>
      <c r="AM596" s="95"/>
      <c r="AN596" s="95"/>
      <c r="AO596" s="95"/>
      <c r="AP596" s="95"/>
      <c r="AQ596" s="95"/>
      <c r="AR596" s="95"/>
      <c r="AS596" s="95"/>
      <c r="AT596" s="95"/>
      <c r="AU596" s="95"/>
      <c r="AV596" s="95"/>
      <c r="AW596" s="95"/>
      <c r="AX596" s="95"/>
    </row>
    <row r="597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  <c r="AC597" s="95"/>
      <c r="AD597" s="95"/>
      <c r="AE597" s="95"/>
      <c r="AF597" s="95"/>
      <c r="AG597" s="95"/>
      <c r="AH597" s="95"/>
      <c r="AI597" s="95"/>
      <c r="AJ597" s="95"/>
      <c r="AK597" s="95"/>
      <c r="AL597" s="95"/>
      <c r="AM597" s="95"/>
      <c r="AN597" s="95"/>
      <c r="AO597" s="95"/>
      <c r="AP597" s="95"/>
      <c r="AQ597" s="95"/>
      <c r="AR597" s="95"/>
      <c r="AS597" s="95"/>
      <c r="AT597" s="95"/>
      <c r="AU597" s="95"/>
      <c r="AV597" s="95"/>
      <c r="AW597" s="95"/>
      <c r="AX597" s="95"/>
    </row>
    <row r="598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  <c r="AC598" s="95"/>
      <c r="AD598" s="95"/>
      <c r="AE598" s="95"/>
      <c r="AF598" s="95"/>
      <c r="AG598" s="95"/>
      <c r="AH598" s="95"/>
      <c r="AI598" s="95"/>
      <c r="AJ598" s="95"/>
      <c r="AK598" s="95"/>
      <c r="AL598" s="95"/>
      <c r="AM598" s="95"/>
      <c r="AN598" s="95"/>
      <c r="AO598" s="95"/>
      <c r="AP598" s="95"/>
      <c r="AQ598" s="95"/>
      <c r="AR598" s="95"/>
      <c r="AS598" s="95"/>
      <c r="AT598" s="95"/>
      <c r="AU598" s="95"/>
      <c r="AV598" s="95"/>
      <c r="AW598" s="95"/>
      <c r="AX598" s="95"/>
    </row>
    <row r="599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  <c r="AC599" s="95"/>
      <c r="AD599" s="95"/>
      <c r="AE599" s="95"/>
      <c r="AF599" s="95"/>
      <c r="AG599" s="95"/>
      <c r="AH599" s="95"/>
      <c r="AI599" s="95"/>
      <c r="AJ599" s="95"/>
      <c r="AK599" s="95"/>
      <c r="AL599" s="95"/>
      <c r="AM599" s="95"/>
      <c r="AN599" s="95"/>
      <c r="AO599" s="95"/>
      <c r="AP599" s="95"/>
      <c r="AQ599" s="95"/>
      <c r="AR599" s="95"/>
      <c r="AS599" s="95"/>
      <c r="AT599" s="95"/>
      <c r="AU599" s="95"/>
      <c r="AV599" s="95"/>
      <c r="AW599" s="95"/>
      <c r="AX599" s="95"/>
    </row>
    <row r="600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  <c r="AC600" s="95"/>
      <c r="AD600" s="95"/>
      <c r="AE600" s="95"/>
      <c r="AF600" s="95"/>
      <c r="AG600" s="95"/>
      <c r="AH600" s="95"/>
      <c r="AI600" s="95"/>
      <c r="AJ600" s="95"/>
      <c r="AK600" s="95"/>
      <c r="AL600" s="95"/>
      <c r="AM600" s="95"/>
      <c r="AN600" s="95"/>
      <c r="AO600" s="95"/>
      <c r="AP600" s="95"/>
      <c r="AQ600" s="95"/>
      <c r="AR600" s="95"/>
      <c r="AS600" s="95"/>
      <c r="AT600" s="95"/>
      <c r="AU600" s="95"/>
      <c r="AV600" s="95"/>
      <c r="AW600" s="95"/>
      <c r="AX600" s="95"/>
    </row>
    <row r="60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  <c r="AC601" s="95"/>
      <c r="AD601" s="95"/>
      <c r="AE601" s="95"/>
      <c r="AF601" s="95"/>
      <c r="AG601" s="95"/>
      <c r="AH601" s="95"/>
      <c r="AI601" s="95"/>
      <c r="AJ601" s="95"/>
      <c r="AK601" s="95"/>
      <c r="AL601" s="95"/>
      <c r="AM601" s="95"/>
      <c r="AN601" s="95"/>
      <c r="AO601" s="95"/>
      <c r="AP601" s="95"/>
      <c r="AQ601" s="95"/>
      <c r="AR601" s="95"/>
      <c r="AS601" s="95"/>
      <c r="AT601" s="95"/>
      <c r="AU601" s="95"/>
      <c r="AV601" s="95"/>
      <c r="AW601" s="95"/>
      <c r="AX601" s="95"/>
    </row>
    <row r="602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  <c r="AC602" s="95"/>
      <c r="AD602" s="95"/>
      <c r="AE602" s="95"/>
      <c r="AF602" s="95"/>
      <c r="AG602" s="95"/>
      <c r="AH602" s="95"/>
      <c r="AI602" s="95"/>
      <c r="AJ602" s="95"/>
      <c r="AK602" s="95"/>
      <c r="AL602" s="95"/>
      <c r="AM602" s="95"/>
      <c r="AN602" s="95"/>
      <c r="AO602" s="95"/>
      <c r="AP602" s="95"/>
      <c r="AQ602" s="95"/>
      <c r="AR602" s="95"/>
      <c r="AS602" s="95"/>
      <c r="AT602" s="95"/>
      <c r="AU602" s="95"/>
      <c r="AV602" s="95"/>
      <c r="AW602" s="95"/>
      <c r="AX602" s="95"/>
    </row>
    <row r="60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  <c r="AC603" s="95"/>
      <c r="AD603" s="95"/>
      <c r="AE603" s="95"/>
      <c r="AF603" s="95"/>
      <c r="AG603" s="95"/>
      <c r="AH603" s="95"/>
      <c r="AI603" s="95"/>
      <c r="AJ603" s="95"/>
      <c r="AK603" s="95"/>
      <c r="AL603" s="95"/>
      <c r="AM603" s="95"/>
      <c r="AN603" s="95"/>
      <c r="AO603" s="95"/>
      <c r="AP603" s="95"/>
      <c r="AQ603" s="95"/>
      <c r="AR603" s="95"/>
      <c r="AS603" s="95"/>
      <c r="AT603" s="95"/>
      <c r="AU603" s="95"/>
      <c r="AV603" s="95"/>
      <c r="AW603" s="95"/>
      <c r="AX603" s="95"/>
    </row>
    <row r="604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  <c r="AC604" s="95"/>
      <c r="AD604" s="95"/>
      <c r="AE604" s="95"/>
      <c r="AF604" s="95"/>
      <c r="AG604" s="95"/>
      <c r="AH604" s="95"/>
      <c r="AI604" s="95"/>
      <c r="AJ604" s="95"/>
      <c r="AK604" s="95"/>
      <c r="AL604" s="95"/>
      <c r="AM604" s="95"/>
      <c r="AN604" s="95"/>
      <c r="AO604" s="95"/>
      <c r="AP604" s="95"/>
      <c r="AQ604" s="95"/>
      <c r="AR604" s="95"/>
      <c r="AS604" s="95"/>
      <c r="AT604" s="95"/>
      <c r="AU604" s="95"/>
      <c r="AV604" s="95"/>
      <c r="AW604" s="95"/>
      <c r="AX604" s="95"/>
    </row>
    <row r="60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  <c r="AC605" s="95"/>
      <c r="AD605" s="95"/>
      <c r="AE605" s="95"/>
      <c r="AF605" s="95"/>
      <c r="AG605" s="95"/>
      <c r="AH605" s="95"/>
      <c r="AI605" s="95"/>
      <c r="AJ605" s="95"/>
      <c r="AK605" s="95"/>
      <c r="AL605" s="95"/>
      <c r="AM605" s="95"/>
      <c r="AN605" s="95"/>
      <c r="AO605" s="95"/>
      <c r="AP605" s="95"/>
      <c r="AQ605" s="95"/>
      <c r="AR605" s="95"/>
      <c r="AS605" s="95"/>
      <c r="AT605" s="95"/>
      <c r="AU605" s="95"/>
      <c r="AV605" s="95"/>
      <c r="AW605" s="95"/>
      <c r="AX605" s="95"/>
    </row>
    <row r="606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  <c r="AC606" s="95"/>
      <c r="AD606" s="95"/>
      <c r="AE606" s="95"/>
      <c r="AF606" s="95"/>
      <c r="AG606" s="95"/>
      <c r="AH606" s="95"/>
      <c r="AI606" s="95"/>
      <c r="AJ606" s="95"/>
      <c r="AK606" s="95"/>
      <c r="AL606" s="95"/>
      <c r="AM606" s="95"/>
      <c r="AN606" s="95"/>
      <c r="AO606" s="95"/>
      <c r="AP606" s="95"/>
      <c r="AQ606" s="95"/>
      <c r="AR606" s="95"/>
      <c r="AS606" s="95"/>
      <c r="AT606" s="95"/>
      <c r="AU606" s="95"/>
      <c r="AV606" s="95"/>
      <c r="AW606" s="95"/>
      <c r="AX606" s="95"/>
    </row>
    <row r="607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  <c r="AC607" s="95"/>
      <c r="AD607" s="95"/>
      <c r="AE607" s="95"/>
      <c r="AF607" s="95"/>
      <c r="AG607" s="95"/>
      <c r="AH607" s="95"/>
      <c r="AI607" s="95"/>
      <c r="AJ607" s="95"/>
      <c r="AK607" s="95"/>
      <c r="AL607" s="95"/>
      <c r="AM607" s="95"/>
      <c r="AN607" s="95"/>
      <c r="AO607" s="95"/>
      <c r="AP607" s="95"/>
      <c r="AQ607" s="95"/>
      <c r="AR607" s="95"/>
      <c r="AS607" s="95"/>
      <c r="AT607" s="95"/>
      <c r="AU607" s="95"/>
      <c r="AV607" s="95"/>
      <c r="AW607" s="95"/>
      <c r="AX607" s="95"/>
    </row>
    <row r="608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  <c r="AC608" s="95"/>
      <c r="AD608" s="95"/>
      <c r="AE608" s="95"/>
      <c r="AF608" s="95"/>
      <c r="AG608" s="95"/>
      <c r="AH608" s="95"/>
      <c r="AI608" s="95"/>
      <c r="AJ608" s="95"/>
      <c r="AK608" s="95"/>
      <c r="AL608" s="95"/>
      <c r="AM608" s="95"/>
      <c r="AN608" s="95"/>
      <c r="AO608" s="95"/>
      <c r="AP608" s="95"/>
      <c r="AQ608" s="95"/>
      <c r="AR608" s="95"/>
      <c r="AS608" s="95"/>
      <c r="AT608" s="95"/>
      <c r="AU608" s="95"/>
      <c r="AV608" s="95"/>
      <c r="AW608" s="95"/>
      <c r="AX608" s="95"/>
    </row>
    <row r="609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  <c r="AC609" s="95"/>
      <c r="AD609" s="95"/>
      <c r="AE609" s="95"/>
      <c r="AF609" s="95"/>
      <c r="AG609" s="95"/>
      <c r="AH609" s="95"/>
      <c r="AI609" s="95"/>
      <c r="AJ609" s="95"/>
      <c r="AK609" s="95"/>
      <c r="AL609" s="95"/>
      <c r="AM609" s="95"/>
      <c r="AN609" s="95"/>
      <c r="AO609" s="95"/>
      <c r="AP609" s="95"/>
      <c r="AQ609" s="95"/>
      <c r="AR609" s="95"/>
      <c r="AS609" s="95"/>
      <c r="AT609" s="95"/>
      <c r="AU609" s="95"/>
      <c r="AV609" s="95"/>
      <c r="AW609" s="95"/>
      <c r="AX609" s="95"/>
    </row>
    <row r="610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  <c r="AC610" s="95"/>
      <c r="AD610" s="95"/>
      <c r="AE610" s="95"/>
      <c r="AF610" s="95"/>
      <c r="AG610" s="95"/>
      <c r="AH610" s="95"/>
      <c r="AI610" s="95"/>
      <c r="AJ610" s="95"/>
      <c r="AK610" s="95"/>
      <c r="AL610" s="95"/>
      <c r="AM610" s="95"/>
      <c r="AN610" s="95"/>
      <c r="AO610" s="95"/>
      <c r="AP610" s="95"/>
      <c r="AQ610" s="95"/>
      <c r="AR610" s="95"/>
      <c r="AS610" s="95"/>
      <c r="AT610" s="95"/>
      <c r="AU610" s="95"/>
      <c r="AV610" s="95"/>
      <c r="AW610" s="95"/>
      <c r="AX610" s="95"/>
    </row>
    <row r="61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  <c r="AC611" s="95"/>
      <c r="AD611" s="95"/>
      <c r="AE611" s="95"/>
      <c r="AF611" s="95"/>
      <c r="AG611" s="95"/>
      <c r="AH611" s="95"/>
      <c r="AI611" s="95"/>
      <c r="AJ611" s="95"/>
      <c r="AK611" s="95"/>
      <c r="AL611" s="95"/>
      <c r="AM611" s="95"/>
      <c r="AN611" s="95"/>
      <c r="AO611" s="95"/>
      <c r="AP611" s="95"/>
      <c r="AQ611" s="95"/>
      <c r="AR611" s="95"/>
      <c r="AS611" s="95"/>
      <c r="AT611" s="95"/>
      <c r="AU611" s="95"/>
      <c r="AV611" s="95"/>
      <c r="AW611" s="95"/>
      <c r="AX611" s="95"/>
    </row>
    <row r="612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  <c r="AC612" s="95"/>
      <c r="AD612" s="95"/>
      <c r="AE612" s="95"/>
      <c r="AF612" s="95"/>
      <c r="AG612" s="95"/>
      <c r="AH612" s="95"/>
      <c r="AI612" s="95"/>
      <c r="AJ612" s="95"/>
      <c r="AK612" s="95"/>
      <c r="AL612" s="95"/>
      <c r="AM612" s="95"/>
      <c r="AN612" s="95"/>
      <c r="AO612" s="95"/>
      <c r="AP612" s="95"/>
      <c r="AQ612" s="95"/>
      <c r="AR612" s="95"/>
      <c r="AS612" s="95"/>
      <c r="AT612" s="95"/>
      <c r="AU612" s="95"/>
      <c r="AV612" s="95"/>
      <c r="AW612" s="95"/>
      <c r="AX612" s="95"/>
    </row>
    <row r="61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  <c r="AC613" s="95"/>
      <c r="AD613" s="95"/>
      <c r="AE613" s="95"/>
      <c r="AF613" s="95"/>
      <c r="AG613" s="95"/>
      <c r="AH613" s="95"/>
      <c r="AI613" s="95"/>
      <c r="AJ613" s="95"/>
      <c r="AK613" s="95"/>
      <c r="AL613" s="95"/>
      <c r="AM613" s="95"/>
      <c r="AN613" s="95"/>
      <c r="AO613" s="95"/>
      <c r="AP613" s="95"/>
      <c r="AQ613" s="95"/>
      <c r="AR613" s="95"/>
      <c r="AS613" s="95"/>
      <c r="AT613" s="95"/>
      <c r="AU613" s="95"/>
      <c r="AV613" s="95"/>
      <c r="AW613" s="95"/>
      <c r="AX613" s="95"/>
    </row>
    <row r="614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  <c r="AC614" s="95"/>
      <c r="AD614" s="95"/>
      <c r="AE614" s="95"/>
      <c r="AF614" s="95"/>
      <c r="AG614" s="95"/>
      <c r="AH614" s="95"/>
      <c r="AI614" s="95"/>
      <c r="AJ614" s="95"/>
      <c r="AK614" s="95"/>
      <c r="AL614" s="95"/>
      <c r="AM614" s="95"/>
      <c r="AN614" s="95"/>
      <c r="AO614" s="95"/>
      <c r="AP614" s="95"/>
      <c r="AQ614" s="95"/>
      <c r="AR614" s="95"/>
      <c r="AS614" s="95"/>
      <c r="AT614" s="95"/>
      <c r="AU614" s="95"/>
      <c r="AV614" s="95"/>
      <c r="AW614" s="95"/>
      <c r="AX614" s="95"/>
    </row>
    <row r="61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  <c r="AC615" s="95"/>
      <c r="AD615" s="95"/>
      <c r="AE615" s="95"/>
      <c r="AF615" s="95"/>
      <c r="AG615" s="95"/>
      <c r="AH615" s="95"/>
      <c r="AI615" s="95"/>
      <c r="AJ615" s="95"/>
      <c r="AK615" s="95"/>
      <c r="AL615" s="95"/>
      <c r="AM615" s="95"/>
      <c r="AN615" s="95"/>
      <c r="AO615" s="95"/>
      <c r="AP615" s="95"/>
      <c r="AQ615" s="95"/>
      <c r="AR615" s="95"/>
      <c r="AS615" s="95"/>
      <c r="AT615" s="95"/>
      <c r="AU615" s="95"/>
      <c r="AV615" s="95"/>
      <c r="AW615" s="95"/>
      <c r="AX615" s="95"/>
    </row>
    <row r="616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  <c r="AC616" s="95"/>
      <c r="AD616" s="95"/>
      <c r="AE616" s="95"/>
      <c r="AF616" s="95"/>
      <c r="AG616" s="95"/>
      <c r="AH616" s="95"/>
      <c r="AI616" s="95"/>
      <c r="AJ616" s="95"/>
      <c r="AK616" s="95"/>
      <c r="AL616" s="95"/>
      <c r="AM616" s="95"/>
      <c r="AN616" s="95"/>
      <c r="AO616" s="95"/>
      <c r="AP616" s="95"/>
      <c r="AQ616" s="95"/>
      <c r="AR616" s="95"/>
      <c r="AS616" s="95"/>
      <c r="AT616" s="95"/>
      <c r="AU616" s="95"/>
      <c r="AV616" s="95"/>
      <c r="AW616" s="95"/>
      <c r="AX616" s="95"/>
    </row>
    <row r="617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  <c r="AC617" s="95"/>
      <c r="AD617" s="95"/>
      <c r="AE617" s="95"/>
      <c r="AF617" s="95"/>
      <c r="AG617" s="95"/>
      <c r="AH617" s="95"/>
      <c r="AI617" s="95"/>
      <c r="AJ617" s="95"/>
      <c r="AK617" s="95"/>
      <c r="AL617" s="95"/>
      <c r="AM617" s="95"/>
      <c r="AN617" s="95"/>
      <c r="AO617" s="95"/>
      <c r="AP617" s="95"/>
      <c r="AQ617" s="95"/>
      <c r="AR617" s="95"/>
      <c r="AS617" s="95"/>
      <c r="AT617" s="95"/>
      <c r="AU617" s="95"/>
      <c r="AV617" s="95"/>
      <c r="AW617" s="95"/>
      <c r="AX617" s="95"/>
    </row>
    <row r="618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  <c r="AC618" s="95"/>
      <c r="AD618" s="95"/>
      <c r="AE618" s="95"/>
      <c r="AF618" s="95"/>
      <c r="AG618" s="95"/>
      <c r="AH618" s="95"/>
      <c r="AI618" s="95"/>
      <c r="AJ618" s="95"/>
      <c r="AK618" s="95"/>
      <c r="AL618" s="95"/>
      <c r="AM618" s="95"/>
      <c r="AN618" s="95"/>
      <c r="AO618" s="95"/>
      <c r="AP618" s="95"/>
      <c r="AQ618" s="95"/>
      <c r="AR618" s="95"/>
      <c r="AS618" s="95"/>
      <c r="AT618" s="95"/>
      <c r="AU618" s="95"/>
      <c r="AV618" s="95"/>
      <c r="AW618" s="95"/>
      <c r="AX618" s="95"/>
    </row>
    <row r="619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  <c r="AC619" s="95"/>
      <c r="AD619" s="95"/>
      <c r="AE619" s="95"/>
      <c r="AF619" s="95"/>
      <c r="AG619" s="95"/>
      <c r="AH619" s="95"/>
      <c r="AI619" s="95"/>
      <c r="AJ619" s="95"/>
      <c r="AK619" s="95"/>
      <c r="AL619" s="95"/>
      <c r="AM619" s="95"/>
      <c r="AN619" s="95"/>
      <c r="AO619" s="95"/>
      <c r="AP619" s="95"/>
      <c r="AQ619" s="95"/>
      <c r="AR619" s="95"/>
      <c r="AS619" s="95"/>
      <c r="AT619" s="95"/>
      <c r="AU619" s="95"/>
      <c r="AV619" s="95"/>
      <c r="AW619" s="95"/>
      <c r="AX619" s="95"/>
    </row>
    <row r="620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  <c r="AC620" s="95"/>
      <c r="AD620" s="95"/>
      <c r="AE620" s="95"/>
      <c r="AF620" s="95"/>
      <c r="AG620" s="95"/>
      <c r="AH620" s="95"/>
      <c r="AI620" s="95"/>
      <c r="AJ620" s="95"/>
      <c r="AK620" s="95"/>
      <c r="AL620" s="95"/>
      <c r="AM620" s="95"/>
      <c r="AN620" s="95"/>
      <c r="AO620" s="95"/>
      <c r="AP620" s="95"/>
      <c r="AQ620" s="95"/>
      <c r="AR620" s="95"/>
      <c r="AS620" s="95"/>
      <c r="AT620" s="95"/>
      <c r="AU620" s="95"/>
      <c r="AV620" s="95"/>
      <c r="AW620" s="95"/>
      <c r="AX620" s="95"/>
    </row>
    <row r="62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  <c r="AC621" s="95"/>
      <c r="AD621" s="95"/>
      <c r="AE621" s="95"/>
      <c r="AF621" s="95"/>
      <c r="AG621" s="95"/>
      <c r="AH621" s="95"/>
      <c r="AI621" s="95"/>
      <c r="AJ621" s="95"/>
      <c r="AK621" s="95"/>
      <c r="AL621" s="95"/>
      <c r="AM621" s="95"/>
      <c r="AN621" s="95"/>
      <c r="AO621" s="95"/>
      <c r="AP621" s="95"/>
      <c r="AQ621" s="95"/>
      <c r="AR621" s="95"/>
      <c r="AS621" s="95"/>
      <c r="AT621" s="95"/>
      <c r="AU621" s="95"/>
      <c r="AV621" s="95"/>
      <c r="AW621" s="95"/>
      <c r="AX621" s="95"/>
    </row>
    <row r="622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  <c r="AC622" s="95"/>
      <c r="AD622" s="95"/>
      <c r="AE622" s="95"/>
      <c r="AF622" s="95"/>
      <c r="AG622" s="95"/>
      <c r="AH622" s="95"/>
      <c r="AI622" s="95"/>
      <c r="AJ622" s="95"/>
      <c r="AK622" s="95"/>
      <c r="AL622" s="95"/>
      <c r="AM622" s="95"/>
      <c r="AN622" s="95"/>
      <c r="AO622" s="95"/>
      <c r="AP622" s="95"/>
      <c r="AQ622" s="95"/>
      <c r="AR622" s="95"/>
      <c r="AS622" s="95"/>
      <c r="AT622" s="95"/>
      <c r="AU622" s="95"/>
      <c r="AV622" s="95"/>
      <c r="AW622" s="95"/>
      <c r="AX622" s="95"/>
    </row>
    <row r="62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  <c r="AC623" s="95"/>
      <c r="AD623" s="95"/>
      <c r="AE623" s="95"/>
      <c r="AF623" s="95"/>
      <c r="AG623" s="95"/>
      <c r="AH623" s="95"/>
      <c r="AI623" s="95"/>
      <c r="AJ623" s="95"/>
      <c r="AK623" s="95"/>
      <c r="AL623" s="95"/>
      <c r="AM623" s="95"/>
      <c r="AN623" s="95"/>
      <c r="AO623" s="95"/>
      <c r="AP623" s="95"/>
      <c r="AQ623" s="95"/>
      <c r="AR623" s="95"/>
      <c r="AS623" s="95"/>
      <c r="AT623" s="95"/>
      <c r="AU623" s="95"/>
      <c r="AV623" s="95"/>
      <c r="AW623" s="95"/>
      <c r="AX623" s="95"/>
    </row>
    <row r="624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  <c r="AC624" s="95"/>
      <c r="AD624" s="95"/>
      <c r="AE624" s="95"/>
      <c r="AF624" s="95"/>
      <c r="AG624" s="95"/>
      <c r="AH624" s="95"/>
      <c r="AI624" s="95"/>
      <c r="AJ624" s="95"/>
      <c r="AK624" s="95"/>
      <c r="AL624" s="95"/>
      <c r="AM624" s="95"/>
      <c r="AN624" s="95"/>
      <c r="AO624" s="95"/>
      <c r="AP624" s="95"/>
      <c r="AQ624" s="95"/>
      <c r="AR624" s="95"/>
      <c r="AS624" s="95"/>
      <c r="AT624" s="95"/>
      <c r="AU624" s="95"/>
      <c r="AV624" s="95"/>
      <c r="AW624" s="95"/>
      <c r="AX624" s="95"/>
    </row>
    <row r="62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  <c r="AC625" s="95"/>
      <c r="AD625" s="95"/>
      <c r="AE625" s="95"/>
      <c r="AF625" s="95"/>
      <c r="AG625" s="95"/>
      <c r="AH625" s="95"/>
      <c r="AI625" s="95"/>
      <c r="AJ625" s="95"/>
      <c r="AK625" s="95"/>
      <c r="AL625" s="95"/>
      <c r="AM625" s="95"/>
      <c r="AN625" s="95"/>
      <c r="AO625" s="95"/>
      <c r="AP625" s="95"/>
      <c r="AQ625" s="95"/>
      <c r="AR625" s="95"/>
      <c r="AS625" s="95"/>
      <c r="AT625" s="95"/>
      <c r="AU625" s="95"/>
      <c r="AV625" s="95"/>
      <c r="AW625" s="95"/>
      <c r="AX625" s="95"/>
    </row>
    <row r="626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  <c r="AC626" s="95"/>
      <c r="AD626" s="95"/>
      <c r="AE626" s="95"/>
      <c r="AF626" s="95"/>
      <c r="AG626" s="95"/>
      <c r="AH626" s="95"/>
      <c r="AI626" s="95"/>
      <c r="AJ626" s="95"/>
      <c r="AK626" s="95"/>
      <c r="AL626" s="95"/>
      <c r="AM626" s="95"/>
      <c r="AN626" s="95"/>
      <c r="AO626" s="95"/>
      <c r="AP626" s="95"/>
      <c r="AQ626" s="95"/>
      <c r="AR626" s="95"/>
      <c r="AS626" s="95"/>
      <c r="AT626" s="95"/>
      <c r="AU626" s="95"/>
      <c r="AV626" s="95"/>
      <c r="AW626" s="95"/>
      <c r="AX626" s="95"/>
    </row>
    <row r="627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  <c r="AC627" s="95"/>
      <c r="AD627" s="95"/>
      <c r="AE627" s="95"/>
      <c r="AF627" s="95"/>
      <c r="AG627" s="95"/>
      <c r="AH627" s="95"/>
      <c r="AI627" s="95"/>
      <c r="AJ627" s="95"/>
      <c r="AK627" s="95"/>
      <c r="AL627" s="95"/>
      <c r="AM627" s="95"/>
      <c r="AN627" s="95"/>
      <c r="AO627" s="95"/>
      <c r="AP627" s="95"/>
      <c r="AQ627" s="95"/>
      <c r="AR627" s="95"/>
      <c r="AS627" s="95"/>
      <c r="AT627" s="95"/>
      <c r="AU627" s="95"/>
      <c r="AV627" s="95"/>
      <c r="AW627" s="95"/>
      <c r="AX627" s="95"/>
    </row>
    <row r="628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  <c r="AC628" s="95"/>
      <c r="AD628" s="95"/>
      <c r="AE628" s="95"/>
      <c r="AF628" s="95"/>
      <c r="AG628" s="95"/>
      <c r="AH628" s="95"/>
      <c r="AI628" s="95"/>
      <c r="AJ628" s="95"/>
      <c r="AK628" s="95"/>
      <c r="AL628" s="95"/>
      <c r="AM628" s="95"/>
      <c r="AN628" s="95"/>
      <c r="AO628" s="95"/>
      <c r="AP628" s="95"/>
      <c r="AQ628" s="95"/>
      <c r="AR628" s="95"/>
      <c r="AS628" s="95"/>
      <c r="AT628" s="95"/>
      <c r="AU628" s="95"/>
      <c r="AV628" s="95"/>
      <c r="AW628" s="95"/>
      <c r="AX628" s="95"/>
    </row>
    <row r="629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  <c r="AC629" s="95"/>
      <c r="AD629" s="95"/>
      <c r="AE629" s="95"/>
      <c r="AF629" s="95"/>
      <c r="AG629" s="95"/>
      <c r="AH629" s="95"/>
      <c r="AI629" s="95"/>
      <c r="AJ629" s="95"/>
      <c r="AK629" s="95"/>
      <c r="AL629" s="95"/>
      <c r="AM629" s="95"/>
      <c r="AN629" s="95"/>
      <c r="AO629" s="95"/>
      <c r="AP629" s="95"/>
      <c r="AQ629" s="95"/>
      <c r="AR629" s="95"/>
      <c r="AS629" s="95"/>
      <c r="AT629" s="95"/>
      <c r="AU629" s="95"/>
      <c r="AV629" s="95"/>
      <c r="AW629" s="95"/>
      <c r="AX629" s="95"/>
    </row>
    <row r="630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  <c r="AC630" s="95"/>
      <c r="AD630" s="95"/>
      <c r="AE630" s="95"/>
      <c r="AF630" s="95"/>
      <c r="AG630" s="95"/>
      <c r="AH630" s="95"/>
      <c r="AI630" s="95"/>
      <c r="AJ630" s="95"/>
      <c r="AK630" s="95"/>
      <c r="AL630" s="95"/>
      <c r="AM630" s="95"/>
      <c r="AN630" s="95"/>
      <c r="AO630" s="95"/>
      <c r="AP630" s="95"/>
      <c r="AQ630" s="95"/>
      <c r="AR630" s="95"/>
      <c r="AS630" s="95"/>
      <c r="AT630" s="95"/>
      <c r="AU630" s="95"/>
      <c r="AV630" s="95"/>
      <c r="AW630" s="95"/>
      <c r="AX630" s="95"/>
    </row>
    <row r="63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  <c r="AC631" s="95"/>
      <c r="AD631" s="95"/>
      <c r="AE631" s="95"/>
      <c r="AF631" s="95"/>
      <c r="AG631" s="95"/>
      <c r="AH631" s="95"/>
      <c r="AI631" s="95"/>
      <c r="AJ631" s="95"/>
      <c r="AK631" s="95"/>
      <c r="AL631" s="95"/>
      <c r="AM631" s="95"/>
      <c r="AN631" s="95"/>
      <c r="AO631" s="95"/>
      <c r="AP631" s="95"/>
      <c r="AQ631" s="95"/>
      <c r="AR631" s="95"/>
      <c r="AS631" s="95"/>
      <c r="AT631" s="95"/>
      <c r="AU631" s="95"/>
      <c r="AV631" s="95"/>
      <c r="AW631" s="95"/>
      <c r="AX631" s="95"/>
    </row>
    <row r="632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  <c r="AC632" s="95"/>
      <c r="AD632" s="95"/>
      <c r="AE632" s="95"/>
      <c r="AF632" s="95"/>
      <c r="AG632" s="95"/>
      <c r="AH632" s="95"/>
      <c r="AI632" s="95"/>
      <c r="AJ632" s="95"/>
      <c r="AK632" s="95"/>
      <c r="AL632" s="95"/>
      <c r="AM632" s="95"/>
      <c r="AN632" s="95"/>
      <c r="AO632" s="95"/>
      <c r="AP632" s="95"/>
      <c r="AQ632" s="95"/>
      <c r="AR632" s="95"/>
      <c r="AS632" s="95"/>
      <c r="AT632" s="95"/>
      <c r="AU632" s="95"/>
      <c r="AV632" s="95"/>
      <c r="AW632" s="95"/>
      <c r="AX632" s="95"/>
    </row>
    <row r="63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  <c r="AC633" s="95"/>
      <c r="AD633" s="95"/>
      <c r="AE633" s="95"/>
      <c r="AF633" s="95"/>
      <c r="AG633" s="95"/>
      <c r="AH633" s="95"/>
      <c r="AI633" s="95"/>
      <c r="AJ633" s="95"/>
      <c r="AK633" s="95"/>
      <c r="AL633" s="95"/>
      <c r="AM633" s="95"/>
      <c r="AN633" s="95"/>
      <c r="AO633" s="95"/>
      <c r="AP633" s="95"/>
      <c r="AQ633" s="95"/>
      <c r="AR633" s="95"/>
      <c r="AS633" s="95"/>
      <c r="AT633" s="95"/>
      <c r="AU633" s="95"/>
      <c r="AV633" s="95"/>
      <c r="AW633" s="95"/>
      <c r="AX633" s="95"/>
    </row>
    <row r="634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  <c r="AC634" s="95"/>
      <c r="AD634" s="95"/>
      <c r="AE634" s="95"/>
      <c r="AF634" s="95"/>
      <c r="AG634" s="95"/>
      <c r="AH634" s="95"/>
      <c r="AI634" s="95"/>
      <c r="AJ634" s="95"/>
      <c r="AK634" s="95"/>
      <c r="AL634" s="95"/>
      <c r="AM634" s="95"/>
      <c r="AN634" s="95"/>
      <c r="AO634" s="95"/>
      <c r="AP634" s="95"/>
      <c r="AQ634" s="95"/>
      <c r="AR634" s="95"/>
      <c r="AS634" s="95"/>
      <c r="AT634" s="95"/>
      <c r="AU634" s="95"/>
      <c r="AV634" s="95"/>
      <c r="AW634" s="95"/>
      <c r="AX634" s="95"/>
    </row>
    <row r="63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  <c r="AC635" s="95"/>
      <c r="AD635" s="95"/>
      <c r="AE635" s="95"/>
      <c r="AF635" s="95"/>
      <c r="AG635" s="95"/>
      <c r="AH635" s="95"/>
      <c r="AI635" s="95"/>
      <c r="AJ635" s="95"/>
      <c r="AK635" s="95"/>
      <c r="AL635" s="95"/>
      <c r="AM635" s="95"/>
      <c r="AN635" s="95"/>
      <c r="AO635" s="95"/>
      <c r="AP635" s="95"/>
      <c r="AQ635" s="95"/>
      <c r="AR635" s="95"/>
      <c r="AS635" s="95"/>
      <c r="AT635" s="95"/>
      <c r="AU635" s="95"/>
      <c r="AV635" s="95"/>
      <c r="AW635" s="95"/>
      <c r="AX635" s="95"/>
    </row>
    <row r="636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  <c r="AC636" s="95"/>
      <c r="AD636" s="95"/>
      <c r="AE636" s="95"/>
      <c r="AF636" s="95"/>
      <c r="AG636" s="95"/>
      <c r="AH636" s="95"/>
      <c r="AI636" s="95"/>
      <c r="AJ636" s="95"/>
      <c r="AK636" s="95"/>
      <c r="AL636" s="95"/>
      <c r="AM636" s="95"/>
      <c r="AN636" s="95"/>
      <c r="AO636" s="95"/>
      <c r="AP636" s="95"/>
      <c r="AQ636" s="95"/>
      <c r="AR636" s="95"/>
      <c r="AS636" s="95"/>
      <c r="AT636" s="95"/>
      <c r="AU636" s="95"/>
      <c r="AV636" s="95"/>
      <c r="AW636" s="95"/>
      <c r="AX636" s="95"/>
    </row>
    <row r="637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  <c r="AC637" s="95"/>
      <c r="AD637" s="95"/>
      <c r="AE637" s="95"/>
      <c r="AF637" s="95"/>
      <c r="AG637" s="95"/>
      <c r="AH637" s="95"/>
      <c r="AI637" s="95"/>
      <c r="AJ637" s="95"/>
      <c r="AK637" s="95"/>
      <c r="AL637" s="95"/>
      <c r="AM637" s="95"/>
      <c r="AN637" s="95"/>
      <c r="AO637" s="95"/>
      <c r="AP637" s="95"/>
      <c r="AQ637" s="95"/>
      <c r="AR637" s="95"/>
      <c r="AS637" s="95"/>
      <c r="AT637" s="95"/>
      <c r="AU637" s="95"/>
      <c r="AV637" s="95"/>
      <c r="AW637" s="95"/>
      <c r="AX637" s="95"/>
    </row>
    <row r="638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  <c r="AC638" s="95"/>
      <c r="AD638" s="95"/>
      <c r="AE638" s="95"/>
      <c r="AF638" s="95"/>
      <c r="AG638" s="95"/>
      <c r="AH638" s="95"/>
      <c r="AI638" s="95"/>
      <c r="AJ638" s="95"/>
      <c r="AK638" s="95"/>
      <c r="AL638" s="95"/>
      <c r="AM638" s="95"/>
      <c r="AN638" s="95"/>
      <c r="AO638" s="95"/>
      <c r="AP638" s="95"/>
      <c r="AQ638" s="95"/>
      <c r="AR638" s="95"/>
      <c r="AS638" s="95"/>
      <c r="AT638" s="95"/>
      <c r="AU638" s="95"/>
      <c r="AV638" s="95"/>
      <c r="AW638" s="95"/>
      <c r="AX638" s="95"/>
    </row>
    <row r="639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  <c r="AC639" s="95"/>
      <c r="AD639" s="95"/>
      <c r="AE639" s="95"/>
      <c r="AF639" s="95"/>
      <c r="AG639" s="95"/>
      <c r="AH639" s="95"/>
      <c r="AI639" s="95"/>
      <c r="AJ639" s="95"/>
      <c r="AK639" s="95"/>
      <c r="AL639" s="95"/>
      <c r="AM639" s="95"/>
      <c r="AN639" s="95"/>
      <c r="AO639" s="95"/>
      <c r="AP639" s="95"/>
      <c r="AQ639" s="95"/>
      <c r="AR639" s="95"/>
      <c r="AS639" s="95"/>
      <c r="AT639" s="95"/>
      <c r="AU639" s="95"/>
      <c r="AV639" s="95"/>
      <c r="AW639" s="95"/>
      <c r="AX639" s="95"/>
    </row>
    <row r="640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  <c r="AC640" s="95"/>
      <c r="AD640" s="95"/>
      <c r="AE640" s="95"/>
      <c r="AF640" s="95"/>
      <c r="AG640" s="95"/>
      <c r="AH640" s="95"/>
      <c r="AI640" s="95"/>
      <c r="AJ640" s="95"/>
      <c r="AK640" s="95"/>
      <c r="AL640" s="95"/>
      <c r="AM640" s="95"/>
      <c r="AN640" s="95"/>
      <c r="AO640" s="95"/>
      <c r="AP640" s="95"/>
      <c r="AQ640" s="95"/>
      <c r="AR640" s="95"/>
      <c r="AS640" s="95"/>
      <c r="AT640" s="95"/>
      <c r="AU640" s="95"/>
      <c r="AV640" s="95"/>
      <c r="AW640" s="95"/>
      <c r="AX640" s="95"/>
    </row>
    <row r="64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  <c r="AC641" s="95"/>
      <c r="AD641" s="95"/>
      <c r="AE641" s="95"/>
      <c r="AF641" s="95"/>
      <c r="AG641" s="95"/>
      <c r="AH641" s="95"/>
      <c r="AI641" s="95"/>
      <c r="AJ641" s="95"/>
      <c r="AK641" s="95"/>
      <c r="AL641" s="95"/>
      <c r="AM641" s="95"/>
      <c r="AN641" s="95"/>
      <c r="AO641" s="95"/>
      <c r="AP641" s="95"/>
      <c r="AQ641" s="95"/>
      <c r="AR641" s="95"/>
      <c r="AS641" s="95"/>
      <c r="AT641" s="95"/>
      <c r="AU641" s="95"/>
      <c r="AV641" s="95"/>
      <c r="AW641" s="95"/>
      <c r="AX641" s="95"/>
    </row>
    <row r="642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  <c r="AC642" s="95"/>
      <c r="AD642" s="95"/>
      <c r="AE642" s="95"/>
      <c r="AF642" s="95"/>
      <c r="AG642" s="95"/>
      <c r="AH642" s="95"/>
      <c r="AI642" s="95"/>
      <c r="AJ642" s="95"/>
      <c r="AK642" s="95"/>
      <c r="AL642" s="95"/>
      <c r="AM642" s="95"/>
      <c r="AN642" s="95"/>
      <c r="AO642" s="95"/>
      <c r="AP642" s="95"/>
      <c r="AQ642" s="95"/>
      <c r="AR642" s="95"/>
      <c r="AS642" s="95"/>
      <c r="AT642" s="95"/>
      <c r="AU642" s="95"/>
      <c r="AV642" s="95"/>
      <c r="AW642" s="95"/>
      <c r="AX642" s="95"/>
    </row>
    <row r="64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  <c r="AC643" s="95"/>
      <c r="AD643" s="95"/>
      <c r="AE643" s="95"/>
      <c r="AF643" s="95"/>
      <c r="AG643" s="95"/>
      <c r="AH643" s="95"/>
      <c r="AI643" s="95"/>
      <c r="AJ643" s="95"/>
      <c r="AK643" s="95"/>
      <c r="AL643" s="95"/>
      <c r="AM643" s="95"/>
      <c r="AN643" s="95"/>
      <c r="AO643" s="95"/>
      <c r="AP643" s="95"/>
      <c r="AQ643" s="95"/>
      <c r="AR643" s="95"/>
      <c r="AS643" s="95"/>
      <c r="AT643" s="95"/>
      <c r="AU643" s="95"/>
      <c r="AV643" s="95"/>
      <c r="AW643" s="95"/>
      <c r="AX643" s="95"/>
    </row>
    <row r="644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  <c r="AC644" s="95"/>
      <c r="AD644" s="95"/>
      <c r="AE644" s="95"/>
      <c r="AF644" s="95"/>
      <c r="AG644" s="95"/>
      <c r="AH644" s="95"/>
      <c r="AI644" s="95"/>
      <c r="AJ644" s="95"/>
      <c r="AK644" s="95"/>
      <c r="AL644" s="95"/>
      <c r="AM644" s="95"/>
      <c r="AN644" s="95"/>
      <c r="AO644" s="95"/>
      <c r="AP644" s="95"/>
      <c r="AQ644" s="95"/>
      <c r="AR644" s="95"/>
      <c r="AS644" s="95"/>
      <c r="AT644" s="95"/>
      <c r="AU644" s="95"/>
      <c r="AV644" s="95"/>
      <c r="AW644" s="95"/>
      <c r="AX644" s="95"/>
    </row>
    <row r="64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  <c r="AC645" s="95"/>
      <c r="AD645" s="95"/>
      <c r="AE645" s="95"/>
      <c r="AF645" s="95"/>
      <c r="AG645" s="95"/>
      <c r="AH645" s="95"/>
      <c r="AI645" s="95"/>
      <c r="AJ645" s="95"/>
      <c r="AK645" s="95"/>
      <c r="AL645" s="95"/>
      <c r="AM645" s="95"/>
      <c r="AN645" s="95"/>
      <c r="AO645" s="95"/>
      <c r="AP645" s="95"/>
      <c r="AQ645" s="95"/>
      <c r="AR645" s="95"/>
      <c r="AS645" s="95"/>
      <c r="AT645" s="95"/>
      <c r="AU645" s="95"/>
      <c r="AV645" s="95"/>
      <c r="AW645" s="95"/>
      <c r="AX645" s="95"/>
    </row>
    <row r="646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  <c r="AC646" s="95"/>
      <c r="AD646" s="95"/>
      <c r="AE646" s="95"/>
      <c r="AF646" s="95"/>
      <c r="AG646" s="95"/>
      <c r="AH646" s="95"/>
      <c r="AI646" s="95"/>
      <c r="AJ646" s="95"/>
      <c r="AK646" s="95"/>
      <c r="AL646" s="95"/>
      <c r="AM646" s="95"/>
      <c r="AN646" s="95"/>
      <c r="AO646" s="95"/>
      <c r="AP646" s="95"/>
      <c r="AQ646" s="95"/>
      <c r="AR646" s="95"/>
      <c r="AS646" s="95"/>
      <c r="AT646" s="95"/>
      <c r="AU646" s="95"/>
      <c r="AV646" s="95"/>
      <c r="AW646" s="95"/>
      <c r="AX646" s="95"/>
    </row>
    <row r="647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  <c r="AC647" s="95"/>
      <c r="AD647" s="95"/>
      <c r="AE647" s="95"/>
      <c r="AF647" s="95"/>
      <c r="AG647" s="95"/>
      <c r="AH647" s="95"/>
      <c r="AI647" s="95"/>
      <c r="AJ647" s="95"/>
      <c r="AK647" s="95"/>
      <c r="AL647" s="95"/>
      <c r="AM647" s="95"/>
      <c r="AN647" s="95"/>
      <c r="AO647" s="95"/>
      <c r="AP647" s="95"/>
      <c r="AQ647" s="95"/>
      <c r="AR647" s="95"/>
      <c r="AS647" s="95"/>
      <c r="AT647" s="95"/>
      <c r="AU647" s="95"/>
      <c r="AV647" s="95"/>
      <c r="AW647" s="95"/>
      <c r="AX647" s="95"/>
    </row>
    <row r="648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  <c r="AC648" s="95"/>
      <c r="AD648" s="95"/>
      <c r="AE648" s="95"/>
      <c r="AF648" s="95"/>
      <c r="AG648" s="95"/>
      <c r="AH648" s="95"/>
      <c r="AI648" s="95"/>
      <c r="AJ648" s="95"/>
      <c r="AK648" s="95"/>
      <c r="AL648" s="95"/>
      <c r="AM648" s="95"/>
      <c r="AN648" s="95"/>
      <c r="AO648" s="95"/>
      <c r="AP648" s="95"/>
      <c r="AQ648" s="95"/>
      <c r="AR648" s="95"/>
      <c r="AS648" s="95"/>
      <c r="AT648" s="95"/>
      <c r="AU648" s="95"/>
      <c r="AV648" s="95"/>
      <c r="AW648" s="95"/>
      <c r="AX648" s="95"/>
    </row>
    <row r="649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  <c r="AC649" s="95"/>
      <c r="AD649" s="95"/>
      <c r="AE649" s="95"/>
      <c r="AF649" s="95"/>
      <c r="AG649" s="95"/>
      <c r="AH649" s="95"/>
      <c r="AI649" s="95"/>
      <c r="AJ649" s="95"/>
      <c r="AK649" s="95"/>
      <c r="AL649" s="95"/>
      <c r="AM649" s="95"/>
      <c r="AN649" s="95"/>
      <c r="AO649" s="95"/>
      <c r="AP649" s="95"/>
      <c r="AQ649" s="95"/>
      <c r="AR649" s="95"/>
      <c r="AS649" s="95"/>
      <c r="AT649" s="95"/>
      <c r="AU649" s="95"/>
      <c r="AV649" s="95"/>
      <c r="AW649" s="95"/>
      <c r="AX649" s="95"/>
    </row>
    <row r="650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  <c r="AC650" s="95"/>
      <c r="AD650" s="95"/>
      <c r="AE650" s="95"/>
      <c r="AF650" s="95"/>
      <c r="AG650" s="95"/>
      <c r="AH650" s="95"/>
      <c r="AI650" s="95"/>
      <c r="AJ650" s="95"/>
      <c r="AK650" s="95"/>
      <c r="AL650" s="95"/>
      <c r="AM650" s="95"/>
      <c r="AN650" s="95"/>
      <c r="AO650" s="95"/>
      <c r="AP650" s="95"/>
      <c r="AQ650" s="95"/>
      <c r="AR650" s="95"/>
      <c r="AS650" s="95"/>
      <c r="AT650" s="95"/>
      <c r="AU650" s="95"/>
      <c r="AV650" s="95"/>
      <c r="AW650" s="95"/>
      <c r="AX650" s="95"/>
    </row>
    <row r="65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  <c r="AC651" s="95"/>
      <c r="AD651" s="95"/>
      <c r="AE651" s="95"/>
      <c r="AF651" s="95"/>
      <c r="AG651" s="95"/>
      <c r="AH651" s="95"/>
      <c r="AI651" s="95"/>
      <c r="AJ651" s="95"/>
      <c r="AK651" s="95"/>
      <c r="AL651" s="95"/>
      <c r="AM651" s="95"/>
      <c r="AN651" s="95"/>
      <c r="AO651" s="95"/>
      <c r="AP651" s="95"/>
      <c r="AQ651" s="95"/>
      <c r="AR651" s="95"/>
      <c r="AS651" s="95"/>
      <c r="AT651" s="95"/>
      <c r="AU651" s="95"/>
      <c r="AV651" s="95"/>
      <c r="AW651" s="95"/>
      <c r="AX651" s="95"/>
    </row>
    <row r="652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  <c r="AC652" s="95"/>
      <c r="AD652" s="95"/>
      <c r="AE652" s="95"/>
      <c r="AF652" s="95"/>
      <c r="AG652" s="95"/>
      <c r="AH652" s="95"/>
      <c r="AI652" s="95"/>
      <c r="AJ652" s="95"/>
      <c r="AK652" s="95"/>
      <c r="AL652" s="95"/>
      <c r="AM652" s="95"/>
      <c r="AN652" s="95"/>
      <c r="AO652" s="95"/>
      <c r="AP652" s="95"/>
      <c r="AQ652" s="95"/>
      <c r="AR652" s="95"/>
      <c r="AS652" s="95"/>
      <c r="AT652" s="95"/>
      <c r="AU652" s="95"/>
      <c r="AV652" s="95"/>
      <c r="AW652" s="95"/>
      <c r="AX652" s="95"/>
    </row>
    <row r="65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  <c r="AC653" s="95"/>
      <c r="AD653" s="95"/>
      <c r="AE653" s="95"/>
      <c r="AF653" s="95"/>
      <c r="AG653" s="95"/>
      <c r="AH653" s="95"/>
      <c r="AI653" s="95"/>
      <c r="AJ653" s="95"/>
      <c r="AK653" s="95"/>
      <c r="AL653" s="95"/>
      <c r="AM653" s="95"/>
      <c r="AN653" s="95"/>
      <c r="AO653" s="95"/>
      <c r="AP653" s="95"/>
      <c r="AQ653" s="95"/>
      <c r="AR653" s="95"/>
      <c r="AS653" s="95"/>
      <c r="AT653" s="95"/>
      <c r="AU653" s="95"/>
      <c r="AV653" s="95"/>
      <c r="AW653" s="95"/>
      <c r="AX653" s="95"/>
    </row>
    <row r="654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  <c r="AC654" s="95"/>
      <c r="AD654" s="95"/>
      <c r="AE654" s="95"/>
      <c r="AF654" s="95"/>
      <c r="AG654" s="95"/>
      <c r="AH654" s="95"/>
      <c r="AI654" s="95"/>
      <c r="AJ654" s="95"/>
      <c r="AK654" s="95"/>
      <c r="AL654" s="95"/>
      <c r="AM654" s="95"/>
      <c r="AN654" s="95"/>
      <c r="AO654" s="95"/>
      <c r="AP654" s="95"/>
      <c r="AQ654" s="95"/>
      <c r="AR654" s="95"/>
      <c r="AS654" s="95"/>
      <c r="AT654" s="95"/>
      <c r="AU654" s="95"/>
      <c r="AV654" s="95"/>
      <c r="AW654" s="95"/>
      <c r="AX654" s="95"/>
    </row>
    <row r="65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  <c r="AC655" s="95"/>
      <c r="AD655" s="95"/>
      <c r="AE655" s="95"/>
      <c r="AF655" s="95"/>
      <c r="AG655" s="95"/>
      <c r="AH655" s="95"/>
      <c r="AI655" s="95"/>
      <c r="AJ655" s="95"/>
      <c r="AK655" s="95"/>
      <c r="AL655" s="95"/>
      <c r="AM655" s="95"/>
      <c r="AN655" s="95"/>
      <c r="AO655" s="95"/>
      <c r="AP655" s="95"/>
      <c r="AQ655" s="95"/>
      <c r="AR655" s="95"/>
      <c r="AS655" s="95"/>
      <c r="AT655" s="95"/>
      <c r="AU655" s="95"/>
      <c r="AV655" s="95"/>
      <c r="AW655" s="95"/>
      <c r="AX655" s="95"/>
    </row>
    <row r="656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  <c r="AC656" s="95"/>
      <c r="AD656" s="95"/>
      <c r="AE656" s="95"/>
      <c r="AF656" s="95"/>
      <c r="AG656" s="95"/>
      <c r="AH656" s="95"/>
      <c r="AI656" s="95"/>
      <c r="AJ656" s="95"/>
      <c r="AK656" s="95"/>
      <c r="AL656" s="95"/>
      <c r="AM656" s="95"/>
      <c r="AN656" s="95"/>
      <c r="AO656" s="95"/>
      <c r="AP656" s="95"/>
      <c r="AQ656" s="95"/>
      <c r="AR656" s="95"/>
      <c r="AS656" s="95"/>
      <c r="AT656" s="95"/>
      <c r="AU656" s="95"/>
      <c r="AV656" s="95"/>
      <c r="AW656" s="95"/>
      <c r="AX656" s="95"/>
    </row>
    <row r="657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  <c r="AC657" s="95"/>
      <c r="AD657" s="95"/>
      <c r="AE657" s="95"/>
      <c r="AF657" s="95"/>
      <c r="AG657" s="95"/>
      <c r="AH657" s="95"/>
      <c r="AI657" s="95"/>
      <c r="AJ657" s="95"/>
      <c r="AK657" s="95"/>
      <c r="AL657" s="95"/>
      <c r="AM657" s="95"/>
      <c r="AN657" s="95"/>
      <c r="AO657" s="95"/>
      <c r="AP657" s="95"/>
      <c r="AQ657" s="95"/>
      <c r="AR657" s="95"/>
      <c r="AS657" s="95"/>
      <c r="AT657" s="95"/>
      <c r="AU657" s="95"/>
      <c r="AV657" s="95"/>
      <c r="AW657" s="95"/>
      <c r="AX657" s="95"/>
    </row>
    <row r="658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  <c r="AC658" s="95"/>
      <c r="AD658" s="95"/>
      <c r="AE658" s="95"/>
      <c r="AF658" s="95"/>
      <c r="AG658" s="95"/>
      <c r="AH658" s="95"/>
      <c r="AI658" s="95"/>
      <c r="AJ658" s="95"/>
      <c r="AK658" s="95"/>
      <c r="AL658" s="95"/>
      <c r="AM658" s="95"/>
      <c r="AN658" s="95"/>
      <c r="AO658" s="95"/>
      <c r="AP658" s="95"/>
      <c r="AQ658" s="95"/>
      <c r="AR658" s="95"/>
      <c r="AS658" s="95"/>
      <c r="AT658" s="95"/>
      <c r="AU658" s="95"/>
      <c r="AV658" s="95"/>
      <c r="AW658" s="95"/>
      <c r="AX658" s="95"/>
    </row>
    <row r="659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  <c r="AC659" s="95"/>
      <c r="AD659" s="95"/>
      <c r="AE659" s="95"/>
      <c r="AF659" s="95"/>
      <c r="AG659" s="95"/>
      <c r="AH659" s="95"/>
      <c r="AI659" s="95"/>
      <c r="AJ659" s="95"/>
      <c r="AK659" s="95"/>
      <c r="AL659" s="95"/>
      <c r="AM659" s="95"/>
      <c r="AN659" s="95"/>
      <c r="AO659" s="95"/>
      <c r="AP659" s="95"/>
      <c r="AQ659" s="95"/>
      <c r="AR659" s="95"/>
      <c r="AS659" s="95"/>
      <c r="AT659" s="95"/>
      <c r="AU659" s="95"/>
      <c r="AV659" s="95"/>
      <c r="AW659" s="95"/>
      <c r="AX659" s="95"/>
    </row>
    <row r="660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  <c r="AC660" s="95"/>
      <c r="AD660" s="95"/>
      <c r="AE660" s="95"/>
      <c r="AF660" s="95"/>
      <c r="AG660" s="95"/>
      <c r="AH660" s="95"/>
      <c r="AI660" s="95"/>
      <c r="AJ660" s="95"/>
      <c r="AK660" s="95"/>
      <c r="AL660" s="95"/>
      <c r="AM660" s="95"/>
      <c r="AN660" s="95"/>
      <c r="AO660" s="95"/>
      <c r="AP660" s="95"/>
      <c r="AQ660" s="95"/>
      <c r="AR660" s="95"/>
      <c r="AS660" s="95"/>
      <c r="AT660" s="95"/>
      <c r="AU660" s="95"/>
      <c r="AV660" s="95"/>
      <c r="AW660" s="95"/>
      <c r="AX660" s="95"/>
    </row>
    <row r="66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  <c r="AC661" s="95"/>
      <c r="AD661" s="95"/>
      <c r="AE661" s="95"/>
      <c r="AF661" s="95"/>
      <c r="AG661" s="95"/>
      <c r="AH661" s="95"/>
      <c r="AI661" s="95"/>
      <c r="AJ661" s="95"/>
      <c r="AK661" s="95"/>
      <c r="AL661" s="95"/>
      <c r="AM661" s="95"/>
      <c r="AN661" s="95"/>
      <c r="AO661" s="95"/>
      <c r="AP661" s="95"/>
      <c r="AQ661" s="95"/>
      <c r="AR661" s="95"/>
      <c r="AS661" s="95"/>
      <c r="AT661" s="95"/>
      <c r="AU661" s="95"/>
      <c r="AV661" s="95"/>
      <c r="AW661" s="95"/>
      <c r="AX661" s="95"/>
    </row>
    <row r="662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  <c r="AC662" s="95"/>
      <c r="AD662" s="95"/>
      <c r="AE662" s="95"/>
      <c r="AF662" s="95"/>
      <c r="AG662" s="95"/>
      <c r="AH662" s="95"/>
      <c r="AI662" s="95"/>
      <c r="AJ662" s="95"/>
      <c r="AK662" s="95"/>
      <c r="AL662" s="95"/>
      <c r="AM662" s="95"/>
      <c r="AN662" s="95"/>
      <c r="AO662" s="95"/>
      <c r="AP662" s="95"/>
      <c r="AQ662" s="95"/>
      <c r="AR662" s="95"/>
      <c r="AS662" s="95"/>
      <c r="AT662" s="95"/>
      <c r="AU662" s="95"/>
      <c r="AV662" s="95"/>
      <c r="AW662" s="95"/>
      <c r="AX662" s="95"/>
    </row>
    <row r="66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  <c r="AC663" s="95"/>
      <c r="AD663" s="95"/>
      <c r="AE663" s="95"/>
      <c r="AF663" s="95"/>
      <c r="AG663" s="95"/>
      <c r="AH663" s="95"/>
      <c r="AI663" s="95"/>
      <c r="AJ663" s="95"/>
      <c r="AK663" s="95"/>
      <c r="AL663" s="95"/>
      <c r="AM663" s="95"/>
      <c r="AN663" s="95"/>
      <c r="AO663" s="95"/>
      <c r="AP663" s="95"/>
      <c r="AQ663" s="95"/>
      <c r="AR663" s="95"/>
      <c r="AS663" s="95"/>
      <c r="AT663" s="95"/>
      <c r="AU663" s="95"/>
      <c r="AV663" s="95"/>
      <c r="AW663" s="95"/>
      <c r="AX663" s="95"/>
    </row>
    <row r="664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  <c r="AC664" s="95"/>
      <c r="AD664" s="95"/>
      <c r="AE664" s="95"/>
      <c r="AF664" s="95"/>
      <c r="AG664" s="95"/>
      <c r="AH664" s="95"/>
      <c r="AI664" s="95"/>
      <c r="AJ664" s="95"/>
      <c r="AK664" s="95"/>
      <c r="AL664" s="95"/>
      <c r="AM664" s="95"/>
      <c r="AN664" s="95"/>
      <c r="AO664" s="95"/>
      <c r="AP664" s="95"/>
      <c r="AQ664" s="95"/>
      <c r="AR664" s="95"/>
      <c r="AS664" s="95"/>
      <c r="AT664" s="95"/>
      <c r="AU664" s="95"/>
      <c r="AV664" s="95"/>
      <c r="AW664" s="95"/>
      <c r="AX664" s="95"/>
    </row>
    <row r="6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  <c r="AC665" s="95"/>
      <c r="AD665" s="95"/>
      <c r="AE665" s="95"/>
      <c r="AF665" s="95"/>
      <c r="AG665" s="95"/>
      <c r="AH665" s="95"/>
      <c r="AI665" s="95"/>
      <c r="AJ665" s="95"/>
      <c r="AK665" s="95"/>
      <c r="AL665" s="95"/>
      <c r="AM665" s="95"/>
      <c r="AN665" s="95"/>
      <c r="AO665" s="95"/>
      <c r="AP665" s="95"/>
      <c r="AQ665" s="95"/>
      <c r="AR665" s="95"/>
      <c r="AS665" s="95"/>
      <c r="AT665" s="95"/>
      <c r="AU665" s="95"/>
      <c r="AV665" s="95"/>
      <c r="AW665" s="95"/>
      <c r="AX665" s="95"/>
    </row>
    <row r="666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  <c r="AC666" s="95"/>
      <c r="AD666" s="95"/>
      <c r="AE666" s="95"/>
      <c r="AF666" s="95"/>
      <c r="AG666" s="95"/>
      <c r="AH666" s="95"/>
      <c r="AI666" s="95"/>
      <c r="AJ666" s="95"/>
      <c r="AK666" s="95"/>
      <c r="AL666" s="95"/>
      <c r="AM666" s="95"/>
      <c r="AN666" s="95"/>
      <c r="AO666" s="95"/>
      <c r="AP666" s="95"/>
      <c r="AQ666" s="95"/>
      <c r="AR666" s="95"/>
      <c r="AS666" s="95"/>
      <c r="AT666" s="95"/>
      <c r="AU666" s="95"/>
      <c r="AV666" s="95"/>
      <c r="AW666" s="95"/>
      <c r="AX666" s="95"/>
    </row>
    <row r="667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  <c r="AC667" s="95"/>
      <c r="AD667" s="95"/>
      <c r="AE667" s="95"/>
      <c r="AF667" s="95"/>
      <c r="AG667" s="95"/>
      <c r="AH667" s="95"/>
      <c r="AI667" s="95"/>
      <c r="AJ667" s="95"/>
      <c r="AK667" s="95"/>
      <c r="AL667" s="95"/>
      <c r="AM667" s="95"/>
      <c r="AN667" s="95"/>
      <c r="AO667" s="95"/>
      <c r="AP667" s="95"/>
      <c r="AQ667" s="95"/>
      <c r="AR667" s="95"/>
      <c r="AS667" s="95"/>
      <c r="AT667" s="95"/>
      <c r="AU667" s="95"/>
      <c r="AV667" s="95"/>
      <c r="AW667" s="95"/>
      <c r="AX667" s="95"/>
    </row>
    <row r="668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  <c r="AC668" s="95"/>
      <c r="AD668" s="95"/>
      <c r="AE668" s="95"/>
      <c r="AF668" s="95"/>
      <c r="AG668" s="95"/>
      <c r="AH668" s="95"/>
      <c r="AI668" s="95"/>
      <c r="AJ668" s="95"/>
      <c r="AK668" s="95"/>
      <c r="AL668" s="95"/>
      <c r="AM668" s="95"/>
      <c r="AN668" s="95"/>
      <c r="AO668" s="95"/>
      <c r="AP668" s="95"/>
      <c r="AQ668" s="95"/>
      <c r="AR668" s="95"/>
      <c r="AS668" s="95"/>
      <c r="AT668" s="95"/>
      <c r="AU668" s="95"/>
      <c r="AV668" s="95"/>
      <c r="AW668" s="95"/>
      <c r="AX668" s="95"/>
    </row>
    <row r="669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  <c r="AC669" s="95"/>
      <c r="AD669" s="95"/>
      <c r="AE669" s="95"/>
      <c r="AF669" s="95"/>
      <c r="AG669" s="95"/>
      <c r="AH669" s="95"/>
      <c r="AI669" s="95"/>
      <c r="AJ669" s="95"/>
      <c r="AK669" s="95"/>
      <c r="AL669" s="95"/>
      <c r="AM669" s="95"/>
      <c r="AN669" s="95"/>
      <c r="AO669" s="95"/>
      <c r="AP669" s="95"/>
      <c r="AQ669" s="95"/>
      <c r="AR669" s="95"/>
      <c r="AS669" s="95"/>
      <c r="AT669" s="95"/>
      <c r="AU669" s="95"/>
      <c r="AV669" s="95"/>
      <c r="AW669" s="95"/>
      <c r="AX669" s="95"/>
    </row>
    <row r="670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  <c r="AC670" s="95"/>
      <c r="AD670" s="95"/>
      <c r="AE670" s="95"/>
      <c r="AF670" s="95"/>
      <c r="AG670" s="95"/>
      <c r="AH670" s="95"/>
      <c r="AI670" s="95"/>
      <c r="AJ670" s="95"/>
      <c r="AK670" s="95"/>
      <c r="AL670" s="95"/>
      <c r="AM670" s="95"/>
      <c r="AN670" s="95"/>
      <c r="AO670" s="95"/>
      <c r="AP670" s="95"/>
      <c r="AQ670" s="95"/>
      <c r="AR670" s="95"/>
      <c r="AS670" s="95"/>
      <c r="AT670" s="95"/>
      <c r="AU670" s="95"/>
      <c r="AV670" s="95"/>
      <c r="AW670" s="95"/>
      <c r="AX670" s="95"/>
    </row>
    <row r="67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  <c r="AC671" s="95"/>
      <c r="AD671" s="95"/>
      <c r="AE671" s="95"/>
      <c r="AF671" s="95"/>
      <c r="AG671" s="95"/>
      <c r="AH671" s="95"/>
      <c r="AI671" s="95"/>
      <c r="AJ671" s="95"/>
      <c r="AK671" s="95"/>
      <c r="AL671" s="95"/>
      <c r="AM671" s="95"/>
      <c r="AN671" s="95"/>
      <c r="AO671" s="95"/>
      <c r="AP671" s="95"/>
      <c r="AQ671" s="95"/>
      <c r="AR671" s="95"/>
      <c r="AS671" s="95"/>
      <c r="AT671" s="95"/>
      <c r="AU671" s="95"/>
      <c r="AV671" s="95"/>
      <c r="AW671" s="95"/>
      <c r="AX671" s="95"/>
    </row>
    <row r="672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  <c r="AC672" s="95"/>
      <c r="AD672" s="95"/>
      <c r="AE672" s="95"/>
      <c r="AF672" s="95"/>
      <c r="AG672" s="95"/>
      <c r="AH672" s="95"/>
      <c r="AI672" s="95"/>
      <c r="AJ672" s="95"/>
      <c r="AK672" s="95"/>
      <c r="AL672" s="95"/>
      <c r="AM672" s="95"/>
      <c r="AN672" s="95"/>
      <c r="AO672" s="95"/>
      <c r="AP672" s="95"/>
      <c r="AQ672" s="95"/>
      <c r="AR672" s="95"/>
      <c r="AS672" s="95"/>
      <c r="AT672" s="95"/>
      <c r="AU672" s="95"/>
      <c r="AV672" s="95"/>
      <c r="AW672" s="95"/>
      <c r="AX672" s="95"/>
    </row>
    <row r="67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  <c r="AC673" s="95"/>
      <c r="AD673" s="95"/>
      <c r="AE673" s="95"/>
      <c r="AF673" s="95"/>
      <c r="AG673" s="95"/>
      <c r="AH673" s="95"/>
      <c r="AI673" s="95"/>
      <c r="AJ673" s="95"/>
      <c r="AK673" s="95"/>
      <c r="AL673" s="95"/>
      <c r="AM673" s="95"/>
      <c r="AN673" s="95"/>
      <c r="AO673" s="95"/>
      <c r="AP673" s="95"/>
      <c r="AQ673" s="95"/>
      <c r="AR673" s="95"/>
      <c r="AS673" s="95"/>
      <c r="AT673" s="95"/>
      <c r="AU673" s="95"/>
      <c r="AV673" s="95"/>
      <c r="AW673" s="95"/>
      <c r="AX673" s="95"/>
    </row>
    <row r="674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  <c r="AC674" s="95"/>
      <c r="AD674" s="95"/>
      <c r="AE674" s="95"/>
      <c r="AF674" s="95"/>
      <c r="AG674" s="95"/>
      <c r="AH674" s="95"/>
      <c r="AI674" s="95"/>
      <c r="AJ674" s="95"/>
      <c r="AK674" s="95"/>
      <c r="AL674" s="95"/>
      <c r="AM674" s="95"/>
      <c r="AN674" s="95"/>
      <c r="AO674" s="95"/>
      <c r="AP674" s="95"/>
      <c r="AQ674" s="95"/>
      <c r="AR674" s="95"/>
      <c r="AS674" s="95"/>
      <c r="AT674" s="95"/>
      <c r="AU674" s="95"/>
      <c r="AV674" s="95"/>
      <c r="AW674" s="95"/>
      <c r="AX674" s="95"/>
    </row>
    <row r="67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  <c r="AC675" s="95"/>
      <c r="AD675" s="95"/>
      <c r="AE675" s="95"/>
      <c r="AF675" s="95"/>
      <c r="AG675" s="95"/>
      <c r="AH675" s="95"/>
      <c r="AI675" s="95"/>
      <c r="AJ675" s="95"/>
      <c r="AK675" s="95"/>
      <c r="AL675" s="95"/>
      <c r="AM675" s="95"/>
      <c r="AN675" s="95"/>
      <c r="AO675" s="95"/>
      <c r="AP675" s="95"/>
      <c r="AQ675" s="95"/>
      <c r="AR675" s="95"/>
      <c r="AS675" s="95"/>
      <c r="AT675" s="95"/>
      <c r="AU675" s="95"/>
      <c r="AV675" s="95"/>
      <c r="AW675" s="95"/>
      <c r="AX675" s="95"/>
    </row>
    <row r="676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  <c r="AC676" s="95"/>
      <c r="AD676" s="95"/>
      <c r="AE676" s="95"/>
      <c r="AF676" s="95"/>
      <c r="AG676" s="95"/>
      <c r="AH676" s="95"/>
      <c r="AI676" s="95"/>
      <c r="AJ676" s="95"/>
      <c r="AK676" s="95"/>
      <c r="AL676" s="95"/>
      <c r="AM676" s="95"/>
      <c r="AN676" s="95"/>
      <c r="AO676" s="95"/>
      <c r="AP676" s="95"/>
      <c r="AQ676" s="95"/>
      <c r="AR676" s="95"/>
      <c r="AS676" s="95"/>
      <c r="AT676" s="95"/>
      <c r="AU676" s="95"/>
      <c r="AV676" s="95"/>
      <c r="AW676" s="95"/>
      <c r="AX676" s="95"/>
    </row>
    <row r="677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  <c r="AC677" s="95"/>
      <c r="AD677" s="95"/>
      <c r="AE677" s="95"/>
      <c r="AF677" s="95"/>
      <c r="AG677" s="95"/>
      <c r="AH677" s="95"/>
      <c r="AI677" s="95"/>
      <c r="AJ677" s="95"/>
      <c r="AK677" s="95"/>
      <c r="AL677" s="95"/>
      <c r="AM677" s="95"/>
      <c r="AN677" s="95"/>
      <c r="AO677" s="95"/>
      <c r="AP677" s="95"/>
      <c r="AQ677" s="95"/>
      <c r="AR677" s="95"/>
      <c r="AS677" s="95"/>
      <c r="AT677" s="95"/>
      <c r="AU677" s="95"/>
      <c r="AV677" s="95"/>
      <c r="AW677" s="95"/>
      <c r="AX677" s="95"/>
    </row>
    <row r="678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  <c r="AC678" s="95"/>
      <c r="AD678" s="95"/>
      <c r="AE678" s="95"/>
      <c r="AF678" s="95"/>
      <c r="AG678" s="95"/>
      <c r="AH678" s="95"/>
      <c r="AI678" s="95"/>
      <c r="AJ678" s="95"/>
      <c r="AK678" s="95"/>
      <c r="AL678" s="95"/>
      <c r="AM678" s="95"/>
      <c r="AN678" s="95"/>
      <c r="AO678" s="95"/>
      <c r="AP678" s="95"/>
      <c r="AQ678" s="95"/>
      <c r="AR678" s="95"/>
      <c r="AS678" s="95"/>
      <c r="AT678" s="95"/>
      <c r="AU678" s="95"/>
      <c r="AV678" s="95"/>
      <c r="AW678" s="95"/>
      <c r="AX678" s="95"/>
    </row>
    <row r="679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  <c r="AC679" s="95"/>
      <c r="AD679" s="95"/>
      <c r="AE679" s="95"/>
      <c r="AF679" s="95"/>
      <c r="AG679" s="95"/>
      <c r="AH679" s="95"/>
      <c r="AI679" s="95"/>
      <c r="AJ679" s="95"/>
      <c r="AK679" s="95"/>
      <c r="AL679" s="95"/>
      <c r="AM679" s="95"/>
      <c r="AN679" s="95"/>
      <c r="AO679" s="95"/>
      <c r="AP679" s="95"/>
      <c r="AQ679" s="95"/>
      <c r="AR679" s="95"/>
      <c r="AS679" s="95"/>
      <c r="AT679" s="95"/>
      <c r="AU679" s="95"/>
      <c r="AV679" s="95"/>
      <c r="AW679" s="95"/>
      <c r="AX679" s="95"/>
    </row>
    <row r="680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  <c r="AC680" s="95"/>
      <c r="AD680" s="95"/>
      <c r="AE680" s="95"/>
      <c r="AF680" s="95"/>
      <c r="AG680" s="95"/>
      <c r="AH680" s="95"/>
      <c r="AI680" s="95"/>
      <c r="AJ680" s="95"/>
      <c r="AK680" s="95"/>
      <c r="AL680" s="95"/>
      <c r="AM680" s="95"/>
      <c r="AN680" s="95"/>
      <c r="AO680" s="95"/>
      <c r="AP680" s="95"/>
      <c r="AQ680" s="95"/>
      <c r="AR680" s="95"/>
      <c r="AS680" s="95"/>
      <c r="AT680" s="95"/>
      <c r="AU680" s="95"/>
      <c r="AV680" s="95"/>
      <c r="AW680" s="95"/>
      <c r="AX680" s="95"/>
    </row>
    <row r="68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  <c r="AC681" s="95"/>
      <c r="AD681" s="95"/>
      <c r="AE681" s="95"/>
      <c r="AF681" s="95"/>
      <c r="AG681" s="95"/>
      <c r="AH681" s="95"/>
      <c r="AI681" s="95"/>
      <c r="AJ681" s="95"/>
      <c r="AK681" s="95"/>
      <c r="AL681" s="95"/>
      <c r="AM681" s="95"/>
      <c r="AN681" s="95"/>
      <c r="AO681" s="95"/>
      <c r="AP681" s="95"/>
      <c r="AQ681" s="95"/>
      <c r="AR681" s="95"/>
      <c r="AS681" s="95"/>
      <c r="AT681" s="95"/>
      <c r="AU681" s="95"/>
      <c r="AV681" s="95"/>
      <c r="AW681" s="95"/>
      <c r="AX681" s="95"/>
    </row>
    <row r="682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  <c r="AC682" s="95"/>
      <c r="AD682" s="95"/>
      <c r="AE682" s="95"/>
      <c r="AF682" s="95"/>
      <c r="AG682" s="95"/>
      <c r="AH682" s="95"/>
      <c r="AI682" s="95"/>
      <c r="AJ682" s="95"/>
      <c r="AK682" s="95"/>
      <c r="AL682" s="95"/>
      <c r="AM682" s="95"/>
      <c r="AN682" s="95"/>
      <c r="AO682" s="95"/>
      <c r="AP682" s="95"/>
      <c r="AQ682" s="95"/>
      <c r="AR682" s="95"/>
      <c r="AS682" s="95"/>
      <c r="AT682" s="95"/>
      <c r="AU682" s="95"/>
      <c r="AV682" s="95"/>
      <c r="AW682" s="95"/>
      <c r="AX682" s="95"/>
    </row>
    <row r="68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  <c r="AC683" s="95"/>
      <c r="AD683" s="95"/>
      <c r="AE683" s="95"/>
      <c r="AF683" s="95"/>
      <c r="AG683" s="95"/>
      <c r="AH683" s="95"/>
      <c r="AI683" s="95"/>
      <c r="AJ683" s="95"/>
      <c r="AK683" s="95"/>
      <c r="AL683" s="95"/>
      <c r="AM683" s="95"/>
      <c r="AN683" s="95"/>
      <c r="AO683" s="95"/>
      <c r="AP683" s="95"/>
      <c r="AQ683" s="95"/>
      <c r="AR683" s="95"/>
      <c r="AS683" s="95"/>
      <c r="AT683" s="95"/>
      <c r="AU683" s="95"/>
      <c r="AV683" s="95"/>
      <c r="AW683" s="95"/>
      <c r="AX683" s="95"/>
    </row>
    <row r="684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  <c r="AC684" s="95"/>
      <c r="AD684" s="95"/>
      <c r="AE684" s="95"/>
      <c r="AF684" s="95"/>
      <c r="AG684" s="95"/>
      <c r="AH684" s="95"/>
      <c r="AI684" s="95"/>
      <c r="AJ684" s="95"/>
      <c r="AK684" s="95"/>
      <c r="AL684" s="95"/>
      <c r="AM684" s="95"/>
      <c r="AN684" s="95"/>
      <c r="AO684" s="95"/>
      <c r="AP684" s="95"/>
      <c r="AQ684" s="95"/>
      <c r="AR684" s="95"/>
      <c r="AS684" s="95"/>
      <c r="AT684" s="95"/>
      <c r="AU684" s="95"/>
      <c r="AV684" s="95"/>
      <c r="AW684" s="95"/>
      <c r="AX684" s="95"/>
    </row>
    <row r="68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  <c r="AC685" s="95"/>
      <c r="AD685" s="95"/>
      <c r="AE685" s="95"/>
      <c r="AF685" s="95"/>
      <c r="AG685" s="95"/>
      <c r="AH685" s="95"/>
      <c r="AI685" s="95"/>
      <c r="AJ685" s="95"/>
      <c r="AK685" s="95"/>
      <c r="AL685" s="95"/>
      <c r="AM685" s="95"/>
      <c r="AN685" s="95"/>
      <c r="AO685" s="95"/>
      <c r="AP685" s="95"/>
      <c r="AQ685" s="95"/>
      <c r="AR685" s="95"/>
      <c r="AS685" s="95"/>
      <c r="AT685" s="95"/>
      <c r="AU685" s="95"/>
      <c r="AV685" s="95"/>
      <c r="AW685" s="95"/>
      <c r="AX685" s="95"/>
    </row>
    <row r="686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  <c r="AC686" s="95"/>
      <c r="AD686" s="95"/>
      <c r="AE686" s="95"/>
      <c r="AF686" s="95"/>
      <c r="AG686" s="95"/>
      <c r="AH686" s="95"/>
      <c r="AI686" s="95"/>
      <c r="AJ686" s="95"/>
      <c r="AK686" s="95"/>
      <c r="AL686" s="95"/>
      <c r="AM686" s="95"/>
      <c r="AN686" s="95"/>
      <c r="AO686" s="95"/>
      <c r="AP686" s="95"/>
      <c r="AQ686" s="95"/>
      <c r="AR686" s="95"/>
      <c r="AS686" s="95"/>
      <c r="AT686" s="95"/>
      <c r="AU686" s="95"/>
      <c r="AV686" s="95"/>
      <c r="AW686" s="95"/>
      <c r="AX686" s="95"/>
    </row>
    <row r="687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  <c r="AC687" s="95"/>
      <c r="AD687" s="95"/>
      <c r="AE687" s="95"/>
      <c r="AF687" s="95"/>
      <c r="AG687" s="95"/>
      <c r="AH687" s="95"/>
      <c r="AI687" s="95"/>
      <c r="AJ687" s="95"/>
      <c r="AK687" s="95"/>
      <c r="AL687" s="95"/>
      <c r="AM687" s="95"/>
      <c r="AN687" s="95"/>
      <c r="AO687" s="95"/>
      <c r="AP687" s="95"/>
      <c r="AQ687" s="95"/>
      <c r="AR687" s="95"/>
      <c r="AS687" s="95"/>
      <c r="AT687" s="95"/>
      <c r="AU687" s="95"/>
      <c r="AV687" s="95"/>
      <c r="AW687" s="95"/>
      <c r="AX687" s="95"/>
    </row>
    <row r="688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  <c r="AC688" s="95"/>
      <c r="AD688" s="95"/>
      <c r="AE688" s="95"/>
      <c r="AF688" s="95"/>
      <c r="AG688" s="95"/>
      <c r="AH688" s="95"/>
      <c r="AI688" s="95"/>
      <c r="AJ688" s="95"/>
      <c r="AK688" s="95"/>
      <c r="AL688" s="95"/>
      <c r="AM688" s="95"/>
      <c r="AN688" s="95"/>
      <c r="AO688" s="95"/>
      <c r="AP688" s="95"/>
      <c r="AQ688" s="95"/>
      <c r="AR688" s="95"/>
      <c r="AS688" s="95"/>
      <c r="AT688" s="95"/>
      <c r="AU688" s="95"/>
      <c r="AV688" s="95"/>
      <c r="AW688" s="95"/>
      <c r="AX688" s="95"/>
    </row>
    <row r="689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  <c r="AC689" s="95"/>
      <c r="AD689" s="95"/>
      <c r="AE689" s="95"/>
      <c r="AF689" s="95"/>
      <c r="AG689" s="95"/>
      <c r="AH689" s="95"/>
      <c r="AI689" s="95"/>
      <c r="AJ689" s="95"/>
      <c r="AK689" s="95"/>
      <c r="AL689" s="95"/>
      <c r="AM689" s="95"/>
      <c r="AN689" s="95"/>
      <c r="AO689" s="95"/>
      <c r="AP689" s="95"/>
      <c r="AQ689" s="95"/>
      <c r="AR689" s="95"/>
      <c r="AS689" s="95"/>
      <c r="AT689" s="95"/>
      <c r="AU689" s="95"/>
      <c r="AV689" s="95"/>
      <c r="AW689" s="95"/>
      <c r="AX689" s="95"/>
    </row>
    <row r="690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  <c r="AC690" s="95"/>
      <c r="AD690" s="95"/>
      <c r="AE690" s="95"/>
      <c r="AF690" s="95"/>
      <c r="AG690" s="95"/>
      <c r="AH690" s="95"/>
      <c r="AI690" s="95"/>
      <c r="AJ690" s="95"/>
      <c r="AK690" s="95"/>
      <c r="AL690" s="95"/>
      <c r="AM690" s="95"/>
      <c r="AN690" s="95"/>
      <c r="AO690" s="95"/>
      <c r="AP690" s="95"/>
      <c r="AQ690" s="95"/>
      <c r="AR690" s="95"/>
      <c r="AS690" s="95"/>
      <c r="AT690" s="95"/>
      <c r="AU690" s="95"/>
      <c r="AV690" s="95"/>
      <c r="AW690" s="95"/>
      <c r="AX690" s="95"/>
    </row>
    <row r="69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P691" s="95"/>
      <c r="AQ691" s="95"/>
      <c r="AR691" s="95"/>
      <c r="AS691" s="95"/>
      <c r="AT691" s="95"/>
      <c r="AU691" s="95"/>
      <c r="AV691" s="95"/>
      <c r="AW691" s="95"/>
      <c r="AX691" s="95"/>
    </row>
    <row r="692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  <c r="AC692" s="95"/>
      <c r="AD692" s="95"/>
      <c r="AE692" s="95"/>
      <c r="AF692" s="95"/>
      <c r="AG692" s="95"/>
      <c r="AH692" s="95"/>
      <c r="AI692" s="95"/>
      <c r="AJ692" s="95"/>
      <c r="AK692" s="95"/>
      <c r="AL692" s="95"/>
      <c r="AM692" s="95"/>
      <c r="AN692" s="95"/>
      <c r="AO692" s="95"/>
      <c r="AP692" s="95"/>
      <c r="AQ692" s="95"/>
      <c r="AR692" s="95"/>
      <c r="AS692" s="95"/>
      <c r="AT692" s="95"/>
      <c r="AU692" s="95"/>
      <c r="AV692" s="95"/>
      <c r="AW692" s="95"/>
      <c r="AX692" s="95"/>
    </row>
    <row r="69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  <c r="AC693" s="95"/>
      <c r="AD693" s="95"/>
      <c r="AE693" s="95"/>
      <c r="AF693" s="95"/>
      <c r="AG693" s="95"/>
      <c r="AH693" s="95"/>
      <c r="AI693" s="95"/>
      <c r="AJ693" s="95"/>
      <c r="AK693" s="95"/>
      <c r="AL693" s="95"/>
      <c r="AM693" s="95"/>
      <c r="AN693" s="95"/>
      <c r="AO693" s="95"/>
      <c r="AP693" s="95"/>
      <c r="AQ693" s="95"/>
      <c r="AR693" s="95"/>
      <c r="AS693" s="95"/>
      <c r="AT693" s="95"/>
      <c r="AU693" s="95"/>
      <c r="AV693" s="95"/>
      <c r="AW693" s="95"/>
      <c r="AX693" s="95"/>
    </row>
    <row r="694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  <c r="AC694" s="95"/>
      <c r="AD694" s="95"/>
      <c r="AE694" s="95"/>
      <c r="AF694" s="95"/>
      <c r="AG694" s="95"/>
      <c r="AH694" s="95"/>
      <c r="AI694" s="95"/>
      <c r="AJ694" s="95"/>
      <c r="AK694" s="95"/>
      <c r="AL694" s="95"/>
      <c r="AM694" s="95"/>
      <c r="AN694" s="95"/>
      <c r="AO694" s="95"/>
      <c r="AP694" s="95"/>
      <c r="AQ694" s="95"/>
      <c r="AR694" s="95"/>
      <c r="AS694" s="95"/>
      <c r="AT694" s="95"/>
      <c r="AU694" s="95"/>
      <c r="AV694" s="95"/>
      <c r="AW694" s="95"/>
      <c r="AX694" s="95"/>
    </row>
    <row r="69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P695" s="95"/>
      <c r="AQ695" s="95"/>
      <c r="AR695" s="95"/>
      <c r="AS695" s="95"/>
      <c r="AT695" s="95"/>
      <c r="AU695" s="95"/>
      <c r="AV695" s="95"/>
      <c r="AW695" s="95"/>
      <c r="AX695" s="95"/>
    </row>
    <row r="696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  <c r="AC696" s="95"/>
      <c r="AD696" s="95"/>
      <c r="AE696" s="95"/>
      <c r="AF696" s="95"/>
      <c r="AG696" s="95"/>
      <c r="AH696" s="95"/>
      <c r="AI696" s="95"/>
      <c r="AJ696" s="95"/>
      <c r="AK696" s="95"/>
      <c r="AL696" s="95"/>
      <c r="AM696" s="95"/>
      <c r="AN696" s="95"/>
      <c r="AO696" s="95"/>
      <c r="AP696" s="95"/>
      <c r="AQ696" s="95"/>
      <c r="AR696" s="95"/>
      <c r="AS696" s="95"/>
      <c r="AT696" s="95"/>
      <c r="AU696" s="95"/>
      <c r="AV696" s="95"/>
      <c r="AW696" s="95"/>
      <c r="AX696" s="95"/>
    </row>
    <row r="697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  <c r="AC697" s="95"/>
      <c r="AD697" s="95"/>
      <c r="AE697" s="95"/>
      <c r="AF697" s="95"/>
      <c r="AG697" s="95"/>
      <c r="AH697" s="95"/>
      <c r="AI697" s="95"/>
      <c r="AJ697" s="95"/>
      <c r="AK697" s="95"/>
      <c r="AL697" s="95"/>
      <c r="AM697" s="95"/>
      <c r="AN697" s="95"/>
      <c r="AO697" s="95"/>
      <c r="AP697" s="95"/>
      <c r="AQ697" s="95"/>
      <c r="AR697" s="95"/>
      <c r="AS697" s="95"/>
      <c r="AT697" s="95"/>
      <c r="AU697" s="95"/>
      <c r="AV697" s="95"/>
      <c r="AW697" s="95"/>
      <c r="AX697" s="95"/>
    </row>
    <row r="698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  <c r="AC698" s="95"/>
      <c r="AD698" s="95"/>
      <c r="AE698" s="95"/>
      <c r="AF698" s="95"/>
      <c r="AG698" s="95"/>
      <c r="AH698" s="95"/>
      <c r="AI698" s="95"/>
      <c r="AJ698" s="95"/>
      <c r="AK698" s="95"/>
      <c r="AL698" s="95"/>
      <c r="AM698" s="95"/>
      <c r="AN698" s="95"/>
      <c r="AO698" s="95"/>
      <c r="AP698" s="95"/>
      <c r="AQ698" s="95"/>
      <c r="AR698" s="95"/>
      <c r="AS698" s="95"/>
      <c r="AT698" s="95"/>
      <c r="AU698" s="95"/>
      <c r="AV698" s="95"/>
      <c r="AW698" s="95"/>
      <c r="AX698" s="95"/>
    </row>
    <row r="699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  <c r="AC699" s="95"/>
      <c r="AD699" s="95"/>
      <c r="AE699" s="95"/>
      <c r="AF699" s="95"/>
      <c r="AG699" s="95"/>
      <c r="AH699" s="95"/>
      <c r="AI699" s="95"/>
      <c r="AJ699" s="95"/>
      <c r="AK699" s="95"/>
      <c r="AL699" s="95"/>
      <c r="AM699" s="95"/>
      <c r="AN699" s="95"/>
      <c r="AO699" s="95"/>
      <c r="AP699" s="95"/>
      <c r="AQ699" s="95"/>
      <c r="AR699" s="95"/>
      <c r="AS699" s="95"/>
      <c r="AT699" s="95"/>
      <c r="AU699" s="95"/>
      <c r="AV699" s="95"/>
      <c r="AW699" s="95"/>
      <c r="AX699" s="95"/>
    </row>
    <row r="700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  <c r="AC700" s="95"/>
      <c r="AD700" s="95"/>
      <c r="AE700" s="95"/>
      <c r="AF700" s="95"/>
      <c r="AG700" s="95"/>
      <c r="AH700" s="95"/>
      <c r="AI700" s="95"/>
      <c r="AJ700" s="95"/>
      <c r="AK700" s="95"/>
      <c r="AL700" s="95"/>
      <c r="AM700" s="95"/>
      <c r="AN700" s="95"/>
      <c r="AO700" s="95"/>
      <c r="AP700" s="95"/>
      <c r="AQ700" s="95"/>
      <c r="AR700" s="95"/>
      <c r="AS700" s="95"/>
      <c r="AT700" s="95"/>
      <c r="AU700" s="95"/>
      <c r="AV700" s="95"/>
      <c r="AW700" s="95"/>
      <c r="AX700" s="95"/>
    </row>
    <row r="70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  <c r="AC701" s="95"/>
      <c r="AD701" s="95"/>
      <c r="AE701" s="95"/>
      <c r="AF701" s="95"/>
      <c r="AG701" s="95"/>
      <c r="AH701" s="95"/>
      <c r="AI701" s="95"/>
      <c r="AJ701" s="95"/>
      <c r="AK701" s="95"/>
      <c r="AL701" s="95"/>
      <c r="AM701" s="95"/>
      <c r="AN701" s="95"/>
      <c r="AO701" s="95"/>
      <c r="AP701" s="95"/>
      <c r="AQ701" s="95"/>
      <c r="AR701" s="95"/>
      <c r="AS701" s="95"/>
      <c r="AT701" s="95"/>
      <c r="AU701" s="95"/>
      <c r="AV701" s="95"/>
      <c r="AW701" s="95"/>
      <c r="AX701" s="95"/>
    </row>
    <row r="702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  <c r="AC702" s="95"/>
      <c r="AD702" s="95"/>
      <c r="AE702" s="95"/>
      <c r="AF702" s="95"/>
      <c r="AG702" s="95"/>
      <c r="AH702" s="95"/>
      <c r="AI702" s="95"/>
      <c r="AJ702" s="95"/>
      <c r="AK702" s="95"/>
      <c r="AL702" s="95"/>
      <c r="AM702" s="95"/>
      <c r="AN702" s="95"/>
      <c r="AO702" s="95"/>
      <c r="AP702" s="95"/>
      <c r="AQ702" s="95"/>
      <c r="AR702" s="95"/>
      <c r="AS702" s="95"/>
      <c r="AT702" s="95"/>
      <c r="AU702" s="95"/>
      <c r="AV702" s="95"/>
      <c r="AW702" s="95"/>
      <c r="AX702" s="95"/>
    </row>
    <row r="70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  <c r="AC703" s="95"/>
      <c r="AD703" s="95"/>
      <c r="AE703" s="95"/>
      <c r="AF703" s="95"/>
      <c r="AG703" s="95"/>
      <c r="AH703" s="95"/>
      <c r="AI703" s="95"/>
      <c r="AJ703" s="95"/>
      <c r="AK703" s="95"/>
      <c r="AL703" s="95"/>
      <c r="AM703" s="95"/>
      <c r="AN703" s="95"/>
      <c r="AO703" s="95"/>
      <c r="AP703" s="95"/>
      <c r="AQ703" s="95"/>
      <c r="AR703" s="95"/>
      <c r="AS703" s="95"/>
      <c r="AT703" s="95"/>
      <c r="AU703" s="95"/>
      <c r="AV703" s="95"/>
      <c r="AW703" s="95"/>
      <c r="AX703" s="95"/>
    </row>
    <row r="704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  <c r="AC704" s="95"/>
      <c r="AD704" s="95"/>
      <c r="AE704" s="95"/>
      <c r="AF704" s="95"/>
      <c r="AG704" s="95"/>
      <c r="AH704" s="95"/>
      <c r="AI704" s="95"/>
      <c r="AJ704" s="95"/>
      <c r="AK704" s="95"/>
      <c r="AL704" s="95"/>
      <c r="AM704" s="95"/>
      <c r="AN704" s="95"/>
      <c r="AO704" s="95"/>
      <c r="AP704" s="95"/>
      <c r="AQ704" s="95"/>
      <c r="AR704" s="95"/>
      <c r="AS704" s="95"/>
      <c r="AT704" s="95"/>
      <c r="AU704" s="95"/>
      <c r="AV704" s="95"/>
      <c r="AW704" s="95"/>
      <c r="AX704" s="95"/>
    </row>
    <row r="70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  <c r="AC705" s="95"/>
      <c r="AD705" s="95"/>
      <c r="AE705" s="95"/>
      <c r="AF705" s="95"/>
      <c r="AG705" s="95"/>
      <c r="AH705" s="95"/>
      <c r="AI705" s="95"/>
      <c r="AJ705" s="95"/>
      <c r="AK705" s="95"/>
      <c r="AL705" s="95"/>
      <c r="AM705" s="95"/>
      <c r="AN705" s="95"/>
      <c r="AO705" s="95"/>
      <c r="AP705" s="95"/>
      <c r="AQ705" s="95"/>
      <c r="AR705" s="95"/>
      <c r="AS705" s="95"/>
      <c r="AT705" s="95"/>
      <c r="AU705" s="95"/>
      <c r="AV705" s="95"/>
      <c r="AW705" s="95"/>
      <c r="AX705" s="95"/>
    </row>
    <row r="706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  <c r="AC706" s="95"/>
      <c r="AD706" s="95"/>
      <c r="AE706" s="95"/>
      <c r="AF706" s="95"/>
      <c r="AG706" s="95"/>
      <c r="AH706" s="95"/>
      <c r="AI706" s="95"/>
      <c r="AJ706" s="95"/>
      <c r="AK706" s="95"/>
      <c r="AL706" s="95"/>
      <c r="AM706" s="95"/>
      <c r="AN706" s="95"/>
      <c r="AO706" s="95"/>
      <c r="AP706" s="95"/>
      <c r="AQ706" s="95"/>
      <c r="AR706" s="95"/>
      <c r="AS706" s="95"/>
      <c r="AT706" s="95"/>
      <c r="AU706" s="95"/>
      <c r="AV706" s="95"/>
      <c r="AW706" s="95"/>
      <c r="AX706" s="95"/>
    </row>
    <row r="707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  <c r="AC707" s="95"/>
      <c r="AD707" s="95"/>
      <c r="AE707" s="95"/>
      <c r="AF707" s="95"/>
      <c r="AG707" s="95"/>
      <c r="AH707" s="95"/>
      <c r="AI707" s="95"/>
      <c r="AJ707" s="95"/>
      <c r="AK707" s="95"/>
      <c r="AL707" s="95"/>
      <c r="AM707" s="95"/>
      <c r="AN707" s="95"/>
      <c r="AO707" s="95"/>
      <c r="AP707" s="95"/>
      <c r="AQ707" s="95"/>
      <c r="AR707" s="95"/>
      <c r="AS707" s="95"/>
      <c r="AT707" s="95"/>
      <c r="AU707" s="95"/>
      <c r="AV707" s="95"/>
      <c r="AW707" s="95"/>
      <c r="AX707" s="95"/>
    </row>
    <row r="708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  <c r="AC708" s="95"/>
      <c r="AD708" s="95"/>
      <c r="AE708" s="95"/>
      <c r="AF708" s="95"/>
      <c r="AG708" s="95"/>
      <c r="AH708" s="95"/>
      <c r="AI708" s="95"/>
      <c r="AJ708" s="95"/>
      <c r="AK708" s="95"/>
      <c r="AL708" s="95"/>
      <c r="AM708" s="95"/>
      <c r="AN708" s="95"/>
      <c r="AO708" s="95"/>
      <c r="AP708" s="95"/>
      <c r="AQ708" s="95"/>
      <c r="AR708" s="95"/>
      <c r="AS708" s="95"/>
      <c r="AT708" s="95"/>
      <c r="AU708" s="95"/>
      <c r="AV708" s="95"/>
      <c r="AW708" s="95"/>
      <c r="AX708" s="95"/>
    </row>
    <row r="709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  <c r="AC709" s="95"/>
      <c r="AD709" s="95"/>
      <c r="AE709" s="95"/>
      <c r="AF709" s="95"/>
      <c r="AG709" s="95"/>
      <c r="AH709" s="95"/>
      <c r="AI709" s="95"/>
      <c r="AJ709" s="95"/>
      <c r="AK709" s="95"/>
      <c r="AL709" s="95"/>
      <c r="AM709" s="95"/>
      <c r="AN709" s="95"/>
      <c r="AO709" s="95"/>
      <c r="AP709" s="95"/>
      <c r="AQ709" s="95"/>
      <c r="AR709" s="95"/>
      <c r="AS709" s="95"/>
      <c r="AT709" s="95"/>
      <c r="AU709" s="95"/>
      <c r="AV709" s="95"/>
      <c r="AW709" s="95"/>
      <c r="AX709" s="95"/>
    </row>
    <row r="710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  <c r="AC710" s="95"/>
      <c r="AD710" s="95"/>
      <c r="AE710" s="95"/>
      <c r="AF710" s="95"/>
      <c r="AG710" s="95"/>
      <c r="AH710" s="95"/>
      <c r="AI710" s="95"/>
      <c r="AJ710" s="95"/>
      <c r="AK710" s="95"/>
      <c r="AL710" s="95"/>
      <c r="AM710" s="95"/>
      <c r="AN710" s="95"/>
      <c r="AO710" s="95"/>
      <c r="AP710" s="95"/>
      <c r="AQ710" s="95"/>
      <c r="AR710" s="95"/>
      <c r="AS710" s="95"/>
      <c r="AT710" s="95"/>
      <c r="AU710" s="95"/>
      <c r="AV710" s="95"/>
      <c r="AW710" s="95"/>
      <c r="AX710" s="95"/>
    </row>
    <row r="71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  <c r="AC711" s="95"/>
      <c r="AD711" s="95"/>
      <c r="AE711" s="95"/>
      <c r="AF711" s="95"/>
      <c r="AG711" s="95"/>
      <c r="AH711" s="95"/>
      <c r="AI711" s="95"/>
      <c r="AJ711" s="95"/>
      <c r="AK711" s="95"/>
      <c r="AL711" s="95"/>
      <c r="AM711" s="95"/>
      <c r="AN711" s="95"/>
      <c r="AO711" s="95"/>
      <c r="AP711" s="95"/>
      <c r="AQ711" s="95"/>
      <c r="AR711" s="95"/>
      <c r="AS711" s="95"/>
      <c r="AT711" s="95"/>
      <c r="AU711" s="95"/>
      <c r="AV711" s="95"/>
      <c r="AW711" s="95"/>
      <c r="AX711" s="95"/>
    </row>
    <row r="712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  <c r="AC712" s="95"/>
      <c r="AD712" s="95"/>
      <c r="AE712" s="95"/>
      <c r="AF712" s="95"/>
      <c r="AG712" s="95"/>
      <c r="AH712" s="95"/>
      <c r="AI712" s="95"/>
      <c r="AJ712" s="95"/>
      <c r="AK712" s="95"/>
      <c r="AL712" s="95"/>
      <c r="AM712" s="95"/>
      <c r="AN712" s="95"/>
      <c r="AO712" s="95"/>
      <c r="AP712" s="95"/>
      <c r="AQ712" s="95"/>
      <c r="AR712" s="95"/>
      <c r="AS712" s="95"/>
      <c r="AT712" s="95"/>
      <c r="AU712" s="95"/>
      <c r="AV712" s="95"/>
      <c r="AW712" s="95"/>
      <c r="AX712" s="95"/>
    </row>
    <row r="71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  <c r="AC713" s="95"/>
      <c r="AD713" s="95"/>
      <c r="AE713" s="95"/>
      <c r="AF713" s="95"/>
      <c r="AG713" s="95"/>
      <c r="AH713" s="95"/>
      <c r="AI713" s="95"/>
      <c r="AJ713" s="95"/>
      <c r="AK713" s="95"/>
      <c r="AL713" s="95"/>
      <c r="AM713" s="95"/>
      <c r="AN713" s="95"/>
      <c r="AO713" s="95"/>
      <c r="AP713" s="95"/>
      <c r="AQ713" s="95"/>
      <c r="AR713" s="95"/>
      <c r="AS713" s="95"/>
      <c r="AT713" s="95"/>
      <c r="AU713" s="95"/>
      <c r="AV713" s="95"/>
      <c r="AW713" s="95"/>
      <c r="AX713" s="95"/>
    </row>
    <row r="714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  <c r="AC714" s="95"/>
      <c r="AD714" s="95"/>
      <c r="AE714" s="95"/>
      <c r="AF714" s="95"/>
      <c r="AG714" s="95"/>
      <c r="AH714" s="95"/>
      <c r="AI714" s="95"/>
      <c r="AJ714" s="95"/>
      <c r="AK714" s="95"/>
      <c r="AL714" s="95"/>
      <c r="AM714" s="95"/>
      <c r="AN714" s="95"/>
      <c r="AO714" s="95"/>
      <c r="AP714" s="95"/>
      <c r="AQ714" s="95"/>
      <c r="AR714" s="95"/>
      <c r="AS714" s="95"/>
      <c r="AT714" s="95"/>
      <c r="AU714" s="95"/>
      <c r="AV714" s="95"/>
      <c r="AW714" s="95"/>
      <c r="AX714" s="95"/>
    </row>
    <row r="71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  <c r="AC715" s="95"/>
      <c r="AD715" s="95"/>
      <c r="AE715" s="95"/>
      <c r="AF715" s="95"/>
      <c r="AG715" s="95"/>
      <c r="AH715" s="95"/>
      <c r="AI715" s="95"/>
      <c r="AJ715" s="95"/>
      <c r="AK715" s="95"/>
      <c r="AL715" s="95"/>
      <c r="AM715" s="95"/>
      <c r="AN715" s="95"/>
      <c r="AO715" s="95"/>
      <c r="AP715" s="95"/>
      <c r="AQ715" s="95"/>
      <c r="AR715" s="95"/>
      <c r="AS715" s="95"/>
      <c r="AT715" s="95"/>
      <c r="AU715" s="95"/>
      <c r="AV715" s="95"/>
      <c r="AW715" s="95"/>
      <c r="AX715" s="95"/>
    </row>
    <row r="716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  <c r="AC716" s="95"/>
      <c r="AD716" s="95"/>
      <c r="AE716" s="95"/>
      <c r="AF716" s="95"/>
      <c r="AG716" s="95"/>
      <c r="AH716" s="95"/>
      <c r="AI716" s="95"/>
      <c r="AJ716" s="95"/>
      <c r="AK716" s="95"/>
      <c r="AL716" s="95"/>
      <c r="AM716" s="95"/>
      <c r="AN716" s="95"/>
      <c r="AO716" s="95"/>
      <c r="AP716" s="95"/>
      <c r="AQ716" s="95"/>
      <c r="AR716" s="95"/>
      <c r="AS716" s="95"/>
      <c r="AT716" s="95"/>
      <c r="AU716" s="95"/>
      <c r="AV716" s="95"/>
      <c r="AW716" s="95"/>
      <c r="AX716" s="95"/>
    </row>
    <row r="717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  <c r="AC717" s="95"/>
      <c r="AD717" s="95"/>
      <c r="AE717" s="95"/>
      <c r="AF717" s="95"/>
      <c r="AG717" s="95"/>
      <c r="AH717" s="95"/>
      <c r="AI717" s="95"/>
      <c r="AJ717" s="95"/>
      <c r="AK717" s="95"/>
      <c r="AL717" s="95"/>
      <c r="AM717" s="95"/>
      <c r="AN717" s="95"/>
      <c r="AO717" s="95"/>
      <c r="AP717" s="95"/>
      <c r="AQ717" s="95"/>
      <c r="AR717" s="95"/>
      <c r="AS717" s="95"/>
      <c r="AT717" s="95"/>
      <c r="AU717" s="95"/>
      <c r="AV717" s="95"/>
      <c r="AW717" s="95"/>
      <c r="AX717" s="95"/>
    </row>
    <row r="718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  <c r="AC718" s="95"/>
      <c r="AD718" s="95"/>
      <c r="AE718" s="95"/>
      <c r="AF718" s="95"/>
      <c r="AG718" s="95"/>
      <c r="AH718" s="95"/>
      <c r="AI718" s="95"/>
      <c r="AJ718" s="95"/>
      <c r="AK718" s="95"/>
      <c r="AL718" s="95"/>
      <c r="AM718" s="95"/>
      <c r="AN718" s="95"/>
      <c r="AO718" s="95"/>
      <c r="AP718" s="95"/>
      <c r="AQ718" s="95"/>
      <c r="AR718" s="95"/>
      <c r="AS718" s="95"/>
      <c r="AT718" s="95"/>
      <c r="AU718" s="95"/>
      <c r="AV718" s="95"/>
      <c r="AW718" s="95"/>
      <c r="AX718" s="95"/>
    </row>
    <row r="719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  <c r="AC719" s="95"/>
      <c r="AD719" s="95"/>
      <c r="AE719" s="95"/>
      <c r="AF719" s="95"/>
      <c r="AG719" s="95"/>
      <c r="AH719" s="95"/>
      <c r="AI719" s="95"/>
      <c r="AJ719" s="95"/>
      <c r="AK719" s="95"/>
      <c r="AL719" s="95"/>
      <c r="AM719" s="95"/>
      <c r="AN719" s="95"/>
      <c r="AO719" s="95"/>
      <c r="AP719" s="95"/>
      <c r="AQ719" s="95"/>
      <c r="AR719" s="95"/>
      <c r="AS719" s="95"/>
      <c r="AT719" s="95"/>
      <c r="AU719" s="95"/>
      <c r="AV719" s="95"/>
      <c r="AW719" s="95"/>
      <c r="AX719" s="95"/>
    </row>
    <row r="720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  <c r="AC720" s="95"/>
      <c r="AD720" s="95"/>
      <c r="AE720" s="95"/>
      <c r="AF720" s="95"/>
      <c r="AG720" s="95"/>
      <c r="AH720" s="95"/>
      <c r="AI720" s="95"/>
      <c r="AJ720" s="95"/>
      <c r="AK720" s="95"/>
      <c r="AL720" s="95"/>
      <c r="AM720" s="95"/>
      <c r="AN720" s="95"/>
      <c r="AO720" s="95"/>
      <c r="AP720" s="95"/>
      <c r="AQ720" s="95"/>
      <c r="AR720" s="95"/>
      <c r="AS720" s="95"/>
      <c r="AT720" s="95"/>
      <c r="AU720" s="95"/>
      <c r="AV720" s="95"/>
      <c r="AW720" s="95"/>
      <c r="AX720" s="95"/>
    </row>
    <row r="72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  <c r="AC721" s="95"/>
      <c r="AD721" s="95"/>
      <c r="AE721" s="95"/>
      <c r="AF721" s="95"/>
      <c r="AG721" s="95"/>
      <c r="AH721" s="95"/>
      <c r="AI721" s="95"/>
      <c r="AJ721" s="95"/>
      <c r="AK721" s="95"/>
      <c r="AL721" s="95"/>
      <c r="AM721" s="95"/>
      <c r="AN721" s="95"/>
      <c r="AO721" s="95"/>
      <c r="AP721" s="95"/>
      <c r="AQ721" s="95"/>
      <c r="AR721" s="95"/>
      <c r="AS721" s="95"/>
      <c r="AT721" s="95"/>
      <c r="AU721" s="95"/>
      <c r="AV721" s="95"/>
      <c r="AW721" s="95"/>
      <c r="AX721" s="95"/>
    </row>
    <row r="722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  <c r="AC722" s="95"/>
      <c r="AD722" s="95"/>
      <c r="AE722" s="95"/>
      <c r="AF722" s="95"/>
      <c r="AG722" s="95"/>
      <c r="AH722" s="95"/>
      <c r="AI722" s="95"/>
      <c r="AJ722" s="95"/>
      <c r="AK722" s="95"/>
      <c r="AL722" s="95"/>
      <c r="AM722" s="95"/>
      <c r="AN722" s="95"/>
      <c r="AO722" s="95"/>
      <c r="AP722" s="95"/>
      <c r="AQ722" s="95"/>
      <c r="AR722" s="95"/>
      <c r="AS722" s="95"/>
      <c r="AT722" s="95"/>
      <c r="AU722" s="95"/>
      <c r="AV722" s="95"/>
      <c r="AW722" s="95"/>
      <c r="AX722" s="95"/>
    </row>
    <row r="72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  <c r="AC723" s="95"/>
      <c r="AD723" s="95"/>
      <c r="AE723" s="95"/>
      <c r="AF723" s="95"/>
      <c r="AG723" s="95"/>
      <c r="AH723" s="95"/>
      <c r="AI723" s="95"/>
      <c r="AJ723" s="95"/>
      <c r="AK723" s="95"/>
      <c r="AL723" s="95"/>
      <c r="AM723" s="95"/>
      <c r="AN723" s="95"/>
      <c r="AO723" s="95"/>
      <c r="AP723" s="95"/>
      <c r="AQ723" s="95"/>
      <c r="AR723" s="95"/>
      <c r="AS723" s="95"/>
      <c r="AT723" s="95"/>
      <c r="AU723" s="95"/>
      <c r="AV723" s="95"/>
      <c r="AW723" s="95"/>
      <c r="AX723" s="95"/>
    </row>
    <row r="724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  <c r="AC724" s="95"/>
      <c r="AD724" s="95"/>
      <c r="AE724" s="95"/>
      <c r="AF724" s="95"/>
      <c r="AG724" s="95"/>
      <c r="AH724" s="95"/>
      <c r="AI724" s="95"/>
      <c r="AJ724" s="95"/>
      <c r="AK724" s="95"/>
      <c r="AL724" s="95"/>
      <c r="AM724" s="95"/>
      <c r="AN724" s="95"/>
      <c r="AO724" s="95"/>
      <c r="AP724" s="95"/>
      <c r="AQ724" s="95"/>
      <c r="AR724" s="95"/>
      <c r="AS724" s="95"/>
      <c r="AT724" s="95"/>
      <c r="AU724" s="95"/>
      <c r="AV724" s="95"/>
      <c r="AW724" s="95"/>
      <c r="AX724" s="95"/>
    </row>
    <row r="725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  <c r="AC725" s="95"/>
      <c r="AD725" s="95"/>
      <c r="AE725" s="95"/>
      <c r="AF725" s="95"/>
      <c r="AG725" s="95"/>
      <c r="AH725" s="95"/>
      <c r="AI725" s="95"/>
      <c r="AJ725" s="95"/>
      <c r="AK725" s="95"/>
      <c r="AL725" s="95"/>
      <c r="AM725" s="95"/>
      <c r="AN725" s="95"/>
      <c r="AO725" s="95"/>
      <c r="AP725" s="95"/>
      <c r="AQ725" s="95"/>
      <c r="AR725" s="95"/>
      <c r="AS725" s="95"/>
      <c r="AT725" s="95"/>
      <c r="AU725" s="95"/>
      <c r="AV725" s="95"/>
      <c r="AW725" s="95"/>
      <c r="AX725" s="95"/>
    </row>
    <row r="726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  <c r="AC726" s="95"/>
      <c r="AD726" s="95"/>
      <c r="AE726" s="95"/>
      <c r="AF726" s="95"/>
      <c r="AG726" s="95"/>
      <c r="AH726" s="95"/>
      <c r="AI726" s="95"/>
      <c r="AJ726" s="95"/>
      <c r="AK726" s="95"/>
      <c r="AL726" s="95"/>
      <c r="AM726" s="95"/>
      <c r="AN726" s="95"/>
      <c r="AO726" s="95"/>
      <c r="AP726" s="95"/>
      <c r="AQ726" s="95"/>
      <c r="AR726" s="95"/>
      <c r="AS726" s="95"/>
      <c r="AT726" s="95"/>
      <c r="AU726" s="95"/>
      <c r="AV726" s="95"/>
      <c r="AW726" s="95"/>
      <c r="AX726" s="95"/>
    </row>
    <row r="727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  <c r="AC727" s="95"/>
      <c r="AD727" s="95"/>
      <c r="AE727" s="95"/>
      <c r="AF727" s="95"/>
      <c r="AG727" s="95"/>
      <c r="AH727" s="95"/>
      <c r="AI727" s="95"/>
      <c r="AJ727" s="95"/>
      <c r="AK727" s="95"/>
      <c r="AL727" s="95"/>
      <c r="AM727" s="95"/>
      <c r="AN727" s="95"/>
      <c r="AO727" s="95"/>
      <c r="AP727" s="95"/>
      <c r="AQ727" s="95"/>
      <c r="AR727" s="95"/>
      <c r="AS727" s="95"/>
      <c r="AT727" s="95"/>
      <c r="AU727" s="95"/>
      <c r="AV727" s="95"/>
      <c r="AW727" s="95"/>
      <c r="AX727" s="95"/>
    </row>
    <row r="728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  <c r="AC728" s="95"/>
      <c r="AD728" s="95"/>
      <c r="AE728" s="95"/>
      <c r="AF728" s="95"/>
      <c r="AG728" s="95"/>
      <c r="AH728" s="95"/>
      <c r="AI728" s="95"/>
      <c r="AJ728" s="95"/>
      <c r="AK728" s="95"/>
      <c r="AL728" s="95"/>
      <c r="AM728" s="95"/>
      <c r="AN728" s="95"/>
      <c r="AO728" s="95"/>
      <c r="AP728" s="95"/>
      <c r="AQ728" s="95"/>
      <c r="AR728" s="95"/>
      <c r="AS728" s="95"/>
      <c r="AT728" s="95"/>
      <c r="AU728" s="95"/>
      <c r="AV728" s="95"/>
      <c r="AW728" s="95"/>
      <c r="AX728" s="95"/>
    </row>
    <row r="729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  <c r="AC729" s="95"/>
      <c r="AD729" s="95"/>
      <c r="AE729" s="95"/>
      <c r="AF729" s="95"/>
      <c r="AG729" s="95"/>
      <c r="AH729" s="95"/>
      <c r="AI729" s="95"/>
      <c r="AJ729" s="95"/>
      <c r="AK729" s="95"/>
      <c r="AL729" s="95"/>
      <c r="AM729" s="95"/>
      <c r="AN729" s="95"/>
      <c r="AO729" s="95"/>
      <c r="AP729" s="95"/>
      <c r="AQ729" s="95"/>
      <c r="AR729" s="95"/>
      <c r="AS729" s="95"/>
      <c r="AT729" s="95"/>
      <c r="AU729" s="95"/>
      <c r="AV729" s="95"/>
      <c r="AW729" s="95"/>
      <c r="AX729" s="95"/>
    </row>
    <row r="730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  <c r="AB730" s="95"/>
      <c r="AC730" s="95"/>
      <c r="AD730" s="95"/>
      <c r="AE730" s="95"/>
      <c r="AF730" s="95"/>
      <c r="AG730" s="95"/>
      <c r="AH730" s="95"/>
      <c r="AI730" s="95"/>
      <c r="AJ730" s="95"/>
      <c r="AK730" s="95"/>
      <c r="AL730" s="95"/>
      <c r="AM730" s="95"/>
      <c r="AN730" s="95"/>
      <c r="AO730" s="95"/>
      <c r="AP730" s="95"/>
      <c r="AQ730" s="95"/>
      <c r="AR730" s="95"/>
      <c r="AS730" s="95"/>
      <c r="AT730" s="95"/>
      <c r="AU730" s="95"/>
      <c r="AV730" s="95"/>
      <c r="AW730" s="95"/>
      <c r="AX730" s="95"/>
    </row>
    <row r="73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  <c r="AB731" s="95"/>
      <c r="AC731" s="95"/>
      <c r="AD731" s="95"/>
      <c r="AE731" s="95"/>
      <c r="AF731" s="95"/>
      <c r="AG731" s="95"/>
      <c r="AH731" s="95"/>
      <c r="AI731" s="95"/>
      <c r="AJ731" s="95"/>
      <c r="AK731" s="95"/>
      <c r="AL731" s="95"/>
      <c r="AM731" s="95"/>
      <c r="AN731" s="95"/>
      <c r="AO731" s="95"/>
      <c r="AP731" s="95"/>
      <c r="AQ731" s="95"/>
      <c r="AR731" s="95"/>
      <c r="AS731" s="95"/>
      <c r="AT731" s="95"/>
      <c r="AU731" s="95"/>
      <c r="AV731" s="95"/>
      <c r="AW731" s="95"/>
      <c r="AX731" s="95"/>
    </row>
    <row r="732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  <c r="AB732" s="95"/>
      <c r="AC732" s="95"/>
      <c r="AD732" s="95"/>
      <c r="AE732" s="95"/>
      <c r="AF732" s="95"/>
      <c r="AG732" s="95"/>
      <c r="AH732" s="95"/>
      <c r="AI732" s="95"/>
      <c r="AJ732" s="95"/>
      <c r="AK732" s="95"/>
      <c r="AL732" s="95"/>
      <c r="AM732" s="95"/>
      <c r="AN732" s="95"/>
      <c r="AO732" s="95"/>
      <c r="AP732" s="95"/>
      <c r="AQ732" s="95"/>
      <c r="AR732" s="95"/>
      <c r="AS732" s="95"/>
      <c r="AT732" s="95"/>
      <c r="AU732" s="95"/>
      <c r="AV732" s="95"/>
      <c r="AW732" s="95"/>
      <c r="AX732" s="95"/>
    </row>
    <row r="733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  <c r="AB733" s="95"/>
      <c r="AC733" s="95"/>
      <c r="AD733" s="95"/>
      <c r="AE733" s="95"/>
      <c r="AF733" s="95"/>
      <c r="AG733" s="95"/>
      <c r="AH733" s="95"/>
      <c r="AI733" s="95"/>
      <c r="AJ733" s="95"/>
      <c r="AK733" s="95"/>
      <c r="AL733" s="95"/>
      <c r="AM733" s="95"/>
      <c r="AN733" s="95"/>
      <c r="AO733" s="95"/>
      <c r="AP733" s="95"/>
      <c r="AQ733" s="95"/>
      <c r="AR733" s="95"/>
      <c r="AS733" s="95"/>
      <c r="AT733" s="95"/>
      <c r="AU733" s="95"/>
      <c r="AV733" s="95"/>
      <c r="AW733" s="95"/>
      <c r="AX733" s="95"/>
    </row>
    <row r="734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  <c r="AB734" s="95"/>
      <c r="AC734" s="95"/>
      <c r="AD734" s="95"/>
      <c r="AE734" s="95"/>
      <c r="AF734" s="95"/>
      <c r="AG734" s="95"/>
      <c r="AH734" s="95"/>
      <c r="AI734" s="95"/>
      <c r="AJ734" s="95"/>
      <c r="AK734" s="95"/>
      <c r="AL734" s="95"/>
      <c r="AM734" s="95"/>
      <c r="AN734" s="95"/>
      <c r="AO734" s="95"/>
      <c r="AP734" s="95"/>
      <c r="AQ734" s="95"/>
      <c r="AR734" s="95"/>
      <c r="AS734" s="95"/>
      <c r="AT734" s="95"/>
      <c r="AU734" s="95"/>
      <c r="AV734" s="95"/>
      <c r="AW734" s="95"/>
      <c r="AX734" s="95"/>
    </row>
    <row r="735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  <c r="AB735" s="95"/>
      <c r="AC735" s="95"/>
      <c r="AD735" s="95"/>
      <c r="AE735" s="95"/>
      <c r="AF735" s="95"/>
      <c r="AG735" s="95"/>
      <c r="AH735" s="95"/>
      <c r="AI735" s="95"/>
      <c r="AJ735" s="95"/>
      <c r="AK735" s="95"/>
      <c r="AL735" s="95"/>
      <c r="AM735" s="95"/>
      <c r="AN735" s="95"/>
      <c r="AO735" s="95"/>
      <c r="AP735" s="95"/>
      <c r="AQ735" s="95"/>
      <c r="AR735" s="95"/>
      <c r="AS735" s="95"/>
      <c r="AT735" s="95"/>
      <c r="AU735" s="95"/>
      <c r="AV735" s="95"/>
      <c r="AW735" s="95"/>
      <c r="AX735" s="95"/>
    </row>
    <row r="736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  <c r="AB736" s="95"/>
      <c r="AC736" s="95"/>
      <c r="AD736" s="95"/>
      <c r="AE736" s="95"/>
      <c r="AF736" s="95"/>
      <c r="AG736" s="95"/>
      <c r="AH736" s="95"/>
      <c r="AI736" s="95"/>
      <c r="AJ736" s="95"/>
      <c r="AK736" s="95"/>
      <c r="AL736" s="95"/>
      <c r="AM736" s="95"/>
      <c r="AN736" s="95"/>
      <c r="AO736" s="95"/>
      <c r="AP736" s="95"/>
      <c r="AQ736" s="95"/>
      <c r="AR736" s="95"/>
      <c r="AS736" s="95"/>
      <c r="AT736" s="95"/>
      <c r="AU736" s="95"/>
      <c r="AV736" s="95"/>
      <c r="AW736" s="95"/>
      <c r="AX736" s="95"/>
    </row>
    <row r="737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  <c r="AB737" s="95"/>
      <c r="AC737" s="95"/>
      <c r="AD737" s="95"/>
      <c r="AE737" s="95"/>
      <c r="AF737" s="95"/>
      <c r="AG737" s="95"/>
      <c r="AH737" s="95"/>
      <c r="AI737" s="95"/>
      <c r="AJ737" s="95"/>
      <c r="AK737" s="95"/>
      <c r="AL737" s="95"/>
      <c r="AM737" s="95"/>
      <c r="AN737" s="95"/>
      <c r="AO737" s="95"/>
      <c r="AP737" s="95"/>
      <c r="AQ737" s="95"/>
      <c r="AR737" s="95"/>
      <c r="AS737" s="95"/>
      <c r="AT737" s="95"/>
      <c r="AU737" s="95"/>
      <c r="AV737" s="95"/>
      <c r="AW737" s="95"/>
      <c r="AX737" s="95"/>
    </row>
    <row r="738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  <c r="AB738" s="95"/>
      <c r="AC738" s="95"/>
      <c r="AD738" s="95"/>
      <c r="AE738" s="95"/>
      <c r="AF738" s="95"/>
      <c r="AG738" s="95"/>
      <c r="AH738" s="95"/>
      <c r="AI738" s="95"/>
      <c r="AJ738" s="95"/>
      <c r="AK738" s="95"/>
      <c r="AL738" s="95"/>
      <c r="AM738" s="95"/>
      <c r="AN738" s="95"/>
      <c r="AO738" s="95"/>
      <c r="AP738" s="95"/>
      <c r="AQ738" s="95"/>
      <c r="AR738" s="95"/>
      <c r="AS738" s="95"/>
      <c r="AT738" s="95"/>
      <c r="AU738" s="95"/>
      <c r="AV738" s="95"/>
      <c r="AW738" s="95"/>
      <c r="AX738" s="95"/>
    </row>
    <row r="739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  <c r="AB739" s="95"/>
      <c r="AC739" s="95"/>
      <c r="AD739" s="95"/>
      <c r="AE739" s="95"/>
      <c r="AF739" s="95"/>
      <c r="AG739" s="95"/>
      <c r="AH739" s="95"/>
      <c r="AI739" s="95"/>
      <c r="AJ739" s="95"/>
      <c r="AK739" s="95"/>
      <c r="AL739" s="95"/>
      <c r="AM739" s="95"/>
      <c r="AN739" s="95"/>
      <c r="AO739" s="95"/>
      <c r="AP739" s="95"/>
      <c r="AQ739" s="95"/>
      <c r="AR739" s="95"/>
      <c r="AS739" s="95"/>
      <c r="AT739" s="95"/>
      <c r="AU739" s="95"/>
      <c r="AV739" s="95"/>
      <c r="AW739" s="95"/>
      <c r="AX739" s="95"/>
    </row>
    <row r="740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  <c r="AB740" s="95"/>
      <c r="AC740" s="95"/>
      <c r="AD740" s="95"/>
      <c r="AE740" s="95"/>
      <c r="AF740" s="95"/>
      <c r="AG740" s="95"/>
      <c r="AH740" s="95"/>
      <c r="AI740" s="95"/>
      <c r="AJ740" s="95"/>
      <c r="AK740" s="95"/>
      <c r="AL740" s="95"/>
      <c r="AM740" s="95"/>
      <c r="AN740" s="95"/>
      <c r="AO740" s="95"/>
      <c r="AP740" s="95"/>
      <c r="AQ740" s="95"/>
      <c r="AR740" s="95"/>
      <c r="AS740" s="95"/>
      <c r="AT740" s="95"/>
      <c r="AU740" s="95"/>
      <c r="AV740" s="95"/>
      <c r="AW740" s="95"/>
      <c r="AX740" s="95"/>
    </row>
    <row r="74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  <c r="AC741" s="95"/>
      <c r="AD741" s="95"/>
      <c r="AE741" s="95"/>
      <c r="AF741" s="95"/>
      <c r="AG741" s="95"/>
      <c r="AH741" s="95"/>
      <c r="AI741" s="95"/>
      <c r="AJ741" s="95"/>
      <c r="AK741" s="95"/>
      <c r="AL741" s="95"/>
      <c r="AM741" s="95"/>
      <c r="AN741" s="95"/>
      <c r="AO741" s="95"/>
      <c r="AP741" s="95"/>
      <c r="AQ741" s="95"/>
      <c r="AR741" s="95"/>
      <c r="AS741" s="95"/>
      <c r="AT741" s="95"/>
      <c r="AU741" s="95"/>
      <c r="AV741" s="95"/>
      <c r="AW741" s="95"/>
      <c r="AX741" s="95"/>
    </row>
    <row r="742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  <c r="AC742" s="95"/>
      <c r="AD742" s="95"/>
      <c r="AE742" s="95"/>
      <c r="AF742" s="95"/>
      <c r="AG742" s="95"/>
      <c r="AH742" s="95"/>
      <c r="AI742" s="95"/>
      <c r="AJ742" s="95"/>
      <c r="AK742" s="95"/>
      <c r="AL742" s="95"/>
      <c r="AM742" s="95"/>
      <c r="AN742" s="95"/>
      <c r="AO742" s="95"/>
      <c r="AP742" s="95"/>
      <c r="AQ742" s="95"/>
      <c r="AR742" s="95"/>
      <c r="AS742" s="95"/>
      <c r="AT742" s="95"/>
      <c r="AU742" s="95"/>
      <c r="AV742" s="95"/>
      <c r="AW742" s="95"/>
      <c r="AX742" s="95"/>
    </row>
    <row r="74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  <c r="AC743" s="95"/>
      <c r="AD743" s="95"/>
      <c r="AE743" s="95"/>
      <c r="AF743" s="95"/>
      <c r="AG743" s="95"/>
      <c r="AH743" s="95"/>
      <c r="AI743" s="95"/>
      <c r="AJ743" s="95"/>
      <c r="AK743" s="95"/>
      <c r="AL743" s="95"/>
      <c r="AM743" s="95"/>
      <c r="AN743" s="95"/>
      <c r="AO743" s="95"/>
      <c r="AP743" s="95"/>
      <c r="AQ743" s="95"/>
      <c r="AR743" s="95"/>
      <c r="AS743" s="95"/>
      <c r="AT743" s="95"/>
      <c r="AU743" s="95"/>
      <c r="AV743" s="95"/>
      <c r="AW743" s="95"/>
      <c r="AX743" s="95"/>
    </row>
    <row r="744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  <c r="AC744" s="95"/>
      <c r="AD744" s="95"/>
      <c r="AE744" s="95"/>
      <c r="AF744" s="95"/>
      <c r="AG744" s="95"/>
      <c r="AH744" s="95"/>
      <c r="AI744" s="95"/>
      <c r="AJ744" s="95"/>
      <c r="AK744" s="95"/>
      <c r="AL744" s="95"/>
      <c r="AM744" s="95"/>
      <c r="AN744" s="95"/>
      <c r="AO744" s="95"/>
      <c r="AP744" s="95"/>
      <c r="AQ744" s="95"/>
      <c r="AR744" s="95"/>
      <c r="AS744" s="95"/>
      <c r="AT744" s="95"/>
      <c r="AU744" s="95"/>
      <c r="AV744" s="95"/>
      <c r="AW744" s="95"/>
      <c r="AX744" s="95"/>
    </row>
    <row r="745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  <c r="AC745" s="95"/>
      <c r="AD745" s="95"/>
      <c r="AE745" s="95"/>
      <c r="AF745" s="95"/>
      <c r="AG745" s="95"/>
      <c r="AH745" s="95"/>
      <c r="AI745" s="95"/>
      <c r="AJ745" s="95"/>
      <c r="AK745" s="95"/>
      <c r="AL745" s="95"/>
      <c r="AM745" s="95"/>
      <c r="AN745" s="95"/>
      <c r="AO745" s="95"/>
      <c r="AP745" s="95"/>
      <c r="AQ745" s="95"/>
      <c r="AR745" s="95"/>
      <c r="AS745" s="95"/>
      <c r="AT745" s="95"/>
      <c r="AU745" s="95"/>
      <c r="AV745" s="95"/>
      <c r="AW745" s="95"/>
      <c r="AX745" s="95"/>
    </row>
    <row r="746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  <c r="AC746" s="95"/>
      <c r="AD746" s="95"/>
      <c r="AE746" s="95"/>
      <c r="AF746" s="95"/>
      <c r="AG746" s="95"/>
      <c r="AH746" s="95"/>
      <c r="AI746" s="95"/>
      <c r="AJ746" s="95"/>
      <c r="AK746" s="95"/>
      <c r="AL746" s="95"/>
      <c r="AM746" s="95"/>
      <c r="AN746" s="95"/>
      <c r="AO746" s="95"/>
      <c r="AP746" s="95"/>
      <c r="AQ746" s="95"/>
      <c r="AR746" s="95"/>
      <c r="AS746" s="95"/>
      <c r="AT746" s="95"/>
      <c r="AU746" s="95"/>
      <c r="AV746" s="95"/>
      <c r="AW746" s="95"/>
      <c r="AX746" s="95"/>
    </row>
    <row r="747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  <c r="AC747" s="95"/>
      <c r="AD747" s="95"/>
      <c r="AE747" s="95"/>
      <c r="AF747" s="95"/>
      <c r="AG747" s="95"/>
      <c r="AH747" s="95"/>
      <c r="AI747" s="95"/>
      <c r="AJ747" s="95"/>
      <c r="AK747" s="95"/>
      <c r="AL747" s="95"/>
      <c r="AM747" s="95"/>
      <c r="AN747" s="95"/>
      <c r="AO747" s="95"/>
      <c r="AP747" s="95"/>
      <c r="AQ747" s="95"/>
      <c r="AR747" s="95"/>
      <c r="AS747" s="95"/>
      <c r="AT747" s="95"/>
      <c r="AU747" s="95"/>
      <c r="AV747" s="95"/>
      <c r="AW747" s="95"/>
      <c r="AX747" s="95"/>
    </row>
    <row r="748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  <c r="AC748" s="95"/>
      <c r="AD748" s="95"/>
      <c r="AE748" s="95"/>
      <c r="AF748" s="95"/>
      <c r="AG748" s="95"/>
      <c r="AH748" s="95"/>
      <c r="AI748" s="95"/>
      <c r="AJ748" s="95"/>
      <c r="AK748" s="95"/>
      <c r="AL748" s="95"/>
      <c r="AM748" s="95"/>
      <c r="AN748" s="95"/>
      <c r="AO748" s="95"/>
      <c r="AP748" s="95"/>
      <c r="AQ748" s="95"/>
      <c r="AR748" s="95"/>
      <c r="AS748" s="95"/>
      <c r="AT748" s="95"/>
      <c r="AU748" s="95"/>
      <c r="AV748" s="95"/>
      <c r="AW748" s="95"/>
      <c r="AX748" s="95"/>
    </row>
    <row r="749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  <c r="AC749" s="95"/>
      <c r="AD749" s="95"/>
      <c r="AE749" s="95"/>
      <c r="AF749" s="95"/>
      <c r="AG749" s="95"/>
      <c r="AH749" s="95"/>
      <c r="AI749" s="95"/>
      <c r="AJ749" s="95"/>
      <c r="AK749" s="95"/>
      <c r="AL749" s="95"/>
      <c r="AM749" s="95"/>
      <c r="AN749" s="95"/>
      <c r="AO749" s="95"/>
      <c r="AP749" s="95"/>
      <c r="AQ749" s="95"/>
      <c r="AR749" s="95"/>
      <c r="AS749" s="95"/>
      <c r="AT749" s="95"/>
      <c r="AU749" s="95"/>
      <c r="AV749" s="95"/>
      <c r="AW749" s="95"/>
      <c r="AX749" s="95"/>
    </row>
    <row r="750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  <c r="AC750" s="95"/>
      <c r="AD750" s="95"/>
      <c r="AE750" s="95"/>
      <c r="AF750" s="95"/>
      <c r="AG750" s="95"/>
      <c r="AH750" s="95"/>
      <c r="AI750" s="95"/>
      <c r="AJ750" s="95"/>
      <c r="AK750" s="95"/>
      <c r="AL750" s="95"/>
      <c r="AM750" s="95"/>
      <c r="AN750" s="95"/>
      <c r="AO750" s="95"/>
      <c r="AP750" s="95"/>
      <c r="AQ750" s="95"/>
      <c r="AR750" s="95"/>
      <c r="AS750" s="95"/>
      <c r="AT750" s="95"/>
      <c r="AU750" s="95"/>
      <c r="AV750" s="95"/>
      <c r="AW750" s="95"/>
      <c r="AX750" s="95"/>
    </row>
    <row r="75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  <c r="AC751" s="95"/>
      <c r="AD751" s="95"/>
      <c r="AE751" s="95"/>
      <c r="AF751" s="95"/>
      <c r="AG751" s="95"/>
      <c r="AH751" s="95"/>
      <c r="AI751" s="95"/>
      <c r="AJ751" s="95"/>
      <c r="AK751" s="95"/>
      <c r="AL751" s="95"/>
      <c r="AM751" s="95"/>
      <c r="AN751" s="95"/>
      <c r="AO751" s="95"/>
      <c r="AP751" s="95"/>
      <c r="AQ751" s="95"/>
      <c r="AR751" s="95"/>
      <c r="AS751" s="95"/>
      <c r="AT751" s="95"/>
      <c r="AU751" s="95"/>
      <c r="AV751" s="95"/>
      <c r="AW751" s="95"/>
      <c r="AX751" s="95"/>
    </row>
    <row r="752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  <c r="AC752" s="95"/>
      <c r="AD752" s="95"/>
      <c r="AE752" s="95"/>
      <c r="AF752" s="95"/>
      <c r="AG752" s="95"/>
      <c r="AH752" s="95"/>
      <c r="AI752" s="95"/>
      <c r="AJ752" s="95"/>
      <c r="AK752" s="95"/>
      <c r="AL752" s="95"/>
      <c r="AM752" s="95"/>
      <c r="AN752" s="95"/>
      <c r="AO752" s="95"/>
      <c r="AP752" s="95"/>
      <c r="AQ752" s="95"/>
      <c r="AR752" s="95"/>
      <c r="AS752" s="95"/>
      <c r="AT752" s="95"/>
      <c r="AU752" s="95"/>
      <c r="AV752" s="95"/>
      <c r="AW752" s="95"/>
      <c r="AX752" s="95"/>
    </row>
    <row r="75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  <c r="AC753" s="95"/>
      <c r="AD753" s="95"/>
      <c r="AE753" s="95"/>
      <c r="AF753" s="95"/>
      <c r="AG753" s="95"/>
      <c r="AH753" s="95"/>
      <c r="AI753" s="95"/>
      <c r="AJ753" s="95"/>
      <c r="AK753" s="95"/>
      <c r="AL753" s="95"/>
      <c r="AM753" s="95"/>
      <c r="AN753" s="95"/>
      <c r="AO753" s="95"/>
      <c r="AP753" s="95"/>
      <c r="AQ753" s="95"/>
      <c r="AR753" s="95"/>
      <c r="AS753" s="95"/>
      <c r="AT753" s="95"/>
      <c r="AU753" s="95"/>
      <c r="AV753" s="95"/>
      <c r="AW753" s="95"/>
      <c r="AX753" s="95"/>
    </row>
    <row r="754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  <c r="AC754" s="95"/>
      <c r="AD754" s="95"/>
      <c r="AE754" s="95"/>
      <c r="AF754" s="95"/>
      <c r="AG754" s="95"/>
      <c r="AH754" s="95"/>
      <c r="AI754" s="95"/>
      <c r="AJ754" s="95"/>
      <c r="AK754" s="95"/>
      <c r="AL754" s="95"/>
      <c r="AM754" s="95"/>
      <c r="AN754" s="95"/>
      <c r="AO754" s="95"/>
      <c r="AP754" s="95"/>
      <c r="AQ754" s="95"/>
      <c r="AR754" s="95"/>
      <c r="AS754" s="95"/>
      <c r="AT754" s="95"/>
      <c r="AU754" s="95"/>
      <c r="AV754" s="95"/>
      <c r="AW754" s="95"/>
      <c r="AX754" s="95"/>
    </row>
    <row r="755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  <c r="AC755" s="95"/>
      <c r="AD755" s="95"/>
      <c r="AE755" s="95"/>
      <c r="AF755" s="95"/>
      <c r="AG755" s="95"/>
      <c r="AH755" s="95"/>
      <c r="AI755" s="95"/>
      <c r="AJ755" s="95"/>
      <c r="AK755" s="95"/>
      <c r="AL755" s="95"/>
      <c r="AM755" s="95"/>
      <c r="AN755" s="95"/>
      <c r="AO755" s="95"/>
      <c r="AP755" s="95"/>
      <c r="AQ755" s="95"/>
      <c r="AR755" s="95"/>
      <c r="AS755" s="95"/>
      <c r="AT755" s="95"/>
      <c r="AU755" s="95"/>
      <c r="AV755" s="95"/>
      <c r="AW755" s="95"/>
      <c r="AX755" s="95"/>
    </row>
    <row r="756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  <c r="AC756" s="95"/>
      <c r="AD756" s="95"/>
      <c r="AE756" s="95"/>
      <c r="AF756" s="95"/>
      <c r="AG756" s="95"/>
      <c r="AH756" s="95"/>
      <c r="AI756" s="95"/>
      <c r="AJ756" s="95"/>
      <c r="AK756" s="95"/>
      <c r="AL756" s="95"/>
      <c r="AM756" s="95"/>
      <c r="AN756" s="95"/>
      <c r="AO756" s="95"/>
      <c r="AP756" s="95"/>
      <c r="AQ756" s="95"/>
      <c r="AR756" s="95"/>
      <c r="AS756" s="95"/>
      <c r="AT756" s="95"/>
      <c r="AU756" s="95"/>
      <c r="AV756" s="95"/>
      <c r="AW756" s="95"/>
      <c r="AX756" s="95"/>
    </row>
    <row r="757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  <c r="AC757" s="95"/>
      <c r="AD757" s="95"/>
      <c r="AE757" s="95"/>
      <c r="AF757" s="95"/>
      <c r="AG757" s="95"/>
      <c r="AH757" s="95"/>
      <c r="AI757" s="95"/>
      <c r="AJ757" s="95"/>
      <c r="AK757" s="95"/>
      <c r="AL757" s="95"/>
      <c r="AM757" s="95"/>
      <c r="AN757" s="95"/>
      <c r="AO757" s="95"/>
      <c r="AP757" s="95"/>
      <c r="AQ757" s="95"/>
      <c r="AR757" s="95"/>
      <c r="AS757" s="95"/>
      <c r="AT757" s="95"/>
      <c r="AU757" s="95"/>
      <c r="AV757" s="95"/>
      <c r="AW757" s="95"/>
      <c r="AX757" s="95"/>
    </row>
    <row r="758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  <c r="AC758" s="95"/>
      <c r="AD758" s="95"/>
      <c r="AE758" s="95"/>
      <c r="AF758" s="95"/>
      <c r="AG758" s="95"/>
      <c r="AH758" s="95"/>
      <c r="AI758" s="95"/>
      <c r="AJ758" s="95"/>
      <c r="AK758" s="95"/>
      <c r="AL758" s="95"/>
      <c r="AM758" s="95"/>
      <c r="AN758" s="95"/>
      <c r="AO758" s="95"/>
      <c r="AP758" s="95"/>
      <c r="AQ758" s="95"/>
      <c r="AR758" s="95"/>
      <c r="AS758" s="95"/>
      <c r="AT758" s="95"/>
      <c r="AU758" s="95"/>
      <c r="AV758" s="95"/>
      <c r="AW758" s="95"/>
      <c r="AX758" s="95"/>
    </row>
    <row r="759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  <c r="AC759" s="95"/>
      <c r="AD759" s="95"/>
      <c r="AE759" s="95"/>
      <c r="AF759" s="95"/>
      <c r="AG759" s="95"/>
      <c r="AH759" s="95"/>
      <c r="AI759" s="95"/>
      <c r="AJ759" s="95"/>
      <c r="AK759" s="95"/>
      <c r="AL759" s="95"/>
      <c r="AM759" s="95"/>
      <c r="AN759" s="95"/>
      <c r="AO759" s="95"/>
      <c r="AP759" s="95"/>
      <c r="AQ759" s="95"/>
      <c r="AR759" s="95"/>
      <c r="AS759" s="95"/>
      <c r="AT759" s="95"/>
      <c r="AU759" s="95"/>
      <c r="AV759" s="95"/>
      <c r="AW759" s="95"/>
      <c r="AX759" s="95"/>
    </row>
    <row r="760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  <c r="AC760" s="95"/>
      <c r="AD760" s="95"/>
      <c r="AE760" s="95"/>
      <c r="AF760" s="95"/>
      <c r="AG760" s="95"/>
      <c r="AH760" s="95"/>
      <c r="AI760" s="95"/>
      <c r="AJ760" s="95"/>
      <c r="AK760" s="95"/>
      <c r="AL760" s="95"/>
      <c r="AM760" s="95"/>
      <c r="AN760" s="95"/>
      <c r="AO760" s="95"/>
      <c r="AP760" s="95"/>
      <c r="AQ760" s="95"/>
      <c r="AR760" s="95"/>
      <c r="AS760" s="95"/>
      <c r="AT760" s="95"/>
      <c r="AU760" s="95"/>
      <c r="AV760" s="95"/>
      <c r="AW760" s="95"/>
      <c r="AX760" s="95"/>
    </row>
    <row r="76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  <c r="AC761" s="95"/>
      <c r="AD761" s="95"/>
      <c r="AE761" s="95"/>
      <c r="AF761" s="95"/>
      <c r="AG761" s="95"/>
      <c r="AH761" s="95"/>
      <c r="AI761" s="95"/>
      <c r="AJ761" s="95"/>
      <c r="AK761" s="95"/>
      <c r="AL761" s="95"/>
      <c r="AM761" s="95"/>
      <c r="AN761" s="95"/>
      <c r="AO761" s="95"/>
      <c r="AP761" s="95"/>
      <c r="AQ761" s="95"/>
      <c r="AR761" s="95"/>
      <c r="AS761" s="95"/>
      <c r="AT761" s="95"/>
      <c r="AU761" s="95"/>
      <c r="AV761" s="95"/>
      <c r="AW761" s="95"/>
      <c r="AX761" s="95"/>
    </row>
    <row r="762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  <c r="AC762" s="95"/>
      <c r="AD762" s="95"/>
      <c r="AE762" s="95"/>
      <c r="AF762" s="95"/>
      <c r="AG762" s="95"/>
      <c r="AH762" s="95"/>
      <c r="AI762" s="95"/>
      <c r="AJ762" s="95"/>
      <c r="AK762" s="95"/>
      <c r="AL762" s="95"/>
      <c r="AM762" s="95"/>
      <c r="AN762" s="95"/>
      <c r="AO762" s="95"/>
      <c r="AP762" s="95"/>
      <c r="AQ762" s="95"/>
      <c r="AR762" s="95"/>
      <c r="AS762" s="95"/>
      <c r="AT762" s="95"/>
      <c r="AU762" s="95"/>
      <c r="AV762" s="95"/>
      <c r="AW762" s="95"/>
      <c r="AX762" s="95"/>
    </row>
    <row r="76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  <c r="AC763" s="95"/>
      <c r="AD763" s="95"/>
      <c r="AE763" s="95"/>
      <c r="AF763" s="95"/>
      <c r="AG763" s="95"/>
      <c r="AH763" s="95"/>
      <c r="AI763" s="95"/>
      <c r="AJ763" s="95"/>
      <c r="AK763" s="95"/>
      <c r="AL763" s="95"/>
      <c r="AM763" s="95"/>
      <c r="AN763" s="95"/>
      <c r="AO763" s="95"/>
      <c r="AP763" s="95"/>
      <c r="AQ763" s="95"/>
      <c r="AR763" s="95"/>
      <c r="AS763" s="95"/>
      <c r="AT763" s="95"/>
      <c r="AU763" s="95"/>
      <c r="AV763" s="95"/>
      <c r="AW763" s="95"/>
      <c r="AX763" s="95"/>
    </row>
    <row r="764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  <c r="AC764" s="95"/>
      <c r="AD764" s="95"/>
      <c r="AE764" s="95"/>
      <c r="AF764" s="95"/>
      <c r="AG764" s="95"/>
      <c r="AH764" s="95"/>
      <c r="AI764" s="95"/>
      <c r="AJ764" s="95"/>
      <c r="AK764" s="95"/>
      <c r="AL764" s="95"/>
      <c r="AM764" s="95"/>
      <c r="AN764" s="95"/>
      <c r="AO764" s="95"/>
      <c r="AP764" s="95"/>
      <c r="AQ764" s="95"/>
      <c r="AR764" s="95"/>
      <c r="AS764" s="95"/>
      <c r="AT764" s="95"/>
      <c r="AU764" s="95"/>
      <c r="AV764" s="95"/>
      <c r="AW764" s="95"/>
      <c r="AX764" s="95"/>
    </row>
    <row r="765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  <c r="AC765" s="95"/>
      <c r="AD765" s="95"/>
      <c r="AE765" s="95"/>
      <c r="AF765" s="95"/>
      <c r="AG765" s="95"/>
      <c r="AH765" s="95"/>
      <c r="AI765" s="95"/>
      <c r="AJ765" s="95"/>
      <c r="AK765" s="95"/>
      <c r="AL765" s="95"/>
      <c r="AM765" s="95"/>
      <c r="AN765" s="95"/>
      <c r="AO765" s="95"/>
      <c r="AP765" s="95"/>
      <c r="AQ765" s="95"/>
      <c r="AR765" s="95"/>
      <c r="AS765" s="95"/>
      <c r="AT765" s="95"/>
      <c r="AU765" s="95"/>
      <c r="AV765" s="95"/>
      <c r="AW765" s="95"/>
      <c r="AX765" s="95"/>
    </row>
    <row r="766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  <c r="AC766" s="95"/>
      <c r="AD766" s="95"/>
      <c r="AE766" s="95"/>
      <c r="AF766" s="95"/>
      <c r="AG766" s="95"/>
      <c r="AH766" s="95"/>
      <c r="AI766" s="95"/>
      <c r="AJ766" s="95"/>
      <c r="AK766" s="95"/>
      <c r="AL766" s="95"/>
      <c r="AM766" s="95"/>
      <c r="AN766" s="95"/>
      <c r="AO766" s="95"/>
      <c r="AP766" s="95"/>
      <c r="AQ766" s="95"/>
      <c r="AR766" s="95"/>
      <c r="AS766" s="95"/>
      <c r="AT766" s="95"/>
      <c r="AU766" s="95"/>
      <c r="AV766" s="95"/>
      <c r="AW766" s="95"/>
      <c r="AX766" s="95"/>
    </row>
    <row r="767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  <c r="AC767" s="95"/>
      <c r="AD767" s="95"/>
      <c r="AE767" s="95"/>
      <c r="AF767" s="95"/>
      <c r="AG767" s="95"/>
      <c r="AH767" s="95"/>
      <c r="AI767" s="95"/>
      <c r="AJ767" s="95"/>
      <c r="AK767" s="95"/>
      <c r="AL767" s="95"/>
      <c r="AM767" s="95"/>
      <c r="AN767" s="95"/>
      <c r="AO767" s="95"/>
      <c r="AP767" s="95"/>
      <c r="AQ767" s="95"/>
      <c r="AR767" s="95"/>
      <c r="AS767" s="95"/>
      <c r="AT767" s="95"/>
      <c r="AU767" s="95"/>
      <c r="AV767" s="95"/>
      <c r="AW767" s="95"/>
      <c r="AX767" s="95"/>
    </row>
    <row r="768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  <c r="AC768" s="95"/>
      <c r="AD768" s="95"/>
      <c r="AE768" s="95"/>
      <c r="AF768" s="95"/>
      <c r="AG768" s="95"/>
      <c r="AH768" s="95"/>
      <c r="AI768" s="95"/>
      <c r="AJ768" s="95"/>
      <c r="AK768" s="95"/>
      <c r="AL768" s="95"/>
      <c r="AM768" s="95"/>
      <c r="AN768" s="95"/>
      <c r="AO768" s="95"/>
      <c r="AP768" s="95"/>
      <c r="AQ768" s="95"/>
      <c r="AR768" s="95"/>
      <c r="AS768" s="95"/>
      <c r="AT768" s="95"/>
      <c r="AU768" s="95"/>
      <c r="AV768" s="95"/>
      <c r="AW768" s="95"/>
      <c r="AX768" s="95"/>
    </row>
    <row r="769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  <c r="AC769" s="95"/>
      <c r="AD769" s="95"/>
      <c r="AE769" s="95"/>
      <c r="AF769" s="95"/>
      <c r="AG769" s="95"/>
      <c r="AH769" s="95"/>
      <c r="AI769" s="95"/>
      <c r="AJ769" s="95"/>
      <c r="AK769" s="95"/>
      <c r="AL769" s="95"/>
      <c r="AM769" s="95"/>
      <c r="AN769" s="95"/>
      <c r="AO769" s="95"/>
      <c r="AP769" s="95"/>
      <c r="AQ769" s="95"/>
      <c r="AR769" s="95"/>
      <c r="AS769" s="95"/>
      <c r="AT769" s="95"/>
      <c r="AU769" s="95"/>
      <c r="AV769" s="95"/>
      <c r="AW769" s="95"/>
      <c r="AX769" s="95"/>
    </row>
    <row r="770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  <c r="AC770" s="95"/>
      <c r="AD770" s="95"/>
      <c r="AE770" s="95"/>
      <c r="AF770" s="95"/>
      <c r="AG770" s="95"/>
      <c r="AH770" s="95"/>
      <c r="AI770" s="95"/>
      <c r="AJ770" s="95"/>
      <c r="AK770" s="95"/>
      <c r="AL770" s="95"/>
      <c r="AM770" s="95"/>
      <c r="AN770" s="95"/>
      <c r="AO770" s="95"/>
      <c r="AP770" s="95"/>
      <c r="AQ770" s="95"/>
      <c r="AR770" s="95"/>
      <c r="AS770" s="95"/>
      <c r="AT770" s="95"/>
      <c r="AU770" s="95"/>
      <c r="AV770" s="95"/>
      <c r="AW770" s="95"/>
      <c r="AX770" s="95"/>
    </row>
    <row r="77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  <c r="AC771" s="95"/>
      <c r="AD771" s="95"/>
      <c r="AE771" s="95"/>
      <c r="AF771" s="95"/>
      <c r="AG771" s="95"/>
      <c r="AH771" s="95"/>
      <c r="AI771" s="95"/>
      <c r="AJ771" s="95"/>
      <c r="AK771" s="95"/>
      <c r="AL771" s="95"/>
      <c r="AM771" s="95"/>
      <c r="AN771" s="95"/>
      <c r="AO771" s="95"/>
      <c r="AP771" s="95"/>
      <c r="AQ771" s="95"/>
      <c r="AR771" s="95"/>
      <c r="AS771" s="95"/>
      <c r="AT771" s="95"/>
      <c r="AU771" s="95"/>
      <c r="AV771" s="95"/>
      <c r="AW771" s="95"/>
      <c r="AX771" s="95"/>
    </row>
    <row r="772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  <c r="AC772" s="95"/>
      <c r="AD772" s="95"/>
      <c r="AE772" s="95"/>
      <c r="AF772" s="95"/>
      <c r="AG772" s="95"/>
      <c r="AH772" s="95"/>
      <c r="AI772" s="95"/>
      <c r="AJ772" s="95"/>
      <c r="AK772" s="95"/>
      <c r="AL772" s="95"/>
      <c r="AM772" s="95"/>
      <c r="AN772" s="95"/>
      <c r="AO772" s="95"/>
      <c r="AP772" s="95"/>
      <c r="AQ772" s="95"/>
      <c r="AR772" s="95"/>
      <c r="AS772" s="95"/>
      <c r="AT772" s="95"/>
      <c r="AU772" s="95"/>
      <c r="AV772" s="95"/>
      <c r="AW772" s="95"/>
      <c r="AX772" s="95"/>
    </row>
    <row r="77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  <c r="AC773" s="95"/>
      <c r="AD773" s="95"/>
      <c r="AE773" s="95"/>
      <c r="AF773" s="95"/>
      <c r="AG773" s="95"/>
      <c r="AH773" s="95"/>
      <c r="AI773" s="95"/>
      <c r="AJ773" s="95"/>
      <c r="AK773" s="95"/>
      <c r="AL773" s="95"/>
      <c r="AM773" s="95"/>
      <c r="AN773" s="95"/>
      <c r="AO773" s="95"/>
      <c r="AP773" s="95"/>
      <c r="AQ773" s="95"/>
      <c r="AR773" s="95"/>
      <c r="AS773" s="95"/>
      <c r="AT773" s="95"/>
      <c r="AU773" s="95"/>
      <c r="AV773" s="95"/>
      <c r="AW773" s="95"/>
      <c r="AX773" s="95"/>
    </row>
    <row r="774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  <c r="AC774" s="95"/>
      <c r="AD774" s="95"/>
      <c r="AE774" s="95"/>
      <c r="AF774" s="95"/>
      <c r="AG774" s="95"/>
      <c r="AH774" s="95"/>
      <c r="AI774" s="95"/>
      <c r="AJ774" s="95"/>
      <c r="AK774" s="95"/>
      <c r="AL774" s="95"/>
      <c r="AM774" s="95"/>
      <c r="AN774" s="95"/>
      <c r="AO774" s="95"/>
      <c r="AP774" s="95"/>
      <c r="AQ774" s="95"/>
      <c r="AR774" s="95"/>
      <c r="AS774" s="95"/>
      <c r="AT774" s="95"/>
      <c r="AU774" s="95"/>
      <c r="AV774" s="95"/>
      <c r="AW774" s="95"/>
      <c r="AX774" s="95"/>
    </row>
    <row r="775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  <c r="AC775" s="95"/>
      <c r="AD775" s="95"/>
      <c r="AE775" s="95"/>
      <c r="AF775" s="95"/>
      <c r="AG775" s="95"/>
      <c r="AH775" s="95"/>
      <c r="AI775" s="95"/>
      <c r="AJ775" s="95"/>
      <c r="AK775" s="95"/>
      <c r="AL775" s="95"/>
      <c r="AM775" s="95"/>
      <c r="AN775" s="95"/>
      <c r="AO775" s="95"/>
      <c r="AP775" s="95"/>
      <c r="AQ775" s="95"/>
      <c r="AR775" s="95"/>
      <c r="AS775" s="95"/>
      <c r="AT775" s="95"/>
      <c r="AU775" s="95"/>
      <c r="AV775" s="95"/>
      <c r="AW775" s="95"/>
      <c r="AX775" s="95"/>
    </row>
    <row r="776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  <c r="AC776" s="95"/>
      <c r="AD776" s="95"/>
      <c r="AE776" s="95"/>
      <c r="AF776" s="95"/>
      <c r="AG776" s="95"/>
      <c r="AH776" s="95"/>
      <c r="AI776" s="95"/>
      <c r="AJ776" s="95"/>
      <c r="AK776" s="95"/>
      <c r="AL776" s="95"/>
      <c r="AM776" s="95"/>
      <c r="AN776" s="95"/>
      <c r="AO776" s="95"/>
      <c r="AP776" s="95"/>
      <c r="AQ776" s="95"/>
      <c r="AR776" s="95"/>
      <c r="AS776" s="95"/>
      <c r="AT776" s="95"/>
      <c r="AU776" s="95"/>
      <c r="AV776" s="95"/>
      <c r="AW776" s="95"/>
      <c r="AX776" s="95"/>
    </row>
    <row r="777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  <c r="AC777" s="95"/>
      <c r="AD777" s="95"/>
      <c r="AE777" s="95"/>
      <c r="AF777" s="95"/>
      <c r="AG777" s="95"/>
      <c r="AH777" s="95"/>
      <c r="AI777" s="95"/>
      <c r="AJ777" s="95"/>
      <c r="AK777" s="95"/>
      <c r="AL777" s="95"/>
      <c r="AM777" s="95"/>
      <c r="AN777" s="95"/>
      <c r="AO777" s="95"/>
      <c r="AP777" s="95"/>
      <c r="AQ777" s="95"/>
      <c r="AR777" s="95"/>
      <c r="AS777" s="95"/>
      <c r="AT777" s="95"/>
      <c r="AU777" s="95"/>
      <c r="AV777" s="95"/>
      <c r="AW777" s="95"/>
      <c r="AX777" s="95"/>
    </row>
    <row r="778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  <c r="AC778" s="95"/>
      <c r="AD778" s="95"/>
      <c r="AE778" s="95"/>
      <c r="AF778" s="95"/>
      <c r="AG778" s="95"/>
      <c r="AH778" s="95"/>
      <c r="AI778" s="95"/>
      <c r="AJ778" s="95"/>
      <c r="AK778" s="95"/>
      <c r="AL778" s="95"/>
      <c r="AM778" s="95"/>
      <c r="AN778" s="95"/>
      <c r="AO778" s="95"/>
      <c r="AP778" s="95"/>
      <c r="AQ778" s="95"/>
      <c r="AR778" s="95"/>
      <c r="AS778" s="95"/>
      <c r="AT778" s="95"/>
      <c r="AU778" s="95"/>
      <c r="AV778" s="95"/>
      <c r="AW778" s="95"/>
      <c r="AX778" s="95"/>
    </row>
    <row r="779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  <c r="AC779" s="95"/>
      <c r="AD779" s="95"/>
      <c r="AE779" s="95"/>
      <c r="AF779" s="95"/>
      <c r="AG779" s="95"/>
      <c r="AH779" s="95"/>
      <c r="AI779" s="95"/>
      <c r="AJ779" s="95"/>
      <c r="AK779" s="95"/>
      <c r="AL779" s="95"/>
      <c r="AM779" s="95"/>
      <c r="AN779" s="95"/>
      <c r="AO779" s="95"/>
      <c r="AP779" s="95"/>
      <c r="AQ779" s="95"/>
      <c r="AR779" s="95"/>
      <c r="AS779" s="95"/>
      <c r="AT779" s="95"/>
      <c r="AU779" s="95"/>
      <c r="AV779" s="95"/>
      <c r="AW779" s="95"/>
      <c r="AX779" s="95"/>
    </row>
    <row r="780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  <c r="AC780" s="95"/>
      <c r="AD780" s="95"/>
      <c r="AE780" s="95"/>
      <c r="AF780" s="95"/>
      <c r="AG780" s="95"/>
      <c r="AH780" s="95"/>
      <c r="AI780" s="95"/>
      <c r="AJ780" s="95"/>
      <c r="AK780" s="95"/>
      <c r="AL780" s="95"/>
      <c r="AM780" s="95"/>
      <c r="AN780" s="95"/>
      <c r="AO780" s="95"/>
      <c r="AP780" s="95"/>
      <c r="AQ780" s="95"/>
      <c r="AR780" s="95"/>
      <c r="AS780" s="95"/>
      <c r="AT780" s="95"/>
      <c r="AU780" s="95"/>
      <c r="AV780" s="95"/>
      <c r="AW780" s="95"/>
      <c r="AX780" s="95"/>
    </row>
    <row r="78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  <c r="AC781" s="95"/>
      <c r="AD781" s="95"/>
      <c r="AE781" s="95"/>
      <c r="AF781" s="95"/>
      <c r="AG781" s="95"/>
      <c r="AH781" s="95"/>
      <c r="AI781" s="95"/>
      <c r="AJ781" s="95"/>
      <c r="AK781" s="95"/>
      <c r="AL781" s="95"/>
      <c r="AM781" s="95"/>
      <c r="AN781" s="95"/>
      <c r="AO781" s="95"/>
      <c r="AP781" s="95"/>
      <c r="AQ781" s="95"/>
      <c r="AR781" s="95"/>
      <c r="AS781" s="95"/>
      <c r="AT781" s="95"/>
      <c r="AU781" s="95"/>
      <c r="AV781" s="95"/>
      <c r="AW781" s="95"/>
      <c r="AX781" s="95"/>
    </row>
    <row r="782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  <c r="AC782" s="95"/>
      <c r="AD782" s="95"/>
      <c r="AE782" s="95"/>
      <c r="AF782" s="95"/>
      <c r="AG782" s="95"/>
      <c r="AH782" s="95"/>
      <c r="AI782" s="95"/>
      <c r="AJ782" s="95"/>
      <c r="AK782" s="95"/>
      <c r="AL782" s="95"/>
      <c r="AM782" s="95"/>
      <c r="AN782" s="95"/>
      <c r="AO782" s="95"/>
      <c r="AP782" s="95"/>
      <c r="AQ782" s="95"/>
      <c r="AR782" s="95"/>
      <c r="AS782" s="95"/>
      <c r="AT782" s="95"/>
      <c r="AU782" s="95"/>
      <c r="AV782" s="95"/>
      <c r="AW782" s="95"/>
      <c r="AX782" s="95"/>
    </row>
    <row r="78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  <c r="AC783" s="95"/>
      <c r="AD783" s="95"/>
      <c r="AE783" s="95"/>
      <c r="AF783" s="95"/>
      <c r="AG783" s="95"/>
      <c r="AH783" s="95"/>
      <c r="AI783" s="95"/>
      <c r="AJ783" s="95"/>
      <c r="AK783" s="95"/>
      <c r="AL783" s="95"/>
      <c r="AM783" s="95"/>
      <c r="AN783" s="95"/>
      <c r="AO783" s="95"/>
      <c r="AP783" s="95"/>
      <c r="AQ783" s="95"/>
      <c r="AR783" s="95"/>
      <c r="AS783" s="95"/>
      <c r="AT783" s="95"/>
      <c r="AU783" s="95"/>
      <c r="AV783" s="95"/>
      <c r="AW783" s="95"/>
      <c r="AX783" s="95"/>
    </row>
    <row r="784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  <c r="AC784" s="95"/>
      <c r="AD784" s="95"/>
      <c r="AE784" s="95"/>
      <c r="AF784" s="95"/>
      <c r="AG784" s="95"/>
      <c r="AH784" s="95"/>
      <c r="AI784" s="95"/>
      <c r="AJ784" s="95"/>
      <c r="AK784" s="95"/>
      <c r="AL784" s="95"/>
      <c r="AM784" s="95"/>
      <c r="AN784" s="95"/>
      <c r="AO784" s="95"/>
      <c r="AP784" s="95"/>
      <c r="AQ784" s="95"/>
      <c r="AR784" s="95"/>
      <c r="AS784" s="95"/>
      <c r="AT784" s="95"/>
      <c r="AU784" s="95"/>
      <c r="AV784" s="95"/>
      <c r="AW784" s="95"/>
      <c r="AX784" s="95"/>
    </row>
    <row r="785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  <c r="AC785" s="95"/>
      <c r="AD785" s="95"/>
      <c r="AE785" s="95"/>
      <c r="AF785" s="95"/>
      <c r="AG785" s="95"/>
      <c r="AH785" s="95"/>
      <c r="AI785" s="95"/>
      <c r="AJ785" s="95"/>
      <c r="AK785" s="95"/>
      <c r="AL785" s="95"/>
      <c r="AM785" s="95"/>
      <c r="AN785" s="95"/>
      <c r="AO785" s="95"/>
      <c r="AP785" s="95"/>
      <c r="AQ785" s="95"/>
      <c r="AR785" s="95"/>
      <c r="AS785" s="95"/>
      <c r="AT785" s="95"/>
      <c r="AU785" s="95"/>
      <c r="AV785" s="95"/>
      <c r="AW785" s="95"/>
      <c r="AX785" s="95"/>
    </row>
    <row r="786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  <c r="AC786" s="95"/>
      <c r="AD786" s="95"/>
      <c r="AE786" s="95"/>
      <c r="AF786" s="95"/>
      <c r="AG786" s="95"/>
      <c r="AH786" s="95"/>
      <c r="AI786" s="95"/>
      <c r="AJ786" s="95"/>
      <c r="AK786" s="95"/>
      <c r="AL786" s="95"/>
      <c r="AM786" s="95"/>
      <c r="AN786" s="95"/>
      <c r="AO786" s="95"/>
      <c r="AP786" s="95"/>
      <c r="AQ786" s="95"/>
      <c r="AR786" s="95"/>
      <c r="AS786" s="95"/>
      <c r="AT786" s="95"/>
      <c r="AU786" s="95"/>
      <c r="AV786" s="95"/>
      <c r="AW786" s="95"/>
      <c r="AX786" s="95"/>
    </row>
    <row r="787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  <c r="AC787" s="95"/>
      <c r="AD787" s="95"/>
      <c r="AE787" s="95"/>
      <c r="AF787" s="95"/>
      <c r="AG787" s="95"/>
      <c r="AH787" s="95"/>
      <c r="AI787" s="95"/>
      <c r="AJ787" s="95"/>
      <c r="AK787" s="95"/>
      <c r="AL787" s="95"/>
      <c r="AM787" s="95"/>
      <c r="AN787" s="95"/>
      <c r="AO787" s="95"/>
      <c r="AP787" s="95"/>
      <c r="AQ787" s="95"/>
      <c r="AR787" s="95"/>
      <c r="AS787" s="95"/>
      <c r="AT787" s="95"/>
      <c r="AU787" s="95"/>
      <c r="AV787" s="95"/>
      <c r="AW787" s="95"/>
      <c r="AX787" s="95"/>
    </row>
    <row r="788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  <c r="AC788" s="95"/>
      <c r="AD788" s="95"/>
      <c r="AE788" s="95"/>
      <c r="AF788" s="95"/>
      <c r="AG788" s="95"/>
      <c r="AH788" s="95"/>
      <c r="AI788" s="95"/>
      <c r="AJ788" s="95"/>
      <c r="AK788" s="95"/>
      <c r="AL788" s="95"/>
      <c r="AM788" s="95"/>
      <c r="AN788" s="95"/>
      <c r="AO788" s="95"/>
      <c r="AP788" s="95"/>
      <c r="AQ788" s="95"/>
      <c r="AR788" s="95"/>
      <c r="AS788" s="95"/>
      <c r="AT788" s="95"/>
      <c r="AU788" s="95"/>
      <c r="AV788" s="95"/>
      <c r="AW788" s="95"/>
      <c r="AX788" s="95"/>
    </row>
    <row r="789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  <c r="AC789" s="95"/>
      <c r="AD789" s="95"/>
      <c r="AE789" s="95"/>
      <c r="AF789" s="95"/>
      <c r="AG789" s="95"/>
      <c r="AH789" s="95"/>
      <c r="AI789" s="95"/>
      <c r="AJ789" s="95"/>
      <c r="AK789" s="95"/>
      <c r="AL789" s="95"/>
      <c r="AM789" s="95"/>
      <c r="AN789" s="95"/>
      <c r="AO789" s="95"/>
      <c r="AP789" s="95"/>
      <c r="AQ789" s="95"/>
      <c r="AR789" s="95"/>
      <c r="AS789" s="95"/>
      <c r="AT789" s="95"/>
      <c r="AU789" s="95"/>
      <c r="AV789" s="95"/>
      <c r="AW789" s="95"/>
      <c r="AX789" s="95"/>
    </row>
    <row r="790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  <c r="AC790" s="95"/>
      <c r="AD790" s="95"/>
      <c r="AE790" s="95"/>
      <c r="AF790" s="95"/>
      <c r="AG790" s="95"/>
      <c r="AH790" s="95"/>
      <c r="AI790" s="95"/>
      <c r="AJ790" s="95"/>
      <c r="AK790" s="95"/>
      <c r="AL790" s="95"/>
      <c r="AM790" s="95"/>
      <c r="AN790" s="95"/>
      <c r="AO790" s="95"/>
      <c r="AP790" s="95"/>
      <c r="AQ790" s="95"/>
      <c r="AR790" s="95"/>
      <c r="AS790" s="95"/>
      <c r="AT790" s="95"/>
      <c r="AU790" s="95"/>
      <c r="AV790" s="95"/>
      <c r="AW790" s="95"/>
      <c r="AX790" s="95"/>
    </row>
    <row r="79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  <c r="AC791" s="95"/>
      <c r="AD791" s="95"/>
      <c r="AE791" s="95"/>
      <c r="AF791" s="95"/>
      <c r="AG791" s="95"/>
      <c r="AH791" s="95"/>
      <c r="AI791" s="95"/>
      <c r="AJ791" s="95"/>
      <c r="AK791" s="95"/>
      <c r="AL791" s="95"/>
      <c r="AM791" s="95"/>
      <c r="AN791" s="95"/>
      <c r="AO791" s="95"/>
      <c r="AP791" s="95"/>
      <c r="AQ791" s="95"/>
      <c r="AR791" s="95"/>
      <c r="AS791" s="95"/>
      <c r="AT791" s="95"/>
      <c r="AU791" s="95"/>
      <c r="AV791" s="95"/>
      <c r="AW791" s="95"/>
      <c r="AX791" s="95"/>
    </row>
    <row r="792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  <c r="AC792" s="95"/>
      <c r="AD792" s="95"/>
      <c r="AE792" s="95"/>
      <c r="AF792" s="95"/>
      <c r="AG792" s="95"/>
      <c r="AH792" s="95"/>
      <c r="AI792" s="95"/>
      <c r="AJ792" s="95"/>
      <c r="AK792" s="95"/>
      <c r="AL792" s="95"/>
      <c r="AM792" s="95"/>
      <c r="AN792" s="95"/>
      <c r="AO792" s="95"/>
      <c r="AP792" s="95"/>
      <c r="AQ792" s="95"/>
      <c r="AR792" s="95"/>
      <c r="AS792" s="95"/>
      <c r="AT792" s="95"/>
      <c r="AU792" s="95"/>
      <c r="AV792" s="95"/>
      <c r="AW792" s="95"/>
      <c r="AX792" s="95"/>
    </row>
    <row r="79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</row>
    <row r="794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  <c r="AC794" s="95"/>
      <c r="AD794" s="95"/>
      <c r="AE794" s="95"/>
      <c r="AF794" s="95"/>
      <c r="AG794" s="95"/>
      <c r="AH794" s="95"/>
      <c r="AI794" s="95"/>
      <c r="AJ794" s="95"/>
      <c r="AK794" s="95"/>
      <c r="AL794" s="95"/>
      <c r="AM794" s="95"/>
      <c r="AN794" s="95"/>
      <c r="AO794" s="95"/>
      <c r="AP794" s="95"/>
      <c r="AQ794" s="95"/>
      <c r="AR794" s="95"/>
      <c r="AS794" s="95"/>
      <c r="AT794" s="95"/>
      <c r="AU794" s="95"/>
      <c r="AV794" s="95"/>
      <c r="AW794" s="95"/>
      <c r="AX794" s="95"/>
    </row>
    <row r="795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  <c r="AC795" s="95"/>
      <c r="AD795" s="95"/>
      <c r="AE795" s="95"/>
      <c r="AF795" s="95"/>
      <c r="AG795" s="95"/>
      <c r="AH795" s="95"/>
      <c r="AI795" s="95"/>
      <c r="AJ795" s="95"/>
      <c r="AK795" s="95"/>
      <c r="AL795" s="95"/>
      <c r="AM795" s="95"/>
      <c r="AN795" s="95"/>
      <c r="AO795" s="95"/>
      <c r="AP795" s="95"/>
      <c r="AQ795" s="95"/>
      <c r="AR795" s="95"/>
      <c r="AS795" s="95"/>
      <c r="AT795" s="95"/>
      <c r="AU795" s="95"/>
      <c r="AV795" s="95"/>
      <c r="AW795" s="95"/>
      <c r="AX795" s="95"/>
    </row>
    <row r="796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  <c r="AC796" s="95"/>
      <c r="AD796" s="95"/>
      <c r="AE796" s="95"/>
      <c r="AF796" s="95"/>
      <c r="AG796" s="95"/>
      <c r="AH796" s="95"/>
      <c r="AI796" s="95"/>
      <c r="AJ796" s="95"/>
      <c r="AK796" s="95"/>
      <c r="AL796" s="95"/>
      <c r="AM796" s="95"/>
      <c r="AN796" s="95"/>
      <c r="AO796" s="95"/>
      <c r="AP796" s="95"/>
      <c r="AQ796" s="95"/>
      <c r="AR796" s="95"/>
      <c r="AS796" s="95"/>
      <c r="AT796" s="95"/>
      <c r="AU796" s="95"/>
      <c r="AV796" s="95"/>
      <c r="AW796" s="95"/>
      <c r="AX796" s="95"/>
    </row>
    <row r="797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  <c r="AC797" s="95"/>
      <c r="AD797" s="95"/>
      <c r="AE797" s="95"/>
      <c r="AF797" s="95"/>
      <c r="AG797" s="95"/>
      <c r="AH797" s="95"/>
      <c r="AI797" s="95"/>
      <c r="AJ797" s="95"/>
      <c r="AK797" s="95"/>
      <c r="AL797" s="95"/>
      <c r="AM797" s="95"/>
      <c r="AN797" s="95"/>
      <c r="AO797" s="95"/>
      <c r="AP797" s="95"/>
      <c r="AQ797" s="95"/>
      <c r="AR797" s="95"/>
      <c r="AS797" s="95"/>
      <c r="AT797" s="95"/>
      <c r="AU797" s="95"/>
      <c r="AV797" s="95"/>
      <c r="AW797" s="95"/>
      <c r="AX797" s="95"/>
    </row>
    <row r="798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  <c r="AC798" s="95"/>
      <c r="AD798" s="95"/>
      <c r="AE798" s="95"/>
      <c r="AF798" s="95"/>
      <c r="AG798" s="95"/>
      <c r="AH798" s="95"/>
      <c r="AI798" s="95"/>
      <c r="AJ798" s="95"/>
      <c r="AK798" s="95"/>
      <c r="AL798" s="95"/>
      <c r="AM798" s="95"/>
      <c r="AN798" s="95"/>
      <c r="AO798" s="95"/>
      <c r="AP798" s="95"/>
      <c r="AQ798" s="95"/>
      <c r="AR798" s="95"/>
      <c r="AS798" s="95"/>
      <c r="AT798" s="95"/>
      <c r="AU798" s="95"/>
      <c r="AV798" s="95"/>
      <c r="AW798" s="95"/>
      <c r="AX798" s="95"/>
    </row>
    <row r="799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  <c r="AC799" s="95"/>
      <c r="AD799" s="95"/>
      <c r="AE799" s="95"/>
      <c r="AF799" s="95"/>
      <c r="AG799" s="95"/>
      <c r="AH799" s="95"/>
      <c r="AI799" s="95"/>
      <c r="AJ799" s="95"/>
      <c r="AK799" s="95"/>
      <c r="AL799" s="95"/>
      <c r="AM799" s="95"/>
      <c r="AN799" s="95"/>
      <c r="AO799" s="95"/>
      <c r="AP799" s="95"/>
      <c r="AQ799" s="95"/>
      <c r="AR799" s="95"/>
      <c r="AS799" s="95"/>
      <c r="AT799" s="95"/>
      <c r="AU799" s="95"/>
      <c r="AV799" s="95"/>
      <c r="AW799" s="95"/>
      <c r="AX799" s="95"/>
    </row>
    <row r="800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  <c r="AC800" s="95"/>
      <c r="AD800" s="95"/>
      <c r="AE800" s="95"/>
      <c r="AF800" s="95"/>
      <c r="AG800" s="95"/>
      <c r="AH800" s="95"/>
      <c r="AI800" s="95"/>
      <c r="AJ800" s="95"/>
      <c r="AK800" s="95"/>
      <c r="AL800" s="95"/>
      <c r="AM800" s="95"/>
      <c r="AN800" s="95"/>
      <c r="AO800" s="95"/>
      <c r="AP800" s="95"/>
      <c r="AQ800" s="95"/>
      <c r="AR800" s="95"/>
      <c r="AS800" s="95"/>
      <c r="AT800" s="95"/>
      <c r="AU800" s="95"/>
      <c r="AV800" s="95"/>
      <c r="AW800" s="95"/>
      <c r="AX800" s="95"/>
    </row>
    <row r="80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  <c r="AC801" s="95"/>
      <c r="AD801" s="95"/>
      <c r="AE801" s="95"/>
      <c r="AF801" s="95"/>
      <c r="AG801" s="95"/>
      <c r="AH801" s="95"/>
      <c r="AI801" s="95"/>
      <c r="AJ801" s="95"/>
      <c r="AK801" s="95"/>
      <c r="AL801" s="95"/>
      <c r="AM801" s="95"/>
      <c r="AN801" s="95"/>
      <c r="AO801" s="95"/>
      <c r="AP801" s="95"/>
      <c r="AQ801" s="95"/>
      <c r="AR801" s="95"/>
      <c r="AS801" s="95"/>
      <c r="AT801" s="95"/>
      <c r="AU801" s="95"/>
      <c r="AV801" s="95"/>
      <c r="AW801" s="95"/>
      <c r="AX801" s="95"/>
    </row>
    <row r="802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  <c r="AC802" s="95"/>
      <c r="AD802" s="95"/>
      <c r="AE802" s="95"/>
      <c r="AF802" s="95"/>
      <c r="AG802" s="95"/>
      <c r="AH802" s="95"/>
      <c r="AI802" s="95"/>
      <c r="AJ802" s="95"/>
      <c r="AK802" s="95"/>
      <c r="AL802" s="95"/>
      <c r="AM802" s="95"/>
      <c r="AN802" s="95"/>
      <c r="AO802" s="95"/>
      <c r="AP802" s="95"/>
      <c r="AQ802" s="95"/>
      <c r="AR802" s="95"/>
      <c r="AS802" s="95"/>
      <c r="AT802" s="95"/>
      <c r="AU802" s="95"/>
      <c r="AV802" s="95"/>
      <c r="AW802" s="95"/>
      <c r="AX802" s="95"/>
    </row>
    <row r="80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  <c r="AC803" s="95"/>
      <c r="AD803" s="95"/>
      <c r="AE803" s="95"/>
      <c r="AF803" s="95"/>
      <c r="AG803" s="95"/>
      <c r="AH803" s="95"/>
      <c r="AI803" s="95"/>
      <c r="AJ803" s="95"/>
      <c r="AK803" s="95"/>
      <c r="AL803" s="95"/>
      <c r="AM803" s="95"/>
      <c r="AN803" s="95"/>
      <c r="AO803" s="95"/>
      <c r="AP803" s="95"/>
      <c r="AQ803" s="95"/>
      <c r="AR803" s="95"/>
      <c r="AS803" s="95"/>
      <c r="AT803" s="95"/>
      <c r="AU803" s="95"/>
      <c r="AV803" s="95"/>
      <c r="AW803" s="95"/>
      <c r="AX803" s="95"/>
    </row>
    <row r="804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  <c r="AC804" s="95"/>
      <c r="AD804" s="95"/>
      <c r="AE804" s="95"/>
      <c r="AF804" s="95"/>
      <c r="AG804" s="95"/>
      <c r="AH804" s="95"/>
      <c r="AI804" s="95"/>
      <c r="AJ804" s="95"/>
      <c r="AK804" s="95"/>
      <c r="AL804" s="95"/>
      <c r="AM804" s="95"/>
      <c r="AN804" s="95"/>
      <c r="AO804" s="95"/>
      <c r="AP804" s="95"/>
      <c r="AQ804" s="95"/>
      <c r="AR804" s="95"/>
      <c r="AS804" s="95"/>
      <c r="AT804" s="95"/>
      <c r="AU804" s="95"/>
      <c r="AV804" s="95"/>
      <c r="AW804" s="95"/>
      <c r="AX804" s="95"/>
    </row>
    <row r="805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  <c r="AC805" s="95"/>
      <c r="AD805" s="95"/>
      <c r="AE805" s="95"/>
      <c r="AF805" s="95"/>
      <c r="AG805" s="95"/>
      <c r="AH805" s="95"/>
      <c r="AI805" s="95"/>
      <c r="AJ805" s="95"/>
      <c r="AK805" s="95"/>
      <c r="AL805" s="95"/>
      <c r="AM805" s="95"/>
      <c r="AN805" s="95"/>
      <c r="AO805" s="95"/>
      <c r="AP805" s="95"/>
      <c r="AQ805" s="95"/>
      <c r="AR805" s="95"/>
      <c r="AS805" s="95"/>
      <c r="AT805" s="95"/>
      <c r="AU805" s="95"/>
      <c r="AV805" s="95"/>
      <c r="AW805" s="95"/>
      <c r="AX805" s="95"/>
    </row>
    <row r="806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  <c r="AC806" s="95"/>
      <c r="AD806" s="95"/>
      <c r="AE806" s="95"/>
      <c r="AF806" s="95"/>
      <c r="AG806" s="95"/>
      <c r="AH806" s="95"/>
      <c r="AI806" s="95"/>
      <c r="AJ806" s="95"/>
      <c r="AK806" s="95"/>
      <c r="AL806" s="95"/>
      <c r="AM806" s="95"/>
      <c r="AN806" s="95"/>
      <c r="AO806" s="95"/>
      <c r="AP806" s="95"/>
      <c r="AQ806" s="95"/>
      <c r="AR806" s="95"/>
      <c r="AS806" s="95"/>
      <c r="AT806" s="95"/>
      <c r="AU806" s="95"/>
      <c r="AV806" s="95"/>
      <c r="AW806" s="95"/>
      <c r="AX806" s="95"/>
    </row>
    <row r="807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  <c r="AC807" s="95"/>
      <c r="AD807" s="95"/>
      <c r="AE807" s="95"/>
      <c r="AF807" s="95"/>
      <c r="AG807" s="95"/>
      <c r="AH807" s="95"/>
      <c r="AI807" s="95"/>
      <c r="AJ807" s="95"/>
      <c r="AK807" s="95"/>
      <c r="AL807" s="95"/>
      <c r="AM807" s="95"/>
      <c r="AN807" s="95"/>
      <c r="AO807" s="95"/>
      <c r="AP807" s="95"/>
      <c r="AQ807" s="95"/>
      <c r="AR807" s="95"/>
      <c r="AS807" s="95"/>
      <c r="AT807" s="95"/>
      <c r="AU807" s="95"/>
      <c r="AV807" s="95"/>
      <c r="AW807" s="95"/>
      <c r="AX807" s="95"/>
    </row>
    <row r="808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  <c r="AC808" s="95"/>
      <c r="AD808" s="95"/>
      <c r="AE808" s="95"/>
      <c r="AF808" s="95"/>
      <c r="AG808" s="95"/>
      <c r="AH808" s="95"/>
      <c r="AI808" s="95"/>
      <c r="AJ808" s="95"/>
      <c r="AK808" s="95"/>
      <c r="AL808" s="95"/>
      <c r="AM808" s="95"/>
      <c r="AN808" s="95"/>
      <c r="AO808" s="95"/>
      <c r="AP808" s="95"/>
      <c r="AQ808" s="95"/>
      <c r="AR808" s="95"/>
      <c r="AS808" s="95"/>
      <c r="AT808" s="95"/>
      <c r="AU808" s="95"/>
      <c r="AV808" s="95"/>
      <c r="AW808" s="95"/>
      <c r="AX808" s="95"/>
    </row>
    <row r="809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  <c r="AC809" s="95"/>
      <c r="AD809" s="95"/>
      <c r="AE809" s="95"/>
      <c r="AF809" s="95"/>
      <c r="AG809" s="95"/>
      <c r="AH809" s="95"/>
      <c r="AI809" s="95"/>
      <c r="AJ809" s="95"/>
      <c r="AK809" s="95"/>
      <c r="AL809" s="95"/>
      <c r="AM809" s="95"/>
      <c r="AN809" s="95"/>
      <c r="AO809" s="95"/>
      <c r="AP809" s="95"/>
      <c r="AQ809" s="95"/>
      <c r="AR809" s="95"/>
      <c r="AS809" s="95"/>
      <c r="AT809" s="95"/>
      <c r="AU809" s="95"/>
      <c r="AV809" s="95"/>
      <c r="AW809" s="95"/>
      <c r="AX809" s="95"/>
    </row>
    <row r="810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  <c r="AC810" s="95"/>
      <c r="AD810" s="95"/>
      <c r="AE810" s="95"/>
      <c r="AF810" s="95"/>
      <c r="AG810" s="95"/>
      <c r="AH810" s="95"/>
      <c r="AI810" s="95"/>
      <c r="AJ810" s="95"/>
      <c r="AK810" s="95"/>
      <c r="AL810" s="95"/>
      <c r="AM810" s="95"/>
      <c r="AN810" s="95"/>
      <c r="AO810" s="95"/>
      <c r="AP810" s="95"/>
      <c r="AQ810" s="95"/>
      <c r="AR810" s="95"/>
      <c r="AS810" s="95"/>
      <c r="AT810" s="95"/>
      <c r="AU810" s="95"/>
      <c r="AV810" s="95"/>
      <c r="AW810" s="95"/>
      <c r="AX810" s="95"/>
    </row>
    <row r="81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  <c r="AC811" s="95"/>
      <c r="AD811" s="95"/>
      <c r="AE811" s="95"/>
      <c r="AF811" s="95"/>
      <c r="AG811" s="95"/>
      <c r="AH811" s="95"/>
      <c r="AI811" s="95"/>
      <c r="AJ811" s="95"/>
      <c r="AK811" s="95"/>
      <c r="AL811" s="95"/>
      <c r="AM811" s="95"/>
      <c r="AN811" s="95"/>
      <c r="AO811" s="95"/>
      <c r="AP811" s="95"/>
      <c r="AQ811" s="95"/>
      <c r="AR811" s="95"/>
      <c r="AS811" s="95"/>
      <c r="AT811" s="95"/>
      <c r="AU811" s="95"/>
      <c r="AV811" s="95"/>
      <c r="AW811" s="95"/>
      <c r="AX811" s="95"/>
    </row>
    <row r="812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  <c r="AC812" s="95"/>
      <c r="AD812" s="95"/>
      <c r="AE812" s="95"/>
      <c r="AF812" s="95"/>
      <c r="AG812" s="95"/>
      <c r="AH812" s="95"/>
      <c r="AI812" s="95"/>
      <c r="AJ812" s="95"/>
      <c r="AK812" s="95"/>
      <c r="AL812" s="95"/>
      <c r="AM812" s="95"/>
      <c r="AN812" s="95"/>
      <c r="AO812" s="95"/>
      <c r="AP812" s="95"/>
      <c r="AQ812" s="95"/>
      <c r="AR812" s="95"/>
      <c r="AS812" s="95"/>
      <c r="AT812" s="95"/>
      <c r="AU812" s="95"/>
      <c r="AV812" s="95"/>
      <c r="AW812" s="95"/>
      <c r="AX812" s="95"/>
    </row>
    <row r="81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  <c r="AC813" s="95"/>
      <c r="AD813" s="95"/>
      <c r="AE813" s="95"/>
      <c r="AF813" s="95"/>
      <c r="AG813" s="95"/>
      <c r="AH813" s="95"/>
      <c r="AI813" s="95"/>
      <c r="AJ813" s="95"/>
      <c r="AK813" s="95"/>
      <c r="AL813" s="95"/>
      <c r="AM813" s="95"/>
      <c r="AN813" s="95"/>
      <c r="AO813" s="95"/>
      <c r="AP813" s="95"/>
      <c r="AQ813" s="95"/>
      <c r="AR813" s="95"/>
      <c r="AS813" s="95"/>
      <c r="AT813" s="95"/>
      <c r="AU813" s="95"/>
      <c r="AV813" s="95"/>
      <c r="AW813" s="95"/>
      <c r="AX813" s="95"/>
    </row>
    <row r="814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  <c r="AC814" s="95"/>
      <c r="AD814" s="95"/>
      <c r="AE814" s="95"/>
      <c r="AF814" s="95"/>
      <c r="AG814" s="95"/>
      <c r="AH814" s="95"/>
      <c r="AI814" s="95"/>
      <c r="AJ814" s="95"/>
      <c r="AK814" s="95"/>
      <c r="AL814" s="95"/>
      <c r="AM814" s="95"/>
      <c r="AN814" s="95"/>
      <c r="AO814" s="95"/>
      <c r="AP814" s="95"/>
      <c r="AQ814" s="95"/>
      <c r="AR814" s="95"/>
      <c r="AS814" s="95"/>
      <c r="AT814" s="95"/>
      <c r="AU814" s="95"/>
      <c r="AV814" s="95"/>
      <c r="AW814" s="95"/>
      <c r="AX814" s="95"/>
    </row>
    <row r="815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  <c r="AC815" s="95"/>
      <c r="AD815" s="95"/>
      <c r="AE815" s="95"/>
      <c r="AF815" s="95"/>
      <c r="AG815" s="95"/>
      <c r="AH815" s="95"/>
      <c r="AI815" s="95"/>
      <c r="AJ815" s="95"/>
      <c r="AK815" s="95"/>
      <c r="AL815" s="95"/>
      <c r="AM815" s="95"/>
      <c r="AN815" s="95"/>
      <c r="AO815" s="95"/>
      <c r="AP815" s="95"/>
      <c r="AQ815" s="95"/>
      <c r="AR815" s="95"/>
      <c r="AS815" s="95"/>
      <c r="AT815" s="95"/>
      <c r="AU815" s="95"/>
      <c r="AV815" s="95"/>
      <c r="AW815" s="95"/>
      <c r="AX815" s="95"/>
    </row>
    <row r="816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  <c r="AC816" s="95"/>
      <c r="AD816" s="95"/>
      <c r="AE816" s="95"/>
      <c r="AF816" s="95"/>
      <c r="AG816" s="95"/>
      <c r="AH816" s="95"/>
      <c r="AI816" s="95"/>
      <c r="AJ816" s="95"/>
      <c r="AK816" s="95"/>
      <c r="AL816" s="95"/>
      <c r="AM816" s="95"/>
      <c r="AN816" s="95"/>
      <c r="AO816" s="95"/>
      <c r="AP816" s="95"/>
      <c r="AQ816" s="95"/>
      <c r="AR816" s="95"/>
      <c r="AS816" s="95"/>
      <c r="AT816" s="95"/>
      <c r="AU816" s="95"/>
      <c r="AV816" s="95"/>
      <c r="AW816" s="95"/>
      <c r="AX816" s="95"/>
    </row>
    <row r="817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  <c r="AC817" s="95"/>
      <c r="AD817" s="95"/>
      <c r="AE817" s="95"/>
      <c r="AF817" s="95"/>
      <c r="AG817" s="95"/>
      <c r="AH817" s="95"/>
      <c r="AI817" s="95"/>
      <c r="AJ817" s="95"/>
      <c r="AK817" s="95"/>
      <c r="AL817" s="95"/>
      <c r="AM817" s="95"/>
      <c r="AN817" s="95"/>
      <c r="AO817" s="95"/>
      <c r="AP817" s="95"/>
      <c r="AQ817" s="95"/>
      <c r="AR817" s="95"/>
      <c r="AS817" s="95"/>
      <c r="AT817" s="95"/>
      <c r="AU817" s="95"/>
      <c r="AV817" s="95"/>
      <c r="AW817" s="95"/>
      <c r="AX817" s="95"/>
    </row>
    <row r="818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  <c r="AC818" s="95"/>
      <c r="AD818" s="95"/>
      <c r="AE818" s="95"/>
      <c r="AF818" s="95"/>
      <c r="AG818" s="95"/>
      <c r="AH818" s="95"/>
      <c r="AI818" s="95"/>
      <c r="AJ818" s="95"/>
      <c r="AK818" s="95"/>
      <c r="AL818" s="95"/>
      <c r="AM818" s="95"/>
      <c r="AN818" s="95"/>
      <c r="AO818" s="95"/>
      <c r="AP818" s="95"/>
      <c r="AQ818" s="95"/>
      <c r="AR818" s="95"/>
      <c r="AS818" s="95"/>
      <c r="AT818" s="95"/>
      <c r="AU818" s="95"/>
      <c r="AV818" s="95"/>
      <c r="AW818" s="95"/>
      <c r="AX818" s="95"/>
    </row>
    <row r="819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  <c r="AC819" s="95"/>
      <c r="AD819" s="95"/>
      <c r="AE819" s="95"/>
      <c r="AF819" s="95"/>
      <c r="AG819" s="95"/>
      <c r="AH819" s="95"/>
      <c r="AI819" s="95"/>
      <c r="AJ819" s="95"/>
      <c r="AK819" s="95"/>
      <c r="AL819" s="95"/>
      <c r="AM819" s="95"/>
      <c r="AN819" s="95"/>
      <c r="AO819" s="95"/>
      <c r="AP819" s="95"/>
      <c r="AQ819" s="95"/>
      <c r="AR819" s="95"/>
      <c r="AS819" s="95"/>
      <c r="AT819" s="95"/>
      <c r="AU819" s="95"/>
      <c r="AV819" s="95"/>
      <c r="AW819" s="95"/>
      <c r="AX819" s="95"/>
    </row>
    <row r="820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  <c r="AC820" s="95"/>
      <c r="AD820" s="95"/>
      <c r="AE820" s="95"/>
      <c r="AF820" s="95"/>
      <c r="AG820" s="95"/>
      <c r="AH820" s="95"/>
      <c r="AI820" s="95"/>
      <c r="AJ820" s="95"/>
      <c r="AK820" s="95"/>
      <c r="AL820" s="95"/>
      <c r="AM820" s="95"/>
      <c r="AN820" s="95"/>
      <c r="AO820" s="95"/>
      <c r="AP820" s="95"/>
      <c r="AQ820" s="95"/>
      <c r="AR820" s="95"/>
      <c r="AS820" s="95"/>
      <c r="AT820" s="95"/>
      <c r="AU820" s="95"/>
      <c r="AV820" s="95"/>
      <c r="AW820" s="95"/>
      <c r="AX820" s="95"/>
    </row>
    <row r="82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  <c r="AC821" s="95"/>
      <c r="AD821" s="95"/>
      <c r="AE821" s="95"/>
      <c r="AF821" s="95"/>
      <c r="AG821" s="95"/>
      <c r="AH821" s="95"/>
      <c r="AI821" s="95"/>
      <c r="AJ821" s="95"/>
      <c r="AK821" s="95"/>
      <c r="AL821" s="95"/>
      <c r="AM821" s="95"/>
      <c r="AN821" s="95"/>
      <c r="AO821" s="95"/>
      <c r="AP821" s="95"/>
      <c r="AQ821" s="95"/>
      <c r="AR821" s="95"/>
      <c r="AS821" s="95"/>
      <c r="AT821" s="95"/>
      <c r="AU821" s="95"/>
      <c r="AV821" s="95"/>
      <c r="AW821" s="95"/>
      <c r="AX821" s="95"/>
    </row>
    <row r="822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  <c r="AC822" s="95"/>
      <c r="AD822" s="95"/>
      <c r="AE822" s="95"/>
      <c r="AF822" s="95"/>
      <c r="AG822" s="95"/>
      <c r="AH822" s="95"/>
      <c r="AI822" s="95"/>
      <c r="AJ822" s="95"/>
      <c r="AK822" s="95"/>
      <c r="AL822" s="95"/>
      <c r="AM822" s="95"/>
      <c r="AN822" s="95"/>
      <c r="AO822" s="95"/>
      <c r="AP822" s="95"/>
      <c r="AQ822" s="95"/>
      <c r="AR822" s="95"/>
      <c r="AS822" s="95"/>
      <c r="AT822" s="95"/>
      <c r="AU822" s="95"/>
      <c r="AV822" s="95"/>
      <c r="AW822" s="95"/>
      <c r="AX822" s="95"/>
    </row>
    <row r="82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  <c r="AC823" s="95"/>
      <c r="AD823" s="95"/>
      <c r="AE823" s="95"/>
      <c r="AF823" s="95"/>
      <c r="AG823" s="95"/>
      <c r="AH823" s="95"/>
      <c r="AI823" s="95"/>
      <c r="AJ823" s="95"/>
      <c r="AK823" s="95"/>
      <c r="AL823" s="95"/>
      <c r="AM823" s="95"/>
      <c r="AN823" s="95"/>
      <c r="AO823" s="95"/>
      <c r="AP823" s="95"/>
      <c r="AQ823" s="95"/>
      <c r="AR823" s="95"/>
      <c r="AS823" s="95"/>
      <c r="AT823" s="95"/>
      <c r="AU823" s="95"/>
      <c r="AV823" s="95"/>
      <c r="AW823" s="95"/>
      <c r="AX823" s="95"/>
    </row>
    <row r="824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  <c r="AC824" s="95"/>
      <c r="AD824" s="95"/>
      <c r="AE824" s="95"/>
      <c r="AF824" s="95"/>
      <c r="AG824" s="95"/>
      <c r="AH824" s="95"/>
      <c r="AI824" s="95"/>
      <c r="AJ824" s="95"/>
      <c r="AK824" s="95"/>
      <c r="AL824" s="95"/>
      <c r="AM824" s="95"/>
      <c r="AN824" s="95"/>
      <c r="AO824" s="95"/>
      <c r="AP824" s="95"/>
      <c r="AQ824" s="95"/>
      <c r="AR824" s="95"/>
      <c r="AS824" s="95"/>
      <c r="AT824" s="95"/>
      <c r="AU824" s="95"/>
      <c r="AV824" s="95"/>
      <c r="AW824" s="95"/>
      <c r="AX824" s="95"/>
    </row>
    <row r="825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  <c r="AC825" s="95"/>
      <c r="AD825" s="95"/>
      <c r="AE825" s="95"/>
      <c r="AF825" s="95"/>
      <c r="AG825" s="95"/>
      <c r="AH825" s="95"/>
      <c r="AI825" s="95"/>
      <c r="AJ825" s="95"/>
      <c r="AK825" s="95"/>
      <c r="AL825" s="95"/>
      <c r="AM825" s="95"/>
      <c r="AN825" s="95"/>
      <c r="AO825" s="95"/>
      <c r="AP825" s="95"/>
      <c r="AQ825" s="95"/>
      <c r="AR825" s="95"/>
      <c r="AS825" s="95"/>
      <c r="AT825" s="95"/>
      <c r="AU825" s="95"/>
      <c r="AV825" s="95"/>
      <c r="AW825" s="95"/>
      <c r="AX825" s="95"/>
    </row>
    <row r="826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  <c r="AC826" s="95"/>
      <c r="AD826" s="95"/>
      <c r="AE826" s="95"/>
      <c r="AF826" s="95"/>
      <c r="AG826" s="95"/>
      <c r="AH826" s="95"/>
      <c r="AI826" s="95"/>
      <c r="AJ826" s="95"/>
      <c r="AK826" s="95"/>
      <c r="AL826" s="95"/>
      <c r="AM826" s="95"/>
      <c r="AN826" s="95"/>
      <c r="AO826" s="95"/>
      <c r="AP826" s="95"/>
      <c r="AQ826" s="95"/>
      <c r="AR826" s="95"/>
      <c r="AS826" s="95"/>
      <c r="AT826" s="95"/>
      <c r="AU826" s="95"/>
      <c r="AV826" s="95"/>
      <c r="AW826" s="95"/>
      <c r="AX826" s="95"/>
    </row>
    <row r="827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  <c r="AC827" s="95"/>
      <c r="AD827" s="95"/>
      <c r="AE827" s="95"/>
      <c r="AF827" s="95"/>
      <c r="AG827" s="95"/>
      <c r="AH827" s="95"/>
      <c r="AI827" s="95"/>
      <c r="AJ827" s="95"/>
      <c r="AK827" s="95"/>
      <c r="AL827" s="95"/>
      <c r="AM827" s="95"/>
      <c r="AN827" s="95"/>
      <c r="AO827" s="95"/>
      <c r="AP827" s="95"/>
      <c r="AQ827" s="95"/>
      <c r="AR827" s="95"/>
      <c r="AS827" s="95"/>
      <c r="AT827" s="95"/>
      <c r="AU827" s="95"/>
      <c r="AV827" s="95"/>
      <c r="AW827" s="95"/>
      <c r="AX827" s="95"/>
    </row>
    <row r="828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  <c r="AC828" s="95"/>
      <c r="AD828" s="95"/>
      <c r="AE828" s="95"/>
      <c r="AF828" s="95"/>
      <c r="AG828" s="95"/>
      <c r="AH828" s="95"/>
      <c r="AI828" s="95"/>
      <c r="AJ828" s="95"/>
      <c r="AK828" s="95"/>
      <c r="AL828" s="95"/>
      <c r="AM828" s="95"/>
      <c r="AN828" s="95"/>
      <c r="AO828" s="95"/>
      <c r="AP828" s="95"/>
      <c r="AQ828" s="95"/>
      <c r="AR828" s="95"/>
      <c r="AS828" s="95"/>
      <c r="AT828" s="95"/>
      <c r="AU828" s="95"/>
      <c r="AV828" s="95"/>
      <c r="AW828" s="95"/>
      <c r="AX828" s="95"/>
    </row>
    <row r="829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  <c r="AC829" s="95"/>
      <c r="AD829" s="95"/>
      <c r="AE829" s="95"/>
      <c r="AF829" s="95"/>
      <c r="AG829" s="95"/>
      <c r="AH829" s="95"/>
      <c r="AI829" s="95"/>
      <c r="AJ829" s="95"/>
      <c r="AK829" s="95"/>
      <c r="AL829" s="95"/>
      <c r="AM829" s="95"/>
      <c r="AN829" s="95"/>
      <c r="AO829" s="95"/>
      <c r="AP829" s="95"/>
      <c r="AQ829" s="95"/>
      <c r="AR829" s="95"/>
      <c r="AS829" s="95"/>
      <c r="AT829" s="95"/>
      <c r="AU829" s="95"/>
      <c r="AV829" s="95"/>
      <c r="AW829" s="95"/>
      <c r="AX829" s="95"/>
    </row>
    <row r="830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  <c r="AC830" s="95"/>
      <c r="AD830" s="95"/>
      <c r="AE830" s="95"/>
      <c r="AF830" s="95"/>
      <c r="AG830" s="95"/>
      <c r="AH830" s="95"/>
      <c r="AI830" s="95"/>
      <c r="AJ830" s="95"/>
      <c r="AK830" s="95"/>
      <c r="AL830" s="95"/>
      <c r="AM830" s="95"/>
      <c r="AN830" s="95"/>
      <c r="AO830" s="95"/>
      <c r="AP830" s="95"/>
      <c r="AQ830" s="95"/>
      <c r="AR830" s="95"/>
      <c r="AS830" s="95"/>
      <c r="AT830" s="95"/>
      <c r="AU830" s="95"/>
      <c r="AV830" s="95"/>
      <c r="AW830" s="95"/>
      <c r="AX830" s="95"/>
    </row>
    <row r="83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  <c r="AC831" s="95"/>
      <c r="AD831" s="95"/>
      <c r="AE831" s="95"/>
      <c r="AF831" s="95"/>
      <c r="AG831" s="95"/>
      <c r="AH831" s="95"/>
      <c r="AI831" s="95"/>
      <c r="AJ831" s="95"/>
      <c r="AK831" s="95"/>
      <c r="AL831" s="95"/>
      <c r="AM831" s="95"/>
      <c r="AN831" s="95"/>
      <c r="AO831" s="95"/>
      <c r="AP831" s="95"/>
      <c r="AQ831" s="95"/>
      <c r="AR831" s="95"/>
      <c r="AS831" s="95"/>
      <c r="AT831" s="95"/>
      <c r="AU831" s="95"/>
      <c r="AV831" s="95"/>
      <c r="AW831" s="95"/>
      <c r="AX831" s="95"/>
    </row>
    <row r="832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  <c r="AC832" s="95"/>
      <c r="AD832" s="95"/>
      <c r="AE832" s="95"/>
      <c r="AF832" s="95"/>
      <c r="AG832" s="95"/>
      <c r="AH832" s="95"/>
      <c r="AI832" s="95"/>
      <c r="AJ832" s="95"/>
      <c r="AK832" s="95"/>
      <c r="AL832" s="95"/>
      <c r="AM832" s="95"/>
      <c r="AN832" s="95"/>
      <c r="AO832" s="95"/>
      <c r="AP832" s="95"/>
      <c r="AQ832" s="95"/>
      <c r="AR832" s="95"/>
      <c r="AS832" s="95"/>
      <c r="AT832" s="95"/>
      <c r="AU832" s="95"/>
      <c r="AV832" s="95"/>
      <c r="AW832" s="95"/>
      <c r="AX832" s="95"/>
    </row>
    <row r="83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  <c r="AC833" s="95"/>
      <c r="AD833" s="95"/>
      <c r="AE833" s="95"/>
      <c r="AF833" s="95"/>
      <c r="AG833" s="95"/>
      <c r="AH833" s="95"/>
      <c r="AI833" s="95"/>
      <c r="AJ833" s="95"/>
      <c r="AK833" s="95"/>
      <c r="AL833" s="95"/>
      <c r="AM833" s="95"/>
      <c r="AN833" s="95"/>
      <c r="AO833" s="95"/>
      <c r="AP833" s="95"/>
      <c r="AQ833" s="95"/>
      <c r="AR833" s="95"/>
      <c r="AS833" s="95"/>
      <c r="AT833" s="95"/>
      <c r="AU833" s="95"/>
      <c r="AV833" s="95"/>
      <c r="AW833" s="95"/>
      <c r="AX833" s="95"/>
    </row>
    <row r="834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  <c r="AC834" s="95"/>
      <c r="AD834" s="95"/>
      <c r="AE834" s="95"/>
      <c r="AF834" s="95"/>
      <c r="AG834" s="95"/>
      <c r="AH834" s="95"/>
      <c r="AI834" s="95"/>
      <c r="AJ834" s="95"/>
      <c r="AK834" s="95"/>
      <c r="AL834" s="95"/>
      <c r="AM834" s="95"/>
      <c r="AN834" s="95"/>
      <c r="AO834" s="95"/>
      <c r="AP834" s="95"/>
      <c r="AQ834" s="95"/>
      <c r="AR834" s="95"/>
      <c r="AS834" s="95"/>
      <c r="AT834" s="95"/>
      <c r="AU834" s="95"/>
      <c r="AV834" s="95"/>
      <c r="AW834" s="95"/>
      <c r="AX834" s="95"/>
    </row>
    <row r="835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  <c r="AC835" s="95"/>
      <c r="AD835" s="95"/>
      <c r="AE835" s="95"/>
      <c r="AF835" s="95"/>
      <c r="AG835" s="95"/>
      <c r="AH835" s="95"/>
      <c r="AI835" s="95"/>
      <c r="AJ835" s="95"/>
      <c r="AK835" s="95"/>
      <c r="AL835" s="95"/>
      <c r="AM835" s="95"/>
      <c r="AN835" s="95"/>
      <c r="AO835" s="95"/>
      <c r="AP835" s="95"/>
      <c r="AQ835" s="95"/>
      <c r="AR835" s="95"/>
      <c r="AS835" s="95"/>
      <c r="AT835" s="95"/>
      <c r="AU835" s="95"/>
      <c r="AV835" s="95"/>
      <c r="AW835" s="95"/>
      <c r="AX835" s="95"/>
    </row>
    <row r="836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  <c r="AC836" s="95"/>
      <c r="AD836" s="95"/>
      <c r="AE836" s="95"/>
      <c r="AF836" s="95"/>
      <c r="AG836" s="95"/>
      <c r="AH836" s="95"/>
      <c r="AI836" s="95"/>
      <c r="AJ836" s="95"/>
      <c r="AK836" s="95"/>
      <c r="AL836" s="95"/>
      <c r="AM836" s="95"/>
      <c r="AN836" s="95"/>
      <c r="AO836" s="95"/>
      <c r="AP836" s="95"/>
      <c r="AQ836" s="95"/>
      <c r="AR836" s="95"/>
      <c r="AS836" s="95"/>
      <c r="AT836" s="95"/>
      <c r="AU836" s="95"/>
      <c r="AV836" s="95"/>
      <c r="AW836" s="95"/>
      <c r="AX836" s="95"/>
    </row>
    <row r="837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  <c r="AC837" s="95"/>
      <c r="AD837" s="95"/>
      <c r="AE837" s="95"/>
      <c r="AF837" s="95"/>
      <c r="AG837" s="95"/>
      <c r="AH837" s="95"/>
      <c r="AI837" s="95"/>
      <c r="AJ837" s="95"/>
      <c r="AK837" s="95"/>
      <c r="AL837" s="95"/>
      <c r="AM837" s="95"/>
      <c r="AN837" s="95"/>
      <c r="AO837" s="95"/>
      <c r="AP837" s="95"/>
      <c r="AQ837" s="95"/>
      <c r="AR837" s="95"/>
      <c r="AS837" s="95"/>
      <c r="AT837" s="95"/>
      <c r="AU837" s="95"/>
      <c r="AV837" s="95"/>
      <c r="AW837" s="95"/>
      <c r="AX837" s="95"/>
    </row>
    <row r="838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  <c r="AC838" s="95"/>
      <c r="AD838" s="95"/>
      <c r="AE838" s="95"/>
      <c r="AF838" s="95"/>
      <c r="AG838" s="95"/>
      <c r="AH838" s="95"/>
      <c r="AI838" s="95"/>
      <c r="AJ838" s="95"/>
      <c r="AK838" s="95"/>
      <c r="AL838" s="95"/>
      <c r="AM838" s="95"/>
      <c r="AN838" s="95"/>
      <c r="AO838" s="95"/>
      <c r="AP838" s="95"/>
      <c r="AQ838" s="95"/>
      <c r="AR838" s="95"/>
      <c r="AS838" s="95"/>
      <c r="AT838" s="95"/>
      <c r="AU838" s="95"/>
      <c r="AV838" s="95"/>
      <c r="AW838" s="95"/>
      <c r="AX838" s="95"/>
    </row>
    <row r="839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  <c r="AC839" s="95"/>
      <c r="AD839" s="95"/>
      <c r="AE839" s="95"/>
      <c r="AF839" s="95"/>
      <c r="AG839" s="95"/>
      <c r="AH839" s="95"/>
      <c r="AI839" s="95"/>
      <c r="AJ839" s="95"/>
      <c r="AK839" s="95"/>
      <c r="AL839" s="95"/>
      <c r="AM839" s="95"/>
      <c r="AN839" s="95"/>
      <c r="AO839" s="95"/>
      <c r="AP839" s="95"/>
      <c r="AQ839" s="95"/>
      <c r="AR839" s="95"/>
      <c r="AS839" s="95"/>
      <c r="AT839" s="95"/>
      <c r="AU839" s="95"/>
      <c r="AV839" s="95"/>
      <c r="AW839" s="95"/>
      <c r="AX839" s="95"/>
    </row>
    <row r="840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  <c r="AC840" s="95"/>
      <c r="AD840" s="95"/>
      <c r="AE840" s="95"/>
      <c r="AF840" s="95"/>
      <c r="AG840" s="95"/>
      <c r="AH840" s="95"/>
      <c r="AI840" s="95"/>
      <c r="AJ840" s="95"/>
      <c r="AK840" s="95"/>
      <c r="AL840" s="95"/>
      <c r="AM840" s="95"/>
      <c r="AN840" s="95"/>
      <c r="AO840" s="95"/>
      <c r="AP840" s="95"/>
      <c r="AQ840" s="95"/>
      <c r="AR840" s="95"/>
      <c r="AS840" s="95"/>
      <c r="AT840" s="95"/>
      <c r="AU840" s="95"/>
      <c r="AV840" s="95"/>
      <c r="AW840" s="95"/>
      <c r="AX840" s="95"/>
    </row>
    <row r="84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  <c r="AC841" s="95"/>
      <c r="AD841" s="95"/>
      <c r="AE841" s="95"/>
      <c r="AF841" s="95"/>
      <c r="AG841" s="95"/>
      <c r="AH841" s="95"/>
      <c r="AI841" s="95"/>
      <c r="AJ841" s="95"/>
      <c r="AK841" s="95"/>
      <c r="AL841" s="95"/>
      <c r="AM841" s="95"/>
      <c r="AN841" s="95"/>
      <c r="AO841" s="95"/>
      <c r="AP841" s="95"/>
      <c r="AQ841" s="95"/>
      <c r="AR841" s="95"/>
      <c r="AS841" s="95"/>
      <c r="AT841" s="95"/>
      <c r="AU841" s="95"/>
      <c r="AV841" s="95"/>
      <c r="AW841" s="95"/>
      <c r="AX841" s="95"/>
    </row>
    <row r="842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  <c r="AC842" s="95"/>
      <c r="AD842" s="95"/>
      <c r="AE842" s="95"/>
      <c r="AF842" s="95"/>
      <c r="AG842" s="95"/>
      <c r="AH842" s="95"/>
      <c r="AI842" s="95"/>
      <c r="AJ842" s="95"/>
      <c r="AK842" s="95"/>
      <c r="AL842" s="95"/>
      <c r="AM842" s="95"/>
      <c r="AN842" s="95"/>
      <c r="AO842" s="95"/>
      <c r="AP842" s="95"/>
      <c r="AQ842" s="95"/>
      <c r="AR842" s="95"/>
      <c r="AS842" s="95"/>
      <c r="AT842" s="95"/>
      <c r="AU842" s="95"/>
      <c r="AV842" s="95"/>
      <c r="AW842" s="95"/>
      <c r="AX842" s="95"/>
    </row>
    <row r="84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  <c r="AC843" s="95"/>
      <c r="AD843" s="95"/>
      <c r="AE843" s="95"/>
      <c r="AF843" s="95"/>
      <c r="AG843" s="95"/>
      <c r="AH843" s="95"/>
      <c r="AI843" s="95"/>
      <c r="AJ843" s="95"/>
      <c r="AK843" s="95"/>
      <c r="AL843" s="95"/>
      <c r="AM843" s="95"/>
      <c r="AN843" s="95"/>
      <c r="AO843" s="95"/>
      <c r="AP843" s="95"/>
      <c r="AQ843" s="95"/>
      <c r="AR843" s="95"/>
      <c r="AS843" s="95"/>
      <c r="AT843" s="95"/>
      <c r="AU843" s="95"/>
      <c r="AV843" s="95"/>
      <c r="AW843" s="95"/>
      <c r="AX843" s="95"/>
    </row>
    <row r="844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  <c r="AC844" s="95"/>
      <c r="AD844" s="95"/>
      <c r="AE844" s="95"/>
      <c r="AF844" s="95"/>
      <c r="AG844" s="95"/>
      <c r="AH844" s="95"/>
      <c r="AI844" s="95"/>
      <c r="AJ844" s="95"/>
      <c r="AK844" s="95"/>
      <c r="AL844" s="95"/>
      <c r="AM844" s="95"/>
      <c r="AN844" s="95"/>
      <c r="AO844" s="95"/>
      <c r="AP844" s="95"/>
      <c r="AQ844" s="95"/>
      <c r="AR844" s="95"/>
      <c r="AS844" s="95"/>
      <c r="AT844" s="95"/>
      <c r="AU844" s="95"/>
      <c r="AV844" s="95"/>
      <c r="AW844" s="95"/>
      <c r="AX844" s="95"/>
    </row>
    <row r="845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  <c r="AC845" s="95"/>
      <c r="AD845" s="95"/>
      <c r="AE845" s="95"/>
      <c r="AF845" s="95"/>
      <c r="AG845" s="95"/>
      <c r="AH845" s="95"/>
      <c r="AI845" s="95"/>
      <c r="AJ845" s="95"/>
      <c r="AK845" s="95"/>
      <c r="AL845" s="95"/>
      <c r="AM845" s="95"/>
      <c r="AN845" s="95"/>
      <c r="AO845" s="95"/>
      <c r="AP845" s="95"/>
      <c r="AQ845" s="95"/>
      <c r="AR845" s="95"/>
      <c r="AS845" s="95"/>
      <c r="AT845" s="95"/>
      <c r="AU845" s="95"/>
      <c r="AV845" s="95"/>
      <c r="AW845" s="95"/>
      <c r="AX845" s="95"/>
    </row>
    <row r="846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  <c r="AC846" s="95"/>
      <c r="AD846" s="95"/>
      <c r="AE846" s="95"/>
      <c r="AF846" s="95"/>
      <c r="AG846" s="95"/>
      <c r="AH846" s="95"/>
      <c r="AI846" s="95"/>
      <c r="AJ846" s="95"/>
      <c r="AK846" s="95"/>
      <c r="AL846" s="95"/>
      <c r="AM846" s="95"/>
      <c r="AN846" s="95"/>
      <c r="AO846" s="95"/>
      <c r="AP846" s="95"/>
      <c r="AQ846" s="95"/>
      <c r="AR846" s="95"/>
      <c r="AS846" s="95"/>
      <c r="AT846" s="95"/>
      <c r="AU846" s="95"/>
      <c r="AV846" s="95"/>
      <c r="AW846" s="95"/>
      <c r="AX846" s="95"/>
    </row>
    <row r="847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  <c r="AC847" s="95"/>
      <c r="AD847" s="95"/>
      <c r="AE847" s="95"/>
      <c r="AF847" s="95"/>
      <c r="AG847" s="95"/>
      <c r="AH847" s="95"/>
      <c r="AI847" s="95"/>
      <c r="AJ847" s="95"/>
      <c r="AK847" s="95"/>
      <c r="AL847" s="95"/>
      <c r="AM847" s="95"/>
      <c r="AN847" s="95"/>
      <c r="AO847" s="95"/>
      <c r="AP847" s="95"/>
      <c r="AQ847" s="95"/>
      <c r="AR847" s="95"/>
      <c r="AS847" s="95"/>
      <c r="AT847" s="95"/>
      <c r="AU847" s="95"/>
      <c r="AV847" s="95"/>
      <c r="AW847" s="95"/>
      <c r="AX847" s="95"/>
    </row>
    <row r="848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  <c r="AC848" s="95"/>
      <c r="AD848" s="95"/>
      <c r="AE848" s="95"/>
      <c r="AF848" s="95"/>
      <c r="AG848" s="95"/>
      <c r="AH848" s="95"/>
      <c r="AI848" s="95"/>
      <c r="AJ848" s="95"/>
      <c r="AK848" s="95"/>
      <c r="AL848" s="95"/>
      <c r="AM848" s="95"/>
      <c r="AN848" s="95"/>
      <c r="AO848" s="95"/>
      <c r="AP848" s="95"/>
      <c r="AQ848" s="95"/>
      <c r="AR848" s="95"/>
      <c r="AS848" s="95"/>
      <c r="AT848" s="95"/>
      <c r="AU848" s="95"/>
      <c r="AV848" s="95"/>
      <c r="AW848" s="95"/>
      <c r="AX848" s="95"/>
    </row>
    <row r="849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  <c r="AC849" s="95"/>
      <c r="AD849" s="95"/>
      <c r="AE849" s="95"/>
      <c r="AF849" s="95"/>
      <c r="AG849" s="95"/>
      <c r="AH849" s="95"/>
      <c r="AI849" s="95"/>
      <c r="AJ849" s="95"/>
      <c r="AK849" s="95"/>
      <c r="AL849" s="95"/>
      <c r="AM849" s="95"/>
      <c r="AN849" s="95"/>
      <c r="AO849" s="95"/>
      <c r="AP849" s="95"/>
      <c r="AQ849" s="95"/>
      <c r="AR849" s="95"/>
      <c r="AS849" s="95"/>
      <c r="AT849" s="95"/>
      <c r="AU849" s="95"/>
      <c r="AV849" s="95"/>
      <c r="AW849" s="95"/>
      <c r="AX849" s="95"/>
    </row>
    <row r="850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  <c r="AC850" s="95"/>
      <c r="AD850" s="95"/>
      <c r="AE850" s="95"/>
      <c r="AF850" s="95"/>
      <c r="AG850" s="95"/>
      <c r="AH850" s="95"/>
      <c r="AI850" s="95"/>
      <c r="AJ850" s="95"/>
      <c r="AK850" s="95"/>
      <c r="AL850" s="95"/>
      <c r="AM850" s="95"/>
      <c r="AN850" s="95"/>
      <c r="AO850" s="95"/>
      <c r="AP850" s="95"/>
      <c r="AQ850" s="95"/>
      <c r="AR850" s="95"/>
      <c r="AS850" s="95"/>
      <c r="AT850" s="95"/>
      <c r="AU850" s="95"/>
      <c r="AV850" s="95"/>
      <c r="AW850" s="95"/>
      <c r="AX850" s="95"/>
    </row>
    <row r="85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  <c r="AC851" s="95"/>
      <c r="AD851" s="95"/>
      <c r="AE851" s="95"/>
      <c r="AF851" s="95"/>
      <c r="AG851" s="95"/>
      <c r="AH851" s="95"/>
      <c r="AI851" s="95"/>
      <c r="AJ851" s="95"/>
      <c r="AK851" s="95"/>
      <c r="AL851" s="95"/>
      <c r="AM851" s="95"/>
      <c r="AN851" s="95"/>
      <c r="AO851" s="95"/>
      <c r="AP851" s="95"/>
      <c r="AQ851" s="95"/>
      <c r="AR851" s="95"/>
      <c r="AS851" s="95"/>
      <c r="AT851" s="95"/>
      <c r="AU851" s="95"/>
      <c r="AV851" s="95"/>
      <c r="AW851" s="95"/>
      <c r="AX851" s="95"/>
    </row>
    <row r="852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  <c r="AC852" s="95"/>
      <c r="AD852" s="95"/>
      <c r="AE852" s="95"/>
      <c r="AF852" s="95"/>
      <c r="AG852" s="95"/>
      <c r="AH852" s="95"/>
      <c r="AI852" s="95"/>
      <c r="AJ852" s="95"/>
      <c r="AK852" s="95"/>
      <c r="AL852" s="95"/>
      <c r="AM852" s="95"/>
      <c r="AN852" s="95"/>
      <c r="AO852" s="95"/>
      <c r="AP852" s="95"/>
      <c r="AQ852" s="95"/>
      <c r="AR852" s="95"/>
      <c r="AS852" s="95"/>
      <c r="AT852" s="95"/>
      <c r="AU852" s="95"/>
      <c r="AV852" s="95"/>
      <c r="AW852" s="95"/>
      <c r="AX852" s="95"/>
    </row>
    <row r="85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  <c r="AC853" s="95"/>
      <c r="AD853" s="95"/>
      <c r="AE853" s="95"/>
      <c r="AF853" s="95"/>
      <c r="AG853" s="95"/>
      <c r="AH853" s="95"/>
      <c r="AI853" s="95"/>
      <c r="AJ853" s="95"/>
      <c r="AK853" s="95"/>
      <c r="AL853" s="95"/>
      <c r="AM853" s="95"/>
      <c r="AN853" s="95"/>
      <c r="AO853" s="95"/>
      <c r="AP853" s="95"/>
      <c r="AQ853" s="95"/>
      <c r="AR853" s="95"/>
      <c r="AS853" s="95"/>
      <c r="AT853" s="95"/>
      <c r="AU853" s="95"/>
      <c r="AV853" s="95"/>
      <c r="AW853" s="95"/>
      <c r="AX853" s="95"/>
    </row>
    <row r="854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  <c r="AC854" s="95"/>
      <c r="AD854" s="95"/>
      <c r="AE854" s="95"/>
      <c r="AF854" s="95"/>
      <c r="AG854" s="95"/>
      <c r="AH854" s="95"/>
      <c r="AI854" s="95"/>
      <c r="AJ854" s="95"/>
      <c r="AK854" s="95"/>
      <c r="AL854" s="95"/>
      <c r="AM854" s="95"/>
      <c r="AN854" s="95"/>
      <c r="AO854" s="95"/>
      <c r="AP854" s="95"/>
      <c r="AQ854" s="95"/>
      <c r="AR854" s="95"/>
      <c r="AS854" s="95"/>
      <c r="AT854" s="95"/>
      <c r="AU854" s="95"/>
      <c r="AV854" s="95"/>
      <c r="AW854" s="95"/>
      <c r="AX854" s="95"/>
    </row>
    <row r="855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  <c r="AC855" s="95"/>
      <c r="AD855" s="95"/>
      <c r="AE855" s="95"/>
      <c r="AF855" s="95"/>
      <c r="AG855" s="95"/>
      <c r="AH855" s="95"/>
      <c r="AI855" s="95"/>
      <c r="AJ855" s="95"/>
      <c r="AK855" s="95"/>
      <c r="AL855" s="95"/>
      <c r="AM855" s="95"/>
      <c r="AN855" s="95"/>
      <c r="AO855" s="95"/>
      <c r="AP855" s="95"/>
      <c r="AQ855" s="95"/>
      <c r="AR855" s="95"/>
      <c r="AS855" s="95"/>
      <c r="AT855" s="95"/>
      <c r="AU855" s="95"/>
      <c r="AV855" s="95"/>
      <c r="AW855" s="95"/>
      <c r="AX855" s="95"/>
    </row>
    <row r="856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  <c r="AC856" s="95"/>
      <c r="AD856" s="95"/>
      <c r="AE856" s="95"/>
      <c r="AF856" s="95"/>
      <c r="AG856" s="95"/>
      <c r="AH856" s="95"/>
      <c r="AI856" s="95"/>
      <c r="AJ856" s="95"/>
      <c r="AK856" s="95"/>
      <c r="AL856" s="95"/>
      <c r="AM856" s="95"/>
      <c r="AN856" s="95"/>
      <c r="AO856" s="95"/>
      <c r="AP856" s="95"/>
      <c r="AQ856" s="95"/>
      <c r="AR856" s="95"/>
      <c r="AS856" s="95"/>
      <c r="AT856" s="95"/>
      <c r="AU856" s="95"/>
      <c r="AV856" s="95"/>
      <c r="AW856" s="95"/>
      <c r="AX856" s="95"/>
    </row>
    <row r="857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  <c r="AC857" s="95"/>
      <c r="AD857" s="95"/>
      <c r="AE857" s="95"/>
      <c r="AF857" s="95"/>
      <c r="AG857" s="95"/>
      <c r="AH857" s="95"/>
      <c r="AI857" s="95"/>
      <c r="AJ857" s="95"/>
      <c r="AK857" s="95"/>
      <c r="AL857" s="95"/>
      <c r="AM857" s="95"/>
      <c r="AN857" s="95"/>
      <c r="AO857" s="95"/>
      <c r="AP857" s="95"/>
      <c r="AQ857" s="95"/>
      <c r="AR857" s="95"/>
      <c r="AS857" s="95"/>
      <c r="AT857" s="95"/>
      <c r="AU857" s="95"/>
      <c r="AV857" s="95"/>
      <c r="AW857" s="95"/>
      <c r="AX857" s="95"/>
    </row>
    <row r="858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  <c r="AC858" s="95"/>
      <c r="AD858" s="95"/>
      <c r="AE858" s="95"/>
      <c r="AF858" s="95"/>
      <c r="AG858" s="95"/>
      <c r="AH858" s="95"/>
      <c r="AI858" s="95"/>
      <c r="AJ858" s="95"/>
      <c r="AK858" s="95"/>
      <c r="AL858" s="95"/>
      <c r="AM858" s="95"/>
      <c r="AN858" s="95"/>
      <c r="AO858" s="95"/>
      <c r="AP858" s="95"/>
      <c r="AQ858" s="95"/>
      <c r="AR858" s="95"/>
      <c r="AS858" s="95"/>
      <c r="AT858" s="95"/>
      <c r="AU858" s="95"/>
      <c r="AV858" s="95"/>
      <c r="AW858" s="95"/>
      <c r="AX858" s="95"/>
    </row>
    <row r="859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  <c r="AC859" s="95"/>
      <c r="AD859" s="95"/>
      <c r="AE859" s="95"/>
      <c r="AF859" s="95"/>
      <c r="AG859" s="95"/>
      <c r="AH859" s="95"/>
      <c r="AI859" s="95"/>
      <c r="AJ859" s="95"/>
      <c r="AK859" s="95"/>
      <c r="AL859" s="95"/>
      <c r="AM859" s="95"/>
      <c r="AN859" s="95"/>
      <c r="AO859" s="95"/>
      <c r="AP859" s="95"/>
      <c r="AQ859" s="95"/>
      <c r="AR859" s="95"/>
      <c r="AS859" s="95"/>
      <c r="AT859" s="95"/>
      <c r="AU859" s="95"/>
      <c r="AV859" s="95"/>
      <c r="AW859" s="95"/>
      <c r="AX859" s="95"/>
    </row>
    <row r="860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  <c r="AC860" s="95"/>
      <c r="AD860" s="95"/>
      <c r="AE860" s="95"/>
      <c r="AF860" s="95"/>
      <c r="AG860" s="95"/>
      <c r="AH860" s="95"/>
      <c r="AI860" s="95"/>
      <c r="AJ860" s="95"/>
      <c r="AK860" s="95"/>
      <c r="AL860" s="95"/>
      <c r="AM860" s="95"/>
      <c r="AN860" s="95"/>
      <c r="AO860" s="95"/>
      <c r="AP860" s="95"/>
      <c r="AQ860" s="95"/>
      <c r="AR860" s="95"/>
      <c r="AS860" s="95"/>
      <c r="AT860" s="95"/>
      <c r="AU860" s="95"/>
      <c r="AV860" s="95"/>
      <c r="AW860" s="95"/>
      <c r="AX860" s="95"/>
    </row>
    <row r="86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  <c r="AC861" s="95"/>
      <c r="AD861" s="95"/>
      <c r="AE861" s="95"/>
      <c r="AF861" s="95"/>
      <c r="AG861" s="95"/>
      <c r="AH861" s="95"/>
      <c r="AI861" s="95"/>
      <c r="AJ861" s="95"/>
      <c r="AK861" s="95"/>
      <c r="AL861" s="95"/>
      <c r="AM861" s="95"/>
      <c r="AN861" s="95"/>
      <c r="AO861" s="95"/>
      <c r="AP861" s="95"/>
      <c r="AQ861" s="95"/>
      <c r="AR861" s="95"/>
      <c r="AS861" s="95"/>
      <c r="AT861" s="95"/>
      <c r="AU861" s="95"/>
      <c r="AV861" s="95"/>
      <c r="AW861" s="95"/>
      <c r="AX861" s="95"/>
    </row>
    <row r="862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  <c r="AC862" s="95"/>
      <c r="AD862" s="95"/>
      <c r="AE862" s="95"/>
      <c r="AF862" s="95"/>
      <c r="AG862" s="95"/>
      <c r="AH862" s="95"/>
      <c r="AI862" s="95"/>
      <c r="AJ862" s="95"/>
      <c r="AK862" s="95"/>
      <c r="AL862" s="95"/>
      <c r="AM862" s="95"/>
      <c r="AN862" s="95"/>
      <c r="AO862" s="95"/>
      <c r="AP862" s="95"/>
      <c r="AQ862" s="95"/>
      <c r="AR862" s="95"/>
      <c r="AS862" s="95"/>
      <c r="AT862" s="95"/>
      <c r="AU862" s="95"/>
      <c r="AV862" s="95"/>
      <c r="AW862" s="95"/>
      <c r="AX862" s="95"/>
    </row>
    <row r="86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  <c r="AC863" s="95"/>
      <c r="AD863" s="95"/>
      <c r="AE863" s="95"/>
      <c r="AF863" s="95"/>
      <c r="AG863" s="95"/>
      <c r="AH863" s="95"/>
      <c r="AI863" s="95"/>
      <c r="AJ863" s="95"/>
      <c r="AK863" s="95"/>
      <c r="AL863" s="95"/>
      <c r="AM863" s="95"/>
      <c r="AN863" s="95"/>
      <c r="AO863" s="95"/>
      <c r="AP863" s="95"/>
      <c r="AQ863" s="95"/>
      <c r="AR863" s="95"/>
      <c r="AS863" s="95"/>
      <c r="AT863" s="95"/>
      <c r="AU863" s="95"/>
      <c r="AV863" s="95"/>
      <c r="AW863" s="95"/>
      <c r="AX863" s="95"/>
    </row>
    <row r="864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  <c r="AC864" s="95"/>
      <c r="AD864" s="95"/>
      <c r="AE864" s="95"/>
      <c r="AF864" s="95"/>
      <c r="AG864" s="95"/>
      <c r="AH864" s="95"/>
      <c r="AI864" s="95"/>
      <c r="AJ864" s="95"/>
      <c r="AK864" s="95"/>
      <c r="AL864" s="95"/>
      <c r="AM864" s="95"/>
      <c r="AN864" s="95"/>
      <c r="AO864" s="95"/>
      <c r="AP864" s="95"/>
      <c r="AQ864" s="95"/>
      <c r="AR864" s="95"/>
      <c r="AS864" s="95"/>
      <c r="AT864" s="95"/>
      <c r="AU864" s="95"/>
      <c r="AV864" s="95"/>
      <c r="AW864" s="95"/>
      <c r="AX864" s="95"/>
    </row>
    <row r="8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  <c r="AC865" s="95"/>
      <c r="AD865" s="95"/>
      <c r="AE865" s="95"/>
      <c r="AF865" s="95"/>
      <c r="AG865" s="95"/>
      <c r="AH865" s="95"/>
      <c r="AI865" s="95"/>
      <c r="AJ865" s="95"/>
      <c r="AK865" s="95"/>
      <c r="AL865" s="95"/>
      <c r="AM865" s="95"/>
      <c r="AN865" s="95"/>
      <c r="AO865" s="95"/>
      <c r="AP865" s="95"/>
      <c r="AQ865" s="95"/>
      <c r="AR865" s="95"/>
      <c r="AS865" s="95"/>
      <c r="AT865" s="95"/>
      <c r="AU865" s="95"/>
      <c r="AV865" s="95"/>
      <c r="AW865" s="95"/>
      <c r="AX865" s="95"/>
    </row>
    <row r="866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  <c r="AC866" s="95"/>
      <c r="AD866" s="95"/>
      <c r="AE866" s="95"/>
      <c r="AF866" s="95"/>
      <c r="AG866" s="95"/>
      <c r="AH866" s="95"/>
      <c r="AI866" s="95"/>
      <c r="AJ866" s="95"/>
      <c r="AK866" s="95"/>
      <c r="AL866" s="95"/>
      <c r="AM866" s="95"/>
      <c r="AN866" s="95"/>
      <c r="AO866" s="95"/>
      <c r="AP866" s="95"/>
      <c r="AQ866" s="95"/>
      <c r="AR866" s="95"/>
      <c r="AS866" s="95"/>
      <c r="AT866" s="95"/>
      <c r="AU866" s="95"/>
      <c r="AV866" s="95"/>
      <c r="AW866" s="95"/>
      <c r="AX866" s="95"/>
    </row>
    <row r="867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  <c r="AC867" s="95"/>
      <c r="AD867" s="95"/>
      <c r="AE867" s="95"/>
      <c r="AF867" s="95"/>
      <c r="AG867" s="95"/>
      <c r="AH867" s="95"/>
      <c r="AI867" s="95"/>
      <c r="AJ867" s="95"/>
      <c r="AK867" s="95"/>
      <c r="AL867" s="95"/>
      <c r="AM867" s="95"/>
      <c r="AN867" s="95"/>
      <c r="AO867" s="95"/>
      <c r="AP867" s="95"/>
      <c r="AQ867" s="95"/>
      <c r="AR867" s="95"/>
      <c r="AS867" s="95"/>
      <c r="AT867" s="95"/>
      <c r="AU867" s="95"/>
      <c r="AV867" s="95"/>
      <c r="AW867" s="95"/>
      <c r="AX867" s="95"/>
    </row>
    <row r="868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  <c r="AC868" s="95"/>
      <c r="AD868" s="95"/>
      <c r="AE868" s="95"/>
      <c r="AF868" s="95"/>
      <c r="AG868" s="95"/>
      <c r="AH868" s="95"/>
      <c r="AI868" s="95"/>
      <c r="AJ868" s="95"/>
      <c r="AK868" s="95"/>
      <c r="AL868" s="95"/>
      <c r="AM868" s="95"/>
      <c r="AN868" s="95"/>
      <c r="AO868" s="95"/>
      <c r="AP868" s="95"/>
      <c r="AQ868" s="95"/>
      <c r="AR868" s="95"/>
      <c r="AS868" s="95"/>
      <c r="AT868" s="95"/>
      <c r="AU868" s="95"/>
      <c r="AV868" s="95"/>
      <c r="AW868" s="95"/>
      <c r="AX868" s="95"/>
    </row>
    <row r="869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  <c r="AC869" s="95"/>
      <c r="AD869" s="95"/>
      <c r="AE869" s="95"/>
      <c r="AF869" s="95"/>
      <c r="AG869" s="95"/>
      <c r="AH869" s="95"/>
      <c r="AI869" s="95"/>
      <c r="AJ869" s="95"/>
      <c r="AK869" s="95"/>
      <c r="AL869" s="95"/>
      <c r="AM869" s="95"/>
      <c r="AN869" s="95"/>
      <c r="AO869" s="95"/>
      <c r="AP869" s="95"/>
      <c r="AQ869" s="95"/>
      <c r="AR869" s="95"/>
      <c r="AS869" s="95"/>
      <c r="AT869" s="95"/>
      <c r="AU869" s="95"/>
      <c r="AV869" s="95"/>
      <c r="AW869" s="95"/>
      <c r="AX869" s="95"/>
    </row>
    <row r="870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  <c r="AC870" s="95"/>
      <c r="AD870" s="95"/>
      <c r="AE870" s="95"/>
      <c r="AF870" s="95"/>
      <c r="AG870" s="95"/>
      <c r="AH870" s="95"/>
      <c r="AI870" s="95"/>
      <c r="AJ870" s="95"/>
      <c r="AK870" s="95"/>
      <c r="AL870" s="95"/>
      <c r="AM870" s="95"/>
      <c r="AN870" s="95"/>
      <c r="AO870" s="95"/>
      <c r="AP870" s="95"/>
      <c r="AQ870" s="95"/>
      <c r="AR870" s="95"/>
      <c r="AS870" s="95"/>
      <c r="AT870" s="95"/>
      <c r="AU870" s="95"/>
      <c r="AV870" s="95"/>
      <c r="AW870" s="95"/>
      <c r="AX870" s="95"/>
    </row>
    <row r="87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  <c r="AC871" s="95"/>
      <c r="AD871" s="95"/>
      <c r="AE871" s="95"/>
      <c r="AF871" s="95"/>
      <c r="AG871" s="95"/>
      <c r="AH871" s="95"/>
      <c r="AI871" s="95"/>
      <c r="AJ871" s="95"/>
      <c r="AK871" s="95"/>
      <c r="AL871" s="95"/>
      <c r="AM871" s="95"/>
      <c r="AN871" s="95"/>
      <c r="AO871" s="95"/>
      <c r="AP871" s="95"/>
      <c r="AQ871" s="95"/>
      <c r="AR871" s="95"/>
      <c r="AS871" s="95"/>
      <c r="AT871" s="95"/>
      <c r="AU871" s="95"/>
      <c r="AV871" s="95"/>
      <c r="AW871" s="95"/>
      <c r="AX871" s="95"/>
    </row>
    <row r="872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  <c r="AC872" s="95"/>
      <c r="AD872" s="95"/>
      <c r="AE872" s="95"/>
      <c r="AF872" s="95"/>
      <c r="AG872" s="95"/>
      <c r="AH872" s="95"/>
      <c r="AI872" s="95"/>
      <c r="AJ872" s="95"/>
      <c r="AK872" s="95"/>
      <c r="AL872" s="95"/>
      <c r="AM872" s="95"/>
      <c r="AN872" s="95"/>
      <c r="AO872" s="95"/>
      <c r="AP872" s="95"/>
      <c r="AQ872" s="95"/>
      <c r="AR872" s="95"/>
      <c r="AS872" s="95"/>
      <c r="AT872" s="95"/>
      <c r="AU872" s="95"/>
      <c r="AV872" s="95"/>
      <c r="AW872" s="95"/>
      <c r="AX872" s="95"/>
    </row>
    <row r="87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  <c r="AC873" s="95"/>
      <c r="AD873" s="95"/>
      <c r="AE873" s="95"/>
      <c r="AF873" s="95"/>
      <c r="AG873" s="95"/>
      <c r="AH873" s="95"/>
      <c r="AI873" s="95"/>
      <c r="AJ873" s="95"/>
      <c r="AK873" s="95"/>
      <c r="AL873" s="95"/>
      <c r="AM873" s="95"/>
      <c r="AN873" s="95"/>
      <c r="AO873" s="95"/>
      <c r="AP873" s="95"/>
      <c r="AQ873" s="95"/>
      <c r="AR873" s="95"/>
      <c r="AS873" s="95"/>
      <c r="AT873" s="95"/>
      <c r="AU873" s="95"/>
      <c r="AV873" s="95"/>
      <c r="AW873" s="95"/>
      <c r="AX873" s="95"/>
    </row>
    <row r="874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  <c r="AC874" s="95"/>
      <c r="AD874" s="95"/>
      <c r="AE874" s="95"/>
      <c r="AF874" s="95"/>
      <c r="AG874" s="95"/>
      <c r="AH874" s="95"/>
      <c r="AI874" s="95"/>
      <c r="AJ874" s="95"/>
      <c r="AK874" s="95"/>
      <c r="AL874" s="95"/>
      <c r="AM874" s="95"/>
      <c r="AN874" s="95"/>
      <c r="AO874" s="95"/>
      <c r="AP874" s="95"/>
      <c r="AQ874" s="95"/>
      <c r="AR874" s="95"/>
      <c r="AS874" s="95"/>
      <c r="AT874" s="95"/>
      <c r="AU874" s="95"/>
      <c r="AV874" s="95"/>
      <c r="AW874" s="95"/>
      <c r="AX874" s="95"/>
    </row>
    <row r="87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  <c r="AC875" s="95"/>
      <c r="AD875" s="95"/>
      <c r="AE875" s="95"/>
      <c r="AF875" s="95"/>
      <c r="AG875" s="95"/>
      <c r="AH875" s="95"/>
      <c r="AI875" s="95"/>
      <c r="AJ875" s="95"/>
      <c r="AK875" s="95"/>
      <c r="AL875" s="95"/>
      <c r="AM875" s="95"/>
      <c r="AN875" s="95"/>
      <c r="AO875" s="95"/>
      <c r="AP875" s="95"/>
      <c r="AQ875" s="95"/>
      <c r="AR875" s="95"/>
      <c r="AS875" s="95"/>
      <c r="AT875" s="95"/>
      <c r="AU875" s="95"/>
      <c r="AV875" s="95"/>
      <c r="AW875" s="95"/>
      <c r="AX875" s="95"/>
    </row>
    <row r="876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  <c r="AC876" s="95"/>
      <c r="AD876" s="95"/>
      <c r="AE876" s="95"/>
      <c r="AF876" s="95"/>
      <c r="AG876" s="95"/>
      <c r="AH876" s="95"/>
      <c r="AI876" s="95"/>
      <c r="AJ876" s="95"/>
      <c r="AK876" s="95"/>
      <c r="AL876" s="95"/>
      <c r="AM876" s="95"/>
      <c r="AN876" s="95"/>
      <c r="AO876" s="95"/>
      <c r="AP876" s="95"/>
      <c r="AQ876" s="95"/>
      <c r="AR876" s="95"/>
      <c r="AS876" s="95"/>
      <c r="AT876" s="95"/>
      <c r="AU876" s="95"/>
      <c r="AV876" s="95"/>
      <c r="AW876" s="95"/>
      <c r="AX876" s="95"/>
    </row>
    <row r="877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  <c r="AC877" s="95"/>
      <c r="AD877" s="95"/>
      <c r="AE877" s="95"/>
      <c r="AF877" s="95"/>
      <c r="AG877" s="95"/>
      <c r="AH877" s="95"/>
      <c r="AI877" s="95"/>
      <c r="AJ877" s="95"/>
      <c r="AK877" s="95"/>
      <c r="AL877" s="95"/>
      <c r="AM877" s="95"/>
      <c r="AN877" s="95"/>
      <c r="AO877" s="95"/>
      <c r="AP877" s="95"/>
      <c r="AQ877" s="95"/>
      <c r="AR877" s="95"/>
      <c r="AS877" s="95"/>
      <c r="AT877" s="95"/>
      <c r="AU877" s="95"/>
      <c r="AV877" s="95"/>
      <c r="AW877" s="95"/>
      <c r="AX877" s="95"/>
    </row>
    <row r="878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  <c r="AC878" s="95"/>
      <c r="AD878" s="95"/>
      <c r="AE878" s="95"/>
      <c r="AF878" s="95"/>
      <c r="AG878" s="95"/>
      <c r="AH878" s="95"/>
      <c r="AI878" s="95"/>
      <c r="AJ878" s="95"/>
      <c r="AK878" s="95"/>
      <c r="AL878" s="95"/>
      <c r="AM878" s="95"/>
      <c r="AN878" s="95"/>
      <c r="AO878" s="95"/>
      <c r="AP878" s="95"/>
      <c r="AQ878" s="95"/>
      <c r="AR878" s="95"/>
      <c r="AS878" s="95"/>
      <c r="AT878" s="95"/>
      <c r="AU878" s="95"/>
      <c r="AV878" s="95"/>
      <c r="AW878" s="95"/>
      <c r="AX878" s="95"/>
    </row>
    <row r="879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  <c r="AC879" s="95"/>
      <c r="AD879" s="95"/>
      <c r="AE879" s="95"/>
      <c r="AF879" s="95"/>
      <c r="AG879" s="95"/>
      <c r="AH879" s="95"/>
      <c r="AI879" s="95"/>
      <c r="AJ879" s="95"/>
      <c r="AK879" s="95"/>
      <c r="AL879" s="95"/>
      <c r="AM879" s="95"/>
      <c r="AN879" s="95"/>
      <c r="AO879" s="95"/>
      <c r="AP879" s="95"/>
      <c r="AQ879" s="95"/>
      <c r="AR879" s="95"/>
      <c r="AS879" s="95"/>
      <c r="AT879" s="95"/>
      <c r="AU879" s="95"/>
      <c r="AV879" s="95"/>
      <c r="AW879" s="95"/>
      <c r="AX879" s="95"/>
    </row>
    <row r="880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  <c r="AC880" s="95"/>
      <c r="AD880" s="95"/>
      <c r="AE880" s="95"/>
      <c r="AF880" s="95"/>
      <c r="AG880" s="95"/>
      <c r="AH880" s="95"/>
      <c r="AI880" s="95"/>
      <c r="AJ880" s="95"/>
      <c r="AK880" s="95"/>
      <c r="AL880" s="95"/>
      <c r="AM880" s="95"/>
      <c r="AN880" s="95"/>
      <c r="AO880" s="95"/>
      <c r="AP880" s="95"/>
      <c r="AQ880" s="95"/>
      <c r="AR880" s="95"/>
      <c r="AS880" s="95"/>
      <c r="AT880" s="95"/>
      <c r="AU880" s="95"/>
      <c r="AV880" s="95"/>
      <c r="AW880" s="95"/>
      <c r="AX880" s="95"/>
    </row>
    <row r="88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  <c r="AC881" s="95"/>
      <c r="AD881" s="95"/>
      <c r="AE881" s="95"/>
      <c r="AF881" s="95"/>
      <c r="AG881" s="95"/>
      <c r="AH881" s="95"/>
      <c r="AI881" s="95"/>
      <c r="AJ881" s="95"/>
      <c r="AK881" s="95"/>
      <c r="AL881" s="95"/>
      <c r="AM881" s="95"/>
      <c r="AN881" s="95"/>
      <c r="AO881" s="95"/>
      <c r="AP881" s="95"/>
      <c r="AQ881" s="95"/>
      <c r="AR881" s="95"/>
      <c r="AS881" s="95"/>
      <c r="AT881" s="95"/>
      <c r="AU881" s="95"/>
      <c r="AV881" s="95"/>
      <c r="AW881" s="95"/>
      <c r="AX881" s="95"/>
    </row>
    <row r="882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  <c r="AC882" s="95"/>
      <c r="AD882" s="95"/>
      <c r="AE882" s="95"/>
      <c r="AF882" s="95"/>
      <c r="AG882" s="95"/>
      <c r="AH882" s="95"/>
      <c r="AI882" s="95"/>
      <c r="AJ882" s="95"/>
      <c r="AK882" s="95"/>
      <c r="AL882" s="95"/>
      <c r="AM882" s="95"/>
      <c r="AN882" s="95"/>
      <c r="AO882" s="95"/>
      <c r="AP882" s="95"/>
      <c r="AQ882" s="95"/>
      <c r="AR882" s="95"/>
      <c r="AS882" s="95"/>
      <c r="AT882" s="95"/>
      <c r="AU882" s="95"/>
      <c r="AV882" s="95"/>
      <c r="AW882" s="95"/>
      <c r="AX882" s="95"/>
    </row>
    <row r="88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  <c r="AC883" s="95"/>
      <c r="AD883" s="95"/>
      <c r="AE883" s="95"/>
      <c r="AF883" s="95"/>
      <c r="AG883" s="95"/>
      <c r="AH883" s="95"/>
      <c r="AI883" s="95"/>
      <c r="AJ883" s="95"/>
      <c r="AK883" s="95"/>
      <c r="AL883" s="95"/>
      <c r="AM883" s="95"/>
      <c r="AN883" s="95"/>
      <c r="AO883" s="95"/>
      <c r="AP883" s="95"/>
      <c r="AQ883" s="95"/>
      <c r="AR883" s="95"/>
      <c r="AS883" s="95"/>
      <c r="AT883" s="95"/>
      <c r="AU883" s="95"/>
      <c r="AV883" s="95"/>
      <c r="AW883" s="95"/>
      <c r="AX883" s="95"/>
    </row>
    <row r="884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  <c r="AC884" s="95"/>
      <c r="AD884" s="95"/>
      <c r="AE884" s="95"/>
      <c r="AF884" s="95"/>
      <c r="AG884" s="95"/>
      <c r="AH884" s="95"/>
      <c r="AI884" s="95"/>
      <c r="AJ884" s="95"/>
      <c r="AK884" s="95"/>
      <c r="AL884" s="95"/>
      <c r="AM884" s="95"/>
      <c r="AN884" s="95"/>
      <c r="AO884" s="95"/>
      <c r="AP884" s="95"/>
      <c r="AQ884" s="95"/>
      <c r="AR884" s="95"/>
      <c r="AS884" s="95"/>
      <c r="AT884" s="95"/>
      <c r="AU884" s="95"/>
      <c r="AV884" s="95"/>
      <c r="AW884" s="95"/>
      <c r="AX884" s="95"/>
    </row>
    <row r="88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  <c r="AC885" s="95"/>
      <c r="AD885" s="95"/>
      <c r="AE885" s="95"/>
      <c r="AF885" s="95"/>
      <c r="AG885" s="95"/>
      <c r="AH885" s="95"/>
      <c r="AI885" s="95"/>
      <c r="AJ885" s="95"/>
      <c r="AK885" s="95"/>
      <c r="AL885" s="95"/>
      <c r="AM885" s="95"/>
      <c r="AN885" s="95"/>
      <c r="AO885" s="95"/>
      <c r="AP885" s="95"/>
      <c r="AQ885" s="95"/>
      <c r="AR885" s="95"/>
      <c r="AS885" s="95"/>
      <c r="AT885" s="95"/>
      <c r="AU885" s="95"/>
      <c r="AV885" s="95"/>
      <c r="AW885" s="95"/>
      <c r="AX885" s="95"/>
    </row>
    <row r="886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  <c r="AC886" s="95"/>
      <c r="AD886" s="95"/>
      <c r="AE886" s="95"/>
      <c r="AF886" s="95"/>
      <c r="AG886" s="95"/>
      <c r="AH886" s="95"/>
      <c r="AI886" s="95"/>
      <c r="AJ886" s="95"/>
      <c r="AK886" s="95"/>
      <c r="AL886" s="95"/>
      <c r="AM886" s="95"/>
      <c r="AN886" s="95"/>
      <c r="AO886" s="95"/>
      <c r="AP886" s="95"/>
      <c r="AQ886" s="95"/>
      <c r="AR886" s="95"/>
      <c r="AS886" s="95"/>
      <c r="AT886" s="95"/>
      <c r="AU886" s="95"/>
      <c r="AV886" s="95"/>
      <c r="AW886" s="95"/>
      <c r="AX886" s="95"/>
    </row>
    <row r="887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  <c r="AC887" s="95"/>
      <c r="AD887" s="95"/>
      <c r="AE887" s="95"/>
      <c r="AF887" s="95"/>
      <c r="AG887" s="95"/>
      <c r="AH887" s="95"/>
      <c r="AI887" s="95"/>
      <c r="AJ887" s="95"/>
      <c r="AK887" s="95"/>
      <c r="AL887" s="95"/>
      <c r="AM887" s="95"/>
      <c r="AN887" s="95"/>
      <c r="AO887" s="95"/>
      <c r="AP887" s="95"/>
      <c r="AQ887" s="95"/>
      <c r="AR887" s="95"/>
      <c r="AS887" s="95"/>
      <c r="AT887" s="95"/>
      <c r="AU887" s="95"/>
      <c r="AV887" s="95"/>
      <c r="AW887" s="95"/>
      <c r="AX887" s="95"/>
    </row>
    <row r="888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  <c r="AC888" s="95"/>
      <c r="AD888" s="95"/>
      <c r="AE888" s="95"/>
      <c r="AF888" s="95"/>
      <c r="AG888" s="95"/>
      <c r="AH888" s="95"/>
      <c r="AI888" s="95"/>
      <c r="AJ888" s="95"/>
      <c r="AK888" s="95"/>
      <c r="AL888" s="95"/>
      <c r="AM888" s="95"/>
      <c r="AN888" s="95"/>
      <c r="AO888" s="95"/>
      <c r="AP888" s="95"/>
      <c r="AQ888" s="95"/>
      <c r="AR888" s="95"/>
      <c r="AS888" s="95"/>
      <c r="AT888" s="95"/>
      <c r="AU888" s="95"/>
      <c r="AV888" s="95"/>
      <c r="AW888" s="95"/>
      <c r="AX888" s="95"/>
    </row>
    <row r="889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  <c r="AC889" s="95"/>
      <c r="AD889" s="95"/>
      <c r="AE889" s="95"/>
      <c r="AF889" s="95"/>
      <c r="AG889" s="95"/>
      <c r="AH889" s="95"/>
      <c r="AI889" s="95"/>
      <c r="AJ889" s="95"/>
      <c r="AK889" s="95"/>
      <c r="AL889" s="95"/>
      <c r="AM889" s="95"/>
      <c r="AN889" s="95"/>
      <c r="AO889" s="95"/>
      <c r="AP889" s="95"/>
      <c r="AQ889" s="95"/>
      <c r="AR889" s="95"/>
      <c r="AS889" s="95"/>
      <c r="AT889" s="95"/>
      <c r="AU889" s="95"/>
      <c r="AV889" s="95"/>
      <c r="AW889" s="95"/>
      <c r="AX889" s="95"/>
    </row>
    <row r="890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  <c r="AC890" s="95"/>
      <c r="AD890" s="95"/>
      <c r="AE890" s="95"/>
      <c r="AF890" s="95"/>
      <c r="AG890" s="95"/>
      <c r="AH890" s="95"/>
      <c r="AI890" s="95"/>
      <c r="AJ890" s="95"/>
      <c r="AK890" s="95"/>
      <c r="AL890" s="95"/>
      <c r="AM890" s="95"/>
      <c r="AN890" s="95"/>
      <c r="AO890" s="95"/>
      <c r="AP890" s="95"/>
      <c r="AQ890" s="95"/>
      <c r="AR890" s="95"/>
      <c r="AS890" s="95"/>
      <c r="AT890" s="95"/>
      <c r="AU890" s="95"/>
      <c r="AV890" s="95"/>
      <c r="AW890" s="95"/>
      <c r="AX890" s="95"/>
    </row>
    <row r="89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  <c r="AC891" s="95"/>
      <c r="AD891" s="95"/>
      <c r="AE891" s="95"/>
      <c r="AF891" s="95"/>
      <c r="AG891" s="95"/>
      <c r="AH891" s="95"/>
      <c r="AI891" s="95"/>
      <c r="AJ891" s="95"/>
      <c r="AK891" s="95"/>
      <c r="AL891" s="95"/>
      <c r="AM891" s="95"/>
      <c r="AN891" s="95"/>
      <c r="AO891" s="95"/>
      <c r="AP891" s="95"/>
      <c r="AQ891" s="95"/>
      <c r="AR891" s="95"/>
      <c r="AS891" s="95"/>
      <c r="AT891" s="95"/>
      <c r="AU891" s="95"/>
      <c r="AV891" s="95"/>
      <c r="AW891" s="95"/>
      <c r="AX891" s="95"/>
    </row>
    <row r="892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  <c r="AC892" s="95"/>
      <c r="AD892" s="95"/>
      <c r="AE892" s="95"/>
      <c r="AF892" s="95"/>
      <c r="AG892" s="95"/>
      <c r="AH892" s="95"/>
      <c r="AI892" s="95"/>
      <c r="AJ892" s="95"/>
      <c r="AK892" s="95"/>
      <c r="AL892" s="95"/>
      <c r="AM892" s="95"/>
      <c r="AN892" s="95"/>
      <c r="AO892" s="95"/>
      <c r="AP892" s="95"/>
      <c r="AQ892" s="95"/>
      <c r="AR892" s="95"/>
      <c r="AS892" s="95"/>
      <c r="AT892" s="95"/>
      <c r="AU892" s="95"/>
      <c r="AV892" s="95"/>
      <c r="AW892" s="95"/>
      <c r="AX892" s="95"/>
    </row>
    <row r="89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  <c r="AC893" s="95"/>
      <c r="AD893" s="95"/>
      <c r="AE893" s="95"/>
      <c r="AF893" s="95"/>
      <c r="AG893" s="95"/>
      <c r="AH893" s="95"/>
      <c r="AI893" s="95"/>
      <c r="AJ893" s="95"/>
      <c r="AK893" s="95"/>
      <c r="AL893" s="95"/>
      <c r="AM893" s="95"/>
      <c r="AN893" s="95"/>
      <c r="AO893" s="95"/>
      <c r="AP893" s="95"/>
      <c r="AQ893" s="95"/>
      <c r="AR893" s="95"/>
      <c r="AS893" s="95"/>
      <c r="AT893" s="95"/>
      <c r="AU893" s="95"/>
      <c r="AV893" s="95"/>
      <c r="AW893" s="95"/>
      <c r="AX893" s="95"/>
    </row>
    <row r="894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  <c r="AC894" s="95"/>
      <c r="AD894" s="95"/>
      <c r="AE894" s="95"/>
      <c r="AF894" s="95"/>
      <c r="AG894" s="95"/>
      <c r="AH894" s="95"/>
      <c r="AI894" s="95"/>
      <c r="AJ894" s="95"/>
      <c r="AK894" s="95"/>
      <c r="AL894" s="95"/>
      <c r="AM894" s="95"/>
      <c r="AN894" s="95"/>
      <c r="AO894" s="95"/>
      <c r="AP894" s="95"/>
      <c r="AQ894" s="95"/>
      <c r="AR894" s="95"/>
      <c r="AS894" s="95"/>
      <c r="AT894" s="95"/>
      <c r="AU894" s="95"/>
      <c r="AV894" s="95"/>
      <c r="AW894" s="95"/>
      <c r="AX894" s="95"/>
    </row>
    <row r="89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  <c r="AC895" s="95"/>
      <c r="AD895" s="95"/>
      <c r="AE895" s="95"/>
      <c r="AF895" s="95"/>
      <c r="AG895" s="95"/>
      <c r="AH895" s="95"/>
      <c r="AI895" s="95"/>
      <c r="AJ895" s="95"/>
      <c r="AK895" s="95"/>
      <c r="AL895" s="95"/>
      <c r="AM895" s="95"/>
      <c r="AN895" s="95"/>
      <c r="AO895" s="95"/>
      <c r="AP895" s="95"/>
      <c r="AQ895" s="95"/>
      <c r="AR895" s="95"/>
      <c r="AS895" s="95"/>
      <c r="AT895" s="95"/>
      <c r="AU895" s="95"/>
      <c r="AV895" s="95"/>
      <c r="AW895" s="95"/>
      <c r="AX895" s="95"/>
    </row>
    <row r="896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  <c r="AC896" s="95"/>
      <c r="AD896" s="95"/>
      <c r="AE896" s="95"/>
      <c r="AF896" s="95"/>
      <c r="AG896" s="95"/>
      <c r="AH896" s="95"/>
      <c r="AI896" s="95"/>
      <c r="AJ896" s="95"/>
      <c r="AK896" s="95"/>
      <c r="AL896" s="95"/>
      <c r="AM896" s="95"/>
      <c r="AN896" s="95"/>
      <c r="AO896" s="95"/>
      <c r="AP896" s="95"/>
      <c r="AQ896" s="95"/>
      <c r="AR896" s="95"/>
      <c r="AS896" s="95"/>
      <c r="AT896" s="95"/>
      <c r="AU896" s="95"/>
      <c r="AV896" s="95"/>
      <c r="AW896" s="95"/>
      <c r="AX896" s="95"/>
    </row>
    <row r="897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  <c r="AC897" s="95"/>
      <c r="AD897" s="95"/>
      <c r="AE897" s="95"/>
      <c r="AF897" s="95"/>
      <c r="AG897" s="95"/>
      <c r="AH897" s="95"/>
      <c r="AI897" s="95"/>
      <c r="AJ897" s="95"/>
      <c r="AK897" s="95"/>
      <c r="AL897" s="95"/>
      <c r="AM897" s="95"/>
      <c r="AN897" s="95"/>
      <c r="AO897" s="95"/>
      <c r="AP897" s="95"/>
      <c r="AQ897" s="95"/>
      <c r="AR897" s="95"/>
      <c r="AS897" s="95"/>
      <c r="AT897" s="95"/>
      <c r="AU897" s="95"/>
      <c r="AV897" s="95"/>
      <c r="AW897" s="95"/>
      <c r="AX897" s="95"/>
    </row>
    <row r="898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  <c r="AC898" s="95"/>
      <c r="AD898" s="95"/>
      <c r="AE898" s="95"/>
      <c r="AF898" s="95"/>
      <c r="AG898" s="95"/>
      <c r="AH898" s="95"/>
      <c r="AI898" s="95"/>
      <c r="AJ898" s="95"/>
      <c r="AK898" s="95"/>
      <c r="AL898" s="95"/>
      <c r="AM898" s="95"/>
      <c r="AN898" s="95"/>
      <c r="AO898" s="95"/>
      <c r="AP898" s="95"/>
      <c r="AQ898" s="95"/>
      <c r="AR898" s="95"/>
      <c r="AS898" s="95"/>
      <c r="AT898" s="95"/>
      <c r="AU898" s="95"/>
      <c r="AV898" s="95"/>
      <c r="AW898" s="95"/>
      <c r="AX898" s="95"/>
    </row>
    <row r="899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  <c r="AC899" s="95"/>
      <c r="AD899" s="95"/>
      <c r="AE899" s="95"/>
      <c r="AF899" s="95"/>
      <c r="AG899" s="95"/>
      <c r="AH899" s="95"/>
      <c r="AI899" s="95"/>
      <c r="AJ899" s="95"/>
      <c r="AK899" s="95"/>
      <c r="AL899" s="95"/>
      <c r="AM899" s="95"/>
      <c r="AN899" s="95"/>
      <c r="AO899" s="95"/>
      <c r="AP899" s="95"/>
      <c r="AQ899" s="95"/>
      <c r="AR899" s="95"/>
      <c r="AS899" s="95"/>
      <c r="AT899" s="95"/>
      <c r="AU899" s="95"/>
      <c r="AV899" s="95"/>
      <c r="AW899" s="95"/>
      <c r="AX899" s="95"/>
    </row>
    <row r="900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  <c r="AC900" s="95"/>
      <c r="AD900" s="95"/>
      <c r="AE900" s="95"/>
      <c r="AF900" s="95"/>
      <c r="AG900" s="95"/>
      <c r="AH900" s="95"/>
      <c r="AI900" s="95"/>
      <c r="AJ900" s="95"/>
      <c r="AK900" s="95"/>
      <c r="AL900" s="95"/>
      <c r="AM900" s="95"/>
      <c r="AN900" s="95"/>
      <c r="AO900" s="95"/>
      <c r="AP900" s="95"/>
      <c r="AQ900" s="95"/>
      <c r="AR900" s="95"/>
      <c r="AS900" s="95"/>
      <c r="AT900" s="95"/>
      <c r="AU900" s="95"/>
      <c r="AV900" s="95"/>
      <c r="AW900" s="95"/>
      <c r="AX900" s="95"/>
    </row>
    <row r="90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  <c r="AC901" s="95"/>
      <c r="AD901" s="95"/>
      <c r="AE901" s="95"/>
      <c r="AF901" s="95"/>
      <c r="AG901" s="95"/>
      <c r="AH901" s="95"/>
      <c r="AI901" s="95"/>
      <c r="AJ901" s="95"/>
      <c r="AK901" s="95"/>
      <c r="AL901" s="95"/>
      <c r="AM901" s="95"/>
      <c r="AN901" s="95"/>
      <c r="AO901" s="95"/>
      <c r="AP901" s="95"/>
      <c r="AQ901" s="95"/>
      <c r="AR901" s="95"/>
      <c r="AS901" s="95"/>
      <c r="AT901" s="95"/>
      <c r="AU901" s="95"/>
      <c r="AV901" s="95"/>
      <c r="AW901" s="95"/>
      <c r="AX901" s="95"/>
    </row>
    <row r="902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  <c r="AC902" s="95"/>
      <c r="AD902" s="95"/>
      <c r="AE902" s="95"/>
      <c r="AF902" s="95"/>
      <c r="AG902" s="95"/>
      <c r="AH902" s="95"/>
      <c r="AI902" s="95"/>
      <c r="AJ902" s="95"/>
      <c r="AK902" s="95"/>
      <c r="AL902" s="95"/>
      <c r="AM902" s="95"/>
      <c r="AN902" s="95"/>
      <c r="AO902" s="95"/>
      <c r="AP902" s="95"/>
      <c r="AQ902" s="95"/>
      <c r="AR902" s="95"/>
      <c r="AS902" s="95"/>
      <c r="AT902" s="95"/>
      <c r="AU902" s="95"/>
      <c r="AV902" s="95"/>
      <c r="AW902" s="95"/>
      <c r="AX902" s="95"/>
    </row>
    <row r="90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  <c r="AC903" s="95"/>
      <c r="AD903" s="95"/>
      <c r="AE903" s="95"/>
      <c r="AF903" s="95"/>
      <c r="AG903" s="95"/>
      <c r="AH903" s="95"/>
      <c r="AI903" s="95"/>
      <c r="AJ903" s="95"/>
      <c r="AK903" s="95"/>
      <c r="AL903" s="95"/>
      <c r="AM903" s="95"/>
      <c r="AN903" s="95"/>
      <c r="AO903" s="95"/>
      <c r="AP903" s="95"/>
      <c r="AQ903" s="95"/>
      <c r="AR903" s="95"/>
      <c r="AS903" s="95"/>
      <c r="AT903" s="95"/>
      <c r="AU903" s="95"/>
      <c r="AV903" s="95"/>
      <c r="AW903" s="95"/>
      <c r="AX903" s="95"/>
    </row>
    <row r="904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  <c r="AC904" s="95"/>
      <c r="AD904" s="95"/>
      <c r="AE904" s="95"/>
      <c r="AF904" s="95"/>
      <c r="AG904" s="95"/>
      <c r="AH904" s="95"/>
      <c r="AI904" s="95"/>
      <c r="AJ904" s="95"/>
      <c r="AK904" s="95"/>
      <c r="AL904" s="95"/>
      <c r="AM904" s="95"/>
      <c r="AN904" s="95"/>
      <c r="AO904" s="95"/>
      <c r="AP904" s="95"/>
      <c r="AQ904" s="95"/>
      <c r="AR904" s="95"/>
      <c r="AS904" s="95"/>
      <c r="AT904" s="95"/>
      <c r="AU904" s="95"/>
      <c r="AV904" s="95"/>
      <c r="AW904" s="95"/>
      <c r="AX904" s="95"/>
    </row>
    <row r="90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  <c r="AC905" s="95"/>
      <c r="AD905" s="95"/>
      <c r="AE905" s="95"/>
      <c r="AF905" s="95"/>
      <c r="AG905" s="95"/>
      <c r="AH905" s="95"/>
      <c r="AI905" s="95"/>
      <c r="AJ905" s="95"/>
      <c r="AK905" s="95"/>
      <c r="AL905" s="95"/>
      <c r="AM905" s="95"/>
      <c r="AN905" s="95"/>
      <c r="AO905" s="95"/>
      <c r="AP905" s="95"/>
      <c r="AQ905" s="95"/>
      <c r="AR905" s="95"/>
      <c r="AS905" s="95"/>
      <c r="AT905" s="95"/>
      <c r="AU905" s="95"/>
      <c r="AV905" s="95"/>
      <c r="AW905" s="95"/>
      <c r="AX905" s="95"/>
    </row>
    <row r="906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  <c r="AC906" s="95"/>
      <c r="AD906" s="95"/>
      <c r="AE906" s="95"/>
      <c r="AF906" s="95"/>
      <c r="AG906" s="95"/>
      <c r="AH906" s="95"/>
      <c r="AI906" s="95"/>
      <c r="AJ906" s="95"/>
      <c r="AK906" s="95"/>
      <c r="AL906" s="95"/>
      <c r="AM906" s="95"/>
      <c r="AN906" s="95"/>
      <c r="AO906" s="95"/>
      <c r="AP906" s="95"/>
      <c r="AQ906" s="95"/>
      <c r="AR906" s="95"/>
      <c r="AS906" s="95"/>
      <c r="AT906" s="95"/>
      <c r="AU906" s="95"/>
      <c r="AV906" s="95"/>
      <c r="AW906" s="95"/>
      <c r="AX906" s="95"/>
    </row>
    <row r="907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  <c r="AC907" s="95"/>
      <c r="AD907" s="95"/>
      <c r="AE907" s="95"/>
      <c r="AF907" s="95"/>
      <c r="AG907" s="95"/>
      <c r="AH907" s="95"/>
      <c r="AI907" s="95"/>
      <c r="AJ907" s="95"/>
      <c r="AK907" s="95"/>
      <c r="AL907" s="95"/>
      <c r="AM907" s="95"/>
      <c r="AN907" s="95"/>
      <c r="AO907" s="95"/>
      <c r="AP907" s="95"/>
      <c r="AQ907" s="95"/>
      <c r="AR907" s="95"/>
      <c r="AS907" s="95"/>
      <c r="AT907" s="95"/>
      <c r="AU907" s="95"/>
      <c r="AV907" s="95"/>
      <c r="AW907" s="95"/>
      <c r="AX907" s="95"/>
    </row>
    <row r="908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  <c r="AC908" s="95"/>
      <c r="AD908" s="95"/>
      <c r="AE908" s="95"/>
      <c r="AF908" s="95"/>
      <c r="AG908" s="95"/>
      <c r="AH908" s="95"/>
      <c r="AI908" s="95"/>
      <c r="AJ908" s="95"/>
      <c r="AK908" s="95"/>
      <c r="AL908" s="95"/>
      <c r="AM908" s="95"/>
      <c r="AN908" s="95"/>
      <c r="AO908" s="95"/>
      <c r="AP908" s="95"/>
      <c r="AQ908" s="95"/>
      <c r="AR908" s="95"/>
      <c r="AS908" s="95"/>
      <c r="AT908" s="95"/>
      <c r="AU908" s="95"/>
      <c r="AV908" s="95"/>
      <c r="AW908" s="95"/>
      <c r="AX908" s="95"/>
    </row>
    <row r="909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  <c r="AC909" s="95"/>
      <c r="AD909" s="95"/>
      <c r="AE909" s="95"/>
      <c r="AF909" s="95"/>
      <c r="AG909" s="95"/>
      <c r="AH909" s="95"/>
      <c r="AI909" s="95"/>
      <c r="AJ909" s="95"/>
      <c r="AK909" s="95"/>
      <c r="AL909" s="95"/>
      <c r="AM909" s="95"/>
      <c r="AN909" s="95"/>
      <c r="AO909" s="95"/>
      <c r="AP909" s="95"/>
      <c r="AQ909" s="95"/>
      <c r="AR909" s="95"/>
      <c r="AS909" s="95"/>
      <c r="AT909" s="95"/>
      <c r="AU909" s="95"/>
      <c r="AV909" s="95"/>
      <c r="AW909" s="95"/>
      <c r="AX909" s="95"/>
    </row>
    <row r="910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  <c r="AC910" s="95"/>
      <c r="AD910" s="95"/>
      <c r="AE910" s="95"/>
      <c r="AF910" s="95"/>
      <c r="AG910" s="95"/>
      <c r="AH910" s="95"/>
      <c r="AI910" s="95"/>
      <c r="AJ910" s="95"/>
      <c r="AK910" s="95"/>
      <c r="AL910" s="95"/>
      <c r="AM910" s="95"/>
      <c r="AN910" s="95"/>
      <c r="AO910" s="95"/>
      <c r="AP910" s="95"/>
      <c r="AQ910" s="95"/>
      <c r="AR910" s="95"/>
      <c r="AS910" s="95"/>
      <c r="AT910" s="95"/>
      <c r="AU910" s="95"/>
      <c r="AV910" s="95"/>
      <c r="AW910" s="95"/>
      <c r="AX910" s="95"/>
    </row>
    <row r="91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  <c r="AC911" s="95"/>
      <c r="AD911" s="95"/>
      <c r="AE911" s="95"/>
      <c r="AF911" s="95"/>
      <c r="AG911" s="95"/>
      <c r="AH911" s="95"/>
      <c r="AI911" s="95"/>
      <c r="AJ911" s="95"/>
      <c r="AK911" s="95"/>
      <c r="AL911" s="95"/>
      <c r="AM911" s="95"/>
      <c r="AN911" s="95"/>
      <c r="AO911" s="95"/>
      <c r="AP911" s="95"/>
      <c r="AQ911" s="95"/>
      <c r="AR911" s="95"/>
      <c r="AS911" s="95"/>
      <c r="AT911" s="95"/>
      <c r="AU911" s="95"/>
      <c r="AV911" s="95"/>
      <c r="AW911" s="95"/>
      <c r="AX911" s="95"/>
    </row>
    <row r="912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  <c r="AC912" s="95"/>
      <c r="AD912" s="95"/>
      <c r="AE912" s="95"/>
      <c r="AF912" s="95"/>
      <c r="AG912" s="95"/>
      <c r="AH912" s="95"/>
      <c r="AI912" s="95"/>
      <c r="AJ912" s="95"/>
      <c r="AK912" s="95"/>
      <c r="AL912" s="95"/>
      <c r="AM912" s="95"/>
      <c r="AN912" s="95"/>
      <c r="AO912" s="95"/>
      <c r="AP912" s="95"/>
      <c r="AQ912" s="95"/>
      <c r="AR912" s="95"/>
      <c r="AS912" s="95"/>
      <c r="AT912" s="95"/>
      <c r="AU912" s="95"/>
      <c r="AV912" s="95"/>
      <c r="AW912" s="95"/>
      <c r="AX912" s="95"/>
    </row>
    <row r="91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  <c r="AC913" s="95"/>
      <c r="AD913" s="95"/>
      <c r="AE913" s="95"/>
      <c r="AF913" s="95"/>
      <c r="AG913" s="95"/>
      <c r="AH913" s="95"/>
      <c r="AI913" s="95"/>
      <c r="AJ913" s="95"/>
      <c r="AK913" s="95"/>
      <c r="AL913" s="95"/>
      <c r="AM913" s="95"/>
      <c r="AN913" s="95"/>
      <c r="AO913" s="95"/>
      <c r="AP913" s="95"/>
      <c r="AQ913" s="95"/>
      <c r="AR913" s="95"/>
      <c r="AS913" s="95"/>
      <c r="AT913" s="95"/>
      <c r="AU913" s="95"/>
      <c r="AV913" s="95"/>
      <c r="AW913" s="95"/>
      <c r="AX913" s="95"/>
    </row>
    <row r="914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  <c r="AC914" s="95"/>
      <c r="AD914" s="95"/>
      <c r="AE914" s="95"/>
      <c r="AF914" s="95"/>
      <c r="AG914" s="95"/>
      <c r="AH914" s="95"/>
      <c r="AI914" s="95"/>
      <c r="AJ914" s="95"/>
      <c r="AK914" s="95"/>
      <c r="AL914" s="95"/>
      <c r="AM914" s="95"/>
      <c r="AN914" s="95"/>
      <c r="AO914" s="95"/>
      <c r="AP914" s="95"/>
      <c r="AQ914" s="95"/>
      <c r="AR914" s="95"/>
      <c r="AS914" s="95"/>
      <c r="AT914" s="95"/>
      <c r="AU914" s="95"/>
      <c r="AV914" s="95"/>
      <c r="AW914" s="95"/>
      <c r="AX914" s="95"/>
    </row>
    <row r="91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  <c r="AC915" s="95"/>
      <c r="AD915" s="95"/>
      <c r="AE915" s="95"/>
      <c r="AF915" s="95"/>
      <c r="AG915" s="95"/>
      <c r="AH915" s="95"/>
      <c r="AI915" s="95"/>
      <c r="AJ915" s="95"/>
      <c r="AK915" s="95"/>
      <c r="AL915" s="95"/>
      <c r="AM915" s="95"/>
      <c r="AN915" s="95"/>
      <c r="AO915" s="95"/>
      <c r="AP915" s="95"/>
      <c r="AQ915" s="95"/>
      <c r="AR915" s="95"/>
      <c r="AS915" s="95"/>
      <c r="AT915" s="95"/>
      <c r="AU915" s="95"/>
      <c r="AV915" s="95"/>
      <c r="AW915" s="95"/>
      <c r="AX915" s="95"/>
    </row>
    <row r="916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  <c r="AC916" s="95"/>
      <c r="AD916" s="95"/>
      <c r="AE916" s="95"/>
      <c r="AF916" s="95"/>
      <c r="AG916" s="95"/>
      <c r="AH916" s="95"/>
      <c r="AI916" s="95"/>
      <c r="AJ916" s="95"/>
      <c r="AK916" s="95"/>
      <c r="AL916" s="95"/>
      <c r="AM916" s="95"/>
      <c r="AN916" s="95"/>
      <c r="AO916" s="95"/>
      <c r="AP916" s="95"/>
      <c r="AQ916" s="95"/>
      <c r="AR916" s="95"/>
      <c r="AS916" s="95"/>
      <c r="AT916" s="95"/>
      <c r="AU916" s="95"/>
      <c r="AV916" s="95"/>
      <c r="AW916" s="95"/>
      <c r="AX916" s="95"/>
    </row>
    <row r="917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  <c r="AC917" s="95"/>
      <c r="AD917" s="95"/>
      <c r="AE917" s="95"/>
      <c r="AF917" s="95"/>
      <c r="AG917" s="95"/>
      <c r="AH917" s="95"/>
      <c r="AI917" s="95"/>
      <c r="AJ917" s="95"/>
      <c r="AK917" s="95"/>
      <c r="AL917" s="95"/>
      <c r="AM917" s="95"/>
      <c r="AN917" s="95"/>
      <c r="AO917" s="95"/>
      <c r="AP917" s="95"/>
      <c r="AQ917" s="95"/>
      <c r="AR917" s="95"/>
      <c r="AS917" s="95"/>
      <c r="AT917" s="95"/>
      <c r="AU917" s="95"/>
      <c r="AV917" s="95"/>
      <c r="AW917" s="95"/>
      <c r="AX917" s="95"/>
    </row>
    <row r="918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  <c r="AC918" s="95"/>
      <c r="AD918" s="95"/>
      <c r="AE918" s="95"/>
      <c r="AF918" s="95"/>
      <c r="AG918" s="95"/>
      <c r="AH918" s="95"/>
      <c r="AI918" s="95"/>
      <c r="AJ918" s="95"/>
      <c r="AK918" s="95"/>
      <c r="AL918" s="95"/>
      <c r="AM918" s="95"/>
      <c r="AN918" s="95"/>
      <c r="AO918" s="95"/>
      <c r="AP918" s="95"/>
      <c r="AQ918" s="95"/>
      <c r="AR918" s="95"/>
      <c r="AS918" s="95"/>
      <c r="AT918" s="95"/>
      <c r="AU918" s="95"/>
      <c r="AV918" s="95"/>
      <c r="AW918" s="95"/>
      <c r="AX918" s="95"/>
    </row>
    <row r="919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  <c r="AC919" s="95"/>
      <c r="AD919" s="95"/>
      <c r="AE919" s="95"/>
      <c r="AF919" s="95"/>
      <c r="AG919" s="95"/>
      <c r="AH919" s="95"/>
      <c r="AI919" s="95"/>
      <c r="AJ919" s="95"/>
      <c r="AK919" s="95"/>
      <c r="AL919" s="95"/>
      <c r="AM919" s="95"/>
      <c r="AN919" s="95"/>
      <c r="AO919" s="95"/>
      <c r="AP919" s="95"/>
      <c r="AQ919" s="95"/>
      <c r="AR919" s="95"/>
      <c r="AS919" s="95"/>
      <c r="AT919" s="95"/>
      <c r="AU919" s="95"/>
      <c r="AV919" s="95"/>
      <c r="AW919" s="95"/>
      <c r="AX919" s="95"/>
    </row>
    <row r="920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  <c r="AC920" s="95"/>
      <c r="AD920" s="95"/>
      <c r="AE920" s="95"/>
      <c r="AF920" s="95"/>
      <c r="AG920" s="95"/>
      <c r="AH920" s="95"/>
      <c r="AI920" s="95"/>
      <c r="AJ920" s="95"/>
      <c r="AK920" s="95"/>
      <c r="AL920" s="95"/>
      <c r="AM920" s="95"/>
      <c r="AN920" s="95"/>
      <c r="AO920" s="95"/>
      <c r="AP920" s="95"/>
      <c r="AQ920" s="95"/>
      <c r="AR920" s="95"/>
      <c r="AS920" s="95"/>
      <c r="AT920" s="95"/>
      <c r="AU920" s="95"/>
      <c r="AV920" s="95"/>
      <c r="AW920" s="95"/>
      <c r="AX920" s="95"/>
    </row>
    <row r="92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  <c r="AC921" s="95"/>
      <c r="AD921" s="95"/>
      <c r="AE921" s="95"/>
      <c r="AF921" s="95"/>
      <c r="AG921" s="95"/>
      <c r="AH921" s="95"/>
      <c r="AI921" s="95"/>
      <c r="AJ921" s="95"/>
      <c r="AK921" s="95"/>
      <c r="AL921" s="95"/>
      <c r="AM921" s="95"/>
      <c r="AN921" s="95"/>
      <c r="AO921" s="95"/>
      <c r="AP921" s="95"/>
      <c r="AQ921" s="95"/>
      <c r="AR921" s="95"/>
      <c r="AS921" s="95"/>
      <c r="AT921" s="95"/>
      <c r="AU921" s="95"/>
      <c r="AV921" s="95"/>
      <c r="AW921" s="95"/>
      <c r="AX921" s="95"/>
    </row>
    <row r="922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  <c r="AC922" s="95"/>
      <c r="AD922" s="95"/>
      <c r="AE922" s="95"/>
      <c r="AF922" s="95"/>
      <c r="AG922" s="95"/>
      <c r="AH922" s="95"/>
      <c r="AI922" s="95"/>
      <c r="AJ922" s="95"/>
      <c r="AK922" s="95"/>
      <c r="AL922" s="95"/>
      <c r="AM922" s="95"/>
      <c r="AN922" s="95"/>
      <c r="AO922" s="95"/>
      <c r="AP922" s="95"/>
      <c r="AQ922" s="95"/>
      <c r="AR922" s="95"/>
      <c r="AS922" s="95"/>
      <c r="AT922" s="95"/>
      <c r="AU922" s="95"/>
      <c r="AV922" s="95"/>
      <c r="AW922" s="95"/>
      <c r="AX922" s="95"/>
    </row>
    <row r="92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  <c r="AC923" s="95"/>
      <c r="AD923" s="95"/>
      <c r="AE923" s="95"/>
      <c r="AF923" s="95"/>
      <c r="AG923" s="95"/>
      <c r="AH923" s="95"/>
      <c r="AI923" s="95"/>
      <c r="AJ923" s="95"/>
      <c r="AK923" s="95"/>
      <c r="AL923" s="95"/>
      <c r="AM923" s="95"/>
      <c r="AN923" s="95"/>
      <c r="AO923" s="95"/>
      <c r="AP923" s="95"/>
      <c r="AQ923" s="95"/>
      <c r="AR923" s="95"/>
      <c r="AS923" s="95"/>
      <c r="AT923" s="95"/>
      <c r="AU923" s="95"/>
      <c r="AV923" s="95"/>
      <c r="AW923" s="95"/>
      <c r="AX923" s="95"/>
    </row>
    <row r="924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  <c r="AC924" s="95"/>
      <c r="AD924" s="95"/>
      <c r="AE924" s="95"/>
      <c r="AF924" s="95"/>
      <c r="AG924" s="95"/>
      <c r="AH924" s="95"/>
      <c r="AI924" s="95"/>
      <c r="AJ924" s="95"/>
      <c r="AK924" s="95"/>
      <c r="AL924" s="95"/>
      <c r="AM924" s="95"/>
      <c r="AN924" s="95"/>
      <c r="AO924" s="95"/>
      <c r="AP924" s="95"/>
      <c r="AQ924" s="95"/>
      <c r="AR924" s="95"/>
      <c r="AS924" s="95"/>
      <c r="AT924" s="95"/>
      <c r="AU924" s="95"/>
      <c r="AV924" s="95"/>
      <c r="AW924" s="95"/>
      <c r="AX924" s="95"/>
    </row>
    <row r="92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  <c r="AC925" s="95"/>
      <c r="AD925" s="95"/>
      <c r="AE925" s="95"/>
      <c r="AF925" s="95"/>
      <c r="AG925" s="95"/>
      <c r="AH925" s="95"/>
      <c r="AI925" s="95"/>
      <c r="AJ925" s="95"/>
      <c r="AK925" s="95"/>
      <c r="AL925" s="95"/>
      <c r="AM925" s="95"/>
      <c r="AN925" s="95"/>
      <c r="AO925" s="95"/>
      <c r="AP925" s="95"/>
      <c r="AQ925" s="95"/>
      <c r="AR925" s="95"/>
      <c r="AS925" s="95"/>
      <c r="AT925" s="95"/>
      <c r="AU925" s="95"/>
      <c r="AV925" s="95"/>
      <c r="AW925" s="95"/>
      <c r="AX925" s="95"/>
    </row>
    <row r="926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  <c r="AC926" s="95"/>
      <c r="AD926" s="95"/>
      <c r="AE926" s="95"/>
      <c r="AF926" s="95"/>
      <c r="AG926" s="95"/>
      <c r="AH926" s="95"/>
      <c r="AI926" s="95"/>
      <c r="AJ926" s="95"/>
      <c r="AK926" s="95"/>
      <c r="AL926" s="95"/>
      <c r="AM926" s="95"/>
      <c r="AN926" s="95"/>
      <c r="AO926" s="95"/>
      <c r="AP926" s="95"/>
      <c r="AQ926" s="95"/>
      <c r="AR926" s="95"/>
      <c r="AS926" s="95"/>
      <c r="AT926" s="95"/>
      <c r="AU926" s="95"/>
      <c r="AV926" s="95"/>
      <c r="AW926" s="95"/>
      <c r="AX926" s="95"/>
    </row>
    <row r="927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  <c r="AC927" s="95"/>
      <c r="AD927" s="95"/>
      <c r="AE927" s="95"/>
      <c r="AF927" s="95"/>
      <c r="AG927" s="95"/>
      <c r="AH927" s="95"/>
      <c r="AI927" s="95"/>
      <c r="AJ927" s="95"/>
      <c r="AK927" s="95"/>
      <c r="AL927" s="95"/>
      <c r="AM927" s="95"/>
      <c r="AN927" s="95"/>
      <c r="AO927" s="95"/>
      <c r="AP927" s="95"/>
      <c r="AQ927" s="95"/>
      <c r="AR927" s="95"/>
      <c r="AS927" s="95"/>
      <c r="AT927" s="95"/>
      <c r="AU927" s="95"/>
      <c r="AV927" s="95"/>
      <c r="AW927" s="95"/>
      <c r="AX927" s="95"/>
    </row>
    <row r="928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  <c r="AC928" s="95"/>
      <c r="AD928" s="95"/>
      <c r="AE928" s="95"/>
      <c r="AF928" s="95"/>
      <c r="AG928" s="95"/>
      <c r="AH928" s="95"/>
      <c r="AI928" s="95"/>
      <c r="AJ928" s="95"/>
      <c r="AK928" s="95"/>
      <c r="AL928" s="95"/>
      <c r="AM928" s="95"/>
      <c r="AN928" s="95"/>
      <c r="AO928" s="95"/>
      <c r="AP928" s="95"/>
      <c r="AQ928" s="95"/>
      <c r="AR928" s="95"/>
      <c r="AS928" s="95"/>
      <c r="AT928" s="95"/>
      <c r="AU928" s="95"/>
      <c r="AV928" s="95"/>
      <c r="AW928" s="95"/>
      <c r="AX928" s="95"/>
    </row>
    <row r="929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  <c r="AC929" s="95"/>
      <c r="AD929" s="95"/>
      <c r="AE929" s="95"/>
      <c r="AF929" s="95"/>
      <c r="AG929" s="95"/>
      <c r="AH929" s="95"/>
      <c r="AI929" s="95"/>
      <c r="AJ929" s="95"/>
      <c r="AK929" s="95"/>
      <c r="AL929" s="95"/>
      <c r="AM929" s="95"/>
      <c r="AN929" s="95"/>
      <c r="AO929" s="95"/>
      <c r="AP929" s="95"/>
      <c r="AQ929" s="95"/>
      <c r="AR929" s="95"/>
      <c r="AS929" s="95"/>
      <c r="AT929" s="95"/>
      <c r="AU929" s="95"/>
      <c r="AV929" s="95"/>
      <c r="AW929" s="95"/>
      <c r="AX929" s="95"/>
    </row>
    <row r="930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  <c r="AC930" s="95"/>
      <c r="AD930" s="95"/>
      <c r="AE930" s="95"/>
      <c r="AF930" s="95"/>
      <c r="AG930" s="95"/>
      <c r="AH930" s="95"/>
      <c r="AI930" s="95"/>
      <c r="AJ930" s="95"/>
      <c r="AK930" s="95"/>
      <c r="AL930" s="95"/>
      <c r="AM930" s="95"/>
      <c r="AN930" s="95"/>
      <c r="AO930" s="95"/>
      <c r="AP930" s="95"/>
      <c r="AQ930" s="95"/>
      <c r="AR930" s="95"/>
      <c r="AS930" s="95"/>
      <c r="AT930" s="95"/>
      <c r="AU930" s="95"/>
      <c r="AV930" s="95"/>
      <c r="AW930" s="95"/>
      <c r="AX930" s="95"/>
    </row>
    <row r="93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  <c r="AC931" s="95"/>
      <c r="AD931" s="95"/>
      <c r="AE931" s="95"/>
      <c r="AF931" s="95"/>
      <c r="AG931" s="95"/>
      <c r="AH931" s="95"/>
      <c r="AI931" s="95"/>
      <c r="AJ931" s="95"/>
      <c r="AK931" s="95"/>
      <c r="AL931" s="95"/>
      <c r="AM931" s="95"/>
      <c r="AN931" s="95"/>
      <c r="AO931" s="95"/>
      <c r="AP931" s="95"/>
      <c r="AQ931" s="95"/>
      <c r="AR931" s="95"/>
      <c r="AS931" s="95"/>
      <c r="AT931" s="95"/>
      <c r="AU931" s="95"/>
      <c r="AV931" s="95"/>
      <c r="AW931" s="95"/>
      <c r="AX931" s="95"/>
    </row>
    <row r="932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  <c r="AC932" s="95"/>
      <c r="AD932" s="95"/>
      <c r="AE932" s="95"/>
      <c r="AF932" s="95"/>
      <c r="AG932" s="95"/>
      <c r="AH932" s="95"/>
      <c r="AI932" s="95"/>
      <c r="AJ932" s="95"/>
      <c r="AK932" s="95"/>
      <c r="AL932" s="95"/>
      <c r="AM932" s="95"/>
      <c r="AN932" s="95"/>
      <c r="AO932" s="95"/>
      <c r="AP932" s="95"/>
      <c r="AQ932" s="95"/>
      <c r="AR932" s="95"/>
      <c r="AS932" s="95"/>
      <c r="AT932" s="95"/>
      <c r="AU932" s="95"/>
      <c r="AV932" s="95"/>
      <c r="AW932" s="95"/>
      <c r="AX932" s="95"/>
    </row>
    <row r="93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  <c r="AC933" s="95"/>
      <c r="AD933" s="95"/>
      <c r="AE933" s="95"/>
      <c r="AF933" s="95"/>
      <c r="AG933" s="95"/>
      <c r="AH933" s="95"/>
      <c r="AI933" s="95"/>
      <c r="AJ933" s="95"/>
      <c r="AK933" s="95"/>
      <c r="AL933" s="95"/>
      <c r="AM933" s="95"/>
      <c r="AN933" s="95"/>
      <c r="AO933" s="95"/>
      <c r="AP933" s="95"/>
      <c r="AQ933" s="95"/>
      <c r="AR933" s="95"/>
      <c r="AS933" s="95"/>
      <c r="AT933" s="95"/>
      <c r="AU933" s="95"/>
      <c r="AV933" s="95"/>
      <c r="AW933" s="95"/>
      <c r="AX933" s="95"/>
    </row>
    <row r="934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  <c r="AC934" s="95"/>
      <c r="AD934" s="95"/>
      <c r="AE934" s="95"/>
      <c r="AF934" s="95"/>
      <c r="AG934" s="95"/>
      <c r="AH934" s="95"/>
      <c r="AI934" s="95"/>
      <c r="AJ934" s="95"/>
      <c r="AK934" s="95"/>
      <c r="AL934" s="95"/>
      <c r="AM934" s="95"/>
      <c r="AN934" s="95"/>
      <c r="AO934" s="95"/>
      <c r="AP934" s="95"/>
      <c r="AQ934" s="95"/>
      <c r="AR934" s="95"/>
      <c r="AS934" s="95"/>
      <c r="AT934" s="95"/>
      <c r="AU934" s="95"/>
      <c r="AV934" s="95"/>
      <c r="AW934" s="95"/>
      <c r="AX934" s="95"/>
    </row>
    <row r="93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  <c r="AC935" s="95"/>
      <c r="AD935" s="95"/>
      <c r="AE935" s="95"/>
      <c r="AF935" s="95"/>
      <c r="AG935" s="95"/>
      <c r="AH935" s="95"/>
      <c r="AI935" s="95"/>
      <c r="AJ935" s="95"/>
      <c r="AK935" s="95"/>
      <c r="AL935" s="95"/>
      <c r="AM935" s="95"/>
      <c r="AN935" s="95"/>
      <c r="AO935" s="95"/>
      <c r="AP935" s="95"/>
      <c r="AQ935" s="95"/>
      <c r="AR935" s="95"/>
      <c r="AS935" s="95"/>
      <c r="AT935" s="95"/>
      <c r="AU935" s="95"/>
      <c r="AV935" s="95"/>
      <c r="AW935" s="95"/>
      <c r="AX935" s="95"/>
    </row>
    <row r="936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  <c r="AC936" s="95"/>
      <c r="AD936" s="95"/>
      <c r="AE936" s="95"/>
      <c r="AF936" s="95"/>
      <c r="AG936" s="95"/>
      <c r="AH936" s="95"/>
      <c r="AI936" s="95"/>
      <c r="AJ936" s="95"/>
      <c r="AK936" s="95"/>
      <c r="AL936" s="95"/>
      <c r="AM936" s="95"/>
      <c r="AN936" s="95"/>
      <c r="AO936" s="95"/>
      <c r="AP936" s="95"/>
      <c r="AQ936" s="95"/>
      <c r="AR936" s="95"/>
      <c r="AS936" s="95"/>
      <c r="AT936" s="95"/>
      <c r="AU936" s="95"/>
      <c r="AV936" s="95"/>
      <c r="AW936" s="95"/>
      <c r="AX936" s="95"/>
    </row>
    <row r="937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  <c r="AC937" s="95"/>
      <c r="AD937" s="95"/>
      <c r="AE937" s="95"/>
      <c r="AF937" s="95"/>
      <c r="AG937" s="95"/>
      <c r="AH937" s="95"/>
      <c r="AI937" s="95"/>
      <c r="AJ937" s="95"/>
      <c r="AK937" s="95"/>
      <c r="AL937" s="95"/>
      <c r="AM937" s="95"/>
      <c r="AN937" s="95"/>
      <c r="AO937" s="95"/>
      <c r="AP937" s="95"/>
      <c r="AQ937" s="95"/>
      <c r="AR937" s="95"/>
      <c r="AS937" s="95"/>
      <c r="AT937" s="95"/>
      <c r="AU937" s="95"/>
      <c r="AV937" s="95"/>
      <c r="AW937" s="95"/>
      <c r="AX937" s="95"/>
    </row>
    <row r="938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  <c r="AC938" s="95"/>
      <c r="AD938" s="95"/>
      <c r="AE938" s="95"/>
      <c r="AF938" s="95"/>
      <c r="AG938" s="95"/>
      <c r="AH938" s="95"/>
      <c r="AI938" s="95"/>
      <c r="AJ938" s="95"/>
      <c r="AK938" s="95"/>
      <c r="AL938" s="95"/>
      <c r="AM938" s="95"/>
      <c r="AN938" s="95"/>
      <c r="AO938" s="95"/>
      <c r="AP938" s="95"/>
      <c r="AQ938" s="95"/>
      <c r="AR938" s="95"/>
      <c r="AS938" s="95"/>
      <c r="AT938" s="95"/>
      <c r="AU938" s="95"/>
      <c r="AV938" s="95"/>
      <c r="AW938" s="95"/>
      <c r="AX938" s="95"/>
    </row>
    <row r="939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  <c r="AC939" s="95"/>
      <c r="AD939" s="95"/>
      <c r="AE939" s="95"/>
      <c r="AF939" s="95"/>
      <c r="AG939" s="95"/>
      <c r="AH939" s="95"/>
      <c r="AI939" s="95"/>
      <c r="AJ939" s="95"/>
      <c r="AK939" s="95"/>
      <c r="AL939" s="95"/>
      <c r="AM939" s="95"/>
      <c r="AN939" s="95"/>
      <c r="AO939" s="95"/>
      <c r="AP939" s="95"/>
      <c r="AQ939" s="95"/>
      <c r="AR939" s="95"/>
      <c r="AS939" s="95"/>
      <c r="AT939" s="95"/>
      <c r="AU939" s="95"/>
      <c r="AV939" s="95"/>
      <c r="AW939" s="95"/>
      <c r="AX939" s="95"/>
    </row>
    <row r="940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  <c r="AC940" s="95"/>
      <c r="AD940" s="95"/>
      <c r="AE940" s="95"/>
      <c r="AF940" s="95"/>
      <c r="AG940" s="95"/>
      <c r="AH940" s="95"/>
      <c r="AI940" s="95"/>
      <c r="AJ940" s="95"/>
      <c r="AK940" s="95"/>
      <c r="AL940" s="95"/>
      <c r="AM940" s="95"/>
      <c r="AN940" s="95"/>
      <c r="AO940" s="95"/>
      <c r="AP940" s="95"/>
      <c r="AQ940" s="95"/>
      <c r="AR940" s="95"/>
      <c r="AS940" s="95"/>
      <c r="AT940" s="95"/>
      <c r="AU940" s="95"/>
      <c r="AV940" s="95"/>
      <c r="AW940" s="95"/>
      <c r="AX940" s="95"/>
    </row>
    <row r="94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  <c r="AC941" s="95"/>
      <c r="AD941" s="95"/>
      <c r="AE941" s="95"/>
      <c r="AF941" s="95"/>
      <c r="AG941" s="95"/>
      <c r="AH941" s="95"/>
      <c r="AI941" s="95"/>
      <c r="AJ941" s="95"/>
      <c r="AK941" s="95"/>
      <c r="AL941" s="95"/>
      <c r="AM941" s="95"/>
      <c r="AN941" s="95"/>
      <c r="AO941" s="95"/>
      <c r="AP941" s="95"/>
      <c r="AQ941" s="95"/>
      <c r="AR941" s="95"/>
      <c r="AS941" s="95"/>
      <c r="AT941" s="95"/>
      <c r="AU941" s="95"/>
      <c r="AV941" s="95"/>
      <c r="AW941" s="95"/>
      <c r="AX941" s="95"/>
    </row>
    <row r="942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  <c r="AC942" s="95"/>
      <c r="AD942" s="95"/>
      <c r="AE942" s="95"/>
      <c r="AF942" s="95"/>
      <c r="AG942" s="95"/>
      <c r="AH942" s="95"/>
      <c r="AI942" s="95"/>
      <c r="AJ942" s="95"/>
      <c r="AK942" s="95"/>
      <c r="AL942" s="95"/>
      <c r="AM942" s="95"/>
      <c r="AN942" s="95"/>
      <c r="AO942" s="95"/>
      <c r="AP942" s="95"/>
      <c r="AQ942" s="95"/>
      <c r="AR942" s="95"/>
      <c r="AS942" s="95"/>
      <c r="AT942" s="95"/>
      <c r="AU942" s="95"/>
      <c r="AV942" s="95"/>
      <c r="AW942" s="95"/>
      <c r="AX942" s="95"/>
    </row>
    <row r="94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  <c r="AC943" s="95"/>
      <c r="AD943" s="95"/>
      <c r="AE943" s="95"/>
      <c r="AF943" s="95"/>
      <c r="AG943" s="95"/>
      <c r="AH943" s="95"/>
      <c r="AI943" s="95"/>
      <c r="AJ943" s="95"/>
      <c r="AK943" s="95"/>
      <c r="AL943" s="95"/>
      <c r="AM943" s="95"/>
      <c r="AN943" s="95"/>
      <c r="AO943" s="95"/>
      <c r="AP943" s="95"/>
      <c r="AQ943" s="95"/>
      <c r="AR943" s="95"/>
      <c r="AS943" s="95"/>
      <c r="AT943" s="95"/>
      <c r="AU943" s="95"/>
      <c r="AV943" s="95"/>
      <c r="AW943" s="95"/>
      <c r="AX943" s="95"/>
    </row>
    <row r="944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  <c r="AC944" s="95"/>
      <c r="AD944" s="95"/>
      <c r="AE944" s="95"/>
      <c r="AF944" s="95"/>
      <c r="AG944" s="95"/>
      <c r="AH944" s="95"/>
      <c r="AI944" s="95"/>
      <c r="AJ944" s="95"/>
      <c r="AK944" s="95"/>
      <c r="AL944" s="95"/>
      <c r="AM944" s="95"/>
      <c r="AN944" s="95"/>
      <c r="AO944" s="95"/>
      <c r="AP944" s="95"/>
      <c r="AQ944" s="95"/>
      <c r="AR944" s="95"/>
      <c r="AS944" s="95"/>
      <c r="AT944" s="95"/>
      <c r="AU944" s="95"/>
      <c r="AV944" s="95"/>
      <c r="AW944" s="95"/>
      <c r="AX944" s="95"/>
    </row>
    <row r="94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  <c r="AC945" s="95"/>
      <c r="AD945" s="95"/>
      <c r="AE945" s="95"/>
      <c r="AF945" s="95"/>
      <c r="AG945" s="95"/>
      <c r="AH945" s="95"/>
      <c r="AI945" s="95"/>
      <c r="AJ945" s="95"/>
      <c r="AK945" s="95"/>
      <c r="AL945" s="95"/>
      <c r="AM945" s="95"/>
      <c r="AN945" s="95"/>
      <c r="AO945" s="95"/>
      <c r="AP945" s="95"/>
      <c r="AQ945" s="95"/>
      <c r="AR945" s="95"/>
      <c r="AS945" s="95"/>
      <c r="AT945" s="95"/>
      <c r="AU945" s="95"/>
      <c r="AV945" s="95"/>
      <c r="AW945" s="95"/>
      <c r="AX945" s="95"/>
    </row>
    <row r="946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  <c r="AC946" s="95"/>
      <c r="AD946" s="95"/>
      <c r="AE946" s="95"/>
      <c r="AF946" s="95"/>
      <c r="AG946" s="95"/>
      <c r="AH946" s="95"/>
      <c r="AI946" s="95"/>
      <c r="AJ946" s="95"/>
      <c r="AK946" s="95"/>
      <c r="AL946" s="95"/>
      <c r="AM946" s="95"/>
      <c r="AN946" s="95"/>
      <c r="AO946" s="95"/>
      <c r="AP946" s="95"/>
      <c r="AQ946" s="95"/>
      <c r="AR946" s="95"/>
      <c r="AS946" s="95"/>
      <c r="AT946" s="95"/>
      <c r="AU946" s="95"/>
      <c r="AV946" s="95"/>
      <c r="AW946" s="95"/>
      <c r="AX946" s="95"/>
    </row>
    <row r="947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  <c r="AC947" s="95"/>
      <c r="AD947" s="95"/>
      <c r="AE947" s="95"/>
      <c r="AF947" s="95"/>
      <c r="AG947" s="95"/>
      <c r="AH947" s="95"/>
      <c r="AI947" s="95"/>
      <c r="AJ947" s="95"/>
      <c r="AK947" s="95"/>
      <c r="AL947" s="95"/>
      <c r="AM947" s="95"/>
      <c r="AN947" s="95"/>
      <c r="AO947" s="95"/>
      <c r="AP947" s="95"/>
      <c r="AQ947" s="95"/>
      <c r="AR947" s="95"/>
      <c r="AS947" s="95"/>
      <c r="AT947" s="95"/>
      <c r="AU947" s="95"/>
      <c r="AV947" s="95"/>
      <c r="AW947" s="95"/>
      <c r="AX947" s="95"/>
    </row>
    <row r="948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  <c r="AC948" s="95"/>
      <c r="AD948" s="95"/>
      <c r="AE948" s="95"/>
      <c r="AF948" s="95"/>
      <c r="AG948" s="95"/>
      <c r="AH948" s="95"/>
      <c r="AI948" s="95"/>
      <c r="AJ948" s="95"/>
      <c r="AK948" s="95"/>
      <c r="AL948" s="95"/>
      <c r="AM948" s="95"/>
      <c r="AN948" s="95"/>
      <c r="AO948" s="95"/>
      <c r="AP948" s="95"/>
      <c r="AQ948" s="95"/>
      <c r="AR948" s="95"/>
      <c r="AS948" s="95"/>
      <c r="AT948" s="95"/>
      <c r="AU948" s="95"/>
      <c r="AV948" s="95"/>
      <c r="AW948" s="95"/>
      <c r="AX948" s="95"/>
    </row>
    <row r="949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  <c r="AC949" s="95"/>
      <c r="AD949" s="95"/>
      <c r="AE949" s="95"/>
      <c r="AF949" s="95"/>
      <c r="AG949" s="95"/>
      <c r="AH949" s="95"/>
      <c r="AI949" s="95"/>
      <c r="AJ949" s="95"/>
      <c r="AK949" s="95"/>
      <c r="AL949" s="95"/>
      <c r="AM949" s="95"/>
      <c r="AN949" s="95"/>
      <c r="AO949" s="95"/>
      <c r="AP949" s="95"/>
      <c r="AQ949" s="95"/>
      <c r="AR949" s="95"/>
      <c r="AS949" s="95"/>
      <c r="AT949" s="95"/>
      <c r="AU949" s="95"/>
      <c r="AV949" s="95"/>
      <c r="AW949" s="95"/>
      <c r="AX949" s="95"/>
    </row>
    <row r="950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  <c r="AC950" s="95"/>
      <c r="AD950" s="95"/>
      <c r="AE950" s="95"/>
      <c r="AF950" s="95"/>
      <c r="AG950" s="95"/>
      <c r="AH950" s="95"/>
      <c r="AI950" s="95"/>
      <c r="AJ950" s="95"/>
      <c r="AK950" s="95"/>
      <c r="AL950" s="95"/>
      <c r="AM950" s="95"/>
      <c r="AN950" s="95"/>
      <c r="AO950" s="95"/>
      <c r="AP950" s="95"/>
      <c r="AQ950" s="95"/>
      <c r="AR950" s="95"/>
      <c r="AS950" s="95"/>
      <c r="AT950" s="95"/>
      <c r="AU950" s="95"/>
      <c r="AV950" s="95"/>
      <c r="AW950" s="95"/>
      <c r="AX950" s="95"/>
    </row>
    <row r="95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  <c r="AC951" s="95"/>
      <c r="AD951" s="95"/>
      <c r="AE951" s="95"/>
      <c r="AF951" s="95"/>
      <c r="AG951" s="95"/>
      <c r="AH951" s="95"/>
      <c r="AI951" s="95"/>
      <c r="AJ951" s="95"/>
      <c r="AK951" s="95"/>
      <c r="AL951" s="95"/>
      <c r="AM951" s="95"/>
      <c r="AN951" s="95"/>
      <c r="AO951" s="95"/>
      <c r="AP951" s="95"/>
      <c r="AQ951" s="95"/>
      <c r="AR951" s="95"/>
      <c r="AS951" s="95"/>
      <c r="AT951" s="95"/>
      <c r="AU951" s="95"/>
      <c r="AV951" s="95"/>
      <c r="AW951" s="95"/>
      <c r="AX951" s="95"/>
    </row>
    <row r="952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  <c r="AC952" s="95"/>
      <c r="AD952" s="95"/>
      <c r="AE952" s="95"/>
      <c r="AF952" s="95"/>
      <c r="AG952" s="95"/>
      <c r="AH952" s="95"/>
      <c r="AI952" s="95"/>
      <c r="AJ952" s="95"/>
      <c r="AK952" s="95"/>
      <c r="AL952" s="95"/>
      <c r="AM952" s="95"/>
      <c r="AN952" s="95"/>
      <c r="AO952" s="95"/>
      <c r="AP952" s="95"/>
      <c r="AQ952" s="95"/>
      <c r="AR952" s="95"/>
      <c r="AS952" s="95"/>
      <c r="AT952" s="95"/>
      <c r="AU952" s="95"/>
      <c r="AV952" s="95"/>
      <c r="AW952" s="95"/>
      <c r="AX952" s="95"/>
    </row>
    <row r="95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  <c r="AC953" s="95"/>
      <c r="AD953" s="95"/>
      <c r="AE953" s="95"/>
      <c r="AF953" s="95"/>
      <c r="AG953" s="95"/>
      <c r="AH953" s="95"/>
      <c r="AI953" s="95"/>
      <c r="AJ953" s="95"/>
      <c r="AK953" s="95"/>
      <c r="AL953" s="95"/>
      <c r="AM953" s="95"/>
      <c r="AN953" s="95"/>
      <c r="AO953" s="95"/>
      <c r="AP953" s="95"/>
      <c r="AQ953" s="95"/>
      <c r="AR953" s="95"/>
      <c r="AS953" s="95"/>
      <c r="AT953" s="95"/>
      <c r="AU953" s="95"/>
      <c r="AV953" s="95"/>
      <c r="AW953" s="95"/>
      <c r="AX953" s="95"/>
    </row>
    <row r="954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  <c r="AC954" s="95"/>
      <c r="AD954" s="95"/>
      <c r="AE954" s="95"/>
      <c r="AF954" s="95"/>
      <c r="AG954" s="95"/>
      <c r="AH954" s="95"/>
      <c r="AI954" s="95"/>
      <c r="AJ954" s="95"/>
      <c r="AK954" s="95"/>
      <c r="AL954" s="95"/>
      <c r="AM954" s="95"/>
      <c r="AN954" s="95"/>
      <c r="AO954" s="95"/>
      <c r="AP954" s="95"/>
      <c r="AQ954" s="95"/>
      <c r="AR954" s="95"/>
      <c r="AS954" s="95"/>
      <c r="AT954" s="95"/>
      <c r="AU954" s="95"/>
      <c r="AV954" s="95"/>
      <c r="AW954" s="95"/>
      <c r="AX954" s="95"/>
    </row>
    <row r="95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  <c r="AC955" s="95"/>
      <c r="AD955" s="95"/>
      <c r="AE955" s="95"/>
      <c r="AF955" s="95"/>
      <c r="AG955" s="95"/>
      <c r="AH955" s="95"/>
      <c r="AI955" s="95"/>
      <c r="AJ955" s="95"/>
      <c r="AK955" s="95"/>
      <c r="AL955" s="95"/>
      <c r="AM955" s="95"/>
      <c r="AN955" s="95"/>
      <c r="AO955" s="95"/>
      <c r="AP955" s="95"/>
      <c r="AQ955" s="95"/>
      <c r="AR955" s="95"/>
      <c r="AS955" s="95"/>
      <c r="AT955" s="95"/>
      <c r="AU955" s="95"/>
      <c r="AV955" s="95"/>
      <c r="AW955" s="95"/>
      <c r="AX955" s="95"/>
    </row>
    <row r="956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  <c r="AC956" s="95"/>
      <c r="AD956" s="95"/>
      <c r="AE956" s="95"/>
      <c r="AF956" s="95"/>
      <c r="AG956" s="95"/>
      <c r="AH956" s="95"/>
      <c r="AI956" s="95"/>
      <c r="AJ956" s="95"/>
      <c r="AK956" s="95"/>
      <c r="AL956" s="95"/>
      <c r="AM956" s="95"/>
      <c r="AN956" s="95"/>
      <c r="AO956" s="95"/>
      <c r="AP956" s="95"/>
      <c r="AQ956" s="95"/>
      <c r="AR956" s="95"/>
      <c r="AS956" s="95"/>
      <c r="AT956" s="95"/>
      <c r="AU956" s="95"/>
      <c r="AV956" s="95"/>
      <c r="AW956" s="95"/>
      <c r="AX956" s="95"/>
    </row>
    <row r="957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  <c r="AC957" s="95"/>
      <c r="AD957" s="95"/>
      <c r="AE957" s="95"/>
      <c r="AF957" s="95"/>
      <c r="AG957" s="95"/>
      <c r="AH957" s="95"/>
      <c r="AI957" s="95"/>
      <c r="AJ957" s="95"/>
      <c r="AK957" s="95"/>
      <c r="AL957" s="95"/>
      <c r="AM957" s="95"/>
      <c r="AN957" s="95"/>
      <c r="AO957" s="95"/>
      <c r="AP957" s="95"/>
      <c r="AQ957" s="95"/>
      <c r="AR957" s="95"/>
      <c r="AS957" s="95"/>
      <c r="AT957" s="95"/>
      <c r="AU957" s="95"/>
      <c r="AV957" s="95"/>
      <c r="AW957" s="95"/>
      <c r="AX957" s="95"/>
    </row>
    <row r="958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  <c r="AC958" s="95"/>
      <c r="AD958" s="95"/>
      <c r="AE958" s="95"/>
      <c r="AF958" s="95"/>
      <c r="AG958" s="95"/>
      <c r="AH958" s="95"/>
      <c r="AI958" s="95"/>
      <c r="AJ958" s="95"/>
      <c r="AK958" s="95"/>
      <c r="AL958" s="95"/>
      <c r="AM958" s="95"/>
      <c r="AN958" s="95"/>
      <c r="AO958" s="95"/>
      <c r="AP958" s="95"/>
      <c r="AQ958" s="95"/>
      <c r="AR958" s="95"/>
      <c r="AS958" s="95"/>
      <c r="AT958" s="95"/>
      <c r="AU958" s="95"/>
      <c r="AV958" s="95"/>
      <c r="AW958" s="95"/>
      <c r="AX958" s="95"/>
    </row>
    <row r="959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  <c r="AC959" s="95"/>
      <c r="AD959" s="95"/>
      <c r="AE959" s="95"/>
      <c r="AF959" s="95"/>
      <c r="AG959" s="95"/>
      <c r="AH959" s="95"/>
      <c r="AI959" s="95"/>
      <c r="AJ959" s="95"/>
      <c r="AK959" s="95"/>
      <c r="AL959" s="95"/>
      <c r="AM959" s="95"/>
      <c r="AN959" s="95"/>
      <c r="AO959" s="95"/>
      <c r="AP959" s="95"/>
      <c r="AQ959" s="95"/>
      <c r="AR959" s="95"/>
      <c r="AS959" s="95"/>
      <c r="AT959" s="95"/>
      <c r="AU959" s="95"/>
      <c r="AV959" s="95"/>
      <c r="AW959" s="95"/>
      <c r="AX959" s="95"/>
    </row>
    <row r="960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  <c r="AC960" s="95"/>
      <c r="AD960" s="95"/>
      <c r="AE960" s="95"/>
      <c r="AF960" s="95"/>
      <c r="AG960" s="95"/>
      <c r="AH960" s="95"/>
      <c r="AI960" s="95"/>
      <c r="AJ960" s="95"/>
      <c r="AK960" s="95"/>
      <c r="AL960" s="95"/>
      <c r="AM960" s="95"/>
      <c r="AN960" s="95"/>
      <c r="AO960" s="95"/>
      <c r="AP960" s="95"/>
      <c r="AQ960" s="95"/>
      <c r="AR960" s="95"/>
      <c r="AS960" s="95"/>
      <c r="AT960" s="95"/>
      <c r="AU960" s="95"/>
      <c r="AV960" s="95"/>
      <c r="AW960" s="95"/>
      <c r="AX960" s="95"/>
    </row>
    <row r="96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  <c r="AC961" s="95"/>
      <c r="AD961" s="95"/>
      <c r="AE961" s="95"/>
      <c r="AF961" s="95"/>
      <c r="AG961" s="95"/>
      <c r="AH961" s="95"/>
      <c r="AI961" s="95"/>
      <c r="AJ961" s="95"/>
      <c r="AK961" s="95"/>
      <c r="AL961" s="95"/>
      <c r="AM961" s="95"/>
      <c r="AN961" s="95"/>
      <c r="AO961" s="95"/>
      <c r="AP961" s="95"/>
      <c r="AQ961" s="95"/>
      <c r="AR961" s="95"/>
      <c r="AS961" s="95"/>
      <c r="AT961" s="95"/>
      <c r="AU961" s="95"/>
      <c r="AV961" s="95"/>
      <c r="AW961" s="95"/>
      <c r="AX961" s="95"/>
    </row>
    <row r="962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  <c r="AC962" s="95"/>
      <c r="AD962" s="95"/>
      <c r="AE962" s="95"/>
      <c r="AF962" s="95"/>
      <c r="AG962" s="95"/>
      <c r="AH962" s="95"/>
      <c r="AI962" s="95"/>
      <c r="AJ962" s="95"/>
      <c r="AK962" s="95"/>
      <c r="AL962" s="95"/>
      <c r="AM962" s="95"/>
      <c r="AN962" s="95"/>
      <c r="AO962" s="95"/>
      <c r="AP962" s="95"/>
      <c r="AQ962" s="95"/>
      <c r="AR962" s="95"/>
      <c r="AS962" s="95"/>
      <c r="AT962" s="95"/>
      <c r="AU962" s="95"/>
      <c r="AV962" s="95"/>
      <c r="AW962" s="95"/>
      <c r="AX962" s="95"/>
    </row>
    <row r="96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  <c r="AC963" s="95"/>
      <c r="AD963" s="95"/>
      <c r="AE963" s="95"/>
      <c r="AF963" s="95"/>
      <c r="AG963" s="95"/>
      <c r="AH963" s="95"/>
      <c r="AI963" s="95"/>
      <c r="AJ963" s="95"/>
      <c r="AK963" s="95"/>
      <c r="AL963" s="95"/>
      <c r="AM963" s="95"/>
      <c r="AN963" s="95"/>
      <c r="AO963" s="95"/>
      <c r="AP963" s="95"/>
      <c r="AQ963" s="95"/>
      <c r="AR963" s="95"/>
      <c r="AS963" s="95"/>
      <c r="AT963" s="95"/>
      <c r="AU963" s="95"/>
      <c r="AV963" s="95"/>
      <c r="AW963" s="95"/>
      <c r="AX963" s="95"/>
    </row>
    <row r="964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  <c r="AC964" s="95"/>
      <c r="AD964" s="95"/>
      <c r="AE964" s="95"/>
      <c r="AF964" s="95"/>
      <c r="AG964" s="95"/>
      <c r="AH964" s="95"/>
      <c r="AI964" s="95"/>
      <c r="AJ964" s="95"/>
      <c r="AK964" s="95"/>
      <c r="AL964" s="95"/>
      <c r="AM964" s="95"/>
      <c r="AN964" s="95"/>
      <c r="AO964" s="95"/>
      <c r="AP964" s="95"/>
      <c r="AQ964" s="95"/>
      <c r="AR964" s="95"/>
      <c r="AS964" s="95"/>
      <c r="AT964" s="95"/>
      <c r="AU964" s="95"/>
      <c r="AV964" s="95"/>
      <c r="AW964" s="95"/>
      <c r="AX964" s="95"/>
    </row>
    <row r="9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  <c r="AC965" s="95"/>
      <c r="AD965" s="95"/>
      <c r="AE965" s="95"/>
      <c r="AF965" s="95"/>
      <c r="AG965" s="95"/>
      <c r="AH965" s="95"/>
      <c r="AI965" s="95"/>
      <c r="AJ965" s="95"/>
      <c r="AK965" s="95"/>
      <c r="AL965" s="95"/>
      <c r="AM965" s="95"/>
      <c r="AN965" s="95"/>
      <c r="AO965" s="95"/>
      <c r="AP965" s="95"/>
      <c r="AQ965" s="95"/>
      <c r="AR965" s="95"/>
      <c r="AS965" s="95"/>
      <c r="AT965" s="95"/>
      <c r="AU965" s="95"/>
      <c r="AV965" s="95"/>
      <c r="AW965" s="95"/>
      <c r="AX965" s="95"/>
    </row>
    <row r="966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  <c r="AC966" s="95"/>
      <c r="AD966" s="95"/>
      <c r="AE966" s="95"/>
      <c r="AF966" s="95"/>
      <c r="AG966" s="95"/>
      <c r="AH966" s="95"/>
      <c r="AI966" s="95"/>
      <c r="AJ966" s="95"/>
      <c r="AK966" s="95"/>
      <c r="AL966" s="95"/>
      <c r="AM966" s="95"/>
      <c r="AN966" s="95"/>
      <c r="AO966" s="95"/>
      <c r="AP966" s="95"/>
      <c r="AQ966" s="95"/>
      <c r="AR966" s="95"/>
      <c r="AS966" s="95"/>
      <c r="AT966" s="95"/>
      <c r="AU966" s="95"/>
      <c r="AV966" s="95"/>
      <c r="AW966" s="95"/>
      <c r="AX966" s="95"/>
    </row>
    <row r="967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  <c r="AC967" s="95"/>
      <c r="AD967" s="95"/>
      <c r="AE967" s="95"/>
      <c r="AF967" s="95"/>
      <c r="AG967" s="95"/>
      <c r="AH967" s="95"/>
      <c r="AI967" s="95"/>
      <c r="AJ967" s="95"/>
      <c r="AK967" s="95"/>
      <c r="AL967" s="95"/>
      <c r="AM967" s="95"/>
      <c r="AN967" s="95"/>
      <c r="AO967" s="95"/>
      <c r="AP967" s="95"/>
      <c r="AQ967" s="95"/>
      <c r="AR967" s="95"/>
      <c r="AS967" s="95"/>
      <c r="AT967" s="95"/>
      <c r="AU967" s="95"/>
      <c r="AV967" s="95"/>
      <c r="AW967" s="95"/>
      <c r="AX967" s="95"/>
    </row>
    <row r="968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  <c r="AC968" s="95"/>
      <c r="AD968" s="95"/>
      <c r="AE968" s="95"/>
      <c r="AF968" s="95"/>
      <c r="AG968" s="95"/>
      <c r="AH968" s="95"/>
      <c r="AI968" s="95"/>
      <c r="AJ968" s="95"/>
      <c r="AK968" s="95"/>
      <c r="AL968" s="95"/>
      <c r="AM968" s="95"/>
      <c r="AN968" s="95"/>
      <c r="AO968" s="95"/>
      <c r="AP968" s="95"/>
      <c r="AQ968" s="95"/>
      <c r="AR968" s="95"/>
      <c r="AS968" s="95"/>
      <c r="AT968" s="95"/>
      <c r="AU968" s="95"/>
      <c r="AV968" s="95"/>
      <c r="AW968" s="95"/>
      <c r="AX968" s="95"/>
    </row>
    <row r="969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  <c r="AC969" s="95"/>
      <c r="AD969" s="95"/>
      <c r="AE969" s="95"/>
      <c r="AF969" s="95"/>
      <c r="AG969" s="95"/>
      <c r="AH969" s="95"/>
      <c r="AI969" s="95"/>
      <c r="AJ969" s="95"/>
      <c r="AK969" s="95"/>
      <c r="AL969" s="95"/>
      <c r="AM969" s="95"/>
      <c r="AN969" s="95"/>
      <c r="AO969" s="95"/>
      <c r="AP969" s="95"/>
      <c r="AQ969" s="95"/>
      <c r="AR969" s="95"/>
      <c r="AS969" s="95"/>
      <c r="AT969" s="95"/>
      <c r="AU969" s="95"/>
      <c r="AV969" s="95"/>
      <c r="AW969" s="95"/>
      <c r="AX969" s="95"/>
    </row>
    <row r="970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  <c r="AC970" s="95"/>
      <c r="AD970" s="95"/>
      <c r="AE970" s="95"/>
      <c r="AF970" s="95"/>
      <c r="AG970" s="95"/>
      <c r="AH970" s="95"/>
      <c r="AI970" s="95"/>
      <c r="AJ970" s="95"/>
      <c r="AK970" s="95"/>
      <c r="AL970" s="95"/>
      <c r="AM970" s="95"/>
      <c r="AN970" s="95"/>
      <c r="AO970" s="95"/>
      <c r="AP970" s="95"/>
      <c r="AQ970" s="95"/>
      <c r="AR970" s="95"/>
      <c r="AS970" s="95"/>
      <c r="AT970" s="95"/>
      <c r="AU970" s="95"/>
      <c r="AV970" s="95"/>
      <c r="AW970" s="95"/>
      <c r="AX970" s="95"/>
    </row>
    <row r="97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  <c r="AC971" s="95"/>
      <c r="AD971" s="95"/>
      <c r="AE971" s="95"/>
      <c r="AF971" s="95"/>
      <c r="AG971" s="95"/>
      <c r="AH971" s="95"/>
      <c r="AI971" s="95"/>
      <c r="AJ971" s="95"/>
      <c r="AK971" s="95"/>
      <c r="AL971" s="95"/>
      <c r="AM971" s="95"/>
      <c r="AN971" s="95"/>
      <c r="AO971" s="95"/>
      <c r="AP971" s="95"/>
      <c r="AQ971" s="95"/>
      <c r="AR971" s="95"/>
      <c r="AS971" s="95"/>
      <c r="AT971" s="95"/>
      <c r="AU971" s="95"/>
      <c r="AV971" s="95"/>
      <c r="AW971" s="95"/>
      <c r="AX971" s="95"/>
    </row>
    <row r="972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  <c r="AC972" s="95"/>
      <c r="AD972" s="95"/>
      <c r="AE972" s="95"/>
      <c r="AF972" s="95"/>
      <c r="AG972" s="95"/>
      <c r="AH972" s="95"/>
      <c r="AI972" s="95"/>
      <c r="AJ972" s="95"/>
      <c r="AK972" s="95"/>
      <c r="AL972" s="95"/>
      <c r="AM972" s="95"/>
      <c r="AN972" s="95"/>
      <c r="AO972" s="95"/>
      <c r="AP972" s="95"/>
      <c r="AQ972" s="95"/>
      <c r="AR972" s="95"/>
      <c r="AS972" s="95"/>
      <c r="AT972" s="95"/>
      <c r="AU972" s="95"/>
      <c r="AV972" s="95"/>
      <c r="AW972" s="95"/>
      <c r="AX972" s="95"/>
    </row>
    <row r="97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  <c r="AC973" s="95"/>
      <c r="AD973" s="95"/>
      <c r="AE973" s="95"/>
      <c r="AF973" s="95"/>
      <c r="AG973" s="95"/>
      <c r="AH973" s="95"/>
      <c r="AI973" s="95"/>
      <c r="AJ973" s="95"/>
      <c r="AK973" s="95"/>
      <c r="AL973" s="95"/>
      <c r="AM973" s="95"/>
      <c r="AN973" s="95"/>
      <c r="AO973" s="95"/>
      <c r="AP973" s="95"/>
      <c r="AQ973" s="95"/>
      <c r="AR973" s="95"/>
      <c r="AS973" s="95"/>
      <c r="AT973" s="95"/>
      <c r="AU973" s="95"/>
      <c r="AV973" s="95"/>
      <c r="AW973" s="95"/>
      <c r="AX973" s="95"/>
    </row>
    <row r="974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  <c r="AC974" s="95"/>
      <c r="AD974" s="95"/>
      <c r="AE974" s="95"/>
      <c r="AF974" s="95"/>
      <c r="AG974" s="95"/>
      <c r="AH974" s="95"/>
      <c r="AI974" s="95"/>
      <c r="AJ974" s="95"/>
      <c r="AK974" s="95"/>
      <c r="AL974" s="95"/>
      <c r="AM974" s="95"/>
      <c r="AN974" s="95"/>
      <c r="AO974" s="95"/>
      <c r="AP974" s="95"/>
      <c r="AQ974" s="95"/>
      <c r="AR974" s="95"/>
      <c r="AS974" s="95"/>
      <c r="AT974" s="95"/>
      <c r="AU974" s="95"/>
      <c r="AV974" s="95"/>
      <c r="AW974" s="95"/>
      <c r="AX974" s="95"/>
    </row>
    <row r="97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  <c r="AC975" s="95"/>
      <c r="AD975" s="95"/>
      <c r="AE975" s="95"/>
      <c r="AF975" s="95"/>
      <c r="AG975" s="95"/>
      <c r="AH975" s="95"/>
      <c r="AI975" s="95"/>
      <c r="AJ975" s="95"/>
      <c r="AK975" s="95"/>
      <c r="AL975" s="95"/>
      <c r="AM975" s="95"/>
      <c r="AN975" s="95"/>
      <c r="AO975" s="95"/>
      <c r="AP975" s="95"/>
      <c r="AQ975" s="95"/>
      <c r="AR975" s="95"/>
      <c r="AS975" s="95"/>
      <c r="AT975" s="95"/>
      <c r="AU975" s="95"/>
      <c r="AV975" s="95"/>
      <c r="AW975" s="95"/>
      <c r="AX975" s="95"/>
    </row>
    <row r="976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  <c r="AC976" s="95"/>
      <c r="AD976" s="95"/>
      <c r="AE976" s="95"/>
      <c r="AF976" s="95"/>
      <c r="AG976" s="95"/>
      <c r="AH976" s="95"/>
      <c r="AI976" s="95"/>
      <c r="AJ976" s="95"/>
      <c r="AK976" s="95"/>
      <c r="AL976" s="95"/>
      <c r="AM976" s="95"/>
      <c r="AN976" s="95"/>
      <c r="AO976" s="95"/>
      <c r="AP976" s="95"/>
      <c r="AQ976" s="95"/>
      <c r="AR976" s="95"/>
      <c r="AS976" s="95"/>
      <c r="AT976" s="95"/>
      <c r="AU976" s="95"/>
      <c r="AV976" s="95"/>
      <c r="AW976" s="95"/>
      <c r="AX976" s="95"/>
    </row>
    <row r="977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  <c r="AC977" s="95"/>
      <c r="AD977" s="95"/>
      <c r="AE977" s="95"/>
      <c r="AF977" s="95"/>
      <c r="AG977" s="95"/>
      <c r="AH977" s="95"/>
      <c r="AI977" s="95"/>
      <c r="AJ977" s="95"/>
      <c r="AK977" s="95"/>
      <c r="AL977" s="95"/>
      <c r="AM977" s="95"/>
      <c r="AN977" s="95"/>
      <c r="AO977" s="95"/>
      <c r="AP977" s="95"/>
      <c r="AQ977" s="95"/>
      <c r="AR977" s="95"/>
      <c r="AS977" s="95"/>
      <c r="AT977" s="95"/>
      <c r="AU977" s="95"/>
      <c r="AV977" s="95"/>
      <c r="AW977" s="95"/>
      <c r="AX977" s="95"/>
    </row>
    <row r="978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  <c r="AC978" s="95"/>
      <c r="AD978" s="95"/>
      <c r="AE978" s="95"/>
      <c r="AF978" s="95"/>
      <c r="AG978" s="95"/>
      <c r="AH978" s="95"/>
      <c r="AI978" s="95"/>
      <c r="AJ978" s="95"/>
      <c r="AK978" s="95"/>
      <c r="AL978" s="95"/>
      <c r="AM978" s="95"/>
      <c r="AN978" s="95"/>
      <c r="AO978" s="95"/>
      <c r="AP978" s="95"/>
      <c r="AQ978" s="95"/>
      <c r="AR978" s="95"/>
      <c r="AS978" s="95"/>
      <c r="AT978" s="95"/>
      <c r="AU978" s="95"/>
      <c r="AV978" s="95"/>
      <c r="AW978" s="95"/>
      <c r="AX978" s="95"/>
    </row>
    <row r="979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  <c r="AC979" s="95"/>
      <c r="AD979" s="95"/>
      <c r="AE979" s="95"/>
      <c r="AF979" s="95"/>
      <c r="AG979" s="95"/>
      <c r="AH979" s="95"/>
      <c r="AI979" s="95"/>
      <c r="AJ979" s="95"/>
      <c r="AK979" s="95"/>
      <c r="AL979" s="95"/>
      <c r="AM979" s="95"/>
      <c r="AN979" s="95"/>
      <c r="AO979" s="95"/>
      <c r="AP979" s="95"/>
      <c r="AQ979" s="95"/>
      <c r="AR979" s="95"/>
      <c r="AS979" s="95"/>
      <c r="AT979" s="95"/>
      <c r="AU979" s="95"/>
      <c r="AV979" s="95"/>
      <c r="AW979" s="95"/>
      <c r="AX979" s="95"/>
    </row>
    <row r="980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  <c r="AC980" s="95"/>
      <c r="AD980" s="95"/>
      <c r="AE980" s="95"/>
      <c r="AF980" s="95"/>
      <c r="AG980" s="95"/>
      <c r="AH980" s="95"/>
      <c r="AI980" s="95"/>
      <c r="AJ980" s="95"/>
      <c r="AK980" s="95"/>
      <c r="AL980" s="95"/>
      <c r="AM980" s="95"/>
      <c r="AN980" s="95"/>
      <c r="AO980" s="95"/>
      <c r="AP980" s="95"/>
      <c r="AQ980" s="95"/>
      <c r="AR980" s="95"/>
      <c r="AS980" s="95"/>
      <c r="AT980" s="95"/>
      <c r="AU980" s="95"/>
      <c r="AV980" s="95"/>
      <c r="AW980" s="95"/>
      <c r="AX980" s="95"/>
    </row>
    <row r="98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  <c r="AC981" s="95"/>
      <c r="AD981" s="95"/>
      <c r="AE981" s="95"/>
      <c r="AF981" s="95"/>
      <c r="AG981" s="95"/>
      <c r="AH981" s="95"/>
      <c r="AI981" s="95"/>
      <c r="AJ981" s="95"/>
      <c r="AK981" s="95"/>
      <c r="AL981" s="95"/>
      <c r="AM981" s="95"/>
      <c r="AN981" s="95"/>
      <c r="AO981" s="95"/>
      <c r="AP981" s="95"/>
      <c r="AQ981" s="95"/>
      <c r="AR981" s="95"/>
      <c r="AS981" s="95"/>
      <c r="AT981" s="95"/>
      <c r="AU981" s="95"/>
      <c r="AV981" s="95"/>
      <c r="AW981" s="95"/>
      <c r="AX981" s="95"/>
    </row>
    <row r="982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  <c r="AC982" s="95"/>
      <c r="AD982" s="95"/>
      <c r="AE982" s="95"/>
      <c r="AF982" s="95"/>
      <c r="AG982" s="95"/>
      <c r="AH982" s="95"/>
      <c r="AI982" s="95"/>
      <c r="AJ982" s="95"/>
      <c r="AK982" s="95"/>
      <c r="AL982" s="95"/>
      <c r="AM982" s="95"/>
      <c r="AN982" s="95"/>
      <c r="AO982" s="95"/>
      <c r="AP982" s="95"/>
      <c r="AQ982" s="95"/>
      <c r="AR982" s="95"/>
      <c r="AS982" s="95"/>
      <c r="AT982" s="95"/>
      <c r="AU982" s="95"/>
      <c r="AV982" s="95"/>
      <c r="AW982" s="95"/>
      <c r="AX982" s="95"/>
    </row>
    <row r="98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  <c r="AC983" s="95"/>
      <c r="AD983" s="95"/>
      <c r="AE983" s="95"/>
      <c r="AF983" s="95"/>
      <c r="AG983" s="95"/>
      <c r="AH983" s="95"/>
      <c r="AI983" s="95"/>
      <c r="AJ983" s="95"/>
      <c r="AK983" s="95"/>
      <c r="AL983" s="95"/>
      <c r="AM983" s="95"/>
      <c r="AN983" s="95"/>
      <c r="AO983" s="95"/>
      <c r="AP983" s="95"/>
      <c r="AQ983" s="95"/>
      <c r="AR983" s="95"/>
      <c r="AS983" s="95"/>
      <c r="AT983" s="95"/>
      <c r="AU983" s="95"/>
      <c r="AV983" s="95"/>
      <c r="AW983" s="95"/>
      <c r="AX983" s="95"/>
    </row>
    <row r="984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</row>
    <row r="98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  <c r="AC985" s="95"/>
      <c r="AD985" s="95"/>
      <c r="AE985" s="95"/>
      <c r="AF985" s="95"/>
      <c r="AG985" s="95"/>
      <c r="AH985" s="95"/>
      <c r="AI985" s="95"/>
      <c r="AJ985" s="95"/>
      <c r="AK985" s="95"/>
      <c r="AL985" s="95"/>
      <c r="AM985" s="95"/>
      <c r="AN985" s="95"/>
      <c r="AO985" s="95"/>
      <c r="AP985" s="95"/>
      <c r="AQ985" s="95"/>
      <c r="AR985" s="95"/>
      <c r="AS985" s="95"/>
      <c r="AT985" s="95"/>
      <c r="AU985" s="95"/>
      <c r="AV985" s="95"/>
      <c r="AW985" s="95"/>
      <c r="AX985" s="95"/>
    </row>
    <row r="986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  <c r="AC986" s="95"/>
      <c r="AD986" s="95"/>
      <c r="AE986" s="95"/>
      <c r="AF986" s="95"/>
      <c r="AG986" s="95"/>
      <c r="AH986" s="95"/>
      <c r="AI986" s="95"/>
      <c r="AJ986" s="95"/>
      <c r="AK986" s="95"/>
      <c r="AL986" s="95"/>
      <c r="AM986" s="95"/>
      <c r="AN986" s="95"/>
      <c r="AO986" s="95"/>
      <c r="AP986" s="95"/>
      <c r="AQ986" s="95"/>
      <c r="AR986" s="95"/>
      <c r="AS986" s="95"/>
      <c r="AT986" s="95"/>
      <c r="AU986" s="95"/>
      <c r="AV986" s="95"/>
      <c r="AW986" s="95"/>
      <c r="AX986" s="95"/>
    </row>
    <row r="987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  <c r="AC987" s="95"/>
      <c r="AD987" s="95"/>
      <c r="AE987" s="95"/>
      <c r="AF987" s="95"/>
      <c r="AG987" s="95"/>
      <c r="AH987" s="95"/>
      <c r="AI987" s="95"/>
      <c r="AJ987" s="95"/>
      <c r="AK987" s="95"/>
      <c r="AL987" s="95"/>
      <c r="AM987" s="95"/>
      <c r="AN987" s="95"/>
      <c r="AO987" s="95"/>
      <c r="AP987" s="95"/>
      <c r="AQ987" s="95"/>
      <c r="AR987" s="95"/>
      <c r="AS987" s="95"/>
      <c r="AT987" s="95"/>
      <c r="AU987" s="95"/>
      <c r="AV987" s="95"/>
      <c r="AW987" s="95"/>
      <c r="AX987" s="95"/>
    </row>
    <row r="988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  <c r="AC988" s="95"/>
      <c r="AD988" s="95"/>
      <c r="AE988" s="95"/>
      <c r="AF988" s="95"/>
      <c r="AG988" s="95"/>
      <c r="AH988" s="95"/>
      <c r="AI988" s="95"/>
      <c r="AJ988" s="95"/>
      <c r="AK988" s="95"/>
      <c r="AL988" s="95"/>
      <c r="AM988" s="95"/>
      <c r="AN988" s="95"/>
      <c r="AO988" s="95"/>
      <c r="AP988" s="95"/>
      <c r="AQ988" s="95"/>
      <c r="AR988" s="95"/>
      <c r="AS988" s="95"/>
      <c r="AT988" s="95"/>
      <c r="AU988" s="95"/>
      <c r="AV988" s="95"/>
      <c r="AW988" s="95"/>
      <c r="AX988" s="95"/>
    </row>
    <row r="989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  <c r="AC989" s="95"/>
      <c r="AD989" s="95"/>
      <c r="AE989" s="95"/>
      <c r="AF989" s="95"/>
      <c r="AG989" s="95"/>
      <c r="AH989" s="95"/>
      <c r="AI989" s="95"/>
      <c r="AJ989" s="95"/>
      <c r="AK989" s="95"/>
      <c r="AL989" s="95"/>
      <c r="AM989" s="95"/>
      <c r="AN989" s="95"/>
      <c r="AO989" s="95"/>
      <c r="AP989" s="95"/>
      <c r="AQ989" s="95"/>
      <c r="AR989" s="95"/>
      <c r="AS989" s="95"/>
      <c r="AT989" s="95"/>
      <c r="AU989" s="95"/>
      <c r="AV989" s="95"/>
      <c r="AW989" s="95"/>
      <c r="AX989" s="95"/>
    </row>
    <row r="990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  <c r="AC990" s="95"/>
      <c r="AD990" s="95"/>
      <c r="AE990" s="95"/>
      <c r="AF990" s="95"/>
      <c r="AG990" s="95"/>
      <c r="AH990" s="95"/>
      <c r="AI990" s="95"/>
      <c r="AJ990" s="95"/>
      <c r="AK990" s="95"/>
      <c r="AL990" s="95"/>
      <c r="AM990" s="95"/>
      <c r="AN990" s="95"/>
      <c r="AO990" s="95"/>
      <c r="AP990" s="95"/>
      <c r="AQ990" s="95"/>
      <c r="AR990" s="95"/>
      <c r="AS990" s="95"/>
      <c r="AT990" s="95"/>
      <c r="AU990" s="95"/>
      <c r="AV990" s="95"/>
      <c r="AW990" s="95"/>
      <c r="AX990" s="95"/>
    </row>
    <row r="99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  <c r="AC991" s="95"/>
      <c r="AD991" s="95"/>
      <c r="AE991" s="95"/>
      <c r="AF991" s="95"/>
      <c r="AG991" s="95"/>
      <c r="AH991" s="95"/>
      <c r="AI991" s="95"/>
      <c r="AJ991" s="95"/>
      <c r="AK991" s="95"/>
      <c r="AL991" s="95"/>
      <c r="AM991" s="95"/>
      <c r="AN991" s="95"/>
      <c r="AO991" s="95"/>
      <c r="AP991" s="95"/>
      <c r="AQ991" s="95"/>
      <c r="AR991" s="95"/>
      <c r="AS991" s="95"/>
      <c r="AT991" s="95"/>
      <c r="AU991" s="95"/>
      <c r="AV991" s="95"/>
      <c r="AW991" s="95"/>
      <c r="AX991" s="95"/>
    </row>
    <row r="992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  <c r="AC992" s="95"/>
      <c r="AD992" s="95"/>
      <c r="AE992" s="95"/>
      <c r="AF992" s="95"/>
      <c r="AG992" s="95"/>
      <c r="AH992" s="95"/>
      <c r="AI992" s="95"/>
      <c r="AJ992" s="95"/>
      <c r="AK992" s="95"/>
      <c r="AL992" s="95"/>
      <c r="AM992" s="95"/>
      <c r="AN992" s="95"/>
      <c r="AO992" s="95"/>
      <c r="AP992" s="95"/>
      <c r="AQ992" s="95"/>
      <c r="AR992" s="95"/>
      <c r="AS992" s="95"/>
      <c r="AT992" s="95"/>
      <c r="AU992" s="95"/>
      <c r="AV992" s="95"/>
      <c r="AW992" s="95"/>
      <c r="AX992" s="95"/>
    </row>
    <row r="99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  <c r="AC993" s="95"/>
      <c r="AD993" s="95"/>
      <c r="AE993" s="95"/>
      <c r="AF993" s="95"/>
      <c r="AG993" s="95"/>
      <c r="AH993" s="95"/>
      <c r="AI993" s="95"/>
      <c r="AJ993" s="95"/>
      <c r="AK993" s="95"/>
      <c r="AL993" s="95"/>
      <c r="AM993" s="95"/>
      <c r="AN993" s="95"/>
      <c r="AO993" s="95"/>
      <c r="AP993" s="95"/>
      <c r="AQ993" s="95"/>
      <c r="AR993" s="95"/>
      <c r="AS993" s="95"/>
      <c r="AT993" s="95"/>
      <c r="AU993" s="95"/>
      <c r="AV993" s="95"/>
      <c r="AW993" s="95"/>
      <c r="AX993" s="95"/>
    </row>
    <row r="994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  <c r="AC994" s="95"/>
      <c r="AD994" s="95"/>
      <c r="AE994" s="95"/>
      <c r="AF994" s="95"/>
      <c r="AG994" s="95"/>
      <c r="AH994" s="95"/>
      <c r="AI994" s="95"/>
      <c r="AJ994" s="95"/>
      <c r="AK994" s="95"/>
      <c r="AL994" s="95"/>
      <c r="AM994" s="95"/>
      <c r="AN994" s="95"/>
      <c r="AO994" s="95"/>
      <c r="AP994" s="95"/>
      <c r="AQ994" s="95"/>
      <c r="AR994" s="95"/>
      <c r="AS994" s="95"/>
      <c r="AT994" s="95"/>
      <c r="AU994" s="95"/>
      <c r="AV994" s="95"/>
      <c r="AW994" s="95"/>
      <c r="AX994" s="95"/>
    </row>
    <row r="99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  <c r="AC995" s="95"/>
      <c r="AD995" s="95"/>
      <c r="AE995" s="95"/>
      <c r="AF995" s="95"/>
      <c r="AG995" s="95"/>
      <c r="AH995" s="95"/>
      <c r="AI995" s="95"/>
      <c r="AJ995" s="95"/>
      <c r="AK995" s="95"/>
      <c r="AL995" s="95"/>
      <c r="AM995" s="95"/>
      <c r="AN995" s="95"/>
      <c r="AO995" s="95"/>
      <c r="AP995" s="95"/>
      <c r="AQ995" s="95"/>
      <c r="AR995" s="95"/>
      <c r="AS995" s="95"/>
      <c r="AT995" s="95"/>
      <c r="AU995" s="95"/>
      <c r="AV995" s="95"/>
      <c r="AW995" s="95"/>
      <c r="AX995" s="95"/>
    </row>
    <row r="996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  <c r="AC996" s="95"/>
      <c r="AD996" s="95"/>
      <c r="AE996" s="95"/>
      <c r="AF996" s="95"/>
      <c r="AG996" s="95"/>
      <c r="AH996" s="95"/>
      <c r="AI996" s="95"/>
      <c r="AJ996" s="95"/>
      <c r="AK996" s="95"/>
      <c r="AL996" s="95"/>
      <c r="AM996" s="95"/>
      <c r="AN996" s="95"/>
      <c r="AO996" s="95"/>
      <c r="AP996" s="95"/>
      <c r="AQ996" s="95"/>
      <c r="AR996" s="95"/>
      <c r="AS996" s="95"/>
      <c r="AT996" s="95"/>
      <c r="AU996" s="95"/>
      <c r="AV996" s="95"/>
      <c r="AW996" s="95"/>
      <c r="AX996" s="95"/>
    </row>
    <row r="997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  <c r="AC997" s="95"/>
      <c r="AD997" s="95"/>
      <c r="AE997" s="95"/>
      <c r="AF997" s="95"/>
      <c r="AG997" s="95"/>
      <c r="AH997" s="95"/>
      <c r="AI997" s="95"/>
      <c r="AJ997" s="95"/>
      <c r="AK997" s="95"/>
      <c r="AL997" s="95"/>
      <c r="AM997" s="95"/>
      <c r="AN997" s="95"/>
      <c r="AO997" s="95"/>
      <c r="AP997" s="95"/>
      <c r="AQ997" s="95"/>
      <c r="AR997" s="95"/>
      <c r="AS997" s="95"/>
      <c r="AT997" s="95"/>
      <c r="AU997" s="95"/>
      <c r="AV997" s="95"/>
      <c r="AW997" s="95"/>
      <c r="AX997" s="95"/>
    </row>
    <row r="998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  <c r="AC998" s="95"/>
      <c r="AD998" s="95"/>
      <c r="AE998" s="95"/>
      <c r="AF998" s="95"/>
      <c r="AG998" s="95"/>
      <c r="AH998" s="95"/>
      <c r="AI998" s="95"/>
      <c r="AJ998" s="95"/>
      <c r="AK998" s="95"/>
      <c r="AL998" s="95"/>
      <c r="AM998" s="95"/>
      <c r="AN998" s="95"/>
      <c r="AO998" s="95"/>
      <c r="AP998" s="95"/>
      <c r="AQ998" s="95"/>
      <c r="AR998" s="95"/>
      <c r="AS998" s="95"/>
      <c r="AT998" s="95"/>
      <c r="AU998" s="95"/>
      <c r="AV998" s="95"/>
      <c r="AW998" s="95"/>
      <c r="AX998" s="95"/>
    </row>
    <row r="999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  <c r="AC999" s="95"/>
      <c r="AD999" s="95"/>
      <c r="AE999" s="95"/>
      <c r="AF999" s="95"/>
      <c r="AG999" s="95"/>
      <c r="AH999" s="95"/>
      <c r="AI999" s="95"/>
      <c r="AJ999" s="95"/>
      <c r="AK999" s="95"/>
      <c r="AL999" s="95"/>
      <c r="AM999" s="95"/>
      <c r="AN999" s="95"/>
      <c r="AO999" s="95"/>
      <c r="AP999" s="95"/>
      <c r="AQ999" s="95"/>
      <c r="AR999" s="95"/>
      <c r="AS999" s="95"/>
      <c r="AT999" s="95"/>
      <c r="AU999" s="95"/>
      <c r="AV999" s="95"/>
      <c r="AW999" s="95"/>
      <c r="AX999" s="95"/>
    </row>
    <row r="1000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  <c r="AC1000" s="95"/>
      <c r="AD1000" s="95"/>
      <c r="AE1000" s="95"/>
      <c r="AF1000" s="95"/>
      <c r="AG1000" s="95"/>
      <c r="AH1000" s="95"/>
      <c r="AI1000" s="95"/>
      <c r="AJ1000" s="95"/>
      <c r="AK1000" s="95"/>
      <c r="AL1000" s="95"/>
      <c r="AM1000" s="95"/>
      <c r="AN1000" s="95"/>
      <c r="AO1000" s="95"/>
      <c r="AP1000" s="95"/>
      <c r="AQ1000" s="95"/>
      <c r="AR1000" s="95"/>
      <c r="AS1000" s="95"/>
      <c r="AT1000" s="95"/>
      <c r="AU1000" s="95"/>
      <c r="AV1000" s="95"/>
      <c r="AW1000" s="95"/>
      <c r="AX1000" s="95"/>
    </row>
  </sheetData>
  <mergeCells count="38">
    <mergeCell ref="U7:U9"/>
    <mergeCell ref="V7:V9"/>
    <mergeCell ref="W7:W9"/>
    <mergeCell ref="X7:X9"/>
    <mergeCell ref="Y7:Y9"/>
    <mergeCell ref="Z7:Z9"/>
    <mergeCell ref="AA7:AA9"/>
    <mergeCell ref="AB7:AB9"/>
    <mergeCell ref="A1:H1"/>
    <mergeCell ref="G3:G4"/>
    <mergeCell ref="V4:W4"/>
    <mergeCell ref="AD4:AE4"/>
    <mergeCell ref="A7:A9"/>
    <mergeCell ref="B7:E7"/>
    <mergeCell ref="F7:F8"/>
    <mergeCell ref="AH8:AI8"/>
    <mergeCell ref="AK8:AN8"/>
    <mergeCell ref="AC7:AC9"/>
    <mergeCell ref="AD7:AE7"/>
    <mergeCell ref="AF7:AI7"/>
    <mergeCell ref="AJ7:AP7"/>
    <mergeCell ref="AD8:AD9"/>
    <mergeCell ref="AE8:AE9"/>
    <mergeCell ref="AF8:AG8"/>
    <mergeCell ref="G7:G8"/>
    <mergeCell ref="H7:H8"/>
    <mergeCell ref="I7:I8"/>
    <mergeCell ref="J7:J8"/>
    <mergeCell ref="K7:K8"/>
    <mergeCell ref="L7:L8"/>
    <mergeCell ref="M7:M8"/>
    <mergeCell ref="N7:N8"/>
    <mergeCell ref="O7:O8"/>
    <mergeCell ref="P7:P9"/>
    <mergeCell ref="Q7:Q9"/>
    <mergeCell ref="R7:R9"/>
    <mergeCell ref="S7:S9"/>
    <mergeCell ref="T7:T9"/>
  </mergeCells>
  <printOptions/>
  <pageMargins bottom="0.75" footer="0.0" header="0.0" left="0.7" right="0.7" top="0.75"/>
  <pageSetup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2007-08-04T17:39:27Z</dcterms:created>
  <dc:creator>TriTan</dc:creator>
</cp:coreProperties>
</file>