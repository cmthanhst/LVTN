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/>
  <mc:AlternateContent xmlns:mc="http://schemas.openxmlformats.org/markup-compatibility/2006">
    <mc:Choice Requires="x15">
      <x15ac:absPath xmlns:x15ac="http://schemas.microsoft.com/office/spreadsheetml/2010/11/ac" url="H:\LVTN\Thuyet minh\"/>
    </mc:Choice>
  </mc:AlternateContent>
  <xr:revisionPtr revIDLastSave="0" documentId="13_ncr:1_{F93612D6-27E6-41EF-A2AF-148DF765B639}" xr6:coauthVersionLast="36" xr6:coauthVersionMax="47" xr10:uidLastSave="{00000000-0000-0000-0000-000000000000}"/>
  <bookViews>
    <workbookView xWindow="0" yWindow="0" windowWidth="28780" windowHeight="12170" activeTab="1" xr2:uid="{00000000-000D-0000-FFFF-FFFF00000000}"/>
  </bookViews>
  <sheets>
    <sheet name="PILE-99" sheetId="1" r:id="rId1"/>
    <sheet name="Bangtra" sheetId="2" r:id="rId2"/>
  </sheets>
  <definedNames>
    <definedName name="Z_6FCC20C4_4A54_4973_8359_C6D8908D37C8_.wvu.Cols" localSheetId="0">'PILE-99'!$IK:$IU</definedName>
  </definedNames>
  <calcPr calcId="179021"/>
  <extLst>
    <ext uri="GoogleSheetsCustomDataVersion1">
      <go:sheetsCustomData xmlns:go="http://customooxmlschemas.google.com/" r:id="rId7" roundtripDataSignature="AMtx7mj77SA9X59kt758MuiU/ZFariRExg=="/>
    </ext>
  </extLst>
</workbook>
</file>

<file path=xl/calcChain.xml><?xml version="1.0" encoding="utf-8"?>
<calcChain xmlns="http://schemas.openxmlformats.org/spreadsheetml/2006/main">
  <c r="K40" i="1" l="1"/>
  <c r="K31" i="1"/>
  <c r="AB11" i="2"/>
  <c r="I29" i="1"/>
  <c r="I30" i="1" s="1"/>
  <c r="I31" i="1" s="1"/>
  <c r="I32" i="1" s="1"/>
  <c r="I41" i="1"/>
  <c r="D152" i="2" l="1"/>
  <c r="E152" i="2" s="1"/>
  <c r="F152" i="2" s="1"/>
  <c r="G152" i="2" s="1"/>
  <c r="H152" i="2" s="1"/>
  <c r="I152" i="2" s="1"/>
  <c r="B152" i="2"/>
  <c r="C152" i="2" s="1"/>
  <c r="C151" i="2"/>
  <c r="D151" i="2" s="1"/>
  <c r="E151" i="2" s="1"/>
  <c r="F151" i="2" s="1"/>
  <c r="G151" i="2" s="1"/>
  <c r="H151" i="2" s="1"/>
  <c r="I151" i="2" s="1"/>
  <c r="G150" i="2"/>
  <c r="H150" i="2" s="1"/>
  <c r="I150" i="2" s="1"/>
  <c r="B150" i="2"/>
  <c r="C150" i="2" s="1"/>
  <c r="D150" i="2" s="1"/>
  <c r="E150" i="2" s="1"/>
  <c r="F150" i="2" s="1"/>
  <c r="C149" i="2"/>
  <c r="D149" i="2" s="1"/>
  <c r="E149" i="2" s="1"/>
  <c r="F149" i="2" s="1"/>
  <c r="G149" i="2" s="1"/>
  <c r="H149" i="2" s="1"/>
  <c r="I149" i="2" s="1"/>
  <c r="D148" i="2"/>
  <c r="E148" i="2" s="1"/>
  <c r="F148" i="2" s="1"/>
  <c r="G148" i="2" s="1"/>
  <c r="H148" i="2" s="1"/>
  <c r="I148" i="2" s="1"/>
  <c r="B148" i="2"/>
  <c r="C148" i="2" s="1"/>
  <c r="C147" i="2"/>
  <c r="D147" i="2" s="1"/>
  <c r="E147" i="2" s="1"/>
  <c r="F147" i="2" s="1"/>
  <c r="G147" i="2" s="1"/>
  <c r="H147" i="2" s="1"/>
  <c r="I147" i="2" s="1"/>
  <c r="G146" i="2"/>
  <c r="H146" i="2" s="1"/>
  <c r="I146" i="2" s="1"/>
  <c r="B146" i="2"/>
  <c r="C146" i="2" s="1"/>
  <c r="D146" i="2" s="1"/>
  <c r="E146" i="2" s="1"/>
  <c r="F146" i="2" s="1"/>
  <c r="C145" i="2"/>
  <c r="D145" i="2" s="1"/>
  <c r="E145" i="2" s="1"/>
  <c r="F145" i="2" s="1"/>
  <c r="G145" i="2" s="1"/>
  <c r="H145" i="2" s="1"/>
  <c r="I145" i="2" s="1"/>
  <c r="D144" i="2"/>
  <c r="E144" i="2" s="1"/>
  <c r="F144" i="2" s="1"/>
  <c r="G144" i="2" s="1"/>
  <c r="H144" i="2" s="1"/>
  <c r="I144" i="2" s="1"/>
  <c r="B144" i="2"/>
  <c r="C144" i="2" s="1"/>
  <c r="C142" i="2"/>
  <c r="D142" i="2" s="1"/>
  <c r="E142" i="2" s="1"/>
  <c r="F142" i="2" s="1"/>
  <c r="G142" i="2" s="1"/>
  <c r="H142" i="2" s="1"/>
  <c r="I142" i="2" s="1"/>
  <c r="B142" i="2"/>
  <c r="C141" i="2"/>
  <c r="D141" i="2" s="1"/>
  <c r="E141" i="2" s="1"/>
  <c r="F141" i="2" s="1"/>
  <c r="G141" i="2" s="1"/>
  <c r="H141" i="2" s="1"/>
  <c r="I141" i="2" s="1"/>
  <c r="D140" i="2"/>
  <c r="E140" i="2" s="1"/>
  <c r="F140" i="2" s="1"/>
  <c r="G140" i="2" s="1"/>
  <c r="H140" i="2" s="1"/>
  <c r="I140" i="2" s="1"/>
  <c r="C140" i="2"/>
  <c r="B140" i="2"/>
  <c r="C139" i="2"/>
  <c r="D139" i="2" s="1"/>
  <c r="E139" i="2" s="1"/>
  <c r="F139" i="2" s="1"/>
  <c r="G139" i="2" s="1"/>
  <c r="H139" i="2" s="1"/>
  <c r="I139" i="2" s="1"/>
  <c r="C138" i="2"/>
  <c r="D138" i="2" s="1"/>
  <c r="E138" i="2" s="1"/>
  <c r="F138" i="2" s="1"/>
  <c r="G138" i="2" s="1"/>
  <c r="H138" i="2" s="1"/>
  <c r="I138" i="2" s="1"/>
  <c r="B138" i="2"/>
  <c r="C137" i="2"/>
  <c r="D137" i="2" s="1"/>
  <c r="E137" i="2" s="1"/>
  <c r="F137" i="2" s="1"/>
  <c r="G137" i="2" s="1"/>
  <c r="H137" i="2" s="1"/>
  <c r="I137" i="2" s="1"/>
  <c r="D136" i="2"/>
  <c r="E136" i="2" s="1"/>
  <c r="F136" i="2" s="1"/>
  <c r="G136" i="2" s="1"/>
  <c r="H136" i="2" s="1"/>
  <c r="I136" i="2" s="1"/>
  <c r="C136" i="2"/>
  <c r="B136" i="2"/>
  <c r="F135" i="2"/>
  <c r="G135" i="2" s="1"/>
  <c r="H135" i="2" s="1"/>
  <c r="I135" i="2" s="1"/>
  <c r="E135" i="2"/>
  <c r="C135" i="2"/>
  <c r="D135" i="2" s="1"/>
  <c r="G134" i="2"/>
  <c r="H134" i="2" s="1"/>
  <c r="I134" i="2" s="1"/>
  <c r="C134" i="2"/>
  <c r="D134" i="2" s="1"/>
  <c r="E134" i="2" s="1"/>
  <c r="F134" i="2" s="1"/>
  <c r="B134" i="2"/>
  <c r="I132" i="2"/>
  <c r="C132" i="2"/>
  <c r="D132" i="2" s="1"/>
  <c r="E132" i="2" s="1"/>
  <c r="F132" i="2" s="1"/>
  <c r="G132" i="2" s="1"/>
  <c r="H132" i="2" s="1"/>
  <c r="B132" i="2"/>
  <c r="D131" i="2"/>
  <c r="E131" i="2" s="1"/>
  <c r="F131" i="2" s="1"/>
  <c r="G131" i="2" s="1"/>
  <c r="H131" i="2" s="1"/>
  <c r="I131" i="2" s="1"/>
  <c r="C131" i="2"/>
  <c r="E130" i="2"/>
  <c r="F130" i="2" s="1"/>
  <c r="G130" i="2" s="1"/>
  <c r="H130" i="2" s="1"/>
  <c r="I130" i="2" s="1"/>
  <c r="B130" i="2"/>
  <c r="C130" i="2" s="1"/>
  <c r="D130" i="2" s="1"/>
  <c r="D129" i="2"/>
  <c r="E129" i="2" s="1"/>
  <c r="F129" i="2" s="1"/>
  <c r="G129" i="2" s="1"/>
  <c r="H129" i="2" s="1"/>
  <c r="I129" i="2" s="1"/>
  <c r="C129" i="2"/>
  <c r="B128" i="2"/>
  <c r="C128" i="2" s="1"/>
  <c r="D128" i="2" s="1"/>
  <c r="E128" i="2" s="1"/>
  <c r="F128" i="2" s="1"/>
  <c r="G128" i="2" s="1"/>
  <c r="H128" i="2" s="1"/>
  <c r="I128" i="2" s="1"/>
  <c r="E127" i="2"/>
  <c r="F127" i="2" s="1"/>
  <c r="G127" i="2" s="1"/>
  <c r="H127" i="2" s="1"/>
  <c r="I127" i="2" s="1"/>
  <c r="D127" i="2"/>
  <c r="C127" i="2"/>
  <c r="F126" i="2"/>
  <c r="G126" i="2" s="1"/>
  <c r="H126" i="2" s="1"/>
  <c r="I126" i="2" s="1"/>
  <c r="B126" i="2"/>
  <c r="C126" i="2" s="1"/>
  <c r="D126" i="2" s="1"/>
  <c r="E126" i="2" s="1"/>
  <c r="D125" i="2"/>
  <c r="E125" i="2" s="1"/>
  <c r="F125" i="2" s="1"/>
  <c r="G125" i="2" s="1"/>
  <c r="H125" i="2" s="1"/>
  <c r="I125" i="2" s="1"/>
  <c r="C125" i="2"/>
  <c r="H124" i="2"/>
  <c r="I124" i="2" s="1"/>
  <c r="B124" i="2"/>
  <c r="C124" i="2" s="1"/>
  <c r="D124" i="2" s="1"/>
  <c r="E124" i="2" s="1"/>
  <c r="F124" i="2" s="1"/>
  <c r="G124" i="2" s="1"/>
  <c r="G122" i="2"/>
  <c r="H122" i="2" s="1"/>
  <c r="I122" i="2" s="1"/>
  <c r="D122" i="2"/>
  <c r="E122" i="2" s="1"/>
  <c r="F122" i="2" s="1"/>
  <c r="B122" i="2"/>
  <c r="C122" i="2" s="1"/>
  <c r="G121" i="2"/>
  <c r="H121" i="2" s="1"/>
  <c r="I121" i="2" s="1"/>
  <c r="F121" i="2"/>
  <c r="C121" i="2"/>
  <c r="D121" i="2" s="1"/>
  <c r="E121" i="2" s="1"/>
  <c r="H120" i="2"/>
  <c r="I120" i="2" s="1"/>
  <c r="B120" i="2"/>
  <c r="C120" i="2" s="1"/>
  <c r="D120" i="2" s="1"/>
  <c r="E120" i="2" s="1"/>
  <c r="F120" i="2" s="1"/>
  <c r="G120" i="2" s="1"/>
  <c r="D119" i="2"/>
  <c r="E119" i="2" s="1"/>
  <c r="F119" i="2" s="1"/>
  <c r="G119" i="2" s="1"/>
  <c r="H119" i="2" s="1"/>
  <c r="I119" i="2" s="1"/>
  <c r="C119" i="2"/>
  <c r="E118" i="2"/>
  <c r="F118" i="2" s="1"/>
  <c r="G118" i="2" s="1"/>
  <c r="H118" i="2" s="1"/>
  <c r="I118" i="2" s="1"/>
  <c r="B118" i="2"/>
  <c r="C118" i="2" s="1"/>
  <c r="D118" i="2" s="1"/>
  <c r="D117" i="2"/>
  <c r="E117" i="2" s="1"/>
  <c r="F117" i="2" s="1"/>
  <c r="G117" i="2" s="1"/>
  <c r="H117" i="2" s="1"/>
  <c r="I117" i="2" s="1"/>
  <c r="C117" i="2"/>
  <c r="B116" i="2"/>
  <c r="C116" i="2" s="1"/>
  <c r="D116" i="2" s="1"/>
  <c r="E116" i="2" s="1"/>
  <c r="F116" i="2" s="1"/>
  <c r="G116" i="2" s="1"/>
  <c r="H116" i="2" s="1"/>
  <c r="I116" i="2" s="1"/>
  <c r="C115" i="2"/>
  <c r="D115" i="2" s="1"/>
  <c r="E115" i="2" s="1"/>
  <c r="F115" i="2" s="1"/>
  <c r="G115" i="2" s="1"/>
  <c r="H115" i="2" s="1"/>
  <c r="I115" i="2" s="1"/>
  <c r="B114" i="2"/>
  <c r="C114" i="2" s="1"/>
  <c r="D114" i="2" s="1"/>
  <c r="E114" i="2" s="1"/>
  <c r="F114" i="2" s="1"/>
  <c r="G114" i="2" s="1"/>
  <c r="H114" i="2" s="1"/>
  <c r="I114" i="2" s="1"/>
  <c r="I112" i="2"/>
  <c r="D112" i="2"/>
  <c r="E112" i="2" s="1"/>
  <c r="F112" i="2" s="1"/>
  <c r="G112" i="2" s="1"/>
  <c r="H112" i="2" s="1"/>
  <c r="C112" i="2"/>
  <c r="B112" i="2"/>
  <c r="I111" i="2"/>
  <c r="H111" i="2"/>
  <c r="E111" i="2"/>
  <c r="F111" i="2" s="1"/>
  <c r="G111" i="2" s="1"/>
  <c r="C111" i="2"/>
  <c r="D111" i="2" s="1"/>
  <c r="C110" i="2"/>
  <c r="D110" i="2" s="1"/>
  <c r="E110" i="2" s="1"/>
  <c r="F110" i="2" s="1"/>
  <c r="G110" i="2" s="1"/>
  <c r="H110" i="2" s="1"/>
  <c r="I110" i="2" s="1"/>
  <c r="B110" i="2"/>
  <c r="F109" i="2"/>
  <c r="G109" i="2" s="1"/>
  <c r="H109" i="2" s="1"/>
  <c r="I109" i="2" s="1"/>
  <c r="C109" i="2"/>
  <c r="D109" i="2" s="1"/>
  <c r="E109" i="2" s="1"/>
  <c r="D108" i="2"/>
  <c r="E108" i="2" s="1"/>
  <c r="F108" i="2" s="1"/>
  <c r="G108" i="2" s="1"/>
  <c r="H108" i="2" s="1"/>
  <c r="I108" i="2" s="1"/>
  <c r="C108" i="2"/>
  <c r="B108" i="2"/>
  <c r="H107" i="2"/>
  <c r="I107" i="2" s="1"/>
  <c r="F107" i="2"/>
  <c r="G107" i="2" s="1"/>
  <c r="E107" i="2"/>
  <c r="C107" i="2"/>
  <c r="D107" i="2" s="1"/>
  <c r="D106" i="2"/>
  <c r="E106" i="2" s="1"/>
  <c r="F106" i="2" s="1"/>
  <c r="G106" i="2" s="1"/>
  <c r="H106" i="2" s="1"/>
  <c r="I106" i="2" s="1"/>
  <c r="C106" i="2"/>
  <c r="B106" i="2"/>
  <c r="F105" i="2"/>
  <c r="G105" i="2" s="1"/>
  <c r="H105" i="2" s="1"/>
  <c r="I105" i="2" s="1"/>
  <c r="C105" i="2"/>
  <c r="D105" i="2" s="1"/>
  <c r="E105" i="2" s="1"/>
  <c r="C104" i="2"/>
  <c r="D104" i="2" s="1"/>
  <c r="E104" i="2" s="1"/>
  <c r="F104" i="2" s="1"/>
  <c r="G104" i="2" s="1"/>
  <c r="H104" i="2" s="1"/>
  <c r="I104" i="2" s="1"/>
  <c r="B104" i="2"/>
  <c r="E102" i="2"/>
  <c r="F102" i="2" s="1"/>
  <c r="G102" i="2" s="1"/>
  <c r="H102" i="2" s="1"/>
  <c r="I102" i="2" s="1"/>
  <c r="C102" i="2"/>
  <c r="D102" i="2" s="1"/>
  <c r="B102" i="2"/>
  <c r="D101" i="2"/>
  <c r="E101" i="2" s="1"/>
  <c r="F101" i="2" s="1"/>
  <c r="G101" i="2" s="1"/>
  <c r="H101" i="2" s="1"/>
  <c r="I101" i="2" s="1"/>
  <c r="C101" i="2"/>
  <c r="B100" i="2"/>
  <c r="C100" i="2" s="1"/>
  <c r="D100" i="2" s="1"/>
  <c r="E100" i="2" s="1"/>
  <c r="F100" i="2" s="1"/>
  <c r="G100" i="2" s="1"/>
  <c r="H100" i="2" s="1"/>
  <c r="I100" i="2" s="1"/>
  <c r="H99" i="2"/>
  <c r="I99" i="2" s="1"/>
  <c r="E99" i="2"/>
  <c r="F99" i="2" s="1"/>
  <c r="G99" i="2" s="1"/>
  <c r="D99" i="2"/>
  <c r="C99" i="2"/>
  <c r="E98" i="2"/>
  <c r="F98" i="2" s="1"/>
  <c r="G98" i="2" s="1"/>
  <c r="H98" i="2" s="1"/>
  <c r="I98" i="2" s="1"/>
  <c r="B98" i="2"/>
  <c r="C98" i="2" s="1"/>
  <c r="D98" i="2" s="1"/>
  <c r="H96" i="2"/>
  <c r="I96" i="2" s="1"/>
  <c r="G96" i="2"/>
  <c r="D96" i="2"/>
  <c r="E96" i="2" s="1"/>
  <c r="F96" i="2" s="1"/>
  <c r="B96" i="2"/>
  <c r="C96" i="2" s="1"/>
  <c r="I95" i="2"/>
  <c r="F95" i="2"/>
  <c r="G95" i="2" s="1"/>
  <c r="H95" i="2" s="1"/>
  <c r="C95" i="2"/>
  <c r="D95" i="2" s="1"/>
  <c r="E95" i="2" s="1"/>
  <c r="D94" i="2"/>
  <c r="E94" i="2" s="1"/>
  <c r="F94" i="2" s="1"/>
  <c r="G94" i="2" s="1"/>
  <c r="H94" i="2" s="1"/>
  <c r="I94" i="2" s="1"/>
  <c r="B94" i="2"/>
  <c r="C94" i="2" s="1"/>
  <c r="I92" i="2"/>
  <c r="H92" i="2"/>
  <c r="G92" i="2"/>
  <c r="F92" i="2"/>
  <c r="E92" i="2"/>
  <c r="D92" i="2"/>
  <c r="C92" i="2"/>
  <c r="B92" i="2"/>
  <c r="I90" i="2"/>
  <c r="H90" i="2"/>
  <c r="G90" i="2"/>
  <c r="F90" i="2"/>
  <c r="E90" i="2"/>
  <c r="D90" i="2"/>
  <c r="C90" i="2"/>
  <c r="B90" i="2"/>
  <c r="O77" i="2"/>
  <c r="P77" i="2" s="1"/>
  <c r="Q77" i="2" s="1"/>
  <c r="R77" i="2" s="1"/>
  <c r="S77" i="2" s="1"/>
  <c r="L77" i="2"/>
  <c r="M77" i="2" s="1"/>
  <c r="N77" i="2" s="1"/>
  <c r="P76" i="2"/>
  <c r="Q76" i="2" s="1"/>
  <c r="R76" i="2" s="1"/>
  <c r="S76" i="2" s="1"/>
  <c r="N76" i="2"/>
  <c r="O76" i="2" s="1"/>
  <c r="M76" i="2"/>
  <c r="N75" i="2"/>
  <c r="O75" i="2" s="1"/>
  <c r="P75" i="2" s="1"/>
  <c r="Q75" i="2" s="1"/>
  <c r="R75" i="2" s="1"/>
  <c r="S75" i="2" s="1"/>
  <c r="L75" i="2"/>
  <c r="M75" i="2" s="1"/>
  <c r="M74" i="2"/>
  <c r="N74" i="2" s="1"/>
  <c r="O74" i="2" s="1"/>
  <c r="P74" i="2" s="1"/>
  <c r="Q74" i="2" s="1"/>
  <c r="R74" i="2" s="1"/>
  <c r="S74" i="2" s="1"/>
  <c r="N73" i="2"/>
  <c r="O73" i="2" s="1"/>
  <c r="P73" i="2" s="1"/>
  <c r="Q73" i="2" s="1"/>
  <c r="R73" i="2" s="1"/>
  <c r="S73" i="2" s="1"/>
  <c r="L73" i="2"/>
  <c r="M73" i="2" s="1"/>
  <c r="G73" i="2"/>
  <c r="H73" i="2" s="1"/>
  <c r="I73" i="2" s="1"/>
  <c r="D73" i="2"/>
  <c r="E73" i="2" s="1"/>
  <c r="F73" i="2" s="1"/>
  <c r="C73" i="2"/>
  <c r="B73" i="2"/>
  <c r="M72" i="2"/>
  <c r="N72" i="2" s="1"/>
  <c r="O72" i="2" s="1"/>
  <c r="P72" i="2" s="1"/>
  <c r="Q72" i="2" s="1"/>
  <c r="R72" i="2" s="1"/>
  <c r="S72" i="2" s="1"/>
  <c r="G72" i="2"/>
  <c r="H72" i="2" s="1"/>
  <c r="I72" i="2" s="1"/>
  <c r="F72" i="2"/>
  <c r="C72" i="2"/>
  <c r="D72" i="2" s="1"/>
  <c r="E72" i="2" s="1"/>
  <c r="N71" i="2"/>
  <c r="O71" i="2" s="1"/>
  <c r="P71" i="2" s="1"/>
  <c r="Q71" i="2" s="1"/>
  <c r="R71" i="2" s="1"/>
  <c r="S71" i="2" s="1"/>
  <c r="L71" i="2"/>
  <c r="M71" i="2" s="1"/>
  <c r="F71" i="2"/>
  <c r="G71" i="2" s="1"/>
  <c r="H71" i="2" s="1"/>
  <c r="I71" i="2" s="1"/>
  <c r="C71" i="2"/>
  <c r="D71" i="2" s="1"/>
  <c r="E71" i="2" s="1"/>
  <c r="B71" i="2"/>
  <c r="P70" i="2"/>
  <c r="Q70" i="2" s="1"/>
  <c r="R70" i="2" s="1"/>
  <c r="S70" i="2" s="1"/>
  <c r="M70" i="2"/>
  <c r="N70" i="2" s="1"/>
  <c r="O70" i="2" s="1"/>
  <c r="D70" i="2"/>
  <c r="E70" i="2" s="1"/>
  <c r="F70" i="2" s="1"/>
  <c r="G70" i="2" s="1"/>
  <c r="H70" i="2" s="1"/>
  <c r="I70" i="2" s="1"/>
  <c r="C70" i="2"/>
  <c r="O69" i="2"/>
  <c r="P69" i="2" s="1"/>
  <c r="Q69" i="2" s="1"/>
  <c r="R69" i="2" s="1"/>
  <c r="S69" i="2" s="1"/>
  <c r="N69" i="2"/>
  <c r="L69" i="2"/>
  <c r="M69" i="2" s="1"/>
  <c r="G69" i="2"/>
  <c r="H69" i="2" s="1"/>
  <c r="I69" i="2" s="1"/>
  <c r="C69" i="2"/>
  <c r="D69" i="2" s="1"/>
  <c r="E69" i="2" s="1"/>
  <c r="F69" i="2" s="1"/>
  <c r="B69" i="2"/>
  <c r="E68" i="2"/>
  <c r="F68" i="2" s="1"/>
  <c r="G68" i="2" s="1"/>
  <c r="H68" i="2" s="1"/>
  <c r="I68" i="2" s="1"/>
  <c r="C68" i="2"/>
  <c r="D68" i="2" s="1"/>
  <c r="R67" i="2"/>
  <c r="L67" i="2"/>
  <c r="M67" i="2" s="1"/>
  <c r="N67" i="2" s="1"/>
  <c r="O67" i="2" s="1"/>
  <c r="P67" i="2" s="1"/>
  <c r="Q67" i="2" s="1"/>
  <c r="F67" i="2"/>
  <c r="G67" i="2" s="1"/>
  <c r="H67" i="2" s="1"/>
  <c r="I67" i="2" s="1"/>
  <c r="E67" i="2"/>
  <c r="B67" i="2"/>
  <c r="C67" i="2" s="1"/>
  <c r="D67" i="2" s="1"/>
  <c r="O66" i="2"/>
  <c r="P66" i="2" s="1"/>
  <c r="Q66" i="2" s="1"/>
  <c r="R66" i="2" s="1"/>
  <c r="M66" i="2"/>
  <c r="N66" i="2" s="1"/>
  <c r="D66" i="2"/>
  <c r="E66" i="2" s="1"/>
  <c r="F66" i="2" s="1"/>
  <c r="G66" i="2" s="1"/>
  <c r="H66" i="2" s="1"/>
  <c r="I66" i="2" s="1"/>
  <c r="C66" i="2"/>
  <c r="M65" i="2"/>
  <c r="N65" i="2" s="1"/>
  <c r="O65" i="2" s="1"/>
  <c r="P65" i="2" s="1"/>
  <c r="Q65" i="2" s="1"/>
  <c r="R65" i="2" s="1"/>
  <c r="L65" i="2"/>
  <c r="D65" i="2"/>
  <c r="E65" i="2" s="1"/>
  <c r="F65" i="2" s="1"/>
  <c r="G65" i="2" s="1"/>
  <c r="H65" i="2" s="1"/>
  <c r="I65" i="2" s="1"/>
  <c r="B65" i="2"/>
  <c r="C65" i="2" s="1"/>
  <c r="P64" i="2"/>
  <c r="Q64" i="2" s="1"/>
  <c r="R64" i="2" s="1"/>
  <c r="O64" i="2"/>
  <c r="N64" i="2"/>
  <c r="M64" i="2"/>
  <c r="L63" i="2"/>
  <c r="M63" i="2" s="1"/>
  <c r="N63" i="2" s="1"/>
  <c r="O63" i="2" s="1"/>
  <c r="P63" i="2" s="1"/>
  <c r="Q63" i="2" s="1"/>
  <c r="R63" i="2" s="1"/>
  <c r="F63" i="2"/>
  <c r="G63" i="2" s="1"/>
  <c r="H63" i="2" s="1"/>
  <c r="I63" i="2" s="1"/>
  <c r="C63" i="2"/>
  <c r="D63" i="2" s="1"/>
  <c r="E63" i="2" s="1"/>
  <c r="B63" i="2"/>
  <c r="O62" i="2"/>
  <c r="P62" i="2" s="1"/>
  <c r="Q62" i="2" s="1"/>
  <c r="R62" i="2" s="1"/>
  <c r="M62" i="2"/>
  <c r="N62" i="2" s="1"/>
  <c r="C62" i="2"/>
  <c r="D62" i="2" s="1"/>
  <c r="E62" i="2" s="1"/>
  <c r="F62" i="2" s="1"/>
  <c r="G62" i="2" s="1"/>
  <c r="H62" i="2" s="1"/>
  <c r="I62" i="2" s="1"/>
  <c r="N61" i="2"/>
  <c r="O61" i="2" s="1"/>
  <c r="P61" i="2" s="1"/>
  <c r="Q61" i="2" s="1"/>
  <c r="R61" i="2" s="1"/>
  <c r="L61" i="2"/>
  <c r="M61" i="2" s="1"/>
  <c r="B61" i="2"/>
  <c r="C61" i="2" s="1"/>
  <c r="D61" i="2" s="1"/>
  <c r="E61" i="2" s="1"/>
  <c r="F61" i="2" s="1"/>
  <c r="G61" i="2" s="1"/>
  <c r="H61" i="2" s="1"/>
  <c r="I61" i="2" s="1"/>
  <c r="O60" i="2"/>
  <c r="P60" i="2" s="1"/>
  <c r="Q60" i="2" s="1"/>
  <c r="R60" i="2" s="1"/>
  <c r="M60" i="2"/>
  <c r="N60" i="2" s="1"/>
  <c r="D60" i="2"/>
  <c r="E60" i="2" s="1"/>
  <c r="F60" i="2" s="1"/>
  <c r="G60" i="2" s="1"/>
  <c r="H60" i="2" s="1"/>
  <c r="I60" i="2" s="1"/>
  <c r="C60" i="2"/>
  <c r="M59" i="2"/>
  <c r="N59" i="2" s="1"/>
  <c r="O59" i="2" s="1"/>
  <c r="P59" i="2" s="1"/>
  <c r="Q59" i="2" s="1"/>
  <c r="R59" i="2" s="1"/>
  <c r="L59" i="2"/>
  <c r="D59" i="2"/>
  <c r="E59" i="2" s="1"/>
  <c r="F59" i="2" s="1"/>
  <c r="G59" i="2" s="1"/>
  <c r="H59" i="2" s="1"/>
  <c r="I59" i="2" s="1"/>
  <c r="B59" i="2"/>
  <c r="C59" i="2" s="1"/>
  <c r="F58" i="2"/>
  <c r="G58" i="2" s="1"/>
  <c r="H58" i="2" s="1"/>
  <c r="I58" i="2" s="1"/>
  <c r="E58" i="2"/>
  <c r="D58" i="2"/>
  <c r="C58" i="2"/>
  <c r="O57" i="2"/>
  <c r="P57" i="2" s="1"/>
  <c r="Q57" i="2" s="1"/>
  <c r="N57" i="2"/>
  <c r="M57" i="2"/>
  <c r="L57" i="2"/>
  <c r="C57" i="2"/>
  <c r="D57" i="2" s="1"/>
  <c r="E57" i="2" s="1"/>
  <c r="F57" i="2" s="1"/>
  <c r="G57" i="2" s="1"/>
  <c r="H57" i="2" s="1"/>
  <c r="I57" i="2" s="1"/>
  <c r="B57" i="2"/>
  <c r="P56" i="2"/>
  <c r="Q56" i="2" s="1"/>
  <c r="O56" i="2"/>
  <c r="M56" i="2"/>
  <c r="N56" i="2" s="1"/>
  <c r="F56" i="2"/>
  <c r="G56" i="2" s="1"/>
  <c r="H56" i="2" s="1"/>
  <c r="I56" i="2" s="1"/>
  <c r="D56" i="2"/>
  <c r="E56" i="2" s="1"/>
  <c r="C56" i="2"/>
  <c r="L55" i="2"/>
  <c r="M55" i="2" s="1"/>
  <c r="N55" i="2" s="1"/>
  <c r="O55" i="2" s="1"/>
  <c r="P55" i="2" s="1"/>
  <c r="Q55" i="2" s="1"/>
  <c r="C55" i="2"/>
  <c r="D55" i="2" s="1"/>
  <c r="E55" i="2" s="1"/>
  <c r="F55" i="2" s="1"/>
  <c r="G55" i="2" s="1"/>
  <c r="H55" i="2" s="1"/>
  <c r="I55" i="2" s="1"/>
  <c r="B55" i="2"/>
  <c r="M54" i="2"/>
  <c r="N54" i="2" s="1"/>
  <c r="O54" i="2" s="1"/>
  <c r="P54" i="2" s="1"/>
  <c r="Q54" i="2" s="1"/>
  <c r="Q53" i="2"/>
  <c r="N53" i="2"/>
  <c r="O53" i="2" s="1"/>
  <c r="P53" i="2" s="1"/>
  <c r="M53" i="2"/>
  <c r="L53" i="2"/>
  <c r="E53" i="2"/>
  <c r="F53" i="2" s="1"/>
  <c r="G53" i="2" s="1"/>
  <c r="H53" i="2" s="1"/>
  <c r="I53" i="2" s="1"/>
  <c r="B53" i="2"/>
  <c r="C53" i="2" s="1"/>
  <c r="D53" i="2" s="1"/>
  <c r="P52" i="2"/>
  <c r="Q52" i="2" s="1"/>
  <c r="N52" i="2"/>
  <c r="O52" i="2" s="1"/>
  <c r="M52" i="2"/>
  <c r="F52" i="2"/>
  <c r="G52" i="2" s="1"/>
  <c r="H52" i="2" s="1"/>
  <c r="I52" i="2" s="1"/>
  <c r="D52" i="2"/>
  <c r="E52" i="2" s="1"/>
  <c r="C52" i="2"/>
  <c r="L51" i="2"/>
  <c r="M51" i="2" s="1"/>
  <c r="N51" i="2" s="1"/>
  <c r="O51" i="2" s="1"/>
  <c r="P51" i="2" s="1"/>
  <c r="Q51" i="2" s="1"/>
  <c r="B51" i="2"/>
  <c r="C51" i="2" s="1"/>
  <c r="D51" i="2" s="1"/>
  <c r="E51" i="2" s="1"/>
  <c r="F51" i="2" s="1"/>
  <c r="G51" i="2" s="1"/>
  <c r="H51" i="2" s="1"/>
  <c r="I51" i="2" s="1"/>
  <c r="N50" i="2"/>
  <c r="O50" i="2" s="1"/>
  <c r="P50" i="2" s="1"/>
  <c r="Q50" i="2" s="1"/>
  <c r="M50" i="2"/>
  <c r="E50" i="2"/>
  <c r="F50" i="2" s="1"/>
  <c r="G50" i="2" s="1"/>
  <c r="H50" i="2" s="1"/>
  <c r="I50" i="2" s="1"/>
  <c r="C50" i="2"/>
  <c r="D50" i="2" s="1"/>
  <c r="L49" i="2"/>
  <c r="M49" i="2" s="1"/>
  <c r="N49" i="2" s="1"/>
  <c r="O49" i="2" s="1"/>
  <c r="P49" i="2" s="1"/>
  <c r="Q49" i="2" s="1"/>
  <c r="D49" i="2"/>
  <c r="E49" i="2" s="1"/>
  <c r="F49" i="2" s="1"/>
  <c r="G49" i="2" s="1"/>
  <c r="H49" i="2" s="1"/>
  <c r="I49" i="2" s="1"/>
  <c r="C49" i="2"/>
  <c r="B49" i="2"/>
  <c r="E48" i="2"/>
  <c r="F48" i="2" s="1"/>
  <c r="G48" i="2" s="1"/>
  <c r="H48" i="2" s="1"/>
  <c r="I48" i="2" s="1"/>
  <c r="D48" i="2"/>
  <c r="C48" i="2"/>
  <c r="L47" i="2"/>
  <c r="M47" i="2" s="1"/>
  <c r="N47" i="2" s="1"/>
  <c r="O47" i="2" s="1"/>
  <c r="P47" i="2" s="1"/>
  <c r="Q47" i="2" s="1"/>
  <c r="C47" i="2"/>
  <c r="D47" i="2" s="1"/>
  <c r="E47" i="2" s="1"/>
  <c r="F47" i="2" s="1"/>
  <c r="G47" i="2" s="1"/>
  <c r="H47" i="2" s="1"/>
  <c r="I47" i="2" s="1"/>
  <c r="B47" i="2"/>
  <c r="M46" i="2"/>
  <c r="N46" i="2" s="1"/>
  <c r="O46" i="2" s="1"/>
  <c r="P46" i="2" s="1"/>
  <c r="Q46" i="2" s="1"/>
  <c r="D46" i="2"/>
  <c r="E46" i="2" s="1"/>
  <c r="F46" i="2" s="1"/>
  <c r="G46" i="2" s="1"/>
  <c r="H46" i="2" s="1"/>
  <c r="I46" i="2" s="1"/>
  <c r="C46" i="2"/>
  <c r="M45" i="2"/>
  <c r="N45" i="2" s="1"/>
  <c r="O45" i="2" s="1"/>
  <c r="P45" i="2" s="1"/>
  <c r="Q45" i="2" s="1"/>
  <c r="L45" i="2"/>
  <c r="E45" i="2"/>
  <c r="F45" i="2" s="1"/>
  <c r="G45" i="2" s="1"/>
  <c r="H45" i="2" s="1"/>
  <c r="I45" i="2" s="1"/>
  <c r="C45" i="2"/>
  <c r="D45" i="2" s="1"/>
  <c r="B45" i="2"/>
  <c r="M44" i="2"/>
  <c r="N44" i="2" s="1"/>
  <c r="O44" i="2" s="1"/>
  <c r="P44" i="2" s="1"/>
  <c r="Q44" i="2" s="1"/>
  <c r="O43" i="2"/>
  <c r="P43" i="2" s="1"/>
  <c r="Q43" i="2" s="1"/>
  <c r="N43" i="2"/>
  <c r="L43" i="2"/>
  <c r="M43" i="2" s="1"/>
  <c r="B43" i="2"/>
  <c r="C43" i="2" s="1"/>
  <c r="D43" i="2" s="1"/>
  <c r="E43" i="2" s="1"/>
  <c r="F43" i="2" s="1"/>
  <c r="G43" i="2" s="1"/>
  <c r="H43" i="2" s="1"/>
  <c r="I43" i="2" s="1"/>
  <c r="N42" i="2"/>
  <c r="O42" i="2" s="1"/>
  <c r="P42" i="2" s="1"/>
  <c r="Q42" i="2" s="1"/>
  <c r="M42" i="2"/>
  <c r="D42" i="2"/>
  <c r="E42" i="2" s="1"/>
  <c r="F42" i="2" s="1"/>
  <c r="G42" i="2" s="1"/>
  <c r="H42" i="2" s="1"/>
  <c r="I42" i="2" s="1"/>
  <c r="C42" i="2"/>
  <c r="L41" i="2"/>
  <c r="M41" i="2" s="1"/>
  <c r="N41" i="2" s="1"/>
  <c r="O41" i="2" s="1"/>
  <c r="P41" i="2" s="1"/>
  <c r="Q41" i="2" s="1"/>
  <c r="E41" i="2"/>
  <c r="F41" i="2" s="1"/>
  <c r="G41" i="2" s="1"/>
  <c r="H41" i="2" s="1"/>
  <c r="I41" i="2" s="1"/>
  <c r="C41" i="2"/>
  <c r="D41" i="2" s="1"/>
  <c r="B41" i="2"/>
  <c r="N40" i="2"/>
  <c r="O40" i="2" s="1"/>
  <c r="P40" i="2" s="1"/>
  <c r="Q40" i="2" s="1"/>
  <c r="M40" i="2"/>
  <c r="D40" i="2"/>
  <c r="E40" i="2" s="1"/>
  <c r="F40" i="2" s="1"/>
  <c r="G40" i="2" s="1"/>
  <c r="H40" i="2" s="1"/>
  <c r="I40" i="2" s="1"/>
  <c r="C40" i="2"/>
  <c r="L39" i="2"/>
  <c r="M39" i="2" s="1"/>
  <c r="N39" i="2" s="1"/>
  <c r="O39" i="2" s="1"/>
  <c r="P39" i="2" s="1"/>
  <c r="Q39" i="2" s="1"/>
  <c r="B39" i="2"/>
  <c r="C39" i="2" s="1"/>
  <c r="D39" i="2" s="1"/>
  <c r="E39" i="2" s="1"/>
  <c r="F39" i="2" s="1"/>
  <c r="G39" i="2" s="1"/>
  <c r="H39" i="2" s="1"/>
  <c r="I39" i="2" s="1"/>
  <c r="C38" i="2"/>
  <c r="D38" i="2" s="1"/>
  <c r="E38" i="2" s="1"/>
  <c r="F38" i="2" s="1"/>
  <c r="G38" i="2" s="1"/>
  <c r="H38" i="2" s="1"/>
  <c r="I38" i="2" s="1"/>
  <c r="M37" i="2"/>
  <c r="N37" i="2" s="1"/>
  <c r="O37" i="2" s="1"/>
  <c r="P37" i="2" s="1"/>
  <c r="Q37" i="2" s="1"/>
  <c r="R37" i="2" s="1"/>
  <c r="S37" i="2" s="1"/>
  <c r="L37" i="2"/>
  <c r="E37" i="2"/>
  <c r="F37" i="2" s="1"/>
  <c r="G37" i="2" s="1"/>
  <c r="H37" i="2" s="1"/>
  <c r="I37" i="2" s="1"/>
  <c r="D37" i="2"/>
  <c r="C37" i="2"/>
  <c r="B37" i="2"/>
  <c r="M36" i="2"/>
  <c r="N36" i="2" s="1"/>
  <c r="O36" i="2" s="1"/>
  <c r="P36" i="2" s="1"/>
  <c r="Q36" i="2" s="1"/>
  <c r="R36" i="2" s="1"/>
  <c r="S36" i="2" s="1"/>
  <c r="C36" i="2"/>
  <c r="D36" i="2" s="1"/>
  <c r="E36" i="2" s="1"/>
  <c r="F36" i="2" s="1"/>
  <c r="G36" i="2" s="1"/>
  <c r="H36" i="2" s="1"/>
  <c r="I36" i="2" s="1"/>
  <c r="M35" i="2"/>
  <c r="N35" i="2" s="1"/>
  <c r="O35" i="2" s="1"/>
  <c r="P35" i="2" s="1"/>
  <c r="Q35" i="2" s="1"/>
  <c r="R35" i="2" s="1"/>
  <c r="S35" i="2" s="1"/>
  <c r="L35" i="2"/>
  <c r="E35" i="2"/>
  <c r="F35" i="2" s="1"/>
  <c r="G35" i="2" s="1"/>
  <c r="H35" i="2" s="1"/>
  <c r="I35" i="2" s="1"/>
  <c r="B35" i="2"/>
  <c r="C35" i="2" s="1"/>
  <c r="D35" i="2" s="1"/>
  <c r="M34" i="2"/>
  <c r="N34" i="2" s="1"/>
  <c r="O34" i="2" s="1"/>
  <c r="P34" i="2" s="1"/>
  <c r="Q34" i="2" s="1"/>
  <c r="R34" i="2" s="1"/>
  <c r="S34" i="2" s="1"/>
  <c r="N33" i="2"/>
  <c r="O33" i="2" s="1"/>
  <c r="P33" i="2" s="1"/>
  <c r="Q33" i="2" s="1"/>
  <c r="R33" i="2" s="1"/>
  <c r="S33" i="2" s="1"/>
  <c r="L33" i="2"/>
  <c r="M33" i="2" s="1"/>
  <c r="D33" i="2"/>
  <c r="E33" i="2" s="1"/>
  <c r="F33" i="2" s="1"/>
  <c r="G33" i="2" s="1"/>
  <c r="H33" i="2" s="1"/>
  <c r="I33" i="2" s="1"/>
  <c r="C33" i="2"/>
  <c r="B33" i="2"/>
  <c r="M32" i="2"/>
  <c r="N32" i="2" s="1"/>
  <c r="O32" i="2" s="1"/>
  <c r="P32" i="2" s="1"/>
  <c r="Q32" i="2" s="1"/>
  <c r="R32" i="2" s="1"/>
  <c r="S32" i="2" s="1"/>
  <c r="C32" i="2"/>
  <c r="D32" i="2" s="1"/>
  <c r="E32" i="2" s="1"/>
  <c r="F32" i="2" s="1"/>
  <c r="G32" i="2" s="1"/>
  <c r="H32" i="2" s="1"/>
  <c r="I32" i="2" s="1"/>
  <c r="L31" i="2"/>
  <c r="M31" i="2" s="1"/>
  <c r="N31" i="2" s="1"/>
  <c r="O31" i="2" s="1"/>
  <c r="P31" i="2" s="1"/>
  <c r="Q31" i="2" s="1"/>
  <c r="R31" i="2" s="1"/>
  <c r="S31" i="2" s="1"/>
  <c r="D31" i="2"/>
  <c r="E31" i="2" s="1"/>
  <c r="F31" i="2" s="1"/>
  <c r="G31" i="2" s="1"/>
  <c r="H31" i="2" s="1"/>
  <c r="I31" i="2" s="1"/>
  <c r="C31" i="2"/>
  <c r="B31" i="2"/>
  <c r="M30" i="2"/>
  <c r="N30" i="2" s="1"/>
  <c r="O30" i="2" s="1"/>
  <c r="P30" i="2" s="1"/>
  <c r="Q30" i="2" s="1"/>
  <c r="R30" i="2" s="1"/>
  <c r="S30" i="2" s="1"/>
  <c r="D30" i="2"/>
  <c r="E30" i="2" s="1"/>
  <c r="F30" i="2" s="1"/>
  <c r="G30" i="2" s="1"/>
  <c r="H30" i="2" s="1"/>
  <c r="I30" i="2" s="1"/>
  <c r="C30" i="2"/>
  <c r="N29" i="2"/>
  <c r="O29" i="2" s="1"/>
  <c r="P29" i="2" s="1"/>
  <c r="Q29" i="2" s="1"/>
  <c r="R29" i="2" s="1"/>
  <c r="S29" i="2" s="1"/>
  <c r="L29" i="2"/>
  <c r="M29" i="2" s="1"/>
  <c r="D29" i="2"/>
  <c r="E29" i="2" s="1"/>
  <c r="F29" i="2" s="1"/>
  <c r="G29" i="2" s="1"/>
  <c r="H29" i="2" s="1"/>
  <c r="I29" i="2" s="1"/>
  <c r="C29" i="2"/>
  <c r="B29" i="2"/>
  <c r="C28" i="2"/>
  <c r="D28" i="2" s="1"/>
  <c r="E28" i="2" s="1"/>
  <c r="F28" i="2" s="1"/>
  <c r="G28" i="2" s="1"/>
  <c r="H28" i="2" s="1"/>
  <c r="I28" i="2" s="1"/>
  <c r="O27" i="2"/>
  <c r="P27" i="2" s="1"/>
  <c r="Q27" i="2" s="1"/>
  <c r="L27" i="2"/>
  <c r="M27" i="2" s="1"/>
  <c r="N27" i="2" s="1"/>
  <c r="C27" i="2"/>
  <c r="D27" i="2" s="1"/>
  <c r="E27" i="2" s="1"/>
  <c r="F27" i="2" s="1"/>
  <c r="G27" i="2" s="1"/>
  <c r="H27" i="2" s="1"/>
  <c r="I27" i="2" s="1"/>
  <c r="B27" i="2"/>
  <c r="N26" i="2"/>
  <c r="O26" i="2" s="1"/>
  <c r="P26" i="2" s="1"/>
  <c r="Q26" i="2" s="1"/>
  <c r="M26" i="2"/>
  <c r="L26" i="2"/>
  <c r="C26" i="2"/>
  <c r="D26" i="2" s="1"/>
  <c r="E26" i="2" s="1"/>
  <c r="F26" i="2" s="1"/>
  <c r="G26" i="2" s="1"/>
  <c r="H26" i="2" s="1"/>
  <c r="I26" i="2" s="1"/>
  <c r="Y25" i="2"/>
  <c r="L25" i="2"/>
  <c r="M25" i="2" s="1"/>
  <c r="N25" i="2" s="1"/>
  <c r="O25" i="2" s="1"/>
  <c r="P25" i="2" s="1"/>
  <c r="Q25" i="2" s="1"/>
  <c r="C25" i="2"/>
  <c r="D25" i="2" s="1"/>
  <c r="E25" i="2" s="1"/>
  <c r="F25" i="2" s="1"/>
  <c r="G25" i="2" s="1"/>
  <c r="H25" i="2" s="1"/>
  <c r="I25" i="2" s="1"/>
  <c r="B25" i="2"/>
  <c r="D23" i="2"/>
  <c r="E23" i="2" s="1"/>
  <c r="F23" i="2" s="1"/>
  <c r="G23" i="2" s="1"/>
  <c r="H23" i="2" s="1"/>
  <c r="I23" i="2" s="1"/>
  <c r="B23" i="2"/>
  <c r="C23" i="2" s="1"/>
  <c r="M22" i="2"/>
  <c r="N22" i="2" s="1"/>
  <c r="O22" i="2" s="1"/>
  <c r="P22" i="2" s="1"/>
  <c r="Q22" i="2" s="1"/>
  <c r="R22" i="2" s="1"/>
  <c r="L22" i="2"/>
  <c r="L21" i="2" s="1"/>
  <c r="M21" i="2" s="1"/>
  <c r="N21" i="2" s="1"/>
  <c r="O21" i="2" s="1"/>
  <c r="P21" i="2" s="1"/>
  <c r="Q21" i="2" s="1"/>
  <c r="R21" i="2" s="1"/>
  <c r="D22" i="2"/>
  <c r="E22" i="2" s="1"/>
  <c r="F22" i="2" s="1"/>
  <c r="G22" i="2" s="1"/>
  <c r="H22" i="2" s="1"/>
  <c r="I22" i="2" s="1"/>
  <c r="C22" i="2"/>
  <c r="AA21" i="2"/>
  <c r="Y21" i="2"/>
  <c r="AB21" i="2" s="1"/>
  <c r="B21" i="2"/>
  <c r="C21" i="2" s="1"/>
  <c r="D21" i="2" s="1"/>
  <c r="E21" i="2" s="1"/>
  <c r="F21" i="2" s="1"/>
  <c r="G21" i="2" s="1"/>
  <c r="H21" i="2" s="1"/>
  <c r="I21" i="2" s="1"/>
  <c r="Y20" i="2"/>
  <c r="AB20" i="2" s="1"/>
  <c r="D20" i="2"/>
  <c r="E20" i="2" s="1"/>
  <c r="F20" i="2" s="1"/>
  <c r="G20" i="2" s="1"/>
  <c r="H20" i="2" s="1"/>
  <c r="I20" i="2" s="1"/>
  <c r="C20" i="2"/>
  <c r="AA19" i="2"/>
  <c r="Y19" i="2"/>
  <c r="AB19" i="2" s="1"/>
  <c r="U19" i="2"/>
  <c r="T19" i="2"/>
  <c r="S19" i="2"/>
  <c r="R19" i="2"/>
  <c r="Q19" i="2"/>
  <c r="P19" i="2"/>
  <c r="O19" i="2"/>
  <c r="N19" i="2"/>
  <c r="M19" i="2"/>
  <c r="L19" i="2"/>
  <c r="D19" i="2"/>
  <c r="E19" i="2" s="1"/>
  <c r="F19" i="2" s="1"/>
  <c r="G19" i="2" s="1"/>
  <c r="H19" i="2" s="1"/>
  <c r="I19" i="2" s="1"/>
  <c r="C19" i="2"/>
  <c r="B19" i="2"/>
  <c r="AB18" i="2"/>
  <c r="AA18" i="2"/>
  <c r="Y18" i="2"/>
  <c r="AB17" i="2"/>
  <c r="AC17" i="2" s="1"/>
  <c r="AA17" i="2"/>
  <c r="Y17" i="2"/>
  <c r="U17" i="2"/>
  <c r="T17" i="2"/>
  <c r="S17" i="2"/>
  <c r="R17" i="2"/>
  <c r="Q17" i="2"/>
  <c r="P17" i="2"/>
  <c r="O17" i="2"/>
  <c r="N17" i="2"/>
  <c r="M17" i="2"/>
  <c r="L17" i="2"/>
  <c r="F17" i="2"/>
  <c r="G17" i="2" s="1"/>
  <c r="H17" i="2" s="1"/>
  <c r="I17" i="2" s="1"/>
  <c r="E17" i="2"/>
  <c r="D17" i="2"/>
  <c r="C17" i="2"/>
  <c r="B17" i="2"/>
  <c r="AB16" i="2"/>
  <c r="Y16" i="2"/>
  <c r="AA16" i="2" s="1"/>
  <c r="C16" i="2"/>
  <c r="D16" i="2" s="1"/>
  <c r="E16" i="2" s="1"/>
  <c r="F16" i="2" s="1"/>
  <c r="G16" i="2" s="1"/>
  <c r="H16" i="2" s="1"/>
  <c r="I16" i="2" s="1"/>
  <c r="Y15" i="2"/>
  <c r="AB15" i="2" s="1"/>
  <c r="U15" i="2"/>
  <c r="T15" i="2"/>
  <c r="S15" i="2"/>
  <c r="R15" i="2"/>
  <c r="Q15" i="2"/>
  <c r="P15" i="2"/>
  <c r="O15" i="2"/>
  <c r="N15" i="2"/>
  <c r="M15" i="2"/>
  <c r="L15" i="2"/>
  <c r="C15" i="2"/>
  <c r="D15" i="2" s="1"/>
  <c r="E15" i="2" s="1"/>
  <c r="F15" i="2" s="1"/>
  <c r="G15" i="2" s="1"/>
  <c r="H15" i="2" s="1"/>
  <c r="I15" i="2" s="1"/>
  <c r="B15" i="2"/>
  <c r="Y13" i="2"/>
  <c r="U13" i="2"/>
  <c r="T13" i="2"/>
  <c r="S13" i="2"/>
  <c r="R13" i="2"/>
  <c r="Q13" i="2"/>
  <c r="P13" i="2"/>
  <c r="O13" i="2"/>
  <c r="N13" i="2"/>
  <c r="M13" i="2"/>
  <c r="L13" i="2"/>
  <c r="I13" i="2"/>
  <c r="H13" i="2"/>
  <c r="G13" i="2"/>
  <c r="F13" i="2"/>
  <c r="E13" i="2"/>
  <c r="D13" i="2"/>
  <c r="C13" i="2"/>
  <c r="B13" i="2"/>
  <c r="Y12" i="2"/>
  <c r="Y11" i="2"/>
  <c r="AA11" i="2" s="1"/>
  <c r="U11" i="2"/>
  <c r="T11" i="2"/>
  <c r="S11" i="2"/>
  <c r="R11" i="2"/>
  <c r="Q11" i="2"/>
  <c r="P11" i="2"/>
  <c r="O11" i="2"/>
  <c r="N11" i="2"/>
  <c r="M11" i="2"/>
  <c r="L11" i="2"/>
  <c r="I11" i="2"/>
  <c r="H11" i="2"/>
  <c r="G11" i="2"/>
  <c r="F11" i="2"/>
  <c r="E11" i="2"/>
  <c r="D11" i="2"/>
  <c r="C11" i="2"/>
  <c r="B11" i="2"/>
  <c r="Y10" i="2"/>
  <c r="AA10" i="2" s="1"/>
  <c r="I134" i="1"/>
  <c r="G133" i="1"/>
  <c r="F102" i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01" i="1"/>
  <c r="K91" i="1"/>
  <c r="H91" i="1"/>
  <c r="G91" i="1"/>
  <c r="G89" i="1"/>
  <c r="G88" i="1"/>
  <c r="J84" i="1"/>
  <c r="J83" i="1"/>
  <c r="J89" i="1" s="1"/>
  <c r="K89" i="1" s="1"/>
  <c r="E82" i="1"/>
  <c r="F82" i="1" s="1"/>
  <c r="H82" i="1" s="1"/>
  <c r="C81" i="1"/>
  <c r="C80" i="1"/>
  <c r="G82" i="1" s="1"/>
  <c r="K71" i="1"/>
  <c r="K70" i="1"/>
  <c r="H70" i="1"/>
  <c r="K69" i="1"/>
  <c r="H69" i="1"/>
  <c r="F69" i="1"/>
  <c r="K67" i="1"/>
  <c r="K57" i="1"/>
  <c r="B50" i="1"/>
  <c r="G47" i="1"/>
  <c r="G48" i="1" s="1"/>
  <c r="K46" i="1"/>
  <c r="H46" i="1"/>
  <c r="G46" i="1"/>
  <c r="H44" i="1"/>
  <c r="H43" i="1"/>
  <c r="K43" i="1" s="1"/>
  <c r="K44" i="1" s="1"/>
  <c r="R42" i="1"/>
  <c r="H41" i="1"/>
  <c r="E40" i="1"/>
  <c r="R39" i="1"/>
  <c r="Q37" i="1"/>
  <c r="W36" i="1"/>
  <c r="N36" i="1"/>
  <c r="Q34" i="1"/>
  <c r="R31" i="1"/>
  <c r="X11" i="2"/>
  <c r="X10" i="2"/>
  <c r="K25" i="1"/>
  <c r="K49" i="1" s="1"/>
  <c r="K24" i="1"/>
  <c r="K23" i="1"/>
  <c r="K22" i="1"/>
  <c r="K21" i="1"/>
  <c r="C70" i="1" s="1"/>
  <c r="E99" i="1" s="1"/>
  <c r="K20" i="1"/>
  <c r="K55" i="1" s="1"/>
  <c r="K56" i="1" s="1"/>
  <c r="K19" i="1"/>
  <c r="Z17" i="1" s="1"/>
  <c r="O17" i="1"/>
  <c r="H15" i="1"/>
  <c r="C15" i="1"/>
  <c r="Q13" i="1"/>
  <c r="N13" i="1"/>
  <c r="Q12" i="1"/>
  <c r="R11" i="1"/>
  <c r="Z8" i="1"/>
  <c r="N6" i="1"/>
  <c r="S5" i="1"/>
  <c r="S4" i="1"/>
  <c r="N4" i="1"/>
  <c r="S3" i="1"/>
  <c r="S2" i="1"/>
  <c r="N2" i="1"/>
  <c r="AB1" i="1"/>
  <c r="Q1" i="1"/>
  <c r="AA14" i="2" l="1"/>
  <c r="X12" i="2"/>
  <c r="AB12" i="2" s="1"/>
  <c r="AC12" i="2" s="1"/>
  <c r="AD12" i="2" s="1"/>
  <c r="AC16" i="2"/>
  <c r="AD16" i="2" s="1"/>
  <c r="AE16" i="2" s="1"/>
  <c r="J34" i="1" s="1"/>
  <c r="K34" i="1" s="1"/>
  <c r="AD17" i="2"/>
  <c r="AE17" i="2" s="1"/>
  <c r="J35" i="1" s="1"/>
  <c r="K35" i="1" s="1"/>
  <c r="E57" i="1"/>
  <c r="E58" i="1"/>
  <c r="F58" i="1" s="1"/>
  <c r="H58" i="1" s="1"/>
  <c r="AC15" i="2"/>
  <c r="AD15" i="2" s="1"/>
  <c r="AC11" i="2"/>
  <c r="AD11" i="2" s="1"/>
  <c r="AE11" i="2" s="1"/>
  <c r="N9" i="1"/>
  <c r="AA16" i="1"/>
  <c r="F99" i="1"/>
  <c r="F70" i="1"/>
  <c r="E48" i="1"/>
  <c r="F48" i="1" s="1"/>
  <c r="H48" i="1" s="1"/>
  <c r="AB10" i="2"/>
  <c r="AC20" i="2"/>
  <c r="AD20" i="2" s="1"/>
  <c r="H99" i="1"/>
  <c r="B117" i="1"/>
  <c r="F63" i="1"/>
  <c r="F62" i="1"/>
  <c r="AC19" i="2"/>
  <c r="AD19" i="2" s="1"/>
  <c r="AE19" i="2" s="1"/>
  <c r="J37" i="1" s="1"/>
  <c r="K37" i="1" s="1"/>
  <c r="AC21" i="2"/>
  <c r="AD21" i="2" s="1"/>
  <c r="AE21" i="2" s="1"/>
  <c r="J39" i="1" s="1"/>
  <c r="K39" i="1" s="1"/>
  <c r="L23" i="2"/>
  <c r="M23" i="2" s="1"/>
  <c r="N23" i="2" s="1"/>
  <c r="O23" i="2" s="1"/>
  <c r="P23" i="2" s="1"/>
  <c r="Q23" i="2" s="1"/>
  <c r="R23" i="2" s="1"/>
  <c r="AA15" i="2"/>
  <c r="AC18" i="2"/>
  <c r="AD18" i="2" s="1"/>
  <c r="AE18" i="2" s="1"/>
  <c r="J36" i="1" s="1"/>
  <c r="K36" i="1" s="1"/>
  <c r="AB25" i="2"/>
  <c r="AA20" i="2"/>
  <c r="J88" i="1"/>
  <c r="K88" i="1" s="1"/>
  <c r="J29" i="1" l="1"/>
  <c r="K29" i="1" s="1"/>
  <c r="L29" i="1" s="1"/>
  <c r="AA12" i="2"/>
  <c r="AE12" i="2" s="1"/>
  <c r="AE20" i="2"/>
  <c r="J38" i="1" s="1"/>
  <c r="K38" i="1" s="1"/>
  <c r="J93" i="1"/>
  <c r="J95" i="1" s="1"/>
  <c r="J92" i="1"/>
  <c r="C69" i="1"/>
  <c r="G71" i="1" s="1"/>
  <c r="K62" i="1"/>
  <c r="R44" i="1"/>
  <c r="AC25" i="2"/>
  <c r="AD25" i="2" s="1"/>
  <c r="AC10" i="2"/>
  <c r="AD10" i="2" s="1"/>
  <c r="AE10" i="2" s="1"/>
  <c r="K28" i="1" s="1"/>
  <c r="I99" i="1"/>
  <c r="H117" i="1" s="1"/>
  <c r="E41" i="1"/>
  <c r="X25" i="2"/>
  <c r="AA25" i="2" s="1"/>
  <c r="E42" i="1"/>
  <c r="X13" i="2"/>
  <c r="AE15" i="2"/>
  <c r="J33" i="1" s="1"/>
  <c r="K33" i="1" s="1"/>
  <c r="K63" i="1"/>
  <c r="M36" i="1"/>
  <c r="C89" i="1"/>
  <c r="E89" i="1" s="1"/>
  <c r="F89" i="1" s="1"/>
  <c r="C88" i="1"/>
  <c r="E88" i="1" s="1"/>
  <c r="F88" i="1" s="1"/>
  <c r="J30" i="1" l="1"/>
  <c r="K30" i="1" s="1"/>
  <c r="L30" i="1" s="1"/>
  <c r="AE25" i="2"/>
  <c r="J41" i="1" s="1"/>
  <c r="AA13" i="2"/>
  <c r="AB13" i="2"/>
  <c r="AC13" i="2" s="1"/>
  <c r="AD13" i="2" s="1"/>
  <c r="G73" i="1"/>
  <c r="G74" i="1"/>
  <c r="H109" i="1"/>
  <c r="H103" i="1"/>
  <c r="H110" i="1"/>
  <c r="H104" i="1"/>
  <c r="H111" i="1"/>
  <c r="H105" i="1"/>
  <c r="C118" i="1"/>
  <c r="H112" i="1"/>
  <c r="H106" i="1"/>
  <c r="H100" i="1"/>
  <c r="H113" i="1"/>
  <c r="H107" i="1"/>
  <c r="H101" i="1"/>
  <c r="H114" i="1"/>
  <c r="H108" i="1"/>
  <c r="H102" i="1"/>
  <c r="K65" i="1"/>
  <c r="K64" i="1"/>
  <c r="J94" i="1"/>
  <c r="X14" i="2"/>
  <c r="AB14" i="2" s="1"/>
  <c r="AC14" i="2" s="1"/>
  <c r="AD14" i="2" s="1"/>
  <c r="AE14" i="2" s="1"/>
  <c r="J32" i="1" s="1"/>
  <c r="K32" i="1" s="1"/>
  <c r="I33" i="1"/>
  <c r="K66" i="1" l="1"/>
  <c r="E74" i="1" s="1"/>
  <c r="F74" i="1" s="1"/>
  <c r="H74" i="1" s="1"/>
  <c r="AE13" i="2"/>
  <c r="J31" i="1" s="1"/>
  <c r="K50" i="1" s="1"/>
  <c r="K51" i="1" s="1"/>
  <c r="G52" i="1" s="1"/>
  <c r="G57" i="1" s="1"/>
  <c r="I106" i="1"/>
  <c r="I114" i="1"/>
  <c r="I103" i="1"/>
  <c r="I101" i="1"/>
  <c r="I107" i="1"/>
  <c r="I105" i="1"/>
  <c r="I108" i="1"/>
  <c r="I110" i="1"/>
  <c r="I112" i="1"/>
  <c r="X15" i="2"/>
  <c r="I34" i="1"/>
  <c r="C131" i="1"/>
  <c r="C128" i="1"/>
  <c r="C125" i="1"/>
  <c r="C122" i="1"/>
  <c r="C119" i="1"/>
  <c r="E118" i="1"/>
  <c r="C130" i="1"/>
  <c r="C127" i="1"/>
  <c r="C124" i="1"/>
  <c r="C121" i="1"/>
  <c r="C132" i="1"/>
  <c r="C129" i="1"/>
  <c r="C126" i="1"/>
  <c r="C123" i="1"/>
  <c r="C120" i="1"/>
  <c r="B118" i="1"/>
  <c r="I109" i="1"/>
  <c r="F118" i="1"/>
  <c r="I113" i="1"/>
  <c r="I111" i="1"/>
  <c r="I102" i="1"/>
  <c r="I100" i="1"/>
  <c r="H118" i="1" s="1"/>
  <c r="E100" i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I104" i="1"/>
  <c r="E73" i="1" l="1"/>
  <c r="L31" i="1"/>
  <c r="L32" i="1" s="1"/>
  <c r="E75" i="1"/>
  <c r="F75" i="1" s="1"/>
  <c r="H75" i="1" s="1"/>
  <c r="F57" i="1"/>
  <c r="H57" i="1" s="1"/>
  <c r="H119" i="1"/>
  <c r="H120" i="1" s="1"/>
  <c r="E122" i="1"/>
  <c r="B122" i="1"/>
  <c r="F122" i="1"/>
  <c r="F95" i="1"/>
  <c r="F73" i="1"/>
  <c r="H73" i="1" s="1"/>
  <c r="E120" i="1"/>
  <c r="B120" i="1"/>
  <c r="F120" i="1"/>
  <c r="E124" i="1"/>
  <c r="B124" i="1"/>
  <c r="F124" i="1"/>
  <c r="E125" i="1"/>
  <c r="B125" i="1"/>
  <c r="F125" i="1"/>
  <c r="E121" i="1"/>
  <c r="B121" i="1"/>
  <c r="F121" i="1"/>
  <c r="E123" i="1"/>
  <c r="B123" i="1"/>
  <c r="F123" i="1"/>
  <c r="E126" i="1"/>
  <c r="B126" i="1"/>
  <c r="F126" i="1"/>
  <c r="E130" i="1"/>
  <c r="B130" i="1"/>
  <c r="F130" i="1"/>
  <c r="E131" i="1"/>
  <c r="B131" i="1"/>
  <c r="F131" i="1"/>
  <c r="E132" i="1"/>
  <c r="B132" i="1"/>
  <c r="F132" i="1"/>
  <c r="E119" i="1"/>
  <c r="B119" i="1"/>
  <c r="F119" i="1"/>
  <c r="E127" i="1"/>
  <c r="B127" i="1"/>
  <c r="F127" i="1"/>
  <c r="E128" i="1"/>
  <c r="B128" i="1"/>
  <c r="F128" i="1"/>
  <c r="H121" i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E129" i="1"/>
  <c r="B129" i="1"/>
  <c r="F129" i="1"/>
  <c r="X16" i="2"/>
  <c r="I35" i="1"/>
  <c r="X17" i="2" l="1"/>
  <c r="I36" i="1"/>
  <c r="G130" i="1"/>
  <c r="G127" i="1"/>
  <c r="G124" i="1"/>
  <c r="G121" i="1"/>
  <c r="G118" i="1"/>
  <c r="G117" i="1"/>
  <c r="G132" i="1"/>
  <c r="K132" i="1" s="1"/>
  <c r="G129" i="1"/>
  <c r="G126" i="1"/>
  <c r="G123" i="1"/>
  <c r="G120" i="1"/>
  <c r="G131" i="1"/>
  <c r="G128" i="1"/>
  <c r="G125" i="1"/>
  <c r="G122" i="1"/>
  <c r="G119" i="1"/>
  <c r="X18" i="2" l="1"/>
  <c r="I37" i="1"/>
  <c r="J103" i="1"/>
  <c r="J121" i="1" s="1"/>
  <c r="K120" i="1"/>
  <c r="J101" i="1"/>
  <c r="J119" i="1" s="1"/>
  <c r="K118" i="1"/>
  <c r="K119" i="1"/>
  <c r="J102" i="1"/>
  <c r="J120" i="1" s="1"/>
  <c r="K121" i="1"/>
  <c r="J104" i="1"/>
  <c r="J122" i="1" s="1"/>
  <c r="J105" i="1"/>
  <c r="J123" i="1" s="1"/>
  <c r="K122" i="1"/>
  <c r="J109" i="1"/>
  <c r="J127" i="1" s="1"/>
  <c r="K126" i="1"/>
  <c r="J107" i="1"/>
  <c r="J125" i="1" s="1"/>
  <c r="K124" i="1"/>
  <c r="K131" i="1"/>
  <c r="J114" i="1"/>
  <c r="J132" i="1" s="1"/>
  <c r="J100" i="1"/>
  <c r="J118" i="1" s="1"/>
  <c r="K117" i="1"/>
  <c r="J106" i="1"/>
  <c r="J124" i="1" s="1"/>
  <c r="K123" i="1"/>
  <c r="K125" i="1"/>
  <c r="J108" i="1"/>
  <c r="J126" i="1" s="1"/>
  <c r="J112" i="1"/>
  <c r="J130" i="1" s="1"/>
  <c r="K129" i="1"/>
  <c r="K127" i="1"/>
  <c r="J110" i="1"/>
  <c r="J128" i="1" s="1"/>
  <c r="J111" i="1"/>
  <c r="J129" i="1" s="1"/>
  <c r="K128" i="1"/>
  <c r="J113" i="1"/>
  <c r="J131" i="1" s="1"/>
  <c r="K130" i="1"/>
  <c r="G134" i="1" l="1"/>
  <c r="H134" i="1" s="1"/>
  <c r="J134" i="1" s="1"/>
  <c r="C134" i="1"/>
  <c r="X19" i="2"/>
  <c r="I38" i="1"/>
  <c r="X20" i="2" l="1"/>
  <c r="I39" i="1"/>
  <c r="X21" i="2" l="1"/>
  <c r="I40" i="1"/>
</calcChain>
</file>

<file path=xl/sharedStrings.xml><?xml version="1.0" encoding="utf-8"?>
<sst xmlns="http://schemas.openxmlformats.org/spreadsheetml/2006/main" count="608" uniqueCount="482">
  <si>
    <t>anfa-2</t>
  </si>
  <si>
    <t>kiÓm tra mãng cäc BTCT</t>
  </si>
  <si>
    <t>CoIns-404-9(C) - PILE99</t>
  </si>
  <si>
    <t>Ghi chó:</t>
  </si>
  <si>
    <r>
      <rPr>
        <b/>
        <sz val="10"/>
        <color rgb="FFFF0000"/>
        <rFont val=".VnArial"/>
        <family val="2"/>
      </rPr>
      <t xml:space="preserve"> - B¶n </t>
    </r>
    <r>
      <rPr>
        <b/>
        <sz val="10"/>
        <color rgb="FFFF0000"/>
        <rFont val=".VnArialH"/>
        <family val="2"/>
      </rPr>
      <t>anfa-2</t>
    </r>
    <r>
      <rPr>
        <b/>
        <sz val="10"/>
        <color rgb="FFFF0000"/>
        <rFont val=".VnArial"/>
        <family val="2"/>
      </rPr>
      <t xml:space="preserve"> nµy thay thÕ cho b¶n </t>
    </r>
    <r>
      <rPr>
        <b/>
        <sz val="10"/>
        <color rgb="FFFF0000"/>
        <rFont val=".VnArialH"/>
        <family val="2"/>
      </rPr>
      <t>anfa</t>
    </r>
    <r>
      <rPr>
        <b/>
        <sz val="10"/>
        <color rgb="FFFF0000"/>
        <rFont val=".VnArial"/>
        <family val="2"/>
      </rPr>
      <t xml:space="preserve"> tr­íc ®ã.</t>
    </r>
  </si>
  <si>
    <t xml:space="preserve">Designer : Mai Đức Thắng          Gmail : Maithangspkt@gmail.com           Phone : 0163.246.1168 </t>
  </si>
  <si>
    <t>VÞ trÝ:</t>
  </si>
  <si>
    <t>Mãng cäc §C-4, HK K13</t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</si>
  <si>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tk</t>
    </r>
  </si>
  <si>
    <r>
      <rPr>
        <sz val="10"/>
        <color theme="1"/>
        <rFont val=".VnArial"/>
        <family val="2"/>
      </rPr>
      <t xml:space="preserve"> - </t>
    </r>
    <r>
      <rPr>
        <b/>
        <sz val="10"/>
        <color theme="1"/>
        <rFont val=".VnArial"/>
        <family val="2"/>
      </rPr>
      <t>Mãng cäc ®µi thÊp. §äc kü c¸c h­íng dÉn tr­íc khi sö dông.</t>
    </r>
  </si>
  <si>
    <t>KIỂM TRA MÓNG CỌC BTCT</t>
  </si>
  <si>
    <t>H¹ng môc:</t>
  </si>
  <si>
    <t>Nhµ ký tóc x¸ K1</t>
  </si>
  <si>
    <r>
      <rPr>
        <sz val="10"/>
        <color theme="1"/>
        <rFont val=".VnArial"/>
        <family val="2"/>
      </rPr>
      <t xml:space="preserve"> - In c¸c trang: </t>
    </r>
    <r>
      <rPr>
        <sz val="10"/>
        <color rgb="FFFF0000"/>
        <rFont val=".VnArial"/>
        <family val="2"/>
      </rPr>
      <t>1,2,3, trang 4</t>
    </r>
    <r>
      <rPr>
        <sz val="10"/>
        <color theme="1"/>
        <rFont val=".VnArial"/>
        <family val="2"/>
      </rPr>
      <t xml:space="preserve"> in h×nh vÏ.</t>
    </r>
  </si>
  <si>
    <t>C«ng tr×nh:</t>
  </si>
  <si>
    <t>TTr­êng qu¶n lý kinh tÕ c«ng nghiÖp</t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</si>
  <si>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sn</t>
    </r>
  </si>
  <si>
    <r>
      <rPr>
        <sz val="10"/>
        <color theme="1"/>
        <rFont val=".VnArial"/>
        <family val="2"/>
      </rPr>
      <t xml:space="preserve"> - Bá qua ¶nh h­ëng n­íc ngÇm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.VnArial"/>
        <family val="2"/>
      </rPr>
      <t xml:space="preserve"> ®Èy næi).</t>
    </r>
  </si>
  <si>
    <t>§Þa ®iÓm:</t>
  </si>
  <si>
    <t>Giai Ph¹m - Yªn Mü - H­ng Yªn</t>
  </si>
  <si>
    <r>
      <rPr>
        <sz val="10"/>
        <color theme="1"/>
        <rFont val=".VnArial"/>
        <family val="2"/>
      </rPr>
      <t xml:space="preserve"> - C¸c kÕt qu¶ ®­îc tÝnh tõ cèt tù nhiªn CTN h</t>
    </r>
    <r>
      <rPr>
        <vertAlign val="subscript"/>
        <sz val="10"/>
        <color theme="1"/>
        <rFont val=".VnArial"/>
        <family val="2"/>
      </rPr>
      <t>tn</t>
    </r>
    <r>
      <rPr>
        <sz val="10"/>
        <color theme="1"/>
        <rFont val=".VnArial"/>
        <family val="2"/>
      </rPr>
      <t xml:space="preserve">, nÕu muèn tÝnh 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</si>
  <si>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tn</t>
    </r>
  </si>
  <si>
    <t>CTN</t>
  </si>
  <si>
    <r>
      <rPr>
        <sz val="10"/>
        <color theme="1"/>
        <rFont val=".VnArial"/>
        <family val="2"/>
      </rPr>
      <t xml:space="preserve">   víi cèt san nÒn th× coi 2 cèt trïng nhau (cho b»ng nhau h</t>
    </r>
    <r>
      <rPr>
        <vertAlign val="subscript"/>
        <sz val="10"/>
        <color theme="1"/>
        <rFont val=".VnArial"/>
        <family val="2"/>
      </rPr>
      <t>tn</t>
    </r>
    <r>
      <rPr>
        <sz val="10"/>
        <color theme="1"/>
        <rFont val=".VnArial"/>
        <family val="2"/>
      </rPr>
      <t>=h</t>
    </r>
    <r>
      <rPr>
        <vertAlign val="subscript"/>
        <sz val="10"/>
        <color theme="1"/>
        <rFont val=".VnArial"/>
        <family val="2"/>
      </rPr>
      <t>sn</t>
    </r>
    <r>
      <rPr>
        <sz val="10"/>
        <color theme="1"/>
        <rFont val=".VnArial"/>
        <family val="2"/>
      </rPr>
      <t>).</t>
    </r>
  </si>
  <si>
    <t>1-</t>
  </si>
  <si>
    <t>Sè liÖu:</t>
  </si>
  <si>
    <t>N</t>
  </si>
  <si>
    <r>
      <rPr>
        <sz val="10"/>
        <color theme="1"/>
        <rFont val=".VnArial"/>
        <family val="2"/>
      </rPr>
      <t xml:space="preserve"> - §iÓm ®Æt néi lùc N,Q,M: t¹i cèt h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 xml:space="preserve"> (mÆt trªn ®µi cäc).</t>
    </r>
  </si>
  <si>
    <t xml:space="preserve"> - Néi lùc:</t>
  </si>
  <si>
    <t>=</t>
  </si>
  <si>
    <t>t     - §µi cäc:          L=</t>
  </si>
  <si>
    <t>m       - Cao ®é mãng:</t>
  </si>
  <si>
    <t xml:space="preserve"> - Gi¶ thiÕt: träng t©m cña c¸c tiÕt diÖn cäc trïng víi träng t©m tiÕt diÖn ®¸y ®µi.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</si>
  <si>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y</t>
    </r>
  </si>
  <si>
    <t>t.m</t>
  </si>
  <si>
    <t>B=</t>
  </si>
  <si>
    <t>m</t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</si>
  <si>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tk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</si>
  <si>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</si>
  <si>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 xml:space="preserve"> - </t>
    </r>
    <r>
      <rPr>
        <b/>
        <sz val="10"/>
        <color theme="1"/>
        <rFont val=".VnArial"/>
        <family val="2"/>
      </rPr>
      <t>Cäc nhåi</t>
    </r>
    <r>
      <rPr>
        <sz val="10"/>
        <color theme="1"/>
        <rFont val=".VnArial"/>
        <family val="2"/>
      </rPr>
      <t>: cã thÓ t­¬ng tù, chó ý lµ cã kh¸c biÖt víi: m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, m</t>
    </r>
    <r>
      <rPr>
        <vertAlign val="subscript"/>
        <sz val="10"/>
        <color theme="1"/>
        <rFont val=".VnArial"/>
        <family val="2"/>
      </rPr>
      <t>R</t>
    </r>
    <r>
      <rPr>
        <sz val="10"/>
        <color theme="1"/>
        <rFont val=".VnArial"/>
        <family val="2"/>
      </rPr>
      <t>, m</t>
    </r>
    <r>
      <rPr>
        <vertAlign val="subscript"/>
        <sz val="10"/>
        <color theme="1"/>
        <rFont val=".VnArial"/>
        <family val="2"/>
      </rPr>
      <t>f</t>
    </r>
    <r>
      <rPr>
        <sz val="10"/>
        <color theme="1"/>
        <rFont val=".VnArial"/>
        <family val="2"/>
      </rPr>
      <t>, xem B¶ng tra.</t>
    </r>
  </si>
  <si>
    <r>
      <rPr>
        <sz val="10"/>
        <color theme="1"/>
        <rFont val=".VnArial"/>
        <family val="2"/>
      </rPr>
      <t>Q</t>
    </r>
    <r>
      <rPr>
        <vertAlign val="subscript"/>
        <sz val="10"/>
        <color theme="1"/>
        <rFont val=".VnArial"/>
        <family val="2"/>
      </rPr>
      <t>x</t>
    </r>
  </si>
  <si>
    <t>t              chiÒu cao h=</t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</si>
  <si>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sn</t>
    </r>
    <r>
      <rPr>
        <sz val="10"/>
        <color theme="1"/>
        <rFont val=".VnArial"/>
        <family val="2"/>
      </rPr>
      <t>=</t>
    </r>
  </si>
  <si>
    <t xml:space="preserve"> - Cäc:</t>
  </si>
  <si>
    <r>
      <rPr>
        <sz val="10"/>
        <color theme="1"/>
        <rFont val="Noto Sans Symbols"/>
      </rPr>
      <t>g</t>
    </r>
    <r>
      <rPr>
        <vertAlign val="subscript"/>
        <sz val="10"/>
        <color theme="1"/>
        <rFont val=".VnArial"/>
        <family val="2"/>
      </rPr>
      <t>(BC)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</si>
  <si>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 xml:space="preserve">3       </t>
    </r>
    <r>
      <rPr>
        <sz val="10"/>
        <color theme="1"/>
        <rFont val=".VnArial"/>
        <family val="2"/>
      </rPr>
      <t xml:space="preserve">   cæ mãng: a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</si>
  <si>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tn</t>
    </r>
    <r>
      <rPr>
        <sz val="10"/>
        <color theme="1"/>
        <rFont val=".VnArial"/>
        <family val="2"/>
      </rPr>
      <t>=</t>
    </r>
  </si>
  <si>
    <t>h=</t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</si>
  <si>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1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</si>
  <si>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</si>
  <si>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L: chiÒu cao chèng uèn (trôc X), chän theo m«men M</t>
    </r>
    <r>
      <rPr>
        <sz val="8"/>
        <color theme="1"/>
        <rFont val=".VnArial"/>
        <family val="2"/>
      </rPr>
      <t>y</t>
    </r>
    <r>
      <rPr>
        <sz val="10"/>
        <color theme="1"/>
        <rFont val=".VnArial"/>
        <family val="2"/>
      </rPr>
      <t>.</t>
    </r>
  </si>
  <si>
    <r>
      <rPr>
        <sz val="10"/>
        <color theme="1"/>
        <rFont val=".VnArial"/>
        <family val="2"/>
      </rPr>
      <t>bª t«ng: R</t>
    </r>
    <r>
      <rPr>
        <vertAlign val="subscript"/>
        <sz val="10"/>
        <color theme="1"/>
        <rFont val=".VnArial"/>
        <family val="2"/>
      </rPr>
      <t>n</t>
    </r>
  </si>
  <si>
    <r>
      <rPr>
        <sz val="10"/>
        <color theme="1"/>
        <rFont val=".VnArial"/>
        <family val="2"/>
      </rPr>
      <t>kg/cm</t>
    </r>
    <r>
      <rPr>
        <vertAlign val="super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</si>
  <si>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>b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</si>
  <si>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dm</t>
    </r>
    <r>
      <rPr>
        <sz val="10"/>
        <color theme="1"/>
        <rFont val=".VnArial"/>
        <family val="2"/>
      </rPr>
      <t>=</t>
    </r>
  </si>
  <si>
    <r>
      <rPr>
        <sz val="9"/>
        <color theme="1"/>
        <rFont val=".VnArial"/>
        <family val="2"/>
      </rPr>
      <t>h</t>
    </r>
    <r>
      <rPr>
        <vertAlign val="subscript"/>
        <sz val="9"/>
        <color theme="1"/>
        <rFont val=".VnArial"/>
        <family val="2"/>
      </rPr>
      <t>th</t>
    </r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</si>
  <si>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1</t>
    </r>
  </si>
  <si>
    <r>
      <rPr>
        <sz val="10"/>
        <color theme="1"/>
        <rFont val=".VnArial"/>
        <family val="2"/>
      </rPr>
      <t>x</t>
    </r>
    <r>
      <rPr>
        <vertAlign val="superscript"/>
        <sz val="10"/>
        <color theme="1"/>
        <rFont val=".VnArial"/>
        <family val="2"/>
      </rPr>
      <t>n,k</t>
    </r>
    <r>
      <rPr>
        <vertAlign val="subscript"/>
        <sz val="10"/>
        <color theme="1"/>
        <rFont val=".VnArial"/>
        <family val="2"/>
      </rPr>
      <t>max</t>
    </r>
    <r>
      <rPr>
        <sz val="10"/>
        <color theme="1"/>
        <rFont val=".VnArial"/>
        <family val="2"/>
      </rPr>
      <t>: kho¶ng c¸ch tõ träng t©m cäc chÞu nÐn, chÞu kÐo nhiÒu nhÊt ®Õn träng t©m</t>
    </r>
  </si>
  <si>
    <r>
      <rPr>
        <sz val="10"/>
        <color theme="1"/>
        <rFont val=".VnArial"/>
        <family val="2"/>
      </rPr>
      <t>thÐp:       R</t>
    </r>
    <r>
      <rPr>
        <vertAlign val="subscript"/>
        <sz val="10"/>
        <color theme="1"/>
        <rFont val=".VnArial"/>
        <family val="2"/>
      </rPr>
      <t>a</t>
    </r>
  </si>
  <si>
    <r>
      <rPr>
        <sz val="10"/>
        <color theme="1"/>
        <rFont val=".VnArial"/>
        <family val="2"/>
      </rPr>
      <t>kg/cm</t>
    </r>
    <r>
      <rPr>
        <vertAlign val="superscript"/>
        <sz val="10"/>
        <color theme="1"/>
        <rFont val=".VnArial"/>
        <family val="2"/>
      </rPr>
      <t>2</t>
    </r>
  </si>
  <si>
    <t>sè cäc n=</t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</si>
  <si>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th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</si>
  <si>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dm</t>
    </r>
  </si>
  <si>
    <r>
      <rPr>
        <sz val="9"/>
        <color theme="1"/>
        <rFont val=".VnArial"/>
        <family val="2"/>
      </rPr>
      <t>h</t>
    </r>
    <r>
      <rPr>
        <vertAlign val="subscript"/>
        <sz val="9"/>
        <color theme="1"/>
        <rFont val=".VnArial"/>
        <family val="2"/>
      </rPr>
      <t>ng</t>
    </r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</si>
  <si>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2</t>
    </r>
  </si>
  <si>
    <t xml:space="preserve">             cña c¸c tiÕt diÖn cäc (lµ träng t©m tiÕt diÖn ®µi), theo ph­¬ng c¹nh L, trôc X.</t>
  </si>
  <si>
    <t xml:space="preserve">tiÕt diÖn:     </t>
  </si>
  <si>
    <t>vu«ng</t>
  </si>
  <si>
    <r>
      <rPr>
        <sz val="10"/>
        <color theme="1"/>
        <rFont val=".VnArial"/>
        <family val="2"/>
      </rPr>
      <t>x</t>
    </r>
    <r>
      <rPr>
        <vertAlign val="superscript"/>
        <sz val="10"/>
        <color theme="1"/>
        <rFont val=".VnArial"/>
        <family val="2"/>
      </rPr>
      <t>n,k</t>
    </r>
    <r>
      <rPr>
        <vertAlign val="subscript"/>
        <sz val="10"/>
        <color theme="1"/>
        <rFont val=".VnArial"/>
        <family val="2"/>
      </rPr>
      <t>max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</si>
  <si>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ng</t>
    </r>
    <r>
      <rPr>
        <sz val="10"/>
        <color theme="1"/>
        <rFont val=".VnArial"/>
        <family val="2"/>
      </rPr>
      <t>=</t>
    </r>
  </si>
  <si>
    <t>Líp 1</t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</si>
  <si>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3</t>
    </r>
  </si>
  <si>
    <r>
      <rPr>
        <sz val="10"/>
        <color theme="1"/>
        <rFont val=".VnArial"/>
        <family val="2"/>
      </rPr>
      <t>x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: kho¶ng c¸ch tõ träng t©m cäc thø i ®Õn träng t©m cña c¸c tiÕt diÖn cäc.</t>
    </r>
  </si>
  <si>
    <r>
      <rPr>
        <sz val="10"/>
        <color theme="1"/>
        <rFont val="Noto Sans Symbols"/>
      </rPr>
      <t>S</t>
    </r>
    <r>
      <rPr>
        <sz val="10"/>
        <color theme="1"/>
        <rFont val=".VnArial"/>
        <family val="2"/>
      </rPr>
      <t>x</t>
    </r>
    <r>
      <rPr>
        <vertAlign val="subscript"/>
        <sz val="10"/>
        <color theme="1"/>
        <rFont val=".VnArial"/>
        <family val="2"/>
      </rPr>
      <t>i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=</t>
    </r>
  </si>
  <si>
    <t xml:space="preserve">         - §é lón:   [S]=</t>
  </si>
  <si>
    <t>cm</t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</si>
  <si>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i</t>
    </r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</si>
  <si>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i+1</t>
    </r>
  </si>
  <si>
    <r>
      <rPr>
        <sz val="10"/>
        <color theme="1"/>
        <rFont val=".VnArial"/>
        <family val="2"/>
      </rPr>
      <t>a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: c¹nh t­¬ng øng víi L, trôc X.</t>
    </r>
  </si>
  <si>
    <r>
      <rPr>
        <sz val="10"/>
        <color theme="1"/>
        <rFont val=".VnArial"/>
        <family val="2"/>
      </rPr>
      <t>dµi:          L</t>
    </r>
    <r>
      <rPr>
        <vertAlign val="subscript"/>
        <sz val="10"/>
        <color theme="1"/>
        <rFont val=".VnArial"/>
        <family val="2"/>
      </rPr>
      <t>c</t>
    </r>
  </si>
  <si>
    <r>
      <rPr>
        <sz val="10"/>
        <color theme="1"/>
        <rFont val=".VnArial"/>
        <family val="2"/>
      </rPr>
      <t>m             thÐp ®µi R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</si>
  <si>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kg/cm</t>
    </r>
    <r>
      <rPr>
        <vertAlign val="super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</si>
  <si>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 xml:space="preserve">hÖ sè 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</si>
  <si>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: c¹nh t­¬ng øng víi L, trôc X.</t>
    </r>
  </si>
  <si>
    <t xml:space="preserve">thÐp cäc:    </t>
  </si>
  <si>
    <r>
      <rPr>
        <sz val="10"/>
        <color theme="1"/>
        <rFont val=".VnArial"/>
        <family val="2"/>
      </rPr>
      <t xml:space="preserve"> - §Êt tõ ®¸y cã: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</si>
  <si>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 xml:space="preserve">       tû lÖ chia y=</t>
    </r>
  </si>
  <si>
    <t>Líp 2</t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</si>
  <si>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</si>
  <si>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 xml:space="preserve">c </t>
    </r>
    <r>
      <rPr>
        <sz val="10"/>
        <color theme="1"/>
        <rFont val=".VnArial"/>
        <family val="2"/>
      </rPr>
      <t>(chiÒu dµi cäc): nªn bá qua mòi cäc.</t>
    </r>
  </si>
  <si>
    <t xml:space="preserve"> - HÖ sè: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</si>
  <si>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1</t>
    </r>
  </si>
  <si>
    <r>
      <rPr>
        <sz val="10"/>
        <color theme="1"/>
        <rFont val=".VnArial"/>
        <family val="2"/>
      </rPr>
      <t xml:space="preserve">      ®µi trë lªn      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Symbol"/>
        <family val="1"/>
        <charset val="2"/>
      </rPr>
      <t>o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</si>
  <si>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 xml:space="preserve">®é      T¾t lón: </t>
    </r>
    <r>
      <rPr>
        <sz val="11"/>
        <color theme="1"/>
        <rFont val="Symbol"/>
        <family val="1"/>
        <charset val="2"/>
      </rPr>
      <t>s</t>
    </r>
    <r>
      <rPr>
        <vertAlign val="subscript"/>
        <sz val="10"/>
        <color theme="1"/>
        <rFont val=".VnArial"/>
        <family val="2"/>
      </rPr>
      <t>zi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&lt;=</t>
    </r>
  </si>
  <si>
    <r>
      <rPr>
        <sz val="11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®</t>
    </r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</si>
  <si>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a</t>
    </r>
  </si>
  <si>
    <r>
      <rPr>
        <sz val="10"/>
        <color theme="1"/>
        <rFont val=".VnArial"/>
        <family val="2"/>
      </rPr>
      <t xml:space="preserve"> - Mãng khèi cã: 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</si>
  <si>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m       h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=L</t>
    </r>
    <r>
      <rPr>
        <vertAlign val="subscript"/>
        <sz val="10"/>
        <color theme="1"/>
        <rFont val=".VnArial"/>
        <family val="2"/>
      </rPr>
      <t>c</t>
    </r>
    <r>
      <rPr>
        <sz val="10"/>
        <color theme="1"/>
        <rFont val=".VnArial"/>
        <family val="2"/>
      </rPr>
      <t>-h</t>
    </r>
    <r>
      <rPr>
        <vertAlign val="subscript"/>
        <sz val="10"/>
        <color theme="1"/>
        <rFont val=".VnArial"/>
        <family val="2"/>
      </rPr>
      <t>th</t>
    </r>
    <r>
      <rPr>
        <sz val="10"/>
        <color theme="1"/>
        <rFont val=".VnArial"/>
        <family val="2"/>
      </rPr>
      <t>-h</t>
    </r>
    <r>
      <rPr>
        <vertAlign val="subscript"/>
        <sz val="10"/>
        <color theme="1"/>
        <rFont val=".VnArial"/>
        <family val="2"/>
      </rPr>
      <t>ng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</si>
  <si>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=</t>
    </r>
  </si>
  <si>
    <t xml:space="preserve">Cèt san nÒn, tù nhiªn vµ ®¸y mãng: gi¸ trÞ 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</si>
  <si>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b</t>
    </r>
  </si>
  <si>
    <r>
      <rPr>
        <sz val="10"/>
        <color theme="1"/>
        <rFont val=".VnArial"/>
        <family val="2"/>
      </rPr>
      <t>qui ­íc           B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</si>
  <si>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m        h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=h</t>
    </r>
    <r>
      <rPr>
        <vertAlign val="subscript"/>
        <sz val="10"/>
        <color theme="1"/>
        <rFont val=".VnArial"/>
        <family val="2"/>
      </rPr>
      <t>dm</t>
    </r>
    <r>
      <rPr>
        <sz val="10"/>
        <color theme="1"/>
        <rFont val=".VnArial"/>
        <family val="2"/>
      </rPr>
      <t>-h-h</t>
    </r>
    <r>
      <rPr>
        <vertAlign val="subscript"/>
        <sz val="10"/>
        <color theme="1"/>
        <rFont val=".VnArial"/>
        <family val="2"/>
      </rPr>
      <t>tk</t>
    </r>
    <r>
      <rPr>
        <sz val="10"/>
        <color theme="1"/>
        <rFont val=".VnArial"/>
        <family val="2"/>
      </rPr>
      <t>=</t>
    </r>
  </si>
  <si>
    <t>®Òu ®­îc tÝnh so víi cèt thiÕt kÕ 0,000.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</si>
  <si>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</si>
  <si>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 xml:space="preserve"> - §¸y khèi cã: C</t>
    </r>
    <r>
      <rPr>
        <vertAlign val="subscript"/>
        <sz val="10"/>
        <color theme="1"/>
        <rFont val=".VnArial"/>
        <family val="2"/>
      </rPr>
      <t>tc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</si>
  <si>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 xml:space="preserve">       h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Century Schoolbook"/>
        <family val="2"/>
      </rPr>
      <t>=</t>
    </r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dm</t>
    </r>
    <r>
      <rPr>
        <sz val="10"/>
        <color theme="1"/>
        <rFont val=".VnCentury Schoolbook"/>
        <family val="2"/>
      </rPr>
      <t>-</t>
    </r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tn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</si>
  <si>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3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</si>
  <si>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=L</t>
    </r>
    <r>
      <rPr>
        <vertAlign val="subscript"/>
        <sz val="10"/>
        <color theme="1"/>
        <rFont val=".VnArial"/>
        <family val="2"/>
      </rPr>
      <t>c</t>
    </r>
    <r>
      <rPr>
        <sz val="10"/>
        <color theme="1"/>
        <rFont val=".VnArial"/>
        <family val="2"/>
      </rPr>
      <t>-h</t>
    </r>
    <r>
      <rPr>
        <vertAlign val="subscript"/>
        <sz val="10"/>
        <color theme="1"/>
        <rFont val=".VnArial"/>
        <family val="2"/>
      </rPr>
      <t>th</t>
    </r>
    <r>
      <rPr>
        <sz val="10"/>
        <color theme="1"/>
        <rFont val=".VnArial"/>
        <family val="2"/>
      </rPr>
      <t>-h</t>
    </r>
    <r>
      <rPr>
        <vertAlign val="subscript"/>
        <sz val="10"/>
        <color theme="1"/>
        <rFont val=".VnArial"/>
        <family val="2"/>
      </rPr>
      <t>ng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</si>
  <si>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R</t>
    </r>
  </si>
  <si>
    <r>
      <rPr>
        <sz val="10"/>
        <color theme="1"/>
        <rFont val=".VnArial"/>
        <family val="2"/>
      </rPr>
      <t xml:space="preserve">qui ­íc          </t>
    </r>
    <r>
      <rPr>
        <sz val="10"/>
        <color theme="1"/>
        <rFont val="Symbol"/>
        <family val="1"/>
        <charset val="2"/>
      </rPr>
      <t>j</t>
    </r>
    <r>
      <rPr>
        <vertAlign val="super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 xml:space="preserve"> =</t>
    </r>
  </si>
  <si>
    <r>
      <rPr>
        <sz val="10"/>
        <color theme="1"/>
        <rFont val=".VnArial"/>
        <family val="2"/>
      </rPr>
      <t>®é         h</t>
    </r>
    <r>
      <rPr>
        <vertAlign val="subscript"/>
        <sz val="10"/>
        <color theme="1"/>
        <rFont val=".VnArial"/>
        <family val="2"/>
      </rPr>
      <t>4</t>
    </r>
    <r>
      <rPr>
        <sz val="10"/>
        <color theme="1"/>
        <rFont val=".VnCentury Schoolbook"/>
        <family val="2"/>
      </rPr>
      <t>=</t>
    </r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dm</t>
    </r>
    <r>
      <rPr>
        <sz val="10"/>
        <color theme="1"/>
        <rFont val=".VnCentury Schoolbook"/>
        <family val="2"/>
      </rPr>
      <t>-</t>
    </r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tk</t>
    </r>
    <r>
      <rPr>
        <sz val="10"/>
        <color theme="1"/>
        <rFont val=".VnArial"/>
        <family val="2"/>
      </rPr>
      <t>=</t>
    </r>
  </si>
  <si>
    <t>Líp 3</t>
  </si>
  <si>
    <r>
      <rPr>
        <sz val="10"/>
        <color theme="1"/>
        <rFont val=".VnArial"/>
        <family val="2"/>
      </rPr>
      <t>§é s©u d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 (l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-h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)/2+h</t>
    </r>
    <r>
      <rPr>
        <vertAlign val="subscript"/>
        <sz val="10"/>
        <color theme="1"/>
        <rFont val=".VnArial"/>
        <family val="2"/>
      </rPr>
      <t>3</t>
    </r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</si>
  <si>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f</t>
    </r>
  </si>
  <si>
    <r>
      <rPr>
        <sz val="10"/>
        <color theme="1"/>
        <rFont val=".VnArial"/>
        <family val="2"/>
      </rPr>
      <t>DiÖn tÝch tiÕt diÖn cäc F</t>
    </r>
    <r>
      <rPr>
        <vertAlign val="subscript"/>
        <sz val="10"/>
        <color theme="1"/>
        <rFont val=".VnArial"/>
        <family val="2"/>
      </rPr>
      <t>b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</si>
  <si>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m</t>
    </r>
    <r>
      <rPr>
        <vertAlign val="superscript"/>
        <sz val="10"/>
        <color theme="1"/>
        <rFont val=".VnArial"/>
        <family val="2"/>
      </rPr>
      <t>2</t>
    </r>
  </si>
  <si>
    <r>
      <rPr>
        <sz val="10"/>
        <color rgb="FF000000"/>
        <rFont val=".VnArial"/>
        <family val="2"/>
      </rPr>
      <t>l</t>
    </r>
    <r>
      <rPr>
        <vertAlign val="subscript"/>
        <sz val="10"/>
        <color rgb="FF000000"/>
        <rFont val=".VnArial"/>
        <family val="2"/>
      </rPr>
      <t>1</t>
    </r>
    <r>
      <rPr>
        <sz val="10"/>
        <color rgb="FF000000"/>
        <rFont val=".VnArial"/>
        <family val="2"/>
      </rPr>
      <t xml:space="preserve"> = chiÒu dµy líp 1, ®iÒu kiÖn l</t>
    </r>
    <r>
      <rPr>
        <vertAlign val="subscript"/>
        <sz val="10"/>
        <color rgb="FF000000"/>
        <rFont val=".VnArial"/>
        <family val="2"/>
      </rPr>
      <t>1</t>
    </r>
    <r>
      <rPr>
        <sz val="10"/>
        <color rgb="FF000000"/>
        <rFont val=".VnArial"/>
        <family val="2"/>
      </rPr>
      <t xml:space="preserve"> &gt; h</t>
    </r>
    <r>
      <rPr>
        <vertAlign val="subscript"/>
        <sz val="10"/>
        <color rgb="FF000000"/>
        <rFont val=".VnArial"/>
        <family val="2"/>
      </rPr>
      <t xml:space="preserve">3 </t>
    </r>
    <r>
      <rPr>
        <sz val="10"/>
        <color rgb="FF000000"/>
        <rFont val=".VnArial"/>
        <family val="2"/>
      </rPr>
      <t>= h</t>
    </r>
    <r>
      <rPr>
        <vertAlign val="subscript"/>
        <sz val="10"/>
        <color rgb="FF000000"/>
        <rFont val=".VnArial"/>
        <family val="2"/>
      </rPr>
      <t>dm</t>
    </r>
    <r>
      <rPr>
        <sz val="10"/>
        <color rgb="FF000000"/>
        <rFont val=".VnArial"/>
        <family val="2"/>
      </rPr>
      <t>-h</t>
    </r>
    <r>
      <rPr>
        <vertAlign val="subscript"/>
        <sz val="10"/>
        <color rgb="FF000000"/>
        <rFont val=".VnArial"/>
        <family val="2"/>
      </rPr>
      <t>tn</t>
    </r>
  </si>
  <si>
    <t>(Kh«ng ®­îc nhá h¬n hoÆc b»ng)</t>
  </si>
  <si>
    <t xml:space="preserve"> - §Þa chÊt:</t>
  </si>
  <si>
    <t>Chu vi tiÕt diÖn cäc U=</t>
  </si>
  <si>
    <r>
      <rPr>
        <sz val="10"/>
        <color theme="1"/>
        <rFont val=".VnArial"/>
        <family val="2"/>
      </rPr>
      <t>(v× vËy cã thÓ ph¶i gép nhiÒu líp ®Ó thµnh líp ®Çu tiªn cã chiÒu dµy 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)</t>
    </r>
  </si>
  <si>
    <r>
      <rPr>
        <sz val="9"/>
        <color rgb="FFFF0000"/>
        <rFont val=".VnArial"/>
        <family val="2"/>
      </rPr>
      <t xml:space="preserve">    Sè liÖu ®­îc tÝnh tõ cèt tù nhiªn (h</t>
    </r>
    <r>
      <rPr>
        <vertAlign val="subscript"/>
        <sz val="9"/>
        <color rgb="FFFF0000"/>
        <rFont val=".VnArial"/>
        <family val="2"/>
      </rPr>
      <t>tn</t>
    </r>
    <r>
      <rPr>
        <sz val="9"/>
        <color rgb="FFFF0000"/>
        <rFont val=".VnArial"/>
        <family val="2"/>
      </rPr>
      <t>).</t>
    </r>
  </si>
  <si>
    <r>
      <rPr>
        <sz val="10"/>
        <color theme="1"/>
        <rFont val=".VnArial"/>
        <family val="2"/>
      </rPr>
      <t>DiÖn tÝch thÐp cäc F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</si>
  <si>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m</t>
    </r>
    <r>
      <rPr>
        <vertAlign val="super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</si>
  <si>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i</t>
    </r>
  </si>
  <si>
    <r>
      <rPr>
        <sz val="10"/>
        <color theme="1"/>
        <rFont val=".VnArial"/>
        <family val="2"/>
      </rPr>
      <t>§é s©u d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= 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+l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/2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</si>
  <si>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 xml:space="preserve"> = chiÒu dµy líp 2</t>
    </r>
  </si>
  <si>
    <t>Thø tù</t>
  </si>
  <si>
    <t>ChiÒu dµy</t>
  </si>
  <si>
    <t>g</t>
  </si>
  <si>
    <r>
      <rPr>
        <sz val="10"/>
        <color theme="1"/>
        <rFont val=".VnArial"/>
        <family val="2"/>
      </rPr>
      <t>§Êt sÐt (I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)/</t>
    </r>
  </si>
  <si>
    <r>
      <rPr>
        <sz val="10"/>
        <color theme="1"/>
        <rFont val=".VnArial"/>
        <family val="2"/>
      </rPr>
      <t xml:space="preserve">Gãc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.VnArial"/>
        <family val="2"/>
      </rPr>
      <t>i</t>
    </r>
    <r>
      <rPr>
        <vertAlign val="superscript"/>
        <sz val="10"/>
        <color theme="1"/>
        <rFont val=".VnArial"/>
        <family val="2"/>
      </rPr>
      <t>tc</t>
    </r>
  </si>
  <si>
    <t>§é s©u</t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</si>
  <si>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i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(t/m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</si>
  <si>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i</t>
    </r>
  </si>
  <si>
    <t>Líp i</t>
  </si>
  <si>
    <r>
      <rPr>
        <sz val="10"/>
        <color theme="1"/>
        <rFont val=".VnArial"/>
        <family val="2"/>
      </rPr>
      <t>§é s©u d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= d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 xml:space="preserve"> + l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/2 + l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/2</t>
    </r>
  </si>
  <si>
    <r>
      <rPr>
        <sz val="10"/>
        <color theme="1"/>
        <rFont val=".VnArial"/>
        <family val="2"/>
      </rPr>
      <t>líp 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 xml:space="preserve"> (m)</t>
    </r>
  </si>
  <si>
    <r>
      <rPr>
        <sz val="10"/>
        <color theme="1"/>
        <rFont val=".VnArial"/>
        <family val="2"/>
      </rPr>
      <t>(t/m</t>
    </r>
    <r>
      <rPr>
        <vertAlign val="super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)</t>
    </r>
  </si>
  <si>
    <t>/§Êt c¸t</t>
  </si>
  <si>
    <t>(®é)</t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</si>
  <si>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 xml:space="preserve"> (m)</t>
    </r>
  </si>
  <si>
    <r>
      <rPr>
        <sz val="10"/>
        <color theme="1"/>
        <rFont val=".VnArial"/>
        <family val="2"/>
      </rPr>
      <t>{R (t/m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)}</t>
    </r>
  </si>
  <si>
    <t>(t/m)</t>
  </si>
  <si>
    <r>
      <rPr>
        <sz val="10"/>
        <color theme="1"/>
        <rFont val=".VnArial"/>
        <family val="2"/>
      </rPr>
      <t>§é s©u d</t>
    </r>
    <r>
      <rPr>
        <vertAlign val="subscript"/>
        <sz val="10"/>
        <color theme="1"/>
        <rFont val=".VnArial"/>
        <family val="2"/>
      </rPr>
      <t>4</t>
    </r>
    <r>
      <rPr>
        <sz val="10"/>
        <color theme="1"/>
        <rFont val=".VnArial"/>
        <family val="2"/>
      </rPr>
      <t>= d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 xml:space="preserve"> + l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/2 + l</t>
    </r>
    <r>
      <rPr>
        <vertAlign val="subscript"/>
        <sz val="10"/>
        <color theme="1"/>
        <rFont val=".VnArial"/>
        <family val="2"/>
      </rPr>
      <t>4</t>
    </r>
    <r>
      <rPr>
        <sz val="10"/>
        <color theme="1"/>
        <rFont val=".VnArial"/>
        <family val="2"/>
      </rPr>
      <t>/2</t>
    </r>
  </si>
  <si>
    <t>Líp i+1</t>
  </si>
  <si>
    <r>
      <rPr>
        <sz val="8"/>
        <color theme="1"/>
        <rFont val=".VnArial"/>
        <family val="2"/>
      </rPr>
      <t>l</t>
    </r>
    <r>
      <rPr>
        <vertAlign val="subscript"/>
        <sz val="8"/>
        <color theme="1"/>
        <rFont val=".VnArial"/>
        <family val="2"/>
      </rPr>
      <t>i+1</t>
    </r>
  </si>
  <si>
    <t>NÕu mét líp cã chiÒu dµy lín vÉn ph¶i chia nhá</t>
  </si>
  <si>
    <t>®¶m b¶o theo tiªu chuÈn thiÕt kÕ.</t>
  </si>
  <si>
    <t>c¸t mÞn</t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</si>
  <si>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</si>
  <si>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t>-</t>
  </si>
  <si>
    <t>I</t>
  </si>
  <si>
    <t>a=</t>
  </si>
  <si>
    <t>II</t>
  </si>
  <si>
    <r>
      <rPr>
        <sz val="10"/>
        <color theme="1"/>
        <rFont val=".VnArial"/>
        <family val="2"/>
      </rPr>
      <t>B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</si>
  <si>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a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</si>
  <si>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B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</si>
  <si>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t>Mòi cäc</t>
  </si>
  <si>
    <t>L=</t>
  </si>
  <si>
    <r>
      <rPr>
        <sz val="10"/>
        <color theme="1"/>
        <rFont val=".VnArial"/>
        <family val="2"/>
      </rPr>
      <t xml:space="preserve">Gãc ma s¸t trong trung b×nh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.VnArial"/>
        <family val="2"/>
      </rPr>
      <t>tb</t>
    </r>
    <r>
      <rPr>
        <vertAlign val="super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 xml:space="preserve"> = </t>
    </r>
  </si>
  <si>
    <r>
      <rPr>
        <sz val="10"/>
        <color theme="1"/>
        <rFont val="Noto Sans Symbols"/>
      </rPr>
      <t>S(j</t>
    </r>
    <r>
      <rPr>
        <vertAlign val="subscript"/>
        <sz val="10"/>
        <color theme="1"/>
        <rFont val=".VnArial"/>
        <family val="2"/>
      </rPr>
      <t>i</t>
    </r>
    <r>
      <rPr>
        <vertAlign val="super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)/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</si>
  <si>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Noto Sans Symbols"/>
      </rPr>
      <t>a</t>
    </r>
    <r>
      <rPr>
        <sz val="10"/>
        <color theme="1"/>
        <rFont val=".VnArial"/>
        <family val="2"/>
      </rPr>
      <t>=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.VnArial"/>
        <family val="2"/>
      </rPr>
      <t>tb</t>
    </r>
    <r>
      <rPr>
        <vertAlign val="super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/4=</t>
    </r>
  </si>
  <si>
    <r>
      <rPr>
        <sz val="10"/>
        <color theme="1"/>
        <rFont val="Noto Sans Symbols"/>
      </rPr>
      <t>g</t>
    </r>
    <r>
      <rPr>
        <sz val="10"/>
        <color theme="1"/>
        <rFont val=".VnArial"/>
        <family val="2"/>
      </rPr>
      <t xml:space="preserve"> ®Êt tõ CTN ®Õn mòi cäc </t>
    </r>
    <r>
      <rPr>
        <sz val="10"/>
        <color rgb="FFFF0000"/>
        <rFont val=".VnArial"/>
        <family val="2"/>
      </rPr>
      <t xml:space="preserve">       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 xml:space="preserve"> = </t>
    </r>
  </si>
  <si>
    <r>
      <rPr>
        <sz val="10"/>
        <color theme="1"/>
        <rFont val="Noto Sans Symbols"/>
      </rPr>
      <t>S(g</t>
    </r>
    <r>
      <rPr>
        <vertAlign val="subscript"/>
        <sz val="10"/>
        <color theme="1"/>
        <rFont val=".VnArial"/>
        <family val="2"/>
      </rPr>
      <t>i</t>
    </r>
    <r>
      <rPr>
        <vertAlign val="super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)/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</si>
  <si>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>3</t>
    </r>
  </si>
  <si>
    <r>
      <rPr>
        <sz val="10"/>
        <color theme="1"/>
        <rFont val=".VnArial"/>
        <family val="2"/>
      </rPr>
      <t>tg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</si>
  <si>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=</t>
    </r>
  </si>
  <si>
    <t>(H×nh vÏ m« pháng)</t>
  </si>
  <si>
    <t>2-</t>
  </si>
  <si>
    <r>
      <rPr>
        <b/>
        <sz val="10"/>
        <color theme="1"/>
        <rFont val=".VnArial"/>
        <family val="2"/>
      </rPr>
      <t>KiÓm tra ®iÒu kiÖn: h</t>
    </r>
    <r>
      <rPr>
        <b/>
        <vertAlign val="subscript"/>
        <sz val="10"/>
        <color theme="1"/>
        <rFont val=".VnArial"/>
        <family val="2"/>
      </rPr>
      <t>3</t>
    </r>
    <r>
      <rPr>
        <b/>
        <sz val="10"/>
        <color theme="1"/>
        <rFont val=".VnArial"/>
        <family val="2"/>
      </rPr>
      <t>&gt;=H=0,7h</t>
    </r>
    <r>
      <rPr>
        <b/>
        <vertAlign val="subscript"/>
        <sz val="10"/>
        <color theme="1"/>
        <rFont val=".VnArial"/>
        <family val="2"/>
      </rPr>
      <t>min</t>
    </r>
    <r>
      <rPr>
        <b/>
        <sz val="10"/>
        <color theme="1"/>
        <rFont val=".VnArial"/>
        <family val="2"/>
      </rPr>
      <t>: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</si>
  <si>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 xml:space="preserve">min </t>
    </r>
    <r>
      <rPr>
        <sz val="10"/>
        <color theme="1"/>
        <rFont val=".VnArial"/>
        <family val="2"/>
      </rPr>
      <t>= tg(45-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/2).[Q</t>
    </r>
    <r>
      <rPr>
        <vertAlign val="subscript"/>
        <sz val="10"/>
        <color theme="1"/>
        <rFont val=".VnArial"/>
        <family val="2"/>
      </rPr>
      <t>x</t>
    </r>
    <r>
      <rPr>
        <sz val="10"/>
        <color theme="1"/>
        <rFont val=".VnArial"/>
        <family val="2"/>
      </rPr>
      <t>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.B)]</t>
    </r>
    <r>
      <rPr>
        <vertAlign val="superscript"/>
        <sz val="10"/>
        <color theme="1"/>
        <rFont val=".VnArial"/>
        <family val="2"/>
      </rPr>
      <t xml:space="preserve">0,5 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</si>
  <si>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3</t>
    </r>
  </si>
  <si>
    <t>3-</t>
  </si>
  <si>
    <t>Søc chÞu t¶i cña cäc theo vËt liÖu cäc:</t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</si>
  <si>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vl</t>
    </r>
    <r>
      <rPr>
        <sz val="10"/>
        <color theme="1"/>
        <rFont val=".VnArial"/>
        <family val="2"/>
      </rPr>
      <t>=m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(m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>.R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>.F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 xml:space="preserve"> + m</t>
    </r>
    <r>
      <rPr>
        <vertAlign val="subscript"/>
        <sz val="10"/>
        <color theme="1"/>
        <rFont val=".VnArial"/>
        <family val="2"/>
      </rPr>
      <t>b</t>
    </r>
    <r>
      <rPr>
        <sz val="10"/>
        <color theme="1"/>
        <rFont val=".VnArial"/>
        <family val="2"/>
      </rPr>
      <t>.R</t>
    </r>
    <r>
      <rPr>
        <vertAlign val="subscript"/>
        <sz val="10"/>
        <color theme="1"/>
        <rFont val=".VnArial"/>
        <family val="2"/>
      </rPr>
      <t>n</t>
    </r>
    <r>
      <rPr>
        <sz val="10"/>
        <color theme="1"/>
        <rFont val=".VnArial"/>
        <family val="2"/>
      </rPr>
      <t>.F</t>
    </r>
    <r>
      <rPr>
        <vertAlign val="subscript"/>
        <sz val="10"/>
        <color theme="1"/>
        <rFont val=".VnArial"/>
        <family val="2"/>
      </rPr>
      <t>b</t>
    </r>
    <r>
      <rPr>
        <sz val="10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</si>
  <si>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vl</t>
    </r>
    <r>
      <rPr>
        <sz val="10"/>
        <color theme="1"/>
        <rFont val=".VnArial"/>
        <family val="2"/>
      </rPr>
      <t>=</t>
    </r>
  </si>
  <si>
    <t>t</t>
  </si>
  <si>
    <t>4-</t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</si>
  <si>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=m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(m</t>
    </r>
    <r>
      <rPr>
        <vertAlign val="subscript"/>
        <sz val="10"/>
        <color theme="1"/>
        <rFont val=".VnArial"/>
        <family val="2"/>
      </rPr>
      <t>R</t>
    </r>
    <r>
      <rPr>
        <sz val="10"/>
        <color theme="1"/>
        <rFont val=".VnArial"/>
        <family val="2"/>
      </rPr>
      <t>.R.F</t>
    </r>
    <r>
      <rPr>
        <vertAlign val="subscript"/>
        <sz val="10"/>
        <color theme="1"/>
        <rFont val=".VnArial"/>
        <family val="2"/>
      </rPr>
      <t>b</t>
    </r>
    <r>
      <rPr>
        <sz val="10"/>
        <color theme="1"/>
        <rFont val=".VnArial"/>
        <family val="2"/>
      </rPr>
      <t xml:space="preserve"> + U.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f</t>
    </r>
    <r>
      <rPr>
        <sz val="10"/>
        <color theme="1"/>
        <rFont val=".VnArial"/>
        <family val="2"/>
      </rPr>
      <t>.f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</si>
  <si>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</si>
  <si>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t</t>
    </r>
    <r>
      <rPr>
        <sz val="10"/>
        <color rgb="FFFF6600"/>
        <rFont val=".VnArial"/>
        <family val="2"/>
      </rPr>
      <t xml:space="preserve"> (*)</t>
    </r>
  </si>
  <si>
    <t>(*): NÕu lÊy gi¸ trÞ [P] cña thiÕt kÕ vµo: [P]=-A</t>
  </si>
  <si>
    <t>Søc chÞu t¶i cho phÐp trªn cäc [P]:</t>
  </si>
  <si>
    <r>
      <rPr>
        <sz val="10"/>
        <color theme="1"/>
        <rFont val=".VnArial"/>
        <family val="2"/>
      </rPr>
      <t>k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</si>
  <si>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P=MIN(P</t>
    </r>
    <r>
      <rPr>
        <vertAlign val="subscript"/>
        <sz val="10"/>
        <color theme="1"/>
        <rFont val=".VnArial"/>
        <family val="2"/>
      </rPr>
      <t>vl</t>
    </r>
    <r>
      <rPr>
        <sz val="10"/>
        <color theme="1"/>
        <rFont val=".VnArial"/>
        <family val="2"/>
      </rPr>
      <t>,P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)=</t>
    </r>
  </si>
  <si>
    <t xml:space="preserve">      víi A lµ gi¸ trÞ cña [P], dÊu ©m ®Ó nhËn biÕt:</t>
  </si>
  <si>
    <r>
      <rPr>
        <sz val="10"/>
        <color theme="1"/>
        <rFont val=".VnArial"/>
        <family val="2"/>
      </rPr>
      <t>[P]=P/k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=</t>
    </r>
  </si>
  <si>
    <t>[P]=</t>
  </si>
  <si>
    <t>tÊn</t>
  </si>
  <si>
    <t>5-</t>
  </si>
  <si>
    <t>T¶i träng tÝnh to¸n trªn cäc:</t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</si>
  <si>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max,min</t>
    </r>
    <r>
      <rPr>
        <sz val="10"/>
        <color theme="1"/>
        <rFont val=".VnArial"/>
        <family val="2"/>
      </rPr>
      <t xml:space="preserve"> = N</t>
    </r>
    <r>
      <rPr>
        <vertAlign val="subscript"/>
        <sz val="10"/>
        <color theme="1"/>
        <rFont val=".VnArial"/>
        <family val="2"/>
      </rPr>
      <t>tt</t>
    </r>
    <r>
      <rPr>
        <sz val="10"/>
        <color theme="1"/>
        <rFont val=".VnArial"/>
        <family val="2"/>
      </rPr>
      <t xml:space="preserve">/n </t>
    </r>
    <r>
      <rPr>
        <sz val="10"/>
        <color theme="1"/>
        <rFont val="Symbol"/>
        <family val="1"/>
        <charset val="2"/>
      </rPr>
      <t>+-</t>
    </r>
    <r>
      <rPr>
        <sz val="10"/>
        <color theme="1"/>
        <rFont val=".VnArial"/>
        <family val="2"/>
      </rPr>
      <t xml:space="preserve"> M</t>
    </r>
    <r>
      <rPr>
        <vertAlign val="subscript"/>
        <sz val="10"/>
        <color theme="1"/>
        <rFont val=".VnArial"/>
        <family val="2"/>
      </rPr>
      <t>tt</t>
    </r>
    <r>
      <rPr>
        <sz val="10"/>
        <color theme="1"/>
        <rFont val=".VnArial"/>
        <family val="2"/>
      </rPr>
      <t>.x</t>
    </r>
    <r>
      <rPr>
        <vertAlign val="superscript"/>
        <sz val="10"/>
        <color theme="1"/>
        <rFont val=".VnArial"/>
        <family val="2"/>
      </rPr>
      <t>n,k</t>
    </r>
    <r>
      <rPr>
        <vertAlign val="subscript"/>
        <sz val="10"/>
        <color theme="1"/>
        <rFont val=".VnArial"/>
        <family val="2"/>
      </rPr>
      <t>max</t>
    </r>
    <r>
      <rPr>
        <sz val="10"/>
        <color theme="1"/>
        <rFont val=".VnArial"/>
        <family val="2"/>
      </rPr>
      <t>/(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.VnArial"/>
        <family val="2"/>
      </rPr>
      <t>x</t>
    </r>
    <r>
      <rPr>
        <vertAlign val="subscript"/>
        <sz val="10"/>
        <color theme="1"/>
        <rFont val=".VnArial"/>
        <family val="2"/>
      </rPr>
      <t>i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 (t)</t>
    </r>
  </si>
  <si>
    <r>
      <rPr>
        <sz val="10"/>
        <color theme="1"/>
        <rFont val=".VnArial"/>
        <family val="2"/>
      </rPr>
      <t>V× gi¸ trÞ [P] cña c¬ quan thiÕt kÕ cã thÓ ®· kÓ ®Õn k</t>
    </r>
    <r>
      <rPr>
        <vertAlign val="subscript"/>
        <sz val="10"/>
        <color theme="1"/>
        <rFont val=".VnArial"/>
        <family val="2"/>
      </rPr>
      <t>tc</t>
    </r>
  </si>
  <si>
    <r>
      <rPr>
        <sz val="10"/>
        <color theme="1"/>
        <rFont val=".VnArial"/>
        <family val="2"/>
      </rPr>
      <t xml:space="preserve">            Khèi l­îng t­êng tÇng 1 vµ gi»ng </t>
    </r>
    <r>
      <rPr>
        <sz val="10"/>
        <color rgb="FFFF0000"/>
        <rFont val=".VnArial"/>
        <family val="2"/>
      </rPr>
      <t>(nÕu cã)</t>
    </r>
    <r>
      <rPr>
        <sz val="10"/>
        <color theme="1"/>
        <rFont val=".VnArial"/>
        <family val="2"/>
      </rPr>
      <t xml:space="preserve">: </t>
    </r>
  </si>
  <si>
    <r>
      <rPr>
        <sz val="10"/>
        <color theme="1"/>
        <rFont val=".VnArial"/>
        <family val="2"/>
      </rPr>
      <t>G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 xml:space="preserve"> =</t>
    </r>
  </si>
  <si>
    <r>
      <rPr>
        <sz val="10"/>
        <color theme="1"/>
        <rFont val=".VnArial"/>
        <family val="2"/>
      </rPr>
      <t>nªn khi so s¸nh víi [P] cña thiÕt kÕ th× cho k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 xml:space="preserve"> =1,</t>
    </r>
  </si>
  <si>
    <t xml:space="preserve">            Khèi l­îng ®µi cäc vµ ®Êt trªn ®µi:</t>
  </si>
  <si>
    <r>
      <rPr>
        <sz val="10"/>
        <color theme="1"/>
        <rFont val=".VnArial"/>
        <family val="2"/>
      </rPr>
      <t>G</t>
    </r>
    <r>
      <rPr>
        <vertAlign val="subscript"/>
        <sz val="10"/>
        <color theme="1"/>
        <rFont val=".VnArial"/>
        <family val="2"/>
      </rPr>
      <t>2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 L.B.h.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(BC)</t>
    </r>
    <r>
      <rPr>
        <sz val="10"/>
        <color theme="1"/>
        <rFont val=".VnArial"/>
        <family val="2"/>
      </rPr>
      <t xml:space="preserve"> + L.B.h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 xml:space="preserve"> =</t>
    </r>
  </si>
  <si>
    <r>
      <rPr>
        <sz val="10"/>
        <color theme="1"/>
        <rFont val=".VnArial"/>
        <family val="2"/>
      </rPr>
      <t xml:space="preserve"> - Gi¸ trÞ k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 xml:space="preserve"> xem chi tiÕt trong s¸ch, th­êng b»ng 1,4.</t>
    </r>
  </si>
  <si>
    <r>
      <rPr>
        <sz val="10"/>
        <color theme="1"/>
        <rFont val=".VnArial"/>
        <family val="2"/>
      </rPr>
      <t xml:space="preserve">            Tæng t¶i träng t¹i cao tr×nh ®¸y ®µi: N</t>
    </r>
    <r>
      <rPr>
        <vertAlign val="subscript"/>
        <sz val="10"/>
        <color theme="1"/>
        <rFont val=".VnArial"/>
        <family val="2"/>
      </rPr>
      <t>tt</t>
    </r>
    <r>
      <rPr>
        <sz val="10"/>
        <color theme="1"/>
        <rFont val=".VnArial"/>
        <family val="2"/>
      </rPr>
      <t>, M</t>
    </r>
    <r>
      <rPr>
        <vertAlign val="subscript"/>
        <sz val="10"/>
        <color theme="1"/>
        <rFont val=".VnArial"/>
        <family val="2"/>
      </rPr>
      <t>tt</t>
    </r>
    <r>
      <rPr>
        <sz val="10"/>
        <color theme="1"/>
        <rFont val=".VnArial"/>
        <family val="2"/>
      </rPr>
      <t>:</t>
    </r>
  </si>
  <si>
    <r>
      <rPr>
        <sz val="10"/>
        <color theme="1"/>
        <rFont val=".VnArial"/>
        <family val="2"/>
      </rPr>
      <t>N</t>
    </r>
    <r>
      <rPr>
        <vertAlign val="subscript"/>
        <sz val="10"/>
        <color theme="1"/>
        <rFont val=".VnArial"/>
        <family val="2"/>
      </rPr>
      <t>tt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 N+G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+G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 xml:space="preserve"> = </t>
    </r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</si>
  <si>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max</t>
    </r>
  </si>
  <si>
    <t xml:space="preserve"> =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</si>
  <si>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tt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 M</t>
    </r>
    <r>
      <rPr>
        <vertAlign val="subscript"/>
        <sz val="10"/>
        <color theme="1"/>
        <rFont val=".VnArial"/>
        <family val="2"/>
      </rPr>
      <t>y</t>
    </r>
    <r>
      <rPr>
        <sz val="10"/>
        <color theme="1"/>
        <rFont val=".VnArial"/>
        <family val="2"/>
      </rPr>
      <t>+Q</t>
    </r>
    <r>
      <rPr>
        <vertAlign val="subscript"/>
        <sz val="10"/>
        <color theme="1"/>
        <rFont val=".VnArial"/>
        <family val="2"/>
      </rPr>
      <t>x</t>
    </r>
    <r>
      <rPr>
        <sz val="10"/>
        <color theme="1"/>
        <rFont val=".VnArial"/>
        <family val="2"/>
      </rPr>
      <t xml:space="preserve">.h = </t>
    </r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</si>
  <si>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min</t>
    </r>
  </si>
  <si>
    <t>6-</t>
  </si>
  <si>
    <t>C­êng ®é ®Êt nÒn ®¸y mãng khèi qui ­íc:</t>
  </si>
  <si>
    <t xml:space="preserve">    X¸c ®Þnh kÝch th­íc mãng khèi qui ­íc:</t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</si>
  <si>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=L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+2.h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.tg</t>
    </r>
    <r>
      <rPr>
        <sz val="10"/>
        <color theme="1"/>
        <rFont val="Symbol"/>
        <family val="1"/>
        <charset val="2"/>
      </rPr>
      <t>a =</t>
    </r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</si>
  <si>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=B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 xml:space="preserve"> =</t>
    </r>
  </si>
  <si>
    <r>
      <rPr>
        <sz val="10"/>
        <color theme="1"/>
        <rFont val=".VnArial"/>
        <family val="2"/>
      </rPr>
      <t>m</t>
    </r>
    <r>
      <rPr>
        <vertAlign val="super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</si>
  <si>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 xml:space="preserve"> - L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: c¹nh t­¬ng øng víi L, L</t>
    </r>
    <r>
      <rPr>
        <vertAlign val="subscript"/>
        <sz val="8"/>
        <color theme="1"/>
        <rFont val=".VnArial"/>
        <family val="2"/>
      </rPr>
      <t>1</t>
    </r>
    <r>
      <rPr>
        <sz val="10"/>
        <color theme="1"/>
        <rFont val=".VnArial"/>
        <family val="2"/>
      </rPr>
      <t xml:space="preserve">, trôc X. </t>
    </r>
  </si>
  <si>
    <r>
      <rPr>
        <sz val="10"/>
        <color theme="1"/>
        <rFont val=".VnArial"/>
        <family val="2"/>
      </rPr>
      <t>B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=B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+2.h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.tg</t>
    </r>
    <r>
      <rPr>
        <sz val="10"/>
        <color theme="1"/>
        <rFont val="Symbol"/>
        <family val="1"/>
        <charset val="2"/>
      </rPr>
      <t>a =</t>
    </r>
  </si>
  <si>
    <r>
      <rPr>
        <sz val="10"/>
        <color theme="1"/>
        <rFont val=".VnArial"/>
        <family val="2"/>
      </rPr>
      <t>W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=B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q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/6 =</t>
    </r>
  </si>
  <si>
    <r>
      <rPr>
        <sz val="10"/>
        <color theme="1"/>
        <rFont val=".VnArial"/>
        <family val="2"/>
      </rPr>
      <t>m</t>
    </r>
    <r>
      <rPr>
        <vertAlign val="superscript"/>
        <sz val="10"/>
        <color theme="1"/>
        <rFont val=".VnArial"/>
        <family val="2"/>
      </rPr>
      <t>3</t>
    </r>
  </si>
  <si>
    <r>
      <rPr>
        <sz val="10"/>
        <color theme="1"/>
        <rFont val=".VnArial"/>
        <family val="2"/>
      </rPr>
      <t xml:space="preserve">          Khèi l­îng ®Êt tõ cèt 0,00 (h</t>
    </r>
    <r>
      <rPr>
        <sz val="8"/>
        <color theme="1"/>
        <rFont val=".VnArial"/>
        <family val="2"/>
      </rPr>
      <t>tk</t>
    </r>
    <r>
      <rPr>
        <sz val="10"/>
        <color theme="1"/>
        <rFont val=".VnArial"/>
        <family val="2"/>
      </rPr>
      <t>) ®Õn ®¸y ®µi (h</t>
    </r>
    <r>
      <rPr>
        <sz val="8"/>
        <color theme="1"/>
        <rFont val=".VnArial"/>
        <family val="2"/>
      </rPr>
      <t>dm</t>
    </r>
    <r>
      <rPr>
        <sz val="10"/>
        <color theme="1"/>
        <rFont val=".VnArial"/>
        <family val="2"/>
      </rPr>
      <t>):</t>
    </r>
  </si>
  <si>
    <r>
      <rPr>
        <sz val="10"/>
        <color theme="1"/>
        <rFont val=".VnArial"/>
        <family val="2"/>
      </rPr>
      <t>G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 xml:space="preserve"> =</t>
    </r>
    <r>
      <rPr>
        <sz val="10"/>
        <color theme="1"/>
        <rFont val="Symbol"/>
        <family val="1"/>
        <charset val="2"/>
      </rPr>
      <t xml:space="preserve"> [</t>
    </r>
    <r>
      <rPr>
        <sz val="10"/>
        <color theme="1"/>
        <rFont val=".VnArial"/>
        <family val="2"/>
      </rPr>
      <t>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BC</t>
    </r>
    <r>
      <rPr>
        <sz val="10"/>
        <color theme="1"/>
        <rFont val=".VnArial"/>
        <family val="2"/>
      </rPr>
      <t>+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)/2].h</t>
    </r>
    <r>
      <rPr>
        <vertAlign val="subscript"/>
        <sz val="10"/>
        <color theme="1"/>
        <rFont val=".VnArial"/>
        <family val="2"/>
      </rPr>
      <t>4</t>
    </r>
    <r>
      <rPr>
        <sz val="10"/>
        <color theme="1"/>
        <rFont val=".VnArial"/>
        <family val="2"/>
      </rPr>
      <t>.F</t>
    </r>
    <r>
      <rPr>
        <vertAlign val="subscript"/>
        <sz val="10"/>
        <color theme="1"/>
        <rFont val=".VnArial"/>
        <family val="2"/>
      </rPr>
      <t>q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</si>
  <si>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 xml:space="preserve">          Khèi l­îng ®Êt tõ ®¸y ®µi (h</t>
    </r>
    <r>
      <rPr>
        <sz val="8"/>
        <color theme="1"/>
        <rFont val=".VnArial"/>
        <family val="2"/>
      </rPr>
      <t>dm</t>
    </r>
    <r>
      <rPr>
        <sz val="10"/>
        <color theme="1"/>
        <rFont val=".VnArial"/>
        <family val="2"/>
      </rPr>
      <t>) ®Õn mòi cäc (®¸y khèi qui ­íc):</t>
    </r>
  </si>
  <si>
    <r>
      <rPr>
        <sz val="10"/>
        <color theme="1"/>
        <rFont val=".VnArial"/>
        <family val="2"/>
      </rPr>
      <t>G</t>
    </r>
    <r>
      <rPr>
        <vertAlign val="subscript"/>
        <sz val="10"/>
        <color theme="1"/>
        <rFont val=".VnArial"/>
        <family val="2"/>
      </rPr>
      <t>4</t>
    </r>
    <r>
      <rPr>
        <sz val="10"/>
        <color theme="1"/>
        <rFont val=".VnArial"/>
        <family val="2"/>
      </rPr>
      <t xml:space="preserve"> =</t>
    </r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>.h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.F</t>
    </r>
    <r>
      <rPr>
        <vertAlign val="subscript"/>
        <sz val="10"/>
        <color theme="1"/>
        <rFont val=".VnArial"/>
        <family val="2"/>
      </rPr>
      <t>q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</si>
  <si>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 xml:space="preserve">    T¶i träng ®¸y khèi qui ­íc: N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, M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:     n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</si>
  <si>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N</t>
    </r>
    <r>
      <rPr>
        <vertAlign val="subscript"/>
        <sz val="10"/>
        <color theme="1"/>
        <rFont val=".VnArial"/>
        <family val="2"/>
      </rPr>
      <t>tc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 N/n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+G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+G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+G</t>
    </r>
    <r>
      <rPr>
        <vertAlign val="subscript"/>
        <sz val="10"/>
        <color theme="1"/>
        <rFont val=".VnArial"/>
        <family val="2"/>
      </rPr>
      <t>4</t>
    </r>
    <r>
      <rPr>
        <sz val="10"/>
        <color theme="1"/>
        <rFont val=".VnArial"/>
        <family val="2"/>
      </rPr>
      <t xml:space="preserve"> =</t>
    </r>
  </si>
  <si>
    <r>
      <rPr>
        <sz val="10"/>
        <color theme="1"/>
        <rFont val=".VnArial"/>
        <family val="2"/>
      </rPr>
      <t xml:space="preserve"> - M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 xml:space="preserve">: m«men t¹i ®¸y khèi qui ­íc lÊy gÇn ®óng </t>
    </r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</si>
  <si>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tc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 M</t>
    </r>
    <r>
      <rPr>
        <vertAlign val="subscript"/>
        <sz val="10"/>
        <color theme="1"/>
        <rFont val=".VnArial"/>
        <family val="2"/>
      </rPr>
      <t>y</t>
    </r>
    <r>
      <rPr>
        <sz val="10"/>
        <color theme="1"/>
        <rFont val=".VnArial"/>
        <family val="2"/>
      </rPr>
      <t>/n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 Q</t>
    </r>
    <r>
      <rPr>
        <vertAlign val="subscript"/>
        <sz val="10"/>
        <color theme="1"/>
        <rFont val=".VnArial"/>
        <family val="2"/>
      </rPr>
      <t>x</t>
    </r>
    <r>
      <rPr>
        <sz val="10"/>
        <color theme="1"/>
        <rFont val=".VnArial"/>
        <family val="2"/>
      </rPr>
      <t>.h/n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 xml:space="preserve"> =</t>
    </r>
  </si>
  <si>
    <t xml:space="preserve">           b»ng m«men so víi ®¸y ®µi.</t>
  </si>
  <si>
    <r>
      <rPr>
        <sz val="10"/>
        <color theme="1"/>
        <rFont val=".VnArial"/>
        <family val="2"/>
      </rPr>
      <t xml:space="preserve">  </t>
    </r>
    <r>
      <rPr>
        <sz val="10"/>
        <color theme="1"/>
        <rFont val=".VnArialH"/>
        <family val="2"/>
      </rPr>
      <t xml:space="preserve">  ¸</t>
    </r>
    <r>
      <rPr>
        <sz val="10"/>
        <color theme="1"/>
        <rFont val=".VnArial"/>
        <family val="2"/>
      </rPr>
      <t>p lùc tiªu chuÈn ®¸y mãng khèi qui ­íc:</t>
    </r>
  </si>
  <si>
    <r>
      <rPr>
        <sz val="10"/>
        <color theme="1"/>
        <rFont val=".VnArial"/>
        <family val="2"/>
      </rPr>
      <t>R = m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[A.b</t>
    </r>
    <r>
      <rPr>
        <vertAlign val="subscript"/>
        <sz val="10"/>
        <color theme="1"/>
        <rFont val=".VnArial"/>
        <family val="2"/>
      </rPr>
      <t>m</t>
    </r>
    <r>
      <rPr>
        <sz val="8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 xml:space="preserve"> + B.L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 xml:space="preserve"> + D.C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]        m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</si>
  <si>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 xml:space="preserve"> - Theo TCXD: m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=(m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.m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</t>
    </r>
    <r>
      <rPr>
        <sz val="10"/>
        <color theme="1"/>
        <rFont val=".VnArial"/>
        <family val="2"/>
      </rPr>
      <t>/k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, cô thÓ xem MDONRC.</t>
    </r>
  </si>
  <si>
    <r>
      <rPr>
        <sz val="10"/>
        <color theme="1"/>
        <rFont val=".VnArial"/>
        <family val="2"/>
      </rPr>
      <t>b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</si>
  <si>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Noto Sans Symbols"/>
      </rPr>
      <t>g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(t/m</t>
    </r>
    <r>
      <rPr>
        <vertAlign val="super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)=</t>
    </r>
  </si>
  <si>
    <r>
      <rPr>
        <sz val="10"/>
        <color theme="1"/>
        <rFont val=".VnArial"/>
        <family val="2"/>
      </rPr>
      <t>C</t>
    </r>
    <r>
      <rPr>
        <vertAlign val="subscript"/>
        <sz val="10"/>
        <color theme="1"/>
        <rFont val=".VnArial"/>
        <family val="2"/>
      </rPr>
      <t>tc</t>
    </r>
    <r>
      <rPr>
        <sz val="8"/>
        <color theme="1"/>
        <rFont val=".VnArial"/>
        <family val="2"/>
      </rPr>
      <t xml:space="preserve"> 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</si>
  <si>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>2</t>
    </r>
  </si>
  <si>
    <t>cã: A=</t>
  </si>
  <si>
    <r>
      <rPr>
        <sz val="10"/>
        <color theme="1"/>
        <rFont val=".VnArial"/>
        <family val="2"/>
      </rPr>
      <t>L</t>
    </r>
    <r>
      <rPr>
        <vertAlign val="subscript"/>
        <sz val="8"/>
        <color theme="1"/>
        <rFont val=".VnArial"/>
        <family val="2"/>
      </rPr>
      <t>m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</si>
  <si>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Noto Sans Symbols"/>
      </rPr>
      <t>g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>(t/m</t>
    </r>
    <r>
      <rPr>
        <vertAlign val="super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)=</t>
    </r>
  </si>
  <si>
    <r>
      <rPr>
        <sz val="10"/>
        <color theme="1"/>
        <rFont val="Noto Sans Symbols"/>
      </rPr>
      <t>j</t>
    </r>
    <r>
      <rPr>
        <vertAlign val="super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 xml:space="preserve"> =</t>
    </r>
  </si>
  <si>
    <t>®é</t>
  </si>
  <si>
    <r>
      <rPr>
        <sz val="10"/>
        <color theme="1"/>
        <rFont val=".VnArial"/>
        <family val="2"/>
      </rPr>
      <t xml:space="preserve">        R = m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[A.b</t>
    </r>
    <r>
      <rPr>
        <vertAlign val="subscript"/>
        <sz val="10"/>
        <color theme="1"/>
        <rFont val=".VnArial"/>
        <family val="2"/>
      </rPr>
      <t>m</t>
    </r>
    <r>
      <rPr>
        <sz val="8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 xml:space="preserve"> + B.L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 xml:space="preserve"> + D.C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] =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</si>
  <si>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>2</t>
    </r>
  </si>
  <si>
    <t>D=</t>
  </si>
  <si>
    <r>
      <rPr>
        <sz val="10"/>
        <color theme="1"/>
        <rFont val=".VnArial"/>
        <family val="2"/>
      </rPr>
      <t xml:space="preserve">    </t>
    </r>
    <r>
      <rPr>
        <sz val="10"/>
        <color theme="1"/>
        <rFont val=".VnArialH"/>
        <family val="2"/>
      </rPr>
      <t>ø</t>
    </r>
    <r>
      <rPr>
        <sz val="10"/>
        <color theme="1"/>
        <rFont val=".VnArial"/>
        <family val="2"/>
      </rPr>
      <t>ng suÊt d­íi ®¸y mãng khèi qui ­íc:</t>
    </r>
  </si>
  <si>
    <r>
      <rPr>
        <sz val="12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max,min</t>
    </r>
    <r>
      <rPr>
        <sz val="10"/>
        <color theme="1"/>
        <rFont val=".VnArial"/>
        <family val="2"/>
      </rPr>
      <t xml:space="preserve"> = N</t>
    </r>
    <r>
      <rPr>
        <vertAlign val="subscript"/>
        <sz val="10"/>
        <color theme="1"/>
        <rFont val=".VnArial"/>
        <family val="2"/>
      </rPr>
      <t>tc</t>
    </r>
    <r>
      <rPr>
        <sz val="10"/>
        <color theme="1"/>
        <rFont val=".VnArial"/>
        <family val="2"/>
      </rPr>
      <t>/F</t>
    </r>
    <r>
      <rPr>
        <vertAlign val="subscript"/>
        <sz val="10"/>
        <color theme="1"/>
        <rFont val=".VnArial"/>
        <family val="2"/>
      </rPr>
      <t>q</t>
    </r>
    <r>
      <rPr>
        <sz val="10"/>
        <color theme="1"/>
        <rFont val=".VnArial"/>
        <family val="2"/>
      </rPr>
      <t xml:space="preserve"> </t>
    </r>
    <r>
      <rPr>
        <sz val="10"/>
        <color theme="1"/>
        <rFont val="Symbol"/>
        <family val="1"/>
        <charset val="2"/>
      </rPr>
      <t>+-</t>
    </r>
    <r>
      <rPr>
        <sz val="10"/>
        <color theme="1"/>
        <rFont val=".VnArial"/>
        <family val="2"/>
      </rPr>
      <t xml:space="preserve"> M</t>
    </r>
    <r>
      <rPr>
        <vertAlign val="subscript"/>
        <sz val="8"/>
        <color theme="1"/>
        <rFont val=".VnArial"/>
        <family val="2"/>
      </rPr>
      <t>tc</t>
    </r>
    <r>
      <rPr>
        <sz val="10"/>
        <color theme="1"/>
        <rFont val=".VnArial"/>
        <family val="2"/>
      </rPr>
      <t>/W</t>
    </r>
    <r>
      <rPr>
        <vertAlign val="subscript"/>
        <sz val="10"/>
        <color theme="1"/>
        <rFont val=".VnArial"/>
        <family val="2"/>
      </rPr>
      <t xml:space="preserve">q </t>
    </r>
    <r>
      <rPr>
        <sz val="10"/>
        <color theme="1"/>
        <rFont val=".VnArial"/>
        <family val="2"/>
      </rPr>
      <t>(t/m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</t>
    </r>
  </si>
  <si>
    <r>
      <rPr>
        <sz val="12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tb</t>
    </r>
  </si>
  <si>
    <r>
      <rPr>
        <sz val="12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max</t>
    </r>
  </si>
  <si>
    <r>
      <rPr>
        <sz val="12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min</t>
    </r>
  </si>
  <si>
    <t>7-</t>
  </si>
  <si>
    <t>§µi cäc:</t>
  </si>
  <si>
    <t xml:space="preserve"> Chäc thñng: </t>
  </si>
  <si>
    <r>
      <rPr>
        <sz val="10"/>
        <color theme="1"/>
        <rFont val=".VnArial"/>
        <family val="2"/>
      </rPr>
      <t>vÏ th¸p chäc thñng (gãc 45</t>
    </r>
    <r>
      <rPr>
        <vertAlign val="super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 xml:space="preserve"> tõ mÐp cæ mãng)</t>
    </r>
  </si>
  <si>
    <t>c=</t>
  </si>
  <si>
    <t>c = kho¶ng c¸ch tõ trôc cäc cÇn tÝnh to¸n ®Õn mÐp ®µi.</t>
  </si>
  <si>
    <t>T=</t>
  </si>
  <si>
    <t>T = chiÒu dµi c¹nh ®¸y th¸p, T=h.</t>
  </si>
  <si>
    <t>X=</t>
  </si>
  <si>
    <r>
      <rPr>
        <sz val="10"/>
        <color theme="1"/>
        <rFont val=".VnArial"/>
        <family val="2"/>
      </rPr>
      <t>X = kho¶ng c¸ch tõ mÐp cæ mãng ®Õn trôc cäc cÇn tÝnh to¸n: X= L/2-a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/2-c.</t>
    </r>
  </si>
  <si>
    <t>X</t>
  </si>
  <si>
    <t xml:space="preserve"> ChÞu uèn: </t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</si>
  <si>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aktra</t>
    </r>
    <r>
      <rPr>
        <sz val="10"/>
        <color theme="1"/>
        <rFont val=".VnArial"/>
        <family val="2"/>
      </rPr>
      <t xml:space="preserve"> = M/(0,9.h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.R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</si>
  <si>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=h-h</t>
    </r>
    <r>
      <rPr>
        <vertAlign val="subscript"/>
        <sz val="10"/>
        <color theme="1"/>
        <rFont val=".VnArial"/>
        <family val="2"/>
      </rPr>
      <t>ng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</si>
  <si>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R</t>
    </r>
    <r>
      <rPr>
        <vertAlign val="subscript"/>
        <sz val="10"/>
        <color theme="1"/>
        <rFont val=".VnArial"/>
        <family val="2"/>
      </rPr>
      <t>a</t>
    </r>
    <r>
      <rPr>
        <sz val="10"/>
        <color theme="1"/>
        <rFont val=".VnArial"/>
        <family val="2"/>
      </rPr>
      <t>=</t>
    </r>
  </si>
  <si>
    <r>
      <rPr>
        <sz val="10"/>
        <color theme="1"/>
        <rFont val=".VnArial"/>
        <family val="2"/>
      </rPr>
      <t>kg/cm</t>
    </r>
    <r>
      <rPr>
        <vertAlign val="superscript"/>
        <sz val="10"/>
        <color theme="1"/>
        <rFont val=".VnArial"/>
        <family val="2"/>
      </rPr>
      <t>2</t>
    </r>
  </si>
  <si>
    <t>KÕt qu¶ kiÓm tra</t>
  </si>
  <si>
    <t>So s¸nh</t>
  </si>
  <si>
    <t>Ph­¬ng ¸n thiÕt kÕ</t>
  </si>
  <si>
    <r>
      <rPr>
        <sz val="10"/>
        <color theme="1"/>
        <rFont val=".VnArial"/>
        <family val="2"/>
      </rPr>
      <t xml:space="preserve">So s¸nh </t>
    </r>
    <r>
      <rPr>
        <sz val="10"/>
        <color theme="1"/>
        <rFont val="Symbol"/>
        <family val="1"/>
        <charset val="2"/>
      </rPr>
      <t>m</t>
    </r>
    <r>
      <rPr>
        <vertAlign val="subscript"/>
        <sz val="8"/>
        <color theme="1"/>
        <rFont val=".VnArial"/>
        <family val="2"/>
      </rPr>
      <t>tkÕ</t>
    </r>
    <r>
      <rPr>
        <sz val="10"/>
        <color theme="1"/>
        <rFont val=".VnArial"/>
        <family val="2"/>
      </rPr>
      <t>&gt;=</t>
    </r>
    <r>
      <rPr>
        <sz val="10"/>
        <color theme="1"/>
        <rFont val="Symbol"/>
        <family val="1"/>
        <charset val="2"/>
      </rPr>
      <t>m</t>
    </r>
    <r>
      <rPr>
        <vertAlign val="subscript"/>
        <sz val="8"/>
        <color theme="1"/>
        <rFont val=".VnArial"/>
        <family val="2"/>
      </rPr>
      <t>min</t>
    </r>
  </si>
  <si>
    <t>VÞ trÝ</t>
  </si>
  <si>
    <t xml:space="preserve">M </t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</si>
  <si>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aktra</t>
    </r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</si>
  <si>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a</t>
    </r>
  </si>
  <si>
    <r>
      <rPr>
        <sz val="10"/>
        <color theme="1"/>
        <rFont val=".VnArial"/>
        <family val="2"/>
      </rPr>
      <t>F</t>
    </r>
    <r>
      <rPr>
        <vertAlign val="subscript"/>
        <sz val="10"/>
        <color theme="1"/>
        <rFont val=".VnArial"/>
        <family val="2"/>
      </rPr>
      <t>atkÕ</t>
    </r>
  </si>
  <si>
    <t>Sè l­îng</t>
  </si>
  <si>
    <t>F</t>
  </si>
  <si>
    <r>
      <rPr>
        <sz val="9"/>
        <color theme="1"/>
        <rFont val="Noto Sans Symbols"/>
      </rPr>
      <t>m</t>
    </r>
    <r>
      <rPr>
        <vertAlign val="subscript"/>
        <sz val="9"/>
        <color theme="1"/>
        <rFont val=".VnArial"/>
        <family val="2"/>
      </rPr>
      <t>min</t>
    </r>
    <r>
      <rPr>
        <sz val="9"/>
        <color theme="1"/>
        <rFont val=".VnArial"/>
        <family val="2"/>
      </rPr>
      <t>(%) =</t>
    </r>
  </si>
  <si>
    <t>(t.m)</t>
  </si>
  <si>
    <r>
      <rPr>
        <sz val="8"/>
        <color theme="1"/>
        <rFont val=".VnArial"/>
        <family val="2"/>
      </rPr>
      <t>(cm</t>
    </r>
    <r>
      <rPr>
        <vertAlign val="superscript"/>
        <sz val="8"/>
        <color theme="1"/>
        <rFont val=".VnArial"/>
        <family val="2"/>
      </rPr>
      <t>2</t>
    </r>
    <r>
      <rPr>
        <sz val="8"/>
        <color theme="1"/>
        <rFont val=".VnArial"/>
        <family val="2"/>
      </rPr>
      <t>)</t>
    </r>
  </si>
  <si>
    <r>
      <rPr>
        <sz val="8"/>
        <color theme="1"/>
        <rFont val=".VnArial"/>
        <family val="2"/>
      </rPr>
      <t>(cm</t>
    </r>
    <r>
      <rPr>
        <vertAlign val="superscript"/>
        <sz val="8"/>
        <color theme="1"/>
        <rFont val=".VnArial"/>
        <family val="2"/>
      </rPr>
      <t>2</t>
    </r>
    <r>
      <rPr>
        <sz val="8"/>
        <color theme="1"/>
        <rFont val=".VnArial"/>
        <family val="2"/>
      </rPr>
      <t>)</t>
    </r>
  </si>
  <si>
    <t>thÐp</t>
  </si>
  <si>
    <t>(mm)</t>
  </si>
  <si>
    <r>
      <rPr>
        <sz val="9"/>
        <color theme="1"/>
        <rFont val="Noto Sans Symbols"/>
      </rPr>
      <t>m</t>
    </r>
    <r>
      <rPr>
        <vertAlign val="subscript"/>
        <sz val="9"/>
        <color theme="1"/>
        <rFont val=".VnArial"/>
        <family val="2"/>
      </rPr>
      <t>tkÕ</t>
    </r>
    <r>
      <rPr>
        <sz val="9"/>
        <color theme="1"/>
        <rFont val=".VnArial"/>
        <family val="2"/>
      </rPr>
      <t xml:space="preserve"> (%)</t>
    </r>
  </si>
  <si>
    <r>
      <rPr>
        <sz val="10"/>
        <color theme="1"/>
        <rFont val=".VnArial"/>
        <family val="2"/>
      </rPr>
      <t>M.c¾t</t>
    </r>
    <r>
      <rPr>
        <sz val="10"/>
        <color theme="1"/>
        <rFont val=".VnTime"/>
        <family val="2"/>
      </rPr>
      <t xml:space="preserve"> I-I</t>
    </r>
  </si>
  <si>
    <r>
      <rPr>
        <sz val="10"/>
        <color theme="1"/>
        <rFont val=".VnArial"/>
        <family val="2"/>
      </rPr>
      <t xml:space="preserve">M.c¾t </t>
    </r>
    <r>
      <rPr>
        <sz val="10"/>
        <color theme="1"/>
        <rFont val=".VnTime"/>
        <family val="2"/>
      </rPr>
      <t>II-II</t>
    </r>
  </si>
  <si>
    <t>8-</t>
  </si>
  <si>
    <t>§é lón cña mãng cäc:</t>
  </si>
  <si>
    <t>b=</t>
  </si>
  <si>
    <t>a/b=</t>
  </si>
  <si>
    <r>
      <rPr>
        <sz val="11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gl</t>
    </r>
    <r>
      <rPr>
        <sz val="10"/>
        <color theme="1"/>
        <rFont val=".VnArial"/>
        <family val="2"/>
      </rPr>
      <t>=</t>
    </r>
    <r>
      <rPr>
        <sz val="11"/>
        <color theme="1"/>
        <rFont val="Symbol"/>
        <family val="1"/>
        <charset val="2"/>
      </rPr>
      <t>s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>-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tb</t>
    </r>
    <r>
      <rPr>
        <sz val="10"/>
        <color theme="1"/>
        <rFont val=".VnArial"/>
        <family val="2"/>
      </rPr>
      <t>.(h</t>
    </r>
    <r>
      <rPr>
        <vertAlign val="subscript"/>
        <sz val="10"/>
        <color theme="1"/>
        <rFont val=".VnArial"/>
        <family val="2"/>
      </rPr>
      <t>1</t>
    </r>
    <r>
      <rPr>
        <sz val="10"/>
        <color theme="1"/>
        <rFont val=".VnArial"/>
        <family val="2"/>
      </rPr>
      <t>+h</t>
    </r>
    <r>
      <rPr>
        <vertAlign val="subscript"/>
        <sz val="10"/>
        <color theme="1"/>
        <rFont val=".VnArial"/>
        <family val="2"/>
      </rPr>
      <t>3</t>
    </r>
    <r>
      <rPr>
        <sz val="10"/>
        <color theme="1"/>
        <rFont val=".VnArial"/>
        <family val="2"/>
      </rPr>
      <t>)=</t>
    </r>
  </si>
  <si>
    <r>
      <rPr>
        <sz val="10"/>
        <color theme="1"/>
        <rFont val=".VnArial"/>
        <family val="2"/>
      </rPr>
      <t>t/m</t>
    </r>
    <r>
      <rPr>
        <vertAlign val="superscript"/>
        <sz val="10"/>
        <color theme="1"/>
        <rFont val=".VnArial"/>
        <family val="2"/>
      </rPr>
      <t>2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</si>
  <si>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=y.b=</t>
    </r>
  </si>
  <si>
    <r>
      <rPr>
        <sz val="11"/>
        <color theme="1"/>
        <rFont val="Noto Sans Symbols"/>
      </rPr>
      <t xml:space="preserve">          s</t>
    </r>
    <r>
      <rPr>
        <vertAlign val="subscript"/>
        <sz val="10"/>
        <color theme="1"/>
        <rFont val=".VnArial"/>
        <family val="2"/>
      </rPr>
      <t>zi</t>
    </r>
    <r>
      <rPr>
        <sz val="10"/>
        <color theme="1"/>
        <rFont val=".VnArial"/>
        <family val="2"/>
      </rPr>
      <t>=k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.</t>
    </r>
    <r>
      <rPr>
        <sz val="11"/>
        <color theme="1"/>
        <rFont val="Symbol"/>
        <family val="1"/>
        <charset val="2"/>
      </rPr>
      <t>s</t>
    </r>
    <r>
      <rPr>
        <vertAlign val="subscript"/>
        <sz val="10"/>
        <color theme="1"/>
        <rFont val=".VnArial"/>
        <family val="2"/>
      </rPr>
      <t>gl</t>
    </r>
  </si>
  <si>
    <r>
      <rPr>
        <sz val="10"/>
        <color rgb="FFFF0000"/>
        <rFont val=".VnArial"/>
        <family val="2"/>
      </rPr>
      <t xml:space="preserve"> Z: tÝnh tõ CTN h</t>
    </r>
    <r>
      <rPr>
        <vertAlign val="subscript"/>
        <sz val="10"/>
        <color rgb="FFFF0000"/>
        <rFont val=".VnArial"/>
        <family val="2"/>
      </rPr>
      <t>tn</t>
    </r>
    <r>
      <rPr>
        <sz val="10"/>
        <color rgb="FFFF0000"/>
        <rFont val=".VnArial"/>
        <family val="2"/>
      </rPr>
      <t>: Z = L</t>
    </r>
    <r>
      <rPr>
        <vertAlign val="subscript"/>
        <sz val="10"/>
        <color rgb="FFFF0000"/>
        <rFont val=".VnArial"/>
        <family val="2"/>
      </rPr>
      <t>m</t>
    </r>
    <r>
      <rPr>
        <sz val="10"/>
        <color rgb="FFFF0000"/>
        <rFont val=".VnArial"/>
        <family val="2"/>
      </rPr>
      <t>+z</t>
    </r>
    <r>
      <rPr>
        <vertAlign val="subscript"/>
        <sz val="10"/>
        <color rgb="FFFF0000"/>
        <rFont val=".VnArial"/>
        <family val="2"/>
      </rPr>
      <t>i</t>
    </r>
    <r>
      <rPr>
        <sz val="8"/>
        <color rgb="FFFF0000"/>
        <rFont val=".VnArial"/>
        <family val="2"/>
      </rPr>
      <t xml:space="preserve"> </t>
    </r>
    <r>
      <rPr>
        <sz val="10"/>
        <color rgb="FFFF0000"/>
        <rFont val=".VnArial"/>
        <family val="2"/>
      </rPr>
      <t>= L</t>
    </r>
    <r>
      <rPr>
        <vertAlign val="subscript"/>
        <sz val="10"/>
        <color rgb="FFFF0000"/>
        <rFont val=".VnArial"/>
        <family val="2"/>
      </rPr>
      <t>m</t>
    </r>
    <r>
      <rPr>
        <sz val="10"/>
        <color rgb="FFFF0000"/>
        <rFont val=".VnArial"/>
        <family val="2"/>
      </rPr>
      <t>+</t>
    </r>
    <r>
      <rPr>
        <sz val="10"/>
        <color rgb="FFFF0000"/>
        <rFont val="Symbol"/>
        <family val="1"/>
        <charset val="2"/>
      </rPr>
      <t>S</t>
    </r>
    <r>
      <rPr>
        <sz val="10"/>
        <color rgb="FFFF0000"/>
        <rFont val=".VnArial"/>
        <family val="2"/>
      </rPr>
      <t>h</t>
    </r>
    <r>
      <rPr>
        <vertAlign val="subscript"/>
        <sz val="10"/>
        <color rgb="FFFF0000"/>
        <rFont val=".VnArial"/>
        <family val="2"/>
      </rPr>
      <t>i</t>
    </r>
  </si>
  <si>
    <t>§iÓm</t>
  </si>
  <si>
    <r>
      <rPr>
        <sz val="10"/>
        <color theme="1"/>
        <rFont val=".VnArial"/>
        <family val="2"/>
      </rPr>
      <t xml:space="preserve"> Z</t>
    </r>
    <r>
      <rPr>
        <sz val="8"/>
        <color theme="1"/>
        <rFont val=".VnArial"/>
        <family val="2"/>
      </rPr>
      <t>(m)</t>
    </r>
  </si>
  <si>
    <r>
      <rPr>
        <sz val="10"/>
        <color theme="1"/>
        <rFont val="Noto Sans Symbols"/>
      </rPr>
      <t>g</t>
    </r>
    <r>
      <rPr>
        <vertAlign val="subscript"/>
        <sz val="10"/>
        <color theme="1"/>
        <rFont val=".VnArial"/>
        <family val="2"/>
      </rPr>
      <t>i</t>
    </r>
    <r>
      <rPr>
        <sz val="8"/>
        <color theme="1"/>
        <rFont val=".VnArial"/>
        <family val="2"/>
      </rPr>
      <t xml:space="preserve"> (t/m</t>
    </r>
    <r>
      <rPr>
        <vertAlign val="superscript"/>
        <sz val="10"/>
        <color theme="1"/>
        <rFont val=".VnArial"/>
        <family val="2"/>
      </rPr>
      <t>3</t>
    </r>
    <r>
      <rPr>
        <sz val="8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</si>
  <si>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E</t>
    </r>
    <r>
      <rPr>
        <vertAlign val="subscript"/>
        <sz val="10"/>
        <color theme="1"/>
        <rFont val=".VnArial"/>
        <family val="2"/>
      </rPr>
      <t>i</t>
    </r>
    <r>
      <rPr>
        <sz val="8"/>
        <color theme="1"/>
        <rFont val=".VnArial"/>
        <family val="2"/>
      </rPr>
      <t xml:space="preserve"> (t/m</t>
    </r>
    <r>
      <rPr>
        <vertAlign val="superscript"/>
        <sz val="10"/>
        <color theme="1"/>
        <rFont val=".VnArial"/>
        <family val="2"/>
      </rPr>
      <t>2</t>
    </r>
    <r>
      <rPr>
        <sz val="8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</si>
  <si>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i</t>
    </r>
    <r>
      <rPr>
        <sz val="8"/>
        <color theme="1"/>
        <rFont val=".VnArial"/>
        <family val="2"/>
      </rPr>
      <t xml:space="preserve"> (m)</t>
    </r>
  </si>
  <si>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i</t>
    </r>
    <r>
      <rPr>
        <sz val="8"/>
        <color theme="1"/>
        <rFont val=".VnArial"/>
        <family val="2"/>
      </rPr>
      <t xml:space="preserve"> (t/m</t>
    </r>
    <r>
      <rPr>
        <vertAlign val="superscript"/>
        <sz val="10"/>
        <color theme="1"/>
        <rFont val=".VnArial"/>
        <family val="2"/>
      </rPr>
      <t>2</t>
    </r>
    <r>
      <rPr>
        <sz val="8"/>
        <color theme="1"/>
        <rFont val=".VnArial"/>
        <family val="2"/>
      </rPr>
      <t>)</t>
    </r>
  </si>
  <si>
    <r>
      <rPr>
        <sz val="11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zicp</t>
    </r>
  </si>
  <si>
    <r>
      <rPr>
        <sz val="10"/>
        <color theme="1"/>
        <rFont val=".VnArial"/>
        <family val="2"/>
      </rPr>
      <t>Z</t>
    </r>
    <r>
      <rPr>
        <sz val="8"/>
        <color theme="1"/>
        <rFont val=".VnArial"/>
        <family val="2"/>
      </rPr>
      <t>(m)</t>
    </r>
  </si>
  <si>
    <r>
      <rPr>
        <sz val="10"/>
        <color theme="1"/>
        <rFont val=".VnArial"/>
        <family val="2"/>
      </rPr>
      <t>z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 xml:space="preserve"> </t>
    </r>
    <r>
      <rPr>
        <sz val="8"/>
        <color theme="1"/>
        <rFont val=".VnArial"/>
        <family val="2"/>
      </rPr>
      <t>(m)</t>
    </r>
  </si>
  <si>
    <r>
      <rPr>
        <sz val="10"/>
        <color theme="1"/>
        <rFont val=".VnArial"/>
        <family val="2"/>
      </rPr>
      <t>2z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/b</t>
    </r>
  </si>
  <si>
    <r>
      <rPr>
        <sz val="10"/>
        <color theme="1"/>
        <rFont val=".VnArial"/>
        <family val="2"/>
      </rPr>
      <t>k</t>
    </r>
    <r>
      <rPr>
        <vertAlign val="subscript"/>
        <sz val="10"/>
        <color theme="1"/>
        <rFont val=".VnArial"/>
        <family val="2"/>
      </rPr>
      <t>o</t>
    </r>
  </si>
  <si>
    <r>
      <rPr>
        <sz val="11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zi</t>
    </r>
    <r>
      <rPr>
        <sz val="10"/>
        <color theme="1"/>
        <rFont val=".VnCentury Schoolbook"/>
        <family val="2"/>
      </rPr>
      <t>=k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Century Schoolbook"/>
        <family val="2"/>
      </rPr>
      <t>.</t>
    </r>
    <r>
      <rPr>
        <sz val="11"/>
        <color theme="1"/>
        <rFont val="Symbol"/>
        <family val="1"/>
        <charset val="2"/>
      </rPr>
      <t>s</t>
    </r>
    <r>
      <rPr>
        <vertAlign val="subscript"/>
        <sz val="10"/>
        <color theme="1"/>
        <rFont val=".VnArial"/>
        <family val="2"/>
      </rPr>
      <t>gl</t>
    </r>
  </si>
  <si>
    <r>
      <rPr>
        <sz val="11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®</t>
    </r>
    <r>
      <rPr>
        <sz val="10"/>
        <color theme="1"/>
        <rFont val=".VnArial"/>
        <family val="2"/>
      </rPr>
      <t>=</t>
    </r>
    <r>
      <rPr>
        <sz val="10"/>
        <color theme="1"/>
        <rFont val="Symbol"/>
        <family val="1"/>
        <charset val="2"/>
      </rPr>
      <t>S(</t>
    </r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</si>
  <si>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S</t>
    </r>
    <r>
      <rPr>
        <vertAlign val="subscript"/>
        <sz val="10"/>
        <color theme="1"/>
        <rFont val=".VnArial"/>
        <family val="2"/>
      </rPr>
      <t>i</t>
    </r>
    <r>
      <rPr>
        <sz val="8"/>
        <color theme="1"/>
        <rFont val=".VnArial"/>
        <family val="2"/>
      </rPr>
      <t xml:space="preserve"> (cm)</t>
    </r>
  </si>
  <si>
    <r>
      <rPr>
        <sz val="10"/>
        <color theme="1"/>
        <rFont val=".VnArial"/>
        <family val="2"/>
      </rPr>
      <t>®iÒu kiÖn t¾t lón:</t>
    </r>
    <r>
      <rPr>
        <sz val="11"/>
        <color theme="1"/>
        <rFont val="Symbol"/>
        <family val="1"/>
        <charset val="2"/>
      </rPr>
      <t xml:space="preserve"> s</t>
    </r>
    <r>
      <rPr>
        <vertAlign val="subscript"/>
        <sz val="10"/>
        <color theme="1"/>
        <rFont val=".VnArial"/>
        <family val="2"/>
      </rPr>
      <t>zi</t>
    </r>
    <r>
      <rPr>
        <sz val="10"/>
        <color theme="1"/>
        <rFont val=".VnArial"/>
        <family val="2"/>
      </rPr>
      <t>=</t>
    </r>
    <r>
      <rPr>
        <sz val="10"/>
        <color theme="1"/>
        <rFont val=".VnArial"/>
        <family val="2"/>
      </rPr>
      <t>k</t>
    </r>
    <r>
      <rPr>
        <vertAlign val="subscript"/>
        <sz val="10"/>
        <color theme="1"/>
        <rFont val=".VnArial"/>
        <family val="2"/>
      </rPr>
      <t>o</t>
    </r>
    <r>
      <rPr>
        <sz val="10"/>
        <color theme="1"/>
        <rFont val=".VnArial"/>
        <family val="2"/>
      </rPr>
      <t>.</t>
    </r>
    <r>
      <rPr>
        <sz val="11"/>
        <color theme="1"/>
        <rFont val="Symbol"/>
        <family val="1"/>
        <charset val="2"/>
      </rPr>
      <t>s</t>
    </r>
    <r>
      <rPr>
        <vertAlign val="subscript"/>
        <sz val="10"/>
        <color theme="1"/>
        <rFont val=".VnArial"/>
        <family val="2"/>
      </rPr>
      <t>gl</t>
    </r>
    <r>
      <rPr>
        <sz val="10"/>
        <color theme="1"/>
        <rFont val=".VnArial"/>
        <family val="2"/>
      </rPr>
      <t xml:space="preserve"> &lt;=</t>
    </r>
  </si>
  <si>
    <r>
      <rPr>
        <sz val="11"/>
        <color theme="1"/>
        <rFont val="Noto Sans Symbols"/>
      </rPr>
      <t>s</t>
    </r>
    <r>
      <rPr>
        <vertAlign val="subscript"/>
        <sz val="10"/>
        <color theme="1"/>
        <rFont val=".VnArial"/>
        <family val="2"/>
      </rPr>
      <t>®</t>
    </r>
    <r>
      <rPr>
        <sz val="10"/>
        <color theme="1"/>
        <rFont val=".VnArial"/>
        <family val="2"/>
      </rPr>
      <t>=</t>
    </r>
    <r>
      <rPr>
        <sz val="10"/>
        <color theme="1"/>
        <rFont val="Symbol"/>
        <family val="1"/>
        <charset val="2"/>
      </rPr>
      <t>S(</t>
    </r>
    <r>
      <rPr>
        <sz val="10"/>
        <color theme="1"/>
        <rFont val=".VnArial"/>
        <family val="2"/>
      </rPr>
      <t>h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)</t>
    </r>
  </si>
  <si>
    <t>t¹i Z=</t>
  </si>
  <si>
    <r>
      <rPr>
        <sz val="10"/>
        <color theme="1"/>
        <rFont val=".VnArial"/>
        <family val="2"/>
      </rPr>
      <t>®é lón</t>
    </r>
    <r>
      <rPr>
        <sz val="10"/>
        <color theme="1"/>
        <rFont val="Symbol"/>
        <family val="1"/>
        <charset val="2"/>
      </rPr>
      <t xml:space="preserve"> S</t>
    </r>
    <r>
      <rPr>
        <sz val="10"/>
        <color theme="1"/>
        <rFont val=".VnArial"/>
        <family val="2"/>
      </rPr>
      <t>S(cm) =</t>
    </r>
  </si>
  <si>
    <t>B¶ng 1(1) cña c¸t</t>
  </si>
  <si>
    <t>B¶ng 2(2)</t>
  </si>
  <si>
    <t>§é</t>
  </si>
  <si>
    <t xml:space="preserve">                                Søc chèng tÝnh to¸n d­íi mòi cäc ®ãng vµ cäc èng</t>
  </si>
  <si>
    <t>Søc chèng tÝnh to¸n d­íi mÆt h«ng cña cäc vµ cäc èng</t>
  </si>
  <si>
    <t>s©u</t>
  </si>
  <si>
    <r>
      <rPr>
        <sz val="10"/>
        <color theme="1"/>
        <rFont val=".VnArial"/>
        <family val="2"/>
      </rPr>
      <t xml:space="preserve">                            khi h¹ mµ kh«ng lÊy ®Êt ra R (t/m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</t>
    </r>
  </si>
  <si>
    <t>trung</t>
  </si>
  <si>
    <r>
      <rPr>
        <sz val="10"/>
        <color theme="1"/>
        <rFont val=".VnArial"/>
        <family val="2"/>
      </rPr>
      <t>f (t/m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</t>
    </r>
  </si>
  <si>
    <t>cña</t>
  </si>
  <si>
    <t xml:space="preserve">                       Cña ®Êt c¸t, chÆt võa</t>
  </si>
  <si>
    <t>b×nh</t>
  </si>
  <si>
    <t>Cña ®Êt c¸t, chÆt võa</t>
  </si>
  <si>
    <t xml:space="preserve">mòi </t>
  </si>
  <si>
    <t>sái</t>
  </si>
  <si>
    <t>c¸t th«</t>
  </si>
  <si>
    <t xml:space="preserve"> -</t>
  </si>
  <si>
    <t>c¸t th« võa</t>
  </si>
  <si>
    <t>c¸t bôi</t>
  </si>
  <si>
    <t>cäc</t>
  </si>
  <si>
    <t>líp</t>
  </si>
  <si>
    <t xml:space="preserve">    KT=0: lÊy cét 'KÕt qu¶ tÝnh'.</t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</si>
  <si>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(m)</t>
    </r>
  </si>
  <si>
    <t>®Êt</t>
  </si>
  <si>
    <r>
      <rPr>
        <sz val="10"/>
        <color theme="1"/>
        <rFont val=".VnArial"/>
        <family val="2"/>
      </rPr>
      <t>Vµ cña ®Êt sÐt víi chØ sè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 xml:space="preserve"> b»ng</t>
    </r>
  </si>
  <si>
    <r>
      <rPr>
        <sz val="10"/>
        <color theme="1"/>
        <rFont val=".VnArial"/>
        <family val="2"/>
      </rPr>
      <t>Gi¸ trÞ f</t>
    </r>
    <r>
      <rPr>
        <vertAlign val="subscript"/>
        <sz val="10"/>
        <color theme="1"/>
        <rFont val=".VnArial"/>
        <family val="2"/>
      </rPr>
      <t>i</t>
    </r>
  </si>
  <si>
    <t xml:space="preserve">    KT&lt;&gt;0: lÊy cét 'User'</t>
  </si>
  <si>
    <r>
      <rPr>
        <sz val="10"/>
        <color theme="1"/>
        <rFont val=".VnArial"/>
        <family val="2"/>
      </rPr>
      <t>d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(m)</t>
    </r>
  </si>
  <si>
    <t>§é s©u (m)</t>
  </si>
  <si>
    <t>Lo¹i ®Êt</t>
  </si>
  <si>
    <t>C¸t</t>
  </si>
  <si>
    <r>
      <rPr>
        <sz val="10"/>
        <color theme="1"/>
        <rFont val=".VnArial"/>
        <family val="2"/>
      </rPr>
      <t>0,2&lt;=I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&lt;=0,6</t>
    </r>
  </si>
  <si>
    <r>
      <rPr>
        <sz val="10"/>
        <color theme="1"/>
        <rFont val=".VnArial"/>
        <family val="2"/>
      </rPr>
      <t>0,7&lt;=I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&lt;=1</t>
    </r>
  </si>
  <si>
    <t>SÐt</t>
  </si>
  <si>
    <t>KÕt qu¶ tÝnh</t>
  </si>
  <si>
    <t>User</t>
  </si>
  <si>
    <t>KT</t>
  </si>
  <si>
    <t>Gi¸ trÞ R</t>
  </si>
  <si>
    <t>Mòi cäc (m)</t>
  </si>
  <si>
    <r>
      <rPr>
        <sz val="10"/>
        <color theme="1"/>
        <rFont val=".VnArial"/>
        <family val="2"/>
      </rPr>
      <t>0&lt;=I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&lt;=0,3</t>
    </r>
  </si>
  <si>
    <r>
      <rPr>
        <sz val="10"/>
        <color theme="1"/>
        <rFont val=".VnArial"/>
        <family val="2"/>
      </rPr>
      <t>0,4&lt;=I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&lt;=0.6</t>
    </r>
  </si>
  <si>
    <t>B¶ng 1(1) cña sÐt</t>
  </si>
  <si>
    <t>Chó thÝch b¶ng 2(2):</t>
  </si>
  <si>
    <t>Khi x¸c ®Þnh søc chèng tÝnh to¸n cña ®Êt ë mÆt h«ng cña cäc vµ cäc èng f theo b¶ng 2(2)</t>
  </si>
  <si>
    <r>
      <rPr>
        <sz val="10"/>
        <color theme="1"/>
        <rFont val=".VnArial"/>
        <family val="2"/>
      </rPr>
      <t xml:space="preserve">                            khi h¹ mµ kh«ng lÊy ®Êt ra R (t/m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)</t>
    </r>
  </si>
  <si>
    <t>nhÊt thiÕt ph¶i l­u ý ®Õn yªu cÇu, tr×nh bµy ë c¸c chó thÝch 2 vµ 3 cña b¶ng 1(1).</t>
  </si>
  <si>
    <t xml:space="preserve">Khi x¸c ®Þnh theo b¶ng 2(2) søc chèng tÝnh to¸n cña ®Êt ë mÆt h«ng cña cäc vµ </t>
  </si>
  <si>
    <t>cäc èng f, c¸c líp ®Êt nªn chia thµnh c¸c líp ®ång nhÊt cã chiÒu dµy kh«ng qu¸ 2m.</t>
  </si>
  <si>
    <t>Søc chèng tÝnh to¸n cña ®Êt c¸t chÆt, ë mÆt h«ng cña cäc vµ cäc èng f, nªn t¨ng</t>
  </si>
  <si>
    <r>
      <rPr>
        <sz val="10"/>
        <color theme="1"/>
        <rFont val=".VnArial"/>
        <family val="2"/>
      </rPr>
      <t>L</t>
    </r>
    <r>
      <rPr>
        <vertAlign val="subscript"/>
        <sz val="10"/>
        <color theme="1"/>
        <rFont val=".VnArial"/>
        <family val="2"/>
      </rPr>
      <t>m</t>
    </r>
    <r>
      <rPr>
        <sz val="10"/>
        <color theme="1"/>
        <rFont val=".VnArial"/>
        <family val="2"/>
      </rPr>
      <t>(m)</t>
    </r>
  </si>
  <si>
    <r>
      <rPr>
        <sz val="10"/>
        <color theme="1"/>
        <rFont val=".VnArial"/>
        <family val="2"/>
      </rPr>
      <t>Cña ®Êt sÐt víi chØ sè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 xml:space="preserve"> b»ng</t>
    </r>
  </si>
  <si>
    <t>lªn 30% so víi gi¸ trÞ tr×nh bµy ë b¶ng 2(2).</t>
  </si>
  <si>
    <t>C­êng ®é tÝnh to¸n cña ¸ c¸t vµ ¸ sÐt cã hÖ sè rçng e&lt;0,5 vµ sÐt cã hÖ sè rçng</t>
  </si>
  <si>
    <t>e&lt;0,5 nªn t¨ng lªn 15% so víi trÞ sè cho ë b¶ng 2(2) víi bÊt kú ®é nh·o nµo.</t>
  </si>
  <si>
    <t>Chó thÝch b¶ng 1(1):</t>
  </si>
  <si>
    <t>Trong b¶ng 1(1) vµ 2(2), ®é s©u cña mòi cäc hoÆc cña cäc èng, vµ ®é s©u trung b×nh</t>
  </si>
  <si>
    <t>cña líp ®Êt: khi san nÒn b»ng ph­¬ng ph¸p g¹t bá, ®¾p, hay ®¾p b»ng n­íc dÇy</t>
  </si>
  <si>
    <t>®Õn 3m, nªn lÊy tõ møc ®Þa h×nh tù nhiªn, cßn khi g¹t bá vµ ®¾p thªm</t>
  </si>
  <si>
    <t>dµy tõ 3 ®Õn 10m th× lÊy tõ cèt qui ­íc, n»m cao h¬n phÇn bÞ g¹t 3m</t>
  </si>
  <si>
    <t>hoÆc thÊp h¬n møc ®¾p 3m.</t>
  </si>
  <si>
    <t xml:space="preserve">    §é s©u h¹ cäc hoÆc cäc èng vµ ®é s©u trung b×nh cña c¸c líp ®Êt trong vïng</t>
  </si>
  <si>
    <t>cã n­íc nªn lÊy cã l­u ý ®Õn kh¶ n¨ng chung bÞ xãi tr«i cña ®¸y dßng ch¶y ë</t>
  </si>
  <si>
    <t>møc lò tÝnh to¸n.</t>
  </si>
  <si>
    <t xml:space="preserve">    Khi thiÕt kÕ c¸c ®­íng v­ît qua c¸c hµo r·nh ®èi víi c¸c cäc ®­îc ®ãng b»ng</t>
  </si>
  <si>
    <t>bóa mµ kh«ng cÇn xãi n­íc hoÆc ph¶i lµm c¸c lç khoan måi, th× chiÒu s©u cña</t>
  </si>
  <si>
    <t>mòi cäc hoÆc cäc èng trong ®Êt nªu ë b¶ng 1(1) nªn lÊy tõ cèt ®Þa h×nh tù nhiªn</t>
  </si>
  <si>
    <t>ë chç c«ng tr×nh mãng.</t>
  </si>
  <si>
    <t>§èi víi c¸c ®é s©u trung gian cña cäc, cäc èng vµ c¸c gi¸ trÞ trung gian cña ®é</t>
  </si>
  <si>
    <t>sÖt B cña ®Êt sÐt, ph¶i x¸c ®Þnh c¸c gi¸ trÞ cña R vµ f lÇn l­ît thÐo b¶ng 1(1) vµ 2(2)</t>
  </si>
  <si>
    <t>§èi víi ®Êt c¸t chÆt (®é chÆt x¸c ®Þnh theo tµi liÖu xuyªn tÜnh), c¸c gi¸ trÞ cña</t>
  </si>
  <si>
    <t>R tÝnh theo b¶ng 1(1) khi cäc ®­îc h¹ kh«ng dïng c¸ch xãi n­íc hoÆc khoan måi,</t>
  </si>
  <si>
    <t>R nªn t¨ng lªn 100%. NÕu x¸c ®Þnh ®é chÆt cña ®Êt theo c¸c tµi liÖu kh¸c vµ</t>
  </si>
  <si>
    <t>kh«ng cã c¸c sè liÖu xuyªn tÜnh, th× gi¸ trÞ R tÝnh theo b¶ng 1(1) nªn t¨ng lªn</t>
  </si>
  <si>
    <r>
      <rPr>
        <sz val="10"/>
        <color theme="1"/>
        <rFont val=".VnArial"/>
        <family val="2"/>
      </rPr>
      <t>60% nh­ng kh«ng qu¸ 2000 t/m</t>
    </r>
    <r>
      <rPr>
        <vertAlign val="super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.</t>
    </r>
  </si>
  <si>
    <t>Cho phÐp sö dông c¸c gi¸ trÞ søc chèng tÝnh to¸n R theo b¶ng 1(1) víi ®iÒu kiÖn</t>
  </si>
  <si>
    <t xml:space="preserve">nÕu c¸c cäc èng ch«n s©u vµo trong ®Êt kh«ng bÞ xãi lë vµ kh«ng bÞ g¹t bá cã </t>
  </si>
  <si>
    <t>®é s©u bÐ h¬n 4m (®èi víi cÇu vµ c«ng tr×nh thuû lîi); 3m (®èi víi nhµ vµ c¸c</t>
  </si>
  <si>
    <t>c«ng tr×nh kh¸c).</t>
  </si>
  <si>
    <t xml:space="preserve">TrÞ sè tÝnh to¸n R d­íi mòi cäc ®ãng cã tiÕt diÖn 0,15x0,15m hoÆc bÐ h¬n, </t>
  </si>
  <si>
    <t>dïng lµm mãng t­êng ng¨n cña nhµ s¶n xuÊt mét tÇng R cho phÐp t¨ng lªn 20%.</t>
  </si>
  <si>
    <t>§èi víi ¸ c¸t, khi chØ sè dÎo &lt;=4 vµ hÖ sè rçng e &lt;=0,8; th× c­êng ®é tÝnh</t>
  </si>
  <si>
    <r>
      <rPr>
        <sz val="10"/>
        <color theme="1"/>
        <rFont val=".VnArial"/>
        <family val="2"/>
      </rPr>
      <t>to¸n R vµ f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 xml:space="preserve"> nªn x¸c ®Þnh nh­ ®èi víi c¸t bôi cã ®é chÆt trung b×nh.</t>
    </r>
  </si>
  <si>
    <t>(*):</t>
  </si>
  <si>
    <t>Søc chèng tÝnh to¸n R vµ f phï hîp nhÊt víi ®Êt cã ®é no n­íc G&gt;=0,8.                      Khi G&lt;0,8 (®Êt rÊt Èm, Ýt Èm): xem s¸ch ®Ó biÕt chi tiÕt.</t>
  </si>
  <si>
    <t>(**):</t>
  </si>
  <si>
    <r>
      <rPr>
        <sz val="10"/>
        <color theme="1"/>
        <rFont val=".VnArialH"/>
        <family val="2"/>
      </rPr>
      <t>¸</t>
    </r>
    <r>
      <rPr>
        <sz val="10"/>
        <color theme="1"/>
        <rFont val=".VnArial"/>
        <family val="2"/>
      </rPr>
      <t xml:space="preserve"> c¸t ®­îc xÕp vµo lo¹i ®Êt sÐt, v× vËy c¸c gi¸ trÞ R vµ f cã thÓ x¸c ®Þnh tuú thuéc vµo ®é sÖt cña chóng, tuy nhiªn ®é sÖt cña ¸ c¸t th­êng x¸c ®Þnh kh«ng tin cËy l¾m. Søc chÞu t¶i cña cäc trong ¸ c¸t th­êng x¸c ®Þnh theo sè liÖu xuyªn tÜnh.</t>
    </r>
  </si>
  <si>
    <r>
      <rPr>
        <sz val="10"/>
        <color theme="1"/>
        <rFont val=".VnArial"/>
        <family val="2"/>
      </rPr>
      <t>Søc chÞu t¶i cña cäc trong ¸ c¸t cã trÞ sè dÎo I</t>
    </r>
    <r>
      <rPr>
        <vertAlign val="subscript"/>
        <sz val="10"/>
        <color theme="1"/>
        <rFont val=".VnArial"/>
        <family val="2"/>
      </rPr>
      <t>P</t>
    </r>
    <r>
      <rPr>
        <sz val="10"/>
        <color theme="1"/>
        <rFont val=".VnArial"/>
        <family val="2"/>
      </rPr>
      <t xml:space="preserve"> gÇn b»ng 1, thùc tÕ sÏ gièng nh­ cäc ®ãng trong c¸t vµ kh«ng phô thuéc vµo ®é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.</t>
    </r>
  </si>
  <si>
    <r>
      <rPr>
        <sz val="10"/>
        <color theme="1"/>
        <rFont val=".VnArial"/>
        <family val="2"/>
      </rPr>
      <t>Søc chÞu t¶i cña cäc trong ¸ c¸t cã trÞ sè dÎo I</t>
    </r>
    <r>
      <rPr>
        <vertAlign val="subscript"/>
        <sz val="10"/>
        <color theme="1"/>
        <rFont val=".VnArial"/>
        <family val="2"/>
      </rPr>
      <t>P</t>
    </r>
    <r>
      <rPr>
        <sz val="10"/>
        <color theme="1"/>
        <rFont val=".VnArial"/>
        <family val="2"/>
      </rPr>
      <t xml:space="preserve"> gÇn b»ng 7, sÏ gièng nh­ cäc ®ãng trong ¸ sÐt cã cïng ®é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.</t>
    </r>
  </si>
  <si>
    <t>(***):</t>
  </si>
  <si>
    <r>
      <rPr>
        <sz val="10"/>
        <color theme="1"/>
        <rFont val=".VnArial"/>
        <family val="2"/>
      </rPr>
      <t>ViÖc chèng mòi cäc hoÆc cäc èng lªn ®Êt sÐt cã ®é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&gt;0,6 vµ lªn c¸t rêi th­êng nªn tr¸nh v× søc chÞu t¶i cña cäc sÏ rÊt thÊp. Do ®ã b¶ng 1(1) kh«ng cã R ®èi víi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&gt;0,6 vµ c¸t rêi. §Ó tÝnh to¸n s¬ bé cã thÓ dïng kÕt qu¶ xuyªn.</t>
    </r>
  </si>
  <si>
    <t>(****):</t>
  </si>
  <si>
    <r>
      <rPr>
        <sz val="10"/>
        <color theme="1"/>
        <rFont val=".VnArial"/>
        <family val="2"/>
      </rPr>
      <t>Víi søc chèng f [b¶ng 2(2)]: ®Êt sÐt cã ®é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&lt;0,2 ®ãng cäc rÊt phøc t¹p vµ khã thùc hiÖn, nÕu cÇn tÝnh to¸n th× tra b¶ng víi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=0,2. Søc chèng f cña ®Êt sÐt cã ®é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&gt;1 rÊt bÐ vµ th­êng trong tÝnh to¸n søc chÞu t¶i cña cäc cã thÓ bá qua.</t>
    </r>
  </si>
  <si>
    <t>Cäc nhåi:</t>
  </si>
  <si>
    <r>
      <rPr>
        <sz val="10"/>
        <color theme="1"/>
        <rFont val=".VnArial"/>
        <family val="2"/>
      </rPr>
      <t>P</t>
    </r>
    <r>
      <rPr>
        <vertAlign val="subscript"/>
        <sz val="10"/>
        <color theme="1"/>
        <rFont val=".VnArial"/>
        <family val="2"/>
      </rPr>
      <t>k</t>
    </r>
    <r>
      <rPr>
        <sz val="10"/>
        <color theme="1"/>
        <rFont val=".VnArial"/>
        <family val="2"/>
      </rPr>
      <t>=m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(m</t>
    </r>
    <r>
      <rPr>
        <vertAlign val="subscript"/>
        <sz val="10"/>
        <color theme="1"/>
        <rFont val=".VnArial"/>
        <family val="2"/>
      </rPr>
      <t>R</t>
    </r>
    <r>
      <rPr>
        <sz val="10"/>
        <color theme="1"/>
        <rFont val=".VnArial"/>
        <family val="2"/>
      </rPr>
      <t>.R.F</t>
    </r>
    <r>
      <rPr>
        <vertAlign val="subscript"/>
        <sz val="10"/>
        <color theme="1"/>
        <rFont val=".VnArial"/>
        <family val="2"/>
      </rPr>
      <t>b</t>
    </r>
    <r>
      <rPr>
        <sz val="10"/>
        <color theme="1"/>
        <rFont val=".VnArial"/>
        <family val="2"/>
      </rPr>
      <t xml:space="preserve"> + U.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f</t>
    </r>
    <r>
      <rPr>
        <sz val="10"/>
        <color theme="1"/>
        <rFont val=".VnArial"/>
        <family val="2"/>
      </rPr>
      <t>.f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.l</t>
    </r>
    <r>
      <rPr>
        <vertAlign val="subscript"/>
        <sz val="10"/>
        <color theme="1"/>
        <rFont val=".VnArial"/>
        <family val="2"/>
      </rPr>
      <t>i</t>
    </r>
    <r>
      <rPr>
        <sz val="10"/>
        <color theme="1"/>
        <rFont val=".VnArial"/>
        <family val="2"/>
      </rPr>
      <t>)</t>
    </r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</si>
  <si>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2</t>
    </r>
    <r>
      <rPr>
        <sz val="10"/>
        <color theme="1"/>
        <rFont val=".VnArial"/>
        <family val="2"/>
      </rPr>
      <t>:</t>
    </r>
  </si>
  <si>
    <t>HÖ sè ®iÒu kiÖn lµm viÖc, trong tr­êng hîp tùa lªn ®Êt sÐt phñ,</t>
  </si>
  <si>
    <t>cã ®é no n­íc G&lt;0,9 vµ trªn ®Êt lít hoÆc ®Êt d¹ng lít lÊy =0,8,</t>
  </si>
  <si>
    <t>cßn trong nh÷ng tr­êng hîp cßn l¹i =1.</t>
  </si>
  <si>
    <t>B¶ng 3(3)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</si>
  <si>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R</t>
    </r>
    <r>
      <rPr>
        <sz val="10"/>
        <color theme="1"/>
        <rFont val=".VnArial"/>
        <family val="2"/>
      </rPr>
      <t>:</t>
    </r>
  </si>
  <si>
    <t>HÖ sè ®iÒu kiÖn lµm viÖc cña ®Êt d­íi mòi cäc nhåi, cäc èng,</t>
  </si>
  <si>
    <t>HÖ sè ®iÒu kiÖn lµm viÖc cña ®Êt ®­îc kÓ ®Õn mét c¸ch ®éc lËp nhau khi tÝnh søc chÞu t¶i cña cäc treo, ®ãng</t>
  </si>
  <si>
    <t xml:space="preserve">cäc trô, lÊy =1 trong mäi tr­êng hîp, trõ khi cäc më réng ®Õ </t>
  </si>
  <si>
    <t>b»ng c¸ch næ m×n, ®èi víi tr­êng hîp nµy lÊy =1,3; Khi thi c«ng</t>
  </si>
  <si>
    <t>Ph­¬ng ph¸p h¹ cäc ®ãng vµ cäc èng</t>
  </si>
  <si>
    <t>cäc cã më réng ®Õ b»ng ph­¬ng ph¸p ®æ bª t«ng d­íi n­íc lÊy =0,9;</t>
  </si>
  <si>
    <t>kh«ng lÊy ®Êt ra khái hè cäc</t>
  </si>
  <si>
    <t>§èi víi mãng ®­êng d©y t¶i ®iÖn lÊy theo ®iÒu 12 cña 20TCN 21-86.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</si>
  <si>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f</t>
    </r>
    <r>
      <rPr>
        <sz val="10"/>
        <color theme="1"/>
        <rFont val=".VnArial"/>
        <family val="2"/>
      </rPr>
      <t>:</t>
    </r>
  </si>
  <si>
    <t>theo b¶ng 7(5)</t>
  </si>
  <si>
    <t>D­íi mòi cäc</t>
  </si>
  <si>
    <t>ë mÆt h«ng cäc</t>
  </si>
  <si>
    <t>B¶ng 7(5)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</si>
  <si>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R</t>
    </r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</si>
  <si>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f</t>
    </r>
  </si>
  <si>
    <r>
      <rPr>
        <sz val="10"/>
        <color theme="1"/>
        <rFont val=".VnArial"/>
        <family val="2"/>
      </rPr>
      <t xml:space="preserve">HÖ sè ®iÒu kiÖn lµm viÖc cña ®Êt </t>
    </r>
    <r>
      <rPr>
        <sz val="10"/>
        <color theme="1"/>
        <rFont val=".VnArial"/>
        <family val="2"/>
      </rPr>
      <t xml:space="preserve"> </t>
    </r>
  </si>
  <si>
    <t>1. H¹ cäc ®Æc vµ cäc rçng cã bÞt mòi b»ng bóa h¬i (treo), bóa m¸y vµ bóa diezen.</t>
  </si>
  <si>
    <t>Lo¹i cäc vµ ph­¬ng ph¸p h¹ cäc</t>
  </si>
  <si>
    <r>
      <rPr>
        <sz val="10"/>
        <color theme="1"/>
        <rFont val=".VnArial"/>
        <family val="2"/>
      </rPr>
      <t>m</t>
    </r>
    <r>
      <rPr>
        <vertAlign val="subscript"/>
        <sz val="10"/>
        <color theme="1"/>
        <rFont val=".VnArial"/>
        <family val="2"/>
      </rPr>
      <t>f</t>
    </r>
  </si>
  <si>
    <t>trong</t>
  </si>
  <si>
    <t>¸ c¸t</t>
  </si>
  <si>
    <t>¸ sÐt</t>
  </si>
  <si>
    <t>sÐt</t>
  </si>
  <si>
    <t>2. H¹ b»ng c¸ch ®ãng vµo lç ®· khoan tr­íc (lç måi) víi ®é ch«n s©u cña mòi cäc kh«ng bÐ h¬n 1m d­íi ®¸y hè khoan khi ®­êng kÝnh hè khoan:</t>
  </si>
  <si>
    <t>1. Cäc nhåi theo ®iÒu 2.6a khi ®ãng èng</t>
  </si>
  <si>
    <t xml:space="preserve">    rçng cã mòi</t>
  </si>
  <si>
    <t>2. Cäc nhåi rung Ðp</t>
  </si>
  <si>
    <t>a/</t>
  </si>
  <si>
    <t>B»ng c¹nh cäc vu«ng</t>
  </si>
  <si>
    <t>3. Cäc khoan nhåi trong ®ã kÓ c¶ më réng</t>
  </si>
  <si>
    <t>b/</t>
  </si>
  <si>
    <t>Nhá h¬n c¹nh cäc vu«ng 5cm</t>
  </si>
  <si>
    <t xml:space="preserve">    ®¸y, ®æ bª t«ng:</t>
  </si>
  <si>
    <t>c/</t>
  </si>
  <si>
    <t>Nhá h¬n c¹nh cäc vu«ng hoÆc ®­êng kÝnh cäc trßn (®èi víi trô ®­êng d©y t¶i ®iÖn) 15cm</t>
  </si>
  <si>
    <t>a/ Khi kh«ng cã n­íc trong hè khoan</t>
  </si>
  <si>
    <t xml:space="preserve">    ph.ph¸p kh«) hoÆc khi dïng èng chèng</t>
  </si>
  <si>
    <t>3. H¹ cã xãi n­íc trong ®Êt c¸t víi ®iÒu kiÖn ®ãng tiÕp cäc ë mÐt cuèi cïng kh«ng xãi n­íc</t>
  </si>
  <si>
    <t>b/ D­íi n­íc hoÆc dung dÞch sÐt</t>
  </si>
  <si>
    <t>c/ Hçn hîp bª t«ng cøng ®æ vµo cäc cã ®Çm</t>
  </si>
  <si>
    <t>4. Rung vµ Ðp rung cäc èng vµo:</t>
  </si>
  <si>
    <t xml:space="preserve">    dïi (ph­¬ng ph¸p kh«)</t>
  </si>
  <si>
    <t>§Êt c¸t, chÆt võa:</t>
  </si>
  <si>
    <t>4. Cäc èng h¹ b»ng rung cã lÊy ®Êt ra</t>
  </si>
  <si>
    <t xml:space="preserve"> - C¸t th« vµ th« võa</t>
  </si>
  <si>
    <t>5. Cäc - Trô</t>
  </si>
  <si>
    <t xml:space="preserve"> - C¸t mÞn</t>
  </si>
  <si>
    <t>6. Cäc khoan nhåi, cäc cã lç trßn rçng ë</t>
  </si>
  <si>
    <t xml:space="preserve"> - C¸t bôi</t>
  </si>
  <si>
    <t xml:space="preserve">    gi÷a, kh«ng cã n­íc trong lç khoan b»ng</t>
  </si>
  <si>
    <r>
      <rPr>
        <sz val="10"/>
        <color theme="1"/>
        <rFont val=".VnArial"/>
        <family val="2"/>
      </rPr>
      <t>§Êt sÐt bôi cã chØ sè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=0,5:</t>
    </r>
  </si>
  <si>
    <t xml:space="preserve">    c¸ch dïng lâi rung</t>
  </si>
  <si>
    <t xml:space="preserve"> - ¸ c¸t</t>
  </si>
  <si>
    <t>7. Cäc khoan phun chÕ t¹o cã èng chèng</t>
  </si>
  <si>
    <t xml:space="preserve"> - ¸ sÐt</t>
  </si>
  <si>
    <t xml:space="preserve">    hoÆc b¬m hçn hîp bª t«ng víi ¸p lùc</t>
  </si>
  <si>
    <t xml:space="preserve"> - sÐt</t>
  </si>
  <si>
    <t xml:space="preserve">    2-4 atmotphe</t>
  </si>
  <si>
    <r>
      <rPr>
        <sz val="10"/>
        <color theme="1"/>
        <rFont val=".VnArial"/>
        <family val="2"/>
      </rPr>
      <t>SÐt bôi cã chØ sè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&lt;0</t>
    </r>
  </si>
  <si>
    <t>5. H¹ b»ng bóa cã kÕt cÊu bÊt kú cäc rçng hë mòi:</t>
  </si>
  <si>
    <t>Khi ®­êng kÝnh lç rçng cña cäc &lt;=40cm</t>
  </si>
  <si>
    <t>Khi ®­êng kÝnh lç rçng cña cäc tõ 0,4 ®Õn 0,8m</t>
  </si>
  <si>
    <r>
      <rPr>
        <sz val="10"/>
        <color theme="1"/>
        <rFont val=".VnArial"/>
        <family val="2"/>
      </rPr>
      <t>6. H¹ b»ng ph­¬ng ph¸p bÊt kú cäc trßn rçng, bÞt mòi, tíi ®é s©u &gt;=10m, sau ®ã cã më réng mòi cäc b»ng c¸ch næ m×n trong ®Êt c¸t chÆt võa vµ trong ®Êt sÐt cã chØ sè ®é sÖt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&lt;=0,5, khi ®­êng kÝnh më réng b»ng:</t>
    </r>
  </si>
  <si>
    <t>1m, kh«ng phô thuéc vµo c¸c lo¹i ®Êt nãi trªn</t>
  </si>
  <si>
    <t>1,5m trong ®Êt c¸t vµ ¸ c¸t</t>
  </si>
  <si>
    <t>1,5m trong ®Êt ¸ sÐt vµ sÐt</t>
  </si>
  <si>
    <t>7. H¹ b»ng c¸ch Ðp cäc:</t>
  </si>
  <si>
    <t>Trong c¸t chÆt võa, th«, th« võa, nhá</t>
  </si>
  <si>
    <t>Trong c¸t bôi</t>
  </si>
  <si>
    <r>
      <rPr>
        <sz val="10"/>
        <color theme="1"/>
        <rFont val=".VnArial"/>
        <family val="2"/>
      </rPr>
      <t>Trong ®Êt sÐt bôi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&lt;0,5</t>
    </r>
  </si>
  <si>
    <t>d/</t>
  </si>
  <si>
    <r>
      <rPr>
        <sz val="10"/>
        <color theme="1"/>
        <rFont val=".VnArial"/>
        <family val="2"/>
      </rPr>
      <t>Còng nh­ thÕ nh­ng víi 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&gt;=0,5</t>
    </r>
  </si>
  <si>
    <r>
      <rPr>
        <sz val="10"/>
        <color theme="1"/>
        <rFont val=".VnArial"/>
        <family val="2"/>
      </rPr>
      <t xml:space="preserve">  Chó thÝch: HÖ sè m</t>
    </r>
    <r>
      <rPr>
        <vertAlign val="subscript"/>
        <sz val="10"/>
        <color theme="1"/>
        <rFont val=".VnArial"/>
        <family val="2"/>
      </rPr>
      <t>R</t>
    </r>
    <r>
      <rPr>
        <sz val="10"/>
        <color theme="1"/>
        <rFont val=".VnArial"/>
        <family val="2"/>
      </rPr>
      <t xml:space="preserve"> vµ m</t>
    </r>
    <r>
      <rPr>
        <vertAlign val="subscript"/>
        <sz val="10"/>
        <color theme="1"/>
        <rFont val=".VnArial"/>
        <family val="2"/>
      </rPr>
      <t>f</t>
    </r>
    <r>
      <rPr>
        <sz val="10"/>
        <color theme="1"/>
        <rFont val=".VnArial"/>
        <family val="2"/>
      </rPr>
      <t xml:space="preserve"> ë ®iÓm 4 b¶ng 3(3) ®èi víi ®Êt sÐt cã ®é sÖt 0,5&gt;I</t>
    </r>
    <r>
      <rPr>
        <vertAlign val="subscript"/>
        <sz val="10"/>
        <color theme="1"/>
        <rFont val=".VnArial"/>
        <family val="2"/>
      </rPr>
      <t>L</t>
    </r>
    <r>
      <rPr>
        <sz val="10"/>
        <color theme="1"/>
        <rFont val=".VnArial"/>
        <family val="2"/>
      </rPr>
      <t>&gt;0 ®­îc x¸c ®Þnh b»ng c¸ch néi suy.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</si>
</sst>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00E+00"/>
    <numFmt numFmtId="168" formatCode="0.00000000000000"/>
  </numFmts>
  <fonts count="55">
    <font>
      <sz val="10"/>
      <color rgb="FF000000"/>
      <name val=".vnarial"/>
    </font>
    <font>
      <sz val="10"/>
      <color theme="1"/>
      <name val=".VnArial"/>
      <family val="2"/>
    </font>
    <font>
      <i/>
      <sz val="8"/>
      <color rgb="FFFF0000"/>
      <name val=".VnArialH"/>
      <family val="2"/>
    </font>
    <font>
      <b/>
      <sz val="12"/>
      <color theme="1"/>
      <name val=".VnArialH"/>
      <family val="2"/>
    </font>
    <font>
      <sz val="10"/>
      <name val=".VnArial"/>
      <family val="2"/>
    </font>
    <font>
      <sz val="7"/>
      <color theme="1"/>
      <name val=".VnArial"/>
      <family val="2"/>
    </font>
    <font>
      <b/>
      <sz val="11"/>
      <color theme="1"/>
      <name val=".VnArialH"/>
      <family val="2"/>
    </font>
    <font>
      <b/>
      <u/>
      <sz val="10"/>
      <color theme="1"/>
      <name val=".VnArial"/>
      <family val="2"/>
    </font>
    <font>
      <b/>
      <sz val="10"/>
      <color rgb="FFFF0000"/>
      <name val=".VnArial"/>
      <family val="2"/>
    </font>
    <font>
      <sz val="8"/>
      <color theme="1"/>
      <name val=".VnArial"/>
      <family val="2"/>
    </font>
    <font>
      <b/>
      <sz val="12"/>
      <color rgb="FF0000FF"/>
      <name val="Times New Roman"/>
      <family val="1"/>
    </font>
    <font>
      <b/>
      <sz val="10"/>
      <color rgb="FF0000FF"/>
      <name val=".VnArial"/>
      <family val="2"/>
    </font>
    <font>
      <u/>
      <sz val="10"/>
      <color theme="1"/>
      <name val=".VnArial"/>
      <family val="2"/>
    </font>
    <font>
      <b/>
      <sz val="10"/>
      <color theme="1"/>
      <name val=".VnArial"/>
      <family val="2"/>
    </font>
    <font>
      <sz val="9"/>
      <color theme="1"/>
      <name val=".VnArial"/>
      <family val="2"/>
    </font>
    <font>
      <sz val="10"/>
      <color theme="1"/>
      <name val="Times New Roman"/>
      <family val="1"/>
    </font>
    <font>
      <sz val="10"/>
      <color rgb="FF0000FF"/>
      <name val=".VnArial"/>
      <family val="2"/>
    </font>
    <font>
      <i/>
      <sz val="10"/>
      <color rgb="FF0000FF"/>
      <name val=".VnArial"/>
      <family val="2"/>
    </font>
    <font>
      <sz val="10"/>
      <color rgb="FFFF0000"/>
      <name val=".VnArial"/>
      <family val="2"/>
    </font>
    <font>
      <sz val="10"/>
      <color theme="1"/>
      <name val="Noto Sans Symbols"/>
    </font>
    <font>
      <u/>
      <sz val="10"/>
      <color theme="1"/>
      <name val=".VnArial"/>
      <family val="2"/>
    </font>
    <font>
      <sz val="11"/>
      <color theme="1"/>
      <name val="Noto Sans Symbols"/>
    </font>
    <font>
      <sz val="9"/>
      <color rgb="FFFF0000"/>
      <name val=".VnArial"/>
      <family val="2"/>
    </font>
    <font>
      <sz val="10"/>
      <color theme="1"/>
      <name val="Century Schoolbook"/>
      <family val="1"/>
    </font>
    <font>
      <sz val="10"/>
      <color rgb="FFFF6600"/>
      <name val=".VnArial"/>
      <family val="2"/>
    </font>
    <font>
      <b/>
      <sz val="9"/>
      <color rgb="FFFF0000"/>
      <name val=".VnArial"/>
      <family val="2"/>
    </font>
    <font>
      <i/>
      <sz val="10"/>
      <color theme="1"/>
      <name val=".VnArial"/>
      <family val="2"/>
    </font>
    <font>
      <sz val="10"/>
      <color theme="1"/>
      <name val=".VnArialH"/>
      <family val="2"/>
    </font>
    <font>
      <sz val="10"/>
      <color rgb="FFFF6600"/>
      <name val=".VnArialH"/>
      <family val="2"/>
    </font>
    <font>
      <sz val="12"/>
      <color theme="1"/>
      <name val="Noto Sans Symbols"/>
    </font>
    <font>
      <sz val="9"/>
      <color theme="1"/>
      <name val="Noto Sans Symbols"/>
    </font>
    <font>
      <b/>
      <u/>
      <sz val="10"/>
      <color theme="1"/>
      <name val=".VnArial"/>
      <family val="2"/>
    </font>
    <font>
      <sz val="10"/>
      <color rgb="FF0000FF"/>
      <name val="Times New Roman"/>
      <family val="1"/>
    </font>
    <font>
      <b/>
      <sz val="10"/>
      <color theme="1"/>
      <name val=".VnArialH"/>
      <family val="2"/>
    </font>
    <font>
      <sz val="11"/>
      <color theme="1"/>
      <name val=".VnArialH"/>
      <family val="2"/>
    </font>
    <font>
      <u/>
      <sz val="10"/>
      <color theme="1"/>
      <name val=".VnArial"/>
      <family val="2"/>
    </font>
    <font>
      <b/>
      <sz val="10"/>
      <color rgb="FFFF0000"/>
      <name val=".VnArialH"/>
      <family val="2"/>
    </font>
    <font>
      <vertAlign val="subscript"/>
      <sz val="10"/>
      <color theme="1"/>
      <name val=".VnArial"/>
      <family val="2"/>
    </font>
    <font>
      <sz val="10"/>
      <color theme="1"/>
      <name val="Symbol"/>
      <family val="1"/>
      <charset val="2"/>
    </font>
    <font>
      <vertAlign val="superscript"/>
      <sz val="10"/>
      <color theme="1"/>
      <name val=".VnArial"/>
      <family val="2"/>
    </font>
    <font>
      <vertAlign val="subscript"/>
      <sz val="9"/>
      <color theme="1"/>
      <name val=".VnArial"/>
      <family val="2"/>
    </font>
    <font>
      <vertAlign val="subscript"/>
      <sz val="10"/>
      <color theme="1"/>
      <name val="Symbol"/>
      <family val="1"/>
      <charset val="2"/>
    </font>
    <font>
      <sz val="11"/>
      <color theme="1"/>
      <name val="Symbol"/>
      <family val="1"/>
      <charset val="2"/>
    </font>
    <font>
      <sz val="10"/>
      <color theme="1"/>
      <name val=".VnCentury Schoolbook"/>
      <family val="2"/>
    </font>
    <font>
      <vertAlign val="subscript"/>
      <sz val="10"/>
      <color rgb="FF000000"/>
      <name val=".VnArial"/>
      <family val="2"/>
    </font>
    <font>
      <vertAlign val="subscript"/>
      <sz val="9"/>
      <color rgb="FFFF0000"/>
      <name val=".VnArial"/>
      <family val="2"/>
    </font>
    <font>
      <vertAlign val="subscript"/>
      <sz val="8"/>
      <color theme="1"/>
      <name val=".VnArial"/>
      <family val="2"/>
    </font>
    <font>
      <b/>
      <vertAlign val="subscript"/>
      <sz val="10"/>
      <color theme="1"/>
      <name val=".VnArial"/>
      <family val="2"/>
    </font>
    <font>
      <vertAlign val="superscript"/>
      <sz val="8"/>
      <color theme="1"/>
      <name val=".VnArial"/>
      <family val="2"/>
    </font>
    <font>
      <sz val="10"/>
      <color theme="1"/>
      <name val=".VnTime"/>
      <family val="2"/>
    </font>
    <font>
      <vertAlign val="subscript"/>
      <sz val="10"/>
      <color rgb="FFFF0000"/>
      <name val=".VnArial"/>
      <family val="2"/>
    </font>
    <font>
      <sz val="8"/>
      <color rgb="FFFF0000"/>
      <name val=".VnArial"/>
      <family val="2"/>
    </font>
    <font>
      <sz val="10"/>
      <color rgb="FFFF0000"/>
      <name val="Symbol"/>
      <family val="1"/>
      <charset val="2"/>
    </font>
    <font>
      <sz val="10"/>
      <color rgb="FF000000"/>
      <name val=".Vn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E598"/>
        <bgColor rgb="FFFFE598"/>
      </patternFill>
    </fill>
    <fill>
      <patternFill patternType="solid">
        <fgColor rgb="FFFFCC99"/>
        <bgColor rgb="FFFFCC99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CCFFFF"/>
        <bgColor rgb="FFCCFFFF"/>
      </patternFill>
    </fill>
    <fill>
      <patternFill patternType="solid">
        <fgColor indexed="55"/>
        <bgColor indexed="64"/>
      </patternFill>
    </fill>
  </fills>
  <borders count="69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/>
      <bottom/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8">
    <xf numFmtId="0" fontId="0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" fillId="2" borderId="5" xfId="0" applyFont="1" applyFill="1" applyBorder="1" applyAlignment="1">
      <alignment vertical="center"/>
    </xf>
    <xf numFmtId="0" fontId="5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4" fontId="9" fillId="0" borderId="0" xfId="0" applyNumberFormat="1" applyFont="1" applyAlignment="1">
      <alignment vertical="center"/>
    </xf>
    <xf numFmtId="2" fontId="10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2" fillId="0" borderId="0" xfId="0" applyNumberFormat="1" applyFont="1" applyAlignment="1"/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" fillId="0" borderId="0" xfId="0" applyFont="1" applyAlignment="1"/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/>
    <xf numFmtId="0" fontId="11" fillId="2" borderId="1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164" fontId="16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16" fillId="2" borderId="5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 textRotation="90" wrapText="1"/>
    </xf>
    <xf numFmtId="164" fontId="1" fillId="0" borderId="0" xfId="0" applyNumberFormat="1" applyFont="1" applyAlignment="1">
      <alignment vertical="center"/>
    </xf>
    <xf numFmtId="164" fontId="16" fillId="2" borderId="5" xfId="0" applyNumberFormat="1" applyFont="1" applyFill="1" applyBorder="1" applyAlignment="1">
      <alignment horizontal="right" vertical="center"/>
    </xf>
    <xf numFmtId="164" fontId="1" fillId="0" borderId="8" xfId="0" applyNumberFormat="1" applyFont="1" applyBorder="1" applyAlignment="1"/>
    <xf numFmtId="164" fontId="16" fillId="0" borderId="0" xfId="0" applyNumberFormat="1" applyFont="1" applyAlignment="1">
      <alignment horizontal="right"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9" fillId="0" borderId="0" xfId="0" applyFont="1" applyAlignment="1">
      <alignment horizontal="right" vertical="center"/>
    </xf>
    <xf numFmtId="2" fontId="16" fillId="0" borderId="0" xfId="0" applyNumberFormat="1" applyFont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164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right" vertical="center" textRotation="90" wrapText="1"/>
    </xf>
    <xf numFmtId="165" fontId="16" fillId="0" borderId="0" xfId="0" applyNumberFormat="1" applyFont="1" applyAlignment="1">
      <alignment horizontal="right" vertical="center"/>
    </xf>
    <xf numFmtId="165" fontId="16" fillId="2" borderId="5" xfId="0" applyNumberFormat="1" applyFont="1" applyFill="1" applyBorder="1" applyAlignment="1">
      <alignment vertical="center"/>
    </xf>
    <xf numFmtId="0" fontId="14" fillId="0" borderId="12" xfId="0" applyFont="1" applyBorder="1" applyAlignment="1">
      <alignment horizontal="center" vertical="center"/>
    </xf>
    <xf numFmtId="164" fontId="1" fillId="0" borderId="11" xfId="0" applyNumberFormat="1" applyFont="1" applyBorder="1" applyAlignment="1">
      <alignment horizontal="left" vertical="center"/>
    </xf>
    <xf numFmtId="0" fontId="1" fillId="0" borderId="0" xfId="0" applyFont="1" applyAlignment="1">
      <alignment horizontal="right" vertical="center" wrapText="1"/>
    </xf>
    <xf numFmtId="0" fontId="16" fillId="0" borderId="0" xfId="0" applyFont="1" applyAlignment="1">
      <alignment horizontal="right" vertical="center"/>
    </xf>
    <xf numFmtId="0" fontId="1" fillId="0" borderId="13" xfId="0" applyFont="1" applyBorder="1" applyAlignment="1">
      <alignment vertical="center"/>
    </xf>
    <xf numFmtId="0" fontId="14" fillId="0" borderId="14" xfId="0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 wrapText="1"/>
    </xf>
    <xf numFmtId="164" fontId="1" fillId="2" borderId="5" xfId="0" applyNumberFormat="1" applyFont="1" applyFill="1" applyBorder="1" applyAlignment="1">
      <alignment horizontal="right" vertical="center"/>
    </xf>
    <xf numFmtId="0" fontId="1" fillId="0" borderId="6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8" fillId="0" borderId="0" xfId="0" applyFont="1" applyAlignment="1">
      <alignment horizontal="right" vertical="center" textRotation="90" wrapText="1"/>
    </xf>
    <xf numFmtId="0" fontId="1" fillId="0" borderId="16" xfId="0" applyFont="1" applyBorder="1" applyAlignment="1">
      <alignment vertical="center"/>
    </xf>
    <xf numFmtId="0" fontId="1" fillId="0" borderId="8" xfId="0" applyFont="1" applyBorder="1" applyAlignment="1">
      <alignment horizontal="right" vertical="center"/>
    </xf>
    <xf numFmtId="0" fontId="18" fillId="0" borderId="0" xfId="0" applyFont="1" applyAlignment="1">
      <alignment horizontal="right" textRotation="90"/>
    </xf>
    <xf numFmtId="165" fontId="16" fillId="0" borderId="0" xfId="0" applyNumberFormat="1" applyFont="1" applyAlignment="1">
      <alignment vertical="center"/>
    </xf>
    <xf numFmtId="0" fontId="1" fillId="0" borderId="0" xfId="0" applyFont="1" applyAlignment="1">
      <alignment horizontal="right" vertical="center" textRotation="90"/>
    </xf>
    <xf numFmtId="0" fontId="16" fillId="0" borderId="0" xfId="0" applyFont="1" applyAlignment="1">
      <alignment horizontal="center" vertical="center"/>
    </xf>
    <xf numFmtId="0" fontId="1" fillId="0" borderId="11" xfId="0" applyFont="1" applyBorder="1" applyAlignment="1">
      <alignment horizontal="right" vertical="center" textRotation="90" wrapText="1"/>
    </xf>
    <xf numFmtId="0" fontId="21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right" vertical="center"/>
    </xf>
    <xf numFmtId="0" fontId="1" fillId="0" borderId="15" xfId="0" applyFont="1" applyBorder="1" applyAlignment="1">
      <alignment horizontal="right" vertical="center"/>
    </xf>
    <xf numFmtId="0" fontId="1" fillId="0" borderId="0" xfId="0" applyFont="1" applyAlignment="1">
      <alignment horizontal="center" vertical="center" textRotation="90"/>
    </xf>
    <xf numFmtId="0" fontId="1" fillId="0" borderId="9" xfId="0" applyFont="1" applyBorder="1" applyAlignment="1">
      <alignment horizontal="right" vertical="center"/>
    </xf>
    <xf numFmtId="164" fontId="14" fillId="0" borderId="0" xfId="0" applyNumberFormat="1" applyFont="1" applyAlignment="1">
      <alignment horizontal="left" vertical="center"/>
    </xf>
    <xf numFmtId="166" fontId="1" fillId="0" borderId="0" xfId="0" applyNumberFormat="1" applyFont="1" applyAlignment="1">
      <alignment horizontal="right" vertical="center"/>
    </xf>
    <xf numFmtId="0" fontId="0" fillId="4" borderId="1" xfId="0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7" fontId="1" fillId="0" borderId="0" xfId="0" applyNumberFormat="1" applyFont="1" applyAlignment="1">
      <alignment vertical="center"/>
    </xf>
    <xf numFmtId="0" fontId="1" fillId="0" borderId="17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64" fontId="16" fillId="0" borderId="7" xfId="0" applyNumberFormat="1" applyFont="1" applyBorder="1" applyAlignment="1">
      <alignment vertical="center"/>
    </xf>
    <xf numFmtId="164" fontId="16" fillId="0" borderId="7" xfId="0" applyNumberFormat="1" applyFont="1" applyBorder="1" applyAlignment="1">
      <alignment horizontal="right" vertical="center"/>
    </xf>
    <xf numFmtId="164" fontId="1" fillId="0" borderId="7" xfId="0" applyNumberFormat="1" applyFont="1" applyBorder="1" applyAlignment="1">
      <alignment vertical="center"/>
    </xf>
    <xf numFmtId="0" fontId="9" fillId="0" borderId="0" xfId="0" applyFont="1" applyAlignment="1">
      <alignment horizontal="right" vertical="center" textRotation="90" wrapText="1"/>
    </xf>
    <xf numFmtId="0" fontId="1" fillId="0" borderId="10" xfId="0" applyFont="1" applyBorder="1" applyAlignment="1">
      <alignment horizontal="center" vertical="center"/>
    </xf>
    <xf numFmtId="0" fontId="1" fillId="0" borderId="19" xfId="0" applyFont="1" applyBorder="1" applyAlignment="1">
      <alignment vertical="center"/>
    </xf>
    <xf numFmtId="0" fontId="1" fillId="0" borderId="19" xfId="0" applyFont="1" applyBorder="1" applyAlignment="1">
      <alignment horizontal="right"/>
    </xf>
    <xf numFmtId="164" fontId="1" fillId="0" borderId="19" xfId="0" applyNumberFormat="1" applyFont="1" applyBorder="1" applyAlignment="1">
      <alignment horizontal="right"/>
    </xf>
    <xf numFmtId="164" fontId="1" fillId="0" borderId="19" xfId="0" applyNumberFormat="1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1" fillId="0" borderId="18" xfId="0" applyFont="1" applyBorder="1" applyAlignment="1">
      <alignment vertical="center"/>
    </xf>
    <xf numFmtId="0" fontId="1" fillId="0" borderId="10" xfId="0" applyFont="1" applyBorder="1" applyAlignment="1">
      <alignment horizontal="right" vertical="center"/>
    </xf>
    <xf numFmtId="0" fontId="1" fillId="0" borderId="22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0" borderId="14" xfId="0" applyFont="1" applyBorder="1" applyAlignment="1">
      <alignment horizontal="right" vertical="center"/>
    </xf>
    <xf numFmtId="0" fontId="1" fillId="0" borderId="24" xfId="0" applyFont="1" applyBorder="1" applyAlignment="1">
      <alignment vertical="center"/>
    </xf>
    <xf numFmtId="0" fontId="23" fillId="0" borderId="8" xfId="0" applyFont="1" applyBorder="1" applyAlignment="1">
      <alignment vertical="center"/>
    </xf>
    <xf numFmtId="0" fontId="23" fillId="0" borderId="0" xfId="0" applyFont="1" applyAlignment="1">
      <alignment vertical="center"/>
    </xf>
    <xf numFmtId="164" fontId="16" fillId="0" borderId="29" xfId="0" applyNumberFormat="1" applyFont="1" applyBorder="1" applyAlignment="1">
      <alignment vertical="center"/>
    </xf>
    <xf numFmtId="164" fontId="16" fillId="0" borderId="29" xfId="0" applyNumberFormat="1" applyFont="1" applyBorder="1" applyAlignment="1">
      <alignment horizontal="right" vertical="center"/>
    </xf>
    <xf numFmtId="164" fontId="1" fillId="0" borderId="29" xfId="0" applyNumberFormat="1" applyFont="1" applyBorder="1" applyAlignment="1">
      <alignment vertical="center"/>
    </xf>
    <xf numFmtId="164" fontId="1" fillId="0" borderId="32" xfId="0" applyNumberFormat="1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32" xfId="0" applyFont="1" applyBorder="1" applyAlignment="1">
      <alignment horizontal="right" vertical="center"/>
    </xf>
    <xf numFmtId="164" fontId="1" fillId="0" borderId="32" xfId="0" applyNumberFormat="1" applyFont="1" applyBorder="1" applyAlignment="1">
      <alignment horizontal="right" vertical="center"/>
    </xf>
    <xf numFmtId="0" fontId="1" fillId="0" borderId="3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164" fontId="16" fillId="0" borderId="16" xfId="0" applyNumberFormat="1" applyFont="1" applyBorder="1" applyAlignment="1">
      <alignment vertical="center"/>
    </xf>
    <xf numFmtId="164" fontId="16" fillId="0" borderId="16" xfId="0" applyNumberFormat="1" applyFont="1" applyBorder="1" applyAlignment="1">
      <alignment horizontal="right" vertical="center"/>
    </xf>
    <xf numFmtId="164" fontId="1" fillId="0" borderId="14" xfId="0" applyNumberFormat="1" applyFont="1" applyBorder="1" applyAlignment="1">
      <alignment horizontal="right" vertical="center"/>
    </xf>
    <xf numFmtId="164" fontId="1" fillId="0" borderId="16" xfId="0" applyNumberFormat="1" applyFont="1" applyBorder="1" applyAlignment="1">
      <alignment vertical="center"/>
    </xf>
    <xf numFmtId="164" fontId="1" fillId="0" borderId="14" xfId="0" applyNumberFormat="1" applyFont="1" applyBorder="1" applyAlignment="1">
      <alignment vertical="center"/>
    </xf>
    <xf numFmtId="0" fontId="24" fillId="0" borderId="0" xfId="0" applyFont="1" applyAlignment="1">
      <alignment vertical="center"/>
    </xf>
    <xf numFmtId="0" fontId="1" fillId="0" borderId="13" xfId="0" applyFont="1" applyBorder="1" applyAlignment="1">
      <alignment horizontal="right" vertical="center"/>
    </xf>
    <xf numFmtId="164" fontId="1" fillId="0" borderId="8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vertical="center"/>
    </xf>
    <xf numFmtId="164" fontId="19" fillId="0" borderId="0" xfId="0" applyNumberFormat="1" applyFont="1" applyAlignment="1">
      <alignment horizontal="right" vertical="center"/>
    </xf>
    <xf numFmtId="0" fontId="1" fillId="0" borderId="9" xfId="0" applyFont="1" applyBorder="1" applyAlignment="1">
      <alignment horizontal="right" vertical="top"/>
    </xf>
    <xf numFmtId="0" fontId="1" fillId="0" borderId="0" xfId="0" applyFont="1" applyAlignment="1">
      <alignment horizontal="right" vertical="top"/>
    </xf>
    <xf numFmtId="164" fontId="1" fillId="0" borderId="0" xfId="0" applyNumberFormat="1" applyFont="1" applyAlignment="1">
      <alignment horizontal="center" vertical="top"/>
    </xf>
    <xf numFmtId="164" fontId="19" fillId="0" borderId="0" xfId="0" applyNumberFormat="1" applyFont="1" applyAlignment="1">
      <alignment horizontal="left" vertical="center"/>
    </xf>
    <xf numFmtId="0" fontId="1" fillId="0" borderId="35" xfId="0" applyFont="1" applyBorder="1" applyAlignment="1">
      <alignment vertical="center"/>
    </xf>
    <xf numFmtId="0" fontId="1" fillId="0" borderId="35" xfId="0" applyFont="1" applyBorder="1" applyAlignment="1">
      <alignment horizontal="right" vertical="top"/>
    </xf>
    <xf numFmtId="164" fontId="1" fillId="0" borderId="35" xfId="0" applyNumberFormat="1" applyFont="1" applyBorder="1" applyAlignment="1">
      <alignment horizontal="center" vertical="top"/>
    </xf>
    <xf numFmtId="164" fontId="1" fillId="0" borderId="35" xfId="0" applyNumberFormat="1" applyFont="1" applyBorder="1" applyAlignment="1">
      <alignment horizontal="left" vertical="center"/>
    </xf>
    <xf numFmtId="0" fontId="1" fillId="0" borderId="36" xfId="0" applyFont="1" applyBorder="1" applyAlignment="1">
      <alignment vertical="center"/>
    </xf>
    <xf numFmtId="164" fontId="2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2" borderId="5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164" fontId="23" fillId="0" borderId="0" xfId="0" applyNumberFormat="1" applyFont="1" applyAlignment="1">
      <alignment vertical="center"/>
    </xf>
    <xf numFmtId="164" fontId="1" fillId="0" borderId="6" xfId="0" applyNumberFormat="1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164" fontId="16" fillId="0" borderId="0" xfId="0" applyNumberFormat="1" applyFont="1" applyAlignment="1">
      <alignment horizontal="left" vertical="center"/>
    </xf>
    <xf numFmtId="164" fontId="16" fillId="2" borderId="5" xfId="0" applyNumberFormat="1" applyFont="1" applyFill="1" applyBorder="1" applyAlignment="1">
      <alignment horizontal="left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164" fontId="29" fillId="0" borderId="0" xfId="0" applyNumberFormat="1" applyFont="1" applyAlignment="1">
      <alignment vertical="center"/>
    </xf>
    <xf numFmtId="164" fontId="29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19" fillId="0" borderId="0" xfId="0" applyFont="1" applyAlignment="1">
      <alignment horizontal="right"/>
    </xf>
    <xf numFmtId="2" fontId="1" fillId="0" borderId="0" xfId="0" applyNumberFormat="1" applyFont="1" applyAlignment="1">
      <alignment horizontal="right" vertical="center"/>
    </xf>
    <xf numFmtId="165" fontId="1" fillId="0" borderId="0" xfId="0" applyNumberFormat="1" applyFont="1" applyAlignment="1">
      <alignment vertical="center"/>
    </xf>
    <xf numFmtId="0" fontId="1" fillId="2" borderId="37" xfId="0" applyFont="1" applyFill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30" fillId="0" borderId="13" xfId="0" applyFont="1" applyBorder="1" applyAlignment="1">
      <alignment horizontal="right" vertical="center"/>
    </xf>
    <xf numFmtId="2" fontId="16" fillId="0" borderId="15" xfId="0" applyNumberFormat="1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2" fontId="1" fillId="0" borderId="16" xfId="0" applyNumberFormat="1" applyFont="1" applyBorder="1" applyAlignment="1">
      <alignment horizontal="center" vertical="center"/>
    </xf>
    <xf numFmtId="1" fontId="16" fillId="0" borderId="8" xfId="0" applyNumberFormat="1" applyFont="1" applyBorder="1" applyAlignment="1">
      <alignment horizontal="center" vertical="center"/>
    </xf>
    <xf numFmtId="1" fontId="16" fillId="0" borderId="16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2" fontId="3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164" fontId="18" fillId="0" borderId="0" xfId="0" applyNumberFormat="1" applyFont="1" applyAlignment="1">
      <alignment horizontal="right" vertical="center"/>
    </xf>
    <xf numFmtId="164" fontId="1" fillId="0" borderId="7" xfId="0" applyNumberFormat="1" applyFont="1" applyBorder="1" applyAlignment="1">
      <alignment horizontal="center" vertical="center"/>
    </xf>
    <xf numFmtId="164" fontId="18" fillId="0" borderId="10" xfId="0" applyNumberFormat="1" applyFont="1" applyBorder="1" applyAlignment="1">
      <alignment horizontal="right" vertical="center"/>
    </xf>
    <xf numFmtId="164" fontId="1" fillId="0" borderId="7" xfId="0" applyNumberFormat="1" applyFont="1" applyBorder="1" applyAlignment="1">
      <alignment horizontal="right" vertical="center"/>
    </xf>
    <xf numFmtId="164" fontId="1" fillId="0" borderId="6" xfId="0" applyNumberFormat="1" applyFont="1" applyBorder="1" applyAlignment="1">
      <alignment horizontal="center" vertical="center"/>
    </xf>
    <xf numFmtId="164" fontId="16" fillId="0" borderId="7" xfId="0" applyNumberFormat="1" applyFont="1" applyBorder="1" applyAlignment="1">
      <alignment horizontal="center" vertical="center"/>
    </xf>
    <xf numFmtId="2" fontId="16" fillId="0" borderId="7" xfId="0" applyNumberFormat="1" applyFont="1" applyBorder="1" applyAlignment="1">
      <alignment horizontal="right" vertical="center"/>
    </xf>
    <xf numFmtId="164" fontId="1" fillId="0" borderId="10" xfId="0" applyNumberFormat="1" applyFont="1" applyBorder="1" applyAlignment="1">
      <alignment horizontal="right" vertical="center"/>
    </xf>
    <xf numFmtId="164" fontId="1" fillId="0" borderId="8" xfId="0" applyNumberFormat="1" applyFont="1" applyBorder="1" applyAlignment="1">
      <alignment horizontal="right" vertical="center"/>
    </xf>
    <xf numFmtId="164" fontId="1" fillId="0" borderId="13" xfId="0" applyNumberFormat="1" applyFont="1" applyBorder="1" applyAlignment="1">
      <alignment horizontal="right" vertical="center"/>
    </xf>
    <xf numFmtId="164" fontId="1" fillId="0" borderId="16" xfId="0" applyNumberFormat="1" applyFont="1" applyBorder="1" applyAlignment="1">
      <alignment horizontal="right" vertical="center"/>
    </xf>
    <xf numFmtId="0" fontId="1" fillId="0" borderId="38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164" fontId="18" fillId="0" borderId="10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right" vertical="center"/>
    </xf>
    <xf numFmtId="166" fontId="1" fillId="0" borderId="6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64" fontId="1" fillId="0" borderId="13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168" fontId="16" fillId="0" borderId="0" xfId="0" applyNumberFormat="1" applyFont="1" applyAlignment="1">
      <alignment horizontal="center" vertical="center"/>
    </xf>
    <xf numFmtId="164" fontId="8" fillId="0" borderId="14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1" fillId="0" borderId="33" xfId="0" applyFont="1" applyBorder="1" applyAlignment="1">
      <alignment vertical="center"/>
    </xf>
    <xf numFmtId="0" fontId="1" fillId="0" borderId="38" xfId="0" applyFont="1" applyBorder="1" applyAlignment="1">
      <alignment horizontal="right" vertical="center"/>
    </xf>
    <xf numFmtId="0" fontId="1" fillId="0" borderId="8" xfId="0" applyFont="1" applyBorder="1" applyAlignment="1">
      <alignment horizontal="left" vertical="center"/>
    </xf>
    <xf numFmtId="0" fontId="1" fillId="0" borderId="41" xfId="0" applyFont="1" applyBorder="1" applyAlignment="1">
      <alignment horizontal="center" vertical="center"/>
    </xf>
    <xf numFmtId="0" fontId="1" fillId="5" borderId="42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165" fontId="1" fillId="6" borderId="46" xfId="0" applyNumberFormat="1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165" fontId="1" fillId="0" borderId="51" xfId="0" applyNumberFormat="1" applyFont="1" applyBorder="1" applyAlignment="1">
      <alignment horizontal="center" vertical="center"/>
    </xf>
    <xf numFmtId="165" fontId="1" fillId="6" borderId="52" xfId="0" applyNumberFormat="1" applyFont="1" applyFill="1" applyBorder="1" applyAlignment="1">
      <alignment horizontal="center" vertical="center"/>
    </xf>
    <xf numFmtId="0" fontId="1" fillId="7" borderId="37" xfId="0" applyFont="1" applyFill="1" applyBorder="1" applyAlignment="1">
      <alignment horizontal="center" vertical="center"/>
    </xf>
    <xf numFmtId="164" fontId="1" fillId="0" borderId="53" xfId="0" applyNumberFormat="1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" fillId="0" borderId="55" xfId="0" applyFont="1" applyBorder="1" applyAlignment="1">
      <alignment vertical="center"/>
    </xf>
    <xf numFmtId="0" fontId="1" fillId="4" borderId="56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" fillId="0" borderId="57" xfId="0" applyFont="1" applyBorder="1" applyAlignment="1">
      <alignment horizontal="center" vertical="center"/>
    </xf>
    <xf numFmtId="0" fontId="1" fillId="4" borderId="60" xfId="0" applyFont="1" applyFill="1" applyBorder="1" applyAlignment="1">
      <alignment vertical="center"/>
    </xf>
    <xf numFmtId="0" fontId="16" fillId="0" borderId="14" xfId="0" applyFont="1" applyBorder="1" applyAlignment="1">
      <alignment vertical="center"/>
    </xf>
    <xf numFmtId="165" fontId="1" fillId="6" borderId="61" xfId="0" applyNumberFormat="1" applyFont="1" applyFill="1" applyBorder="1" applyAlignment="1">
      <alignment horizontal="center" vertical="center"/>
    </xf>
    <xf numFmtId="0" fontId="1" fillId="6" borderId="60" xfId="0" applyFont="1" applyFill="1" applyBorder="1" applyAlignment="1">
      <alignment horizontal="center" vertical="center"/>
    </xf>
    <xf numFmtId="0" fontId="1" fillId="6" borderId="6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33" fillId="0" borderId="0" xfId="0" applyFont="1" applyAlignment="1">
      <alignment vertical="center"/>
    </xf>
    <xf numFmtId="0" fontId="1" fillId="5" borderId="60" xfId="0" applyFont="1" applyFill="1" applyBorder="1" applyAlignment="1">
      <alignment horizontal="center" vertical="center"/>
    </xf>
    <xf numFmtId="0" fontId="1" fillId="5" borderId="65" xfId="0" applyFont="1" applyFill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27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1" fillId="0" borderId="29" xfId="0" applyFont="1" applyBorder="1" applyAlignment="1">
      <alignment horizontal="center" vertical="center"/>
    </xf>
    <xf numFmtId="0" fontId="1" fillId="0" borderId="27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27" xfId="0" applyFont="1" applyBorder="1" applyAlignment="1">
      <alignment horizontal="right" vertical="center"/>
    </xf>
    <xf numFmtId="0" fontId="1" fillId="0" borderId="35" xfId="0" applyFont="1" applyBorder="1" applyAlignment="1">
      <alignment horizontal="left" vertical="center"/>
    </xf>
    <xf numFmtId="0" fontId="1" fillId="0" borderId="28" xfId="0" applyFont="1" applyBorder="1" applyAlignment="1">
      <alignment horizontal="left" vertical="center"/>
    </xf>
    <xf numFmtId="0" fontId="1" fillId="0" borderId="28" xfId="0" applyFont="1" applyBorder="1" applyAlignment="1">
      <alignment horizontal="center" vertical="center"/>
    </xf>
    <xf numFmtId="0" fontId="1" fillId="0" borderId="15" xfId="0" applyFont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6" fillId="3" borderId="2" xfId="0" applyFont="1" applyFill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164" fontId="1" fillId="0" borderId="0" xfId="0" applyNumberFormat="1" applyFont="1" applyAlignment="1">
      <alignment textRotation="90"/>
    </xf>
    <xf numFmtId="0" fontId="1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1" fillId="0" borderId="0" xfId="0" applyFont="1" applyAlignment="1">
      <alignment vertical="center" textRotation="90"/>
    </xf>
    <xf numFmtId="0" fontId="1" fillId="0" borderId="0" xfId="0" applyFont="1" applyAlignment="1">
      <alignment horizontal="right" textRotation="90"/>
    </xf>
    <xf numFmtId="164" fontId="1" fillId="0" borderId="11" xfId="0" applyNumberFormat="1" applyFont="1" applyBorder="1" applyAlignment="1">
      <alignment horizontal="center" textRotation="90"/>
    </xf>
    <xf numFmtId="0" fontId="1" fillId="0" borderId="0" xfId="0" applyFont="1" applyAlignment="1">
      <alignment horizontal="right" vertical="center" textRotation="90"/>
    </xf>
    <xf numFmtId="164" fontId="1" fillId="0" borderId="21" xfId="0" applyNumberFormat="1" applyFont="1" applyBorder="1" applyAlignment="1">
      <alignment horizontal="left" vertical="top" textRotation="90"/>
    </xf>
    <xf numFmtId="0" fontId="4" fillId="0" borderId="22" xfId="0" applyFont="1" applyBorder="1" applyAlignment="1">
      <alignment vertical="center"/>
    </xf>
    <xf numFmtId="0" fontId="1" fillId="0" borderId="30" xfId="0" applyFont="1" applyBorder="1" applyAlignment="1">
      <alignment horizontal="right" vertical="center"/>
    </xf>
    <xf numFmtId="0" fontId="4" fillId="0" borderId="31" xfId="0" applyFont="1" applyBorder="1" applyAlignment="1">
      <alignment vertical="center"/>
    </xf>
    <xf numFmtId="0" fontId="1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0" fontId="18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vertical="center"/>
    </xf>
    <xf numFmtId="164" fontId="1" fillId="0" borderId="21" xfId="0" applyNumberFormat="1" applyFont="1" applyBorder="1" applyAlignment="1">
      <alignment horizontal="left" textRotation="90"/>
    </xf>
    <xf numFmtId="0" fontId="4" fillId="0" borderId="21" xfId="0" applyFont="1" applyBorder="1" applyAlignment="1">
      <alignment vertical="center"/>
    </xf>
    <xf numFmtId="164" fontId="1" fillId="0" borderId="0" xfId="0" applyNumberFormat="1" applyFont="1" applyAlignment="1">
      <alignment vertical="center" textRotation="90"/>
    </xf>
    <xf numFmtId="0" fontId="1" fillId="0" borderId="10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64" fontId="1" fillId="2" borderId="23" xfId="0" applyNumberFormat="1" applyFont="1" applyFill="1" applyBorder="1" applyAlignment="1">
      <alignment horizontal="right" textRotation="90"/>
    </xf>
    <xf numFmtId="0" fontId="4" fillId="0" borderId="25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164" fontId="1" fillId="0" borderId="11" xfId="0" applyNumberFormat="1" applyFont="1" applyBorder="1" applyAlignment="1">
      <alignment textRotation="90"/>
    </xf>
    <xf numFmtId="0" fontId="1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vertical="center"/>
    </xf>
    <xf numFmtId="0" fontId="1" fillId="2" borderId="23" xfId="0" applyFont="1" applyFill="1" applyBorder="1" applyAlignment="1">
      <alignment horizontal="right" vertical="top" textRotation="90"/>
    </xf>
    <xf numFmtId="0" fontId="1" fillId="0" borderId="11" xfId="0" applyFont="1" applyBorder="1" applyAlignment="1">
      <alignment vertical="top" textRotation="90"/>
    </xf>
    <xf numFmtId="0" fontId="1" fillId="0" borderId="38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38" xfId="0" applyFont="1" applyBorder="1" applyAlignment="1">
      <alignment vertical="center"/>
    </xf>
    <xf numFmtId="164" fontId="16" fillId="0" borderId="0" xfId="0" applyNumberFormat="1" applyFont="1" applyAlignment="1">
      <alignment horizontal="right" vertical="center"/>
    </xf>
    <xf numFmtId="0" fontId="9" fillId="0" borderId="13" xfId="0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164" fontId="16" fillId="0" borderId="13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1" fillId="5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vertical="center"/>
    </xf>
    <xf numFmtId="0" fontId="1" fillId="0" borderId="17" xfId="0" applyFont="1" applyBorder="1" applyAlignment="1">
      <alignment horizontal="left" vertical="center" wrapText="1"/>
    </xf>
    <xf numFmtId="0" fontId="4" fillId="0" borderId="27" xfId="0" applyFont="1" applyBorder="1" applyAlignment="1">
      <alignment vertical="center"/>
    </xf>
    <xf numFmtId="0" fontId="4" fillId="0" borderId="35" xfId="0" applyFont="1" applyBorder="1" applyAlignment="1">
      <alignment vertical="center"/>
    </xf>
    <xf numFmtId="0" fontId="1" fillId="0" borderId="18" xfId="0" applyFont="1" applyBorder="1" applyAlignment="1">
      <alignment horizontal="center" vertical="center"/>
    </xf>
    <xf numFmtId="0" fontId="1" fillId="0" borderId="66" xfId="0" applyFont="1" applyBorder="1" applyAlignment="1">
      <alignment horizontal="left" vertical="center" wrapText="1"/>
    </xf>
    <xf numFmtId="0" fontId="4" fillId="0" borderId="19" xfId="0" applyFont="1" applyBorder="1" applyAlignment="1">
      <alignment vertical="center"/>
    </xf>
    <xf numFmtId="0" fontId="4" fillId="0" borderId="67" xfId="0" applyFont="1" applyBorder="1" applyAlignment="1">
      <alignment vertical="center"/>
    </xf>
    <xf numFmtId="0" fontId="1" fillId="0" borderId="0" xfId="0" applyFont="1" applyAlignment="1">
      <alignment horizontal="left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1" fillId="5" borderId="39" xfId="0" applyFont="1" applyFill="1" applyBorder="1" applyAlignment="1">
      <alignment horizontal="center" vertical="center" wrapText="1"/>
    </xf>
    <xf numFmtId="0" fontId="4" fillId="0" borderId="40" xfId="0" applyFont="1" applyBorder="1" applyAlignment="1">
      <alignment vertical="center"/>
    </xf>
    <xf numFmtId="0" fontId="1" fillId="5" borderId="6" xfId="0" applyFont="1" applyFill="1" applyBorder="1" applyAlignment="1">
      <alignment horizontal="center" vertical="center"/>
    </xf>
    <xf numFmtId="0" fontId="4" fillId="0" borderId="16" xfId="0" applyFont="1" applyBorder="1" applyAlignment="1">
      <alignment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vertical="center"/>
    </xf>
    <xf numFmtId="164" fontId="1" fillId="0" borderId="49" xfId="0" applyNumberFormat="1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164" fontId="1" fillId="0" borderId="10" xfId="0" applyNumberFormat="1" applyFont="1" applyBorder="1" applyAlignment="1">
      <alignment vertical="center"/>
    </xf>
    <xf numFmtId="164" fontId="1" fillId="0" borderId="54" xfId="0" applyNumberFormat="1" applyFont="1" applyBorder="1" applyAlignment="1">
      <alignment vertical="center"/>
    </xf>
    <xf numFmtId="0" fontId="4" fillId="0" borderId="55" xfId="0" applyFont="1" applyBorder="1" applyAlignment="1">
      <alignment vertical="center"/>
    </xf>
    <xf numFmtId="164" fontId="1" fillId="0" borderId="58" xfId="0" applyNumberFormat="1" applyFont="1" applyBorder="1" applyAlignment="1">
      <alignment vertical="center"/>
    </xf>
    <xf numFmtId="0" fontId="4" fillId="0" borderId="59" xfId="0" applyFont="1" applyBorder="1" applyAlignment="1">
      <alignment vertical="center"/>
    </xf>
    <xf numFmtId="0" fontId="1" fillId="5" borderId="6" xfId="0" applyFont="1" applyFill="1" applyBorder="1" applyAlignment="1">
      <alignment horizontal="center" vertical="center" wrapText="1"/>
    </xf>
    <xf numFmtId="0" fontId="54" fillId="8" borderId="6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W134"/>
  <sheetViews>
    <sheetView topLeftCell="A7" workbookViewId="0">
      <selection activeCell="J31" sqref="J31"/>
    </sheetView>
  </sheetViews>
  <sheetFormatPr defaultColWidth="14.36328125" defaultRowHeight="15" customHeight="1"/>
  <cols>
    <col min="1" max="1" width="2.54296875" customWidth="1"/>
    <col min="2" max="2" width="8.7265625" customWidth="1"/>
    <col min="3" max="3" width="7.54296875" customWidth="1"/>
    <col min="4" max="4" width="3.36328125" customWidth="1"/>
    <col min="5" max="5" width="9.7265625" customWidth="1"/>
    <col min="6" max="6" width="8.81640625" customWidth="1"/>
    <col min="7" max="7" width="10" customWidth="1"/>
    <col min="8" max="8" width="9" customWidth="1"/>
    <col min="9" max="9" width="8.26953125" customWidth="1"/>
    <col min="10" max="10" width="9" customWidth="1"/>
    <col min="11" max="11" width="10.08984375" customWidth="1"/>
    <col min="12" max="12" width="6.26953125" bestFit="1" customWidth="1"/>
    <col min="13" max="13" width="3.08984375" customWidth="1"/>
    <col min="14" max="14" width="6.7265625" customWidth="1"/>
    <col min="15" max="15" width="7.36328125" customWidth="1"/>
    <col min="16" max="16" width="3.7265625" customWidth="1"/>
    <col min="17" max="19" width="8.08984375" customWidth="1"/>
    <col min="20" max="20" width="3.7265625" customWidth="1"/>
    <col min="21" max="21" width="7.36328125" customWidth="1"/>
    <col min="22" max="24" width="3.7265625" customWidth="1"/>
    <col min="25" max="25" width="1.7265625" customWidth="1"/>
    <col min="26" max="26" width="3.81640625" customWidth="1"/>
    <col min="27" max="27" width="4.26953125" customWidth="1"/>
    <col min="28" max="28" width="6.36328125" customWidth="1"/>
    <col min="29" max="29" width="3.26953125" customWidth="1"/>
    <col min="30" max="30" width="4" customWidth="1"/>
    <col min="31" max="31" width="4.7265625" customWidth="1"/>
    <col min="32" max="32" width="3.7265625" customWidth="1"/>
    <col min="33" max="35" width="8.08984375" customWidth="1"/>
    <col min="36" max="36" width="3.7265625" customWidth="1"/>
    <col min="37" max="37" width="7.36328125" customWidth="1"/>
    <col min="38" max="40" width="3.7265625" customWidth="1"/>
    <col min="41" max="41" width="1.7265625" customWidth="1"/>
    <col min="42" max="42" width="3.81640625" customWidth="1"/>
    <col min="43" max="43" width="4.26953125" customWidth="1"/>
    <col min="44" max="44" width="6.36328125" customWidth="1"/>
    <col min="45" max="45" width="3.26953125" customWidth="1"/>
    <col min="46" max="46" width="6.26953125" customWidth="1"/>
    <col min="47" max="47" width="6.36328125" customWidth="1"/>
    <col min="48" max="243" width="8.08984375" customWidth="1"/>
    <col min="244" max="244" width="7.7265625" customWidth="1"/>
    <col min="245" max="245" width="3" hidden="1" customWidth="1"/>
    <col min="246" max="253" width="8.08984375" hidden="1" customWidth="1"/>
    <col min="254" max="254" width="31.08984375" hidden="1" customWidth="1"/>
    <col min="255" max="255" width="8.08984375" hidden="1" customWidth="1"/>
    <col min="256" max="256" width="8.08984375" customWidth="1"/>
    <col min="257" max="257" width="17.08984375" customWidth="1"/>
  </cols>
  <sheetData>
    <row r="1" spans="1:257" ht="23.25" customHeight="1">
      <c r="A1" s="1"/>
      <c r="B1" s="2" t="s">
        <v>0</v>
      </c>
      <c r="C1" s="3"/>
      <c r="D1" s="259" t="s">
        <v>1</v>
      </c>
      <c r="E1" s="260"/>
      <c r="F1" s="260"/>
      <c r="G1" s="260"/>
      <c r="H1" s="261"/>
      <c r="I1" s="4"/>
      <c r="J1" s="4"/>
      <c r="K1" s="5" t="s">
        <v>2</v>
      </c>
      <c r="L1" s="4"/>
      <c r="M1" s="6"/>
      <c r="N1" s="4"/>
      <c r="O1" s="4"/>
      <c r="P1" s="4"/>
      <c r="Q1" s="262" t="str">
        <f>D1</f>
        <v>kiÓm tra mãng cäc BTCT</v>
      </c>
      <c r="R1" s="260"/>
      <c r="S1" s="260"/>
      <c r="T1" s="260"/>
      <c r="U1" s="261"/>
      <c r="V1" s="4"/>
      <c r="W1" s="4"/>
      <c r="X1" s="4"/>
      <c r="Y1" s="4"/>
      <c r="Z1" s="4"/>
      <c r="AA1" s="4"/>
      <c r="AB1" s="7" t="str">
        <f>K1</f>
        <v>CoIns-404-9(C) - PILE99</v>
      </c>
      <c r="AC1" s="6"/>
      <c r="AD1" s="8" t="s">
        <v>3</v>
      </c>
      <c r="AE1" s="4"/>
      <c r="AF1" s="9" t="s">
        <v>4</v>
      </c>
      <c r="AG1" s="10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263" t="s">
        <v>5</v>
      </c>
      <c r="IM1" s="264"/>
      <c r="IN1" s="264"/>
      <c r="IO1" s="264"/>
      <c r="IP1" s="264"/>
      <c r="IQ1" s="264"/>
      <c r="IR1" s="264"/>
      <c r="IS1" s="264"/>
      <c r="IT1" s="264"/>
      <c r="IU1" s="11"/>
      <c r="IV1" s="11"/>
      <c r="IW1" s="11"/>
    </row>
    <row r="2" spans="1:257" ht="15.5">
      <c r="A2" s="1"/>
      <c r="B2" s="4"/>
      <c r="C2" s="3"/>
      <c r="D2" s="4"/>
      <c r="E2" s="4" t="s">
        <v>6</v>
      </c>
      <c r="F2" s="12" t="s">
        <v>7</v>
      </c>
      <c r="G2" s="4"/>
      <c r="H2" s="4"/>
      <c r="I2" s="4"/>
      <c r="J2" s="4"/>
      <c r="K2" s="4"/>
      <c r="L2" s="4"/>
      <c r="M2" s="6"/>
      <c r="N2" s="13">
        <f>K9</f>
        <v>0</v>
      </c>
      <c r="O2" s="4" t="s">
        <v>8</v>
      </c>
      <c r="P2" s="4"/>
      <c r="Q2" s="14"/>
      <c r="R2" s="3" t="s">
        <v>6</v>
      </c>
      <c r="S2" s="4" t="str">
        <f t="shared" ref="S2:S5" si="0">F2</f>
        <v>Mãng cäc §C-4, HK K13</v>
      </c>
      <c r="T2" s="4"/>
      <c r="U2" s="4"/>
      <c r="V2" s="4"/>
      <c r="W2" s="4"/>
      <c r="X2" s="4"/>
      <c r="Y2" s="4"/>
      <c r="Z2" s="4"/>
      <c r="AA2" s="7"/>
      <c r="AB2" s="4"/>
      <c r="AC2" s="6"/>
      <c r="AD2" s="4"/>
      <c r="AE2" s="4"/>
      <c r="AF2" s="4" t="s">
        <v>9</v>
      </c>
      <c r="AG2" s="15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265" t="s">
        <v>10</v>
      </c>
      <c r="IM2" s="264"/>
      <c r="IN2" s="264"/>
      <c r="IO2" s="264"/>
      <c r="IP2" s="264"/>
      <c r="IQ2" s="264"/>
      <c r="IR2" s="264"/>
      <c r="IS2" s="264"/>
      <c r="IT2" s="264"/>
      <c r="IU2" s="4"/>
      <c r="IV2" s="4"/>
      <c r="IW2" s="4"/>
    </row>
    <row r="3" spans="1:257" ht="12.5">
      <c r="A3" s="1"/>
      <c r="B3" s="4"/>
      <c r="C3" s="3"/>
      <c r="D3" s="4"/>
      <c r="E3" s="4" t="s">
        <v>11</v>
      </c>
      <c r="F3" s="16" t="s">
        <v>12</v>
      </c>
      <c r="G3" s="4"/>
      <c r="H3" s="4"/>
      <c r="I3" s="4"/>
      <c r="J3" s="4"/>
      <c r="K3" s="4"/>
      <c r="L3" s="4"/>
      <c r="M3" s="6"/>
      <c r="N3" s="17"/>
      <c r="O3" s="4"/>
      <c r="P3" s="18"/>
      <c r="Q3" s="4"/>
      <c r="R3" s="3" t="s">
        <v>11</v>
      </c>
      <c r="S3" s="4" t="str">
        <f t="shared" si="0"/>
        <v>Nhµ ký tóc x¸ K1</v>
      </c>
      <c r="T3" s="4"/>
      <c r="U3" s="4"/>
      <c r="V3" s="4"/>
      <c r="W3" s="4"/>
      <c r="X3" s="4"/>
      <c r="Y3" s="4"/>
      <c r="Z3" s="4"/>
      <c r="AA3" s="4"/>
      <c r="AB3" s="4"/>
      <c r="AC3" s="6"/>
      <c r="AD3" s="4"/>
      <c r="AE3" s="4"/>
      <c r="AF3" s="4" t="s">
        <v>13</v>
      </c>
      <c r="AG3" s="15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</row>
    <row r="4" spans="1:257" ht="15.5">
      <c r="A4" s="1"/>
      <c r="B4" s="4"/>
      <c r="C4" s="3"/>
      <c r="D4" s="4"/>
      <c r="E4" s="4" t="s">
        <v>14</v>
      </c>
      <c r="F4" s="16" t="s">
        <v>15</v>
      </c>
      <c r="G4" s="4"/>
      <c r="H4" s="4"/>
      <c r="I4" s="4"/>
      <c r="J4" s="4"/>
      <c r="K4" s="4"/>
      <c r="L4" s="4"/>
      <c r="M4" s="6"/>
      <c r="N4" s="13">
        <f>K10</f>
        <v>0.75</v>
      </c>
      <c r="O4" s="4" t="s">
        <v>16</v>
      </c>
      <c r="P4" s="19"/>
      <c r="Q4" s="4"/>
      <c r="R4" s="3" t="s">
        <v>14</v>
      </c>
      <c r="S4" s="4" t="str">
        <f t="shared" si="0"/>
        <v>TTr­êng qu¶n lý kinh tÕ c«ng nghiÖp</v>
      </c>
      <c r="T4" s="4"/>
      <c r="U4" s="4"/>
      <c r="V4" s="4"/>
      <c r="W4" s="4"/>
      <c r="X4" s="4"/>
      <c r="Y4" s="4"/>
      <c r="Z4" s="4"/>
      <c r="AA4" s="4"/>
      <c r="AB4" s="4"/>
      <c r="AC4" s="6"/>
      <c r="AD4" s="4"/>
      <c r="AE4" s="4"/>
      <c r="AF4" s="4" t="s">
        <v>17</v>
      </c>
      <c r="AG4" s="15"/>
      <c r="AH4" s="15"/>
      <c r="AI4" s="15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</row>
    <row r="5" spans="1:257" ht="15.5">
      <c r="A5" s="1"/>
      <c r="B5" s="4"/>
      <c r="C5" s="3"/>
      <c r="D5" s="4"/>
      <c r="E5" s="4" t="s">
        <v>18</v>
      </c>
      <c r="F5" s="16" t="s">
        <v>19</v>
      </c>
      <c r="G5" s="4"/>
      <c r="H5" s="4"/>
      <c r="I5" s="4"/>
      <c r="J5" s="4"/>
      <c r="K5" s="4"/>
      <c r="L5" s="4"/>
      <c r="M5" s="6"/>
      <c r="N5" s="17"/>
      <c r="O5" s="4"/>
      <c r="P5" s="19"/>
      <c r="Q5" s="4"/>
      <c r="R5" s="3" t="s">
        <v>18</v>
      </c>
      <c r="S5" s="4" t="str">
        <f t="shared" si="0"/>
        <v>Giai Ph¹m - Yªn Mü - H­ng Yªn</v>
      </c>
      <c r="T5" s="4"/>
      <c r="U5" s="4"/>
      <c r="V5" s="4"/>
      <c r="W5" s="4"/>
      <c r="X5" s="4"/>
      <c r="Y5" s="4"/>
      <c r="Z5" s="4"/>
      <c r="AA5" s="4"/>
      <c r="AB5" s="4"/>
      <c r="AC5" s="6"/>
      <c r="AD5" s="4"/>
      <c r="AE5" s="4"/>
      <c r="AF5" s="4" t="s">
        <v>20</v>
      </c>
      <c r="AG5" s="15"/>
      <c r="AH5" s="15"/>
      <c r="AI5" s="15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</row>
    <row r="6" spans="1:257" ht="15.5">
      <c r="A6" s="1"/>
      <c r="B6" s="4"/>
      <c r="C6" s="3"/>
      <c r="D6" s="4"/>
      <c r="E6" s="4"/>
      <c r="F6" s="4"/>
      <c r="G6" s="4"/>
      <c r="H6" s="4"/>
      <c r="I6" s="4"/>
      <c r="J6" s="4"/>
      <c r="K6" s="4"/>
      <c r="L6" s="4"/>
      <c r="M6" s="6"/>
      <c r="N6" s="13">
        <f>K11</f>
        <v>0.45</v>
      </c>
      <c r="O6" s="4" t="s">
        <v>21</v>
      </c>
      <c r="P6" s="19"/>
      <c r="Q6" s="20" t="s">
        <v>22</v>
      </c>
      <c r="R6" s="21"/>
      <c r="S6" s="20"/>
      <c r="T6" s="20"/>
      <c r="U6" s="20"/>
      <c r="V6" s="4"/>
      <c r="W6" s="4"/>
      <c r="X6" s="4"/>
      <c r="Y6" s="4"/>
      <c r="Z6" s="4"/>
      <c r="AA6" s="20"/>
      <c r="AB6" s="4"/>
      <c r="AC6" s="6"/>
      <c r="AD6" s="4"/>
      <c r="AE6" s="4"/>
      <c r="AF6" s="4" t="s">
        <v>23</v>
      </c>
      <c r="AG6" s="15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</row>
    <row r="7" spans="1:257" ht="15.5">
      <c r="A7" s="22" t="s">
        <v>24</v>
      </c>
      <c r="B7" s="23" t="s">
        <v>25</v>
      </c>
      <c r="C7" s="3"/>
      <c r="D7" s="4"/>
      <c r="E7" s="4"/>
      <c r="F7" s="4"/>
      <c r="G7" s="4"/>
      <c r="H7" s="4"/>
      <c r="I7" s="4"/>
      <c r="J7" s="4"/>
      <c r="K7" s="4"/>
      <c r="L7" s="4"/>
      <c r="M7" s="6"/>
      <c r="N7" s="17"/>
      <c r="O7" s="4"/>
      <c r="P7" s="24" t="s">
        <v>26</v>
      </c>
      <c r="Q7" s="4"/>
      <c r="R7" s="4"/>
      <c r="S7" s="4"/>
      <c r="T7" s="4"/>
      <c r="U7" s="25"/>
      <c r="V7" s="25"/>
      <c r="W7" s="25"/>
      <c r="X7" s="25"/>
      <c r="Y7" s="4"/>
      <c r="Z7" s="25"/>
      <c r="AA7" s="25"/>
      <c r="AB7" s="4"/>
      <c r="AC7" s="6"/>
      <c r="AD7" s="4"/>
      <c r="AE7" s="4"/>
      <c r="AF7" s="4" t="s">
        <v>27</v>
      </c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</row>
    <row r="8" spans="1:257" ht="12.5">
      <c r="A8" s="1"/>
      <c r="B8" s="4" t="s">
        <v>28</v>
      </c>
      <c r="C8" s="3" t="s">
        <v>26</v>
      </c>
      <c r="D8" s="26" t="s">
        <v>29</v>
      </c>
      <c r="E8" s="27">
        <v>164.136</v>
      </c>
      <c r="F8" s="4"/>
      <c r="G8" s="3" t="s">
        <v>30</v>
      </c>
      <c r="H8" s="28">
        <v>2</v>
      </c>
      <c r="I8" s="29" t="s">
        <v>31</v>
      </c>
      <c r="J8" s="4"/>
      <c r="K8" s="4"/>
      <c r="L8" s="4"/>
      <c r="M8" s="30"/>
      <c r="N8" s="17"/>
      <c r="O8" s="4"/>
      <c r="P8" s="19"/>
      <c r="Q8" s="4"/>
      <c r="R8" s="4"/>
      <c r="S8" s="31"/>
      <c r="T8" s="4"/>
      <c r="U8" s="4"/>
      <c r="V8" s="4"/>
      <c r="W8" s="4"/>
      <c r="X8" s="4"/>
      <c r="Y8" s="4"/>
      <c r="Z8" s="266">
        <f>K21</f>
        <v>1.1500000000000001</v>
      </c>
      <c r="AA8" s="4"/>
      <c r="AB8" s="4"/>
      <c r="AC8" s="6"/>
      <c r="AD8" s="4"/>
      <c r="AE8" s="4"/>
      <c r="AF8" s="4" t="s">
        <v>32</v>
      </c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</row>
    <row r="9" spans="1:257" ht="15.5">
      <c r="A9" s="1"/>
      <c r="B9" s="4"/>
      <c r="C9" s="3" t="s">
        <v>33</v>
      </c>
      <c r="D9" s="26" t="s">
        <v>29</v>
      </c>
      <c r="E9" s="27">
        <v>10.039999999999999</v>
      </c>
      <c r="F9" s="4" t="s">
        <v>34</v>
      </c>
      <c r="G9" s="3" t="s">
        <v>35</v>
      </c>
      <c r="H9" s="28">
        <v>1.25</v>
      </c>
      <c r="I9" s="4" t="s">
        <v>36</v>
      </c>
      <c r="J9" s="3" t="s">
        <v>37</v>
      </c>
      <c r="K9" s="32">
        <v>0</v>
      </c>
      <c r="L9" s="4" t="s">
        <v>36</v>
      </c>
      <c r="M9" s="33"/>
      <c r="N9" s="34">
        <f>K20</f>
        <v>0.70000000000000007</v>
      </c>
      <c r="O9" s="20" t="s">
        <v>38</v>
      </c>
      <c r="P9" s="19"/>
      <c r="Q9" s="20"/>
      <c r="R9" s="4"/>
      <c r="S9" s="4"/>
      <c r="T9" s="4"/>
      <c r="U9" s="4"/>
      <c r="V9" s="4"/>
      <c r="W9" s="4"/>
      <c r="X9" s="4"/>
      <c r="Y9" s="4"/>
      <c r="Z9" s="264"/>
      <c r="AA9" s="4"/>
      <c r="AB9" s="4"/>
      <c r="AC9" s="6"/>
      <c r="AD9" s="4"/>
      <c r="AE9" s="4"/>
      <c r="AF9" s="4" t="s">
        <v>39</v>
      </c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</row>
    <row r="10" spans="1:257" ht="15.5">
      <c r="A10" s="1"/>
      <c r="B10" s="4"/>
      <c r="C10" s="3" t="s">
        <v>40</v>
      </c>
      <c r="D10" s="26" t="s">
        <v>29</v>
      </c>
      <c r="E10" s="27">
        <v>3.8</v>
      </c>
      <c r="F10" s="4"/>
      <c r="G10" s="3" t="s">
        <v>41</v>
      </c>
      <c r="H10" s="28">
        <v>0.9</v>
      </c>
      <c r="I10" s="4" t="s">
        <v>36</v>
      </c>
      <c r="J10" s="3" t="s">
        <v>42</v>
      </c>
      <c r="K10" s="35">
        <v>0.75</v>
      </c>
      <c r="L10" s="4" t="s">
        <v>36</v>
      </c>
      <c r="M10" s="33"/>
      <c r="N10" s="17"/>
      <c r="O10" s="36"/>
      <c r="P10" s="4"/>
      <c r="Q10" s="37"/>
      <c r="R10" s="4"/>
      <c r="S10" s="4"/>
      <c r="T10" s="4"/>
      <c r="U10" s="4"/>
      <c r="V10" s="4"/>
      <c r="W10" s="4"/>
      <c r="X10" s="4"/>
      <c r="Y10" s="4"/>
      <c r="Z10" s="264"/>
      <c r="AA10" s="4"/>
      <c r="AB10" s="4"/>
      <c r="AC10" s="6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</row>
    <row r="11" spans="1:257" ht="15.5">
      <c r="A11" s="1"/>
      <c r="B11" s="4" t="s">
        <v>43</v>
      </c>
      <c r="C11" s="38" t="s">
        <v>44</v>
      </c>
      <c r="D11" s="26" t="s">
        <v>29</v>
      </c>
      <c r="E11" s="39">
        <v>2.5</v>
      </c>
      <c r="F11" s="4"/>
      <c r="G11" s="3" t="s">
        <v>45</v>
      </c>
      <c r="H11" s="28">
        <v>0.7</v>
      </c>
      <c r="I11" s="4" t="s">
        <v>36</v>
      </c>
      <c r="J11" s="3" t="s">
        <v>46</v>
      </c>
      <c r="K11" s="35">
        <v>0.45</v>
      </c>
      <c r="L11" s="4" t="s">
        <v>36</v>
      </c>
      <c r="M11" s="33"/>
      <c r="N11" s="17"/>
      <c r="O11" s="36"/>
      <c r="P11" s="4"/>
      <c r="Q11" s="40" t="s">
        <v>47</v>
      </c>
      <c r="R11" s="41">
        <f>H10</f>
        <v>0.9</v>
      </c>
      <c r="S11" s="42" t="s">
        <v>48</v>
      </c>
      <c r="T11" s="4"/>
      <c r="U11" s="4"/>
      <c r="V11" s="4"/>
      <c r="W11" s="4"/>
      <c r="X11" s="4"/>
      <c r="Y11" s="4"/>
      <c r="Z11" s="269" t="s">
        <v>49</v>
      </c>
      <c r="AA11" s="4"/>
      <c r="AB11" s="4"/>
      <c r="AC11" s="6"/>
      <c r="AD11" s="4"/>
      <c r="AE11" s="4"/>
      <c r="AF11" s="4" t="s">
        <v>50</v>
      </c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</row>
    <row r="12" spans="1:257" ht="15.5">
      <c r="A12" s="1"/>
      <c r="B12" s="4"/>
      <c r="C12" s="3" t="s">
        <v>51</v>
      </c>
      <c r="D12" s="26" t="s">
        <v>29</v>
      </c>
      <c r="E12" s="43">
        <v>130</v>
      </c>
      <c r="F12" s="4" t="s">
        <v>52</v>
      </c>
      <c r="G12" s="3" t="s">
        <v>53</v>
      </c>
      <c r="H12" s="35">
        <v>0.32</v>
      </c>
      <c r="I12" s="4" t="s">
        <v>36</v>
      </c>
      <c r="J12" s="3" t="s">
        <v>54</v>
      </c>
      <c r="K12" s="35">
        <v>1.6</v>
      </c>
      <c r="L12" s="4" t="s">
        <v>36</v>
      </c>
      <c r="M12" s="44"/>
      <c r="N12" s="17"/>
      <c r="O12" s="36"/>
      <c r="P12" s="45" t="s">
        <v>55</v>
      </c>
      <c r="Q12" s="46">
        <f t="shared" ref="Q12:Q13" si="1">K13</f>
        <v>0.5</v>
      </c>
      <c r="R12" s="4"/>
      <c r="S12" s="3"/>
      <c r="T12" s="42" t="s">
        <v>56</v>
      </c>
      <c r="U12" s="47"/>
      <c r="V12" s="47"/>
      <c r="W12" s="47"/>
      <c r="X12" s="47"/>
      <c r="Y12" s="47"/>
      <c r="Z12" s="264"/>
      <c r="AA12" s="4"/>
      <c r="AB12" s="4"/>
      <c r="AC12" s="6"/>
      <c r="AD12" s="4"/>
      <c r="AE12" s="4"/>
      <c r="AF12" s="4" t="s">
        <v>57</v>
      </c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</row>
    <row r="13" spans="1:257" ht="15.5">
      <c r="A13" s="1"/>
      <c r="B13" s="3"/>
      <c r="C13" s="3" t="s">
        <v>58</v>
      </c>
      <c r="D13" s="26" t="s">
        <v>29</v>
      </c>
      <c r="E13" s="43">
        <v>2800</v>
      </c>
      <c r="F13" s="4" t="s">
        <v>59</v>
      </c>
      <c r="G13" s="3" t="s">
        <v>60</v>
      </c>
      <c r="H13" s="48">
        <v>6</v>
      </c>
      <c r="I13" s="4"/>
      <c r="J13" s="3" t="s">
        <v>61</v>
      </c>
      <c r="K13" s="28">
        <v>0.5</v>
      </c>
      <c r="L13" s="4" t="s">
        <v>36</v>
      </c>
      <c r="M13" s="6"/>
      <c r="N13" s="34">
        <f>K12</f>
        <v>1.6</v>
      </c>
      <c r="O13" s="49" t="s">
        <v>62</v>
      </c>
      <c r="P13" s="50" t="s">
        <v>63</v>
      </c>
      <c r="Q13" s="51">
        <f t="shared" si="1"/>
        <v>0.1</v>
      </c>
      <c r="R13" s="4"/>
      <c r="S13" s="3"/>
      <c r="T13" s="47"/>
      <c r="U13" s="42" t="s">
        <v>64</v>
      </c>
      <c r="V13" s="47"/>
      <c r="W13" s="47"/>
      <c r="X13" s="47"/>
      <c r="Y13" s="47"/>
      <c r="Z13" s="52"/>
      <c r="AA13" s="4"/>
      <c r="AB13" s="4"/>
      <c r="AC13" s="6"/>
      <c r="AD13" s="4"/>
      <c r="AE13" s="4"/>
      <c r="AF13" s="4" t="s">
        <v>65</v>
      </c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29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</row>
    <row r="14" spans="1:257" ht="15.5">
      <c r="A14" s="1"/>
      <c r="B14" s="3"/>
      <c r="C14" s="3" t="s">
        <v>66</v>
      </c>
      <c r="D14" s="26" t="s">
        <v>29</v>
      </c>
      <c r="E14" s="48" t="s">
        <v>67</v>
      </c>
      <c r="F14" s="4"/>
      <c r="G14" s="3" t="s">
        <v>68</v>
      </c>
      <c r="H14" s="35">
        <v>0.75</v>
      </c>
      <c r="I14" s="4" t="s">
        <v>36</v>
      </c>
      <c r="J14" s="3" t="s">
        <v>69</v>
      </c>
      <c r="K14" s="35">
        <v>0.1</v>
      </c>
      <c r="L14" s="4" t="s">
        <v>36</v>
      </c>
      <c r="M14" s="53"/>
      <c r="N14" s="4"/>
      <c r="O14" s="4"/>
      <c r="P14" s="54"/>
      <c r="Q14" s="4"/>
      <c r="R14" s="55" t="s">
        <v>70</v>
      </c>
      <c r="S14" s="3"/>
      <c r="T14" s="52"/>
      <c r="U14" s="56"/>
      <c r="V14" s="42" t="s">
        <v>71</v>
      </c>
      <c r="W14" s="47"/>
      <c r="X14" s="47"/>
      <c r="Y14" s="47"/>
      <c r="Z14" s="47"/>
      <c r="AA14" s="4"/>
      <c r="AB14" s="4"/>
      <c r="AC14" s="6"/>
      <c r="AD14" s="4"/>
      <c r="AE14" s="4"/>
      <c r="AF14" s="4" t="s">
        <v>72</v>
      </c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</row>
    <row r="15" spans="1:257" ht="15.5">
      <c r="A15" s="1"/>
      <c r="B15" s="4"/>
      <c r="C15" s="3" t="str">
        <f>IF(E14="vu«ng","c¹nh:        a","®.kÝnh D:    ")</f>
        <v>c¹nh:        a</v>
      </c>
      <c r="D15" s="26" t="s">
        <v>29</v>
      </c>
      <c r="E15" s="28">
        <v>0.25</v>
      </c>
      <c r="F15" s="4" t="s">
        <v>36</v>
      </c>
      <c r="G15" s="38" t="s">
        <v>73</v>
      </c>
      <c r="H15" s="35">
        <f>2*H14*H14</f>
        <v>1.125</v>
      </c>
      <c r="I15" s="4"/>
      <c r="J15" s="3" t="s">
        <v>74</v>
      </c>
      <c r="K15" s="39">
        <v>8</v>
      </c>
      <c r="L15" s="4" t="s">
        <v>75</v>
      </c>
      <c r="M15" s="53"/>
      <c r="N15" s="4"/>
      <c r="O15" s="4"/>
      <c r="P15" s="57"/>
      <c r="Q15" s="20"/>
      <c r="R15" s="20"/>
      <c r="S15" s="58"/>
      <c r="T15" s="47"/>
      <c r="U15" s="47"/>
      <c r="V15" s="47"/>
      <c r="W15" s="42" t="s">
        <v>76</v>
      </c>
      <c r="X15" s="270" t="s">
        <v>77</v>
      </c>
      <c r="Y15" s="59"/>
      <c r="Z15" s="59"/>
      <c r="AA15" s="4"/>
      <c r="AB15" s="4"/>
      <c r="AC15" s="6"/>
      <c r="AD15" s="4"/>
      <c r="AE15" s="4"/>
      <c r="AF15" s="4" t="s">
        <v>78</v>
      </c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</row>
    <row r="16" spans="1:257" ht="15.5">
      <c r="A16" s="1"/>
      <c r="B16" s="4"/>
      <c r="C16" s="3" t="s">
        <v>79</v>
      </c>
      <c r="D16" s="26" t="s">
        <v>29</v>
      </c>
      <c r="E16" s="35">
        <v>18</v>
      </c>
      <c r="F16" s="4"/>
      <c r="G16" s="3" t="s">
        <v>80</v>
      </c>
      <c r="H16" s="60">
        <v>2800</v>
      </c>
      <c r="I16" s="4" t="s">
        <v>81</v>
      </c>
      <c r="J16" s="3" t="s">
        <v>82</v>
      </c>
      <c r="K16" s="39">
        <v>0.3</v>
      </c>
      <c r="L16" s="4"/>
      <c r="M16" s="53"/>
      <c r="N16" s="4"/>
      <c r="O16" s="4"/>
      <c r="P16" s="19"/>
      <c r="Q16" s="4"/>
      <c r="R16" s="4"/>
      <c r="S16" s="40"/>
      <c r="T16" s="47"/>
      <c r="U16" s="47"/>
      <c r="V16" s="47"/>
      <c r="W16" s="47"/>
      <c r="X16" s="264"/>
      <c r="Y16" s="61"/>
      <c r="Z16" s="61"/>
      <c r="AA16" s="266">
        <f>C70</f>
        <v>18.549999999999997</v>
      </c>
      <c r="AB16" s="4"/>
      <c r="AC16" s="6"/>
      <c r="AD16" s="4"/>
      <c r="AE16" s="4"/>
      <c r="AF16" s="4" t="s">
        <v>83</v>
      </c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</row>
    <row r="17" spans="1:257" ht="15.5">
      <c r="A17" s="1"/>
      <c r="B17" s="3"/>
      <c r="C17" s="3" t="s">
        <v>84</v>
      </c>
      <c r="D17" s="62">
        <v>4</v>
      </c>
      <c r="E17" s="48">
        <v>16</v>
      </c>
      <c r="F17" s="4"/>
      <c r="G17" s="3" t="s">
        <v>85</v>
      </c>
      <c r="H17" s="35">
        <v>1.94</v>
      </c>
      <c r="I17" s="4"/>
      <c r="J17" s="3" t="s">
        <v>86</v>
      </c>
      <c r="K17" s="35">
        <v>0.15</v>
      </c>
      <c r="L17" s="4"/>
      <c r="M17" s="6"/>
      <c r="N17" s="4"/>
      <c r="O17" s="271">
        <f>E16</f>
        <v>18</v>
      </c>
      <c r="P17" s="19"/>
      <c r="Q17" s="4"/>
      <c r="R17" s="55" t="s">
        <v>87</v>
      </c>
      <c r="S17" s="63" t="s">
        <v>88</v>
      </c>
      <c r="T17" s="4"/>
      <c r="U17" s="20"/>
      <c r="V17" s="4"/>
      <c r="W17" s="4"/>
      <c r="X17" s="4"/>
      <c r="Y17" s="4"/>
      <c r="Z17" s="266">
        <f>K19</f>
        <v>17.399999999999999</v>
      </c>
      <c r="AA17" s="264"/>
      <c r="AB17" s="4"/>
      <c r="AC17" s="6"/>
      <c r="AD17" s="4"/>
      <c r="AE17" s="4"/>
      <c r="AF17" s="4" t="s">
        <v>89</v>
      </c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</row>
    <row r="18" spans="1:257" ht="15.5">
      <c r="A18" s="1"/>
      <c r="B18" s="4" t="s">
        <v>90</v>
      </c>
      <c r="C18" s="3" t="s">
        <v>91</v>
      </c>
      <c r="D18" s="26" t="s">
        <v>29</v>
      </c>
      <c r="E18" s="35">
        <v>0.9</v>
      </c>
      <c r="F18" s="4"/>
      <c r="G18" s="3" t="s">
        <v>92</v>
      </c>
      <c r="H18" s="35">
        <v>7.5</v>
      </c>
      <c r="I18" s="4"/>
      <c r="J18" s="3" t="s">
        <v>93</v>
      </c>
      <c r="K18" s="39">
        <v>0.2</v>
      </c>
      <c r="L18" s="64" t="s">
        <v>94</v>
      </c>
      <c r="M18" s="53"/>
      <c r="N18" s="4"/>
      <c r="O18" s="268"/>
      <c r="P18" s="19"/>
      <c r="Q18" s="4"/>
      <c r="R18" s="4"/>
      <c r="S18" s="40"/>
      <c r="T18" s="4"/>
      <c r="U18" s="4"/>
      <c r="V18" s="4"/>
      <c r="W18" s="4"/>
      <c r="X18" s="4"/>
      <c r="Y18" s="4"/>
      <c r="Z18" s="264"/>
      <c r="AA18" s="264"/>
      <c r="AB18" s="4"/>
      <c r="AC18" s="6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</row>
    <row r="19" spans="1:257" ht="15.5">
      <c r="A19" s="1"/>
      <c r="B19" s="4"/>
      <c r="C19" s="3" t="s">
        <v>95</v>
      </c>
      <c r="D19" s="26" t="s">
        <v>29</v>
      </c>
      <c r="E19" s="35">
        <v>0.9</v>
      </c>
      <c r="F19" s="4"/>
      <c r="G19" s="3" t="s">
        <v>96</v>
      </c>
      <c r="H19" s="35">
        <v>1.75</v>
      </c>
      <c r="I19" s="4"/>
      <c r="J19" s="3" t="s">
        <v>97</v>
      </c>
      <c r="K19" s="65">
        <f>ABS(E16)-ABS(K13)-ABS(K14)</f>
        <v>17.399999999999999</v>
      </c>
      <c r="L19" s="4" t="s">
        <v>36</v>
      </c>
      <c r="M19" s="53"/>
      <c r="N19" s="4"/>
      <c r="O19" s="268"/>
      <c r="P19" s="57"/>
      <c r="Q19" s="20"/>
      <c r="R19" s="20"/>
      <c r="S19" s="66"/>
      <c r="T19" s="4"/>
      <c r="U19" s="4"/>
      <c r="V19" s="4"/>
      <c r="W19" s="4"/>
      <c r="X19" s="4"/>
      <c r="Y19" s="4"/>
      <c r="Z19" s="264"/>
      <c r="AA19" s="272" t="s">
        <v>98</v>
      </c>
      <c r="AB19" s="4"/>
      <c r="AC19" s="6"/>
      <c r="AD19" s="4"/>
      <c r="AE19" s="4"/>
      <c r="AF19" s="4" t="s">
        <v>99</v>
      </c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</row>
    <row r="20" spans="1:257" ht="15.5">
      <c r="A20" s="1"/>
      <c r="B20" s="4"/>
      <c r="C20" s="3" t="s">
        <v>100</v>
      </c>
      <c r="D20" s="26" t="s">
        <v>29</v>
      </c>
      <c r="E20" s="35">
        <v>0.85</v>
      </c>
      <c r="F20" s="4"/>
      <c r="G20" s="3" t="s">
        <v>101</v>
      </c>
      <c r="H20" s="35">
        <v>1</v>
      </c>
      <c r="I20" s="4"/>
      <c r="J20" s="3" t="s">
        <v>102</v>
      </c>
      <c r="K20" s="65">
        <f>ABS(K12)-ABS(H10)-ABS(K9)</f>
        <v>0.70000000000000007</v>
      </c>
      <c r="L20" s="4" t="s">
        <v>36</v>
      </c>
      <c r="M20" s="53"/>
      <c r="N20" s="4"/>
      <c r="O20" s="67" t="s">
        <v>29</v>
      </c>
      <c r="P20" s="18"/>
      <c r="Q20" s="25"/>
      <c r="R20" s="25"/>
      <c r="S20" s="68"/>
      <c r="T20" s="4"/>
      <c r="U20" s="4"/>
      <c r="V20" s="4"/>
      <c r="W20" s="4"/>
      <c r="X20" s="4"/>
      <c r="Y20" s="4"/>
      <c r="Z20" s="264"/>
      <c r="AA20" s="264"/>
      <c r="AB20" s="69"/>
      <c r="AC20" s="6"/>
      <c r="AD20" s="4"/>
      <c r="AE20" s="4"/>
      <c r="AF20" s="4" t="s">
        <v>103</v>
      </c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3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</row>
    <row r="21" spans="1:257" ht="15.75" customHeight="1">
      <c r="A21" s="1"/>
      <c r="B21" s="4"/>
      <c r="C21" s="3" t="s">
        <v>104</v>
      </c>
      <c r="D21" s="26" t="s">
        <v>29</v>
      </c>
      <c r="E21" s="35">
        <v>1</v>
      </c>
      <c r="F21" s="4"/>
      <c r="G21" s="3" t="s">
        <v>105</v>
      </c>
      <c r="H21" s="28">
        <v>0</v>
      </c>
      <c r="I21" s="4"/>
      <c r="J21" s="3" t="s">
        <v>106</v>
      </c>
      <c r="K21" s="65">
        <f>ABS(K12)-ABS(K11)</f>
        <v>1.1500000000000001</v>
      </c>
      <c r="L21" s="4" t="s">
        <v>36</v>
      </c>
      <c r="M21" s="53"/>
      <c r="N21" s="4"/>
      <c r="O21" s="4"/>
      <c r="P21" s="19"/>
      <c r="Q21" s="4"/>
      <c r="R21" s="4"/>
      <c r="S21" s="42" t="s">
        <v>107</v>
      </c>
      <c r="T21" s="4"/>
      <c r="U21" s="20"/>
      <c r="V21" s="20"/>
      <c r="W21" s="4"/>
      <c r="X21" s="4"/>
      <c r="Y21" s="4"/>
      <c r="Z21" s="269" t="s">
        <v>108</v>
      </c>
      <c r="AA21" s="4"/>
      <c r="AB21" s="4"/>
      <c r="AC21" s="6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</row>
    <row r="22" spans="1:257" ht="15.75" customHeight="1">
      <c r="A22" s="1"/>
      <c r="B22" s="4"/>
      <c r="C22" s="3" t="s">
        <v>109</v>
      </c>
      <c r="D22" s="26" t="s">
        <v>29</v>
      </c>
      <c r="E22" s="35">
        <v>1</v>
      </c>
      <c r="F22" s="4"/>
      <c r="G22" s="3" t="s">
        <v>110</v>
      </c>
      <c r="H22" s="35">
        <v>19.829999999999998</v>
      </c>
      <c r="I22" s="4"/>
      <c r="J22" s="3" t="s">
        <v>111</v>
      </c>
      <c r="K22" s="65">
        <f>ABS(K12)-ABS(K9)</f>
        <v>1.6</v>
      </c>
      <c r="L22" s="4" t="s">
        <v>36</v>
      </c>
      <c r="M22" s="6"/>
      <c r="N22" s="4"/>
      <c r="O22" s="4"/>
      <c r="P22" s="19"/>
      <c r="Q22" s="4"/>
      <c r="R22" s="55" t="s">
        <v>112</v>
      </c>
      <c r="S22" s="3"/>
      <c r="T22" s="4"/>
      <c r="U22" s="4"/>
      <c r="V22" s="4"/>
      <c r="W22" s="4"/>
      <c r="X22" s="4"/>
      <c r="Y22" s="4"/>
      <c r="Z22" s="264"/>
      <c r="AA22" s="4"/>
      <c r="AB22" s="4"/>
      <c r="AC22" s="6"/>
      <c r="AD22" s="4"/>
      <c r="AE22" s="4"/>
      <c r="AF22" s="4" t="s">
        <v>113</v>
      </c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</row>
    <row r="23" spans="1:257" ht="15.75" customHeight="1">
      <c r="A23" s="1"/>
      <c r="B23" s="4"/>
      <c r="C23" s="3" t="s">
        <v>114</v>
      </c>
      <c r="D23" s="26" t="s">
        <v>29</v>
      </c>
      <c r="E23" s="35">
        <v>1</v>
      </c>
      <c r="F23" s="4"/>
      <c r="G23" s="4"/>
      <c r="H23" s="4"/>
      <c r="I23" s="4"/>
      <c r="J23" s="3" t="s">
        <v>115</v>
      </c>
      <c r="K23" s="70">
        <f>IF(E14="vu«ng",E15*E15,PI()*E15*E15/4)</f>
        <v>6.25E-2</v>
      </c>
      <c r="L23" s="4" t="s">
        <v>116</v>
      </c>
      <c r="M23" s="6"/>
      <c r="N23" s="4"/>
      <c r="O23" s="4"/>
      <c r="P23" s="57"/>
      <c r="Q23" s="20"/>
      <c r="R23" s="20"/>
      <c r="S23" s="58"/>
      <c r="T23" s="4"/>
      <c r="U23" s="4"/>
      <c r="V23" s="4"/>
      <c r="W23" s="4"/>
      <c r="X23" s="4"/>
      <c r="Y23" s="4"/>
      <c r="Z23" s="264"/>
      <c r="AA23" s="4"/>
      <c r="AB23" s="4"/>
      <c r="AC23" s="6"/>
      <c r="AD23" s="4"/>
      <c r="AE23" s="4"/>
      <c r="AF23" s="4"/>
      <c r="AG23" s="71" t="s">
        <v>117</v>
      </c>
      <c r="AH23" s="72"/>
      <c r="AI23" s="72"/>
      <c r="AJ23" s="72"/>
      <c r="AK23" s="72"/>
      <c r="AL23" s="72"/>
      <c r="AM23" s="73" t="s">
        <v>118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</row>
    <row r="24" spans="1:257" ht="15.75" customHeight="1">
      <c r="A24" s="1"/>
      <c r="B24" s="4" t="s">
        <v>119</v>
      </c>
      <c r="C24" s="3"/>
      <c r="D24" s="4"/>
      <c r="E24" s="4"/>
      <c r="F24" s="4"/>
      <c r="G24" s="4"/>
      <c r="H24" s="4"/>
      <c r="I24" s="4"/>
      <c r="J24" s="3" t="s">
        <v>120</v>
      </c>
      <c r="K24" s="32">
        <f>IF(E14="vu«ng",4*E15,PI()*E15)</f>
        <v>1</v>
      </c>
      <c r="L24" s="4" t="s">
        <v>36</v>
      </c>
      <c r="M24" s="6"/>
      <c r="N24" s="4"/>
      <c r="O24" s="4"/>
      <c r="P24" s="19"/>
      <c r="Q24" s="4"/>
      <c r="R24" s="4"/>
      <c r="S24" s="3"/>
      <c r="T24" s="4"/>
      <c r="U24" s="4"/>
      <c r="V24" s="4"/>
      <c r="W24" s="4"/>
      <c r="X24" s="4"/>
      <c r="Y24" s="4"/>
      <c r="Z24" s="264"/>
      <c r="AA24" s="4"/>
      <c r="AB24" s="4"/>
      <c r="AC24" s="6"/>
      <c r="AD24" s="4"/>
      <c r="AE24" s="4"/>
      <c r="AF24" s="4"/>
      <c r="AG24" s="4" t="s">
        <v>121</v>
      </c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</row>
    <row r="25" spans="1:257" ht="15.75" customHeight="1">
      <c r="A25" s="1"/>
      <c r="B25" s="4"/>
      <c r="C25" s="74" t="s">
        <v>122</v>
      </c>
      <c r="D25" s="4"/>
      <c r="E25" s="4"/>
      <c r="F25" s="4"/>
      <c r="G25" s="4"/>
      <c r="H25" s="4"/>
      <c r="I25" s="4"/>
      <c r="J25" s="3" t="s">
        <v>123</v>
      </c>
      <c r="K25" s="75">
        <f>D17*PI()*(E17*E17/4000000)</f>
        <v>8.0424771931898698E-4</v>
      </c>
      <c r="L25" s="4" t="s">
        <v>124</v>
      </c>
      <c r="M25" s="6"/>
      <c r="N25" s="4"/>
      <c r="O25" s="4"/>
      <c r="P25" s="19"/>
      <c r="Q25" s="4"/>
      <c r="R25" s="4"/>
      <c r="S25" s="42" t="s">
        <v>125</v>
      </c>
      <c r="T25" s="4"/>
      <c r="U25" s="20"/>
      <c r="V25" s="20"/>
      <c r="W25" s="20"/>
      <c r="X25" s="4"/>
      <c r="Y25" s="4"/>
      <c r="Z25" s="264"/>
      <c r="AA25" s="4"/>
      <c r="AB25" s="4"/>
      <c r="AC25" s="6"/>
      <c r="AD25" s="4"/>
      <c r="AE25" s="4"/>
      <c r="AF25" s="4" t="s">
        <v>126</v>
      </c>
      <c r="AG25" s="4"/>
      <c r="AH25" s="4"/>
      <c r="AI25" s="4"/>
      <c r="AJ25" s="4" t="s">
        <v>127</v>
      </c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</row>
    <row r="26" spans="1:257" ht="15.75" customHeight="1">
      <c r="A26" s="1"/>
      <c r="B26" s="4"/>
      <c r="C26" s="277" t="s">
        <v>128</v>
      </c>
      <c r="D26" s="278"/>
      <c r="E26" s="54" t="s">
        <v>129</v>
      </c>
      <c r="F26" s="77" t="s">
        <v>130</v>
      </c>
      <c r="G26" s="54" t="s">
        <v>131</v>
      </c>
      <c r="H26" s="54" t="s">
        <v>132</v>
      </c>
      <c r="I26" s="54" t="s">
        <v>133</v>
      </c>
      <c r="J26" s="54" t="s">
        <v>134</v>
      </c>
      <c r="K26" s="54" t="s">
        <v>135</v>
      </c>
      <c r="L26" s="4"/>
      <c r="M26" s="6"/>
      <c r="N26" s="4"/>
      <c r="O26" s="4"/>
      <c r="P26" s="19"/>
      <c r="Q26" s="4"/>
      <c r="R26" s="55" t="s">
        <v>136</v>
      </c>
      <c r="S26" s="3"/>
      <c r="T26" s="4"/>
      <c r="U26" s="4"/>
      <c r="V26" s="4"/>
      <c r="W26" s="4"/>
      <c r="X26" s="4"/>
      <c r="Y26" s="4"/>
      <c r="Z26" s="4"/>
      <c r="AA26" s="4"/>
      <c r="AB26" s="4"/>
      <c r="AC26" s="6"/>
      <c r="AD26" s="4"/>
      <c r="AE26" s="4"/>
      <c r="AF26" s="4" t="s">
        <v>137</v>
      </c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</row>
    <row r="27" spans="1:257" ht="15.75" customHeight="1">
      <c r="A27" s="1"/>
      <c r="B27" s="4"/>
      <c r="C27" s="279"/>
      <c r="D27" s="280"/>
      <c r="E27" s="78" t="s">
        <v>138</v>
      </c>
      <c r="F27" s="78" t="s">
        <v>139</v>
      </c>
      <c r="G27" s="78" t="s">
        <v>140</v>
      </c>
      <c r="H27" s="78" t="s">
        <v>141</v>
      </c>
      <c r="I27" s="78" t="s">
        <v>142</v>
      </c>
      <c r="J27" s="78" t="s">
        <v>143</v>
      </c>
      <c r="K27" s="78" t="s">
        <v>144</v>
      </c>
      <c r="L27" s="4"/>
      <c r="M27" s="6"/>
      <c r="N27" s="4"/>
      <c r="O27" s="4"/>
      <c r="P27" s="19"/>
      <c r="Q27" s="20"/>
      <c r="R27" s="20"/>
      <c r="S27" s="58"/>
      <c r="T27" s="4"/>
      <c r="U27" s="4"/>
      <c r="V27" s="4"/>
      <c r="W27" s="4"/>
      <c r="X27" s="4"/>
      <c r="Y27" s="4"/>
      <c r="Z27" s="4"/>
      <c r="AA27" s="4"/>
      <c r="AB27" s="4"/>
      <c r="AC27" s="6"/>
      <c r="AD27" s="4"/>
      <c r="AE27" s="4"/>
      <c r="AF27" s="4" t="s">
        <v>145</v>
      </c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</row>
    <row r="28" spans="1:257" ht="15.75" customHeight="1">
      <c r="A28" s="1"/>
      <c r="B28" s="4"/>
      <c r="C28" s="277">
        <v>1</v>
      </c>
      <c r="D28" s="278"/>
      <c r="E28" s="79">
        <v>1.5</v>
      </c>
      <c r="F28" s="79">
        <v>1.74</v>
      </c>
      <c r="G28" s="80"/>
      <c r="H28" s="80"/>
      <c r="I28" s="81">
        <v>0</v>
      </c>
      <c r="J28" s="81">
        <v>0</v>
      </c>
      <c r="K28" s="81">
        <f>(E28-K21)*J28</f>
        <v>0</v>
      </c>
      <c r="L28" s="4"/>
      <c r="M28" s="6"/>
      <c r="N28" s="4"/>
      <c r="O28" s="4"/>
      <c r="P28" s="19"/>
      <c r="Q28" s="4"/>
      <c r="R28" s="55" t="s">
        <v>146</v>
      </c>
      <c r="S28" s="82" t="s">
        <v>147</v>
      </c>
      <c r="T28" s="4"/>
      <c r="U28" s="20"/>
      <c r="V28" s="20"/>
      <c r="W28" s="20"/>
      <c r="X28" s="20"/>
      <c r="Y28" s="4"/>
      <c r="Z28" s="4"/>
      <c r="AA28" s="4"/>
      <c r="AB28" s="4"/>
      <c r="AC28" s="6"/>
      <c r="AD28" s="4"/>
      <c r="AE28" s="4"/>
      <c r="AF28" s="4"/>
      <c r="AG28" s="4" t="s">
        <v>148</v>
      </c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</row>
    <row r="29" spans="1:257" ht="15.75" customHeight="1">
      <c r="A29" s="1"/>
      <c r="B29" s="4"/>
      <c r="C29" s="267">
        <v>2</v>
      </c>
      <c r="D29" s="268"/>
      <c r="E29" s="79">
        <v>10</v>
      </c>
      <c r="F29" s="79">
        <v>1.74</v>
      </c>
      <c r="G29" s="80">
        <v>0.8</v>
      </c>
      <c r="H29" s="80">
        <v>6.5</v>
      </c>
      <c r="I29" s="81">
        <f>E28+E29/2</f>
        <v>6.5</v>
      </c>
      <c r="J29" s="81">
        <f>IF(Bangtra!AG11=0,Bangtra!AE11,Bangtra!AF11)</f>
        <v>0.8</v>
      </c>
      <c r="K29" s="81">
        <f t="shared" ref="K29:K39" si="2">E29*J29</f>
        <v>8</v>
      </c>
      <c r="L29" s="32">
        <f>+K29+L28</f>
        <v>8</v>
      </c>
      <c r="M29" s="6"/>
      <c r="N29" s="4"/>
      <c r="O29" s="4"/>
      <c r="P29" s="57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4"/>
      <c r="AC29" s="6"/>
      <c r="AD29" s="4"/>
      <c r="AE29" s="4"/>
      <c r="AF29" s="4"/>
      <c r="AG29" s="4" t="s">
        <v>149</v>
      </c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</row>
    <row r="30" spans="1:257" ht="15.75" customHeight="1">
      <c r="A30" s="1"/>
      <c r="B30" s="4"/>
      <c r="C30" s="267">
        <v>3</v>
      </c>
      <c r="D30" s="268"/>
      <c r="E30" s="79">
        <v>4.5999999999999996</v>
      </c>
      <c r="F30" s="79">
        <v>2.0499999999999998</v>
      </c>
      <c r="G30" s="80">
        <v>0.53</v>
      </c>
      <c r="H30" s="80">
        <v>9.5</v>
      </c>
      <c r="I30" s="81">
        <f>I29+E29/2+E30/2</f>
        <v>13.8</v>
      </c>
      <c r="J30" s="81">
        <f>IF(Bangtra!AG12=0,Bangtra!AE12,Bangtra!AF12)</f>
        <v>1.98</v>
      </c>
      <c r="K30" s="81">
        <f t="shared" si="2"/>
        <v>9.1079999999999988</v>
      </c>
      <c r="L30" s="32">
        <f t="shared" ref="L30:L32" si="3">+K30+L29</f>
        <v>17.107999999999997</v>
      </c>
      <c r="M30" s="6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6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</row>
    <row r="31" spans="1:257" ht="15.75" customHeight="1">
      <c r="A31" s="1"/>
      <c r="B31" s="4"/>
      <c r="C31" s="267">
        <v>4</v>
      </c>
      <c r="D31" s="268"/>
      <c r="E31" s="79">
        <v>1.3</v>
      </c>
      <c r="F31" s="79">
        <v>2.06</v>
      </c>
      <c r="G31" s="80" t="s">
        <v>150</v>
      </c>
      <c r="H31" s="80">
        <v>24.5</v>
      </c>
      <c r="I31" s="81">
        <f>I30+E30/2+E31/2</f>
        <v>16.75</v>
      </c>
      <c r="J31" s="81">
        <f>IF(Bangtra!AG13=0,Bangtra!AE13,Bangtra!AF13)</f>
        <v>5.2499999999999991</v>
      </c>
      <c r="K31" s="81">
        <f>E31*J31</f>
        <v>6.8249999999999993</v>
      </c>
      <c r="L31" s="32">
        <f t="shared" si="3"/>
        <v>23.932999999999996</v>
      </c>
      <c r="M31" s="6"/>
      <c r="N31" s="84"/>
      <c r="O31" s="85"/>
      <c r="P31" s="84"/>
      <c r="Q31" s="85" t="s">
        <v>151</v>
      </c>
      <c r="R31" s="86">
        <f>H19</f>
        <v>1.75</v>
      </c>
      <c r="S31" s="87"/>
      <c r="T31" s="84"/>
      <c r="U31" s="84"/>
      <c r="V31" s="84"/>
      <c r="W31" s="88"/>
      <c r="X31" s="4"/>
      <c r="Y31" s="4"/>
      <c r="Z31" s="4"/>
      <c r="AA31" s="4"/>
      <c r="AB31" s="4"/>
      <c r="AC31" s="6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</row>
    <row r="32" spans="1:257" ht="15.75" customHeight="1">
      <c r="A32" s="1"/>
      <c r="B32" s="4"/>
      <c r="C32" s="267">
        <v>5</v>
      </c>
      <c r="D32" s="268"/>
      <c r="E32" s="79">
        <v>10.4</v>
      </c>
      <c r="F32" s="79">
        <v>2.0099999999999998</v>
      </c>
      <c r="G32" s="80">
        <v>0.5</v>
      </c>
      <c r="H32" s="80">
        <v>9.67</v>
      </c>
      <c r="I32" s="81">
        <f>I31+E31/2+E32/2</f>
        <v>22.599999999999998</v>
      </c>
      <c r="J32" s="81">
        <f>IF(Bangtra!AG14=0,Bangtra!AE14,Bangtra!AF14)</f>
        <v>1.2</v>
      </c>
      <c r="K32" s="81">
        <f t="shared" si="2"/>
        <v>12.48</v>
      </c>
      <c r="L32" s="32">
        <f t="shared" si="3"/>
        <v>36.412999999999997</v>
      </c>
      <c r="M32" s="6"/>
      <c r="N32" s="4"/>
      <c r="O32" s="20"/>
      <c r="P32" s="49"/>
      <c r="Q32" s="20"/>
      <c r="R32" s="89"/>
      <c r="S32" s="90" t="s">
        <v>153</v>
      </c>
      <c r="T32" s="4"/>
      <c r="U32" s="49"/>
      <c r="V32" s="4"/>
      <c r="W32" s="91"/>
      <c r="X32" s="4"/>
      <c r="Y32" s="4"/>
      <c r="Z32" s="4"/>
      <c r="AA32" s="4"/>
      <c r="AB32" s="4"/>
      <c r="AC32" s="6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</row>
    <row r="33" spans="1:257" ht="15.75" customHeight="1">
      <c r="A33" s="1"/>
      <c r="B33" s="4"/>
      <c r="C33" s="267">
        <v>6</v>
      </c>
      <c r="D33" s="268"/>
      <c r="E33" s="79">
        <v>0</v>
      </c>
      <c r="F33" s="79">
        <v>0</v>
      </c>
      <c r="G33" s="80" t="s">
        <v>152</v>
      </c>
      <c r="H33" s="80">
        <v>0</v>
      </c>
      <c r="I33" s="81">
        <f t="shared" ref="I30:I39" si="4">I32+E32/2+E33/2</f>
        <v>27.799999999999997</v>
      </c>
      <c r="J33" s="81">
        <f>IF(Bangtra!AG15=0,Bangtra!AE15,Bangtra!AF15)</f>
        <v>0</v>
      </c>
      <c r="K33" s="81">
        <f t="shared" si="2"/>
        <v>0</v>
      </c>
      <c r="L33" s="4"/>
      <c r="M33" s="6"/>
      <c r="N33" s="4"/>
      <c r="O33" s="92"/>
      <c r="P33" s="25"/>
      <c r="Q33" s="25"/>
      <c r="R33" s="25"/>
      <c r="S33" s="25"/>
      <c r="T33" s="25"/>
      <c r="U33" s="93"/>
      <c r="V33" s="4"/>
      <c r="W33" s="91"/>
      <c r="X33" s="4"/>
      <c r="Y33" s="4"/>
      <c r="Z33" s="4"/>
      <c r="AA33" s="4"/>
      <c r="AB33" s="4"/>
      <c r="AC33" s="6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</row>
    <row r="34" spans="1:257" ht="15.75" customHeight="1">
      <c r="A34" s="1"/>
      <c r="B34" s="4"/>
      <c r="C34" s="267">
        <v>7</v>
      </c>
      <c r="D34" s="268"/>
      <c r="E34" s="79">
        <v>0</v>
      </c>
      <c r="F34" s="79">
        <v>0</v>
      </c>
      <c r="G34" s="80" t="s">
        <v>152</v>
      </c>
      <c r="H34" s="80">
        <v>0</v>
      </c>
      <c r="I34" s="81">
        <f t="shared" si="4"/>
        <v>27.799999999999997</v>
      </c>
      <c r="J34" s="81">
        <f>IF(Bangtra!AG16=0,Bangtra!AE16,Bangtra!AF16)</f>
        <v>0</v>
      </c>
      <c r="K34" s="81">
        <f t="shared" si="2"/>
        <v>0</v>
      </c>
      <c r="L34" s="4"/>
      <c r="M34" s="6"/>
      <c r="N34" s="4"/>
      <c r="O34" s="94"/>
      <c r="P34" s="58" t="s">
        <v>154</v>
      </c>
      <c r="Q34" s="41">
        <f>E15</f>
        <v>0.25</v>
      </c>
      <c r="R34" s="4"/>
      <c r="S34" s="4"/>
      <c r="T34" s="4"/>
      <c r="U34" s="37"/>
      <c r="V34" s="4"/>
      <c r="W34" s="95"/>
      <c r="X34" s="4"/>
      <c r="Y34" s="4"/>
      <c r="Z34" s="4"/>
      <c r="AA34" s="4"/>
      <c r="AB34" s="4"/>
      <c r="AC34" s="6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</row>
    <row r="35" spans="1:257" ht="15.75" customHeight="1">
      <c r="A35" s="1"/>
      <c r="B35" s="4"/>
      <c r="C35" s="267">
        <v>8</v>
      </c>
      <c r="D35" s="268"/>
      <c r="E35" s="79">
        <v>0</v>
      </c>
      <c r="F35" s="79">
        <v>0</v>
      </c>
      <c r="G35" s="80" t="s">
        <v>152</v>
      </c>
      <c r="H35" s="80">
        <v>0</v>
      </c>
      <c r="I35" s="81">
        <f t="shared" si="4"/>
        <v>27.799999999999997</v>
      </c>
      <c r="J35" s="81">
        <f>IF(Bangtra!AG17=0,Bangtra!AE17,Bangtra!AF17)</f>
        <v>0</v>
      </c>
      <c r="K35" s="81">
        <f t="shared" si="2"/>
        <v>0</v>
      </c>
      <c r="L35" s="4"/>
      <c r="M35" s="6"/>
      <c r="N35" s="4"/>
      <c r="O35" s="36"/>
      <c r="P35" s="96"/>
      <c r="Q35" s="4"/>
      <c r="R35" s="4"/>
      <c r="S35" s="4"/>
      <c r="T35" s="97"/>
      <c r="U35" s="37"/>
      <c r="V35" s="4"/>
      <c r="W35" s="91"/>
      <c r="X35" s="4"/>
      <c r="Y35" s="4"/>
      <c r="Z35" s="4"/>
      <c r="AA35" s="4"/>
      <c r="AB35" s="4"/>
      <c r="AC35" s="6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</row>
    <row r="36" spans="1:257" ht="15.75" customHeight="1">
      <c r="A36" s="1"/>
      <c r="B36" s="4"/>
      <c r="C36" s="267">
        <v>9</v>
      </c>
      <c r="D36" s="268"/>
      <c r="E36" s="79">
        <v>0</v>
      </c>
      <c r="F36" s="79">
        <v>0</v>
      </c>
      <c r="G36" s="80" t="s">
        <v>152</v>
      </c>
      <c r="H36" s="80">
        <v>0</v>
      </c>
      <c r="I36" s="81">
        <f t="shared" si="4"/>
        <v>27.799999999999997</v>
      </c>
      <c r="J36" s="81">
        <f>IF(Bangtra!AG18=0,Bangtra!AE18,Bangtra!AF18)</f>
        <v>0</v>
      </c>
      <c r="K36" s="81">
        <f t="shared" si="2"/>
        <v>0</v>
      </c>
      <c r="L36" s="4"/>
      <c r="M36" s="286">
        <f>F63</f>
        <v>2.3169473837942514</v>
      </c>
      <c r="N36" s="289">
        <f>H9</f>
        <v>1.25</v>
      </c>
      <c r="O36" s="36"/>
      <c r="P36" s="25"/>
      <c r="Q36" s="4"/>
      <c r="R36" s="4"/>
      <c r="S36" s="4"/>
      <c r="T36" s="25"/>
      <c r="U36" s="37"/>
      <c r="V36" s="4"/>
      <c r="W36" s="281">
        <f>H20</f>
        <v>1</v>
      </c>
      <c r="X36" s="98"/>
      <c r="Y36" s="4"/>
      <c r="Z36" s="4"/>
      <c r="AA36" s="4"/>
      <c r="AB36" s="4"/>
      <c r="AC36" s="6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</row>
    <row r="37" spans="1:257" ht="15.75" customHeight="1">
      <c r="A37" s="1"/>
      <c r="B37" s="4"/>
      <c r="C37" s="267">
        <v>10</v>
      </c>
      <c r="D37" s="268"/>
      <c r="E37" s="79">
        <v>0</v>
      </c>
      <c r="F37" s="79">
        <v>0</v>
      </c>
      <c r="G37" s="80" t="s">
        <v>152</v>
      </c>
      <c r="H37" s="80">
        <v>0</v>
      </c>
      <c r="I37" s="81">
        <f t="shared" si="4"/>
        <v>27.799999999999997</v>
      </c>
      <c r="J37" s="81">
        <f>IF(Bangtra!AG19=0,Bangtra!AE19,Bangtra!AF19)</f>
        <v>0</v>
      </c>
      <c r="K37" s="81">
        <f t="shared" si="2"/>
        <v>0</v>
      </c>
      <c r="L37" s="4"/>
      <c r="M37" s="287"/>
      <c r="N37" s="268"/>
      <c r="O37" s="36"/>
      <c r="P37" s="4"/>
      <c r="Q37" s="283">
        <f>H12</f>
        <v>0.32</v>
      </c>
      <c r="R37" s="18"/>
      <c r="S37" s="284"/>
      <c r="T37" s="4"/>
      <c r="U37" s="37"/>
      <c r="V37" s="4"/>
      <c r="W37" s="282"/>
      <c r="X37" s="98"/>
      <c r="Y37" s="4"/>
      <c r="Z37" s="4"/>
      <c r="AA37" s="4"/>
      <c r="AB37" s="4"/>
      <c r="AC37" s="6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</row>
    <row r="38" spans="1:257" ht="15.75" customHeight="1">
      <c r="A38" s="1"/>
      <c r="B38" s="4"/>
      <c r="C38" s="267">
        <v>11</v>
      </c>
      <c r="D38" s="268"/>
      <c r="E38" s="79">
        <v>0</v>
      </c>
      <c r="F38" s="79">
        <v>0</v>
      </c>
      <c r="G38" s="80" t="s">
        <v>152</v>
      </c>
      <c r="H38" s="80">
        <v>0</v>
      </c>
      <c r="I38" s="81">
        <f t="shared" si="4"/>
        <v>27.799999999999997</v>
      </c>
      <c r="J38" s="81">
        <f>IF(Bangtra!AG20=0,Bangtra!AE20,Bangtra!AF20)</f>
        <v>0</v>
      </c>
      <c r="K38" s="81">
        <f t="shared" si="2"/>
        <v>0</v>
      </c>
      <c r="L38" s="4"/>
      <c r="M38" s="288"/>
      <c r="N38" s="268"/>
      <c r="O38" s="36"/>
      <c r="P38" s="4"/>
      <c r="Q38" s="264"/>
      <c r="R38" s="57"/>
      <c r="S38" s="285"/>
      <c r="T38" s="4"/>
      <c r="U38" s="37"/>
      <c r="V38" s="99" t="s">
        <v>155</v>
      </c>
      <c r="W38" s="282"/>
      <c r="X38" s="98"/>
      <c r="Y38" s="100"/>
      <c r="Z38" s="4"/>
      <c r="AA38" s="4"/>
      <c r="AB38" s="4"/>
      <c r="AC38" s="6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</row>
    <row r="39" spans="1:257" ht="15.75" customHeight="1">
      <c r="A39" s="1"/>
      <c r="B39" s="4"/>
      <c r="C39" s="290">
        <v>12</v>
      </c>
      <c r="D39" s="291"/>
      <c r="E39" s="101">
        <v>0</v>
      </c>
      <c r="F39" s="101">
        <v>0</v>
      </c>
      <c r="G39" s="102" t="s">
        <v>152</v>
      </c>
      <c r="H39" s="102">
        <v>0</v>
      </c>
      <c r="I39" s="103">
        <f t="shared" si="4"/>
        <v>27.799999999999997</v>
      </c>
      <c r="J39" s="103">
        <f>IF(Bangtra!AG21=0,Bangtra!AE21,Bangtra!AF21)</f>
        <v>0</v>
      </c>
      <c r="K39" s="81">
        <f t="shared" si="2"/>
        <v>0</v>
      </c>
      <c r="L39" s="4"/>
      <c r="M39" s="292" t="s">
        <v>156</v>
      </c>
      <c r="N39" s="293" t="s">
        <v>35</v>
      </c>
      <c r="O39" s="36"/>
      <c r="P39" s="20"/>
      <c r="Q39" s="3" t="s">
        <v>157</v>
      </c>
      <c r="R39" s="89">
        <f>H11</f>
        <v>0.7</v>
      </c>
      <c r="S39" s="4"/>
      <c r="T39" s="20"/>
      <c r="U39" s="37"/>
      <c r="V39" s="4"/>
      <c r="W39" s="273" t="s">
        <v>158</v>
      </c>
      <c r="X39" s="98"/>
      <c r="Y39" s="4"/>
      <c r="Z39" s="4"/>
      <c r="AA39" s="4"/>
      <c r="AB39" s="32"/>
      <c r="AC39" s="6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</row>
    <row r="40" spans="1:257" ht="15.75" customHeight="1">
      <c r="A40" s="1"/>
      <c r="B40" s="4"/>
      <c r="C40" s="275"/>
      <c r="D40" s="276"/>
      <c r="E40" s="104">
        <f>SUM(E28:E39)</f>
        <v>27.800000000000004</v>
      </c>
      <c r="F40" s="105"/>
      <c r="G40" s="106"/>
      <c r="H40" s="107"/>
      <c r="I40" s="104">
        <f>I39+E39/2</f>
        <v>27.799999999999997</v>
      </c>
      <c r="J40" s="104"/>
      <c r="K40" s="104">
        <f>SUM(K28:K39)</f>
        <v>36.412999999999997</v>
      </c>
      <c r="L40" s="4"/>
      <c r="M40" s="288"/>
      <c r="N40" s="268"/>
      <c r="O40" s="36"/>
      <c r="P40" s="96"/>
      <c r="Q40" s="4"/>
      <c r="R40" s="4"/>
      <c r="S40" s="4"/>
      <c r="T40" s="96"/>
      <c r="U40" s="37"/>
      <c r="V40" s="41"/>
      <c r="W40" s="274"/>
      <c r="X40" s="98"/>
      <c r="Y40" s="41"/>
      <c r="Z40" s="4"/>
      <c r="AA40" s="4"/>
      <c r="AB40" s="32"/>
      <c r="AC40" s="6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</row>
    <row r="41" spans="1:257" ht="15.75" customHeight="1">
      <c r="A41" s="1"/>
      <c r="B41" s="4"/>
      <c r="C41" s="296" t="s">
        <v>159</v>
      </c>
      <c r="D41" s="295"/>
      <c r="E41" s="109">
        <f>IF(I41=E40," ",I41-E40)</f>
        <v>-9.2500000000000071</v>
      </c>
      <c r="F41" s="110">
        <v>2</v>
      </c>
      <c r="G41" s="111" t="s">
        <v>150</v>
      </c>
      <c r="H41" s="112">
        <f>H22</f>
        <v>19.829999999999998</v>
      </c>
      <c r="I41" s="113">
        <f>ABS(E16+K20+H10-K14-K11-K13)</f>
        <v>18.549999999999997</v>
      </c>
      <c r="J41" s="114">
        <f>IF(Bangtra!AG25=0,Bangtra!AE25,Bangtra!AF25)</f>
        <v>311</v>
      </c>
      <c r="K41" s="96"/>
      <c r="L41" s="4"/>
      <c r="M41" s="6"/>
      <c r="N41" s="4"/>
      <c r="O41" s="36"/>
      <c r="P41" s="4"/>
      <c r="Q41" s="4"/>
      <c r="R41" s="4"/>
      <c r="S41" s="4"/>
      <c r="T41" s="4"/>
      <c r="U41" s="37"/>
      <c r="V41" s="4"/>
      <c r="W41" s="91"/>
      <c r="X41" s="4"/>
      <c r="Y41" s="4"/>
      <c r="Z41" s="4"/>
      <c r="AA41" s="4"/>
      <c r="AB41" s="4"/>
      <c r="AC41" s="6"/>
      <c r="AD41" s="4"/>
      <c r="AE41" s="4"/>
      <c r="AF41" s="4"/>
      <c r="AG41" s="115"/>
      <c r="AH41" s="115"/>
      <c r="AI41" s="115"/>
      <c r="AJ41" s="115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</row>
    <row r="42" spans="1:257" ht="15.75" customHeight="1">
      <c r="A42" s="1"/>
      <c r="B42" s="4"/>
      <c r="C42" s="3"/>
      <c r="D42" s="4"/>
      <c r="E42" s="9" t="str">
        <f>IF(I41&lt;&gt;E40,"SAI, xem l¹i li"," ")</f>
        <v>SAI, xem l¹i li</v>
      </c>
      <c r="F42" s="4"/>
      <c r="G42" s="4"/>
      <c r="H42" s="4"/>
      <c r="I42" s="4"/>
      <c r="J42" s="4"/>
      <c r="K42" s="4"/>
      <c r="L42" s="4"/>
      <c r="M42" s="6"/>
      <c r="N42" s="4"/>
      <c r="O42" s="116"/>
      <c r="P42" s="20"/>
      <c r="Q42" s="58" t="s">
        <v>160</v>
      </c>
      <c r="R42" s="117">
        <f>H8</f>
        <v>2</v>
      </c>
      <c r="S42" s="20"/>
      <c r="T42" s="20"/>
      <c r="U42" s="118"/>
      <c r="V42" s="4"/>
      <c r="W42" s="91"/>
      <c r="X42" s="4"/>
      <c r="Y42" s="4"/>
      <c r="Z42" s="4"/>
      <c r="AA42" s="4"/>
      <c r="AB42" s="4"/>
      <c r="AC42" s="6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</row>
    <row r="43" spans="1:257" ht="15.75" customHeight="1">
      <c r="A43" s="1"/>
      <c r="B43" s="4"/>
      <c r="C43" s="41" t="s">
        <v>161</v>
      </c>
      <c r="D43" s="4"/>
      <c r="E43" s="4"/>
      <c r="F43" s="4"/>
      <c r="G43" s="119" t="s">
        <v>162</v>
      </c>
      <c r="H43" s="65">
        <f>(H28*E28+H29*E29+H30*E30+H31*E31+H32*E32+H33*E33+H34*E34+H35*E35+H36*E36+H37*E37+H38*E38+H39*E39)/(SUM(E28:E39))</f>
        <v>8.6733093525179843</v>
      </c>
      <c r="I43" s="4"/>
      <c r="J43" s="38" t="s">
        <v>163</v>
      </c>
      <c r="K43" s="65">
        <f>H43/4</f>
        <v>2.1683273381294961</v>
      </c>
      <c r="L43" s="4"/>
      <c r="M43" s="6"/>
      <c r="N43" s="4"/>
      <c r="O43" s="120"/>
      <c r="P43" s="25"/>
      <c r="Q43" s="121"/>
      <c r="R43" s="122"/>
      <c r="S43" s="90" t="s">
        <v>153</v>
      </c>
      <c r="T43" s="25"/>
      <c r="U43" s="4"/>
      <c r="V43" s="4"/>
      <c r="W43" s="91"/>
      <c r="X43" s="4"/>
      <c r="Y43" s="4"/>
      <c r="Z43" s="4"/>
      <c r="AA43" s="4"/>
      <c r="AB43" s="4"/>
      <c r="AC43" s="6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</row>
    <row r="44" spans="1:257" ht="15.75" customHeight="1">
      <c r="A44" s="1"/>
      <c r="B44" s="4"/>
      <c r="C44" s="123" t="s">
        <v>164</v>
      </c>
      <c r="D44" s="4"/>
      <c r="E44" s="4"/>
      <c r="F44" s="4"/>
      <c r="G44" s="119" t="s">
        <v>165</v>
      </c>
      <c r="H44" s="65">
        <f>(F28*E28+F29*E29+F30*E30+F31*E31+F32*E32+F33*E33+F34*E34+F35*E35+F36*E36+F37*E37+F38*E38+F39*E39)/(SUM(E28:E39))</f>
        <v>1.9072661870503591</v>
      </c>
      <c r="I44" s="4" t="s">
        <v>166</v>
      </c>
      <c r="J44" s="3" t="s">
        <v>167</v>
      </c>
      <c r="K44" s="65">
        <f>TAN(K43*3.14/180)</f>
        <v>3.7843315626271586E-2</v>
      </c>
      <c r="L44" s="4"/>
      <c r="M44" s="6"/>
      <c r="N44" s="124"/>
      <c r="O44" s="124"/>
      <c r="P44" s="124"/>
      <c r="Q44" s="125" t="s">
        <v>168</v>
      </c>
      <c r="R44" s="126">
        <f>F62</f>
        <v>3.0669473837942514</v>
      </c>
      <c r="S44" s="127"/>
      <c r="T44" s="124"/>
      <c r="U44" s="124"/>
      <c r="V44" s="124"/>
      <c r="W44" s="128"/>
      <c r="X44" s="4"/>
      <c r="Y44" s="4"/>
      <c r="Z44" s="4"/>
      <c r="AA44" s="4"/>
      <c r="AB44" s="4"/>
      <c r="AC44" s="6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</row>
    <row r="45" spans="1:257" ht="15.75" customHeight="1">
      <c r="A45" s="1"/>
      <c r="B45" s="4"/>
      <c r="C45" s="123"/>
      <c r="D45" s="4"/>
      <c r="E45" s="4"/>
      <c r="F45" s="4"/>
      <c r="G45" s="3"/>
      <c r="H45" s="129"/>
      <c r="I45" s="4"/>
      <c r="J45" s="3"/>
      <c r="K45" s="41"/>
      <c r="L45" s="4"/>
      <c r="M45" s="6"/>
      <c r="N45" s="4"/>
      <c r="O45" s="4"/>
      <c r="P45" s="4"/>
      <c r="Q45" s="4"/>
      <c r="R45" s="130" t="s">
        <v>169</v>
      </c>
      <c r="S45" s="4"/>
      <c r="T45" s="4"/>
      <c r="U45" s="4"/>
      <c r="V45" s="4"/>
      <c r="W45" s="4"/>
      <c r="X45" s="4"/>
      <c r="Y45" s="4"/>
      <c r="Z45" s="4"/>
      <c r="AA45" s="4"/>
      <c r="AB45" s="4"/>
      <c r="AC45" s="6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</row>
    <row r="46" spans="1:257" ht="15.75" customHeight="1">
      <c r="A46" s="22" t="s">
        <v>170</v>
      </c>
      <c r="B46" s="23" t="s">
        <v>171</v>
      </c>
      <c r="C46" s="3"/>
      <c r="D46" s="4"/>
      <c r="E46" s="4"/>
      <c r="F46" s="4"/>
      <c r="G46" s="3" t="str">
        <f t="shared" ref="G46:H46" si="5">E2</f>
        <v>VÞ trÝ:</v>
      </c>
      <c r="H46" s="23" t="str">
        <f t="shared" si="5"/>
        <v>Mãng cäc §C-4, HK K13</v>
      </c>
      <c r="I46" s="4"/>
      <c r="J46" s="4"/>
      <c r="K46" s="5" t="str">
        <f>K1</f>
        <v>CoIns-404-9(C) - PILE99</v>
      </c>
      <c r="L46" s="4"/>
      <c r="M46" s="131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6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</row>
    <row r="47" spans="1:257" ht="15.75" customHeight="1">
      <c r="A47" s="1"/>
      <c r="B47" s="4"/>
      <c r="C47" s="3"/>
      <c r="D47" s="26"/>
      <c r="E47" s="4"/>
      <c r="F47" s="3" t="s">
        <v>172</v>
      </c>
      <c r="G47" s="65">
        <f>(TAN((45-H18/2)*3.14/180))*SQRT(E10/(H17*H9))</f>
        <v>1.0969935982461889</v>
      </c>
      <c r="H47" s="41" t="s">
        <v>36</v>
      </c>
      <c r="I47" s="132"/>
      <c r="J47" s="4"/>
      <c r="K47" s="4"/>
      <c r="L47" s="133"/>
      <c r="M47" s="6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6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</row>
    <row r="48" spans="1:257" ht="15.75" customHeight="1">
      <c r="A48" s="1"/>
      <c r="B48" s="4"/>
      <c r="C48" s="3" t="s">
        <v>173</v>
      </c>
      <c r="D48" s="26" t="s">
        <v>29</v>
      </c>
      <c r="E48" s="32">
        <f>K21</f>
        <v>1.1500000000000001</v>
      </c>
      <c r="F48" s="134" t="str">
        <f>IF(E48=G48,"= H =",IF(E48&gt;G48,"&gt; H =","&lt; H ="))</f>
        <v>&gt; H =</v>
      </c>
      <c r="G48" s="65">
        <f>0.7*G47</f>
        <v>0.7678955187723322</v>
      </c>
      <c r="H48" s="135" t="str">
        <f>IF(F48="&lt; H =","ch­a ®¹t.","®¹t.")</f>
        <v>®¹t.</v>
      </c>
      <c r="I48" s="4"/>
      <c r="J48" s="4"/>
      <c r="K48" s="4"/>
      <c r="L48" s="4"/>
      <c r="M48" s="6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6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</row>
    <row r="49" spans="1:257" ht="15.75" customHeight="1">
      <c r="A49" s="22" t="s">
        <v>174</v>
      </c>
      <c r="B49" s="23" t="s">
        <v>175</v>
      </c>
      <c r="C49" s="3"/>
      <c r="D49" s="4"/>
      <c r="E49" s="4"/>
      <c r="F49" s="4"/>
      <c r="G49" s="29" t="s">
        <v>176</v>
      </c>
      <c r="H49" s="4"/>
      <c r="I49" s="4"/>
      <c r="J49" s="3" t="s">
        <v>177</v>
      </c>
      <c r="K49" s="65">
        <f>E18*(E19*E13*10*K25+E20*E12*10*K23)</f>
        <v>80.396588274154638</v>
      </c>
      <c r="L49" s="4" t="s">
        <v>178</v>
      </c>
      <c r="M49" s="6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</row>
    <row r="50" spans="1:257" ht="15.75" customHeight="1">
      <c r="A50" s="22" t="s">
        <v>179</v>
      </c>
      <c r="B50" s="23" t="str">
        <f>IF(O52&lt;0,"Søc chÞu t¶i cña cäc lÊy theo thiÕt kÕ:","Søc chÞu t¶i cña cäc theo sè liÖu khoan:")</f>
        <v>Søc chÞu t¶i cña cäc theo sè liÖu khoan:</v>
      </c>
      <c r="C50" s="3"/>
      <c r="D50" s="4"/>
      <c r="E50" s="4"/>
      <c r="F50" s="4"/>
      <c r="G50" s="29" t="s">
        <v>180</v>
      </c>
      <c r="H50" s="3"/>
      <c r="I50" s="4"/>
      <c r="J50" s="3" t="s">
        <v>181</v>
      </c>
      <c r="K50" s="32">
        <f>IF(O52&lt;0,ABS(O52),E21*(E22*J41*K23+K24*E23*K40))</f>
        <v>55.850499999999997</v>
      </c>
      <c r="L50" s="4" t="s">
        <v>182</v>
      </c>
      <c r="M50" s="6"/>
      <c r="N50" s="4" t="s">
        <v>183</v>
      </c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6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</row>
    <row r="51" spans="1:257" ht="15.75" customHeight="1">
      <c r="A51" s="1"/>
      <c r="B51" s="136" t="s">
        <v>184</v>
      </c>
      <c r="C51" s="3"/>
      <c r="D51" s="4"/>
      <c r="E51" s="4"/>
      <c r="F51" s="3" t="s">
        <v>185</v>
      </c>
      <c r="G51" s="35">
        <v>1.4</v>
      </c>
      <c r="H51" s="4"/>
      <c r="I51" s="4"/>
      <c r="J51" s="3" t="s">
        <v>186</v>
      </c>
      <c r="K51" s="32">
        <f>MIN(K49,K50)</f>
        <v>55.850499999999997</v>
      </c>
      <c r="L51" s="4" t="s">
        <v>178</v>
      </c>
      <c r="M51" s="6"/>
      <c r="N51" s="4" t="s">
        <v>187</v>
      </c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6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</row>
    <row r="52" spans="1:257" ht="15.75" customHeight="1">
      <c r="A52" s="1"/>
      <c r="B52" s="4"/>
      <c r="C52" s="3"/>
      <c r="D52" s="26"/>
      <c r="E52" s="4"/>
      <c r="F52" s="3" t="s">
        <v>188</v>
      </c>
      <c r="G52" s="114">
        <f>K51/G51</f>
        <v>39.893214285714286</v>
      </c>
      <c r="H52" s="4" t="s">
        <v>178</v>
      </c>
      <c r="I52" s="4"/>
      <c r="J52" s="4"/>
      <c r="K52" s="4"/>
      <c r="L52" s="4"/>
      <c r="M52" s="6"/>
      <c r="N52" s="3" t="s">
        <v>189</v>
      </c>
      <c r="O52" s="298">
        <v>0</v>
      </c>
      <c r="P52" s="264"/>
      <c r="Q52" s="4" t="s">
        <v>190</v>
      </c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6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</row>
    <row r="53" spans="1:257" ht="15.75" customHeight="1">
      <c r="A53" s="22" t="s">
        <v>191</v>
      </c>
      <c r="B53" s="23" t="s">
        <v>192</v>
      </c>
      <c r="C53" s="137"/>
      <c r="D53" s="4"/>
      <c r="E53" s="4"/>
      <c r="F53" s="4"/>
      <c r="G53" s="32" t="s">
        <v>193</v>
      </c>
      <c r="H53" s="32"/>
      <c r="I53" s="4"/>
      <c r="J53" s="4"/>
      <c r="K53" s="4"/>
      <c r="L53" s="4"/>
      <c r="M53" s="6"/>
      <c r="N53" s="4" t="s">
        <v>194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6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</row>
    <row r="54" spans="1:257" ht="15.75" customHeight="1">
      <c r="A54" s="1"/>
      <c r="B54" s="29" t="s">
        <v>195</v>
      </c>
      <c r="C54" s="3"/>
      <c r="D54" s="4"/>
      <c r="E54" s="4"/>
      <c r="F54" s="4"/>
      <c r="G54" s="3"/>
      <c r="H54" s="32"/>
      <c r="I54" s="4"/>
      <c r="J54" s="3" t="s">
        <v>196</v>
      </c>
      <c r="K54" s="28">
        <v>5</v>
      </c>
      <c r="L54" s="4" t="s">
        <v>178</v>
      </c>
      <c r="M54" s="6"/>
      <c r="N54" s="4" t="s">
        <v>197</v>
      </c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6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</row>
    <row r="55" spans="1:257" ht="15.75" customHeight="1">
      <c r="A55" s="1"/>
      <c r="B55" s="29" t="s">
        <v>198</v>
      </c>
      <c r="C55" s="137"/>
      <c r="D55" s="4"/>
      <c r="E55" s="4"/>
      <c r="F55" s="4"/>
      <c r="G55" s="3"/>
      <c r="H55" s="32"/>
      <c r="I55" s="4"/>
      <c r="J55" s="3" t="s">
        <v>199</v>
      </c>
      <c r="K55" s="32">
        <f>H8*H9*H10*E11+H8*H9*K20*H17</f>
        <v>9.02</v>
      </c>
      <c r="L55" s="4" t="s">
        <v>178</v>
      </c>
      <c r="M55" s="6"/>
      <c r="N55" s="4" t="s">
        <v>200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6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</row>
    <row r="56" spans="1:257" ht="15.75" customHeight="1">
      <c r="A56" s="1"/>
      <c r="B56" s="29" t="s">
        <v>201</v>
      </c>
      <c r="C56" s="137"/>
      <c r="D56" s="4"/>
      <c r="E56" s="4"/>
      <c r="F56" s="4"/>
      <c r="G56" s="3"/>
      <c r="H56" s="4"/>
      <c r="I56" s="4"/>
      <c r="J56" s="3" t="s">
        <v>202</v>
      </c>
      <c r="K56" s="32">
        <f>E8+K54+K55</f>
        <v>178.15600000000001</v>
      </c>
      <c r="L56" s="4" t="s">
        <v>178</v>
      </c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6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</row>
    <row r="57" spans="1:257" ht="15.75" customHeight="1">
      <c r="A57" s="1"/>
      <c r="B57" s="4"/>
      <c r="C57" s="65" t="s">
        <v>203</v>
      </c>
      <c r="D57" s="4" t="s">
        <v>204</v>
      </c>
      <c r="E57" s="138">
        <f>K56/H13+K57*H14/H15</f>
        <v>38.665999999999997</v>
      </c>
      <c r="F57" s="134" t="str">
        <f>IF(E57=G52,"= [P] =",IF(E57&gt;G52,"&gt; [P] =","&lt; [P] ="))</f>
        <v>&lt; [P] =</v>
      </c>
      <c r="G57" s="65">
        <f>G52</f>
        <v>39.893214285714286</v>
      </c>
      <c r="H57" s="135" t="str">
        <f>IF(F57="&gt; [P] =","ch­a ®¹t.","®¹t.")</f>
        <v>®¹t.</v>
      </c>
      <c r="I57" s="4"/>
      <c r="J57" s="3" t="s">
        <v>205</v>
      </c>
      <c r="K57" s="32">
        <f>E9+E10*H10</f>
        <v>13.459999999999999</v>
      </c>
      <c r="L57" s="4" t="s">
        <v>178</v>
      </c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6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</row>
    <row r="58" spans="1:257" ht="15.75" customHeight="1">
      <c r="A58" s="1"/>
      <c r="B58" s="4"/>
      <c r="C58" s="65" t="s">
        <v>206</v>
      </c>
      <c r="D58" s="4" t="s">
        <v>204</v>
      </c>
      <c r="E58" s="113">
        <f>K56/H13-K57*H14/H15</f>
        <v>20.719333333333335</v>
      </c>
      <c r="F58" s="134" t="str">
        <f>IF(E58&gt;0,"&gt; 0","&lt; 0")</f>
        <v>&gt; 0</v>
      </c>
      <c r="G58" s="4"/>
      <c r="H58" s="135" t="str">
        <f>IF(F58="&gt; 0","®¹t.","xem l¹i.")</f>
        <v>®¹t.</v>
      </c>
      <c r="I58" s="4"/>
      <c r="J58" s="4"/>
      <c r="K58" s="4"/>
      <c r="L58" s="4"/>
      <c r="M58" s="6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6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</row>
    <row r="59" spans="1:257" ht="15.75" customHeight="1">
      <c r="A59" s="1"/>
      <c r="B59" s="4"/>
      <c r="C59" s="3"/>
      <c r="D59" s="4"/>
      <c r="E59" s="4"/>
      <c r="F59" s="4"/>
      <c r="G59" s="4"/>
      <c r="H59" s="4"/>
      <c r="I59" s="4"/>
      <c r="J59" s="4"/>
      <c r="K59" s="4"/>
      <c r="L59" s="4"/>
      <c r="M59" s="6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6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</row>
    <row r="60" spans="1:257" ht="15.75" customHeight="1">
      <c r="A60" s="22" t="s">
        <v>207</v>
      </c>
      <c r="B60" s="139" t="s">
        <v>208</v>
      </c>
      <c r="C60" s="3"/>
      <c r="D60" s="4"/>
      <c r="E60" s="4"/>
      <c r="F60" s="4"/>
      <c r="G60" s="4"/>
      <c r="H60" s="4"/>
      <c r="I60" s="4"/>
      <c r="J60" s="4"/>
      <c r="K60" s="4"/>
      <c r="L60" s="4"/>
      <c r="M60" s="6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6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</row>
    <row r="61" spans="1:257" ht="15.75" customHeight="1">
      <c r="A61" s="1"/>
      <c r="B61" s="4" t="s">
        <v>209</v>
      </c>
      <c r="C61" s="3"/>
      <c r="D61" s="4"/>
      <c r="E61" s="4"/>
      <c r="F61" s="4"/>
      <c r="G61" s="4"/>
      <c r="H61" s="4"/>
      <c r="I61" s="4"/>
      <c r="J61" s="4"/>
      <c r="K61" s="4"/>
      <c r="L61" s="4"/>
      <c r="M61" s="6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6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</row>
    <row r="62" spans="1:257" ht="15.75" customHeight="1">
      <c r="A62" s="1"/>
      <c r="B62" s="4"/>
      <c r="C62" s="3"/>
      <c r="D62" s="4"/>
      <c r="E62" s="3" t="s">
        <v>210</v>
      </c>
      <c r="F62" s="65">
        <f>H19+2*K19*K44</f>
        <v>3.0669473837942514</v>
      </c>
      <c r="G62" s="4" t="s">
        <v>36</v>
      </c>
      <c r="H62" s="4"/>
      <c r="I62" s="4"/>
      <c r="J62" s="3" t="s">
        <v>211</v>
      </c>
      <c r="K62" s="32">
        <f>F62*F63</f>
        <v>7.1059557171167143</v>
      </c>
      <c r="L62" s="4" t="s">
        <v>212</v>
      </c>
      <c r="M62" s="6"/>
      <c r="N62" s="4" t="s">
        <v>213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6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</row>
    <row r="63" spans="1:257" ht="15.75" customHeight="1">
      <c r="A63" s="1"/>
      <c r="B63" s="4"/>
      <c r="C63" s="3"/>
      <c r="D63" s="4"/>
      <c r="E63" s="3" t="s">
        <v>214</v>
      </c>
      <c r="F63" s="65">
        <f>H20+2*K19*K44</f>
        <v>2.3169473837942514</v>
      </c>
      <c r="G63" s="4" t="s">
        <v>36</v>
      </c>
      <c r="H63" s="4"/>
      <c r="I63" s="4"/>
      <c r="J63" s="3" t="s">
        <v>215</v>
      </c>
      <c r="K63" s="32">
        <f>F63*F62*F62/6</f>
        <v>3.632265382661485</v>
      </c>
      <c r="L63" s="4" t="s">
        <v>216</v>
      </c>
      <c r="M63" s="6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6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</row>
    <row r="64" spans="1:257" ht="15.75" customHeight="1">
      <c r="A64" s="1"/>
      <c r="B64" s="29" t="s">
        <v>217</v>
      </c>
      <c r="C64" s="3"/>
      <c r="D64" s="4"/>
      <c r="E64" s="4"/>
      <c r="F64" s="4"/>
      <c r="G64" s="4"/>
      <c r="H64" s="4"/>
      <c r="I64" s="4"/>
      <c r="J64" s="65" t="s">
        <v>218</v>
      </c>
      <c r="K64" s="32">
        <f>(E11+H17)*K22*K62/2</f>
        <v>25.240354707198566</v>
      </c>
      <c r="L64" s="4" t="s">
        <v>178</v>
      </c>
      <c r="M64" s="6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6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</row>
    <row r="65" spans="1:257" ht="15.75" customHeight="1">
      <c r="A65" s="1"/>
      <c r="B65" s="29" t="s">
        <v>219</v>
      </c>
      <c r="C65" s="3"/>
      <c r="D65" s="4"/>
      <c r="E65" s="4"/>
      <c r="F65" s="4"/>
      <c r="G65" s="4"/>
      <c r="H65" s="4"/>
      <c r="I65" s="4"/>
      <c r="J65" s="65" t="s">
        <v>220</v>
      </c>
      <c r="K65" s="32">
        <f>H44*K19*K62</f>
        <v>235.82131374724977</v>
      </c>
      <c r="L65" s="4" t="s">
        <v>178</v>
      </c>
      <c r="M65" s="6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6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</row>
    <row r="66" spans="1:257" ht="15.75" customHeight="1">
      <c r="A66" s="1"/>
      <c r="B66" s="4"/>
      <c r="C66" s="3"/>
      <c r="D66" s="4"/>
      <c r="E66" s="4"/>
      <c r="F66" s="3" t="s">
        <v>221</v>
      </c>
      <c r="G66" s="140">
        <v>2</v>
      </c>
      <c r="H66" s="4"/>
      <c r="I66" s="4"/>
      <c r="J66" s="3" t="s">
        <v>222</v>
      </c>
      <c r="K66" s="32">
        <f>E8/G66+K54+K64+K65</f>
        <v>348.12966845444834</v>
      </c>
      <c r="L66" s="4" t="s">
        <v>178</v>
      </c>
      <c r="M66" s="141"/>
      <c r="N66" s="4" t="s">
        <v>223</v>
      </c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6"/>
      <c r="AD66" s="4"/>
      <c r="AE66" s="65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</row>
    <row r="67" spans="1:257" ht="15.75" customHeight="1">
      <c r="A67" s="1"/>
      <c r="B67" s="4"/>
      <c r="C67" s="3"/>
      <c r="D67" s="4"/>
      <c r="E67" s="4"/>
      <c r="F67" s="4"/>
      <c r="G67" s="4"/>
      <c r="H67" s="4"/>
      <c r="I67" s="4"/>
      <c r="J67" s="3" t="s">
        <v>224</v>
      </c>
      <c r="K67" s="32">
        <f>E9/G66+E10*H10/G66</f>
        <v>6.7299999999999995</v>
      </c>
      <c r="L67" s="4" t="s">
        <v>34</v>
      </c>
      <c r="M67" s="6"/>
      <c r="N67" s="4" t="s">
        <v>225</v>
      </c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6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</row>
    <row r="68" spans="1:257" ht="15.75" customHeight="1">
      <c r="A68" s="1"/>
      <c r="B68" s="4" t="s">
        <v>226</v>
      </c>
      <c r="C68" s="3"/>
      <c r="D68" s="4"/>
      <c r="E68" s="4"/>
      <c r="F68" s="4"/>
      <c r="G68" s="4"/>
      <c r="H68" s="4"/>
      <c r="I68" s="4"/>
      <c r="J68" s="3" t="s">
        <v>227</v>
      </c>
      <c r="K68" s="35">
        <v>1.6</v>
      </c>
      <c r="L68" s="4"/>
      <c r="M68" s="141"/>
      <c r="N68" s="4" t="s">
        <v>228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6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</row>
    <row r="69" spans="1:257" ht="15.75" customHeight="1">
      <c r="A69" s="1"/>
      <c r="B69" s="3" t="s">
        <v>229</v>
      </c>
      <c r="C69" s="65">
        <f>MIN(F62,F63)</f>
        <v>2.3169473837942514</v>
      </c>
      <c r="D69" s="4" t="s">
        <v>36</v>
      </c>
      <c r="E69" s="38" t="s">
        <v>230</v>
      </c>
      <c r="F69" s="32">
        <f>F41</f>
        <v>2</v>
      </c>
      <c r="G69" s="3" t="s">
        <v>231</v>
      </c>
      <c r="H69" s="32">
        <f t="shared" ref="H69:H70" si="6">H21</f>
        <v>0</v>
      </c>
      <c r="I69" s="4" t="s">
        <v>232</v>
      </c>
      <c r="J69" s="3" t="s">
        <v>233</v>
      </c>
      <c r="K69" s="65">
        <f>IF(H22=0,0,PI()*0.25/((1/TAN(H22*PI()/180))+(H22*PI()/180)-PI()/2))</f>
        <v>0.50724757276740662</v>
      </c>
      <c r="L69" s="4"/>
      <c r="M69" s="6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6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</row>
    <row r="70" spans="1:257" ht="15.75" customHeight="1">
      <c r="A70" s="1"/>
      <c r="B70" s="3" t="s">
        <v>234</v>
      </c>
      <c r="C70" s="65">
        <f>K21+K19</f>
        <v>18.549999999999997</v>
      </c>
      <c r="D70" s="4" t="s">
        <v>36</v>
      </c>
      <c r="E70" s="38" t="s">
        <v>235</v>
      </c>
      <c r="F70" s="32">
        <f>H44</f>
        <v>1.9072661870503591</v>
      </c>
      <c r="G70" s="38" t="s">
        <v>236</v>
      </c>
      <c r="H70" s="32">
        <f t="shared" si="6"/>
        <v>19.829999999999998</v>
      </c>
      <c r="I70" s="4" t="s">
        <v>237</v>
      </c>
      <c r="J70" s="3" t="s">
        <v>35</v>
      </c>
      <c r="K70" s="65">
        <f>IF(H22=0,1,(PI()/((1/TAN(H22*PI()/180))+(H22*PI()/180)-PI()/2))+1)</f>
        <v>3.0289902910696265</v>
      </c>
      <c r="L70" s="4"/>
      <c r="M70" s="6"/>
      <c r="N70" s="4"/>
      <c r="O70" s="4"/>
      <c r="P70" s="4"/>
      <c r="Q70" s="3"/>
      <c r="R70" s="142"/>
      <c r="S70" s="4"/>
      <c r="T70" s="4"/>
      <c r="U70" s="4"/>
      <c r="V70" s="143"/>
      <c r="W70" s="143"/>
      <c r="X70" s="4"/>
      <c r="Y70" s="4"/>
      <c r="Z70" s="4"/>
      <c r="AA70" s="4"/>
      <c r="AB70" s="4"/>
      <c r="AC70" s="6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</row>
    <row r="71" spans="1:257" ht="15.75" customHeight="1">
      <c r="A71" s="1"/>
      <c r="B71" s="4"/>
      <c r="C71" s="3"/>
      <c r="D71" s="4"/>
      <c r="E71" s="4"/>
      <c r="F71" s="3" t="s">
        <v>238</v>
      </c>
      <c r="G71" s="65">
        <f>K68*(K69*C69*F41+K70*C70*H44+K71*H21)</f>
        <v>175.22490484495836</v>
      </c>
      <c r="H71" s="4" t="s">
        <v>239</v>
      </c>
      <c r="I71" s="4"/>
      <c r="J71" s="3" t="s">
        <v>240</v>
      </c>
      <c r="K71" s="65">
        <f>IF(H22=0,PI(),(PI()/TAN(H22*PI()/180))/((1/TAN(H22*PI()/180))+(H22*PI()/180)-PI()/2))</f>
        <v>5.6264920638831368</v>
      </c>
      <c r="L71" s="4"/>
      <c r="M71" s="6"/>
      <c r="N71" s="115"/>
      <c r="O71" s="115"/>
      <c r="P71" s="115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6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</row>
    <row r="72" spans="1:257" ht="15.75" customHeight="1">
      <c r="A72" s="1"/>
      <c r="B72" s="4" t="s">
        <v>241</v>
      </c>
      <c r="C72" s="3"/>
      <c r="D72" s="4"/>
      <c r="E72" s="4"/>
      <c r="F72" s="4"/>
      <c r="G72" s="144" t="s">
        <v>242</v>
      </c>
      <c r="H72" s="4"/>
      <c r="I72" s="4"/>
      <c r="J72" s="4"/>
      <c r="K72" s="4"/>
      <c r="L72" s="4"/>
      <c r="M72" s="6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6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</row>
    <row r="73" spans="1:257" ht="15.75" customHeight="1">
      <c r="A73" s="1"/>
      <c r="B73" s="4"/>
      <c r="C73" s="145" t="s">
        <v>243</v>
      </c>
      <c r="D73" s="4" t="s">
        <v>204</v>
      </c>
      <c r="E73" s="138">
        <f>K66/K62</f>
        <v>48.991252171172285</v>
      </c>
      <c r="F73" s="134" t="str">
        <f>IF(E73=G71,"= R =",IF(E73&gt;G71,"&gt; R =","&lt; R ="))</f>
        <v>&lt; R =</v>
      </c>
      <c r="G73" s="65">
        <f>G71</f>
        <v>175.22490484495836</v>
      </c>
      <c r="H73" s="135" t="str">
        <f>IF(F73="&gt; R =","ch­a ®¹t.","®¹t.")</f>
        <v>®¹t.</v>
      </c>
      <c r="I73" s="4"/>
      <c r="J73" s="3"/>
      <c r="K73" s="41"/>
      <c r="L73" s="4"/>
      <c r="M73" s="6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6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</row>
    <row r="74" spans="1:257" ht="15.75" customHeight="1">
      <c r="A74" s="1"/>
      <c r="B74" s="4"/>
      <c r="C74" s="145" t="s">
        <v>244</v>
      </c>
      <c r="D74" s="4" t="s">
        <v>204</v>
      </c>
      <c r="E74" s="81">
        <f>K66/K62+K67/K63</f>
        <v>50.844090356434151</v>
      </c>
      <c r="F74" s="134" t="str">
        <f>IF(E74=1.2*G71,"= 1,2.R =",IF(E74&gt;1.2*G71,"&gt; 1,2.R =","&lt; 1,2.R ="))</f>
        <v>&lt; 1,2.R =</v>
      </c>
      <c r="G74" s="65">
        <f>G71*1.2</f>
        <v>210.26988581395003</v>
      </c>
      <c r="H74" s="135" t="str">
        <f>IF(F74="&gt; 1,2.R =","ch­a ®¹t.","®¹t.")</f>
        <v>®¹t.</v>
      </c>
      <c r="I74" s="4"/>
      <c r="J74" s="4"/>
      <c r="K74" s="4"/>
      <c r="L74" s="4"/>
      <c r="M74" s="6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6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</row>
    <row r="75" spans="1:257" ht="15.75" customHeight="1">
      <c r="A75" s="1"/>
      <c r="B75" s="4"/>
      <c r="C75" s="145" t="s">
        <v>245</v>
      </c>
      <c r="D75" s="4" t="s">
        <v>204</v>
      </c>
      <c r="E75" s="113">
        <f>K66/K62-K67/K63</f>
        <v>47.138413985910418</v>
      </c>
      <c r="F75" s="134" t="str">
        <f>IF(E75&gt;0,"&gt; 0","&lt; 0")</f>
        <v>&gt; 0</v>
      </c>
      <c r="G75" s="4"/>
      <c r="H75" s="135" t="str">
        <f>IF(F75="&gt; 0","®¹t.","xem l¹i.")</f>
        <v>®¹t.</v>
      </c>
      <c r="I75" s="4"/>
      <c r="J75" s="4"/>
      <c r="K75" s="4"/>
      <c r="L75" s="4"/>
      <c r="M75" s="6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6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</row>
    <row r="76" spans="1:257" ht="15.75" customHeight="1">
      <c r="A76" s="1"/>
      <c r="B76" s="4"/>
      <c r="C76" s="3"/>
      <c r="D76" s="4"/>
      <c r="E76" s="4"/>
      <c r="F76" s="4"/>
      <c r="G76" s="4"/>
      <c r="H76" s="4"/>
      <c r="I76" s="4"/>
      <c r="J76" s="4"/>
      <c r="K76" s="4"/>
      <c r="L76" s="4"/>
      <c r="M76" s="6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6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</row>
    <row r="77" spans="1:257" ht="15.75" customHeight="1">
      <c r="A77" s="22" t="s">
        <v>246</v>
      </c>
      <c r="B77" s="139" t="s">
        <v>247</v>
      </c>
      <c r="C77" s="145"/>
      <c r="D77" s="4"/>
      <c r="E77" s="32"/>
      <c r="F77" s="134"/>
      <c r="G77" s="4"/>
      <c r="H77" s="146"/>
      <c r="I77" s="4"/>
      <c r="J77" s="4"/>
      <c r="K77" s="4"/>
      <c r="L77" s="4"/>
      <c r="M77" s="6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6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</row>
    <row r="78" spans="1:257" ht="15.75" customHeight="1">
      <c r="A78" s="1"/>
      <c r="B78" s="136" t="s">
        <v>248</v>
      </c>
      <c r="C78" s="3"/>
      <c r="D78" s="4" t="s">
        <v>249</v>
      </c>
      <c r="E78" s="32"/>
      <c r="F78" s="134"/>
      <c r="G78" s="4"/>
      <c r="H78" s="146"/>
      <c r="I78" s="4"/>
      <c r="J78" s="4"/>
      <c r="K78" s="4"/>
      <c r="L78" s="4"/>
      <c r="M78" s="6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6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</row>
    <row r="79" spans="1:257" ht="15.75" customHeight="1">
      <c r="A79" s="1"/>
      <c r="B79" s="3" t="s">
        <v>250</v>
      </c>
      <c r="C79" s="35">
        <v>0.25</v>
      </c>
      <c r="D79" s="4" t="s">
        <v>36</v>
      </c>
      <c r="E79" s="4" t="s">
        <v>251</v>
      </c>
      <c r="F79" s="4"/>
      <c r="G79" s="4"/>
      <c r="H79" s="4"/>
      <c r="I79" s="4"/>
      <c r="J79" s="4"/>
      <c r="K79" s="4"/>
      <c r="L79" s="4"/>
      <c r="M79" s="6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6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</row>
    <row r="80" spans="1:257" ht="15.75" customHeight="1">
      <c r="A80" s="1"/>
      <c r="B80" s="3" t="s">
        <v>252</v>
      </c>
      <c r="C80" s="65">
        <f>H10</f>
        <v>0.9</v>
      </c>
      <c r="D80" s="4" t="s">
        <v>36</v>
      </c>
      <c r="E80" s="4" t="s">
        <v>253</v>
      </c>
      <c r="F80" s="4"/>
      <c r="G80" s="4"/>
      <c r="H80" s="4"/>
      <c r="I80" s="4"/>
      <c r="J80" s="4"/>
      <c r="K80" s="4"/>
      <c r="L80" s="4"/>
      <c r="M80" s="6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6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</row>
    <row r="81" spans="1:257" ht="15.75" customHeight="1">
      <c r="A81" s="1"/>
      <c r="B81" s="3" t="s">
        <v>254</v>
      </c>
      <c r="C81" s="65">
        <f>H8/2-H11/2-C79</f>
        <v>0.4</v>
      </c>
      <c r="D81" s="4" t="s">
        <v>36</v>
      </c>
      <c r="E81" s="4" t="s">
        <v>255</v>
      </c>
      <c r="F81" s="134"/>
      <c r="G81" s="4"/>
      <c r="H81" s="26"/>
      <c r="I81" s="4"/>
      <c r="J81" s="4"/>
      <c r="K81" s="4"/>
      <c r="L81" s="4"/>
      <c r="M81" s="6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6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</row>
    <row r="82" spans="1:257" ht="15.75" customHeight="1">
      <c r="A82" s="1"/>
      <c r="B82" s="4"/>
      <c r="C82" s="3" t="s">
        <v>256</v>
      </c>
      <c r="D82" s="4" t="s">
        <v>204</v>
      </c>
      <c r="E82" s="65">
        <f>C81</f>
        <v>0.4</v>
      </c>
      <c r="F82" s="134" t="str">
        <f>IF(E82=C80,"= T =",IF(E82&gt;C80,"&gt; T =","&lt; T ="))</f>
        <v>&lt; T =</v>
      </c>
      <c r="G82" s="65">
        <f>C80</f>
        <v>0.9</v>
      </c>
      <c r="H82" s="135" t="str">
        <f>IF(F82="&gt; T =","ch­a ®¹t, cÇn tÝnh cô thÓ.","®¹t.")</f>
        <v>®¹t.</v>
      </c>
      <c r="I82" s="4"/>
      <c r="J82" s="4"/>
      <c r="K82" s="4"/>
      <c r="L82" s="4"/>
      <c r="M82" s="6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6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</row>
    <row r="83" spans="1:257" ht="15.75" customHeight="1">
      <c r="A83" s="1"/>
      <c r="B83" s="136" t="s">
        <v>257</v>
      </c>
      <c r="C83" s="4"/>
      <c r="D83" s="147"/>
      <c r="E83" s="4" t="s">
        <v>258</v>
      </c>
      <c r="F83" s="4"/>
      <c r="G83" s="4"/>
      <c r="H83" s="4"/>
      <c r="I83" s="3" t="s">
        <v>259</v>
      </c>
      <c r="J83" s="148">
        <f>(H10-K14)*100</f>
        <v>80</v>
      </c>
      <c r="K83" s="4" t="s">
        <v>75</v>
      </c>
      <c r="L83" s="4"/>
      <c r="M83" s="6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6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</row>
    <row r="84" spans="1:257" ht="15.75" customHeight="1">
      <c r="A84" s="1"/>
      <c r="B84" s="4"/>
      <c r="C84" s="4"/>
      <c r="D84" s="4"/>
      <c r="E84" s="4"/>
      <c r="F84" s="4"/>
      <c r="G84" s="4"/>
      <c r="H84" s="4"/>
      <c r="I84" s="3" t="s">
        <v>260</v>
      </c>
      <c r="J84" s="149">
        <f>H16</f>
        <v>2800</v>
      </c>
      <c r="K84" s="4" t="s">
        <v>261</v>
      </c>
      <c r="L84" s="4"/>
      <c r="M84" s="6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6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</row>
    <row r="85" spans="1:257" ht="15.75" customHeight="1">
      <c r="A85" s="150"/>
      <c r="B85" s="296" t="s">
        <v>262</v>
      </c>
      <c r="C85" s="297"/>
      <c r="D85" s="297"/>
      <c r="E85" s="295"/>
      <c r="F85" s="54" t="s">
        <v>263</v>
      </c>
      <c r="G85" s="296" t="s">
        <v>264</v>
      </c>
      <c r="H85" s="297"/>
      <c r="I85" s="295"/>
      <c r="J85" s="277" t="s">
        <v>265</v>
      </c>
      <c r="K85" s="278"/>
      <c r="L85" s="4"/>
      <c r="M85" s="6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6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</row>
    <row r="86" spans="1:257" ht="15.75" customHeight="1">
      <c r="A86" s="1"/>
      <c r="B86" s="24" t="s">
        <v>266</v>
      </c>
      <c r="C86" s="277" t="s">
        <v>267</v>
      </c>
      <c r="D86" s="278"/>
      <c r="E86" s="151" t="s">
        <v>268</v>
      </c>
      <c r="F86" s="26" t="s">
        <v>269</v>
      </c>
      <c r="G86" s="83" t="s">
        <v>270</v>
      </c>
      <c r="H86" s="83" t="s">
        <v>271</v>
      </c>
      <c r="I86" s="77" t="s">
        <v>272</v>
      </c>
      <c r="J86" s="152" t="s">
        <v>273</v>
      </c>
      <c r="K86" s="153">
        <v>0.1</v>
      </c>
      <c r="L86" s="4"/>
      <c r="M86" s="6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6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</row>
    <row r="87" spans="1:257" ht="15.75" customHeight="1">
      <c r="A87" s="1"/>
      <c r="B87" s="57"/>
      <c r="C87" s="299" t="s">
        <v>274</v>
      </c>
      <c r="D87" s="280"/>
      <c r="E87" s="155" t="s">
        <v>275</v>
      </c>
      <c r="F87" s="78"/>
      <c r="G87" s="154" t="s">
        <v>276</v>
      </c>
      <c r="H87" s="156" t="s">
        <v>277</v>
      </c>
      <c r="I87" s="157" t="s">
        <v>278</v>
      </c>
      <c r="J87" s="158" t="s">
        <v>279</v>
      </c>
      <c r="K87" s="159"/>
      <c r="L87" s="4"/>
      <c r="M87" s="6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6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</row>
    <row r="88" spans="1:257" ht="15.75" customHeight="1">
      <c r="A88" s="1"/>
      <c r="B88" s="24" t="s">
        <v>280</v>
      </c>
      <c r="C88" s="300">
        <f>+E57*0.75</f>
        <v>28.999499999999998</v>
      </c>
      <c r="D88" s="278"/>
      <c r="E88" s="160">
        <f>C88*100000/(0.9*J83*H16)</f>
        <v>14.384672619047617</v>
      </c>
      <c r="F88" s="146" t="str">
        <f t="shared" ref="F88:F89" si="7">IF(E88&gt;G88,"ch­a ®¹t","®¹t")</f>
        <v>®¹t</v>
      </c>
      <c r="G88" s="161">
        <f t="shared" ref="G88:G89" si="8">(3.14*(I88/20)*(I88/20))*H88</f>
        <v>16.076800000000002</v>
      </c>
      <c r="H88" s="162">
        <v>8</v>
      </c>
      <c r="I88" s="163">
        <v>16</v>
      </c>
      <c r="J88" s="164">
        <f>G88/(H9*J83)</f>
        <v>0.16076800000000002</v>
      </c>
      <c r="K88" s="165" t="str">
        <f>IF(J88&lt;K86,"ch­a ®¹t","®¹t")</f>
        <v>®¹t</v>
      </c>
      <c r="L88" s="4"/>
      <c r="M88" s="6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6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</row>
    <row r="89" spans="1:257" ht="15.75" customHeight="1">
      <c r="A89" s="1"/>
      <c r="B89" s="78" t="s">
        <v>281</v>
      </c>
      <c r="C89" s="301">
        <f>0.375*(E57+E58)/2</f>
        <v>11.13475</v>
      </c>
      <c r="D89" s="280"/>
      <c r="E89" s="166">
        <f>C89*100000/(0.9*J83*H16)</f>
        <v>5.5231894841269842</v>
      </c>
      <c r="F89" s="167" t="str">
        <f t="shared" si="7"/>
        <v>®¹t</v>
      </c>
      <c r="G89" s="168">
        <f t="shared" si="8"/>
        <v>20.001799999999999</v>
      </c>
      <c r="H89" s="169">
        <v>13</v>
      </c>
      <c r="I89" s="170">
        <v>14</v>
      </c>
      <c r="J89" s="171">
        <f>G89/(H8*J83)</f>
        <v>0.12501124999999999</v>
      </c>
      <c r="K89" s="167" t="str">
        <f>IF(J89&lt;K86,"ch­a ®¹t","®¹t")</f>
        <v>®¹t</v>
      </c>
      <c r="L89" s="4"/>
      <c r="M89" s="6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6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</row>
    <row r="90" spans="1:257" ht="15.75" customHeight="1">
      <c r="A90" s="1"/>
      <c r="B90" s="26"/>
      <c r="C90" s="35"/>
      <c r="D90" s="4"/>
      <c r="E90" s="172"/>
      <c r="F90" s="146"/>
      <c r="G90" s="173"/>
      <c r="H90" s="174"/>
      <c r="I90" s="174"/>
      <c r="J90" s="89"/>
      <c r="K90" s="146"/>
      <c r="L90" s="4"/>
      <c r="M90" s="6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6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</row>
    <row r="91" spans="1:257" ht="15.75" customHeight="1">
      <c r="A91" s="22" t="s">
        <v>282</v>
      </c>
      <c r="B91" s="139" t="s">
        <v>283</v>
      </c>
      <c r="C91" s="3"/>
      <c r="D91" s="4"/>
      <c r="E91" s="4"/>
      <c r="F91" s="4"/>
      <c r="G91" s="3" t="str">
        <f t="shared" ref="G91:H91" si="9">E2</f>
        <v>VÞ trÝ:</v>
      </c>
      <c r="H91" s="23" t="str">
        <f t="shared" si="9"/>
        <v>Mãng cäc §C-4, HK K13</v>
      </c>
      <c r="I91" s="4"/>
      <c r="J91" s="4"/>
      <c r="K91" s="5" t="str">
        <f>K1</f>
        <v>CoIns-404-9(C) - PILE99</v>
      </c>
      <c r="L91" s="4"/>
      <c r="M91" s="131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6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</row>
    <row r="92" spans="1:257" ht="15.75" customHeight="1">
      <c r="A92" s="1"/>
      <c r="B92" s="4"/>
      <c r="C92" s="3"/>
      <c r="D92" s="4"/>
      <c r="E92" s="4"/>
      <c r="F92" s="4"/>
      <c r="G92" s="4"/>
      <c r="H92" s="4"/>
      <c r="I92" s="3" t="s">
        <v>154</v>
      </c>
      <c r="J92" s="65">
        <f>MAX(F62,F63)</f>
        <v>3.0669473837942514</v>
      </c>
      <c r="K92" s="4" t="s">
        <v>36</v>
      </c>
      <c r="L92" s="4"/>
      <c r="M92" s="6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6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</row>
    <row r="93" spans="1:257" ht="15.75" customHeight="1">
      <c r="A93" s="1"/>
      <c r="B93" s="4"/>
      <c r="C93" s="3"/>
      <c r="D93" s="4"/>
      <c r="E93" s="4"/>
      <c r="F93" s="4"/>
      <c r="G93" s="4"/>
      <c r="H93" s="4"/>
      <c r="I93" s="3" t="s">
        <v>284</v>
      </c>
      <c r="J93" s="65">
        <f>MIN(F62,F63)</f>
        <v>2.3169473837942514</v>
      </c>
      <c r="K93" s="4" t="s">
        <v>36</v>
      </c>
      <c r="L93" s="4"/>
      <c r="M93" s="6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6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</row>
    <row r="94" spans="1:257" ht="15.75" customHeight="1">
      <c r="A94" s="1"/>
      <c r="B94" s="4"/>
      <c r="C94" s="3"/>
      <c r="D94" s="4"/>
      <c r="E94" s="4"/>
      <c r="F94" s="4"/>
      <c r="G94" s="4"/>
      <c r="H94" s="4"/>
      <c r="I94" s="3" t="s">
        <v>285</v>
      </c>
      <c r="J94" s="148">
        <f>J92/J93</f>
        <v>1.3237017833231042</v>
      </c>
      <c r="K94" s="4"/>
      <c r="L94" s="4"/>
      <c r="M94" s="6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6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</row>
    <row r="95" spans="1:257" ht="15.75" customHeight="1">
      <c r="A95" s="1"/>
      <c r="B95" s="4"/>
      <c r="C95" s="3"/>
      <c r="D95" s="4"/>
      <c r="E95" s="175" t="s">
        <v>286</v>
      </c>
      <c r="F95" s="32">
        <f>E73-H44*(K19+K21)</f>
        <v>13.611464401388126</v>
      </c>
      <c r="G95" s="4" t="s">
        <v>287</v>
      </c>
      <c r="H95" s="4"/>
      <c r="I95" s="3" t="s">
        <v>288</v>
      </c>
      <c r="J95" s="65">
        <f>K17*J93</f>
        <v>0.34754210756913767</v>
      </c>
      <c r="K95" s="4" t="s">
        <v>36</v>
      </c>
      <c r="L95" s="4"/>
      <c r="M95" s="6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6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</row>
    <row r="96" spans="1:257" ht="15.75" customHeight="1">
      <c r="A96" s="1"/>
      <c r="B96" s="4"/>
      <c r="C96" s="64" t="s">
        <v>289</v>
      </c>
      <c r="D96" s="4"/>
      <c r="E96" s="4"/>
      <c r="F96" s="4"/>
      <c r="G96" s="4"/>
      <c r="H96" s="176" t="s">
        <v>290</v>
      </c>
      <c r="I96" s="4"/>
      <c r="J96" s="4"/>
      <c r="K96" s="4"/>
      <c r="L96" s="4"/>
      <c r="M96" s="6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6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</row>
    <row r="97" spans="1:257" ht="15.75" customHeight="1">
      <c r="A97" s="1"/>
      <c r="B97" s="4"/>
      <c r="C97" s="3"/>
      <c r="D97" s="4"/>
      <c r="E97" s="4"/>
      <c r="F97" s="4"/>
      <c r="G97" s="4"/>
      <c r="H97" s="4"/>
      <c r="I97" s="4"/>
      <c r="J97" s="4"/>
      <c r="K97" s="4"/>
      <c r="L97" s="4"/>
      <c r="M97" s="6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6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</row>
    <row r="98" spans="1:257" ht="15.75" customHeight="1">
      <c r="A98" s="1"/>
      <c r="B98" s="4"/>
      <c r="C98" s="177" t="s">
        <v>291</v>
      </c>
      <c r="D98" s="294" t="s">
        <v>292</v>
      </c>
      <c r="E98" s="295"/>
      <c r="F98" s="179" t="s">
        <v>293</v>
      </c>
      <c r="G98" s="177" t="s">
        <v>294</v>
      </c>
      <c r="H98" s="108" t="s">
        <v>295</v>
      </c>
      <c r="I98" s="177" t="s">
        <v>296</v>
      </c>
      <c r="J98" s="180" t="s">
        <v>297</v>
      </c>
      <c r="K98" s="4"/>
      <c r="L98" s="4"/>
      <c r="M98" s="6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6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</row>
    <row r="99" spans="1:257" ht="15.75" customHeight="1">
      <c r="A99" s="1"/>
      <c r="B99" s="4"/>
      <c r="C99" s="24">
        <v>0</v>
      </c>
      <c r="D99" s="4"/>
      <c r="E99" s="181">
        <f>C70</f>
        <v>18.549999999999997</v>
      </c>
      <c r="F99" s="182">
        <f>H44</f>
        <v>1.9072661870503591</v>
      </c>
      <c r="G99" s="54"/>
      <c r="H99" s="183">
        <f>E99</f>
        <v>18.549999999999997</v>
      </c>
      <c r="I99" s="184">
        <f t="shared" ref="I99:I114" si="10">H99*F99</f>
        <v>35.379787769784159</v>
      </c>
      <c r="J99" s="185"/>
      <c r="K99" s="4"/>
      <c r="L99" s="4"/>
      <c r="M99" s="6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6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</row>
    <row r="100" spans="1:257" ht="15.75" customHeight="1">
      <c r="A100" s="1"/>
      <c r="B100" s="4"/>
      <c r="C100" s="24">
        <v>1</v>
      </c>
      <c r="D100" s="4"/>
      <c r="E100" s="65">
        <f t="shared" ref="E100:E114" si="11">E99+H100</f>
        <v>18.897542107569134</v>
      </c>
      <c r="F100" s="186">
        <v>2</v>
      </c>
      <c r="G100" s="187">
        <v>1691</v>
      </c>
      <c r="H100" s="188">
        <f>J95</f>
        <v>0.34754210756913767</v>
      </c>
      <c r="I100" s="184">
        <f t="shared" si="10"/>
        <v>0.69508421513827534</v>
      </c>
      <c r="J100" s="184">
        <f t="shared" ref="J100:J114" si="12">(G117+G118)/2</f>
        <v>13.520483770393096</v>
      </c>
      <c r="K100" s="4"/>
      <c r="L100" s="4"/>
      <c r="M100" s="6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6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4"/>
    </row>
    <row r="101" spans="1:257" ht="15.75" customHeight="1">
      <c r="A101" s="1"/>
      <c r="B101" s="4"/>
      <c r="C101" s="24">
        <v>2</v>
      </c>
      <c r="D101" s="4"/>
      <c r="E101" s="65">
        <f t="shared" si="11"/>
        <v>19.24508421513827</v>
      </c>
      <c r="F101" s="186">
        <f t="shared" ref="F101:F114" si="13">F100</f>
        <v>2</v>
      </c>
      <c r="G101" s="187">
        <v>1691</v>
      </c>
      <c r="H101" s="188">
        <f>J95</f>
        <v>0.34754210756913767</v>
      </c>
      <c r="I101" s="184">
        <f t="shared" si="10"/>
        <v>0.69508421513827534</v>
      </c>
      <c r="J101" s="184">
        <f t="shared" si="12"/>
        <v>12.955749979549889</v>
      </c>
      <c r="K101" s="4"/>
      <c r="L101" s="4"/>
      <c r="M101" s="6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6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</row>
    <row r="102" spans="1:257" ht="15.75" customHeight="1">
      <c r="A102" s="1"/>
      <c r="B102" s="4"/>
      <c r="C102" s="24">
        <v>3</v>
      </c>
      <c r="D102" s="4"/>
      <c r="E102" s="65">
        <f t="shared" si="11"/>
        <v>19.592626322707407</v>
      </c>
      <c r="F102" s="186">
        <f t="shared" si="13"/>
        <v>2</v>
      </c>
      <c r="G102" s="187">
        <v>1691</v>
      </c>
      <c r="H102" s="188">
        <f>J95</f>
        <v>0.34754210756913767</v>
      </c>
      <c r="I102" s="184">
        <f t="shared" si="10"/>
        <v>0.69508421513827534</v>
      </c>
      <c r="J102" s="184">
        <f t="shared" si="12"/>
        <v>11.687439347079632</v>
      </c>
      <c r="K102" s="4"/>
      <c r="L102" s="4"/>
      <c r="M102" s="6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6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</row>
    <row r="103" spans="1:257" ht="15.75" customHeight="1">
      <c r="A103" s="1"/>
      <c r="B103" s="4"/>
      <c r="C103" s="24">
        <v>4</v>
      </c>
      <c r="D103" s="4"/>
      <c r="E103" s="65">
        <f t="shared" si="11"/>
        <v>19.940168430276543</v>
      </c>
      <c r="F103" s="186">
        <f t="shared" si="13"/>
        <v>2</v>
      </c>
      <c r="G103" s="187">
        <v>1691</v>
      </c>
      <c r="H103" s="188">
        <f>J95</f>
        <v>0.34754210756913767</v>
      </c>
      <c r="I103" s="184">
        <f t="shared" si="10"/>
        <v>0.69508421513827534</v>
      </c>
      <c r="J103" s="184">
        <f t="shared" si="12"/>
        <v>10.018049750719367</v>
      </c>
      <c r="K103" s="4"/>
      <c r="L103" s="4"/>
      <c r="M103" s="6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6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  <c r="IU103" s="4"/>
      <c r="IV103" s="4"/>
      <c r="IW103" s="4"/>
    </row>
    <row r="104" spans="1:257" ht="15.75" customHeight="1">
      <c r="A104" s="1"/>
      <c r="B104" s="4"/>
      <c r="C104" s="24">
        <v>5</v>
      </c>
      <c r="D104" s="4"/>
      <c r="E104" s="65">
        <f t="shared" si="11"/>
        <v>20.28771053784568</v>
      </c>
      <c r="F104" s="186">
        <f t="shared" si="13"/>
        <v>2</v>
      </c>
      <c r="G104" s="187">
        <v>1691</v>
      </c>
      <c r="H104" s="188">
        <f>J95</f>
        <v>0.34754210756913767</v>
      </c>
      <c r="I104" s="184">
        <f t="shared" si="10"/>
        <v>0.69508421513827534</v>
      </c>
      <c r="J104" s="184">
        <f t="shared" si="12"/>
        <v>8.3444706402852233</v>
      </c>
      <c r="K104" s="4"/>
      <c r="L104" s="4"/>
      <c r="M104" s="6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6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</row>
    <row r="105" spans="1:257" ht="15.75" customHeight="1">
      <c r="A105" s="1"/>
      <c r="B105" s="4"/>
      <c r="C105" s="24">
        <v>6</v>
      </c>
      <c r="D105" s="4"/>
      <c r="E105" s="65">
        <f t="shared" si="11"/>
        <v>20.635252645414816</v>
      </c>
      <c r="F105" s="186">
        <f t="shared" si="13"/>
        <v>2</v>
      </c>
      <c r="G105" s="187">
        <v>1691</v>
      </c>
      <c r="H105" s="188">
        <f>J95</f>
        <v>0.34754210756913767</v>
      </c>
      <c r="I105" s="184">
        <f t="shared" si="10"/>
        <v>0.69508421513827534</v>
      </c>
      <c r="J105" s="184">
        <f t="shared" si="12"/>
        <v>6.8766908614977327</v>
      </c>
      <c r="K105" s="4"/>
      <c r="L105" s="4"/>
      <c r="M105" s="6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6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</row>
    <row r="106" spans="1:257" ht="15.75" customHeight="1">
      <c r="A106" s="1"/>
      <c r="B106" s="4"/>
      <c r="C106" s="24">
        <v>7</v>
      </c>
      <c r="D106" s="4"/>
      <c r="E106" s="65">
        <f t="shared" si="11"/>
        <v>20.982794752983953</v>
      </c>
      <c r="F106" s="186">
        <f t="shared" si="13"/>
        <v>2</v>
      </c>
      <c r="G106" s="187">
        <v>1691</v>
      </c>
      <c r="H106" s="188">
        <f>J95</f>
        <v>0.34754210756913767</v>
      </c>
      <c r="I106" s="184">
        <f t="shared" si="10"/>
        <v>0.69508421513827534</v>
      </c>
      <c r="J106" s="184">
        <f t="shared" si="12"/>
        <v>5.6681974991817805</v>
      </c>
      <c r="K106" s="4"/>
      <c r="L106" s="4"/>
      <c r="M106" s="6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6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</row>
    <row r="107" spans="1:257" ht="15.75" customHeight="1">
      <c r="A107" s="1"/>
      <c r="B107" s="4"/>
      <c r="C107" s="24">
        <v>8</v>
      </c>
      <c r="D107" s="4"/>
      <c r="E107" s="65">
        <f t="shared" si="11"/>
        <v>21.330336860553089</v>
      </c>
      <c r="F107" s="186">
        <f t="shared" si="13"/>
        <v>2</v>
      </c>
      <c r="G107" s="187">
        <v>1691</v>
      </c>
      <c r="H107" s="188">
        <f>J95</f>
        <v>0.34754210756913767</v>
      </c>
      <c r="I107" s="184">
        <f t="shared" si="10"/>
        <v>0.69508421513827534</v>
      </c>
      <c r="J107" s="184">
        <f t="shared" si="12"/>
        <v>4.6997787676191525</v>
      </c>
      <c r="K107" s="4"/>
      <c r="L107" s="4"/>
      <c r="M107" s="6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6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</row>
    <row r="108" spans="1:257" ht="15.75" customHeight="1">
      <c r="A108" s="1"/>
      <c r="B108" s="4"/>
      <c r="C108" s="24">
        <v>9</v>
      </c>
      <c r="D108" s="4"/>
      <c r="E108" s="65">
        <f t="shared" si="11"/>
        <v>21.677878968122226</v>
      </c>
      <c r="F108" s="186">
        <f t="shared" si="13"/>
        <v>2</v>
      </c>
      <c r="G108" s="187">
        <v>1691</v>
      </c>
      <c r="H108" s="188">
        <f>J95</f>
        <v>0.34754210756913767</v>
      </c>
      <c r="I108" s="184">
        <f t="shared" si="10"/>
        <v>0.69508421513827534</v>
      </c>
      <c r="J108" s="184">
        <f t="shared" si="12"/>
        <v>3.9302832608960401</v>
      </c>
      <c r="K108" s="4"/>
      <c r="L108" s="4"/>
      <c r="M108" s="6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6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</row>
    <row r="109" spans="1:257" ht="15.75" customHeight="1">
      <c r="A109" s="1"/>
      <c r="B109" s="4"/>
      <c r="C109" s="24">
        <v>10</v>
      </c>
      <c r="D109" s="4"/>
      <c r="E109" s="65">
        <f t="shared" si="11"/>
        <v>22.025421075691362</v>
      </c>
      <c r="F109" s="186">
        <f t="shared" si="13"/>
        <v>2</v>
      </c>
      <c r="G109" s="187">
        <v>1691</v>
      </c>
      <c r="H109" s="188">
        <f>J95</f>
        <v>0.34754210756913767</v>
      </c>
      <c r="I109" s="184">
        <f t="shared" si="10"/>
        <v>0.69508421513827534</v>
      </c>
      <c r="J109" s="184">
        <f t="shared" si="12"/>
        <v>3.3181436323585607</v>
      </c>
      <c r="K109" s="4"/>
      <c r="L109" s="4"/>
      <c r="M109" s="6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6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</row>
    <row r="110" spans="1:257" ht="15.75" customHeight="1">
      <c r="A110" s="1"/>
      <c r="B110" s="4"/>
      <c r="C110" s="24">
        <v>11</v>
      </c>
      <c r="D110" s="4"/>
      <c r="E110" s="65">
        <f t="shared" si="11"/>
        <v>22.372963183260499</v>
      </c>
      <c r="F110" s="186">
        <f t="shared" si="13"/>
        <v>2</v>
      </c>
      <c r="G110" s="187">
        <v>1691</v>
      </c>
      <c r="H110" s="188">
        <f>J95</f>
        <v>0.34754210756913767</v>
      </c>
      <c r="I110" s="184">
        <f t="shared" si="10"/>
        <v>0.69508421513827534</v>
      </c>
      <c r="J110" s="184">
        <f t="shared" si="12"/>
        <v>2.8282411964968572</v>
      </c>
      <c r="K110" s="4"/>
      <c r="L110" s="4"/>
      <c r="M110" s="6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6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</row>
    <row r="111" spans="1:257" ht="15.75" customHeight="1">
      <c r="A111" s="1"/>
      <c r="B111" s="4"/>
      <c r="C111" s="24">
        <v>12</v>
      </c>
      <c r="D111" s="4"/>
      <c r="E111" s="65">
        <f t="shared" si="11"/>
        <v>22.720505290829635</v>
      </c>
      <c r="F111" s="186">
        <f t="shared" si="13"/>
        <v>2</v>
      </c>
      <c r="G111" s="187">
        <v>1691</v>
      </c>
      <c r="H111" s="188">
        <f>J95</f>
        <v>0.34754210756913767</v>
      </c>
      <c r="I111" s="184">
        <f t="shared" si="10"/>
        <v>0.69508421513827534</v>
      </c>
      <c r="J111" s="184">
        <f t="shared" si="12"/>
        <v>2.4328853531299734</v>
      </c>
      <c r="K111" s="4"/>
      <c r="L111" s="4"/>
      <c r="M111" s="6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6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</row>
    <row r="112" spans="1:257" ht="15.75" customHeight="1">
      <c r="A112" s="1"/>
      <c r="B112" s="4"/>
      <c r="C112" s="24">
        <v>13</v>
      </c>
      <c r="D112" s="4"/>
      <c r="E112" s="65">
        <f t="shared" si="11"/>
        <v>23.068047398398772</v>
      </c>
      <c r="F112" s="186">
        <f t="shared" si="13"/>
        <v>2</v>
      </c>
      <c r="G112" s="187">
        <v>1691</v>
      </c>
      <c r="H112" s="188">
        <f>J95</f>
        <v>0.34754210756913767</v>
      </c>
      <c r="I112" s="184">
        <f t="shared" si="10"/>
        <v>0.69508421513827534</v>
      </c>
      <c r="J112" s="184">
        <f t="shared" si="12"/>
        <v>2.110859746952845</v>
      </c>
      <c r="K112" s="4"/>
      <c r="L112" s="4"/>
      <c r="M112" s="6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6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</row>
    <row r="113" spans="1:257" ht="15.75" customHeight="1">
      <c r="A113" s="1"/>
      <c r="B113" s="4"/>
      <c r="C113" s="24">
        <v>14</v>
      </c>
      <c r="D113" s="4"/>
      <c r="E113" s="65">
        <f t="shared" si="11"/>
        <v>23.415589505967908</v>
      </c>
      <c r="F113" s="186">
        <f t="shared" si="13"/>
        <v>2</v>
      </c>
      <c r="G113" s="187">
        <v>1691</v>
      </c>
      <c r="H113" s="188">
        <f>J95</f>
        <v>0.34754210756913767</v>
      </c>
      <c r="I113" s="184">
        <f t="shared" si="10"/>
        <v>0.69508421513827534</v>
      </c>
      <c r="J113" s="184">
        <f t="shared" si="12"/>
        <v>1.8460732793481709</v>
      </c>
      <c r="K113" s="4"/>
      <c r="L113" s="4"/>
      <c r="M113" s="6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6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</row>
    <row r="114" spans="1:257" ht="15.75" customHeight="1">
      <c r="A114" s="1"/>
      <c r="B114" s="4"/>
      <c r="C114" s="78">
        <v>15</v>
      </c>
      <c r="D114" s="49"/>
      <c r="E114" s="189">
        <f t="shared" si="11"/>
        <v>23.763131613537045</v>
      </c>
      <c r="F114" s="186">
        <f t="shared" si="13"/>
        <v>2</v>
      </c>
      <c r="G114" s="187">
        <v>1691</v>
      </c>
      <c r="H114" s="190">
        <f>J95</f>
        <v>0.34754210756913767</v>
      </c>
      <c r="I114" s="191">
        <f t="shared" si="10"/>
        <v>0.69508421513827534</v>
      </c>
      <c r="J114" s="191">
        <f t="shared" si="12"/>
        <v>1.6263321839688185</v>
      </c>
      <c r="K114" s="4"/>
      <c r="L114" s="4"/>
      <c r="M114" s="6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6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</row>
    <row r="115" spans="1:257" ht="15.75" customHeight="1">
      <c r="A115" s="1"/>
      <c r="B115" s="4"/>
      <c r="C115" s="3"/>
      <c r="D115" s="192"/>
      <c r="E115" s="4"/>
      <c r="F115" s="4"/>
      <c r="G115" s="4"/>
      <c r="H115" s="4"/>
      <c r="I115" s="4"/>
      <c r="J115" s="4"/>
      <c r="K115" s="4"/>
      <c r="L115" s="4"/>
      <c r="M115" s="6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6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</row>
    <row r="116" spans="1:257" ht="15.75" customHeight="1">
      <c r="A116" s="1"/>
      <c r="B116" s="108" t="s">
        <v>298</v>
      </c>
      <c r="C116" s="177" t="s">
        <v>299</v>
      </c>
      <c r="D116" s="192"/>
      <c r="E116" s="193" t="s">
        <v>300</v>
      </c>
      <c r="F116" s="178" t="s">
        <v>301</v>
      </c>
      <c r="G116" s="180" t="s">
        <v>302</v>
      </c>
      <c r="H116" s="180" t="s">
        <v>303</v>
      </c>
      <c r="I116" s="50" t="s">
        <v>291</v>
      </c>
      <c r="J116" s="193" t="s">
        <v>304</v>
      </c>
      <c r="K116" s="194"/>
      <c r="L116" s="4"/>
      <c r="M116" s="6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6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</row>
    <row r="117" spans="1:257" ht="15.75" customHeight="1">
      <c r="A117" s="1"/>
      <c r="B117" s="195">
        <f>E99</f>
        <v>18.549999999999997</v>
      </c>
      <c r="C117" s="184">
        <v>0</v>
      </c>
      <c r="D117" s="4"/>
      <c r="E117" s="160">
        <v>0</v>
      </c>
      <c r="F117" s="89">
        <v>1</v>
      </c>
      <c r="G117" s="184">
        <f>F95*F117</f>
        <v>13.611464401388126</v>
      </c>
      <c r="H117" s="196">
        <f>I99</f>
        <v>35.379787769784159</v>
      </c>
      <c r="I117" s="26">
        <v>0</v>
      </c>
      <c r="J117" s="197"/>
      <c r="K117" s="198" t="str">
        <f>IF(G117&lt;=K18*H117,"T¾t lón","TÝnh tiÕp")</f>
        <v>TÝnh tiÕp</v>
      </c>
      <c r="L117" s="4"/>
      <c r="M117" s="6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6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</row>
    <row r="118" spans="1:257" ht="15.75" customHeight="1">
      <c r="A118" s="1"/>
      <c r="B118" s="199">
        <f>B117+C118</f>
        <v>18.897542107569134</v>
      </c>
      <c r="C118" s="184">
        <f>J95</f>
        <v>0.34754210756913767</v>
      </c>
      <c r="D118" s="4"/>
      <c r="E118" s="160">
        <f>2*C118/J93</f>
        <v>0.3</v>
      </c>
      <c r="F118" s="89">
        <f>(ATAN(0.25*J92*J93/C118/SQRT(0.25*J93*J93+0.25*J92*J92+C118*C118))+((0.25*J92*J93*C118*(0.25*J93*J93+0.25*J92*J92+2*C118*C118))/((0.25*J93*J93+C118*C118)*(0.25*J92*J92+C118*C118)*(SQRT(0.25*J93*J93+0.25*J92*J92+C118*C118)))))*2/PI()</f>
        <v>0.98663176447263801</v>
      </c>
      <c r="G118" s="184">
        <f>F95*F118</f>
        <v>13.429503139398067</v>
      </c>
      <c r="H118" s="184">
        <f t="shared" ref="H118:H132" si="14">H117+I100</f>
        <v>36.074871984922432</v>
      </c>
      <c r="I118" s="26">
        <v>1</v>
      </c>
      <c r="J118" s="184">
        <f>IF(G100&gt;0,100*K16*H100*J100/G100,"---")</f>
        <v>8.336376271289303E-2</v>
      </c>
      <c r="K118" s="198" t="str">
        <f>IF(G118&lt;=K18*H118,"T¾t lón","TÝnh tiÕp")</f>
        <v>TÝnh tiÕp</v>
      </c>
      <c r="L118" s="4"/>
      <c r="M118" s="6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6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</row>
    <row r="119" spans="1:257" ht="15.75" customHeight="1">
      <c r="A119" s="1"/>
      <c r="B119" s="199">
        <f>B117+C119</f>
        <v>19.245084215138274</v>
      </c>
      <c r="C119" s="184">
        <f>C118*2</f>
        <v>0.69508421513827534</v>
      </c>
      <c r="D119" s="4"/>
      <c r="E119" s="160">
        <f>2*C119/J93</f>
        <v>0.6</v>
      </c>
      <c r="F119" s="89">
        <f>(ATAN(0.25*J92*J93/C119/SQRT(0.25*J93*J93+0.25*J92*J92+C119*C119))+((0.25*J92*J93*C119*(0.25*J93*J93+0.25*J92*J92+2*C119*C119))/((0.25*J93*J93+C119*C119)*(0.25*J92*J92+C119*C119)*(SQRT(0.25*J93*J93+0.25*J92*J92+C119*C119)))))*2/PI()</f>
        <v>0.9170208620924557</v>
      </c>
      <c r="G119" s="184">
        <f>F95*F119</f>
        <v>12.481996819701711</v>
      </c>
      <c r="H119" s="184">
        <f t="shared" si="14"/>
        <v>36.769956200060705</v>
      </c>
      <c r="I119" s="26">
        <v>2</v>
      </c>
      <c r="J119" s="184">
        <f>IF(G101&gt;0,100*K16*H101*J101/G101,"---")</f>
        <v>7.9881762028945841E-2</v>
      </c>
      <c r="K119" s="198" t="str">
        <f>IF(G119&lt;=K18*H119,"T¾t lón","TÝnh tiÕp")</f>
        <v>TÝnh tiÕp</v>
      </c>
      <c r="L119" s="4"/>
      <c r="M119" s="6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6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</row>
    <row r="120" spans="1:257" ht="15.75" customHeight="1">
      <c r="A120" s="1"/>
      <c r="B120" s="199">
        <f>B117+C120</f>
        <v>19.59262632270741</v>
      </c>
      <c r="C120" s="184">
        <f>C118*3</f>
        <v>1.0426263227074131</v>
      </c>
      <c r="D120" s="4"/>
      <c r="E120" s="160">
        <f>2*C120/J93</f>
        <v>0.89999999999999991</v>
      </c>
      <c r="F120" s="89">
        <f>(ATAN(0.25*J92*J93/C120/SQRT(0.25*J93*J93+0.25*J92*J92+C120*C120))+((0.25*J92*J93*C120*(0.25*J93*J93+0.25*J92*J92+2*C120*C120))/((0.25*J93*J93+C120*C120)*(0.25*J92*J92+C120*C120)*(SQRT(0.25*J93*J93+0.25*J92*J92+C120*C120)))))*2/PI()</f>
        <v>0.80027259031340314</v>
      </c>
      <c r="G120" s="184">
        <f>F95*F120</f>
        <v>10.892881874457551</v>
      </c>
      <c r="H120" s="184">
        <f t="shared" si="14"/>
        <v>37.465040415198978</v>
      </c>
      <c r="I120" s="26">
        <v>3</v>
      </c>
      <c r="J120" s="184">
        <f>IF(G102&gt;0,100*K16*H102*J102/G102,"---")</f>
        <v>7.20616907647047E-2</v>
      </c>
      <c r="K120" s="198" t="str">
        <f>IF(G120&lt;=K18*H120,"T¾t lón","TÝnh tiÕp")</f>
        <v>TÝnh tiÕp</v>
      </c>
      <c r="L120" s="4"/>
      <c r="M120" s="6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6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</row>
    <row r="121" spans="1:257" ht="15.75" customHeight="1">
      <c r="A121" s="1"/>
      <c r="B121" s="199">
        <f>B117+C121</f>
        <v>19.940168430276547</v>
      </c>
      <c r="C121" s="184">
        <f>C118*4</f>
        <v>1.3901684302765507</v>
      </c>
      <c r="D121" s="4"/>
      <c r="E121" s="160">
        <f>2*C121/J93</f>
        <v>1.2</v>
      </c>
      <c r="F121" s="89">
        <f>(ATAN(0.25*J92*J93/C121/SQRT(0.25*J93*J93+0.25*J92*J92+C121*C121))+((0.25*J92*J93*C121*(0.25*J93*J93+0.25*J92*J92+2*C121*C121))/((0.25*J93*J93+C121*C121)*(0.25*J92*J92+C121*C121)*(SQRT(0.25*J93*J93+0.25*J92*J92+C121*C121)))))*2/PI()</f>
        <v>0.67172916575006736</v>
      </c>
      <c r="G121" s="184">
        <f>F95*F121</f>
        <v>9.1432176269811851</v>
      </c>
      <c r="H121" s="184">
        <f t="shared" si="14"/>
        <v>38.160124630337251</v>
      </c>
      <c r="I121" s="26">
        <v>4</v>
      </c>
      <c r="J121" s="184">
        <f>IF(G103&gt;0,100*K16*H103*J103/G103,"---")</f>
        <v>6.1768671627986098E-2</v>
      </c>
      <c r="K121" s="198" t="str">
        <f>IF(G121&lt;=K18*H121,"T¾t lón","TÝnh tiÕp")</f>
        <v>TÝnh tiÕp</v>
      </c>
      <c r="L121" s="4"/>
      <c r="M121" s="6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6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</row>
    <row r="122" spans="1:257" ht="15.75" customHeight="1">
      <c r="A122" s="1"/>
      <c r="B122" s="199">
        <f>B117+C122</f>
        <v>20.287710537845687</v>
      </c>
      <c r="C122" s="184">
        <f>C118*5</f>
        <v>1.7377105378456883</v>
      </c>
      <c r="D122" s="4"/>
      <c r="E122" s="160">
        <f>2*C122/J93</f>
        <v>1.4999999999999998</v>
      </c>
      <c r="F122" s="182">
        <f>(ATAN(0.25*J92*J93/C122/SQRT(0.25*J93*J93+0.25*J92*J92+C122*C122))+((0.25*J92*J93*C122*(0.25*J93*J93+0.25*J92*J92+2*C122*C122))/((0.25*J93*J93+C122*C122)*(0.25*J92*J92+C122*C122)*(SQRT(0.25*J93*J93+0.25*J92*J92+C122*C122)))))*2/PI()</f>
        <v>0.55436530788118077</v>
      </c>
      <c r="G122" s="65">
        <f>F95*F122</f>
        <v>7.5457236535892607</v>
      </c>
      <c r="H122" s="184">
        <f t="shared" si="14"/>
        <v>38.855208845475524</v>
      </c>
      <c r="I122" s="26">
        <v>5</v>
      </c>
      <c r="J122" s="184">
        <f>IF(G104&gt;0,100*K16*H104*J104/G104,"---")</f>
        <v>5.1449821044474008E-2</v>
      </c>
      <c r="K122" s="198" t="str">
        <f>IF(G122&lt;=K18*H122,"T¾t lón","TÝnh tiÕp")</f>
        <v>T¾t lón</v>
      </c>
      <c r="L122" s="4"/>
      <c r="M122" s="6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6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</row>
    <row r="123" spans="1:257" ht="15.75" customHeight="1">
      <c r="A123" s="1"/>
      <c r="B123" s="199">
        <f>B117+C123</f>
        <v>20.635252645414823</v>
      </c>
      <c r="C123" s="184">
        <f>C118*6</f>
        <v>2.0852526454148261</v>
      </c>
      <c r="D123" s="4"/>
      <c r="E123" s="160">
        <f>2*C123/J93</f>
        <v>1.7999999999999998</v>
      </c>
      <c r="F123" s="89">
        <f>(ATAN(0.25*J92*J93/C123/SQRT(0.25*J93*J93+0.25*J92*J92+C123*C123))+((0.25*J92*J93*C123*(0.25*J93*J93+0.25*J92*J92+2*C123*C123))/((0.25*J93*J93+C123*C123)*(0.25*J92*J92+C123*C123)*(SQRT(0.25*J93*J93+0.25*J92*J92+C123*C123)))))*2/PI()</f>
        <v>0.45606100022368895</v>
      </c>
      <c r="G123" s="184">
        <f>F95*F123</f>
        <v>6.2076580694062047</v>
      </c>
      <c r="H123" s="184">
        <f t="shared" si="14"/>
        <v>39.550293060613797</v>
      </c>
      <c r="I123" s="26">
        <v>6</v>
      </c>
      <c r="J123" s="184">
        <f>IF(G105&gt;0,100*K16*H105*J105/G105,"---")</f>
        <v>4.2399875253217346E-2</v>
      </c>
      <c r="K123" s="198" t="str">
        <f>IF(G123&lt;=K18*H123,"T¾t lón","TÝnh tiÕp")</f>
        <v>T¾t lón</v>
      </c>
      <c r="L123" s="4"/>
      <c r="M123" s="6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6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</row>
    <row r="124" spans="1:257" ht="15.75" customHeight="1">
      <c r="A124" s="1"/>
      <c r="B124" s="199">
        <f>B117+C124</f>
        <v>20.98279475298396</v>
      </c>
      <c r="C124" s="184">
        <f>C118*7</f>
        <v>2.4327947529839635</v>
      </c>
      <c r="D124" s="4"/>
      <c r="E124" s="160">
        <f>2*C124/J93</f>
        <v>2.0999999999999996</v>
      </c>
      <c r="F124" s="89">
        <f>(ATAN(0.25*J92*J93/C124/SQRT(0.25*J93*J93+0.25*J92*J92+C124*C124))+((0.25*J92*J93*C124*(0.25*J93*J93+0.25*J92*J92+2*C124*C124))/((0.25*J93*J93+C124*C124)*(0.25*J92*J92+C124*C124)*(SQRT(0.25*J93*J93+0.25*J92*J92+C124*C124)))))*2/PI()</f>
        <v>0.37679538201887497</v>
      </c>
      <c r="G124" s="184">
        <f>F95*F124</f>
        <v>5.1287369289573563</v>
      </c>
      <c r="H124" s="184">
        <f t="shared" si="14"/>
        <v>40.24537727575207</v>
      </c>
      <c r="I124" s="26">
        <v>7</v>
      </c>
      <c r="J124" s="184">
        <f>IF(G106&gt;0,100*K16*H106*J106/G106,"---")</f>
        <v>3.494862161414107E-2</v>
      </c>
      <c r="K124" s="198" t="str">
        <f>IF(G124&lt;=K18*H124,"T¾t lón","TÝnh tiÕp")</f>
        <v>T¾t lón</v>
      </c>
      <c r="L124" s="4"/>
      <c r="M124" s="6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6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</row>
    <row r="125" spans="1:257" ht="15.75" customHeight="1">
      <c r="A125" s="1"/>
      <c r="B125" s="199">
        <f>B117+C125</f>
        <v>21.3303368605531</v>
      </c>
      <c r="C125" s="184">
        <f>C118*8</f>
        <v>2.7803368605531014</v>
      </c>
      <c r="D125" s="4"/>
      <c r="E125" s="160">
        <f>2*C125/J93</f>
        <v>2.4</v>
      </c>
      <c r="F125" s="89">
        <f>(ATAN(0.25*J92*J93/C125/SQRT(0.25*J93*J93+0.25*J92*J92+C125*C125))+((0.25*J92*J93*C125*(0.25*J93*J93+0.25*J92*J92+2*C125*C125))/((0.25*J93*J93+C125*C125)*(0.25*J92*J92+C125*C125)*(SQRT(0.25*J93*J93+0.25*J92*J92+C125*C125)))))*2/PI()</f>
        <v>0.31376643102746538</v>
      </c>
      <c r="G125" s="184">
        <f>F95*F125</f>
        <v>4.2708206062809477</v>
      </c>
      <c r="H125" s="184">
        <f t="shared" si="14"/>
        <v>40.940461490890343</v>
      </c>
      <c r="I125" s="26">
        <v>8</v>
      </c>
      <c r="J125" s="184">
        <f>IF(G107&gt;0,100*K16*H107*J107/G107,"---")</f>
        <v>2.8977605286937519E-2</v>
      </c>
      <c r="K125" s="198" t="str">
        <f>IF(G125&lt;=K18*H125,"T¾t lón","TÝnh tiÕp")</f>
        <v>T¾t lón</v>
      </c>
      <c r="L125" s="4"/>
      <c r="M125" s="6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6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</row>
    <row r="126" spans="1:257" ht="15.75" customHeight="1">
      <c r="A126" s="1"/>
      <c r="B126" s="199">
        <f>B117+C126</f>
        <v>21.677878968122236</v>
      </c>
      <c r="C126" s="184">
        <f>C118*9</f>
        <v>3.1278789681222392</v>
      </c>
      <c r="D126" s="4"/>
      <c r="E126" s="160">
        <f>2*C126/J93</f>
        <v>2.6999999999999997</v>
      </c>
      <c r="F126" s="89">
        <f>(ATAN(0.25*J92*J93/C126/SQRT(0.25*J93*J93+0.25*J92*J92+C126*C126))+((0.25*J92*J93*C126*(0.25*J93*J93+0.25*J92*J92+2*C126*C126))/((0.25*J93*J93+C126*C126)*(0.25*J92*J92+C126*C126)*(SQRT(0.25*J93*J93+0.25*J92*J92+C126*C126)))))*2/PI()</f>
        <v>0.2637295892383954</v>
      </c>
      <c r="G126" s="184">
        <f>F95*F126</f>
        <v>3.589745915511132</v>
      </c>
      <c r="H126" s="184">
        <f t="shared" si="14"/>
        <v>41.635545706028616</v>
      </c>
      <c r="I126" s="26">
        <v>9</v>
      </c>
      <c r="J126" s="184">
        <f>IF(G108&gt;0,100*K16*H108*J108/G108,"---")</f>
        <v>2.4233097477862439E-2</v>
      </c>
      <c r="K126" s="198" t="str">
        <f>IF(G126&lt;=K18*H126,"T¾t lón","TÝnh tiÕp")</f>
        <v>T¾t lón</v>
      </c>
      <c r="L126" s="4"/>
      <c r="M126" s="6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6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</row>
    <row r="127" spans="1:257" ht="15.75" customHeight="1">
      <c r="A127" s="1"/>
      <c r="B127" s="199">
        <f>B117+C127</f>
        <v>22.025421075691373</v>
      </c>
      <c r="C127" s="184">
        <f>C118*10</f>
        <v>3.4754210756913766</v>
      </c>
      <c r="D127" s="4"/>
      <c r="E127" s="160">
        <f>2*C127/J93</f>
        <v>2.9999999999999996</v>
      </c>
      <c r="F127" s="89">
        <f>(ATAN(0.25*J92*J93/C127/SQRT(0.25*J93*J93+0.25*J92*J92+C127*C127))+((0.25*J92*J93*C127*(0.25*J93*J93+0.25*J92*J92+2*C127*C127))/((0.25*J93*J93+C127*C127)*(0.25*J92*J92+C127*C127)*(SQRT(0.25*J93*J93+0.25*J92*J92+C127*C127)))))*2/PI()</f>
        <v>0.22382171817569435</v>
      </c>
      <c r="G127" s="184">
        <f>F95*F127</f>
        <v>3.0465413492059894</v>
      </c>
      <c r="H127" s="184">
        <f t="shared" si="14"/>
        <v>42.330629921166889</v>
      </c>
      <c r="I127" s="26">
        <v>10</v>
      </c>
      <c r="J127" s="184">
        <f>IF(G109&gt;0,100*K16*H109*J109/G109,"---")</f>
        <v>2.0458804811478559E-2</v>
      </c>
      <c r="K127" s="198" t="str">
        <f>IF(G127&lt;=K18*H127,"T¾t lón","TÝnh tiÕp")</f>
        <v>T¾t lón</v>
      </c>
      <c r="L127" s="4"/>
      <c r="M127" s="6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6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</row>
    <row r="128" spans="1:257" ht="15.75" customHeight="1">
      <c r="A128" s="1"/>
      <c r="B128" s="199">
        <f>B117+C128</f>
        <v>22.372963183260513</v>
      </c>
      <c r="C128" s="184">
        <f>C118*11</f>
        <v>3.8229631832605144</v>
      </c>
      <c r="D128" s="4"/>
      <c r="E128" s="160">
        <f>2*C128/J93</f>
        <v>3.3</v>
      </c>
      <c r="F128" s="89">
        <f>(ATAN(0.25*J92*J93/C128/SQRT(0.25*J93*J93+0.25*J92*J92+C128*C128))+((0.25*J92*J93*C128*(0.25*J93*J93+0.25*J92*J92+2*C128*C128))/((0.25*J93*J93+C128*C128)*(0.25*J92*J92+C128*C128)*(SQRT(0.25*J93*J93+0.25*J92*J92+C128*C128)))))*2/PI()</f>
        <v>0.19174579360627483</v>
      </c>
      <c r="G128" s="184">
        <f>F95*F128</f>
        <v>2.6099410437877251</v>
      </c>
      <c r="H128" s="184">
        <f t="shared" si="14"/>
        <v>43.025714136305162</v>
      </c>
      <c r="I128" s="26">
        <v>11</v>
      </c>
      <c r="J128" s="184">
        <f>IF(G110&gt;0,100*K16*H110*J110/G110,"---")</f>
        <v>1.7438194668439575E-2</v>
      </c>
      <c r="K128" s="198" t="str">
        <f>IF(G128&lt;=K18*H128,"T¾t lón","TÝnh tiÕp")</f>
        <v>T¾t lón</v>
      </c>
      <c r="L128" s="4"/>
      <c r="M128" s="6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6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</row>
    <row r="129" spans="1:257" ht="15.75" customHeight="1">
      <c r="A129" s="1"/>
      <c r="B129" s="199">
        <f>B117+C129</f>
        <v>22.720505290829649</v>
      </c>
      <c r="C129" s="184">
        <f>C118*12</f>
        <v>4.1705052908296523</v>
      </c>
      <c r="D129" s="4"/>
      <c r="E129" s="160">
        <f>2*C129/J93</f>
        <v>3.5999999999999996</v>
      </c>
      <c r="F129" s="89">
        <f>(ATAN(0.25*J92*J93/C129/SQRT(0.25*J93*J93+0.25*J92*J92+C129*C129))+((0.25*J92*J93*C129*(0.25*J93*J93+0.25*J92*J92+2*C129*C129))/((0.25*J93*J93+C129*C129)*(0.25*J92*J92+C129*C129)*(SQRT(0.25*J93*J93+0.25*J92*J92+C129*C129)))))*2/PI()</f>
        <v>0.1657301224872004</v>
      </c>
      <c r="G129" s="184">
        <f>F95*F129</f>
        <v>2.2558296624722218</v>
      </c>
      <c r="H129" s="184">
        <f t="shared" si="14"/>
        <v>43.720798351443435</v>
      </c>
      <c r="I129" s="26">
        <v>12</v>
      </c>
      <c r="J129" s="184">
        <f>IF(G111&gt;0,100*K16*H111*J111/G111,"---")</f>
        <v>1.5000534058560794E-2</v>
      </c>
      <c r="K129" s="198" t="str">
        <f>IF(G129&lt;=K18*H129,"T¾t lón","TÝnh tiÕp")</f>
        <v>T¾t lón</v>
      </c>
      <c r="L129" s="4"/>
      <c r="M129" s="6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6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</row>
    <row r="130" spans="1:257" ht="15.75" customHeight="1">
      <c r="A130" s="1"/>
      <c r="B130" s="199">
        <f>B117+C130</f>
        <v>23.068047398398786</v>
      </c>
      <c r="C130" s="184">
        <f>C118*13</f>
        <v>4.5180473983987897</v>
      </c>
      <c r="D130" s="4"/>
      <c r="E130" s="160">
        <f>2*C130/J93</f>
        <v>3.8999999999999995</v>
      </c>
      <c r="F130" s="89">
        <f>(ATAN(0.25*J92*J93/C130/SQRT(0.25*J93*J93+0.25*J92*J92+C130*C130))+((0.25*J92*J93*C130*(0.25*J93*J93+0.25*J92*J92+2*C130*C130))/((0.25*J93*J93+C130*C130)*(0.25*J92*J92+C130*C130)*(SQRT(0.25*J93*J93+0.25*J92*J92+C130*C130)))))*2/PI()</f>
        <v>0.14442897350802181</v>
      </c>
      <c r="G130" s="184">
        <f>F95*F130</f>
        <v>1.9658898314334676</v>
      </c>
      <c r="H130" s="184">
        <f t="shared" si="14"/>
        <v>44.415882566581708</v>
      </c>
      <c r="I130" s="26">
        <v>13</v>
      </c>
      <c r="J130" s="184">
        <f>IF(G112&gt;0,100*K16*H112*J112/G112,"---")</f>
        <v>1.3015008490340303E-2</v>
      </c>
      <c r="K130" s="198" t="str">
        <f>IF(G130&lt;=K18*H130,"T¾t lón","TÝnh tiÕp")</f>
        <v>T¾t lón</v>
      </c>
      <c r="L130" s="4"/>
      <c r="M130" s="6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6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</row>
    <row r="131" spans="1:257" ht="15.75" customHeight="1">
      <c r="A131" s="1"/>
      <c r="B131" s="199">
        <f>B117+C131</f>
        <v>23.415589505967922</v>
      </c>
      <c r="C131" s="184">
        <f>C118*14</f>
        <v>4.8655895059679271</v>
      </c>
      <c r="D131" s="4"/>
      <c r="E131" s="160">
        <f>2*C131/J93</f>
        <v>4.1999999999999993</v>
      </c>
      <c r="F131" s="89">
        <f>(ATAN(0.25*J92*J93/C131/SQRT(0.25*J93*J93+0.25*J92*J92+C131*C131))+((0.25*J92*J93*C131*(0.25*J93*J93+0.25*J92*J92+2*C131*C131))/((0.25*J93*J93+C131*C131)*(0.25*J92*J92+C131*C131)*(SQRT(0.25*J93*J93+0.25*J92*J92+C131*C131)))))*2/PI()</f>
        <v>0.12682373302073413</v>
      </c>
      <c r="G131" s="184">
        <f>F95*F131</f>
        <v>1.7262567272628744</v>
      </c>
      <c r="H131" s="184">
        <f t="shared" si="14"/>
        <v>45.110966781719981</v>
      </c>
      <c r="I131" s="26">
        <v>14</v>
      </c>
      <c r="J131" s="184">
        <f>IF(G113&gt;0,100*K16*H113*J113/G113,"---")</f>
        <v>1.1382404463011227E-2</v>
      </c>
      <c r="K131" s="198" t="str">
        <f>IF(G131&lt;=K18*H131,"T¾t lón","TÝnh tiÕp")</f>
        <v>T¾t lón</v>
      </c>
      <c r="L131" s="4"/>
      <c r="M131" s="6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6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</row>
    <row r="132" spans="1:257" ht="15.75" customHeight="1">
      <c r="A132" s="1"/>
      <c r="B132" s="200">
        <f>B117+C132</f>
        <v>23.763131613537062</v>
      </c>
      <c r="C132" s="191">
        <f>C118*15</f>
        <v>5.2131316135370653</v>
      </c>
      <c r="D132" s="49"/>
      <c r="E132" s="166">
        <f>2*C132/J93</f>
        <v>4.5</v>
      </c>
      <c r="F132" s="201">
        <f>(ATAN(0.25*J92*J93/C132/SQRT(0.25*J93*J93+0.25*J92*J92+C132*C132))+((0.25*J92*J93*C132*(0.25*J93*J93+0.25*J92*J92+2*C132*C132))/((0.25*J93*J93+C132*C132)*(0.25*J92*J92+C132*C132)*(SQRT(0.25*J93*J93+0.25*J92*J92+C132*C132)))))*2/PI()</f>
        <v>0.1121413240825944</v>
      </c>
      <c r="G132" s="191">
        <f>F95*F132</f>
        <v>1.5264076406747626</v>
      </c>
      <c r="H132" s="191">
        <f t="shared" si="14"/>
        <v>45.806050996858254</v>
      </c>
      <c r="I132" s="78">
        <v>15</v>
      </c>
      <c r="J132" s="191">
        <f>IF(G114&gt;0,100*K16*H114*J114/G114,"---")</f>
        <v>1.0027538406103638E-2</v>
      </c>
      <c r="K132" s="202" t="str">
        <f>IF(G132&lt;=K18*H132,"T¾t lón","TÝnh tiÕp")</f>
        <v>T¾t lón</v>
      </c>
      <c r="L132" s="4"/>
      <c r="M132" s="6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6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</row>
    <row r="133" spans="1:257" ht="15.75" customHeight="1">
      <c r="A133" s="1"/>
      <c r="B133" s="4"/>
      <c r="C133" s="4"/>
      <c r="D133" s="4"/>
      <c r="E133" s="4"/>
      <c r="F133" s="3" t="s">
        <v>305</v>
      </c>
      <c r="G133" s="203">
        <f>K18</f>
        <v>0.2</v>
      </c>
      <c r="H133" s="204" t="s">
        <v>306</v>
      </c>
      <c r="I133" s="4"/>
      <c r="J133" s="32"/>
      <c r="K133" s="4"/>
      <c r="L133" s="4"/>
      <c r="M133" s="6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6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</row>
    <row r="134" spans="1:257" ht="15.75" customHeight="1">
      <c r="A134" s="1"/>
      <c r="B134" s="3" t="s">
        <v>307</v>
      </c>
      <c r="C134" s="181">
        <f>IF(K117="T¾t lón",B117,J95+SUMIF(K117:K132,K117,H99:H114))</f>
        <v>20.28771053784568</v>
      </c>
      <c r="D134" s="4" t="s">
        <v>36</v>
      </c>
      <c r="E134" s="205"/>
      <c r="F134" s="3" t="s">
        <v>308</v>
      </c>
      <c r="G134" s="206">
        <f ca="1">IF(K117="T¾t lón",0,SUMIF(K117:K132,K117,J118:J132))</f>
        <v>0.34852570817900363</v>
      </c>
      <c r="H134" s="26" t="str">
        <f ca="1">IF(G134&lt;K15,"&lt;[S](cm)=",IF(G134=K15,"=[S](cm)=","&gt;[S](cm)="))</f>
        <v>&lt;[S](cm)=</v>
      </c>
      <c r="I134" s="203">
        <f>K15</f>
        <v>8</v>
      </c>
      <c r="J134" s="135" t="str">
        <f ca="1">IF(H134="&lt;[S](cm)=","®¹t.",IF(H134="=[S](cm)=","®­îc.","kh«ng ®¹t."))</f>
        <v>®¹t.</v>
      </c>
      <c r="K134" s="4"/>
      <c r="L134" s="4"/>
      <c r="M134" s="6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6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</row>
  </sheetData>
  <mergeCells count="45">
    <mergeCell ref="D98:E98"/>
    <mergeCell ref="C41:D41"/>
    <mergeCell ref="B85:E85"/>
    <mergeCell ref="G85:I85"/>
    <mergeCell ref="O52:P52"/>
    <mergeCell ref="J85:K85"/>
    <mergeCell ref="C86:D86"/>
    <mergeCell ref="C87:D87"/>
    <mergeCell ref="C88:D88"/>
    <mergeCell ref="C89:D89"/>
    <mergeCell ref="C35:D35"/>
    <mergeCell ref="C36:D36"/>
    <mergeCell ref="M36:M38"/>
    <mergeCell ref="N36:N38"/>
    <mergeCell ref="C39:D39"/>
    <mergeCell ref="M39:M40"/>
    <mergeCell ref="N39:N40"/>
    <mergeCell ref="W39:W40"/>
    <mergeCell ref="C40:D40"/>
    <mergeCell ref="Z21:Z25"/>
    <mergeCell ref="C26:D26"/>
    <mergeCell ref="C27:D27"/>
    <mergeCell ref="C37:D37"/>
    <mergeCell ref="C38:D38"/>
    <mergeCell ref="W36:W38"/>
    <mergeCell ref="Q37:Q38"/>
    <mergeCell ref="S37:S38"/>
    <mergeCell ref="C28:D28"/>
    <mergeCell ref="C29:D29"/>
    <mergeCell ref="C30:D30"/>
    <mergeCell ref="C31:D31"/>
    <mergeCell ref="C32:D32"/>
    <mergeCell ref="C33:D33"/>
    <mergeCell ref="C34:D34"/>
    <mergeCell ref="Z11:Z12"/>
    <mergeCell ref="AA16:AA18"/>
    <mergeCell ref="X15:X16"/>
    <mergeCell ref="O17:O19"/>
    <mergeCell ref="Z17:Z20"/>
    <mergeCell ref="AA19:AA20"/>
    <mergeCell ref="D1:H1"/>
    <mergeCell ref="Q1:U1"/>
    <mergeCell ref="IL1:IT1"/>
    <mergeCell ref="IL2:IT2"/>
    <mergeCell ref="Z8:Z10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000"/>
  <sheetViews>
    <sheetView tabSelected="1" workbookViewId="0">
      <selection activeCell="B167" sqref="B167:J168"/>
    </sheetView>
  </sheetViews>
  <sheetFormatPr defaultColWidth="14.36328125" defaultRowHeight="15" customHeight="1"/>
  <cols>
    <col min="1" max="1" width="2.26953125" customWidth="1"/>
    <col min="2" max="6" width="7.7265625" customWidth="1"/>
    <col min="7" max="7" width="9.26953125" customWidth="1"/>
    <col min="8" max="8" width="8.26953125" customWidth="1"/>
    <col min="9" max="9" width="7.26953125" customWidth="1"/>
    <col min="10" max="10" width="14" customWidth="1"/>
    <col min="11" max="11" width="6.54296875" customWidth="1"/>
    <col min="12" max="12" width="7.54296875" customWidth="1"/>
    <col min="13" max="19" width="7.7265625" customWidth="1"/>
    <col min="20" max="20" width="7.81640625" customWidth="1"/>
    <col min="21" max="22" width="7.7265625" customWidth="1"/>
    <col min="23" max="23" width="7.08984375" customWidth="1"/>
    <col min="24" max="24" width="10.54296875" customWidth="1"/>
    <col min="25" max="25" width="10.08984375" customWidth="1"/>
    <col min="26" max="26" width="2.08984375" customWidth="1"/>
    <col min="27" max="27" width="11.81640625" customWidth="1"/>
    <col min="28" max="28" width="12.36328125" customWidth="1"/>
    <col min="29" max="29" width="12" customWidth="1"/>
    <col min="30" max="30" width="10.08984375" customWidth="1"/>
    <col min="31" max="31" width="12.81640625" customWidth="1"/>
    <col min="32" max="32" width="11.26953125" customWidth="1"/>
    <col min="33" max="33" width="5" customWidth="1"/>
  </cols>
  <sheetData>
    <row r="1" spans="1:33" ht="15.75" customHeight="1">
      <c r="A1" s="26"/>
      <c r="B1" s="26"/>
      <c r="C1" s="26"/>
      <c r="D1" s="26"/>
      <c r="E1" s="207" t="s">
        <v>309</v>
      </c>
      <c r="F1" s="26"/>
      <c r="G1" s="26"/>
      <c r="H1" s="26"/>
      <c r="I1" s="4"/>
      <c r="J1" s="4"/>
      <c r="K1" s="4"/>
      <c r="L1" s="26"/>
      <c r="M1" s="26"/>
      <c r="N1" s="26"/>
      <c r="O1" s="14"/>
      <c r="P1" s="208" t="s">
        <v>310</v>
      </c>
      <c r="Q1" s="26"/>
      <c r="R1" s="26"/>
      <c r="S1" s="4"/>
      <c r="T1" s="26"/>
      <c r="U1" s="26"/>
      <c r="V1" s="26"/>
      <c r="W1" s="4"/>
      <c r="X1" s="4"/>
      <c r="Y1" s="4"/>
      <c r="Z1" s="4"/>
      <c r="AA1" s="4"/>
      <c r="AB1" s="4"/>
      <c r="AC1" s="4"/>
      <c r="AD1" s="4"/>
      <c r="AE1" s="4"/>
      <c r="AF1" s="4"/>
      <c r="AG1" s="4"/>
    </row>
    <row r="2" spans="1:33" ht="12.75" customHeight="1">
      <c r="A2" s="26"/>
      <c r="B2" s="54"/>
      <c r="C2" s="76"/>
      <c r="D2" s="209"/>
      <c r="E2" s="26"/>
      <c r="F2" s="209"/>
      <c r="G2" s="209"/>
      <c r="H2" s="209"/>
      <c r="I2" s="210"/>
      <c r="J2" s="4"/>
      <c r="K2" s="4"/>
      <c r="L2" s="18"/>
      <c r="M2" s="76"/>
      <c r="N2" s="209"/>
      <c r="O2" s="209"/>
      <c r="P2" s="209"/>
      <c r="Q2" s="209"/>
      <c r="R2" s="209"/>
      <c r="S2" s="209"/>
      <c r="T2" s="209"/>
      <c r="U2" s="210"/>
      <c r="V2" s="26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1:33" ht="15" customHeight="1">
      <c r="A3" s="26"/>
      <c r="B3" s="24" t="s">
        <v>311</v>
      </c>
      <c r="C3" s="83"/>
      <c r="D3" s="26"/>
      <c r="E3" s="26" t="s">
        <v>312</v>
      </c>
      <c r="F3" s="26"/>
      <c r="G3" s="26"/>
      <c r="H3" s="26"/>
      <c r="I3" s="151"/>
      <c r="J3" s="4"/>
      <c r="K3" s="4"/>
      <c r="L3" s="24" t="s">
        <v>133</v>
      </c>
      <c r="M3" s="83"/>
      <c r="N3" s="26"/>
      <c r="O3" s="4"/>
      <c r="P3" s="26"/>
      <c r="Q3" s="26" t="s">
        <v>313</v>
      </c>
      <c r="R3" s="26"/>
      <c r="S3" s="26"/>
      <c r="T3" s="26"/>
      <c r="U3" s="151"/>
      <c r="V3" s="26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ht="15" customHeight="1">
      <c r="A4" s="26"/>
      <c r="B4" s="24" t="s">
        <v>314</v>
      </c>
      <c r="C4" s="156"/>
      <c r="D4" s="211"/>
      <c r="E4" s="211" t="s">
        <v>315</v>
      </c>
      <c r="F4" s="211"/>
      <c r="G4" s="211"/>
      <c r="H4" s="211"/>
      <c r="I4" s="159"/>
      <c r="J4" s="4"/>
      <c r="K4" s="4"/>
      <c r="L4" s="83" t="s">
        <v>316</v>
      </c>
      <c r="M4" s="156"/>
      <c r="N4" s="211"/>
      <c r="O4" s="20"/>
      <c r="P4" s="4"/>
      <c r="Q4" s="211" t="s">
        <v>317</v>
      </c>
      <c r="R4" s="211"/>
      <c r="S4" s="26"/>
      <c r="T4" s="26"/>
      <c r="U4" s="151"/>
      <c r="V4" s="26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ht="15" customHeight="1">
      <c r="A5" s="26"/>
      <c r="B5" s="24" t="s">
        <v>318</v>
      </c>
      <c r="C5" s="108"/>
      <c r="D5" s="178"/>
      <c r="E5" s="178" t="s">
        <v>319</v>
      </c>
      <c r="F5" s="178"/>
      <c r="G5" s="178"/>
      <c r="H5" s="178"/>
      <c r="I5" s="193"/>
      <c r="J5" s="4"/>
      <c r="K5" s="4"/>
      <c r="L5" s="83" t="s">
        <v>320</v>
      </c>
      <c r="M5" s="108"/>
      <c r="N5" s="178"/>
      <c r="O5" s="4"/>
      <c r="P5" s="178"/>
      <c r="Q5" s="178" t="s">
        <v>321</v>
      </c>
      <c r="R5" s="178"/>
      <c r="S5" s="178"/>
      <c r="T5" s="178"/>
      <c r="U5" s="193"/>
      <c r="V5" s="26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ht="15" customHeight="1">
      <c r="A6" s="26"/>
      <c r="B6" s="24" t="s">
        <v>322</v>
      </c>
      <c r="C6" s="321" t="s">
        <v>323</v>
      </c>
      <c r="D6" s="321" t="s">
        <v>324</v>
      </c>
      <c r="E6" s="323" t="s">
        <v>325</v>
      </c>
      <c r="F6" s="336" t="s">
        <v>326</v>
      </c>
      <c r="G6" s="321" t="s">
        <v>150</v>
      </c>
      <c r="H6" s="321" t="s">
        <v>327</v>
      </c>
      <c r="I6" s="323" t="s">
        <v>325</v>
      </c>
      <c r="J6" s="4"/>
      <c r="K6" s="4"/>
      <c r="L6" s="83" t="s">
        <v>318</v>
      </c>
      <c r="M6" s="319" t="s">
        <v>324</v>
      </c>
      <c r="N6" s="321" t="s">
        <v>150</v>
      </c>
      <c r="O6" s="321" t="s">
        <v>327</v>
      </c>
      <c r="P6" s="323" t="s">
        <v>152</v>
      </c>
      <c r="Q6" s="323" t="s">
        <v>152</v>
      </c>
      <c r="R6" s="323" t="s">
        <v>152</v>
      </c>
      <c r="S6" s="323" t="s">
        <v>152</v>
      </c>
      <c r="T6" s="323" t="s">
        <v>152</v>
      </c>
      <c r="U6" s="323" t="s">
        <v>152</v>
      </c>
      <c r="V6" s="26"/>
      <c r="W6" s="4"/>
      <c r="X6" s="4"/>
      <c r="Y6" s="4"/>
      <c r="Z6" s="4"/>
      <c r="AA6" s="4"/>
      <c r="AB6" s="212"/>
      <c r="AC6" s="4"/>
      <c r="AD6" s="4"/>
      <c r="AE6" s="4"/>
      <c r="AF6" s="4"/>
      <c r="AG6" s="4"/>
    </row>
    <row r="7" spans="1:33" ht="15" customHeight="1">
      <c r="A7" s="26"/>
      <c r="B7" s="24" t="s">
        <v>328</v>
      </c>
      <c r="C7" s="322"/>
      <c r="D7" s="322"/>
      <c r="E7" s="322"/>
      <c r="F7" s="322"/>
      <c r="G7" s="322"/>
      <c r="H7" s="322"/>
      <c r="I7" s="322"/>
      <c r="J7" s="4"/>
      <c r="K7" s="4"/>
      <c r="L7" s="24" t="s">
        <v>329</v>
      </c>
      <c r="M7" s="320"/>
      <c r="N7" s="322"/>
      <c r="O7" s="322"/>
      <c r="P7" s="322"/>
      <c r="Q7" s="322"/>
      <c r="R7" s="322"/>
      <c r="S7" s="322"/>
      <c r="T7" s="322"/>
      <c r="U7" s="322"/>
      <c r="V7" s="26"/>
      <c r="W7" s="4"/>
      <c r="X7" s="4"/>
      <c r="Y7" s="4"/>
      <c r="Z7" s="4"/>
      <c r="AA7" s="4"/>
      <c r="AB7" s="4"/>
      <c r="AC7" s="4"/>
      <c r="AD7" s="4"/>
      <c r="AE7" s="29" t="s">
        <v>330</v>
      </c>
      <c r="AF7" s="4"/>
      <c r="AG7" s="4"/>
    </row>
    <row r="8" spans="1:33" ht="15" customHeight="1">
      <c r="A8" s="26"/>
      <c r="B8" s="24" t="s">
        <v>331</v>
      </c>
      <c r="C8" s="108"/>
      <c r="D8" s="178"/>
      <c r="E8" s="178"/>
      <c r="F8" s="178"/>
      <c r="G8" s="178"/>
      <c r="H8" s="178"/>
      <c r="I8" s="193"/>
      <c r="J8" s="4"/>
      <c r="K8" s="4"/>
      <c r="L8" s="83" t="s">
        <v>332</v>
      </c>
      <c r="M8" s="177"/>
      <c r="N8" s="178"/>
      <c r="O8" s="4"/>
      <c r="P8" s="178"/>
      <c r="Q8" s="178" t="s">
        <v>333</v>
      </c>
      <c r="R8" s="178"/>
      <c r="S8" s="211"/>
      <c r="T8" s="211"/>
      <c r="U8" s="159"/>
      <c r="V8" s="26"/>
      <c r="W8" s="4"/>
      <c r="X8" s="4"/>
      <c r="Y8" s="4"/>
      <c r="Z8" s="4"/>
      <c r="AA8" s="213"/>
      <c r="AB8" s="214" t="s">
        <v>334</v>
      </c>
      <c r="AC8" s="192"/>
      <c r="AD8" s="194"/>
      <c r="AE8" s="215" t="s">
        <v>335</v>
      </c>
      <c r="AF8" s="20"/>
      <c r="AG8" s="4"/>
    </row>
    <row r="9" spans="1:33" ht="19.5" customHeight="1" thickBot="1">
      <c r="A9" s="26"/>
      <c r="B9" s="78"/>
      <c r="C9" s="337">
        <v>0</v>
      </c>
      <c r="D9" s="337">
        <v>0.1</v>
      </c>
      <c r="E9" s="337">
        <v>0.2</v>
      </c>
      <c r="F9" s="337">
        <v>0.3</v>
      </c>
      <c r="G9" s="337">
        <v>0.4</v>
      </c>
      <c r="H9" s="337">
        <v>0.5</v>
      </c>
      <c r="I9" s="337">
        <v>0.6</v>
      </c>
      <c r="J9" s="4"/>
      <c r="K9" s="4"/>
      <c r="L9" s="78" t="s">
        <v>336</v>
      </c>
      <c r="M9" s="217">
        <v>0.2</v>
      </c>
      <c r="N9" s="218">
        <v>0.3</v>
      </c>
      <c r="O9" s="219">
        <v>0.4</v>
      </c>
      <c r="P9" s="219">
        <v>0.5</v>
      </c>
      <c r="Q9" s="219">
        <v>0.6</v>
      </c>
      <c r="R9" s="219">
        <v>0.7</v>
      </c>
      <c r="S9" s="219">
        <v>0.8</v>
      </c>
      <c r="T9" s="219">
        <v>0.9</v>
      </c>
      <c r="U9" s="219">
        <v>1</v>
      </c>
      <c r="V9" s="26"/>
      <c r="W9" s="216" t="s">
        <v>128</v>
      </c>
      <c r="X9" s="216" t="s">
        <v>337</v>
      </c>
      <c r="Y9" s="327" t="s">
        <v>338</v>
      </c>
      <c r="Z9" s="328"/>
      <c r="AA9" s="216" t="s">
        <v>339</v>
      </c>
      <c r="AB9" s="216" t="s">
        <v>340</v>
      </c>
      <c r="AC9" s="220" t="s">
        <v>341</v>
      </c>
      <c r="AD9" s="220" t="s">
        <v>342</v>
      </c>
      <c r="AE9" s="220" t="s">
        <v>343</v>
      </c>
      <c r="AF9" s="78" t="s">
        <v>344</v>
      </c>
      <c r="AG9" s="177" t="s">
        <v>345</v>
      </c>
    </row>
    <row r="10" spans="1:33" ht="15" customHeight="1" thickTop="1">
      <c r="A10" s="26"/>
      <c r="B10" s="221">
        <v>3</v>
      </c>
      <c r="C10" s="222">
        <v>750</v>
      </c>
      <c r="D10" s="223">
        <v>660</v>
      </c>
      <c r="E10" s="224">
        <v>300</v>
      </c>
      <c r="F10" s="223">
        <v>310</v>
      </c>
      <c r="G10" s="223">
        <v>200</v>
      </c>
      <c r="H10" s="223">
        <v>110</v>
      </c>
      <c r="I10" s="224">
        <v>60</v>
      </c>
      <c r="J10" s="4"/>
      <c r="K10" s="4"/>
      <c r="L10" s="221">
        <v>1</v>
      </c>
      <c r="M10" s="222">
        <v>3.5</v>
      </c>
      <c r="N10" s="222">
        <v>2.2999999999999998</v>
      </c>
      <c r="O10" s="223">
        <v>1.5</v>
      </c>
      <c r="P10" s="223">
        <v>1.2</v>
      </c>
      <c r="Q10" s="223">
        <v>0.8</v>
      </c>
      <c r="R10" s="223">
        <v>0.4</v>
      </c>
      <c r="S10" s="223">
        <v>0.4</v>
      </c>
      <c r="T10" s="223">
        <v>0.3</v>
      </c>
      <c r="U10" s="223">
        <v>0.2</v>
      </c>
      <c r="V10" s="26"/>
      <c r="W10" s="24">
        <v>1</v>
      </c>
      <c r="X10" s="182">
        <f>'PILE-99'!I28</f>
        <v>0</v>
      </c>
      <c r="Y10" s="329">
        <f>'PILE-99'!G28</f>
        <v>0</v>
      </c>
      <c r="Z10" s="330"/>
      <c r="AA10" s="19">
        <f>IF(Y10="c¸t th«",LOOKUP(CEILING(X10,0.4),L10:L78,M10:M78),IF(Y10="c¸t mÞn",LOOKUP(CEILING(X10,0.4),L10:L78,N10:N78),IF(Y10="c¸t bôi",LOOKUP(CEILING(X10,0.4),L10:L78,O10:O78),0)))</f>
        <v>0</v>
      </c>
      <c r="AB10" s="19" t="e">
        <f>IF(Y10&lt;=0.2,LOOKUP(CEILING(X10,0.4),L10:L78,M10:M78),IF(Y10&lt;=0.3,LOOKUP(CEILING(X10,0.4),L10:L78,N10:N78),IF(Y10&lt;=0.4,LOOKUP(CEILING(X10,0.4),L10:L78,O10:O78),IF(Y10&lt;=0.5,LOOKUP(CEILING(X10,0.4),L10:L78,P10:P78),IF(Y10&lt;=0.6,LOOKUP(CEILING(X10,0.4),L10:L78,Q10:Q78),0)))))</f>
        <v>#N/A</v>
      </c>
      <c r="AC10" s="37" t="e">
        <f>IF(AB10=0,IF(Y10&lt;=0.7,LOOKUP(CEILING(X10,0.4),L10:L78,R10:R78),IF(Y10&lt;=0.8,LOOKUP(CEILING(X10,0.4),L10:L78,S10:S78),IF(Y10&lt;=0.9,LOOKUP(CEILING(X10,0.4),L10:L78,T10:T78),IF(Y10&lt;=1,LOOKUP(CEILING(X10,0.4),L10:L78,U10:U78),0)))),0)</f>
        <v>#N/A</v>
      </c>
      <c r="AD10" s="37" t="e">
        <f t="shared" ref="AD10:AD21" si="0">MAX(AB10,AC10)</f>
        <v>#N/A</v>
      </c>
      <c r="AE10" s="225" t="e">
        <f t="shared" ref="AE10:AE21" si="1">MAX(AD10,AA10)</f>
        <v>#N/A</v>
      </c>
      <c r="AF10" s="226">
        <v>1</v>
      </c>
      <c r="AG10" s="226">
        <v>0</v>
      </c>
    </row>
    <row r="11" spans="1:33" ht="15" customHeight="1">
      <c r="A11" s="26"/>
      <c r="B11" s="227">
        <f t="shared" ref="B11:I11" si="2">(B10+B12)/2</f>
        <v>3.5</v>
      </c>
      <c r="C11" s="151">
        <f t="shared" si="2"/>
        <v>790</v>
      </c>
      <c r="D11" s="151">
        <f t="shared" si="2"/>
        <v>670</v>
      </c>
      <c r="E11" s="24">
        <f t="shared" si="2"/>
        <v>340</v>
      </c>
      <c r="F11" s="151">
        <f t="shared" si="2"/>
        <v>315</v>
      </c>
      <c r="G11" s="151">
        <f t="shared" si="2"/>
        <v>205</v>
      </c>
      <c r="H11" s="151">
        <f t="shared" si="2"/>
        <v>117.5</v>
      </c>
      <c r="I11" s="24">
        <f t="shared" si="2"/>
        <v>65</v>
      </c>
      <c r="J11" s="4"/>
      <c r="K11" s="4"/>
      <c r="L11" s="227">
        <f t="shared" ref="L11:U11" si="3">(L10+L12)/2</f>
        <v>1.5</v>
      </c>
      <c r="M11" s="151">
        <f t="shared" si="3"/>
        <v>3.85</v>
      </c>
      <c r="N11" s="151">
        <f t="shared" si="3"/>
        <v>2.65</v>
      </c>
      <c r="O11" s="151">
        <f t="shared" si="3"/>
        <v>1.8</v>
      </c>
      <c r="P11" s="151">
        <f t="shared" si="3"/>
        <v>1.45</v>
      </c>
      <c r="Q11" s="151">
        <f t="shared" si="3"/>
        <v>1</v>
      </c>
      <c r="R11" s="151">
        <f t="shared" si="3"/>
        <v>0.55000000000000004</v>
      </c>
      <c r="S11" s="151">
        <f t="shared" si="3"/>
        <v>0.45</v>
      </c>
      <c r="T11" s="151">
        <f t="shared" si="3"/>
        <v>0.35</v>
      </c>
      <c r="U11" s="151">
        <f t="shared" si="3"/>
        <v>0.30000000000000004</v>
      </c>
      <c r="V11" s="26"/>
      <c r="W11" s="24">
        <v>2</v>
      </c>
      <c r="X11" s="182">
        <f>'PILE-99'!I29</f>
        <v>6.5</v>
      </c>
      <c r="Y11" s="331">
        <f>'PILE-99'!G29</f>
        <v>0.8</v>
      </c>
      <c r="Z11" s="268"/>
      <c r="AA11" s="19">
        <f>IF(Y11="c¸t th«",LOOKUP(CEILING(X11,0.4),L10:L78,M10:M78),IF(Y11="c¸t mÞn",LOOKUP(CEILING(X11,0.4),L10:L78,N10:N78),IF(Y11="c¸t bôi",LOOKUP(CEILING(X11,0.4),L10:L78,O10:O78),0)))</f>
        <v>0</v>
      </c>
      <c r="AB11" s="19">
        <f>IF(Y11&lt;=0.2,LOOKUP(CEILING(X11,0.4),L10:L78,M10:M78),IF(Y11&lt;=0.3,LOOKUP(CEILING(X11,0.4),L10:L78,N10:N78),IF(Y11&lt;=0.4,LOOKUP(CEILING(X11,0.4),L10:L78,O10:O78),IF(Y11&lt;=0.5,LOOKUP(CEILING(X11,0.4),L10:L78,P10:P78),IF(Y11&lt;=0.6,LOOKUP(CEILING(X11,0.4),L10:L78,Q10:Q78),0)))))</f>
        <v>0</v>
      </c>
      <c r="AC11" s="37">
        <f>IF(AB11=0,IF(Y11&lt;=0.7,LOOKUP(CEILING(X11,0.4),L10:L78,R10:R78),IF(Y11&lt;=0.8,LOOKUP(CEILING(X11,0.4),L10:L78,S10:S78),IF(Y11&lt;=0.9,LOOKUP(CEILING(X11,0.4),L10:L78,T10:T78),IF(Y11&lt;=1,LOOKUP(CEILING(X11,0.4),L10:L78,U10:U78),0)))),0)</f>
        <v>0.8</v>
      </c>
      <c r="AD11" s="37">
        <f t="shared" si="0"/>
        <v>0.8</v>
      </c>
      <c r="AE11" s="225">
        <f t="shared" si="1"/>
        <v>0.8</v>
      </c>
      <c r="AF11" s="226">
        <v>2</v>
      </c>
      <c r="AG11" s="226">
        <v>0</v>
      </c>
    </row>
    <row r="12" spans="1:33" ht="15" customHeight="1">
      <c r="A12" s="26"/>
      <c r="B12" s="228">
        <v>4</v>
      </c>
      <c r="C12" s="222">
        <v>830</v>
      </c>
      <c r="D12" s="223">
        <v>680</v>
      </c>
      <c r="E12" s="223">
        <v>380</v>
      </c>
      <c r="F12" s="223">
        <v>320</v>
      </c>
      <c r="G12" s="223">
        <v>210</v>
      </c>
      <c r="H12" s="223">
        <v>125</v>
      </c>
      <c r="I12" s="223">
        <v>70</v>
      </c>
      <c r="J12" s="4"/>
      <c r="K12" s="4"/>
      <c r="L12" s="228">
        <v>2</v>
      </c>
      <c r="M12" s="222">
        <v>4.2</v>
      </c>
      <c r="N12" s="222">
        <v>3</v>
      </c>
      <c r="O12" s="223">
        <v>2.1</v>
      </c>
      <c r="P12" s="223">
        <v>1.7</v>
      </c>
      <c r="Q12" s="223">
        <v>1.2</v>
      </c>
      <c r="R12" s="223">
        <v>0.7</v>
      </c>
      <c r="S12" s="223">
        <v>0.5</v>
      </c>
      <c r="T12" s="223">
        <v>0.4</v>
      </c>
      <c r="U12" s="223">
        <v>0.4</v>
      </c>
      <c r="V12" s="26"/>
      <c r="W12" s="24">
        <v>3</v>
      </c>
      <c r="X12" s="182">
        <f>'PILE-99'!I30</f>
        <v>13.8</v>
      </c>
      <c r="Y12" s="331">
        <f>'PILE-99'!G30</f>
        <v>0.53</v>
      </c>
      <c r="Z12" s="268"/>
      <c r="AA12" s="19">
        <f>IF(Y12="c¸t th«",LOOKUP(CEILING(X12,0.4),L10:L78,M10:M78),IF(Y12="c¸t mÞn",LOOKUP(CEILING(X12,0.4),L10:L78,N10:N78),IF(Y12="c¸t bôi",LOOKUP(CEILING(X12,0.4),L10:L78,O10:O78),0)))</f>
        <v>0</v>
      </c>
      <c r="AB12" s="19">
        <f>IF(Y12&lt;=0.2,LOOKUP(CEILING(X12,0.4),L10:L78,M10:M78),IF(Y12&lt;=0.3,LOOKUP(CEILING(X12,0.4),L10:L78,N10:N78),IF(Y12&lt;=0.4,LOOKUP(CEILING(X12,0.4),L10:L78,O10:O78),IF(Y12&lt;=0.5,LOOKUP(CEILING(X12,0.4),L10:L78,P10:P78),IF(Y12&lt;=0.6,LOOKUP(CEILING(X12,0.4),L10:L78,Q10:Q78),0)))))</f>
        <v>1.98</v>
      </c>
      <c r="AC12" s="37">
        <f>IF(AB12=0,IF(Y12&lt;=0.7,LOOKUP(CEILING(X12,0.4),L10:L78,R10:R78),IF(Y12&lt;=0.8,LOOKUP(CEILING(X12,0.4),L10:L78,S10:S78),IF(Y12&lt;=0.9,LOOKUP(CEILING(X12,0.4),L10:L78,T10:T78),IF(Y12&lt;=1,LOOKUP(CEILING(X12,0.4),L10:L78,U10:U78),0)))),0)</f>
        <v>0</v>
      </c>
      <c r="AD12" s="37">
        <f t="shared" si="0"/>
        <v>1.98</v>
      </c>
      <c r="AE12" s="225">
        <f t="shared" si="1"/>
        <v>1.98</v>
      </c>
      <c r="AF12" s="226">
        <v>3</v>
      </c>
      <c r="AG12" s="226">
        <v>0</v>
      </c>
    </row>
    <row r="13" spans="1:33" ht="15" customHeight="1">
      <c r="A13" s="26"/>
      <c r="B13" s="227">
        <f t="shared" ref="B13:I13" si="4">(B12+B14)/2</f>
        <v>4.5</v>
      </c>
      <c r="C13" s="151">
        <f t="shared" si="4"/>
        <v>855</v>
      </c>
      <c r="D13" s="151">
        <f t="shared" si="4"/>
        <v>690</v>
      </c>
      <c r="E13" s="24">
        <f t="shared" si="4"/>
        <v>390</v>
      </c>
      <c r="F13" s="151">
        <f t="shared" si="4"/>
        <v>330</v>
      </c>
      <c r="G13" s="151">
        <f t="shared" si="4"/>
        <v>215</v>
      </c>
      <c r="H13" s="151">
        <f t="shared" si="4"/>
        <v>127.5</v>
      </c>
      <c r="I13" s="24">
        <f t="shared" si="4"/>
        <v>75</v>
      </c>
      <c r="J13" s="4"/>
      <c r="K13" s="4"/>
      <c r="L13" s="227">
        <f t="shared" ref="L13:U13" si="5">(L12+L14)/2</f>
        <v>2.5</v>
      </c>
      <c r="M13" s="151">
        <f t="shared" si="5"/>
        <v>4.5</v>
      </c>
      <c r="N13" s="151">
        <f t="shared" si="5"/>
        <v>3.25</v>
      </c>
      <c r="O13" s="151">
        <f t="shared" si="5"/>
        <v>2.2999999999999998</v>
      </c>
      <c r="P13" s="151">
        <f t="shared" si="5"/>
        <v>1.85</v>
      </c>
      <c r="Q13" s="151">
        <f t="shared" si="5"/>
        <v>1.2999999999999998</v>
      </c>
      <c r="R13" s="151">
        <f t="shared" si="5"/>
        <v>0.75</v>
      </c>
      <c r="S13" s="151">
        <f t="shared" si="5"/>
        <v>0.6</v>
      </c>
      <c r="T13" s="151">
        <f t="shared" si="5"/>
        <v>0.5</v>
      </c>
      <c r="U13" s="151">
        <f t="shared" si="5"/>
        <v>0.45</v>
      </c>
      <c r="V13" s="26"/>
      <c r="W13" s="24">
        <v>4</v>
      </c>
      <c r="X13" s="182">
        <f>'PILE-99'!I31</f>
        <v>16.75</v>
      </c>
      <c r="Y13" s="331" t="str">
        <f>'PILE-99'!G31</f>
        <v>c¸t mÞn</v>
      </c>
      <c r="Z13" s="268"/>
      <c r="AA13" s="19">
        <f>IF(Y13="c¸t th«",LOOKUP(CEILING(X13,0.4),L10:L78,M10:M78),IF(Y13="c¸t mÞn",LOOKUP(CEILING(X13,0.4),L10:L78,N10:N78),IF(Y13="c¸t bôi",LOOKUP(CEILING(X13,0.4),L10:L78,O10:O78),0)))</f>
        <v>5.2499999999999991</v>
      </c>
      <c r="AB13" s="19">
        <f>IF(Y13&lt;=0.2,LOOKUP(CEILING(X13,0.4),L10:L78,M10:M78),IF(Y13&lt;=0.3,LOOKUP(CEILING(X13,0.4),L10:L78,N10:N78),IF(Y13&lt;=0.4,LOOKUP(CEILING(X13,0.4),L10:L78,O10:O78),IF(Y13&lt;=0.5,LOOKUP(CEILING(X13,0.4),L10:L78,P10:P78),IF(Y13&lt;=0.6,LOOKUP(CEILING(X13,0.4),L10:L78,Q10:Q78),0)))))</f>
        <v>0</v>
      </c>
      <c r="AC13" s="37">
        <f>IF(AB13=0,IF(Y13&lt;=0.7,LOOKUP(CEILING(X13,0.4),L10:L78,R10:R78),IF(Y13&lt;=0.8,LOOKUP(CEILING(X13,0.4),L10:L78,S10:S78),IF(Y13&lt;=0.9,LOOKUP(CEILING(X13,0.4),L10:L78,T10:T78),IF(Y13&lt;=1,LOOKUP(CEILING(X13,0.4),L10:L78,U10:U78),0)))),0)</f>
        <v>0</v>
      </c>
      <c r="AD13" s="37">
        <f t="shared" si="0"/>
        <v>0</v>
      </c>
      <c r="AE13" s="225">
        <f t="shared" si="1"/>
        <v>5.2499999999999991</v>
      </c>
      <c r="AF13" s="226">
        <v>4</v>
      </c>
      <c r="AG13" s="226">
        <v>0</v>
      </c>
    </row>
    <row r="14" spans="1:33" ht="15" customHeight="1">
      <c r="A14" s="26"/>
      <c r="B14" s="228">
        <v>5</v>
      </c>
      <c r="C14" s="222">
        <v>880</v>
      </c>
      <c r="D14" s="223">
        <v>700</v>
      </c>
      <c r="E14" s="223">
        <v>400</v>
      </c>
      <c r="F14" s="223">
        <v>340</v>
      </c>
      <c r="G14" s="223">
        <v>220</v>
      </c>
      <c r="H14" s="223">
        <v>130</v>
      </c>
      <c r="I14" s="223">
        <v>80</v>
      </c>
      <c r="J14" s="4"/>
      <c r="K14" s="4"/>
      <c r="L14" s="228">
        <v>3</v>
      </c>
      <c r="M14" s="222">
        <v>4.8</v>
      </c>
      <c r="N14" s="222">
        <v>3.5</v>
      </c>
      <c r="O14" s="223">
        <v>2.5</v>
      </c>
      <c r="P14" s="223">
        <v>2</v>
      </c>
      <c r="Q14" s="223">
        <v>1.4</v>
      </c>
      <c r="R14" s="223">
        <v>0.8</v>
      </c>
      <c r="S14" s="223">
        <v>0.7</v>
      </c>
      <c r="T14" s="223">
        <v>0.6</v>
      </c>
      <c r="U14" s="223">
        <v>0.5</v>
      </c>
      <c r="V14" s="26"/>
      <c r="W14" s="24">
        <v>5</v>
      </c>
      <c r="X14" s="182">
        <f>'PILE-99'!I32</f>
        <v>22.599999999999998</v>
      </c>
      <c r="Y14" s="331">
        <v>0.7</v>
      </c>
      <c r="Z14" s="268"/>
      <c r="AA14" s="19">
        <f>IF(Y14="c¸t th«",LOOKUP(CEILING(X14,0.4),L10:L78,M10:M78),IF(Y14="c¸t mÞn",LOOKUP(CEILING(X14,0.4),L10:L78,N10:N78),IF(Y14="c¸t bôi",LOOKUP(CEILING(X14,0.4),L10:L78,O10:O78),0)))</f>
        <v>0</v>
      </c>
      <c r="AB14" s="19">
        <f>IF(Y14&lt;=0.2,LOOKUP(CEILING(X14,0.4),L10:L78,M10:M78),IF(Y14&lt;=0.3,LOOKUP(CEILING(X14,0.4),L10:L78,N10:N78),IF(Y14&lt;=0.4,LOOKUP(CEILING(X14,0.4),L10:L78,O10:O78),IF(Y14&lt;=0.5,LOOKUP(CEILING(X14,0.4),L10:L78,P10:P78),IF(Y14&lt;=0.6,LOOKUP(CEILING(X14,0.4),L10:L78,Q10:Q78),0)))))</f>
        <v>0</v>
      </c>
      <c r="AC14" s="37">
        <f>IF(AB14=0,IF(Y14&lt;=0.7,LOOKUP(CEILING(X14,0.4),L10:L78,R10:R78),IF(Y14&lt;=0.8,LOOKUP(CEILING(X14,0.4),L10:L78,S10:S78),IF(Y14&lt;=0.9,LOOKUP(CEILING(X14,0.4),L10:L78,T10:T78),IF(Y14&lt;=1,LOOKUP(CEILING(X14,0.4),L10:L78,U10:U78),0)))),0)</f>
        <v>1.2</v>
      </c>
      <c r="AD14" s="37">
        <f t="shared" si="0"/>
        <v>1.2</v>
      </c>
      <c r="AE14" s="225">
        <f t="shared" si="1"/>
        <v>1.2</v>
      </c>
      <c r="AF14" s="226">
        <v>5</v>
      </c>
      <c r="AG14" s="226">
        <v>0</v>
      </c>
    </row>
    <row r="15" spans="1:33" ht="15" customHeight="1">
      <c r="A15" s="26"/>
      <c r="B15" s="227">
        <f>(B14+B16)/2</f>
        <v>5.5</v>
      </c>
      <c r="C15" s="151">
        <f t="shared" ref="C15:I15" si="6">((B14-B15)*C18-(B18-B15)*C14)/((B14-B15)-(B18-B15))</f>
        <v>902.5</v>
      </c>
      <c r="D15" s="151">
        <f t="shared" si="6"/>
        <v>707.5</v>
      </c>
      <c r="E15" s="24">
        <f t="shared" si="6"/>
        <v>407.5</v>
      </c>
      <c r="F15" s="151">
        <f t="shared" si="6"/>
        <v>347.5</v>
      </c>
      <c r="G15" s="151">
        <f t="shared" si="6"/>
        <v>225</v>
      </c>
      <c r="H15" s="151">
        <f t="shared" si="6"/>
        <v>132.5</v>
      </c>
      <c r="I15" s="24">
        <f t="shared" si="6"/>
        <v>81.25</v>
      </c>
      <c r="J15" s="4"/>
      <c r="K15" s="4"/>
      <c r="L15" s="227">
        <f t="shared" ref="L15:U15" si="7">(L14+L16)/2</f>
        <v>3.5</v>
      </c>
      <c r="M15" s="151">
        <f t="shared" si="7"/>
        <v>5.05</v>
      </c>
      <c r="N15" s="151">
        <f t="shared" si="7"/>
        <v>3.65</v>
      </c>
      <c r="O15" s="151">
        <f t="shared" si="7"/>
        <v>2.6</v>
      </c>
      <c r="P15" s="151">
        <f t="shared" si="7"/>
        <v>2.1</v>
      </c>
      <c r="Q15" s="151">
        <f t="shared" si="7"/>
        <v>1.5</v>
      </c>
      <c r="R15" s="151">
        <f t="shared" si="7"/>
        <v>0.85000000000000009</v>
      </c>
      <c r="S15" s="151">
        <f t="shared" si="7"/>
        <v>0.75</v>
      </c>
      <c r="T15" s="151">
        <f t="shared" si="7"/>
        <v>0.64999999999999991</v>
      </c>
      <c r="U15" s="151">
        <f t="shared" si="7"/>
        <v>0.5</v>
      </c>
      <c r="V15" s="26"/>
      <c r="W15" s="24">
        <v>6</v>
      </c>
      <c r="X15" s="182">
        <f>'PILE-99'!I33</f>
        <v>27.799999999999997</v>
      </c>
      <c r="Y15" s="331" t="str">
        <f>'PILE-99'!G33</f>
        <v>-</v>
      </c>
      <c r="Z15" s="268"/>
      <c r="AA15" s="19">
        <f>IF(Y15="c¸t th«",LOOKUP(CEILING(X15,0.4),L10:L78,M10:M78),IF(Y15="c¸t mÞn",LOOKUP(CEILING(X15,0.4),L10:L78,N10:N78),IF(Y15="c¸t bôi",LOOKUP(CEILING(X15,0.4),L10:L78,O10:O78),0)))</f>
        <v>0</v>
      </c>
      <c r="AB15" s="19">
        <f>IF(Y15&lt;=0.2,LOOKUP(CEILING(X15,0.4),L10:L78,M10:M78),IF(Y15&lt;=0.3,LOOKUP(CEILING(X15,0.4),L10:L78,N10:N78),IF(Y15&lt;=0.4,LOOKUP(CEILING(X15,0.4),L10:L78,O10:O78),IF(Y15&lt;=0.5,LOOKUP(CEILING(X15,0.4),L10:L78,P10:P78),IF(Y15&lt;=0.6,LOOKUP(CEILING(X15,0.4),L10:L78,Q10:Q78),0)))))</f>
        <v>0</v>
      </c>
      <c r="AC15" s="37">
        <f>IF(AB15=0,IF(Y15&lt;=0.7,LOOKUP(CEILING(X15,0.4),L10:L78,R10:R78),IF(Y15&lt;=0.8,LOOKUP(CEILING(X15,0.4),L10:L78,S10:S78),IF(Y15&lt;=0.9,LOOKUP(CEILING(X15,0.4),L10:L78,T10:T78),IF(Y15&lt;=1,LOOKUP(CEILING(X15,0.4),L10:L78,U10:U78),0)))),0)</f>
        <v>0</v>
      </c>
      <c r="AD15" s="37">
        <f t="shared" si="0"/>
        <v>0</v>
      </c>
      <c r="AE15" s="225">
        <f t="shared" si="1"/>
        <v>0</v>
      </c>
      <c r="AF15" s="226">
        <v>6</v>
      </c>
      <c r="AG15" s="226">
        <v>0</v>
      </c>
    </row>
    <row r="16" spans="1:33" ht="15" customHeight="1">
      <c r="A16" s="26"/>
      <c r="B16" s="227">
        <v>6</v>
      </c>
      <c r="C16" s="151">
        <f t="shared" ref="C16:I16" si="8">((B14-B16)*C18-(B18-B16)*C14)/((B14-B16)-(B18-B16))</f>
        <v>925</v>
      </c>
      <c r="D16" s="151">
        <f t="shared" si="8"/>
        <v>715</v>
      </c>
      <c r="E16" s="24">
        <f t="shared" si="8"/>
        <v>415</v>
      </c>
      <c r="F16" s="151">
        <f t="shared" si="8"/>
        <v>355</v>
      </c>
      <c r="G16" s="151">
        <f t="shared" si="8"/>
        <v>230</v>
      </c>
      <c r="H16" s="151">
        <f t="shared" si="8"/>
        <v>135</v>
      </c>
      <c r="I16" s="24">
        <f t="shared" si="8"/>
        <v>82.5</v>
      </c>
      <c r="J16" s="4"/>
      <c r="K16" s="4"/>
      <c r="L16" s="228">
        <v>4</v>
      </c>
      <c r="M16" s="222">
        <v>5.3</v>
      </c>
      <c r="N16" s="222">
        <v>3.8</v>
      </c>
      <c r="O16" s="223">
        <v>2.7</v>
      </c>
      <c r="P16" s="223">
        <v>2.2000000000000002</v>
      </c>
      <c r="Q16" s="223">
        <v>1.6</v>
      </c>
      <c r="R16" s="223">
        <v>0.9</v>
      </c>
      <c r="S16" s="223">
        <v>0.8</v>
      </c>
      <c r="T16" s="223">
        <v>0.7</v>
      </c>
      <c r="U16" s="223">
        <v>0.5</v>
      </c>
      <c r="V16" s="26"/>
      <c r="W16" s="24">
        <v>7</v>
      </c>
      <c r="X16" s="182">
        <f>'PILE-99'!I34</f>
        <v>27.799999999999997</v>
      </c>
      <c r="Y16" s="331" t="str">
        <f>'PILE-99'!G34</f>
        <v>-</v>
      </c>
      <c r="Z16" s="268"/>
      <c r="AA16" s="19">
        <f>IF(Y16="c¸t th«",LOOKUP(CEILING(X16,0.4),L10:L78,M10:M78),IF(Y16="c¸t mÞn",LOOKUP(CEILING(X16,0.4),L10:L78,N10:N78),IF(Y16="c¸t bôi",LOOKUP(CEILING(X16,0.4),L10:L78,O10:O78),0)))</f>
        <v>0</v>
      </c>
      <c r="AB16" s="19">
        <f>IF(Y16&lt;=0.2,LOOKUP(CEILING(X16,0.4),L10:L78,M10:M78),IF(Y16&lt;=0.3,LOOKUP(CEILING(X16,0.4),L10:L78,N10:N78),IF(Y16&lt;=0.4,LOOKUP(CEILING(X16,0.4),L10:L78,O10:O78),IF(Y16&lt;=0.5,LOOKUP(CEILING(X16,0.4),L10:L78,P10:P78),IF(Y16&lt;=0.6,LOOKUP(CEILING(X16,0.4),L10:L78,Q10:Q78),0)))))</f>
        <v>0</v>
      </c>
      <c r="AC16" s="37">
        <f>IF(AB16=0,IF(Y16&lt;=0.7,LOOKUP(CEILING(X16,0.4),L10:L78,R10:R78),IF(Y16&lt;=0.8,LOOKUP(CEILING(X16,0.4),L10:L78,S10:S78),IF(Y16&lt;=0.9,LOOKUP(CEILING(X16,0.4),L10:L78,T10:T78),IF(Y16&lt;=1,LOOKUP(CEILING(X16,0.4),L10:L78,U10:U78),0)))),0)</f>
        <v>0</v>
      </c>
      <c r="AD16" s="37">
        <f t="shared" si="0"/>
        <v>0</v>
      </c>
      <c r="AE16" s="225">
        <f t="shared" si="1"/>
        <v>0</v>
      </c>
      <c r="AF16" s="226">
        <v>7</v>
      </c>
      <c r="AG16" s="226">
        <v>0</v>
      </c>
    </row>
    <row r="17" spans="1:33" ht="15" customHeight="1">
      <c r="A17" s="26"/>
      <c r="B17" s="227">
        <f>(B16+B18)/2</f>
        <v>6.5</v>
      </c>
      <c r="C17" s="151">
        <f t="shared" ref="C17:I17" si="9">((B14-B17)*C18-(B18-B17)*C14)/((B14-B17)-(B18-B17))</f>
        <v>947.5</v>
      </c>
      <c r="D17" s="151">
        <f t="shared" si="9"/>
        <v>722.5</v>
      </c>
      <c r="E17" s="24">
        <f t="shared" si="9"/>
        <v>422.5</v>
      </c>
      <c r="F17" s="151">
        <f t="shared" si="9"/>
        <v>362.5</v>
      </c>
      <c r="G17" s="151">
        <f t="shared" si="9"/>
        <v>235</v>
      </c>
      <c r="H17" s="151">
        <f t="shared" si="9"/>
        <v>137.5</v>
      </c>
      <c r="I17" s="24">
        <f t="shared" si="9"/>
        <v>83.75</v>
      </c>
      <c r="J17" s="4"/>
      <c r="K17" s="4"/>
      <c r="L17" s="227">
        <f t="shared" ref="L17:U17" si="10">(L16+L18)/2</f>
        <v>4.5</v>
      </c>
      <c r="M17" s="151">
        <f t="shared" si="10"/>
        <v>5.4499999999999993</v>
      </c>
      <c r="N17" s="151">
        <f t="shared" si="10"/>
        <v>3.9</v>
      </c>
      <c r="O17" s="151">
        <f t="shared" si="10"/>
        <v>2.8</v>
      </c>
      <c r="P17" s="151">
        <f t="shared" si="10"/>
        <v>2.2999999999999998</v>
      </c>
      <c r="Q17" s="151">
        <f t="shared" si="10"/>
        <v>1.65</v>
      </c>
      <c r="R17" s="151">
        <f t="shared" si="10"/>
        <v>0.95</v>
      </c>
      <c r="S17" s="151">
        <f t="shared" si="10"/>
        <v>0.8</v>
      </c>
      <c r="T17" s="151">
        <f t="shared" si="10"/>
        <v>0.7</v>
      </c>
      <c r="U17" s="151">
        <f t="shared" si="10"/>
        <v>0.55000000000000004</v>
      </c>
      <c r="V17" s="26"/>
      <c r="W17" s="24">
        <v>8</v>
      </c>
      <c r="X17" s="182">
        <f>'PILE-99'!I35</f>
        <v>27.799999999999997</v>
      </c>
      <c r="Y17" s="331" t="str">
        <f>'PILE-99'!G35</f>
        <v>-</v>
      </c>
      <c r="Z17" s="268"/>
      <c r="AA17" s="19">
        <f>IF(Y17="c¸t th«",LOOKUP(CEILING(X17,0.4),L10:L78,M10:M78),IF(Y17="c¸t mÞn",LOOKUP(CEILING(X17,0.4),L10:L78,N10:N78),IF(Y17="c¸t bôi",LOOKUP(CEILING(X17,0.4),L10:L78,O10:O78),0)))</f>
        <v>0</v>
      </c>
      <c r="AB17" s="19">
        <f>IF(Y17&lt;=0.2,LOOKUP(CEILING(X17,0.4),L10:L78,M10:M78),IF(Y17&lt;=0.3,LOOKUP(CEILING(X17,0.4),L10:L78,N10:N78),IF(Y17&lt;=0.4,LOOKUP(CEILING(X17,0.4),L10:L78,O10:O78),IF(Y17&lt;=0.5,LOOKUP(CEILING(X17,0.4),L10:L78,P10:P78),IF(Y17&lt;=0.6,LOOKUP(CEILING(X17,0.4),L10:L78,Q10:Q78),0)))))</f>
        <v>0</v>
      </c>
      <c r="AC17" s="37">
        <f>IF(AB17=0,IF(Y17&lt;=0.7,LOOKUP(CEILING(X17,0.4),L10:L78,R10:R78),IF(Y17&lt;=0.8,LOOKUP(CEILING(X17,0.4),L10:L78,S10:S78),IF(Y17&lt;=0.9,LOOKUP(CEILING(X17,0.4),L10:L78,T10:T78),IF(Y17&lt;=1,LOOKUP(CEILING(X17,0.4),L10:L78,U10:U78),0)))),0)</f>
        <v>0</v>
      </c>
      <c r="AD17" s="37">
        <f t="shared" si="0"/>
        <v>0</v>
      </c>
      <c r="AE17" s="225">
        <f t="shared" si="1"/>
        <v>0</v>
      </c>
      <c r="AF17" s="226">
        <v>8</v>
      </c>
      <c r="AG17" s="226">
        <v>0</v>
      </c>
    </row>
    <row r="18" spans="1:33" ht="15" customHeight="1">
      <c r="A18" s="26"/>
      <c r="B18" s="228">
        <v>7</v>
      </c>
      <c r="C18" s="222">
        <v>970</v>
      </c>
      <c r="D18" s="223">
        <v>730</v>
      </c>
      <c r="E18" s="223">
        <v>430</v>
      </c>
      <c r="F18" s="223">
        <v>370</v>
      </c>
      <c r="G18" s="223">
        <v>240</v>
      </c>
      <c r="H18" s="223">
        <v>140</v>
      </c>
      <c r="I18" s="223">
        <v>85</v>
      </c>
      <c r="J18" s="4"/>
      <c r="K18" s="4"/>
      <c r="L18" s="228">
        <v>5</v>
      </c>
      <c r="M18" s="222">
        <v>5.6</v>
      </c>
      <c r="N18" s="222">
        <v>4</v>
      </c>
      <c r="O18" s="223">
        <v>2.9</v>
      </c>
      <c r="P18" s="223">
        <v>2.4</v>
      </c>
      <c r="Q18" s="223">
        <v>1.7</v>
      </c>
      <c r="R18" s="223">
        <v>1</v>
      </c>
      <c r="S18" s="223">
        <v>0.8</v>
      </c>
      <c r="T18" s="223">
        <v>0.7</v>
      </c>
      <c r="U18" s="223">
        <v>0.6</v>
      </c>
      <c r="V18" s="26"/>
      <c r="W18" s="24">
        <v>9</v>
      </c>
      <c r="X18" s="182">
        <f>'PILE-99'!I36</f>
        <v>27.799999999999997</v>
      </c>
      <c r="Y18" s="331" t="str">
        <f>'PILE-99'!G36</f>
        <v>-</v>
      </c>
      <c r="Z18" s="268"/>
      <c r="AA18" s="19">
        <f>IF(Y18="c¸t th«",LOOKUP(CEILING(X18,0.4),L10:L78,M10:M78),IF(Y18="c¸t mÞn",LOOKUP(CEILING(X18,0.4),L10:L78,N10:N78),IF(Y18="c¸t bôi",LOOKUP(CEILING(X18,0.4),L10:L78,O10:O78),0)))</f>
        <v>0</v>
      </c>
      <c r="AB18" s="19">
        <f>IF(Y18&lt;=0.2,LOOKUP(CEILING(X18,0.4),L10:L78,M10:M78),IF(Y18&lt;=0.3,LOOKUP(CEILING(X18,0.4),L10:L78,N10:N78),IF(Y18&lt;=0.4,LOOKUP(CEILING(X18,0.4),L10:L78,O10:O78),IF(Y18&lt;=0.5,LOOKUP(CEILING(X18,0.4),L10:L78,P10:P78),IF(Y18&lt;=0.6,LOOKUP(CEILING(X18,0.4),L10:L78,Q10:Q78),0)))))</f>
        <v>0</v>
      </c>
      <c r="AC18" s="37">
        <f>IF(AB18=0,IF(Y18&lt;=0.7,LOOKUP(CEILING(X18,0.4),L10:L78,R10:R78),IF(Y18&lt;=0.8,LOOKUP(CEILING(X18,0.4),L10:L78,S10:S78),IF(Y18&lt;=0.9,LOOKUP(CEILING(X18,0.4),L10:L78,T10:T78),IF(Y18&lt;=1,LOOKUP(CEILING(X18,0.4),L10:L78,U10:U78),0)))),0)</f>
        <v>0</v>
      </c>
      <c r="AD18" s="37">
        <f t="shared" si="0"/>
        <v>0</v>
      </c>
      <c r="AE18" s="225">
        <f t="shared" si="1"/>
        <v>0</v>
      </c>
      <c r="AF18" s="226">
        <v>9</v>
      </c>
      <c r="AG18" s="226">
        <v>0</v>
      </c>
    </row>
    <row r="19" spans="1:33" ht="15" customHeight="1">
      <c r="A19" s="26"/>
      <c r="B19" s="227">
        <f>(B18+B20)/2</f>
        <v>7.5</v>
      </c>
      <c r="C19" s="151">
        <f t="shared" ref="C19:I19" si="11">((B18-B19)*C24-(B24-B19)*C18)/((B18-B19)-(B24-B19))</f>
        <v>983.33333333333337</v>
      </c>
      <c r="D19" s="151">
        <f t="shared" si="11"/>
        <v>736.66666666666674</v>
      </c>
      <c r="E19" s="24">
        <f t="shared" si="11"/>
        <v>441.6666666666668</v>
      </c>
      <c r="F19" s="151">
        <f t="shared" si="11"/>
        <v>375.00000000000006</v>
      </c>
      <c r="G19" s="151">
        <f t="shared" si="11"/>
        <v>243.33333333333337</v>
      </c>
      <c r="H19" s="151">
        <f t="shared" si="11"/>
        <v>141.66666666666669</v>
      </c>
      <c r="I19" s="24">
        <f t="shared" si="11"/>
        <v>85.833333333333343</v>
      </c>
      <c r="J19" s="4"/>
      <c r="K19" s="4"/>
      <c r="L19" s="227">
        <f t="shared" ref="L19:U19" si="12">(L18+L20)/2</f>
        <v>5.5</v>
      </c>
      <c r="M19" s="151">
        <f t="shared" si="12"/>
        <v>5.6999999999999993</v>
      </c>
      <c r="N19" s="151">
        <f t="shared" si="12"/>
        <v>4.0999999999999996</v>
      </c>
      <c r="O19" s="151">
        <f t="shared" si="12"/>
        <v>3</v>
      </c>
      <c r="P19" s="151">
        <f t="shared" si="12"/>
        <v>2.4500000000000002</v>
      </c>
      <c r="Q19" s="151">
        <f t="shared" si="12"/>
        <v>1.75</v>
      </c>
      <c r="R19" s="151">
        <f t="shared" si="12"/>
        <v>1</v>
      </c>
      <c r="S19" s="151">
        <f t="shared" si="12"/>
        <v>0.8</v>
      </c>
      <c r="T19" s="151">
        <f t="shared" si="12"/>
        <v>0.7</v>
      </c>
      <c r="U19" s="151">
        <f t="shared" si="12"/>
        <v>0.6</v>
      </c>
      <c r="V19" s="26"/>
      <c r="W19" s="24">
        <v>10</v>
      </c>
      <c r="X19" s="182">
        <f>'PILE-99'!I37</f>
        <v>27.799999999999997</v>
      </c>
      <c r="Y19" s="331" t="str">
        <f>'PILE-99'!G37</f>
        <v>-</v>
      </c>
      <c r="Z19" s="268"/>
      <c r="AA19" s="19">
        <f>IF(Y19="c¸t th«",LOOKUP(CEILING(X19,0.4),L10:L78,M10:M78),IF(Y19="c¸t mÞn",LOOKUP(CEILING(X19,0.4),L10:L78,N10:N78),IF(Y19="c¸t bôi",LOOKUP(CEILING(X19,0.4),L10:L78,O10:O78),0)))</f>
        <v>0</v>
      </c>
      <c r="AB19" s="19">
        <f>IF(Y19&lt;=0.2,LOOKUP(CEILING(X19,0.4),L10:L78,M10:M78),IF(Y19&lt;=0.3,LOOKUP(CEILING(X19,0.4),L10:L78,N10:N78),IF(Y19&lt;=0.4,LOOKUP(CEILING(X19,0.4),L10:L78,O10:O78),IF(Y19&lt;=0.5,LOOKUP(CEILING(X19,0.4),L10:L78,P10:P78),IF(Y19&lt;=0.6,LOOKUP(CEILING(X19,0.4),L10:L78,Q10:Q78),0)))))</f>
        <v>0</v>
      </c>
      <c r="AC19" s="37">
        <f>IF(AB19=0,IF(Y19&lt;=0.7,LOOKUP(CEILING(X19,0.4),L10:L78,R10:R78),IF(Y19&lt;=0.8,LOOKUP(CEILING(X19,0.4),L10:L78,S10:S78),IF(Y19&lt;=0.9,LOOKUP(CEILING(X19,0.4),L10:L78,T10:T78),IF(Y19&lt;=1,LOOKUP(CEILING(X19,0.4),L10:L78,U10:U78),0)))),0)</f>
        <v>0</v>
      </c>
      <c r="AD19" s="37">
        <f t="shared" si="0"/>
        <v>0</v>
      </c>
      <c r="AE19" s="225">
        <f t="shared" si="1"/>
        <v>0</v>
      </c>
      <c r="AF19" s="226">
        <v>10</v>
      </c>
      <c r="AG19" s="226">
        <v>0</v>
      </c>
    </row>
    <row r="20" spans="1:33" ht="15" customHeight="1">
      <c r="A20" s="26"/>
      <c r="B20" s="227">
        <v>8</v>
      </c>
      <c r="C20" s="151">
        <f t="shared" ref="C20:I20" si="13">((B18-B20)*C24-(B24-B20)*C18)/((B18-B20)-(B24-B20))</f>
        <v>996.66666666666663</v>
      </c>
      <c r="D20" s="151">
        <f t="shared" si="13"/>
        <v>743.33333333333326</v>
      </c>
      <c r="E20" s="24">
        <f t="shared" si="13"/>
        <v>453.3333333333332</v>
      </c>
      <c r="F20" s="151">
        <f t="shared" si="13"/>
        <v>379.99999999999994</v>
      </c>
      <c r="G20" s="151">
        <f t="shared" si="13"/>
        <v>246.66666666666663</v>
      </c>
      <c r="H20" s="151">
        <f t="shared" si="13"/>
        <v>143.33333333333331</v>
      </c>
      <c r="I20" s="24">
        <f t="shared" si="13"/>
        <v>86.666666666666657</v>
      </c>
      <c r="J20" s="4"/>
      <c r="K20" s="4"/>
      <c r="L20" s="228">
        <v>6</v>
      </c>
      <c r="M20" s="222">
        <v>5.8</v>
      </c>
      <c r="N20" s="222">
        <v>4.2</v>
      </c>
      <c r="O20" s="223">
        <v>3.1</v>
      </c>
      <c r="P20" s="223">
        <v>2.5</v>
      </c>
      <c r="Q20" s="223">
        <v>1.8</v>
      </c>
      <c r="R20" s="223">
        <v>1</v>
      </c>
      <c r="S20" s="223">
        <v>0.8</v>
      </c>
      <c r="T20" s="223">
        <v>0.7</v>
      </c>
      <c r="U20" s="223">
        <v>0.6</v>
      </c>
      <c r="V20" s="26"/>
      <c r="W20" s="24">
        <v>11</v>
      </c>
      <c r="X20" s="182">
        <f>'PILE-99'!I38</f>
        <v>27.799999999999997</v>
      </c>
      <c r="Y20" s="331" t="str">
        <f>'PILE-99'!G38</f>
        <v>-</v>
      </c>
      <c r="Z20" s="268"/>
      <c r="AA20" s="19">
        <f>IF(Y20="c¸t th«",LOOKUP(CEILING(X20,0.4),L10:L78,M10:M78),IF(Y20="c¸t mÞn",LOOKUP(CEILING(X20,0.4),L10:L78,N10:N78),IF(Y20="c¸t bôi",LOOKUP(CEILING(X20,0.4),L10:L78,O10:O78),0)))</f>
        <v>0</v>
      </c>
      <c r="AB20" s="19">
        <f>IF(Y20&lt;=0.2,LOOKUP(CEILING(X20,0.4),L10:L78,M10:M78),IF(Y20&lt;=0.3,LOOKUP(CEILING(X20,0.4),L10:L78,N10:N78),IF(Y20&lt;=0.4,LOOKUP(CEILING(X20,0.4),L10:L78,O10:O78),IF(Y20&lt;=0.5,LOOKUP(CEILING(X20,0.4),L10:L78,P10:P78),IF(Y20&lt;=0.6,LOOKUP(CEILING(X20,0.4),L10:L78,Q10:Q78),0)))))</f>
        <v>0</v>
      </c>
      <c r="AC20" s="37">
        <f>IF(AB20=0,IF(Y20&lt;=0.7,LOOKUP(CEILING(X20,0.4),L10:L78,R10:R78),IF(Y20&lt;=0.8,LOOKUP(CEILING(X20,0.4),L10:L78,S10:S78),IF(Y20&lt;=0.9,LOOKUP(CEILING(X20,0.4),L10:L78,T10:T78),IF(Y20&lt;=1,LOOKUP(CEILING(X20,0.4),L10:L78,U10:U78),0)))),0)</f>
        <v>0</v>
      </c>
      <c r="AD20" s="37">
        <f t="shared" si="0"/>
        <v>0</v>
      </c>
      <c r="AE20" s="225">
        <f t="shared" si="1"/>
        <v>0</v>
      </c>
      <c r="AF20" s="226">
        <v>11</v>
      </c>
      <c r="AG20" s="226">
        <v>0</v>
      </c>
    </row>
    <row r="21" spans="1:33" ht="15" customHeight="1">
      <c r="A21" s="26"/>
      <c r="B21" s="227">
        <f>(B20+B22)/2</f>
        <v>8.5</v>
      </c>
      <c r="C21" s="151">
        <f t="shared" ref="C21:I21" si="14">((B18-B21)*C24-(B24-B21)*C18)/((B18-B21)-(B24-B21))</f>
        <v>1010</v>
      </c>
      <c r="D21" s="151">
        <f t="shared" si="14"/>
        <v>750</v>
      </c>
      <c r="E21" s="24">
        <f t="shared" si="14"/>
        <v>465</v>
      </c>
      <c r="F21" s="151">
        <f t="shared" si="14"/>
        <v>385</v>
      </c>
      <c r="G21" s="151">
        <f t="shared" si="14"/>
        <v>250</v>
      </c>
      <c r="H21" s="151">
        <f t="shared" si="14"/>
        <v>145</v>
      </c>
      <c r="I21" s="24">
        <f t="shared" si="14"/>
        <v>87.5</v>
      </c>
      <c r="J21" s="4"/>
      <c r="K21" s="4"/>
      <c r="L21" s="227">
        <f>(L20+L22)/2</f>
        <v>6.5</v>
      </c>
      <c r="M21" s="151">
        <f t="shared" ref="M21:R21" si="15">((L20-L21)*M24-(L24-L21)*M20)/((L20-L21)-(L24-L21))</f>
        <v>5.8999999999999995</v>
      </c>
      <c r="N21" s="151">
        <f t="shared" si="15"/>
        <v>4.25</v>
      </c>
      <c r="O21" s="151">
        <f t="shared" si="15"/>
        <v>3.15</v>
      </c>
      <c r="P21" s="151">
        <f t="shared" si="15"/>
        <v>2.5249999999999999</v>
      </c>
      <c r="Q21" s="151">
        <f t="shared" si="15"/>
        <v>1.8249999999999997</v>
      </c>
      <c r="R21" s="151">
        <f t="shared" si="15"/>
        <v>1</v>
      </c>
      <c r="S21" s="229">
        <v>0.8</v>
      </c>
      <c r="T21" s="229">
        <v>0.7</v>
      </c>
      <c r="U21" s="229">
        <v>0.6</v>
      </c>
      <c r="V21" s="26"/>
      <c r="W21" s="78">
        <v>12</v>
      </c>
      <c r="X21" s="230">
        <f>'PILE-99'!I39</f>
        <v>27.799999999999997</v>
      </c>
      <c r="Y21" s="332" t="str">
        <f>'PILE-99'!G39</f>
        <v>-</v>
      </c>
      <c r="Z21" s="333"/>
      <c r="AA21" s="231">
        <f>IF(Y21="c¸t th«",LOOKUP(CEILING(X21,0.4),L10:L78,M10:M78),IF(Y21="c¸t mÞn",LOOKUP(CEILING(X21,0.4),L10:L78,N10:N78),IF(Y21="c¸t bôi",LOOKUP(CEILING(X21,0.4),L10:L78,O10:O78),0)))</f>
        <v>0</v>
      </c>
      <c r="AB21" s="231">
        <f>IF(Y21&lt;=0.2,LOOKUP(CEILING(X21,0.4),L10:L78,M10:M78),IF(Y21&lt;=0.3,LOOKUP(CEILING(X21,0.4),L10:L78,N10:N78),IF(Y21&lt;=0.4,LOOKUP(CEILING(X21,0.4),L10:L78,O10:O78),IF(Y21&lt;=0.5,LOOKUP(CEILING(X21,0.4),L10:L78,P10:P78),IF(Y21&lt;=0.6,LOOKUP(CEILING(X21,0.4),L10:L78,Q10:Q78),0)))))</f>
        <v>0</v>
      </c>
      <c r="AC21" s="232">
        <f>IF(AB21=0,IF(Y21&lt;=0.7,LOOKUP(CEILING(X21,0.4),L10:L78,R10:R78),IF(Y21&lt;=0.8,LOOKUP(CEILING(X21,0.4),L10:L78,S10:S78),IF(Y21&lt;=0.9,LOOKUP(CEILING(X21,0.4),L10:L78,T10:T78),IF(Y21&lt;=1,LOOKUP(CEILING(X21,0.4),L10:L78,U10:U78),0)))),0)</f>
        <v>0</v>
      </c>
      <c r="AD21" s="232">
        <f t="shared" si="0"/>
        <v>0</v>
      </c>
      <c r="AE21" s="233">
        <f t="shared" si="1"/>
        <v>0</v>
      </c>
      <c r="AF21" s="234">
        <v>12</v>
      </c>
      <c r="AG21" s="234">
        <v>0</v>
      </c>
    </row>
    <row r="22" spans="1:33" ht="15" customHeight="1">
      <c r="A22" s="26"/>
      <c r="B22" s="227">
        <v>9</v>
      </c>
      <c r="C22" s="151">
        <f t="shared" ref="C22:I22" si="16">((B18-B22)*C24-(B24-B22)*C18)/((B18-B22)-(B24-B22))</f>
        <v>1023.3333333333334</v>
      </c>
      <c r="D22" s="151">
        <f t="shared" si="16"/>
        <v>756.66666666666663</v>
      </c>
      <c r="E22" s="24">
        <f t="shared" si="16"/>
        <v>476.66666666666663</v>
      </c>
      <c r="F22" s="151">
        <f t="shared" si="16"/>
        <v>389.99999999999994</v>
      </c>
      <c r="G22" s="151">
        <f t="shared" si="16"/>
        <v>253.33333333333331</v>
      </c>
      <c r="H22" s="151">
        <f t="shared" si="16"/>
        <v>146.66666666666666</v>
      </c>
      <c r="I22" s="24">
        <f t="shared" si="16"/>
        <v>88.333333333333329</v>
      </c>
      <c r="J22" s="4"/>
      <c r="K22" s="4"/>
      <c r="L22" s="227">
        <f>(L20+L24)/2</f>
        <v>7</v>
      </c>
      <c r="M22" s="151">
        <f t="shared" ref="M22:R22" si="17">((L20-L22)*M24-(L24-L22)*M20)/((L20-L22)-(L24-L22))</f>
        <v>6</v>
      </c>
      <c r="N22" s="151">
        <f t="shared" si="17"/>
        <v>4.3</v>
      </c>
      <c r="O22" s="151">
        <f t="shared" si="17"/>
        <v>3.1999999999999993</v>
      </c>
      <c r="P22" s="151">
        <f t="shared" si="17"/>
        <v>2.5500000000000003</v>
      </c>
      <c r="Q22" s="151">
        <f t="shared" si="17"/>
        <v>1.85</v>
      </c>
      <c r="R22" s="151">
        <f t="shared" si="17"/>
        <v>1</v>
      </c>
      <c r="S22" s="229">
        <v>0.8</v>
      </c>
      <c r="T22" s="229">
        <v>0.7</v>
      </c>
      <c r="U22" s="229">
        <v>0.6</v>
      </c>
      <c r="V22" s="26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</row>
    <row r="23" spans="1:33" ht="15" customHeight="1">
      <c r="A23" s="26"/>
      <c r="B23" s="227">
        <f>(B22+B24)/2</f>
        <v>9.5</v>
      </c>
      <c r="C23" s="151">
        <f t="shared" ref="C23:I23" si="18">((B18-B23)*C24-(B24-B23)*C18)/((B18-B23)-(B24-B23))</f>
        <v>1036.6666666666667</v>
      </c>
      <c r="D23" s="151">
        <f t="shared" si="18"/>
        <v>763.33333333333337</v>
      </c>
      <c r="E23" s="24">
        <f t="shared" si="18"/>
        <v>488.33333333333337</v>
      </c>
      <c r="F23" s="151">
        <f t="shared" si="18"/>
        <v>395.00000000000006</v>
      </c>
      <c r="G23" s="151">
        <f t="shared" si="18"/>
        <v>256.66666666666669</v>
      </c>
      <c r="H23" s="151">
        <f t="shared" si="18"/>
        <v>148.33333333333334</v>
      </c>
      <c r="I23" s="24">
        <f t="shared" si="18"/>
        <v>89.166666666666671</v>
      </c>
      <c r="J23" s="4"/>
      <c r="K23" s="4"/>
      <c r="L23" s="227">
        <f>(L22+L24)/2</f>
        <v>7.5</v>
      </c>
      <c r="M23" s="151">
        <f t="shared" ref="M23:R23" si="19">((L20-L23)*M24-(L24-L23)*M20)/((L20-L23)-(L24-L23))</f>
        <v>6.1000000000000005</v>
      </c>
      <c r="N23" s="151">
        <f t="shared" si="19"/>
        <v>4.3500000000000005</v>
      </c>
      <c r="O23" s="151">
        <f t="shared" si="19"/>
        <v>3.25</v>
      </c>
      <c r="P23" s="151">
        <f t="shared" si="19"/>
        <v>2.5750000000000002</v>
      </c>
      <c r="Q23" s="151">
        <f t="shared" si="19"/>
        <v>1.875</v>
      </c>
      <c r="R23" s="151">
        <f t="shared" si="19"/>
        <v>1</v>
      </c>
      <c r="S23" s="229">
        <v>0.8</v>
      </c>
      <c r="T23" s="229">
        <v>0.7</v>
      </c>
      <c r="U23" s="229">
        <v>0.6</v>
      </c>
      <c r="V23" s="26"/>
      <c r="W23" s="4"/>
      <c r="X23" s="20"/>
      <c r="Y23" s="20"/>
      <c r="Z23" s="20"/>
      <c r="AA23" s="213"/>
      <c r="AB23" s="214" t="s">
        <v>346</v>
      </c>
      <c r="AC23" s="192"/>
      <c r="AD23" s="194"/>
      <c r="AE23" s="20"/>
      <c r="AF23" s="4"/>
      <c r="AG23" s="4"/>
    </row>
    <row r="24" spans="1:33" ht="15" customHeight="1">
      <c r="A24" s="26"/>
      <c r="B24" s="228">
        <v>10</v>
      </c>
      <c r="C24" s="222">
        <v>1050</v>
      </c>
      <c r="D24" s="223">
        <v>770</v>
      </c>
      <c r="E24" s="223">
        <v>500</v>
      </c>
      <c r="F24" s="223">
        <v>400</v>
      </c>
      <c r="G24" s="223">
        <v>260</v>
      </c>
      <c r="H24" s="223">
        <v>150</v>
      </c>
      <c r="I24" s="223">
        <v>90</v>
      </c>
      <c r="J24" s="4"/>
      <c r="K24" s="4"/>
      <c r="L24" s="228">
        <v>8</v>
      </c>
      <c r="M24" s="222">
        <v>6.2</v>
      </c>
      <c r="N24" s="222">
        <v>4.4000000000000004</v>
      </c>
      <c r="O24" s="223">
        <v>3.3</v>
      </c>
      <c r="P24" s="223">
        <v>2.6</v>
      </c>
      <c r="Q24" s="223">
        <v>1.9</v>
      </c>
      <c r="R24" s="223">
        <v>1</v>
      </c>
      <c r="S24" s="223">
        <v>0.8</v>
      </c>
      <c r="T24" s="223">
        <v>0.7</v>
      </c>
      <c r="U24" s="223">
        <v>0.6</v>
      </c>
      <c r="V24" s="26"/>
      <c r="W24" s="4"/>
      <c r="X24" s="216" t="s">
        <v>347</v>
      </c>
      <c r="Y24" s="327" t="s">
        <v>338</v>
      </c>
      <c r="Z24" s="328"/>
      <c r="AA24" s="235" t="s">
        <v>339</v>
      </c>
      <c r="AB24" s="216" t="s">
        <v>348</v>
      </c>
      <c r="AC24" s="235" t="s">
        <v>349</v>
      </c>
      <c r="AD24" s="216" t="s">
        <v>342</v>
      </c>
      <c r="AE24" s="220" t="s">
        <v>343</v>
      </c>
      <c r="AF24" s="177" t="s">
        <v>344</v>
      </c>
      <c r="AG24" s="177" t="s">
        <v>345</v>
      </c>
    </row>
    <row r="25" spans="1:33" ht="15" customHeight="1">
      <c r="A25" s="26"/>
      <c r="B25" s="227">
        <f>(B24+B26)/2</f>
        <v>10.5</v>
      </c>
      <c r="C25" s="151">
        <f t="shared" ref="C25:I25" si="20">((B24-B25)*C34-(B34-B25)*C24)/((B24-B25)-(B34-B25))</f>
        <v>1062</v>
      </c>
      <c r="D25" s="151">
        <f t="shared" si="20"/>
        <v>775</v>
      </c>
      <c r="E25" s="24">
        <f t="shared" si="20"/>
        <v>506</v>
      </c>
      <c r="F25" s="151">
        <f t="shared" si="20"/>
        <v>404</v>
      </c>
      <c r="G25" s="151">
        <f t="shared" si="20"/>
        <v>263</v>
      </c>
      <c r="H25" s="151">
        <f t="shared" si="20"/>
        <v>151.5</v>
      </c>
      <c r="I25" s="24">
        <f t="shared" si="20"/>
        <v>91</v>
      </c>
      <c r="J25" s="4"/>
      <c r="K25" s="4"/>
      <c r="L25" s="227">
        <f>(L24+L26)/2</f>
        <v>8.5</v>
      </c>
      <c r="M25" s="151">
        <f t="shared" ref="M25:Q25" si="21">((L24-L25)*M28-(L28-L25)*M24)/((L24-L25)-(L28-L25))</f>
        <v>6.2750000000000004</v>
      </c>
      <c r="N25" s="151">
        <f t="shared" si="21"/>
        <v>4.45</v>
      </c>
      <c r="O25" s="151">
        <f t="shared" si="21"/>
        <v>3.3249999999999997</v>
      </c>
      <c r="P25" s="151">
        <f t="shared" si="21"/>
        <v>2.625</v>
      </c>
      <c r="Q25" s="151">
        <f t="shared" si="21"/>
        <v>1.8999999999999997</v>
      </c>
      <c r="R25" s="229">
        <v>1</v>
      </c>
      <c r="S25" s="229">
        <v>0.8</v>
      </c>
      <c r="T25" s="229">
        <v>0.7</v>
      </c>
      <c r="U25" s="229">
        <v>0.6</v>
      </c>
      <c r="V25" s="26"/>
      <c r="W25" s="4"/>
      <c r="X25" s="201">
        <f>'PILE-99'!I41</f>
        <v>18.549999999999997</v>
      </c>
      <c r="Y25" s="334" t="str">
        <f>'PILE-99'!G41</f>
        <v>c¸t mÞn</v>
      </c>
      <c r="Z25" s="335"/>
      <c r="AA25" s="49">
        <f>IF(Y25="sái",LOOKUP(CEILING(X25,0.4),B10:B74,C10:C74),IF(Y25="c¸t th«",LOOKUP(CEILING(X25,0.4),B10:B74,D10:D74),IF(Y25="c¸t th« võa",LOOKUP(CEILING(X25,0.4),B10:B74,F10:F74),IF(Y25="c¸t mÞn",LOOKUP(CEILING(X25,0.4),B10:B74,G10:G74),IF(Y25="c¸t bôi",LOOKUP(CEILING(X25,0.4),B10:B74,H10:H74),0)))))</f>
        <v>311</v>
      </c>
      <c r="AB25" s="57">
        <f>IF(Y25&lt;=0,LOOKUP(CEILING(X25,0.4),B89:B153,C89:C153),IF(Y25&lt;=0.1,LOOKUP(CEILING(X25,0.4),B89:B153,D89:D153),IF(Y25&lt;=0.2,LOOKUP(CEILING(X25,0.4),B89:B153,E89:E153),IF(Y25&lt;=0.3,LOOKUP(CEILING(X25,0.4),B89:B153,F89:F153),0))))</f>
        <v>0</v>
      </c>
      <c r="AC25" s="118">
        <f>IF(AB25=0,IF(Y25&lt;=0.4,LOOKUP(CEILING(X25,0.4),B89:B153,G89:G153),IF(Y25&lt;=0.5,LOOKUP(CEILING(X25,0.4),B89:B153,H89:H153),IF(Y25&lt;=0.6,LOOKUP(CEILING(X25,0.4),B89:B153,I89:I153),0))),0)</f>
        <v>0</v>
      </c>
      <c r="AD25" s="118">
        <f>MAX(AB25,AC25)</f>
        <v>0</v>
      </c>
      <c r="AE25" s="236">
        <f>MAX(AD25,AA25)</f>
        <v>311</v>
      </c>
      <c r="AF25" s="234">
        <v>290</v>
      </c>
      <c r="AG25" s="237">
        <v>0</v>
      </c>
    </row>
    <row r="26" spans="1:33" ht="15" customHeight="1">
      <c r="A26" s="26"/>
      <c r="B26" s="227">
        <v>11</v>
      </c>
      <c r="C26" s="151">
        <f t="shared" ref="C26:I26" si="22">((B24-B26)*C34-(B34-B26)*C24)/((B24-B26)-(B34-B26))</f>
        <v>1074</v>
      </c>
      <c r="D26" s="151">
        <f t="shared" si="22"/>
        <v>780</v>
      </c>
      <c r="E26" s="24">
        <f t="shared" si="22"/>
        <v>512</v>
      </c>
      <c r="F26" s="151">
        <f t="shared" si="22"/>
        <v>408</v>
      </c>
      <c r="G26" s="151">
        <f t="shared" si="22"/>
        <v>266</v>
      </c>
      <c r="H26" s="151">
        <f t="shared" si="22"/>
        <v>153</v>
      </c>
      <c r="I26" s="24">
        <f t="shared" si="22"/>
        <v>92</v>
      </c>
      <c r="J26" s="83"/>
      <c r="K26" s="4"/>
      <c r="L26" s="227">
        <f>(L24+L28)/2</f>
        <v>9</v>
      </c>
      <c r="M26" s="151">
        <f t="shared" ref="M26:Q26" si="23">((L24-L26)*M28-(L28-L26)*M24)/((L24-L26)-(L28-L26))</f>
        <v>6.35</v>
      </c>
      <c r="N26" s="151">
        <f t="shared" si="23"/>
        <v>4.5</v>
      </c>
      <c r="O26" s="151">
        <f t="shared" si="23"/>
        <v>3.35</v>
      </c>
      <c r="P26" s="151">
        <f t="shared" si="23"/>
        <v>2.65</v>
      </c>
      <c r="Q26" s="151">
        <f t="shared" si="23"/>
        <v>1.9</v>
      </c>
      <c r="R26" s="229">
        <v>1</v>
      </c>
      <c r="S26" s="229">
        <v>0.8</v>
      </c>
      <c r="T26" s="229">
        <v>0.7</v>
      </c>
      <c r="U26" s="229">
        <v>0.6</v>
      </c>
      <c r="V26" s="26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</row>
    <row r="27" spans="1:33" ht="15" customHeight="1">
      <c r="A27" s="26"/>
      <c r="B27" s="227">
        <f>(B26+B28)/2</f>
        <v>11.5</v>
      </c>
      <c r="C27" s="151">
        <f t="shared" ref="C27:I27" si="24">((B24-B27)*C34-(B34-B27)*C24)/((B24-B27)-(B34-B27))</f>
        <v>1086</v>
      </c>
      <c r="D27" s="151">
        <f t="shared" si="24"/>
        <v>785</v>
      </c>
      <c r="E27" s="24">
        <f t="shared" si="24"/>
        <v>518</v>
      </c>
      <c r="F27" s="151">
        <f t="shared" si="24"/>
        <v>412</v>
      </c>
      <c r="G27" s="151">
        <f t="shared" si="24"/>
        <v>269</v>
      </c>
      <c r="H27" s="151">
        <f t="shared" si="24"/>
        <v>154.5</v>
      </c>
      <c r="I27" s="24">
        <f t="shared" si="24"/>
        <v>93</v>
      </c>
      <c r="J27" s="83"/>
      <c r="K27" s="4"/>
      <c r="L27" s="227">
        <f>(L26+L28)/2</f>
        <v>9.5</v>
      </c>
      <c r="M27" s="151">
        <f t="shared" ref="M27:Q27" si="25">((L24-L27)*M28-(L28-L27)*M24)/((L24-L27)-(L28-L27))</f>
        <v>6.4249999999999998</v>
      </c>
      <c r="N27" s="151">
        <f t="shared" si="25"/>
        <v>4.55</v>
      </c>
      <c r="O27" s="151">
        <f t="shared" si="25"/>
        <v>3.3749999999999996</v>
      </c>
      <c r="P27" s="151">
        <f t="shared" si="25"/>
        <v>2.6749999999999998</v>
      </c>
      <c r="Q27" s="151">
        <f t="shared" si="25"/>
        <v>1.9</v>
      </c>
      <c r="R27" s="229">
        <v>1</v>
      </c>
      <c r="S27" s="229">
        <v>0.8</v>
      </c>
      <c r="T27" s="229">
        <v>0.7</v>
      </c>
      <c r="U27" s="229">
        <v>0.6</v>
      </c>
      <c r="V27" s="2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ht="15" customHeight="1">
      <c r="A28" s="26"/>
      <c r="B28" s="227">
        <v>12</v>
      </c>
      <c r="C28" s="151">
        <f t="shared" ref="C28:I28" si="26">((B24-B28)*C34-(B34-B28)*C24)/((B24-B28)-(B34-B28))</f>
        <v>1098</v>
      </c>
      <c r="D28" s="151">
        <f t="shared" si="26"/>
        <v>790</v>
      </c>
      <c r="E28" s="24">
        <f t="shared" si="26"/>
        <v>524</v>
      </c>
      <c r="F28" s="151">
        <f t="shared" si="26"/>
        <v>416</v>
      </c>
      <c r="G28" s="151">
        <f t="shared" si="26"/>
        <v>272</v>
      </c>
      <c r="H28" s="151">
        <f t="shared" si="26"/>
        <v>156</v>
      </c>
      <c r="I28" s="24">
        <f t="shared" si="26"/>
        <v>94</v>
      </c>
      <c r="J28" s="83"/>
      <c r="K28" s="4"/>
      <c r="L28" s="228">
        <v>10</v>
      </c>
      <c r="M28" s="222">
        <v>6.5</v>
      </c>
      <c r="N28" s="222">
        <v>4.5999999999999996</v>
      </c>
      <c r="O28" s="223">
        <v>3.4</v>
      </c>
      <c r="P28" s="223">
        <v>2.7</v>
      </c>
      <c r="Q28" s="223">
        <v>1.9</v>
      </c>
      <c r="R28" s="223">
        <v>1</v>
      </c>
      <c r="S28" s="223">
        <v>0.8</v>
      </c>
      <c r="T28" s="223">
        <v>0.7</v>
      </c>
      <c r="U28" s="223">
        <v>0.6</v>
      </c>
      <c r="V28" s="26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</row>
    <row r="29" spans="1:33" ht="15" customHeight="1">
      <c r="A29" s="26"/>
      <c r="B29" s="227">
        <f>(B28+B30)/2</f>
        <v>12.5</v>
      </c>
      <c r="C29" s="151">
        <f t="shared" ref="C29:I29" si="27">((B24-B29)*C34-(B34-B29)*C24)/((B24-B29)-(B34-B29))</f>
        <v>1110</v>
      </c>
      <c r="D29" s="151">
        <f t="shared" si="27"/>
        <v>795</v>
      </c>
      <c r="E29" s="24">
        <f t="shared" si="27"/>
        <v>530</v>
      </c>
      <c r="F29" s="151">
        <f t="shared" si="27"/>
        <v>420</v>
      </c>
      <c r="G29" s="151">
        <f t="shared" si="27"/>
        <v>275</v>
      </c>
      <c r="H29" s="151">
        <f t="shared" si="27"/>
        <v>157.5</v>
      </c>
      <c r="I29" s="24">
        <f t="shared" si="27"/>
        <v>95</v>
      </c>
      <c r="J29" s="83"/>
      <c r="K29" s="4"/>
      <c r="L29" s="227">
        <f>(L28+L30)/2</f>
        <v>10.5</v>
      </c>
      <c r="M29" s="151">
        <f t="shared" ref="M29:S29" si="28">((L28-L29)*M38-(L38-L29)*M28)/((L28-L29)-(L38-L29))</f>
        <v>6.57</v>
      </c>
      <c r="N29" s="151">
        <f t="shared" si="28"/>
        <v>4.6500000000000004</v>
      </c>
      <c r="O29" s="151">
        <f t="shared" si="28"/>
        <v>3.4400000000000004</v>
      </c>
      <c r="P29" s="151">
        <f t="shared" si="28"/>
        <v>2.7100000000000004</v>
      </c>
      <c r="Q29" s="151">
        <f t="shared" si="28"/>
        <v>1.9100000000000001</v>
      </c>
      <c r="R29" s="151">
        <f t="shared" si="28"/>
        <v>1.0100000000000002</v>
      </c>
      <c r="S29" s="151">
        <f t="shared" si="28"/>
        <v>0.8</v>
      </c>
      <c r="T29" s="229">
        <v>0.7</v>
      </c>
      <c r="U29" s="229">
        <v>0.6</v>
      </c>
      <c r="V29" s="26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  <row r="30" spans="1:33" ht="15" customHeight="1">
      <c r="A30" s="26"/>
      <c r="B30" s="227">
        <v>13</v>
      </c>
      <c r="C30" s="151">
        <f t="shared" ref="C30:I30" si="29">((B24-B30)*C34-(B34-B30)*C24)/((B24-B30)-(B34-B30))</f>
        <v>1122</v>
      </c>
      <c r="D30" s="151">
        <f t="shared" si="29"/>
        <v>800</v>
      </c>
      <c r="E30" s="24">
        <f t="shared" si="29"/>
        <v>536</v>
      </c>
      <c r="F30" s="151">
        <f t="shared" si="29"/>
        <v>424</v>
      </c>
      <c r="G30" s="151">
        <f t="shared" si="29"/>
        <v>278</v>
      </c>
      <c r="H30" s="151">
        <f t="shared" si="29"/>
        <v>159</v>
      </c>
      <c r="I30" s="24">
        <f t="shared" si="29"/>
        <v>96</v>
      </c>
      <c r="J30" s="83"/>
      <c r="K30" s="4"/>
      <c r="L30" s="227">
        <v>11</v>
      </c>
      <c r="M30" s="151">
        <f t="shared" ref="M30:S30" si="30">((L28-L30)*M38-(L38-L30)*M28)/((L28-L30)-(L38-L30))</f>
        <v>6.6400000000000006</v>
      </c>
      <c r="N30" s="151">
        <f t="shared" si="30"/>
        <v>4.7</v>
      </c>
      <c r="O30" s="151">
        <f t="shared" si="30"/>
        <v>3.4800000000000004</v>
      </c>
      <c r="P30" s="151">
        <f t="shared" si="30"/>
        <v>2.72</v>
      </c>
      <c r="Q30" s="151">
        <f t="shared" si="30"/>
        <v>1.92</v>
      </c>
      <c r="R30" s="151">
        <f t="shared" si="30"/>
        <v>1.02</v>
      </c>
      <c r="S30" s="151">
        <f t="shared" si="30"/>
        <v>0.8</v>
      </c>
      <c r="T30" s="229">
        <v>0.7</v>
      </c>
      <c r="U30" s="229">
        <v>0.6</v>
      </c>
      <c r="V30" s="26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</row>
    <row r="31" spans="1:33" ht="15" customHeight="1">
      <c r="A31" s="26"/>
      <c r="B31" s="227">
        <f>(B30+B32)/2</f>
        <v>13.5</v>
      </c>
      <c r="C31" s="151">
        <f t="shared" ref="C31:I31" si="31">((B24-B31)*C34-(B34-B31)*C24)/((B24-B31)-(B34-B31))</f>
        <v>1134</v>
      </c>
      <c r="D31" s="151">
        <f t="shared" si="31"/>
        <v>805</v>
      </c>
      <c r="E31" s="24">
        <f t="shared" si="31"/>
        <v>542</v>
      </c>
      <c r="F31" s="151">
        <f t="shared" si="31"/>
        <v>428</v>
      </c>
      <c r="G31" s="151">
        <f t="shared" si="31"/>
        <v>281</v>
      </c>
      <c r="H31" s="151">
        <f t="shared" si="31"/>
        <v>160.5</v>
      </c>
      <c r="I31" s="24">
        <f t="shared" si="31"/>
        <v>97</v>
      </c>
      <c r="J31" s="83"/>
      <c r="K31" s="4"/>
      <c r="L31" s="227">
        <f>(L30+L32)/2</f>
        <v>11.5</v>
      </c>
      <c r="M31" s="151">
        <f t="shared" ref="M31:S31" si="32">((L28-L31)*M38-(L38-L31)*M28)/((L28-L31)-(L38-L31))</f>
        <v>6.7099999999999991</v>
      </c>
      <c r="N31" s="151">
        <f t="shared" si="32"/>
        <v>4.7499999999999991</v>
      </c>
      <c r="O31" s="151">
        <f t="shared" si="32"/>
        <v>3.5199999999999996</v>
      </c>
      <c r="P31" s="151">
        <f t="shared" si="32"/>
        <v>2.7299999999999995</v>
      </c>
      <c r="Q31" s="151">
        <f t="shared" si="32"/>
        <v>1.9299999999999995</v>
      </c>
      <c r="R31" s="151">
        <f t="shared" si="32"/>
        <v>1.0299999999999996</v>
      </c>
      <c r="S31" s="151">
        <f t="shared" si="32"/>
        <v>0.8</v>
      </c>
      <c r="T31" s="229">
        <v>0.7</v>
      </c>
      <c r="U31" s="229">
        <v>0.6</v>
      </c>
      <c r="V31" s="26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</row>
    <row r="32" spans="1:33" ht="15" customHeight="1">
      <c r="A32" s="26"/>
      <c r="B32" s="227">
        <v>14</v>
      </c>
      <c r="C32" s="151">
        <f t="shared" ref="C32:I32" si="33">((B24-B32)*C34-(B34-B32)*C24)/((B24-B32)-(B34-B32))</f>
        <v>1146</v>
      </c>
      <c r="D32" s="151">
        <f t="shared" si="33"/>
        <v>810</v>
      </c>
      <c r="E32" s="24">
        <f t="shared" si="33"/>
        <v>548</v>
      </c>
      <c r="F32" s="151">
        <f t="shared" si="33"/>
        <v>432</v>
      </c>
      <c r="G32" s="151">
        <f t="shared" si="33"/>
        <v>284</v>
      </c>
      <c r="H32" s="151">
        <f t="shared" si="33"/>
        <v>162</v>
      </c>
      <c r="I32" s="24">
        <f t="shared" si="33"/>
        <v>98</v>
      </c>
      <c r="J32" s="83"/>
      <c r="K32" s="4"/>
      <c r="L32" s="227">
        <v>12</v>
      </c>
      <c r="M32" s="151">
        <f t="shared" ref="M32:S32" si="34">((L28-L32)*M38-(L38-L32)*M28)/((L28-L32)-(L38-L32))</f>
        <v>6.7799999999999994</v>
      </c>
      <c r="N32" s="151">
        <f t="shared" si="34"/>
        <v>4.7999999999999989</v>
      </c>
      <c r="O32" s="151">
        <f t="shared" si="34"/>
        <v>3.5599999999999996</v>
      </c>
      <c r="P32" s="151">
        <f t="shared" si="34"/>
        <v>2.7399999999999998</v>
      </c>
      <c r="Q32" s="151">
        <f t="shared" si="34"/>
        <v>1.9399999999999997</v>
      </c>
      <c r="R32" s="151">
        <f t="shared" si="34"/>
        <v>1.0399999999999998</v>
      </c>
      <c r="S32" s="151">
        <f t="shared" si="34"/>
        <v>0.8</v>
      </c>
      <c r="T32" s="229">
        <v>0.7</v>
      </c>
      <c r="U32" s="229">
        <v>0.6</v>
      </c>
      <c r="V32" s="26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</row>
    <row r="33" spans="1:33" ht="15" customHeight="1">
      <c r="A33" s="26"/>
      <c r="B33" s="227">
        <f>(B32+B34)/2</f>
        <v>14.5</v>
      </c>
      <c r="C33" s="151">
        <f t="shared" ref="C33:I33" si="35">((B24-B33)*C34-(B34-B33)*C24)/((B24-B33)-(B34-B33))</f>
        <v>1158</v>
      </c>
      <c r="D33" s="151">
        <f t="shared" si="35"/>
        <v>815</v>
      </c>
      <c r="E33" s="24">
        <f t="shared" si="35"/>
        <v>554</v>
      </c>
      <c r="F33" s="151">
        <f t="shared" si="35"/>
        <v>436</v>
      </c>
      <c r="G33" s="151">
        <f t="shared" si="35"/>
        <v>287</v>
      </c>
      <c r="H33" s="151">
        <f t="shared" si="35"/>
        <v>163.5</v>
      </c>
      <c r="I33" s="24">
        <f t="shared" si="35"/>
        <v>99</v>
      </c>
      <c r="J33" s="83"/>
      <c r="K33" s="4"/>
      <c r="L33" s="227">
        <f>(L32+L34)/2</f>
        <v>12.5</v>
      </c>
      <c r="M33" s="151">
        <f t="shared" ref="M33:S33" si="36">((L28-L33)*M38-(L38-L33)*M28)/((L28-L33)-(L38-L33))</f>
        <v>6.85</v>
      </c>
      <c r="N33" s="151">
        <f t="shared" si="36"/>
        <v>4.8499999999999996</v>
      </c>
      <c r="O33" s="151">
        <f t="shared" si="36"/>
        <v>3.5999999999999996</v>
      </c>
      <c r="P33" s="151">
        <f t="shared" si="36"/>
        <v>2.7499999999999996</v>
      </c>
      <c r="Q33" s="151">
        <f t="shared" si="36"/>
        <v>1.9499999999999995</v>
      </c>
      <c r="R33" s="151">
        <f t="shared" si="36"/>
        <v>1.0499999999999996</v>
      </c>
      <c r="S33" s="151">
        <f t="shared" si="36"/>
        <v>0.8</v>
      </c>
      <c r="T33" s="229">
        <v>0.7</v>
      </c>
      <c r="U33" s="229">
        <v>0.6</v>
      </c>
      <c r="V33" s="26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</row>
    <row r="34" spans="1:33" ht="15" customHeight="1">
      <c r="A34" s="26"/>
      <c r="B34" s="228">
        <v>15</v>
      </c>
      <c r="C34" s="222">
        <v>1170</v>
      </c>
      <c r="D34" s="223">
        <v>820</v>
      </c>
      <c r="E34" s="223">
        <v>560</v>
      </c>
      <c r="F34" s="223">
        <v>440</v>
      </c>
      <c r="G34" s="223">
        <v>290</v>
      </c>
      <c r="H34" s="223">
        <v>165</v>
      </c>
      <c r="I34" s="223">
        <v>100</v>
      </c>
      <c r="J34" s="83"/>
      <c r="K34" s="4"/>
      <c r="L34" s="227">
        <v>13</v>
      </c>
      <c r="M34" s="151">
        <f t="shared" ref="M34:S34" si="37">((L28-L34)*M38-(L38-L34)*M28)/((L28-L34)-(L38-L34))</f>
        <v>6.92</v>
      </c>
      <c r="N34" s="151">
        <f t="shared" si="37"/>
        <v>4.8999999999999995</v>
      </c>
      <c r="O34" s="151">
        <f t="shared" si="37"/>
        <v>3.6399999999999997</v>
      </c>
      <c r="P34" s="151">
        <f t="shared" si="37"/>
        <v>2.76</v>
      </c>
      <c r="Q34" s="151">
        <f t="shared" si="37"/>
        <v>1.9599999999999997</v>
      </c>
      <c r="R34" s="151">
        <f t="shared" si="37"/>
        <v>1.0599999999999998</v>
      </c>
      <c r="S34" s="151">
        <f t="shared" si="37"/>
        <v>0.8</v>
      </c>
      <c r="T34" s="229">
        <v>0.7</v>
      </c>
      <c r="U34" s="229">
        <v>0.6</v>
      </c>
      <c r="V34" s="26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</row>
    <row r="35" spans="1:33" ht="15" customHeight="1">
      <c r="A35" s="26"/>
      <c r="B35" s="227">
        <f>(B34+B36)/2</f>
        <v>15.5</v>
      </c>
      <c r="C35" s="151">
        <f t="shared" ref="C35:I35" si="38">((B34-B35)*C44-(B44-B35)*C34)/((B34-B35)-(B44-B35))</f>
        <v>1179</v>
      </c>
      <c r="D35" s="151">
        <f t="shared" si="38"/>
        <v>823</v>
      </c>
      <c r="E35" s="24">
        <f t="shared" si="38"/>
        <v>566</v>
      </c>
      <c r="F35" s="151">
        <f t="shared" si="38"/>
        <v>444</v>
      </c>
      <c r="G35" s="151">
        <f t="shared" si="38"/>
        <v>293</v>
      </c>
      <c r="H35" s="151">
        <f t="shared" si="38"/>
        <v>166.5</v>
      </c>
      <c r="I35" s="24">
        <f t="shared" si="38"/>
        <v>101</v>
      </c>
      <c r="J35" s="26"/>
      <c r="K35" s="4"/>
      <c r="L35" s="227">
        <f>(L34+L36)/2</f>
        <v>13.5</v>
      </c>
      <c r="M35" s="151">
        <f t="shared" ref="M35:S35" si="39">((L28-L35)*M38-(L38-L35)*M28)/((L28-L35)-(L38-L35))</f>
        <v>6.99</v>
      </c>
      <c r="N35" s="151">
        <f t="shared" si="39"/>
        <v>4.95</v>
      </c>
      <c r="O35" s="151">
        <f t="shared" si="39"/>
        <v>3.6800000000000006</v>
      </c>
      <c r="P35" s="151">
        <f t="shared" si="39"/>
        <v>2.7700000000000005</v>
      </c>
      <c r="Q35" s="151">
        <f t="shared" si="39"/>
        <v>1.9700000000000004</v>
      </c>
      <c r="R35" s="151">
        <f t="shared" si="39"/>
        <v>1.0700000000000005</v>
      </c>
      <c r="S35" s="151">
        <f t="shared" si="39"/>
        <v>0.8</v>
      </c>
      <c r="T35" s="229">
        <v>0.7</v>
      </c>
      <c r="U35" s="229">
        <v>0.6</v>
      </c>
      <c r="V35" s="26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</row>
    <row r="36" spans="1:33" ht="15" customHeight="1">
      <c r="A36" s="26"/>
      <c r="B36" s="227">
        <v>16</v>
      </c>
      <c r="C36" s="151">
        <f t="shared" ref="C36:I36" si="40">((B34-B36)*C44-(B44-B36)*C34)/((B34-B36)-(B44-B36))</f>
        <v>1188</v>
      </c>
      <c r="D36" s="151">
        <f t="shared" si="40"/>
        <v>826</v>
      </c>
      <c r="E36" s="24">
        <f t="shared" si="40"/>
        <v>572</v>
      </c>
      <c r="F36" s="151">
        <f t="shared" si="40"/>
        <v>448</v>
      </c>
      <c r="G36" s="151">
        <f t="shared" si="40"/>
        <v>296</v>
      </c>
      <c r="H36" s="151">
        <f t="shared" si="40"/>
        <v>168</v>
      </c>
      <c r="I36" s="24">
        <f t="shared" si="40"/>
        <v>102</v>
      </c>
      <c r="J36" s="26"/>
      <c r="K36" s="4"/>
      <c r="L36" s="227">
        <v>14</v>
      </c>
      <c r="M36" s="151">
        <f t="shared" ref="M36:S36" si="41">((L28-L36)*M38-(L38-L36)*M28)/((L28-L36)-(L38-L36))</f>
        <v>7.06</v>
      </c>
      <c r="N36" s="151">
        <f t="shared" si="41"/>
        <v>4.9999999999999991</v>
      </c>
      <c r="O36" s="151">
        <f t="shared" si="41"/>
        <v>3.7199999999999993</v>
      </c>
      <c r="P36" s="151">
        <f t="shared" si="41"/>
        <v>2.78</v>
      </c>
      <c r="Q36" s="151">
        <f t="shared" si="41"/>
        <v>1.98</v>
      </c>
      <c r="R36" s="151">
        <f t="shared" si="41"/>
        <v>1.08</v>
      </c>
      <c r="S36" s="151">
        <f t="shared" si="41"/>
        <v>0.8</v>
      </c>
      <c r="T36" s="229">
        <v>0.7</v>
      </c>
      <c r="U36" s="229">
        <v>0.6</v>
      </c>
      <c r="V36" s="26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</row>
    <row r="37" spans="1:33" ht="15" customHeight="1">
      <c r="A37" s="26"/>
      <c r="B37" s="227">
        <f>(B36+B38)/2</f>
        <v>16.5</v>
      </c>
      <c r="C37" s="151">
        <f t="shared" ref="C37:I37" si="42">((B34-B37)*C44-(B44-B37)*C34)/((B34-B37)-(B44-B37))</f>
        <v>1197</v>
      </c>
      <c r="D37" s="151">
        <f t="shared" si="42"/>
        <v>829</v>
      </c>
      <c r="E37" s="24">
        <f t="shared" si="42"/>
        <v>578</v>
      </c>
      <c r="F37" s="151">
        <f t="shared" si="42"/>
        <v>452</v>
      </c>
      <c r="G37" s="151">
        <f t="shared" si="42"/>
        <v>299</v>
      </c>
      <c r="H37" s="151">
        <f t="shared" si="42"/>
        <v>169.5</v>
      </c>
      <c r="I37" s="24">
        <f t="shared" si="42"/>
        <v>103</v>
      </c>
      <c r="J37" s="26"/>
      <c r="K37" s="4"/>
      <c r="L37" s="227">
        <f>(L36+L38)/2</f>
        <v>14.5</v>
      </c>
      <c r="M37" s="151">
        <f t="shared" ref="M37:S37" si="43">((L28-L37)*M38-(L38-L37)*M28)/((L28-L37)-(L38-L37))</f>
        <v>7.13</v>
      </c>
      <c r="N37" s="151">
        <f t="shared" si="43"/>
        <v>5.05</v>
      </c>
      <c r="O37" s="151">
        <f t="shared" si="43"/>
        <v>3.7600000000000002</v>
      </c>
      <c r="P37" s="151">
        <f t="shared" si="43"/>
        <v>2.7900000000000005</v>
      </c>
      <c r="Q37" s="151">
        <f t="shared" si="43"/>
        <v>1.9900000000000004</v>
      </c>
      <c r="R37" s="151">
        <f t="shared" si="43"/>
        <v>1.0900000000000005</v>
      </c>
      <c r="S37" s="151">
        <f t="shared" si="43"/>
        <v>0.8</v>
      </c>
      <c r="T37" s="229">
        <v>0.7</v>
      </c>
      <c r="U37" s="229">
        <v>0.6</v>
      </c>
      <c r="V37" s="26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3" ht="15" customHeight="1">
      <c r="A38" s="26"/>
      <c r="B38" s="227">
        <v>17</v>
      </c>
      <c r="C38" s="151">
        <f t="shared" ref="C38:I38" si="44">((B34-B38)*C44-(B44-B38)*C34)/((B34-B38)-(B44-B38))</f>
        <v>1206</v>
      </c>
      <c r="D38" s="151">
        <f t="shared" si="44"/>
        <v>832</v>
      </c>
      <c r="E38" s="24">
        <f t="shared" si="44"/>
        <v>584</v>
      </c>
      <c r="F38" s="151">
        <f t="shared" si="44"/>
        <v>456</v>
      </c>
      <c r="G38" s="151">
        <f t="shared" si="44"/>
        <v>302</v>
      </c>
      <c r="H38" s="151">
        <f t="shared" si="44"/>
        <v>171</v>
      </c>
      <c r="I38" s="24">
        <f t="shared" si="44"/>
        <v>104</v>
      </c>
      <c r="J38" s="26"/>
      <c r="K38" s="4"/>
      <c r="L38" s="228">
        <v>15</v>
      </c>
      <c r="M38" s="222">
        <v>7.2</v>
      </c>
      <c r="N38" s="222">
        <v>5.0999999999999996</v>
      </c>
      <c r="O38" s="223">
        <v>3.8</v>
      </c>
      <c r="P38" s="223">
        <v>2.8</v>
      </c>
      <c r="Q38" s="223">
        <v>2</v>
      </c>
      <c r="R38" s="223">
        <v>1.1000000000000001</v>
      </c>
      <c r="S38" s="223">
        <v>0.8</v>
      </c>
      <c r="T38" s="223">
        <v>0.7</v>
      </c>
      <c r="U38" s="223">
        <v>0.6</v>
      </c>
      <c r="V38" s="26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</row>
    <row r="39" spans="1:33" ht="15" customHeight="1">
      <c r="A39" s="26"/>
      <c r="B39" s="227">
        <f>(B38+B40)/2</f>
        <v>17.5</v>
      </c>
      <c r="C39" s="151">
        <f t="shared" ref="C39:I39" si="45">((B34-B39)*C44-(B44-B39)*C34)/((B34-B39)-(B44-B39))</f>
        <v>1215</v>
      </c>
      <c r="D39" s="151">
        <f t="shared" si="45"/>
        <v>835</v>
      </c>
      <c r="E39" s="24">
        <f t="shared" si="45"/>
        <v>590</v>
      </c>
      <c r="F39" s="151">
        <f t="shared" si="45"/>
        <v>460</v>
      </c>
      <c r="G39" s="151">
        <f t="shared" si="45"/>
        <v>305</v>
      </c>
      <c r="H39" s="151">
        <f t="shared" si="45"/>
        <v>172.5</v>
      </c>
      <c r="I39" s="24">
        <f t="shared" si="45"/>
        <v>105</v>
      </c>
      <c r="J39" s="26"/>
      <c r="K39" s="4"/>
      <c r="L39" s="227">
        <f>(L38+L40)/2</f>
        <v>15.5</v>
      </c>
      <c r="M39" s="151">
        <f t="shared" ref="M39:Q39" si="46">((L38-L39)*M48-(L48-L39)*M38)/((L38-L39)-(L48-L39))</f>
        <v>7.2700000000000005</v>
      </c>
      <c r="N39" s="151">
        <f t="shared" si="46"/>
        <v>5.15</v>
      </c>
      <c r="O39" s="151">
        <f t="shared" si="46"/>
        <v>3.8300000000000005</v>
      </c>
      <c r="P39" s="151">
        <f t="shared" si="46"/>
        <v>2.8200000000000003</v>
      </c>
      <c r="Q39" s="151">
        <f t="shared" si="46"/>
        <v>2</v>
      </c>
      <c r="R39" s="229">
        <v>1.1100000000000001</v>
      </c>
      <c r="S39" s="229">
        <v>0.8</v>
      </c>
      <c r="T39" s="229">
        <v>0.7</v>
      </c>
      <c r="U39" s="229">
        <v>0.6</v>
      </c>
      <c r="V39" s="26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</row>
    <row r="40" spans="1:33" ht="15" customHeight="1">
      <c r="A40" s="26"/>
      <c r="B40" s="227">
        <v>18</v>
      </c>
      <c r="C40" s="151">
        <f t="shared" ref="C40:I40" si="47">((B34-B40)*C44-(B44-B40)*C34)/((B34-B40)-(B44-B40))</f>
        <v>1224</v>
      </c>
      <c r="D40" s="151">
        <f t="shared" si="47"/>
        <v>838</v>
      </c>
      <c r="E40" s="24">
        <f t="shared" si="47"/>
        <v>596</v>
      </c>
      <c r="F40" s="151">
        <f t="shared" si="47"/>
        <v>464</v>
      </c>
      <c r="G40" s="151">
        <f t="shared" si="47"/>
        <v>308</v>
      </c>
      <c r="H40" s="151">
        <f t="shared" si="47"/>
        <v>174</v>
      </c>
      <c r="I40" s="24">
        <f t="shared" si="47"/>
        <v>106</v>
      </c>
      <c r="J40" s="26"/>
      <c r="K40" s="4"/>
      <c r="L40" s="227">
        <v>16</v>
      </c>
      <c r="M40" s="151">
        <f t="shared" ref="M40:Q40" si="48">((L38-L40)*M48-(L48-L40)*M38)/((L38-L40)-(L48-L40))</f>
        <v>7.3400000000000007</v>
      </c>
      <c r="N40" s="151">
        <f t="shared" si="48"/>
        <v>5.1999999999999993</v>
      </c>
      <c r="O40" s="151">
        <f t="shared" si="48"/>
        <v>3.86</v>
      </c>
      <c r="P40" s="151">
        <f t="shared" si="48"/>
        <v>2.84</v>
      </c>
      <c r="Q40" s="151">
        <f t="shared" si="48"/>
        <v>2</v>
      </c>
      <c r="R40" s="229">
        <v>1.1200000000000001</v>
      </c>
      <c r="S40" s="229">
        <v>0.8</v>
      </c>
      <c r="T40" s="229">
        <v>0.7</v>
      </c>
      <c r="U40" s="229">
        <v>0.6</v>
      </c>
      <c r="V40" s="26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</row>
    <row r="41" spans="1:33" ht="15" customHeight="1">
      <c r="A41" s="26"/>
      <c r="B41" s="227">
        <f>(B40+B42)/2</f>
        <v>18.5</v>
      </c>
      <c r="C41" s="151">
        <f t="shared" ref="C41:I41" si="49">((B34-B41)*C44-(B44-B41)*C34)/((B34-B41)-(B44-B41))</f>
        <v>1233</v>
      </c>
      <c r="D41" s="151">
        <f t="shared" si="49"/>
        <v>841</v>
      </c>
      <c r="E41" s="24">
        <f t="shared" si="49"/>
        <v>602</v>
      </c>
      <c r="F41" s="151">
        <f t="shared" si="49"/>
        <v>468</v>
      </c>
      <c r="G41" s="151">
        <f t="shared" si="49"/>
        <v>311</v>
      </c>
      <c r="H41" s="151">
        <f t="shared" si="49"/>
        <v>175.5</v>
      </c>
      <c r="I41" s="24">
        <f t="shared" si="49"/>
        <v>107</v>
      </c>
      <c r="J41" s="26"/>
      <c r="K41" s="4"/>
      <c r="L41" s="227">
        <f>(L40+L42)/2</f>
        <v>16.5</v>
      </c>
      <c r="M41" s="151">
        <f t="shared" ref="M41:Q41" si="50">((L38-L41)*M48-(L48-L41)*M38)/((L38-L41)-(L48-L41))</f>
        <v>7.4099999999999993</v>
      </c>
      <c r="N41" s="151">
        <f t="shared" si="50"/>
        <v>5.2499999999999991</v>
      </c>
      <c r="O41" s="151">
        <f t="shared" si="50"/>
        <v>3.8899999999999997</v>
      </c>
      <c r="P41" s="151">
        <f t="shared" si="50"/>
        <v>2.86</v>
      </c>
      <c r="Q41" s="151">
        <f t="shared" si="50"/>
        <v>2</v>
      </c>
      <c r="R41" s="229">
        <v>1.1299999999999999</v>
      </c>
      <c r="S41" s="229">
        <v>0.8</v>
      </c>
      <c r="T41" s="229">
        <v>0.7</v>
      </c>
      <c r="U41" s="229">
        <v>0.6</v>
      </c>
      <c r="V41" s="26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1:33" ht="15" customHeight="1">
      <c r="A42" s="26"/>
      <c r="B42" s="227">
        <v>19</v>
      </c>
      <c r="C42" s="151">
        <f t="shared" ref="C42:I42" si="51">((B34-B42)*C44-(B44-B42)*C34)/((B34-B42)-(B44-B42))</f>
        <v>1242</v>
      </c>
      <c r="D42" s="151">
        <f t="shared" si="51"/>
        <v>844</v>
      </c>
      <c r="E42" s="24">
        <f t="shared" si="51"/>
        <v>608</v>
      </c>
      <c r="F42" s="151">
        <f t="shared" si="51"/>
        <v>472</v>
      </c>
      <c r="G42" s="151">
        <f t="shared" si="51"/>
        <v>314</v>
      </c>
      <c r="H42" s="151">
        <f t="shared" si="51"/>
        <v>177</v>
      </c>
      <c r="I42" s="24">
        <f t="shared" si="51"/>
        <v>108</v>
      </c>
      <c r="J42" s="26"/>
      <c r="K42" s="4"/>
      <c r="L42" s="227">
        <v>17</v>
      </c>
      <c r="M42" s="151">
        <f t="shared" ref="M42:Q42" si="52">((L38-L42)*M48-(L48-L42)*M38)/((L38-L42)-(L48-L42))</f>
        <v>7.4800000000000013</v>
      </c>
      <c r="N42" s="151">
        <f t="shared" si="52"/>
        <v>5.3000000000000007</v>
      </c>
      <c r="O42" s="151">
        <f t="shared" si="52"/>
        <v>3.9200000000000004</v>
      </c>
      <c r="P42" s="151">
        <f t="shared" si="52"/>
        <v>2.8800000000000003</v>
      </c>
      <c r="Q42" s="151">
        <f t="shared" si="52"/>
        <v>2</v>
      </c>
      <c r="R42" s="229">
        <v>1.1399999999999999</v>
      </c>
      <c r="S42" s="229">
        <v>0.8</v>
      </c>
      <c r="T42" s="229">
        <v>0.7</v>
      </c>
      <c r="U42" s="229">
        <v>0.6</v>
      </c>
      <c r="V42" s="26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</row>
    <row r="43" spans="1:33" ht="15" customHeight="1">
      <c r="A43" s="26"/>
      <c r="B43" s="227">
        <f>(B42+B44)/2</f>
        <v>19.5</v>
      </c>
      <c r="C43" s="151">
        <f t="shared" ref="C43:I43" si="53">((B34-B43)*C44-(B44-B43)*C34)/((B34-B43)-(B44-B43))</f>
        <v>1251</v>
      </c>
      <c r="D43" s="151">
        <f t="shared" si="53"/>
        <v>847</v>
      </c>
      <c r="E43" s="24">
        <f t="shared" si="53"/>
        <v>614</v>
      </c>
      <c r="F43" s="151">
        <f t="shared" si="53"/>
        <v>476</v>
      </c>
      <c r="G43" s="151">
        <f t="shared" si="53"/>
        <v>317</v>
      </c>
      <c r="H43" s="151">
        <f t="shared" si="53"/>
        <v>178.5</v>
      </c>
      <c r="I43" s="24">
        <f t="shared" si="53"/>
        <v>109</v>
      </c>
      <c r="J43" s="26"/>
      <c r="K43" s="4"/>
      <c r="L43" s="227">
        <f>(L42+L44)/2</f>
        <v>17.5</v>
      </c>
      <c r="M43" s="151">
        <f t="shared" ref="M43:Q43" si="54">((L38-L43)*M48-(L48-L43)*M38)/((L38-L43)-(L48-L43))</f>
        <v>7.55</v>
      </c>
      <c r="N43" s="151">
        <f t="shared" si="54"/>
        <v>5.35</v>
      </c>
      <c r="O43" s="151">
        <f t="shared" si="54"/>
        <v>3.9499999999999997</v>
      </c>
      <c r="P43" s="151">
        <f t="shared" si="54"/>
        <v>2.9</v>
      </c>
      <c r="Q43" s="151">
        <f t="shared" si="54"/>
        <v>2</v>
      </c>
      <c r="R43" s="229">
        <v>1.1499999999999999</v>
      </c>
      <c r="S43" s="229">
        <v>0.8</v>
      </c>
      <c r="T43" s="229">
        <v>0.7</v>
      </c>
      <c r="U43" s="229">
        <v>0.6</v>
      </c>
      <c r="V43" s="26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1:33" ht="15" customHeight="1">
      <c r="A44" s="26"/>
      <c r="B44" s="228">
        <v>20</v>
      </c>
      <c r="C44" s="222">
        <v>1260</v>
      </c>
      <c r="D44" s="223">
        <v>850</v>
      </c>
      <c r="E44" s="223">
        <v>620</v>
      </c>
      <c r="F44" s="223">
        <v>480</v>
      </c>
      <c r="G44" s="223">
        <v>320</v>
      </c>
      <c r="H44" s="223">
        <v>180</v>
      </c>
      <c r="I44" s="223">
        <v>110</v>
      </c>
      <c r="J44" s="4"/>
      <c r="K44" s="4"/>
      <c r="L44" s="227">
        <v>18</v>
      </c>
      <c r="M44" s="151">
        <f t="shared" ref="M44:Q44" si="55">((L38-L44)*M48-(L48-L44)*M38)/((L38-L44)-(L48-L44))</f>
        <v>7.62</v>
      </c>
      <c r="N44" s="151">
        <f t="shared" si="55"/>
        <v>5.3999999999999995</v>
      </c>
      <c r="O44" s="151">
        <f t="shared" si="55"/>
        <v>3.9799999999999995</v>
      </c>
      <c r="P44" s="151">
        <f t="shared" si="55"/>
        <v>2.92</v>
      </c>
      <c r="Q44" s="151">
        <f t="shared" si="55"/>
        <v>2</v>
      </c>
      <c r="R44" s="229">
        <v>1.1599999999999999</v>
      </c>
      <c r="S44" s="229">
        <v>0.8</v>
      </c>
      <c r="T44" s="229">
        <v>0.7</v>
      </c>
      <c r="U44" s="229">
        <v>0.6</v>
      </c>
      <c r="V44" s="26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</row>
    <row r="45" spans="1:33" ht="15" customHeight="1">
      <c r="A45" s="26"/>
      <c r="B45" s="227">
        <f>(B44+B46)/2</f>
        <v>20.5</v>
      </c>
      <c r="C45" s="151">
        <f t="shared" ref="C45:I45" si="56">((B44-B45)*C54-(B54-B45)*C44)/((B44-B45)-(B54-B45))</f>
        <v>1268</v>
      </c>
      <c r="D45" s="151">
        <f t="shared" si="56"/>
        <v>855</v>
      </c>
      <c r="E45" s="24">
        <f t="shared" si="56"/>
        <v>626</v>
      </c>
      <c r="F45" s="151">
        <f t="shared" si="56"/>
        <v>484</v>
      </c>
      <c r="G45" s="151">
        <f t="shared" si="56"/>
        <v>323</v>
      </c>
      <c r="H45" s="151">
        <f t="shared" si="56"/>
        <v>181.5</v>
      </c>
      <c r="I45" s="24">
        <f t="shared" si="56"/>
        <v>111</v>
      </c>
      <c r="J45" s="4"/>
      <c r="K45" s="4"/>
      <c r="L45" s="227">
        <f>(L44+L46)/2</f>
        <v>18.5</v>
      </c>
      <c r="M45" s="151">
        <f t="shared" ref="M45:Q45" si="57">((L38-L45)*M48-(L48-L45)*M38)/((L38-L45)-(L48-L45))</f>
        <v>7.69</v>
      </c>
      <c r="N45" s="151">
        <f t="shared" si="57"/>
        <v>5.45</v>
      </c>
      <c r="O45" s="151">
        <f t="shared" si="57"/>
        <v>4.01</v>
      </c>
      <c r="P45" s="151">
        <f t="shared" si="57"/>
        <v>2.94</v>
      </c>
      <c r="Q45" s="151">
        <f t="shared" si="57"/>
        <v>2</v>
      </c>
      <c r="R45" s="229">
        <v>1.17</v>
      </c>
      <c r="S45" s="229">
        <v>0.8</v>
      </c>
      <c r="T45" s="229">
        <v>0.7</v>
      </c>
      <c r="U45" s="229">
        <v>0.6</v>
      </c>
      <c r="V45" s="26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</row>
    <row r="46" spans="1:33" ht="15" customHeight="1">
      <c r="A46" s="26"/>
      <c r="B46" s="227">
        <v>21</v>
      </c>
      <c r="C46" s="151">
        <f t="shared" ref="C46:I46" si="58">((B44-B46)*C54-(B54-B46)*C44)/((B44-B46)-(B54-B46))</f>
        <v>1276</v>
      </c>
      <c r="D46" s="151">
        <f t="shared" si="58"/>
        <v>860</v>
      </c>
      <c r="E46" s="24">
        <f t="shared" si="58"/>
        <v>632</v>
      </c>
      <c r="F46" s="151">
        <f t="shared" si="58"/>
        <v>488</v>
      </c>
      <c r="G46" s="151">
        <f t="shared" si="58"/>
        <v>326</v>
      </c>
      <c r="H46" s="151">
        <f t="shared" si="58"/>
        <v>183</v>
      </c>
      <c r="I46" s="24">
        <f t="shared" si="58"/>
        <v>112</v>
      </c>
      <c r="J46" s="4"/>
      <c r="K46" s="4"/>
      <c r="L46" s="227">
        <v>19</v>
      </c>
      <c r="M46" s="151">
        <f t="shared" ref="M46:Q46" si="59">((L38-L46)*M48-(L48-L46)*M38)/((L38-L46)-(L48-L46))</f>
        <v>7.7600000000000007</v>
      </c>
      <c r="N46" s="151">
        <f t="shared" si="59"/>
        <v>5.5</v>
      </c>
      <c r="O46" s="151">
        <f t="shared" si="59"/>
        <v>4.04</v>
      </c>
      <c r="P46" s="151">
        <f t="shared" si="59"/>
        <v>2.9600000000000004</v>
      </c>
      <c r="Q46" s="151">
        <f t="shared" si="59"/>
        <v>2</v>
      </c>
      <c r="R46" s="229">
        <v>1.18</v>
      </c>
      <c r="S46" s="229">
        <v>0.8</v>
      </c>
      <c r="T46" s="229">
        <v>0.7</v>
      </c>
      <c r="U46" s="229">
        <v>0.6</v>
      </c>
      <c r="V46" s="26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33" ht="15" customHeight="1">
      <c r="A47" s="26"/>
      <c r="B47" s="227">
        <f>(B46+B48)/2</f>
        <v>21.5</v>
      </c>
      <c r="C47" s="151">
        <f t="shared" ref="C47:I47" si="60">((B44-B47)*C54-(B54-B47)*C44)/((B44-B47)-(B54-B47))</f>
        <v>1284</v>
      </c>
      <c r="D47" s="151">
        <f t="shared" si="60"/>
        <v>865</v>
      </c>
      <c r="E47" s="24">
        <f t="shared" si="60"/>
        <v>638</v>
      </c>
      <c r="F47" s="151">
        <f t="shared" si="60"/>
        <v>492</v>
      </c>
      <c r="G47" s="151">
        <f t="shared" si="60"/>
        <v>329</v>
      </c>
      <c r="H47" s="151">
        <f t="shared" si="60"/>
        <v>184.5</v>
      </c>
      <c r="I47" s="24">
        <f t="shared" si="60"/>
        <v>113</v>
      </c>
      <c r="J47" s="4"/>
      <c r="K47" s="4"/>
      <c r="L47" s="227">
        <f>(L46+L48)/2</f>
        <v>19.5</v>
      </c>
      <c r="M47" s="151">
        <f t="shared" ref="M47:Q47" si="61">((L38-L47)*M48-(L48-L47)*M38)/((L38-L47)-(L48-L47))</f>
        <v>7.830000000000001</v>
      </c>
      <c r="N47" s="151">
        <f t="shared" si="61"/>
        <v>5.55</v>
      </c>
      <c r="O47" s="151">
        <f t="shared" si="61"/>
        <v>4.07</v>
      </c>
      <c r="P47" s="151">
        <f t="shared" si="61"/>
        <v>2.9800000000000004</v>
      </c>
      <c r="Q47" s="151">
        <f t="shared" si="61"/>
        <v>2</v>
      </c>
      <c r="R47" s="229">
        <v>1.19</v>
      </c>
      <c r="S47" s="229">
        <v>0.8</v>
      </c>
      <c r="T47" s="229">
        <v>0.7</v>
      </c>
      <c r="U47" s="229">
        <v>0.6</v>
      </c>
      <c r="V47" s="26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33" ht="15" customHeight="1">
      <c r="A48" s="26"/>
      <c r="B48" s="227">
        <v>22</v>
      </c>
      <c r="C48" s="151">
        <f t="shared" ref="C48:I48" si="62">((B44-B48)*C54-(B54-B48)*C44)/((B44-B48)-(B54-B48))</f>
        <v>1292</v>
      </c>
      <c r="D48" s="151">
        <f t="shared" si="62"/>
        <v>870</v>
      </c>
      <c r="E48" s="24">
        <f t="shared" si="62"/>
        <v>644</v>
      </c>
      <c r="F48" s="151">
        <f t="shared" si="62"/>
        <v>496</v>
      </c>
      <c r="G48" s="151">
        <f t="shared" si="62"/>
        <v>332</v>
      </c>
      <c r="H48" s="151">
        <f t="shared" si="62"/>
        <v>186</v>
      </c>
      <c r="I48" s="24">
        <f t="shared" si="62"/>
        <v>114</v>
      </c>
      <c r="J48" s="4"/>
      <c r="K48" s="4"/>
      <c r="L48" s="228">
        <v>20</v>
      </c>
      <c r="M48" s="222">
        <v>7.9</v>
      </c>
      <c r="N48" s="222">
        <v>5.6</v>
      </c>
      <c r="O48" s="223">
        <v>4.0999999999999996</v>
      </c>
      <c r="P48" s="223">
        <v>3</v>
      </c>
      <c r="Q48" s="223">
        <v>2</v>
      </c>
      <c r="R48" s="223">
        <v>1.2</v>
      </c>
      <c r="S48" s="223">
        <v>0.8</v>
      </c>
      <c r="T48" s="223">
        <v>0.7</v>
      </c>
      <c r="U48" s="223">
        <v>0.6</v>
      </c>
      <c r="V48" s="26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5" customHeight="1">
      <c r="A49" s="26"/>
      <c r="B49" s="227">
        <f>(B48+B50)/2</f>
        <v>22.5</v>
      </c>
      <c r="C49" s="151">
        <f t="shared" ref="C49:I49" si="63">((B44-B49)*C54-(B54-B49)*C44)/((B44-B49)-(B54-B49))</f>
        <v>1300</v>
      </c>
      <c r="D49" s="151">
        <f t="shared" si="63"/>
        <v>875</v>
      </c>
      <c r="E49" s="24">
        <f t="shared" si="63"/>
        <v>650</v>
      </c>
      <c r="F49" s="151">
        <f t="shared" si="63"/>
        <v>500</v>
      </c>
      <c r="G49" s="151">
        <f t="shared" si="63"/>
        <v>335</v>
      </c>
      <c r="H49" s="151">
        <f t="shared" si="63"/>
        <v>187.5</v>
      </c>
      <c r="I49" s="24">
        <f t="shared" si="63"/>
        <v>115</v>
      </c>
      <c r="J49" s="4"/>
      <c r="K49" s="4"/>
      <c r="L49" s="227">
        <f>(L48+L50)/2</f>
        <v>20.5</v>
      </c>
      <c r="M49" s="151">
        <f t="shared" ref="M49:Q49" si="64">((L48-L49)*M58-(L58-L49)*M48)/((L48-L49)-(L58-L49))</f>
        <v>7.9700000000000006</v>
      </c>
      <c r="N49" s="151">
        <f t="shared" si="64"/>
        <v>5.65</v>
      </c>
      <c r="O49" s="151">
        <f t="shared" si="64"/>
        <v>4.13</v>
      </c>
      <c r="P49" s="151">
        <f t="shared" si="64"/>
        <v>3.02</v>
      </c>
      <c r="Q49" s="151">
        <f t="shared" si="64"/>
        <v>2</v>
      </c>
      <c r="R49" s="229">
        <v>1.2</v>
      </c>
      <c r="S49" s="229">
        <v>0.8</v>
      </c>
      <c r="T49" s="229">
        <v>0.7</v>
      </c>
      <c r="U49" s="229">
        <v>0.6</v>
      </c>
      <c r="V49" s="26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5" customHeight="1">
      <c r="A50" s="26"/>
      <c r="B50" s="227">
        <v>23</v>
      </c>
      <c r="C50" s="151">
        <f t="shared" ref="C50:I50" si="65">((B44-B50)*C54-(B54-B50)*C44)/((B44-B50)-(B54-B50))</f>
        <v>1308</v>
      </c>
      <c r="D50" s="151">
        <f t="shared" si="65"/>
        <v>880</v>
      </c>
      <c r="E50" s="24">
        <f t="shared" si="65"/>
        <v>656</v>
      </c>
      <c r="F50" s="151">
        <f t="shared" si="65"/>
        <v>504</v>
      </c>
      <c r="G50" s="151">
        <f t="shared" si="65"/>
        <v>338</v>
      </c>
      <c r="H50" s="151">
        <f t="shared" si="65"/>
        <v>189</v>
      </c>
      <c r="I50" s="24">
        <f t="shared" si="65"/>
        <v>116</v>
      </c>
      <c r="J50" s="4"/>
      <c r="K50" s="4"/>
      <c r="L50" s="227">
        <v>21</v>
      </c>
      <c r="M50" s="151">
        <f t="shared" ref="M50:Q50" si="66">((L48-L50)*M58-(L58-L50)*M48)/((L48-L50)-(L58-L50))</f>
        <v>8.0400000000000009</v>
      </c>
      <c r="N50" s="151">
        <f t="shared" si="66"/>
        <v>5.7</v>
      </c>
      <c r="O50" s="151">
        <f t="shared" si="66"/>
        <v>4.16</v>
      </c>
      <c r="P50" s="151">
        <f t="shared" si="66"/>
        <v>3.0400000000000005</v>
      </c>
      <c r="Q50" s="151">
        <f t="shared" si="66"/>
        <v>2</v>
      </c>
      <c r="R50" s="229">
        <v>1.2</v>
      </c>
      <c r="S50" s="229">
        <v>0.8</v>
      </c>
      <c r="T50" s="229">
        <v>0.7</v>
      </c>
      <c r="U50" s="229">
        <v>0.6</v>
      </c>
      <c r="V50" s="2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5" customHeight="1">
      <c r="A51" s="26"/>
      <c r="B51" s="227">
        <f>(B50+B52)/2</f>
        <v>23.5</v>
      </c>
      <c r="C51" s="151">
        <f t="shared" ref="C51:I51" si="67">((B44-B51)*C54-(B54-B51)*C44)/((B44-B51)-(B54-B51))</f>
        <v>1316</v>
      </c>
      <c r="D51" s="151">
        <f t="shared" si="67"/>
        <v>885</v>
      </c>
      <c r="E51" s="24">
        <f t="shared" si="67"/>
        <v>662</v>
      </c>
      <c r="F51" s="151">
        <f t="shared" si="67"/>
        <v>508</v>
      </c>
      <c r="G51" s="151">
        <f t="shared" si="67"/>
        <v>341</v>
      </c>
      <c r="H51" s="151">
        <f t="shared" si="67"/>
        <v>190.5</v>
      </c>
      <c r="I51" s="24">
        <f t="shared" si="67"/>
        <v>117</v>
      </c>
      <c r="J51" s="4"/>
      <c r="K51" s="4"/>
      <c r="L51" s="227">
        <f>(L50+L52)/2</f>
        <v>21.5</v>
      </c>
      <c r="M51" s="151">
        <f t="shared" ref="M51:Q51" si="68">((L48-L51)*M58-(L58-L51)*M48)/((L48-L51)-(L58-L51))</f>
        <v>8.11</v>
      </c>
      <c r="N51" s="151">
        <f t="shared" si="68"/>
        <v>5.7499999999999991</v>
      </c>
      <c r="O51" s="151">
        <f t="shared" si="68"/>
        <v>4.1899999999999995</v>
      </c>
      <c r="P51" s="151">
        <f t="shared" si="68"/>
        <v>3.06</v>
      </c>
      <c r="Q51" s="151">
        <f t="shared" si="68"/>
        <v>2</v>
      </c>
      <c r="R51" s="229">
        <v>1.2</v>
      </c>
      <c r="S51" s="229">
        <v>0.8</v>
      </c>
      <c r="T51" s="229">
        <v>0.7</v>
      </c>
      <c r="U51" s="229">
        <v>0.6</v>
      </c>
      <c r="V51" s="26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ht="15" customHeight="1">
      <c r="A52" s="26"/>
      <c r="B52" s="227">
        <v>24</v>
      </c>
      <c r="C52" s="151">
        <f t="shared" ref="C52:I52" si="69">((B44-B52)*C54-(B54-B52)*C44)/((B44-B52)-(B54-B52))</f>
        <v>1324</v>
      </c>
      <c r="D52" s="151">
        <f t="shared" si="69"/>
        <v>890</v>
      </c>
      <c r="E52" s="24">
        <f t="shared" si="69"/>
        <v>668</v>
      </c>
      <c r="F52" s="151">
        <f t="shared" si="69"/>
        <v>512</v>
      </c>
      <c r="G52" s="151">
        <f t="shared" si="69"/>
        <v>344</v>
      </c>
      <c r="H52" s="151">
        <f t="shared" si="69"/>
        <v>192</v>
      </c>
      <c r="I52" s="24">
        <f t="shared" si="69"/>
        <v>118</v>
      </c>
      <c r="J52" s="4"/>
      <c r="K52" s="4"/>
      <c r="L52" s="227">
        <v>22</v>
      </c>
      <c r="M52" s="151">
        <f t="shared" ref="M52:Q52" si="70">((L48-L52)*M58-(L58-L52)*M48)/((L48-L52)-(L58-L52))</f>
        <v>8.1800000000000015</v>
      </c>
      <c r="N52" s="151">
        <f t="shared" si="70"/>
        <v>5.8000000000000016</v>
      </c>
      <c r="O52" s="151">
        <f t="shared" si="70"/>
        <v>4.2200000000000015</v>
      </c>
      <c r="P52" s="151">
        <f t="shared" si="70"/>
        <v>3.0800000000000014</v>
      </c>
      <c r="Q52" s="151">
        <f t="shared" si="70"/>
        <v>2</v>
      </c>
      <c r="R52" s="229">
        <v>1.2</v>
      </c>
      <c r="S52" s="229">
        <v>0.8</v>
      </c>
      <c r="T52" s="229">
        <v>0.7</v>
      </c>
      <c r="U52" s="229">
        <v>0.6</v>
      </c>
      <c r="V52" s="26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</row>
    <row r="53" spans="1:33" ht="15" customHeight="1">
      <c r="A53" s="26"/>
      <c r="B53" s="227">
        <f>(B52+B54)/2</f>
        <v>24.5</v>
      </c>
      <c r="C53" s="151">
        <f t="shared" ref="C53:I53" si="71">((B44-B53)*C54-(B54-B53)*C44)/((B44-B53)-(B54-B53))</f>
        <v>1332</v>
      </c>
      <c r="D53" s="151">
        <f t="shared" si="71"/>
        <v>895</v>
      </c>
      <c r="E53" s="24">
        <f t="shared" si="71"/>
        <v>674</v>
      </c>
      <c r="F53" s="151">
        <f t="shared" si="71"/>
        <v>516</v>
      </c>
      <c r="G53" s="151">
        <f t="shared" si="71"/>
        <v>347</v>
      </c>
      <c r="H53" s="151">
        <f t="shared" si="71"/>
        <v>193.5</v>
      </c>
      <c r="I53" s="24">
        <f t="shared" si="71"/>
        <v>119</v>
      </c>
      <c r="J53" s="4"/>
      <c r="K53" s="4"/>
      <c r="L53" s="227">
        <f>(L52+L54)/2</f>
        <v>22.5</v>
      </c>
      <c r="M53" s="151">
        <f t="shared" ref="M53:Q53" si="72">((L48-L53)*M58-(L58-L53)*M48)/((L48-L53)-(L58-L53))</f>
        <v>8.25</v>
      </c>
      <c r="N53" s="151">
        <f t="shared" si="72"/>
        <v>5.85</v>
      </c>
      <c r="O53" s="151">
        <f t="shared" si="72"/>
        <v>4.25</v>
      </c>
      <c r="P53" s="151">
        <f t="shared" si="72"/>
        <v>3.0999999999999996</v>
      </c>
      <c r="Q53" s="151">
        <f t="shared" si="72"/>
        <v>2</v>
      </c>
      <c r="R53" s="229">
        <v>1.2</v>
      </c>
      <c r="S53" s="229">
        <v>0.8</v>
      </c>
      <c r="T53" s="229">
        <v>0.7</v>
      </c>
      <c r="U53" s="229">
        <v>0.6</v>
      </c>
      <c r="V53" s="26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</row>
    <row r="54" spans="1:33" ht="15" customHeight="1">
      <c r="A54" s="26"/>
      <c r="B54" s="228">
        <v>25</v>
      </c>
      <c r="C54" s="222">
        <v>1340</v>
      </c>
      <c r="D54" s="223">
        <v>900</v>
      </c>
      <c r="E54" s="223">
        <v>680</v>
      </c>
      <c r="F54" s="223">
        <v>520</v>
      </c>
      <c r="G54" s="223">
        <v>350</v>
      </c>
      <c r="H54" s="223">
        <v>195</v>
      </c>
      <c r="I54" s="223">
        <v>120</v>
      </c>
      <c r="J54" s="4"/>
      <c r="K54" s="4"/>
      <c r="L54" s="227">
        <v>23</v>
      </c>
      <c r="M54" s="151">
        <f t="shared" ref="M54:Q54" si="73">((L48-L54)*M58-(L58-L54)*M48)/((L48-L54)-(L58-L54))</f>
        <v>8.3199999999999985</v>
      </c>
      <c r="N54" s="151">
        <f t="shared" si="73"/>
        <v>5.8999999999999995</v>
      </c>
      <c r="O54" s="151">
        <f t="shared" si="73"/>
        <v>4.28</v>
      </c>
      <c r="P54" s="151">
        <f t="shared" si="73"/>
        <v>3.12</v>
      </c>
      <c r="Q54" s="151">
        <f t="shared" si="73"/>
        <v>2</v>
      </c>
      <c r="R54" s="229">
        <v>1.2</v>
      </c>
      <c r="S54" s="229">
        <v>0.8</v>
      </c>
      <c r="T54" s="229">
        <v>0.7</v>
      </c>
      <c r="U54" s="229">
        <v>0.6</v>
      </c>
      <c r="V54" s="26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</row>
    <row r="55" spans="1:33" ht="15" customHeight="1">
      <c r="A55" s="26"/>
      <c r="B55" s="227">
        <f>(B54+B56)/2</f>
        <v>25.5</v>
      </c>
      <c r="C55" s="151">
        <f t="shared" ref="C55:I55" si="74">((B54-B55)*C64-(B64-B55)*C54)/((B54-B55)-(B64-B55))</f>
        <v>1348</v>
      </c>
      <c r="D55" s="151">
        <f t="shared" si="74"/>
        <v>905</v>
      </c>
      <c r="E55" s="24">
        <f t="shared" si="74"/>
        <v>686</v>
      </c>
      <c r="F55" s="151">
        <f t="shared" si="74"/>
        <v>524</v>
      </c>
      <c r="G55" s="151">
        <f t="shared" si="74"/>
        <v>353</v>
      </c>
      <c r="H55" s="151">
        <f t="shared" si="74"/>
        <v>196.5</v>
      </c>
      <c r="I55" s="24">
        <f t="shared" si="74"/>
        <v>121</v>
      </c>
      <c r="J55" s="4"/>
      <c r="K55" s="4"/>
      <c r="L55" s="227">
        <f>(L54+L56)/2</f>
        <v>23.5</v>
      </c>
      <c r="M55" s="151">
        <f t="shared" ref="M55:Q55" si="75">((L48-L55)*M58-(L58-L55)*M48)/((L48-L55)-(L58-L55))</f>
        <v>8.39</v>
      </c>
      <c r="N55" s="151">
        <f t="shared" si="75"/>
        <v>5.95</v>
      </c>
      <c r="O55" s="151">
        <f t="shared" si="75"/>
        <v>4.3100000000000005</v>
      </c>
      <c r="P55" s="151">
        <f t="shared" si="75"/>
        <v>3.1400000000000006</v>
      </c>
      <c r="Q55" s="151">
        <f t="shared" si="75"/>
        <v>2</v>
      </c>
      <c r="R55" s="229">
        <v>1.2</v>
      </c>
      <c r="S55" s="229">
        <v>0.8</v>
      </c>
      <c r="T55" s="229">
        <v>0.7</v>
      </c>
      <c r="U55" s="229">
        <v>0.6</v>
      </c>
      <c r="V55" s="26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</row>
    <row r="56" spans="1:33" ht="15" customHeight="1">
      <c r="A56" s="26"/>
      <c r="B56" s="227">
        <v>26</v>
      </c>
      <c r="C56" s="151">
        <f t="shared" ref="C56:I56" si="76">((B54-B56)*C64-(B64-B56)*C54)/((B54-B56)-(B64-B56))</f>
        <v>1356</v>
      </c>
      <c r="D56" s="151">
        <f t="shared" si="76"/>
        <v>910</v>
      </c>
      <c r="E56" s="24">
        <f t="shared" si="76"/>
        <v>692</v>
      </c>
      <c r="F56" s="151">
        <f t="shared" si="76"/>
        <v>528</v>
      </c>
      <c r="G56" s="151">
        <f t="shared" si="76"/>
        <v>356</v>
      </c>
      <c r="H56" s="151">
        <f t="shared" si="76"/>
        <v>198</v>
      </c>
      <c r="I56" s="24">
        <f t="shared" si="76"/>
        <v>122</v>
      </c>
      <c r="J56" s="4"/>
      <c r="K56" s="4"/>
      <c r="L56" s="227">
        <v>24</v>
      </c>
      <c r="M56" s="151">
        <f t="shared" ref="M56:Q56" si="77">((L48-L56)*M58-(L58-L56)*M48)/((L48-L56)-(L58-L56))</f>
        <v>8.4599999999999991</v>
      </c>
      <c r="N56" s="151">
        <f t="shared" si="77"/>
        <v>5.9999999999999991</v>
      </c>
      <c r="O56" s="151">
        <f t="shared" si="77"/>
        <v>4.34</v>
      </c>
      <c r="P56" s="151">
        <f t="shared" si="77"/>
        <v>3.1599999999999997</v>
      </c>
      <c r="Q56" s="151">
        <f t="shared" si="77"/>
        <v>2</v>
      </c>
      <c r="R56" s="229">
        <v>1.2</v>
      </c>
      <c r="S56" s="229">
        <v>0.8</v>
      </c>
      <c r="T56" s="229">
        <v>0.7</v>
      </c>
      <c r="U56" s="229">
        <v>0.6</v>
      </c>
      <c r="V56" s="26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</row>
    <row r="57" spans="1:33" ht="15" customHeight="1">
      <c r="A57" s="26"/>
      <c r="B57" s="227">
        <f>(B56+B58)/2</f>
        <v>26.5</v>
      </c>
      <c r="C57" s="151">
        <f t="shared" ref="C57:I57" si="78">((B54-B57)*C64-(B64-B57)*C54)/((B54-B57)-(B64-B57))</f>
        <v>1364</v>
      </c>
      <c r="D57" s="151">
        <f t="shared" si="78"/>
        <v>915</v>
      </c>
      <c r="E57" s="24">
        <f t="shared" si="78"/>
        <v>698</v>
      </c>
      <c r="F57" s="151">
        <f t="shared" si="78"/>
        <v>532</v>
      </c>
      <c r="G57" s="151">
        <f t="shared" si="78"/>
        <v>359</v>
      </c>
      <c r="H57" s="151">
        <f t="shared" si="78"/>
        <v>199.5</v>
      </c>
      <c r="I57" s="24">
        <f t="shared" si="78"/>
        <v>123</v>
      </c>
      <c r="J57" s="4"/>
      <c r="K57" s="4"/>
      <c r="L57" s="227">
        <f>(L56+L58)/2</f>
        <v>24.5</v>
      </c>
      <c r="M57" s="151">
        <f t="shared" ref="M57:Q57" si="79">((L48-L57)*M58-(L58-L57)*M48)/((L48-L57)-(L58-L57))</f>
        <v>8.5299999999999994</v>
      </c>
      <c r="N57" s="151">
        <f t="shared" si="79"/>
        <v>6.0499999999999989</v>
      </c>
      <c r="O57" s="151">
        <f t="shared" si="79"/>
        <v>4.37</v>
      </c>
      <c r="P57" s="151">
        <f t="shared" si="79"/>
        <v>3.18</v>
      </c>
      <c r="Q57" s="151">
        <f t="shared" si="79"/>
        <v>2</v>
      </c>
      <c r="R57" s="229">
        <v>1.2</v>
      </c>
      <c r="S57" s="229">
        <v>0.8</v>
      </c>
      <c r="T57" s="229">
        <v>0.7</v>
      </c>
      <c r="U57" s="229">
        <v>0.6</v>
      </c>
      <c r="V57" s="26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</row>
    <row r="58" spans="1:33" ht="15" customHeight="1">
      <c r="A58" s="26"/>
      <c r="B58" s="227">
        <v>27</v>
      </c>
      <c r="C58" s="151">
        <f t="shared" ref="C58:I58" si="80">((B54-B58)*C64-(B64-B58)*C54)/((B54-B58)-(B64-B58))</f>
        <v>1372</v>
      </c>
      <c r="D58" s="151">
        <f t="shared" si="80"/>
        <v>920</v>
      </c>
      <c r="E58" s="24">
        <f t="shared" si="80"/>
        <v>704</v>
      </c>
      <c r="F58" s="151">
        <f t="shared" si="80"/>
        <v>536</v>
      </c>
      <c r="G58" s="151">
        <f t="shared" si="80"/>
        <v>362</v>
      </c>
      <c r="H58" s="151">
        <f t="shared" si="80"/>
        <v>201</v>
      </c>
      <c r="I58" s="24">
        <f t="shared" si="80"/>
        <v>124</v>
      </c>
      <c r="J58" s="4"/>
      <c r="K58" s="4"/>
      <c r="L58" s="228">
        <v>25</v>
      </c>
      <c r="M58" s="222">
        <v>8.6</v>
      </c>
      <c r="N58" s="222">
        <v>6.1</v>
      </c>
      <c r="O58" s="223">
        <v>4.4000000000000004</v>
      </c>
      <c r="P58" s="223">
        <v>3.2</v>
      </c>
      <c r="Q58" s="223">
        <v>2</v>
      </c>
      <c r="R58" s="223">
        <v>1.2</v>
      </c>
      <c r="S58" s="223">
        <v>0.8</v>
      </c>
      <c r="T58" s="223">
        <v>0.7</v>
      </c>
      <c r="U58" s="223">
        <v>0.6</v>
      </c>
      <c r="V58" s="26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</row>
    <row r="59" spans="1:33" ht="15" customHeight="1">
      <c r="A59" s="26"/>
      <c r="B59" s="227">
        <f>(B58+B60)/2</f>
        <v>27.5</v>
      </c>
      <c r="C59" s="151">
        <f t="shared" ref="C59:I59" si="81">((B54-B59)*C64-(B64-B59)*C54)/((B54-B59)-(B64-B59))</f>
        <v>1380</v>
      </c>
      <c r="D59" s="151">
        <f t="shared" si="81"/>
        <v>925</v>
      </c>
      <c r="E59" s="24">
        <f t="shared" si="81"/>
        <v>710</v>
      </c>
      <c r="F59" s="151">
        <f t="shared" si="81"/>
        <v>540</v>
      </c>
      <c r="G59" s="151">
        <f t="shared" si="81"/>
        <v>365</v>
      </c>
      <c r="H59" s="151">
        <f t="shared" si="81"/>
        <v>202.5</v>
      </c>
      <c r="I59" s="24">
        <f t="shared" si="81"/>
        <v>125</v>
      </c>
      <c r="J59" s="4"/>
      <c r="K59" s="4"/>
      <c r="L59" s="227">
        <f>(L58+L60)/2</f>
        <v>25.5</v>
      </c>
      <c r="M59" s="151">
        <f t="shared" ref="M59:R59" si="82">((L58-L59)*M68-(L68-L59)*M58)/((L58-L59)-(L68-L59))</f>
        <v>8.6699999999999982</v>
      </c>
      <c r="N59" s="151">
        <f t="shared" si="82"/>
        <v>6.1499999999999995</v>
      </c>
      <c r="O59" s="151">
        <f t="shared" si="82"/>
        <v>4.43</v>
      </c>
      <c r="P59" s="151">
        <f t="shared" si="82"/>
        <v>3.2199999999999998</v>
      </c>
      <c r="Q59" s="151">
        <f t="shared" si="82"/>
        <v>2.0099999999999998</v>
      </c>
      <c r="R59" s="151">
        <f t="shared" si="82"/>
        <v>1.2</v>
      </c>
      <c r="S59" s="229">
        <v>0.81</v>
      </c>
      <c r="T59" s="229">
        <v>0.71</v>
      </c>
      <c r="U59" s="229">
        <v>0.61</v>
      </c>
      <c r="V59" s="26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</row>
    <row r="60" spans="1:33" ht="15" customHeight="1">
      <c r="A60" s="26"/>
      <c r="B60" s="227">
        <v>28</v>
      </c>
      <c r="C60" s="151">
        <f t="shared" ref="C60:I60" si="83">((B54-B60)*C64-(B64-B60)*C54)/((B54-B60)-(B64-B60))</f>
        <v>1388</v>
      </c>
      <c r="D60" s="151">
        <f t="shared" si="83"/>
        <v>930</v>
      </c>
      <c r="E60" s="24">
        <f t="shared" si="83"/>
        <v>716</v>
      </c>
      <c r="F60" s="151">
        <f t="shared" si="83"/>
        <v>544</v>
      </c>
      <c r="G60" s="151">
        <f t="shared" si="83"/>
        <v>368</v>
      </c>
      <c r="H60" s="151">
        <f t="shared" si="83"/>
        <v>204</v>
      </c>
      <c r="I60" s="24">
        <f t="shared" si="83"/>
        <v>126</v>
      </c>
      <c r="J60" s="4"/>
      <c r="K60" s="4"/>
      <c r="L60" s="227">
        <v>26</v>
      </c>
      <c r="M60" s="151">
        <f t="shared" ref="M60:R60" si="84">((L58-L60)*M68-(L68-L60)*M58)/((L58-L60)-(L68-L60))</f>
        <v>8.74</v>
      </c>
      <c r="N60" s="151">
        <f t="shared" si="84"/>
        <v>6.2</v>
      </c>
      <c r="O60" s="151">
        <f t="shared" si="84"/>
        <v>4.4600000000000009</v>
      </c>
      <c r="P60" s="151">
        <f t="shared" si="84"/>
        <v>3.24</v>
      </c>
      <c r="Q60" s="151">
        <f t="shared" si="84"/>
        <v>2.02</v>
      </c>
      <c r="R60" s="151">
        <f t="shared" si="84"/>
        <v>1.2</v>
      </c>
      <c r="S60" s="229">
        <v>0.82</v>
      </c>
      <c r="T60" s="229">
        <v>0.72</v>
      </c>
      <c r="U60" s="229">
        <v>0.62</v>
      </c>
      <c r="V60" s="26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</row>
    <row r="61" spans="1:33" ht="15" customHeight="1">
      <c r="A61" s="26"/>
      <c r="B61" s="227">
        <f>(B60+B62)/2</f>
        <v>28.5</v>
      </c>
      <c r="C61" s="151">
        <f t="shared" ref="C61:I61" si="85">((B54-B61)*C64-(B64-B61)*C54)/((B54-B61)-(B64-B61))</f>
        <v>1396</v>
      </c>
      <c r="D61" s="151">
        <f t="shared" si="85"/>
        <v>935</v>
      </c>
      <c r="E61" s="24">
        <f t="shared" si="85"/>
        <v>722</v>
      </c>
      <c r="F61" s="151">
        <f t="shared" si="85"/>
        <v>548</v>
      </c>
      <c r="G61" s="151">
        <f t="shared" si="85"/>
        <v>371</v>
      </c>
      <c r="H61" s="151">
        <f t="shared" si="85"/>
        <v>205.5</v>
      </c>
      <c r="I61" s="24">
        <f t="shared" si="85"/>
        <v>127</v>
      </c>
      <c r="J61" s="4"/>
      <c r="K61" s="4"/>
      <c r="L61" s="227">
        <f>(L60+L62)/2</f>
        <v>26.5</v>
      </c>
      <c r="M61" s="151">
        <f t="shared" ref="M61:R61" si="86">((L58-L61)*M68-(L68-L61)*M58)/((L58-L61)-(L68-L61))</f>
        <v>8.8099999999999987</v>
      </c>
      <c r="N61" s="151">
        <f t="shared" si="86"/>
        <v>6.2499999999999982</v>
      </c>
      <c r="O61" s="151">
        <f t="shared" si="86"/>
        <v>4.4899999999999993</v>
      </c>
      <c r="P61" s="151">
        <f t="shared" si="86"/>
        <v>3.26</v>
      </c>
      <c r="Q61" s="151">
        <f t="shared" si="86"/>
        <v>2.0300000000000002</v>
      </c>
      <c r="R61" s="151">
        <f t="shared" si="86"/>
        <v>1.2</v>
      </c>
      <c r="S61" s="229">
        <v>0.83</v>
      </c>
      <c r="T61" s="229">
        <v>0.73</v>
      </c>
      <c r="U61" s="229">
        <v>0.63</v>
      </c>
      <c r="V61" s="26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</row>
    <row r="62" spans="1:33" ht="15" customHeight="1">
      <c r="A62" s="26"/>
      <c r="B62" s="227">
        <v>29</v>
      </c>
      <c r="C62" s="151">
        <f t="shared" ref="C62:I62" si="87">((B54-B62)*C64-(B64-B62)*C54)/((B54-B62)-(B64-B62))</f>
        <v>1404</v>
      </c>
      <c r="D62" s="151">
        <f t="shared" si="87"/>
        <v>940</v>
      </c>
      <c r="E62" s="24">
        <f t="shared" si="87"/>
        <v>728</v>
      </c>
      <c r="F62" s="151">
        <f t="shared" si="87"/>
        <v>552</v>
      </c>
      <c r="G62" s="151">
        <f t="shared" si="87"/>
        <v>374</v>
      </c>
      <c r="H62" s="151">
        <f t="shared" si="87"/>
        <v>207</v>
      </c>
      <c r="I62" s="24">
        <f t="shared" si="87"/>
        <v>128</v>
      </c>
      <c r="J62" s="4"/>
      <c r="K62" s="4"/>
      <c r="L62" s="227">
        <v>27</v>
      </c>
      <c r="M62" s="151">
        <f t="shared" ref="M62:R62" si="88">((L58-L62)*M68-(L68-L62)*M58)/((L58-L62)-(L68-L62))</f>
        <v>8.879999999999999</v>
      </c>
      <c r="N62" s="151">
        <f t="shared" si="88"/>
        <v>6.299999999999998</v>
      </c>
      <c r="O62" s="151">
        <f t="shared" si="88"/>
        <v>4.5199999999999996</v>
      </c>
      <c r="P62" s="151">
        <f t="shared" si="88"/>
        <v>3.28</v>
      </c>
      <c r="Q62" s="151">
        <f t="shared" si="88"/>
        <v>2.04</v>
      </c>
      <c r="R62" s="151">
        <f t="shared" si="88"/>
        <v>1.2</v>
      </c>
      <c r="S62" s="229">
        <v>0.84</v>
      </c>
      <c r="T62" s="229">
        <v>0.74</v>
      </c>
      <c r="U62" s="229">
        <v>0.64</v>
      </c>
      <c r="V62" s="26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</row>
    <row r="63" spans="1:33" ht="15" customHeight="1">
      <c r="A63" s="26"/>
      <c r="B63" s="227">
        <f>(B62+B64)/2</f>
        <v>29.5</v>
      </c>
      <c r="C63" s="151">
        <f t="shared" ref="C63:I63" si="89">((B54-B63)*C64-(B64-B63)*C54)/((B54-B63)-(B64-B63))</f>
        <v>1412</v>
      </c>
      <c r="D63" s="151">
        <f t="shared" si="89"/>
        <v>945</v>
      </c>
      <c r="E63" s="24">
        <f t="shared" si="89"/>
        <v>734</v>
      </c>
      <c r="F63" s="151">
        <f t="shared" si="89"/>
        <v>556</v>
      </c>
      <c r="G63" s="151">
        <f t="shared" si="89"/>
        <v>377</v>
      </c>
      <c r="H63" s="151">
        <f t="shared" si="89"/>
        <v>208.5</v>
      </c>
      <c r="I63" s="24">
        <f t="shared" si="89"/>
        <v>129</v>
      </c>
      <c r="J63" s="4"/>
      <c r="K63" s="4"/>
      <c r="L63" s="227">
        <f>(L62+L64)/2</f>
        <v>27.5</v>
      </c>
      <c r="M63" s="151">
        <f t="shared" ref="M63:R63" si="90">((L58-L63)*M68-(L68-L63)*M58)/((L58-L63)-(L68-L63))</f>
        <v>8.9499999999999993</v>
      </c>
      <c r="N63" s="151">
        <f t="shared" si="90"/>
        <v>6.3499999999999988</v>
      </c>
      <c r="O63" s="151">
        <f t="shared" si="90"/>
        <v>4.55</v>
      </c>
      <c r="P63" s="151">
        <f t="shared" si="90"/>
        <v>3.3</v>
      </c>
      <c r="Q63" s="151">
        <f t="shared" si="90"/>
        <v>2.0500000000000003</v>
      </c>
      <c r="R63" s="151">
        <f t="shared" si="90"/>
        <v>1.2</v>
      </c>
      <c r="S63" s="229">
        <v>0.85</v>
      </c>
      <c r="T63" s="229">
        <v>0.75</v>
      </c>
      <c r="U63" s="229">
        <v>0.65</v>
      </c>
      <c r="V63" s="26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</row>
    <row r="64" spans="1:33" ht="15" customHeight="1">
      <c r="A64" s="26"/>
      <c r="B64" s="228">
        <v>30</v>
      </c>
      <c r="C64" s="222">
        <v>1420</v>
      </c>
      <c r="D64" s="223">
        <v>950</v>
      </c>
      <c r="E64" s="223">
        <v>740</v>
      </c>
      <c r="F64" s="223">
        <v>560</v>
      </c>
      <c r="G64" s="223">
        <v>380</v>
      </c>
      <c r="H64" s="223">
        <v>210</v>
      </c>
      <c r="I64" s="223">
        <v>130</v>
      </c>
      <c r="J64" s="4"/>
      <c r="K64" s="4"/>
      <c r="L64" s="227">
        <v>28</v>
      </c>
      <c r="M64" s="151">
        <f t="shared" ref="M64:R64" si="91">((L58-L64)*M68-(L68-L64)*M58)/((L58-L64)-(L68-L64))</f>
        <v>9.02</v>
      </c>
      <c r="N64" s="151">
        <f t="shared" si="91"/>
        <v>6.3999999999999986</v>
      </c>
      <c r="O64" s="151">
        <f t="shared" si="91"/>
        <v>4.58</v>
      </c>
      <c r="P64" s="151">
        <f t="shared" si="91"/>
        <v>3.32</v>
      </c>
      <c r="Q64" s="151">
        <f t="shared" si="91"/>
        <v>2.06</v>
      </c>
      <c r="R64" s="151">
        <f t="shared" si="91"/>
        <v>1.2</v>
      </c>
      <c r="S64" s="229">
        <v>0.86</v>
      </c>
      <c r="T64" s="229">
        <v>0.76</v>
      </c>
      <c r="U64" s="229">
        <v>0.66</v>
      </c>
      <c r="V64" s="26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</row>
    <row r="65" spans="1:33" ht="15" customHeight="1">
      <c r="A65" s="26"/>
      <c r="B65" s="227">
        <f>(B64+B66)/2</f>
        <v>30.5</v>
      </c>
      <c r="C65" s="151">
        <f t="shared" ref="C65:I65" si="92">((B64-B65)*C74-(B74-B65)*C64)/((B64-B65)-(B74-B65))</f>
        <v>1428</v>
      </c>
      <c r="D65" s="151">
        <f t="shared" si="92"/>
        <v>955</v>
      </c>
      <c r="E65" s="24">
        <f t="shared" si="92"/>
        <v>746</v>
      </c>
      <c r="F65" s="151">
        <f t="shared" si="92"/>
        <v>564</v>
      </c>
      <c r="G65" s="151">
        <f t="shared" si="92"/>
        <v>383</v>
      </c>
      <c r="H65" s="151">
        <f t="shared" si="92"/>
        <v>211.5</v>
      </c>
      <c r="I65" s="24">
        <f t="shared" si="92"/>
        <v>131</v>
      </c>
      <c r="J65" s="4"/>
      <c r="K65" s="4"/>
      <c r="L65" s="227">
        <f>(L64+L66)/2</f>
        <v>28.5</v>
      </c>
      <c r="M65" s="151">
        <f t="shared" ref="M65:R65" si="93">((L58-L65)*M68-(L68-L65)*M58)/((L58-L65)-(L68-L65))</f>
        <v>9.09</v>
      </c>
      <c r="N65" s="151">
        <f t="shared" si="93"/>
        <v>6.4499999999999984</v>
      </c>
      <c r="O65" s="151">
        <f t="shared" si="93"/>
        <v>4.6099999999999994</v>
      </c>
      <c r="P65" s="151">
        <f t="shared" si="93"/>
        <v>3.34</v>
      </c>
      <c r="Q65" s="151">
        <f t="shared" si="93"/>
        <v>2.0699999999999998</v>
      </c>
      <c r="R65" s="151">
        <f t="shared" si="93"/>
        <v>1.2</v>
      </c>
      <c r="S65" s="229">
        <v>0.87</v>
      </c>
      <c r="T65" s="229">
        <v>0.77</v>
      </c>
      <c r="U65" s="229">
        <v>0.67</v>
      </c>
      <c r="V65" s="26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>
      <c r="A66" s="26"/>
      <c r="B66" s="227">
        <v>31</v>
      </c>
      <c r="C66" s="151">
        <f t="shared" ref="C66:I66" si="94">((B64-B66)*C74-(B74-B66)*C64)/((B64-B66)-(B74-B66))</f>
        <v>1436</v>
      </c>
      <c r="D66" s="151">
        <f t="shared" si="94"/>
        <v>960</v>
      </c>
      <c r="E66" s="24">
        <f t="shared" si="94"/>
        <v>752</v>
      </c>
      <c r="F66" s="151">
        <f t="shared" si="94"/>
        <v>568</v>
      </c>
      <c r="G66" s="151">
        <f t="shared" si="94"/>
        <v>386</v>
      </c>
      <c r="H66" s="151">
        <f t="shared" si="94"/>
        <v>213</v>
      </c>
      <c r="I66" s="24">
        <f t="shared" si="94"/>
        <v>132</v>
      </c>
      <c r="J66" s="4"/>
      <c r="K66" s="4"/>
      <c r="L66" s="227">
        <v>29</v>
      </c>
      <c r="M66" s="151">
        <f t="shared" ref="M66:R66" si="95">((L58-L66)*M68-(L68-L66)*M58)/((L58-L66)-(L68-L66))</f>
        <v>9.16</v>
      </c>
      <c r="N66" s="151">
        <f t="shared" si="95"/>
        <v>6.5</v>
      </c>
      <c r="O66" s="151">
        <f t="shared" si="95"/>
        <v>4.6400000000000006</v>
      </c>
      <c r="P66" s="151">
        <f t="shared" si="95"/>
        <v>3.3600000000000003</v>
      </c>
      <c r="Q66" s="151">
        <f t="shared" si="95"/>
        <v>2.08</v>
      </c>
      <c r="R66" s="151">
        <f t="shared" si="95"/>
        <v>1.2</v>
      </c>
      <c r="S66" s="229">
        <v>0.88</v>
      </c>
      <c r="T66" s="229">
        <v>0.78</v>
      </c>
      <c r="U66" s="229">
        <v>0.68</v>
      </c>
      <c r="V66" s="26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</row>
    <row r="67" spans="1:33" ht="15" customHeight="1">
      <c r="A67" s="26"/>
      <c r="B67" s="227">
        <f>(B66+B68)/2</f>
        <v>31.5</v>
      </c>
      <c r="C67" s="151">
        <f t="shared" ref="C67:I67" si="96">((B64-B67)*C74-(B74-B67)*C64)/((B64-B67)-(B74-B67))</f>
        <v>1444</v>
      </c>
      <c r="D67" s="151">
        <f t="shared" si="96"/>
        <v>965</v>
      </c>
      <c r="E67" s="24">
        <f t="shared" si="96"/>
        <v>758</v>
      </c>
      <c r="F67" s="151">
        <f t="shared" si="96"/>
        <v>572</v>
      </c>
      <c r="G67" s="151">
        <f t="shared" si="96"/>
        <v>389</v>
      </c>
      <c r="H67" s="151">
        <f t="shared" si="96"/>
        <v>214.5</v>
      </c>
      <c r="I67" s="24">
        <f t="shared" si="96"/>
        <v>133</v>
      </c>
      <c r="J67" s="4"/>
      <c r="K67" s="4"/>
      <c r="L67" s="227">
        <f>(L66+L68)/2</f>
        <v>29.5</v>
      </c>
      <c r="M67" s="151">
        <f t="shared" ref="M67:R67" si="97">((L58-L67)*M68-(L68-L67)*M58)/((L58-L67)-(L68-L67))</f>
        <v>9.23</v>
      </c>
      <c r="N67" s="151">
        <f t="shared" si="97"/>
        <v>6.5499999999999989</v>
      </c>
      <c r="O67" s="151">
        <f t="shared" si="97"/>
        <v>4.67</v>
      </c>
      <c r="P67" s="151">
        <f t="shared" si="97"/>
        <v>3.38</v>
      </c>
      <c r="Q67" s="151">
        <f t="shared" si="97"/>
        <v>2.09</v>
      </c>
      <c r="R67" s="151">
        <f t="shared" si="97"/>
        <v>1.2</v>
      </c>
      <c r="S67" s="229">
        <v>0.89</v>
      </c>
      <c r="T67" s="229">
        <v>0.79</v>
      </c>
      <c r="U67" s="229">
        <v>0.69</v>
      </c>
      <c r="V67" s="26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>
      <c r="A68" s="26"/>
      <c r="B68" s="227">
        <v>32</v>
      </c>
      <c r="C68" s="151">
        <f t="shared" ref="C68:I68" si="98">((B64-B68)*C74-(B74-B68)*C64)/((B64-B68)-(B74-B68))</f>
        <v>1452</v>
      </c>
      <c r="D68" s="151">
        <f t="shared" si="98"/>
        <v>970</v>
      </c>
      <c r="E68" s="24">
        <f t="shared" si="98"/>
        <v>764</v>
      </c>
      <c r="F68" s="151">
        <f t="shared" si="98"/>
        <v>576</v>
      </c>
      <c r="G68" s="151">
        <f t="shared" si="98"/>
        <v>392</v>
      </c>
      <c r="H68" s="151">
        <f t="shared" si="98"/>
        <v>216</v>
      </c>
      <c r="I68" s="24">
        <f t="shared" si="98"/>
        <v>134</v>
      </c>
      <c r="J68" s="4"/>
      <c r="K68" s="4"/>
      <c r="L68" s="228">
        <v>30</v>
      </c>
      <c r="M68" s="222">
        <v>9.3000000000000007</v>
      </c>
      <c r="N68" s="222">
        <v>6.6</v>
      </c>
      <c r="O68" s="223">
        <v>4.7</v>
      </c>
      <c r="P68" s="223">
        <v>3.4</v>
      </c>
      <c r="Q68" s="223">
        <v>2.1</v>
      </c>
      <c r="R68" s="223">
        <v>1.2</v>
      </c>
      <c r="S68" s="223">
        <v>0.9</v>
      </c>
      <c r="T68" s="223">
        <v>0.8</v>
      </c>
      <c r="U68" s="223">
        <v>0.7</v>
      </c>
      <c r="V68" s="26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</row>
    <row r="69" spans="1:33" ht="15" customHeight="1">
      <c r="A69" s="26"/>
      <c r="B69" s="227">
        <f>(B68+B70)/2</f>
        <v>32.5</v>
      </c>
      <c r="C69" s="151">
        <f t="shared" ref="C69:I69" si="99">((B64-B69)*C74-(B74-B69)*C64)/((B64-B69)-(B74-B69))</f>
        <v>1460</v>
      </c>
      <c r="D69" s="151">
        <f t="shared" si="99"/>
        <v>975</v>
      </c>
      <c r="E69" s="24">
        <f t="shared" si="99"/>
        <v>770</v>
      </c>
      <c r="F69" s="151">
        <f t="shared" si="99"/>
        <v>580</v>
      </c>
      <c r="G69" s="151">
        <f t="shared" si="99"/>
        <v>395</v>
      </c>
      <c r="H69" s="151">
        <f t="shared" si="99"/>
        <v>217.5</v>
      </c>
      <c r="I69" s="24">
        <f t="shared" si="99"/>
        <v>135</v>
      </c>
      <c r="J69" s="4"/>
      <c r="K69" s="4"/>
      <c r="L69" s="227">
        <f>(L68+L70)/2</f>
        <v>30.5</v>
      </c>
      <c r="M69" s="151">
        <f t="shared" ref="M69:S69" si="100">((L68-L69)*M78-(L78-L69)*M68)/((L68-L69)-(L78-L69))</f>
        <v>9.370000000000001</v>
      </c>
      <c r="N69" s="151">
        <f t="shared" si="100"/>
        <v>6.64</v>
      </c>
      <c r="O69" s="151">
        <f t="shared" si="100"/>
        <v>4.7300000000000004</v>
      </c>
      <c r="P69" s="151">
        <f t="shared" si="100"/>
        <v>3.42</v>
      </c>
      <c r="Q69" s="151">
        <f t="shared" si="100"/>
        <v>2.11</v>
      </c>
      <c r="R69" s="151">
        <f t="shared" si="100"/>
        <v>1.2099999999999997</v>
      </c>
      <c r="S69" s="151">
        <f t="shared" si="100"/>
        <v>0.90000000000000013</v>
      </c>
      <c r="T69" s="229">
        <v>0.8</v>
      </c>
      <c r="U69" s="229">
        <v>0.7</v>
      </c>
      <c r="V69" s="26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>
      <c r="A70" s="26"/>
      <c r="B70" s="227">
        <v>33</v>
      </c>
      <c r="C70" s="151">
        <f t="shared" ref="C70:I70" si="101">((B64-B70)*C74-(B74-B70)*C64)/((B64-B70)-(B74-B70))</f>
        <v>1468</v>
      </c>
      <c r="D70" s="151">
        <f t="shared" si="101"/>
        <v>980</v>
      </c>
      <c r="E70" s="24">
        <f t="shared" si="101"/>
        <v>776</v>
      </c>
      <c r="F70" s="151">
        <f t="shared" si="101"/>
        <v>584</v>
      </c>
      <c r="G70" s="151">
        <f t="shared" si="101"/>
        <v>398</v>
      </c>
      <c r="H70" s="151">
        <f t="shared" si="101"/>
        <v>219</v>
      </c>
      <c r="I70" s="24">
        <f t="shared" si="101"/>
        <v>136</v>
      </c>
      <c r="J70" s="4"/>
      <c r="K70" s="4"/>
      <c r="L70" s="227">
        <v>31</v>
      </c>
      <c r="M70" s="151">
        <f t="shared" ref="M70:S70" si="102">((L68-L70)*M78-(L78-L70)*M68)/((L68-L70)-(L78-L70))</f>
        <v>9.4400000000000013</v>
      </c>
      <c r="N70" s="151">
        <f t="shared" si="102"/>
        <v>6.68</v>
      </c>
      <c r="O70" s="151">
        <f t="shared" si="102"/>
        <v>4.76</v>
      </c>
      <c r="P70" s="151">
        <f t="shared" si="102"/>
        <v>3.44</v>
      </c>
      <c r="Q70" s="151">
        <f t="shared" si="102"/>
        <v>2.12</v>
      </c>
      <c r="R70" s="151">
        <f t="shared" si="102"/>
        <v>1.22</v>
      </c>
      <c r="S70" s="151">
        <f t="shared" si="102"/>
        <v>0.9</v>
      </c>
      <c r="T70" s="229">
        <v>0.8</v>
      </c>
      <c r="U70" s="229">
        <v>0.7</v>
      </c>
      <c r="V70" s="26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</row>
    <row r="71" spans="1:33" ht="15" customHeight="1">
      <c r="A71" s="26"/>
      <c r="B71" s="227">
        <f>(B70+B72)/2</f>
        <v>33.5</v>
      </c>
      <c r="C71" s="151">
        <f t="shared" ref="C71:I71" si="103">((B64-B71)*C74-(B74-B71)*C64)/((B64-B71)-(B74-B71))</f>
        <v>1476</v>
      </c>
      <c r="D71" s="151">
        <f t="shared" si="103"/>
        <v>985</v>
      </c>
      <c r="E71" s="24">
        <f t="shared" si="103"/>
        <v>782</v>
      </c>
      <c r="F71" s="151">
        <f t="shared" si="103"/>
        <v>588</v>
      </c>
      <c r="G71" s="151">
        <f t="shared" si="103"/>
        <v>401</v>
      </c>
      <c r="H71" s="151">
        <f t="shared" si="103"/>
        <v>220.5</v>
      </c>
      <c r="I71" s="24">
        <f t="shared" si="103"/>
        <v>137</v>
      </c>
      <c r="J71" s="4"/>
      <c r="K71" s="4"/>
      <c r="L71" s="227">
        <f>(L70+L72)/2</f>
        <v>31.5</v>
      </c>
      <c r="M71" s="151">
        <f t="shared" ref="M71:S71" si="104">((L68-L71)*M78-(L78-L71)*M68)/((L68-L71)-(L78-L71))</f>
        <v>9.5100000000000016</v>
      </c>
      <c r="N71" s="151">
        <f t="shared" si="104"/>
        <v>6.72</v>
      </c>
      <c r="O71" s="151">
        <f t="shared" si="104"/>
        <v>4.79</v>
      </c>
      <c r="P71" s="151">
        <f t="shared" si="104"/>
        <v>3.46</v>
      </c>
      <c r="Q71" s="151">
        <f t="shared" si="104"/>
        <v>2.13</v>
      </c>
      <c r="R71" s="151">
        <f t="shared" si="104"/>
        <v>1.2299999999999998</v>
      </c>
      <c r="S71" s="151">
        <f t="shared" si="104"/>
        <v>0.90000000000000013</v>
      </c>
      <c r="T71" s="229">
        <v>0.8</v>
      </c>
      <c r="U71" s="229">
        <v>0.7</v>
      </c>
      <c r="V71" s="26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>
      <c r="A72" s="26"/>
      <c r="B72" s="227">
        <v>34</v>
      </c>
      <c r="C72" s="151">
        <f t="shared" ref="C72:I72" si="105">((B64-B72)*C74-(B74-B72)*C64)/((B64-B72)-(B74-B72))</f>
        <v>1484</v>
      </c>
      <c r="D72" s="151">
        <f t="shared" si="105"/>
        <v>990</v>
      </c>
      <c r="E72" s="24">
        <f t="shared" si="105"/>
        <v>788</v>
      </c>
      <c r="F72" s="151">
        <f t="shared" si="105"/>
        <v>592</v>
      </c>
      <c r="G72" s="151">
        <f t="shared" si="105"/>
        <v>404</v>
      </c>
      <c r="H72" s="151">
        <f t="shared" si="105"/>
        <v>222</v>
      </c>
      <c r="I72" s="24">
        <f t="shared" si="105"/>
        <v>138</v>
      </c>
      <c r="J72" s="4"/>
      <c r="K72" s="4"/>
      <c r="L72" s="227">
        <v>32</v>
      </c>
      <c r="M72" s="151">
        <f t="shared" ref="M72:S72" si="106">((L68-L72)*M78-(L78-L72)*M68)/((L68-L72)-(L78-L72))</f>
        <v>9.5800000000000018</v>
      </c>
      <c r="N72" s="151">
        <f t="shared" si="106"/>
        <v>6.7600000000000007</v>
      </c>
      <c r="O72" s="151">
        <f t="shared" si="106"/>
        <v>4.82</v>
      </c>
      <c r="P72" s="151">
        <f t="shared" si="106"/>
        <v>3.48</v>
      </c>
      <c r="Q72" s="151">
        <f t="shared" si="106"/>
        <v>2.14</v>
      </c>
      <c r="R72" s="151">
        <f t="shared" si="106"/>
        <v>1.24</v>
      </c>
      <c r="S72" s="151">
        <f t="shared" si="106"/>
        <v>0.9</v>
      </c>
      <c r="T72" s="229">
        <v>0.8</v>
      </c>
      <c r="U72" s="229">
        <v>0.7</v>
      </c>
      <c r="V72" s="26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</row>
    <row r="73" spans="1:33" ht="15" customHeight="1">
      <c r="A73" s="26"/>
      <c r="B73" s="227">
        <f>(B72+B74)/2</f>
        <v>34.5</v>
      </c>
      <c r="C73" s="151">
        <f t="shared" ref="C73:I73" si="107">((B64-B73)*C74-(B74-B73)*C64)/((B64-B73)-(B74-B73))</f>
        <v>1492</v>
      </c>
      <c r="D73" s="151">
        <f t="shared" si="107"/>
        <v>995</v>
      </c>
      <c r="E73" s="24">
        <f t="shared" si="107"/>
        <v>794</v>
      </c>
      <c r="F73" s="151">
        <f t="shared" si="107"/>
        <v>596</v>
      </c>
      <c r="G73" s="151">
        <f t="shared" si="107"/>
        <v>407</v>
      </c>
      <c r="H73" s="151">
        <f t="shared" si="107"/>
        <v>223.5</v>
      </c>
      <c r="I73" s="24">
        <f t="shared" si="107"/>
        <v>139</v>
      </c>
      <c r="J73" s="4"/>
      <c r="K73" s="4"/>
      <c r="L73" s="227">
        <f>(L72+L74)/2</f>
        <v>32.5</v>
      </c>
      <c r="M73" s="151">
        <f t="shared" ref="M73:S73" si="108">((L68-L73)*M78-(L78-L73)*M68)/((L68-L73)-(L78-L73))</f>
        <v>9.65</v>
      </c>
      <c r="N73" s="151">
        <f t="shared" si="108"/>
        <v>6.7999999999999989</v>
      </c>
      <c r="O73" s="151">
        <f t="shared" si="108"/>
        <v>4.8499999999999996</v>
      </c>
      <c r="P73" s="151">
        <f t="shared" si="108"/>
        <v>3.5</v>
      </c>
      <c r="Q73" s="151">
        <f t="shared" si="108"/>
        <v>2.15</v>
      </c>
      <c r="R73" s="151">
        <f t="shared" si="108"/>
        <v>1.2499999999999998</v>
      </c>
      <c r="S73" s="151">
        <f t="shared" si="108"/>
        <v>0.9</v>
      </c>
      <c r="T73" s="229">
        <v>0.8</v>
      </c>
      <c r="U73" s="229">
        <v>0.7</v>
      </c>
      <c r="V73" s="26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>
      <c r="A74" s="26"/>
      <c r="B74" s="238">
        <v>35</v>
      </c>
      <c r="C74" s="239">
        <v>1500</v>
      </c>
      <c r="D74" s="240">
        <v>1000</v>
      </c>
      <c r="E74" s="240">
        <v>800</v>
      </c>
      <c r="F74" s="240">
        <v>600</v>
      </c>
      <c r="G74" s="240">
        <v>410</v>
      </c>
      <c r="H74" s="240">
        <v>225</v>
      </c>
      <c r="I74" s="240">
        <v>140</v>
      </c>
      <c r="J74" s="4"/>
      <c r="K74" s="4"/>
      <c r="L74" s="227">
        <v>33</v>
      </c>
      <c r="M74" s="151">
        <f t="shared" ref="M74:S74" si="109">((L68-L74)*M78-(L78-L74)*M68)/((L68-L74)-(L78-L74))</f>
        <v>9.7200000000000006</v>
      </c>
      <c r="N74" s="151">
        <f t="shared" si="109"/>
        <v>6.84</v>
      </c>
      <c r="O74" s="151">
        <f t="shared" si="109"/>
        <v>4.88</v>
      </c>
      <c r="P74" s="151">
        <f t="shared" si="109"/>
        <v>3.52</v>
      </c>
      <c r="Q74" s="151">
        <f t="shared" si="109"/>
        <v>2.16</v>
      </c>
      <c r="R74" s="151">
        <f t="shared" si="109"/>
        <v>1.26</v>
      </c>
      <c r="S74" s="151">
        <f t="shared" si="109"/>
        <v>0.9</v>
      </c>
      <c r="T74" s="229">
        <v>0.8</v>
      </c>
      <c r="U74" s="229">
        <v>0.7</v>
      </c>
      <c r="V74" s="26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</row>
    <row r="75" spans="1:33" ht="15" customHeight="1">
      <c r="A75" s="26"/>
      <c r="B75" s="26"/>
      <c r="C75" s="241"/>
      <c r="D75" s="241"/>
      <c r="E75" s="241"/>
      <c r="F75" s="241"/>
      <c r="G75" s="241"/>
      <c r="H75" s="241"/>
      <c r="I75" s="241"/>
      <c r="J75" s="4"/>
      <c r="K75" s="4"/>
      <c r="L75" s="227">
        <f>(L74+L76)/2</f>
        <v>33.5</v>
      </c>
      <c r="M75" s="151">
        <f t="shared" ref="M75:S75" si="110">((L68-L75)*M78-(L78-L75)*M68)/((L68-L75)-(L78-L75))</f>
        <v>9.7900000000000009</v>
      </c>
      <c r="N75" s="151">
        <f t="shared" si="110"/>
        <v>6.8800000000000008</v>
      </c>
      <c r="O75" s="151">
        <f t="shared" si="110"/>
        <v>4.910000000000001</v>
      </c>
      <c r="P75" s="151">
        <f t="shared" si="110"/>
        <v>3.5400000000000009</v>
      </c>
      <c r="Q75" s="151">
        <f t="shared" si="110"/>
        <v>2.1700000000000004</v>
      </c>
      <c r="R75" s="151">
        <f t="shared" si="110"/>
        <v>1.2700000000000002</v>
      </c>
      <c r="S75" s="151">
        <f t="shared" si="110"/>
        <v>0.90000000000000013</v>
      </c>
      <c r="T75" s="229">
        <v>0.8</v>
      </c>
      <c r="U75" s="229">
        <v>0.7</v>
      </c>
      <c r="V75" s="26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</row>
    <row r="76" spans="1:33" ht="15" customHeight="1">
      <c r="A76" s="26"/>
      <c r="B76" s="26"/>
      <c r="C76" s="241"/>
      <c r="D76" s="241"/>
      <c r="E76" s="241"/>
      <c r="F76" s="241"/>
      <c r="G76" s="241"/>
      <c r="H76" s="241"/>
      <c r="I76" s="241"/>
      <c r="J76" s="4"/>
      <c r="K76" s="4"/>
      <c r="L76" s="227">
        <v>34</v>
      </c>
      <c r="M76" s="151">
        <f t="shared" ref="M76:S76" si="111">((L68-L76)*M78-(L78-L76)*M68)/((L68-L76)-(L78-L76))</f>
        <v>9.86</v>
      </c>
      <c r="N76" s="151">
        <f t="shared" si="111"/>
        <v>6.92</v>
      </c>
      <c r="O76" s="151">
        <f t="shared" si="111"/>
        <v>4.9400000000000004</v>
      </c>
      <c r="P76" s="151">
        <f t="shared" si="111"/>
        <v>3.56</v>
      </c>
      <c r="Q76" s="151">
        <f t="shared" si="111"/>
        <v>2.1800000000000002</v>
      </c>
      <c r="R76" s="151">
        <f t="shared" si="111"/>
        <v>1.28</v>
      </c>
      <c r="S76" s="151">
        <f t="shared" si="111"/>
        <v>0.9</v>
      </c>
      <c r="T76" s="229">
        <v>0.8</v>
      </c>
      <c r="U76" s="229">
        <v>0.7</v>
      </c>
      <c r="V76" s="26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</row>
    <row r="77" spans="1:33" ht="15" customHeight="1">
      <c r="A77" s="26"/>
      <c r="B77" s="26"/>
      <c r="C77" s="241"/>
      <c r="D77" s="241"/>
      <c r="E77" s="241"/>
      <c r="F77" s="241"/>
      <c r="G77" s="241"/>
      <c r="H77" s="241"/>
      <c r="I77" s="241"/>
      <c r="J77" s="4"/>
      <c r="K77" s="4"/>
      <c r="L77" s="227">
        <f>(L76+L78)/2</f>
        <v>34.5</v>
      </c>
      <c r="M77" s="151">
        <f t="shared" ref="M77:S77" si="112">((L68-L77)*M78-(L78-L77)*M68)/((L68-L77)-(L78-L77))</f>
        <v>9.93</v>
      </c>
      <c r="N77" s="151">
        <f t="shared" si="112"/>
        <v>6.9599999999999991</v>
      </c>
      <c r="O77" s="151">
        <f t="shared" si="112"/>
        <v>4.97</v>
      </c>
      <c r="P77" s="151">
        <f t="shared" si="112"/>
        <v>3.58</v>
      </c>
      <c r="Q77" s="151">
        <f t="shared" si="112"/>
        <v>2.1900000000000004</v>
      </c>
      <c r="R77" s="151">
        <f t="shared" si="112"/>
        <v>1.2900000000000003</v>
      </c>
      <c r="S77" s="151">
        <f t="shared" si="112"/>
        <v>0.90000000000000013</v>
      </c>
      <c r="T77" s="229">
        <v>0.8</v>
      </c>
      <c r="U77" s="229">
        <v>0.7</v>
      </c>
      <c r="V77" s="26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</row>
    <row r="78" spans="1:33" ht="15" customHeight="1">
      <c r="A78" s="26"/>
      <c r="B78" s="26"/>
      <c r="C78" s="26"/>
      <c r="D78" s="26"/>
      <c r="E78" s="26"/>
      <c r="F78" s="26"/>
      <c r="G78" s="26"/>
      <c r="H78" s="26"/>
      <c r="I78" s="4"/>
      <c r="J78" s="4"/>
      <c r="K78" s="4"/>
      <c r="L78" s="238">
        <v>35</v>
      </c>
      <c r="M78" s="239">
        <v>10</v>
      </c>
      <c r="N78" s="239">
        <v>7</v>
      </c>
      <c r="O78" s="240">
        <v>5</v>
      </c>
      <c r="P78" s="240">
        <v>3.6</v>
      </c>
      <c r="Q78" s="240">
        <v>2.2000000000000002</v>
      </c>
      <c r="R78" s="240">
        <v>1.3</v>
      </c>
      <c r="S78" s="240">
        <v>0.9</v>
      </c>
      <c r="T78" s="240">
        <v>0.8</v>
      </c>
      <c r="U78" s="240">
        <v>0.7</v>
      </c>
      <c r="V78" s="26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</row>
    <row r="79" spans="1:33" ht="15" customHeight="1">
      <c r="A79" s="26"/>
      <c r="B79" s="26"/>
      <c r="C79" s="241"/>
      <c r="D79" s="241"/>
      <c r="E79" s="241"/>
      <c r="F79" s="241"/>
      <c r="G79" s="241"/>
      <c r="H79" s="241"/>
      <c r="I79" s="241"/>
      <c r="J79" s="4"/>
      <c r="K79" s="4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ht="15" customHeight="1">
      <c r="A80" s="26"/>
      <c r="B80" s="26"/>
      <c r="C80" s="26"/>
      <c r="D80" s="26"/>
      <c r="E80" s="207" t="s">
        <v>350</v>
      </c>
      <c r="F80" s="26"/>
      <c r="G80" s="26"/>
      <c r="H80" s="26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26"/>
      <c r="U80" s="26"/>
      <c r="V80" s="26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</row>
    <row r="81" spans="1:33" ht="15" customHeight="1">
      <c r="A81" s="26"/>
      <c r="B81" s="54"/>
      <c r="C81" s="76"/>
      <c r="D81" s="209"/>
      <c r="E81" s="26"/>
      <c r="F81" s="209"/>
      <c r="G81" s="209"/>
      <c r="H81" s="209"/>
      <c r="I81" s="210"/>
      <c r="J81" s="4"/>
      <c r="K81" s="4"/>
      <c r="L81" s="242" t="s">
        <v>351</v>
      </c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ht="15" customHeight="1">
      <c r="A82" s="26"/>
      <c r="B82" s="24" t="s">
        <v>311</v>
      </c>
      <c r="C82" s="83"/>
      <c r="D82" s="26"/>
      <c r="E82" s="26" t="s">
        <v>312</v>
      </c>
      <c r="F82" s="26"/>
      <c r="G82" s="26"/>
      <c r="H82" s="26"/>
      <c r="I82" s="151"/>
      <c r="J82" s="4"/>
      <c r="K82" s="4"/>
      <c r="L82" s="3" t="s">
        <v>24</v>
      </c>
      <c r="M82" s="29" t="s">
        <v>352</v>
      </c>
      <c r="N82" s="26"/>
      <c r="O82" s="26"/>
      <c r="P82" s="26"/>
      <c r="Q82" s="26"/>
      <c r="R82" s="26"/>
      <c r="S82" s="26"/>
      <c r="T82" s="26"/>
      <c r="U82" s="26"/>
      <c r="V82" s="26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</row>
    <row r="83" spans="1:33" ht="15" customHeight="1">
      <c r="A83" s="26"/>
      <c r="B83" s="24" t="s">
        <v>314</v>
      </c>
      <c r="C83" s="156"/>
      <c r="D83" s="211"/>
      <c r="E83" s="211" t="s">
        <v>353</v>
      </c>
      <c r="F83" s="211"/>
      <c r="G83" s="211"/>
      <c r="H83" s="211"/>
      <c r="I83" s="159"/>
      <c r="J83" s="4"/>
      <c r="K83" s="4"/>
      <c r="L83" s="3"/>
      <c r="M83" s="29" t="s">
        <v>354</v>
      </c>
      <c r="N83" s="26"/>
      <c r="O83" s="26"/>
      <c r="P83" s="26"/>
      <c r="Q83" s="26"/>
      <c r="R83" s="26"/>
      <c r="S83" s="26"/>
      <c r="T83" s="26"/>
      <c r="U83" s="26"/>
      <c r="V83" s="26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ht="15" customHeight="1">
      <c r="A84" s="26"/>
      <c r="B84" s="24" t="s">
        <v>318</v>
      </c>
      <c r="C84" s="108"/>
      <c r="D84" s="178"/>
      <c r="E84" s="178"/>
      <c r="F84" s="178"/>
      <c r="G84" s="178"/>
      <c r="H84" s="178"/>
      <c r="I84" s="193"/>
      <c r="J84" s="4"/>
      <c r="K84" s="4"/>
      <c r="L84" s="3" t="s">
        <v>170</v>
      </c>
      <c r="M84" s="29" t="s">
        <v>355</v>
      </c>
      <c r="N84" s="4"/>
      <c r="O84" s="4"/>
      <c r="P84" s="4"/>
      <c r="Q84" s="4"/>
      <c r="R84" s="4"/>
      <c r="S84" s="4"/>
      <c r="T84" s="26"/>
      <c r="U84" s="26"/>
      <c r="V84" s="26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</row>
    <row r="85" spans="1:33" ht="15" customHeight="1">
      <c r="A85" s="26"/>
      <c r="B85" s="24" t="s">
        <v>322</v>
      </c>
      <c r="C85" s="323"/>
      <c r="D85" s="323"/>
      <c r="E85" s="323"/>
      <c r="F85" s="323"/>
      <c r="G85" s="323"/>
      <c r="H85" s="323"/>
      <c r="I85" s="323"/>
      <c r="J85" s="4"/>
      <c r="K85" s="4"/>
      <c r="L85" s="3"/>
      <c r="M85" s="29" t="s">
        <v>356</v>
      </c>
      <c r="N85" s="4"/>
      <c r="O85" s="4"/>
      <c r="P85" s="4"/>
      <c r="Q85" s="4"/>
      <c r="R85" s="4"/>
      <c r="S85" s="4"/>
      <c r="T85" s="26"/>
      <c r="U85" s="26"/>
      <c r="V85" s="26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ht="15" customHeight="1">
      <c r="A86" s="26"/>
      <c r="B86" s="24" t="s">
        <v>328</v>
      </c>
      <c r="C86" s="322"/>
      <c r="D86" s="322"/>
      <c r="E86" s="322"/>
      <c r="F86" s="322"/>
      <c r="G86" s="322"/>
      <c r="H86" s="322"/>
      <c r="I86" s="322"/>
      <c r="J86" s="4"/>
      <c r="K86" s="4"/>
      <c r="L86" s="3" t="s">
        <v>174</v>
      </c>
      <c r="M86" s="29" t="s">
        <v>357</v>
      </c>
      <c r="N86" s="4"/>
      <c r="O86" s="4"/>
      <c r="P86" s="4"/>
      <c r="Q86" s="4"/>
      <c r="R86" s="4"/>
      <c r="S86" s="4"/>
      <c r="T86" s="26"/>
      <c r="U86" s="26"/>
      <c r="V86" s="26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</row>
    <row r="87" spans="1:33" ht="15" customHeight="1">
      <c r="A87" s="26"/>
      <c r="B87" s="24" t="s">
        <v>358</v>
      </c>
      <c r="C87" s="108"/>
      <c r="D87" s="178"/>
      <c r="E87" s="178"/>
      <c r="F87" s="178" t="s">
        <v>359</v>
      </c>
      <c r="G87" s="178"/>
      <c r="H87" s="178"/>
      <c r="I87" s="193"/>
      <c r="J87" s="4"/>
      <c r="K87" s="4"/>
      <c r="L87" s="3"/>
      <c r="M87" s="29" t="s">
        <v>360</v>
      </c>
      <c r="N87" s="4"/>
      <c r="O87" s="4"/>
      <c r="P87" s="4"/>
      <c r="Q87" s="4"/>
      <c r="R87" s="4"/>
      <c r="S87" s="4"/>
      <c r="T87" s="26"/>
      <c r="U87" s="26"/>
      <c r="V87" s="26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  <row r="88" spans="1:33" ht="15" customHeight="1">
      <c r="A88" s="26"/>
      <c r="B88" s="78"/>
      <c r="C88" s="219">
        <v>0</v>
      </c>
      <c r="D88" s="219">
        <v>0.1</v>
      </c>
      <c r="E88" s="219">
        <v>0.2</v>
      </c>
      <c r="F88" s="219">
        <v>0.3</v>
      </c>
      <c r="G88" s="219">
        <v>0.4</v>
      </c>
      <c r="H88" s="219">
        <v>0.5</v>
      </c>
      <c r="I88" s="219">
        <v>0.6</v>
      </c>
      <c r="J88" s="4"/>
      <c r="K88" s="4"/>
      <c r="L88" s="3" t="s">
        <v>179</v>
      </c>
      <c r="M88" s="29" t="s">
        <v>361</v>
      </c>
      <c r="N88" s="4"/>
      <c r="O88" s="4"/>
      <c r="P88" s="4"/>
      <c r="Q88" s="4"/>
      <c r="R88" s="4"/>
      <c r="S88" s="4"/>
      <c r="T88" s="26"/>
      <c r="U88" s="26"/>
      <c r="V88" s="26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</row>
    <row r="89" spans="1:33" ht="15" customHeight="1">
      <c r="A89" s="26"/>
      <c r="B89" s="221">
        <v>3</v>
      </c>
      <c r="C89" s="222">
        <v>750</v>
      </c>
      <c r="D89" s="223">
        <v>400</v>
      </c>
      <c r="E89" s="223">
        <v>300</v>
      </c>
      <c r="F89" s="223">
        <v>200</v>
      </c>
      <c r="G89" s="223">
        <v>120</v>
      </c>
      <c r="H89" s="223">
        <v>110</v>
      </c>
      <c r="I89" s="223">
        <v>60</v>
      </c>
      <c r="J89" s="4"/>
      <c r="K89" s="4"/>
      <c r="L89" s="3"/>
      <c r="M89" s="29" t="s">
        <v>362</v>
      </c>
      <c r="N89" s="4"/>
      <c r="O89" s="4"/>
      <c r="P89" s="4"/>
      <c r="Q89" s="4"/>
      <c r="R89" s="4"/>
      <c r="S89" s="4"/>
      <c r="T89" s="26"/>
      <c r="U89" s="26"/>
      <c r="V89" s="26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</row>
    <row r="90" spans="1:33" ht="15" customHeight="1">
      <c r="A90" s="26"/>
      <c r="B90" s="227">
        <f t="shared" ref="B90:I90" si="113">(B89+B91)/2</f>
        <v>3.5</v>
      </c>
      <c r="C90" s="151">
        <f t="shared" si="113"/>
        <v>790</v>
      </c>
      <c r="D90" s="151">
        <f t="shared" si="113"/>
        <v>455</v>
      </c>
      <c r="E90" s="151">
        <f t="shared" si="113"/>
        <v>340</v>
      </c>
      <c r="F90" s="151">
        <f t="shared" si="113"/>
        <v>225</v>
      </c>
      <c r="G90" s="151">
        <f t="shared" si="113"/>
        <v>140</v>
      </c>
      <c r="H90" s="151">
        <f t="shared" si="113"/>
        <v>117.5</v>
      </c>
      <c r="I90" s="151">
        <f t="shared" si="113"/>
        <v>65</v>
      </c>
      <c r="J90" s="4"/>
      <c r="K90" s="4"/>
      <c r="L90" s="4"/>
      <c r="M90" s="4"/>
      <c r="N90" s="4"/>
      <c r="O90" s="4"/>
      <c r="P90" s="4"/>
      <c r="Q90" s="4"/>
      <c r="R90" s="4"/>
      <c r="S90" s="4"/>
      <c r="T90" s="26"/>
      <c r="U90" s="26"/>
      <c r="V90" s="26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</row>
    <row r="91" spans="1:33" ht="15" customHeight="1">
      <c r="A91" s="26"/>
      <c r="B91" s="228">
        <v>4</v>
      </c>
      <c r="C91" s="222">
        <v>830</v>
      </c>
      <c r="D91" s="223">
        <v>510</v>
      </c>
      <c r="E91" s="223">
        <v>380</v>
      </c>
      <c r="F91" s="223">
        <v>250</v>
      </c>
      <c r="G91" s="223">
        <v>160</v>
      </c>
      <c r="H91" s="223">
        <v>125</v>
      </c>
      <c r="I91" s="223">
        <v>70</v>
      </c>
      <c r="J91" s="4"/>
      <c r="K91" s="4"/>
      <c r="L91" s="242" t="s">
        <v>363</v>
      </c>
      <c r="M91" s="4"/>
      <c r="N91" s="26"/>
      <c r="O91" s="26"/>
      <c r="P91" s="26"/>
      <c r="Q91" s="26"/>
      <c r="R91" s="26"/>
      <c r="S91" s="26"/>
      <c r="T91" s="4"/>
      <c r="U91" s="4"/>
      <c r="V91" s="26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</row>
    <row r="92" spans="1:33" ht="15" customHeight="1">
      <c r="A92" s="26"/>
      <c r="B92" s="227">
        <f t="shared" ref="B92:I92" si="114">(B91+B93)/2</f>
        <v>4.5</v>
      </c>
      <c r="C92" s="151">
        <f t="shared" si="114"/>
        <v>855</v>
      </c>
      <c r="D92" s="151">
        <f t="shared" si="114"/>
        <v>565</v>
      </c>
      <c r="E92" s="151">
        <f t="shared" si="114"/>
        <v>390</v>
      </c>
      <c r="F92" s="151">
        <f t="shared" si="114"/>
        <v>265</v>
      </c>
      <c r="G92" s="151">
        <f t="shared" si="114"/>
        <v>180</v>
      </c>
      <c r="H92" s="151">
        <f t="shared" si="114"/>
        <v>127.5</v>
      </c>
      <c r="I92" s="151">
        <f t="shared" si="114"/>
        <v>75</v>
      </c>
      <c r="J92" s="4"/>
      <c r="K92" s="4"/>
      <c r="L92" s="3" t="s">
        <v>170</v>
      </c>
      <c r="M92" s="29" t="s">
        <v>364</v>
      </c>
      <c r="N92" s="26"/>
      <c r="O92" s="26"/>
      <c r="P92" s="26"/>
      <c r="Q92" s="26"/>
      <c r="R92" s="26"/>
      <c r="S92" s="26"/>
      <c r="T92" s="4"/>
      <c r="U92" s="4"/>
      <c r="V92" s="243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</row>
    <row r="93" spans="1:33" ht="15" customHeight="1">
      <c r="A93" s="26"/>
      <c r="B93" s="228">
        <v>5</v>
      </c>
      <c r="C93" s="222">
        <v>880</v>
      </c>
      <c r="D93" s="223">
        <v>620</v>
      </c>
      <c r="E93" s="223">
        <v>400</v>
      </c>
      <c r="F93" s="223">
        <v>280</v>
      </c>
      <c r="G93" s="223">
        <v>200</v>
      </c>
      <c r="H93" s="223">
        <v>130</v>
      </c>
      <c r="I93" s="223">
        <v>80</v>
      </c>
      <c r="J93" s="4"/>
      <c r="K93" s="4"/>
      <c r="L93" s="3"/>
      <c r="M93" s="29" t="s">
        <v>365</v>
      </c>
      <c r="N93" s="26"/>
      <c r="O93" s="26"/>
      <c r="P93" s="26"/>
      <c r="Q93" s="26"/>
      <c r="R93" s="26"/>
      <c r="S93" s="26"/>
      <c r="T93" s="4"/>
      <c r="U93" s="4"/>
      <c r="V93" s="243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</row>
    <row r="94" spans="1:33" ht="15" customHeight="1">
      <c r="A94" s="26"/>
      <c r="B94" s="227">
        <f>(B93+B95)/2</f>
        <v>5.5</v>
      </c>
      <c r="C94" s="151">
        <f t="shared" ref="C94:I94" si="115">((B93-B94)*C97-(B97-B94)*C93)/((B93-B94)-(B97-B94))</f>
        <v>902.5</v>
      </c>
      <c r="D94" s="151">
        <f t="shared" si="115"/>
        <v>637.5</v>
      </c>
      <c r="E94" s="151">
        <f t="shared" si="115"/>
        <v>407.5</v>
      </c>
      <c r="F94" s="151">
        <f t="shared" si="115"/>
        <v>292.5</v>
      </c>
      <c r="G94" s="151">
        <f t="shared" si="115"/>
        <v>205</v>
      </c>
      <c r="H94" s="151">
        <f t="shared" si="115"/>
        <v>132.5</v>
      </c>
      <c r="I94" s="151">
        <f t="shared" si="115"/>
        <v>81.25</v>
      </c>
      <c r="J94" s="4"/>
      <c r="K94" s="4"/>
      <c r="L94" s="3"/>
      <c r="M94" s="29" t="s">
        <v>366</v>
      </c>
      <c r="N94" s="26"/>
      <c r="O94" s="26"/>
      <c r="P94" s="26"/>
      <c r="Q94" s="26"/>
      <c r="R94" s="26"/>
      <c r="S94" s="26"/>
      <c r="T94" s="4"/>
      <c r="U94" s="4"/>
      <c r="V94" s="24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</row>
    <row r="95" spans="1:33" ht="15" customHeight="1">
      <c r="A95" s="26"/>
      <c r="B95" s="227">
        <v>6</v>
      </c>
      <c r="C95" s="151">
        <f t="shared" ref="C95:I95" si="116">((B93-B95)*C97-(B97-B95)*C93)/((B93-B95)-(B97-B95))</f>
        <v>925</v>
      </c>
      <c r="D95" s="151">
        <f t="shared" si="116"/>
        <v>655</v>
      </c>
      <c r="E95" s="151">
        <f t="shared" si="116"/>
        <v>415</v>
      </c>
      <c r="F95" s="151">
        <f t="shared" si="116"/>
        <v>305</v>
      </c>
      <c r="G95" s="151">
        <f t="shared" si="116"/>
        <v>210</v>
      </c>
      <c r="H95" s="151">
        <f t="shared" si="116"/>
        <v>135</v>
      </c>
      <c r="I95" s="151">
        <f t="shared" si="116"/>
        <v>82.5</v>
      </c>
      <c r="J95" s="4"/>
      <c r="K95" s="4"/>
      <c r="L95" s="3"/>
      <c r="M95" s="29" t="s">
        <v>367</v>
      </c>
      <c r="N95" s="26"/>
      <c r="O95" s="26"/>
      <c r="P95" s="26"/>
      <c r="Q95" s="26"/>
      <c r="R95" s="26"/>
      <c r="S95" s="26"/>
      <c r="T95" s="4"/>
      <c r="U95" s="4"/>
      <c r="V95" s="24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</row>
    <row r="96" spans="1:33" ht="15" customHeight="1">
      <c r="A96" s="26"/>
      <c r="B96" s="227">
        <f>(B95+B97)/2</f>
        <v>6.5</v>
      </c>
      <c r="C96" s="151">
        <f t="shared" ref="C96:I96" si="117">((B93-B96)*C97-(B97-B96)*C93)/((B93-B96)-(B97-B96))</f>
        <v>947.5</v>
      </c>
      <c r="D96" s="151">
        <f t="shared" si="117"/>
        <v>672.5</v>
      </c>
      <c r="E96" s="151">
        <f t="shared" si="117"/>
        <v>422.5</v>
      </c>
      <c r="F96" s="151">
        <f t="shared" si="117"/>
        <v>317.5</v>
      </c>
      <c r="G96" s="151">
        <f t="shared" si="117"/>
        <v>215</v>
      </c>
      <c r="H96" s="151">
        <f t="shared" si="117"/>
        <v>137.5</v>
      </c>
      <c r="I96" s="151">
        <f t="shared" si="117"/>
        <v>83.75</v>
      </c>
      <c r="J96" s="4"/>
      <c r="K96" s="4"/>
      <c r="L96" s="3"/>
      <c r="M96" s="29" t="s">
        <v>368</v>
      </c>
      <c r="N96" s="26"/>
      <c r="O96" s="26"/>
      <c r="P96" s="26"/>
      <c r="Q96" s="26"/>
      <c r="R96" s="26"/>
      <c r="S96" s="26"/>
      <c r="T96" s="4"/>
      <c r="U96" s="4"/>
      <c r="V96" s="24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</row>
    <row r="97" spans="1:33" ht="15" customHeight="1">
      <c r="A97" s="26"/>
      <c r="B97" s="228">
        <v>7</v>
      </c>
      <c r="C97" s="222">
        <v>970</v>
      </c>
      <c r="D97" s="223">
        <v>690</v>
      </c>
      <c r="E97" s="223">
        <v>430</v>
      </c>
      <c r="F97" s="223">
        <v>330</v>
      </c>
      <c r="G97" s="223">
        <v>220</v>
      </c>
      <c r="H97" s="223">
        <v>140</v>
      </c>
      <c r="I97" s="223">
        <v>85</v>
      </c>
      <c r="J97" s="4"/>
      <c r="K97" s="4"/>
      <c r="L97" s="3"/>
      <c r="M97" s="29" t="s">
        <v>369</v>
      </c>
      <c r="N97" s="26"/>
      <c r="O97" s="26"/>
      <c r="P97" s="26"/>
      <c r="Q97" s="26"/>
      <c r="R97" s="26"/>
      <c r="S97" s="26"/>
      <c r="T97" s="4"/>
      <c r="U97" s="4"/>
      <c r="V97" s="26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</row>
    <row r="98" spans="1:33" ht="15" customHeight="1">
      <c r="A98" s="26"/>
      <c r="B98" s="227">
        <f>(B97+B99)/2</f>
        <v>7.5</v>
      </c>
      <c r="C98" s="151">
        <f t="shared" ref="C98:I98" si="118">((B97-B98)*C103-(B103-B98)*C97)/((B97-B98)-(B103-B98))</f>
        <v>983.33333333333337</v>
      </c>
      <c r="D98" s="151">
        <f t="shared" si="118"/>
        <v>696.66666666666663</v>
      </c>
      <c r="E98" s="151">
        <f t="shared" si="118"/>
        <v>441.66666666666663</v>
      </c>
      <c r="F98" s="151">
        <f t="shared" si="118"/>
        <v>333.33333333333331</v>
      </c>
      <c r="G98" s="151">
        <f t="shared" si="118"/>
        <v>223.33333333333331</v>
      </c>
      <c r="H98" s="151">
        <f t="shared" si="118"/>
        <v>141.66666666666666</v>
      </c>
      <c r="I98" s="151">
        <f t="shared" si="118"/>
        <v>85.833333333333329</v>
      </c>
      <c r="J98" s="4"/>
      <c r="K98" s="4"/>
      <c r="L98" s="3"/>
      <c r="M98" s="29" t="s">
        <v>370</v>
      </c>
      <c r="N98" s="26"/>
      <c r="O98" s="26"/>
      <c r="P98" s="26"/>
      <c r="Q98" s="26"/>
      <c r="R98" s="26"/>
      <c r="S98" s="26"/>
      <c r="T98" s="4"/>
      <c r="U98" s="4"/>
      <c r="V98" s="26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</row>
    <row r="99" spans="1:33" ht="15" customHeight="1">
      <c r="A99" s="26"/>
      <c r="B99" s="227">
        <v>8</v>
      </c>
      <c r="C99" s="151">
        <f t="shared" ref="C99:I99" si="119">((B97-B99)*C103-(B103-B99)*C97)/((B97-B99)-(B103-B99))</f>
        <v>996.66666666666663</v>
      </c>
      <c r="D99" s="151">
        <f t="shared" si="119"/>
        <v>703.33333333333337</v>
      </c>
      <c r="E99" s="151">
        <f t="shared" si="119"/>
        <v>453.33333333333337</v>
      </c>
      <c r="F99" s="151">
        <f t="shared" si="119"/>
        <v>336.66666666666669</v>
      </c>
      <c r="G99" s="151">
        <f t="shared" si="119"/>
        <v>226.66666666666669</v>
      </c>
      <c r="H99" s="151">
        <f t="shared" si="119"/>
        <v>143.33333333333334</v>
      </c>
      <c r="I99" s="151">
        <f t="shared" si="119"/>
        <v>86.666666666666671</v>
      </c>
      <c r="J99" s="4"/>
      <c r="K99" s="4"/>
      <c r="L99" s="3"/>
      <c r="M99" s="29" t="s">
        <v>371</v>
      </c>
      <c r="N99" s="26"/>
      <c r="O99" s="26"/>
      <c r="P99" s="26"/>
      <c r="Q99" s="26"/>
      <c r="R99" s="26"/>
      <c r="S99" s="26"/>
      <c r="T99" s="4"/>
      <c r="U99" s="4"/>
      <c r="V99" s="26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</row>
    <row r="100" spans="1:33" ht="15" customHeight="1">
      <c r="A100" s="26"/>
      <c r="B100" s="227">
        <f>(B99+B101)/2</f>
        <v>8.5</v>
      </c>
      <c r="C100" s="151">
        <f t="shared" ref="C100:I100" si="120">((B97-B100)*C103-(B103-B100)*C97)/((B97-B100)-(B103-B100))</f>
        <v>1010</v>
      </c>
      <c r="D100" s="151">
        <f t="shared" si="120"/>
        <v>710</v>
      </c>
      <c r="E100" s="151">
        <f t="shared" si="120"/>
        <v>465</v>
      </c>
      <c r="F100" s="151">
        <f t="shared" si="120"/>
        <v>340</v>
      </c>
      <c r="G100" s="151">
        <f t="shared" si="120"/>
        <v>230</v>
      </c>
      <c r="H100" s="151">
        <f t="shared" si="120"/>
        <v>145</v>
      </c>
      <c r="I100" s="151">
        <f t="shared" si="120"/>
        <v>87.5</v>
      </c>
      <c r="J100" s="4"/>
      <c r="K100" s="4"/>
      <c r="L100" s="3"/>
      <c r="M100" s="29" t="s">
        <v>372</v>
      </c>
      <c r="N100" s="26"/>
      <c r="O100" s="26"/>
      <c r="P100" s="26"/>
      <c r="Q100" s="26"/>
      <c r="R100" s="26"/>
      <c r="S100" s="26"/>
      <c r="T100" s="4"/>
      <c r="U100" s="4"/>
      <c r="V100" s="26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</row>
    <row r="101" spans="1:33" ht="15" customHeight="1">
      <c r="A101" s="26"/>
      <c r="B101" s="227">
        <v>9</v>
      </c>
      <c r="C101" s="151">
        <f t="shared" ref="C101:I101" si="121">((B97-B101)*C103-(B103-B101)*C97)/((B97-B101)-(B103-B101))</f>
        <v>1023.3333333333334</v>
      </c>
      <c r="D101" s="151">
        <f t="shared" si="121"/>
        <v>716.66666666666663</v>
      </c>
      <c r="E101" s="151">
        <f t="shared" si="121"/>
        <v>476.66666666666663</v>
      </c>
      <c r="F101" s="151">
        <f t="shared" si="121"/>
        <v>343.33333333333331</v>
      </c>
      <c r="G101" s="151">
        <f t="shared" si="121"/>
        <v>233.33333333333331</v>
      </c>
      <c r="H101" s="151">
        <f t="shared" si="121"/>
        <v>146.66666666666666</v>
      </c>
      <c r="I101" s="151">
        <f t="shared" si="121"/>
        <v>88.333333333333329</v>
      </c>
      <c r="J101" s="4"/>
      <c r="K101" s="4"/>
      <c r="L101" s="3"/>
      <c r="M101" s="29" t="s">
        <v>373</v>
      </c>
      <c r="N101" s="26"/>
      <c r="O101" s="26"/>
      <c r="P101" s="26"/>
      <c r="Q101" s="26"/>
      <c r="R101" s="26"/>
      <c r="S101" s="26"/>
      <c r="T101" s="4"/>
      <c r="U101" s="4"/>
      <c r="V101" s="24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</row>
    <row r="102" spans="1:33" ht="15" customHeight="1">
      <c r="A102" s="26"/>
      <c r="B102" s="227">
        <f>(B101+B103)/2</f>
        <v>9.5</v>
      </c>
      <c r="C102" s="151">
        <f t="shared" ref="C102:I102" si="122">((B97-B102)*C103-(B103-B102)*C97)/((B97-B102)-(B103-B102))</f>
        <v>1036.6666666666667</v>
      </c>
      <c r="D102" s="151">
        <f t="shared" si="122"/>
        <v>723.33333333333337</v>
      </c>
      <c r="E102" s="151">
        <f t="shared" si="122"/>
        <v>488.33333333333337</v>
      </c>
      <c r="F102" s="151">
        <f t="shared" si="122"/>
        <v>346.66666666666663</v>
      </c>
      <c r="G102" s="151">
        <f t="shared" si="122"/>
        <v>236.6666666666666</v>
      </c>
      <c r="H102" s="151">
        <f t="shared" si="122"/>
        <v>148.33333333333331</v>
      </c>
      <c r="I102" s="151">
        <f t="shared" si="122"/>
        <v>89.166666666666657</v>
      </c>
      <c r="J102" s="4"/>
      <c r="K102" s="4"/>
      <c r="L102" s="3"/>
      <c r="M102" s="29" t="s">
        <v>374</v>
      </c>
      <c r="N102" s="26"/>
      <c r="O102" s="26"/>
      <c r="P102" s="26"/>
      <c r="Q102" s="26"/>
      <c r="R102" s="26"/>
      <c r="S102" s="26"/>
      <c r="T102" s="4"/>
      <c r="U102" s="4"/>
      <c r="V102" s="24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</row>
    <row r="103" spans="1:33" ht="15" customHeight="1">
      <c r="A103" s="26"/>
      <c r="B103" s="228">
        <v>10</v>
      </c>
      <c r="C103" s="222">
        <v>1050</v>
      </c>
      <c r="D103" s="223">
        <v>730</v>
      </c>
      <c r="E103" s="223">
        <v>500</v>
      </c>
      <c r="F103" s="223">
        <v>350</v>
      </c>
      <c r="G103" s="223">
        <v>240</v>
      </c>
      <c r="H103" s="223">
        <v>150</v>
      </c>
      <c r="I103" s="223">
        <v>90</v>
      </c>
      <c r="J103" s="4"/>
      <c r="K103" s="4"/>
      <c r="L103" s="3"/>
      <c r="M103" s="29" t="s">
        <v>375</v>
      </c>
      <c r="N103" s="26"/>
      <c r="O103" s="26"/>
      <c r="P103" s="26"/>
      <c r="Q103" s="26"/>
      <c r="R103" s="26"/>
      <c r="S103" s="26"/>
      <c r="T103" s="4"/>
      <c r="U103" s="4"/>
      <c r="V103" s="24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</row>
    <row r="104" spans="1:33" ht="15" customHeight="1">
      <c r="A104" s="26"/>
      <c r="B104" s="227">
        <f>(B103+B105)/2</f>
        <v>10.5</v>
      </c>
      <c r="C104" s="151">
        <f t="shared" ref="C104:I104" si="123">((B103-B104)*C113-(B113-B104)*C103)/((B103-B104)-(B113-B104))</f>
        <v>1062</v>
      </c>
      <c r="D104" s="151">
        <f t="shared" si="123"/>
        <v>732</v>
      </c>
      <c r="E104" s="151">
        <f t="shared" si="123"/>
        <v>506</v>
      </c>
      <c r="F104" s="151">
        <f t="shared" si="123"/>
        <v>355</v>
      </c>
      <c r="G104" s="151">
        <f t="shared" si="123"/>
        <v>245</v>
      </c>
      <c r="H104" s="151">
        <f t="shared" si="123"/>
        <v>151.5</v>
      </c>
      <c r="I104" s="151">
        <f t="shared" si="123"/>
        <v>91</v>
      </c>
      <c r="J104" s="4"/>
      <c r="K104" s="4"/>
      <c r="L104" s="3" t="s">
        <v>174</v>
      </c>
      <c r="M104" s="29" t="s">
        <v>376</v>
      </c>
      <c r="N104" s="26"/>
      <c r="O104" s="26"/>
      <c r="P104" s="26"/>
      <c r="Q104" s="26"/>
      <c r="R104" s="26"/>
      <c r="S104" s="26"/>
      <c r="T104" s="4"/>
      <c r="U104" s="4"/>
      <c r="V104" s="24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</row>
    <row r="105" spans="1:33" ht="15" customHeight="1">
      <c r="A105" s="26"/>
      <c r="B105" s="227">
        <v>11</v>
      </c>
      <c r="C105" s="151">
        <f t="shared" ref="C105:I105" si="124">((B103-B105)*C113-(B113-B105)*C103)/((B103-B105)-(B113-B105))</f>
        <v>1074</v>
      </c>
      <c r="D105" s="151">
        <f t="shared" si="124"/>
        <v>734</v>
      </c>
      <c r="E105" s="151">
        <f t="shared" si="124"/>
        <v>512</v>
      </c>
      <c r="F105" s="151">
        <f t="shared" si="124"/>
        <v>360</v>
      </c>
      <c r="G105" s="151">
        <f t="shared" si="124"/>
        <v>250</v>
      </c>
      <c r="H105" s="151">
        <f t="shared" si="124"/>
        <v>153</v>
      </c>
      <c r="I105" s="151">
        <f t="shared" si="124"/>
        <v>92</v>
      </c>
      <c r="J105" s="4"/>
      <c r="K105" s="4"/>
      <c r="L105" s="3"/>
      <c r="M105" s="29" t="s">
        <v>377</v>
      </c>
      <c r="N105" s="26"/>
      <c r="O105" s="26"/>
      <c r="P105" s="26"/>
      <c r="Q105" s="26"/>
      <c r="R105" s="26"/>
      <c r="S105" s="26"/>
      <c r="T105" s="4"/>
      <c r="U105" s="4"/>
      <c r="V105" s="24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</row>
    <row r="106" spans="1:33" ht="15" customHeight="1">
      <c r="A106" s="26"/>
      <c r="B106" s="227">
        <f>(B105+B107)/2</f>
        <v>11.5</v>
      </c>
      <c r="C106" s="151">
        <f t="shared" ref="C106:I106" si="125">((B103-B106)*C113-(B113-B106)*C103)/((B103-B106)-(B113-B106))</f>
        <v>1086</v>
      </c>
      <c r="D106" s="151">
        <f t="shared" si="125"/>
        <v>736</v>
      </c>
      <c r="E106" s="151">
        <f t="shared" si="125"/>
        <v>518</v>
      </c>
      <c r="F106" s="151">
        <f t="shared" si="125"/>
        <v>365</v>
      </c>
      <c r="G106" s="151">
        <f t="shared" si="125"/>
        <v>255</v>
      </c>
      <c r="H106" s="151">
        <f t="shared" si="125"/>
        <v>154.5</v>
      </c>
      <c r="I106" s="151">
        <f t="shared" si="125"/>
        <v>93</v>
      </c>
      <c r="J106" s="4"/>
      <c r="K106" s="4"/>
      <c r="L106" s="3" t="s">
        <v>179</v>
      </c>
      <c r="M106" s="29" t="s">
        <v>378</v>
      </c>
      <c r="N106" s="26"/>
      <c r="O106" s="26"/>
      <c r="P106" s="26"/>
      <c r="Q106" s="26"/>
      <c r="R106" s="26"/>
      <c r="S106" s="26"/>
      <c r="T106" s="4"/>
      <c r="U106" s="4"/>
      <c r="V106" s="24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</row>
    <row r="107" spans="1:33" ht="15" customHeight="1">
      <c r="A107" s="26"/>
      <c r="B107" s="227">
        <v>12</v>
      </c>
      <c r="C107" s="151">
        <f t="shared" ref="C107:I107" si="126">((B103-B107)*C113-(B113-B107)*C103)/((B103-B107)-(B113-B107))</f>
        <v>1098</v>
      </c>
      <c r="D107" s="151">
        <f t="shared" si="126"/>
        <v>738</v>
      </c>
      <c r="E107" s="151">
        <f t="shared" si="126"/>
        <v>524</v>
      </c>
      <c r="F107" s="151">
        <f t="shared" si="126"/>
        <v>370</v>
      </c>
      <c r="G107" s="151">
        <f t="shared" si="126"/>
        <v>260</v>
      </c>
      <c r="H107" s="151">
        <f t="shared" si="126"/>
        <v>156</v>
      </c>
      <c r="I107" s="151">
        <f t="shared" si="126"/>
        <v>94</v>
      </c>
      <c r="J107" s="4"/>
      <c r="K107" s="4"/>
      <c r="L107" s="3"/>
      <c r="M107" s="29" t="s">
        <v>379</v>
      </c>
      <c r="N107" s="26"/>
      <c r="O107" s="26"/>
      <c r="P107" s="26"/>
      <c r="Q107" s="26"/>
      <c r="R107" s="26"/>
      <c r="S107" s="26"/>
      <c r="T107" s="4"/>
      <c r="U107" s="4"/>
      <c r="V107" s="26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</row>
    <row r="108" spans="1:33" ht="15" customHeight="1">
      <c r="A108" s="26"/>
      <c r="B108" s="227">
        <f>(B107+B109)/2</f>
        <v>12.5</v>
      </c>
      <c r="C108" s="151">
        <f t="shared" ref="C108:I108" si="127">((B103-B108)*C113-(B113-B108)*C103)/((B103-B108)-(B113-B108))</f>
        <v>1110</v>
      </c>
      <c r="D108" s="151">
        <f t="shared" si="127"/>
        <v>740</v>
      </c>
      <c r="E108" s="151">
        <f t="shared" si="127"/>
        <v>530</v>
      </c>
      <c r="F108" s="151">
        <f t="shared" si="127"/>
        <v>375</v>
      </c>
      <c r="G108" s="151">
        <f t="shared" si="127"/>
        <v>265</v>
      </c>
      <c r="H108" s="151">
        <f t="shared" si="127"/>
        <v>157.5</v>
      </c>
      <c r="I108" s="151">
        <f t="shared" si="127"/>
        <v>95</v>
      </c>
      <c r="J108" s="4"/>
      <c r="K108" s="4"/>
      <c r="L108" s="3"/>
      <c r="M108" s="29" t="s">
        <v>380</v>
      </c>
      <c r="N108" s="26"/>
      <c r="O108" s="26"/>
      <c r="P108" s="26"/>
      <c r="Q108" s="26"/>
      <c r="R108" s="26"/>
      <c r="S108" s="26"/>
      <c r="T108" s="4"/>
      <c r="U108" s="4"/>
      <c r="V108" s="26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</row>
    <row r="109" spans="1:33" ht="15" customHeight="1">
      <c r="A109" s="26"/>
      <c r="B109" s="227">
        <v>13</v>
      </c>
      <c r="C109" s="151">
        <f t="shared" ref="C109:I109" si="128">((B103-B109)*C113-(B113-B109)*C103)/((B103-B109)-(B113-B109))</f>
        <v>1122</v>
      </c>
      <c r="D109" s="151">
        <f t="shared" si="128"/>
        <v>742</v>
      </c>
      <c r="E109" s="151">
        <f t="shared" si="128"/>
        <v>536</v>
      </c>
      <c r="F109" s="151">
        <f t="shared" si="128"/>
        <v>380</v>
      </c>
      <c r="G109" s="151">
        <f t="shared" si="128"/>
        <v>270</v>
      </c>
      <c r="H109" s="151">
        <f t="shared" si="128"/>
        <v>159</v>
      </c>
      <c r="I109" s="151">
        <f t="shared" si="128"/>
        <v>96</v>
      </c>
      <c r="J109" s="4"/>
      <c r="K109" s="4"/>
      <c r="L109" s="3"/>
      <c r="M109" s="29" t="s">
        <v>381</v>
      </c>
      <c r="N109" s="26"/>
      <c r="O109" s="26"/>
      <c r="P109" s="26"/>
      <c r="Q109" s="26"/>
      <c r="R109" s="26"/>
      <c r="S109" s="26"/>
      <c r="T109" s="4"/>
      <c r="U109" s="4"/>
      <c r="V109" s="26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</row>
    <row r="110" spans="1:33" ht="15" customHeight="1">
      <c r="A110" s="26"/>
      <c r="B110" s="227">
        <f>(B109+B111)/2</f>
        <v>13.5</v>
      </c>
      <c r="C110" s="151">
        <f t="shared" ref="C110:I110" si="129">((B103-B110)*C113-(B113-B110)*C103)/((B103-B110)-(B113-B110))</f>
        <v>1134</v>
      </c>
      <c r="D110" s="151">
        <f t="shared" si="129"/>
        <v>744</v>
      </c>
      <c r="E110" s="151">
        <f t="shared" si="129"/>
        <v>542</v>
      </c>
      <c r="F110" s="151">
        <f t="shared" si="129"/>
        <v>385</v>
      </c>
      <c r="G110" s="151">
        <f t="shared" si="129"/>
        <v>275</v>
      </c>
      <c r="H110" s="151">
        <f t="shared" si="129"/>
        <v>160.5</v>
      </c>
      <c r="I110" s="151">
        <f t="shared" si="129"/>
        <v>97</v>
      </c>
      <c r="J110" s="4"/>
      <c r="K110" s="4"/>
      <c r="L110" s="3"/>
      <c r="M110" s="29" t="s">
        <v>382</v>
      </c>
      <c r="N110" s="26"/>
      <c r="O110" s="26"/>
      <c r="P110" s="26"/>
      <c r="Q110" s="26"/>
      <c r="R110" s="26"/>
      <c r="S110" s="26"/>
      <c r="T110" s="4"/>
      <c r="U110" s="4"/>
      <c r="V110" s="26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</row>
    <row r="111" spans="1:33" ht="15" customHeight="1">
      <c r="A111" s="26"/>
      <c r="B111" s="227">
        <v>14</v>
      </c>
      <c r="C111" s="151">
        <f t="shared" ref="C111:I111" si="130">((B103-B111)*C113-(B113-B111)*C103)/((B103-B111)-(B113-B111))</f>
        <v>1146</v>
      </c>
      <c r="D111" s="151">
        <f t="shared" si="130"/>
        <v>746</v>
      </c>
      <c r="E111" s="151">
        <f t="shared" si="130"/>
        <v>548</v>
      </c>
      <c r="F111" s="151">
        <f t="shared" si="130"/>
        <v>390</v>
      </c>
      <c r="G111" s="151">
        <f t="shared" si="130"/>
        <v>280</v>
      </c>
      <c r="H111" s="151">
        <f t="shared" si="130"/>
        <v>162</v>
      </c>
      <c r="I111" s="151">
        <f t="shared" si="130"/>
        <v>98</v>
      </c>
      <c r="J111" s="4"/>
      <c r="K111" s="4"/>
      <c r="L111" s="3" t="s">
        <v>191</v>
      </c>
      <c r="M111" s="29" t="s">
        <v>383</v>
      </c>
      <c r="N111" s="26"/>
      <c r="O111" s="26"/>
      <c r="P111" s="26"/>
      <c r="Q111" s="26"/>
      <c r="R111" s="26"/>
      <c r="S111" s="26"/>
      <c r="T111" s="4"/>
      <c r="U111" s="4"/>
      <c r="V111" s="26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</row>
    <row r="112" spans="1:33" ht="15" customHeight="1">
      <c r="A112" s="26"/>
      <c r="B112" s="227">
        <f>(B111+B113)/2</f>
        <v>14.5</v>
      </c>
      <c r="C112" s="151">
        <f t="shared" ref="C112:I112" si="131">((B103-B112)*C113-(B113-B112)*C103)/((B103-B112)-(B113-B112))</f>
        <v>1158</v>
      </c>
      <c r="D112" s="151">
        <f t="shared" si="131"/>
        <v>748</v>
      </c>
      <c r="E112" s="151">
        <f t="shared" si="131"/>
        <v>554</v>
      </c>
      <c r="F112" s="151">
        <f t="shared" si="131"/>
        <v>395</v>
      </c>
      <c r="G112" s="151">
        <f t="shared" si="131"/>
        <v>285</v>
      </c>
      <c r="H112" s="151">
        <f t="shared" si="131"/>
        <v>163.5</v>
      </c>
      <c r="I112" s="151">
        <f t="shared" si="131"/>
        <v>99</v>
      </c>
      <c r="J112" s="4"/>
      <c r="K112" s="4"/>
      <c r="L112" s="3"/>
      <c r="M112" s="29" t="s">
        <v>384</v>
      </c>
      <c r="N112" s="26"/>
      <c r="O112" s="26"/>
      <c r="P112" s="26"/>
      <c r="Q112" s="26"/>
      <c r="R112" s="26"/>
      <c r="S112" s="26"/>
      <c r="T112" s="4"/>
      <c r="U112" s="4"/>
      <c r="V112" s="26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</row>
    <row r="113" spans="1:33" ht="15" customHeight="1">
      <c r="A113" s="26"/>
      <c r="B113" s="228">
        <v>15</v>
      </c>
      <c r="C113" s="222">
        <v>1170</v>
      </c>
      <c r="D113" s="223">
        <v>750</v>
      </c>
      <c r="E113" s="223">
        <v>560</v>
      </c>
      <c r="F113" s="223">
        <v>400</v>
      </c>
      <c r="G113" s="223">
        <v>290</v>
      </c>
      <c r="H113" s="223">
        <v>165</v>
      </c>
      <c r="I113" s="223">
        <v>100</v>
      </c>
      <c r="J113" s="4"/>
      <c r="K113" s="4"/>
      <c r="L113" s="3"/>
      <c r="M113" s="29" t="s">
        <v>385</v>
      </c>
      <c r="N113" s="26"/>
      <c r="O113" s="26"/>
      <c r="P113" s="26"/>
      <c r="Q113" s="26"/>
      <c r="R113" s="26"/>
      <c r="S113" s="26"/>
      <c r="T113" s="4"/>
      <c r="U113" s="4"/>
      <c r="V113" s="26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</row>
    <row r="114" spans="1:33" ht="15" customHeight="1">
      <c r="A114" s="26"/>
      <c r="B114" s="227">
        <f>(B113+B115)/2</f>
        <v>15.5</v>
      </c>
      <c r="C114" s="151">
        <f t="shared" ref="C114:I114" si="132">((B113-B114)*C123-(B123-B114)*C113)/((B113-B114)-(B123-B114))</f>
        <v>1179</v>
      </c>
      <c r="D114" s="151">
        <f t="shared" si="132"/>
        <v>760</v>
      </c>
      <c r="E114" s="151">
        <f t="shared" si="132"/>
        <v>566</v>
      </c>
      <c r="F114" s="151">
        <f t="shared" si="132"/>
        <v>405</v>
      </c>
      <c r="G114" s="151">
        <f t="shared" si="132"/>
        <v>293</v>
      </c>
      <c r="H114" s="151">
        <f t="shared" si="132"/>
        <v>166.5</v>
      </c>
      <c r="I114" s="151">
        <f t="shared" si="132"/>
        <v>101</v>
      </c>
      <c r="J114" s="4"/>
      <c r="K114" s="4"/>
      <c r="L114" s="3"/>
      <c r="M114" s="29" t="s">
        <v>386</v>
      </c>
      <c r="N114" s="26"/>
      <c r="O114" s="26"/>
      <c r="P114" s="26"/>
      <c r="Q114" s="26"/>
      <c r="R114" s="26"/>
      <c r="S114" s="26"/>
      <c r="T114" s="4"/>
      <c r="U114" s="4"/>
      <c r="V114" s="26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</row>
    <row r="115" spans="1:33" ht="15" customHeight="1">
      <c r="A115" s="26"/>
      <c r="B115" s="227">
        <v>16</v>
      </c>
      <c r="C115" s="151">
        <f t="shared" ref="C115:I115" si="133">((B113-B115)*C123-(B123-B115)*C113)/((B113-B115)-(B123-B115))</f>
        <v>1188</v>
      </c>
      <c r="D115" s="151">
        <f t="shared" si="133"/>
        <v>770</v>
      </c>
      <c r="E115" s="151">
        <f t="shared" si="133"/>
        <v>572</v>
      </c>
      <c r="F115" s="151">
        <f t="shared" si="133"/>
        <v>410</v>
      </c>
      <c r="G115" s="151">
        <f t="shared" si="133"/>
        <v>296</v>
      </c>
      <c r="H115" s="151">
        <f t="shared" si="133"/>
        <v>168</v>
      </c>
      <c r="I115" s="151">
        <f t="shared" si="133"/>
        <v>102</v>
      </c>
      <c r="J115" s="4"/>
      <c r="K115" s="4"/>
      <c r="L115" s="3" t="s">
        <v>207</v>
      </c>
      <c r="M115" s="29" t="s">
        <v>387</v>
      </c>
      <c r="N115" s="26"/>
      <c r="O115" s="26"/>
      <c r="P115" s="26"/>
      <c r="Q115" s="26"/>
      <c r="R115" s="26"/>
      <c r="S115" s="26"/>
      <c r="T115" s="4"/>
      <c r="U115" s="4"/>
      <c r="V115" s="26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</row>
    <row r="116" spans="1:33" ht="15" customHeight="1">
      <c r="A116" s="26"/>
      <c r="B116" s="227">
        <f>(B115+B117)/2</f>
        <v>16.5</v>
      </c>
      <c r="C116" s="151">
        <f t="shared" ref="C116:I116" si="134">((B113-B116)*C123-(B123-B116)*C113)/((B113-B116)-(B123-B116))</f>
        <v>1197</v>
      </c>
      <c r="D116" s="151">
        <f t="shared" si="134"/>
        <v>780</v>
      </c>
      <c r="E116" s="151">
        <f t="shared" si="134"/>
        <v>578</v>
      </c>
      <c r="F116" s="151">
        <f t="shared" si="134"/>
        <v>415</v>
      </c>
      <c r="G116" s="151">
        <f t="shared" si="134"/>
        <v>299</v>
      </c>
      <c r="H116" s="151">
        <f t="shared" si="134"/>
        <v>169.5</v>
      </c>
      <c r="I116" s="151">
        <f t="shared" si="134"/>
        <v>103</v>
      </c>
      <c r="J116" s="4"/>
      <c r="K116" s="4"/>
      <c r="L116" s="3"/>
      <c r="M116" s="29" t="s">
        <v>388</v>
      </c>
      <c r="N116" s="26"/>
      <c r="O116" s="26"/>
      <c r="P116" s="26"/>
      <c r="Q116" s="26"/>
      <c r="R116" s="26"/>
      <c r="S116" s="26"/>
      <c r="T116" s="4"/>
      <c r="U116" s="4"/>
      <c r="V116" s="26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</row>
    <row r="117" spans="1:33" ht="15" customHeight="1">
      <c r="A117" s="26"/>
      <c r="B117" s="227">
        <v>17</v>
      </c>
      <c r="C117" s="151">
        <f t="shared" ref="C117:I117" si="135">((B113-B117)*C123-(B123-B117)*C113)/((B113-B117)-(B123-B117))</f>
        <v>1206</v>
      </c>
      <c r="D117" s="151">
        <f t="shared" si="135"/>
        <v>790</v>
      </c>
      <c r="E117" s="151">
        <f t="shared" si="135"/>
        <v>584</v>
      </c>
      <c r="F117" s="151">
        <f t="shared" si="135"/>
        <v>420</v>
      </c>
      <c r="G117" s="151">
        <f t="shared" si="135"/>
        <v>302</v>
      </c>
      <c r="H117" s="151">
        <f t="shared" si="135"/>
        <v>171</v>
      </c>
      <c r="I117" s="151">
        <f t="shared" si="135"/>
        <v>104</v>
      </c>
      <c r="J117" s="4"/>
      <c r="K117" s="4"/>
      <c r="L117" s="3" t="s">
        <v>246</v>
      </c>
      <c r="M117" s="29" t="s">
        <v>389</v>
      </c>
      <c r="N117" s="26"/>
      <c r="O117" s="26"/>
      <c r="P117" s="26"/>
      <c r="Q117" s="26"/>
      <c r="R117" s="26"/>
      <c r="S117" s="26"/>
      <c r="T117" s="4"/>
      <c r="U117" s="4"/>
      <c r="V117" s="26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</row>
    <row r="118" spans="1:33" ht="15" customHeight="1">
      <c r="A118" s="26"/>
      <c r="B118" s="227">
        <f>(B117+B119)/2</f>
        <v>17.5</v>
      </c>
      <c r="C118" s="151">
        <f t="shared" ref="C118:I118" si="136">((B113-B118)*C123-(B123-B118)*C113)/((B113-B118)-(B123-B118))</f>
        <v>1215</v>
      </c>
      <c r="D118" s="151">
        <f t="shared" si="136"/>
        <v>800</v>
      </c>
      <c r="E118" s="151">
        <f t="shared" si="136"/>
        <v>590</v>
      </c>
      <c r="F118" s="151">
        <f t="shared" si="136"/>
        <v>425</v>
      </c>
      <c r="G118" s="151">
        <f t="shared" si="136"/>
        <v>305</v>
      </c>
      <c r="H118" s="151">
        <f t="shared" si="136"/>
        <v>172.5</v>
      </c>
      <c r="I118" s="151">
        <f t="shared" si="136"/>
        <v>105</v>
      </c>
      <c r="J118" s="4"/>
      <c r="K118" s="4"/>
      <c r="L118" s="26"/>
      <c r="M118" s="29" t="s">
        <v>390</v>
      </c>
      <c r="N118" s="26"/>
      <c r="O118" s="26"/>
      <c r="P118" s="26"/>
      <c r="Q118" s="26"/>
      <c r="R118" s="26"/>
      <c r="S118" s="26"/>
      <c r="T118" s="4"/>
      <c r="U118" s="4"/>
      <c r="V118" s="26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</row>
    <row r="119" spans="1:33" ht="15" customHeight="1">
      <c r="A119" s="26"/>
      <c r="B119" s="227">
        <v>18</v>
      </c>
      <c r="C119" s="151">
        <f t="shared" ref="C119:I119" si="137">((B113-B119)*C123-(B123-B119)*C113)/((B113-B119)-(B123-B119))</f>
        <v>1224</v>
      </c>
      <c r="D119" s="151">
        <f t="shared" si="137"/>
        <v>810</v>
      </c>
      <c r="E119" s="151">
        <f t="shared" si="137"/>
        <v>596</v>
      </c>
      <c r="F119" s="151">
        <f t="shared" si="137"/>
        <v>430</v>
      </c>
      <c r="G119" s="151">
        <f t="shared" si="137"/>
        <v>308</v>
      </c>
      <c r="H119" s="151">
        <f t="shared" si="137"/>
        <v>174</v>
      </c>
      <c r="I119" s="151">
        <f t="shared" si="137"/>
        <v>106</v>
      </c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26"/>
      <c r="U119" s="26"/>
      <c r="V119" s="26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</row>
    <row r="120" spans="1:33" ht="15" customHeight="1">
      <c r="A120" s="26"/>
      <c r="B120" s="227">
        <f>(B119+B121)/2</f>
        <v>18.5</v>
      </c>
      <c r="C120" s="151">
        <f t="shared" ref="C120:I120" si="138">((B113-B120)*C123-(B123-B120)*C113)/((B113-B120)-(B123-B120))</f>
        <v>1233</v>
      </c>
      <c r="D120" s="151">
        <f t="shared" si="138"/>
        <v>820</v>
      </c>
      <c r="E120" s="151">
        <f t="shared" si="138"/>
        <v>602</v>
      </c>
      <c r="F120" s="151">
        <f t="shared" si="138"/>
        <v>435</v>
      </c>
      <c r="G120" s="151">
        <f t="shared" si="138"/>
        <v>311</v>
      </c>
      <c r="H120" s="151">
        <f t="shared" si="138"/>
        <v>175.5</v>
      </c>
      <c r="I120" s="151">
        <f t="shared" si="138"/>
        <v>107</v>
      </c>
      <c r="J120" s="4"/>
      <c r="K120" s="4"/>
      <c r="L120" s="55" t="s">
        <v>3</v>
      </c>
      <c r="M120" s="4"/>
      <c r="N120" s="4"/>
      <c r="O120" s="4"/>
      <c r="P120" s="4"/>
      <c r="Q120" s="4"/>
      <c r="R120" s="4"/>
      <c r="S120" s="4"/>
      <c r="T120" s="26"/>
      <c r="U120" s="26"/>
      <c r="V120" s="26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</row>
    <row r="121" spans="1:33" ht="15" customHeight="1">
      <c r="A121" s="26"/>
      <c r="B121" s="227">
        <v>19</v>
      </c>
      <c r="C121" s="151">
        <f t="shared" ref="C121:I121" si="139">((B113-B121)*C123-(B123-B121)*C113)/((B113-B121)-(B123-B121))</f>
        <v>1242</v>
      </c>
      <c r="D121" s="151">
        <f t="shared" si="139"/>
        <v>830</v>
      </c>
      <c r="E121" s="151">
        <f t="shared" si="139"/>
        <v>608</v>
      </c>
      <c r="F121" s="151">
        <f t="shared" si="139"/>
        <v>440</v>
      </c>
      <c r="G121" s="151">
        <f t="shared" si="139"/>
        <v>314</v>
      </c>
      <c r="H121" s="151">
        <f t="shared" si="139"/>
        <v>177</v>
      </c>
      <c r="I121" s="151">
        <f t="shared" si="139"/>
        <v>108</v>
      </c>
      <c r="J121" s="4"/>
      <c r="K121" s="4"/>
      <c r="L121" s="3" t="s">
        <v>391</v>
      </c>
      <c r="M121" s="324" t="s">
        <v>392</v>
      </c>
      <c r="N121" s="264"/>
      <c r="O121" s="264"/>
      <c r="P121" s="264"/>
      <c r="Q121" s="264"/>
      <c r="R121" s="264"/>
      <c r="S121" s="264"/>
      <c r="T121" s="264"/>
      <c r="U121" s="243"/>
      <c r="V121" s="26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</row>
    <row r="122" spans="1:33" ht="15" customHeight="1">
      <c r="A122" s="26"/>
      <c r="B122" s="227">
        <f>(B121+B123)/2</f>
        <v>19.5</v>
      </c>
      <c r="C122" s="151">
        <f t="shared" ref="C122:I122" si="140">((B113-B122)*C123-(B123-B122)*C113)/((B113-B122)-(B123-B122))</f>
        <v>1251</v>
      </c>
      <c r="D122" s="151">
        <f t="shared" si="140"/>
        <v>840</v>
      </c>
      <c r="E122" s="151">
        <f t="shared" si="140"/>
        <v>614</v>
      </c>
      <c r="F122" s="151">
        <f t="shared" si="140"/>
        <v>445</v>
      </c>
      <c r="G122" s="151">
        <f t="shared" si="140"/>
        <v>317</v>
      </c>
      <c r="H122" s="151">
        <f t="shared" si="140"/>
        <v>178.5</v>
      </c>
      <c r="I122" s="151">
        <f t="shared" si="140"/>
        <v>109</v>
      </c>
      <c r="J122" s="4"/>
      <c r="K122" s="4"/>
      <c r="L122" s="3"/>
      <c r="M122" s="264"/>
      <c r="N122" s="264"/>
      <c r="O122" s="264"/>
      <c r="P122" s="264"/>
      <c r="Q122" s="264"/>
      <c r="R122" s="264"/>
      <c r="S122" s="264"/>
      <c r="T122" s="264"/>
      <c r="U122" s="243"/>
      <c r="V122" s="26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</row>
    <row r="123" spans="1:33" ht="15" customHeight="1">
      <c r="A123" s="26"/>
      <c r="B123" s="228">
        <v>20</v>
      </c>
      <c r="C123" s="222">
        <v>1260</v>
      </c>
      <c r="D123" s="223">
        <v>850</v>
      </c>
      <c r="E123" s="223">
        <v>620</v>
      </c>
      <c r="F123" s="223">
        <v>450</v>
      </c>
      <c r="G123" s="223">
        <v>320</v>
      </c>
      <c r="H123" s="223">
        <v>180</v>
      </c>
      <c r="I123" s="223">
        <v>110</v>
      </c>
      <c r="J123" s="4"/>
      <c r="K123" s="4"/>
      <c r="L123" s="3" t="s">
        <v>393</v>
      </c>
      <c r="M123" s="325" t="s">
        <v>394</v>
      </c>
      <c r="N123" s="264"/>
      <c r="O123" s="264"/>
      <c r="P123" s="264"/>
      <c r="Q123" s="264"/>
      <c r="R123" s="264"/>
      <c r="S123" s="264"/>
      <c r="T123" s="264"/>
      <c r="U123" s="264"/>
      <c r="V123" s="26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</row>
    <row r="124" spans="1:33" ht="15" customHeight="1">
      <c r="A124" s="26"/>
      <c r="B124" s="227">
        <f>(B123+B125)/2</f>
        <v>20.5</v>
      </c>
      <c r="C124" s="151">
        <f t="shared" ref="C124:I124" si="141">((B123-B124)*C133-(B133-B124)*C123)/((B123-B124)-(B133-B124))</f>
        <v>1268</v>
      </c>
      <c r="D124" s="151">
        <f t="shared" si="141"/>
        <v>855</v>
      </c>
      <c r="E124" s="151">
        <f t="shared" si="141"/>
        <v>626</v>
      </c>
      <c r="F124" s="151">
        <f t="shared" si="141"/>
        <v>457</v>
      </c>
      <c r="G124" s="151">
        <f t="shared" si="141"/>
        <v>323</v>
      </c>
      <c r="H124" s="151">
        <f t="shared" si="141"/>
        <v>181.5</v>
      </c>
      <c r="I124" s="151">
        <f t="shared" si="141"/>
        <v>111</v>
      </c>
      <c r="J124" s="4"/>
      <c r="K124" s="4"/>
      <c r="L124" s="3"/>
      <c r="M124" s="264"/>
      <c r="N124" s="264"/>
      <c r="O124" s="264"/>
      <c r="P124" s="264"/>
      <c r="Q124" s="264"/>
      <c r="R124" s="264"/>
      <c r="S124" s="264"/>
      <c r="T124" s="264"/>
      <c r="U124" s="264"/>
      <c r="V124" s="26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33" ht="15" customHeight="1">
      <c r="A125" s="26"/>
      <c r="B125" s="227">
        <v>21</v>
      </c>
      <c r="C125" s="151">
        <f t="shared" ref="C125:I125" si="142">((B123-B125)*C133-(B133-B125)*C123)/((B123-B125)-(B133-B125))</f>
        <v>1276</v>
      </c>
      <c r="D125" s="151">
        <f t="shared" si="142"/>
        <v>860</v>
      </c>
      <c r="E125" s="151">
        <f t="shared" si="142"/>
        <v>632</v>
      </c>
      <c r="F125" s="151">
        <f t="shared" si="142"/>
        <v>464</v>
      </c>
      <c r="G125" s="151">
        <f t="shared" si="142"/>
        <v>326</v>
      </c>
      <c r="H125" s="151">
        <f t="shared" si="142"/>
        <v>183</v>
      </c>
      <c r="I125" s="151">
        <f t="shared" si="142"/>
        <v>112</v>
      </c>
      <c r="J125" s="4"/>
      <c r="K125" s="4"/>
      <c r="L125" s="3"/>
      <c r="M125" s="264"/>
      <c r="N125" s="264"/>
      <c r="O125" s="264"/>
      <c r="P125" s="264"/>
      <c r="Q125" s="264"/>
      <c r="R125" s="264"/>
      <c r="S125" s="264"/>
      <c r="T125" s="264"/>
      <c r="U125" s="264"/>
      <c r="V125" s="26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</row>
    <row r="126" spans="1:33" ht="15" customHeight="1">
      <c r="A126" s="26"/>
      <c r="B126" s="227">
        <f>(B125+B127)/2</f>
        <v>21.5</v>
      </c>
      <c r="C126" s="151">
        <f t="shared" ref="C126:I126" si="143">((B123-B126)*C133-(B133-B126)*C123)/((B123-B126)-(B133-B126))</f>
        <v>1284</v>
      </c>
      <c r="D126" s="151">
        <f t="shared" si="143"/>
        <v>865</v>
      </c>
      <c r="E126" s="151">
        <f t="shared" si="143"/>
        <v>638</v>
      </c>
      <c r="F126" s="151">
        <f t="shared" si="143"/>
        <v>471</v>
      </c>
      <c r="G126" s="151">
        <f t="shared" si="143"/>
        <v>329</v>
      </c>
      <c r="H126" s="151">
        <f t="shared" si="143"/>
        <v>184.5</v>
      </c>
      <c r="I126" s="151">
        <f t="shared" si="143"/>
        <v>113</v>
      </c>
      <c r="J126" s="4"/>
      <c r="K126" s="4"/>
      <c r="L126" s="3"/>
      <c r="M126" s="324" t="s">
        <v>395</v>
      </c>
      <c r="N126" s="264"/>
      <c r="O126" s="264"/>
      <c r="P126" s="264"/>
      <c r="Q126" s="264"/>
      <c r="R126" s="264"/>
      <c r="S126" s="264"/>
      <c r="T126" s="264"/>
      <c r="U126" s="26"/>
      <c r="V126" s="26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</row>
    <row r="127" spans="1:33" ht="15" customHeight="1">
      <c r="A127" s="26"/>
      <c r="B127" s="227">
        <v>22</v>
      </c>
      <c r="C127" s="151">
        <f t="shared" ref="C127:I127" si="144">((B123-B127)*C133-(B133-B127)*C123)/((B123-B127)-(B133-B127))</f>
        <v>1292</v>
      </c>
      <c r="D127" s="151">
        <f t="shared" si="144"/>
        <v>870</v>
      </c>
      <c r="E127" s="151">
        <f t="shared" si="144"/>
        <v>644</v>
      </c>
      <c r="F127" s="151">
        <f t="shared" si="144"/>
        <v>478</v>
      </c>
      <c r="G127" s="151">
        <f t="shared" si="144"/>
        <v>332</v>
      </c>
      <c r="H127" s="151">
        <f t="shared" si="144"/>
        <v>186</v>
      </c>
      <c r="I127" s="151">
        <f t="shared" si="144"/>
        <v>114</v>
      </c>
      <c r="J127" s="4"/>
      <c r="K127" s="4"/>
      <c r="L127" s="3"/>
      <c r="M127" s="264"/>
      <c r="N127" s="264"/>
      <c r="O127" s="264"/>
      <c r="P127" s="264"/>
      <c r="Q127" s="264"/>
      <c r="R127" s="264"/>
      <c r="S127" s="264"/>
      <c r="T127" s="264"/>
      <c r="U127" s="26"/>
      <c r="V127" s="26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</row>
    <row r="128" spans="1:33" ht="15" customHeight="1">
      <c r="A128" s="26"/>
      <c r="B128" s="227">
        <f>(B127+B129)/2</f>
        <v>22.5</v>
      </c>
      <c r="C128" s="151">
        <f t="shared" ref="C128:I128" si="145">((B123-B128)*C133-(B133-B128)*C123)/((B123-B128)-(B133-B128))</f>
        <v>1300</v>
      </c>
      <c r="D128" s="151">
        <f t="shared" si="145"/>
        <v>875</v>
      </c>
      <c r="E128" s="151">
        <f t="shared" si="145"/>
        <v>650</v>
      </c>
      <c r="F128" s="151">
        <f t="shared" si="145"/>
        <v>485</v>
      </c>
      <c r="G128" s="151">
        <f t="shared" si="145"/>
        <v>335</v>
      </c>
      <c r="H128" s="151">
        <f t="shared" si="145"/>
        <v>187.5</v>
      </c>
      <c r="I128" s="151">
        <f t="shared" si="145"/>
        <v>115</v>
      </c>
      <c r="J128" s="4"/>
      <c r="K128" s="4"/>
      <c r="L128" s="3"/>
      <c r="M128" s="324" t="s">
        <v>396</v>
      </c>
      <c r="N128" s="264"/>
      <c r="O128" s="264"/>
      <c r="P128" s="264"/>
      <c r="Q128" s="264"/>
      <c r="R128" s="264"/>
      <c r="S128" s="264"/>
      <c r="T128" s="264"/>
      <c r="U128" s="26"/>
      <c r="V128" s="26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</row>
    <row r="129" spans="1:33" ht="15" customHeight="1">
      <c r="A129" s="26"/>
      <c r="B129" s="227">
        <v>23</v>
      </c>
      <c r="C129" s="151">
        <f t="shared" ref="C129:I129" si="146">((B123-B129)*C133-(B133-B129)*C123)/((B123-B129)-(B133-B129))</f>
        <v>1308</v>
      </c>
      <c r="D129" s="151">
        <f t="shared" si="146"/>
        <v>880</v>
      </c>
      <c r="E129" s="151">
        <f t="shared" si="146"/>
        <v>656</v>
      </c>
      <c r="F129" s="151">
        <f t="shared" si="146"/>
        <v>492</v>
      </c>
      <c r="G129" s="151">
        <f t="shared" si="146"/>
        <v>338</v>
      </c>
      <c r="H129" s="151">
        <f t="shared" si="146"/>
        <v>189</v>
      </c>
      <c r="I129" s="151">
        <f t="shared" si="146"/>
        <v>116</v>
      </c>
      <c r="J129" s="4"/>
      <c r="K129" s="4"/>
      <c r="L129" s="3"/>
      <c r="M129" s="264"/>
      <c r="N129" s="264"/>
      <c r="O129" s="264"/>
      <c r="P129" s="264"/>
      <c r="Q129" s="264"/>
      <c r="R129" s="264"/>
      <c r="S129" s="264"/>
      <c r="T129" s="264"/>
      <c r="U129" s="26"/>
      <c r="V129" s="26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</row>
    <row r="130" spans="1:33" ht="15" customHeight="1">
      <c r="A130" s="26"/>
      <c r="B130" s="227">
        <f>(B129+B131)/2</f>
        <v>23.5</v>
      </c>
      <c r="C130" s="151">
        <f t="shared" ref="C130:I130" si="147">((B123-B130)*C133-(B133-B130)*C123)/((B123-B130)-(B133-B130))</f>
        <v>1316</v>
      </c>
      <c r="D130" s="151">
        <f t="shared" si="147"/>
        <v>885</v>
      </c>
      <c r="E130" s="151">
        <f t="shared" si="147"/>
        <v>662</v>
      </c>
      <c r="F130" s="151">
        <f t="shared" si="147"/>
        <v>499</v>
      </c>
      <c r="G130" s="151">
        <f t="shared" si="147"/>
        <v>341</v>
      </c>
      <c r="H130" s="151">
        <f t="shared" si="147"/>
        <v>190.5</v>
      </c>
      <c r="I130" s="151">
        <f t="shared" si="147"/>
        <v>117</v>
      </c>
      <c r="J130" s="4"/>
      <c r="K130" s="4"/>
      <c r="L130" s="3" t="s">
        <v>397</v>
      </c>
      <c r="M130" s="324" t="s">
        <v>398</v>
      </c>
      <c r="N130" s="264"/>
      <c r="O130" s="264"/>
      <c r="P130" s="264"/>
      <c r="Q130" s="264"/>
      <c r="R130" s="264"/>
      <c r="S130" s="264"/>
      <c r="T130" s="264"/>
      <c r="U130" s="264"/>
      <c r="V130" s="26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</row>
    <row r="131" spans="1:33" ht="15" customHeight="1">
      <c r="A131" s="26"/>
      <c r="B131" s="227">
        <v>24</v>
      </c>
      <c r="C131" s="151">
        <f t="shared" ref="C131:I131" si="148">((B123-B131)*C133-(B133-B131)*C123)/((B123-B131)-(B133-B131))</f>
        <v>1324</v>
      </c>
      <c r="D131" s="151">
        <f t="shared" si="148"/>
        <v>890</v>
      </c>
      <c r="E131" s="151">
        <f t="shared" si="148"/>
        <v>668</v>
      </c>
      <c r="F131" s="151">
        <f t="shared" si="148"/>
        <v>506</v>
      </c>
      <c r="G131" s="151">
        <f t="shared" si="148"/>
        <v>344</v>
      </c>
      <c r="H131" s="151">
        <f t="shared" si="148"/>
        <v>192</v>
      </c>
      <c r="I131" s="151">
        <f t="shared" si="148"/>
        <v>118</v>
      </c>
      <c r="J131" s="4"/>
      <c r="K131" s="4"/>
      <c r="L131" s="3"/>
      <c r="M131" s="264"/>
      <c r="N131" s="264"/>
      <c r="O131" s="264"/>
      <c r="P131" s="264"/>
      <c r="Q131" s="264"/>
      <c r="R131" s="264"/>
      <c r="S131" s="264"/>
      <c r="T131" s="264"/>
      <c r="U131" s="264"/>
      <c r="V131" s="26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</row>
    <row r="132" spans="1:33" ht="15" customHeight="1">
      <c r="A132" s="26"/>
      <c r="B132" s="227">
        <f>(B131+B133)/2</f>
        <v>24.5</v>
      </c>
      <c r="C132" s="151">
        <f t="shared" ref="C132:I132" si="149">((B123-B132)*C133-(B133-B132)*C123)/((B123-B132)-(B133-B132))</f>
        <v>1332</v>
      </c>
      <c r="D132" s="151">
        <f t="shared" si="149"/>
        <v>895</v>
      </c>
      <c r="E132" s="151">
        <f t="shared" si="149"/>
        <v>674</v>
      </c>
      <c r="F132" s="151">
        <f t="shared" si="149"/>
        <v>513</v>
      </c>
      <c r="G132" s="151">
        <f t="shared" si="149"/>
        <v>347</v>
      </c>
      <c r="H132" s="151">
        <f t="shared" si="149"/>
        <v>193.5</v>
      </c>
      <c r="I132" s="151">
        <f t="shared" si="149"/>
        <v>119</v>
      </c>
      <c r="J132" s="4"/>
      <c r="K132" s="4"/>
      <c r="L132" s="3"/>
      <c r="M132" s="264"/>
      <c r="N132" s="264"/>
      <c r="O132" s="264"/>
      <c r="P132" s="264"/>
      <c r="Q132" s="264"/>
      <c r="R132" s="264"/>
      <c r="S132" s="264"/>
      <c r="T132" s="264"/>
      <c r="U132" s="264"/>
      <c r="V132" s="26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</row>
    <row r="133" spans="1:33" ht="15" customHeight="1">
      <c r="A133" s="26"/>
      <c r="B133" s="228">
        <v>25</v>
      </c>
      <c r="C133" s="222">
        <v>1340</v>
      </c>
      <c r="D133" s="223">
        <v>900</v>
      </c>
      <c r="E133" s="223">
        <v>680</v>
      </c>
      <c r="F133" s="223">
        <v>520</v>
      </c>
      <c r="G133" s="223">
        <v>350</v>
      </c>
      <c r="H133" s="223">
        <v>195</v>
      </c>
      <c r="I133" s="223">
        <v>120</v>
      </c>
      <c r="J133" s="4"/>
      <c r="K133" s="4"/>
      <c r="L133" s="3" t="s">
        <v>399</v>
      </c>
      <c r="M133" s="324" t="s">
        <v>400</v>
      </c>
      <c r="N133" s="264"/>
      <c r="O133" s="264"/>
      <c r="P133" s="264"/>
      <c r="Q133" s="264"/>
      <c r="R133" s="264"/>
      <c r="S133" s="264"/>
      <c r="T133" s="264"/>
      <c r="U133" s="264"/>
      <c r="V133" s="26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</row>
    <row r="134" spans="1:33" ht="15" customHeight="1">
      <c r="A134" s="26"/>
      <c r="B134" s="227">
        <f>(B133+B135)/2</f>
        <v>25.5</v>
      </c>
      <c r="C134" s="151">
        <f t="shared" ref="C134:I134" si="150">((B133-B134)*C143-(B143-B134)*C133)/((B133-B134)-(B143-B134))</f>
        <v>1348</v>
      </c>
      <c r="D134" s="151">
        <f t="shared" si="150"/>
        <v>905</v>
      </c>
      <c r="E134" s="151">
        <f t="shared" si="150"/>
        <v>686</v>
      </c>
      <c r="F134" s="151">
        <f t="shared" si="150"/>
        <v>524</v>
      </c>
      <c r="G134" s="151">
        <f t="shared" si="150"/>
        <v>353</v>
      </c>
      <c r="H134" s="151">
        <f t="shared" si="150"/>
        <v>196.5</v>
      </c>
      <c r="I134" s="151">
        <f t="shared" si="150"/>
        <v>121</v>
      </c>
      <c r="J134" s="4"/>
      <c r="K134" s="4"/>
      <c r="L134" s="3"/>
      <c r="M134" s="264"/>
      <c r="N134" s="264"/>
      <c r="O134" s="264"/>
      <c r="P134" s="264"/>
      <c r="Q134" s="264"/>
      <c r="R134" s="264"/>
      <c r="S134" s="264"/>
      <c r="T134" s="264"/>
      <c r="U134" s="264"/>
      <c r="V134" s="26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</row>
    <row r="135" spans="1:33" ht="15" customHeight="1">
      <c r="A135" s="26"/>
      <c r="B135" s="227">
        <v>26</v>
      </c>
      <c r="C135" s="151">
        <f t="shared" ref="C135:I135" si="151">((B133-B135)*C143-(B143-B135)*C133)/((B133-B135)-(B143-B135))</f>
        <v>1356</v>
      </c>
      <c r="D135" s="151">
        <f t="shared" si="151"/>
        <v>910</v>
      </c>
      <c r="E135" s="151">
        <f t="shared" si="151"/>
        <v>692</v>
      </c>
      <c r="F135" s="151">
        <f t="shared" si="151"/>
        <v>528</v>
      </c>
      <c r="G135" s="151">
        <f t="shared" si="151"/>
        <v>356</v>
      </c>
      <c r="H135" s="151">
        <f t="shared" si="151"/>
        <v>198</v>
      </c>
      <c r="I135" s="151">
        <f t="shared" si="151"/>
        <v>122</v>
      </c>
      <c r="J135" s="4"/>
      <c r="K135" s="4"/>
      <c r="L135" s="3"/>
      <c r="M135" s="264"/>
      <c r="N135" s="264"/>
      <c r="O135" s="264"/>
      <c r="P135" s="264"/>
      <c r="Q135" s="264"/>
      <c r="R135" s="264"/>
      <c r="S135" s="264"/>
      <c r="T135" s="264"/>
      <c r="U135" s="264"/>
      <c r="V135" s="26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</row>
    <row r="136" spans="1:33" ht="15" customHeight="1">
      <c r="A136" s="26"/>
      <c r="B136" s="227">
        <f>(B135+B137)/2</f>
        <v>26.5</v>
      </c>
      <c r="C136" s="151">
        <f t="shared" ref="C136:I136" si="152">((B133-B136)*C143-(B143-B136)*C133)/((B133-B136)-(B143-B136))</f>
        <v>1364</v>
      </c>
      <c r="D136" s="151">
        <f t="shared" si="152"/>
        <v>915</v>
      </c>
      <c r="E136" s="151">
        <f t="shared" si="152"/>
        <v>698</v>
      </c>
      <c r="F136" s="151">
        <f t="shared" si="152"/>
        <v>532</v>
      </c>
      <c r="G136" s="151">
        <f t="shared" si="152"/>
        <v>359</v>
      </c>
      <c r="H136" s="151">
        <f t="shared" si="152"/>
        <v>199.5</v>
      </c>
      <c r="I136" s="151">
        <f t="shared" si="152"/>
        <v>123</v>
      </c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26"/>
      <c r="U136" s="26"/>
      <c r="V136" s="26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</row>
    <row r="137" spans="1:33" ht="15" customHeight="1">
      <c r="A137" s="26"/>
      <c r="B137" s="227">
        <v>27</v>
      </c>
      <c r="C137" s="151">
        <f t="shared" ref="C137:I137" si="153">((B133-B137)*C143-(B143-B137)*C133)/((B133-B137)-(B143-B137))</f>
        <v>1372</v>
      </c>
      <c r="D137" s="151">
        <f t="shared" si="153"/>
        <v>920</v>
      </c>
      <c r="E137" s="151">
        <f t="shared" si="153"/>
        <v>704</v>
      </c>
      <c r="F137" s="151">
        <f t="shared" si="153"/>
        <v>536</v>
      </c>
      <c r="G137" s="151">
        <f t="shared" si="153"/>
        <v>362</v>
      </c>
      <c r="H137" s="151">
        <f t="shared" si="153"/>
        <v>201</v>
      </c>
      <c r="I137" s="151">
        <f t="shared" si="153"/>
        <v>124</v>
      </c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26"/>
      <c r="U137" s="26"/>
      <c r="V137" s="26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</row>
    <row r="138" spans="1:33" ht="15" customHeight="1">
      <c r="A138" s="26"/>
      <c r="B138" s="227">
        <f>(B137+B139)/2</f>
        <v>27.5</v>
      </c>
      <c r="C138" s="151">
        <f t="shared" ref="C138:I138" si="154">((B133-B138)*C143-(B143-B138)*C133)/((B133-B138)-(B143-B138))</f>
        <v>1380</v>
      </c>
      <c r="D138" s="151">
        <f t="shared" si="154"/>
        <v>925</v>
      </c>
      <c r="E138" s="151">
        <f t="shared" si="154"/>
        <v>710</v>
      </c>
      <c r="F138" s="151">
        <f t="shared" si="154"/>
        <v>540</v>
      </c>
      <c r="G138" s="151">
        <f t="shared" si="154"/>
        <v>365</v>
      </c>
      <c r="H138" s="151">
        <f t="shared" si="154"/>
        <v>202.5</v>
      </c>
      <c r="I138" s="151">
        <f t="shared" si="154"/>
        <v>125</v>
      </c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26"/>
      <c r="U138" s="26"/>
      <c r="V138" s="26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</row>
    <row r="139" spans="1:33" ht="15" customHeight="1">
      <c r="A139" s="26"/>
      <c r="B139" s="227">
        <v>28</v>
      </c>
      <c r="C139" s="151">
        <f t="shared" ref="C139:I139" si="155">((B133-B139)*C143-(B143-B139)*C133)/((B133-B139)-(B143-B139))</f>
        <v>1388</v>
      </c>
      <c r="D139" s="151">
        <f t="shared" si="155"/>
        <v>930</v>
      </c>
      <c r="E139" s="151">
        <f t="shared" si="155"/>
        <v>716</v>
      </c>
      <c r="F139" s="151">
        <f t="shared" si="155"/>
        <v>544</v>
      </c>
      <c r="G139" s="151">
        <f t="shared" si="155"/>
        <v>368</v>
      </c>
      <c r="H139" s="151">
        <f t="shared" si="155"/>
        <v>204</v>
      </c>
      <c r="I139" s="151">
        <f t="shared" si="155"/>
        <v>126</v>
      </c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26"/>
      <c r="U139" s="26"/>
      <c r="V139" s="26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</row>
    <row r="140" spans="1:33" ht="15" customHeight="1">
      <c r="A140" s="26"/>
      <c r="B140" s="227">
        <f>(B139+B141)/2</f>
        <v>28.5</v>
      </c>
      <c r="C140" s="151">
        <f t="shared" ref="C140:I140" si="156">((B133-B140)*C143-(B143-B140)*C133)/((B133-B140)-(B143-B140))</f>
        <v>1396</v>
      </c>
      <c r="D140" s="151">
        <f t="shared" si="156"/>
        <v>935</v>
      </c>
      <c r="E140" s="151">
        <f t="shared" si="156"/>
        <v>722</v>
      </c>
      <c r="F140" s="151">
        <f t="shared" si="156"/>
        <v>548</v>
      </c>
      <c r="G140" s="151">
        <f t="shared" si="156"/>
        <v>371</v>
      </c>
      <c r="H140" s="151">
        <f t="shared" si="156"/>
        <v>205.5</v>
      </c>
      <c r="I140" s="151">
        <f t="shared" si="156"/>
        <v>127</v>
      </c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26"/>
      <c r="U140" s="26"/>
      <c r="V140" s="26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</row>
    <row r="141" spans="1:33" ht="15" customHeight="1">
      <c r="A141" s="26"/>
      <c r="B141" s="227">
        <v>29</v>
      </c>
      <c r="C141" s="151">
        <f t="shared" ref="C141:I141" si="157">((B133-B141)*C143-(B143-B141)*C133)/((B133-B141)-(B143-B141))</f>
        <v>1404</v>
      </c>
      <c r="D141" s="151">
        <f t="shared" si="157"/>
        <v>940</v>
      </c>
      <c r="E141" s="151">
        <f t="shared" si="157"/>
        <v>728</v>
      </c>
      <c r="F141" s="151">
        <f t="shared" si="157"/>
        <v>552</v>
      </c>
      <c r="G141" s="151">
        <f t="shared" si="157"/>
        <v>374</v>
      </c>
      <c r="H141" s="151">
        <f t="shared" si="157"/>
        <v>207</v>
      </c>
      <c r="I141" s="151">
        <f t="shared" si="157"/>
        <v>128</v>
      </c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26"/>
      <c r="U141" s="26"/>
      <c r="V141" s="26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</row>
    <row r="142" spans="1:33" ht="15" customHeight="1">
      <c r="A142" s="26"/>
      <c r="B142" s="227">
        <f>(B141+B143)/2</f>
        <v>29.5</v>
      </c>
      <c r="C142" s="151">
        <f t="shared" ref="C142:I142" si="158">((B133-B142)*C143-(B143-B142)*C133)/((B133-B142)-(B143-B142))</f>
        <v>1412</v>
      </c>
      <c r="D142" s="151">
        <f t="shared" si="158"/>
        <v>945</v>
      </c>
      <c r="E142" s="151">
        <f t="shared" si="158"/>
        <v>734</v>
      </c>
      <c r="F142" s="151">
        <f t="shared" si="158"/>
        <v>556</v>
      </c>
      <c r="G142" s="151">
        <f t="shared" si="158"/>
        <v>377</v>
      </c>
      <c r="H142" s="151">
        <f t="shared" si="158"/>
        <v>208.5</v>
      </c>
      <c r="I142" s="151">
        <f t="shared" si="158"/>
        <v>129</v>
      </c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26"/>
      <c r="U142" s="26"/>
      <c r="V142" s="26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</row>
    <row r="143" spans="1:33" ht="15" customHeight="1">
      <c r="A143" s="26"/>
      <c r="B143" s="228">
        <v>30</v>
      </c>
      <c r="C143" s="222">
        <v>1420</v>
      </c>
      <c r="D143" s="223">
        <v>950</v>
      </c>
      <c r="E143" s="223">
        <v>740</v>
      </c>
      <c r="F143" s="223">
        <v>560</v>
      </c>
      <c r="G143" s="223">
        <v>380</v>
      </c>
      <c r="H143" s="223">
        <v>210</v>
      </c>
      <c r="I143" s="223">
        <v>130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26"/>
      <c r="U143" s="26"/>
      <c r="V143" s="26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</row>
    <row r="144" spans="1:33" ht="15" customHeight="1">
      <c r="A144" s="26"/>
      <c r="B144" s="227">
        <f>(B143+B145)/2</f>
        <v>30.5</v>
      </c>
      <c r="C144" s="151">
        <f t="shared" ref="C144:I144" si="159">((B143-B144)*C153-(B153-B144)*C143)/((B143-B144)-(B153-B144))</f>
        <v>1428</v>
      </c>
      <c r="D144" s="151">
        <f t="shared" si="159"/>
        <v>955</v>
      </c>
      <c r="E144" s="151">
        <f t="shared" si="159"/>
        <v>746</v>
      </c>
      <c r="F144" s="151">
        <f t="shared" si="159"/>
        <v>564</v>
      </c>
      <c r="G144" s="151">
        <f t="shared" si="159"/>
        <v>383</v>
      </c>
      <c r="H144" s="151">
        <f t="shared" si="159"/>
        <v>211.5</v>
      </c>
      <c r="I144" s="151">
        <f t="shared" si="159"/>
        <v>131</v>
      </c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26"/>
      <c r="U144" s="26"/>
      <c r="V144" s="26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</row>
    <row r="145" spans="1:33" ht="15" customHeight="1">
      <c r="A145" s="26"/>
      <c r="B145" s="227">
        <v>31</v>
      </c>
      <c r="C145" s="151">
        <f t="shared" ref="C145:I145" si="160">((B143-B145)*C153-(B153-B145)*C143)/((B143-B145)-(B153-B145))</f>
        <v>1436</v>
      </c>
      <c r="D145" s="151">
        <f t="shared" si="160"/>
        <v>960</v>
      </c>
      <c r="E145" s="151">
        <f t="shared" si="160"/>
        <v>752</v>
      </c>
      <c r="F145" s="151">
        <f t="shared" si="160"/>
        <v>568</v>
      </c>
      <c r="G145" s="151">
        <f t="shared" si="160"/>
        <v>386</v>
      </c>
      <c r="H145" s="151">
        <f t="shared" si="160"/>
        <v>213</v>
      </c>
      <c r="I145" s="151">
        <f t="shared" si="160"/>
        <v>132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26"/>
      <c r="U145" s="26"/>
      <c r="V145" s="26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</row>
    <row r="146" spans="1:33" ht="15" customHeight="1">
      <c r="A146" s="26"/>
      <c r="B146" s="227">
        <f>(B145+B147)/2</f>
        <v>31.5</v>
      </c>
      <c r="C146" s="151">
        <f t="shared" ref="C146:I146" si="161">((B143-B146)*C153-(B153-B146)*C143)/((B143-B146)-(B153-B146))</f>
        <v>1444</v>
      </c>
      <c r="D146" s="151">
        <f t="shared" si="161"/>
        <v>965</v>
      </c>
      <c r="E146" s="151">
        <f t="shared" si="161"/>
        <v>758</v>
      </c>
      <c r="F146" s="151">
        <f t="shared" si="161"/>
        <v>572</v>
      </c>
      <c r="G146" s="151">
        <f t="shared" si="161"/>
        <v>389</v>
      </c>
      <c r="H146" s="151">
        <f t="shared" si="161"/>
        <v>214.5</v>
      </c>
      <c r="I146" s="151">
        <f t="shared" si="161"/>
        <v>133</v>
      </c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26"/>
      <c r="U146" s="26"/>
      <c r="V146" s="26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</row>
    <row r="147" spans="1:33" ht="15" customHeight="1">
      <c r="A147" s="26"/>
      <c r="B147" s="227">
        <v>32</v>
      </c>
      <c r="C147" s="151">
        <f t="shared" ref="C147:I147" si="162">((B143-B147)*C153-(B153-B147)*C143)/((B143-B147)-(B153-B147))</f>
        <v>1452</v>
      </c>
      <c r="D147" s="151">
        <f t="shared" si="162"/>
        <v>970</v>
      </c>
      <c r="E147" s="151">
        <f t="shared" si="162"/>
        <v>764</v>
      </c>
      <c r="F147" s="151">
        <f t="shared" si="162"/>
        <v>576</v>
      </c>
      <c r="G147" s="151">
        <f t="shared" si="162"/>
        <v>392</v>
      </c>
      <c r="H147" s="151">
        <f t="shared" si="162"/>
        <v>216</v>
      </c>
      <c r="I147" s="151">
        <f t="shared" si="162"/>
        <v>134</v>
      </c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26"/>
      <c r="U147" s="26"/>
      <c r="V147" s="26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</row>
    <row r="148" spans="1:33" ht="15" customHeight="1">
      <c r="A148" s="26"/>
      <c r="B148" s="227">
        <f>(B147+B149)/2</f>
        <v>32.5</v>
      </c>
      <c r="C148" s="151">
        <f t="shared" ref="C148:I148" si="163">((B143-B148)*C153-(B153-B148)*C143)/((B143-B148)-(B153-B148))</f>
        <v>1460</v>
      </c>
      <c r="D148" s="151">
        <f t="shared" si="163"/>
        <v>975</v>
      </c>
      <c r="E148" s="151">
        <f t="shared" si="163"/>
        <v>770</v>
      </c>
      <c r="F148" s="151">
        <f t="shared" si="163"/>
        <v>580</v>
      </c>
      <c r="G148" s="151">
        <f t="shared" si="163"/>
        <v>395</v>
      </c>
      <c r="H148" s="151">
        <f t="shared" si="163"/>
        <v>217.5</v>
      </c>
      <c r="I148" s="151">
        <f t="shared" si="163"/>
        <v>135</v>
      </c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26"/>
      <c r="U148" s="26"/>
      <c r="V148" s="26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</row>
    <row r="149" spans="1:33" ht="15" customHeight="1">
      <c r="A149" s="26"/>
      <c r="B149" s="227">
        <v>33</v>
      </c>
      <c r="C149" s="151">
        <f t="shared" ref="C149:I149" si="164">((B143-B149)*C153-(B153-B149)*C143)/((B143-B149)-(B153-B149))</f>
        <v>1468</v>
      </c>
      <c r="D149" s="151">
        <f t="shared" si="164"/>
        <v>980</v>
      </c>
      <c r="E149" s="151">
        <f t="shared" si="164"/>
        <v>776</v>
      </c>
      <c r="F149" s="151">
        <f t="shared" si="164"/>
        <v>584</v>
      </c>
      <c r="G149" s="151">
        <f t="shared" si="164"/>
        <v>398</v>
      </c>
      <c r="H149" s="151">
        <f t="shared" si="164"/>
        <v>219</v>
      </c>
      <c r="I149" s="151">
        <f t="shared" si="164"/>
        <v>136</v>
      </c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26"/>
      <c r="U149" s="26"/>
      <c r="V149" s="26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</row>
    <row r="150" spans="1:33" ht="15" customHeight="1">
      <c r="A150" s="26"/>
      <c r="B150" s="227">
        <f>(B149+B151)/2</f>
        <v>33.5</v>
      </c>
      <c r="C150" s="151">
        <f t="shared" ref="C150:I150" si="165">((B143-B150)*C153-(B153-B150)*C143)/((B143-B150)-(B153-B150))</f>
        <v>1476</v>
      </c>
      <c r="D150" s="151">
        <f t="shared" si="165"/>
        <v>985</v>
      </c>
      <c r="E150" s="151">
        <f t="shared" si="165"/>
        <v>782</v>
      </c>
      <c r="F150" s="151">
        <f t="shared" si="165"/>
        <v>588</v>
      </c>
      <c r="G150" s="151">
        <f t="shared" si="165"/>
        <v>401</v>
      </c>
      <c r="H150" s="151">
        <f t="shared" si="165"/>
        <v>220.5</v>
      </c>
      <c r="I150" s="151">
        <f t="shared" si="165"/>
        <v>137</v>
      </c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26"/>
      <c r="U150" s="26"/>
      <c r="V150" s="26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 ht="15" customHeight="1">
      <c r="A151" s="26"/>
      <c r="B151" s="227">
        <v>34</v>
      </c>
      <c r="C151" s="151">
        <f t="shared" ref="C151:I151" si="166">((B143-B151)*C153-(B153-B151)*C143)/((B143-B151)-(B153-B151))</f>
        <v>1484</v>
      </c>
      <c r="D151" s="151">
        <f t="shared" si="166"/>
        <v>990</v>
      </c>
      <c r="E151" s="151">
        <f t="shared" si="166"/>
        <v>788</v>
      </c>
      <c r="F151" s="151">
        <f t="shared" si="166"/>
        <v>592</v>
      </c>
      <c r="G151" s="151">
        <f t="shared" si="166"/>
        <v>404</v>
      </c>
      <c r="H151" s="151">
        <f t="shared" si="166"/>
        <v>222</v>
      </c>
      <c r="I151" s="151">
        <f t="shared" si="166"/>
        <v>138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26"/>
      <c r="U151" s="26"/>
      <c r="V151" s="26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 ht="15" customHeight="1">
      <c r="A152" s="26"/>
      <c r="B152" s="227">
        <f>(B151+B153)/2</f>
        <v>34.5</v>
      </c>
      <c r="C152" s="151">
        <f t="shared" ref="C152:I152" si="167">((B143-B152)*C153-(B153-B152)*C143)/((B143-B152)-(B153-B152))</f>
        <v>1492</v>
      </c>
      <c r="D152" s="151">
        <f t="shared" si="167"/>
        <v>995</v>
      </c>
      <c r="E152" s="151">
        <f t="shared" si="167"/>
        <v>794</v>
      </c>
      <c r="F152" s="151">
        <f t="shared" si="167"/>
        <v>596</v>
      </c>
      <c r="G152" s="151">
        <f t="shared" si="167"/>
        <v>407</v>
      </c>
      <c r="H152" s="151">
        <f t="shared" si="167"/>
        <v>223.5</v>
      </c>
      <c r="I152" s="151">
        <f t="shared" si="167"/>
        <v>139</v>
      </c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26"/>
      <c r="U152" s="26"/>
      <c r="V152" s="26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 ht="15" customHeight="1">
      <c r="A153" s="26"/>
      <c r="B153" s="238">
        <v>35</v>
      </c>
      <c r="C153" s="239">
        <v>1500</v>
      </c>
      <c r="D153" s="240">
        <v>1000</v>
      </c>
      <c r="E153" s="240">
        <v>800</v>
      </c>
      <c r="F153" s="240">
        <v>600</v>
      </c>
      <c r="G153" s="240">
        <v>410</v>
      </c>
      <c r="H153" s="240">
        <v>225</v>
      </c>
      <c r="I153" s="240">
        <v>140</v>
      </c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26"/>
      <c r="U153" s="26"/>
      <c r="V153" s="26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 ht="15" customHeight="1">
      <c r="A154" s="26"/>
      <c r="B154" s="26"/>
      <c r="C154" s="26"/>
      <c r="D154" s="26"/>
      <c r="E154" s="26"/>
      <c r="F154" s="26"/>
      <c r="G154" s="26"/>
      <c r="H154" s="26"/>
      <c r="I154" s="4"/>
      <c r="J154" s="4"/>
      <c r="K154" s="4"/>
      <c r="L154" s="245" t="s">
        <v>401</v>
      </c>
      <c r="M154" s="4"/>
      <c r="N154" s="4"/>
      <c r="O154" s="4"/>
      <c r="P154" s="4"/>
      <c r="Q154" s="4"/>
      <c r="R154" s="4"/>
      <c r="S154" s="4"/>
      <c r="T154" s="26"/>
      <c r="U154" s="26"/>
      <c r="V154" s="26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 ht="15" customHeight="1">
      <c r="A155" s="26"/>
      <c r="B155" s="26"/>
      <c r="C155" s="26"/>
      <c r="D155" s="26"/>
      <c r="E155" s="26"/>
      <c r="F155" s="26"/>
      <c r="G155" s="26"/>
      <c r="H155" s="26"/>
      <c r="I155" s="4"/>
      <c r="J155" s="4"/>
      <c r="K155" s="4"/>
      <c r="L155" s="4"/>
      <c r="M155" s="29" t="s">
        <v>402</v>
      </c>
      <c r="N155" s="4"/>
      <c r="O155" s="4"/>
      <c r="P155" s="4"/>
      <c r="Q155" s="4"/>
      <c r="R155" s="4"/>
      <c r="S155" s="4"/>
      <c r="T155" s="26"/>
      <c r="U155" s="26"/>
      <c r="V155" s="26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 ht="15" customHeight="1">
      <c r="A156" s="26"/>
      <c r="B156" s="26"/>
      <c r="C156" s="26"/>
      <c r="D156" s="26"/>
      <c r="E156" s="26"/>
      <c r="F156" s="26"/>
      <c r="G156" s="26"/>
      <c r="H156" s="26"/>
      <c r="I156" s="4"/>
      <c r="J156" s="4"/>
      <c r="K156" s="4"/>
      <c r="L156" s="3" t="s">
        <v>403</v>
      </c>
      <c r="M156" s="4" t="s">
        <v>404</v>
      </c>
      <c r="N156" s="4"/>
      <c r="O156" s="4"/>
      <c r="P156" s="4"/>
      <c r="Q156" s="4"/>
      <c r="R156" s="4"/>
      <c r="S156" s="4"/>
      <c r="T156" s="26"/>
      <c r="U156" s="26"/>
      <c r="V156" s="26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 ht="15" customHeight="1">
      <c r="A157" s="26"/>
      <c r="B157" s="26"/>
      <c r="C157" s="26"/>
      <c r="D157" s="26"/>
      <c r="E157" s="26"/>
      <c r="F157" s="26"/>
      <c r="G157" s="26"/>
      <c r="H157" s="26"/>
      <c r="I157" s="4"/>
      <c r="J157" s="4"/>
      <c r="K157" s="4"/>
      <c r="L157" s="4"/>
      <c r="M157" s="4" t="s">
        <v>405</v>
      </c>
      <c r="N157" s="4"/>
      <c r="O157" s="4"/>
      <c r="P157" s="4"/>
      <c r="Q157" s="4"/>
      <c r="R157" s="4"/>
      <c r="S157" s="4"/>
      <c r="T157" s="26"/>
      <c r="U157" s="26"/>
      <c r="V157" s="26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 ht="15" customHeight="1">
      <c r="A158" s="26"/>
      <c r="B158" s="26"/>
      <c r="C158" s="26"/>
      <c r="D158" s="26"/>
      <c r="E158" s="26"/>
      <c r="F158" s="26"/>
      <c r="G158" s="26"/>
      <c r="H158" s="26"/>
      <c r="I158" s="4"/>
      <c r="J158" s="4"/>
      <c r="K158" s="4"/>
      <c r="L158" s="4"/>
      <c r="M158" s="4" t="s">
        <v>406</v>
      </c>
      <c r="N158" s="4"/>
      <c r="O158" s="4"/>
      <c r="P158" s="4"/>
      <c r="Q158" s="4"/>
      <c r="R158" s="4"/>
      <c r="S158" s="4"/>
      <c r="T158" s="26"/>
      <c r="U158" s="26"/>
      <c r="V158" s="26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 ht="15" customHeight="1">
      <c r="A159" s="26"/>
      <c r="B159" s="29"/>
      <c r="C159" s="26"/>
      <c r="D159" s="26"/>
      <c r="E159" s="208" t="s">
        <v>407</v>
      </c>
      <c r="F159" s="26"/>
      <c r="G159" s="26"/>
      <c r="H159" s="26"/>
      <c r="I159" s="4"/>
      <c r="J159" s="4"/>
      <c r="K159" s="4"/>
      <c r="L159" s="3" t="s">
        <v>408</v>
      </c>
      <c r="M159" s="4" t="s">
        <v>409</v>
      </c>
      <c r="N159" s="4"/>
      <c r="O159" s="4"/>
      <c r="P159" s="4"/>
      <c r="Q159" s="4"/>
      <c r="R159" s="4"/>
      <c r="S159" s="4"/>
      <c r="T159" s="26"/>
      <c r="U159" s="26"/>
      <c r="V159" s="26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 ht="15" customHeight="1">
      <c r="A160" s="26"/>
      <c r="B160" s="76"/>
      <c r="C160" s="209"/>
      <c r="D160" s="209"/>
      <c r="E160" s="209"/>
      <c r="F160" s="209"/>
      <c r="G160" s="210"/>
      <c r="H160" s="326" t="s">
        <v>410</v>
      </c>
      <c r="I160" s="302"/>
      <c r="J160" s="278"/>
      <c r="K160" s="4"/>
      <c r="L160" s="4"/>
      <c r="M160" s="4" t="s">
        <v>411</v>
      </c>
      <c r="N160" s="4"/>
      <c r="O160" s="4"/>
      <c r="P160" s="4"/>
      <c r="Q160" s="4"/>
      <c r="R160" s="4"/>
      <c r="S160" s="4"/>
      <c r="T160" s="26"/>
      <c r="U160" s="26"/>
      <c r="V160" s="26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 ht="15" customHeight="1">
      <c r="A161" s="26"/>
      <c r="B161" s="83"/>
      <c r="C161" s="26"/>
      <c r="D161" s="26"/>
      <c r="E161" s="26"/>
      <c r="F161" s="26"/>
      <c r="G161" s="151"/>
      <c r="H161" s="285"/>
      <c r="I161" s="264"/>
      <c r="J161" s="268"/>
      <c r="K161" s="4"/>
      <c r="L161" s="4"/>
      <c r="M161" s="4" t="s">
        <v>412</v>
      </c>
      <c r="N161" s="4"/>
      <c r="O161" s="4"/>
      <c r="P161" s="4"/>
      <c r="Q161" s="4"/>
      <c r="R161" s="4"/>
      <c r="S161" s="4"/>
      <c r="T161" s="26"/>
      <c r="U161" s="26"/>
      <c r="V161" s="26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 ht="15" customHeight="1">
      <c r="A162" s="26"/>
      <c r="B162" s="83"/>
      <c r="C162" s="26"/>
      <c r="D162" s="26"/>
      <c r="E162" s="26" t="s">
        <v>413</v>
      </c>
      <c r="F162" s="26"/>
      <c r="G162" s="151"/>
      <c r="H162" s="285"/>
      <c r="I162" s="264"/>
      <c r="J162" s="268"/>
      <c r="K162" s="4"/>
      <c r="L162" s="4"/>
      <c r="M162" s="4" t="s">
        <v>414</v>
      </c>
      <c r="N162" s="4"/>
      <c r="O162" s="4"/>
      <c r="P162" s="4"/>
      <c r="Q162" s="4"/>
      <c r="R162" s="4"/>
      <c r="S162" s="4"/>
      <c r="T162" s="26"/>
      <c r="U162" s="26"/>
      <c r="V162" s="26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 ht="15" customHeight="1">
      <c r="A163" s="26"/>
      <c r="B163" s="83"/>
      <c r="C163" s="26"/>
      <c r="D163" s="26"/>
      <c r="E163" s="26" t="s">
        <v>415</v>
      </c>
      <c r="F163" s="26"/>
      <c r="G163" s="151"/>
      <c r="H163" s="285"/>
      <c r="I163" s="264"/>
      <c r="J163" s="268"/>
      <c r="K163" s="4"/>
      <c r="L163" s="4"/>
      <c r="M163" s="4" t="s">
        <v>416</v>
      </c>
      <c r="N163" s="4"/>
      <c r="O163" s="4"/>
      <c r="P163" s="4"/>
      <c r="Q163" s="4"/>
      <c r="R163" s="4"/>
      <c r="S163" s="4"/>
      <c r="T163" s="26"/>
      <c r="U163" s="26"/>
      <c r="V163" s="26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 ht="15" customHeight="1">
      <c r="A164" s="26"/>
      <c r="B164" s="83"/>
      <c r="C164" s="26"/>
      <c r="D164" s="26"/>
      <c r="E164" s="26"/>
      <c r="F164" s="26"/>
      <c r="G164" s="151"/>
      <c r="H164" s="318"/>
      <c r="I164" s="317"/>
      <c r="J164" s="280"/>
      <c r="K164" s="4"/>
      <c r="L164" s="3" t="s">
        <v>417</v>
      </c>
      <c r="M164" s="4" t="s">
        <v>418</v>
      </c>
      <c r="N164" s="4"/>
      <c r="O164" s="4"/>
      <c r="P164" s="4"/>
      <c r="Q164" s="4"/>
      <c r="R164" s="4"/>
      <c r="S164" s="4"/>
      <c r="T164" s="26"/>
      <c r="U164" s="26"/>
      <c r="V164" s="26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 ht="15" customHeight="1">
      <c r="A165" s="26"/>
      <c r="B165" s="83"/>
      <c r="C165" s="26"/>
      <c r="D165" s="26"/>
      <c r="E165" s="26"/>
      <c r="F165" s="26"/>
      <c r="G165" s="151"/>
      <c r="H165" s="277" t="s">
        <v>419</v>
      </c>
      <c r="I165" s="302"/>
      <c r="J165" s="151" t="s">
        <v>420</v>
      </c>
      <c r="K165" s="4"/>
      <c r="L165" s="4"/>
      <c r="M165" s="4"/>
      <c r="N165" s="4"/>
      <c r="O165" s="208" t="s">
        <v>421</v>
      </c>
      <c r="P165" s="4"/>
      <c r="Q165" s="4"/>
      <c r="R165" s="4"/>
      <c r="S165" s="4"/>
      <c r="T165" s="26"/>
      <c r="U165" s="26"/>
      <c r="V165" s="26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 ht="15" customHeight="1">
      <c r="A166" s="26"/>
      <c r="B166" s="156"/>
      <c r="C166" s="211"/>
      <c r="D166" s="211"/>
      <c r="E166" s="211"/>
      <c r="F166" s="211"/>
      <c r="G166" s="159"/>
      <c r="H166" s="303" t="s">
        <v>422</v>
      </c>
      <c r="I166" s="304"/>
      <c r="J166" s="246" t="s">
        <v>423</v>
      </c>
      <c r="K166" s="4"/>
      <c r="L166" s="92"/>
      <c r="M166" s="25"/>
      <c r="N166" s="25"/>
      <c r="O166" s="25"/>
      <c r="P166" s="93"/>
      <c r="Q166" s="277" t="s">
        <v>424</v>
      </c>
      <c r="R166" s="302"/>
      <c r="S166" s="302"/>
      <c r="T166" s="278"/>
      <c r="U166" s="26"/>
      <c r="V166" s="26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 ht="15" customHeight="1">
      <c r="A167" s="26"/>
      <c r="B167" s="305" t="s">
        <v>425</v>
      </c>
      <c r="C167" s="302"/>
      <c r="D167" s="302"/>
      <c r="E167" s="302"/>
      <c r="F167" s="302"/>
      <c r="G167" s="278"/>
      <c r="H167" s="277">
        <v>1</v>
      </c>
      <c r="I167" s="302"/>
      <c r="J167" s="308">
        <v>1</v>
      </c>
      <c r="K167" s="4"/>
      <c r="L167" s="36"/>
      <c r="M167" s="4" t="s">
        <v>426</v>
      </c>
      <c r="N167" s="4"/>
      <c r="O167" s="4"/>
      <c r="P167" s="37"/>
      <c r="Q167" s="211"/>
      <c r="R167" s="247" t="s">
        <v>427</v>
      </c>
      <c r="S167" s="215" t="s">
        <v>428</v>
      </c>
      <c r="T167" s="159"/>
      <c r="U167" s="26"/>
      <c r="V167" s="26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 ht="15" customHeight="1">
      <c r="A168" s="26"/>
      <c r="B168" s="306"/>
      <c r="C168" s="307"/>
      <c r="D168" s="307"/>
      <c r="E168" s="307"/>
      <c r="F168" s="307"/>
      <c r="G168" s="291"/>
      <c r="H168" s="306"/>
      <c r="I168" s="307"/>
      <c r="J168" s="291"/>
      <c r="K168" s="4"/>
      <c r="L168" s="49"/>
      <c r="M168" s="20"/>
      <c r="N168" s="20"/>
      <c r="O168" s="20"/>
      <c r="P168" s="118"/>
      <c r="Q168" s="177" t="s">
        <v>339</v>
      </c>
      <c r="R168" s="177" t="s">
        <v>429</v>
      </c>
      <c r="S168" s="177" t="s">
        <v>430</v>
      </c>
      <c r="T168" s="177" t="s">
        <v>431</v>
      </c>
      <c r="U168" s="26"/>
      <c r="V168" s="26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 ht="15" customHeight="1">
      <c r="A169" s="26"/>
      <c r="B169" s="309" t="s">
        <v>432</v>
      </c>
      <c r="C169" s="310"/>
      <c r="D169" s="310"/>
      <c r="E169" s="310"/>
      <c r="F169" s="310"/>
      <c r="G169" s="311"/>
      <c r="H169" s="29"/>
      <c r="I169" s="29"/>
      <c r="J169" s="248"/>
      <c r="K169" s="4"/>
      <c r="L169" s="36" t="s">
        <v>433</v>
      </c>
      <c r="M169" s="4"/>
      <c r="N169" s="4"/>
      <c r="O169" s="4"/>
      <c r="P169" s="37"/>
      <c r="Q169" s="24">
        <v>0.8</v>
      </c>
      <c r="R169" s="24">
        <v>0.8</v>
      </c>
      <c r="S169" s="24">
        <v>0.8</v>
      </c>
      <c r="T169" s="24">
        <v>0.7</v>
      </c>
      <c r="U169" s="26"/>
      <c r="V169" s="26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 ht="15" customHeight="1">
      <c r="A170" s="26"/>
      <c r="B170" s="285"/>
      <c r="C170" s="264"/>
      <c r="D170" s="264"/>
      <c r="E170" s="264"/>
      <c r="F170" s="264"/>
      <c r="G170" s="268"/>
      <c r="H170" s="29"/>
      <c r="I170" s="26"/>
      <c r="J170" s="248"/>
      <c r="K170" s="4"/>
      <c r="L170" s="249" t="s">
        <v>434</v>
      </c>
      <c r="M170" s="124"/>
      <c r="N170" s="124"/>
      <c r="O170" s="124"/>
      <c r="P170" s="250"/>
      <c r="Q170" s="251"/>
      <c r="R170" s="251"/>
      <c r="S170" s="251"/>
      <c r="T170" s="251"/>
      <c r="U170" s="26"/>
      <c r="V170" s="26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 ht="15" customHeight="1">
      <c r="A171" s="26"/>
      <c r="B171" s="285"/>
      <c r="C171" s="264"/>
      <c r="D171" s="264"/>
      <c r="E171" s="264"/>
      <c r="F171" s="264"/>
      <c r="G171" s="268"/>
      <c r="H171" s="29"/>
      <c r="I171" s="26"/>
      <c r="J171" s="248"/>
      <c r="K171" s="4"/>
      <c r="L171" s="249" t="s">
        <v>435</v>
      </c>
      <c r="M171" s="124"/>
      <c r="N171" s="124"/>
      <c r="O171" s="124"/>
      <c r="P171" s="250"/>
      <c r="Q171" s="251">
        <v>0.9</v>
      </c>
      <c r="R171" s="251">
        <v>0.9</v>
      </c>
      <c r="S171" s="251">
        <v>0.9</v>
      </c>
      <c r="T171" s="251">
        <v>0.9</v>
      </c>
      <c r="U171" s="26"/>
      <c r="V171" s="26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 ht="15" customHeight="1">
      <c r="A172" s="26"/>
      <c r="B172" s="94" t="s">
        <v>436</v>
      </c>
      <c r="C172" s="29" t="s">
        <v>437</v>
      </c>
      <c r="D172" s="29"/>
      <c r="E172" s="29"/>
      <c r="F172" s="29"/>
      <c r="G172" s="248"/>
      <c r="H172" s="267">
        <v>1</v>
      </c>
      <c r="I172" s="264"/>
      <c r="J172" s="151">
        <v>0.5</v>
      </c>
      <c r="K172" s="4"/>
      <c r="L172" s="36" t="s">
        <v>438</v>
      </c>
      <c r="M172" s="4"/>
      <c r="N172" s="4"/>
      <c r="O172" s="4"/>
      <c r="P172" s="37"/>
      <c r="Q172" s="24"/>
      <c r="R172" s="24"/>
      <c r="S172" s="24"/>
      <c r="T172" s="24"/>
      <c r="U172" s="26"/>
      <c r="V172" s="26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 ht="15" customHeight="1">
      <c r="A173" s="26"/>
      <c r="B173" s="94" t="s">
        <v>439</v>
      </c>
      <c r="C173" s="29" t="s">
        <v>440</v>
      </c>
      <c r="D173" s="29"/>
      <c r="E173" s="29"/>
      <c r="F173" s="29"/>
      <c r="G173" s="248"/>
      <c r="H173" s="267">
        <v>1</v>
      </c>
      <c r="I173" s="264"/>
      <c r="J173" s="151">
        <v>0.6</v>
      </c>
      <c r="K173" s="4"/>
      <c r="L173" s="36" t="s">
        <v>441</v>
      </c>
      <c r="M173" s="4"/>
      <c r="N173" s="4"/>
      <c r="O173" s="4"/>
      <c r="P173" s="37"/>
      <c r="Q173" s="24"/>
      <c r="R173" s="24"/>
      <c r="S173" s="24"/>
      <c r="T173" s="24"/>
      <c r="U173" s="26"/>
      <c r="V173" s="26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 ht="15" customHeight="1">
      <c r="A174" s="26"/>
      <c r="B174" s="94" t="s">
        <v>442</v>
      </c>
      <c r="C174" s="312" t="s">
        <v>443</v>
      </c>
      <c r="D174" s="264"/>
      <c r="E174" s="264"/>
      <c r="F174" s="264"/>
      <c r="G174" s="268"/>
      <c r="H174" s="267">
        <v>1</v>
      </c>
      <c r="I174" s="264"/>
      <c r="J174" s="313">
        <v>1</v>
      </c>
      <c r="K174" s="4"/>
      <c r="L174" s="36" t="s">
        <v>444</v>
      </c>
      <c r="M174" s="4"/>
      <c r="N174" s="4"/>
      <c r="O174" s="4"/>
      <c r="P174" s="37"/>
      <c r="Q174" s="24">
        <v>0.7</v>
      </c>
      <c r="R174" s="24">
        <v>0.7</v>
      </c>
      <c r="S174" s="24">
        <v>0.7</v>
      </c>
      <c r="T174" s="24">
        <v>0.6</v>
      </c>
      <c r="U174" s="26"/>
      <c r="V174" s="26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 ht="15" customHeight="1">
      <c r="A175" s="26"/>
      <c r="B175" s="252"/>
      <c r="C175" s="307"/>
      <c r="D175" s="307"/>
      <c r="E175" s="307"/>
      <c r="F175" s="307"/>
      <c r="G175" s="291"/>
      <c r="H175" s="306"/>
      <c r="I175" s="307"/>
      <c r="J175" s="291"/>
      <c r="K175" s="4"/>
      <c r="L175" s="36" t="s">
        <v>445</v>
      </c>
      <c r="M175" s="4"/>
      <c r="N175" s="4"/>
      <c r="O175" s="4"/>
      <c r="P175" s="37"/>
      <c r="Q175" s="24"/>
      <c r="R175" s="24"/>
      <c r="S175" s="24"/>
      <c r="T175" s="24"/>
      <c r="U175" s="26"/>
      <c r="V175" s="26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 ht="15" customHeight="1">
      <c r="A176" s="26"/>
      <c r="B176" s="309" t="s">
        <v>446</v>
      </c>
      <c r="C176" s="310"/>
      <c r="D176" s="310"/>
      <c r="E176" s="310"/>
      <c r="F176" s="310"/>
      <c r="G176" s="311"/>
      <c r="H176" s="315">
        <v>1</v>
      </c>
      <c r="I176" s="310"/>
      <c r="J176" s="314">
        <v>0.9</v>
      </c>
      <c r="K176" s="4"/>
      <c r="L176" s="36" t="s">
        <v>447</v>
      </c>
      <c r="M176" s="4"/>
      <c r="N176" s="4"/>
      <c r="O176" s="4"/>
      <c r="P176" s="37"/>
      <c r="Q176" s="24">
        <v>0.6</v>
      </c>
      <c r="R176" s="24">
        <v>0.6</v>
      </c>
      <c r="S176" s="24">
        <v>0.6</v>
      </c>
      <c r="T176" s="24">
        <v>0.6</v>
      </c>
      <c r="U176" s="26"/>
      <c r="V176" s="26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 ht="15" customHeight="1">
      <c r="A177" s="26"/>
      <c r="B177" s="306"/>
      <c r="C177" s="307"/>
      <c r="D177" s="307"/>
      <c r="E177" s="307"/>
      <c r="F177" s="307"/>
      <c r="G177" s="291"/>
      <c r="H177" s="306"/>
      <c r="I177" s="307"/>
      <c r="J177" s="291"/>
      <c r="K177" s="4"/>
      <c r="L177" s="36" t="s">
        <v>448</v>
      </c>
      <c r="M177" s="4"/>
      <c r="N177" s="4"/>
      <c r="O177" s="4"/>
      <c r="P177" s="37"/>
      <c r="Q177" s="24">
        <v>0.8</v>
      </c>
      <c r="R177" s="24">
        <v>0.8</v>
      </c>
      <c r="S177" s="24">
        <v>0.8</v>
      </c>
      <c r="T177" s="24">
        <v>0.7</v>
      </c>
      <c r="U177" s="26"/>
      <c r="V177" s="26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 ht="15" customHeight="1">
      <c r="A178" s="26"/>
      <c r="B178" s="253" t="s">
        <v>449</v>
      </c>
      <c r="C178" s="29"/>
      <c r="D178" s="29"/>
      <c r="E178" s="29"/>
      <c r="F178" s="29"/>
      <c r="G178" s="248"/>
      <c r="H178" s="29"/>
      <c r="I178" s="29"/>
      <c r="J178" s="248"/>
      <c r="K178" s="4"/>
      <c r="L178" s="249" t="s">
        <v>450</v>
      </c>
      <c r="M178" s="124"/>
      <c r="N178" s="124"/>
      <c r="O178" s="124"/>
      <c r="P178" s="250"/>
      <c r="Q178" s="251"/>
      <c r="R178" s="251"/>
      <c r="S178" s="251"/>
      <c r="T178" s="251"/>
      <c r="U178" s="26"/>
      <c r="V178" s="26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 ht="15" customHeight="1">
      <c r="A179" s="26"/>
      <c r="B179" s="94" t="s">
        <v>436</v>
      </c>
      <c r="C179" s="29" t="s">
        <v>451</v>
      </c>
      <c r="D179" s="29"/>
      <c r="E179" s="29"/>
      <c r="F179" s="29"/>
      <c r="G179" s="248"/>
      <c r="H179" s="29"/>
      <c r="I179" s="29"/>
      <c r="J179" s="248"/>
      <c r="K179" s="4"/>
      <c r="L179" s="249" t="s">
        <v>452</v>
      </c>
      <c r="M179" s="124"/>
      <c r="N179" s="124"/>
      <c r="O179" s="124"/>
      <c r="P179" s="250"/>
      <c r="Q179" s="251">
        <v>1</v>
      </c>
      <c r="R179" s="251">
        <v>0.9</v>
      </c>
      <c r="S179" s="251">
        <v>0.7</v>
      </c>
      <c r="T179" s="251">
        <v>0.6</v>
      </c>
      <c r="U179" s="26"/>
      <c r="V179" s="26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 ht="15" customHeight="1">
      <c r="A180" s="26"/>
      <c r="B180" s="253"/>
      <c r="C180" s="29" t="s">
        <v>453</v>
      </c>
      <c r="D180" s="29"/>
      <c r="E180" s="29"/>
      <c r="F180" s="29"/>
      <c r="G180" s="248"/>
      <c r="H180" s="267">
        <v>1.2</v>
      </c>
      <c r="I180" s="264"/>
      <c r="J180" s="151">
        <v>1</v>
      </c>
      <c r="K180" s="4"/>
      <c r="L180" s="249" t="s">
        <v>454</v>
      </c>
      <c r="M180" s="124"/>
      <c r="N180" s="124"/>
      <c r="O180" s="124"/>
      <c r="P180" s="250"/>
      <c r="Q180" s="251">
        <v>0.7</v>
      </c>
      <c r="R180" s="251">
        <v>0.7</v>
      </c>
      <c r="S180" s="251">
        <v>0.7</v>
      </c>
      <c r="T180" s="251">
        <v>0.6</v>
      </c>
      <c r="U180" s="26"/>
      <c r="V180" s="26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 ht="15" customHeight="1">
      <c r="A181" s="26"/>
      <c r="B181" s="253"/>
      <c r="C181" s="29" t="s">
        <v>455</v>
      </c>
      <c r="D181" s="29"/>
      <c r="E181" s="29"/>
      <c r="F181" s="29"/>
      <c r="G181" s="248"/>
      <c r="H181" s="267">
        <v>1.1000000000000001</v>
      </c>
      <c r="I181" s="264"/>
      <c r="J181" s="151">
        <v>1</v>
      </c>
      <c r="K181" s="4"/>
      <c r="L181" s="36" t="s">
        <v>456</v>
      </c>
      <c r="M181" s="4"/>
      <c r="N181" s="4"/>
      <c r="O181" s="4"/>
      <c r="P181" s="37"/>
      <c r="Q181" s="24">
        <v>0.8</v>
      </c>
      <c r="R181" s="24">
        <v>0.8</v>
      </c>
      <c r="S181" s="24">
        <v>0.8</v>
      </c>
      <c r="T181" s="24">
        <v>0.7</v>
      </c>
      <c r="U181" s="26"/>
      <c r="V181" s="26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 ht="15" customHeight="1">
      <c r="A182" s="26"/>
      <c r="B182" s="253"/>
      <c r="C182" s="29" t="s">
        <v>457</v>
      </c>
      <c r="D182" s="29"/>
      <c r="E182" s="29"/>
      <c r="F182" s="29"/>
      <c r="G182" s="248"/>
      <c r="H182" s="267">
        <v>1</v>
      </c>
      <c r="I182" s="264"/>
      <c r="J182" s="151">
        <v>1</v>
      </c>
      <c r="K182" s="4"/>
      <c r="L182" s="36" t="s">
        <v>458</v>
      </c>
      <c r="M182" s="4"/>
      <c r="N182" s="4"/>
      <c r="O182" s="4"/>
      <c r="P182" s="37"/>
      <c r="Q182" s="24"/>
      <c r="R182" s="24"/>
      <c r="S182" s="24"/>
      <c r="T182" s="24"/>
      <c r="U182" s="26"/>
      <c r="V182" s="26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 ht="15" customHeight="1">
      <c r="A183" s="26"/>
      <c r="B183" s="94" t="s">
        <v>439</v>
      </c>
      <c r="C183" s="29" t="s">
        <v>459</v>
      </c>
      <c r="D183" s="29"/>
      <c r="E183" s="29"/>
      <c r="F183" s="29"/>
      <c r="G183" s="248"/>
      <c r="H183" s="26"/>
      <c r="I183" s="26"/>
      <c r="J183" s="151"/>
      <c r="K183" s="4"/>
      <c r="L183" s="249" t="s">
        <v>460</v>
      </c>
      <c r="M183" s="124"/>
      <c r="N183" s="124"/>
      <c r="O183" s="124"/>
      <c r="P183" s="250"/>
      <c r="Q183" s="251"/>
      <c r="R183" s="251"/>
      <c r="S183" s="251"/>
      <c r="T183" s="251"/>
      <c r="U183" s="26"/>
      <c r="V183" s="26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 ht="12.75" customHeight="1">
      <c r="A184" s="26"/>
      <c r="B184" s="253"/>
      <c r="C184" s="29" t="s">
        <v>461</v>
      </c>
      <c r="D184" s="29"/>
      <c r="E184" s="29"/>
      <c r="F184" s="29"/>
      <c r="G184" s="248"/>
      <c r="H184" s="267">
        <v>0.9</v>
      </c>
      <c r="I184" s="264"/>
      <c r="J184" s="151">
        <v>0.9</v>
      </c>
      <c r="K184" s="4"/>
      <c r="L184" s="36" t="s">
        <v>462</v>
      </c>
      <c r="M184" s="4"/>
      <c r="N184" s="4"/>
      <c r="O184" s="4"/>
      <c r="P184" s="37"/>
      <c r="Q184" s="24">
        <v>0.9</v>
      </c>
      <c r="R184" s="24">
        <v>0.8</v>
      </c>
      <c r="S184" s="24">
        <v>0.8</v>
      </c>
      <c r="T184" s="24">
        <v>0.8</v>
      </c>
      <c r="U184" s="26"/>
      <c r="V184" s="26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 ht="12.75" customHeight="1">
      <c r="A185" s="26"/>
      <c r="B185" s="253"/>
      <c r="C185" s="29" t="s">
        <v>463</v>
      </c>
      <c r="D185" s="29"/>
      <c r="E185" s="29"/>
      <c r="F185" s="29"/>
      <c r="G185" s="248"/>
      <c r="H185" s="267">
        <v>0.8</v>
      </c>
      <c r="I185" s="264"/>
      <c r="J185" s="151">
        <v>0.9</v>
      </c>
      <c r="K185" s="4"/>
      <c r="L185" s="36" t="s">
        <v>464</v>
      </c>
      <c r="M185" s="4"/>
      <c r="N185" s="4"/>
      <c r="O185" s="4"/>
      <c r="P185" s="37"/>
      <c r="Q185" s="24"/>
      <c r="R185" s="24"/>
      <c r="S185" s="24"/>
      <c r="T185" s="24"/>
      <c r="U185" s="26"/>
      <c r="V185" s="26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 ht="12.75" customHeight="1">
      <c r="A186" s="26"/>
      <c r="B186" s="253"/>
      <c r="C186" s="29" t="s">
        <v>465</v>
      </c>
      <c r="D186" s="29"/>
      <c r="E186" s="29"/>
      <c r="F186" s="29"/>
      <c r="G186" s="248"/>
      <c r="H186" s="267">
        <v>0.7</v>
      </c>
      <c r="I186" s="264"/>
      <c r="J186" s="151">
        <v>0.9</v>
      </c>
      <c r="K186" s="4"/>
      <c r="L186" s="49" t="s">
        <v>466</v>
      </c>
      <c r="M186" s="20"/>
      <c r="N186" s="20"/>
      <c r="O186" s="20"/>
      <c r="P186" s="118"/>
      <c r="Q186" s="78"/>
      <c r="R186" s="78"/>
      <c r="S186" s="78"/>
      <c r="T186" s="78"/>
      <c r="U186" s="26"/>
      <c r="V186" s="26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 ht="14.25" customHeight="1">
      <c r="A187" s="26"/>
      <c r="B187" s="254" t="s">
        <v>442</v>
      </c>
      <c r="C187" s="255" t="s">
        <v>467</v>
      </c>
      <c r="D187" s="255"/>
      <c r="E187" s="255"/>
      <c r="F187" s="255"/>
      <c r="G187" s="256"/>
      <c r="H187" s="290">
        <v>1</v>
      </c>
      <c r="I187" s="307"/>
      <c r="J187" s="257">
        <v>1</v>
      </c>
      <c r="K187" s="4"/>
      <c r="L187" s="4"/>
      <c r="M187" s="4"/>
      <c r="N187" s="4"/>
      <c r="O187" s="4"/>
      <c r="P187" s="4"/>
      <c r="Q187" s="26"/>
      <c r="R187" s="26"/>
      <c r="S187" s="26"/>
      <c r="T187" s="26"/>
      <c r="U187" s="26"/>
      <c r="V187" s="26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 ht="12.75" customHeight="1">
      <c r="A188" s="26"/>
      <c r="B188" s="253" t="s">
        <v>468</v>
      </c>
      <c r="C188" s="29"/>
      <c r="D188" s="29"/>
      <c r="E188" s="29"/>
      <c r="F188" s="29"/>
      <c r="G188" s="248"/>
      <c r="H188" s="26"/>
      <c r="I188" s="26"/>
      <c r="J188" s="151"/>
      <c r="K188" s="4"/>
      <c r="L188" s="4"/>
      <c r="M188" s="4"/>
      <c r="N188" s="4"/>
      <c r="O188" s="4"/>
      <c r="P188" s="4"/>
      <c r="Q188" s="26"/>
      <c r="R188" s="26"/>
      <c r="S188" s="26"/>
      <c r="T188" s="26"/>
      <c r="U188" s="26"/>
      <c r="V188" s="26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 ht="12.75" customHeight="1">
      <c r="A189" s="26"/>
      <c r="B189" s="94" t="s">
        <v>436</v>
      </c>
      <c r="C189" s="29" t="s">
        <v>469</v>
      </c>
      <c r="D189" s="29"/>
      <c r="E189" s="29"/>
      <c r="F189" s="29"/>
      <c r="G189" s="248"/>
      <c r="H189" s="267">
        <v>1</v>
      </c>
      <c r="I189" s="264"/>
      <c r="J189" s="151">
        <v>1</v>
      </c>
      <c r="K189" s="4"/>
      <c r="L189" s="4"/>
      <c r="M189" s="4"/>
      <c r="N189" s="4"/>
      <c r="O189" s="4"/>
      <c r="P189" s="4"/>
      <c r="Q189" s="26"/>
      <c r="R189" s="26"/>
      <c r="S189" s="26"/>
      <c r="T189" s="26"/>
      <c r="U189" s="26"/>
      <c r="V189" s="26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 ht="12.75" customHeight="1">
      <c r="A190" s="26"/>
      <c r="B190" s="254" t="s">
        <v>439</v>
      </c>
      <c r="C190" s="255" t="s">
        <v>470</v>
      </c>
      <c r="D190" s="255"/>
      <c r="E190" s="255"/>
      <c r="F190" s="255"/>
      <c r="G190" s="256"/>
      <c r="H190" s="290">
        <v>0.7</v>
      </c>
      <c r="I190" s="307"/>
      <c r="J190" s="257">
        <v>1</v>
      </c>
      <c r="K190" s="4"/>
      <c r="L190" s="4"/>
      <c r="M190" s="4"/>
      <c r="N190" s="4"/>
      <c r="O190" s="4"/>
      <c r="P190" s="4"/>
      <c r="Q190" s="26"/>
      <c r="R190" s="26"/>
      <c r="S190" s="26"/>
      <c r="T190" s="26"/>
      <c r="U190" s="26"/>
      <c r="V190" s="26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 ht="12.75" customHeight="1">
      <c r="A191" s="26"/>
      <c r="B191" s="309" t="s">
        <v>471</v>
      </c>
      <c r="C191" s="310"/>
      <c r="D191" s="310"/>
      <c r="E191" s="310"/>
      <c r="F191" s="310"/>
      <c r="G191" s="311"/>
      <c r="H191" s="26"/>
      <c r="I191" s="26"/>
      <c r="J191" s="151"/>
      <c r="K191" s="4"/>
      <c r="L191" s="4"/>
      <c r="M191" s="4"/>
      <c r="N191" s="4"/>
      <c r="O191" s="4"/>
      <c r="P191" s="4"/>
      <c r="Q191" s="26"/>
      <c r="R191" s="26"/>
      <c r="S191" s="26"/>
      <c r="T191" s="26"/>
      <c r="U191" s="26"/>
      <c r="V191" s="26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 ht="12.75" customHeight="1">
      <c r="A192" s="26"/>
      <c r="B192" s="285"/>
      <c r="C192" s="264"/>
      <c r="D192" s="264"/>
      <c r="E192" s="264"/>
      <c r="F192" s="264"/>
      <c r="G192" s="268"/>
      <c r="H192" s="26"/>
      <c r="I192" s="26"/>
      <c r="J192" s="151"/>
      <c r="K192" s="4"/>
      <c r="L192" s="4"/>
      <c r="M192" s="4"/>
      <c r="N192" s="4"/>
      <c r="O192" s="4"/>
      <c r="P192" s="4"/>
      <c r="Q192" s="26"/>
      <c r="R192" s="26"/>
      <c r="S192" s="26"/>
      <c r="T192" s="26"/>
      <c r="U192" s="26"/>
      <c r="V192" s="26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 ht="12.75" customHeight="1">
      <c r="A193" s="26"/>
      <c r="B193" s="285"/>
      <c r="C193" s="264"/>
      <c r="D193" s="264"/>
      <c r="E193" s="264"/>
      <c r="F193" s="264"/>
      <c r="G193" s="268"/>
      <c r="H193" s="26"/>
      <c r="I193" s="26"/>
      <c r="J193" s="151"/>
      <c r="K193" s="4"/>
      <c r="L193" s="4"/>
      <c r="M193" s="4"/>
      <c r="N193" s="4"/>
      <c r="O193" s="4"/>
      <c r="P193" s="4"/>
      <c r="Q193" s="26"/>
      <c r="R193" s="26"/>
      <c r="S193" s="26"/>
      <c r="T193" s="26"/>
      <c r="U193" s="26"/>
      <c r="V193" s="26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 ht="12.75" customHeight="1">
      <c r="A194" s="26"/>
      <c r="B194" s="285"/>
      <c r="C194" s="264"/>
      <c r="D194" s="264"/>
      <c r="E194" s="264"/>
      <c r="F194" s="264"/>
      <c r="G194" s="268"/>
      <c r="H194" s="26"/>
      <c r="I194" s="26"/>
      <c r="J194" s="151"/>
      <c r="K194" s="4"/>
      <c r="L194" s="4"/>
      <c r="M194" s="4"/>
      <c r="N194" s="4"/>
      <c r="O194" s="4"/>
      <c r="P194" s="4"/>
      <c r="Q194" s="26"/>
      <c r="R194" s="26"/>
      <c r="S194" s="26"/>
      <c r="T194" s="26"/>
      <c r="U194" s="26"/>
      <c r="V194" s="26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 ht="12.75" customHeight="1">
      <c r="A195" s="26"/>
      <c r="B195" s="94" t="s">
        <v>436</v>
      </c>
      <c r="C195" s="29" t="s">
        <v>472</v>
      </c>
      <c r="D195" s="29"/>
      <c r="E195" s="29"/>
      <c r="F195" s="29"/>
      <c r="G195" s="248"/>
      <c r="H195" s="267">
        <v>0.9</v>
      </c>
      <c r="I195" s="264"/>
      <c r="J195" s="151">
        <v>1</v>
      </c>
      <c r="K195" s="4"/>
      <c r="L195" s="4"/>
      <c r="M195" s="4"/>
      <c r="N195" s="4"/>
      <c r="O195" s="4"/>
      <c r="P195" s="4"/>
      <c r="Q195" s="26"/>
      <c r="R195" s="26"/>
      <c r="S195" s="26"/>
      <c r="T195" s="26"/>
      <c r="U195" s="26"/>
      <c r="V195" s="26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 ht="12.75" customHeight="1">
      <c r="A196" s="26"/>
      <c r="B196" s="94" t="s">
        <v>439</v>
      </c>
      <c r="C196" s="29" t="s">
        <v>473</v>
      </c>
      <c r="D196" s="29"/>
      <c r="E196" s="29"/>
      <c r="F196" s="29"/>
      <c r="G196" s="248"/>
      <c r="H196" s="267">
        <v>0.8</v>
      </c>
      <c r="I196" s="264"/>
      <c r="J196" s="151">
        <v>1</v>
      </c>
      <c r="K196" s="4"/>
      <c r="L196" s="4"/>
      <c r="M196" s="4"/>
      <c r="N196" s="4"/>
      <c r="O196" s="4"/>
      <c r="P196" s="4"/>
      <c r="Q196" s="26"/>
      <c r="R196" s="26"/>
      <c r="S196" s="26"/>
      <c r="T196" s="26"/>
      <c r="U196" s="26"/>
      <c r="V196" s="26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 ht="12.75" customHeight="1">
      <c r="A197" s="26"/>
      <c r="B197" s="254" t="s">
        <v>442</v>
      </c>
      <c r="C197" s="255" t="s">
        <v>474</v>
      </c>
      <c r="D197" s="255"/>
      <c r="E197" s="255"/>
      <c r="F197" s="255"/>
      <c r="G197" s="256"/>
      <c r="H197" s="290">
        <v>0.7</v>
      </c>
      <c r="I197" s="307"/>
      <c r="J197" s="257">
        <v>1</v>
      </c>
      <c r="K197" s="4"/>
      <c r="L197" s="4"/>
      <c r="M197" s="4"/>
      <c r="N197" s="4"/>
      <c r="O197" s="4"/>
      <c r="P197" s="4"/>
      <c r="Q197" s="26"/>
      <c r="R197" s="26"/>
      <c r="S197" s="26"/>
      <c r="T197" s="26"/>
      <c r="U197" s="26"/>
      <c r="V197" s="26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 ht="12.75" customHeight="1">
      <c r="A198" s="26"/>
      <c r="B198" s="253" t="s">
        <v>475</v>
      </c>
      <c r="C198" s="29"/>
      <c r="D198" s="29"/>
      <c r="E198" s="29"/>
      <c r="F198" s="29"/>
      <c r="G198" s="248"/>
      <c r="H198" s="26"/>
      <c r="I198" s="26"/>
      <c r="J198" s="151"/>
      <c r="K198" s="4"/>
      <c r="L198" s="4"/>
      <c r="M198" s="4"/>
      <c r="N198" s="4"/>
      <c r="O198" s="4"/>
      <c r="P198" s="4"/>
      <c r="Q198" s="26"/>
      <c r="R198" s="26"/>
      <c r="S198" s="26"/>
      <c r="T198" s="26"/>
      <c r="U198" s="26"/>
      <c r="V198" s="26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 ht="12.75" customHeight="1">
      <c r="A199" s="26"/>
      <c r="B199" s="94" t="s">
        <v>436</v>
      </c>
      <c r="C199" s="29" t="s">
        <v>476</v>
      </c>
      <c r="D199" s="29"/>
      <c r="E199" s="29"/>
      <c r="F199" s="29"/>
      <c r="G199" s="248"/>
      <c r="H199" s="267">
        <v>1.1000000000000001</v>
      </c>
      <c r="I199" s="264"/>
      <c r="J199" s="151">
        <v>1</v>
      </c>
      <c r="K199" s="4"/>
      <c r="L199" s="4"/>
      <c r="M199" s="4"/>
      <c r="N199" s="4"/>
      <c r="O199" s="4"/>
      <c r="P199" s="4"/>
      <c r="Q199" s="26"/>
      <c r="R199" s="26"/>
      <c r="S199" s="26"/>
      <c r="T199" s="26"/>
      <c r="U199" s="26"/>
      <c r="V199" s="26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 ht="12.75" customHeight="1">
      <c r="A200" s="26"/>
      <c r="B200" s="94" t="s">
        <v>439</v>
      </c>
      <c r="C200" s="29" t="s">
        <v>477</v>
      </c>
      <c r="D200" s="29"/>
      <c r="E200" s="29"/>
      <c r="F200" s="29"/>
      <c r="G200" s="248"/>
      <c r="H200" s="267">
        <v>1.1000000000000001</v>
      </c>
      <c r="I200" s="264"/>
      <c r="J200" s="151">
        <v>0.8</v>
      </c>
      <c r="K200" s="4"/>
      <c r="L200" s="4"/>
      <c r="M200" s="4"/>
      <c r="N200" s="4"/>
      <c r="O200" s="4"/>
      <c r="P200" s="4"/>
      <c r="Q200" s="26"/>
      <c r="R200" s="26"/>
      <c r="S200" s="26"/>
      <c r="T200" s="26"/>
      <c r="U200" s="26"/>
      <c r="V200" s="26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 ht="14.25" customHeight="1">
      <c r="A201" s="26"/>
      <c r="B201" s="94" t="s">
        <v>442</v>
      </c>
      <c r="C201" s="29" t="s">
        <v>478</v>
      </c>
      <c r="D201" s="29"/>
      <c r="E201" s="29"/>
      <c r="F201" s="29"/>
      <c r="G201" s="248"/>
      <c r="H201" s="267">
        <v>1</v>
      </c>
      <c r="I201" s="264"/>
      <c r="J201" s="151">
        <v>1</v>
      </c>
      <c r="K201" s="4"/>
      <c r="L201" s="4"/>
      <c r="M201" s="4"/>
      <c r="N201" s="4"/>
      <c r="O201" s="4"/>
      <c r="P201" s="4"/>
      <c r="Q201" s="26"/>
      <c r="R201" s="26"/>
      <c r="S201" s="26"/>
      <c r="T201" s="26"/>
      <c r="U201" s="26"/>
      <c r="V201" s="26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 ht="14.25" customHeight="1">
      <c r="A202" s="26"/>
      <c r="B202" s="116" t="s">
        <v>479</v>
      </c>
      <c r="C202" s="215" t="s">
        <v>480</v>
      </c>
      <c r="D202" s="215"/>
      <c r="E202" s="215"/>
      <c r="F202" s="215"/>
      <c r="G202" s="258"/>
      <c r="H202" s="316">
        <v>1</v>
      </c>
      <c r="I202" s="317"/>
      <c r="J202" s="159">
        <v>1</v>
      </c>
      <c r="K202" s="4"/>
      <c r="L202" s="4"/>
      <c r="M202" s="4"/>
      <c r="N202" s="4"/>
      <c r="O202" s="4"/>
      <c r="P202" s="4"/>
      <c r="Q202" s="26"/>
      <c r="R202" s="26"/>
      <c r="S202" s="26"/>
      <c r="T202" s="26"/>
      <c r="U202" s="26"/>
      <c r="V202" s="26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 ht="12.75" customHeight="1">
      <c r="A203" s="26"/>
      <c r="B203" s="305" t="s">
        <v>481</v>
      </c>
      <c r="C203" s="302"/>
      <c r="D203" s="302"/>
      <c r="E203" s="302"/>
      <c r="F203" s="302"/>
      <c r="G203" s="302"/>
      <c r="H203" s="302"/>
      <c r="I203" s="302"/>
      <c r="J203" s="278"/>
      <c r="K203" s="4"/>
      <c r="L203" s="4"/>
      <c r="M203" s="4"/>
      <c r="N203" s="4"/>
      <c r="O203" s="4"/>
      <c r="P203" s="4"/>
      <c r="Q203" s="26"/>
      <c r="R203" s="26"/>
      <c r="S203" s="26"/>
      <c r="T203" s="26"/>
      <c r="U203" s="26"/>
      <c r="V203" s="26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 ht="12.75" customHeight="1">
      <c r="A204" s="26"/>
      <c r="B204" s="318"/>
      <c r="C204" s="317"/>
      <c r="D204" s="317"/>
      <c r="E204" s="317"/>
      <c r="F204" s="317"/>
      <c r="G204" s="317"/>
      <c r="H204" s="317"/>
      <c r="I204" s="317"/>
      <c r="J204" s="280"/>
      <c r="K204" s="4"/>
      <c r="L204" s="4"/>
      <c r="M204" s="4"/>
      <c r="N204" s="4"/>
      <c r="O204" s="4"/>
      <c r="P204" s="4"/>
      <c r="Q204" s="26"/>
      <c r="R204" s="26"/>
      <c r="S204" s="26"/>
      <c r="T204" s="26"/>
      <c r="U204" s="26"/>
      <c r="V204" s="26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 ht="12.75" customHeight="1">
      <c r="A205" s="26"/>
      <c r="B205" s="26"/>
      <c r="C205" s="26"/>
      <c r="D205" s="26"/>
      <c r="E205" s="26"/>
      <c r="F205" s="26"/>
      <c r="G205" s="26"/>
      <c r="H205" s="26"/>
      <c r="I205" s="4"/>
      <c r="J205" s="4"/>
      <c r="K205" s="4"/>
      <c r="L205" s="4"/>
      <c r="M205" s="4"/>
      <c r="N205" s="4"/>
      <c r="O205" s="4"/>
      <c r="P205" s="4"/>
      <c r="Q205" s="26"/>
      <c r="R205" s="26"/>
      <c r="S205" s="26"/>
      <c r="T205" s="26"/>
      <c r="U205" s="26"/>
      <c r="V205" s="26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 ht="12.75" customHeight="1">
      <c r="A206" s="26"/>
      <c r="B206" s="26"/>
      <c r="C206" s="26"/>
      <c r="D206" s="26"/>
      <c r="E206" s="26"/>
      <c r="F206" s="26"/>
      <c r="G206" s="26"/>
      <c r="H206" s="26"/>
      <c r="I206" s="4"/>
      <c r="J206" s="4"/>
      <c r="K206" s="4"/>
      <c r="L206" s="4"/>
      <c r="M206" s="4"/>
      <c r="N206" s="4"/>
      <c r="O206" s="4"/>
      <c r="P206" s="4"/>
      <c r="Q206" s="26"/>
      <c r="R206" s="26"/>
      <c r="S206" s="26"/>
      <c r="T206" s="26"/>
      <c r="U206" s="26"/>
      <c r="V206" s="26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 ht="12.75" customHeight="1">
      <c r="A207" s="26"/>
      <c r="B207" s="26"/>
      <c r="C207" s="26"/>
      <c r="D207" s="26"/>
      <c r="E207" s="26"/>
      <c r="F207" s="26"/>
      <c r="G207" s="26"/>
      <c r="H207" s="26"/>
      <c r="I207" s="4"/>
      <c r="J207" s="4"/>
      <c r="K207" s="4"/>
      <c r="L207" s="4"/>
      <c r="M207" s="4"/>
      <c r="N207" s="4"/>
      <c r="O207" s="4"/>
      <c r="P207" s="4"/>
      <c r="Q207" s="26"/>
      <c r="R207" s="26"/>
      <c r="S207" s="26"/>
      <c r="T207" s="26"/>
      <c r="U207" s="26"/>
      <c r="V207" s="26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 ht="12.75" customHeight="1">
      <c r="A208" s="26"/>
      <c r="B208" s="26"/>
      <c r="C208" s="26"/>
      <c r="D208" s="26"/>
      <c r="E208" s="26"/>
      <c r="F208" s="26"/>
      <c r="G208" s="26"/>
      <c r="H208" s="26"/>
      <c r="I208" s="4"/>
      <c r="J208" s="4"/>
      <c r="K208" s="4"/>
      <c r="L208" s="4"/>
      <c r="M208" s="4"/>
      <c r="N208" s="4"/>
      <c r="O208" s="4"/>
      <c r="P208" s="4"/>
      <c r="Q208" s="26"/>
      <c r="R208" s="26"/>
      <c r="S208" s="26"/>
      <c r="T208" s="26"/>
      <c r="U208" s="26"/>
      <c r="V208" s="26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 ht="12.75" customHeight="1">
      <c r="A209" s="26"/>
      <c r="B209" s="26"/>
      <c r="C209" s="26"/>
      <c r="D209" s="26"/>
      <c r="E209" s="26"/>
      <c r="F209" s="26"/>
      <c r="G209" s="26"/>
      <c r="H209" s="26"/>
      <c r="I209" s="4"/>
      <c r="J209" s="4"/>
      <c r="K209" s="4"/>
      <c r="L209" s="4"/>
      <c r="M209" s="4"/>
      <c r="N209" s="4"/>
      <c r="O209" s="4"/>
      <c r="P209" s="4"/>
      <c r="Q209" s="26"/>
      <c r="R209" s="26"/>
      <c r="S209" s="26"/>
      <c r="T209" s="26"/>
      <c r="U209" s="26"/>
      <c r="V209" s="26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 ht="12.75" customHeight="1">
      <c r="A210" s="26"/>
      <c r="B210" s="26"/>
      <c r="C210" s="26"/>
      <c r="D210" s="26"/>
      <c r="E210" s="26"/>
      <c r="F210" s="26"/>
      <c r="G210" s="26"/>
      <c r="H210" s="26"/>
      <c r="I210" s="4"/>
      <c r="J210" s="4"/>
      <c r="K210" s="4"/>
      <c r="L210" s="4"/>
      <c r="M210" s="4"/>
      <c r="N210" s="4"/>
      <c r="O210" s="4"/>
      <c r="P210" s="4"/>
      <c r="Q210" s="26"/>
      <c r="R210" s="26"/>
      <c r="S210" s="26"/>
      <c r="T210" s="26"/>
      <c r="U210" s="26"/>
      <c r="V210" s="26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 ht="12.75" customHeight="1">
      <c r="A211" s="26"/>
      <c r="B211" s="26"/>
      <c r="C211" s="26"/>
      <c r="D211" s="26"/>
      <c r="E211" s="26"/>
      <c r="F211" s="26"/>
      <c r="G211" s="26"/>
      <c r="H211" s="26"/>
      <c r="I211" s="4"/>
      <c r="J211" s="4"/>
      <c r="K211" s="4"/>
      <c r="L211" s="4"/>
      <c r="M211" s="4"/>
      <c r="N211" s="4"/>
      <c r="O211" s="4"/>
      <c r="P211" s="4"/>
      <c r="Q211" s="26"/>
      <c r="R211" s="26"/>
      <c r="S211" s="26"/>
      <c r="T211" s="26"/>
      <c r="U211" s="26"/>
      <c r="V211" s="26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 ht="12.75" customHeight="1">
      <c r="A212" s="26"/>
      <c r="B212" s="26"/>
      <c r="C212" s="26"/>
      <c r="D212" s="26"/>
      <c r="E212" s="26"/>
      <c r="F212" s="26"/>
      <c r="G212" s="26"/>
      <c r="H212" s="26"/>
      <c r="I212" s="4"/>
      <c r="J212" s="4"/>
      <c r="K212" s="4"/>
      <c r="L212" s="4"/>
      <c r="M212" s="4"/>
      <c r="N212" s="4"/>
      <c r="O212" s="4"/>
      <c r="P212" s="4"/>
      <c r="Q212" s="26"/>
      <c r="R212" s="26"/>
      <c r="S212" s="26"/>
      <c r="T212" s="26"/>
      <c r="U212" s="26"/>
      <c r="V212" s="26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 ht="12.75" customHeight="1">
      <c r="A213" s="26"/>
      <c r="B213" s="26"/>
      <c r="C213" s="26"/>
      <c r="D213" s="26"/>
      <c r="E213" s="26"/>
      <c r="F213" s="26"/>
      <c r="G213" s="26"/>
      <c r="H213" s="26"/>
      <c r="I213" s="4"/>
      <c r="J213" s="4"/>
      <c r="K213" s="4"/>
      <c r="L213" s="4"/>
      <c r="M213" s="4"/>
      <c r="N213" s="4"/>
      <c r="O213" s="4"/>
      <c r="P213" s="4"/>
      <c r="Q213" s="26"/>
      <c r="R213" s="26"/>
      <c r="S213" s="26"/>
      <c r="T213" s="26"/>
      <c r="U213" s="26"/>
      <c r="V213" s="26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 ht="12.75" customHeight="1">
      <c r="A214" s="26"/>
      <c r="B214" s="26"/>
      <c r="C214" s="26"/>
      <c r="D214" s="26"/>
      <c r="E214" s="26"/>
      <c r="F214" s="26"/>
      <c r="G214" s="26"/>
      <c r="H214" s="26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26"/>
      <c r="U214" s="26"/>
      <c r="V214" s="26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 ht="12.75" customHeight="1">
      <c r="A215" s="26"/>
      <c r="B215" s="26"/>
      <c r="C215" s="26"/>
      <c r="D215" s="26"/>
      <c r="E215" s="26"/>
      <c r="F215" s="26"/>
      <c r="G215" s="26"/>
      <c r="H215" s="26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26"/>
      <c r="U215" s="26"/>
      <c r="V215" s="26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 ht="12.75" customHeight="1">
      <c r="A216" s="26"/>
      <c r="B216" s="26"/>
      <c r="C216" s="26"/>
      <c r="D216" s="26"/>
      <c r="E216" s="26"/>
      <c r="F216" s="26"/>
      <c r="G216" s="26"/>
      <c r="H216" s="26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26"/>
      <c r="U216" s="26"/>
      <c r="V216" s="26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 ht="12.75" customHeight="1">
      <c r="A217" s="26"/>
      <c r="B217" s="26"/>
      <c r="C217" s="26"/>
      <c r="D217" s="26"/>
      <c r="E217" s="26"/>
      <c r="F217" s="26"/>
      <c r="G217" s="26"/>
      <c r="H217" s="26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26"/>
      <c r="U217" s="26"/>
      <c r="V217" s="26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 ht="12.75" customHeight="1">
      <c r="A218" s="26"/>
      <c r="B218" s="26"/>
      <c r="C218" s="26"/>
      <c r="D218" s="26"/>
      <c r="E218" s="26"/>
      <c r="F218" s="26"/>
      <c r="G218" s="26"/>
      <c r="H218" s="26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26"/>
      <c r="U218" s="26"/>
      <c r="V218" s="26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 ht="12.75" customHeight="1">
      <c r="A219" s="26"/>
      <c r="B219" s="26"/>
      <c r="C219" s="26"/>
      <c r="D219" s="26"/>
      <c r="E219" s="26"/>
      <c r="F219" s="26"/>
      <c r="G219" s="26"/>
      <c r="H219" s="26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26"/>
      <c r="U219" s="26"/>
      <c r="V219" s="26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 ht="12.75" customHeight="1">
      <c r="A220" s="26"/>
      <c r="B220" s="26"/>
      <c r="C220" s="26"/>
      <c r="D220" s="26"/>
      <c r="E220" s="26"/>
      <c r="F220" s="26"/>
      <c r="G220" s="26"/>
      <c r="H220" s="26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26"/>
      <c r="U220" s="26"/>
      <c r="V220" s="26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 ht="12.75" customHeight="1">
      <c r="A221" s="26"/>
      <c r="B221" s="26"/>
      <c r="C221" s="26"/>
      <c r="D221" s="26"/>
      <c r="E221" s="26"/>
      <c r="F221" s="26"/>
      <c r="G221" s="26"/>
      <c r="H221" s="26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26"/>
      <c r="U221" s="26"/>
      <c r="V221" s="26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 ht="12.75" customHeight="1">
      <c r="A222" s="26"/>
      <c r="B222" s="26"/>
      <c r="C222" s="26"/>
      <c r="D222" s="26"/>
      <c r="E222" s="26"/>
      <c r="F222" s="26"/>
      <c r="G222" s="26"/>
      <c r="H222" s="26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26"/>
      <c r="U222" s="26"/>
      <c r="V222" s="26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 ht="12.75" customHeight="1">
      <c r="A223" s="26"/>
      <c r="B223" s="26"/>
      <c r="C223" s="26"/>
      <c r="D223" s="26"/>
      <c r="E223" s="26"/>
      <c r="F223" s="26"/>
      <c r="G223" s="26"/>
      <c r="H223" s="26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26"/>
      <c r="U223" s="26"/>
      <c r="V223" s="26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 ht="12.75" customHeight="1">
      <c r="A224" s="26"/>
      <c r="B224" s="26"/>
      <c r="C224" s="26"/>
      <c r="D224" s="26"/>
      <c r="E224" s="26"/>
      <c r="F224" s="26"/>
      <c r="G224" s="26"/>
      <c r="H224" s="26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26"/>
      <c r="U224" s="26"/>
      <c r="V224" s="26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 ht="12.75" customHeight="1">
      <c r="A225" s="26"/>
      <c r="B225" s="26"/>
      <c r="C225" s="26"/>
      <c r="D225" s="26"/>
      <c r="E225" s="26"/>
      <c r="F225" s="26"/>
      <c r="G225" s="26"/>
      <c r="H225" s="26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26"/>
      <c r="U225" s="26"/>
      <c r="V225" s="26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 ht="12.75" customHeight="1">
      <c r="A226" s="26"/>
      <c r="B226" s="26"/>
      <c r="C226" s="26"/>
      <c r="D226" s="26"/>
      <c r="E226" s="26"/>
      <c r="F226" s="26"/>
      <c r="G226" s="26"/>
      <c r="H226" s="26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26"/>
      <c r="U226" s="26"/>
      <c r="V226" s="26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 ht="12.75" customHeight="1">
      <c r="A227" s="26"/>
      <c r="B227" s="26"/>
      <c r="C227" s="26"/>
      <c r="D227" s="26"/>
      <c r="E227" s="26"/>
      <c r="F227" s="26"/>
      <c r="G227" s="26"/>
      <c r="H227" s="26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26"/>
      <c r="U227" s="26"/>
      <c r="V227" s="26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 ht="12.75" customHeight="1">
      <c r="A228" s="26"/>
      <c r="B228" s="26"/>
      <c r="C228" s="26"/>
      <c r="D228" s="26"/>
      <c r="E228" s="26"/>
      <c r="F228" s="26"/>
      <c r="G228" s="26"/>
      <c r="H228" s="26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26"/>
      <c r="U228" s="26"/>
      <c r="V228" s="26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 ht="12.75" customHeight="1">
      <c r="A229" s="26"/>
      <c r="B229" s="26"/>
      <c r="C229" s="26"/>
      <c r="D229" s="26"/>
      <c r="E229" s="26"/>
      <c r="F229" s="26"/>
      <c r="G229" s="26"/>
      <c r="H229" s="26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26"/>
      <c r="U229" s="26"/>
      <c r="V229" s="26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 ht="12.75" customHeight="1">
      <c r="A230" s="26"/>
      <c r="B230" s="26"/>
      <c r="C230" s="26"/>
      <c r="D230" s="26"/>
      <c r="E230" s="26"/>
      <c r="F230" s="26"/>
      <c r="G230" s="26"/>
      <c r="H230" s="26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26"/>
      <c r="U230" s="26"/>
      <c r="V230" s="26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 ht="12.75" customHeight="1">
      <c r="A231" s="26"/>
      <c r="B231" s="26"/>
      <c r="C231" s="26"/>
      <c r="D231" s="26"/>
      <c r="E231" s="26"/>
      <c r="F231" s="26"/>
      <c r="G231" s="26"/>
      <c r="H231" s="26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26"/>
      <c r="U231" s="26"/>
      <c r="V231" s="26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 ht="12.75" customHeight="1">
      <c r="A232" s="26"/>
      <c r="B232" s="26"/>
      <c r="C232" s="26"/>
      <c r="D232" s="26"/>
      <c r="E232" s="26"/>
      <c r="F232" s="26"/>
      <c r="G232" s="26"/>
      <c r="H232" s="26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26"/>
      <c r="U232" s="26"/>
      <c r="V232" s="26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 ht="12.75" customHeight="1">
      <c r="A233" s="26"/>
      <c r="B233" s="26"/>
      <c r="C233" s="26"/>
      <c r="D233" s="26"/>
      <c r="E233" s="26"/>
      <c r="F233" s="26"/>
      <c r="G233" s="26"/>
      <c r="H233" s="26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26"/>
      <c r="U233" s="26"/>
      <c r="V233" s="26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 ht="12.75" customHeight="1">
      <c r="A234" s="26"/>
      <c r="B234" s="26"/>
      <c r="C234" s="26"/>
      <c r="D234" s="26"/>
      <c r="E234" s="26"/>
      <c r="F234" s="26"/>
      <c r="G234" s="26"/>
      <c r="H234" s="26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26"/>
      <c r="U234" s="26"/>
      <c r="V234" s="26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 ht="12.75" customHeight="1">
      <c r="A235" s="26"/>
      <c r="B235" s="26"/>
      <c r="C235" s="26"/>
      <c r="D235" s="26"/>
      <c r="E235" s="26"/>
      <c r="F235" s="26"/>
      <c r="G235" s="26"/>
      <c r="H235" s="26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26"/>
      <c r="U235" s="26"/>
      <c r="V235" s="26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 ht="12.75" customHeight="1">
      <c r="A236" s="26"/>
      <c r="B236" s="26"/>
      <c r="C236" s="26"/>
      <c r="D236" s="26"/>
      <c r="E236" s="26"/>
      <c r="F236" s="26"/>
      <c r="G236" s="26"/>
      <c r="H236" s="26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26"/>
      <c r="U236" s="26"/>
      <c r="V236" s="26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 ht="12.75" customHeight="1">
      <c r="A237" s="26"/>
      <c r="B237" s="26"/>
      <c r="C237" s="26"/>
      <c r="D237" s="26"/>
      <c r="E237" s="26"/>
      <c r="F237" s="26"/>
      <c r="G237" s="26"/>
      <c r="H237" s="26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26"/>
      <c r="U237" s="26"/>
      <c r="V237" s="26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 ht="12.75" customHeight="1">
      <c r="A238" s="26"/>
      <c r="B238" s="26"/>
      <c r="C238" s="26"/>
      <c r="D238" s="26"/>
      <c r="E238" s="26"/>
      <c r="F238" s="26"/>
      <c r="G238" s="26"/>
      <c r="H238" s="26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26"/>
      <c r="U238" s="26"/>
      <c r="V238" s="26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 ht="12.75" customHeight="1">
      <c r="A239" s="26"/>
      <c r="B239" s="26"/>
      <c r="C239" s="26"/>
      <c r="D239" s="26"/>
      <c r="E239" s="26"/>
      <c r="F239" s="26"/>
      <c r="G239" s="26"/>
      <c r="H239" s="26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26"/>
      <c r="U239" s="26"/>
      <c r="V239" s="26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 ht="12.75" customHeight="1">
      <c r="A240" s="26"/>
      <c r="B240" s="26"/>
      <c r="C240" s="26"/>
      <c r="D240" s="26"/>
      <c r="E240" s="26"/>
      <c r="F240" s="26"/>
      <c r="G240" s="26"/>
      <c r="H240" s="26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26"/>
      <c r="U240" s="26"/>
      <c r="V240" s="26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 ht="12.75" customHeight="1">
      <c r="A241" s="26"/>
      <c r="B241" s="26"/>
      <c r="C241" s="26"/>
      <c r="D241" s="26"/>
      <c r="E241" s="26"/>
      <c r="F241" s="26"/>
      <c r="G241" s="26"/>
      <c r="H241" s="26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26"/>
      <c r="U241" s="26"/>
      <c r="V241" s="26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 ht="12.75" customHeight="1">
      <c r="A242" s="26"/>
      <c r="B242" s="26"/>
      <c r="C242" s="26"/>
      <c r="D242" s="26"/>
      <c r="E242" s="26"/>
      <c r="F242" s="26"/>
      <c r="G242" s="26"/>
      <c r="H242" s="26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26"/>
      <c r="U242" s="26"/>
      <c r="V242" s="26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 ht="12.75" customHeight="1">
      <c r="A243" s="26"/>
      <c r="B243" s="26"/>
      <c r="C243" s="26"/>
      <c r="D243" s="26"/>
      <c r="E243" s="26"/>
      <c r="F243" s="26"/>
      <c r="G243" s="26"/>
      <c r="H243" s="26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26"/>
      <c r="U243" s="26"/>
      <c r="V243" s="26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 ht="12.75" customHeight="1">
      <c r="A244" s="26"/>
      <c r="B244" s="26"/>
      <c r="C244" s="26"/>
      <c r="D244" s="26"/>
      <c r="E244" s="26"/>
      <c r="F244" s="26"/>
      <c r="G244" s="26"/>
      <c r="H244" s="26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26"/>
      <c r="U244" s="26"/>
      <c r="V244" s="26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 ht="12.75" customHeight="1">
      <c r="A245" s="26"/>
      <c r="B245" s="26"/>
      <c r="C245" s="26"/>
      <c r="D245" s="26"/>
      <c r="E245" s="26"/>
      <c r="F245" s="26"/>
      <c r="G245" s="26"/>
      <c r="H245" s="26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26"/>
      <c r="U245" s="26"/>
      <c r="V245" s="26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 ht="12.75" customHeight="1">
      <c r="A246" s="26"/>
      <c r="B246" s="26"/>
      <c r="C246" s="26"/>
      <c r="D246" s="26"/>
      <c r="E246" s="26"/>
      <c r="F246" s="26"/>
      <c r="G246" s="26"/>
      <c r="H246" s="26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26"/>
      <c r="U246" s="26"/>
      <c r="V246" s="26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 ht="12.75" customHeight="1">
      <c r="A247" s="26"/>
      <c r="B247" s="26"/>
      <c r="C247" s="26"/>
      <c r="D247" s="26"/>
      <c r="E247" s="26"/>
      <c r="F247" s="26"/>
      <c r="G247" s="26"/>
      <c r="H247" s="26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26"/>
      <c r="U247" s="26"/>
      <c r="V247" s="26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 ht="12.75" customHeight="1">
      <c r="A248" s="26"/>
      <c r="B248" s="26"/>
      <c r="C248" s="26"/>
      <c r="D248" s="26"/>
      <c r="E248" s="26"/>
      <c r="F248" s="26"/>
      <c r="G248" s="26"/>
      <c r="H248" s="26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26"/>
      <c r="U248" s="26"/>
      <c r="V248" s="26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 ht="12.75" customHeight="1">
      <c r="A249" s="26"/>
      <c r="B249" s="26"/>
      <c r="C249" s="26"/>
      <c r="D249" s="26"/>
      <c r="E249" s="26"/>
      <c r="F249" s="26"/>
      <c r="G249" s="26"/>
      <c r="H249" s="26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26"/>
      <c r="U249" s="26"/>
      <c r="V249" s="26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 ht="12.75" customHeight="1">
      <c r="A250" s="26"/>
      <c r="B250" s="26"/>
      <c r="C250" s="26"/>
      <c r="D250" s="26"/>
      <c r="E250" s="26"/>
      <c r="F250" s="26"/>
      <c r="G250" s="26"/>
      <c r="H250" s="26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26"/>
      <c r="U250" s="26"/>
      <c r="V250" s="26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 ht="12.75" customHeight="1">
      <c r="A251" s="26"/>
      <c r="B251" s="26"/>
      <c r="C251" s="26"/>
      <c r="D251" s="26"/>
      <c r="E251" s="26"/>
      <c r="F251" s="26"/>
      <c r="G251" s="26"/>
      <c r="H251" s="26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26"/>
      <c r="U251" s="26"/>
      <c r="V251" s="26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 ht="12.75" customHeight="1">
      <c r="A252" s="26"/>
      <c r="B252" s="26"/>
      <c r="C252" s="26"/>
      <c r="D252" s="26"/>
      <c r="E252" s="26"/>
      <c r="F252" s="26"/>
      <c r="G252" s="26"/>
      <c r="H252" s="26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26"/>
      <c r="U252" s="26"/>
      <c r="V252" s="26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 ht="12.75" customHeight="1">
      <c r="A253" s="26"/>
      <c r="B253" s="26"/>
      <c r="C253" s="26"/>
      <c r="D253" s="26"/>
      <c r="E253" s="26"/>
      <c r="F253" s="26"/>
      <c r="G253" s="26"/>
      <c r="H253" s="26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26"/>
      <c r="U253" s="26"/>
      <c r="V253" s="26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 ht="12.75" customHeight="1">
      <c r="A254" s="26"/>
      <c r="B254" s="26"/>
      <c r="C254" s="26"/>
      <c r="D254" s="26"/>
      <c r="E254" s="26"/>
      <c r="F254" s="26"/>
      <c r="G254" s="26"/>
      <c r="H254" s="26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26"/>
      <c r="U254" s="26"/>
      <c r="V254" s="26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 ht="12.75" customHeight="1">
      <c r="A255" s="26"/>
      <c r="B255" s="26"/>
      <c r="C255" s="26"/>
      <c r="D255" s="26"/>
      <c r="E255" s="26"/>
      <c r="F255" s="26"/>
      <c r="G255" s="26"/>
      <c r="H255" s="26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26"/>
      <c r="U255" s="26"/>
      <c r="V255" s="26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 ht="12.75" customHeight="1">
      <c r="A256" s="26"/>
      <c r="B256" s="26"/>
      <c r="C256" s="26"/>
      <c r="D256" s="26"/>
      <c r="E256" s="26"/>
      <c r="F256" s="26"/>
      <c r="G256" s="26"/>
      <c r="H256" s="26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26"/>
      <c r="U256" s="26"/>
      <c r="V256" s="26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 ht="12.75" customHeight="1">
      <c r="A257" s="26"/>
      <c r="B257" s="26"/>
      <c r="C257" s="26"/>
      <c r="D257" s="26"/>
      <c r="E257" s="26"/>
      <c r="F257" s="26"/>
      <c r="G257" s="26"/>
      <c r="H257" s="26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26"/>
      <c r="U257" s="26"/>
      <c r="V257" s="26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 ht="12.75" customHeight="1">
      <c r="A258" s="26"/>
      <c r="B258" s="26"/>
      <c r="C258" s="26"/>
      <c r="D258" s="26"/>
      <c r="E258" s="26"/>
      <c r="F258" s="26"/>
      <c r="G258" s="26"/>
      <c r="H258" s="26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26"/>
      <c r="U258" s="26"/>
      <c r="V258" s="26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 ht="12.75" customHeight="1">
      <c r="A259" s="26"/>
      <c r="B259" s="26"/>
      <c r="C259" s="26"/>
      <c r="D259" s="26"/>
      <c r="E259" s="26"/>
      <c r="F259" s="26"/>
      <c r="G259" s="26"/>
      <c r="H259" s="26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26"/>
      <c r="U259" s="26"/>
      <c r="V259" s="26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 ht="12.75" customHeight="1">
      <c r="A260" s="26"/>
      <c r="B260" s="26"/>
      <c r="C260" s="26"/>
      <c r="D260" s="26"/>
      <c r="E260" s="26"/>
      <c r="F260" s="26"/>
      <c r="G260" s="26"/>
      <c r="H260" s="26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26"/>
      <c r="U260" s="26"/>
      <c r="V260" s="26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 ht="12.75" customHeight="1">
      <c r="A261" s="26"/>
      <c r="B261" s="26"/>
      <c r="C261" s="26"/>
      <c r="D261" s="26"/>
      <c r="E261" s="26"/>
      <c r="F261" s="26"/>
      <c r="G261" s="26"/>
      <c r="H261" s="26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26"/>
      <c r="U261" s="26"/>
      <c r="V261" s="26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 ht="12.75" customHeight="1">
      <c r="A262" s="26"/>
      <c r="B262" s="26"/>
      <c r="C262" s="26"/>
      <c r="D262" s="26"/>
      <c r="E262" s="26"/>
      <c r="F262" s="26"/>
      <c r="G262" s="26"/>
      <c r="H262" s="26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26"/>
      <c r="U262" s="26"/>
      <c r="V262" s="26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 ht="12.75" customHeight="1">
      <c r="A263" s="26"/>
      <c r="B263" s="26"/>
      <c r="C263" s="26"/>
      <c r="D263" s="26"/>
      <c r="E263" s="26"/>
      <c r="F263" s="26"/>
      <c r="G263" s="26"/>
      <c r="H263" s="26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26"/>
      <c r="U263" s="26"/>
      <c r="V263" s="26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 ht="12.75" customHeight="1">
      <c r="A264" s="26"/>
      <c r="B264" s="26"/>
      <c r="C264" s="26"/>
      <c r="D264" s="26"/>
      <c r="E264" s="26"/>
      <c r="F264" s="26"/>
      <c r="G264" s="26"/>
      <c r="H264" s="26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26"/>
      <c r="U264" s="26"/>
      <c r="V264" s="26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 ht="12.75" customHeight="1">
      <c r="A265" s="26"/>
      <c r="B265" s="26"/>
      <c r="C265" s="26"/>
      <c r="D265" s="26"/>
      <c r="E265" s="26"/>
      <c r="F265" s="26"/>
      <c r="G265" s="26"/>
      <c r="H265" s="26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26"/>
      <c r="U265" s="26"/>
      <c r="V265" s="26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 ht="12.75" customHeight="1">
      <c r="A266" s="26"/>
      <c r="B266" s="26"/>
      <c r="C266" s="26"/>
      <c r="D266" s="26"/>
      <c r="E266" s="26"/>
      <c r="F266" s="26"/>
      <c r="G266" s="26"/>
      <c r="H266" s="26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26"/>
      <c r="U266" s="26"/>
      <c r="V266" s="26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 ht="12.75" customHeight="1">
      <c r="A267" s="26"/>
      <c r="B267" s="26"/>
      <c r="C267" s="26"/>
      <c r="D267" s="26"/>
      <c r="E267" s="26"/>
      <c r="F267" s="26"/>
      <c r="G267" s="26"/>
      <c r="H267" s="26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26"/>
      <c r="U267" s="26"/>
      <c r="V267" s="26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 ht="12.75" customHeight="1">
      <c r="A268" s="26"/>
      <c r="B268" s="26"/>
      <c r="C268" s="26"/>
      <c r="D268" s="26"/>
      <c r="E268" s="26"/>
      <c r="F268" s="26"/>
      <c r="G268" s="26"/>
      <c r="H268" s="26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26"/>
      <c r="U268" s="26"/>
      <c r="V268" s="26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 ht="12.75" customHeight="1">
      <c r="A269" s="26"/>
      <c r="B269" s="26"/>
      <c r="C269" s="26"/>
      <c r="D269" s="26"/>
      <c r="E269" s="26"/>
      <c r="F269" s="26"/>
      <c r="G269" s="26"/>
      <c r="H269" s="26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26"/>
      <c r="U269" s="26"/>
      <c r="V269" s="26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 ht="12.75" customHeight="1">
      <c r="A270" s="26"/>
      <c r="B270" s="26"/>
      <c r="C270" s="26"/>
      <c r="D270" s="26"/>
      <c r="E270" s="26"/>
      <c r="F270" s="26"/>
      <c r="G270" s="26"/>
      <c r="H270" s="26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26"/>
      <c r="U270" s="26"/>
      <c r="V270" s="26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 ht="12.75" customHeight="1">
      <c r="A271" s="26"/>
      <c r="B271" s="26"/>
      <c r="C271" s="26"/>
      <c r="D271" s="26"/>
      <c r="E271" s="26"/>
      <c r="F271" s="26"/>
      <c r="G271" s="26"/>
      <c r="H271" s="26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26"/>
      <c r="U271" s="26"/>
      <c r="V271" s="26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 ht="12.75" customHeight="1">
      <c r="A272" s="26"/>
      <c r="B272" s="26"/>
      <c r="C272" s="26"/>
      <c r="D272" s="26"/>
      <c r="E272" s="26"/>
      <c r="F272" s="26"/>
      <c r="G272" s="26"/>
      <c r="H272" s="26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26"/>
      <c r="U272" s="26"/>
      <c r="V272" s="26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 ht="12.75" customHeight="1">
      <c r="A273" s="26"/>
      <c r="B273" s="26"/>
      <c r="C273" s="26"/>
      <c r="D273" s="26"/>
      <c r="E273" s="26"/>
      <c r="F273" s="26"/>
      <c r="G273" s="26"/>
      <c r="H273" s="26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26"/>
      <c r="U273" s="26"/>
      <c r="V273" s="26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 ht="12.75" customHeight="1">
      <c r="A274" s="26"/>
      <c r="B274" s="26"/>
      <c r="C274" s="26"/>
      <c r="D274" s="26"/>
      <c r="E274" s="26"/>
      <c r="F274" s="26"/>
      <c r="G274" s="26"/>
      <c r="H274" s="26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26"/>
      <c r="U274" s="26"/>
      <c r="V274" s="26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 ht="12.75" customHeight="1">
      <c r="A275" s="26"/>
      <c r="B275" s="26"/>
      <c r="C275" s="26"/>
      <c r="D275" s="26"/>
      <c r="E275" s="26"/>
      <c r="F275" s="26"/>
      <c r="G275" s="26"/>
      <c r="H275" s="26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26"/>
      <c r="U275" s="26"/>
      <c r="V275" s="26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 ht="12.75" customHeight="1">
      <c r="A276" s="26"/>
      <c r="B276" s="26"/>
      <c r="C276" s="26"/>
      <c r="D276" s="26"/>
      <c r="E276" s="26"/>
      <c r="F276" s="26"/>
      <c r="G276" s="26"/>
      <c r="H276" s="26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26"/>
      <c r="U276" s="26"/>
      <c r="V276" s="26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 ht="12.75" customHeight="1">
      <c r="A277" s="26"/>
      <c r="B277" s="26"/>
      <c r="C277" s="26"/>
      <c r="D277" s="26"/>
      <c r="E277" s="26"/>
      <c r="F277" s="26"/>
      <c r="G277" s="26"/>
      <c r="H277" s="26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26"/>
      <c r="U277" s="26"/>
      <c r="V277" s="26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 ht="12.75" customHeight="1">
      <c r="A278" s="26"/>
      <c r="B278" s="26"/>
      <c r="C278" s="26"/>
      <c r="D278" s="26"/>
      <c r="E278" s="26"/>
      <c r="F278" s="26"/>
      <c r="G278" s="26"/>
      <c r="H278" s="26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26"/>
      <c r="U278" s="26"/>
      <c r="V278" s="26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 ht="12.75" customHeight="1">
      <c r="A279" s="26"/>
      <c r="B279" s="26"/>
      <c r="C279" s="26"/>
      <c r="D279" s="26"/>
      <c r="E279" s="26"/>
      <c r="F279" s="26"/>
      <c r="G279" s="26"/>
      <c r="H279" s="26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26"/>
      <c r="U279" s="26"/>
      <c r="V279" s="26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 ht="12.75" customHeight="1">
      <c r="A280" s="26"/>
      <c r="B280" s="26"/>
      <c r="C280" s="26"/>
      <c r="D280" s="26"/>
      <c r="E280" s="26"/>
      <c r="F280" s="26"/>
      <c r="G280" s="26"/>
      <c r="H280" s="26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26"/>
      <c r="U280" s="26"/>
      <c r="V280" s="26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 ht="12.75" customHeight="1">
      <c r="A281" s="26"/>
      <c r="B281" s="26"/>
      <c r="C281" s="26"/>
      <c r="D281" s="26"/>
      <c r="E281" s="26"/>
      <c r="F281" s="26"/>
      <c r="G281" s="26"/>
      <c r="H281" s="26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26"/>
      <c r="U281" s="26"/>
      <c r="V281" s="26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 ht="12.75" customHeight="1">
      <c r="A282" s="26"/>
      <c r="B282" s="26"/>
      <c r="C282" s="26"/>
      <c r="D282" s="26"/>
      <c r="E282" s="26"/>
      <c r="F282" s="26"/>
      <c r="G282" s="26"/>
      <c r="H282" s="26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26"/>
      <c r="U282" s="26"/>
      <c r="V282" s="26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 ht="12.75" customHeight="1">
      <c r="A283" s="26"/>
      <c r="B283" s="26"/>
      <c r="C283" s="26"/>
      <c r="D283" s="26"/>
      <c r="E283" s="26"/>
      <c r="F283" s="26"/>
      <c r="G283" s="26"/>
      <c r="H283" s="26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26"/>
      <c r="U283" s="26"/>
      <c r="V283" s="26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 ht="12.75" customHeight="1">
      <c r="A284" s="26"/>
      <c r="B284" s="26"/>
      <c r="C284" s="26"/>
      <c r="D284" s="26"/>
      <c r="E284" s="26"/>
      <c r="F284" s="26"/>
      <c r="G284" s="26"/>
      <c r="H284" s="26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26"/>
      <c r="U284" s="26"/>
      <c r="V284" s="26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 ht="12.75" customHeight="1">
      <c r="A285" s="26"/>
      <c r="B285" s="26"/>
      <c r="C285" s="26"/>
      <c r="D285" s="26"/>
      <c r="E285" s="26"/>
      <c r="F285" s="26"/>
      <c r="G285" s="26"/>
      <c r="H285" s="26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26"/>
      <c r="U285" s="26"/>
      <c r="V285" s="26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 ht="12.75" customHeight="1">
      <c r="A286" s="26"/>
      <c r="B286" s="26"/>
      <c r="C286" s="26"/>
      <c r="D286" s="26"/>
      <c r="E286" s="26"/>
      <c r="F286" s="26"/>
      <c r="G286" s="26"/>
      <c r="H286" s="26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26"/>
      <c r="U286" s="26"/>
      <c r="V286" s="26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 ht="12.75" customHeight="1">
      <c r="A287" s="26"/>
      <c r="B287" s="26"/>
      <c r="C287" s="26"/>
      <c r="D287" s="26"/>
      <c r="E287" s="26"/>
      <c r="F287" s="26"/>
      <c r="G287" s="26"/>
      <c r="H287" s="26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26"/>
      <c r="U287" s="26"/>
      <c r="V287" s="26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 ht="12.75" customHeight="1">
      <c r="A288" s="26"/>
      <c r="B288" s="26"/>
      <c r="C288" s="26"/>
      <c r="D288" s="26"/>
      <c r="E288" s="26"/>
      <c r="F288" s="26"/>
      <c r="G288" s="26"/>
      <c r="H288" s="26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26"/>
      <c r="U288" s="26"/>
      <c r="V288" s="26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 ht="12.75" customHeight="1">
      <c r="A289" s="26"/>
      <c r="B289" s="26"/>
      <c r="C289" s="26"/>
      <c r="D289" s="26"/>
      <c r="E289" s="26"/>
      <c r="F289" s="26"/>
      <c r="G289" s="26"/>
      <c r="H289" s="26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26"/>
      <c r="U289" s="26"/>
      <c r="V289" s="26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 ht="12.75" customHeight="1">
      <c r="A290" s="26"/>
      <c r="B290" s="26"/>
      <c r="C290" s="26"/>
      <c r="D290" s="26"/>
      <c r="E290" s="26"/>
      <c r="F290" s="26"/>
      <c r="G290" s="26"/>
      <c r="H290" s="26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26"/>
      <c r="U290" s="26"/>
      <c r="V290" s="26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 ht="12.75" customHeight="1">
      <c r="A291" s="26"/>
      <c r="B291" s="26"/>
      <c r="C291" s="26"/>
      <c r="D291" s="26"/>
      <c r="E291" s="26"/>
      <c r="F291" s="26"/>
      <c r="G291" s="26"/>
      <c r="H291" s="26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26"/>
      <c r="U291" s="26"/>
      <c r="V291" s="26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 ht="12.75" customHeight="1">
      <c r="A292" s="26"/>
      <c r="B292" s="26"/>
      <c r="C292" s="26"/>
      <c r="D292" s="26"/>
      <c r="E292" s="26"/>
      <c r="F292" s="26"/>
      <c r="G292" s="26"/>
      <c r="H292" s="26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26"/>
      <c r="U292" s="26"/>
      <c r="V292" s="26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 ht="12.75" customHeight="1">
      <c r="A293" s="26"/>
      <c r="B293" s="26"/>
      <c r="C293" s="26"/>
      <c r="D293" s="26"/>
      <c r="E293" s="26"/>
      <c r="F293" s="26"/>
      <c r="G293" s="26"/>
      <c r="H293" s="26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26"/>
      <c r="U293" s="26"/>
      <c r="V293" s="26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 ht="12.75" customHeight="1">
      <c r="A294" s="26"/>
      <c r="B294" s="26"/>
      <c r="C294" s="26"/>
      <c r="D294" s="26"/>
      <c r="E294" s="26"/>
      <c r="F294" s="26"/>
      <c r="G294" s="26"/>
      <c r="H294" s="26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26"/>
      <c r="U294" s="26"/>
      <c r="V294" s="26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 ht="12.75" customHeight="1">
      <c r="A295" s="26"/>
      <c r="B295" s="26"/>
      <c r="C295" s="26"/>
      <c r="D295" s="26"/>
      <c r="E295" s="26"/>
      <c r="F295" s="26"/>
      <c r="G295" s="26"/>
      <c r="H295" s="26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26"/>
      <c r="U295" s="26"/>
      <c r="V295" s="26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 ht="12.75" customHeight="1">
      <c r="A296" s="26"/>
      <c r="B296" s="26"/>
      <c r="C296" s="26"/>
      <c r="D296" s="26"/>
      <c r="E296" s="26"/>
      <c r="F296" s="26"/>
      <c r="G296" s="26"/>
      <c r="H296" s="26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26"/>
      <c r="U296" s="26"/>
      <c r="V296" s="26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 ht="12.75" customHeight="1">
      <c r="A297" s="26"/>
      <c r="B297" s="26"/>
      <c r="C297" s="26"/>
      <c r="D297" s="26"/>
      <c r="E297" s="26"/>
      <c r="F297" s="26"/>
      <c r="G297" s="26"/>
      <c r="H297" s="26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26"/>
      <c r="U297" s="26"/>
      <c r="V297" s="26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 ht="12.75" customHeight="1">
      <c r="A298" s="26"/>
      <c r="B298" s="26"/>
      <c r="C298" s="26"/>
      <c r="D298" s="26"/>
      <c r="E298" s="26"/>
      <c r="F298" s="26"/>
      <c r="G298" s="26"/>
      <c r="H298" s="26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26"/>
      <c r="U298" s="26"/>
      <c r="V298" s="26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 ht="12.75" customHeight="1">
      <c r="A299" s="26"/>
      <c r="B299" s="26"/>
      <c r="C299" s="26"/>
      <c r="D299" s="26"/>
      <c r="E299" s="26"/>
      <c r="F299" s="26"/>
      <c r="G299" s="26"/>
      <c r="H299" s="26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26"/>
      <c r="U299" s="26"/>
      <c r="V299" s="26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 ht="12.75" customHeight="1">
      <c r="A300" s="26"/>
      <c r="B300" s="26"/>
      <c r="C300" s="26"/>
      <c r="D300" s="26"/>
      <c r="E300" s="26"/>
      <c r="F300" s="26"/>
      <c r="G300" s="26"/>
      <c r="H300" s="26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26"/>
      <c r="U300" s="26"/>
      <c r="V300" s="26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 ht="12.75" customHeight="1">
      <c r="A301" s="26"/>
      <c r="B301" s="26"/>
      <c r="C301" s="26"/>
      <c r="D301" s="26"/>
      <c r="E301" s="26"/>
      <c r="F301" s="26"/>
      <c r="G301" s="26"/>
      <c r="H301" s="26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26"/>
      <c r="U301" s="26"/>
      <c r="V301" s="26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 ht="12.75" customHeight="1">
      <c r="A302" s="26"/>
      <c r="B302" s="26"/>
      <c r="C302" s="26"/>
      <c r="D302" s="26"/>
      <c r="E302" s="26"/>
      <c r="F302" s="26"/>
      <c r="G302" s="26"/>
      <c r="H302" s="26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26"/>
      <c r="U302" s="26"/>
      <c r="V302" s="26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 ht="12.75" customHeight="1">
      <c r="A303" s="26"/>
      <c r="B303" s="26"/>
      <c r="C303" s="26"/>
      <c r="D303" s="26"/>
      <c r="E303" s="26"/>
      <c r="F303" s="26"/>
      <c r="G303" s="26"/>
      <c r="H303" s="26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26"/>
      <c r="U303" s="26"/>
      <c r="V303" s="26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 ht="12.75" customHeight="1">
      <c r="A304" s="26"/>
      <c r="B304" s="26"/>
      <c r="C304" s="26"/>
      <c r="D304" s="26"/>
      <c r="E304" s="26"/>
      <c r="F304" s="26"/>
      <c r="G304" s="26"/>
      <c r="H304" s="26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26"/>
      <c r="U304" s="26"/>
      <c r="V304" s="26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 ht="12.75" customHeight="1">
      <c r="A305" s="26"/>
      <c r="B305" s="26"/>
      <c r="C305" s="26"/>
      <c r="D305" s="26"/>
      <c r="E305" s="26"/>
      <c r="F305" s="26"/>
      <c r="G305" s="26"/>
      <c r="H305" s="26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26"/>
      <c r="U305" s="26"/>
      <c r="V305" s="26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 ht="12.75" customHeight="1">
      <c r="A306" s="26"/>
      <c r="B306" s="26"/>
      <c r="C306" s="26"/>
      <c r="D306" s="26"/>
      <c r="E306" s="26"/>
      <c r="F306" s="26"/>
      <c r="G306" s="26"/>
      <c r="H306" s="26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26"/>
      <c r="U306" s="26"/>
      <c r="V306" s="26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 ht="12.75" customHeight="1">
      <c r="A307" s="26"/>
      <c r="B307" s="26"/>
      <c r="C307" s="26"/>
      <c r="D307" s="26"/>
      <c r="E307" s="26"/>
      <c r="F307" s="26"/>
      <c r="G307" s="26"/>
      <c r="H307" s="26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26"/>
      <c r="U307" s="26"/>
      <c r="V307" s="26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 ht="12.75" customHeight="1">
      <c r="A308" s="26"/>
      <c r="B308" s="26"/>
      <c r="C308" s="26"/>
      <c r="D308" s="26"/>
      <c r="E308" s="26"/>
      <c r="F308" s="26"/>
      <c r="G308" s="26"/>
      <c r="H308" s="26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26"/>
      <c r="U308" s="26"/>
      <c r="V308" s="26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 ht="12.75" customHeight="1">
      <c r="A309" s="26"/>
      <c r="B309" s="26"/>
      <c r="C309" s="26"/>
      <c r="D309" s="26"/>
      <c r="E309" s="26"/>
      <c r="F309" s="26"/>
      <c r="G309" s="26"/>
      <c r="H309" s="26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26"/>
      <c r="U309" s="26"/>
      <c r="V309" s="26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 ht="12.75" customHeight="1">
      <c r="A310" s="26"/>
      <c r="B310" s="26"/>
      <c r="C310" s="26"/>
      <c r="D310" s="26"/>
      <c r="E310" s="26"/>
      <c r="F310" s="26"/>
      <c r="G310" s="26"/>
      <c r="H310" s="26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26"/>
      <c r="U310" s="26"/>
      <c r="V310" s="26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 ht="12.75" customHeight="1">
      <c r="A311" s="26"/>
      <c r="B311" s="26"/>
      <c r="C311" s="26"/>
      <c r="D311" s="26"/>
      <c r="E311" s="26"/>
      <c r="F311" s="26"/>
      <c r="G311" s="26"/>
      <c r="H311" s="26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26"/>
      <c r="U311" s="26"/>
      <c r="V311" s="26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 ht="12.75" customHeight="1">
      <c r="A312" s="26"/>
      <c r="B312" s="26"/>
      <c r="C312" s="26"/>
      <c r="D312" s="26"/>
      <c r="E312" s="26"/>
      <c r="F312" s="26"/>
      <c r="G312" s="26"/>
      <c r="H312" s="26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26"/>
      <c r="U312" s="26"/>
      <c r="V312" s="26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 ht="12.75" customHeight="1">
      <c r="A313" s="26"/>
      <c r="B313" s="26"/>
      <c r="C313" s="26"/>
      <c r="D313" s="26"/>
      <c r="E313" s="26"/>
      <c r="F313" s="26"/>
      <c r="G313" s="26"/>
      <c r="H313" s="26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26"/>
      <c r="U313" s="26"/>
      <c r="V313" s="26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 ht="12.75" customHeight="1">
      <c r="A314" s="26"/>
      <c r="B314" s="26"/>
      <c r="C314" s="26"/>
      <c r="D314" s="26"/>
      <c r="E314" s="26"/>
      <c r="F314" s="26"/>
      <c r="G314" s="26"/>
      <c r="H314" s="26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26"/>
      <c r="U314" s="26"/>
      <c r="V314" s="26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 ht="12.75" customHeight="1">
      <c r="A315" s="26"/>
      <c r="B315" s="26"/>
      <c r="C315" s="26"/>
      <c r="D315" s="26"/>
      <c r="E315" s="26"/>
      <c r="F315" s="26"/>
      <c r="G315" s="26"/>
      <c r="H315" s="26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26"/>
      <c r="U315" s="26"/>
      <c r="V315" s="26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 ht="12.75" customHeight="1">
      <c r="A316" s="26"/>
      <c r="B316" s="26"/>
      <c r="C316" s="26"/>
      <c r="D316" s="26"/>
      <c r="E316" s="26"/>
      <c r="F316" s="26"/>
      <c r="G316" s="26"/>
      <c r="H316" s="26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26"/>
      <c r="U316" s="26"/>
      <c r="V316" s="26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 ht="12.75" customHeight="1">
      <c r="A317" s="26"/>
      <c r="B317" s="26"/>
      <c r="C317" s="26"/>
      <c r="D317" s="26"/>
      <c r="E317" s="26"/>
      <c r="F317" s="26"/>
      <c r="G317" s="26"/>
      <c r="H317" s="26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26"/>
      <c r="U317" s="26"/>
      <c r="V317" s="26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 ht="12.75" customHeight="1">
      <c r="A318" s="26"/>
      <c r="B318" s="26"/>
      <c r="C318" s="26"/>
      <c r="D318" s="26"/>
      <c r="E318" s="26"/>
      <c r="F318" s="26"/>
      <c r="G318" s="26"/>
      <c r="H318" s="26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26"/>
      <c r="U318" s="26"/>
      <c r="V318" s="26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 ht="12.75" customHeight="1">
      <c r="A319" s="26"/>
      <c r="B319" s="26"/>
      <c r="C319" s="26"/>
      <c r="D319" s="26"/>
      <c r="E319" s="26"/>
      <c r="F319" s="26"/>
      <c r="G319" s="26"/>
      <c r="H319" s="26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26"/>
      <c r="U319" s="26"/>
      <c r="V319" s="26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 ht="12.75" customHeight="1">
      <c r="A320" s="26"/>
      <c r="B320" s="26"/>
      <c r="C320" s="26"/>
      <c r="D320" s="26"/>
      <c r="E320" s="26"/>
      <c r="F320" s="26"/>
      <c r="G320" s="26"/>
      <c r="H320" s="26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26"/>
      <c r="U320" s="26"/>
      <c r="V320" s="26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 ht="12.75" customHeight="1">
      <c r="A321" s="26"/>
      <c r="B321" s="26"/>
      <c r="C321" s="26"/>
      <c r="D321" s="26"/>
      <c r="E321" s="26"/>
      <c r="F321" s="26"/>
      <c r="G321" s="26"/>
      <c r="H321" s="26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26"/>
      <c r="U321" s="26"/>
      <c r="V321" s="26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 ht="12.75" customHeight="1">
      <c r="A322" s="26"/>
      <c r="B322" s="26"/>
      <c r="C322" s="26"/>
      <c r="D322" s="26"/>
      <c r="E322" s="26"/>
      <c r="F322" s="26"/>
      <c r="G322" s="26"/>
      <c r="H322" s="26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26"/>
      <c r="U322" s="26"/>
      <c r="V322" s="26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 ht="12.75" customHeight="1">
      <c r="A323" s="26"/>
      <c r="B323" s="26"/>
      <c r="C323" s="26"/>
      <c r="D323" s="26"/>
      <c r="E323" s="26"/>
      <c r="F323" s="26"/>
      <c r="G323" s="26"/>
      <c r="H323" s="26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26"/>
      <c r="U323" s="26"/>
      <c r="V323" s="26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 ht="12.75" customHeight="1">
      <c r="A324" s="26"/>
      <c r="B324" s="26"/>
      <c r="C324" s="26"/>
      <c r="D324" s="26"/>
      <c r="E324" s="26"/>
      <c r="F324" s="26"/>
      <c r="G324" s="26"/>
      <c r="H324" s="26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26"/>
      <c r="U324" s="26"/>
      <c r="V324" s="26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 ht="12.75" customHeight="1">
      <c r="A325" s="26"/>
      <c r="B325" s="26"/>
      <c r="C325" s="26"/>
      <c r="D325" s="26"/>
      <c r="E325" s="26"/>
      <c r="F325" s="26"/>
      <c r="G325" s="26"/>
      <c r="H325" s="26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26"/>
      <c r="U325" s="26"/>
      <c r="V325" s="26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 ht="12.75" customHeight="1">
      <c r="A326" s="26"/>
      <c r="B326" s="26"/>
      <c r="C326" s="26"/>
      <c r="D326" s="26"/>
      <c r="E326" s="26"/>
      <c r="F326" s="26"/>
      <c r="G326" s="26"/>
      <c r="H326" s="26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26"/>
      <c r="U326" s="26"/>
      <c r="V326" s="26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 ht="12.75" customHeight="1">
      <c r="A327" s="26"/>
      <c r="B327" s="26"/>
      <c r="C327" s="26"/>
      <c r="D327" s="26"/>
      <c r="E327" s="26"/>
      <c r="F327" s="26"/>
      <c r="G327" s="26"/>
      <c r="H327" s="26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26"/>
      <c r="U327" s="26"/>
      <c r="V327" s="26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 ht="12.75" customHeight="1">
      <c r="A328" s="26"/>
      <c r="B328" s="26"/>
      <c r="C328" s="26"/>
      <c r="D328" s="26"/>
      <c r="E328" s="26"/>
      <c r="F328" s="26"/>
      <c r="G328" s="26"/>
      <c r="H328" s="26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26"/>
      <c r="U328" s="26"/>
      <c r="V328" s="26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 ht="12.75" customHeight="1">
      <c r="A329" s="26"/>
      <c r="B329" s="26"/>
      <c r="C329" s="26"/>
      <c r="D329" s="26"/>
      <c r="E329" s="26"/>
      <c r="F329" s="26"/>
      <c r="G329" s="26"/>
      <c r="H329" s="26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26"/>
      <c r="U329" s="26"/>
      <c r="V329" s="26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 ht="12.75" customHeight="1">
      <c r="A330" s="26"/>
      <c r="B330" s="26"/>
      <c r="C330" s="26"/>
      <c r="D330" s="26"/>
      <c r="E330" s="26"/>
      <c r="F330" s="26"/>
      <c r="G330" s="26"/>
      <c r="H330" s="26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26"/>
      <c r="U330" s="26"/>
      <c r="V330" s="26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 ht="12.75" customHeight="1">
      <c r="A331" s="26"/>
      <c r="B331" s="26"/>
      <c r="C331" s="26"/>
      <c r="D331" s="26"/>
      <c r="E331" s="26"/>
      <c r="F331" s="26"/>
      <c r="G331" s="26"/>
      <c r="H331" s="26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26"/>
      <c r="U331" s="26"/>
      <c r="V331" s="26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 ht="12.75" customHeight="1">
      <c r="A332" s="26"/>
      <c r="B332" s="26"/>
      <c r="C332" s="26"/>
      <c r="D332" s="26"/>
      <c r="E332" s="26"/>
      <c r="F332" s="26"/>
      <c r="G332" s="26"/>
      <c r="H332" s="26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26"/>
      <c r="U332" s="26"/>
      <c r="V332" s="26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 ht="12.75" customHeight="1">
      <c r="A333" s="26"/>
      <c r="B333" s="26"/>
      <c r="C333" s="26"/>
      <c r="D333" s="26"/>
      <c r="E333" s="26"/>
      <c r="F333" s="26"/>
      <c r="G333" s="26"/>
      <c r="H333" s="26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26"/>
      <c r="U333" s="26"/>
      <c r="V333" s="26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 ht="12.75" customHeight="1">
      <c r="A334" s="26"/>
      <c r="B334" s="26"/>
      <c r="C334" s="26"/>
      <c r="D334" s="26"/>
      <c r="E334" s="26"/>
      <c r="F334" s="26"/>
      <c r="G334" s="26"/>
      <c r="H334" s="26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26"/>
      <c r="U334" s="26"/>
      <c r="V334" s="26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 ht="12.75" customHeight="1">
      <c r="A335" s="26"/>
      <c r="B335" s="26"/>
      <c r="C335" s="26"/>
      <c r="D335" s="26"/>
      <c r="E335" s="26"/>
      <c r="F335" s="26"/>
      <c r="G335" s="26"/>
      <c r="H335" s="26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26"/>
      <c r="U335" s="26"/>
      <c r="V335" s="26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 ht="12.75" customHeight="1">
      <c r="A336" s="26"/>
      <c r="B336" s="26"/>
      <c r="C336" s="26"/>
      <c r="D336" s="26"/>
      <c r="E336" s="26"/>
      <c r="F336" s="26"/>
      <c r="G336" s="26"/>
      <c r="H336" s="26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26"/>
      <c r="U336" s="26"/>
      <c r="V336" s="26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 ht="12.75" customHeight="1">
      <c r="A337" s="26"/>
      <c r="B337" s="26"/>
      <c r="C337" s="26"/>
      <c r="D337" s="26"/>
      <c r="E337" s="26"/>
      <c r="F337" s="26"/>
      <c r="G337" s="26"/>
      <c r="H337" s="26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26"/>
      <c r="U337" s="26"/>
      <c r="V337" s="26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 ht="12.75" customHeight="1">
      <c r="A338" s="26"/>
      <c r="B338" s="26"/>
      <c r="C338" s="26"/>
      <c r="D338" s="26"/>
      <c r="E338" s="26"/>
      <c r="F338" s="26"/>
      <c r="G338" s="26"/>
      <c r="H338" s="26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26"/>
      <c r="U338" s="26"/>
      <c r="V338" s="26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 ht="12.75" customHeight="1">
      <c r="A339" s="26"/>
      <c r="B339" s="26"/>
      <c r="C339" s="26"/>
      <c r="D339" s="26"/>
      <c r="E339" s="26"/>
      <c r="F339" s="26"/>
      <c r="G339" s="26"/>
      <c r="H339" s="26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26"/>
      <c r="U339" s="26"/>
      <c r="V339" s="26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 ht="12.75" customHeight="1">
      <c r="A340" s="26"/>
      <c r="B340" s="26"/>
      <c r="C340" s="26"/>
      <c r="D340" s="26"/>
      <c r="E340" s="26"/>
      <c r="F340" s="26"/>
      <c r="G340" s="26"/>
      <c r="H340" s="26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26"/>
      <c r="U340" s="26"/>
      <c r="V340" s="26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 ht="12.75" customHeight="1">
      <c r="A341" s="26"/>
      <c r="B341" s="26"/>
      <c r="C341" s="26"/>
      <c r="D341" s="26"/>
      <c r="E341" s="26"/>
      <c r="F341" s="26"/>
      <c r="G341" s="26"/>
      <c r="H341" s="26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26"/>
      <c r="U341" s="26"/>
      <c r="V341" s="26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 ht="12.75" customHeight="1">
      <c r="A342" s="26"/>
      <c r="B342" s="26"/>
      <c r="C342" s="26"/>
      <c r="D342" s="26"/>
      <c r="E342" s="26"/>
      <c r="F342" s="26"/>
      <c r="G342" s="26"/>
      <c r="H342" s="26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26"/>
      <c r="U342" s="26"/>
      <c r="V342" s="26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 ht="12.75" customHeight="1">
      <c r="A343" s="26"/>
      <c r="B343" s="26"/>
      <c r="C343" s="26"/>
      <c r="D343" s="26"/>
      <c r="E343" s="26"/>
      <c r="F343" s="26"/>
      <c r="G343" s="26"/>
      <c r="H343" s="26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26"/>
      <c r="U343" s="26"/>
      <c r="V343" s="26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 ht="12.75" customHeight="1">
      <c r="A344" s="26"/>
      <c r="B344" s="26"/>
      <c r="C344" s="26"/>
      <c r="D344" s="26"/>
      <c r="E344" s="26"/>
      <c r="F344" s="26"/>
      <c r="G344" s="26"/>
      <c r="H344" s="26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26"/>
      <c r="U344" s="26"/>
      <c r="V344" s="26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 ht="12.75" customHeight="1">
      <c r="A345" s="26"/>
      <c r="B345" s="26"/>
      <c r="C345" s="26"/>
      <c r="D345" s="26"/>
      <c r="E345" s="26"/>
      <c r="F345" s="26"/>
      <c r="G345" s="26"/>
      <c r="H345" s="26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26"/>
      <c r="U345" s="26"/>
      <c r="V345" s="26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 ht="12.75" customHeight="1">
      <c r="A346" s="26"/>
      <c r="B346" s="26"/>
      <c r="C346" s="26"/>
      <c r="D346" s="26"/>
      <c r="E346" s="26"/>
      <c r="F346" s="26"/>
      <c r="G346" s="26"/>
      <c r="H346" s="26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26"/>
      <c r="U346" s="26"/>
      <c r="V346" s="26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 ht="12.75" customHeight="1">
      <c r="A347" s="26"/>
      <c r="B347" s="26"/>
      <c r="C347" s="26"/>
      <c r="D347" s="26"/>
      <c r="E347" s="26"/>
      <c r="F347" s="26"/>
      <c r="G347" s="26"/>
      <c r="H347" s="26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26"/>
      <c r="U347" s="26"/>
      <c r="V347" s="26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 ht="12.75" customHeight="1">
      <c r="A348" s="26"/>
      <c r="B348" s="26"/>
      <c r="C348" s="26"/>
      <c r="D348" s="26"/>
      <c r="E348" s="26"/>
      <c r="F348" s="26"/>
      <c r="G348" s="26"/>
      <c r="H348" s="26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26"/>
      <c r="U348" s="26"/>
      <c r="V348" s="26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 ht="12.75" customHeight="1">
      <c r="A349" s="26"/>
      <c r="B349" s="26"/>
      <c r="C349" s="26"/>
      <c r="D349" s="26"/>
      <c r="E349" s="26"/>
      <c r="F349" s="26"/>
      <c r="G349" s="26"/>
      <c r="H349" s="26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26"/>
      <c r="U349" s="26"/>
      <c r="V349" s="26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 ht="12.75" customHeight="1">
      <c r="A350" s="26"/>
      <c r="B350" s="26"/>
      <c r="C350" s="26"/>
      <c r="D350" s="26"/>
      <c r="E350" s="26"/>
      <c r="F350" s="26"/>
      <c r="G350" s="26"/>
      <c r="H350" s="26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26"/>
      <c r="U350" s="26"/>
      <c r="V350" s="26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 ht="12.75" customHeight="1">
      <c r="A351" s="26"/>
      <c r="B351" s="26"/>
      <c r="C351" s="26"/>
      <c r="D351" s="26"/>
      <c r="E351" s="26"/>
      <c r="F351" s="26"/>
      <c r="G351" s="26"/>
      <c r="H351" s="26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26"/>
      <c r="U351" s="26"/>
      <c r="V351" s="26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 ht="12.75" customHeight="1">
      <c r="A352" s="26"/>
      <c r="B352" s="26"/>
      <c r="C352" s="26"/>
      <c r="D352" s="26"/>
      <c r="E352" s="26"/>
      <c r="F352" s="26"/>
      <c r="G352" s="26"/>
      <c r="H352" s="26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26"/>
      <c r="U352" s="26"/>
      <c r="V352" s="26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 ht="12.75" customHeight="1">
      <c r="A353" s="26"/>
      <c r="B353" s="26"/>
      <c r="C353" s="26"/>
      <c r="D353" s="26"/>
      <c r="E353" s="26"/>
      <c r="F353" s="26"/>
      <c r="G353" s="26"/>
      <c r="H353" s="26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26"/>
      <c r="U353" s="26"/>
      <c r="V353" s="26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 ht="12.75" customHeight="1">
      <c r="A354" s="26"/>
      <c r="B354" s="26"/>
      <c r="C354" s="26"/>
      <c r="D354" s="26"/>
      <c r="E354" s="26"/>
      <c r="F354" s="26"/>
      <c r="G354" s="26"/>
      <c r="H354" s="26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26"/>
      <c r="U354" s="26"/>
      <c r="V354" s="26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 ht="12.75" customHeight="1">
      <c r="A355" s="26"/>
      <c r="B355" s="26"/>
      <c r="C355" s="26"/>
      <c r="D355" s="26"/>
      <c r="E355" s="26"/>
      <c r="F355" s="26"/>
      <c r="G355" s="26"/>
      <c r="H355" s="26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26"/>
      <c r="U355" s="26"/>
      <c r="V355" s="26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 ht="12.75" customHeight="1">
      <c r="A356" s="26"/>
      <c r="B356" s="26"/>
      <c r="C356" s="26"/>
      <c r="D356" s="26"/>
      <c r="E356" s="26"/>
      <c r="F356" s="26"/>
      <c r="G356" s="26"/>
      <c r="H356" s="26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26"/>
      <c r="U356" s="26"/>
      <c r="V356" s="26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 ht="12.75" customHeight="1">
      <c r="A357" s="26"/>
      <c r="B357" s="26"/>
      <c r="C357" s="26"/>
      <c r="D357" s="26"/>
      <c r="E357" s="26"/>
      <c r="F357" s="26"/>
      <c r="G357" s="26"/>
      <c r="H357" s="26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26"/>
      <c r="U357" s="26"/>
      <c r="V357" s="26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 ht="12.75" customHeight="1">
      <c r="A358" s="26"/>
      <c r="B358" s="26"/>
      <c r="C358" s="26"/>
      <c r="D358" s="26"/>
      <c r="E358" s="26"/>
      <c r="F358" s="26"/>
      <c r="G358" s="26"/>
      <c r="H358" s="26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26"/>
      <c r="U358" s="26"/>
      <c r="V358" s="26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 ht="12.75" customHeight="1">
      <c r="A359" s="26"/>
      <c r="B359" s="26"/>
      <c r="C359" s="26"/>
      <c r="D359" s="26"/>
      <c r="E359" s="26"/>
      <c r="F359" s="26"/>
      <c r="G359" s="26"/>
      <c r="H359" s="26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26"/>
      <c r="U359" s="26"/>
      <c r="V359" s="26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 ht="12.75" customHeight="1">
      <c r="A360" s="26"/>
      <c r="B360" s="26"/>
      <c r="C360" s="26"/>
      <c r="D360" s="26"/>
      <c r="E360" s="26"/>
      <c r="F360" s="26"/>
      <c r="G360" s="26"/>
      <c r="H360" s="26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26"/>
      <c r="U360" s="26"/>
      <c r="V360" s="26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 ht="12.75" customHeight="1">
      <c r="A361" s="26"/>
      <c r="B361" s="26"/>
      <c r="C361" s="26"/>
      <c r="D361" s="26"/>
      <c r="E361" s="26"/>
      <c r="F361" s="26"/>
      <c r="G361" s="26"/>
      <c r="H361" s="26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26"/>
      <c r="U361" s="26"/>
      <c r="V361" s="26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 ht="12.75" customHeight="1">
      <c r="A362" s="26"/>
      <c r="B362" s="26"/>
      <c r="C362" s="26"/>
      <c r="D362" s="26"/>
      <c r="E362" s="26"/>
      <c r="F362" s="26"/>
      <c r="G362" s="26"/>
      <c r="H362" s="26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26"/>
      <c r="U362" s="26"/>
      <c r="V362" s="26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 ht="12.75" customHeight="1">
      <c r="A363" s="26"/>
      <c r="B363" s="26"/>
      <c r="C363" s="26"/>
      <c r="D363" s="26"/>
      <c r="E363" s="26"/>
      <c r="F363" s="26"/>
      <c r="G363" s="26"/>
      <c r="H363" s="26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26"/>
      <c r="U363" s="26"/>
      <c r="V363" s="26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 ht="12.75" customHeight="1">
      <c r="A364" s="26"/>
      <c r="B364" s="26"/>
      <c r="C364" s="26"/>
      <c r="D364" s="26"/>
      <c r="E364" s="26"/>
      <c r="F364" s="26"/>
      <c r="G364" s="26"/>
      <c r="H364" s="26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26"/>
      <c r="U364" s="26"/>
      <c r="V364" s="26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 ht="12.75" customHeight="1">
      <c r="A365" s="26"/>
      <c r="B365" s="26"/>
      <c r="C365" s="26"/>
      <c r="D365" s="26"/>
      <c r="E365" s="26"/>
      <c r="F365" s="26"/>
      <c r="G365" s="26"/>
      <c r="H365" s="26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26"/>
      <c r="U365" s="26"/>
      <c r="V365" s="26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 ht="12.75" customHeight="1">
      <c r="A366" s="26"/>
      <c r="B366" s="26"/>
      <c r="C366" s="26"/>
      <c r="D366" s="26"/>
      <c r="E366" s="26"/>
      <c r="F366" s="26"/>
      <c r="G366" s="26"/>
      <c r="H366" s="26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26"/>
      <c r="U366" s="26"/>
      <c r="V366" s="26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 ht="12.75" customHeight="1">
      <c r="A367" s="26"/>
      <c r="B367" s="26"/>
      <c r="C367" s="26"/>
      <c r="D367" s="26"/>
      <c r="E367" s="26"/>
      <c r="F367" s="26"/>
      <c r="G367" s="26"/>
      <c r="H367" s="26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26"/>
      <c r="U367" s="26"/>
      <c r="V367" s="26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 ht="12.75" customHeight="1">
      <c r="A368" s="26"/>
      <c r="B368" s="26"/>
      <c r="C368" s="26"/>
      <c r="D368" s="26"/>
      <c r="E368" s="26"/>
      <c r="F368" s="26"/>
      <c r="G368" s="26"/>
      <c r="H368" s="26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26"/>
      <c r="U368" s="26"/>
      <c r="V368" s="26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 ht="12.75" customHeight="1">
      <c r="A369" s="26"/>
      <c r="B369" s="26"/>
      <c r="C369" s="26"/>
      <c r="D369" s="26"/>
      <c r="E369" s="26"/>
      <c r="F369" s="26"/>
      <c r="G369" s="26"/>
      <c r="H369" s="26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26"/>
      <c r="U369" s="26"/>
      <c r="V369" s="26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 ht="12.75" customHeight="1">
      <c r="A370" s="26"/>
      <c r="B370" s="26"/>
      <c r="C370" s="26"/>
      <c r="D370" s="26"/>
      <c r="E370" s="26"/>
      <c r="F370" s="26"/>
      <c r="G370" s="26"/>
      <c r="H370" s="26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26"/>
      <c r="U370" s="26"/>
      <c r="V370" s="26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 ht="12.75" customHeight="1">
      <c r="A371" s="26"/>
      <c r="B371" s="26"/>
      <c r="C371" s="26"/>
      <c r="D371" s="26"/>
      <c r="E371" s="26"/>
      <c r="F371" s="26"/>
      <c r="G371" s="26"/>
      <c r="H371" s="26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26"/>
      <c r="U371" s="26"/>
      <c r="V371" s="26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 ht="12.75" customHeight="1">
      <c r="A372" s="26"/>
      <c r="B372" s="26"/>
      <c r="C372" s="26"/>
      <c r="D372" s="26"/>
      <c r="E372" s="26"/>
      <c r="F372" s="26"/>
      <c r="G372" s="26"/>
      <c r="H372" s="26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26"/>
      <c r="U372" s="26"/>
      <c r="V372" s="26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 ht="12.75" customHeight="1">
      <c r="A373" s="26"/>
      <c r="B373" s="26"/>
      <c r="C373" s="26"/>
      <c r="D373" s="26"/>
      <c r="E373" s="26"/>
      <c r="F373" s="26"/>
      <c r="G373" s="26"/>
      <c r="H373" s="26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26"/>
      <c r="U373" s="26"/>
      <c r="V373" s="26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33" ht="12.75" customHeight="1">
      <c r="A374" s="26"/>
      <c r="B374" s="26"/>
      <c r="C374" s="26"/>
      <c r="D374" s="26"/>
      <c r="E374" s="26"/>
      <c r="F374" s="26"/>
      <c r="G374" s="26"/>
      <c r="H374" s="26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26"/>
      <c r="U374" s="26"/>
      <c r="V374" s="26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</row>
    <row r="375" spans="1:33" ht="12.75" customHeight="1">
      <c r="A375" s="26"/>
      <c r="B375" s="26"/>
      <c r="C375" s="26"/>
      <c r="D375" s="26"/>
      <c r="E375" s="26"/>
      <c r="F375" s="26"/>
      <c r="G375" s="26"/>
      <c r="H375" s="26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26"/>
      <c r="U375" s="26"/>
      <c r="V375" s="26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</row>
    <row r="376" spans="1:33" ht="12.75" customHeight="1">
      <c r="A376" s="26"/>
      <c r="B376" s="26"/>
      <c r="C376" s="26"/>
      <c r="D376" s="26"/>
      <c r="E376" s="26"/>
      <c r="F376" s="26"/>
      <c r="G376" s="26"/>
      <c r="H376" s="26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26"/>
      <c r="U376" s="26"/>
      <c r="V376" s="26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</row>
    <row r="377" spans="1:33" ht="12.75" customHeight="1">
      <c r="A377" s="26"/>
      <c r="B377" s="26"/>
      <c r="C377" s="26"/>
      <c r="D377" s="26"/>
      <c r="E377" s="26"/>
      <c r="F377" s="26"/>
      <c r="G377" s="26"/>
      <c r="H377" s="26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26"/>
      <c r="U377" s="26"/>
      <c r="V377" s="26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</row>
    <row r="378" spans="1:33" ht="12.75" customHeight="1">
      <c r="A378" s="26"/>
      <c r="B378" s="26"/>
      <c r="C378" s="26"/>
      <c r="D378" s="26"/>
      <c r="E378" s="26"/>
      <c r="F378" s="26"/>
      <c r="G378" s="26"/>
      <c r="H378" s="26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26"/>
      <c r="U378" s="26"/>
      <c r="V378" s="26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</row>
    <row r="379" spans="1:33" ht="12.75" customHeight="1">
      <c r="A379" s="26"/>
      <c r="B379" s="26"/>
      <c r="C379" s="26"/>
      <c r="D379" s="26"/>
      <c r="E379" s="26"/>
      <c r="F379" s="26"/>
      <c r="G379" s="26"/>
      <c r="H379" s="26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26"/>
      <c r="U379" s="26"/>
      <c r="V379" s="26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</row>
    <row r="380" spans="1:33" ht="12.75" customHeight="1">
      <c r="A380" s="26"/>
      <c r="B380" s="26"/>
      <c r="C380" s="26"/>
      <c r="D380" s="26"/>
      <c r="E380" s="26"/>
      <c r="F380" s="26"/>
      <c r="G380" s="26"/>
      <c r="H380" s="26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26"/>
      <c r="U380" s="26"/>
      <c r="V380" s="26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</row>
    <row r="381" spans="1:33" ht="12.75" customHeight="1">
      <c r="A381" s="26"/>
      <c r="B381" s="26"/>
      <c r="C381" s="26"/>
      <c r="D381" s="26"/>
      <c r="E381" s="26"/>
      <c r="F381" s="26"/>
      <c r="G381" s="26"/>
      <c r="H381" s="26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26"/>
      <c r="U381" s="26"/>
      <c r="V381" s="26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</row>
    <row r="382" spans="1:33" ht="12.75" customHeight="1">
      <c r="A382" s="26"/>
      <c r="B382" s="26"/>
      <c r="C382" s="26"/>
      <c r="D382" s="26"/>
      <c r="E382" s="26"/>
      <c r="F382" s="26"/>
      <c r="G382" s="26"/>
      <c r="H382" s="26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26"/>
      <c r="U382" s="26"/>
      <c r="V382" s="26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</row>
    <row r="383" spans="1:33" ht="12.75" customHeight="1">
      <c r="A383" s="26"/>
      <c r="B383" s="26"/>
      <c r="C383" s="26"/>
      <c r="D383" s="26"/>
      <c r="E383" s="26"/>
      <c r="F383" s="26"/>
      <c r="G383" s="26"/>
      <c r="H383" s="26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26"/>
      <c r="U383" s="26"/>
      <c r="V383" s="26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</row>
    <row r="384" spans="1:33" ht="12.75" customHeight="1">
      <c r="A384" s="26"/>
      <c r="B384" s="26"/>
      <c r="C384" s="26"/>
      <c r="D384" s="26"/>
      <c r="E384" s="26"/>
      <c r="F384" s="26"/>
      <c r="G384" s="26"/>
      <c r="H384" s="26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26"/>
      <c r="U384" s="26"/>
      <c r="V384" s="26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</row>
    <row r="385" spans="1:33" ht="12.75" customHeight="1">
      <c r="A385" s="26"/>
      <c r="B385" s="26"/>
      <c r="C385" s="26"/>
      <c r="D385" s="26"/>
      <c r="E385" s="26"/>
      <c r="F385" s="26"/>
      <c r="G385" s="26"/>
      <c r="H385" s="26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26"/>
      <c r="U385" s="26"/>
      <c r="V385" s="26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</row>
    <row r="386" spans="1:33" ht="12.75" customHeight="1">
      <c r="A386" s="26"/>
      <c r="B386" s="26"/>
      <c r="C386" s="26"/>
      <c r="D386" s="26"/>
      <c r="E386" s="26"/>
      <c r="F386" s="26"/>
      <c r="G386" s="26"/>
      <c r="H386" s="26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26"/>
      <c r="U386" s="26"/>
      <c r="V386" s="26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</row>
    <row r="387" spans="1:33" ht="12.75" customHeight="1">
      <c r="A387" s="26"/>
      <c r="B387" s="26"/>
      <c r="C387" s="26"/>
      <c r="D387" s="26"/>
      <c r="E387" s="26"/>
      <c r="F387" s="26"/>
      <c r="G387" s="26"/>
      <c r="H387" s="26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26"/>
      <c r="U387" s="26"/>
      <c r="V387" s="26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</row>
    <row r="388" spans="1:33" ht="12.75" customHeight="1">
      <c r="A388" s="26"/>
      <c r="B388" s="26"/>
      <c r="C388" s="26"/>
      <c r="D388" s="26"/>
      <c r="E388" s="26"/>
      <c r="F388" s="26"/>
      <c r="G388" s="26"/>
      <c r="H388" s="26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26"/>
      <c r="U388" s="26"/>
      <c r="V388" s="26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</row>
    <row r="389" spans="1:33" ht="12.75" customHeight="1">
      <c r="A389" s="26"/>
      <c r="B389" s="26"/>
      <c r="C389" s="26"/>
      <c r="D389" s="26"/>
      <c r="E389" s="26"/>
      <c r="F389" s="26"/>
      <c r="G389" s="26"/>
      <c r="H389" s="26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26"/>
      <c r="U389" s="26"/>
      <c r="V389" s="26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</row>
    <row r="390" spans="1:33" ht="12.75" customHeight="1">
      <c r="A390" s="26"/>
      <c r="B390" s="26"/>
      <c r="C390" s="26"/>
      <c r="D390" s="26"/>
      <c r="E390" s="26"/>
      <c r="F390" s="26"/>
      <c r="G390" s="26"/>
      <c r="H390" s="26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26"/>
      <c r="U390" s="26"/>
      <c r="V390" s="26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</row>
    <row r="391" spans="1:33" ht="12.75" customHeight="1">
      <c r="A391" s="26"/>
      <c r="B391" s="26"/>
      <c r="C391" s="26"/>
      <c r="D391" s="26"/>
      <c r="E391" s="26"/>
      <c r="F391" s="26"/>
      <c r="G391" s="26"/>
      <c r="H391" s="26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26"/>
      <c r="U391" s="26"/>
      <c r="V391" s="26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</row>
    <row r="392" spans="1:33" ht="12.75" customHeight="1">
      <c r="A392" s="26"/>
      <c r="B392" s="26"/>
      <c r="C392" s="26"/>
      <c r="D392" s="26"/>
      <c r="E392" s="26"/>
      <c r="F392" s="26"/>
      <c r="G392" s="26"/>
      <c r="H392" s="26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26"/>
      <c r="U392" s="26"/>
      <c r="V392" s="26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</row>
    <row r="393" spans="1:33" ht="12.75" customHeight="1">
      <c r="A393" s="26"/>
      <c r="B393" s="26"/>
      <c r="C393" s="26"/>
      <c r="D393" s="26"/>
      <c r="E393" s="26"/>
      <c r="F393" s="26"/>
      <c r="G393" s="26"/>
      <c r="H393" s="26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26"/>
      <c r="U393" s="26"/>
      <c r="V393" s="26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</row>
    <row r="394" spans="1:33" ht="12.75" customHeight="1">
      <c r="A394" s="26"/>
      <c r="B394" s="26"/>
      <c r="C394" s="26"/>
      <c r="D394" s="26"/>
      <c r="E394" s="26"/>
      <c r="F394" s="26"/>
      <c r="G394" s="26"/>
      <c r="H394" s="26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26"/>
      <c r="U394" s="26"/>
      <c r="V394" s="26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</row>
    <row r="395" spans="1:33" ht="12.75" customHeight="1">
      <c r="A395" s="26"/>
      <c r="B395" s="26"/>
      <c r="C395" s="26"/>
      <c r="D395" s="26"/>
      <c r="E395" s="26"/>
      <c r="F395" s="26"/>
      <c r="G395" s="26"/>
      <c r="H395" s="26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26"/>
      <c r="U395" s="26"/>
      <c r="V395" s="26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</row>
    <row r="396" spans="1:33" ht="12.75" customHeight="1">
      <c r="A396" s="26"/>
      <c r="B396" s="26"/>
      <c r="C396" s="26"/>
      <c r="D396" s="26"/>
      <c r="E396" s="26"/>
      <c r="F396" s="26"/>
      <c r="G396" s="26"/>
      <c r="H396" s="26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26"/>
      <c r="U396" s="26"/>
      <c r="V396" s="26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</row>
    <row r="397" spans="1:33" ht="12.75" customHeight="1">
      <c r="A397" s="26"/>
      <c r="B397" s="26"/>
      <c r="C397" s="26"/>
      <c r="D397" s="26"/>
      <c r="E397" s="26"/>
      <c r="F397" s="26"/>
      <c r="G397" s="26"/>
      <c r="H397" s="26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26"/>
      <c r="U397" s="26"/>
      <c r="V397" s="26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</row>
    <row r="398" spans="1:33" ht="12.75" customHeight="1">
      <c r="A398" s="26"/>
      <c r="B398" s="26"/>
      <c r="C398" s="26"/>
      <c r="D398" s="26"/>
      <c r="E398" s="26"/>
      <c r="F398" s="26"/>
      <c r="G398" s="26"/>
      <c r="H398" s="26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26"/>
      <c r="U398" s="26"/>
      <c r="V398" s="26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</row>
    <row r="399" spans="1:33" ht="12.75" customHeight="1">
      <c r="A399" s="26"/>
      <c r="B399" s="26"/>
      <c r="C399" s="26"/>
      <c r="D399" s="26"/>
      <c r="E399" s="26"/>
      <c r="F399" s="26"/>
      <c r="G399" s="26"/>
      <c r="H399" s="26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26"/>
      <c r="U399" s="26"/>
      <c r="V399" s="26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</row>
    <row r="400" spans="1:33" ht="12.75" customHeight="1">
      <c r="A400" s="26"/>
      <c r="B400" s="26"/>
      <c r="C400" s="26"/>
      <c r="D400" s="26"/>
      <c r="E400" s="26"/>
      <c r="F400" s="26"/>
      <c r="G400" s="26"/>
      <c r="H400" s="26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26"/>
      <c r="U400" s="26"/>
      <c r="V400" s="26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</row>
    <row r="401" spans="1:33" ht="12.75" customHeight="1">
      <c r="A401" s="26"/>
      <c r="B401" s="26"/>
      <c r="C401" s="26"/>
      <c r="D401" s="26"/>
      <c r="E401" s="26"/>
      <c r="F401" s="26"/>
      <c r="G401" s="26"/>
      <c r="H401" s="26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26"/>
      <c r="U401" s="26"/>
      <c r="V401" s="26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</row>
    <row r="402" spans="1:33" ht="12.75" customHeight="1">
      <c r="A402" s="26"/>
      <c r="B402" s="26"/>
      <c r="C402" s="26"/>
      <c r="D402" s="26"/>
      <c r="E402" s="26"/>
      <c r="F402" s="26"/>
      <c r="G402" s="26"/>
      <c r="H402" s="26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26"/>
      <c r="U402" s="26"/>
      <c r="V402" s="26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</row>
    <row r="403" spans="1:33" ht="12.75" customHeight="1">
      <c r="A403" s="26"/>
      <c r="B403" s="26"/>
      <c r="C403" s="26"/>
      <c r="D403" s="26"/>
      <c r="E403" s="26"/>
      <c r="F403" s="26"/>
      <c r="G403" s="26"/>
      <c r="H403" s="26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26"/>
      <c r="U403" s="26"/>
      <c r="V403" s="26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</row>
    <row r="404" spans="1:33" ht="12.75" customHeight="1">
      <c r="A404" s="26"/>
      <c r="B404" s="26"/>
      <c r="C404" s="26"/>
      <c r="D404" s="26"/>
      <c r="E404" s="26"/>
      <c r="F404" s="26"/>
      <c r="G404" s="26"/>
      <c r="H404" s="26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26"/>
      <c r="U404" s="26"/>
      <c r="V404" s="26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</row>
    <row r="405" spans="1:33" ht="12.75" customHeight="1">
      <c r="A405" s="26"/>
      <c r="B405" s="26"/>
      <c r="C405" s="26"/>
      <c r="D405" s="26"/>
      <c r="E405" s="26"/>
      <c r="F405" s="26"/>
      <c r="G405" s="26"/>
      <c r="H405" s="26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26"/>
      <c r="U405" s="26"/>
      <c r="V405" s="26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</row>
    <row r="406" spans="1:33" ht="12.75" customHeight="1">
      <c r="A406" s="26"/>
      <c r="B406" s="26"/>
      <c r="C406" s="26"/>
      <c r="D406" s="26"/>
      <c r="E406" s="26"/>
      <c r="F406" s="26"/>
      <c r="G406" s="26"/>
      <c r="H406" s="26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26"/>
      <c r="U406" s="26"/>
      <c r="V406" s="26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</row>
    <row r="407" spans="1:33" ht="12.75" customHeight="1">
      <c r="A407" s="26"/>
      <c r="B407" s="26"/>
      <c r="C407" s="26"/>
      <c r="D407" s="26"/>
      <c r="E407" s="26"/>
      <c r="F407" s="26"/>
      <c r="G407" s="26"/>
      <c r="H407" s="26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26"/>
      <c r="U407" s="26"/>
      <c r="V407" s="26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</row>
    <row r="408" spans="1:33" ht="12.75" customHeight="1">
      <c r="A408" s="26"/>
      <c r="B408" s="26"/>
      <c r="C408" s="26"/>
      <c r="D408" s="26"/>
      <c r="E408" s="26"/>
      <c r="F408" s="26"/>
      <c r="G408" s="26"/>
      <c r="H408" s="26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26"/>
      <c r="U408" s="26"/>
      <c r="V408" s="26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</row>
    <row r="409" spans="1:33" ht="12.75" customHeight="1">
      <c r="A409" s="26"/>
      <c r="B409" s="26"/>
      <c r="C409" s="26"/>
      <c r="D409" s="26"/>
      <c r="E409" s="26"/>
      <c r="F409" s="26"/>
      <c r="G409" s="26"/>
      <c r="H409" s="26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26"/>
      <c r="U409" s="26"/>
      <c r="V409" s="26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</row>
    <row r="410" spans="1:33" ht="12.75" customHeight="1">
      <c r="A410" s="26"/>
      <c r="B410" s="26"/>
      <c r="C410" s="26"/>
      <c r="D410" s="26"/>
      <c r="E410" s="26"/>
      <c r="F410" s="26"/>
      <c r="G410" s="26"/>
      <c r="H410" s="26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26"/>
      <c r="U410" s="26"/>
      <c r="V410" s="26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</row>
    <row r="411" spans="1:33" ht="12.75" customHeight="1">
      <c r="A411" s="26"/>
      <c r="B411" s="26"/>
      <c r="C411" s="26"/>
      <c r="D411" s="26"/>
      <c r="E411" s="26"/>
      <c r="F411" s="26"/>
      <c r="G411" s="26"/>
      <c r="H411" s="26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26"/>
      <c r="U411" s="26"/>
      <c r="V411" s="26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</row>
    <row r="412" spans="1:33" ht="12.75" customHeight="1">
      <c r="A412" s="26"/>
      <c r="B412" s="26"/>
      <c r="C412" s="26"/>
      <c r="D412" s="26"/>
      <c r="E412" s="26"/>
      <c r="F412" s="26"/>
      <c r="G412" s="26"/>
      <c r="H412" s="26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26"/>
      <c r="U412" s="26"/>
      <c r="V412" s="26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</row>
    <row r="413" spans="1:33" ht="12.75" customHeight="1">
      <c r="A413" s="26"/>
      <c r="B413" s="26"/>
      <c r="C413" s="26"/>
      <c r="D413" s="26"/>
      <c r="E413" s="26"/>
      <c r="F413" s="26"/>
      <c r="G413" s="26"/>
      <c r="H413" s="26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26"/>
      <c r="U413" s="26"/>
      <c r="V413" s="26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</row>
    <row r="414" spans="1:33" ht="12.75" customHeight="1">
      <c r="A414" s="26"/>
      <c r="B414" s="26"/>
      <c r="C414" s="26"/>
      <c r="D414" s="26"/>
      <c r="E414" s="26"/>
      <c r="F414" s="26"/>
      <c r="G414" s="26"/>
      <c r="H414" s="26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26"/>
      <c r="U414" s="26"/>
      <c r="V414" s="26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</row>
    <row r="415" spans="1:33" ht="12.75" customHeight="1">
      <c r="A415" s="26"/>
      <c r="B415" s="26"/>
      <c r="C415" s="26"/>
      <c r="D415" s="26"/>
      <c r="E415" s="26"/>
      <c r="F415" s="26"/>
      <c r="G415" s="26"/>
      <c r="H415" s="26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26"/>
      <c r="U415" s="26"/>
      <c r="V415" s="26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</row>
    <row r="416" spans="1:33" ht="12.75" customHeight="1">
      <c r="A416" s="26"/>
      <c r="B416" s="26"/>
      <c r="C416" s="26"/>
      <c r="D416" s="26"/>
      <c r="E416" s="26"/>
      <c r="F416" s="26"/>
      <c r="G416" s="26"/>
      <c r="H416" s="26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26"/>
      <c r="U416" s="26"/>
      <c r="V416" s="26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</row>
    <row r="417" spans="1:33" ht="12.75" customHeight="1">
      <c r="A417" s="26"/>
      <c r="B417" s="26"/>
      <c r="C417" s="26"/>
      <c r="D417" s="26"/>
      <c r="E417" s="26"/>
      <c r="F417" s="26"/>
      <c r="G417" s="26"/>
      <c r="H417" s="26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26"/>
      <c r="U417" s="26"/>
      <c r="V417" s="26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</row>
    <row r="418" spans="1:33" ht="12.75" customHeight="1">
      <c r="A418" s="26"/>
      <c r="B418" s="26"/>
      <c r="C418" s="26"/>
      <c r="D418" s="26"/>
      <c r="E418" s="26"/>
      <c r="F418" s="26"/>
      <c r="G418" s="26"/>
      <c r="H418" s="26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26"/>
      <c r="U418" s="26"/>
      <c r="V418" s="26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</row>
    <row r="419" spans="1:33" ht="12.75" customHeight="1">
      <c r="A419" s="26"/>
      <c r="B419" s="26"/>
      <c r="C419" s="26"/>
      <c r="D419" s="26"/>
      <c r="E419" s="26"/>
      <c r="F419" s="26"/>
      <c r="G419" s="26"/>
      <c r="H419" s="26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26"/>
      <c r="U419" s="26"/>
      <c r="V419" s="26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</row>
    <row r="420" spans="1:33" ht="12.75" customHeight="1">
      <c r="A420" s="26"/>
      <c r="B420" s="26"/>
      <c r="C420" s="26"/>
      <c r="D420" s="26"/>
      <c r="E420" s="26"/>
      <c r="F420" s="26"/>
      <c r="G420" s="26"/>
      <c r="H420" s="26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26"/>
      <c r="U420" s="26"/>
      <c r="V420" s="26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</row>
    <row r="421" spans="1:33" ht="12.75" customHeight="1">
      <c r="A421" s="26"/>
      <c r="B421" s="26"/>
      <c r="C421" s="26"/>
      <c r="D421" s="26"/>
      <c r="E421" s="26"/>
      <c r="F421" s="26"/>
      <c r="G421" s="26"/>
      <c r="H421" s="26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26"/>
      <c r="U421" s="26"/>
      <c r="V421" s="26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</row>
    <row r="422" spans="1:33" ht="12.75" customHeight="1">
      <c r="A422" s="26"/>
      <c r="B422" s="26"/>
      <c r="C422" s="26"/>
      <c r="D422" s="26"/>
      <c r="E422" s="26"/>
      <c r="F422" s="26"/>
      <c r="G422" s="26"/>
      <c r="H422" s="26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26"/>
      <c r="U422" s="26"/>
      <c r="V422" s="26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</row>
    <row r="423" spans="1:33" ht="12.75" customHeight="1">
      <c r="A423" s="26"/>
      <c r="B423" s="26"/>
      <c r="C423" s="26"/>
      <c r="D423" s="26"/>
      <c r="E423" s="26"/>
      <c r="F423" s="26"/>
      <c r="G423" s="26"/>
      <c r="H423" s="26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26"/>
      <c r="U423" s="26"/>
      <c r="V423" s="26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</row>
    <row r="424" spans="1:33" ht="12.75" customHeight="1">
      <c r="A424" s="26"/>
      <c r="B424" s="26"/>
      <c r="C424" s="26"/>
      <c r="D424" s="26"/>
      <c r="E424" s="26"/>
      <c r="F424" s="26"/>
      <c r="G424" s="26"/>
      <c r="H424" s="26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26"/>
      <c r="U424" s="26"/>
      <c r="V424" s="26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</row>
    <row r="425" spans="1:33" ht="12.75" customHeight="1">
      <c r="A425" s="26"/>
      <c r="B425" s="26"/>
      <c r="C425" s="26"/>
      <c r="D425" s="26"/>
      <c r="E425" s="26"/>
      <c r="F425" s="26"/>
      <c r="G425" s="26"/>
      <c r="H425" s="26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26"/>
      <c r="U425" s="26"/>
      <c r="V425" s="26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</row>
    <row r="426" spans="1:33" ht="12.75" customHeight="1">
      <c r="A426" s="26"/>
      <c r="B426" s="26"/>
      <c r="C426" s="26"/>
      <c r="D426" s="26"/>
      <c r="E426" s="26"/>
      <c r="F426" s="26"/>
      <c r="G426" s="26"/>
      <c r="H426" s="26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26"/>
      <c r="U426" s="26"/>
      <c r="V426" s="26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</row>
    <row r="427" spans="1:33" ht="12.75" customHeight="1">
      <c r="A427" s="26"/>
      <c r="B427" s="26"/>
      <c r="C427" s="26"/>
      <c r="D427" s="26"/>
      <c r="E427" s="26"/>
      <c r="F427" s="26"/>
      <c r="G427" s="26"/>
      <c r="H427" s="26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26"/>
      <c r="U427" s="26"/>
      <c r="V427" s="26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</row>
    <row r="428" spans="1:33" ht="12.75" customHeight="1">
      <c r="A428" s="26"/>
      <c r="B428" s="26"/>
      <c r="C428" s="26"/>
      <c r="D428" s="26"/>
      <c r="E428" s="26"/>
      <c r="F428" s="26"/>
      <c r="G428" s="26"/>
      <c r="H428" s="26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26"/>
      <c r="U428" s="26"/>
      <c r="V428" s="26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</row>
    <row r="429" spans="1:33" ht="12.75" customHeight="1">
      <c r="A429" s="26"/>
      <c r="B429" s="26"/>
      <c r="C429" s="26"/>
      <c r="D429" s="26"/>
      <c r="E429" s="26"/>
      <c r="F429" s="26"/>
      <c r="G429" s="26"/>
      <c r="H429" s="26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26"/>
      <c r="U429" s="26"/>
      <c r="V429" s="26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</row>
    <row r="430" spans="1:33" ht="12.75" customHeight="1">
      <c r="A430" s="26"/>
      <c r="B430" s="26"/>
      <c r="C430" s="26"/>
      <c r="D430" s="26"/>
      <c r="E430" s="26"/>
      <c r="F430" s="26"/>
      <c r="G430" s="26"/>
      <c r="H430" s="26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26"/>
      <c r="U430" s="26"/>
      <c r="V430" s="26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</row>
    <row r="431" spans="1:33" ht="12.75" customHeight="1">
      <c r="A431" s="26"/>
      <c r="B431" s="26"/>
      <c r="C431" s="26"/>
      <c r="D431" s="26"/>
      <c r="E431" s="26"/>
      <c r="F431" s="26"/>
      <c r="G431" s="26"/>
      <c r="H431" s="26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26"/>
      <c r="U431" s="26"/>
      <c r="V431" s="26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</row>
    <row r="432" spans="1:33" ht="12.75" customHeight="1">
      <c r="A432" s="26"/>
      <c r="B432" s="26"/>
      <c r="C432" s="26"/>
      <c r="D432" s="26"/>
      <c r="E432" s="26"/>
      <c r="F432" s="26"/>
      <c r="G432" s="26"/>
      <c r="H432" s="26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26"/>
      <c r="U432" s="26"/>
      <c r="V432" s="26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</row>
    <row r="433" spans="1:33" ht="12.75" customHeight="1">
      <c r="A433" s="26"/>
      <c r="B433" s="26"/>
      <c r="C433" s="26"/>
      <c r="D433" s="26"/>
      <c r="E433" s="26"/>
      <c r="F433" s="26"/>
      <c r="G433" s="26"/>
      <c r="H433" s="26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26"/>
      <c r="U433" s="26"/>
      <c r="V433" s="26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</row>
    <row r="434" spans="1:33" ht="12.75" customHeight="1">
      <c r="A434" s="26"/>
      <c r="B434" s="26"/>
      <c r="C434" s="26"/>
      <c r="D434" s="26"/>
      <c r="E434" s="26"/>
      <c r="F434" s="26"/>
      <c r="G434" s="26"/>
      <c r="H434" s="26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26"/>
      <c r="U434" s="26"/>
      <c r="V434" s="26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</row>
    <row r="435" spans="1:33" ht="12.75" customHeight="1">
      <c r="A435" s="26"/>
      <c r="B435" s="26"/>
      <c r="C435" s="26"/>
      <c r="D435" s="26"/>
      <c r="E435" s="26"/>
      <c r="F435" s="26"/>
      <c r="G435" s="26"/>
      <c r="H435" s="26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26"/>
      <c r="U435" s="26"/>
      <c r="V435" s="26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</row>
    <row r="436" spans="1:33" ht="12.75" customHeight="1">
      <c r="A436" s="26"/>
      <c r="B436" s="26"/>
      <c r="C436" s="26"/>
      <c r="D436" s="26"/>
      <c r="E436" s="26"/>
      <c r="F436" s="26"/>
      <c r="G436" s="26"/>
      <c r="H436" s="26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26"/>
      <c r="U436" s="26"/>
      <c r="V436" s="26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</row>
    <row r="437" spans="1:33" ht="12.75" customHeight="1">
      <c r="A437" s="26"/>
      <c r="B437" s="26"/>
      <c r="C437" s="26"/>
      <c r="D437" s="26"/>
      <c r="E437" s="26"/>
      <c r="F437" s="26"/>
      <c r="G437" s="26"/>
      <c r="H437" s="26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26"/>
      <c r="U437" s="26"/>
      <c r="V437" s="26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</row>
    <row r="438" spans="1:33" ht="12.75" customHeight="1">
      <c r="A438" s="26"/>
      <c r="B438" s="26"/>
      <c r="C438" s="26"/>
      <c r="D438" s="26"/>
      <c r="E438" s="26"/>
      <c r="F438" s="26"/>
      <c r="G438" s="26"/>
      <c r="H438" s="26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26"/>
      <c r="U438" s="26"/>
      <c r="V438" s="26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</row>
    <row r="439" spans="1:33" ht="12.75" customHeight="1">
      <c r="A439" s="26"/>
      <c r="B439" s="26"/>
      <c r="C439" s="26"/>
      <c r="D439" s="26"/>
      <c r="E439" s="26"/>
      <c r="F439" s="26"/>
      <c r="G439" s="26"/>
      <c r="H439" s="26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26"/>
      <c r="U439" s="26"/>
      <c r="V439" s="26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</row>
    <row r="440" spans="1:33" ht="12.75" customHeight="1">
      <c r="A440" s="26"/>
      <c r="B440" s="26"/>
      <c r="C440" s="26"/>
      <c r="D440" s="26"/>
      <c r="E440" s="26"/>
      <c r="F440" s="26"/>
      <c r="G440" s="26"/>
      <c r="H440" s="26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26"/>
      <c r="U440" s="26"/>
      <c r="V440" s="26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</row>
    <row r="441" spans="1:33" ht="12.75" customHeight="1">
      <c r="A441" s="26"/>
      <c r="B441" s="26"/>
      <c r="C441" s="26"/>
      <c r="D441" s="26"/>
      <c r="E441" s="26"/>
      <c r="F441" s="26"/>
      <c r="G441" s="26"/>
      <c r="H441" s="26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26"/>
      <c r="U441" s="26"/>
      <c r="V441" s="26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</row>
    <row r="442" spans="1:33" ht="12.75" customHeight="1">
      <c r="A442" s="26"/>
      <c r="B442" s="26"/>
      <c r="C442" s="26"/>
      <c r="D442" s="26"/>
      <c r="E442" s="26"/>
      <c r="F442" s="26"/>
      <c r="G442" s="26"/>
      <c r="H442" s="26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26"/>
      <c r="U442" s="26"/>
      <c r="V442" s="26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</row>
    <row r="443" spans="1:33" ht="12.75" customHeight="1">
      <c r="A443" s="26"/>
      <c r="B443" s="26"/>
      <c r="C443" s="26"/>
      <c r="D443" s="26"/>
      <c r="E443" s="26"/>
      <c r="F443" s="26"/>
      <c r="G443" s="26"/>
      <c r="H443" s="26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26"/>
      <c r="U443" s="26"/>
      <c r="V443" s="26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</row>
    <row r="444" spans="1:33" ht="12.75" customHeight="1">
      <c r="A444" s="26"/>
      <c r="B444" s="26"/>
      <c r="C444" s="26"/>
      <c r="D444" s="26"/>
      <c r="E444" s="26"/>
      <c r="F444" s="26"/>
      <c r="G444" s="26"/>
      <c r="H444" s="26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26"/>
      <c r="U444" s="26"/>
      <c r="V444" s="26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</row>
    <row r="445" spans="1:33" ht="12.75" customHeight="1">
      <c r="A445" s="26"/>
      <c r="B445" s="26"/>
      <c r="C445" s="26"/>
      <c r="D445" s="26"/>
      <c r="E445" s="26"/>
      <c r="F445" s="26"/>
      <c r="G445" s="26"/>
      <c r="H445" s="26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26"/>
      <c r="U445" s="26"/>
      <c r="V445" s="26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</row>
    <row r="446" spans="1:33" ht="12.75" customHeight="1">
      <c r="A446" s="26"/>
      <c r="B446" s="26"/>
      <c r="C446" s="26"/>
      <c r="D446" s="26"/>
      <c r="E446" s="26"/>
      <c r="F446" s="26"/>
      <c r="G446" s="26"/>
      <c r="H446" s="26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26"/>
      <c r="U446" s="26"/>
      <c r="V446" s="26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</row>
    <row r="447" spans="1:33" ht="12.75" customHeight="1">
      <c r="A447" s="26"/>
      <c r="B447" s="26"/>
      <c r="C447" s="26"/>
      <c r="D447" s="26"/>
      <c r="E447" s="26"/>
      <c r="F447" s="26"/>
      <c r="G447" s="26"/>
      <c r="H447" s="26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26"/>
      <c r="U447" s="26"/>
      <c r="V447" s="26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</row>
    <row r="448" spans="1:33" ht="12.75" customHeight="1">
      <c r="A448" s="26"/>
      <c r="B448" s="26"/>
      <c r="C448" s="26"/>
      <c r="D448" s="26"/>
      <c r="E448" s="26"/>
      <c r="F448" s="26"/>
      <c r="G448" s="26"/>
      <c r="H448" s="26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26"/>
      <c r="U448" s="26"/>
      <c r="V448" s="26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</row>
    <row r="449" spans="1:33" ht="12.75" customHeight="1">
      <c r="A449" s="26"/>
      <c r="B449" s="26"/>
      <c r="C449" s="26"/>
      <c r="D449" s="26"/>
      <c r="E449" s="26"/>
      <c r="F449" s="26"/>
      <c r="G449" s="26"/>
      <c r="H449" s="26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26"/>
      <c r="U449" s="26"/>
      <c r="V449" s="26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</row>
    <row r="450" spans="1:33" ht="12.75" customHeight="1">
      <c r="A450" s="26"/>
      <c r="B450" s="26"/>
      <c r="C450" s="26"/>
      <c r="D450" s="26"/>
      <c r="E450" s="26"/>
      <c r="F450" s="26"/>
      <c r="G450" s="26"/>
      <c r="H450" s="26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26"/>
      <c r="U450" s="26"/>
      <c r="V450" s="26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</row>
    <row r="451" spans="1:33" ht="12.75" customHeight="1">
      <c r="A451" s="26"/>
      <c r="B451" s="26"/>
      <c r="C451" s="26"/>
      <c r="D451" s="26"/>
      <c r="E451" s="26"/>
      <c r="F451" s="26"/>
      <c r="G451" s="26"/>
      <c r="H451" s="26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26"/>
      <c r="U451" s="26"/>
      <c r="V451" s="26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</row>
    <row r="452" spans="1:33" ht="12.75" customHeight="1">
      <c r="A452" s="26"/>
      <c r="B452" s="26"/>
      <c r="C452" s="26"/>
      <c r="D452" s="26"/>
      <c r="E452" s="26"/>
      <c r="F452" s="26"/>
      <c r="G452" s="26"/>
      <c r="H452" s="26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26"/>
      <c r="U452" s="26"/>
      <c r="V452" s="26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</row>
    <row r="453" spans="1:33" ht="12.75" customHeight="1">
      <c r="A453" s="26"/>
      <c r="B453" s="26"/>
      <c r="C453" s="26"/>
      <c r="D453" s="26"/>
      <c r="E453" s="26"/>
      <c r="F453" s="26"/>
      <c r="G453" s="26"/>
      <c r="H453" s="26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26"/>
      <c r="U453" s="26"/>
      <c r="V453" s="26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</row>
    <row r="454" spans="1:33" ht="12.75" customHeight="1">
      <c r="A454" s="26"/>
      <c r="B454" s="26"/>
      <c r="C454" s="26"/>
      <c r="D454" s="26"/>
      <c r="E454" s="26"/>
      <c r="F454" s="26"/>
      <c r="G454" s="26"/>
      <c r="H454" s="26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26"/>
      <c r="U454" s="26"/>
      <c r="V454" s="26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</row>
    <row r="455" spans="1:33" ht="12.75" customHeight="1">
      <c r="A455" s="26"/>
      <c r="B455" s="26"/>
      <c r="C455" s="26"/>
      <c r="D455" s="26"/>
      <c r="E455" s="26"/>
      <c r="F455" s="26"/>
      <c r="G455" s="26"/>
      <c r="H455" s="26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26"/>
      <c r="U455" s="26"/>
      <c r="V455" s="26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</row>
    <row r="456" spans="1:33" ht="12.75" customHeight="1">
      <c r="A456" s="26"/>
      <c r="B456" s="26"/>
      <c r="C456" s="26"/>
      <c r="D456" s="26"/>
      <c r="E456" s="26"/>
      <c r="F456" s="26"/>
      <c r="G456" s="26"/>
      <c r="H456" s="26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26"/>
      <c r="U456" s="26"/>
      <c r="V456" s="26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</row>
    <row r="457" spans="1:33" ht="12.75" customHeight="1">
      <c r="A457" s="26"/>
      <c r="B457" s="26"/>
      <c r="C457" s="26"/>
      <c r="D457" s="26"/>
      <c r="E457" s="26"/>
      <c r="F457" s="26"/>
      <c r="G457" s="26"/>
      <c r="H457" s="26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26"/>
      <c r="U457" s="26"/>
      <c r="V457" s="26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</row>
    <row r="458" spans="1:33" ht="12.75" customHeight="1">
      <c r="A458" s="26"/>
      <c r="B458" s="26"/>
      <c r="C458" s="26"/>
      <c r="D458" s="26"/>
      <c r="E458" s="26"/>
      <c r="F458" s="26"/>
      <c r="G458" s="26"/>
      <c r="H458" s="26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26"/>
      <c r="U458" s="26"/>
      <c r="V458" s="26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</row>
    <row r="459" spans="1:33" ht="12.75" customHeight="1">
      <c r="A459" s="26"/>
      <c r="B459" s="26"/>
      <c r="C459" s="26"/>
      <c r="D459" s="26"/>
      <c r="E459" s="26"/>
      <c r="F459" s="26"/>
      <c r="G459" s="26"/>
      <c r="H459" s="26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26"/>
      <c r="U459" s="26"/>
      <c r="V459" s="26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</row>
    <row r="460" spans="1:33" ht="12.75" customHeight="1">
      <c r="A460" s="26"/>
      <c r="B460" s="26"/>
      <c r="C460" s="26"/>
      <c r="D460" s="26"/>
      <c r="E460" s="26"/>
      <c r="F460" s="26"/>
      <c r="G460" s="26"/>
      <c r="H460" s="26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26"/>
      <c r="U460" s="26"/>
      <c r="V460" s="26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</row>
    <row r="461" spans="1:33" ht="12.75" customHeight="1">
      <c r="A461" s="26"/>
      <c r="B461" s="26"/>
      <c r="C461" s="26"/>
      <c r="D461" s="26"/>
      <c r="E461" s="26"/>
      <c r="F461" s="26"/>
      <c r="G461" s="26"/>
      <c r="H461" s="26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26"/>
      <c r="U461" s="26"/>
      <c r="V461" s="26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</row>
    <row r="462" spans="1:33" ht="12.75" customHeight="1">
      <c r="A462" s="26"/>
      <c r="B462" s="26"/>
      <c r="C462" s="26"/>
      <c r="D462" s="26"/>
      <c r="E462" s="26"/>
      <c r="F462" s="26"/>
      <c r="G462" s="26"/>
      <c r="H462" s="26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26"/>
      <c r="U462" s="26"/>
      <c r="V462" s="26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</row>
    <row r="463" spans="1:33" ht="12.75" customHeight="1">
      <c r="A463" s="26"/>
      <c r="B463" s="26"/>
      <c r="C463" s="26"/>
      <c r="D463" s="26"/>
      <c r="E463" s="26"/>
      <c r="F463" s="26"/>
      <c r="G463" s="26"/>
      <c r="H463" s="26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26"/>
      <c r="U463" s="26"/>
      <c r="V463" s="26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</row>
    <row r="464" spans="1:33" ht="12.75" customHeight="1">
      <c r="A464" s="26"/>
      <c r="B464" s="26"/>
      <c r="C464" s="26"/>
      <c r="D464" s="26"/>
      <c r="E464" s="26"/>
      <c r="F464" s="26"/>
      <c r="G464" s="26"/>
      <c r="H464" s="26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26"/>
      <c r="U464" s="26"/>
      <c r="V464" s="26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</row>
    <row r="465" spans="1:33" ht="12.75" customHeight="1">
      <c r="A465" s="26"/>
      <c r="B465" s="26"/>
      <c r="C465" s="26"/>
      <c r="D465" s="26"/>
      <c r="E465" s="26"/>
      <c r="F465" s="26"/>
      <c r="G465" s="26"/>
      <c r="H465" s="26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26"/>
      <c r="U465" s="26"/>
      <c r="V465" s="26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</row>
    <row r="466" spans="1:33" ht="12.75" customHeight="1">
      <c r="A466" s="26"/>
      <c r="B466" s="26"/>
      <c r="C466" s="26"/>
      <c r="D466" s="26"/>
      <c r="E466" s="26"/>
      <c r="F466" s="26"/>
      <c r="G466" s="26"/>
      <c r="H466" s="26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26"/>
      <c r="U466" s="26"/>
      <c r="V466" s="26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</row>
    <row r="467" spans="1:33" ht="12.75" customHeight="1">
      <c r="A467" s="26"/>
      <c r="B467" s="26"/>
      <c r="C467" s="26"/>
      <c r="D467" s="26"/>
      <c r="E467" s="26"/>
      <c r="F467" s="26"/>
      <c r="G467" s="26"/>
      <c r="H467" s="26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26"/>
      <c r="U467" s="26"/>
      <c r="V467" s="26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</row>
    <row r="468" spans="1:33" ht="12.75" customHeight="1">
      <c r="A468" s="26"/>
      <c r="B468" s="26"/>
      <c r="C468" s="26"/>
      <c r="D468" s="26"/>
      <c r="E468" s="26"/>
      <c r="F468" s="26"/>
      <c r="G468" s="26"/>
      <c r="H468" s="26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26"/>
      <c r="U468" s="26"/>
      <c r="V468" s="26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</row>
    <row r="469" spans="1:33" ht="12.75" customHeight="1">
      <c r="A469" s="26"/>
      <c r="B469" s="26"/>
      <c r="C469" s="26"/>
      <c r="D469" s="26"/>
      <c r="E469" s="26"/>
      <c r="F469" s="26"/>
      <c r="G469" s="26"/>
      <c r="H469" s="26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26"/>
      <c r="U469" s="26"/>
      <c r="V469" s="26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</row>
    <row r="470" spans="1:33" ht="12.75" customHeight="1">
      <c r="A470" s="26"/>
      <c r="B470" s="26"/>
      <c r="C470" s="26"/>
      <c r="D470" s="26"/>
      <c r="E470" s="26"/>
      <c r="F470" s="26"/>
      <c r="G470" s="26"/>
      <c r="H470" s="26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26"/>
      <c r="U470" s="26"/>
      <c r="V470" s="26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</row>
    <row r="471" spans="1:33" ht="12.75" customHeight="1">
      <c r="A471" s="26"/>
      <c r="B471" s="26"/>
      <c r="C471" s="26"/>
      <c r="D471" s="26"/>
      <c r="E471" s="26"/>
      <c r="F471" s="26"/>
      <c r="G471" s="26"/>
      <c r="H471" s="26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26"/>
      <c r="U471" s="26"/>
      <c r="V471" s="26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</row>
    <row r="472" spans="1:33" ht="12.75" customHeight="1">
      <c r="A472" s="26"/>
      <c r="B472" s="26"/>
      <c r="C472" s="26"/>
      <c r="D472" s="26"/>
      <c r="E472" s="26"/>
      <c r="F472" s="26"/>
      <c r="G472" s="26"/>
      <c r="H472" s="26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26"/>
      <c r="U472" s="26"/>
      <c r="V472" s="26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</row>
    <row r="473" spans="1:33" ht="12.75" customHeight="1">
      <c r="A473" s="26"/>
      <c r="B473" s="26"/>
      <c r="C473" s="26"/>
      <c r="D473" s="26"/>
      <c r="E473" s="26"/>
      <c r="F473" s="26"/>
      <c r="G473" s="26"/>
      <c r="H473" s="26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26"/>
      <c r="U473" s="26"/>
      <c r="V473" s="26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</row>
    <row r="474" spans="1:33" ht="12.75" customHeight="1">
      <c r="A474" s="26"/>
      <c r="B474" s="26"/>
      <c r="C474" s="26"/>
      <c r="D474" s="26"/>
      <c r="E474" s="26"/>
      <c r="F474" s="26"/>
      <c r="G474" s="26"/>
      <c r="H474" s="26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26"/>
      <c r="U474" s="26"/>
      <c r="V474" s="26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</row>
    <row r="475" spans="1:33" ht="12.75" customHeight="1">
      <c r="A475" s="26"/>
      <c r="B475" s="26"/>
      <c r="C475" s="26"/>
      <c r="D475" s="26"/>
      <c r="E475" s="26"/>
      <c r="F475" s="26"/>
      <c r="G475" s="26"/>
      <c r="H475" s="26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26"/>
      <c r="U475" s="26"/>
      <c r="V475" s="26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</row>
    <row r="476" spans="1:33" ht="12.75" customHeight="1">
      <c r="A476" s="26"/>
      <c r="B476" s="26"/>
      <c r="C476" s="26"/>
      <c r="D476" s="26"/>
      <c r="E476" s="26"/>
      <c r="F476" s="26"/>
      <c r="G476" s="26"/>
      <c r="H476" s="26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26"/>
      <c r="U476" s="26"/>
      <c r="V476" s="26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</row>
    <row r="477" spans="1:33" ht="12.75" customHeight="1">
      <c r="A477" s="26"/>
      <c r="B477" s="26"/>
      <c r="C477" s="26"/>
      <c r="D477" s="26"/>
      <c r="E477" s="26"/>
      <c r="F477" s="26"/>
      <c r="G477" s="26"/>
      <c r="H477" s="26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26"/>
      <c r="U477" s="26"/>
      <c r="V477" s="26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</row>
    <row r="478" spans="1:33" ht="12.75" customHeight="1">
      <c r="A478" s="26"/>
      <c r="B478" s="26"/>
      <c r="C478" s="26"/>
      <c r="D478" s="26"/>
      <c r="E478" s="26"/>
      <c r="F478" s="26"/>
      <c r="G478" s="26"/>
      <c r="H478" s="26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26"/>
      <c r="U478" s="26"/>
      <c r="V478" s="26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</row>
    <row r="479" spans="1:33" ht="12.75" customHeight="1">
      <c r="A479" s="26"/>
      <c r="B479" s="26"/>
      <c r="C479" s="26"/>
      <c r="D479" s="26"/>
      <c r="E479" s="26"/>
      <c r="F479" s="26"/>
      <c r="G479" s="26"/>
      <c r="H479" s="26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26"/>
      <c r="U479" s="26"/>
      <c r="V479" s="26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</row>
    <row r="480" spans="1:33" ht="12.75" customHeight="1">
      <c r="A480" s="26"/>
      <c r="B480" s="26"/>
      <c r="C480" s="26"/>
      <c r="D480" s="26"/>
      <c r="E480" s="26"/>
      <c r="F480" s="26"/>
      <c r="G480" s="26"/>
      <c r="H480" s="26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26"/>
      <c r="U480" s="26"/>
      <c r="V480" s="26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</row>
    <row r="481" spans="1:33" ht="12.75" customHeight="1">
      <c r="A481" s="26"/>
      <c r="B481" s="26"/>
      <c r="C481" s="26"/>
      <c r="D481" s="26"/>
      <c r="E481" s="26"/>
      <c r="F481" s="26"/>
      <c r="G481" s="26"/>
      <c r="H481" s="26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26"/>
      <c r="U481" s="26"/>
      <c r="V481" s="26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</row>
    <row r="482" spans="1:33" ht="12.75" customHeight="1">
      <c r="A482" s="26"/>
      <c r="B482" s="26"/>
      <c r="C482" s="26"/>
      <c r="D482" s="26"/>
      <c r="E482" s="26"/>
      <c r="F482" s="26"/>
      <c r="G482" s="26"/>
      <c r="H482" s="26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26"/>
      <c r="U482" s="26"/>
      <c r="V482" s="26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</row>
    <row r="483" spans="1:33" ht="12.75" customHeight="1">
      <c r="A483" s="26"/>
      <c r="B483" s="26"/>
      <c r="C483" s="26"/>
      <c r="D483" s="26"/>
      <c r="E483" s="26"/>
      <c r="F483" s="26"/>
      <c r="G483" s="26"/>
      <c r="H483" s="26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26"/>
      <c r="U483" s="26"/>
      <c r="V483" s="26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</row>
    <row r="484" spans="1:33" ht="12.75" customHeight="1">
      <c r="A484" s="26"/>
      <c r="B484" s="26"/>
      <c r="C484" s="26"/>
      <c r="D484" s="26"/>
      <c r="E484" s="26"/>
      <c r="F484" s="26"/>
      <c r="G484" s="26"/>
      <c r="H484" s="26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26"/>
      <c r="U484" s="26"/>
      <c r="V484" s="26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</row>
    <row r="485" spans="1:33" ht="12.75" customHeight="1">
      <c r="A485" s="26"/>
      <c r="B485" s="26"/>
      <c r="C485" s="26"/>
      <c r="D485" s="26"/>
      <c r="E485" s="26"/>
      <c r="F485" s="26"/>
      <c r="G485" s="26"/>
      <c r="H485" s="26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26"/>
      <c r="U485" s="26"/>
      <c r="V485" s="26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</row>
    <row r="486" spans="1:33" ht="12.75" customHeight="1">
      <c r="A486" s="26"/>
      <c r="B486" s="26"/>
      <c r="C486" s="26"/>
      <c r="D486" s="26"/>
      <c r="E486" s="26"/>
      <c r="F486" s="26"/>
      <c r="G486" s="26"/>
      <c r="H486" s="26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26"/>
      <c r="U486" s="26"/>
      <c r="V486" s="26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</row>
    <row r="487" spans="1:33" ht="12.75" customHeight="1">
      <c r="A487" s="26"/>
      <c r="B487" s="26"/>
      <c r="C487" s="26"/>
      <c r="D487" s="26"/>
      <c r="E487" s="26"/>
      <c r="F487" s="26"/>
      <c r="G487" s="26"/>
      <c r="H487" s="26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26"/>
      <c r="U487" s="26"/>
      <c r="V487" s="26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</row>
    <row r="488" spans="1:33" ht="12.75" customHeight="1">
      <c r="A488" s="26"/>
      <c r="B488" s="26"/>
      <c r="C488" s="26"/>
      <c r="D488" s="26"/>
      <c r="E488" s="26"/>
      <c r="F488" s="26"/>
      <c r="G488" s="26"/>
      <c r="H488" s="26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26"/>
      <c r="U488" s="26"/>
      <c r="V488" s="26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</row>
    <row r="489" spans="1:33" ht="12.75" customHeight="1">
      <c r="A489" s="26"/>
      <c r="B489" s="26"/>
      <c r="C489" s="26"/>
      <c r="D489" s="26"/>
      <c r="E489" s="26"/>
      <c r="F489" s="26"/>
      <c r="G489" s="26"/>
      <c r="H489" s="26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26"/>
      <c r="U489" s="26"/>
      <c r="V489" s="26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</row>
    <row r="490" spans="1:33" ht="12.75" customHeight="1">
      <c r="A490" s="26"/>
      <c r="B490" s="26"/>
      <c r="C490" s="26"/>
      <c r="D490" s="26"/>
      <c r="E490" s="26"/>
      <c r="F490" s="26"/>
      <c r="G490" s="26"/>
      <c r="H490" s="26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26"/>
      <c r="U490" s="26"/>
      <c r="V490" s="26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</row>
    <row r="491" spans="1:33" ht="12.75" customHeight="1">
      <c r="A491" s="26"/>
      <c r="B491" s="26"/>
      <c r="C491" s="26"/>
      <c r="D491" s="26"/>
      <c r="E491" s="26"/>
      <c r="F491" s="26"/>
      <c r="G491" s="26"/>
      <c r="H491" s="26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26"/>
      <c r="U491" s="26"/>
      <c r="V491" s="26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</row>
    <row r="492" spans="1:33" ht="12.75" customHeight="1">
      <c r="A492" s="26"/>
      <c r="B492" s="26"/>
      <c r="C492" s="26"/>
      <c r="D492" s="26"/>
      <c r="E492" s="26"/>
      <c r="F492" s="26"/>
      <c r="G492" s="26"/>
      <c r="H492" s="26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26"/>
      <c r="U492" s="26"/>
      <c r="V492" s="26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</row>
    <row r="493" spans="1:33" ht="12.75" customHeight="1">
      <c r="A493" s="26"/>
      <c r="B493" s="26"/>
      <c r="C493" s="26"/>
      <c r="D493" s="26"/>
      <c r="E493" s="26"/>
      <c r="F493" s="26"/>
      <c r="G493" s="26"/>
      <c r="H493" s="26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26"/>
      <c r="U493" s="26"/>
      <c r="V493" s="26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</row>
    <row r="494" spans="1:33" ht="12.75" customHeight="1">
      <c r="A494" s="26"/>
      <c r="B494" s="26"/>
      <c r="C494" s="26"/>
      <c r="D494" s="26"/>
      <c r="E494" s="26"/>
      <c r="F494" s="26"/>
      <c r="G494" s="26"/>
      <c r="H494" s="26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26"/>
      <c r="U494" s="26"/>
      <c r="V494" s="26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</row>
    <row r="495" spans="1:33" ht="12.75" customHeight="1">
      <c r="A495" s="26"/>
      <c r="B495" s="26"/>
      <c r="C495" s="26"/>
      <c r="D495" s="26"/>
      <c r="E495" s="26"/>
      <c r="F495" s="26"/>
      <c r="G495" s="26"/>
      <c r="H495" s="26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26"/>
      <c r="U495" s="26"/>
      <c r="V495" s="26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</row>
    <row r="496" spans="1:33" ht="12.75" customHeight="1">
      <c r="A496" s="26"/>
      <c r="B496" s="26"/>
      <c r="C496" s="26"/>
      <c r="D496" s="26"/>
      <c r="E496" s="26"/>
      <c r="F496" s="26"/>
      <c r="G496" s="26"/>
      <c r="H496" s="26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26"/>
      <c r="U496" s="26"/>
      <c r="V496" s="26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</row>
    <row r="497" spans="1:33" ht="12.75" customHeight="1">
      <c r="A497" s="26"/>
      <c r="B497" s="26"/>
      <c r="C497" s="26"/>
      <c r="D497" s="26"/>
      <c r="E497" s="26"/>
      <c r="F497" s="26"/>
      <c r="G497" s="26"/>
      <c r="H497" s="26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26"/>
      <c r="U497" s="26"/>
      <c r="V497" s="26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</row>
    <row r="498" spans="1:33" ht="12.75" customHeight="1">
      <c r="A498" s="26"/>
      <c r="B498" s="26"/>
      <c r="C498" s="26"/>
      <c r="D498" s="26"/>
      <c r="E498" s="26"/>
      <c r="F498" s="26"/>
      <c r="G498" s="26"/>
      <c r="H498" s="26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26"/>
      <c r="U498" s="26"/>
      <c r="V498" s="26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</row>
    <row r="499" spans="1:33" ht="12.75" customHeight="1">
      <c r="A499" s="26"/>
      <c r="B499" s="26"/>
      <c r="C499" s="26"/>
      <c r="D499" s="26"/>
      <c r="E499" s="26"/>
      <c r="F499" s="26"/>
      <c r="G499" s="26"/>
      <c r="H499" s="26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26"/>
      <c r="U499" s="26"/>
      <c r="V499" s="26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</row>
    <row r="500" spans="1:33" ht="12.75" customHeight="1">
      <c r="A500" s="26"/>
      <c r="B500" s="26"/>
      <c r="C500" s="26"/>
      <c r="D500" s="26"/>
      <c r="E500" s="26"/>
      <c r="F500" s="26"/>
      <c r="G500" s="26"/>
      <c r="H500" s="26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26"/>
      <c r="U500" s="26"/>
      <c r="V500" s="26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</row>
    <row r="501" spans="1:33" ht="12.75" customHeight="1">
      <c r="A501" s="26"/>
      <c r="B501" s="26"/>
      <c r="C501" s="26"/>
      <c r="D501" s="26"/>
      <c r="E501" s="26"/>
      <c r="F501" s="26"/>
      <c r="G501" s="26"/>
      <c r="H501" s="26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26"/>
      <c r="U501" s="26"/>
      <c r="V501" s="26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</row>
    <row r="502" spans="1:33" ht="12.75" customHeight="1">
      <c r="A502" s="26"/>
      <c r="B502" s="26"/>
      <c r="C502" s="26"/>
      <c r="D502" s="26"/>
      <c r="E502" s="26"/>
      <c r="F502" s="26"/>
      <c r="G502" s="26"/>
      <c r="H502" s="26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26"/>
      <c r="U502" s="26"/>
      <c r="V502" s="26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</row>
    <row r="503" spans="1:33" ht="12.75" customHeight="1">
      <c r="A503" s="26"/>
      <c r="B503" s="26"/>
      <c r="C503" s="26"/>
      <c r="D503" s="26"/>
      <c r="E503" s="26"/>
      <c r="F503" s="26"/>
      <c r="G503" s="26"/>
      <c r="H503" s="26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26"/>
      <c r="U503" s="26"/>
      <c r="V503" s="26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</row>
    <row r="504" spans="1:33" ht="12.75" customHeight="1">
      <c r="A504" s="26"/>
      <c r="B504" s="26"/>
      <c r="C504" s="26"/>
      <c r="D504" s="26"/>
      <c r="E504" s="26"/>
      <c r="F504" s="26"/>
      <c r="G504" s="26"/>
      <c r="H504" s="26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26"/>
      <c r="U504" s="26"/>
      <c r="V504" s="26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</row>
    <row r="505" spans="1:33" ht="12.75" customHeight="1">
      <c r="A505" s="26"/>
      <c r="B505" s="26"/>
      <c r="C505" s="26"/>
      <c r="D505" s="26"/>
      <c r="E505" s="26"/>
      <c r="F505" s="26"/>
      <c r="G505" s="26"/>
      <c r="H505" s="26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26"/>
      <c r="U505" s="26"/>
      <c r="V505" s="26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</row>
    <row r="506" spans="1:33" ht="12.75" customHeight="1">
      <c r="A506" s="26"/>
      <c r="B506" s="26"/>
      <c r="C506" s="26"/>
      <c r="D506" s="26"/>
      <c r="E506" s="26"/>
      <c r="F506" s="26"/>
      <c r="G506" s="26"/>
      <c r="H506" s="26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26"/>
      <c r="U506" s="26"/>
      <c r="V506" s="26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</row>
    <row r="507" spans="1:33" ht="12.75" customHeight="1">
      <c r="A507" s="26"/>
      <c r="B507" s="26"/>
      <c r="C507" s="26"/>
      <c r="D507" s="26"/>
      <c r="E507" s="26"/>
      <c r="F507" s="26"/>
      <c r="G507" s="26"/>
      <c r="H507" s="26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26"/>
      <c r="U507" s="26"/>
      <c r="V507" s="26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</row>
    <row r="508" spans="1:33" ht="12.75" customHeight="1">
      <c r="A508" s="26"/>
      <c r="B508" s="26"/>
      <c r="C508" s="26"/>
      <c r="D508" s="26"/>
      <c r="E508" s="26"/>
      <c r="F508" s="26"/>
      <c r="G508" s="26"/>
      <c r="H508" s="26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26"/>
      <c r="U508" s="26"/>
      <c r="V508" s="26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</row>
    <row r="509" spans="1:33" ht="12.75" customHeight="1">
      <c r="A509" s="26"/>
      <c r="B509" s="26"/>
      <c r="C509" s="26"/>
      <c r="D509" s="26"/>
      <c r="E509" s="26"/>
      <c r="F509" s="26"/>
      <c r="G509" s="26"/>
      <c r="H509" s="26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26"/>
      <c r="U509" s="26"/>
      <c r="V509" s="26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</row>
    <row r="510" spans="1:33" ht="12.75" customHeight="1">
      <c r="A510" s="26"/>
      <c r="B510" s="26"/>
      <c r="C510" s="26"/>
      <c r="D510" s="26"/>
      <c r="E510" s="26"/>
      <c r="F510" s="26"/>
      <c r="G510" s="26"/>
      <c r="H510" s="26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26"/>
      <c r="U510" s="26"/>
      <c r="V510" s="26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</row>
    <row r="511" spans="1:33" ht="12.75" customHeight="1">
      <c r="A511" s="26"/>
      <c r="B511" s="26"/>
      <c r="C511" s="26"/>
      <c r="D511" s="26"/>
      <c r="E511" s="26"/>
      <c r="F511" s="26"/>
      <c r="G511" s="26"/>
      <c r="H511" s="26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26"/>
      <c r="U511" s="26"/>
      <c r="V511" s="26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</row>
    <row r="512" spans="1:33" ht="12.75" customHeight="1">
      <c r="A512" s="26"/>
      <c r="B512" s="26"/>
      <c r="C512" s="26"/>
      <c r="D512" s="26"/>
      <c r="E512" s="26"/>
      <c r="F512" s="26"/>
      <c r="G512" s="26"/>
      <c r="H512" s="26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26"/>
      <c r="U512" s="26"/>
      <c r="V512" s="26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</row>
    <row r="513" spans="1:33" ht="12.75" customHeight="1">
      <c r="A513" s="26"/>
      <c r="B513" s="26"/>
      <c r="C513" s="26"/>
      <c r="D513" s="26"/>
      <c r="E513" s="26"/>
      <c r="F513" s="26"/>
      <c r="G513" s="26"/>
      <c r="H513" s="26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26"/>
      <c r="U513" s="26"/>
      <c r="V513" s="26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</row>
    <row r="514" spans="1:33" ht="12.75" customHeight="1">
      <c r="A514" s="26"/>
      <c r="B514" s="26"/>
      <c r="C514" s="26"/>
      <c r="D514" s="26"/>
      <c r="E514" s="26"/>
      <c r="F514" s="26"/>
      <c r="G514" s="26"/>
      <c r="H514" s="26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26"/>
      <c r="U514" s="26"/>
      <c r="V514" s="26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</row>
    <row r="515" spans="1:33" ht="12.75" customHeight="1">
      <c r="A515" s="26"/>
      <c r="B515" s="26"/>
      <c r="C515" s="26"/>
      <c r="D515" s="26"/>
      <c r="E515" s="26"/>
      <c r="F515" s="26"/>
      <c r="G515" s="26"/>
      <c r="H515" s="26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26"/>
      <c r="U515" s="26"/>
      <c r="V515" s="26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</row>
    <row r="516" spans="1:33" ht="12.75" customHeight="1">
      <c r="A516" s="26"/>
      <c r="B516" s="26"/>
      <c r="C516" s="26"/>
      <c r="D516" s="26"/>
      <c r="E516" s="26"/>
      <c r="F516" s="26"/>
      <c r="G516" s="26"/>
      <c r="H516" s="26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26"/>
      <c r="U516" s="26"/>
      <c r="V516" s="26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</row>
    <row r="517" spans="1:33" ht="12.75" customHeight="1">
      <c r="A517" s="26"/>
      <c r="B517" s="26"/>
      <c r="C517" s="26"/>
      <c r="D517" s="26"/>
      <c r="E517" s="26"/>
      <c r="F517" s="26"/>
      <c r="G517" s="26"/>
      <c r="H517" s="26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26"/>
      <c r="U517" s="26"/>
      <c r="V517" s="26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</row>
    <row r="518" spans="1:33" ht="12.75" customHeight="1">
      <c r="A518" s="26"/>
      <c r="B518" s="26"/>
      <c r="C518" s="26"/>
      <c r="D518" s="26"/>
      <c r="E518" s="26"/>
      <c r="F518" s="26"/>
      <c r="G518" s="26"/>
      <c r="H518" s="26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26"/>
      <c r="U518" s="26"/>
      <c r="V518" s="26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</row>
    <row r="519" spans="1:33" ht="12.75" customHeight="1">
      <c r="A519" s="26"/>
      <c r="B519" s="26"/>
      <c r="C519" s="26"/>
      <c r="D519" s="26"/>
      <c r="E519" s="26"/>
      <c r="F519" s="26"/>
      <c r="G519" s="26"/>
      <c r="H519" s="26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26"/>
      <c r="U519" s="26"/>
      <c r="V519" s="26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</row>
    <row r="520" spans="1:33" ht="12.75" customHeight="1">
      <c r="A520" s="26"/>
      <c r="B520" s="26"/>
      <c r="C520" s="26"/>
      <c r="D520" s="26"/>
      <c r="E520" s="26"/>
      <c r="F520" s="26"/>
      <c r="G520" s="26"/>
      <c r="H520" s="26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26"/>
      <c r="U520" s="26"/>
      <c r="V520" s="26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</row>
    <row r="521" spans="1:33" ht="12.75" customHeight="1">
      <c r="A521" s="26"/>
      <c r="B521" s="26"/>
      <c r="C521" s="26"/>
      <c r="D521" s="26"/>
      <c r="E521" s="26"/>
      <c r="F521" s="26"/>
      <c r="G521" s="26"/>
      <c r="H521" s="26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26"/>
      <c r="U521" s="26"/>
      <c r="V521" s="26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</row>
    <row r="522" spans="1:33" ht="12.75" customHeight="1">
      <c r="A522" s="26"/>
      <c r="B522" s="26"/>
      <c r="C522" s="26"/>
      <c r="D522" s="26"/>
      <c r="E522" s="26"/>
      <c r="F522" s="26"/>
      <c r="G522" s="26"/>
      <c r="H522" s="26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26"/>
      <c r="U522" s="26"/>
      <c r="V522" s="26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</row>
    <row r="523" spans="1:33" ht="12.75" customHeight="1">
      <c r="A523" s="26"/>
      <c r="B523" s="26"/>
      <c r="C523" s="26"/>
      <c r="D523" s="26"/>
      <c r="E523" s="26"/>
      <c r="F523" s="26"/>
      <c r="G523" s="26"/>
      <c r="H523" s="26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26"/>
      <c r="U523" s="26"/>
      <c r="V523" s="26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</row>
    <row r="524" spans="1:33" ht="12.75" customHeight="1">
      <c r="A524" s="26"/>
      <c r="B524" s="26"/>
      <c r="C524" s="26"/>
      <c r="D524" s="26"/>
      <c r="E524" s="26"/>
      <c r="F524" s="26"/>
      <c r="G524" s="26"/>
      <c r="H524" s="26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26"/>
      <c r="U524" s="26"/>
      <c r="V524" s="26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</row>
    <row r="525" spans="1:33" ht="12.75" customHeight="1">
      <c r="A525" s="26"/>
      <c r="B525" s="26"/>
      <c r="C525" s="26"/>
      <c r="D525" s="26"/>
      <c r="E525" s="26"/>
      <c r="F525" s="26"/>
      <c r="G525" s="26"/>
      <c r="H525" s="26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26"/>
      <c r="U525" s="26"/>
      <c r="V525" s="26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</row>
    <row r="526" spans="1:33" ht="12.75" customHeight="1">
      <c r="A526" s="26"/>
      <c r="B526" s="26"/>
      <c r="C526" s="26"/>
      <c r="D526" s="26"/>
      <c r="E526" s="26"/>
      <c r="F526" s="26"/>
      <c r="G526" s="26"/>
      <c r="H526" s="26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26"/>
      <c r="U526" s="26"/>
      <c r="V526" s="26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</row>
    <row r="527" spans="1:33" ht="12.75" customHeight="1">
      <c r="A527" s="26"/>
      <c r="B527" s="26"/>
      <c r="C527" s="26"/>
      <c r="D527" s="26"/>
      <c r="E527" s="26"/>
      <c r="F527" s="26"/>
      <c r="G527" s="26"/>
      <c r="H527" s="26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26"/>
      <c r="U527" s="26"/>
      <c r="V527" s="26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</row>
    <row r="528" spans="1:33" ht="12.75" customHeight="1">
      <c r="A528" s="26"/>
      <c r="B528" s="26"/>
      <c r="C528" s="26"/>
      <c r="D528" s="26"/>
      <c r="E528" s="26"/>
      <c r="F528" s="26"/>
      <c r="G528" s="26"/>
      <c r="H528" s="26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26"/>
      <c r="U528" s="26"/>
      <c r="V528" s="26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</row>
    <row r="529" spans="1:33" ht="12.75" customHeight="1">
      <c r="A529" s="26"/>
      <c r="B529" s="26"/>
      <c r="C529" s="26"/>
      <c r="D529" s="26"/>
      <c r="E529" s="26"/>
      <c r="F529" s="26"/>
      <c r="G529" s="26"/>
      <c r="H529" s="26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26"/>
      <c r="U529" s="26"/>
      <c r="V529" s="26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</row>
    <row r="530" spans="1:33" ht="12.75" customHeight="1">
      <c r="A530" s="26"/>
      <c r="B530" s="26"/>
      <c r="C530" s="26"/>
      <c r="D530" s="26"/>
      <c r="E530" s="26"/>
      <c r="F530" s="26"/>
      <c r="G530" s="26"/>
      <c r="H530" s="26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26"/>
      <c r="U530" s="26"/>
      <c r="V530" s="26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</row>
    <row r="531" spans="1:33" ht="12.75" customHeight="1">
      <c r="A531" s="26"/>
      <c r="B531" s="26"/>
      <c r="C531" s="26"/>
      <c r="D531" s="26"/>
      <c r="E531" s="26"/>
      <c r="F531" s="26"/>
      <c r="G531" s="26"/>
      <c r="H531" s="26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26"/>
      <c r="U531" s="26"/>
      <c r="V531" s="26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</row>
    <row r="532" spans="1:33" ht="12.75" customHeight="1">
      <c r="A532" s="26"/>
      <c r="B532" s="26"/>
      <c r="C532" s="26"/>
      <c r="D532" s="26"/>
      <c r="E532" s="26"/>
      <c r="F532" s="26"/>
      <c r="G532" s="26"/>
      <c r="H532" s="26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26"/>
      <c r="U532" s="26"/>
      <c r="V532" s="26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</row>
    <row r="533" spans="1:33" ht="12.75" customHeight="1">
      <c r="A533" s="26"/>
      <c r="B533" s="26"/>
      <c r="C533" s="26"/>
      <c r="D533" s="26"/>
      <c r="E533" s="26"/>
      <c r="F533" s="26"/>
      <c r="G533" s="26"/>
      <c r="H533" s="26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26"/>
      <c r="U533" s="26"/>
      <c r="V533" s="26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</row>
    <row r="534" spans="1:33" ht="12.75" customHeight="1">
      <c r="A534" s="26"/>
      <c r="B534" s="26"/>
      <c r="C534" s="26"/>
      <c r="D534" s="26"/>
      <c r="E534" s="26"/>
      <c r="F534" s="26"/>
      <c r="G534" s="26"/>
      <c r="H534" s="26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26"/>
      <c r="U534" s="26"/>
      <c r="V534" s="26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</row>
    <row r="535" spans="1:33" ht="12.75" customHeight="1">
      <c r="A535" s="26"/>
      <c r="B535" s="26"/>
      <c r="C535" s="26"/>
      <c r="D535" s="26"/>
      <c r="E535" s="26"/>
      <c r="F535" s="26"/>
      <c r="G535" s="26"/>
      <c r="H535" s="26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26"/>
      <c r="U535" s="26"/>
      <c r="V535" s="26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</row>
    <row r="536" spans="1:33" ht="12.75" customHeight="1">
      <c r="A536" s="26"/>
      <c r="B536" s="26"/>
      <c r="C536" s="26"/>
      <c r="D536" s="26"/>
      <c r="E536" s="26"/>
      <c r="F536" s="26"/>
      <c r="G536" s="26"/>
      <c r="H536" s="26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26"/>
      <c r="U536" s="26"/>
      <c r="V536" s="26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</row>
    <row r="537" spans="1:33" ht="12.75" customHeight="1">
      <c r="A537" s="26"/>
      <c r="B537" s="26"/>
      <c r="C537" s="26"/>
      <c r="D537" s="26"/>
      <c r="E537" s="26"/>
      <c r="F537" s="26"/>
      <c r="G537" s="26"/>
      <c r="H537" s="26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26"/>
      <c r="U537" s="26"/>
      <c r="V537" s="26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</row>
    <row r="538" spans="1:33" ht="12.75" customHeight="1">
      <c r="A538" s="26"/>
      <c r="B538" s="26"/>
      <c r="C538" s="26"/>
      <c r="D538" s="26"/>
      <c r="E538" s="26"/>
      <c r="F538" s="26"/>
      <c r="G538" s="26"/>
      <c r="H538" s="26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26"/>
      <c r="U538" s="26"/>
      <c r="V538" s="26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</row>
    <row r="539" spans="1:33" ht="12.75" customHeight="1">
      <c r="A539" s="26"/>
      <c r="B539" s="26"/>
      <c r="C539" s="26"/>
      <c r="D539" s="26"/>
      <c r="E539" s="26"/>
      <c r="F539" s="26"/>
      <c r="G539" s="26"/>
      <c r="H539" s="26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26"/>
      <c r="U539" s="26"/>
      <c r="V539" s="26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</row>
    <row r="540" spans="1:33" ht="12.75" customHeight="1">
      <c r="A540" s="26"/>
      <c r="B540" s="26"/>
      <c r="C540" s="26"/>
      <c r="D540" s="26"/>
      <c r="E540" s="26"/>
      <c r="F540" s="26"/>
      <c r="G540" s="26"/>
      <c r="H540" s="26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26"/>
      <c r="U540" s="26"/>
      <c r="V540" s="26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</row>
    <row r="541" spans="1:33" ht="12.75" customHeight="1">
      <c r="A541" s="26"/>
      <c r="B541" s="26"/>
      <c r="C541" s="26"/>
      <c r="D541" s="26"/>
      <c r="E541" s="26"/>
      <c r="F541" s="26"/>
      <c r="G541" s="26"/>
      <c r="H541" s="26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26"/>
      <c r="U541" s="26"/>
      <c r="V541" s="26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</row>
    <row r="542" spans="1:33" ht="12.75" customHeight="1">
      <c r="A542" s="26"/>
      <c r="B542" s="26"/>
      <c r="C542" s="26"/>
      <c r="D542" s="26"/>
      <c r="E542" s="26"/>
      <c r="F542" s="26"/>
      <c r="G542" s="26"/>
      <c r="H542" s="26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26"/>
      <c r="U542" s="26"/>
      <c r="V542" s="26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</row>
    <row r="543" spans="1:33" ht="12.75" customHeight="1">
      <c r="A543" s="26"/>
      <c r="B543" s="26"/>
      <c r="C543" s="26"/>
      <c r="D543" s="26"/>
      <c r="E543" s="26"/>
      <c r="F543" s="26"/>
      <c r="G543" s="26"/>
      <c r="H543" s="26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26"/>
      <c r="U543" s="26"/>
      <c r="V543" s="26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</row>
    <row r="544" spans="1:33" ht="12.75" customHeight="1">
      <c r="A544" s="26"/>
      <c r="B544" s="26"/>
      <c r="C544" s="26"/>
      <c r="D544" s="26"/>
      <c r="E544" s="26"/>
      <c r="F544" s="26"/>
      <c r="G544" s="26"/>
      <c r="H544" s="26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26"/>
      <c r="U544" s="26"/>
      <c r="V544" s="26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</row>
    <row r="545" spans="1:33" ht="12.75" customHeight="1">
      <c r="A545" s="26"/>
      <c r="B545" s="26"/>
      <c r="C545" s="26"/>
      <c r="D545" s="26"/>
      <c r="E545" s="26"/>
      <c r="F545" s="26"/>
      <c r="G545" s="26"/>
      <c r="H545" s="26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26"/>
      <c r="U545" s="26"/>
      <c r="V545" s="26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</row>
    <row r="546" spans="1:33" ht="12.75" customHeight="1">
      <c r="A546" s="26"/>
      <c r="B546" s="26"/>
      <c r="C546" s="26"/>
      <c r="D546" s="26"/>
      <c r="E546" s="26"/>
      <c r="F546" s="26"/>
      <c r="G546" s="26"/>
      <c r="H546" s="26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26"/>
      <c r="U546" s="26"/>
      <c r="V546" s="26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</row>
    <row r="547" spans="1:33" ht="12.75" customHeight="1">
      <c r="A547" s="26"/>
      <c r="B547" s="26"/>
      <c r="C547" s="26"/>
      <c r="D547" s="26"/>
      <c r="E547" s="26"/>
      <c r="F547" s="26"/>
      <c r="G547" s="26"/>
      <c r="H547" s="26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26"/>
      <c r="U547" s="26"/>
      <c r="V547" s="26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</row>
    <row r="548" spans="1:33" ht="12.75" customHeight="1">
      <c r="A548" s="26"/>
      <c r="B548" s="26"/>
      <c r="C548" s="26"/>
      <c r="D548" s="26"/>
      <c r="E548" s="26"/>
      <c r="F548" s="26"/>
      <c r="G548" s="26"/>
      <c r="H548" s="26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26"/>
      <c r="U548" s="26"/>
      <c r="V548" s="26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</row>
    <row r="549" spans="1:33" ht="12.75" customHeight="1">
      <c r="A549" s="26"/>
      <c r="B549" s="26"/>
      <c r="C549" s="26"/>
      <c r="D549" s="26"/>
      <c r="E549" s="26"/>
      <c r="F549" s="26"/>
      <c r="G549" s="26"/>
      <c r="H549" s="26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26"/>
      <c r="U549" s="26"/>
      <c r="V549" s="26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</row>
    <row r="550" spans="1:33" ht="12.75" customHeight="1">
      <c r="A550" s="26"/>
      <c r="B550" s="26"/>
      <c r="C550" s="26"/>
      <c r="D550" s="26"/>
      <c r="E550" s="26"/>
      <c r="F550" s="26"/>
      <c r="G550" s="26"/>
      <c r="H550" s="26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26"/>
      <c r="U550" s="26"/>
      <c r="V550" s="26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</row>
    <row r="551" spans="1:33" ht="12.75" customHeight="1">
      <c r="A551" s="26"/>
      <c r="B551" s="26"/>
      <c r="C551" s="26"/>
      <c r="D551" s="26"/>
      <c r="E551" s="26"/>
      <c r="F551" s="26"/>
      <c r="G551" s="26"/>
      <c r="H551" s="26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26"/>
      <c r="U551" s="26"/>
      <c r="V551" s="26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</row>
    <row r="552" spans="1:33" ht="12.75" customHeight="1">
      <c r="A552" s="26"/>
      <c r="B552" s="26"/>
      <c r="C552" s="26"/>
      <c r="D552" s="26"/>
      <c r="E552" s="26"/>
      <c r="F552" s="26"/>
      <c r="G552" s="26"/>
      <c r="H552" s="26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26"/>
      <c r="U552" s="26"/>
      <c r="V552" s="26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</row>
    <row r="553" spans="1:33" ht="12.75" customHeight="1">
      <c r="A553" s="26"/>
      <c r="B553" s="26"/>
      <c r="C553" s="26"/>
      <c r="D553" s="26"/>
      <c r="E553" s="26"/>
      <c r="F553" s="26"/>
      <c r="G553" s="26"/>
      <c r="H553" s="26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26"/>
      <c r="U553" s="26"/>
      <c r="V553" s="26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</row>
    <row r="554" spans="1:33" ht="12.75" customHeight="1">
      <c r="A554" s="26"/>
      <c r="B554" s="26"/>
      <c r="C554" s="26"/>
      <c r="D554" s="26"/>
      <c r="E554" s="26"/>
      <c r="F554" s="26"/>
      <c r="G554" s="26"/>
      <c r="H554" s="26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26"/>
      <c r="U554" s="26"/>
      <c r="V554" s="26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</row>
    <row r="555" spans="1:33" ht="12.75" customHeight="1">
      <c r="A555" s="26"/>
      <c r="B555" s="26"/>
      <c r="C555" s="26"/>
      <c r="D555" s="26"/>
      <c r="E555" s="26"/>
      <c r="F555" s="26"/>
      <c r="G555" s="26"/>
      <c r="H555" s="26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26"/>
      <c r="U555" s="26"/>
      <c r="V555" s="26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</row>
    <row r="556" spans="1:33" ht="12.75" customHeight="1">
      <c r="A556" s="26"/>
      <c r="B556" s="26"/>
      <c r="C556" s="26"/>
      <c r="D556" s="26"/>
      <c r="E556" s="26"/>
      <c r="F556" s="26"/>
      <c r="G556" s="26"/>
      <c r="H556" s="26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26"/>
      <c r="U556" s="26"/>
      <c r="V556" s="26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</row>
    <row r="557" spans="1:33" ht="12.75" customHeight="1">
      <c r="A557" s="26"/>
      <c r="B557" s="26"/>
      <c r="C557" s="26"/>
      <c r="D557" s="26"/>
      <c r="E557" s="26"/>
      <c r="F557" s="26"/>
      <c r="G557" s="26"/>
      <c r="H557" s="26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26"/>
      <c r="U557" s="26"/>
      <c r="V557" s="26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</row>
    <row r="558" spans="1:33" ht="12.75" customHeight="1">
      <c r="A558" s="26"/>
      <c r="B558" s="26"/>
      <c r="C558" s="26"/>
      <c r="D558" s="26"/>
      <c r="E558" s="26"/>
      <c r="F558" s="26"/>
      <c r="G558" s="26"/>
      <c r="H558" s="26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26"/>
      <c r="U558" s="26"/>
      <c r="V558" s="26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</row>
    <row r="559" spans="1:33" ht="12.75" customHeight="1">
      <c r="A559" s="26"/>
      <c r="B559" s="26"/>
      <c r="C559" s="26"/>
      <c r="D559" s="26"/>
      <c r="E559" s="26"/>
      <c r="F559" s="26"/>
      <c r="G559" s="26"/>
      <c r="H559" s="26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26"/>
      <c r="U559" s="26"/>
      <c r="V559" s="26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</row>
    <row r="560" spans="1:33" ht="12.75" customHeight="1">
      <c r="A560" s="26"/>
      <c r="B560" s="26"/>
      <c r="C560" s="26"/>
      <c r="D560" s="26"/>
      <c r="E560" s="26"/>
      <c r="F560" s="26"/>
      <c r="G560" s="26"/>
      <c r="H560" s="26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26"/>
      <c r="U560" s="26"/>
      <c r="V560" s="26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</row>
    <row r="561" spans="1:33" ht="12.75" customHeight="1">
      <c r="A561" s="26"/>
      <c r="B561" s="26"/>
      <c r="C561" s="26"/>
      <c r="D561" s="26"/>
      <c r="E561" s="26"/>
      <c r="F561" s="26"/>
      <c r="G561" s="26"/>
      <c r="H561" s="26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26"/>
      <c r="U561" s="26"/>
      <c r="V561" s="26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</row>
    <row r="562" spans="1:33" ht="12.75" customHeight="1">
      <c r="A562" s="26"/>
      <c r="B562" s="26"/>
      <c r="C562" s="26"/>
      <c r="D562" s="26"/>
      <c r="E562" s="26"/>
      <c r="F562" s="26"/>
      <c r="G562" s="26"/>
      <c r="H562" s="26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26"/>
      <c r="U562" s="26"/>
      <c r="V562" s="26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</row>
    <row r="563" spans="1:33" ht="12.75" customHeight="1">
      <c r="A563" s="26"/>
      <c r="B563" s="26"/>
      <c r="C563" s="26"/>
      <c r="D563" s="26"/>
      <c r="E563" s="26"/>
      <c r="F563" s="26"/>
      <c r="G563" s="26"/>
      <c r="H563" s="26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26"/>
      <c r="U563" s="26"/>
      <c r="V563" s="26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</row>
    <row r="564" spans="1:33" ht="12.75" customHeight="1">
      <c r="A564" s="26"/>
      <c r="B564" s="26"/>
      <c r="C564" s="26"/>
      <c r="D564" s="26"/>
      <c r="E564" s="26"/>
      <c r="F564" s="26"/>
      <c r="G564" s="26"/>
      <c r="H564" s="26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26"/>
      <c r="U564" s="26"/>
      <c r="V564" s="26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</row>
    <row r="565" spans="1:33" ht="12.75" customHeight="1">
      <c r="A565" s="26"/>
      <c r="B565" s="26"/>
      <c r="C565" s="26"/>
      <c r="D565" s="26"/>
      <c r="E565" s="26"/>
      <c r="F565" s="26"/>
      <c r="G565" s="26"/>
      <c r="H565" s="26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26"/>
      <c r="U565" s="26"/>
      <c r="V565" s="26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</row>
    <row r="566" spans="1:33" ht="12.75" customHeight="1">
      <c r="A566" s="26"/>
      <c r="B566" s="26"/>
      <c r="C566" s="26"/>
      <c r="D566" s="26"/>
      <c r="E566" s="26"/>
      <c r="F566" s="26"/>
      <c r="G566" s="26"/>
      <c r="H566" s="26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26"/>
      <c r="U566" s="26"/>
      <c r="V566" s="26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</row>
    <row r="567" spans="1:33" ht="12.75" customHeight="1">
      <c r="A567" s="26"/>
      <c r="B567" s="26"/>
      <c r="C567" s="26"/>
      <c r="D567" s="26"/>
      <c r="E567" s="26"/>
      <c r="F567" s="26"/>
      <c r="G567" s="26"/>
      <c r="H567" s="26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26"/>
      <c r="U567" s="26"/>
      <c r="V567" s="26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</row>
    <row r="568" spans="1:33" ht="12.75" customHeight="1">
      <c r="A568" s="26"/>
      <c r="B568" s="26"/>
      <c r="C568" s="26"/>
      <c r="D568" s="26"/>
      <c r="E568" s="26"/>
      <c r="F568" s="26"/>
      <c r="G568" s="26"/>
      <c r="H568" s="26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26"/>
      <c r="U568" s="26"/>
      <c r="V568" s="26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</row>
    <row r="569" spans="1:33" ht="12.75" customHeight="1">
      <c r="A569" s="26"/>
      <c r="B569" s="26"/>
      <c r="C569" s="26"/>
      <c r="D569" s="26"/>
      <c r="E569" s="26"/>
      <c r="F569" s="26"/>
      <c r="G569" s="26"/>
      <c r="H569" s="26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26"/>
      <c r="U569" s="26"/>
      <c r="V569" s="26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</row>
    <row r="570" spans="1:33" ht="12.75" customHeight="1">
      <c r="A570" s="26"/>
      <c r="B570" s="26"/>
      <c r="C570" s="26"/>
      <c r="D570" s="26"/>
      <c r="E570" s="26"/>
      <c r="F570" s="26"/>
      <c r="G570" s="26"/>
      <c r="H570" s="26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26"/>
      <c r="U570" s="26"/>
      <c r="V570" s="26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</row>
    <row r="571" spans="1:33" ht="12.75" customHeight="1">
      <c r="A571" s="26"/>
      <c r="B571" s="26"/>
      <c r="C571" s="26"/>
      <c r="D571" s="26"/>
      <c r="E571" s="26"/>
      <c r="F571" s="26"/>
      <c r="G571" s="26"/>
      <c r="H571" s="26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26"/>
      <c r="U571" s="26"/>
      <c r="V571" s="26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</row>
    <row r="572" spans="1:33" ht="12.75" customHeight="1">
      <c r="A572" s="26"/>
      <c r="B572" s="26"/>
      <c r="C572" s="26"/>
      <c r="D572" s="26"/>
      <c r="E572" s="26"/>
      <c r="F572" s="26"/>
      <c r="G572" s="26"/>
      <c r="H572" s="26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26"/>
      <c r="U572" s="26"/>
      <c r="V572" s="26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</row>
    <row r="573" spans="1:33" ht="12.75" customHeight="1">
      <c r="A573" s="26"/>
      <c r="B573" s="26"/>
      <c r="C573" s="26"/>
      <c r="D573" s="26"/>
      <c r="E573" s="26"/>
      <c r="F573" s="26"/>
      <c r="G573" s="26"/>
      <c r="H573" s="26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26"/>
      <c r="U573" s="26"/>
      <c r="V573" s="26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</row>
    <row r="574" spans="1:33" ht="12.75" customHeight="1">
      <c r="A574" s="26"/>
      <c r="B574" s="26"/>
      <c r="C574" s="26"/>
      <c r="D574" s="26"/>
      <c r="E574" s="26"/>
      <c r="F574" s="26"/>
      <c r="G574" s="26"/>
      <c r="H574" s="26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26"/>
      <c r="U574" s="26"/>
      <c r="V574" s="26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</row>
    <row r="575" spans="1:33" ht="12.75" customHeight="1">
      <c r="A575" s="26"/>
      <c r="B575" s="26"/>
      <c r="C575" s="26"/>
      <c r="D575" s="26"/>
      <c r="E575" s="26"/>
      <c r="F575" s="26"/>
      <c r="G575" s="26"/>
      <c r="H575" s="26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26"/>
      <c r="U575" s="26"/>
      <c r="V575" s="26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</row>
    <row r="576" spans="1:33" ht="12.75" customHeight="1">
      <c r="A576" s="26"/>
      <c r="B576" s="26"/>
      <c r="C576" s="26"/>
      <c r="D576" s="26"/>
      <c r="E576" s="26"/>
      <c r="F576" s="26"/>
      <c r="G576" s="26"/>
      <c r="H576" s="26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26"/>
      <c r="U576" s="26"/>
      <c r="V576" s="26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</row>
    <row r="577" spans="1:33" ht="12.75" customHeight="1">
      <c r="A577" s="26"/>
      <c r="B577" s="26"/>
      <c r="C577" s="26"/>
      <c r="D577" s="26"/>
      <c r="E577" s="26"/>
      <c r="F577" s="26"/>
      <c r="G577" s="26"/>
      <c r="H577" s="26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26"/>
      <c r="U577" s="26"/>
      <c r="V577" s="26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</row>
    <row r="578" spans="1:33" ht="12.75" customHeight="1">
      <c r="A578" s="26"/>
      <c r="B578" s="26"/>
      <c r="C578" s="26"/>
      <c r="D578" s="26"/>
      <c r="E578" s="26"/>
      <c r="F578" s="26"/>
      <c r="G578" s="26"/>
      <c r="H578" s="26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26"/>
      <c r="U578" s="26"/>
      <c r="V578" s="26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</row>
    <row r="579" spans="1:33" ht="12.75" customHeight="1">
      <c r="A579" s="26"/>
      <c r="B579" s="26"/>
      <c r="C579" s="26"/>
      <c r="D579" s="26"/>
      <c r="E579" s="26"/>
      <c r="F579" s="26"/>
      <c r="G579" s="26"/>
      <c r="H579" s="26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26"/>
      <c r="U579" s="26"/>
      <c r="V579" s="26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</row>
    <row r="580" spans="1:33" ht="12.75" customHeight="1">
      <c r="A580" s="26"/>
      <c r="B580" s="26"/>
      <c r="C580" s="26"/>
      <c r="D580" s="26"/>
      <c r="E580" s="26"/>
      <c r="F580" s="26"/>
      <c r="G580" s="26"/>
      <c r="H580" s="26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26"/>
      <c r="U580" s="26"/>
      <c r="V580" s="26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</row>
    <row r="581" spans="1:33" ht="12.75" customHeight="1">
      <c r="A581" s="26"/>
      <c r="B581" s="26"/>
      <c r="C581" s="26"/>
      <c r="D581" s="26"/>
      <c r="E581" s="26"/>
      <c r="F581" s="26"/>
      <c r="G581" s="26"/>
      <c r="H581" s="26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26"/>
      <c r="U581" s="26"/>
      <c r="V581" s="26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</row>
    <row r="582" spans="1:33" ht="12.75" customHeight="1">
      <c r="A582" s="26"/>
      <c r="B582" s="26"/>
      <c r="C582" s="26"/>
      <c r="D582" s="26"/>
      <c r="E582" s="26"/>
      <c r="F582" s="26"/>
      <c r="G582" s="26"/>
      <c r="H582" s="26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26"/>
      <c r="U582" s="26"/>
      <c r="V582" s="26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</row>
    <row r="583" spans="1:33" ht="12.75" customHeight="1">
      <c r="A583" s="26"/>
      <c r="B583" s="26"/>
      <c r="C583" s="26"/>
      <c r="D583" s="26"/>
      <c r="E583" s="26"/>
      <c r="F583" s="26"/>
      <c r="G583" s="26"/>
      <c r="H583" s="26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26"/>
      <c r="U583" s="26"/>
      <c r="V583" s="26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</row>
    <row r="584" spans="1:33" ht="12.75" customHeight="1">
      <c r="A584" s="26"/>
      <c r="B584" s="26"/>
      <c r="C584" s="26"/>
      <c r="D584" s="26"/>
      <c r="E584" s="26"/>
      <c r="F584" s="26"/>
      <c r="G584" s="26"/>
      <c r="H584" s="26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26"/>
      <c r="U584" s="26"/>
      <c r="V584" s="26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</row>
    <row r="585" spans="1:33" ht="12.75" customHeight="1">
      <c r="A585" s="26"/>
      <c r="B585" s="26"/>
      <c r="C585" s="26"/>
      <c r="D585" s="26"/>
      <c r="E585" s="26"/>
      <c r="F585" s="26"/>
      <c r="G585" s="26"/>
      <c r="H585" s="26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26"/>
      <c r="U585" s="26"/>
      <c r="V585" s="26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</row>
    <row r="586" spans="1:33" ht="12.75" customHeight="1">
      <c r="A586" s="26"/>
      <c r="B586" s="26"/>
      <c r="C586" s="26"/>
      <c r="D586" s="26"/>
      <c r="E586" s="26"/>
      <c r="F586" s="26"/>
      <c r="G586" s="26"/>
      <c r="H586" s="26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26"/>
      <c r="U586" s="26"/>
      <c r="V586" s="26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</row>
    <row r="587" spans="1:33" ht="12.75" customHeight="1">
      <c r="A587" s="26"/>
      <c r="B587" s="26"/>
      <c r="C587" s="26"/>
      <c r="D587" s="26"/>
      <c r="E587" s="26"/>
      <c r="F587" s="26"/>
      <c r="G587" s="26"/>
      <c r="H587" s="26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26"/>
      <c r="U587" s="26"/>
      <c r="V587" s="26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</row>
    <row r="588" spans="1:33" ht="12.75" customHeight="1">
      <c r="A588" s="26"/>
      <c r="B588" s="26"/>
      <c r="C588" s="26"/>
      <c r="D588" s="26"/>
      <c r="E588" s="26"/>
      <c r="F588" s="26"/>
      <c r="G588" s="26"/>
      <c r="H588" s="26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26"/>
      <c r="U588" s="26"/>
      <c r="V588" s="26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</row>
    <row r="589" spans="1:33" ht="12.75" customHeight="1">
      <c r="A589" s="26"/>
      <c r="B589" s="26"/>
      <c r="C589" s="26"/>
      <c r="D589" s="26"/>
      <c r="E589" s="26"/>
      <c r="F589" s="26"/>
      <c r="G589" s="26"/>
      <c r="H589" s="26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26"/>
      <c r="U589" s="26"/>
      <c r="V589" s="26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</row>
    <row r="590" spans="1:33" ht="12.75" customHeight="1">
      <c r="A590" s="26"/>
      <c r="B590" s="26"/>
      <c r="C590" s="26"/>
      <c r="D590" s="26"/>
      <c r="E590" s="26"/>
      <c r="F590" s="26"/>
      <c r="G590" s="26"/>
      <c r="H590" s="26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26"/>
      <c r="U590" s="26"/>
      <c r="V590" s="26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</row>
    <row r="591" spans="1:33" ht="12.75" customHeight="1">
      <c r="A591" s="26"/>
      <c r="B591" s="26"/>
      <c r="C591" s="26"/>
      <c r="D591" s="26"/>
      <c r="E591" s="26"/>
      <c r="F591" s="26"/>
      <c r="G591" s="26"/>
      <c r="H591" s="26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26"/>
      <c r="U591" s="26"/>
      <c r="V591" s="26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</row>
    <row r="592" spans="1:33" ht="12.75" customHeight="1">
      <c r="A592" s="26"/>
      <c r="B592" s="26"/>
      <c r="C592" s="26"/>
      <c r="D592" s="26"/>
      <c r="E592" s="26"/>
      <c r="F592" s="26"/>
      <c r="G592" s="26"/>
      <c r="H592" s="26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26"/>
      <c r="U592" s="26"/>
      <c r="V592" s="26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</row>
    <row r="593" spans="1:33" ht="12.75" customHeight="1">
      <c r="A593" s="26"/>
      <c r="B593" s="26"/>
      <c r="C593" s="26"/>
      <c r="D593" s="26"/>
      <c r="E593" s="26"/>
      <c r="F593" s="26"/>
      <c r="G593" s="26"/>
      <c r="H593" s="26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26"/>
      <c r="U593" s="26"/>
      <c r="V593" s="26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</row>
    <row r="594" spans="1:33" ht="12.75" customHeight="1">
      <c r="A594" s="26"/>
      <c r="B594" s="26"/>
      <c r="C594" s="26"/>
      <c r="D594" s="26"/>
      <c r="E594" s="26"/>
      <c r="F594" s="26"/>
      <c r="G594" s="26"/>
      <c r="H594" s="26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26"/>
      <c r="U594" s="26"/>
      <c r="V594" s="26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</row>
    <row r="595" spans="1:33" ht="12.75" customHeight="1">
      <c r="A595" s="26"/>
      <c r="B595" s="26"/>
      <c r="C595" s="26"/>
      <c r="D595" s="26"/>
      <c r="E595" s="26"/>
      <c r="F595" s="26"/>
      <c r="G595" s="26"/>
      <c r="H595" s="26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26"/>
      <c r="U595" s="26"/>
      <c r="V595" s="26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</row>
    <row r="596" spans="1:33" ht="12.75" customHeight="1">
      <c r="A596" s="26"/>
      <c r="B596" s="26"/>
      <c r="C596" s="26"/>
      <c r="D596" s="26"/>
      <c r="E596" s="26"/>
      <c r="F596" s="26"/>
      <c r="G596" s="26"/>
      <c r="H596" s="26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26"/>
      <c r="U596" s="26"/>
      <c r="V596" s="26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</row>
    <row r="597" spans="1:33" ht="12.75" customHeight="1">
      <c r="A597" s="26"/>
      <c r="B597" s="26"/>
      <c r="C597" s="26"/>
      <c r="D597" s="26"/>
      <c r="E597" s="26"/>
      <c r="F597" s="26"/>
      <c r="G597" s="26"/>
      <c r="H597" s="26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26"/>
      <c r="U597" s="26"/>
      <c r="V597" s="26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</row>
    <row r="598" spans="1:33" ht="12.75" customHeight="1">
      <c r="A598" s="26"/>
      <c r="B598" s="26"/>
      <c r="C598" s="26"/>
      <c r="D598" s="26"/>
      <c r="E598" s="26"/>
      <c r="F598" s="26"/>
      <c r="G598" s="26"/>
      <c r="H598" s="26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26"/>
      <c r="U598" s="26"/>
      <c r="V598" s="26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</row>
    <row r="599" spans="1:33" ht="12.75" customHeight="1">
      <c r="A599" s="26"/>
      <c r="B599" s="26"/>
      <c r="C599" s="26"/>
      <c r="D599" s="26"/>
      <c r="E599" s="26"/>
      <c r="F599" s="26"/>
      <c r="G599" s="26"/>
      <c r="H599" s="26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26"/>
      <c r="U599" s="26"/>
      <c r="V599" s="26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</row>
    <row r="600" spans="1:33" ht="12.75" customHeight="1">
      <c r="A600" s="26"/>
      <c r="B600" s="26"/>
      <c r="C600" s="26"/>
      <c r="D600" s="26"/>
      <c r="E600" s="26"/>
      <c r="F600" s="26"/>
      <c r="G600" s="26"/>
      <c r="H600" s="26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26"/>
      <c r="U600" s="26"/>
      <c r="V600" s="26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</row>
    <row r="601" spans="1:33" ht="12.75" customHeight="1">
      <c r="A601" s="26"/>
      <c r="B601" s="26"/>
      <c r="C601" s="26"/>
      <c r="D601" s="26"/>
      <c r="E601" s="26"/>
      <c r="F601" s="26"/>
      <c r="G601" s="26"/>
      <c r="H601" s="26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26"/>
      <c r="U601" s="26"/>
      <c r="V601" s="26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</row>
    <row r="602" spans="1:33" ht="12.75" customHeight="1">
      <c r="A602" s="26"/>
      <c r="B602" s="26"/>
      <c r="C602" s="26"/>
      <c r="D602" s="26"/>
      <c r="E602" s="26"/>
      <c r="F602" s="26"/>
      <c r="G602" s="26"/>
      <c r="H602" s="26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26"/>
      <c r="U602" s="26"/>
      <c r="V602" s="26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</row>
    <row r="603" spans="1:33" ht="12.75" customHeight="1">
      <c r="A603" s="26"/>
      <c r="B603" s="26"/>
      <c r="C603" s="26"/>
      <c r="D603" s="26"/>
      <c r="E603" s="26"/>
      <c r="F603" s="26"/>
      <c r="G603" s="26"/>
      <c r="H603" s="26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26"/>
      <c r="U603" s="26"/>
      <c r="V603" s="26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</row>
    <row r="604" spans="1:33" ht="12.75" customHeight="1">
      <c r="A604" s="26"/>
      <c r="B604" s="26"/>
      <c r="C604" s="26"/>
      <c r="D604" s="26"/>
      <c r="E604" s="26"/>
      <c r="F604" s="26"/>
      <c r="G604" s="26"/>
      <c r="H604" s="26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26"/>
      <c r="U604" s="26"/>
      <c r="V604" s="26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</row>
    <row r="605" spans="1:33" ht="12.75" customHeight="1">
      <c r="A605" s="26"/>
      <c r="B605" s="26"/>
      <c r="C605" s="26"/>
      <c r="D605" s="26"/>
      <c r="E605" s="26"/>
      <c r="F605" s="26"/>
      <c r="G605" s="26"/>
      <c r="H605" s="26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26"/>
      <c r="U605" s="26"/>
      <c r="V605" s="26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</row>
    <row r="606" spans="1:33" ht="12.75" customHeight="1">
      <c r="A606" s="26"/>
      <c r="B606" s="26"/>
      <c r="C606" s="26"/>
      <c r="D606" s="26"/>
      <c r="E606" s="26"/>
      <c r="F606" s="26"/>
      <c r="G606" s="26"/>
      <c r="H606" s="26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26"/>
      <c r="U606" s="26"/>
      <c r="V606" s="26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</row>
    <row r="607" spans="1:33" ht="12.75" customHeight="1">
      <c r="A607" s="26"/>
      <c r="B607" s="26"/>
      <c r="C607" s="26"/>
      <c r="D607" s="26"/>
      <c r="E607" s="26"/>
      <c r="F607" s="26"/>
      <c r="G607" s="26"/>
      <c r="H607" s="26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26"/>
      <c r="U607" s="26"/>
      <c r="V607" s="26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</row>
    <row r="608" spans="1:33" ht="12.75" customHeight="1">
      <c r="A608" s="26"/>
      <c r="B608" s="26"/>
      <c r="C608" s="26"/>
      <c r="D608" s="26"/>
      <c r="E608" s="26"/>
      <c r="F608" s="26"/>
      <c r="G608" s="26"/>
      <c r="H608" s="26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26"/>
      <c r="U608" s="26"/>
      <c r="V608" s="26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</row>
    <row r="609" spans="1:33" ht="12.75" customHeight="1">
      <c r="A609" s="26"/>
      <c r="B609" s="26"/>
      <c r="C609" s="26"/>
      <c r="D609" s="26"/>
      <c r="E609" s="26"/>
      <c r="F609" s="26"/>
      <c r="G609" s="26"/>
      <c r="H609" s="26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26"/>
      <c r="U609" s="26"/>
      <c r="V609" s="26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</row>
    <row r="610" spans="1:33" ht="12.75" customHeight="1">
      <c r="A610" s="26"/>
      <c r="B610" s="26"/>
      <c r="C610" s="26"/>
      <c r="D610" s="26"/>
      <c r="E610" s="26"/>
      <c r="F610" s="26"/>
      <c r="G610" s="26"/>
      <c r="H610" s="26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26"/>
      <c r="U610" s="26"/>
      <c r="V610" s="26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</row>
    <row r="611" spans="1:33" ht="12.75" customHeight="1">
      <c r="A611" s="26"/>
      <c r="B611" s="26"/>
      <c r="C611" s="26"/>
      <c r="D611" s="26"/>
      <c r="E611" s="26"/>
      <c r="F611" s="26"/>
      <c r="G611" s="26"/>
      <c r="H611" s="26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26"/>
      <c r="U611" s="26"/>
      <c r="V611" s="26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</row>
    <row r="612" spans="1:33" ht="12.75" customHeight="1">
      <c r="A612" s="26"/>
      <c r="B612" s="26"/>
      <c r="C612" s="26"/>
      <c r="D612" s="26"/>
      <c r="E612" s="26"/>
      <c r="F612" s="26"/>
      <c r="G612" s="26"/>
      <c r="H612" s="26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26"/>
      <c r="U612" s="26"/>
      <c r="V612" s="26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</row>
    <row r="613" spans="1:33" ht="12.75" customHeight="1">
      <c r="A613" s="26"/>
      <c r="B613" s="26"/>
      <c r="C613" s="26"/>
      <c r="D613" s="26"/>
      <c r="E613" s="26"/>
      <c r="F613" s="26"/>
      <c r="G613" s="26"/>
      <c r="H613" s="26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26"/>
      <c r="U613" s="26"/>
      <c r="V613" s="26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</row>
    <row r="614" spans="1:33" ht="12.75" customHeight="1">
      <c r="A614" s="26"/>
      <c r="B614" s="26"/>
      <c r="C614" s="26"/>
      <c r="D614" s="26"/>
      <c r="E614" s="26"/>
      <c r="F614" s="26"/>
      <c r="G614" s="26"/>
      <c r="H614" s="26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26"/>
      <c r="U614" s="26"/>
      <c r="V614" s="26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</row>
    <row r="615" spans="1:33" ht="12.75" customHeight="1">
      <c r="A615" s="26"/>
      <c r="B615" s="26"/>
      <c r="C615" s="26"/>
      <c r="D615" s="26"/>
      <c r="E615" s="26"/>
      <c r="F615" s="26"/>
      <c r="G615" s="26"/>
      <c r="H615" s="26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26"/>
      <c r="U615" s="26"/>
      <c r="V615" s="26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</row>
    <row r="616" spans="1:33" ht="12.75" customHeight="1">
      <c r="A616" s="26"/>
      <c r="B616" s="26"/>
      <c r="C616" s="26"/>
      <c r="D616" s="26"/>
      <c r="E616" s="26"/>
      <c r="F616" s="26"/>
      <c r="G616" s="26"/>
      <c r="H616" s="26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26"/>
      <c r="U616" s="26"/>
      <c r="V616" s="26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</row>
    <row r="617" spans="1:33" ht="12.75" customHeight="1">
      <c r="A617" s="26"/>
      <c r="B617" s="26"/>
      <c r="C617" s="26"/>
      <c r="D617" s="26"/>
      <c r="E617" s="26"/>
      <c r="F617" s="26"/>
      <c r="G617" s="26"/>
      <c r="H617" s="26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26"/>
      <c r="U617" s="26"/>
      <c r="V617" s="26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</row>
    <row r="618" spans="1:33" ht="12.75" customHeight="1">
      <c r="A618" s="26"/>
      <c r="B618" s="26"/>
      <c r="C618" s="26"/>
      <c r="D618" s="26"/>
      <c r="E618" s="26"/>
      <c r="F618" s="26"/>
      <c r="G618" s="26"/>
      <c r="H618" s="26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26"/>
      <c r="U618" s="26"/>
      <c r="V618" s="26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</row>
    <row r="619" spans="1:33" ht="12.75" customHeight="1">
      <c r="A619" s="26"/>
      <c r="B619" s="26"/>
      <c r="C619" s="26"/>
      <c r="D619" s="26"/>
      <c r="E619" s="26"/>
      <c r="F619" s="26"/>
      <c r="G619" s="26"/>
      <c r="H619" s="26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26"/>
      <c r="U619" s="26"/>
      <c r="V619" s="26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</row>
    <row r="620" spans="1:33" ht="12.75" customHeight="1">
      <c r="A620" s="26"/>
      <c r="B620" s="26"/>
      <c r="C620" s="26"/>
      <c r="D620" s="26"/>
      <c r="E620" s="26"/>
      <c r="F620" s="26"/>
      <c r="G620" s="26"/>
      <c r="H620" s="26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26"/>
      <c r="U620" s="26"/>
      <c r="V620" s="26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</row>
    <row r="621" spans="1:33" ht="12.75" customHeight="1">
      <c r="A621" s="26"/>
      <c r="B621" s="26"/>
      <c r="C621" s="26"/>
      <c r="D621" s="26"/>
      <c r="E621" s="26"/>
      <c r="F621" s="26"/>
      <c r="G621" s="26"/>
      <c r="H621" s="26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26"/>
      <c r="U621" s="26"/>
      <c r="V621" s="26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</row>
    <row r="622" spans="1:33" ht="12.75" customHeight="1">
      <c r="A622" s="26"/>
      <c r="B622" s="26"/>
      <c r="C622" s="26"/>
      <c r="D622" s="26"/>
      <c r="E622" s="26"/>
      <c r="F622" s="26"/>
      <c r="G622" s="26"/>
      <c r="H622" s="26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26"/>
      <c r="U622" s="26"/>
      <c r="V622" s="26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</row>
    <row r="623" spans="1:33" ht="12.75" customHeight="1">
      <c r="A623" s="26"/>
      <c r="B623" s="26"/>
      <c r="C623" s="26"/>
      <c r="D623" s="26"/>
      <c r="E623" s="26"/>
      <c r="F623" s="26"/>
      <c r="G623" s="26"/>
      <c r="H623" s="26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26"/>
      <c r="U623" s="26"/>
      <c r="V623" s="26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</row>
    <row r="624" spans="1:33" ht="12.75" customHeight="1">
      <c r="A624" s="26"/>
      <c r="B624" s="26"/>
      <c r="C624" s="26"/>
      <c r="D624" s="26"/>
      <c r="E624" s="26"/>
      <c r="F624" s="26"/>
      <c r="G624" s="26"/>
      <c r="H624" s="26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26"/>
      <c r="U624" s="26"/>
      <c r="V624" s="26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</row>
    <row r="625" spans="1:33" ht="12.75" customHeight="1">
      <c r="A625" s="26"/>
      <c r="B625" s="26"/>
      <c r="C625" s="26"/>
      <c r="D625" s="26"/>
      <c r="E625" s="26"/>
      <c r="F625" s="26"/>
      <c r="G625" s="26"/>
      <c r="H625" s="26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26"/>
      <c r="U625" s="26"/>
      <c r="V625" s="26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</row>
    <row r="626" spans="1:33" ht="12.75" customHeight="1">
      <c r="A626" s="26"/>
      <c r="B626" s="26"/>
      <c r="C626" s="26"/>
      <c r="D626" s="26"/>
      <c r="E626" s="26"/>
      <c r="F626" s="26"/>
      <c r="G626" s="26"/>
      <c r="H626" s="26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26"/>
      <c r="U626" s="26"/>
      <c r="V626" s="26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</row>
    <row r="627" spans="1:33" ht="12.75" customHeight="1">
      <c r="A627" s="26"/>
      <c r="B627" s="26"/>
      <c r="C627" s="26"/>
      <c r="D627" s="26"/>
      <c r="E627" s="26"/>
      <c r="F627" s="26"/>
      <c r="G627" s="26"/>
      <c r="H627" s="26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26"/>
      <c r="U627" s="26"/>
      <c r="V627" s="26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</row>
    <row r="628" spans="1:33" ht="12.75" customHeight="1">
      <c r="A628" s="26"/>
      <c r="B628" s="26"/>
      <c r="C628" s="26"/>
      <c r="D628" s="26"/>
      <c r="E628" s="26"/>
      <c r="F628" s="26"/>
      <c r="G628" s="26"/>
      <c r="H628" s="26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26"/>
      <c r="U628" s="26"/>
      <c r="V628" s="26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</row>
    <row r="629" spans="1:33" ht="12.75" customHeight="1">
      <c r="A629" s="26"/>
      <c r="B629" s="26"/>
      <c r="C629" s="26"/>
      <c r="D629" s="26"/>
      <c r="E629" s="26"/>
      <c r="F629" s="26"/>
      <c r="G629" s="26"/>
      <c r="H629" s="26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26"/>
      <c r="U629" s="26"/>
      <c r="V629" s="26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</row>
    <row r="630" spans="1:33" ht="12.75" customHeight="1">
      <c r="A630" s="26"/>
      <c r="B630" s="26"/>
      <c r="C630" s="26"/>
      <c r="D630" s="26"/>
      <c r="E630" s="26"/>
      <c r="F630" s="26"/>
      <c r="G630" s="26"/>
      <c r="H630" s="26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26"/>
      <c r="U630" s="26"/>
      <c r="V630" s="26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</row>
    <row r="631" spans="1:33" ht="12.75" customHeight="1">
      <c r="A631" s="26"/>
      <c r="B631" s="26"/>
      <c r="C631" s="26"/>
      <c r="D631" s="26"/>
      <c r="E631" s="26"/>
      <c r="F631" s="26"/>
      <c r="G631" s="26"/>
      <c r="H631" s="26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26"/>
      <c r="U631" s="26"/>
      <c r="V631" s="26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</row>
    <row r="632" spans="1:33" ht="12.75" customHeight="1">
      <c r="A632" s="26"/>
      <c r="B632" s="26"/>
      <c r="C632" s="26"/>
      <c r="D632" s="26"/>
      <c r="E632" s="26"/>
      <c r="F632" s="26"/>
      <c r="G632" s="26"/>
      <c r="H632" s="26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26"/>
      <c r="U632" s="26"/>
      <c r="V632" s="26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</row>
    <row r="633" spans="1:33" ht="12.75" customHeight="1">
      <c r="A633" s="26"/>
      <c r="B633" s="26"/>
      <c r="C633" s="26"/>
      <c r="D633" s="26"/>
      <c r="E633" s="26"/>
      <c r="F633" s="26"/>
      <c r="G633" s="26"/>
      <c r="H633" s="26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26"/>
      <c r="U633" s="26"/>
      <c r="V633" s="26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</row>
    <row r="634" spans="1:33" ht="12.75" customHeight="1">
      <c r="A634" s="26"/>
      <c r="B634" s="26"/>
      <c r="C634" s="26"/>
      <c r="D634" s="26"/>
      <c r="E634" s="26"/>
      <c r="F634" s="26"/>
      <c r="G634" s="26"/>
      <c r="H634" s="26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26"/>
      <c r="U634" s="26"/>
      <c r="V634" s="26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</row>
    <row r="635" spans="1:33" ht="12.75" customHeight="1">
      <c r="A635" s="26"/>
      <c r="B635" s="26"/>
      <c r="C635" s="26"/>
      <c r="D635" s="26"/>
      <c r="E635" s="26"/>
      <c r="F635" s="26"/>
      <c r="G635" s="26"/>
      <c r="H635" s="26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26"/>
      <c r="U635" s="26"/>
      <c r="V635" s="26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</row>
    <row r="636" spans="1:33" ht="12.75" customHeight="1">
      <c r="A636" s="26"/>
      <c r="B636" s="26"/>
      <c r="C636" s="26"/>
      <c r="D636" s="26"/>
      <c r="E636" s="26"/>
      <c r="F636" s="26"/>
      <c r="G636" s="26"/>
      <c r="H636" s="26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26"/>
      <c r="U636" s="26"/>
      <c r="V636" s="26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</row>
    <row r="637" spans="1:33" ht="12.75" customHeight="1">
      <c r="A637" s="26"/>
      <c r="B637" s="26"/>
      <c r="C637" s="26"/>
      <c r="D637" s="26"/>
      <c r="E637" s="26"/>
      <c r="F637" s="26"/>
      <c r="G637" s="26"/>
      <c r="H637" s="26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26"/>
      <c r="U637" s="26"/>
      <c r="V637" s="26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</row>
    <row r="638" spans="1:33" ht="12.75" customHeight="1">
      <c r="A638" s="26"/>
      <c r="B638" s="26"/>
      <c r="C638" s="26"/>
      <c r="D638" s="26"/>
      <c r="E638" s="26"/>
      <c r="F638" s="26"/>
      <c r="G638" s="26"/>
      <c r="H638" s="26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26"/>
      <c r="U638" s="26"/>
      <c r="V638" s="26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</row>
    <row r="639" spans="1:33" ht="12.75" customHeight="1">
      <c r="A639" s="26"/>
      <c r="B639" s="26"/>
      <c r="C639" s="26"/>
      <c r="D639" s="26"/>
      <c r="E639" s="26"/>
      <c r="F639" s="26"/>
      <c r="G639" s="26"/>
      <c r="H639" s="26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26"/>
      <c r="U639" s="26"/>
      <c r="V639" s="26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</row>
    <row r="640" spans="1:33" ht="12.75" customHeight="1">
      <c r="A640" s="26"/>
      <c r="B640" s="26"/>
      <c r="C640" s="26"/>
      <c r="D640" s="26"/>
      <c r="E640" s="26"/>
      <c r="F640" s="26"/>
      <c r="G640" s="26"/>
      <c r="H640" s="26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26"/>
      <c r="U640" s="26"/>
      <c r="V640" s="26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</row>
    <row r="641" spans="1:33" ht="12.75" customHeight="1">
      <c r="A641" s="26"/>
      <c r="B641" s="26"/>
      <c r="C641" s="26"/>
      <c r="D641" s="26"/>
      <c r="E641" s="26"/>
      <c r="F641" s="26"/>
      <c r="G641" s="26"/>
      <c r="H641" s="26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26"/>
      <c r="U641" s="26"/>
      <c r="V641" s="26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</row>
    <row r="642" spans="1:33" ht="12.75" customHeight="1">
      <c r="A642" s="26"/>
      <c r="B642" s="26"/>
      <c r="C642" s="26"/>
      <c r="D642" s="26"/>
      <c r="E642" s="26"/>
      <c r="F642" s="26"/>
      <c r="G642" s="26"/>
      <c r="H642" s="26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26"/>
      <c r="U642" s="26"/>
      <c r="V642" s="26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</row>
    <row r="643" spans="1:33" ht="12.75" customHeight="1">
      <c r="A643" s="26"/>
      <c r="B643" s="26"/>
      <c r="C643" s="26"/>
      <c r="D643" s="26"/>
      <c r="E643" s="26"/>
      <c r="F643" s="26"/>
      <c r="G643" s="26"/>
      <c r="H643" s="26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26"/>
      <c r="U643" s="26"/>
      <c r="V643" s="26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</row>
    <row r="644" spans="1:33" ht="12.75" customHeight="1">
      <c r="A644" s="26"/>
      <c r="B644" s="26"/>
      <c r="C644" s="26"/>
      <c r="D644" s="26"/>
      <c r="E644" s="26"/>
      <c r="F644" s="26"/>
      <c r="G644" s="26"/>
      <c r="H644" s="26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26"/>
      <c r="U644" s="26"/>
      <c r="V644" s="26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</row>
    <row r="645" spans="1:33" ht="12.75" customHeight="1">
      <c r="A645" s="26"/>
      <c r="B645" s="26"/>
      <c r="C645" s="26"/>
      <c r="D645" s="26"/>
      <c r="E645" s="26"/>
      <c r="F645" s="26"/>
      <c r="G645" s="26"/>
      <c r="H645" s="26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26"/>
      <c r="U645" s="26"/>
      <c r="V645" s="26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</row>
    <row r="646" spans="1:33" ht="12.75" customHeight="1">
      <c r="A646" s="26"/>
      <c r="B646" s="26"/>
      <c r="C646" s="26"/>
      <c r="D646" s="26"/>
      <c r="E646" s="26"/>
      <c r="F646" s="26"/>
      <c r="G646" s="26"/>
      <c r="H646" s="26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26"/>
      <c r="U646" s="26"/>
      <c r="V646" s="26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</row>
    <row r="647" spans="1:33" ht="12.75" customHeight="1">
      <c r="A647" s="26"/>
      <c r="B647" s="26"/>
      <c r="C647" s="26"/>
      <c r="D647" s="26"/>
      <c r="E647" s="26"/>
      <c r="F647" s="26"/>
      <c r="G647" s="26"/>
      <c r="H647" s="26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26"/>
      <c r="U647" s="26"/>
      <c r="V647" s="26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</row>
    <row r="648" spans="1:33" ht="12.75" customHeight="1">
      <c r="A648" s="26"/>
      <c r="B648" s="26"/>
      <c r="C648" s="26"/>
      <c r="D648" s="26"/>
      <c r="E648" s="26"/>
      <c r="F648" s="26"/>
      <c r="G648" s="26"/>
      <c r="H648" s="26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26"/>
      <c r="U648" s="26"/>
      <c r="V648" s="26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</row>
    <row r="649" spans="1:33" ht="12.75" customHeight="1">
      <c r="A649" s="26"/>
      <c r="B649" s="26"/>
      <c r="C649" s="26"/>
      <c r="D649" s="26"/>
      <c r="E649" s="26"/>
      <c r="F649" s="26"/>
      <c r="G649" s="26"/>
      <c r="H649" s="26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26"/>
      <c r="U649" s="26"/>
      <c r="V649" s="26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</row>
    <row r="650" spans="1:33" ht="12.75" customHeight="1">
      <c r="A650" s="26"/>
      <c r="B650" s="26"/>
      <c r="C650" s="26"/>
      <c r="D650" s="26"/>
      <c r="E650" s="26"/>
      <c r="F650" s="26"/>
      <c r="G650" s="26"/>
      <c r="H650" s="26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26"/>
      <c r="U650" s="26"/>
      <c r="V650" s="26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</row>
    <row r="651" spans="1:33" ht="12.75" customHeight="1">
      <c r="A651" s="26"/>
      <c r="B651" s="26"/>
      <c r="C651" s="26"/>
      <c r="D651" s="26"/>
      <c r="E651" s="26"/>
      <c r="F651" s="26"/>
      <c r="G651" s="26"/>
      <c r="H651" s="26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26"/>
      <c r="U651" s="26"/>
      <c r="V651" s="26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</row>
    <row r="652" spans="1:33" ht="12.75" customHeight="1">
      <c r="A652" s="26"/>
      <c r="B652" s="26"/>
      <c r="C652" s="26"/>
      <c r="D652" s="26"/>
      <c r="E652" s="26"/>
      <c r="F652" s="26"/>
      <c r="G652" s="26"/>
      <c r="H652" s="26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26"/>
      <c r="U652" s="26"/>
      <c r="V652" s="26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</row>
    <row r="653" spans="1:33" ht="12.75" customHeight="1">
      <c r="A653" s="26"/>
      <c r="B653" s="26"/>
      <c r="C653" s="26"/>
      <c r="D653" s="26"/>
      <c r="E653" s="26"/>
      <c r="F653" s="26"/>
      <c r="G653" s="26"/>
      <c r="H653" s="26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26"/>
      <c r="U653" s="26"/>
      <c r="V653" s="26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</row>
    <row r="654" spans="1:33" ht="12.75" customHeight="1">
      <c r="A654" s="26"/>
      <c r="B654" s="26"/>
      <c r="C654" s="26"/>
      <c r="D654" s="26"/>
      <c r="E654" s="26"/>
      <c r="F654" s="26"/>
      <c r="G654" s="26"/>
      <c r="H654" s="26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26"/>
      <c r="U654" s="26"/>
      <c r="V654" s="26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</row>
    <row r="655" spans="1:33" ht="12.75" customHeight="1">
      <c r="A655" s="26"/>
      <c r="B655" s="26"/>
      <c r="C655" s="26"/>
      <c r="D655" s="26"/>
      <c r="E655" s="26"/>
      <c r="F655" s="26"/>
      <c r="G655" s="26"/>
      <c r="H655" s="26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26"/>
      <c r="U655" s="26"/>
      <c r="V655" s="26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</row>
    <row r="656" spans="1:33" ht="12.75" customHeight="1">
      <c r="A656" s="26"/>
      <c r="B656" s="26"/>
      <c r="C656" s="26"/>
      <c r="D656" s="26"/>
      <c r="E656" s="26"/>
      <c r="F656" s="26"/>
      <c r="G656" s="26"/>
      <c r="H656" s="26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26"/>
      <c r="U656" s="26"/>
      <c r="V656" s="26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</row>
    <row r="657" spans="1:33" ht="12.75" customHeight="1">
      <c r="A657" s="26"/>
      <c r="B657" s="26"/>
      <c r="C657" s="26"/>
      <c r="D657" s="26"/>
      <c r="E657" s="26"/>
      <c r="F657" s="26"/>
      <c r="G657" s="26"/>
      <c r="H657" s="26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26"/>
      <c r="U657" s="26"/>
      <c r="V657" s="26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</row>
    <row r="658" spans="1:33" ht="12.75" customHeight="1">
      <c r="A658" s="26"/>
      <c r="B658" s="26"/>
      <c r="C658" s="26"/>
      <c r="D658" s="26"/>
      <c r="E658" s="26"/>
      <c r="F658" s="26"/>
      <c r="G658" s="26"/>
      <c r="H658" s="26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26"/>
      <c r="U658" s="26"/>
      <c r="V658" s="26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</row>
    <row r="659" spans="1:33" ht="12.75" customHeight="1">
      <c r="A659" s="26"/>
      <c r="B659" s="26"/>
      <c r="C659" s="26"/>
      <c r="D659" s="26"/>
      <c r="E659" s="26"/>
      <c r="F659" s="26"/>
      <c r="G659" s="26"/>
      <c r="H659" s="26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26"/>
      <c r="U659" s="26"/>
      <c r="V659" s="26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</row>
    <row r="660" spans="1:33" ht="12.75" customHeight="1">
      <c r="A660" s="26"/>
      <c r="B660" s="26"/>
      <c r="C660" s="26"/>
      <c r="D660" s="26"/>
      <c r="E660" s="26"/>
      <c r="F660" s="26"/>
      <c r="G660" s="26"/>
      <c r="H660" s="26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26"/>
      <c r="U660" s="26"/>
      <c r="V660" s="26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</row>
    <row r="661" spans="1:33" ht="12.75" customHeight="1">
      <c r="A661" s="26"/>
      <c r="B661" s="26"/>
      <c r="C661" s="26"/>
      <c r="D661" s="26"/>
      <c r="E661" s="26"/>
      <c r="F661" s="26"/>
      <c r="G661" s="26"/>
      <c r="H661" s="26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26"/>
      <c r="U661" s="26"/>
      <c r="V661" s="26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</row>
    <row r="662" spans="1:33" ht="12.75" customHeight="1">
      <c r="A662" s="26"/>
      <c r="B662" s="26"/>
      <c r="C662" s="26"/>
      <c r="D662" s="26"/>
      <c r="E662" s="26"/>
      <c r="F662" s="26"/>
      <c r="G662" s="26"/>
      <c r="H662" s="26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26"/>
      <c r="U662" s="26"/>
      <c r="V662" s="26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</row>
    <row r="663" spans="1:33" ht="12.75" customHeight="1">
      <c r="A663" s="26"/>
      <c r="B663" s="26"/>
      <c r="C663" s="26"/>
      <c r="D663" s="26"/>
      <c r="E663" s="26"/>
      <c r="F663" s="26"/>
      <c r="G663" s="26"/>
      <c r="H663" s="26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26"/>
      <c r="U663" s="26"/>
      <c r="V663" s="26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</row>
    <row r="664" spans="1:33" ht="12.75" customHeight="1">
      <c r="A664" s="26"/>
      <c r="B664" s="26"/>
      <c r="C664" s="26"/>
      <c r="D664" s="26"/>
      <c r="E664" s="26"/>
      <c r="F664" s="26"/>
      <c r="G664" s="26"/>
      <c r="H664" s="26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26"/>
      <c r="U664" s="26"/>
      <c r="V664" s="26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</row>
    <row r="665" spans="1:33" ht="12.75" customHeight="1">
      <c r="A665" s="26"/>
      <c r="B665" s="26"/>
      <c r="C665" s="26"/>
      <c r="D665" s="26"/>
      <c r="E665" s="26"/>
      <c r="F665" s="26"/>
      <c r="G665" s="26"/>
      <c r="H665" s="26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26"/>
      <c r="U665" s="26"/>
      <c r="V665" s="26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</row>
    <row r="666" spans="1:33" ht="12.75" customHeight="1">
      <c r="A666" s="26"/>
      <c r="B666" s="26"/>
      <c r="C666" s="26"/>
      <c r="D666" s="26"/>
      <c r="E666" s="26"/>
      <c r="F666" s="26"/>
      <c r="G666" s="26"/>
      <c r="H666" s="26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26"/>
      <c r="U666" s="26"/>
      <c r="V666" s="26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</row>
    <row r="667" spans="1:33" ht="12.75" customHeight="1">
      <c r="A667" s="26"/>
      <c r="B667" s="26"/>
      <c r="C667" s="26"/>
      <c r="D667" s="26"/>
      <c r="E667" s="26"/>
      <c r="F667" s="26"/>
      <c r="G667" s="26"/>
      <c r="H667" s="26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26"/>
      <c r="U667" s="26"/>
      <c r="V667" s="26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</row>
    <row r="668" spans="1:33" ht="12.75" customHeight="1">
      <c r="A668" s="26"/>
      <c r="B668" s="26"/>
      <c r="C668" s="26"/>
      <c r="D668" s="26"/>
      <c r="E668" s="26"/>
      <c r="F668" s="26"/>
      <c r="G668" s="26"/>
      <c r="H668" s="26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26"/>
      <c r="U668" s="26"/>
      <c r="V668" s="26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</row>
    <row r="669" spans="1:33" ht="12.75" customHeight="1">
      <c r="A669" s="26"/>
      <c r="B669" s="26"/>
      <c r="C669" s="26"/>
      <c r="D669" s="26"/>
      <c r="E669" s="26"/>
      <c r="F669" s="26"/>
      <c r="G669" s="26"/>
      <c r="H669" s="26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26"/>
      <c r="U669" s="26"/>
      <c r="V669" s="26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</row>
    <row r="670" spans="1:33" ht="12.75" customHeight="1">
      <c r="A670" s="26"/>
      <c r="B670" s="26"/>
      <c r="C670" s="26"/>
      <c r="D670" s="26"/>
      <c r="E670" s="26"/>
      <c r="F670" s="26"/>
      <c r="G670" s="26"/>
      <c r="H670" s="26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26"/>
      <c r="U670" s="26"/>
      <c r="V670" s="26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</row>
    <row r="671" spans="1:33" ht="12.75" customHeight="1">
      <c r="A671" s="26"/>
      <c r="B671" s="26"/>
      <c r="C671" s="26"/>
      <c r="D671" s="26"/>
      <c r="E671" s="26"/>
      <c r="F671" s="26"/>
      <c r="G671" s="26"/>
      <c r="H671" s="26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26"/>
      <c r="U671" s="26"/>
      <c r="V671" s="26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</row>
    <row r="672" spans="1:33" ht="12.75" customHeight="1">
      <c r="A672" s="26"/>
      <c r="B672" s="26"/>
      <c r="C672" s="26"/>
      <c r="D672" s="26"/>
      <c r="E672" s="26"/>
      <c r="F672" s="26"/>
      <c r="G672" s="26"/>
      <c r="H672" s="26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26"/>
      <c r="U672" s="26"/>
      <c r="V672" s="26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</row>
    <row r="673" spans="1:33" ht="12.75" customHeight="1">
      <c r="A673" s="26"/>
      <c r="B673" s="26"/>
      <c r="C673" s="26"/>
      <c r="D673" s="26"/>
      <c r="E673" s="26"/>
      <c r="F673" s="26"/>
      <c r="G673" s="26"/>
      <c r="H673" s="26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26"/>
      <c r="U673" s="26"/>
      <c r="V673" s="26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</row>
    <row r="674" spans="1:33" ht="12.75" customHeight="1">
      <c r="A674" s="26"/>
      <c r="B674" s="26"/>
      <c r="C674" s="26"/>
      <c r="D674" s="26"/>
      <c r="E674" s="26"/>
      <c r="F674" s="26"/>
      <c r="G674" s="26"/>
      <c r="H674" s="26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26"/>
      <c r="U674" s="26"/>
      <c r="V674" s="26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</row>
    <row r="675" spans="1:33" ht="12.75" customHeight="1">
      <c r="A675" s="26"/>
      <c r="B675" s="26"/>
      <c r="C675" s="26"/>
      <c r="D675" s="26"/>
      <c r="E675" s="26"/>
      <c r="F675" s="26"/>
      <c r="G675" s="26"/>
      <c r="H675" s="26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26"/>
      <c r="U675" s="26"/>
      <c r="V675" s="26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</row>
    <row r="676" spans="1:33" ht="12.75" customHeight="1">
      <c r="A676" s="26"/>
      <c r="B676" s="26"/>
      <c r="C676" s="26"/>
      <c r="D676" s="26"/>
      <c r="E676" s="26"/>
      <c r="F676" s="26"/>
      <c r="G676" s="26"/>
      <c r="H676" s="26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26"/>
      <c r="U676" s="26"/>
      <c r="V676" s="26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</row>
    <row r="677" spans="1:33" ht="12.75" customHeight="1">
      <c r="A677" s="26"/>
      <c r="B677" s="26"/>
      <c r="C677" s="26"/>
      <c r="D677" s="26"/>
      <c r="E677" s="26"/>
      <c r="F677" s="26"/>
      <c r="G677" s="26"/>
      <c r="H677" s="26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26"/>
      <c r="U677" s="26"/>
      <c r="V677" s="26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</row>
    <row r="678" spans="1:33" ht="12.75" customHeight="1">
      <c r="A678" s="26"/>
      <c r="B678" s="26"/>
      <c r="C678" s="26"/>
      <c r="D678" s="26"/>
      <c r="E678" s="26"/>
      <c r="F678" s="26"/>
      <c r="G678" s="26"/>
      <c r="H678" s="26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26"/>
      <c r="U678" s="26"/>
      <c r="V678" s="26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</row>
    <row r="679" spans="1:33" ht="12.75" customHeight="1">
      <c r="A679" s="26"/>
      <c r="B679" s="26"/>
      <c r="C679" s="26"/>
      <c r="D679" s="26"/>
      <c r="E679" s="26"/>
      <c r="F679" s="26"/>
      <c r="G679" s="26"/>
      <c r="H679" s="26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26"/>
      <c r="U679" s="26"/>
      <c r="V679" s="26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</row>
    <row r="680" spans="1:33" ht="12.75" customHeight="1">
      <c r="A680" s="26"/>
      <c r="B680" s="26"/>
      <c r="C680" s="26"/>
      <c r="D680" s="26"/>
      <c r="E680" s="26"/>
      <c r="F680" s="26"/>
      <c r="G680" s="26"/>
      <c r="H680" s="26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26"/>
      <c r="U680" s="26"/>
      <c r="V680" s="26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</row>
    <row r="681" spans="1:33" ht="12.75" customHeight="1">
      <c r="A681" s="26"/>
      <c r="B681" s="26"/>
      <c r="C681" s="26"/>
      <c r="D681" s="26"/>
      <c r="E681" s="26"/>
      <c r="F681" s="26"/>
      <c r="G681" s="26"/>
      <c r="H681" s="26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26"/>
      <c r="U681" s="26"/>
      <c r="V681" s="26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</row>
    <row r="682" spans="1:33" ht="12.75" customHeight="1">
      <c r="A682" s="26"/>
      <c r="B682" s="26"/>
      <c r="C682" s="26"/>
      <c r="D682" s="26"/>
      <c r="E682" s="26"/>
      <c r="F682" s="26"/>
      <c r="G682" s="26"/>
      <c r="H682" s="26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26"/>
      <c r="U682" s="26"/>
      <c r="V682" s="26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</row>
    <row r="683" spans="1:33" ht="12.75" customHeight="1">
      <c r="A683" s="26"/>
      <c r="B683" s="26"/>
      <c r="C683" s="26"/>
      <c r="D683" s="26"/>
      <c r="E683" s="26"/>
      <c r="F683" s="26"/>
      <c r="G683" s="26"/>
      <c r="H683" s="26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26"/>
      <c r="U683" s="26"/>
      <c r="V683" s="26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</row>
    <row r="684" spans="1:33" ht="12.75" customHeight="1">
      <c r="A684" s="26"/>
      <c r="B684" s="26"/>
      <c r="C684" s="26"/>
      <c r="D684" s="26"/>
      <c r="E684" s="26"/>
      <c r="F684" s="26"/>
      <c r="G684" s="26"/>
      <c r="H684" s="26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26"/>
      <c r="U684" s="26"/>
      <c r="V684" s="26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</row>
    <row r="685" spans="1:33" ht="12.75" customHeight="1">
      <c r="A685" s="26"/>
      <c r="B685" s="26"/>
      <c r="C685" s="26"/>
      <c r="D685" s="26"/>
      <c r="E685" s="26"/>
      <c r="F685" s="26"/>
      <c r="G685" s="26"/>
      <c r="H685" s="26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26"/>
      <c r="U685" s="26"/>
      <c r="V685" s="26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</row>
    <row r="686" spans="1:33" ht="12.75" customHeight="1">
      <c r="A686" s="26"/>
      <c r="B686" s="26"/>
      <c r="C686" s="26"/>
      <c r="D686" s="26"/>
      <c r="E686" s="26"/>
      <c r="F686" s="26"/>
      <c r="G686" s="26"/>
      <c r="H686" s="26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26"/>
      <c r="U686" s="26"/>
      <c r="V686" s="26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</row>
    <row r="687" spans="1:33" ht="12.75" customHeight="1">
      <c r="A687" s="26"/>
      <c r="B687" s="26"/>
      <c r="C687" s="26"/>
      <c r="D687" s="26"/>
      <c r="E687" s="26"/>
      <c r="F687" s="26"/>
      <c r="G687" s="26"/>
      <c r="H687" s="26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26"/>
      <c r="U687" s="26"/>
      <c r="V687" s="26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</row>
    <row r="688" spans="1:33" ht="12.75" customHeight="1">
      <c r="A688" s="26"/>
      <c r="B688" s="26"/>
      <c r="C688" s="26"/>
      <c r="D688" s="26"/>
      <c r="E688" s="26"/>
      <c r="F688" s="26"/>
      <c r="G688" s="26"/>
      <c r="H688" s="26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26"/>
      <c r="U688" s="26"/>
      <c r="V688" s="26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</row>
    <row r="689" spans="1:33" ht="12.75" customHeight="1">
      <c r="A689" s="26"/>
      <c r="B689" s="26"/>
      <c r="C689" s="26"/>
      <c r="D689" s="26"/>
      <c r="E689" s="26"/>
      <c r="F689" s="26"/>
      <c r="G689" s="26"/>
      <c r="H689" s="26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26"/>
      <c r="U689" s="26"/>
      <c r="V689" s="26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</row>
    <row r="690" spans="1:33" ht="12.75" customHeight="1">
      <c r="A690" s="26"/>
      <c r="B690" s="26"/>
      <c r="C690" s="26"/>
      <c r="D690" s="26"/>
      <c r="E690" s="26"/>
      <c r="F690" s="26"/>
      <c r="G690" s="26"/>
      <c r="H690" s="26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26"/>
      <c r="U690" s="26"/>
      <c r="V690" s="26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</row>
    <row r="691" spans="1:33" ht="12.75" customHeight="1">
      <c r="A691" s="26"/>
      <c r="B691" s="26"/>
      <c r="C691" s="26"/>
      <c r="D691" s="26"/>
      <c r="E691" s="26"/>
      <c r="F691" s="26"/>
      <c r="G691" s="26"/>
      <c r="H691" s="26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26"/>
      <c r="U691" s="26"/>
      <c r="V691" s="26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</row>
    <row r="692" spans="1:33" ht="12.75" customHeight="1">
      <c r="A692" s="26"/>
      <c r="B692" s="26"/>
      <c r="C692" s="26"/>
      <c r="D692" s="26"/>
      <c r="E692" s="26"/>
      <c r="F692" s="26"/>
      <c r="G692" s="26"/>
      <c r="H692" s="26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26"/>
      <c r="U692" s="26"/>
      <c r="V692" s="26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</row>
    <row r="693" spans="1:33" ht="12.75" customHeight="1">
      <c r="A693" s="26"/>
      <c r="B693" s="26"/>
      <c r="C693" s="26"/>
      <c r="D693" s="26"/>
      <c r="E693" s="26"/>
      <c r="F693" s="26"/>
      <c r="G693" s="26"/>
      <c r="H693" s="26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26"/>
      <c r="U693" s="26"/>
      <c r="V693" s="26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</row>
    <row r="694" spans="1:33" ht="12.75" customHeight="1">
      <c r="A694" s="26"/>
      <c r="B694" s="26"/>
      <c r="C694" s="26"/>
      <c r="D694" s="26"/>
      <c r="E694" s="26"/>
      <c r="F694" s="26"/>
      <c r="G694" s="26"/>
      <c r="H694" s="26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26"/>
      <c r="U694" s="26"/>
      <c r="V694" s="26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</row>
    <row r="695" spans="1:33" ht="12.75" customHeight="1">
      <c r="A695" s="26"/>
      <c r="B695" s="26"/>
      <c r="C695" s="26"/>
      <c r="D695" s="26"/>
      <c r="E695" s="26"/>
      <c r="F695" s="26"/>
      <c r="G695" s="26"/>
      <c r="H695" s="26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26"/>
      <c r="U695" s="26"/>
      <c r="V695" s="26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</row>
    <row r="696" spans="1:33" ht="12.75" customHeight="1">
      <c r="A696" s="26"/>
      <c r="B696" s="26"/>
      <c r="C696" s="26"/>
      <c r="D696" s="26"/>
      <c r="E696" s="26"/>
      <c r="F696" s="26"/>
      <c r="G696" s="26"/>
      <c r="H696" s="26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26"/>
      <c r="U696" s="26"/>
      <c r="V696" s="26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</row>
    <row r="697" spans="1:33" ht="12.75" customHeight="1">
      <c r="A697" s="26"/>
      <c r="B697" s="26"/>
      <c r="C697" s="26"/>
      <c r="D697" s="26"/>
      <c r="E697" s="26"/>
      <c r="F697" s="26"/>
      <c r="G697" s="26"/>
      <c r="H697" s="26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26"/>
      <c r="U697" s="26"/>
      <c r="V697" s="26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</row>
    <row r="698" spans="1:33" ht="12.75" customHeight="1">
      <c r="A698" s="26"/>
      <c r="B698" s="26"/>
      <c r="C698" s="26"/>
      <c r="D698" s="26"/>
      <c r="E698" s="26"/>
      <c r="F698" s="26"/>
      <c r="G698" s="26"/>
      <c r="H698" s="26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26"/>
      <c r="U698" s="26"/>
      <c r="V698" s="26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</row>
    <row r="699" spans="1:33" ht="12.75" customHeight="1">
      <c r="A699" s="26"/>
      <c r="B699" s="26"/>
      <c r="C699" s="26"/>
      <c r="D699" s="26"/>
      <c r="E699" s="26"/>
      <c r="F699" s="26"/>
      <c r="G699" s="26"/>
      <c r="H699" s="26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26"/>
      <c r="U699" s="26"/>
      <c r="V699" s="26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</row>
    <row r="700" spans="1:33" ht="12.75" customHeight="1">
      <c r="A700" s="26"/>
      <c r="B700" s="26"/>
      <c r="C700" s="26"/>
      <c r="D700" s="26"/>
      <c r="E700" s="26"/>
      <c r="F700" s="26"/>
      <c r="G700" s="26"/>
      <c r="H700" s="26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26"/>
      <c r="U700" s="26"/>
      <c r="V700" s="26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</row>
    <row r="701" spans="1:33" ht="12.75" customHeight="1">
      <c r="A701" s="26"/>
      <c r="B701" s="26"/>
      <c r="C701" s="26"/>
      <c r="D701" s="26"/>
      <c r="E701" s="26"/>
      <c r="F701" s="26"/>
      <c r="G701" s="26"/>
      <c r="H701" s="26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26"/>
      <c r="U701" s="26"/>
      <c r="V701" s="26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</row>
    <row r="702" spans="1:33" ht="12.75" customHeight="1">
      <c r="A702" s="26"/>
      <c r="B702" s="26"/>
      <c r="C702" s="26"/>
      <c r="D702" s="26"/>
      <c r="E702" s="26"/>
      <c r="F702" s="26"/>
      <c r="G702" s="26"/>
      <c r="H702" s="26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26"/>
      <c r="U702" s="26"/>
      <c r="V702" s="26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</row>
    <row r="703" spans="1:33" ht="12.75" customHeight="1">
      <c r="A703" s="26"/>
      <c r="B703" s="26"/>
      <c r="C703" s="26"/>
      <c r="D703" s="26"/>
      <c r="E703" s="26"/>
      <c r="F703" s="26"/>
      <c r="G703" s="26"/>
      <c r="H703" s="26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26"/>
      <c r="U703" s="26"/>
      <c r="V703" s="26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</row>
    <row r="704" spans="1:33" ht="12.75" customHeight="1">
      <c r="A704" s="26"/>
      <c r="B704" s="26"/>
      <c r="C704" s="26"/>
      <c r="D704" s="26"/>
      <c r="E704" s="26"/>
      <c r="F704" s="26"/>
      <c r="G704" s="26"/>
      <c r="H704" s="26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26"/>
      <c r="U704" s="26"/>
      <c r="V704" s="26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</row>
    <row r="705" spans="1:33" ht="12.75" customHeight="1">
      <c r="A705" s="26"/>
      <c r="B705" s="26"/>
      <c r="C705" s="26"/>
      <c r="D705" s="26"/>
      <c r="E705" s="26"/>
      <c r="F705" s="26"/>
      <c r="G705" s="26"/>
      <c r="H705" s="26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26"/>
      <c r="U705" s="26"/>
      <c r="V705" s="26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</row>
    <row r="706" spans="1:33" ht="12.75" customHeight="1">
      <c r="A706" s="26"/>
      <c r="B706" s="26"/>
      <c r="C706" s="26"/>
      <c r="D706" s="26"/>
      <c r="E706" s="26"/>
      <c r="F706" s="26"/>
      <c r="G706" s="26"/>
      <c r="H706" s="26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26"/>
      <c r="U706" s="26"/>
      <c r="V706" s="26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</row>
    <row r="707" spans="1:33" ht="12.75" customHeight="1">
      <c r="A707" s="26"/>
      <c r="B707" s="26"/>
      <c r="C707" s="26"/>
      <c r="D707" s="26"/>
      <c r="E707" s="26"/>
      <c r="F707" s="26"/>
      <c r="G707" s="26"/>
      <c r="H707" s="26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26"/>
      <c r="U707" s="26"/>
      <c r="V707" s="26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</row>
    <row r="708" spans="1:33" ht="12.75" customHeight="1">
      <c r="A708" s="26"/>
      <c r="B708" s="26"/>
      <c r="C708" s="26"/>
      <c r="D708" s="26"/>
      <c r="E708" s="26"/>
      <c r="F708" s="26"/>
      <c r="G708" s="26"/>
      <c r="H708" s="26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26"/>
      <c r="U708" s="26"/>
      <c r="V708" s="26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</row>
    <row r="709" spans="1:33" ht="12.75" customHeight="1">
      <c r="A709" s="26"/>
      <c r="B709" s="26"/>
      <c r="C709" s="26"/>
      <c r="D709" s="26"/>
      <c r="E709" s="26"/>
      <c r="F709" s="26"/>
      <c r="G709" s="26"/>
      <c r="H709" s="26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26"/>
      <c r="U709" s="26"/>
      <c r="V709" s="26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</row>
    <row r="710" spans="1:33" ht="12.75" customHeight="1">
      <c r="A710" s="26"/>
      <c r="B710" s="26"/>
      <c r="C710" s="26"/>
      <c r="D710" s="26"/>
      <c r="E710" s="26"/>
      <c r="F710" s="26"/>
      <c r="G710" s="26"/>
      <c r="H710" s="26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26"/>
      <c r="U710" s="26"/>
      <c r="V710" s="26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</row>
    <row r="711" spans="1:33" ht="12.75" customHeight="1">
      <c r="A711" s="26"/>
      <c r="B711" s="26"/>
      <c r="C711" s="26"/>
      <c r="D711" s="26"/>
      <c r="E711" s="26"/>
      <c r="F711" s="26"/>
      <c r="G711" s="26"/>
      <c r="H711" s="26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26"/>
      <c r="U711" s="26"/>
      <c r="V711" s="26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</row>
    <row r="712" spans="1:33" ht="12.75" customHeight="1">
      <c r="A712" s="26"/>
      <c r="B712" s="26"/>
      <c r="C712" s="26"/>
      <c r="D712" s="26"/>
      <c r="E712" s="26"/>
      <c r="F712" s="26"/>
      <c r="G712" s="26"/>
      <c r="H712" s="26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26"/>
      <c r="U712" s="26"/>
      <c r="V712" s="26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</row>
    <row r="713" spans="1:33" ht="12.75" customHeight="1">
      <c r="A713" s="26"/>
      <c r="B713" s="26"/>
      <c r="C713" s="26"/>
      <c r="D713" s="26"/>
      <c r="E713" s="26"/>
      <c r="F713" s="26"/>
      <c r="G713" s="26"/>
      <c r="H713" s="26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26"/>
      <c r="U713" s="26"/>
      <c r="V713" s="26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</row>
    <row r="714" spans="1:33" ht="12.75" customHeight="1">
      <c r="A714" s="26"/>
      <c r="B714" s="26"/>
      <c r="C714" s="26"/>
      <c r="D714" s="26"/>
      <c r="E714" s="26"/>
      <c r="F714" s="26"/>
      <c r="G714" s="26"/>
      <c r="H714" s="26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26"/>
      <c r="U714" s="26"/>
      <c r="V714" s="26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</row>
    <row r="715" spans="1:33" ht="12.75" customHeight="1">
      <c r="A715" s="26"/>
      <c r="B715" s="26"/>
      <c r="C715" s="26"/>
      <c r="D715" s="26"/>
      <c r="E715" s="26"/>
      <c r="F715" s="26"/>
      <c r="G715" s="26"/>
      <c r="H715" s="26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26"/>
      <c r="U715" s="26"/>
      <c r="V715" s="26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</row>
    <row r="716" spans="1:33" ht="12.75" customHeight="1">
      <c r="A716" s="26"/>
      <c r="B716" s="26"/>
      <c r="C716" s="26"/>
      <c r="D716" s="26"/>
      <c r="E716" s="26"/>
      <c r="F716" s="26"/>
      <c r="G716" s="26"/>
      <c r="H716" s="26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26"/>
      <c r="U716" s="26"/>
      <c r="V716" s="26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</row>
    <row r="717" spans="1:33" ht="12.75" customHeight="1">
      <c r="A717" s="26"/>
      <c r="B717" s="26"/>
      <c r="C717" s="26"/>
      <c r="D717" s="26"/>
      <c r="E717" s="26"/>
      <c r="F717" s="26"/>
      <c r="G717" s="26"/>
      <c r="H717" s="26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26"/>
      <c r="U717" s="26"/>
      <c r="V717" s="26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</row>
    <row r="718" spans="1:33" ht="12.75" customHeight="1">
      <c r="A718" s="26"/>
      <c r="B718" s="26"/>
      <c r="C718" s="26"/>
      <c r="D718" s="26"/>
      <c r="E718" s="26"/>
      <c r="F718" s="26"/>
      <c r="G718" s="26"/>
      <c r="H718" s="26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26"/>
      <c r="U718" s="26"/>
      <c r="V718" s="26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</row>
    <row r="719" spans="1:33" ht="12.75" customHeight="1">
      <c r="A719" s="26"/>
      <c r="B719" s="26"/>
      <c r="C719" s="26"/>
      <c r="D719" s="26"/>
      <c r="E719" s="26"/>
      <c r="F719" s="26"/>
      <c r="G719" s="26"/>
      <c r="H719" s="26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26"/>
      <c r="U719" s="26"/>
      <c r="V719" s="26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</row>
    <row r="720" spans="1:33" ht="12.75" customHeight="1">
      <c r="A720" s="26"/>
      <c r="B720" s="26"/>
      <c r="C720" s="26"/>
      <c r="D720" s="26"/>
      <c r="E720" s="26"/>
      <c r="F720" s="26"/>
      <c r="G720" s="26"/>
      <c r="H720" s="26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26"/>
      <c r="U720" s="26"/>
      <c r="V720" s="26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</row>
    <row r="721" spans="1:33" ht="12.75" customHeight="1">
      <c r="A721" s="26"/>
      <c r="B721" s="26"/>
      <c r="C721" s="26"/>
      <c r="D721" s="26"/>
      <c r="E721" s="26"/>
      <c r="F721" s="26"/>
      <c r="G721" s="26"/>
      <c r="H721" s="26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26"/>
      <c r="U721" s="26"/>
      <c r="V721" s="26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</row>
    <row r="722" spans="1:33" ht="12.75" customHeight="1">
      <c r="A722" s="26"/>
      <c r="B722" s="26"/>
      <c r="C722" s="26"/>
      <c r="D722" s="26"/>
      <c r="E722" s="26"/>
      <c r="F722" s="26"/>
      <c r="G722" s="26"/>
      <c r="H722" s="26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26"/>
      <c r="U722" s="26"/>
      <c r="V722" s="26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</row>
    <row r="723" spans="1:33" ht="12.75" customHeight="1">
      <c r="A723" s="26"/>
      <c r="B723" s="26"/>
      <c r="C723" s="26"/>
      <c r="D723" s="26"/>
      <c r="E723" s="26"/>
      <c r="F723" s="26"/>
      <c r="G723" s="26"/>
      <c r="H723" s="26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26"/>
      <c r="U723" s="26"/>
      <c r="V723" s="26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</row>
    <row r="724" spans="1:33" ht="12.75" customHeight="1">
      <c r="A724" s="26"/>
      <c r="B724" s="26"/>
      <c r="C724" s="26"/>
      <c r="D724" s="26"/>
      <c r="E724" s="26"/>
      <c r="F724" s="26"/>
      <c r="G724" s="26"/>
      <c r="H724" s="26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26"/>
      <c r="U724" s="26"/>
      <c r="V724" s="26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</row>
    <row r="725" spans="1:33" ht="12.75" customHeight="1">
      <c r="A725" s="26"/>
      <c r="B725" s="26"/>
      <c r="C725" s="26"/>
      <c r="D725" s="26"/>
      <c r="E725" s="26"/>
      <c r="F725" s="26"/>
      <c r="G725" s="26"/>
      <c r="H725" s="26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26"/>
      <c r="U725" s="26"/>
      <c r="V725" s="26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</row>
    <row r="726" spans="1:33" ht="12.75" customHeight="1">
      <c r="A726" s="26"/>
      <c r="B726" s="26"/>
      <c r="C726" s="26"/>
      <c r="D726" s="26"/>
      <c r="E726" s="26"/>
      <c r="F726" s="26"/>
      <c r="G726" s="26"/>
      <c r="H726" s="26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26"/>
      <c r="U726" s="26"/>
      <c r="V726" s="26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</row>
    <row r="727" spans="1:33" ht="12.75" customHeight="1">
      <c r="A727" s="26"/>
      <c r="B727" s="26"/>
      <c r="C727" s="26"/>
      <c r="D727" s="26"/>
      <c r="E727" s="26"/>
      <c r="F727" s="26"/>
      <c r="G727" s="26"/>
      <c r="H727" s="26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26"/>
      <c r="U727" s="26"/>
      <c r="V727" s="26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</row>
    <row r="728" spans="1:33" ht="12.75" customHeight="1">
      <c r="A728" s="26"/>
      <c r="B728" s="26"/>
      <c r="C728" s="26"/>
      <c r="D728" s="26"/>
      <c r="E728" s="26"/>
      <c r="F728" s="26"/>
      <c r="G728" s="26"/>
      <c r="H728" s="26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26"/>
      <c r="U728" s="26"/>
      <c r="V728" s="26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</row>
    <row r="729" spans="1:33" ht="12.75" customHeight="1">
      <c r="A729" s="26"/>
      <c r="B729" s="26"/>
      <c r="C729" s="26"/>
      <c r="D729" s="26"/>
      <c r="E729" s="26"/>
      <c r="F729" s="26"/>
      <c r="G729" s="26"/>
      <c r="H729" s="26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26"/>
      <c r="U729" s="26"/>
      <c r="V729" s="26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</row>
    <row r="730" spans="1:33" ht="12.75" customHeight="1">
      <c r="A730" s="26"/>
      <c r="B730" s="26"/>
      <c r="C730" s="26"/>
      <c r="D730" s="26"/>
      <c r="E730" s="26"/>
      <c r="F730" s="26"/>
      <c r="G730" s="26"/>
      <c r="H730" s="26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26"/>
      <c r="U730" s="26"/>
      <c r="V730" s="26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</row>
    <row r="731" spans="1:33" ht="12.75" customHeight="1">
      <c r="A731" s="26"/>
      <c r="B731" s="26"/>
      <c r="C731" s="26"/>
      <c r="D731" s="26"/>
      <c r="E731" s="26"/>
      <c r="F731" s="26"/>
      <c r="G731" s="26"/>
      <c r="H731" s="26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26"/>
      <c r="U731" s="26"/>
      <c r="V731" s="26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</row>
    <row r="732" spans="1:33" ht="12.75" customHeight="1">
      <c r="A732" s="26"/>
      <c r="B732" s="26"/>
      <c r="C732" s="26"/>
      <c r="D732" s="26"/>
      <c r="E732" s="26"/>
      <c r="F732" s="26"/>
      <c r="G732" s="26"/>
      <c r="H732" s="26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26"/>
      <c r="U732" s="26"/>
      <c r="V732" s="26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</row>
    <row r="733" spans="1:33" ht="12.75" customHeight="1">
      <c r="A733" s="26"/>
      <c r="B733" s="26"/>
      <c r="C733" s="26"/>
      <c r="D733" s="26"/>
      <c r="E733" s="26"/>
      <c r="F733" s="26"/>
      <c r="G733" s="26"/>
      <c r="H733" s="26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26"/>
      <c r="U733" s="26"/>
      <c r="V733" s="26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</row>
    <row r="734" spans="1:33" ht="12.75" customHeight="1">
      <c r="A734" s="26"/>
      <c r="B734" s="26"/>
      <c r="C734" s="26"/>
      <c r="D734" s="26"/>
      <c r="E734" s="26"/>
      <c r="F734" s="26"/>
      <c r="G734" s="26"/>
      <c r="H734" s="26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26"/>
      <c r="U734" s="26"/>
      <c r="V734" s="26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</row>
    <row r="735" spans="1:33" ht="12.75" customHeight="1">
      <c r="A735" s="26"/>
      <c r="B735" s="26"/>
      <c r="C735" s="26"/>
      <c r="D735" s="26"/>
      <c r="E735" s="26"/>
      <c r="F735" s="26"/>
      <c r="G735" s="26"/>
      <c r="H735" s="26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26"/>
      <c r="U735" s="26"/>
      <c r="V735" s="26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</row>
    <row r="736" spans="1:33" ht="12.75" customHeight="1">
      <c r="A736" s="26"/>
      <c r="B736" s="26"/>
      <c r="C736" s="26"/>
      <c r="D736" s="26"/>
      <c r="E736" s="26"/>
      <c r="F736" s="26"/>
      <c r="G736" s="26"/>
      <c r="H736" s="26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26"/>
      <c r="U736" s="26"/>
      <c r="V736" s="26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</row>
    <row r="737" spans="1:33" ht="12.75" customHeight="1">
      <c r="A737" s="26"/>
      <c r="B737" s="26"/>
      <c r="C737" s="26"/>
      <c r="D737" s="26"/>
      <c r="E737" s="26"/>
      <c r="F737" s="26"/>
      <c r="G737" s="26"/>
      <c r="H737" s="26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26"/>
      <c r="U737" s="26"/>
      <c r="V737" s="26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</row>
    <row r="738" spans="1:33" ht="12.75" customHeight="1">
      <c r="A738" s="26"/>
      <c r="B738" s="26"/>
      <c r="C738" s="26"/>
      <c r="D738" s="26"/>
      <c r="E738" s="26"/>
      <c r="F738" s="26"/>
      <c r="G738" s="26"/>
      <c r="H738" s="26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26"/>
      <c r="U738" s="26"/>
      <c r="V738" s="26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</row>
    <row r="739" spans="1:33" ht="12.75" customHeight="1">
      <c r="A739" s="26"/>
      <c r="B739" s="26"/>
      <c r="C739" s="26"/>
      <c r="D739" s="26"/>
      <c r="E739" s="26"/>
      <c r="F739" s="26"/>
      <c r="G739" s="26"/>
      <c r="H739" s="26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26"/>
      <c r="U739" s="26"/>
      <c r="V739" s="26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</row>
    <row r="740" spans="1:33" ht="12.75" customHeight="1">
      <c r="A740" s="26"/>
      <c r="B740" s="26"/>
      <c r="C740" s="26"/>
      <c r="D740" s="26"/>
      <c r="E740" s="26"/>
      <c r="F740" s="26"/>
      <c r="G740" s="26"/>
      <c r="H740" s="26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26"/>
      <c r="U740" s="26"/>
      <c r="V740" s="26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</row>
    <row r="741" spans="1:33" ht="12.75" customHeight="1">
      <c r="A741" s="26"/>
      <c r="B741" s="26"/>
      <c r="C741" s="26"/>
      <c r="D741" s="26"/>
      <c r="E741" s="26"/>
      <c r="F741" s="26"/>
      <c r="G741" s="26"/>
      <c r="H741" s="26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26"/>
      <c r="U741" s="26"/>
      <c r="V741" s="26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</row>
    <row r="742" spans="1:33" ht="12.75" customHeight="1">
      <c r="A742" s="26"/>
      <c r="B742" s="26"/>
      <c r="C742" s="26"/>
      <c r="D742" s="26"/>
      <c r="E742" s="26"/>
      <c r="F742" s="26"/>
      <c r="G742" s="26"/>
      <c r="H742" s="26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26"/>
      <c r="U742" s="26"/>
      <c r="V742" s="26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</row>
    <row r="743" spans="1:33" ht="12.75" customHeight="1">
      <c r="A743" s="26"/>
      <c r="B743" s="26"/>
      <c r="C743" s="26"/>
      <c r="D743" s="26"/>
      <c r="E743" s="26"/>
      <c r="F743" s="26"/>
      <c r="G743" s="26"/>
      <c r="H743" s="26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26"/>
      <c r="U743" s="26"/>
      <c r="V743" s="26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</row>
    <row r="744" spans="1:33" ht="12.75" customHeight="1">
      <c r="A744" s="26"/>
      <c r="B744" s="26"/>
      <c r="C744" s="26"/>
      <c r="D744" s="26"/>
      <c r="E744" s="26"/>
      <c r="F744" s="26"/>
      <c r="G744" s="26"/>
      <c r="H744" s="26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26"/>
      <c r="U744" s="26"/>
      <c r="V744" s="26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</row>
    <row r="745" spans="1:33" ht="12.75" customHeight="1">
      <c r="A745" s="26"/>
      <c r="B745" s="26"/>
      <c r="C745" s="26"/>
      <c r="D745" s="26"/>
      <c r="E745" s="26"/>
      <c r="F745" s="26"/>
      <c r="G745" s="26"/>
      <c r="H745" s="26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26"/>
      <c r="U745" s="26"/>
      <c r="V745" s="26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</row>
    <row r="746" spans="1:33" ht="12.75" customHeight="1">
      <c r="A746" s="26"/>
      <c r="B746" s="26"/>
      <c r="C746" s="26"/>
      <c r="D746" s="26"/>
      <c r="E746" s="26"/>
      <c r="F746" s="26"/>
      <c r="G746" s="26"/>
      <c r="H746" s="26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26"/>
      <c r="U746" s="26"/>
      <c r="V746" s="26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</row>
    <row r="747" spans="1:33" ht="12.75" customHeight="1">
      <c r="A747" s="26"/>
      <c r="B747" s="26"/>
      <c r="C747" s="26"/>
      <c r="D747" s="26"/>
      <c r="E747" s="26"/>
      <c r="F747" s="26"/>
      <c r="G747" s="26"/>
      <c r="H747" s="26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26"/>
      <c r="U747" s="26"/>
      <c r="V747" s="26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</row>
    <row r="748" spans="1:33" ht="12.75" customHeight="1">
      <c r="A748" s="26"/>
      <c r="B748" s="26"/>
      <c r="C748" s="26"/>
      <c r="D748" s="26"/>
      <c r="E748" s="26"/>
      <c r="F748" s="26"/>
      <c r="G748" s="26"/>
      <c r="H748" s="26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26"/>
      <c r="U748" s="26"/>
      <c r="V748" s="26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</row>
    <row r="749" spans="1:33" ht="12.75" customHeight="1">
      <c r="A749" s="26"/>
      <c r="B749" s="26"/>
      <c r="C749" s="26"/>
      <c r="D749" s="26"/>
      <c r="E749" s="26"/>
      <c r="F749" s="26"/>
      <c r="G749" s="26"/>
      <c r="H749" s="26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26"/>
      <c r="U749" s="26"/>
      <c r="V749" s="26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</row>
    <row r="750" spans="1:33" ht="12.75" customHeight="1">
      <c r="A750" s="26"/>
      <c r="B750" s="26"/>
      <c r="C750" s="26"/>
      <c r="D750" s="26"/>
      <c r="E750" s="26"/>
      <c r="F750" s="26"/>
      <c r="G750" s="26"/>
      <c r="H750" s="26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26"/>
      <c r="U750" s="26"/>
      <c r="V750" s="26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</row>
    <row r="751" spans="1:33" ht="12.75" customHeight="1">
      <c r="A751" s="26"/>
      <c r="B751" s="26"/>
      <c r="C751" s="26"/>
      <c r="D751" s="26"/>
      <c r="E751" s="26"/>
      <c r="F751" s="26"/>
      <c r="G751" s="26"/>
      <c r="H751" s="26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26"/>
      <c r="U751" s="26"/>
      <c r="V751" s="26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</row>
    <row r="752" spans="1:33" ht="12.75" customHeight="1">
      <c r="A752" s="26"/>
      <c r="B752" s="26"/>
      <c r="C752" s="26"/>
      <c r="D752" s="26"/>
      <c r="E752" s="26"/>
      <c r="F752" s="26"/>
      <c r="G752" s="26"/>
      <c r="H752" s="26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26"/>
      <c r="U752" s="26"/>
      <c r="V752" s="26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</row>
    <row r="753" spans="1:33" ht="12.75" customHeight="1">
      <c r="A753" s="26"/>
      <c r="B753" s="26"/>
      <c r="C753" s="26"/>
      <c r="D753" s="26"/>
      <c r="E753" s="26"/>
      <c r="F753" s="26"/>
      <c r="G753" s="26"/>
      <c r="H753" s="26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26"/>
      <c r="U753" s="26"/>
      <c r="V753" s="26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</row>
    <row r="754" spans="1:33" ht="12.75" customHeight="1">
      <c r="A754" s="26"/>
      <c r="B754" s="26"/>
      <c r="C754" s="26"/>
      <c r="D754" s="26"/>
      <c r="E754" s="26"/>
      <c r="F754" s="26"/>
      <c r="G754" s="26"/>
      <c r="H754" s="26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26"/>
      <c r="U754" s="26"/>
      <c r="V754" s="26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</row>
    <row r="755" spans="1:33" ht="12.75" customHeight="1">
      <c r="A755" s="26"/>
      <c r="B755" s="26"/>
      <c r="C755" s="26"/>
      <c r="D755" s="26"/>
      <c r="E755" s="26"/>
      <c r="F755" s="26"/>
      <c r="G755" s="26"/>
      <c r="H755" s="26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26"/>
      <c r="U755" s="26"/>
      <c r="V755" s="26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</row>
    <row r="756" spans="1:33" ht="12.75" customHeight="1">
      <c r="A756" s="26"/>
      <c r="B756" s="26"/>
      <c r="C756" s="26"/>
      <c r="D756" s="26"/>
      <c r="E756" s="26"/>
      <c r="F756" s="26"/>
      <c r="G756" s="26"/>
      <c r="H756" s="26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26"/>
      <c r="U756" s="26"/>
      <c r="V756" s="26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</row>
    <row r="757" spans="1:33" ht="12.75" customHeight="1">
      <c r="A757" s="26"/>
      <c r="B757" s="26"/>
      <c r="C757" s="26"/>
      <c r="D757" s="26"/>
      <c r="E757" s="26"/>
      <c r="F757" s="26"/>
      <c r="G757" s="26"/>
      <c r="H757" s="26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26"/>
      <c r="U757" s="26"/>
      <c r="V757" s="26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</row>
    <row r="758" spans="1:33" ht="12.75" customHeight="1">
      <c r="A758" s="26"/>
      <c r="B758" s="26"/>
      <c r="C758" s="26"/>
      <c r="D758" s="26"/>
      <c r="E758" s="26"/>
      <c r="F758" s="26"/>
      <c r="G758" s="26"/>
      <c r="H758" s="26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26"/>
      <c r="U758" s="26"/>
      <c r="V758" s="26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</row>
    <row r="759" spans="1:33" ht="12.75" customHeight="1">
      <c r="A759" s="26"/>
      <c r="B759" s="26"/>
      <c r="C759" s="26"/>
      <c r="D759" s="26"/>
      <c r="E759" s="26"/>
      <c r="F759" s="26"/>
      <c r="G759" s="26"/>
      <c r="H759" s="26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26"/>
      <c r="U759" s="26"/>
      <c r="V759" s="26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</row>
    <row r="760" spans="1:33" ht="12.75" customHeight="1">
      <c r="A760" s="26"/>
      <c r="B760" s="26"/>
      <c r="C760" s="26"/>
      <c r="D760" s="26"/>
      <c r="E760" s="26"/>
      <c r="F760" s="26"/>
      <c r="G760" s="26"/>
      <c r="H760" s="26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26"/>
      <c r="U760" s="26"/>
      <c r="V760" s="26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</row>
    <row r="761" spans="1:33" ht="12.75" customHeight="1">
      <c r="A761" s="26"/>
      <c r="B761" s="26"/>
      <c r="C761" s="26"/>
      <c r="D761" s="26"/>
      <c r="E761" s="26"/>
      <c r="F761" s="26"/>
      <c r="G761" s="26"/>
      <c r="H761" s="26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26"/>
      <c r="U761" s="26"/>
      <c r="V761" s="26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</row>
    <row r="762" spans="1:33" ht="12.75" customHeight="1">
      <c r="A762" s="26"/>
      <c r="B762" s="26"/>
      <c r="C762" s="26"/>
      <c r="D762" s="26"/>
      <c r="E762" s="26"/>
      <c r="F762" s="26"/>
      <c r="G762" s="26"/>
      <c r="H762" s="26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26"/>
      <c r="U762" s="26"/>
      <c r="V762" s="26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</row>
    <row r="763" spans="1:33" ht="12.75" customHeight="1">
      <c r="A763" s="26"/>
      <c r="B763" s="26"/>
      <c r="C763" s="26"/>
      <c r="D763" s="26"/>
      <c r="E763" s="26"/>
      <c r="F763" s="26"/>
      <c r="G763" s="26"/>
      <c r="H763" s="26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26"/>
      <c r="U763" s="26"/>
      <c r="V763" s="26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</row>
    <row r="764" spans="1:33" ht="12.75" customHeight="1">
      <c r="A764" s="26"/>
      <c r="B764" s="26"/>
      <c r="C764" s="26"/>
      <c r="D764" s="26"/>
      <c r="E764" s="26"/>
      <c r="F764" s="26"/>
      <c r="G764" s="26"/>
      <c r="H764" s="26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26"/>
      <c r="U764" s="26"/>
      <c r="V764" s="26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</row>
    <row r="765" spans="1:33" ht="12.75" customHeight="1">
      <c r="A765" s="26"/>
      <c r="B765" s="26"/>
      <c r="C765" s="26"/>
      <c r="D765" s="26"/>
      <c r="E765" s="26"/>
      <c r="F765" s="26"/>
      <c r="G765" s="26"/>
      <c r="H765" s="26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26"/>
      <c r="U765" s="26"/>
      <c r="V765" s="26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</row>
    <row r="766" spans="1:33" ht="12.75" customHeight="1">
      <c r="A766" s="26"/>
      <c r="B766" s="26"/>
      <c r="C766" s="26"/>
      <c r="D766" s="26"/>
      <c r="E766" s="26"/>
      <c r="F766" s="26"/>
      <c r="G766" s="26"/>
      <c r="H766" s="26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26"/>
      <c r="U766" s="26"/>
      <c r="V766" s="26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</row>
    <row r="767" spans="1:33" ht="12.75" customHeight="1">
      <c r="A767" s="26"/>
      <c r="B767" s="26"/>
      <c r="C767" s="26"/>
      <c r="D767" s="26"/>
      <c r="E767" s="26"/>
      <c r="F767" s="26"/>
      <c r="G767" s="26"/>
      <c r="H767" s="26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26"/>
      <c r="U767" s="26"/>
      <c r="V767" s="26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</row>
    <row r="768" spans="1:33" ht="12.75" customHeight="1">
      <c r="A768" s="26"/>
      <c r="B768" s="26"/>
      <c r="C768" s="26"/>
      <c r="D768" s="26"/>
      <c r="E768" s="26"/>
      <c r="F768" s="26"/>
      <c r="G768" s="26"/>
      <c r="H768" s="26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26"/>
      <c r="U768" s="26"/>
      <c r="V768" s="26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</row>
    <row r="769" spans="1:33" ht="12.75" customHeight="1">
      <c r="A769" s="26"/>
      <c r="B769" s="26"/>
      <c r="C769" s="26"/>
      <c r="D769" s="26"/>
      <c r="E769" s="26"/>
      <c r="F769" s="26"/>
      <c r="G769" s="26"/>
      <c r="H769" s="26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26"/>
      <c r="U769" s="26"/>
      <c r="V769" s="26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</row>
    <row r="770" spans="1:33" ht="12.75" customHeight="1">
      <c r="A770" s="26"/>
      <c r="B770" s="26"/>
      <c r="C770" s="26"/>
      <c r="D770" s="26"/>
      <c r="E770" s="26"/>
      <c r="F770" s="26"/>
      <c r="G770" s="26"/>
      <c r="H770" s="26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26"/>
      <c r="U770" s="26"/>
      <c r="V770" s="26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</row>
    <row r="771" spans="1:33" ht="12.75" customHeight="1">
      <c r="A771" s="26"/>
      <c r="B771" s="26"/>
      <c r="C771" s="26"/>
      <c r="D771" s="26"/>
      <c r="E771" s="26"/>
      <c r="F771" s="26"/>
      <c r="G771" s="26"/>
      <c r="H771" s="26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26"/>
      <c r="U771" s="26"/>
      <c r="V771" s="26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</row>
    <row r="772" spans="1:33" ht="12.75" customHeight="1">
      <c r="A772" s="26"/>
      <c r="B772" s="26"/>
      <c r="C772" s="26"/>
      <c r="D772" s="26"/>
      <c r="E772" s="26"/>
      <c r="F772" s="26"/>
      <c r="G772" s="26"/>
      <c r="H772" s="26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26"/>
      <c r="U772" s="26"/>
      <c r="V772" s="26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</row>
    <row r="773" spans="1:33" ht="12.75" customHeight="1">
      <c r="A773" s="26"/>
      <c r="B773" s="26"/>
      <c r="C773" s="26"/>
      <c r="D773" s="26"/>
      <c r="E773" s="26"/>
      <c r="F773" s="26"/>
      <c r="G773" s="26"/>
      <c r="H773" s="26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26"/>
      <c r="U773" s="26"/>
      <c r="V773" s="26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</row>
    <row r="774" spans="1:33" ht="12.75" customHeight="1">
      <c r="A774" s="26"/>
      <c r="B774" s="26"/>
      <c r="C774" s="26"/>
      <c r="D774" s="26"/>
      <c r="E774" s="26"/>
      <c r="F774" s="26"/>
      <c r="G774" s="26"/>
      <c r="H774" s="26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26"/>
      <c r="U774" s="26"/>
      <c r="V774" s="26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</row>
    <row r="775" spans="1:33" ht="12.75" customHeight="1">
      <c r="A775" s="26"/>
      <c r="B775" s="26"/>
      <c r="C775" s="26"/>
      <c r="D775" s="26"/>
      <c r="E775" s="26"/>
      <c r="F775" s="26"/>
      <c r="G775" s="26"/>
      <c r="H775" s="26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26"/>
      <c r="U775" s="26"/>
      <c r="V775" s="26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</row>
    <row r="776" spans="1:33" ht="12.75" customHeight="1">
      <c r="A776" s="26"/>
      <c r="B776" s="26"/>
      <c r="C776" s="26"/>
      <c r="D776" s="26"/>
      <c r="E776" s="26"/>
      <c r="F776" s="26"/>
      <c r="G776" s="26"/>
      <c r="H776" s="26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26"/>
      <c r="U776" s="26"/>
      <c r="V776" s="26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</row>
    <row r="777" spans="1:33" ht="12.75" customHeight="1">
      <c r="A777" s="26"/>
      <c r="B777" s="26"/>
      <c r="C777" s="26"/>
      <c r="D777" s="26"/>
      <c r="E777" s="26"/>
      <c r="F777" s="26"/>
      <c r="G777" s="26"/>
      <c r="H777" s="26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26"/>
      <c r="U777" s="26"/>
      <c r="V777" s="26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</row>
    <row r="778" spans="1:33" ht="12.75" customHeight="1">
      <c r="A778" s="26"/>
      <c r="B778" s="26"/>
      <c r="C778" s="26"/>
      <c r="D778" s="26"/>
      <c r="E778" s="26"/>
      <c r="F778" s="26"/>
      <c r="G778" s="26"/>
      <c r="H778" s="26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26"/>
      <c r="U778" s="26"/>
      <c r="V778" s="26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</row>
    <row r="779" spans="1:33" ht="12.75" customHeight="1">
      <c r="A779" s="26"/>
      <c r="B779" s="26"/>
      <c r="C779" s="26"/>
      <c r="D779" s="26"/>
      <c r="E779" s="26"/>
      <c r="F779" s="26"/>
      <c r="G779" s="26"/>
      <c r="H779" s="26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26"/>
      <c r="U779" s="26"/>
      <c r="V779" s="26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</row>
    <row r="780" spans="1:33" ht="12.75" customHeight="1">
      <c r="A780" s="26"/>
      <c r="B780" s="26"/>
      <c r="C780" s="26"/>
      <c r="D780" s="26"/>
      <c r="E780" s="26"/>
      <c r="F780" s="26"/>
      <c r="G780" s="26"/>
      <c r="H780" s="26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26"/>
      <c r="U780" s="26"/>
      <c r="V780" s="26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</row>
    <row r="781" spans="1:33" ht="12.75" customHeight="1">
      <c r="A781" s="26"/>
      <c r="B781" s="26"/>
      <c r="C781" s="26"/>
      <c r="D781" s="26"/>
      <c r="E781" s="26"/>
      <c r="F781" s="26"/>
      <c r="G781" s="26"/>
      <c r="H781" s="26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26"/>
      <c r="U781" s="26"/>
      <c r="V781" s="26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</row>
    <row r="782" spans="1:33" ht="12.75" customHeight="1">
      <c r="A782" s="26"/>
      <c r="B782" s="26"/>
      <c r="C782" s="26"/>
      <c r="D782" s="26"/>
      <c r="E782" s="26"/>
      <c r="F782" s="26"/>
      <c r="G782" s="26"/>
      <c r="H782" s="26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26"/>
      <c r="U782" s="26"/>
      <c r="V782" s="26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</row>
    <row r="783" spans="1:33" ht="12.75" customHeight="1">
      <c r="A783" s="26"/>
      <c r="B783" s="26"/>
      <c r="C783" s="26"/>
      <c r="D783" s="26"/>
      <c r="E783" s="26"/>
      <c r="F783" s="26"/>
      <c r="G783" s="26"/>
      <c r="H783" s="26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26"/>
      <c r="U783" s="26"/>
      <c r="V783" s="26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</row>
    <row r="784" spans="1:33" ht="12.75" customHeight="1">
      <c r="A784" s="26"/>
      <c r="B784" s="26"/>
      <c r="C784" s="26"/>
      <c r="D784" s="26"/>
      <c r="E784" s="26"/>
      <c r="F784" s="26"/>
      <c r="G784" s="26"/>
      <c r="H784" s="26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26"/>
      <c r="U784" s="26"/>
      <c r="V784" s="26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</row>
    <row r="785" spans="1:33" ht="12.75" customHeight="1">
      <c r="A785" s="26"/>
      <c r="B785" s="26"/>
      <c r="C785" s="26"/>
      <c r="D785" s="26"/>
      <c r="E785" s="26"/>
      <c r="F785" s="26"/>
      <c r="G785" s="26"/>
      <c r="H785" s="26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26"/>
      <c r="U785" s="26"/>
      <c r="V785" s="26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</row>
    <row r="786" spans="1:33" ht="12.75" customHeight="1">
      <c r="A786" s="26"/>
      <c r="B786" s="26"/>
      <c r="C786" s="26"/>
      <c r="D786" s="26"/>
      <c r="E786" s="26"/>
      <c r="F786" s="26"/>
      <c r="G786" s="26"/>
      <c r="H786" s="26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26"/>
      <c r="U786" s="26"/>
      <c r="V786" s="26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</row>
    <row r="787" spans="1:33" ht="12.75" customHeight="1">
      <c r="A787" s="26"/>
      <c r="B787" s="26"/>
      <c r="C787" s="26"/>
      <c r="D787" s="26"/>
      <c r="E787" s="26"/>
      <c r="F787" s="26"/>
      <c r="G787" s="26"/>
      <c r="H787" s="26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26"/>
      <c r="U787" s="26"/>
      <c r="V787" s="26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</row>
    <row r="788" spans="1:33" ht="12.75" customHeight="1">
      <c r="A788" s="26"/>
      <c r="B788" s="26"/>
      <c r="C788" s="26"/>
      <c r="D788" s="26"/>
      <c r="E788" s="26"/>
      <c r="F788" s="26"/>
      <c r="G788" s="26"/>
      <c r="H788" s="26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26"/>
      <c r="U788" s="26"/>
      <c r="V788" s="26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</row>
    <row r="789" spans="1:33" ht="12.75" customHeight="1">
      <c r="A789" s="26"/>
      <c r="B789" s="26"/>
      <c r="C789" s="26"/>
      <c r="D789" s="26"/>
      <c r="E789" s="26"/>
      <c r="F789" s="26"/>
      <c r="G789" s="26"/>
      <c r="H789" s="26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26"/>
      <c r="U789" s="26"/>
      <c r="V789" s="26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</row>
    <row r="790" spans="1:33" ht="12.75" customHeight="1">
      <c r="A790" s="26"/>
      <c r="B790" s="26"/>
      <c r="C790" s="26"/>
      <c r="D790" s="26"/>
      <c r="E790" s="26"/>
      <c r="F790" s="26"/>
      <c r="G790" s="26"/>
      <c r="H790" s="26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26"/>
      <c r="U790" s="26"/>
      <c r="V790" s="26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</row>
    <row r="791" spans="1:33" ht="12.75" customHeight="1">
      <c r="A791" s="26"/>
      <c r="B791" s="26"/>
      <c r="C791" s="26"/>
      <c r="D791" s="26"/>
      <c r="E791" s="26"/>
      <c r="F791" s="26"/>
      <c r="G791" s="26"/>
      <c r="H791" s="26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26"/>
      <c r="U791" s="26"/>
      <c r="V791" s="26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</row>
    <row r="792" spans="1:33" ht="12.75" customHeight="1">
      <c r="A792" s="26"/>
      <c r="B792" s="26"/>
      <c r="C792" s="26"/>
      <c r="D792" s="26"/>
      <c r="E792" s="26"/>
      <c r="F792" s="26"/>
      <c r="G792" s="26"/>
      <c r="H792" s="26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26"/>
      <c r="U792" s="26"/>
      <c r="V792" s="26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</row>
    <row r="793" spans="1:33" ht="12.75" customHeight="1">
      <c r="A793" s="26"/>
      <c r="B793" s="26"/>
      <c r="C793" s="26"/>
      <c r="D793" s="26"/>
      <c r="E793" s="26"/>
      <c r="F793" s="26"/>
      <c r="G793" s="26"/>
      <c r="H793" s="26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26"/>
      <c r="U793" s="26"/>
      <c r="V793" s="26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</row>
    <row r="794" spans="1:33" ht="12.75" customHeight="1">
      <c r="A794" s="26"/>
      <c r="B794" s="26"/>
      <c r="C794" s="26"/>
      <c r="D794" s="26"/>
      <c r="E794" s="26"/>
      <c r="F794" s="26"/>
      <c r="G794" s="26"/>
      <c r="H794" s="26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26"/>
      <c r="U794" s="26"/>
      <c r="V794" s="26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</row>
    <row r="795" spans="1:33" ht="12.75" customHeight="1">
      <c r="A795" s="26"/>
      <c r="B795" s="26"/>
      <c r="C795" s="26"/>
      <c r="D795" s="26"/>
      <c r="E795" s="26"/>
      <c r="F795" s="26"/>
      <c r="G795" s="26"/>
      <c r="H795" s="26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26"/>
      <c r="U795" s="26"/>
      <c r="V795" s="26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</row>
    <row r="796" spans="1:33" ht="12.75" customHeight="1">
      <c r="A796" s="26"/>
      <c r="B796" s="26"/>
      <c r="C796" s="26"/>
      <c r="D796" s="26"/>
      <c r="E796" s="26"/>
      <c r="F796" s="26"/>
      <c r="G796" s="26"/>
      <c r="H796" s="26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26"/>
      <c r="U796" s="26"/>
      <c r="V796" s="26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</row>
    <row r="797" spans="1:33" ht="12.75" customHeight="1">
      <c r="A797" s="26"/>
      <c r="B797" s="26"/>
      <c r="C797" s="26"/>
      <c r="D797" s="26"/>
      <c r="E797" s="26"/>
      <c r="F797" s="26"/>
      <c r="G797" s="26"/>
      <c r="H797" s="26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26"/>
      <c r="U797" s="26"/>
      <c r="V797" s="26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</row>
    <row r="798" spans="1:33" ht="12.75" customHeight="1">
      <c r="A798" s="26"/>
      <c r="B798" s="26"/>
      <c r="C798" s="26"/>
      <c r="D798" s="26"/>
      <c r="E798" s="26"/>
      <c r="F798" s="26"/>
      <c r="G798" s="26"/>
      <c r="H798" s="26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26"/>
      <c r="U798" s="26"/>
      <c r="V798" s="26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</row>
    <row r="799" spans="1:33" ht="12.75" customHeight="1">
      <c r="A799" s="26"/>
      <c r="B799" s="26"/>
      <c r="C799" s="26"/>
      <c r="D799" s="26"/>
      <c r="E799" s="26"/>
      <c r="F799" s="26"/>
      <c r="G799" s="26"/>
      <c r="H799" s="26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26"/>
      <c r="U799" s="26"/>
      <c r="V799" s="26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</row>
    <row r="800" spans="1:33" ht="12.75" customHeight="1">
      <c r="A800" s="26"/>
      <c r="B800" s="26"/>
      <c r="C800" s="26"/>
      <c r="D800" s="26"/>
      <c r="E800" s="26"/>
      <c r="F800" s="26"/>
      <c r="G800" s="26"/>
      <c r="H800" s="26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26"/>
      <c r="U800" s="26"/>
      <c r="V800" s="26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</row>
    <row r="801" spans="1:33" ht="12.75" customHeight="1">
      <c r="A801" s="26"/>
      <c r="B801" s="26"/>
      <c r="C801" s="26"/>
      <c r="D801" s="26"/>
      <c r="E801" s="26"/>
      <c r="F801" s="26"/>
      <c r="G801" s="26"/>
      <c r="H801" s="26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26"/>
      <c r="U801" s="26"/>
      <c r="V801" s="26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</row>
    <row r="802" spans="1:33" ht="12.75" customHeight="1">
      <c r="A802" s="26"/>
      <c r="B802" s="26"/>
      <c r="C802" s="26"/>
      <c r="D802" s="26"/>
      <c r="E802" s="26"/>
      <c r="F802" s="26"/>
      <c r="G802" s="26"/>
      <c r="H802" s="26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26"/>
      <c r="U802" s="26"/>
      <c r="V802" s="26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</row>
    <row r="803" spans="1:33" ht="12.75" customHeight="1">
      <c r="A803" s="26"/>
      <c r="B803" s="26"/>
      <c r="C803" s="26"/>
      <c r="D803" s="26"/>
      <c r="E803" s="26"/>
      <c r="F803" s="26"/>
      <c r="G803" s="26"/>
      <c r="H803" s="26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26"/>
      <c r="U803" s="26"/>
      <c r="V803" s="26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</row>
    <row r="804" spans="1:33" ht="12.75" customHeight="1">
      <c r="A804" s="26"/>
      <c r="B804" s="26"/>
      <c r="C804" s="26"/>
      <c r="D804" s="26"/>
      <c r="E804" s="26"/>
      <c r="F804" s="26"/>
      <c r="G804" s="26"/>
      <c r="H804" s="26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26"/>
      <c r="U804" s="26"/>
      <c r="V804" s="26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</row>
    <row r="805" spans="1:33" ht="12.75" customHeight="1">
      <c r="A805" s="26"/>
      <c r="B805" s="26"/>
      <c r="C805" s="26"/>
      <c r="D805" s="26"/>
      <c r="E805" s="26"/>
      <c r="F805" s="26"/>
      <c r="G805" s="26"/>
      <c r="H805" s="26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26"/>
      <c r="U805" s="26"/>
      <c r="V805" s="26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</row>
    <row r="806" spans="1:33" ht="12.75" customHeight="1">
      <c r="A806" s="26"/>
      <c r="B806" s="26"/>
      <c r="C806" s="26"/>
      <c r="D806" s="26"/>
      <c r="E806" s="26"/>
      <c r="F806" s="26"/>
      <c r="G806" s="26"/>
      <c r="H806" s="26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26"/>
      <c r="U806" s="26"/>
      <c r="V806" s="26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</row>
    <row r="807" spans="1:33" ht="12.75" customHeight="1">
      <c r="A807" s="26"/>
      <c r="B807" s="26"/>
      <c r="C807" s="26"/>
      <c r="D807" s="26"/>
      <c r="E807" s="26"/>
      <c r="F807" s="26"/>
      <c r="G807" s="26"/>
      <c r="H807" s="26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26"/>
      <c r="U807" s="26"/>
      <c r="V807" s="26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</row>
    <row r="808" spans="1:33" ht="12.75" customHeight="1">
      <c r="A808" s="26"/>
      <c r="B808" s="26"/>
      <c r="C808" s="26"/>
      <c r="D808" s="26"/>
      <c r="E808" s="26"/>
      <c r="F808" s="26"/>
      <c r="G808" s="26"/>
      <c r="H808" s="26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26"/>
      <c r="U808" s="26"/>
      <c r="V808" s="26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</row>
    <row r="809" spans="1:33" ht="12.75" customHeight="1">
      <c r="A809" s="26"/>
      <c r="B809" s="26"/>
      <c r="C809" s="26"/>
      <c r="D809" s="26"/>
      <c r="E809" s="26"/>
      <c r="F809" s="26"/>
      <c r="G809" s="26"/>
      <c r="H809" s="26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26"/>
      <c r="U809" s="26"/>
      <c r="V809" s="26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</row>
    <row r="810" spans="1:33" ht="12.75" customHeight="1">
      <c r="A810" s="26"/>
      <c r="B810" s="26"/>
      <c r="C810" s="26"/>
      <c r="D810" s="26"/>
      <c r="E810" s="26"/>
      <c r="F810" s="26"/>
      <c r="G810" s="26"/>
      <c r="H810" s="26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26"/>
      <c r="U810" s="26"/>
      <c r="V810" s="26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</row>
    <row r="811" spans="1:33" ht="12.75" customHeight="1">
      <c r="A811" s="26"/>
      <c r="B811" s="26"/>
      <c r="C811" s="26"/>
      <c r="D811" s="26"/>
      <c r="E811" s="26"/>
      <c r="F811" s="26"/>
      <c r="G811" s="26"/>
      <c r="H811" s="26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26"/>
      <c r="U811" s="26"/>
      <c r="V811" s="26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</row>
    <row r="812" spans="1:33" ht="12.75" customHeight="1">
      <c r="A812" s="26"/>
      <c r="B812" s="26"/>
      <c r="C812" s="26"/>
      <c r="D812" s="26"/>
      <c r="E812" s="26"/>
      <c r="F812" s="26"/>
      <c r="G812" s="26"/>
      <c r="H812" s="26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26"/>
      <c r="U812" s="26"/>
      <c r="V812" s="26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</row>
    <row r="813" spans="1:33" ht="12.75" customHeight="1">
      <c r="A813" s="26"/>
      <c r="B813" s="26"/>
      <c r="C813" s="26"/>
      <c r="D813" s="26"/>
      <c r="E813" s="26"/>
      <c r="F813" s="26"/>
      <c r="G813" s="26"/>
      <c r="H813" s="26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26"/>
      <c r="U813" s="26"/>
      <c r="V813" s="26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</row>
    <row r="814" spans="1:33" ht="12.75" customHeight="1">
      <c r="A814" s="26"/>
      <c r="B814" s="26"/>
      <c r="C814" s="26"/>
      <c r="D814" s="26"/>
      <c r="E814" s="26"/>
      <c r="F814" s="26"/>
      <c r="G814" s="26"/>
      <c r="H814" s="26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26"/>
      <c r="U814" s="26"/>
      <c r="V814" s="26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</row>
    <row r="815" spans="1:33" ht="12.75" customHeight="1">
      <c r="A815" s="26"/>
      <c r="B815" s="26"/>
      <c r="C815" s="26"/>
      <c r="D815" s="26"/>
      <c r="E815" s="26"/>
      <c r="F815" s="26"/>
      <c r="G815" s="26"/>
      <c r="H815" s="26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26"/>
      <c r="U815" s="26"/>
      <c r="V815" s="26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</row>
    <row r="816" spans="1:33" ht="12.75" customHeight="1">
      <c r="A816" s="26"/>
      <c r="B816" s="26"/>
      <c r="C816" s="26"/>
      <c r="D816" s="26"/>
      <c r="E816" s="26"/>
      <c r="F816" s="26"/>
      <c r="G816" s="26"/>
      <c r="H816" s="26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26"/>
      <c r="U816" s="26"/>
      <c r="V816" s="26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</row>
    <row r="817" spans="1:33" ht="12.75" customHeight="1">
      <c r="A817" s="26"/>
      <c r="B817" s="26"/>
      <c r="C817" s="26"/>
      <c r="D817" s="26"/>
      <c r="E817" s="26"/>
      <c r="F817" s="26"/>
      <c r="G817" s="26"/>
      <c r="H817" s="26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26"/>
      <c r="U817" s="26"/>
      <c r="V817" s="26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</row>
    <row r="818" spans="1:33" ht="12.75" customHeight="1">
      <c r="A818" s="26"/>
      <c r="B818" s="26"/>
      <c r="C818" s="26"/>
      <c r="D818" s="26"/>
      <c r="E818" s="26"/>
      <c r="F818" s="26"/>
      <c r="G818" s="26"/>
      <c r="H818" s="26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26"/>
      <c r="U818" s="26"/>
      <c r="V818" s="26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</row>
    <row r="819" spans="1:33" ht="12.75" customHeight="1">
      <c r="A819" s="26"/>
      <c r="B819" s="26"/>
      <c r="C819" s="26"/>
      <c r="D819" s="26"/>
      <c r="E819" s="26"/>
      <c r="F819" s="26"/>
      <c r="G819" s="26"/>
      <c r="H819" s="26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26"/>
      <c r="U819" s="26"/>
      <c r="V819" s="26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</row>
    <row r="820" spans="1:33" ht="12.75" customHeight="1">
      <c r="A820" s="26"/>
      <c r="B820" s="26"/>
      <c r="C820" s="26"/>
      <c r="D820" s="26"/>
      <c r="E820" s="26"/>
      <c r="F820" s="26"/>
      <c r="G820" s="26"/>
      <c r="H820" s="26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26"/>
      <c r="U820" s="26"/>
      <c r="V820" s="26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</row>
    <row r="821" spans="1:33" ht="12.75" customHeight="1">
      <c r="A821" s="26"/>
      <c r="B821" s="26"/>
      <c r="C821" s="26"/>
      <c r="D821" s="26"/>
      <c r="E821" s="26"/>
      <c r="F821" s="26"/>
      <c r="G821" s="26"/>
      <c r="H821" s="26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26"/>
      <c r="U821" s="26"/>
      <c r="V821" s="26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</row>
    <row r="822" spans="1:33" ht="12.75" customHeight="1">
      <c r="A822" s="26"/>
      <c r="B822" s="26"/>
      <c r="C822" s="26"/>
      <c r="D822" s="26"/>
      <c r="E822" s="26"/>
      <c r="F822" s="26"/>
      <c r="G822" s="26"/>
      <c r="H822" s="26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26"/>
      <c r="U822" s="26"/>
      <c r="V822" s="26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</row>
    <row r="823" spans="1:33" ht="12.75" customHeight="1">
      <c r="A823" s="26"/>
      <c r="B823" s="26"/>
      <c r="C823" s="26"/>
      <c r="D823" s="26"/>
      <c r="E823" s="26"/>
      <c r="F823" s="26"/>
      <c r="G823" s="26"/>
      <c r="H823" s="26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26"/>
      <c r="U823" s="26"/>
      <c r="V823" s="26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</row>
    <row r="824" spans="1:33" ht="12.75" customHeight="1">
      <c r="A824" s="26"/>
      <c r="B824" s="26"/>
      <c r="C824" s="26"/>
      <c r="D824" s="26"/>
      <c r="E824" s="26"/>
      <c r="F824" s="26"/>
      <c r="G824" s="26"/>
      <c r="H824" s="26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26"/>
      <c r="U824" s="26"/>
      <c r="V824" s="26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</row>
    <row r="825" spans="1:33" ht="12.75" customHeight="1">
      <c r="A825" s="26"/>
      <c r="B825" s="26"/>
      <c r="C825" s="26"/>
      <c r="D825" s="26"/>
      <c r="E825" s="26"/>
      <c r="F825" s="26"/>
      <c r="G825" s="26"/>
      <c r="H825" s="26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26"/>
      <c r="U825" s="26"/>
      <c r="V825" s="26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</row>
    <row r="826" spans="1:33" ht="12.75" customHeight="1">
      <c r="A826" s="26"/>
      <c r="B826" s="26"/>
      <c r="C826" s="26"/>
      <c r="D826" s="26"/>
      <c r="E826" s="26"/>
      <c r="F826" s="26"/>
      <c r="G826" s="26"/>
      <c r="H826" s="26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26"/>
      <c r="U826" s="26"/>
      <c r="V826" s="26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</row>
    <row r="827" spans="1:33" ht="12.75" customHeight="1">
      <c r="A827" s="26"/>
      <c r="B827" s="26"/>
      <c r="C827" s="26"/>
      <c r="D827" s="26"/>
      <c r="E827" s="26"/>
      <c r="F827" s="26"/>
      <c r="G827" s="26"/>
      <c r="H827" s="26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26"/>
      <c r="U827" s="26"/>
      <c r="V827" s="26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</row>
    <row r="828" spans="1:33" ht="12.75" customHeight="1">
      <c r="A828" s="26"/>
      <c r="B828" s="26"/>
      <c r="C828" s="26"/>
      <c r="D828" s="26"/>
      <c r="E828" s="26"/>
      <c r="F828" s="26"/>
      <c r="G828" s="26"/>
      <c r="H828" s="26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26"/>
      <c r="U828" s="26"/>
      <c r="V828" s="26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</row>
    <row r="829" spans="1:33" ht="12.75" customHeight="1">
      <c r="A829" s="26"/>
      <c r="B829" s="26"/>
      <c r="C829" s="26"/>
      <c r="D829" s="26"/>
      <c r="E829" s="26"/>
      <c r="F829" s="26"/>
      <c r="G829" s="26"/>
      <c r="H829" s="26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26"/>
      <c r="U829" s="26"/>
      <c r="V829" s="26"/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</row>
    <row r="830" spans="1:33" ht="12.75" customHeight="1">
      <c r="A830" s="26"/>
      <c r="B830" s="26"/>
      <c r="C830" s="26"/>
      <c r="D830" s="26"/>
      <c r="E830" s="26"/>
      <c r="F830" s="26"/>
      <c r="G830" s="26"/>
      <c r="H830" s="26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26"/>
      <c r="U830" s="26"/>
      <c r="V830" s="26"/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</row>
    <row r="831" spans="1:33" ht="12.75" customHeight="1">
      <c r="A831" s="26"/>
      <c r="B831" s="26"/>
      <c r="C831" s="26"/>
      <c r="D831" s="26"/>
      <c r="E831" s="26"/>
      <c r="F831" s="26"/>
      <c r="G831" s="26"/>
      <c r="H831" s="26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26"/>
      <c r="U831" s="26"/>
      <c r="V831" s="26"/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</row>
    <row r="832" spans="1:33" ht="12.75" customHeight="1">
      <c r="A832" s="26"/>
      <c r="B832" s="26"/>
      <c r="C832" s="26"/>
      <c r="D832" s="26"/>
      <c r="E832" s="26"/>
      <c r="F832" s="26"/>
      <c r="G832" s="26"/>
      <c r="H832" s="26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26"/>
      <c r="U832" s="26"/>
      <c r="V832" s="26"/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</row>
    <row r="833" spans="1:33" ht="12.75" customHeight="1">
      <c r="A833" s="26"/>
      <c r="B833" s="26"/>
      <c r="C833" s="26"/>
      <c r="D833" s="26"/>
      <c r="E833" s="26"/>
      <c r="F833" s="26"/>
      <c r="G833" s="26"/>
      <c r="H833" s="26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26"/>
      <c r="U833" s="26"/>
      <c r="V833" s="26"/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</row>
    <row r="834" spans="1:33" ht="12.75" customHeight="1">
      <c r="A834" s="26"/>
      <c r="B834" s="26"/>
      <c r="C834" s="26"/>
      <c r="D834" s="26"/>
      <c r="E834" s="26"/>
      <c r="F834" s="26"/>
      <c r="G834" s="26"/>
      <c r="H834" s="26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26"/>
      <c r="U834" s="26"/>
      <c r="V834" s="26"/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</row>
    <row r="835" spans="1:33" ht="12.75" customHeight="1">
      <c r="A835" s="26"/>
      <c r="B835" s="26"/>
      <c r="C835" s="26"/>
      <c r="D835" s="26"/>
      <c r="E835" s="26"/>
      <c r="F835" s="26"/>
      <c r="G835" s="26"/>
      <c r="H835" s="26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26"/>
      <c r="U835" s="26"/>
      <c r="V835" s="26"/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</row>
    <row r="836" spans="1:33" ht="12.75" customHeight="1">
      <c r="A836" s="26"/>
      <c r="B836" s="26"/>
      <c r="C836" s="26"/>
      <c r="D836" s="26"/>
      <c r="E836" s="26"/>
      <c r="F836" s="26"/>
      <c r="G836" s="26"/>
      <c r="H836" s="26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26"/>
      <c r="U836" s="26"/>
      <c r="V836" s="26"/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</row>
    <row r="837" spans="1:33" ht="12.75" customHeight="1">
      <c r="A837" s="26"/>
      <c r="B837" s="26"/>
      <c r="C837" s="26"/>
      <c r="D837" s="26"/>
      <c r="E837" s="26"/>
      <c r="F837" s="26"/>
      <c r="G837" s="26"/>
      <c r="H837" s="26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26"/>
      <c r="U837" s="26"/>
      <c r="V837" s="26"/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</row>
    <row r="838" spans="1:33" ht="12.75" customHeight="1">
      <c r="A838" s="26"/>
      <c r="B838" s="26"/>
      <c r="C838" s="26"/>
      <c r="D838" s="26"/>
      <c r="E838" s="26"/>
      <c r="F838" s="26"/>
      <c r="G838" s="26"/>
      <c r="H838" s="26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26"/>
      <c r="U838" s="26"/>
      <c r="V838" s="26"/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</row>
    <row r="839" spans="1:33" ht="12.75" customHeight="1">
      <c r="A839" s="26"/>
      <c r="B839" s="26"/>
      <c r="C839" s="26"/>
      <c r="D839" s="26"/>
      <c r="E839" s="26"/>
      <c r="F839" s="26"/>
      <c r="G839" s="26"/>
      <c r="H839" s="26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26"/>
      <c r="U839" s="26"/>
      <c r="V839" s="26"/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</row>
    <row r="840" spans="1:33" ht="12.75" customHeight="1">
      <c r="A840" s="26"/>
      <c r="B840" s="26"/>
      <c r="C840" s="26"/>
      <c r="D840" s="26"/>
      <c r="E840" s="26"/>
      <c r="F840" s="26"/>
      <c r="G840" s="26"/>
      <c r="H840" s="26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26"/>
      <c r="U840" s="26"/>
      <c r="V840" s="26"/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</row>
    <row r="841" spans="1:33" ht="12.75" customHeight="1">
      <c r="A841" s="26"/>
      <c r="B841" s="26"/>
      <c r="C841" s="26"/>
      <c r="D841" s="26"/>
      <c r="E841" s="26"/>
      <c r="F841" s="26"/>
      <c r="G841" s="26"/>
      <c r="H841" s="26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26"/>
      <c r="U841" s="26"/>
      <c r="V841" s="26"/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</row>
    <row r="842" spans="1:33" ht="12.75" customHeight="1">
      <c r="A842" s="26"/>
      <c r="B842" s="26"/>
      <c r="C842" s="26"/>
      <c r="D842" s="26"/>
      <c r="E842" s="26"/>
      <c r="F842" s="26"/>
      <c r="G842" s="26"/>
      <c r="H842" s="26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26"/>
      <c r="U842" s="26"/>
      <c r="V842" s="26"/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</row>
    <row r="843" spans="1:33" ht="12.75" customHeight="1">
      <c r="A843" s="26"/>
      <c r="B843" s="26"/>
      <c r="C843" s="26"/>
      <c r="D843" s="26"/>
      <c r="E843" s="26"/>
      <c r="F843" s="26"/>
      <c r="G843" s="26"/>
      <c r="H843" s="26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26"/>
      <c r="U843" s="26"/>
      <c r="V843" s="26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</row>
    <row r="844" spans="1:33" ht="12.75" customHeight="1">
      <c r="A844" s="26"/>
      <c r="B844" s="26"/>
      <c r="C844" s="26"/>
      <c r="D844" s="26"/>
      <c r="E844" s="26"/>
      <c r="F844" s="26"/>
      <c r="G844" s="26"/>
      <c r="H844" s="26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26"/>
      <c r="U844" s="26"/>
      <c r="V844" s="26"/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</row>
    <row r="845" spans="1:33" ht="12.75" customHeight="1">
      <c r="A845" s="26"/>
      <c r="B845" s="26"/>
      <c r="C845" s="26"/>
      <c r="D845" s="26"/>
      <c r="E845" s="26"/>
      <c r="F845" s="26"/>
      <c r="G845" s="26"/>
      <c r="H845" s="26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26"/>
      <c r="U845" s="26"/>
      <c r="V845" s="26"/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</row>
    <row r="846" spans="1:33" ht="12.75" customHeight="1">
      <c r="A846" s="26"/>
      <c r="B846" s="26"/>
      <c r="C846" s="26"/>
      <c r="D846" s="26"/>
      <c r="E846" s="26"/>
      <c r="F846" s="26"/>
      <c r="G846" s="26"/>
      <c r="H846" s="26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26"/>
      <c r="U846" s="26"/>
      <c r="V846" s="26"/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</row>
    <row r="847" spans="1:33" ht="12.75" customHeight="1">
      <c r="A847" s="26"/>
      <c r="B847" s="26"/>
      <c r="C847" s="26"/>
      <c r="D847" s="26"/>
      <c r="E847" s="26"/>
      <c r="F847" s="26"/>
      <c r="G847" s="26"/>
      <c r="H847" s="26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26"/>
      <c r="U847" s="26"/>
      <c r="V847" s="26"/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</row>
    <row r="848" spans="1:33" ht="12.75" customHeight="1">
      <c r="A848" s="26"/>
      <c r="B848" s="26"/>
      <c r="C848" s="26"/>
      <c r="D848" s="26"/>
      <c r="E848" s="26"/>
      <c r="F848" s="26"/>
      <c r="G848" s="26"/>
      <c r="H848" s="26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26"/>
      <c r="U848" s="26"/>
      <c r="V848" s="26"/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</row>
    <row r="849" spans="1:33" ht="12.75" customHeight="1">
      <c r="A849" s="26"/>
      <c r="B849" s="26"/>
      <c r="C849" s="26"/>
      <c r="D849" s="26"/>
      <c r="E849" s="26"/>
      <c r="F849" s="26"/>
      <c r="G849" s="26"/>
      <c r="H849" s="26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26"/>
      <c r="U849" s="26"/>
      <c r="V849" s="26"/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</row>
    <row r="850" spans="1:33" ht="12.75" customHeight="1">
      <c r="A850" s="26"/>
      <c r="B850" s="26"/>
      <c r="C850" s="26"/>
      <c r="D850" s="26"/>
      <c r="E850" s="26"/>
      <c r="F850" s="26"/>
      <c r="G850" s="26"/>
      <c r="H850" s="26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26"/>
      <c r="U850" s="26"/>
      <c r="V850" s="26"/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</row>
    <row r="851" spans="1:33" ht="12.75" customHeight="1">
      <c r="A851" s="26"/>
      <c r="B851" s="26"/>
      <c r="C851" s="26"/>
      <c r="D851" s="26"/>
      <c r="E851" s="26"/>
      <c r="F851" s="26"/>
      <c r="G851" s="26"/>
      <c r="H851" s="26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26"/>
      <c r="U851" s="26"/>
      <c r="V851" s="26"/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</row>
    <row r="852" spans="1:33" ht="12.75" customHeight="1">
      <c r="A852" s="26"/>
      <c r="B852" s="26"/>
      <c r="C852" s="26"/>
      <c r="D852" s="26"/>
      <c r="E852" s="26"/>
      <c r="F852" s="26"/>
      <c r="G852" s="26"/>
      <c r="H852" s="26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26"/>
      <c r="U852" s="26"/>
      <c r="V852" s="26"/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</row>
    <row r="853" spans="1:33" ht="12.75" customHeight="1">
      <c r="A853" s="26"/>
      <c r="B853" s="26"/>
      <c r="C853" s="26"/>
      <c r="D853" s="26"/>
      <c r="E853" s="26"/>
      <c r="F853" s="26"/>
      <c r="G853" s="26"/>
      <c r="H853" s="26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26"/>
      <c r="U853" s="26"/>
      <c r="V853" s="26"/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</row>
    <row r="854" spans="1:33" ht="12.75" customHeight="1">
      <c r="A854" s="26"/>
      <c r="B854" s="26"/>
      <c r="C854" s="26"/>
      <c r="D854" s="26"/>
      <c r="E854" s="26"/>
      <c r="F854" s="26"/>
      <c r="G854" s="26"/>
      <c r="H854" s="26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26"/>
      <c r="U854" s="26"/>
      <c r="V854" s="26"/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</row>
    <row r="855" spans="1:33" ht="12.75" customHeight="1">
      <c r="A855" s="26"/>
      <c r="B855" s="26"/>
      <c r="C855" s="26"/>
      <c r="D855" s="26"/>
      <c r="E855" s="26"/>
      <c r="F855" s="26"/>
      <c r="G855" s="26"/>
      <c r="H855" s="26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26"/>
      <c r="U855" s="26"/>
      <c r="V855" s="26"/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</row>
    <row r="856" spans="1:33" ht="12.75" customHeight="1">
      <c r="A856" s="26"/>
      <c r="B856" s="26"/>
      <c r="C856" s="26"/>
      <c r="D856" s="26"/>
      <c r="E856" s="26"/>
      <c r="F856" s="26"/>
      <c r="G856" s="26"/>
      <c r="H856" s="26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26"/>
      <c r="U856" s="26"/>
      <c r="V856" s="26"/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</row>
    <row r="857" spans="1:33" ht="12.75" customHeight="1">
      <c r="A857" s="26"/>
      <c r="B857" s="26"/>
      <c r="C857" s="26"/>
      <c r="D857" s="26"/>
      <c r="E857" s="26"/>
      <c r="F857" s="26"/>
      <c r="G857" s="26"/>
      <c r="H857" s="26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26"/>
      <c r="U857" s="26"/>
      <c r="V857" s="26"/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</row>
    <row r="858" spans="1:33" ht="12.75" customHeight="1">
      <c r="A858" s="26"/>
      <c r="B858" s="26"/>
      <c r="C858" s="26"/>
      <c r="D858" s="26"/>
      <c r="E858" s="26"/>
      <c r="F858" s="26"/>
      <c r="G858" s="26"/>
      <c r="H858" s="26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26"/>
      <c r="U858" s="26"/>
      <c r="V858" s="26"/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</row>
    <row r="859" spans="1:33" ht="12.75" customHeight="1">
      <c r="A859" s="26"/>
      <c r="B859" s="26"/>
      <c r="C859" s="26"/>
      <c r="D859" s="26"/>
      <c r="E859" s="26"/>
      <c r="F859" s="26"/>
      <c r="G859" s="26"/>
      <c r="H859" s="26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26"/>
      <c r="U859" s="26"/>
      <c r="V859" s="26"/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</row>
    <row r="860" spans="1:33" ht="12.75" customHeight="1">
      <c r="A860" s="26"/>
      <c r="B860" s="26"/>
      <c r="C860" s="26"/>
      <c r="D860" s="26"/>
      <c r="E860" s="26"/>
      <c r="F860" s="26"/>
      <c r="G860" s="26"/>
      <c r="H860" s="26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26"/>
      <c r="U860" s="26"/>
      <c r="V860" s="26"/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</row>
    <row r="861" spans="1:33" ht="12.75" customHeight="1">
      <c r="A861" s="26"/>
      <c r="B861" s="26"/>
      <c r="C861" s="26"/>
      <c r="D861" s="26"/>
      <c r="E861" s="26"/>
      <c r="F861" s="26"/>
      <c r="G861" s="26"/>
      <c r="H861" s="26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26"/>
      <c r="U861" s="26"/>
      <c r="V861" s="26"/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</row>
    <row r="862" spans="1:33" ht="12.75" customHeight="1">
      <c r="A862" s="26"/>
      <c r="B862" s="26"/>
      <c r="C862" s="26"/>
      <c r="D862" s="26"/>
      <c r="E862" s="26"/>
      <c r="F862" s="26"/>
      <c r="G862" s="26"/>
      <c r="H862" s="26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26"/>
      <c r="U862" s="26"/>
      <c r="V862" s="26"/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</row>
    <row r="863" spans="1:33" ht="12.75" customHeight="1">
      <c r="A863" s="26"/>
      <c r="B863" s="26"/>
      <c r="C863" s="26"/>
      <c r="D863" s="26"/>
      <c r="E863" s="26"/>
      <c r="F863" s="26"/>
      <c r="G863" s="26"/>
      <c r="H863" s="26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26"/>
      <c r="U863" s="26"/>
      <c r="V863" s="26"/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</row>
    <row r="864" spans="1:33" ht="12.75" customHeight="1">
      <c r="A864" s="26"/>
      <c r="B864" s="26"/>
      <c r="C864" s="26"/>
      <c r="D864" s="26"/>
      <c r="E864" s="26"/>
      <c r="F864" s="26"/>
      <c r="G864" s="26"/>
      <c r="H864" s="26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26"/>
      <c r="U864" s="26"/>
      <c r="V864" s="26"/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</row>
    <row r="865" spans="1:33" ht="12.75" customHeight="1">
      <c r="A865" s="26"/>
      <c r="B865" s="26"/>
      <c r="C865" s="26"/>
      <c r="D865" s="26"/>
      <c r="E865" s="26"/>
      <c r="F865" s="26"/>
      <c r="G865" s="26"/>
      <c r="H865" s="26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26"/>
      <c r="U865" s="26"/>
      <c r="V865" s="26"/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</row>
    <row r="866" spans="1:33" ht="12.75" customHeight="1">
      <c r="A866" s="26"/>
      <c r="B866" s="26"/>
      <c r="C866" s="26"/>
      <c r="D866" s="26"/>
      <c r="E866" s="26"/>
      <c r="F866" s="26"/>
      <c r="G866" s="26"/>
      <c r="H866" s="26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26"/>
      <c r="U866" s="26"/>
      <c r="V866" s="26"/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</row>
    <row r="867" spans="1:33" ht="12.75" customHeight="1">
      <c r="A867" s="26"/>
      <c r="B867" s="26"/>
      <c r="C867" s="26"/>
      <c r="D867" s="26"/>
      <c r="E867" s="26"/>
      <c r="F867" s="26"/>
      <c r="G867" s="26"/>
      <c r="H867" s="26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26"/>
      <c r="U867" s="26"/>
      <c r="V867" s="26"/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</row>
    <row r="868" spans="1:33" ht="12.75" customHeight="1">
      <c r="A868" s="26"/>
      <c r="B868" s="26"/>
      <c r="C868" s="26"/>
      <c r="D868" s="26"/>
      <c r="E868" s="26"/>
      <c r="F868" s="26"/>
      <c r="G868" s="26"/>
      <c r="H868" s="26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26"/>
      <c r="U868" s="26"/>
      <c r="V868" s="26"/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</row>
    <row r="869" spans="1:33" ht="12.75" customHeight="1">
      <c r="A869" s="26"/>
      <c r="B869" s="26"/>
      <c r="C869" s="26"/>
      <c r="D869" s="26"/>
      <c r="E869" s="26"/>
      <c r="F869" s="26"/>
      <c r="G869" s="26"/>
      <c r="H869" s="26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26"/>
      <c r="U869" s="26"/>
      <c r="V869" s="26"/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</row>
    <row r="870" spans="1:33" ht="12.75" customHeight="1">
      <c r="A870" s="26"/>
      <c r="B870" s="26"/>
      <c r="C870" s="26"/>
      <c r="D870" s="26"/>
      <c r="E870" s="26"/>
      <c r="F870" s="26"/>
      <c r="G870" s="26"/>
      <c r="H870" s="26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26"/>
      <c r="U870" s="26"/>
      <c r="V870" s="26"/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</row>
    <row r="871" spans="1:33" ht="12.75" customHeight="1">
      <c r="A871" s="26"/>
      <c r="B871" s="26"/>
      <c r="C871" s="26"/>
      <c r="D871" s="26"/>
      <c r="E871" s="26"/>
      <c r="F871" s="26"/>
      <c r="G871" s="26"/>
      <c r="H871" s="26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26"/>
      <c r="U871" s="26"/>
      <c r="V871" s="26"/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</row>
    <row r="872" spans="1:33" ht="12.75" customHeight="1">
      <c r="A872" s="26"/>
      <c r="B872" s="26"/>
      <c r="C872" s="26"/>
      <c r="D872" s="26"/>
      <c r="E872" s="26"/>
      <c r="F872" s="26"/>
      <c r="G872" s="26"/>
      <c r="H872" s="26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26"/>
      <c r="U872" s="26"/>
      <c r="V872" s="26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</row>
    <row r="873" spans="1:33" ht="12.75" customHeight="1">
      <c r="A873" s="26"/>
      <c r="B873" s="26"/>
      <c r="C873" s="26"/>
      <c r="D873" s="26"/>
      <c r="E873" s="26"/>
      <c r="F873" s="26"/>
      <c r="G873" s="26"/>
      <c r="H873" s="26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26"/>
      <c r="U873" s="26"/>
      <c r="V873" s="26"/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</row>
    <row r="874" spans="1:33" ht="12.75" customHeight="1">
      <c r="A874" s="26"/>
      <c r="B874" s="26"/>
      <c r="C874" s="26"/>
      <c r="D874" s="26"/>
      <c r="E874" s="26"/>
      <c r="F874" s="26"/>
      <c r="G874" s="26"/>
      <c r="H874" s="26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26"/>
      <c r="U874" s="26"/>
      <c r="V874" s="26"/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</row>
    <row r="875" spans="1:33" ht="12.75" customHeight="1">
      <c r="A875" s="26"/>
      <c r="B875" s="26"/>
      <c r="C875" s="26"/>
      <c r="D875" s="26"/>
      <c r="E875" s="26"/>
      <c r="F875" s="26"/>
      <c r="G875" s="26"/>
      <c r="H875" s="26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26"/>
      <c r="U875" s="26"/>
      <c r="V875" s="26"/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</row>
    <row r="876" spans="1:33" ht="12.75" customHeight="1">
      <c r="A876" s="26"/>
      <c r="B876" s="26"/>
      <c r="C876" s="26"/>
      <c r="D876" s="26"/>
      <c r="E876" s="26"/>
      <c r="F876" s="26"/>
      <c r="G876" s="26"/>
      <c r="H876" s="26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26"/>
      <c r="U876" s="26"/>
      <c r="V876" s="26"/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</row>
    <row r="877" spans="1:33" ht="12.75" customHeight="1">
      <c r="A877" s="26"/>
      <c r="B877" s="26"/>
      <c r="C877" s="26"/>
      <c r="D877" s="26"/>
      <c r="E877" s="26"/>
      <c r="F877" s="26"/>
      <c r="G877" s="26"/>
      <c r="H877" s="26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26"/>
      <c r="U877" s="26"/>
      <c r="V877" s="26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</row>
    <row r="878" spans="1:33" ht="12.75" customHeight="1">
      <c r="A878" s="26"/>
      <c r="B878" s="26"/>
      <c r="C878" s="26"/>
      <c r="D878" s="26"/>
      <c r="E878" s="26"/>
      <c r="F878" s="26"/>
      <c r="G878" s="26"/>
      <c r="H878" s="26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26"/>
      <c r="U878" s="26"/>
      <c r="V878" s="26"/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</row>
    <row r="879" spans="1:33" ht="12.75" customHeight="1">
      <c r="A879" s="26"/>
      <c r="B879" s="26"/>
      <c r="C879" s="26"/>
      <c r="D879" s="26"/>
      <c r="E879" s="26"/>
      <c r="F879" s="26"/>
      <c r="G879" s="26"/>
      <c r="H879" s="26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26"/>
      <c r="U879" s="26"/>
      <c r="V879" s="26"/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</row>
    <row r="880" spans="1:33" ht="12.75" customHeight="1">
      <c r="A880" s="26"/>
      <c r="B880" s="26"/>
      <c r="C880" s="26"/>
      <c r="D880" s="26"/>
      <c r="E880" s="26"/>
      <c r="F880" s="26"/>
      <c r="G880" s="26"/>
      <c r="H880" s="26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26"/>
      <c r="U880" s="26"/>
      <c r="V880" s="26"/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</row>
    <row r="881" spans="1:33" ht="12.75" customHeight="1">
      <c r="A881" s="26"/>
      <c r="B881" s="26"/>
      <c r="C881" s="26"/>
      <c r="D881" s="26"/>
      <c r="E881" s="26"/>
      <c r="F881" s="26"/>
      <c r="G881" s="26"/>
      <c r="H881" s="26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26"/>
      <c r="U881" s="26"/>
      <c r="V881" s="26"/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</row>
    <row r="882" spans="1:33" ht="12.75" customHeight="1">
      <c r="A882" s="26"/>
      <c r="B882" s="26"/>
      <c r="C882" s="26"/>
      <c r="D882" s="26"/>
      <c r="E882" s="26"/>
      <c r="F882" s="26"/>
      <c r="G882" s="26"/>
      <c r="H882" s="26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26"/>
      <c r="U882" s="26"/>
      <c r="V882" s="26"/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</row>
    <row r="883" spans="1:33" ht="12.75" customHeight="1">
      <c r="A883" s="26"/>
      <c r="B883" s="26"/>
      <c r="C883" s="26"/>
      <c r="D883" s="26"/>
      <c r="E883" s="26"/>
      <c r="F883" s="26"/>
      <c r="G883" s="26"/>
      <c r="H883" s="26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26"/>
      <c r="U883" s="26"/>
      <c r="V883" s="26"/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</row>
    <row r="884" spans="1:33" ht="12.75" customHeight="1">
      <c r="A884" s="26"/>
      <c r="B884" s="26"/>
      <c r="C884" s="26"/>
      <c r="D884" s="26"/>
      <c r="E884" s="26"/>
      <c r="F884" s="26"/>
      <c r="G884" s="26"/>
      <c r="H884" s="26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26"/>
      <c r="U884" s="26"/>
      <c r="V884" s="26"/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</row>
    <row r="885" spans="1:33" ht="12.75" customHeight="1">
      <c r="A885" s="26"/>
      <c r="B885" s="26"/>
      <c r="C885" s="26"/>
      <c r="D885" s="26"/>
      <c r="E885" s="26"/>
      <c r="F885" s="26"/>
      <c r="G885" s="26"/>
      <c r="H885" s="26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26"/>
      <c r="U885" s="26"/>
      <c r="V885" s="26"/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</row>
    <row r="886" spans="1:33" ht="12.75" customHeight="1">
      <c r="A886" s="26"/>
      <c r="B886" s="26"/>
      <c r="C886" s="26"/>
      <c r="D886" s="26"/>
      <c r="E886" s="26"/>
      <c r="F886" s="26"/>
      <c r="G886" s="26"/>
      <c r="H886" s="26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26"/>
      <c r="U886" s="26"/>
      <c r="V886" s="26"/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</row>
    <row r="887" spans="1:33" ht="12.75" customHeight="1">
      <c r="A887" s="26"/>
      <c r="B887" s="26"/>
      <c r="C887" s="26"/>
      <c r="D887" s="26"/>
      <c r="E887" s="26"/>
      <c r="F887" s="26"/>
      <c r="G887" s="26"/>
      <c r="H887" s="26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26"/>
      <c r="U887" s="26"/>
      <c r="V887" s="26"/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</row>
    <row r="888" spans="1:33" ht="12.75" customHeight="1">
      <c r="A888" s="26"/>
      <c r="B888" s="26"/>
      <c r="C888" s="26"/>
      <c r="D888" s="26"/>
      <c r="E888" s="26"/>
      <c r="F888" s="26"/>
      <c r="G888" s="26"/>
      <c r="H888" s="26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26"/>
      <c r="U888" s="26"/>
      <c r="V888" s="26"/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</row>
    <row r="889" spans="1:33" ht="12.75" customHeight="1">
      <c r="A889" s="26"/>
      <c r="B889" s="26"/>
      <c r="C889" s="26"/>
      <c r="D889" s="26"/>
      <c r="E889" s="26"/>
      <c r="F889" s="26"/>
      <c r="G889" s="26"/>
      <c r="H889" s="26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26"/>
      <c r="U889" s="26"/>
      <c r="V889" s="26"/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</row>
    <row r="890" spans="1:33" ht="12.75" customHeight="1">
      <c r="A890" s="26"/>
      <c r="B890" s="26"/>
      <c r="C890" s="26"/>
      <c r="D890" s="26"/>
      <c r="E890" s="26"/>
      <c r="F890" s="26"/>
      <c r="G890" s="26"/>
      <c r="H890" s="26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26"/>
      <c r="U890" s="26"/>
      <c r="V890" s="26"/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</row>
    <row r="891" spans="1:33" ht="12.75" customHeight="1">
      <c r="A891" s="26"/>
      <c r="B891" s="26"/>
      <c r="C891" s="26"/>
      <c r="D891" s="26"/>
      <c r="E891" s="26"/>
      <c r="F891" s="26"/>
      <c r="G891" s="26"/>
      <c r="H891" s="26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26"/>
      <c r="U891" s="26"/>
      <c r="V891" s="26"/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/>
    </row>
    <row r="892" spans="1:33" ht="12.75" customHeight="1">
      <c r="A892" s="26"/>
      <c r="B892" s="26"/>
      <c r="C892" s="26"/>
      <c r="D892" s="26"/>
      <c r="E892" s="26"/>
      <c r="F892" s="26"/>
      <c r="G892" s="26"/>
      <c r="H892" s="26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26"/>
      <c r="U892" s="26"/>
      <c r="V892" s="26"/>
      <c r="W892" s="4"/>
      <c r="X892" s="4"/>
      <c r="Y892" s="4"/>
      <c r="Z892" s="4"/>
      <c r="AA892" s="4"/>
      <c r="AB892" s="4"/>
      <c r="AC892" s="4"/>
      <c r="AD892" s="4"/>
      <c r="AE892" s="4"/>
      <c r="AF892" s="4"/>
      <c r="AG892" s="4"/>
    </row>
    <row r="893" spans="1:33" ht="12.75" customHeight="1">
      <c r="A893" s="26"/>
      <c r="B893" s="26"/>
      <c r="C893" s="26"/>
      <c r="D893" s="26"/>
      <c r="E893" s="26"/>
      <c r="F893" s="26"/>
      <c r="G893" s="26"/>
      <c r="H893" s="26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26"/>
      <c r="U893" s="26"/>
      <c r="V893" s="26"/>
      <c r="W893" s="4"/>
      <c r="X893" s="4"/>
      <c r="Y893" s="4"/>
      <c r="Z893" s="4"/>
      <c r="AA893" s="4"/>
      <c r="AB893" s="4"/>
      <c r="AC893" s="4"/>
      <c r="AD893" s="4"/>
      <c r="AE893" s="4"/>
      <c r="AF893" s="4"/>
      <c r="AG893" s="4"/>
    </row>
    <row r="894" spans="1:33" ht="12.75" customHeight="1">
      <c r="A894" s="26"/>
      <c r="B894" s="26"/>
      <c r="C894" s="26"/>
      <c r="D894" s="26"/>
      <c r="E894" s="26"/>
      <c r="F894" s="26"/>
      <c r="G894" s="26"/>
      <c r="H894" s="26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26"/>
      <c r="U894" s="26"/>
      <c r="V894" s="26"/>
      <c r="W894" s="4"/>
      <c r="X894" s="4"/>
      <c r="Y894" s="4"/>
      <c r="Z894" s="4"/>
      <c r="AA894" s="4"/>
      <c r="AB894" s="4"/>
      <c r="AC894" s="4"/>
      <c r="AD894" s="4"/>
      <c r="AE894" s="4"/>
      <c r="AF894" s="4"/>
      <c r="AG894" s="4"/>
    </row>
    <row r="895" spans="1:33" ht="12.75" customHeight="1">
      <c r="A895" s="26"/>
      <c r="B895" s="26"/>
      <c r="C895" s="26"/>
      <c r="D895" s="26"/>
      <c r="E895" s="26"/>
      <c r="F895" s="26"/>
      <c r="G895" s="26"/>
      <c r="H895" s="26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26"/>
      <c r="U895" s="26"/>
      <c r="V895" s="26"/>
      <c r="W895" s="4"/>
      <c r="X895" s="4"/>
      <c r="Y895" s="4"/>
      <c r="Z895" s="4"/>
      <c r="AA895" s="4"/>
      <c r="AB895" s="4"/>
      <c r="AC895" s="4"/>
      <c r="AD895" s="4"/>
      <c r="AE895" s="4"/>
      <c r="AF895" s="4"/>
      <c r="AG895" s="4"/>
    </row>
    <row r="896" spans="1:33" ht="12.75" customHeight="1">
      <c r="A896" s="26"/>
      <c r="B896" s="26"/>
      <c r="C896" s="26"/>
      <c r="D896" s="26"/>
      <c r="E896" s="26"/>
      <c r="F896" s="26"/>
      <c r="G896" s="26"/>
      <c r="H896" s="26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26"/>
      <c r="U896" s="26"/>
      <c r="V896" s="26"/>
      <c r="W896" s="4"/>
      <c r="X896" s="4"/>
      <c r="Y896" s="4"/>
      <c r="Z896" s="4"/>
      <c r="AA896" s="4"/>
      <c r="AB896" s="4"/>
      <c r="AC896" s="4"/>
      <c r="AD896" s="4"/>
      <c r="AE896" s="4"/>
      <c r="AF896" s="4"/>
      <c r="AG896" s="4"/>
    </row>
    <row r="897" spans="1:33" ht="12.75" customHeight="1">
      <c r="A897" s="26"/>
      <c r="B897" s="26"/>
      <c r="C897" s="26"/>
      <c r="D897" s="26"/>
      <c r="E897" s="26"/>
      <c r="F897" s="26"/>
      <c r="G897" s="26"/>
      <c r="H897" s="26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26"/>
      <c r="U897" s="26"/>
      <c r="V897" s="26"/>
      <c r="W897" s="4"/>
      <c r="X897" s="4"/>
      <c r="Y897" s="4"/>
      <c r="Z897" s="4"/>
      <c r="AA897" s="4"/>
      <c r="AB897" s="4"/>
      <c r="AC897" s="4"/>
      <c r="AD897" s="4"/>
      <c r="AE897" s="4"/>
      <c r="AF897" s="4"/>
      <c r="AG897" s="4"/>
    </row>
    <row r="898" spans="1:33" ht="12.75" customHeight="1">
      <c r="A898" s="26"/>
      <c r="B898" s="26"/>
      <c r="C898" s="26"/>
      <c r="D898" s="26"/>
      <c r="E898" s="26"/>
      <c r="F898" s="26"/>
      <c r="G898" s="26"/>
      <c r="H898" s="26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26"/>
      <c r="U898" s="26"/>
      <c r="V898" s="26"/>
      <c r="W898" s="4"/>
      <c r="X898" s="4"/>
      <c r="Y898" s="4"/>
      <c r="Z898" s="4"/>
      <c r="AA898" s="4"/>
      <c r="AB898" s="4"/>
      <c r="AC898" s="4"/>
      <c r="AD898" s="4"/>
      <c r="AE898" s="4"/>
      <c r="AF898" s="4"/>
      <c r="AG898" s="4"/>
    </row>
    <row r="899" spans="1:33" ht="12.75" customHeight="1">
      <c r="A899" s="26"/>
      <c r="B899" s="26"/>
      <c r="C899" s="26"/>
      <c r="D899" s="26"/>
      <c r="E899" s="26"/>
      <c r="F899" s="26"/>
      <c r="G899" s="26"/>
      <c r="H899" s="26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26"/>
      <c r="U899" s="26"/>
      <c r="V899" s="26"/>
      <c r="W899" s="4"/>
      <c r="X899" s="4"/>
      <c r="Y899" s="4"/>
      <c r="Z899" s="4"/>
      <c r="AA899" s="4"/>
      <c r="AB899" s="4"/>
      <c r="AC899" s="4"/>
      <c r="AD899" s="4"/>
      <c r="AE899" s="4"/>
      <c r="AF899" s="4"/>
      <c r="AG899" s="4"/>
    </row>
    <row r="900" spans="1:33" ht="12.75" customHeight="1">
      <c r="A900" s="26"/>
      <c r="B900" s="26"/>
      <c r="C900" s="26"/>
      <c r="D900" s="26"/>
      <c r="E900" s="26"/>
      <c r="F900" s="26"/>
      <c r="G900" s="26"/>
      <c r="H900" s="26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26"/>
      <c r="U900" s="26"/>
      <c r="V900" s="26"/>
      <c r="W900" s="4"/>
      <c r="X900" s="4"/>
      <c r="Y900" s="4"/>
      <c r="Z900" s="4"/>
      <c r="AA900" s="4"/>
      <c r="AB900" s="4"/>
      <c r="AC900" s="4"/>
      <c r="AD900" s="4"/>
      <c r="AE900" s="4"/>
      <c r="AF900" s="4"/>
      <c r="AG900" s="4"/>
    </row>
    <row r="901" spans="1:33" ht="12.75" customHeight="1">
      <c r="A901" s="26"/>
      <c r="B901" s="26"/>
      <c r="C901" s="26"/>
      <c r="D901" s="26"/>
      <c r="E901" s="26"/>
      <c r="F901" s="26"/>
      <c r="G901" s="26"/>
      <c r="H901" s="26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26"/>
      <c r="U901" s="26"/>
      <c r="V901" s="26"/>
      <c r="W901" s="4"/>
      <c r="X901" s="4"/>
      <c r="Y901" s="4"/>
      <c r="Z901" s="4"/>
      <c r="AA901" s="4"/>
      <c r="AB901" s="4"/>
      <c r="AC901" s="4"/>
      <c r="AD901" s="4"/>
      <c r="AE901" s="4"/>
      <c r="AF901" s="4"/>
      <c r="AG901" s="4"/>
    </row>
    <row r="902" spans="1:33" ht="12.75" customHeight="1">
      <c r="A902" s="26"/>
      <c r="B902" s="26"/>
      <c r="C902" s="26"/>
      <c r="D902" s="26"/>
      <c r="E902" s="26"/>
      <c r="F902" s="26"/>
      <c r="G902" s="26"/>
      <c r="H902" s="26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26"/>
      <c r="U902" s="26"/>
      <c r="V902" s="26"/>
      <c r="W902" s="4"/>
      <c r="X902" s="4"/>
      <c r="Y902" s="4"/>
      <c r="Z902" s="4"/>
      <c r="AA902" s="4"/>
      <c r="AB902" s="4"/>
      <c r="AC902" s="4"/>
      <c r="AD902" s="4"/>
      <c r="AE902" s="4"/>
      <c r="AF902" s="4"/>
      <c r="AG902" s="4"/>
    </row>
    <row r="903" spans="1:33" ht="12.75" customHeight="1">
      <c r="A903" s="26"/>
      <c r="B903" s="26"/>
      <c r="C903" s="26"/>
      <c r="D903" s="26"/>
      <c r="E903" s="26"/>
      <c r="F903" s="26"/>
      <c r="G903" s="26"/>
      <c r="H903" s="26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26"/>
      <c r="U903" s="26"/>
      <c r="V903" s="26"/>
      <c r="W903" s="4"/>
      <c r="X903" s="4"/>
      <c r="Y903" s="4"/>
      <c r="Z903" s="4"/>
      <c r="AA903" s="4"/>
      <c r="AB903" s="4"/>
      <c r="AC903" s="4"/>
      <c r="AD903" s="4"/>
      <c r="AE903" s="4"/>
      <c r="AF903" s="4"/>
      <c r="AG903" s="4"/>
    </row>
    <row r="904" spans="1:33" ht="12.75" customHeight="1">
      <c r="A904" s="26"/>
      <c r="B904" s="26"/>
      <c r="C904" s="26"/>
      <c r="D904" s="26"/>
      <c r="E904" s="26"/>
      <c r="F904" s="26"/>
      <c r="G904" s="26"/>
      <c r="H904" s="26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26"/>
      <c r="U904" s="26"/>
      <c r="V904" s="26"/>
      <c r="W904" s="4"/>
      <c r="X904" s="4"/>
      <c r="Y904" s="4"/>
      <c r="Z904" s="4"/>
      <c r="AA904" s="4"/>
      <c r="AB904" s="4"/>
      <c r="AC904" s="4"/>
      <c r="AD904" s="4"/>
      <c r="AE904" s="4"/>
      <c r="AF904" s="4"/>
      <c r="AG904" s="4"/>
    </row>
    <row r="905" spans="1:33" ht="12.75" customHeight="1">
      <c r="A905" s="26"/>
      <c r="B905" s="26"/>
      <c r="C905" s="26"/>
      <c r="D905" s="26"/>
      <c r="E905" s="26"/>
      <c r="F905" s="26"/>
      <c r="G905" s="26"/>
      <c r="H905" s="26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26"/>
      <c r="U905" s="26"/>
      <c r="V905" s="26"/>
      <c r="W905" s="4"/>
      <c r="X905" s="4"/>
      <c r="Y905" s="4"/>
      <c r="Z905" s="4"/>
      <c r="AA905" s="4"/>
      <c r="AB905" s="4"/>
      <c r="AC905" s="4"/>
      <c r="AD905" s="4"/>
      <c r="AE905" s="4"/>
      <c r="AF905" s="4"/>
      <c r="AG905" s="4"/>
    </row>
    <row r="906" spans="1:33" ht="12.75" customHeight="1">
      <c r="A906" s="26"/>
      <c r="B906" s="26"/>
      <c r="C906" s="26"/>
      <c r="D906" s="26"/>
      <c r="E906" s="26"/>
      <c r="F906" s="26"/>
      <c r="G906" s="26"/>
      <c r="H906" s="26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26"/>
      <c r="U906" s="26"/>
      <c r="V906" s="26"/>
      <c r="W906" s="4"/>
      <c r="X906" s="4"/>
      <c r="Y906" s="4"/>
      <c r="Z906" s="4"/>
      <c r="AA906" s="4"/>
      <c r="AB906" s="4"/>
      <c r="AC906" s="4"/>
      <c r="AD906" s="4"/>
      <c r="AE906" s="4"/>
      <c r="AF906" s="4"/>
      <c r="AG906" s="4"/>
    </row>
    <row r="907" spans="1:33" ht="12.75" customHeight="1">
      <c r="A907" s="26"/>
      <c r="B907" s="26"/>
      <c r="C907" s="26"/>
      <c r="D907" s="26"/>
      <c r="E907" s="26"/>
      <c r="F907" s="26"/>
      <c r="G907" s="26"/>
      <c r="H907" s="26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26"/>
      <c r="U907" s="26"/>
      <c r="V907" s="26"/>
      <c r="W907" s="4"/>
      <c r="X907" s="4"/>
      <c r="Y907" s="4"/>
      <c r="Z907" s="4"/>
      <c r="AA907" s="4"/>
      <c r="AB907" s="4"/>
      <c r="AC907" s="4"/>
      <c r="AD907" s="4"/>
      <c r="AE907" s="4"/>
      <c r="AF907" s="4"/>
      <c r="AG907" s="4"/>
    </row>
    <row r="908" spans="1:33" ht="12.75" customHeight="1">
      <c r="A908" s="26"/>
      <c r="B908" s="26"/>
      <c r="C908" s="26"/>
      <c r="D908" s="26"/>
      <c r="E908" s="26"/>
      <c r="F908" s="26"/>
      <c r="G908" s="26"/>
      <c r="H908" s="26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26"/>
      <c r="U908" s="26"/>
      <c r="V908" s="26"/>
      <c r="W908" s="4"/>
      <c r="X908" s="4"/>
      <c r="Y908" s="4"/>
      <c r="Z908" s="4"/>
      <c r="AA908" s="4"/>
      <c r="AB908" s="4"/>
      <c r="AC908" s="4"/>
      <c r="AD908" s="4"/>
      <c r="AE908" s="4"/>
      <c r="AF908" s="4"/>
      <c r="AG908" s="4"/>
    </row>
    <row r="909" spans="1:33" ht="12.75" customHeight="1">
      <c r="A909" s="26"/>
      <c r="B909" s="26"/>
      <c r="C909" s="26"/>
      <c r="D909" s="26"/>
      <c r="E909" s="26"/>
      <c r="F909" s="26"/>
      <c r="G909" s="26"/>
      <c r="H909" s="26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26"/>
      <c r="U909" s="26"/>
      <c r="V909" s="26"/>
      <c r="W909" s="4"/>
      <c r="X909" s="4"/>
      <c r="Y909" s="4"/>
      <c r="Z909" s="4"/>
      <c r="AA909" s="4"/>
      <c r="AB909" s="4"/>
      <c r="AC909" s="4"/>
      <c r="AD909" s="4"/>
      <c r="AE909" s="4"/>
      <c r="AF909" s="4"/>
      <c r="AG909" s="4"/>
    </row>
    <row r="910" spans="1:33" ht="12.75" customHeight="1">
      <c r="A910" s="26"/>
      <c r="B910" s="26"/>
      <c r="C910" s="26"/>
      <c r="D910" s="26"/>
      <c r="E910" s="26"/>
      <c r="F910" s="26"/>
      <c r="G910" s="26"/>
      <c r="H910" s="26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26"/>
      <c r="U910" s="26"/>
      <c r="V910" s="26"/>
      <c r="W910" s="4"/>
      <c r="X910" s="4"/>
      <c r="Y910" s="4"/>
      <c r="Z910" s="4"/>
      <c r="AA910" s="4"/>
      <c r="AB910" s="4"/>
      <c r="AC910" s="4"/>
      <c r="AD910" s="4"/>
      <c r="AE910" s="4"/>
      <c r="AF910" s="4"/>
      <c r="AG910" s="4"/>
    </row>
    <row r="911" spans="1:33" ht="12.75" customHeight="1">
      <c r="A911" s="26"/>
      <c r="B911" s="26"/>
      <c r="C911" s="26"/>
      <c r="D911" s="26"/>
      <c r="E911" s="26"/>
      <c r="F911" s="26"/>
      <c r="G911" s="26"/>
      <c r="H911" s="26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26"/>
      <c r="U911" s="26"/>
      <c r="V911" s="26"/>
      <c r="W911" s="4"/>
      <c r="X911" s="4"/>
      <c r="Y911" s="4"/>
      <c r="Z911" s="4"/>
      <c r="AA911" s="4"/>
      <c r="AB911" s="4"/>
      <c r="AC911" s="4"/>
      <c r="AD911" s="4"/>
      <c r="AE911" s="4"/>
      <c r="AF911" s="4"/>
      <c r="AG911" s="4"/>
    </row>
    <row r="912" spans="1:33" ht="12.75" customHeight="1">
      <c r="A912" s="26"/>
      <c r="B912" s="26"/>
      <c r="C912" s="26"/>
      <c r="D912" s="26"/>
      <c r="E912" s="26"/>
      <c r="F912" s="26"/>
      <c r="G912" s="26"/>
      <c r="H912" s="26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26"/>
      <c r="U912" s="26"/>
      <c r="V912" s="26"/>
      <c r="W912" s="4"/>
      <c r="X912" s="4"/>
      <c r="Y912" s="4"/>
      <c r="Z912" s="4"/>
      <c r="AA912" s="4"/>
      <c r="AB912" s="4"/>
      <c r="AC912" s="4"/>
      <c r="AD912" s="4"/>
      <c r="AE912" s="4"/>
      <c r="AF912" s="4"/>
      <c r="AG912" s="4"/>
    </row>
    <row r="913" spans="1:33" ht="12.75" customHeight="1">
      <c r="A913" s="26"/>
      <c r="B913" s="26"/>
      <c r="C913" s="26"/>
      <c r="D913" s="26"/>
      <c r="E913" s="26"/>
      <c r="F913" s="26"/>
      <c r="G913" s="26"/>
      <c r="H913" s="26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26"/>
      <c r="U913" s="26"/>
      <c r="V913" s="26"/>
      <c r="W913" s="4"/>
      <c r="X913" s="4"/>
      <c r="Y913" s="4"/>
      <c r="Z913" s="4"/>
      <c r="AA913" s="4"/>
      <c r="AB913" s="4"/>
      <c r="AC913" s="4"/>
      <c r="AD913" s="4"/>
      <c r="AE913" s="4"/>
      <c r="AF913" s="4"/>
      <c r="AG913" s="4"/>
    </row>
    <row r="914" spans="1:33" ht="12.75" customHeight="1">
      <c r="A914" s="26"/>
      <c r="B914" s="26"/>
      <c r="C914" s="26"/>
      <c r="D914" s="26"/>
      <c r="E914" s="26"/>
      <c r="F914" s="26"/>
      <c r="G914" s="26"/>
      <c r="H914" s="26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26"/>
      <c r="U914" s="26"/>
      <c r="V914" s="26"/>
      <c r="W914" s="4"/>
      <c r="X914" s="4"/>
      <c r="Y914" s="4"/>
      <c r="Z914" s="4"/>
      <c r="AA914" s="4"/>
      <c r="AB914" s="4"/>
      <c r="AC914" s="4"/>
      <c r="AD914" s="4"/>
      <c r="AE914" s="4"/>
      <c r="AF914" s="4"/>
      <c r="AG914" s="4"/>
    </row>
    <row r="915" spans="1:33" ht="12.75" customHeight="1">
      <c r="A915" s="26"/>
      <c r="B915" s="26"/>
      <c r="C915" s="26"/>
      <c r="D915" s="26"/>
      <c r="E915" s="26"/>
      <c r="F915" s="26"/>
      <c r="G915" s="26"/>
      <c r="H915" s="26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26"/>
      <c r="U915" s="26"/>
      <c r="V915" s="26"/>
      <c r="W915" s="4"/>
      <c r="X915" s="4"/>
      <c r="Y915" s="4"/>
      <c r="Z915" s="4"/>
      <c r="AA915" s="4"/>
      <c r="AB915" s="4"/>
      <c r="AC915" s="4"/>
      <c r="AD915" s="4"/>
      <c r="AE915" s="4"/>
      <c r="AF915" s="4"/>
      <c r="AG915" s="4"/>
    </row>
    <row r="916" spans="1:33" ht="12.75" customHeight="1">
      <c r="A916" s="26"/>
      <c r="B916" s="26"/>
      <c r="C916" s="26"/>
      <c r="D916" s="26"/>
      <c r="E916" s="26"/>
      <c r="F916" s="26"/>
      <c r="G916" s="26"/>
      <c r="H916" s="26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26"/>
      <c r="U916" s="26"/>
      <c r="V916" s="26"/>
      <c r="W916" s="4"/>
      <c r="X916" s="4"/>
      <c r="Y916" s="4"/>
      <c r="Z916" s="4"/>
      <c r="AA916" s="4"/>
      <c r="AB916" s="4"/>
      <c r="AC916" s="4"/>
      <c r="AD916" s="4"/>
      <c r="AE916" s="4"/>
      <c r="AF916" s="4"/>
      <c r="AG916" s="4"/>
    </row>
    <row r="917" spans="1:33" ht="12.75" customHeight="1">
      <c r="A917" s="26"/>
      <c r="B917" s="26"/>
      <c r="C917" s="26"/>
      <c r="D917" s="26"/>
      <c r="E917" s="26"/>
      <c r="F917" s="26"/>
      <c r="G917" s="26"/>
      <c r="H917" s="26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26"/>
      <c r="U917" s="26"/>
      <c r="V917" s="26"/>
      <c r="W917" s="4"/>
      <c r="X917" s="4"/>
      <c r="Y917" s="4"/>
      <c r="Z917" s="4"/>
      <c r="AA917" s="4"/>
      <c r="AB917" s="4"/>
      <c r="AC917" s="4"/>
      <c r="AD917" s="4"/>
      <c r="AE917" s="4"/>
      <c r="AF917" s="4"/>
      <c r="AG917" s="4"/>
    </row>
    <row r="918" spans="1:33" ht="12.75" customHeight="1">
      <c r="A918" s="26"/>
      <c r="B918" s="26"/>
      <c r="C918" s="26"/>
      <c r="D918" s="26"/>
      <c r="E918" s="26"/>
      <c r="F918" s="26"/>
      <c r="G918" s="26"/>
      <c r="H918" s="26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26"/>
      <c r="U918" s="26"/>
      <c r="V918" s="26"/>
      <c r="W918" s="4"/>
      <c r="X918" s="4"/>
      <c r="Y918" s="4"/>
      <c r="Z918" s="4"/>
      <c r="AA918" s="4"/>
      <c r="AB918" s="4"/>
      <c r="AC918" s="4"/>
      <c r="AD918" s="4"/>
      <c r="AE918" s="4"/>
      <c r="AF918" s="4"/>
      <c r="AG918" s="4"/>
    </row>
    <row r="919" spans="1:33" ht="12.75" customHeight="1">
      <c r="A919" s="26"/>
      <c r="B919" s="26"/>
      <c r="C919" s="26"/>
      <c r="D919" s="26"/>
      <c r="E919" s="26"/>
      <c r="F919" s="26"/>
      <c r="G919" s="26"/>
      <c r="H919" s="26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26"/>
      <c r="U919" s="26"/>
      <c r="V919" s="26"/>
      <c r="W919" s="4"/>
      <c r="X919" s="4"/>
      <c r="Y919" s="4"/>
      <c r="Z919" s="4"/>
      <c r="AA919" s="4"/>
      <c r="AB919" s="4"/>
      <c r="AC919" s="4"/>
      <c r="AD919" s="4"/>
      <c r="AE919" s="4"/>
      <c r="AF919" s="4"/>
      <c r="AG919" s="4"/>
    </row>
    <row r="920" spans="1:33" ht="12.75" customHeight="1">
      <c r="A920" s="26"/>
      <c r="B920" s="26"/>
      <c r="C920" s="26"/>
      <c r="D920" s="26"/>
      <c r="E920" s="26"/>
      <c r="F920" s="26"/>
      <c r="G920" s="26"/>
      <c r="H920" s="26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26"/>
      <c r="U920" s="26"/>
      <c r="V920" s="26"/>
      <c r="W920" s="4"/>
      <c r="X920" s="4"/>
      <c r="Y920" s="4"/>
      <c r="Z920" s="4"/>
      <c r="AA920" s="4"/>
      <c r="AB920" s="4"/>
      <c r="AC920" s="4"/>
      <c r="AD920" s="4"/>
      <c r="AE920" s="4"/>
      <c r="AF920" s="4"/>
      <c r="AG920" s="4"/>
    </row>
    <row r="921" spans="1:33" ht="12.75" customHeight="1">
      <c r="A921" s="26"/>
      <c r="B921" s="26"/>
      <c r="C921" s="26"/>
      <c r="D921" s="26"/>
      <c r="E921" s="26"/>
      <c r="F921" s="26"/>
      <c r="G921" s="26"/>
      <c r="H921" s="26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26"/>
      <c r="U921" s="26"/>
      <c r="V921" s="26"/>
      <c r="W921" s="4"/>
      <c r="X921" s="4"/>
      <c r="Y921" s="4"/>
      <c r="Z921" s="4"/>
      <c r="AA921" s="4"/>
      <c r="AB921" s="4"/>
      <c r="AC921" s="4"/>
      <c r="AD921" s="4"/>
      <c r="AE921" s="4"/>
      <c r="AF921" s="4"/>
      <c r="AG921" s="4"/>
    </row>
    <row r="922" spans="1:33" ht="12.75" customHeight="1">
      <c r="A922" s="26"/>
      <c r="B922" s="26"/>
      <c r="C922" s="26"/>
      <c r="D922" s="26"/>
      <c r="E922" s="26"/>
      <c r="F922" s="26"/>
      <c r="G922" s="26"/>
      <c r="H922" s="26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26"/>
      <c r="U922" s="26"/>
      <c r="V922" s="26"/>
      <c r="W922" s="4"/>
      <c r="X922" s="4"/>
      <c r="Y922" s="4"/>
      <c r="Z922" s="4"/>
      <c r="AA922" s="4"/>
      <c r="AB922" s="4"/>
      <c r="AC922" s="4"/>
      <c r="AD922" s="4"/>
      <c r="AE922" s="4"/>
      <c r="AF922" s="4"/>
      <c r="AG922" s="4"/>
    </row>
    <row r="923" spans="1:33" ht="12.75" customHeight="1">
      <c r="A923" s="26"/>
      <c r="B923" s="26"/>
      <c r="C923" s="26"/>
      <c r="D923" s="26"/>
      <c r="E923" s="26"/>
      <c r="F923" s="26"/>
      <c r="G923" s="26"/>
      <c r="H923" s="26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26"/>
      <c r="U923" s="26"/>
      <c r="V923" s="26"/>
      <c r="W923" s="4"/>
      <c r="X923" s="4"/>
      <c r="Y923" s="4"/>
      <c r="Z923" s="4"/>
      <c r="AA923" s="4"/>
      <c r="AB923" s="4"/>
      <c r="AC923" s="4"/>
      <c r="AD923" s="4"/>
      <c r="AE923" s="4"/>
      <c r="AF923" s="4"/>
      <c r="AG923" s="4"/>
    </row>
    <row r="924" spans="1:33" ht="12.75" customHeight="1">
      <c r="A924" s="26"/>
      <c r="B924" s="26"/>
      <c r="C924" s="26"/>
      <c r="D924" s="26"/>
      <c r="E924" s="26"/>
      <c r="F924" s="26"/>
      <c r="G924" s="26"/>
      <c r="H924" s="26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26"/>
      <c r="U924" s="26"/>
      <c r="V924" s="26"/>
      <c r="W924" s="4"/>
      <c r="X924" s="4"/>
      <c r="Y924" s="4"/>
      <c r="Z924" s="4"/>
      <c r="AA924" s="4"/>
      <c r="AB924" s="4"/>
      <c r="AC924" s="4"/>
      <c r="AD924" s="4"/>
      <c r="AE924" s="4"/>
      <c r="AF924" s="4"/>
      <c r="AG924" s="4"/>
    </row>
    <row r="925" spans="1:33" ht="12.75" customHeight="1">
      <c r="A925" s="26"/>
      <c r="B925" s="26"/>
      <c r="C925" s="26"/>
      <c r="D925" s="26"/>
      <c r="E925" s="26"/>
      <c r="F925" s="26"/>
      <c r="G925" s="26"/>
      <c r="H925" s="26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26"/>
      <c r="U925" s="26"/>
      <c r="V925" s="26"/>
      <c r="W925" s="4"/>
      <c r="X925" s="4"/>
      <c r="Y925" s="4"/>
      <c r="Z925" s="4"/>
      <c r="AA925" s="4"/>
      <c r="AB925" s="4"/>
      <c r="AC925" s="4"/>
      <c r="AD925" s="4"/>
      <c r="AE925" s="4"/>
      <c r="AF925" s="4"/>
      <c r="AG925" s="4"/>
    </row>
    <row r="926" spans="1:33" ht="12.75" customHeight="1">
      <c r="A926" s="26"/>
      <c r="B926" s="26"/>
      <c r="C926" s="26"/>
      <c r="D926" s="26"/>
      <c r="E926" s="26"/>
      <c r="F926" s="26"/>
      <c r="G926" s="26"/>
      <c r="H926" s="26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26"/>
      <c r="U926" s="26"/>
      <c r="V926" s="26"/>
      <c r="W926" s="4"/>
      <c r="X926" s="4"/>
      <c r="Y926" s="4"/>
      <c r="Z926" s="4"/>
      <c r="AA926" s="4"/>
      <c r="AB926" s="4"/>
      <c r="AC926" s="4"/>
      <c r="AD926" s="4"/>
      <c r="AE926" s="4"/>
      <c r="AF926" s="4"/>
      <c r="AG926" s="4"/>
    </row>
    <row r="927" spans="1:33" ht="12.75" customHeight="1">
      <c r="A927" s="26"/>
      <c r="B927" s="26"/>
      <c r="C927" s="26"/>
      <c r="D927" s="26"/>
      <c r="E927" s="26"/>
      <c r="F927" s="26"/>
      <c r="G927" s="26"/>
      <c r="H927" s="26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26"/>
      <c r="U927" s="26"/>
      <c r="V927" s="26"/>
      <c r="W927" s="4"/>
      <c r="X927" s="4"/>
      <c r="Y927" s="4"/>
      <c r="Z927" s="4"/>
      <c r="AA927" s="4"/>
      <c r="AB927" s="4"/>
      <c r="AC927" s="4"/>
      <c r="AD927" s="4"/>
      <c r="AE927" s="4"/>
      <c r="AF927" s="4"/>
      <c r="AG927" s="4"/>
    </row>
    <row r="928" spans="1:33" ht="12.75" customHeight="1">
      <c r="A928" s="26"/>
      <c r="B928" s="26"/>
      <c r="C928" s="26"/>
      <c r="D928" s="26"/>
      <c r="E928" s="26"/>
      <c r="F928" s="26"/>
      <c r="G928" s="26"/>
      <c r="H928" s="26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26"/>
      <c r="U928" s="26"/>
      <c r="V928" s="26"/>
      <c r="W928" s="4"/>
      <c r="X928" s="4"/>
      <c r="Y928" s="4"/>
      <c r="Z928" s="4"/>
      <c r="AA928" s="4"/>
      <c r="AB928" s="4"/>
      <c r="AC928" s="4"/>
      <c r="AD928" s="4"/>
      <c r="AE928" s="4"/>
      <c r="AF928" s="4"/>
      <c r="AG928" s="4"/>
    </row>
    <row r="929" spans="1:33" ht="12.75" customHeight="1">
      <c r="A929" s="26"/>
      <c r="B929" s="26"/>
      <c r="C929" s="26"/>
      <c r="D929" s="26"/>
      <c r="E929" s="26"/>
      <c r="F929" s="26"/>
      <c r="G929" s="26"/>
      <c r="H929" s="26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26"/>
      <c r="U929" s="26"/>
      <c r="V929" s="26"/>
      <c r="W929" s="4"/>
      <c r="X929" s="4"/>
      <c r="Y929" s="4"/>
      <c r="Z929" s="4"/>
      <c r="AA929" s="4"/>
      <c r="AB929" s="4"/>
      <c r="AC929" s="4"/>
      <c r="AD929" s="4"/>
      <c r="AE929" s="4"/>
      <c r="AF929" s="4"/>
      <c r="AG929" s="4"/>
    </row>
    <row r="930" spans="1:33" ht="12.75" customHeight="1">
      <c r="A930" s="26"/>
      <c r="B930" s="26"/>
      <c r="C930" s="26"/>
      <c r="D930" s="26"/>
      <c r="E930" s="26"/>
      <c r="F930" s="26"/>
      <c r="G930" s="26"/>
      <c r="H930" s="26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26"/>
      <c r="U930" s="26"/>
      <c r="V930" s="26"/>
      <c r="W930" s="4"/>
      <c r="X930" s="4"/>
      <c r="Y930" s="4"/>
      <c r="Z930" s="4"/>
      <c r="AA930" s="4"/>
      <c r="AB930" s="4"/>
      <c r="AC930" s="4"/>
      <c r="AD930" s="4"/>
      <c r="AE930" s="4"/>
      <c r="AF930" s="4"/>
      <c r="AG930" s="4"/>
    </row>
    <row r="931" spans="1:33" ht="12.75" customHeight="1">
      <c r="A931" s="26"/>
      <c r="B931" s="26"/>
      <c r="C931" s="26"/>
      <c r="D931" s="26"/>
      <c r="E931" s="26"/>
      <c r="F931" s="26"/>
      <c r="G931" s="26"/>
      <c r="H931" s="26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26"/>
      <c r="U931" s="26"/>
      <c r="V931" s="26"/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</row>
    <row r="932" spans="1:33" ht="12.75" customHeight="1">
      <c r="A932" s="26"/>
      <c r="B932" s="26"/>
      <c r="C932" s="26"/>
      <c r="D932" s="26"/>
      <c r="E932" s="26"/>
      <c r="F932" s="26"/>
      <c r="G932" s="26"/>
      <c r="H932" s="26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26"/>
      <c r="U932" s="26"/>
      <c r="V932" s="26"/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</row>
    <row r="933" spans="1:33" ht="12.75" customHeight="1">
      <c r="A933" s="26"/>
      <c r="B933" s="26"/>
      <c r="C933" s="26"/>
      <c r="D933" s="26"/>
      <c r="E933" s="26"/>
      <c r="F933" s="26"/>
      <c r="G933" s="26"/>
      <c r="H933" s="26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26"/>
      <c r="U933" s="26"/>
      <c r="V933" s="26"/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</row>
    <row r="934" spans="1:33" ht="12.75" customHeight="1">
      <c r="A934" s="26"/>
      <c r="B934" s="26"/>
      <c r="C934" s="26"/>
      <c r="D934" s="26"/>
      <c r="E934" s="26"/>
      <c r="F934" s="26"/>
      <c r="G934" s="26"/>
      <c r="H934" s="26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26"/>
      <c r="U934" s="26"/>
      <c r="V934" s="26"/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</row>
    <row r="935" spans="1:33" ht="12.75" customHeight="1">
      <c r="A935" s="26"/>
      <c r="B935" s="26"/>
      <c r="C935" s="26"/>
      <c r="D935" s="26"/>
      <c r="E935" s="26"/>
      <c r="F935" s="26"/>
      <c r="G935" s="26"/>
      <c r="H935" s="26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26"/>
      <c r="U935" s="26"/>
      <c r="V935" s="26"/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</row>
    <row r="936" spans="1:33" ht="12.75" customHeight="1">
      <c r="A936" s="26"/>
      <c r="B936" s="26"/>
      <c r="C936" s="26"/>
      <c r="D936" s="26"/>
      <c r="E936" s="26"/>
      <c r="F936" s="26"/>
      <c r="G936" s="26"/>
      <c r="H936" s="26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26"/>
      <c r="U936" s="26"/>
      <c r="V936" s="26"/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</row>
    <row r="937" spans="1:33" ht="12.75" customHeight="1">
      <c r="A937" s="26"/>
      <c r="B937" s="26"/>
      <c r="C937" s="26"/>
      <c r="D937" s="26"/>
      <c r="E937" s="26"/>
      <c r="F937" s="26"/>
      <c r="G937" s="26"/>
      <c r="H937" s="26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26"/>
      <c r="U937" s="26"/>
      <c r="V937" s="26"/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</row>
    <row r="938" spans="1:33" ht="12.75" customHeight="1">
      <c r="A938" s="26"/>
      <c r="B938" s="26"/>
      <c r="C938" s="26"/>
      <c r="D938" s="26"/>
      <c r="E938" s="26"/>
      <c r="F938" s="26"/>
      <c r="G938" s="26"/>
      <c r="H938" s="26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26"/>
      <c r="U938" s="26"/>
      <c r="V938" s="26"/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</row>
    <row r="939" spans="1:33" ht="12.75" customHeight="1">
      <c r="A939" s="26"/>
      <c r="B939" s="26"/>
      <c r="C939" s="26"/>
      <c r="D939" s="26"/>
      <c r="E939" s="26"/>
      <c r="F939" s="26"/>
      <c r="G939" s="26"/>
      <c r="H939" s="26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26"/>
      <c r="U939" s="26"/>
      <c r="V939" s="26"/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</row>
    <row r="940" spans="1:33" ht="12.75" customHeight="1">
      <c r="A940" s="26"/>
      <c r="B940" s="26"/>
      <c r="C940" s="26"/>
      <c r="D940" s="26"/>
      <c r="E940" s="26"/>
      <c r="F940" s="26"/>
      <c r="G940" s="26"/>
      <c r="H940" s="26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26"/>
      <c r="U940" s="26"/>
      <c r="V940" s="26"/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</row>
    <row r="941" spans="1:33" ht="12.75" customHeight="1">
      <c r="A941" s="26"/>
      <c r="B941" s="26"/>
      <c r="C941" s="26"/>
      <c r="D941" s="26"/>
      <c r="E941" s="26"/>
      <c r="F941" s="26"/>
      <c r="G941" s="26"/>
      <c r="H941" s="26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26"/>
      <c r="U941" s="26"/>
      <c r="V941" s="26"/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</row>
    <row r="942" spans="1:33" ht="12.75" customHeight="1">
      <c r="A942" s="26"/>
      <c r="B942" s="26"/>
      <c r="C942" s="26"/>
      <c r="D942" s="26"/>
      <c r="E942" s="26"/>
      <c r="F942" s="26"/>
      <c r="G942" s="26"/>
      <c r="H942" s="26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26"/>
      <c r="U942" s="26"/>
      <c r="V942" s="26"/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</row>
    <row r="943" spans="1:33" ht="12.75" customHeight="1">
      <c r="A943" s="26"/>
      <c r="B943" s="26"/>
      <c r="C943" s="26"/>
      <c r="D943" s="26"/>
      <c r="E943" s="26"/>
      <c r="F943" s="26"/>
      <c r="G943" s="26"/>
      <c r="H943" s="26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26"/>
      <c r="U943" s="26"/>
      <c r="V943" s="26"/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</row>
    <row r="944" spans="1:33" ht="12.75" customHeight="1">
      <c r="A944" s="26"/>
      <c r="B944" s="26"/>
      <c r="C944" s="26"/>
      <c r="D944" s="26"/>
      <c r="E944" s="26"/>
      <c r="F944" s="26"/>
      <c r="G944" s="26"/>
      <c r="H944" s="26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26"/>
      <c r="U944" s="26"/>
      <c r="V944" s="26"/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</row>
    <row r="945" spans="1:33" ht="12.75" customHeight="1">
      <c r="A945" s="26"/>
      <c r="B945" s="26"/>
      <c r="C945" s="26"/>
      <c r="D945" s="26"/>
      <c r="E945" s="26"/>
      <c r="F945" s="26"/>
      <c r="G945" s="26"/>
      <c r="H945" s="26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26"/>
      <c r="U945" s="26"/>
      <c r="V945" s="26"/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</row>
    <row r="946" spans="1:33" ht="12.75" customHeight="1">
      <c r="A946" s="26"/>
      <c r="B946" s="26"/>
      <c r="C946" s="26"/>
      <c r="D946" s="26"/>
      <c r="E946" s="26"/>
      <c r="F946" s="26"/>
      <c r="G946" s="26"/>
      <c r="H946" s="26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26"/>
      <c r="U946" s="26"/>
      <c r="V946" s="26"/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</row>
    <row r="947" spans="1:33" ht="12.75" customHeight="1">
      <c r="A947" s="26"/>
      <c r="B947" s="26"/>
      <c r="C947" s="26"/>
      <c r="D947" s="26"/>
      <c r="E947" s="26"/>
      <c r="F947" s="26"/>
      <c r="G947" s="26"/>
      <c r="H947" s="26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26"/>
      <c r="U947" s="26"/>
      <c r="V947" s="26"/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</row>
    <row r="948" spans="1:33" ht="12.75" customHeight="1">
      <c r="A948" s="26"/>
      <c r="B948" s="26"/>
      <c r="C948" s="26"/>
      <c r="D948" s="26"/>
      <c r="E948" s="26"/>
      <c r="F948" s="26"/>
      <c r="G948" s="26"/>
      <c r="H948" s="26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26"/>
      <c r="U948" s="26"/>
      <c r="V948" s="26"/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</row>
    <row r="949" spans="1:33" ht="12.75" customHeight="1">
      <c r="A949" s="26"/>
      <c r="B949" s="26"/>
      <c r="C949" s="26"/>
      <c r="D949" s="26"/>
      <c r="E949" s="26"/>
      <c r="F949" s="26"/>
      <c r="G949" s="26"/>
      <c r="H949" s="26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26"/>
      <c r="U949" s="26"/>
      <c r="V949" s="26"/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</row>
    <row r="950" spans="1:33" ht="12.75" customHeight="1">
      <c r="A950" s="26"/>
      <c r="B950" s="26"/>
      <c r="C950" s="26"/>
      <c r="D950" s="26"/>
      <c r="E950" s="26"/>
      <c r="F950" s="26"/>
      <c r="G950" s="26"/>
      <c r="H950" s="26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26"/>
      <c r="U950" s="26"/>
      <c r="V950" s="26"/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</row>
    <row r="951" spans="1:33" ht="12.75" customHeight="1">
      <c r="A951" s="26"/>
      <c r="B951" s="26"/>
      <c r="C951" s="26"/>
      <c r="D951" s="26"/>
      <c r="E951" s="26"/>
      <c r="F951" s="26"/>
      <c r="G951" s="26"/>
      <c r="H951" s="26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26"/>
      <c r="U951" s="26"/>
      <c r="V951" s="26"/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</row>
    <row r="952" spans="1:33" ht="12.75" customHeight="1">
      <c r="A952" s="26"/>
      <c r="B952" s="26"/>
      <c r="C952" s="26"/>
      <c r="D952" s="26"/>
      <c r="E952" s="26"/>
      <c r="F952" s="26"/>
      <c r="G952" s="26"/>
      <c r="H952" s="26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26"/>
      <c r="U952" s="26"/>
      <c r="V952" s="26"/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</row>
    <row r="953" spans="1:33" ht="12.75" customHeight="1">
      <c r="A953" s="26"/>
      <c r="B953" s="26"/>
      <c r="C953" s="26"/>
      <c r="D953" s="26"/>
      <c r="E953" s="26"/>
      <c r="F953" s="26"/>
      <c r="G953" s="26"/>
      <c r="H953" s="26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26"/>
      <c r="U953" s="26"/>
      <c r="V953" s="26"/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</row>
    <row r="954" spans="1:33" ht="12.75" customHeight="1">
      <c r="A954" s="26"/>
      <c r="B954" s="26"/>
      <c r="C954" s="26"/>
      <c r="D954" s="26"/>
      <c r="E954" s="26"/>
      <c r="F954" s="26"/>
      <c r="G954" s="26"/>
      <c r="H954" s="26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26"/>
      <c r="U954" s="26"/>
      <c r="V954" s="26"/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</row>
    <row r="955" spans="1:33" ht="12.75" customHeight="1">
      <c r="A955" s="26"/>
      <c r="B955" s="26"/>
      <c r="C955" s="26"/>
      <c r="D955" s="26"/>
      <c r="E955" s="26"/>
      <c r="F955" s="26"/>
      <c r="G955" s="26"/>
      <c r="H955" s="26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26"/>
      <c r="U955" s="26"/>
      <c r="V955" s="26"/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</row>
    <row r="956" spans="1:33" ht="12.75" customHeight="1">
      <c r="A956" s="26"/>
      <c r="B956" s="26"/>
      <c r="C956" s="26"/>
      <c r="D956" s="26"/>
      <c r="E956" s="26"/>
      <c r="F956" s="26"/>
      <c r="G956" s="26"/>
      <c r="H956" s="26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26"/>
      <c r="U956" s="26"/>
      <c r="V956" s="26"/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</row>
    <row r="957" spans="1:33" ht="12.75" customHeight="1">
      <c r="A957" s="26"/>
      <c r="B957" s="26"/>
      <c r="C957" s="26"/>
      <c r="D957" s="26"/>
      <c r="E957" s="26"/>
      <c r="F957" s="26"/>
      <c r="G957" s="26"/>
      <c r="H957" s="26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26"/>
      <c r="U957" s="26"/>
      <c r="V957" s="26"/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</row>
    <row r="958" spans="1:33" ht="12.75" customHeight="1">
      <c r="A958" s="26"/>
      <c r="B958" s="26"/>
      <c r="C958" s="26"/>
      <c r="D958" s="26"/>
      <c r="E958" s="26"/>
      <c r="F958" s="26"/>
      <c r="G958" s="26"/>
      <c r="H958" s="26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26"/>
      <c r="U958" s="26"/>
      <c r="V958" s="26"/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</row>
    <row r="959" spans="1:33" ht="12.75" customHeight="1">
      <c r="A959" s="26"/>
      <c r="B959" s="26"/>
      <c r="C959" s="26"/>
      <c r="D959" s="26"/>
      <c r="E959" s="26"/>
      <c r="F959" s="26"/>
      <c r="G959" s="26"/>
      <c r="H959" s="26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26"/>
      <c r="U959" s="26"/>
      <c r="V959" s="26"/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</row>
    <row r="960" spans="1:33" ht="12.75" customHeight="1">
      <c r="A960" s="26"/>
      <c r="B960" s="26"/>
      <c r="C960" s="26"/>
      <c r="D960" s="26"/>
      <c r="E960" s="26"/>
      <c r="F960" s="26"/>
      <c r="G960" s="26"/>
      <c r="H960" s="26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26"/>
      <c r="U960" s="26"/>
      <c r="V960" s="26"/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</row>
    <row r="961" spans="1:33" ht="12.75" customHeight="1">
      <c r="A961" s="26"/>
      <c r="B961" s="26"/>
      <c r="C961" s="26"/>
      <c r="D961" s="26"/>
      <c r="E961" s="26"/>
      <c r="F961" s="26"/>
      <c r="G961" s="26"/>
      <c r="H961" s="26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26"/>
      <c r="U961" s="26"/>
      <c r="V961" s="26"/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</row>
    <row r="962" spans="1:33" ht="12.75" customHeight="1">
      <c r="A962" s="26"/>
      <c r="B962" s="26"/>
      <c r="C962" s="26"/>
      <c r="D962" s="26"/>
      <c r="E962" s="26"/>
      <c r="F962" s="26"/>
      <c r="G962" s="26"/>
      <c r="H962" s="26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26"/>
      <c r="U962" s="26"/>
      <c r="V962" s="26"/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</row>
    <row r="963" spans="1:33" ht="12.75" customHeight="1">
      <c r="A963" s="26"/>
      <c r="B963" s="26"/>
      <c r="C963" s="26"/>
      <c r="D963" s="26"/>
      <c r="E963" s="26"/>
      <c r="F963" s="26"/>
      <c r="G963" s="26"/>
      <c r="H963" s="26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26"/>
      <c r="U963" s="26"/>
      <c r="V963" s="26"/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</row>
    <row r="964" spans="1:33" ht="12.75" customHeight="1">
      <c r="A964" s="26"/>
      <c r="B964" s="26"/>
      <c r="C964" s="26"/>
      <c r="D964" s="26"/>
      <c r="E964" s="26"/>
      <c r="F964" s="26"/>
      <c r="G964" s="26"/>
      <c r="H964" s="26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26"/>
      <c r="U964" s="26"/>
      <c r="V964" s="26"/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</row>
    <row r="965" spans="1:33" ht="12.75" customHeight="1">
      <c r="A965" s="26"/>
      <c r="B965" s="26"/>
      <c r="C965" s="26"/>
      <c r="D965" s="26"/>
      <c r="E965" s="26"/>
      <c r="F965" s="26"/>
      <c r="G965" s="26"/>
      <c r="H965" s="26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26"/>
      <c r="U965" s="26"/>
      <c r="V965" s="26"/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</row>
    <row r="966" spans="1:33" ht="12.75" customHeight="1">
      <c r="A966" s="26"/>
      <c r="B966" s="26"/>
      <c r="C966" s="26"/>
      <c r="D966" s="26"/>
      <c r="E966" s="26"/>
      <c r="F966" s="26"/>
      <c r="G966" s="26"/>
      <c r="H966" s="26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26"/>
      <c r="U966" s="26"/>
      <c r="V966" s="26"/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</row>
    <row r="967" spans="1:33" ht="12.75" customHeight="1">
      <c r="A967" s="26"/>
      <c r="B967" s="26"/>
      <c r="C967" s="26"/>
      <c r="D967" s="26"/>
      <c r="E967" s="26"/>
      <c r="F967" s="26"/>
      <c r="G967" s="26"/>
      <c r="H967" s="26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26"/>
      <c r="U967" s="26"/>
      <c r="V967" s="26"/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</row>
    <row r="968" spans="1:33" ht="12.75" customHeight="1">
      <c r="A968" s="26"/>
      <c r="B968" s="26"/>
      <c r="C968" s="26"/>
      <c r="D968" s="26"/>
      <c r="E968" s="26"/>
      <c r="F968" s="26"/>
      <c r="G968" s="26"/>
      <c r="H968" s="26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26"/>
      <c r="U968" s="26"/>
      <c r="V968" s="26"/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</row>
    <row r="969" spans="1:33" ht="12.75" customHeight="1">
      <c r="A969" s="26"/>
      <c r="B969" s="26"/>
      <c r="C969" s="26"/>
      <c r="D969" s="26"/>
      <c r="E969" s="26"/>
      <c r="F969" s="26"/>
      <c r="G969" s="26"/>
      <c r="H969" s="26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26"/>
      <c r="U969" s="26"/>
      <c r="V969" s="26"/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</row>
    <row r="970" spans="1:33" ht="12.75" customHeight="1">
      <c r="A970" s="26"/>
      <c r="B970" s="26"/>
      <c r="C970" s="26"/>
      <c r="D970" s="26"/>
      <c r="E970" s="26"/>
      <c r="F970" s="26"/>
      <c r="G970" s="26"/>
      <c r="H970" s="26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26"/>
      <c r="U970" s="26"/>
      <c r="V970" s="26"/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</row>
    <row r="971" spans="1:33" ht="12.75" customHeight="1">
      <c r="A971" s="26"/>
      <c r="B971" s="26"/>
      <c r="C971" s="26"/>
      <c r="D971" s="26"/>
      <c r="E971" s="26"/>
      <c r="F971" s="26"/>
      <c r="G971" s="26"/>
      <c r="H971" s="26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26"/>
      <c r="U971" s="26"/>
      <c r="V971" s="26"/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</row>
    <row r="972" spans="1:33" ht="12.75" customHeight="1">
      <c r="A972" s="26"/>
      <c r="B972" s="26"/>
      <c r="C972" s="26"/>
      <c r="D972" s="26"/>
      <c r="E972" s="26"/>
      <c r="F972" s="26"/>
      <c r="G972" s="26"/>
      <c r="H972" s="26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26"/>
      <c r="U972" s="26"/>
      <c r="V972" s="26"/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</row>
    <row r="973" spans="1:33" ht="12.75" customHeight="1">
      <c r="A973" s="26"/>
      <c r="B973" s="26"/>
      <c r="C973" s="26"/>
      <c r="D973" s="26"/>
      <c r="E973" s="26"/>
      <c r="F973" s="26"/>
      <c r="G973" s="26"/>
      <c r="H973" s="26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26"/>
      <c r="U973" s="26"/>
      <c r="V973" s="26"/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</row>
    <row r="974" spans="1:33" ht="12.75" customHeight="1">
      <c r="A974" s="26"/>
      <c r="B974" s="26"/>
      <c r="C974" s="26"/>
      <c r="D974" s="26"/>
      <c r="E974" s="26"/>
      <c r="F974" s="26"/>
      <c r="G974" s="26"/>
      <c r="H974" s="26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26"/>
      <c r="U974" s="26"/>
      <c r="V974" s="26"/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</row>
    <row r="975" spans="1:33" ht="12.75" customHeight="1">
      <c r="A975" s="26"/>
      <c r="B975" s="26"/>
      <c r="C975" s="26"/>
      <c r="D975" s="26"/>
      <c r="E975" s="26"/>
      <c r="F975" s="26"/>
      <c r="G975" s="26"/>
      <c r="H975" s="26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26"/>
      <c r="U975" s="26"/>
      <c r="V975" s="26"/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</row>
    <row r="976" spans="1:33" ht="12.75" customHeight="1">
      <c r="A976" s="26"/>
      <c r="B976" s="26"/>
      <c r="C976" s="26"/>
      <c r="D976" s="26"/>
      <c r="E976" s="26"/>
      <c r="F976" s="26"/>
      <c r="G976" s="26"/>
      <c r="H976" s="26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26"/>
      <c r="U976" s="26"/>
      <c r="V976" s="26"/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</row>
    <row r="977" spans="1:33" ht="12.75" customHeight="1">
      <c r="A977" s="26"/>
      <c r="B977" s="26"/>
      <c r="C977" s="26"/>
      <c r="D977" s="26"/>
      <c r="E977" s="26"/>
      <c r="F977" s="26"/>
      <c r="G977" s="26"/>
      <c r="H977" s="26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26"/>
      <c r="U977" s="26"/>
      <c r="V977" s="26"/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</row>
    <row r="978" spans="1:33" ht="12.75" customHeight="1">
      <c r="A978" s="26"/>
      <c r="B978" s="26"/>
      <c r="C978" s="26"/>
      <c r="D978" s="26"/>
      <c r="E978" s="26"/>
      <c r="F978" s="26"/>
      <c r="G978" s="26"/>
      <c r="H978" s="26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26"/>
      <c r="U978" s="26"/>
      <c r="V978" s="26"/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</row>
    <row r="979" spans="1:33" ht="12.75" customHeight="1">
      <c r="A979" s="26"/>
      <c r="B979" s="26"/>
      <c r="C979" s="26"/>
      <c r="D979" s="26"/>
      <c r="E979" s="26"/>
      <c r="F979" s="26"/>
      <c r="G979" s="26"/>
      <c r="H979" s="26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26"/>
      <c r="U979" s="26"/>
      <c r="V979" s="26"/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</row>
    <row r="980" spans="1:33" ht="12.75" customHeight="1">
      <c r="A980" s="26"/>
      <c r="B980" s="26"/>
      <c r="C980" s="26"/>
      <c r="D980" s="26"/>
      <c r="E980" s="26"/>
      <c r="F980" s="26"/>
      <c r="G980" s="26"/>
      <c r="H980" s="26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26"/>
      <c r="U980" s="26"/>
      <c r="V980" s="26"/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</row>
    <row r="981" spans="1:33" ht="12.75" customHeight="1">
      <c r="A981" s="26"/>
      <c r="B981" s="26"/>
      <c r="C981" s="26"/>
      <c r="D981" s="26"/>
      <c r="E981" s="26"/>
      <c r="F981" s="26"/>
      <c r="G981" s="26"/>
      <c r="H981" s="26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26"/>
      <c r="U981" s="26"/>
      <c r="V981" s="26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</row>
    <row r="982" spans="1:33" ht="12.75" customHeight="1">
      <c r="A982" s="26"/>
      <c r="B982" s="26"/>
      <c r="C982" s="26"/>
      <c r="D982" s="26"/>
      <c r="E982" s="26"/>
      <c r="F982" s="26"/>
      <c r="G982" s="26"/>
      <c r="H982" s="26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26"/>
      <c r="U982" s="26"/>
      <c r="V982" s="26"/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</row>
    <row r="983" spans="1:33" ht="12.75" customHeight="1">
      <c r="A983" s="26"/>
      <c r="B983" s="26"/>
      <c r="C983" s="26"/>
      <c r="D983" s="26"/>
      <c r="E983" s="26"/>
      <c r="F983" s="26"/>
      <c r="G983" s="26"/>
      <c r="H983" s="26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26"/>
      <c r="U983" s="26"/>
      <c r="V983" s="26"/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</row>
    <row r="984" spans="1:33" ht="12.75" customHeight="1">
      <c r="A984" s="26"/>
      <c r="B984" s="26"/>
      <c r="C984" s="26"/>
      <c r="D984" s="26"/>
      <c r="E984" s="26"/>
      <c r="F984" s="26"/>
      <c r="G984" s="26"/>
      <c r="H984" s="26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26"/>
      <c r="U984" s="26"/>
      <c r="V984" s="26"/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</row>
    <row r="985" spans="1:33" ht="12.75" customHeight="1">
      <c r="A985" s="26"/>
      <c r="B985" s="26"/>
      <c r="C985" s="26"/>
      <c r="D985" s="26"/>
      <c r="E985" s="26"/>
      <c r="F985" s="26"/>
      <c r="G985" s="26"/>
      <c r="H985" s="26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26"/>
      <c r="U985" s="26"/>
      <c r="V985" s="26"/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</row>
    <row r="986" spans="1:33" ht="12.75" customHeight="1">
      <c r="A986" s="26"/>
      <c r="B986" s="26"/>
      <c r="C986" s="26"/>
      <c r="D986" s="26"/>
      <c r="E986" s="26"/>
      <c r="F986" s="26"/>
      <c r="G986" s="26"/>
      <c r="H986" s="26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26"/>
      <c r="U986" s="26"/>
      <c r="V986" s="26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</row>
    <row r="987" spans="1:33" ht="12.75" customHeight="1">
      <c r="A987" s="26"/>
      <c r="B987" s="26"/>
      <c r="C987" s="26"/>
      <c r="D987" s="26"/>
      <c r="E987" s="26"/>
      <c r="F987" s="26"/>
      <c r="G987" s="26"/>
      <c r="H987" s="26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26"/>
      <c r="U987" s="26"/>
      <c r="V987" s="26"/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</row>
    <row r="988" spans="1:33" ht="12.75" customHeight="1">
      <c r="A988" s="26"/>
      <c r="B988" s="26"/>
      <c r="C988" s="26"/>
      <c r="D988" s="26"/>
      <c r="E988" s="26"/>
      <c r="F988" s="26"/>
      <c r="G988" s="26"/>
      <c r="H988" s="26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26"/>
      <c r="U988" s="26"/>
      <c r="V988" s="26"/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</row>
    <row r="989" spans="1:33" ht="12.75" customHeight="1">
      <c r="A989" s="26"/>
      <c r="B989" s="26"/>
      <c r="C989" s="26"/>
      <c r="D989" s="26"/>
      <c r="E989" s="26"/>
      <c r="F989" s="26"/>
      <c r="G989" s="26"/>
      <c r="H989" s="26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26"/>
      <c r="U989" s="26"/>
      <c r="V989" s="26"/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</row>
    <row r="990" spans="1:33" ht="12.75" customHeight="1">
      <c r="A990" s="26"/>
      <c r="B990" s="26"/>
      <c r="C990" s="26"/>
      <c r="D990" s="26"/>
      <c r="E990" s="26"/>
      <c r="F990" s="26"/>
      <c r="G990" s="26"/>
      <c r="H990" s="26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26"/>
      <c r="U990" s="26"/>
      <c r="V990" s="26"/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</row>
    <row r="991" spans="1:33" ht="12.75" customHeight="1">
      <c r="A991" s="26"/>
      <c r="B991" s="26"/>
      <c r="C991" s="26"/>
      <c r="D991" s="26"/>
      <c r="E991" s="26"/>
      <c r="F991" s="26"/>
      <c r="G991" s="26"/>
      <c r="H991" s="26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26"/>
      <c r="U991" s="26"/>
      <c r="V991" s="26"/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</row>
    <row r="992" spans="1:33" ht="12.75" customHeight="1">
      <c r="A992" s="26"/>
      <c r="B992" s="26"/>
      <c r="C992" s="26"/>
      <c r="D992" s="26"/>
      <c r="E992" s="26"/>
      <c r="F992" s="26"/>
      <c r="G992" s="26"/>
      <c r="H992" s="26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26"/>
      <c r="U992" s="26"/>
      <c r="V992" s="26"/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</row>
    <row r="993" spans="1:33" ht="12.75" customHeight="1">
      <c r="A993" s="26"/>
      <c r="B993" s="26"/>
      <c r="C993" s="26"/>
      <c r="D993" s="26"/>
      <c r="E993" s="26"/>
      <c r="F993" s="26"/>
      <c r="G993" s="26"/>
      <c r="H993" s="26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26"/>
      <c r="U993" s="26"/>
      <c r="V993" s="26"/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</row>
    <row r="994" spans="1:33" ht="12.75" customHeight="1">
      <c r="A994" s="26"/>
      <c r="B994" s="26"/>
      <c r="C994" s="26"/>
      <c r="D994" s="26"/>
      <c r="E994" s="26"/>
      <c r="F994" s="26"/>
      <c r="G994" s="26"/>
      <c r="H994" s="26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26"/>
      <c r="U994" s="26"/>
      <c r="V994" s="26"/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</row>
    <row r="995" spans="1:33" ht="12.75" customHeight="1">
      <c r="A995" s="26"/>
      <c r="B995" s="26"/>
      <c r="C995" s="26"/>
      <c r="D995" s="26"/>
      <c r="E995" s="26"/>
      <c r="F995" s="26"/>
      <c r="G995" s="26"/>
      <c r="H995" s="26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26"/>
      <c r="U995" s="26"/>
      <c r="V995" s="26"/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</row>
    <row r="996" spans="1:33" ht="12.75" customHeight="1">
      <c r="A996" s="26"/>
      <c r="B996" s="26"/>
      <c r="C996" s="26"/>
      <c r="D996" s="26"/>
      <c r="E996" s="26"/>
      <c r="F996" s="26"/>
      <c r="G996" s="26"/>
      <c r="H996" s="26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26"/>
      <c r="U996" s="26"/>
      <c r="V996" s="26"/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</row>
    <row r="997" spans="1:33" ht="12.75" customHeight="1">
      <c r="A997" s="26"/>
      <c r="B997" s="26"/>
      <c r="C997" s="26"/>
      <c r="D997" s="26"/>
      <c r="E997" s="26"/>
      <c r="F997" s="26"/>
      <c r="G997" s="26"/>
      <c r="H997" s="26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26"/>
      <c r="U997" s="26"/>
      <c r="V997" s="26"/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</row>
    <row r="998" spans="1:33" ht="12.75" customHeight="1">
      <c r="A998" s="26"/>
      <c r="B998" s="26"/>
      <c r="C998" s="26"/>
      <c r="D998" s="26"/>
      <c r="E998" s="26"/>
      <c r="F998" s="26"/>
      <c r="G998" s="26"/>
      <c r="H998" s="26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26"/>
      <c r="U998" s="26"/>
      <c r="V998" s="26"/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</row>
    <row r="999" spans="1:33" ht="12.75" customHeight="1">
      <c r="A999" s="26"/>
      <c r="B999" s="26"/>
      <c r="C999" s="26"/>
      <c r="D999" s="26"/>
      <c r="E999" s="26"/>
      <c r="F999" s="26"/>
      <c r="G999" s="26"/>
      <c r="H999" s="26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26"/>
      <c r="U999" s="26"/>
      <c r="V999" s="26"/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</row>
    <row r="1000" spans="1:33" ht="12.75" customHeight="1">
      <c r="A1000" s="26"/>
      <c r="B1000" s="26"/>
      <c r="C1000" s="26"/>
      <c r="D1000" s="26"/>
      <c r="E1000" s="26"/>
      <c r="F1000" s="26"/>
      <c r="G1000" s="26"/>
      <c r="H1000" s="26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26"/>
      <c r="U1000" s="26"/>
      <c r="V1000" s="26"/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/>
    </row>
  </sheetData>
  <mergeCells count="78">
    <mergeCell ref="C85:C86"/>
    <mergeCell ref="D85:D86"/>
    <mergeCell ref="E85:E86"/>
    <mergeCell ref="F85:F86"/>
    <mergeCell ref="G85:G86"/>
    <mergeCell ref="C6:C7"/>
    <mergeCell ref="D6:D7"/>
    <mergeCell ref="E6:E7"/>
    <mergeCell ref="F6:F7"/>
    <mergeCell ref="G6:G7"/>
    <mergeCell ref="Y13:Z13"/>
    <mergeCell ref="Y21:Z21"/>
    <mergeCell ref="Y24:Z24"/>
    <mergeCell ref="Y25:Z25"/>
    <mergeCell ref="Y14:Z14"/>
    <mergeCell ref="Y15:Z15"/>
    <mergeCell ref="Y16:Z16"/>
    <mergeCell ref="Y17:Z17"/>
    <mergeCell ref="Y18:Z18"/>
    <mergeCell ref="Y19:Z19"/>
    <mergeCell ref="Y20:Z20"/>
    <mergeCell ref="U6:U7"/>
    <mergeCell ref="Y9:Z9"/>
    <mergeCell ref="Y10:Z10"/>
    <mergeCell ref="Y11:Z11"/>
    <mergeCell ref="Y12:Z12"/>
    <mergeCell ref="P6:P7"/>
    <mergeCell ref="Q6:Q7"/>
    <mergeCell ref="R6:R7"/>
    <mergeCell ref="S6:S7"/>
    <mergeCell ref="T6:T7"/>
    <mergeCell ref="H196:I196"/>
    <mergeCell ref="H197:I197"/>
    <mergeCell ref="M6:M7"/>
    <mergeCell ref="N6:N7"/>
    <mergeCell ref="O6:O7"/>
    <mergeCell ref="H6:H7"/>
    <mergeCell ref="I6:I7"/>
    <mergeCell ref="H85:H86"/>
    <mergeCell ref="I85:I86"/>
    <mergeCell ref="M121:T122"/>
    <mergeCell ref="M123:U125"/>
    <mergeCell ref="M126:T127"/>
    <mergeCell ref="M128:T129"/>
    <mergeCell ref="M130:U132"/>
    <mergeCell ref="M133:U135"/>
    <mergeCell ref="H160:J164"/>
    <mergeCell ref="H187:I187"/>
    <mergeCell ref="H189:I189"/>
    <mergeCell ref="H190:I190"/>
    <mergeCell ref="B191:G194"/>
    <mergeCell ref="H195:I195"/>
    <mergeCell ref="H199:I199"/>
    <mergeCell ref="H200:I200"/>
    <mergeCell ref="H201:I201"/>
    <mergeCell ref="H202:I202"/>
    <mergeCell ref="B203:J204"/>
    <mergeCell ref="H181:I181"/>
    <mergeCell ref="H182:I182"/>
    <mergeCell ref="H184:I184"/>
    <mergeCell ref="H185:I185"/>
    <mergeCell ref="H186:I186"/>
    <mergeCell ref="J174:J175"/>
    <mergeCell ref="B176:G177"/>
    <mergeCell ref="J176:J177"/>
    <mergeCell ref="H176:I177"/>
    <mergeCell ref="H180:I180"/>
    <mergeCell ref="B169:G171"/>
    <mergeCell ref="H172:I172"/>
    <mergeCell ref="H173:I173"/>
    <mergeCell ref="C174:G175"/>
    <mergeCell ref="H174:I175"/>
    <mergeCell ref="H165:I165"/>
    <mergeCell ref="H166:I166"/>
    <mergeCell ref="Q166:T166"/>
    <mergeCell ref="B167:G168"/>
    <mergeCell ref="H167:I168"/>
    <mergeCell ref="J167:J168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PILE-99</vt:lpstr>
      <vt:lpstr>Bangtra</vt:lpstr>
      <vt:lpstr>'PILE-99'!Z_6FCC20C4_4A54_4973_8359_C6D8908D37C8_.wvu.Cols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Luong Binh</dc:creator>
  <cp:lastModifiedBy>Cao Minh Thành</cp:lastModifiedBy>
  <dcterms:created xsi:type="dcterms:W3CDTF">1999-12-11T01:19:03Z</dcterms:created>
  <dcterms:modified xsi:type="dcterms:W3CDTF">2021-07-05T16:03:51Z</dcterms:modified>
</cp:coreProperties>
</file>